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804" tabRatio="600" firstSheet="0" activeTab="0" autoFilterDateGrouping="1"/>
  </bookViews>
  <sheets>
    <sheet name="Aylık Rapor" sheetId="1" state="visible" r:id="rId1"/>
    <sheet name="Günlük Rapor" sheetId="2" state="visible" r:id="rId2"/>
    <sheet name="GES Üretim" sheetId="3" state="visible" r:id="rId3"/>
    <sheet name="Opera Aylık Analiz" sheetId="4" state="visible" r:id="rId4"/>
    <sheet name="Opera Günlük Analiz" sheetId="5" state="visible" r:id="rId5"/>
    <sheet name="Opera Enerji Veri" sheetId="6" state="visible" r:id="rId6"/>
  </sheets>
  <externalReferences>
    <externalReference r:id="rId7"/>
  </externalReferences>
  <definedNames/>
  <calcPr calcId="191028" fullCalcOnLoad="1"/>
</workbook>
</file>

<file path=xl/styles.xml><?xml version="1.0" encoding="utf-8"?>
<styleSheet xmlns="http://schemas.openxmlformats.org/spreadsheetml/2006/main">
  <numFmts count="10">
    <numFmt numFmtId="164" formatCode="d/m/yyyy\ hh:mm;@"/>
    <numFmt numFmtId="165" formatCode="_-* #,##0.00_-;\-* #,##0.00_-;_-* &quot;-&quot;??_-;_-@_-"/>
    <numFmt numFmtId="166" formatCode="#,##0.00_ ;[Red]\-#,##0.00\ "/>
    <numFmt numFmtId="167" formatCode="[$-41F]mmmm\ yy;@"/>
    <numFmt numFmtId="168" formatCode="dd\.mm\.yyyy"/>
    <numFmt numFmtId="169" formatCode="#,##0_ ;[Red]\-#,##0\ "/>
    <numFmt numFmtId="170" formatCode="_-* #,##0_-;\-* #,##0_-;_-* &quot;-&quot;??_-;_-@_-"/>
    <numFmt numFmtId="171" formatCode="0.0%"/>
    <numFmt numFmtId="172" formatCode="_-[$$-409]* #,##0.00_ ;_-[$$-409]* \-#,##0.00\ ;_-[$$-409]* &quot;-&quot;??_ ;_-@_ "/>
    <numFmt numFmtId="173" formatCode="_-[$₺-41F]* #,##0.00_-;\-[$₺-41F]* #,##0.00_-;_-[$₺-41F]* &quot;-&quot;??_-;_-@_-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i val="1"/>
      <color theme="0"/>
      <sz val="11"/>
      <scheme val="minor"/>
    </font>
    <font>
      <name val="Calibri"/>
      <charset val="162"/>
      <family val="2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charset val="162"/>
      <family val="2"/>
      <b val="1"/>
      <i val="1"/>
      <color rgb="FFFF0000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i val="1"/>
      <color rgb="FFFF0000"/>
      <sz val="11"/>
      <scheme val="minor"/>
    </font>
    <font>
      <name val="Calibri"/>
      <charset val="162"/>
      <family val="2"/>
      <b val="1"/>
      <color theme="1"/>
      <sz val="13"/>
      <scheme val="minor"/>
    </font>
    <font>
      <name val="Calibri"/>
      <charset val="162"/>
      <family val="2"/>
      <b val="1"/>
      <color theme="0"/>
      <sz val="13"/>
      <scheme val="minor"/>
    </font>
  </fonts>
  <fills count="22">
    <fill>
      <patternFill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0" fontId="5" fillId="0" borderId="0"/>
    <xf numFmtId="43" fontId="1" fillId="0" borderId="0"/>
    <xf numFmtId="0" fontId="12" fillId="0" borderId="0"/>
  </cellStyleXfs>
  <cellXfs count="230">
    <xf numFmtId="0" fontId="0" fillId="0" borderId="0" pivotButton="0" quotePrefix="0" xfId="0"/>
    <xf numFmtId="40" fontId="0" fillId="0" borderId="0" pivotButton="0" quotePrefix="0" xfId="1"/>
    <xf numFmtId="40" fontId="2" fillId="2" borderId="0" applyAlignment="1" pivotButton="0" quotePrefix="0" xfId="1">
      <alignment horizontal="center" vertical="center" wrapText="1"/>
    </xf>
    <xf numFmtId="40" fontId="0" fillId="0" borderId="0" applyAlignment="1" pivotButton="0" quotePrefix="0" xfId="1">
      <alignment horizontal="center" vertical="center" wrapText="1"/>
    </xf>
    <xf numFmtId="164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4" fontId="0" fillId="0" borderId="0" pivotButton="0" quotePrefix="0" xfId="1"/>
    <xf numFmtId="0" fontId="0" fillId="0" borderId="0" pivotButton="0" quotePrefix="0" xfId="1"/>
    <xf numFmtId="40" fontId="2" fillId="4" borderId="0" applyAlignment="1" pivotButton="0" quotePrefix="0" xfId="1">
      <alignment horizontal="center" vertical="center" wrapText="1"/>
    </xf>
    <xf numFmtId="0" fontId="3" fillId="0" borderId="0" pivotButton="0" quotePrefix="0" xfId="0"/>
    <xf numFmtId="165" fontId="0" fillId="0" borderId="0" pivotButton="0" quotePrefix="0" xfId="1"/>
    <xf numFmtId="40" fontId="3" fillId="6" borderId="1" applyAlignment="1" pivotButton="0" quotePrefix="0" xfId="1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0" fontId="3" fillId="7" borderId="1" applyAlignment="1" pivotButton="0" quotePrefix="0" xfId="1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0" fontId="2" fillId="9" borderId="1" applyAlignment="1" pivotButton="0" quotePrefix="0" xfId="1">
      <alignment horizontal="center" vertical="center" wrapText="1"/>
    </xf>
    <xf numFmtId="165" fontId="2" fillId="9" borderId="1" applyAlignment="1" pivotButton="0" quotePrefix="0" xfId="1">
      <alignment horizontal="center" vertical="center" wrapText="1"/>
    </xf>
    <xf numFmtId="14" fontId="0" fillId="0" borderId="1" pivotButton="0" quotePrefix="0" xfId="1"/>
    <xf numFmtId="166" fontId="0" fillId="0" borderId="1" pivotButton="0" quotePrefix="0" xfId="1"/>
    <xf numFmtId="14" fontId="0" fillId="0" borderId="0" pivotButton="0" quotePrefix="0" xfId="0"/>
    <xf numFmtId="14" fontId="2" fillId="9" borderId="1" applyAlignment="1" pivotButton="0" quotePrefix="0" xfId="0">
      <alignment horizontal="center" vertical="center"/>
    </xf>
    <xf numFmtId="167" fontId="0" fillId="0" borderId="1" pivotButton="0" quotePrefix="0" xfId="1"/>
    <xf numFmtId="166" fontId="0" fillId="5" borderId="1" pivotButton="0" quotePrefix="0" xfId="1"/>
    <xf numFmtId="10" fontId="0" fillId="0" borderId="0" pivotButton="0" quotePrefix="0" xfId="2"/>
    <xf numFmtId="40" fontId="3" fillId="3" borderId="1" applyAlignment="1" pivotButton="0" quotePrefix="0" xfId="1">
      <alignment horizontal="center" vertical="center" wrapText="1"/>
    </xf>
    <xf numFmtId="40" fontId="3" fillId="10" borderId="1" applyAlignment="1" pivotButton="0" quotePrefix="0" xfId="1">
      <alignment horizontal="center" vertical="center" wrapText="1"/>
    </xf>
    <xf numFmtId="40" fontId="3" fillId="6" borderId="1" applyAlignment="1" pivotButton="0" quotePrefix="0" xfId="1">
      <alignment horizontal="center"/>
    </xf>
    <xf numFmtId="10" fontId="0" fillId="0" borderId="1" pivotButton="0" quotePrefix="0" xfId="2"/>
    <xf numFmtId="40" fontId="3" fillId="7" borderId="0" applyAlignment="1" pivotButton="0" quotePrefix="0" xfId="1">
      <alignment horizontal="center"/>
    </xf>
    <xf numFmtId="168" fontId="0" fillId="0" borderId="0" pivotButton="0" quotePrefix="0" xfId="0"/>
    <xf numFmtId="4" fontId="0" fillId="0" borderId="0" pivotButton="0" quotePrefix="0" xfId="0"/>
    <xf numFmtId="40" fontId="2" fillId="11" borderId="0" applyAlignment="1" pivotButton="0" quotePrefix="0" xfId="1">
      <alignment horizontal="center" vertical="center" wrapText="1"/>
    </xf>
    <xf numFmtId="40" fontId="2" fillId="12" borderId="0" applyAlignment="1" pivotButton="0" quotePrefix="0" xfId="1">
      <alignment horizontal="center" vertical="center" wrapText="1"/>
    </xf>
    <xf numFmtId="40" fontId="0" fillId="5" borderId="0" pivotButton="0" quotePrefix="0" xfId="1"/>
    <xf numFmtId="40" fontId="0" fillId="0" borderId="0" pivotButton="0" quotePrefix="0" xfId="1"/>
    <xf numFmtId="14" fontId="0" fillId="0" borderId="0" pivotButton="0" quotePrefix="0" xfId="1"/>
    <xf numFmtId="0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2" fontId="2" fillId="11" borderId="0" applyAlignment="1" pivotButton="0" quotePrefix="0" xfId="1">
      <alignment horizontal="center" vertical="center" wrapText="1"/>
    </xf>
    <xf numFmtId="2" fontId="0" fillId="0" borderId="0" pivotButton="0" quotePrefix="0" xfId="0"/>
    <xf numFmtId="2" fontId="0" fillId="0" borderId="0" pivotButton="0" quotePrefix="0" xfId="1"/>
    <xf numFmtId="166" fontId="0" fillId="0" borderId="1" pivotButton="0" quotePrefix="0" xfId="1"/>
    <xf numFmtId="0" fontId="0" fillId="0" borderId="0" applyAlignment="1" pivotButton="0" quotePrefix="0" xfId="0">
      <alignment horizontal="center" vertical="center"/>
    </xf>
    <xf numFmtId="9" fontId="0" fillId="0" borderId="0" pivotButton="0" quotePrefix="0" xfId="2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1">
      <alignment horizontal="right"/>
    </xf>
    <xf numFmtId="9" fontId="3" fillId="0" borderId="0" applyAlignment="1" pivotButton="0" quotePrefix="0" xfId="2">
      <alignment horizontal="right"/>
    </xf>
    <xf numFmtId="9" fontId="3" fillId="0" borderId="0" applyAlignment="1" pivotButton="0" quotePrefix="0" xfId="2">
      <alignment horizontal="center" vertical="center" wrapText="1"/>
    </xf>
    <xf numFmtId="4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165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1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14" fontId="6" fillId="4" borderId="4" applyAlignment="1" pivotButton="0" quotePrefix="0" xfId="0">
      <alignment horizontal="center" vertical="center" wrapText="1"/>
    </xf>
    <xf numFmtId="40" fontId="2" fillId="4" borderId="4" applyAlignment="1" pivotButton="0" quotePrefix="0" xfId="1">
      <alignment horizontal="center" vertical="center" wrapText="1"/>
    </xf>
    <xf numFmtId="0" fontId="2" fillId="13" borderId="4" applyAlignment="1" pivotButton="0" quotePrefix="0" xfId="0">
      <alignment horizontal="center" vertical="center" wrapText="1"/>
    </xf>
    <xf numFmtId="0" fontId="2" fillId="8" borderId="4" applyAlignment="1" pivotButton="0" quotePrefix="0" xfId="0">
      <alignment horizontal="center" vertical="center" wrapText="1"/>
    </xf>
    <xf numFmtId="40" fontId="6" fillId="8" borderId="4" applyAlignment="1" pivotButton="0" quotePrefix="0" xfId="1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14" fontId="7" fillId="4" borderId="4" pivotButton="0" quotePrefix="0" xfId="1"/>
    <xf numFmtId="0" fontId="2" fillId="14" borderId="4" applyAlignment="1" pivotButton="0" quotePrefix="0" xfId="0">
      <alignment horizontal="center" vertical="center" wrapText="1"/>
    </xf>
    <xf numFmtId="166" fontId="0" fillId="0" borderId="4" applyAlignment="1" pivotButton="0" quotePrefix="0" xfId="1">
      <alignment horizontal="right" vertical="center"/>
    </xf>
    <xf numFmtId="10" fontId="0" fillId="0" borderId="4" applyAlignment="1" pivotButton="0" quotePrefix="0" xfId="2">
      <alignment horizontal="right" vertical="center"/>
    </xf>
    <xf numFmtId="166" fontId="0" fillId="15" borderId="4" applyAlignment="1" pivotButton="0" quotePrefix="0" xfId="1">
      <alignment horizontal="right" vertical="center"/>
    </xf>
    <xf numFmtId="10" fontId="0" fillId="15" borderId="4" applyAlignment="1" pivotButton="0" quotePrefix="0" xfId="2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9" fontId="0" fillId="0" borderId="4" applyAlignment="1" pivotButton="0" quotePrefix="0" xfId="2">
      <alignment horizontal="right" vertical="center"/>
    </xf>
    <xf numFmtId="9" fontId="0" fillId="15" borderId="4" applyAlignment="1" pivotButton="0" quotePrefix="0" xfId="2">
      <alignment horizontal="right" vertical="center"/>
    </xf>
    <xf numFmtId="9" fontId="1" fillId="15" borderId="4" applyAlignment="1" pivotButton="0" quotePrefix="0" xfId="2">
      <alignment horizontal="right" vertical="center"/>
    </xf>
    <xf numFmtId="9" fontId="1" fillId="0" borderId="4" applyAlignment="1" pivotButton="0" quotePrefix="0" xfId="2">
      <alignment horizontal="right" vertical="center"/>
    </xf>
    <xf numFmtId="9" fontId="1" fillId="16" borderId="4" applyAlignment="1" pivotButton="0" quotePrefix="0" xfId="2">
      <alignment horizontal="right" vertical="center"/>
    </xf>
    <xf numFmtId="40" fontId="3" fillId="0" borderId="0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0" fontId="0" fillId="0" borderId="3" pivotButton="0" quotePrefix="0" xfId="2"/>
    <xf numFmtId="9" fontId="0" fillId="0" borderId="0" applyAlignment="1" pivotButton="0" quotePrefix="0" xfId="2">
      <alignment horizontal="center" vertical="center"/>
    </xf>
    <xf numFmtId="0" fontId="2" fillId="0" borderId="0" applyAlignment="1" pivotButton="0" quotePrefix="0" xfId="0">
      <alignment horizontal="center"/>
    </xf>
    <xf numFmtId="9" fontId="0" fillId="0" borderId="0" pivotButton="0" quotePrefix="0" xfId="2"/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0" fontId="9" fillId="5" borderId="0" applyAlignment="1" pivotButton="0" quotePrefix="0" xfId="2">
      <alignment horizontal="center" vertical="center"/>
    </xf>
    <xf numFmtId="165" fontId="9" fillId="5" borderId="0" pivotButton="0" quotePrefix="0" xfId="1"/>
    <xf numFmtId="10" fontId="9" fillId="5" borderId="0" pivotButton="0" quotePrefix="0" xfId="2"/>
    <xf numFmtId="9" fontId="9" fillId="5" borderId="0" pivotButton="0" quotePrefix="0" xfId="2"/>
    <xf numFmtId="169" fontId="0" fillId="0" borderId="4" applyAlignment="1" pivotButton="0" quotePrefix="0" xfId="1">
      <alignment horizontal="right" vertical="center"/>
    </xf>
    <xf numFmtId="169" fontId="0" fillId="15" borderId="4" applyAlignment="1" pivotButton="0" quotePrefix="0" xfId="1">
      <alignment horizontal="right" vertical="center"/>
    </xf>
    <xf numFmtId="169" fontId="1" fillId="15" borderId="4" applyAlignment="1" pivotButton="0" quotePrefix="0" xfId="1">
      <alignment horizontal="right" vertical="center"/>
    </xf>
    <xf numFmtId="169" fontId="1" fillId="0" borderId="4" applyAlignment="1" pivotButton="0" quotePrefix="0" xfId="1">
      <alignment horizontal="right" vertical="center"/>
    </xf>
    <xf numFmtId="169" fontId="1" fillId="16" borderId="4" applyAlignment="1" pivotButton="0" quotePrefix="0" xfId="1">
      <alignment horizontal="right" vertical="center"/>
    </xf>
    <xf numFmtId="170" fontId="3" fillId="0" borderId="0" applyAlignment="1" pivotButton="0" quotePrefix="0" xfId="1">
      <alignment vertical="center"/>
    </xf>
    <xf numFmtId="170" fontId="3" fillId="0" borderId="0" applyAlignment="1" pivotButton="0" quotePrefix="0" xfId="1">
      <alignment horizontal="right"/>
    </xf>
    <xf numFmtId="169" fontId="9" fillId="5" borderId="0" pivotButton="0" quotePrefix="0" xfId="1"/>
    <xf numFmtId="9" fontId="0" fillId="0" borderId="1" pivotButton="0" quotePrefix="0" xfId="2"/>
    <xf numFmtId="40" fontId="10" fillId="8" borderId="1" applyAlignment="1" pivotButton="0" quotePrefix="0" xfId="1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71" fontId="0" fillId="0" borderId="1" pivotButton="0" quotePrefix="0" xfId="0"/>
    <xf numFmtId="40" fontId="3" fillId="3" borderId="1" applyAlignment="1" pivotButton="0" quotePrefix="0" xfId="1">
      <alignment horizontal="center"/>
    </xf>
    <xf numFmtId="9" fontId="3" fillId="6" borderId="1" applyAlignment="1" pivotButton="0" quotePrefix="0" xfId="2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  <xf numFmtId="170" fontId="0" fillId="0" borderId="3" pivotButton="0" quotePrefix="0" xfId="1"/>
    <xf numFmtId="170" fontId="0" fillId="0" borderId="1" pivotButton="0" quotePrefix="0" xfId="1"/>
    <xf numFmtId="1" fontId="3" fillId="6" borderId="1" applyAlignment="1" pivotButton="0" quotePrefix="0" xfId="1">
      <alignment horizontal="center"/>
    </xf>
    <xf numFmtId="1" fontId="3" fillId="6" borderId="1" applyAlignment="1" pivotButton="0" quotePrefix="0" xfId="0">
      <alignment horizontal="center" vertical="center" wrapText="1"/>
    </xf>
    <xf numFmtId="1" fontId="0" fillId="0" borderId="1" pivotButton="0" quotePrefix="0" xfId="1"/>
    <xf numFmtId="1" fontId="0" fillId="0" borderId="0" pivotButton="0" quotePrefix="0" xfId="0"/>
    <xf numFmtId="1" fontId="3" fillId="7" borderId="0" applyAlignment="1" pivotButton="0" quotePrefix="0" xfId="1">
      <alignment horizontal="center"/>
    </xf>
    <xf numFmtId="1" fontId="3" fillId="7" borderId="1" applyAlignment="1" pivotButton="0" quotePrefix="0" xfId="1">
      <alignment horizontal="center" vertical="center" wrapText="1"/>
    </xf>
    <xf numFmtId="1" fontId="0" fillId="0" borderId="0" pivotButton="0" quotePrefix="0" xfId="1"/>
    <xf numFmtId="170" fontId="9" fillId="5" borderId="0" pivotButton="0" quotePrefix="0" xfId="1"/>
    <xf numFmtId="170" fontId="9" fillId="5" borderId="0" applyAlignment="1" pivotButton="0" quotePrefix="0" xfId="1">
      <alignment horizontal="center" vertical="center"/>
    </xf>
    <xf numFmtId="170" fontId="9" fillId="5" borderId="0" pivotButton="0" quotePrefix="0" xfId="1"/>
    <xf numFmtId="40" fontId="1" fillId="5" borderId="0" pivotButton="0" quotePrefix="0" xfId="1"/>
    <xf numFmtId="40" fontId="11" fillId="5" borderId="0" applyAlignment="1" pivotButton="0" quotePrefix="0" xfId="1">
      <alignment horizontal="center" vertical="center" wrapText="1"/>
    </xf>
    <xf numFmtId="4" fontId="1" fillId="5" borderId="0" pivotButton="0" quotePrefix="0" xfId="0"/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2">
      <alignment horizontal="right"/>
    </xf>
    <xf numFmtId="10" fontId="3" fillId="0" borderId="0" applyAlignment="1" pivotButton="0" quotePrefix="0" xfId="2">
      <alignment horizontal="right"/>
    </xf>
    <xf numFmtId="171" fontId="0" fillId="0" borderId="0" pivotButton="0" quotePrefix="0" xfId="0"/>
    <xf numFmtId="167" fontId="7" fillId="4" borderId="4" pivotButton="0" quotePrefix="0" xfId="4"/>
    <xf numFmtId="40" fontId="3" fillId="0" borderId="0" applyAlignment="1" pivotButton="0" quotePrefix="0" xfId="0">
      <alignment horizontal="right" vertical="center"/>
    </xf>
    <xf numFmtId="40" fontId="2" fillId="17" borderId="0" applyAlignment="1" pivotButton="0" quotePrefix="0" xfId="1">
      <alignment horizontal="center" vertical="center" wrapText="1"/>
    </xf>
    <xf numFmtId="2" fontId="2" fillId="17" borderId="0" applyAlignment="1" pivotButton="0" quotePrefix="0" xfId="1">
      <alignment horizontal="center" vertical="center" wrapText="1"/>
    </xf>
    <xf numFmtId="169" fontId="0" fillId="19" borderId="4" applyAlignment="1" pivotButton="0" quotePrefix="0" xfId="4">
      <alignment horizontal="right" vertical="center"/>
    </xf>
    <xf numFmtId="166" fontId="0" fillId="19" borderId="4" applyAlignment="1" pivotButton="0" quotePrefix="0" xfId="4">
      <alignment horizontal="right" vertical="center"/>
    </xf>
    <xf numFmtId="10" fontId="0" fillId="19" borderId="4" applyAlignment="1" pivotButton="0" quotePrefix="0" xfId="2">
      <alignment horizontal="right" vertical="center"/>
    </xf>
    <xf numFmtId="9" fontId="0" fillId="19" borderId="4" applyAlignment="1" pivotButton="0" quotePrefix="0" xfId="2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40" fontId="3" fillId="0" borderId="0" applyAlignment="1" pivotButton="0" quotePrefix="0" xfId="0">
      <alignment horizontal="right" vertical="center" wrapText="1"/>
    </xf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0" pivotButton="0" quotePrefix="0" xfId="2"/>
    <xf numFmtId="171" fontId="0" fillId="0" borderId="1" pivotButton="0" quotePrefix="0" xfId="2"/>
    <xf numFmtId="10" fontId="9" fillId="5" borderId="0" applyAlignment="1" pivotButton="0" quotePrefix="0" xfId="1">
      <alignment horizontal="center" vertical="center"/>
    </xf>
    <xf numFmtId="10" fontId="0" fillId="5" borderId="1" pivotButton="0" quotePrefix="0" xfId="2"/>
    <xf numFmtId="10" fontId="0" fillId="5" borderId="3" pivotButton="0" quotePrefix="0" xfId="2"/>
    <xf numFmtId="10" fontId="9" fillId="5" borderId="0" pivotButton="0" quotePrefix="0" xfId="1"/>
    <xf numFmtId="0" fontId="3" fillId="0" borderId="0" applyAlignment="1" pivotButton="0" quotePrefix="0" xfId="0">
      <alignment horizontal="right" vertical="center" wrapText="1"/>
    </xf>
    <xf numFmtId="167" fontId="2" fillId="0" borderId="0" applyAlignment="1" pivotButton="0" quotePrefix="0" xfId="0">
      <alignment horizontal="center"/>
    </xf>
    <xf numFmtId="169" fontId="3" fillId="0" borderId="0" applyAlignment="1" pivotButton="0" quotePrefix="0" xfId="1">
      <alignment horizontal="right"/>
    </xf>
    <xf numFmtId="0" fontId="12" fillId="0" borderId="0" pivotButton="0" quotePrefix="0" xfId="5"/>
    <xf numFmtId="4" fontId="12" fillId="0" borderId="0" pivotButton="0" quotePrefix="0" xfId="5"/>
    <xf numFmtId="165" fontId="2" fillId="13" borderId="0" applyAlignment="1" pivotButton="0" quotePrefix="0" xfId="1">
      <alignment horizontal="center" vertical="center" wrapText="1"/>
    </xf>
    <xf numFmtId="40" fontId="2" fillId="13" borderId="0" applyAlignment="1" pivotButton="0" quotePrefix="0" xfId="1">
      <alignment horizontal="center" vertical="center" wrapText="1"/>
    </xf>
    <xf numFmtId="40" fontId="0" fillId="20" borderId="0" applyAlignment="1" pivotButton="0" quotePrefix="0" xfId="1">
      <alignment horizontal="center" vertical="center" wrapText="1"/>
    </xf>
    <xf numFmtId="40" fontId="3" fillId="21" borderId="1" applyAlignment="1" pivotButton="0" quotePrefix="0" xfId="1">
      <alignment horizontal="center" vertical="center" wrapText="1"/>
    </xf>
    <xf numFmtId="166" fontId="0" fillId="21" borderId="1" pivotButton="0" quotePrefix="0" xfId="1"/>
    <xf numFmtId="0" fontId="2" fillId="13" borderId="4" applyAlignment="1" pivotButton="0" quotePrefix="0" xfId="0">
      <alignment horizontal="center" vertical="center" wrapText="1"/>
    </xf>
    <xf numFmtId="0" fontId="2" fillId="14" borderId="5" applyAlignment="1" pivotButton="0" quotePrefix="0" xfId="0">
      <alignment horizontal="center" vertical="center" wrapText="1"/>
    </xf>
    <xf numFmtId="0" fontId="2" fillId="14" borderId="6" applyAlignment="1" pivotButton="0" quotePrefix="0" xfId="0">
      <alignment horizontal="center" vertical="center" wrapText="1"/>
    </xf>
    <xf numFmtId="0" fontId="2" fillId="14" borderId="7" applyAlignment="1" pivotButton="0" quotePrefix="0" xfId="0">
      <alignment horizontal="center" vertical="center" wrapText="1"/>
    </xf>
    <xf numFmtId="40" fontId="3" fillId="6" borderId="3" applyAlignment="1" pivotButton="0" quotePrefix="0" xfId="1">
      <alignment horizontal="center"/>
    </xf>
    <xf numFmtId="40" fontId="3" fillId="6" borderId="10" applyAlignment="1" pivotButton="0" quotePrefix="0" xfId="1">
      <alignment horizontal="center"/>
    </xf>
    <xf numFmtId="40" fontId="3" fillId="6" borderId="11" applyAlignment="1" pivotButton="0" quotePrefix="0" xfId="1">
      <alignment horizontal="center"/>
    </xf>
    <xf numFmtId="40" fontId="3" fillId="7" borderId="8" applyAlignment="1" pivotButton="0" quotePrefix="0" xfId="1">
      <alignment horizontal="center"/>
    </xf>
    <xf numFmtId="40" fontId="3" fillId="7" borderId="9" applyAlignment="1" pivotButton="0" quotePrefix="0" xfId="1">
      <alignment horizontal="center"/>
    </xf>
    <xf numFmtId="40" fontId="3" fillId="6" borderId="1" applyAlignment="1" pivotButton="0" quotePrefix="0" xfId="1">
      <alignment horizontal="center"/>
    </xf>
    <xf numFmtId="40" fontId="3" fillId="7" borderId="1" applyAlignment="1" pivotButton="0" quotePrefix="0" xfId="1">
      <alignment horizontal="center"/>
    </xf>
    <xf numFmtId="40" fontId="3" fillId="3" borderId="1" applyAlignment="1" pivotButton="0" quotePrefix="0" xfId="1">
      <alignment horizontal="center"/>
    </xf>
    <xf numFmtId="40" fontId="4" fillId="11" borderId="0" applyAlignment="1" pivotButton="0" quotePrefix="0" xfId="1">
      <alignment horizontal="center"/>
    </xf>
    <xf numFmtId="40" fontId="4" fillId="12" borderId="0" applyAlignment="1" pivotButton="0" quotePrefix="0" xfId="1">
      <alignment horizontal="center"/>
    </xf>
    <xf numFmtId="40" fontId="3" fillId="10" borderId="8" applyAlignment="1" pivotButton="0" quotePrefix="0" xfId="1">
      <alignment horizontal="center"/>
    </xf>
    <xf numFmtId="40" fontId="3" fillId="10" borderId="9" applyAlignment="1" pivotButton="0" quotePrefix="0" xfId="1">
      <alignment horizontal="center"/>
    </xf>
    <xf numFmtId="40" fontId="4" fillId="17" borderId="0" applyAlignment="1" pivotButton="0" quotePrefix="0" xfId="1">
      <alignment horizontal="center" vertical="center" wrapText="1"/>
    </xf>
    <xf numFmtId="4" fontId="2" fillId="2" borderId="0" pivotButton="0" quotePrefix="0" xfId="0"/>
    <xf numFmtId="0" fontId="2" fillId="2" borderId="0" pivotButton="0" quotePrefix="0" xfId="0"/>
    <xf numFmtId="169" fontId="13" fillId="5" borderId="0" pivotButton="0" quotePrefix="0" xfId="1"/>
    <xf numFmtId="169" fontId="8" fillId="5" borderId="4" applyAlignment="1" pivotButton="0" quotePrefix="0" xfId="1">
      <alignment horizontal="right" vertical="center"/>
    </xf>
    <xf numFmtId="0" fontId="14" fillId="0" borderId="0" pivotButton="0" quotePrefix="0" xfId="0"/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/>
    </xf>
    <xf numFmtId="172" fontId="14" fillId="0" borderId="0" applyAlignment="1" pivotButton="0" quotePrefix="0" xfId="0">
      <alignment horizontal="right" vertical="center" wrapText="1"/>
    </xf>
    <xf numFmtId="173" fontId="14" fillId="0" borderId="0" applyAlignment="1" pivotButton="0" quotePrefix="0" xfId="0">
      <alignment horizontal="right" vertical="center" wrapText="1"/>
    </xf>
    <xf numFmtId="40" fontId="14" fillId="0" borderId="0" applyAlignment="1" pivotButton="0" quotePrefix="0" xfId="0">
      <alignment horizontal="right" vertical="center" wrapText="1"/>
    </xf>
    <xf numFmtId="0" fontId="15" fillId="12" borderId="0" applyAlignment="1" pivotButton="0" quotePrefix="0" xfId="0">
      <alignment horizontal="center"/>
    </xf>
    <xf numFmtId="0" fontId="15" fillId="17" borderId="0" applyAlignment="1" pivotButton="0" quotePrefix="0" xfId="0">
      <alignment horizontal="center"/>
    </xf>
    <xf numFmtId="0" fontId="15" fillId="14" borderId="0" applyAlignment="1" pivotButton="0" quotePrefix="0" xfId="0">
      <alignment horizontal="center"/>
    </xf>
    <xf numFmtId="0" fontId="15" fillId="13" borderId="0" applyAlignment="1" pivotButton="0" quotePrefix="0" xfId="0">
      <alignment horizontal="center"/>
    </xf>
    <xf numFmtId="167" fontId="15" fillId="4" borderId="2" applyAlignment="1" pivotButton="0" quotePrefix="0" xfId="0">
      <alignment horizontal="center"/>
    </xf>
    <xf numFmtId="167" fontId="15" fillId="4" borderId="0" applyAlignment="1" pivotButton="0" quotePrefix="0" xfId="0">
      <alignment horizontal="center"/>
    </xf>
    <xf numFmtId="165" fontId="0" fillId="0" borderId="1" pivotButton="0" quotePrefix="0" xfId="1"/>
    <xf numFmtId="0" fontId="2" fillId="13" borderId="1" pivotButton="0" quotePrefix="0" xfId="0"/>
    <xf numFmtId="0" fontId="0" fillId="0" borderId="0" pivotButton="0" quotePrefix="0" xfId="0"/>
    <xf numFmtId="167" fontId="15" fillId="4" borderId="2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5" fontId="3" fillId="0" borderId="0" applyAlignment="1" pivotButton="0" quotePrefix="0" xfId="1">
      <alignment vertical="center"/>
    </xf>
    <xf numFmtId="165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2">
      <alignment horizontal="right"/>
    </xf>
    <xf numFmtId="173" fontId="14" fillId="0" borderId="0" applyAlignment="1" pivotButton="0" quotePrefix="0" xfId="0">
      <alignment horizontal="right" vertical="center" wrapText="1"/>
    </xf>
    <xf numFmtId="172" fontId="14" fillId="0" borderId="0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7" pivotButton="0" quotePrefix="0" xfId="0"/>
    <xf numFmtId="166" fontId="0" fillId="0" borderId="4" applyAlignment="1" pivotButton="0" quotePrefix="0" xfId="1">
      <alignment horizontal="right" vertical="center"/>
    </xf>
    <xf numFmtId="166" fontId="0" fillId="15" borderId="4" applyAlignment="1" pivotButton="0" quotePrefix="0" xfId="1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67" fontId="7" fillId="4" borderId="4" pivotButton="0" quotePrefix="0" xfId="4"/>
    <xf numFmtId="166" fontId="0" fillId="19" borderId="4" applyAlignment="1" pivotButton="0" quotePrefix="0" xfId="4">
      <alignment horizontal="right" vertical="center"/>
    </xf>
    <xf numFmtId="165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65" fontId="0" fillId="0" borderId="1" pivotButton="0" quotePrefix="0" xfId="1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165" fontId="2" fillId="9" borderId="1" applyAlignment="1" pivotButton="0" quotePrefix="0" xfId="1">
      <alignment horizontal="center" vertical="center" wrapText="1"/>
    </xf>
    <xf numFmtId="167" fontId="0" fillId="0" borderId="1" pivotButton="0" quotePrefix="0" xfId="1"/>
    <xf numFmtId="166" fontId="0" fillId="0" borderId="1" pivotButton="0" quotePrefix="0" xfId="1"/>
    <xf numFmtId="166" fontId="0" fillId="5" borderId="1" pivotButton="0" quotePrefix="0" xfId="1"/>
    <xf numFmtId="166" fontId="0" fillId="21" borderId="1" pivotButton="0" quotePrefix="0" xfId="1"/>
    <xf numFmtId="171" fontId="0" fillId="0" borderId="1" pivotButton="0" quotePrefix="0" xfId="0"/>
    <xf numFmtId="171" fontId="0" fillId="0" borderId="0" pivotButton="0" quotePrefix="0" xfId="0"/>
    <xf numFmtId="171" fontId="0" fillId="0" borderId="0" pivotButton="0" quotePrefix="0" xfId="2"/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1" pivotButton="0" quotePrefix="0" xfId="2"/>
    <xf numFmtId="164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165" fontId="2" fillId="13" borderId="0" applyAlignment="1" pivotButton="0" quotePrefix="0" xfId="1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</cellXfs>
  <cellStyles count="6">
    <cellStyle name="Normal" xfId="0" builtinId="0"/>
    <cellStyle name="Comma" xfId="1" builtinId="3"/>
    <cellStyle name="Percent" xfId="2" builtinId="5"/>
    <cellStyle name="Normal 2" xfId="3"/>
    <cellStyle name="Comma 2" xfId="4"/>
    <cellStyle name="Normal 3" xf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Temmuz%202026%20%20Veril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İYATLAR"/>
      <sheetName val="GÖP VERİLERİ"/>
      <sheetName val="GİP VERİLERİ"/>
    </sheetNames>
    <sheetDataSet>
      <sheetData sheetId="0">
        <row r="2">
          <cell r="A2">
            <v>46204</v>
          </cell>
          <cell r="B2" t="str">
            <v>00:00</v>
          </cell>
          <cell r="C2">
            <v>4090.67</v>
          </cell>
          <cell r="D2">
            <v>87.87</v>
          </cell>
          <cell r="E2">
            <v>4091</v>
          </cell>
          <cell r="F2">
            <v>3901.78</v>
          </cell>
          <cell r="G2" t="str">
            <v>Enerji Açığı</v>
          </cell>
        </row>
        <row r="3">
          <cell r="A3">
            <v>46204.041666666664</v>
          </cell>
          <cell r="B3" t="str">
            <v>01:00</v>
          </cell>
          <cell r="C3">
            <v>4000</v>
          </cell>
          <cell r="D3">
            <v>85.92</v>
          </cell>
          <cell r="E3">
            <v>4000</v>
          </cell>
          <cell r="F3">
            <v>3986.47</v>
          </cell>
          <cell r="G3" t="str">
            <v>Enerji Açığı</v>
          </cell>
        </row>
        <row r="4">
          <cell r="A4">
            <v>46204.083333333336</v>
          </cell>
          <cell r="B4" t="str">
            <v>02:00</v>
          </cell>
          <cell r="C4">
            <v>3575.03</v>
          </cell>
          <cell r="D4">
            <v>76.790000000000006</v>
          </cell>
          <cell r="E4">
            <v>3848</v>
          </cell>
          <cell r="F4">
            <v>3229.34</v>
          </cell>
          <cell r="G4" t="str">
            <v>Enerji Açığı</v>
          </cell>
        </row>
        <row r="5">
          <cell r="A5">
            <v>46204.125</v>
          </cell>
          <cell r="B5" t="str">
            <v>03:00</v>
          </cell>
          <cell r="C5">
            <v>3544.71</v>
          </cell>
          <cell r="D5">
            <v>76.14</v>
          </cell>
          <cell r="E5">
            <v>3800</v>
          </cell>
          <cell r="F5">
            <v>3506.53</v>
          </cell>
          <cell r="G5" t="str">
            <v>Enerji Açığı</v>
          </cell>
        </row>
        <row r="6">
          <cell r="A6">
            <v>46204.166666666664</v>
          </cell>
          <cell r="B6" t="str">
            <v>04:00</v>
          </cell>
          <cell r="C6">
            <v>3506.05</v>
          </cell>
          <cell r="D6">
            <v>75.31</v>
          </cell>
          <cell r="E6">
            <v>3600</v>
          </cell>
          <cell r="F6">
            <v>3554.59</v>
          </cell>
          <cell r="G6" t="str">
            <v>Enerji Açığı</v>
          </cell>
        </row>
        <row r="7">
          <cell r="A7">
            <v>46204.208333333336</v>
          </cell>
          <cell r="B7" t="str">
            <v>05:00</v>
          </cell>
          <cell r="C7">
            <v>3000</v>
          </cell>
          <cell r="D7">
            <v>64.44</v>
          </cell>
          <cell r="E7">
            <v>3450</v>
          </cell>
          <cell r="F7">
            <v>2641.52</v>
          </cell>
          <cell r="G7" t="str">
            <v>Enerji Açığı</v>
          </cell>
        </row>
        <row r="8">
          <cell r="A8">
            <v>46204.25</v>
          </cell>
          <cell r="B8" t="str">
            <v>06:00</v>
          </cell>
          <cell r="C8">
            <v>1899.99</v>
          </cell>
          <cell r="D8">
            <v>40.81</v>
          </cell>
          <cell r="E8">
            <v>1909.99</v>
          </cell>
          <cell r="F8">
            <v>2675.81</v>
          </cell>
          <cell r="G8" t="str">
            <v>Enerji Açığı</v>
          </cell>
        </row>
        <row r="9">
          <cell r="A9">
            <v>46204.291666666664</v>
          </cell>
          <cell r="B9" t="str">
            <v>07:00</v>
          </cell>
          <cell r="C9">
            <v>370.01</v>
          </cell>
          <cell r="D9">
            <v>7.95</v>
          </cell>
          <cell r="E9">
            <v>370</v>
          </cell>
          <cell r="F9">
            <v>417.17</v>
          </cell>
          <cell r="G9" t="str">
            <v>Enerji Fazlası</v>
          </cell>
        </row>
        <row r="10">
          <cell r="A10">
            <v>46204.333333333336</v>
          </cell>
          <cell r="B10" t="str">
            <v>08:00</v>
          </cell>
          <cell r="C10">
            <v>2800</v>
          </cell>
          <cell r="D10">
            <v>60.14</v>
          </cell>
          <cell r="E10">
            <v>699.99</v>
          </cell>
          <cell r="F10">
            <v>2955.48</v>
          </cell>
          <cell r="G10" t="str">
            <v>Enerji Fazlası</v>
          </cell>
        </row>
        <row r="11">
          <cell r="A11">
            <v>46204.375</v>
          </cell>
          <cell r="B11" t="str">
            <v>09:00</v>
          </cell>
          <cell r="C11">
            <v>3489.99</v>
          </cell>
          <cell r="D11">
            <v>74.959999999999994</v>
          </cell>
          <cell r="E11">
            <v>3489.99</v>
          </cell>
          <cell r="F11">
            <v>3318.99</v>
          </cell>
          <cell r="G11" t="str">
            <v>Enerji Açığı</v>
          </cell>
        </row>
        <row r="12">
          <cell r="A12">
            <v>46204.416666666664</v>
          </cell>
          <cell r="B12" t="str">
            <v>10:00</v>
          </cell>
          <cell r="C12">
            <v>2499.67</v>
          </cell>
          <cell r="D12">
            <v>53.69</v>
          </cell>
          <cell r="E12">
            <v>400</v>
          </cell>
          <cell r="F12">
            <v>2435.48</v>
          </cell>
          <cell r="G12" t="str">
            <v>Enerji Fazlası</v>
          </cell>
        </row>
        <row r="13">
          <cell r="A13">
            <v>46204.458333333336</v>
          </cell>
          <cell r="B13" t="str">
            <v>11:00</v>
          </cell>
          <cell r="C13">
            <v>2429.0100000000002</v>
          </cell>
          <cell r="D13">
            <v>52.17</v>
          </cell>
          <cell r="E13">
            <v>500</v>
          </cell>
          <cell r="F13">
            <v>1772.46</v>
          </cell>
          <cell r="G13" t="str">
            <v>Enerji Fazlası</v>
          </cell>
        </row>
        <row r="14">
          <cell r="A14">
            <v>46204.5</v>
          </cell>
          <cell r="B14" t="str">
            <v>12:00</v>
          </cell>
          <cell r="C14">
            <v>1499.97</v>
          </cell>
          <cell r="D14">
            <v>32.22</v>
          </cell>
          <cell r="E14">
            <v>450</v>
          </cell>
          <cell r="F14">
            <v>1164.53</v>
          </cell>
          <cell r="G14" t="str">
            <v>Enerji Fazlası</v>
          </cell>
        </row>
        <row r="15">
          <cell r="A15">
            <v>46204.541666666664</v>
          </cell>
          <cell r="B15" t="str">
            <v>13:00</v>
          </cell>
          <cell r="C15">
            <v>2429.0100000000002</v>
          </cell>
          <cell r="D15">
            <v>52.17</v>
          </cell>
          <cell r="E15">
            <v>400</v>
          </cell>
          <cell r="F15">
            <v>2194.48</v>
          </cell>
          <cell r="G15" t="str">
            <v>Enerji Fazlası</v>
          </cell>
        </row>
        <row r="16">
          <cell r="A16">
            <v>46204.583333333336</v>
          </cell>
          <cell r="B16" t="str">
            <v>14:00</v>
          </cell>
          <cell r="C16">
            <v>3500.89</v>
          </cell>
          <cell r="D16">
            <v>75.2</v>
          </cell>
          <cell r="E16">
            <v>1000</v>
          </cell>
          <cell r="F16">
            <v>3422.99</v>
          </cell>
          <cell r="G16" t="str">
            <v>Enerji Fazlası</v>
          </cell>
        </row>
        <row r="17">
          <cell r="A17">
            <v>46204.625</v>
          </cell>
          <cell r="B17" t="str">
            <v>15:00</v>
          </cell>
          <cell r="C17">
            <v>3475.57</v>
          </cell>
          <cell r="D17">
            <v>74.650000000000006</v>
          </cell>
          <cell r="E17">
            <v>500</v>
          </cell>
          <cell r="F17">
            <v>3124.79</v>
          </cell>
          <cell r="G17" t="str">
            <v>Enerji Fazlası</v>
          </cell>
        </row>
        <row r="18">
          <cell r="A18">
            <v>46204.666666666664</v>
          </cell>
          <cell r="B18" t="str">
            <v>16:00</v>
          </cell>
          <cell r="C18">
            <v>3995</v>
          </cell>
          <cell r="D18">
            <v>85.81</v>
          </cell>
          <cell r="E18">
            <v>3995</v>
          </cell>
          <cell r="F18">
            <v>3540.8</v>
          </cell>
          <cell r="G18" t="str">
            <v>Enerji Açığı</v>
          </cell>
        </row>
        <row r="19">
          <cell r="A19">
            <v>46204.708333333336</v>
          </cell>
          <cell r="B19" t="str">
            <v>17:00</v>
          </cell>
          <cell r="C19">
            <v>4400.01</v>
          </cell>
          <cell r="D19">
            <v>94.51</v>
          </cell>
          <cell r="E19">
            <v>4400.01</v>
          </cell>
          <cell r="F19">
            <v>4019.12</v>
          </cell>
          <cell r="G19" t="str">
            <v>Enerji Açığı</v>
          </cell>
        </row>
        <row r="20">
          <cell r="A20">
            <v>46204.75</v>
          </cell>
          <cell r="B20" t="str">
            <v>18:00</v>
          </cell>
          <cell r="C20">
            <v>4200</v>
          </cell>
          <cell r="D20">
            <v>90.22</v>
          </cell>
          <cell r="E20">
            <v>4200</v>
          </cell>
          <cell r="F20">
            <v>3865.12</v>
          </cell>
          <cell r="G20" t="str">
            <v>Enerji Açığı</v>
          </cell>
        </row>
        <row r="21">
          <cell r="A21">
            <v>46204.791666666664</v>
          </cell>
          <cell r="B21" t="str">
            <v>19:00</v>
          </cell>
          <cell r="C21">
            <v>3800</v>
          </cell>
          <cell r="D21">
            <v>81.62</v>
          </cell>
          <cell r="E21">
            <v>4320</v>
          </cell>
          <cell r="F21">
            <v>3933.95</v>
          </cell>
          <cell r="G21" t="str">
            <v>Enerji Açığı</v>
          </cell>
        </row>
        <row r="22">
          <cell r="A22">
            <v>46204.833333333336</v>
          </cell>
          <cell r="B22" t="str">
            <v>20:00</v>
          </cell>
          <cell r="C22">
            <v>4400</v>
          </cell>
          <cell r="D22">
            <v>94.51</v>
          </cell>
          <cell r="E22">
            <v>4400</v>
          </cell>
          <cell r="F22">
            <v>4277.88</v>
          </cell>
          <cell r="G22" t="str">
            <v>Enerji Açığı</v>
          </cell>
        </row>
        <row r="23">
          <cell r="A23">
            <v>46204.875</v>
          </cell>
          <cell r="B23" t="str">
            <v>21:00</v>
          </cell>
          <cell r="C23">
            <v>4300</v>
          </cell>
          <cell r="D23">
            <v>92.36</v>
          </cell>
          <cell r="E23">
            <v>4450</v>
          </cell>
          <cell r="F23">
            <v>4202.66</v>
          </cell>
          <cell r="G23" t="str">
            <v>Enerji Açığı</v>
          </cell>
        </row>
        <row r="24">
          <cell r="A24">
            <v>46204.916666666664</v>
          </cell>
          <cell r="B24" t="str">
            <v>22:00</v>
          </cell>
          <cell r="C24">
            <v>3700.63</v>
          </cell>
          <cell r="D24">
            <v>79.489999999999995</v>
          </cell>
          <cell r="E24">
            <v>4198</v>
          </cell>
          <cell r="F24">
            <v>3627.23</v>
          </cell>
          <cell r="G24" t="str">
            <v>Enerji Açığı</v>
          </cell>
        </row>
        <row r="25">
          <cell r="A25">
            <v>46204.958333333336</v>
          </cell>
          <cell r="B25" t="str">
            <v>23:00</v>
          </cell>
          <cell r="C25">
            <v>4000</v>
          </cell>
          <cell r="D25">
            <v>85.92</v>
          </cell>
          <cell r="E25">
            <v>4180</v>
          </cell>
          <cell r="F25">
            <v>3582.93</v>
          </cell>
          <cell r="G25" t="str">
            <v>Enerji Açığı</v>
          </cell>
        </row>
        <row r="26">
          <cell r="A26">
            <v>46205</v>
          </cell>
          <cell r="B26" t="str">
            <v>00:00</v>
          </cell>
          <cell r="C26">
            <v>3743</v>
          </cell>
          <cell r="D26">
            <v>80.37</v>
          </cell>
          <cell r="E26">
            <v>3800</v>
          </cell>
          <cell r="F26">
            <v>3866.2</v>
          </cell>
          <cell r="G26" t="str">
            <v>Enerji Açığı</v>
          </cell>
        </row>
        <row r="27">
          <cell r="A27">
            <v>46205.041666666664</v>
          </cell>
          <cell r="B27" t="str">
            <v>01:00</v>
          </cell>
          <cell r="C27">
            <v>3200</v>
          </cell>
          <cell r="D27">
            <v>68.709999999999994</v>
          </cell>
          <cell r="E27">
            <v>3450</v>
          </cell>
          <cell r="F27">
            <v>3389.41</v>
          </cell>
          <cell r="G27" t="str">
            <v>Enerji Açığı</v>
          </cell>
        </row>
        <row r="28">
          <cell r="A28">
            <v>46205.083333333336</v>
          </cell>
          <cell r="B28" t="str">
            <v>02:00</v>
          </cell>
          <cell r="C28">
            <v>3300</v>
          </cell>
          <cell r="D28">
            <v>70.849999999999994</v>
          </cell>
          <cell r="E28">
            <v>3500</v>
          </cell>
          <cell r="F28">
            <v>3423.13</v>
          </cell>
          <cell r="G28" t="str">
            <v>Enerji Açığı</v>
          </cell>
        </row>
        <row r="29">
          <cell r="A29">
            <v>46205.125</v>
          </cell>
          <cell r="B29" t="str">
            <v>03:00</v>
          </cell>
          <cell r="C29">
            <v>3269.01</v>
          </cell>
          <cell r="D29">
            <v>70.19</v>
          </cell>
          <cell r="E29">
            <v>3450</v>
          </cell>
          <cell r="F29">
            <v>3443.48</v>
          </cell>
          <cell r="G29" t="str">
            <v>Enerji Açığı</v>
          </cell>
        </row>
        <row r="30">
          <cell r="A30">
            <v>46205.166666666664</v>
          </cell>
          <cell r="B30" t="str">
            <v>04:00</v>
          </cell>
          <cell r="C30">
            <v>3999.99</v>
          </cell>
          <cell r="D30">
            <v>85.88</v>
          </cell>
          <cell r="E30">
            <v>3999.99</v>
          </cell>
          <cell r="F30">
            <v>4231.7700000000004</v>
          </cell>
          <cell r="G30" t="str">
            <v>Enerji Açığı</v>
          </cell>
        </row>
        <row r="31">
          <cell r="A31">
            <v>46205.208333333336</v>
          </cell>
          <cell r="B31" t="str">
            <v>05:00</v>
          </cell>
          <cell r="C31">
            <v>3999.99</v>
          </cell>
          <cell r="D31">
            <v>85.88</v>
          </cell>
          <cell r="E31">
            <v>3999.99</v>
          </cell>
          <cell r="F31">
            <v>4224.9399999999996</v>
          </cell>
          <cell r="G31" t="str">
            <v>Enerji Fazlası</v>
          </cell>
        </row>
        <row r="32">
          <cell r="A32">
            <v>46205.25</v>
          </cell>
          <cell r="B32" t="str">
            <v>06:00</v>
          </cell>
          <cell r="C32">
            <v>3488.22</v>
          </cell>
          <cell r="D32">
            <v>74.900000000000006</v>
          </cell>
          <cell r="E32">
            <v>1834</v>
          </cell>
          <cell r="F32">
            <v>3562.07</v>
          </cell>
          <cell r="G32" t="str">
            <v>Enerji Fazlası</v>
          </cell>
        </row>
        <row r="33">
          <cell r="A33">
            <v>46205.291666666664</v>
          </cell>
          <cell r="B33" t="str">
            <v>07:00</v>
          </cell>
          <cell r="C33">
            <v>1799.97</v>
          </cell>
          <cell r="D33">
            <v>38.65</v>
          </cell>
          <cell r="E33">
            <v>1000</v>
          </cell>
          <cell r="F33">
            <v>1812.87</v>
          </cell>
          <cell r="G33" t="str">
            <v>Enerji Fazlası</v>
          </cell>
        </row>
        <row r="34">
          <cell r="A34">
            <v>46205.333333333336</v>
          </cell>
          <cell r="B34" t="str">
            <v>08:00</v>
          </cell>
          <cell r="C34">
            <v>3680</v>
          </cell>
          <cell r="D34">
            <v>79.010000000000005</v>
          </cell>
          <cell r="E34">
            <v>1001</v>
          </cell>
          <cell r="F34">
            <v>3809.29</v>
          </cell>
          <cell r="G34" t="str">
            <v>Enerji Fazlası</v>
          </cell>
        </row>
        <row r="35">
          <cell r="A35">
            <v>46205.375</v>
          </cell>
          <cell r="B35" t="str">
            <v>09:00</v>
          </cell>
          <cell r="C35">
            <v>3499.99</v>
          </cell>
          <cell r="D35">
            <v>75.150000000000006</v>
          </cell>
          <cell r="E35">
            <v>4048</v>
          </cell>
          <cell r="F35">
            <v>3646.04</v>
          </cell>
          <cell r="G35" t="str">
            <v>Enerji Açığı</v>
          </cell>
        </row>
        <row r="36">
          <cell r="A36">
            <v>46205.416666666664</v>
          </cell>
          <cell r="B36" t="str">
            <v>10:00</v>
          </cell>
          <cell r="C36">
            <v>2699.99</v>
          </cell>
          <cell r="D36">
            <v>57.97</v>
          </cell>
          <cell r="E36">
            <v>4090</v>
          </cell>
          <cell r="F36">
            <v>2815.86</v>
          </cell>
          <cell r="G36" t="str">
            <v>Enerji Açığı</v>
          </cell>
        </row>
        <row r="37">
          <cell r="A37">
            <v>46205.458333333336</v>
          </cell>
          <cell r="B37" t="str">
            <v>11:00</v>
          </cell>
          <cell r="C37">
            <v>2999.01</v>
          </cell>
          <cell r="D37">
            <v>64.39</v>
          </cell>
          <cell r="E37">
            <v>4048</v>
          </cell>
          <cell r="F37">
            <v>3174.79</v>
          </cell>
          <cell r="G37" t="str">
            <v>Enerji Açığı</v>
          </cell>
        </row>
        <row r="38">
          <cell r="A38">
            <v>46205.5</v>
          </cell>
          <cell r="B38" t="str">
            <v>12:00</v>
          </cell>
          <cell r="C38">
            <v>1499.98</v>
          </cell>
          <cell r="D38">
            <v>32.21</v>
          </cell>
          <cell r="E38">
            <v>3550</v>
          </cell>
          <cell r="F38">
            <v>1970.26</v>
          </cell>
          <cell r="G38" t="str">
            <v>Enerji Açığı</v>
          </cell>
        </row>
        <row r="39">
          <cell r="A39">
            <v>46205.541666666664</v>
          </cell>
          <cell r="B39" t="str">
            <v>13:00</v>
          </cell>
          <cell r="C39">
            <v>2997</v>
          </cell>
          <cell r="D39">
            <v>64.349999999999994</v>
          </cell>
          <cell r="E39">
            <v>3500</v>
          </cell>
          <cell r="F39">
            <v>3522.69</v>
          </cell>
          <cell r="G39" t="str">
            <v>Enerji Açığı</v>
          </cell>
        </row>
        <row r="40">
          <cell r="A40">
            <v>46205.583333333336</v>
          </cell>
          <cell r="B40" t="str">
            <v>14:00</v>
          </cell>
          <cell r="C40">
            <v>2997.01</v>
          </cell>
          <cell r="D40">
            <v>64.349999999999994</v>
          </cell>
          <cell r="E40">
            <v>3500</v>
          </cell>
          <cell r="F40">
            <v>3524.87</v>
          </cell>
          <cell r="G40" t="str">
            <v>Enerji Açığı</v>
          </cell>
        </row>
        <row r="41">
          <cell r="A41">
            <v>46205.625</v>
          </cell>
          <cell r="B41" t="str">
            <v>15:00</v>
          </cell>
          <cell r="C41">
            <v>2007</v>
          </cell>
          <cell r="D41">
            <v>43.09</v>
          </cell>
          <cell r="E41">
            <v>3450</v>
          </cell>
          <cell r="F41">
            <v>2394.29</v>
          </cell>
          <cell r="G41" t="str">
            <v>Enerji Açığı</v>
          </cell>
        </row>
        <row r="42">
          <cell r="A42">
            <v>46205.666666666664</v>
          </cell>
          <cell r="B42" t="str">
            <v>16:00</v>
          </cell>
          <cell r="C42">
            <v>2537.9899999999998</v>
          </cell>
          <cell r="D42">
            <v>54.49</v>
          </cell>
          <cell r="E42">
            <v>3600</v>
          </cell>
          <cell r="F42">
            <v>2900.52</v>
          </cell>
          <cell r="G42" t="str">
            <v>Enerji Açığı</v>
          </cell>
        </row>
        <row r="43">
          <cell r="A43">
            <v>46205.708333333336</v>
          </cell>
          <cell r="B43" t="str">
            <v>17:00</v>
          </cell>
          <cell r="C43">
            <v>3803.12</v>
          </cell>
          <cell r="D43">
            <v>81.66</v>
          </cell>
          <cell r="E43">
            <v>4180</v>
          </cell>
          <cell r="F43">
            <v>3813.26</v>
          </cell>
          <cell r="G43" t="str">
            <v>Enerji Açığı</v>
          </cell>
        </row>
        <row r="44">
          <cell r="A44">
            <v>46205.75</v>
          </cell>
          <cell r="B44" t="str">
            <v>18:00</v>
          </cell>
          <cell r="C44">
            <v>2925</v>
          </cell>
          <cell r="D44">
            <v>62.8</v>
          </cell>
          <cell r="E44">
            <v>4180</v>
          </cell>
          <cell r="F44">
            <v>3347.78</v>
          </cell>
          <cell r="G44" t="str">
            <v>Enerji Açığı</v>
          </cell>
        </row>
        <row r="45">
          <cell r="A45">
            <v>46205.791666666664</v>
          </cell>
          <cell r="B45" t="str">
            <v>19:00</v>
          </cell>
          <cell r="C45">
            <v>4237.01</v>
          </cell>
          <cell r="D45">
            <v>90.97</v>
          </cell>
          <cell r="E45">
            <v>4320</v>
          </cell>
          <cell r="F45">
            <v>4223.8999999999996</v>
          </cell>
          <cell r="G45" t="str">
            <v>Enerji Açığı</v>
          </cell>
        </row>
        <row r="46">
          <cell r="A46">
            <v>46205.833333333336</v>
          </cell>
          <cell r="B46" t="str">
            <v>20:00</v>
          </cell>
          <cell r="C46">
            <v>4500</v>
          </cell>
          <cell r="D46">
            <v>96.62</v>
          </cell>
          <cell r="E46">
            <v>4500</v>
          </cell>
          <cell r="F46">
            <v>4483.6899999999996</v>
          </cell>
          <cell r="G46" t="str">
            <v>Enerji Açığı</v>
          </cell>
        </row>
        <row r="47">
          <cell r="A47">
            <v>46205.875</v>
          </cell>
          <cell r="B47" t="str">
            <v>21:00</v>
          </cell>
          <cell r="C47">
            <v>4500</v>
          </cell>
          <cell r="D47">
            <v>96.62</v>
          </cell>
          <cell r="E47">
            <v>2555</v>
          </cell>
          <cell r="F47">
            <v>4317.25</v>
          </cell>
          <cell r="G47" t="str">
            <v>Enerji Fazlası</v>
          </cell>
        </row>
        <row r="48">
          <cell r="A48">
            <v>46205.916666666664</v>
          </cell>
          <cell r="B48" t="str">
            <v>22:00</v>
          </cell>
          <cell r="C48">
            <v>4000.01</v>
          </cell>
          <cell r="D48">
            <v>85.88</v>
          </cell>
          <cell r="E48">
            <v>4048</v>
          </cell>
          <cell r="F48">
            <v>3941.25</v>
          </cell>
          <cell r="G48" t="str">
            <v>Enerji Açığı</v>
          </cell>
        </row>
        <row r="49">
          <cell r="A49">
            <v>46205.958333333336</v>
          </cell>
          <cell r="B49" t="str">
            <v>23:00</v>
          </cell>
          <cell r="C49">
            <v>3499.4</v>
          </cell>
          <cell r="D49">
            <v>75.14</v>
          </cell>
          <cell r="E49">
            <v>3499.4</v>
          </cell>
          <cell r="F49">
            <v>3256.81</v>
          </cell>
          <cell r="G49" t="str">
            <v>Enerji Açığı</v>
          </cell>
        </row>
        <row r="50">
          <cell r="A50">
            <v>46206</v>
          </cell>
          <cell r="B50" t="str">
            <v>00:00</v>
          </cell>
          <cell r="C50">
            <v>3500.99</v>
          </cell>
          <cell r="D50">
            <v>75.150000000000006</v>
          </cell>
          <cell r="E50">
            <v>3600</v>
          </cell>
          <cell r="F50">
            <v>3407.05</v>
          </cell>
          <cell r="G50" t="str">
            <v>Enerji Açığı</v>
          </cell>
        </row>
        <row r="51">
          <cell r="A51">
            <v>46206.041666666664</v>
          </cell>
          <cell r="B51" t="str">
            <v>01:00</v>
          </cell>
          <cell r="C51">
            <v>3000</v>
          </cell>
          <cell r="D51">
            <v>64.400000000000006</v>
          </cell>
          <cell r="E51">
            <v>3101</v>
          </cell>
          <cell r="F51">
            <v>3123.55</v>
          </cell>
          <cell r="G51" t="str">
            <v>Enerji Açığı</v>
          </cell>
        </row>
        <row r="52">
          <cell r="A52">
            <v>46206.083333333336</v>
          </cell>
          <cell r="B52" t="str">
            <v>02:00</v>
          </cell>
          <cell r="C52">
            <v>3499.99</v>
          </cell>
          <cell r="D52">
            <v>75.13</v>
          </cell>
          <cell r="E52">
            <v>3800</v>
          </cell>
          <cell r="F52">
            <v>3584.52</v>
          </cell>
          <cell r="G52" t="str">
            <v>Enerji Açığı</v>
          </cell>
        </row>
        <row r="53">
          <cell r="A53">
            <v>46206.125</v>
          </cell>
          <cell r="B53" t="str">
            <v>03:00</v>
          </cell>
          <cell r="C53">
            <v>3500</v>
          </cell>
          <cell r="D53">
            <v>75.13</v>
          </cell>
          <cell r="E53">
            <v>2222</v>
          </cell>
          <cell r="F53">
            <v>3115.75</v>
          </cell>
          <cell r="G53" t="str">
            <v>Enerji Fazlası</v>
          </cell>
        </row>
        <row r="54">
          <cell r="A54">
            <v>46206.166666666664</v>
          </cell>
          <cell r="B54" t="str">
            <v>04:00</v>
          </cell>
          <cell r="C54">
            <v>4090.79</v>
          </cell>
          <cell r="D54">
            <v>87.81</v>
          </cell>
          <cell r="E54">
            <v>1500</v>
          </cell>
          <cell r="F54">
            <v>3896.97</v>
          </cell>
          <cell r="G54" t="str">
            <v>Enerji Fazlası</v>
          </cell>
        </row>
        <row r="55">
          <cell r="A55">
            <v>46206.208333333336</v>
          </cell>
          <cell r="B55" t="str">
            <v>05:00</v>
          </cell>
          <cell r="C55">
            <v>3600</v>
          </cell>
          <cell r="D55">
            <v>77.28</v>
          </cell>
          <cell r="E55">
            <v>2001</v>
          </cell>
          <cell r="F55">
            <v>3156.57</v>
          </cell>
          <cell r="G55" t="str">
            <v>Enerji Fazlası</v>
          </cell>
        </row>
        <row r="56">
          <cell r="A56">
            <v>46206.25</v>
          </cell>
          <cell r="B56" t="str">
            <v>06:00</v>
          </cell>
          <cell r="C56">
            <v>2450.9899999999998</v>
          </cell>
          <cell r="D56">
            <v>52.61</v>
          </cell>
          <cell r="E56">
            <v>2302.9899999999998</v>
          </cell>
          <cell r="F56">
            <v>1602.82</v>
          </cell>
          <cell r="G56" t="str">
            <v>Enerji Fazlası</v>
          </cell>
        </row>
        <row r="57">
          <cell r="A57">
            <v>46206.291666666664</v>
          </cell>
          <cell r="B57" t="str">
            <v>07:00</v>
          </cell>
          <cell r="C57">
            <v>1799.98</v>
          </cell>
          <cell r="D57">
            <v>38.64</v>
          </cell>
          <cell r="E57">
            <v>1000</v>
          </cell>
          <cell r="F57">
            <v>1207.98</v>
          </cell>
          <cell r="G57" t="str">
            <v>Enerji Fazlası</v>
          </cell>
        </row>
        <row r="58">
          <cell r="A58">
            <v>46206.333333333336</v>
          </cell>
          <cell r="B58" t="str">
            <v>08:00</v>
          </cell>
          <cell r="C58">
            <v>3599.99</v>
          </cell>
          <cell r="D58">
            <v>77.28</v>
          </cell>
          <cell r="E58">
            <v>3800</v>
          </cell>
          <cell r="F58">
            <v>3137.25</v>
          </cell>
          <cell r="G58" t="str">
            <v>Enerji Açığı</v>
          </cell>
        </row>
        <row r="59">
          <cell r="A59">
            <v>46206.375</v>
          </cell>
          <cell r="B59" t="str">
            <v>09:00</v>
          </cell>
          <cell r="C59">
            <v>3499.99</v>
          </cell>
          <cell r="D59">
            <v>75.13</v>
          </cell>
          <cell r="E59">
            <v>3999.99</v>
          </cell>
          <cell r="F59">
            <v>3067.38</v>
          </cell>
          <cell r="G59" t="str">
            <v>Enerji Açığı</v>
          </cell>
        </row>
        <row r="60">
          <cell r="A60">
            <v>46206.416666666664</v>
          </cell>
          <cell r="B60" t="str">
            <v>10:00</v>
          </cell>
          <cell r="C60">
            <v>2537.9899999999998</v>
          </cell>
          <cell r="D60">
            <v>54.48</v>
          </cell>
          <cell r="E60">
            <v>3900</v>
          </cell>
          <cell r="F60">
            <v>2421.2399999999998</v>
          </cell>
          <cell r="G60" t="str">
            <v>Enerji Açığı</v>
          </cell>
        </row>
        <row r="61">
          <cell r="A61">
            <v>46206.458333333336</v>
          </cell>
          <cell r="B61" t="str">
            <v>11:00</v>
          </cell>
          <cell r="C61">
            <v>2250</v>
          </cell>
          <cell r="D61">
            <v>48.3</v>
          </cell>
          <cell r="E61">
            <v>3450</v>
          </cell>
          <cell r="F61">
            <v>2151.1999999999998</v>
          </cell>
          <cell r="G61" t="str">
            <v>Enerji Açığı</v>
          </cell>
        </row>
        <row r="62">
          <cell r="A62">
            <v>46206.5</v>
          </cell>
          <cell r="B62" t="str">
            <v>12:00</v>
          </cell>
          <cell r="C62">
            <v>1499.98</v>
          </cell>
          <cell r="D62">
            <v>32.200000000000003</v>
          </cell>
          <cell r="E62">
            <v>1000</v>
          </cell>
          <cell r="F62">
            <v>1324.84</v>
          </cell>
          <cell r="G62" t="str">
            <v>Enerji Fazlası</v>
          </cell>
        </row>
        <row r="63">
          <cell r="A63">
            <v>46206.541666666664</v>
          </cell>
          <cell r="B63" t="str">
            <v>13:00</v>
          </cell>
          <cell r="C63">
            <v>1897.17</v>
          </cell>
          <cell r="D63">
            <v>40.72</v>
          </cell>
          <cell r="E63">
            <v>499.99</v>
          </cell>
          <cell r="F63">
            <v>1682.15</v>
          </cell>
          <cell r="G63" t="str">
            <v>Enerji Fazlası</v>
          </cell>
        </row>
        <row r="64">
          <cell r="A64">
            <v>46206.583333333336</v>
          </cell>
          <cell r="B64" t="str">
            <v>14:00</v>
          </cell>
          <cell r="C64">
            <v>3549.05</v>
          </cell>
          <cell r="D64">
            <v>76.180000000000007</v>
          </cell>
          <cell r="E64">
            <v>3549.05</v>
          </cell>
          <cell r="F64">
            <v>3358.12</v>
          </cell>
          <cell r="G64" t="str">
            <v>Enerji Açığı</v>
          </cell>
        </row>
        <row r="65">
          <cell r="A65">
            <v>46206.625</v>
          </cell>
          <cell r="B65" t="str">
            <v>15:00</v>
          </cell>
          <cell r="C65">
            <v>3499.99</v>
          </cell>
          <cell r="D65">
            <v>75.13</v>
          </cell>
          <cell r="E65">
            <v>4000</v>
          </cell>
          <cell r="F65">
            <v>3136.37</v>
          </cell>
          <cell r="G65" t="str">
            <v>Enerji Açığı</v>
          </cell>
        </row>
        <row r="66">
          <cell r="A66">
            <v>46206.666666666664</v>
          </cell>
          <cell r="B66" t="str">
            <v>16:00</v>
          </cell>
          <cell r="C66">
            <v>3000.01</v>
          </cell>
          <cell r="D66">
            <v>64.400000000000006</v>
          </cell>
          <cell r="E66">
            <v>4050</v>
          </cell>
          <cell r="F66">
            <v>2771.93</v>
          </cell>
          <cell r="G66" t="str">
            <v>Enerji Açığı</v>
          </cell>
        </row>
        <row r="67">
          <cell r="A67">
            <v>46206.708333333336</v>
          </cell>
          <cell r="B67" t="str">
            <v>17:00</v>
          </cell>
          <cell r="C67">
            <v>3804.29</v>
          </cell>
          <cell r="D67">
            <v>81.66</v>
          </cell>
          <cell r="E67">
            <v>4099</v>
          </cell>
          <cell r="F67">
            <v>3846.62</v>
          </cell>
          <cell r="G67" t="str">
            <v>Enerji Açığı</v>
          </cell>
        </row>
        <row r="68">
          <cell r="A68">
            <v>46206.75</v>
          </cell>
          <cell r="B68" t="str">
            <v>18:00</v>
          </cell>
          <cell r="C68">
            <v>3389.89</v>
          </cell>
          <cell r="D68">
            <v>72.77</v>
          </cell>
          <cell r="E68">
            <v>4050</v>
          </cell>
          <cell r="F68">
            <v>3485.24</v>
          </cell>
          <cell r="G68" t="str">
            <v>Enerji Açığı</v>
          </cell>
        </row>
        <row r="69">
          <cell r="A69">
            <v>46206.791666666664</v>
          </cell>
          <cell r="B69" t="str">
            <v>19:00</v>
          </cell>
          <cell r="C69">
            <v>3852.62</v>
          </cell>
          <cell r="D69">
            <v>82.7</v>
          </cell>
          <cell r="E69">
            <v>4300</v>
          </cell>
          <cell r="F69">
            <v>3838.23</v>
          </cell>
          <cell r="G69" t="str">
            <v>Enerji Açığı</v>
          </cell>
        </row>
        <row r="70">
          <cell r="A70">
            <v>46206.833333333336</v>
          </cell>
          <cell r="B70" t="str">
            <v>20:00</v>
          </cell>
          <cell r="C70">
            <v>4235.01</v>
          </cell>
          <cell r="D70">
            <v>90.91</v>
          </cell>
          <cell r="E70">
            <v>4320</v>
          </cell>
          <cell r="F70">
            <v>4343.8599999999997</v>
          </cell>
          <cell r="G70" t="str">
            <v>Enerji Açığı</v>
          </cell>
        </row>
        <row r="71">
          <cell r="A71">
            <v>46206.875</v>
          </cell>
          <cell r="B71" t="str">
            <v>21:00</v>
          </cell>
          <cell r="C71">
            <v>4200</v>
          </cell>
          <cell r="D71">
            <v>90.15</v>
          </cell>
          <cell r="E71">
            <v>4320</v>
          </cell>
          <cell r="F71">
            <v>4299.01</v>
          </cell>
          <cell r="G71" t="str">
            <v>Enerji Açığı</v>
          </cell>
        </row>
        <row r="72">
          <cell r="A72">
            <v>46206.916666666664</v>
          </cell>
          <cell r="B72" t="str">
            <v>22:00</v>
          </cell>
          <cell r="C72">
            <v>3488.19</v>
          </cell>
          <cell r="D72">
            <v>74.88</v>
          </cell>
          <cell r="E72">
            <v>4250</v>
          </cell>
          <cell r="F72">
            <v>3703.99</v>
          </cell>
          <cell r="G72" t="str">
            <v>Enerji Açığı</v>
          </cell>
        </row>
        <row r="73">
          <cell r="A73">
            <v>46206.958333333336</v>
          </cell>
          <cell r="B73" t="str">
            <v>23:00</v>
          </cell>
          <cell r="C73">
            <v>2924.18</v>
          </cell>
          <cell r="D73">
            <v>62.77</v>
          </cell>
          <cell r="E73">
            <v>2934.18</v>
          </cell>
          <cell r="F73">
            <v>3257.28</v>
          </cell>
          <cell r="G73" t="str">
            <v>Enerji Açığı</v>
          </cell>
        </row>
        <row r="74">
          <cell r="A74">
            <v>46207</v>
          </cell>
          <cell r="B74" t="str">
            <v>00:00</v>
          </cell>
          <cell r="C74">
            <v>3400</v>
          </cell>
          <cell r="D74">
            <v>72.95</v>
          </cell>
          <cell r="E74">
            <v>3699</v>
          </cell>
          <cell r="F74">
            <v>3633.88</v>
          </cell>
          <cell r="G74" t="str">
            <v>Enerji Açığı</v>
          </cell>
        </row>
        <row r="75">
          <cell r="A75">
            <v>46207.041666666664</v>
          </cell>
          <cell r="B75" t="str">
            <v>01:00</v>
          </cell>
          <cell r="C75">
            <v>3677.01</v>
          </cell>
          <cell r="D75">
            <v>78.89</v>
          </cell>
          <cell r="E75">
            <v>3699</v>
          </cell>
          <cell r="F75">
            <v>4004.84</v>
          </cell>
          <cell r="G75" t="str">
            <v>Enerji Açığı</v>
          </cell>
        </row>
        <row r="76">
          <cell r="A76">
            <v>46207.083333333336</v>
          </cell>
          <cell r="B76" t="str">
            <v>02:00</v>
          </cell>
          <cell r="C76">
            <v>3400.01</v>
          </cell>
          <cell r="D76">
            <v>72.95</v>
          </cell>
          <cell r="E76">
            <v>3699</v>
          </cell>
          <cell r="F76">
            <v>3754.47</v>
          </cell>
          <cell r="G76" t="str">
            <v>Enerji Açığı</v>
          </cell>
        </row>
        <row r="77">
          <cell r="A77">
            <v>46207.125</v>
          </cell>
          <cell r="B77" t="str">
            <v>03:00</v>
          </cell>
          <cell r="C77">
            <v>3658</v>
          </cell>
          <cell r="D77">
            <v>78.48</v>
          </cell>
          <cell r="E77">
            <v>2723.66</v>
          </cell>
          <cell r="F77">
            <v>3758</v>
          </cell>
          <cell r="G77" t="str">
            <v>Enerji Fazlası</v>
          </cell>
        </row>
        <row r="78">
          <cell r="A78">
            <v>46207.166666666664</v>
          </cell>
          <cell r="B78" t="str">
            <v>04:00</v>
          </cell>
          <cell r="C78">
            <v>3677.01</v>
          </cell>
          <cell r="D78">
            <v>78.89</v>
          </cell>
          <cell r="E78">
            <v>2241</v>
          </cell>
          <cell r="F78">
            <v>3799.56</v>
          </cell>
          <cell r="G78" t="str">
            <v>Enerji Fazlası</v>
          </cell>
        </row>
        <row r="79">
          <cell r="A79">
            <v>46207.208333333336</v>
          </cell>
          <cell r="B79" t="str">
            <v>05:00</v>
          </cell>
          <cell r="C79">
            <v>3389.89</v>
          </cell>
          <cell r="D79">
            <v>72.73</v>
          </cell>
          <cell r="E79">
            <v>1389.89</v>
          </cell>
          <cell r="F79">
            <v>3638.63</v>
          </cell>
          <cell r="G79" t="str">
            <v>Enerji Fazlası</v>
          </cell>
        </row>
        <row r="80">
          <cell r="A80">
            <v>46207.25</v>
          </cell>
          <cell r="B80" t="str">
            <v>06:00</v>
          </cell>
          <cell r="C80">
            <v>2538</v>
          </cell>
          <cell r="D80">
            <v>54.45</v>
          </cell>
          <cell r="E80">
            <v>600</v>
          </cell>
          <cell r="F80">
            <v>2647.38</v>
          </cell>
          <cell r="G80" t="str">
            <v>Enerji Fazlası</v>
          </cell>
        </row>
        <row r="81">
          <cell r="A81">
            <v>46207.291666666664</v>
          </cell>
          <cell r="B81" t="str">
            <v>07:00</v>
          </cell>
          <cell r="C81">
            <v>1500</v>
          </cell>
          <cell r="D81">
            <v>32.18</v>
          </cell>
          <cell r="E81">
            <v>2500</v>
          </cell>
          <cell r="F81">
            <v>1590.72</v>
          </cell>
          <cell r="G81" t="str">
            <v>Enerji Açığı</v>
          </cell>
        </row>
        <row r="82">
          <cell r="A82">
            <v>46207.333333333336</v>
          </cell>
          <cell r="B82" t="str">
            <v>08:00</v>
          </cell>
          <cell r="C82">
            <v>1850</v>
          </cell>
          <cell r="D82">
            <v>39.69</v>
          </cell>
          <cell r="E82">
            <v>2277</v>
          </cell>
          <cell r="F82">
            <v>2266.6799999999998</v>
          </cell>
          <cell r="G82" t="str">
            <v>Enerji Açığı</v>
          </cell>
        </row>
        <row r="83">
          <cell r="A83">
            <v>46207.375</v>
          </cell>
          <cell r="B83" t="str">
            <v>09:00</v>
          </cell>
          <cell r="C83">
            <v>1764.01</v>
          </cell>
          <cell r="D83">
            <v>37.85</v>
          </cell>
          <cell r="E83">
            <v>2500.0100000000002</v>
          </cell>
          <cell r="F83">
            <v>2315.19</v>
          </cell>
          <cell r="G83" t="str">
            <v>Enerji Açığı</v>
          </cell>
        </row>
        <row r="84">
          <cell r="A84">
            <v>46207.416666666664</v>
          </cell>
          <cell r="B84" t="str">
            <v>10:00</v>
          </cell>
          <cell r="C84">
            <v>1499.97</v>
          </cell>
          <cell r="D84">
            <v>32.18</v>
          </cell>
          <cell r="E84">
            <v>2235.63</v>
          </cell>
          <cell r="F84">
            <v>1467.09</v>
          </cell>
          <cell r="G84" t="str">
            <v>Enerji Açığı</v>
          </cell>
        </row>
        <row r="85">
          <cell r="A85">
            <v>46207.458333333336</v>
          </cell>
          <cell r="B85" t="str">
            <v>11:00</v>
          </cell>
          <cell r="C85">
            <v>1499.97</v>
          </cell>
          <cell r="D85">
            <v>32.18</v>
          </cell>
          <cell r="E85">
            <v>2750</v>
          </cell>
          <cell r="F85">
            <v>1768</v>
          </cell>
          <cell r="G85" t="str">
            <v>Enerji Açığı</v>
          </cell>
        </row>
        <row r="86">
          <cell r="A86">
            <v>46207.5</v>
          </cell>
          <cell r="B86" t="str">
            <v>12:00</v>
          </cell>
          <cell r="C86">
            <v>700.01</v>
          </cell>
          <cell r="D86">
            <v>15.02</v>
          </cell>
          <cell r="E86">
            <v>2235.63</v>
          </cell>
          <cell r="F86">
            <v>1307.05</v>
          </cell>
          <cell r="G86" t="str">
            <v>Enerji Açığı</v>
          </cell>
        </row>
        <row r="87">
          <cell r="A87">
            <v>46207.541666666664</v>
          </cell>
          <cell r="B87" t="str">
            <v>13:00</v>
          </cell>
          <cell r="C87">
            <v>1499.97</v>
          </cell>
          <cell r="D87">
            <v>32.18</v>
          </cell>
          <cell r="E87">
            <v>2500</v>
          </cell>
          <cell r="F87">
            <v>2125.33</v>
          </cell>
          <cell r="G87" t="str">
            <v>Enerji Açığı</v>
          </cell>
        </row>
        <row r="88">
          <cell r="A88">
            <v>46207.583333333336</v>
          </cell>
          <cell r="B88" t="str">
            <v>14:00</v>
          </cell>
          <cell r="C88">
            <v>1696.72</v>
          </cell>
          <cell r="D88">
            <v>36.4</v>
          </cell>
          <cell r="E88">
            <v>3000</v>
          </cell>
          <cell r="F88">
            <v>2506.5500000000002</v>
          </cell>
          <cell r="G88" t="str">
            <v>Enerji Açığı</v>
          </cell>
        </row>
        <row r="89">
          <cell r="A89">
            <v>46207.625</v>
          </cell>
          <cell r="B89" t="str">
            <v>15:00</v>
          </cell>
          <cell r="C89">
            <v>1691.9</v>
          </cell>
          <cell r="D89">
            <v>36.299999999999997</v>
          </cell>
          <cell r="E89">
            <v>2750</v>
          </cell>
          <cell r="F89">
            <v>2667.68</v>
          </cell>
          <cell r="G89" t="str">
            <v>Enerji Açığı</v>
          </cell>
        </row>
        <row r="90">
          <cell r="A90">
            <v>46207.666666666664</v>
          </cell>
          <cell r="B90" t="str">
            <v>16:00</v>
          </cell>
          <cell r="C90">
            <v>1499.97</v>
          </cell>
          <cell r="D90">
            <v>32.18</v>
          </cell>
          <cell r="E90">
            <v>2032.39</v>
          </cell>
          <cell r="F90">
            <v>2467.92</v>
          </cell>
          <cell r="G90" t="str">
            <v>Enerji Açığı</v>
          </cell>
        </row>
        <row r="91">
          <cell r="A91">
            <v>46207.708333333336</v>
          </cell>
          <cell r="B91" t="str">
            <v>17:00</v>
          </cell>
          <cell r="C91">
            <v>1499.99</v>
          </cell>
          <cell r="D91">
            <v>32.18</v>
          </cell>
          <cell r="E91">
            <v>1874.99</v>
          </cell>
          <cell r="F91">
            <v>2548.17</v>
          </cell>
          <cell r="G91" t="str">
            <v>Enerji Açığı</v>
          </cell>
        </row>
        <row r="92">
          <cell r="A92">
            <v>46207.75</v>
          </cell>
          <cell r="B92" t="str">
            <v>18:00</v>
          </cell>
          <cell r="C92">
            <v>1499.98</v>
          </cell>
          <cell r="D92">
            <v>32.18</v>
          </cell>
          <cell r="E92">
            <v>3000</v>
          </cell>
          <cell r="F92">
            <v>2562.17</v>
          </cell>
          <cell r="G92" t="str">
            <v>Enerji Açığı</v>
          </cell>
        </row>
        <row r="93">
          <cell r="A93">
            <v>46207.791666666664</v>
          </cell>
          <cell r="B93" t="str">
            <v>19:00</v>
          </cell>
          <cell r="C93">
            <v>3000</v>
          </cell>
          <cell r="D93">
            <v>64.37</v>
          </cell>
          <cell r="E93">
            <v>4050</v>
          </cell>
          <cell r="F93">
            <v>3897.53</v>
          </cell>
          <cell r="G93" t="str">
            <v>Enerji Açığı</v>
          </cell>
        </row>
        <row r="94">
          <cell r="A94">
            <v>46207.833333333336</v>
          </cell>
          <cell r="B94" t="str">
            <v>20:00</v>
          </cell>
          <cell r="C94">
            <v>4045.41</v>
          </cell>
          <cell r="D94">
            <v>86.8</v>
          </cell>
          <cell r="E94">
            <v>4377</v>
          </cell>
          <cell r="F94">
            <v>4432.59</v>
          </cell>
          <cell r="G94" t="str">
            <v>Enerji Açığı</v>
          </cell>
        </row>
        <row r="95">
          <cell r="A95">
            <v>46207.875</v>
          </cell>
          <cell r="B95" t="str">
            <v>21:00</v>
          </cell>
          <cell r="C95">
            <v>4030.12</v>
          </cell>
          <cell r="D95">
            <v>86.47</v>
          </cell>
          <cell r="E95">
            <v>4377</v>
          </cell>
          <cell r="F95">
            <v>4451.17</v>
          </cell>
          <cell r="G95" t="str">
            <v>Enerji Açığı</v>
          </cell>
        </row>
        <row r="96">
          <cell r="A96">
            <v>46207.916666666664</v>
          </cell>
          <cell r="B96" t="str">
            <v>22:00</v>
          </cell>
          <cell r="C96">
            <v>3400.01</v>
          </cell>
          <cell r="D96">
            <v>72.95</v>
          </cell>
          <cell r="E96">
            <v>4100</v>
          </cell>
          <cell r="F96">
            <v>3947.39</v>
          </cell>
          <cell r="G96" t="str">
            <v>Enerji Açığı</v>
          </cell>
        </row>
        <row r="97">
          <cell r="A97">
            <v>46207.958333333336</v>
          </cell>
          <cell r="B97" t="str">
            <v>23:00</v>
          </cell>
          <cell r="C97">
            <v>2099.9899999999998</v>
          </cell>
          <cell r="D97">
            <v>45.06</v>
          </cell>
          <cell r="E97">
            <v>4048</v>
          </cell>
          <cell r="F97">
            <v>2719.6</v>
          </cell>
          <cell r="G97" t="str">
            <v>Enerji Açığı</v>
          </cell>
        </row>
        <row r="98">
          <cell r="A98">
            <v>46208</v>
          </cell>
          <cell r="B98" t="str">
            <v>00:00</v>
          </cell>
          <cell r="C98">
            <v>3400.01</v>
          </cell>
          <cell r="D98">
            <v>72.91</v>
          </cell>
          <cell r="E98">
            <v>3400</v>
          </cell>
          <cell r="F98">
            <v>3247.82</v>
          </cell>
          <cell r="G98" t="str">
            <v>Enerji Fazlası</v>
          </cell>
        </row>
        <row r="99">
          <cell r="A99">
            <v>46208.041666666664</v>
          </cell>
          <cell r="B99" t="str">
            <v>01:00</v>
          </cell>
          <cell r="C99">
            <v>2874.99</v>
          </cell>
          <cell r="D99">
            <v>61.65</v>
          </cell>
          <cell r="E99">
            <v>800</v>
          </cell>
          <cell r="F99">
            <v>2784.13</v>
          </cell>
          <cell r="G99" t="str">
            <v>Enerji Fazlası</v>
          </cell>
        </row>
        <row r="100">
          <cell r="A100">
            <v>46208.083333333336</v>
          </cell>
          <cell r="B100" t="str">
            <v>02:00</v>
          </cell>
          <cell r="C100">
            <v>1900</v>
          </cell>
          <cell r="D100">
            <v>40.74</v>
          </cell>
          <cell r="E100">
            <v>600</v>
          </cell>
          <cell r="F100">
            <v>1721.41</v>
          </cell>
          <cell r="G100" t="str">
            <v>Enerji Fazlası</v>
          </cell>
        </row>
        <row r="101">
          <cell r="A101">
            <v>46208.125</v>
          </cell>
          <cell r="B101" t="str">
            <v>03:00</v>
          </cell>
          <cell r="C101">
            <v>2425.09</v>
          </cell>
          <cell r="D101">
            <v>52</v>
          </cell>
          <cell r="E101">
            <v>500</v>
          </cell>
          <cell r="F101">
            <v>2203.7600000000002</v>
          </cell>
          <cell r="G101" t="str">
            <v>Enerji Fazlası</v>
          </cell>
        </row>
        <row r="102">
          <cell r="A102">
            <v>46208.166666666664</v>
          </cell>
          <cell r="B102" t="str">
            <v>04:00</v>
          </cell>
          <cell r="C102">
            <v>1708.64</v>
          </cell>
          <cell r="D102">
            <v>36.64</v>
          </cell>
          <cell r="E102">
            <v>500</v>
          </cell>
          <cell r="F102">
            <v>1446.73</v>
          </cell>
          <cell r="G102" t="str">
            <v>Enerji Fazlası</v>
          </cell>
        </row>
        <row r="103">
          <cell r="A103">
            <v>46208.208333333336</v>
          </cell>
          <cell r="B103" t="str">
            <v>05:00</v>
          </cell>
          <cell r="C103">
            <v>1499.97</v>
          </cell>
          <cell r="D103">
            <v>32.159999999999997</v>
          </cell>
          <cell r="E103">
            <v>499.99</v>
          </cell>
          <cell r="F103">
            <v>1066.97</v>
          </cell>
          <cell r="G103" t="str">
            <v>Enerji Fazlası</v>
          </cell>
        </row>
        <row r="104">
          <cell r="A104">
            <v>46208.25</v>
          </cell>
          <cell r="B104" t="str">
            <v>06:00</v>
          </cell>
          <cell r="C104">
            <v>2000</v>
          </cell>
          <cell r="D104">
            <v>42.89</v>
          </cell>
          <cell r="E104">
            <v>1400</v>
          </cell>
          <cell r="F104">
            <v>1755.67</v>
          </cell>
          <cell r="G104" t="str">
            <v>Enerji Fazlası</v>
          </cell>
        </row>
        <row r="105">
          <cell r="A105">
            <v>46208.291666666664</v>
          </cell>
          <cell r="B105" t="str">
            <v>07:00</v>
          </cell>
          <cell r="C105">
            <v>303.99</v>
          </cell>
          <cell r="D105">
            <v>6.52</v>
          </cell>
          <cell r="E105">
            <v>928.99</v>
          </cell>
          <cell r="F105">
            <v>314.22000000000003</v>
          </cell>
          <cell r="G105" t="str">
            <v>Enerji Açığı</v>
          </cell>
        </row>
        <row r="106">
          <cell r="A106">
            <v>46208.333333333336</v>
          </cell>
          <cell r="B106" t="str">
            <v>08:00</v>
          </cell>
          <cell r="C106">
            <v>174.99</v>
          </cell>
          <cell r="D106">
            <v>3.75</v>
          </cell>
          <cell r="E106">
            <v>1</v>
          </cell>
          <cell r="F106">
            <v>186.2</v>
          </cell>
          <cell r="G106" t="str">
            <v>Enerji Fazlası</v>
          </cell>
        </row>
        <row r="107">
          <cell r="A107">
            <v>46208.375</v>
          </cell>
          <cell r="B107" t="str">
            <v>09:00</v>
          </cell>
          <cell r="C107">
            <v>170.01</v>
          </cell>
          <cell r="D107">
            <v>3.65</v>
          </cell>
          <cell r="E107">
            <v>0</v>
          </cell>
          <cell r="F107">
            <v>99.93</v>
          </cell>
          <cell r="G107" t="str">
            <v>Enerji Fazlası</v>
          </cell>
        </row>
        <row r="108">
          <cell r="A108">
            <v>46208.416666666664</v>
          </cell>
          <cell r="B108" t="str">
            <v>10:00</v>
          </cell>
          <cell r="C108">
            <v>169.98</v>
          </cell>
          <cell r="D108">
            <v>3.65</v>
          </cell>
          <cell r="E108">
            <v>0</v>
          </cell>
          <cell r="F108">
            <v>94.42</v>
          </cell>
          <cell r="G108" t="str">
            <v>Enerji Fazlası</v>
          </cell>
        </row>
        <row r="109">
          <cell r="A109">
            <v>46208.458333333336</v>
          </cell>
          <cell r="B109" t="str">
            <v>11:00</v>
          </cell>
          <cell r="C109">
            <v>169.99</v>
          </cell>
          <cell r="D109">
            <v>3.65</v>
          </cell>
          <cell r="E109">
            <v>0</v>
          </cell>
          <cell r="F109">
            <v>66.959999999999994</v>
          </cell>
          <cell r="G109" t="str">
            <v>Enerji Fazlası</v>
          </cell>
        </row>
        <row r="110">
          <cell r="A110">
            <v>46208.5</v>
          </cell>
          <cell r="B110" t="str">
            <v>12:00</v>
          </cell>
          <cell r="C110">
            <v>170</v>
          </cell>
          <cell r="D110">
            <v>3.65</v>
          </cell>
          <cell r="E110">
            <v>10</v>
          </cell>
          <cell r="F110">
            <v>79.19</v>
          </cell>
          <cell r="G110" t="str">
            <v>Enerji Fazlası</v>
          </cell>
        </row>
        <row r="111">
          <cell r="A111">
            <v>46208.541666666664</v>
          </cell>
          <cell r="B111" t="str">
            <v>13:00</v>
          </cell>
          <cell r="C111">
            <v>171.01</v>
          </cell>
          <cell r="D111">
            <v>3.67</v>
          </cell>
          <cell r="E111">
            <v>5</v>
          </cell>
          <cell r="F111">
            <v>80.48</v>
          </cell>
          <cell r="G111" t="str">
            <v>Enerji Fazlası</v>
          </cell>
        </row>
        <row r="112">
          <cell r="A112">
            <v>46208.583333333336</v>
          </cell>
          <cell r="B112" t="str">
            <v>14:00</v>
          </cell>
          <cell r="C112">
            <v>196.01</v>
          </cell>
          <cell r="D112">
            <v>4.2</v>
          </cell>
          <cell r="E112">
            <v>0</v>
          </cell>
          <cell r="F112">
            <v>92.46</v>
          </cell>
          <cell r="G112" t="str">
            <v>Enerji Fazlası</v>
          </cell>
        </row>
        <row r="113">
          <cell r="A113">
            <v>46208.625</v>
          </cell>
          <cell r="B113" t="str">
            <v>15:00</v>
          </cell>
          <cell r="C113">
            <v>200</v>
          </cell>
          <cell r="D113">
            <v>4.29</v>
          </cell>
          <cell r="E113">
            <v>0</v>
          </cell>
          <cell r="F113">
            <v>141.22</v>
          </cell>
          <cell r="G113" t="str">
            <v>Enerji Fazlası</v>
          </cell>
        </row>
        <row r="114">
          <cell r="A114">
            <v>46208.666666666664</v>
          </cell>
          <cell r="B114" t="str">
            <v>16:00</v>
          </cell>
          <cell r="C114">
            <v>449.99</v>
          </cell>
          <cell r="D114">
            <v>9.65</v>
          </cell>
          <cell r="E114">
            <v>0</v>
          </cell>
          <cell r="F114">
            <v>312.13</v>
          </cell>
          <cell r="G114" t="str">
            <v>Enerji Fazlası</v>
          </cell>
        </row>
        <row r="115">
          <cell r="A115">
            <v>46208.708333333336</v>
          </cell>
          <cell r="B115" t="str">
            <v>17:00</v>
          </cell>
          <cell r="C115">
            <v>920</v>
          </cell>
          <cell r="D115">
            <v>19.73</v>
          </cell>
          <cell r="E115">
            <v>920</v>
          </cell>
          <cell r="F115">
            <v>710.15</v>
          </cell>
          <cell r="G115" t="str">
            <v>Enerji Fazlası</v>
          </cell>
        </row>
        <row r="116">
          <cell r="A116">
            <v>46208.75</v>
          </cell>
          <cell r="B116" t="str">
            <v>18:00</v>
          </cell>
          <cell r="C116">
            <v>1587.23</v>
          </cell>
          <cell r="D116">
            <v>34.04</v>
          </cell>
          <cell r="E116">
            <v>600</v>
          </cell>
          <cell r="F116">
            <v>1794.57</v>
          </cell>
          <cell r="G116" t="str">
            <v>Enerji Fazlası</v>
          </cell>
        </row>
        <row r="117">
          <cell r="A117">
            <v>46208.791666666664</v>
          </cell>
          <cell r="B117" t="str">
            <v>19:00</v>
          </cell>
          <cell r="C117">
            <v>1899.99</v>
          </cell>
          <cell r="D117">
            <v>40.74</v>
          </cell>
          <cell r="E117">
            <v>1899.99</v>
          </cell>
          <cell r="F117">
            <v>2020.35</v>
          </cell>
          <cell r="G117" t="str">
            <v>Enerji Açığı</v>
          </cell>
        </row>
        <row r="118">
          <cell r="A118">
            <v>46208.833333333336</v>
          </cell>
          <cell r="B118" t="str">
            <v>20:00</v>
          </cell>
          <cell r="C118">
            <v>3023.6</v>
          </cell>
          <cell r="D118">
            <v>64.84</v>
          </cell>
          <cell r="E118">
            <v>3500</v>
          </cell>
          <cell r="F118">
            <v>3040.29</v>
          </cell>
          <cell r="G118" t="str">
            <v>Enerji Açığı</v>
          </cell>
        </row>
        <row r="119">
          <cell r="A119">
            <v>46208.875</v>
          </cell>
          <cell r="B119" t="str">
            <v>21:00</v>
          </cell>
          <cell r="C119">
            <v>3500.01</v>
          </cell>
          <cell r="D119">
            <v>75.05</v>
          </cell>
          <cell r="E119">
            <v>4049</v>
          </cell>
          <cell r="F119">
            <v>3597.78</v>
          </cell>
          <cell r="G119" t="str">
            <v>Enerji Açığı</v>
          </cell>
        </row>
        <row r="120">
          <cell r="A120">
            <v>46208.916666666664</v>
          </cell>
          <cell r="B120" t="str">
            <v>22:00</v>
          </cell>
          <cell r="C120">
            <v>3000</v>
          </cell>
          <cell r="D120">
            <v>64.33</v>
          </cell>
          <cell r="E120">
            <v>3644</v>
          </cell>
          <cell r="F120">
            <v>2903.53</v>
          </cell>
          <cell r="G120" t="str">
            <v>Enerji Açığı</v>
          </cell>
        </row>
        <row r="121">
          <cell r="A121">
            <v>46208.958333333336</v>
          </cell>
          <cell r="B121" t="str">
            <v>23:00</v>
          </cell>
          <cell r="C121">
            <v>2425.1</v>
          </cell>
          <cell r="D121">
            <v>52</v>
          </cell>
          <cell r="E121">
            <v>698</v>
          </cell>
          <cell r="F121">
            <v>2114.14</v>
          </cell>
          <cell r="G121" t="str">
            <v>Enerji Fazlası</v>
          </cell>
        </row>
        <row r="122">
          <cell r="A122">
            <v>46209</v>
          </cell>
          <cell r="B122" t="str">
            <v>00:00</v>
          </cell>
          <cell r="C122">
            <v>2560.29</v>
          </cell>
          <cell r="D122">
            <v>54.9</v>
          </cell>
          <cell r="E122">
            <v>500</v>
          </cell>
          <cell r="F122">
            <v>2727.15</v>
          </cell>
          <cell r="G122" t="str">
            <v>Enerji Fazlası</v>
          </cell>
        </row>
        <row r="123">
          <cell r="A123">
            <v>46209.041666666664</v>
          </cell>
          <cell r="B123" t="str">
            <v>01:00</v>
          </cell>
          <cell r="C123">
            <v>2050</v>
          </cell>
          <cell r="D123">
            <v>43.96</v>
          </cell>
          <cell r="E123">
            <v>500</v>
          </cell>
          <cell r="F123">
            <v>1821.59</v>
          </cell>
          <cell r="G123" t="str">
            <v>Enerji Fazlası</v>
          </cell>
        </row>
        <row r="124">
          <cell r="A124">
            <v>46209.083333333336</v>
          </cell>
          <cell r="B124" t="str">
            <v>02:00</v>
          </cell>
          <cell r="C124">
            <v>1899.99</v>
          </cell>
          <cell r="D124">
            <v>40.74</v>
          </cell>
          <cell r="E124">
            <v>500</v>
          </cell>
          <cell r="F124">
            <v>1555.38</v>
          </cell>
          <cell r="G124" t="str">
            <v>Enerji Fazlası</v>
          </cell>
        </row>
        <row r="125">
          <cell r="A125">
            <v>46209.125</v>
          </cell>
          <cell r="B125" t="str">
            <v>03:00</v>
          </cell>
          <cell r="C125">
            <v>1750</v>
          </cell>
          <cell r="D125">
            <v>37.53</v>
          </cell>
          <cell r="E125">
            <v>500</v>
          </cell>
          <cell r="F125">
            <v>1608.9</v>
          </cell>
          <cell r="G125" t="str">
            <v>Enerji Fazlası</v>
          </cell>
        </row>
        <row r="126">
          <cell r="A126">
            <v>46209.166666666664</v>
          </cell>
          <cell r="B126" t="str">
            <v>04:00</v>
          </cell>
          <cell r="C126">
            <v>2425.1</v>
          </cell>
          <cell r="D126">
            <v>52</v>
          </cell>
          <cell r="E126">
            <v>500</v>
          </cell>
          <cell r="F126">
            <v>2103.14</v>
          </cell>
          <cell r="G126" t="str">
            <v>Enerji Fazlası</v>
          </cell>
        </row>
        <row r="127">
          <cell r="A127">
            <v>46209.208333333336</v>
          </cell>
          <cell r="B127" t="str">
            <v>05:00</v>
          </cell>
          <cell r="C127">
            <v>1500</v>
          </cell>
          <cell r="D127">
            <v>32.17</v>
          </cell>
          <cell r="E127">
            <v>487</v>
          </cell>
          <cell r="F127">
            <v>1268.6400000000001</v>
          </cell>
          <cell r="G127" t="str">
            <v>Enerji Fazlası</v>
          </cell>
        </row>
        <row r="128">
          <cell r="A128">
            <v>46209.25</v>
          </cell>
          <cell r="B128" t="str">
            <v>06:00</v>
          </cell>
          <cell r="C128">
            <v>1500</v>
          </cell>
          <cell r="D128">
            <v>32.17</v>
          </cell>
          <cell r="E128">
            <v>200</v>
          </cell>
          <cell r="F128">
            <v>1319.74</v>
          </cell>
          <cell r="G128" t="str">
            <v>Enerji Fazlası</v>
          </cell>
        </row>
        <row r="129">
          <cell r="A129">
            <v>46209.291666666664</v>
          </cell>
          <cell r="B129" t="str">
            <v>07:00</v>
          </cell>
          <cell r="C129">
            <v>800</v>
          </cell>
          <cell r="D129">
            <v>17.149999999999999</v>
          </cell>
          <cell r="E129">
            <v>200</v>
          </cell>
          <cell r="F129">
            <v>545.35</v>
          </cell>
          <cell r="G129" t="str">
            <v>Enerji Fazlası</v>
          </cell>
        </row>
        <row r="130">
          <cell r="A130">
            <v>46209.333333333336</v>
          </cell>
          <cell r="B130" t="str">
            <v>08:00</v>
          </cell>
          <cell r="C130">
            <v>2999</v>
          </cell>
          <cell r="D130">
            <v>64.31</v>
          </cell>
          <cell r="E130">
            <v>1499</v>
          </cell>
          <cell r="F130">
            <v>2703.57</v>
          </cell>
          <cell r="G130" t="str">
            <v>Enerji Fazlası</v>
          </cell>
        </row>
        <row r="131">
          <cell r="A131">
            <v>46209.375</v>
          </cell>
          <cell r="B131" t="str">
            <v>09:00</v>
          </cell>
          <cell r="C131">
            <v>2425.1</v>
          </cell>
          <cell r="D131">
            <v>52</v>
          </cell>
          <cell r="E131">
            <v>500</v>
          </cell>
          <cell r="F131">
            <v>2164.7800000000002</v>
          </cell>
          <cell r="G131" t="str">
            <v>Enerji Fazlası</v>
          </cell>
        </row>
        <row r="132">
          <cell r="A132">
            <v>46209.416666666664</v>
          </cell>
          <cell r="B132" t="str">
            <v>10:00</v>
          </cell>
          <cell r="C132">
            <v>1499.99</v>
          </cell>
          <cell r="D132">
            <v>32.17</v>
          </cell>
          <cell r="E132">
            <v>390</v>
          </cell>
          <cell r="F132">
            <v>1880.99</v>
          </cell>
          <cell r="G132" t="str">
            <v>Enerji Fazlası</v>
          </cell>
        </row>
        <row r="133">
          <cell r="A133">
            <v>46209.458333333336</v>
          </cell>
          <cell r="B133" t="str">
            <v>11:00</v>
          </cell>
          <cell r="C133">
            <v>1499.99</v>
          </cell>
          <cell r="D133">
            <v>32.17</v>
          </cell>
          <cell r="E133">
            <v>400</v>
          </cell>
          <cell r="F133">
            <v>1674.11</v>
          </cell>
          <cell r="G133" t="str">
            <v>Enerji Fazlası</v>
          </cell>
        </row>
        <row r="134">
          <cell r="A134">
            <v>46209.5</v>
          </cell>
          <cell r="B134" t="str">
            <v>12:00</v>
          </cell>
          <cell r="C134">
            <v>600.01</v>
          </cell>
          <cell r="D134">
            <v>12.87</v>
          </cell>
          <cell r="E134">
            <v>180</v>
          </cell>
          <cell r="F134">
            <v>756.17</v>
          </cell>
          <cell r="G134" t="str">
            <v>Enerji Fazlası</v>
          </cell>
        </row>
        <row r="135">
          <cell r="A135">
            <v>46209.541666666664</v>
          </cell>
          <cell r="B135" t="str">
            <v>13:00</v>
          </cell>
          <cell r="C135">
            <v>1400.01</v>
          </cell>
          <cell r="D135">
            <v>30.02</v>
          </cell>
          <cell r="E135">
            <v>500</v>
          </cell>
          <cell r="F135">
            <v>1341.2</v>
          </cell>
          <cell r="G135" t="str">
            <v>Enerji Fazlası</v>
          </cell>
        </row>
        <row r="136">
          <cell r="A136">
            <v>46209.583333333336</v>
          </cell>
          <cell r="B136" t="str">
            <v>14:00</v>
          </cell>
          <cell r="C136">
            <v>2518.75</v>
          </cell>
          <cell r="D136">
            <v>54.01</v>
          </cell>
          <cell r="E136">
            <v>500</v>
          </cell>
          <cell r="F136">
            <v>2234.85</v>
          </cell>
          <cell r="G136" t="str">
            <v>Enerji Fazlası</v>
          </cell>
        </row>
        <row r="137">
          <cell r="A137">
            <v>46209.625</v>
          </cell>
          <cell r="B137" t="str">
            <v>15:00</v>
          </cell>
          <cell r="C137">
            <v>2397.1799999999998</v>
          </cell>
          <cell r="D137">
            <v>51.4</v>
          </cell>
          <cell r="E137">
            <v>3600</v>
          </cell>
          <cell r="F137">
            <v>2118.35</v>
          </cell>
          <cell r="G137" t="str">
            <v>Enerji Açığı</v>
          </cell>
        </row>
        <row r="138">
          <cell r="A138">
            <v>46209.666666666664</v>
          </cell>
          <cell r="B138" t="str">
            <v>16:00</v>
          </cell>
          <cell r="C138">
            <v>2099.9899999999998</v>
          </cell>
          <cell r="D138">
            <v>45.03</v>
          </cell>
          <cell r="E138">
            <v>500</v>
          </cell>
          <cell r="F138">
            <v>1877.54</v>
          </cell>
          <cell r="G138" t="str">
            <v>Enerji Fazlası</v>
          </cell>
        </row>
        <row r="139">
          <cell r="A139">
            <v>46209.708333333336</v>
          </cell>
          <cell r="B139" t="str">
            <v>17:00</v>
          </cell>
          <cell r="C139">
            <v>2799.01</v>
          </cell>
          <cell r="D139">
            <v>60.02</v>
          </cell>
          <cell r="E139">
            <v>500</v>
          </cell>
          <cell r="F139">
            <v>2780.13</v>
          </cell>
          <cell r="G139" t="str">
            <v>Enerji Fazlası</v>
          </cell>
        </row>
        <row r="140">
          <cell r="A140">
            <v>46209.75</v>
          </cell>
          <cell r="B140" t="str">
            <v>18:00</v>
          </cell>
          <cell r="C140">
            <v>2176.69</v>
          </cell>
          <cell r="D140">
            <v>46.68</v>
          </cell>
          <cell r="E140">
            <v>3784</v>
          </cell>
          <cell r="F140">
            <v>2198.2199999999998</v>
          </cell>
          <cell r="G140" t="str">
            <v>Enerji Açığı</v>
          </cell>
        </row>
        <row r="141">
          <cell r="A141">
            <v>46209.791666666664</v>
          </cell>
          <cell r="B141" t="str">
            <v>19:00</v>
          </cell>
          <cell r="C141">
            <v>3499.99</v>
          </cell>
          <cell r="D141">
            <v>75.05</v>
          </cell>
          <cell r="E141">
            <v>4100</v>
          </cell>
          <cell r="F141">
            <v>3082.64</v>
          </cell>
          <cell r="G141" t="str">
            <v>Enerji Açığı</v>
          </cell>
        </row>
        <row r="142">
          <cell r="A142">
            <v>46209.833333333336</v>
          </cell>
          <cell r="B142" t="str">
            <v>20:00</v>
          </cell>
          <cell r="C142">
            <v>4235</v>
          </cell>
          <cell r="D142">
            <v>90.81</v>
          </cell>
          <cell r="E142">
            <v>4235</v>
          </cell>
          <cell r="F142">
            <v>4110.49</v>
          </cell>
          <cell r="G142" t="str">
            <v>Enerji Açığı</v>
          </cell>
        </row>
        <row r="143">
          <cell r="A143">
            <v>46209.875</v>
          </cell>
          <cell r="B143" t="str">
            <v>21:00</v>
          </cell>
          <cell r="C143">
            <v>4400</v>
          </cell>
          <cell r="D143">
            <v>94.35</v>
          </cell>
          <cell r="E143">
            <v>4399.8999999999996</v>
          </cell>
          <cell r="F143">
            <v>4416.59</v>
          </cell>
          <cell r="G143" t="str">
            <v>Enerji Fazlası</v>
          </cell>
        </row>
        <row r="144">
          <cell r="A144">
            <v>46209.916666666664</v>
          </cell>
          <cell r="B144" t="str">
            <v>22:00</v>
          </cell>
          <cell r="C144">
            <v>3499</v>
          </cell>
          <cell r="D144">
            <v>75.03</v>
          </cell>
          <cell r="E144">
            <v>2501</v>
          </cell>
          <cell r="F144">
            <v>3763.01</v>
          </cell>
          <cell r="G144" t="str">
            <v>Enerji Fazlası</v>
          </cell>
        </row>
        <row r="145">
          <cell r="A145">
            <v>46209.958333333336</v>
          </cell>
          <cell r="B145" t="str">
            <v>23:00</v>
          </cell>
          <cell r="C145">
            <v>2537.9899999999998</v>
          </cell>
          <cell r="D145">
            <v>54.42</v>
          </cell>
          <cell r="E145">
            <v>500</v>
          </cell>
          <cell r="F145">
            <v>2647.51</v>
          </cell>
          <cell r="G145" t="str">
            <v>Enerji Fazlası</v>
          </cell>
        </row>
        <row r="146">
          <cell r="A146">
            <v>46210</v>
          </cell>
          <cell r="B146" t="str">
            <v>00:00</v>
          </cell>
          <cell r="C146">
            <v>3400.01</v>
          </cell>
          <cell r="D146">
            <v>72.91</v>
          </cell>
          <cell r="E146">
            <v>500</v>
          </cell>
          <cell r="F146">
            <v>3238.47</v>
          </cell>
          <cell r="G146" t="str">
            <v>Enerji Fazlası</v>
          </cell>
        </row>
        <row r="147">
          <cell r="A147">
            <v>46210.041666666664</v>
          </cell>
          <cell r="B147" t="str">
            <v>01:00</v>
          </cell>
          <cell r="C147">
            <v>3499.99</v>
          </cell>
          <cell r="D147">
            <v>75.05</v>
          </cell>
          <cell r="E147">
            <v>500</v>
          </cell>
          <cell r="F147">
            <v>3057.6</v>
          </cell>
          <cell r="G147" t="str">
            <v>Enerji Fazlası</v>
          </cell>
        </row>
        <row r="148">
          <cell r="A148">
            <v>46210.083333333336</v>
          </cell>
          <cell r="B148" t="str">
            <v>02:00</v>
          </cell>
          <cell r="C148">
            <v>3499</v>
          </cell>
          <cell r="D148">
            <v>75.03</v>
          </cell>
          <cell r="E148">
            <v>1000</v>
          </cell>
          <cell r="F148">
            <v>2836.72</v>
          </cell>
          <cell r="G148" t="str">
            <v>Enerji Fazlası</v>
          </cell>
        </row>
        <row r="149">
          <cell r="A149">
            <v>46210.125</v>
          </cell>
          <cell r="B149" t="str">
            <v>03:00</v>
          </cell>
          <cell r="C149">
            <v>3579.7</v>
          </cell>
          <cell r="D149">
            <v>76.760000000000005</v>
          </cell>
          <cell r="E149">
            <v>1000</v>
          </cell>
          <cell r="F149">
            <v>2506.59</v>
          </cell>
          <cell r="G149" t="str">
            <v>Enerji Fazlası</v>
          </cell>
        </row>
        <row r="150">
          <cell r="A150">
            <v>46210.166666666664</v>
          </cell>
          <cell r="B150" t="str">
            <v>04:00</v>
          </cell>
          <cell r="C150">
            <v>3400</v>
          </cell>
          <cell r="D150">
            <v>72.91</v>
          </cell>
          <cell r="E150">
            <v>1450</v>
          </cell>
          <cell r="F150">
            <v>2227.77</v>
          </cell>
          <cell r="G150" t="str">
            <v>Enerji Fazlası</v>
          </cell>
        </row>
        <row r="151">
          <cell r="A151">
            <v>46210.208333333336</v>
          </cell>
          <cell r="B151" t="str">
            <v>05:00</v>
          </cell>
          <cell r="C151">
            <v>2865.59</v>
          </cell>
          <cell r="D151">
            <v>61.45</v>
          </cell>
          <cell r="E151">
            <v>500</v>
          </cell>
          <cell r="F151">
            <v>1700.67</v>
          </cell>
          <cell r="G151" t="str">
            <v>Enerji Fazlası</v>
          </cell>
        </row>
        <row r="152">
          <cell r="A152">
            <v>46210.25</v>
          </cell>
          <cell r="B152" t="str">
            <v>06:00</v>
          </cell>
          <cell r="C152">
            <v>1999.99</v>
          </cell>
          <cell r="D152">
            <v>42.89</v>
          </cell>
          <cell r="E152">
            <v>500</v>
          </cell>
          <cell r="F152">
            <v>1277.72</v>
          </cell>
          <cell r="G152" t="str">
            <v>Enerji Fazlası</v>
          </cell>
        </row>
        <row r="153">
          <cell r="A153">
            <v>46210.291666666664</v>
          </cell>
          <cell r="B153" t="str">
            <v>07:00</v>
          </cell>
          <cell r="C153">
            <v>1275</v>
          </cell>
          <cell r="D153">
            <v>27.34</v>
          </cell>
          <cell r="E153">
            <v>200</v>
          </cell>
          <cell r="F153">
            <v>802.12</v>
          </cell>
          <cell r="G153" t="str">
            <v>Enerji Fazlası</v>
          </cell>
        </row>
        <row r="154">
          <cell r="A154">
            <v>46210.333333333336</v>
          </cell>
          <cell r="B154" t="str">
            <v>08:00</v>
          </cell>
          <cell r="C154">
            <v>2718.55</v>
          </cell>
          <cell r="D154">
            <v>58.3</v>
          </cell>
          <cell r="E154">
            <v>490</v>
          </cell>
          <cell r="F154">
            <v>1872.89</v>
          </cell>
          <cell r="G154" t="str">
            <v>Enerji Fazlası</v>
          </cell>
        </row>
        <row r="155">
          <cell r="A155">
            <v>46210.375</v>
          </cell>
          <cell r="B155" t="str">
            <v>09:00</v>
          </cell>
          <cell r="C155">
            <v>2200.0100000000002</v>
          </cell>
          <cell r="D155">
            <v>47.18</v>
          </cell>
          <cell r="E155">
            <v>390</v>
          </cell>
          <cell r="F155">
            <v>1659.94</v>
          </cell>
          <cell r="G155" t="str">
            <v>Enerji Fazlası</v>
          </cell>
        </row>
        <row r="156">
          <cell r="A156">
            <v>46210.416666666664</v>
          </cell>
          <cell r="B156" t="str">
            <v>10:00</v>
          </cell>
          <cell r="C156">
            <v>1500</v>
          </cell>
          <cell r="D156">
            <v>32.17</v>
          </cell>
          <cell r="E156">
            <v>750</v>
          </cell>
          <cell r="F156">
            <v>1555.05</v>
          </cell>
          <cell r="G156" t="str">
            <v>Enerji Fazlası</v>
          </cell>
        </row>
        <row r="157">
          <cell r="A157">
            <v>46210.458333333336</v>
          </cell>
          <cell r="B157" t="str">
            <v>11:00</v>
          </cell>
          <cell r="C157">
            <v>1807.04</v>
          </cell>
          <cell r="D157">
            <v>38.75</v>
          </cell>
          <cell r="E157">
            <v>900</v>
          </cell>
          <cell r="F157">
            <v>1633.66</v>
          </cell>
          <cell r="G157" t="str">
            <v>Enerji Fazlası</v>
          </cell>
        </row>
        <row r="158">
          <cell r="A158">
            <v>46210.5</v>
          </cell>
          <cell r="B158" t="str">
            <v>12:00</v>
          </cell>
          <cell r="C158">
            <v>1400</v>
          </cell>
          <cell r="D158">
            <v>30.02</v>
          </cell>
          <cell r="E158">
            <v>780</v>
          </cell>
          <cell r="F158">
            <v>914.59</v>
          </cell>
          <cell r="G158" t="str">
            <v>Enerji Fazlası</v>
          </cell>
        </row>
        <row r="159">
          <cell r="A159">
            <v>46210.541666666664</v>
          </cell>
          <cell r="B159" t="str">
            <v>13:00</v>
          </cell>
          <cell r="C159">
            <v>1999.98</v>
          </cell>
          <cell r="D159">
            <v>42.89</v>
          </cell>
          <cell r="E159">
            <v>1049.98</v>
          </cell>
          <cell r="F159">
            <v>1534.26</v>
          </cell>
          <cell r="G159" t="str">
            <v>Enerji Fazlası</v>
          </cell>
        </row>
        <row r="160">
          <cell r="A160">
            <v>46210.583333333336</v>
          </cell>
          <cell r="B160" t="str">
            <v>14:00</v>
          </cell>
          <cell r="C160">
            <v>1999.99</v>
          </cell>
          <cell r="D160">
            <v>42.89</v>
          </cell>
          <cell r="E160">
            <v>2500</v>
          </cell>
          <cell r="F160">
            <v>1508.11</v>
          </cell>
          <cell r="G160" t="str">
            <v>Enerji Açığı</v>
          </cell>
        </row>
        <row r="161">
          <cell r="A161">
            <v>46210.625</v>
          </cell>
          <cell r="B161" t="str">
            <v>15:00</v>
          </cell>
          <cell r="C161">
            <v>1987.57</v>
          </cell>
          <cell r="D161">
            <v>42.62</v>
          </cell>
          <cell r="E161">
            <v>800</v>
          </cell>
          <cell r="F161">
            <v>1455.26</v>
          </cell>
          <cell r="G161" t="str">
            <v>Enerji Fazlası</v>
          </cell>
        </row>
        <row r="162">
          <cell r="A162">
            <v>46210.666666666664</v>
          </cell>
          <cell r="B162" t="str">
            <v>16:00</v>
          </cell>
          <cell r="C162">
            <v>2395.31</v>
          </cell>
          <cell r="D162">
            <v>51.36</v>
          </cell>
          <cell r="E162">
            <v>3500</v>
          </cell>
          <cell r="F162">
            <v>2041.72</v>
          </cell>
          <cell r="G162" t="str">
            <v>Enerji Açığı</v>
          </cell>
        </row>
        <row r="163">
          <cell r="A163">
            <v>46210.708333333336</v>
          </cell>
          <cell r="B163" t="str">
            <v>17:00</v>
          </cell>
          <cell r="C163">
            <v>2865.59</v>
          </cell>
          <cell r="D163">
            <v>61.45</v>
          </cell>
          <cell r="E163">
            <v>4029</v>
          </cell>
          <cell r="F163">
            <v>2746.02</v>
          </cell>
          <cell r="G163" t="str">
            <v>Enerji Açığı</v>
          </cell>
        </row>
        <row r="164">
          <cell r="A164">
            <v>46210.75</v>
          </cell>
          <cell r="B164" t="str">
            <v>18:00</v>
          </cell>
          <cell r="C164">
            <v>2451</v>
          </cell>
          <cell r="D164">
            <v>52.56</v>
          </cell>
          <cell r="E164">
            <v>4100</v>
          </cell>
          <cell r="F164">
            <v>2687.07</v>
          </cell>
          <cell r="G164" t="str">
            <v>Enerji Açığı</v>
          </cell>
        </row>
        <row r="165">
          <cell r="A165">
            <v>46210.791666666664</v>
          </cell>
          <cell r="B165" t="str">
            <v>19:00</v>
          </cell>
          <cell r="C165">
            <v>2874.99</v>
          </cell>
          <cell r="D165">
            <v>61.65</v>
          </cell>
          <cell r="E165">
            <v>4100</v>
          </cell>
          <cell r="F165">
            <v>3250.98</v>
          </cell>
          <cell r="G165" t="str">
            <v>Enerji Açığı</v>
          </cell>
        </row>
        <row r="166">
          <cell r="A166">
            <v>46210.833333333336</v>
          </cell>
          <cell r="B166" t="str">
            <v>20:00</v>
          </cell>
          <cell r="C166">
            <v>4245</v>
          </cell>
          <cell r="D166">
            <v>91.03</v>
          </cell>
          <cell r="E166">
            <v>4245</v>
          </cell>
          <cell r="F166">
            <v>4303.33</v>
          </cell>
          <cell r="G166" t="str">
            <v>Enerji Açığı</v>
          </cell>
        </row>
        <row r="167">
          <cell r="A167">
            <v>46210.875</v>
          </cell>
          <cell r="B167" t="str">
            <v>21:00</v>
          </cell>
          <cell r="C167">
            <v>4435.01</v>
          </cell>
          <cell r="D167">
            <v>95.1</v>
          </cell>
          <cell r="E167">
            <v>4435.01</v>
          </cell>
          <cell r="F167">
            <v>4466.71</v>
          </cell>
          <cell r="G167" t="str">
            <v>Enerji Açığı</v>
          </cell>
        </row>
        <row r="168">
          <cell r="A168">
            <v>46210.916666666664</v>
          </cell>
          <cell r="B168" t="str">
            <v>22:00</v>
          </cell>
          <cell r="C168">
            <v>3692.66</v>
          </cell>
          <cell r="D168">
            <v>79.180000000000007</v>
          </cell>
          <cell r="E168">
            <v>4000</v>
          </cell>
          <cell r="F168">
            <v>4029.65</v>
          </cell>
          <cell r="G168" t="str">
            <v>Enerji Açığı</v>
          </cell>
        </row>
        <row r="169">
          <cell r="A169">
            <v>46210.958333333336</v>
          </cell>
          <cell r="B169" t="str">
            <v>23:00</v>
          </cell>
          <cell r="C169">
            <v>2999.99</v>
          </cell>
          <cell r="D169">
            <v>64.33</v>
          </cell>
          <cell r="E169">
            <v>3500</v>
          </cell>
          <cell r="F169">
            <v>3302.44</v>
          </cell>
          <cell r="G169" t="str">
            <v>Enerji Açığı</v>
          </cell>
        </row>
        <row r="170">
          <cell r="A170">
            <v>46211</v>
          </cell>
          <cell r="B170" t="str">
            <v>00:00</v>
          </cell>
          <cell r="C170">
            <v>3199.01</v>
          </cell>
          <cell r="D170">
            <v>68.45</v>
          </cell>
          <cell r="E170">
            <v>3740</v>
          </cell>
          <cell r="F170">
            <v>3586.43</v>
          </cell>
          <cell r="G170" t="str">
            <v>Enerji Açığı</v>
          </cell>
        </row>
        <row r="171">
          <cell r="A171">
            <v>46211.041666666664</v>
          </cell>
          <cell r="B171" t="str">
            <v>01:00</v>
          </cell>
          <cell r="C171">
            <v>3184.9</v>
          </cell>
          <cell r="D171">
            <v>68.150000000000006</v>
          </cell>
          <cell r="E171">
            <v>3740</v>
          </cell>
          <cell r="F171">
            <v>3602.81</v>
          </cell>
          <cell r="G171" t="str">
            <v>Enerji Açığı</v>
          </cell>
        </row>
        <row r="172">
          <cell r="A172">
            <v>46211.083333333336</v>
          </cell>
          <cell r="B172" t="str">
            <v>02:00</v>
          </cell>
          <cell r="C172">
            <v>3199.01</v>
          </cell>
          <cell r="D172">
            <v>68.45</v>
          </cell>
          <cell r="E172">
            <v>3740</v>
          </cell>
          <cell r="F172">
            <v>3799.02</v>
          </cell>
          <cell r="G172" t="str">
            <v>Enerji Açığı</v>
          </cell>
        </row>
        <row r="173">
          <cell r="A173">
            <v>46211.125</v>
          </cell>
          <cell r="B173" t="str">
            <v>03:00</v>
          </cell>
          <cell r="C173">
            <v>3379.01</v>
          </cell>
          <cell r="D173">
            <v>72.3</v>
          </cell>
          <cell r="E173">
            <v>3740</v>
          </cell>
          <cell r="F173">
            <v>3979.9</v>
          </cell>
          <cell r="G173" t="str">
            <v>Enerji Açığı</v>
          </cell>
        </row>
        <row r="174">
          <cell r="A174">
            <v>46211.166666666664</v>
          </cell>
          <cell r="B174" t="str">
            <v>04:00</v>
          </cell>
          <cell r="C174">
            <v>3188.89</v>
          </cell>
          <cell r="D174">
            <v>68.23</v>
          </cell>
          <cell r="E174">
            <v>3718</v>
          </cell>
          <cell r="F174">
            <v>4044.45</v>
          </cell>
          <cell r="G174" t="str">
            <v>Enerji Açığı</v>
          </cell>
        </row>
        <row r="175">
          <cell r="A175">
            <v>46211.208333333336</v>
          </cell>
          <cell r="B175" t="str">
            <v>05:00</v>
          </cell>
          <cell r="C175">
            <v>2600.0100000000002</v>
          </cell>
          <cell r="D175">
            <v>55.63</v>
          </cell>
          <cell r="E175">
            <v>3000.01</v>
          </cell>
          <cell r="F175">
            <v>3360.94</v>
          </cell>
          <cell r="G175" t="str">
            <v>Enerji Açığı</v>
          </cell>
        </row>
        <row r="176">
          <cell r="A176">
            <v>46211.25</v>
          </cell>
          <cell r="B176" t="str">
            <v>06:00</v>
          </cell>
          <cell r="C176">
            <v>2050</v>
          </cell>
          <cell r="D176">
            <v>43.86</v>
          </cell>
          <cell r="E176">
            <v>3000</v>
          </cell>
          <cell r="F176">
            <v>2807.53</v>
          </cell>
          <cell r="G176" t="str">
            <v>Enerji Açığı</v>
          </cell>
        </row>
        <row r="177">
          <cell r="A177">
            <v>46211.291666666664</v>
          </cell>
          <cell r="B177" t="str">
            <v>07:00</v>
          </cell>
          <cell r="C177">
            <v>1499.97</v>
          </cell>
          <cell r="D177">
            <v>32.090000000000003</v>
          </cell>
          <cell r="E177">
            <v>1000</v>
          </cell>
          <cell r="F177">
            <v>2127.2800000000002</v>
          </cell>
          <cell r="G177" t="str">
            <v>Enerji Fazlası</v>
          </cell>
        </row>
        <row r="178">
          <cell r="A178">
            <v>46211.333333333336</v>
          </cell>
          <cell r="B178" t="str">
            <v>08:00</v>
          </cell>
          <cell r="C178">
            <v>2797.99</v>
          </cell>
          <cell r="D178">
            <v>59.87</v>
          </cell>
          <cell r="E178">
            <v>4018</v>
          </cell>
          <cell r="F178">
            <v>3191.93</v>
          </cell>
          <cell r="G178" t="str">
            <v>Enerji Açığı</v>
          </cell>
        </row>
        <row r="179">
          <cell r="A179">
            <v>46211.375</v>
          </cell>
          <cell r="B179" t="str">
            <v>09:00</v>
          </cell>
          <cell r="C179">
            <v>2499.6799999999998</v>
          </cell>
          <cell r="D179">
            <v>53.48</v>
          </cell>
          <cell r="E179">
            <v>3972.58</v>
          </cell>
          <cell r="F179">
            <v>3222.04</v>
          </cell>
          <cell r="G179" t="str">
            <v>Enerji Açığı</v>
          </cell>
        </row>
        <row r="180">
          <cell r="A180">
            <v>46211.416666666664</v>
          </cell>
          <cell r="B180" t="str">
            <v>10:00</v>
          </cell>
          <cell r="C180">
            <v>1672</v>
          </cell>
          <cell r="D180">
            <v>35.78</v>
          </cell>
          <cell r="E180">
            <v>2500</v>
          </cell>
          <cell r="F180">
            <v>2382.94</v>
          </cell>
          <cell r="G180" t="str">
            <v>Enerji Açığı</v>
          </cell>
        </row>
        <row r="181">
          <cell r="A181">
            <v>46211.458333333336</v>
          </cell>
          <cell r="B181" t="str">
            <v>11:00</v>
          </cell>
          <cell r="C181">
            <v>1799.97</v>
          </cell>
          <cell r="D181">
            <v>38.51</v>
          </cell>
          <cell r="E181">
            <v>2500</v>
          </cell>
          <cell r="F181">
            <v>2532.37</v>
          </cell>
          <cell r="G181" t="str">
            <v>Enerji Açığı</v>
          </cell>
        </row>
        <row r="182">
          <cell r="A182">
            <v>46211.5</v>
          </cell>
          <cell r="B182" t="str">
            <v>12:00</v>
          </cell>
          <cell r="C182">
            <v>998</v>
          </cell>
          <cell r="D182">
            <v>21.35</v>
          </cell>
          <cell r="E182">
            <v>773</v>
          </cell>
          <cell r="F182">
            <v>1279.8399999999999</v>
          </cell>
          <cell r="G182" t="str">
            <v>Enerji Fazlası</v>
          </cell>
        </row>
        <row r="183">
          <cell r="A183">
            <v>46211.541666666664</v>
          </cell>
          <cell r="B183" t="str">
            <v>13:00</v>
          </cell>
          <cell r="C183">
            <v>1799.97</v>
          </cell>
          <cell r="D183">
            <v>38.51</v>
          </cell>
          <cell r="E183">
            <v>2500.0100000000002</v>
          </cell>
          <cell r="F183">
            <v>2170.6799999999998</v>
          </cell>
          <cell r="G183" t="str">
            <v>Enerji Açığı</v>
          </cell>
        </row>
        <row r="184">
          <cell r="A184">
            <v>46211.583333333336</v>
          </cell>
          <cell r="B184" t="str">
            <v>14:00</v>
          </cell>
          <cell r="C184">
            <v>2116.41</v>
          </cell>
          <cell r="D184">
            <v>45.28</v>
          </cell>
          <cell r="E184">
            <v>4000</v>
          </cell>
          <cell r="F184">
            <v>2370.69</v>
          </cell>
          <cell r="G184" t="str">
            <v>Enerji Açığı</v>
          </cell>
        </row>
        <row r="185">
          <cell r="A185">
            <v>46211.625</v>
          </cell>
          <cell r="B185" t="str">
            <v>15:00</v>
          </cell>
          <cell r="C185">
            <v>2500</v>
          </cell>
          <cell r="D185">
            <v>53.49</v>
          </cell>
          <cell r="E185">
            <v>3500</v>
          </cell>
          <cell r="F185">
            <v>2733.81</v>
          </cell>
          <cell r="G185" t="str">
            <v>Enerji Açığı</v>
          </cell>
        </row>
        <row r="186">
          <cell r="A186">
            <v>46211.666666666664</v>
          </cell>
          <cell r="B186" t="str">
            <v>16:00</v>
          </cell>
          <cell r="C186">
            <v>3400.01</v>
          </cell>
          <cell r="D186">
            <v>72.75</v>
          </cell>
          <cell r="E186">
            <v>3750</v>
          </cell>
          <cell r="F186">
            <v>3453.94</v>
          </cell>
          <cell r="G186" t="str">
            <v>Enerji Açığı</v>
          </cell>
        </row>
        <row r="187">
          <cell r="A187">
            <v>46211.708333333336</v>
          </cell>
          <cell r="B187" t="str">
            <v>17:00</v>
          </cell>
          <cell r="C187">
            <v>3449.99</v>
          </cell>
          <cell r="D187">
            <v>73.819999999999993</v>
          </cell>
          <cell r="E187">
            <v>4457</v>
          </cell>
          <cell r="F187">
            <v>3588.58</v>
          </cell>
          <cell r="G187" t="str">
            <v>Enerji Açığı</v>
          </cell>
        </row>
        <row r="188">
          <cell r="A188">
            <v>46211.75</v>
          </cell>
          <cell r="B188" t="str">
            <v>18:00</v>
          </cell>
          <cell r="C188">
            <v>3323.7</v>
          </cell>
          <cell r="D188">
            <v>71.12</v>
          </cell>
          <cell r="E188">
            <v>4457</v>
          </cell>
          <cell r="F188">
            <v>3358.73</v>
          </cell>
          <cell r="G188" t="str">
            <v>Enerji Açığı</v>
          </cell>
        </row>
        <row r="189">
          <cell r="A189">
            <v>46211.791666666664</v>
          </cell>
          <cell r="B189" t="str">
            <v>19:00</v>
          </cell>
          <cell r="C189">
            <v>4000</v>
          </cell>
          <cell r="D189">
            <v>85.59</v>
          </cell>
          <cell r="E189">
            <v>4497.2</v>
          </cell>
          <cell r="F189">
            <v>4170.21</v>
          </cell>
          <cell r="G189" t="str">
            <v>Enerji Açığı</v>
          </cell>
        </row>
        <row r="190">
          <cell r="A190">
            <v>46211.833333333336</v>
          </cell>
          <cell r="B190" t="str">
            <v>20:00</v>
          </cell>
          <cell r="C190">
            <v>4497.79</v>
          </cell>
          <cell r="D190">
            <v>96.24</v>
          </cell>
          <cell r="E190">
            <v>4499</v>
          </cell>
          <cell r="F190">
            <v>4574.57</v>
          </cell>
          <cell r="G190" t="str">
            <v>Enerji Açığı</v>
          </cell>
        </row>
        <row r="191">
          <cell r="A191">
            <v>46211.875</v>
          </cell>
          <cell r="B191" t="str">
            <v>21:00</v>
          </cell>
          <cell r="C191">
            <v>4300.01</v>
          </cell>
          <cell r="D191">
            <v>92.01</v>
          </cell>
          <cell r="E191">
            <v>4500</v>
          </cell>
          <cell r="F191">
            <v>4528.84</v>
          </cell>
          <cell r="G191" t="str">
            <v>Enerji Açığı</v>
          </cell>
        </row>
        <row r="192">
          <cell r="A192">
            <v>46211.916666666664</v>
          </cell>
          <cell r="B192" t="str">
            <v>22:00</v>
          </cell>
          <cell r="C192">
            <v>3686.23</v>
          </cell>
          <cell r="D192">
            <v>78.87</v>
          </cell>
          <cell r="E192">
            <v>4497</v>
          </cell>
          <cell r="F192">
            <v>4112.78</v>
          </cell>
          <cell r="G192" t="str">
            <v>Enerji Açığı</v>
          </cell>
        </row>
        <row r="193">
          <cell r="A193">
            <v>46211.958333333336</v>
          </cell>
          <cell r="B193" t="str">
            <v>23:00</v>
          </cell>
          <cell r="C193">
            <v>3323.7</v>
          </cell>
          <cell r="D193">
            <v>71.12</v>
          </cell>
          <cell r="E193">
            <v>4457</v>
          </cell>
          <cell r="F193">
            <v>3726.66</v>
          </cell>
          <cell r="G193" t="str">
            <v>Enerji Açığı</v>
          </cell>
        </row>
      </sheetData>
      <sheetData sheetId="1">
        <row r="4">
          <cell r="B4">
            <v>8.94</v>
          </cell>
          <cell r="C4">
            <v>9</v>
          </cell>
          <cell r="D4">
            <v>9</v>
          </cell>
          <cell r="E4">
            <v>8.15</v>
          </cell>
          <cell r="F4">
            <v>7</v>
          </cell>
          <cell r="G4">
            <v>8</v>
          </cell>
          <cell r="H4">
            <v>0</v>
          </cell>
          <cell r="I4">
            <v>0</v>
          </cell>
          <cell r="J4">
            <v>0</v>
          </cell>
        </row>
        <row r="5">
          <cell r="B5">
            <v>9.9700000000000006</v>
          </cell>
          <cell r="C5">
            <v>9</v>
          </cell>
          <cell r="D5">
            <v>10</v>
          </cell>
          <cell r="E5">
            <v>8.14</v>
          </cell>
          <cell r="F5">
            <v>7</v>
          </cell>
          <cell r="G5">
            <v>8</v>
          </cell>
          <cell r="H5">
            <v>0</v>
          </cell>
          <cell r="I5">
            <v>0</v>
          </cell>
          <cell r="J5">
            <v>0</v>
          </cell>
        </row>
        <row r="6">
          <cell r="B6">
            <v>10.050000000000001</v>
          </cell>
          <cell r="C6">
            <v>9</v>
          </cell>
          <cell r="D6">
            <v>9</v>
          </cell>
          <cell r="E6">
            <v>7.25</v>
          </cell>
          <cell r="F6">
            <v>7</v>
          </cell>
          <cell r="G6">
            <v>8</v>
          </cell>
          <cell r="H6">
            <v>0</v>
          </cell>
          <cell r="I6">
            <v>0</v>
          </cell>
          <cell r="J6">
            <v>0</v>
          </cell>
        </row>
        <row r="7">
          <cell r="B7">
            <v>8.9700000000000006</v>
          </cell>
          <cell r="C7">
            <v>9</v>
          </cell>
          <cell r="D7">
            <v>9</v>
          </cell>
          <cell r="E7">
            <v>7.15</v>
          </cell>
          <cell r="F7">
            <v>7</v>
          </cell>
          <cell r="G7">
            <v>7</v>
          </cell>
          <cell r="H7">
            <v>0</v>
          </cell>
          <cell r="I7">
            <v>0</v>
          </cell>
          <cell r="J7">
            <v>0</v>
          </cell>
        </row>
        <row r="8">
          <cell r="B8">
            <v>11.99</v>
          </cell>
          <cell r="C8">
            <v>10</v>
          </cell>
          <cell r="D8">
            <v>12</v>
          </cell>
          <cell r="E8">
            <v>8.2100000000000009</v>
          </cell>
          <cell r="F8">
            <v>7</v>
          </cell>
          <cell r="G8">
            <v>8</v>
          </cell>
          <cell r="H8">
            <v>0</v>
          </cell>
          <cell r="I8">
            <v>0</v>
          </cell>
          <cell r="J8">
            <v>0</v>
          </cell>
        </row>
        <row r="9">
          <cell r="B9">
            <v>12.06</v>
          </cell>
          <cell r="C9">
            <v>10</v>
          </cell>
          <cell r="D9">
            <v>12</v>
          </cell>
          <cell r="E9">
            <v>8.3000000000000007</v>
          </cell>
          <cell r="F9">
            <v>7</v>
          </cell>
          <cell r="G9">
            <v>8</v>
          </cell>
          <cell r="H9">
            <v>0</v>
          </cell>
          <cell r="I9">
            <v>0</v>
          </cell>
          <cell r="J9">
            <v>0</v>
          </cell>
        </row>
        <row r="10">
          <cell r="B10">
            <v>12.64</v>
          </cell>
          <cell r="C10">
            <v>13.2</v>
          </cell>
          <cell r="D10">
            <v>13.2</v>
          </cell>
          <cell r="E10">
            <v>10.96</v>
          </cell>
          <cell r="F10">
            <v>9</v>
          </cell>
          <cell r="G10">
            <v>10</v>
          </cell>
          <cell r="H10">
            <v>0</v>
          </cell>
          <cell r="I10">
            <v>0</v>
          </cell>
          <cell r="J10">
            <v>0</v>
          </cell>
        </row>
        <row r="11">
          <cell r="B11">
            <v>11.34</v>
          </cell>
          <cell r="C11">
            <v>13.5</v>
          </cell>
          <cell r="D11">
            <v>13.5</v>
          </cell>
          <cell r="E11">
            <v>11.38</v>
          </cell>
          <cell r="F11">
            <v>9</v>
          </cell>
          <cell r="G11">
            <v>9</v>
          </cell>
          <cell r="H11">
            <v>0</v>
          </cell>
          <cell r="I11">
            <v>0</v>
          </cell>
          <cell r="J11">
            <v>0</v>
          </cell>
        </row>
        <row r="12">
          <cell r="B12">
            <v>11.76</v>
          </cell>
          <cell r="C12">
            <v>15</v>
          </cell>
          <cell r="D12">
            <v>15</v>
          </cell>
          <cell r="E12">
            <v>12.38</v>
          </cell>
          <cell r="F12">
            <v>9</v>
          </cell>
          <cell r="G12">
            <v>10</v>
          </cell>
          <cell r="H12">
            <v>0</v>
          </cell>
          <cell r="I12">
            <v>0</v>
          </cell>
          <cell r="J12">
            <v>0</v>
          </cell>
        </row>
        <row r="13">
          <cell r="B13">
            <v>13.04</v>
          </cell>
          <cell r="C13">
            <v>15</v>
          </cell>
          <cell r="D13">
            <v>15</v>
          </cell>
          <cell r="E13">
            <v>12.4</v>
          </cell>
          <cell r="F13">
            <v>10</v>
          </cell>
          <cell r="G13">
            <v>10</v>
          </cell>
          <cell r="H13">
            <v>0</v>
          </cell>
          <cell r="I13">
            <v>0</v>
          </cell>
          <cell r="J13">
            <v>0</v>
          </cell>
        </row>
        <row r="14">
          <cell r="B14">
            <v>14.79</v>
          </cell>
          <cell r="C14">
            <v>15.3</v>
          </cell>
          <cell r="D14">
            <v>15.3</v>
          </cell>
          <cell r="E14">
            <v>11.31</v>
          </cell>
          <cell r="F14">
            <v>10</v>
          </cell>
          <cell r="G14">
            <v>10</v>
          </cell>
          <cell r="H14">
            <v>0</v>
          </cell>
          <cell r="I14">
            <v>0</v>
          </cell>
          <cell r="J14">
            <v>0</v>
          </cell>
        </row>
        <row r="15">
          <cell r="B15">
            <v>15.63</v>
          </cell>
          <cell r="C15">
            <v>15.3</v>
          </cell>
          <cell r="D15">
            <v>15.3</v>
          </cell>
          <cell r="E15">
            <v>10.35</v>
          </cell>
          <cell r="F15">
            <v>10</v>
          </cell>
          <cell r="G15">
            <v>10</v>
          </cell>
          <cell r="H15">
            <v>0</v>
          </cell>
          <cell r="I15">
            <v>0</v>
          </cell>
          <cell r="J15">
            <v>0</v>
          </cell>
        </row>
        <row r="16">
          <cell r="B16">
            <v>15.73</v>
          </cell>
          <cell r="C16">
            <v>15.5</v>
          </cell>
          <cell r="D16">
            <v>15.5</v>
          </cell>
          <cell r="E16">
            <v>10.41</v>
          </cell>
          <cell r="F16">
            <v>10</v>
          </cell>
          <cell r="G16">
            <v>10</v>
          </cell>
          <cell r="H16">
            <v>0</v>
          </cell>
          <cell r="I16">
            <v>0</v>
          </cell>
          <cell r="J16">
            <v>0</v>
          </cell>
        </row>
        <row r="17">
          <cell r="B17">
            <v>15.76</v>
          </cell>
          <cell r="C17">
            <v>15.5</v>
          </cell>
          <cell r="D17">
            <v>15.5</v>
          </cell>
          <cell r="E17">
            <v>12.2</v>
          </cell>
          <cell r="F17">
            <v>10</v>
          </cell>
          <cell r="G17">
            <v>12</v>
          </cell>
          <cell r="H17">
            <v>0</v>
          </cell>
          <cell r="I17">
            <v>0</v>
          </cell>
          <cell r="J17">
            <v>0</v>
          </cell>
        </row>
        <row r="18">
          <cell r="B18">
            <v>15.94</v>
          </cell>
          <cell r="C18">
            <v>15.5</v>
          </cell>
          <cell r="D18">
            <v>15.5</v>
          </cell>
          <cell r="E18">
            <v>13.22</v>
          </cell>
          <cell r="F18">
            <v>10</v>
          </cell>
          <cell r="G18">
            <v>13</v>
          </cell>
          <cell r="H18">
            <v>0</v>
          </cell>
          <cell r="I18">
            <v>0</v>
          </cell>
          <cell r="J18">
            <v>0</v>
          </cell>
        </row>
        <row r="19">
          <cell r="B19">
            <v>15.72</v>
          </cell>
          <cell r="C19">
            <v>15.3</v>
          </cell>
          <cell r="D19">
            <v>15.3</v>
          </cell>
          <cell r="E19">
            <v>10.1</v>
          </cell>
          <cell r="F19">
            <v>10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</row>
        <row r="20">
          <cell r="B20">
            <v>16.170000000000002</v>
          </cell>
          <cell r="C20">
            <v>15</v>
          </cell>
          <cell r="D20">
            <v>15</v>
          </cell>
          <cell r="E20">
            <v>10.199999999999999</v>
          </cell>
          <cell r="F20">
            <v>10</v>
          </cell>
          <cell r="G20">
            <v>11</v>
          </cell>
          <cell r="H20">
            <v>0</v>
          </cell>
          <cell r="I20">
            <v>0</v>
          </cell>
          <cell r="J20">
            <v>0</v>
          </cell>
        </row>
        <row r="21">
          <cell r="B21">
            <v>15.01</v>
          </cell>
          <cell r="C21">
            <v>13.5</v>
          </cell>
          <cell r="D21">
            <v>13.5</v>
          </cell>
          <cell r="E21">
            <v>8.43</v>
          </cell>
          <cell r="F21">
            <v>9</v>
          </cell>
          <cell r="G21">
            <v>9</v>
          </cell>
          <cell r="H21">
            <v>0</v>
          </cell>
          <cell r="I21">
            <v>0</v>
          </cell>
          <cell r="J21">
            <v>0</v>
          </cell>
        </row>
        <row r="22">
          <cell r="B22">
            <v>14.64</v>
          </cell>
          <cell r="C22">
            <v>13.3</v>
          </cell>
          <cell r="D22">
            <v>14.5</v>
          </cell>
          <cell r="E22">
            <v>9.19</v>
          </cell>
          <cell r="F22">
            <v>9</v>
          </cell>
          <cell r="G22">
            <v>9</v>
          </cell>
          <cell r="H22">
            <v>0</v>
          </cell>
          <cell r="I22">
            <v>0</v>
          </cell>
          <cell r="J22">
            <v>0</v>
          </cell>
        </row>
        <row r="23">
          <cell r="B23">
            <v>14.81</v>
          </cell>
          <cell r="C23">
            <v>13.2</v>
          </cell>
          <cell r="D23">
            <v>15.5</v>
          </cell>
          <cell r="E23">
            <v>12.1</v>
          </cell>
          <cell r="F23">
            <v>9</v>
          </cell>
          <cell r="G23">
            <v>11</v>
          </cell>
          <cell r="H23">
            <v>0</v>
          </cell>
          <cell r="I23">
            <v>0</v>
          </cell>
          <cell r="J23">
            <v>0</v>
          </cell>
        </row>
        <row r="24">
          <cell r="B24">
            <v>14.22</v>
          </cell>
          <cell r="C24">
            <v>13</v>
          </cell>
          <cell r="D24">
            <v>15</v>
          </cell>
          <cell r="E24">
            <v>12.61</v>
          </cell>
          <cell r="F24">
            <v>9</v>
          </cell>
          <cell r="G24">
            <v>11</v>
          </cell>
          <cell r="H24">
            <v>0</v>
          </cell>
          <cell r="I24">
            <v>0</v>
          </cell>
          <cell r="J24">
            <v>0</v>
          </cell>
        </row>
        <row r="25">
          <cell r="B25">
            <v>15.14</v>
          </cell>
          <cell r="C25">
            <v>12</v>
          </cell>
          <cell r="D25">
            <v>15</v>
          </cell>
          <cell r="E25">
            <v>13.28</v>
          </cell>
          <cell r="F25">
            <v>9</v>
          </cell>
          <cell r="G25">
            <v>13</v>
          </cell>
          <cell r="H25">
            <v>0</v>
          </cell>
          <cell r="I25">
            <v>0</v>
          </cell>
          <cell r="J25">
            <v>0</v>
          </cell>
        </row>
        <row r="26">
          <cell r="B26">
            <v>15.13</v>
          </cell>
          <cell r="C26">
            <v>12</v>
          </cell>
          <cell r="D26">
            <v>15</v>
          </cell>
          <cell r="E26">
            <v>13.22</v>
          </cell>
          <cell r="F26">
            <v>9</v>
          </cell>
          <cell r="G26">
            <v>13</v>
          </cell>
          <cell r="H26">
            <v>0</v>
          </cell>
          <cell r="I26">
            <v>0</v>
          </cell>
          <cell r="J26">
            <v>0</v>
          </cell>
        </row>
        <row r="27">
          <cell r="B27">
            <v>15.08</v>
          </cell>
          <cell r="C27">
            <v>12</v>
          </cell>
          <cell r="D27">
            <v>15</v>
          </cell>
          <cell r="E27">
            <v>12.22</v>
          </cell>
          <cell r="F27">
            <v>9</v>
          </cell>
          <cell r="G27">
            <v>12</v>
          </cell>
          <cell r="H27">
            <v>0</v>
          </cell>
          <cell r="I27">
            <v>0</v>
          </cell>
          <cell r="J27">
            <v>0</v>
          </cell>
        </row>
        <row r="28">
          <cell r="B28">
            <v>13.31</v>
          </cell>
          <cell r="C28">
            <v>9</v>
          </cell>
          <cell r="D28">
            <v>13</v>
          </cell>
          <cell r="E28">
            <v>9.43</v>
          </cell>
          <cell r="F28">
            <v>7</v>
          </cell>
          <cell r="G28">
            <v>9</v>
          </cell>
          <cell r="H28">
            <v>0</v>
          </cell>
          <cell r="I28">
            <v>0</v>
          </cell>
          <cell r="J28">
            <v>0</v>
          </cell>
        </row>
        <row r="29">
          <cell r="B29">
            <v>13.02</v>
          </cell>
          <cell r="C29">
            <v>9</v>
          </cell>
          <cell r="D29">
            <v>13</v>
          </cell>
          <cell r="E29">
            <v>9.3000000000000007</v>
          </cell>
          <cell r="F29">
            <v>7</v>
          </cell>
          <cell r="G29">
            <v>9</v>
          </cell>
          <cell r="H29">
            <v>0</v>
          </cell>
          <cell r="I29">
            <v>0</v>
          </cell>
          <cell r="J29">
            <v>0</v>
          </cell>
        </row>
        <row r="30">
          <cell r="B30">
            <v>13.06</v>
          </cell>
          <cell r="C30">
            <v>9</v>
          </cell>
          <cell r="D30">
            <v>13</v>
          </cell>
          <cell r="E30">
            <v>9.19</v>
          </cell>
          <cell r="F30">
            <v>7</v>
          </cell>
          <cell r="G30">
            <v>9</v>
          </cell>
          <cell r="H30">
            <v>0</v>
          </cell>
          <cell r="I30">
            <v>0</v>
          </cell>
          <cell r="J30">
            <v>0</v>
          </cell>
        </row>
        <row r="31">
          <cell r="B31">
            <v>13.16</v>
          </cell>
          <cell r="C31">
            <v>9</v>
          </cell>
          <cell r="D31">
            <v>13</v>
          </cell>
          <cell r="E31">
            <v>10.45</v>
          </cell>
          <cell r="F31">
            <v>7</v>
          </cell>
          <cell r="G31">
            <v>10</v>
          </cell>
          <cell r="H31">
            <v>0</v>
          </cell>
          <cell r="I31">
            <v>0</v>
          </cell>
          <cell r="J31">
            <v>0</v>
          </cell>
        </row>
        <row r="32">
          <cell r="B32">
            <v>13.13</v>
          </cell>
          <cell r="C32">
            <v>10</v>
          </cell>
          <cell r="D32">
            <v>13</v>
          </cell>
          <cell r="E32">
            <v>10.17</v>
          </cell>
          <cell r="F32">
            <v>8</v>
          </cell>
          <cell r="G32">
            <v>10</v>
          </cell>
          <cell r="H32">
            <v>0</v>
          </cell>
          <cell r="I32">
            <v>0</v>
          </cell>
          <cell r="J32">
            <v>0</v>
          </cell>
        </row>
        <row r="33">
          <cell r="B33">
            <v>13.2</v>
          </cell>
          <cell r="C33">
            <v>10</v>
          </cell>
          <cell r="D33">
            <v>13</v>
          </cell>
          <cell r="E33">
            <v>10.26</v>
          </cell>
          <cell r="F33">
            <v>8</v>
          </cell>
          <cell r="G33">
            <v>10</v>
          </cell>
          <cell r="H33">
            <v>0</v>
          </cell>
          <cell r="I33">
            <v>0</v>
          </cell>
          <cell r="J33">
            <v>0</v>
          </cell>
        </row>
        <row r="34">
          <cell r="B34">
            <v>14.22</v>
          </cell>
          <cell r="C34">
            <v>11.2</v>
          </cell>
          <cell r="D34">
            <v>14</v>
          </cell>
          <cell r="E34">
            <v>10.19</v>
          </cell>
          <cell r="F34">
            <v>8</v>
          </cell>
          <cell r="G34">
            <v>10</v>
          </cell>
          <cell r="H34">
            <v>0</v>
          </cell>
          <cell r="I34">
            <v>0</v>
          </cell>
          <cell r="J34">
            <v>0</v>
          </cell>
        </row>
        <row r="35">
          <cell r="B35">
            <v>14.25</v>
          </cell>
          <cell r="C35">
            <v>11.5</v>
          </cell>
          <cell r="D35">
            <v>14</v>
          </cell>
          <cell r="E35">
            <v>10.35</v>
          </cell>
          <cell r="F35">
            <v>8</v>
          </cell>
          <cell r="G35">
            <v>10</v>
          </cell>
          <cell r="H35">
            <v>0</v>
          </cell>
          <cell r="I35">
            <v>0</v>
          </cell>
          <cell r="J35">
            <v>0</v>
          </cell>
        </row>
        <row r="36">
          <cell r="B36">
            <v>14.19</v>
          </cell>
          <cell r="C36">
            <v>14</v>
          </cell>
          <cell r="D36">
            <v>14</v>
          </cell>
          <cell r="E36">
            <v>10.34</v>
          </cell>
          <cell r="F36">
            <v>9</v>
          </cell>
          <cell r="G36">
            <v>10</v>
          </cell>
          <cell r="H36">
            <v>0</v>
          </cell>
          <cell r="I36">
            <v>0</v>
          </cell>
          <cell r="J36">
            <v>0</v>
          </cell>
        </row>
        <row r="37">
          <cell r="B37">
            <v>14.5</v>
          </cell>
          <cell r="C37">
            <v>14</v>
          </cell>
          <cell r="D37">
            <v>14</v>
          </cell>
          <cell r="E37">
            <v>10.08</v>
          </cell>
          <cell r="F37">
            <v>9</v>
          </cell>
          <cell r="G37">
            <v>10</v>
          </cell>
          <cell r="H37">
            <v>0</v>
          </cell>
          <cell r="I37">
            <v>0</v>
          </cell>
          <cell r="J37">
            <v>0</v>
          </cell>
        </row>
        <row r="38">
          <cell r="B38">
            <v>14.78</v>
          </cell>
          <cell r="C38">
            <v>14.3</v>
          </cell>
          <cell r="D38">
            <v>14.3</v>
          </cell>
          <cell r="E38">
            <v>10.19</v>
          </cell>
          <cell r="F38">
            <v>9</v>
          </cell>
          <cell r="G38">
            <v>10</v>
          </cell>
          <cell r="H38">
            <v>0</v>
          </cell>
          <cell r="I38">
            <v>0</v>
          </cell>
          <cell r="J38">
            <v>0</v>
          </cell>
        </row>
        <row r="39">
          <cell r="B39">
            <v>14.74</v>
          </cell>
          <cell r="C39">
            <v>14.3</v>
          </cell>
          <cell r="D39">
            <v>14.3</v>
          </cell>
          <cell r="E39">
            <v>10.18</v>
          </cell>
          <cell r="F39">
            <v>9</v>
          </cell>
          <cell r="G39">
            <v>10</v>
          </cell>
          <cell r="H39">
            <v>0</v>
          </cell>
          <cell r="I39">
            <v>0</v>
          </cell>
          <cell r="J39">
            <v>0</v>
          </cell>
        </row>
        <row r="40">
          <cell r="B40">
            <v>14.83</v>
          </cell>
          <cell r="C40">
            <v>14.5</v>
          </cell>
          <cell r="D40">
            <v>14.5</v>
          </cell>
          <cell r="E40">
            <v>9.18</v>
          </cell>
          <cell r="F40">
            <v>9</v>
          </cell>
          <cell r="G40">
            <v>9</v>
          </cell>
          <cell r="H40">
            <v>0</v>
          </cell>
          <cell r="I40">
            <v>0</v>
          </cell>
          <cell r="J40">
            <v>0</v>
          </cell>
        </row>
        <row r="41">
          <cell r="B41">
            <v>15.7</v>
          </cell>
          <cell r="C41">
            <v>14.5</v>
          </cell>
          <cell r="D41">
            <v>15.5</v>
          </cell>
          <cell r="E41">
            <v>10.23</v>
          </cell>
          <cell r="F41">
            <v>9</v>
          </cell>
          <cell r="G41">
            <v>10</v>
          </cell>
          <cell r="H41">
            <v>0</v>
          </cell>
          <cell r="I41">
            <v>0</v>
          </cell>
          <cell r="J41">
            <v>0</v>
          </cell>
        </row>
        <row r="42">
          <cell r="B42">
            <v>15.57</v>
          </cell>
          <cell r="C42">
            <v>14.5</v>
          </cell>
          <cell r="D42">
            <v>15.5</v>
          </cell>
          <cell r="E42">
            <v>10.210000000000001</v>
          </cell>
          <cell r="F42">
            <v>9</v>
          </cell>
          <cell r="G42">
            <v>10</v>
          </cell>
          <cell r="H42">
            <v>0</v>
          </cell>
          <cell r="I42">
            <v>0</v>
          </cell>
          <cell r="J42">
            <v>0</v>
          </cell>
        </row>
        <row r="43">
          <cell r="B43">
            <v>15.47</v>
          </cell>
          <cell r="C43">
            <v>14.3</v>
          </cell>
          <cell r="D43">
            <v>15.5</v>
          </cell>
          <cell r="E43">
            <v>9.4</v>
          </cell>
          <cell r="F43">
            <v>9</v>
          </cell>
          <cell r="G43">
            <v>9</v>
          </cell>
          <cell r="H43">
            <v>0</v>
          </cell>
          <cell r="I43">
            <v>0</v>
          </cell>
          <cell r="J43">
            <v>0</v>
          </cell>
        </row>
        <row r="44">
          <cell r="B44">
            <v>13.96</v>
          </cell>
          <cell r="C44">
            <v>14</v>
          </cell>
          <cell r="D44">
            <v>14</v>
          </cell>
          <cell r="E44">
            <v>10.41</v>
          </cell>
          <cell r="F44">
            <v>9</v>
          </cell>
          <cell r="G44">
            <v>10</v>
          </cell>
          <cell r="H44">
            <v>0</v>
          </cell>
          <cell r="I44">
            <v>0</v>
          </cell>
          <cell r="J44">
            <v>0</v>
          </cell>
        </row>
        <row r="45">
          <cell r="B45">
            <v>13.04</v>
          </cell>
          <cell r="C45">
            <v>12.5</v>
          </cell>
          <cell r="D45">
            <v>14</v>
          </cell>
          <cell r="E45">
            <v>11.13</v>
          </cell>
          <cell r="F45">
            <v>8</v>
          </cell>
          <cell r="G45">
            <v>10</v>
          </cell>
          <cell r="H45">
            <v>0</v>
          </cell>
          <cell r="I45">
            <v>0</v>
          </cell>
          <cell r="J45">
            <v>0</v>
          </cell>
        </row>
        <row r="46">
          <cell r="B46">
            <v>14.1</v>
          </cell>
          <cell r="C46">
            <v>12.3</v>
          </cell>
          <cell r="D46">
            <v>14</v>
          </cell>
          <cell r="E46">
            <v>11.15</v>
          </cell>
          <cell r="F46">
            <v>8</v>
          </cell>
          <cell r="G46">
            <v>11</v>
          </cell>
          <cell r="H46">
            <v>0</v>
          </cell>
          <cell r="I46">
            <v>0</v>
          </cell>
          <cell r="J46">
            <v>0</v>
          </cell>
        </row>
        <row r="47">
          <cell r="B47">
            <v>13.21</v>
          </cell>
          <cell r="C47">
            <v>12.2</v>
          </cell>
          <cell r="D47">
            <v>13</v>
          </cell>
          <cell r="E47">
            <v>10.32</v>
          </cell>
          <cell r="F47">
            <v>8</v>
          </cell>
          <cell r="G47">
            <v>10</v>
          </cell>
          <cell r="H47">
            <v>0</v>
          </cell>
          <cell r="I47">
            <v>0</v>
          </cell>
          <cell r="J47">
            <v>0</v>
          </cell>
        </row>
        <row r="48">
          <cell r="B48">
            <v>12.14</v>
          </cell>
          <cell r="C48">
            <v>12</v>
          </cell>
          <cell r="D48">
            <v>12</v>
          </cell>
          <cell r="E48">
            <v>8.27</v>
          </cell>
          <cell r="F48">
            <v>8</v>
          </cell>
          <cell r="G48">
            <v>8</v>
          </cell>
          <cell r="H48">
            <v>0</v>
          </cell>
          <cell r="I48">
            <v>0</v>
          </cell>
          <cell r="J48">
            <v>0</v>
          </cell>
        </row>
        <row r="49">
          <cell r="B49">
            <v>11.52</v>
          </cell>
          <cell r="C49">
            <v>9</v>
          </cell>
          <cell r="D49">
            <v>12</v>
          </cell>
          <cell r="E49">
            <v>9.67</v>
          </cell>
          <cell r="F49">
            <v>7</v>
          </cell>
          <cell r="G49">
            <v>9</v>
          </cell>
          <cell r="H49">
            <v>0</v>
          </cell>
          <cell r="I49">
            <v>0</v>
          </cell>
          <cell r="J49">
            <v>0</v>
          </cell>
        </row>
        <row r="50">
          <cell r="B50">
            <v>12.02</v>
          </cell>
          <cell r="C50">
            <v>9</v>
          </cell>
          <cell r="D50">
            <v>12</v>
          </cell>
          <cell r="E50">
            <v>9.15</v>
          </cell>
          <cell r="F50">
            <v>7</v>
          </cell>
          <cell r="G50">
            <v>9</v>
          </cell>
          <cell r="H50">
            <v>0</v>
          </cell>
          <cell r="I50">
            <v>0</v>
          </cell>
          <cell r="J50">
            <v>0</v>
          </cell>
        </row>
        <row r="51">
          <cell r="B51">
            <v>12.05</v>
          </cell>
          <cell r="C51">
            <v>9</v>
          </cell>
          <cell r="D51">
            <v>12</v>
          </cell>
          <cell r="E51">
            <v>10.16</v>
          </cell>
          <cell r="F51">
            <v>7</v>
          </cell>
          <cell r="G51">
            <v>10</v>
          </cell>
          <cell r="H51">
            <v>0</v>
          </cell>
          <cell r="I51">
            <v>0</v>
          </cell>
          <cell r="J51">
            <v>0</v>
          </cell>
        </row>
        <row r="52">
          <cell r="B52">
            <v>12.1</v>
          </cell>
          <cell r="C52">
            <v>11</v>
          </cell>
          <cell r="D52">
            <v>12</v>
          </cell>
          <cell r="E52">
            <v>10.15</v>
          </cell>
          <cell r="F52">
            <v>8</v>
          </cell>
          <cell r="G52">
            <v>10</v>
          </cell>
          <cell r="H52">
            <v>0</v>
          </cell>
          <cell r="I52">
            <v>0</v>
          </cell>
          <cell r="J52">
            <v>0</v>
          </cell>
        </row>
        <row r="53">
          <cell r="B53">
            <v>12.12</v>
          </cell>
          <cell r="C53">
            <v>11</v>
          </cell>
          <cell r="D53">
            <v>12</v>
          </cell>
          <cell r="E53">
            <v>8.16</v>
          </cell>
          <cell r="F53">
            <v>8</v>
          </cell>
          <cell r="G53">
            <v>8</v>
          </cell>
          <cell r="H53">
            <v>0</v>
          </cell>
          <cell r="I53">
            <v>0</v>
          </cell>
          <cell r="J53">
            <v>0</v>
          </cell>
        </row>
        <row r="54">
          <cell r="B54">
            <v>12.1</v>
          </cell>
          <cell r="C54">
            <v>11</v>
          </cell>
          <cell r="D54">
            <v>12</v>
          </cell>
          <cell r="E54">
            <v>9.18</v>
          </cell>
          <cell r="F54">
            <v>8</v>
          </cell>
          <cell r="G54">
            <v>9</v>
          </cell>
          <cell r="H54">
            <v>0</v>
          </cell>
          <cell r="I54">
            <v>0</v>
          </cell>
          <cell r="J54">
            <v>0</v>
          </cell>
        </row>
        <row r="55">
          <cell r="B55">
            <v>12.1</v>
          </cell>
          <cell r="C55">
            <v>11</v>
          </cell>
          <cell r="D55">
            <v>12</v>
          </cell>
          <cell r="E55">
            <v>8.23</v>
          </cell>
          <cell r="F55">
            <v>8</v>
          </cell>
          <cell r="G55">
            <v>8</v>
          </cell>
          <cell r="H55">
            <v>0</v>
          </cell>
          <cell r="I55">
            <v>0</v>
          </cell>
          <cell r="J55">
            <v>0</v>
          </cell>
        </row>
        <row r="56">
          <cell r="B56">
            <v>12.11</v>
          </cell>
          <cell r="C56">
            <v>11</v>
          </cell>
          <cell r="D56">
            <v>12</v>
          </cell>
          <cell r="E56">
            <v>9.0500000000000007</v>
          </cell>
          <cell r="F56">
            <v>8</v>
          </cell>
          <cell r="G56">
            <v>9</v>
          </cell>
          <cell r="H56">
            <v>0</v>
          </cell>
          <cell r="I56">
            <v>0</v>
          </cell>
          <cell r="J56">
            <v>0</v>
          </cell>
        </row>
        <row r="57">
          <cell r="B57">
            <v>12.13</v>
          </cell>
          <cell r="C57">
            <v>11</v>
          </cell>
          <cell r="D57">
            <v>12</v>
          </cell>
          <cell r="E57">
            <v>9.16</v>
          </cell>
          <cell r="F57">
            <v>8</v>
          </cell>
          <cell r="G57">
            <v>9</v>
          </cell>
          <cell r="H57">
            <v>0</v>
          </cell>
          <cell r="I57">
            <v>0</v>
          </cell>
          <cell r="J57">
            <v>0</v>
          </cell>
        </row>
        <row r="58">
          <cell r="B58">
            <v>13.26</v>
          </cell>
          <cell r="C58">
            <v>13.2</v>
          </cell>
          <cell r="D58">
            <v>13.2</v>
          </cell>
          <cell r="E58">
            <v>9.14</v>
          </cell>
          <cell r="F58">
            <v>9</v>
          </cell>
          <cell r="G58">
            <v>9</v>
          </cell>
          <cell r="H58">
            <v>0</v>
          </cell>
          <cell r="I58">
            <v>0</v>
          </cell>
          <cell r="J58">
            <v>0</v>
          </cell>
        </row>
        <row r="59">
          <cell r="B59">
            <v>13.33</v>
          </cell>
          <cell r="C59">
            <v>13.5</v>
          </cell>
          <cell r="D59">
            <v>13.5</v>
          </cell>
          <cell r="E59">
            <v>9.44</v>
          </cell>
          <cell r="F59">
            <v>9</v>
          </cell>
          <cell r="G59">
            <v>9</v>
          </cell>
          <cell r="H59">
            <v>0</v>
          </cell>
          <cell r="I59">
            <v>0</v>
          </cell>
          <cell r="J59">
            <v>0</v>
          </cell>
        </row>
        <row r="60">
          <cell r="B60">
            <v>13.96</v>
          </cell>
          <cell r="C60">
            <v>15</v>
          </cell>
          <cell r="D60">
            <v>15</v>
          </cell>
          <cell r="E60">
            <v>10.49</v>
          </cell>
          <cell r="F60">
            <v>9</v>
          </cell>
          <cell r="G60">
            <v>9</v>
          </cell>
          <cell r="H60">
            <v>0</v>
          </cell>
          <cell r="I60">
            <v>0</v>
          </cell>
          <cell r="J60">
            <v>0</v>
          </cell>
        </row>
        <row r="61">
          <cell r="B61">
            <v>14.01</v>
          </cell>
          <cell r="C61">
            <v>15</v>
          </cell>
          <cell r="D61">
            <v>15</v>
          </cell>
          <cell r="E61">
            <v>11.11</v>
          </cell>
          <cell r="F61">
            <v>9</v>
          </cell>
          <cell r="G61">
            <v>10</v>
          </cell>
          <cell r="H61">
            <v>0</v>
          </cell>
          <cell r="I61">
            <v>0</v>
          </cell>
          <cell r="J61">
            <v>0</v>
          </cell>
        </row>
        <row r="62">
          <cell r="B62">
            <v>14.6</v>
          </cell>
          <cell r="C62">
            <v>15.3</v>
          </cell>
          <cell r="D62">
            <v>15.3</v>
          </cell>
          <cell r="E62">
            <v>11.15</v>
          </cell>
          <cell r="F62">
            <v>10</v>
          </cell>
          <cell r="G62">
            <v>10</v>
          </cell>
          <cell r="H62">
            <v>0</v>
          </cell>
          <cell r="I62">
            <v>0</v>
          </cell>
          <cell r="J62">
            <v>0</v>
          </cell>
        </row>
        <row r="63">
          <cell r="B63">
            <v>15.3</v>
          </cell>
          <cell r="C63">
            <v>15.3</v>
          </cell>
          <cell r="D63">
            <v>15.3</v>
          </cell>
          <cell r="E63">
            <v>10.220000000000001</v>
          </cell>
          <cell r="F63">
            <v>10</v>
          </cell>
          <cell r="G63">
            <v>10</v>
          </cell>
          <cell r="H63">
            <v>0</v>
          </cell>
          <cell r="I63">
            <v>0</v>
          </cell>
          <cell r="J63">
            <v>0</v>
          </cell>
        </row>
        <row r="64">
          <cell r="B64">
            <v>12.61</v>
          </cell>
          <cell r="C64">
            <v>15.5</v>
          </cell>
          <cell r="D64">
            <v>12.5</v>
          </cell>
          <cell r="E64">
            <v>9.19</v>
          </cell>
          <cell r="F64">
            <v>10</v>
          </cell>
          <cell r="G64">
            <v>9</v>
          </cell>
          <cell r="H64">
            <v>0</v>
          </cell>
          <cell r="I64">
            <v>0</v>
          </cell>
          <cell r="J64">
            <v>0</v>
          </cell>
        </row>
        <row r="65">
          <cell r="B65">
            <v>14.64</v>
          </cell>
          <cell r="C65">
            <v>15.5</v>
          </cell>
          <cell r="D65">
            <v>15.5</v>
          </cell>
          <cell r="E65">
            <v>11.21</v>
          </cell>
          <cell r="F65">
            <v>10</v>
          </cell>
          <cell r="G65">
            <v>10</v>
          </cell>
          <cell r="H65">
            <v>0</v>
          </cell>
          <cell r="I65">
            <v>0</v>
          </cell>
          <cell r="J65">
            <v>0</v>
          </cell>
        </row>
        <row r="66">
          <cell r="B66">
            <v>14.99</v>
          </cell>
          <cell r="C66">
            <v>15.5</v>
          </cell>
          <cell r="D66">
            <v>15.5</v>
          </cell>
          <cell r="E66">
            <v>10.64</v>
          </cell>
          <cell r="F66">
            <v>10</v>
          </cell>
          <cell r="G66">
            <v>10</v>
          </cell>
          <cell r="H66">
            <v>0</v>
          </cell>
          <cell r="I66">
            <v>0</v>
          </cell>
          <cell r="J66">
            <v>0</v>
          </cell>
        </row>
        <row r="67">
          <cell r="B67">
            <v>15.62</v>
          </cell>
          <cell r="C67">
            <v>15.3</v>
          </cell>
          <cell r="D67">
            <v>15.3</v>
          </cell>
          <cell r="E67">
            <v>10.199999999999999</v>
          </cell>
          <cell r="F67">
            <v>10</v>
          </cell>
          <cell r="G67">
            <v>10</v>
          </cell>
          <cell r="H67">
            <v>0</v>
          </cell>
          <cell r="I67">
            <v>0</v>
          </cell>
          <cell r="J67">
            <v>0</v>
          </cell>
        </row>
        <row r="68">
          <cell r="B68">
            <v>15.04</v>
          </cell>
          <cell r="C68">
            <v>15</v>
          </cell>
          <cell r="D68">
            <v>15</v>
          </cell>
          <cell r="E68">
            <v>10.18</v>
          </cell>
          <cell r="F68">
            <v>10</v>
          </cell>
          <cell r="G68">
            <v>10</v>
          </cell>
          <cell r="H68">
            <v>0</v>
          </cell>
          <cell r="I68">
            <v>0</v>
          </cell>
          <cell r="J68">
            <v>0</v>
          </cell>
        </row>
        <row r="69">
          <cell r="B69">
            <v>14.67</v>
          </cell>
          <cell r="C69">
            <v>14.5</v>
          </cell>
          <cell r="D69">
            <v>14.5</v>
          </cell>
          <cell r="E69">
            <v>10.199999999999999</v>
          </cell>
          <cell r="F69">
            <v>10</v>
          </cell>
          <cell r="G69">
            <v>10</v>
          </cell>
          <cell r="H69">
            <v>0</v>
          </cell>
          <cell r="I69">
            <v>0</v>
          </cell>
          <cell r="J69">
            <v>0</v>
          </cell>
        </row>
        <row r="70">
          <cell r="B70">
            <v>13.78</v>
          </cell>
          <cell r="C70">
            <v>13.3</v>
          </cell>
          <cell r="D70">
            <v>13.3</v>
          </cell>
          <cell r="E70">
            <v>8.41</v>
          </cell>
          <cell r="F70">
            <v>10</v>
          </cell>
          <cell r="G70">
            <v>8</v>
          </cell>
          <cell r="H70">
            <v>0</v>
          </cell>
          <cell r="I70">
            <v>0</v>
          </cell>
          <cell r="J70">
            <v>0</v>
          </cell>
        </row>
        <row r="71">
          <cell r="B71">
            <v>13.35</v>
          </cell>
          <cell r="C71">
            <v>13.2</v>
          </cell>
          <cell r="D71">
            <v>13.2</v>
          </cell>
          <cell r="E71">
            <v>10.01</v>
          </cell>
          <cell r="F71">
            <v>10</v>
          </cell>
          <cell r="G71">
            <v>10</v>
          </cell>
          <cell r="H71">
            <v>0</v>
          </cell>
          <cell r="I71">
            <v>0</v>
          </cell>
          <cell r="J71">
            <v>0</v>
          </cell>
        </row>
        <row r="72">
          <cell r="B72">
            <v>13.17</v>
          </cell>
          <cell r="C72">
            <v>13</v>
          </cell>
          <cell r="D72">
            <v>13</v>
          </cell>
          <cell r="E72">
            <v>10.17</v>
          </cell>
          <cell r="F72">
            <v>10</v>
          </cell>
          <cell r="G72">
            <v>10</v>
          </cell>
          <cell r="H72">
            <v>0</v>
          </cell>
          <cell r="I72">
            <v>0</v>
          </cell>
          <cell r="J72">
            <v>0</v>
          </cell>
        </row>
        <row r="73">
          <cell r="B73">
            <v>11.57</v>
          </cell>
          <cell r="C73">
            <v>11</v>
          </cell>
          <cell r="D73">
            <v>11</v>
          </cell>
          <cell r="E73">
            <v>10.130000000000001</v>
          </cell>
          <cell r="F73">
            <v>10</v>
          </cell>
          <cell r="G73">
            <v>10</v>
          </cell>
          <cell r="H73">
            <v>0</v>
          </cell>
          <cell r="I73">
            <v>0</v>
          </cell>
          <cell r="J73">
            <v>0</v>
          </cell>
        </row>
        <row r="74">
          <cell r="B74">
            <v>11.08</v>
          </cell>
          <cell r="C74">
            <v>11</v>
          </cell>
          <cell r="D74">
            <v>11</v>
          </cell>
          <cell r="E74">
            <v>10.119999999999999</v>
          </cell>
          <cell r="F74">
            <v>10</v>
          </cell>
          <cell r="G74">
            <v>10</v>
          </cell>
          <cell r="H74">
            <v>0</v>
          </cell>
          <cell r="I74">
            <v>0</v>
          </cell>
          <cell r="J74">
            <v>0</v>
          </cell>
        </row>
        <row r="75">
          <cell r="B75">
            <v>12.07</v>
          </cell>
          <cell r="C75">
            <v>11</v>
          </cell>
          <cell r="D75">
            <v>12</v>
          </cell>
          <cell r="E75">
            <v>10.17</v>
          </cell>
          <cell r="F75">
            <v>10</v>
          </cell>
          <cell r="G75">
            <v>10</v>
          </cell>
          <cell r="H75">
            <v>0</v>
          </cell>
          <cell r="I75">
            <v>0</v>
          </cell>
          <cell r="J75">
            <v>0</v>
          </cell>
        </row>
        <row r="76">
          <cell r="B76">
            <v>12.17</v>
          </cell>
          <cell r="C76">
            <v>11</v>
          </cell>
          <cell r="D76">
            <v>12</v>
          </cell>
          <cell r="E76">
            <v>10.199999999999999</v>
          </cell>
          <cell r="F76">
            <v>8</v>
          </cell>
          <cell r="G76">
            <v>10</v>
          </cell>
          <cell r="H76">
            <v>0</v>
          </cell>
          <cell r="I76">
            <v>0</v>
          </cell>
          <cell r="J76">
            <v>0</v>
          </cell>
        </row>
        <row r="77">
          <cell r="B77">
            <v>13.13</v>
          </cell>
          <cell r="C77">
            <v>11</v>
          </cell>
          <cell r="D77">
            <v>13</v>
          </cell>
          <cell r="E77">
            <v>10.16</v>
          </cell>
          <cell r="F77">
            <v>8</v>
          </cell>
          <cell r="G77">
            <v>10</v>
          </cell>
          <cell r="H77">
            <v>0</v>
          </cell>
          <cell r="I77">
            <v>0</v>
          </cell>
          <cell r="J77">
            <v>0</v>
          </cell>
        </row>
        <row r="78">
          <cell r="B78">
            <v>13.14</v>
          </cell>
          <cell r="C78">
            <v>11</v>
          </cell>
          <cell r="D78">
            <v>13</v>
          </cell>
          <cell r="E78">
            <v>10.3</v>
          </cell>
          <cell r="F78">
            <v>8</v>
          </cell>
          <cell r="G78">
            <v>10</v>
          </cell>
          <cell r="H78">
            <v>0</v>
          </cell>
          <cell r="I78">
            <v>0</v>
          </cell>
          <cell r="J78">
            <v>0</v>
          </cell>
        </row>
        <row r="79">
          <cell r="B79">
            <v>14.17</v>
          </cell>
          <cell r="C79">
            <v>11</v>
          </cell>
          <cell r="D79">
            <v>14</v>
          </cell>
          <cell r="E79">
            <v>11.2</v>
          </cell>
          <cell r="F79">
            <v>8</v>
          </cell>
          <cell r="G79">
            <v>11</v>
          </cell>
          <cell r="H79">
            <v>0</v>
          </cell>
          <cell r="I79">
            <v>0</v>
          </cell>
          <cell r="J79">
            <v>0</v>
          </cell>
        </row>
        <row r="80">
          <cell r="B80">
            <v>14.14</v>
          </cell>
          <cell r="C80">
            <v>11</v>
          </cell>
          <cell r="D80">
            <v>14</v>
          </cell>
          <cell r="E80">
            <v>10.1</v>
          </cell>
          <cell r="F80">
            <v>8</v>
          </cell>
          <cell r="G80">
            <v>9</v>
          </cell>
          <cell r="H80">
            <v>0</v>
          </cell>
          <cell r="I80">
            <v>0</v>
          </cell>
          <cell r="J80">
            <v>0</v>
          </cell>
        </row>
        <row r="81">
          <cell r="B81">
            <v>10.51</v>
          </cell>
          <cell r="C81">
            <v>11</v>
          </cell>
          <cell r="D81">
            <v>14</v>
          </cell>
          <cell r="E81">
            <v>10.76</v>
          </cell>
          <cell r="F81">
            <v>8</v>
          </cell>
          <cell r="G81">
            <v>10</v>
          </cell>
          <cell r="H81">
            <v>0</v>
          </cell>
          <cell r="I81">
            <v>0</v>
          </cell>
          <cell r="J81">
            <v>0</v>
          </cell>
        </row>
        <row r="82">
          <cell r="B82">
            <v>15.18</v>
          </cell>
          <cell r="C82">
            <v>13.2</v>
          </cell>
          <cell r="D82">
            <v>14</v>
          </cell>
          <cell r="E82">
            <v>8.39</v>
          </cell>
          <cell r="F82">
            <v>9</v>
          </cell>
          <cell r="G82">
            <v>9</v>
          </cell>
          <cell r="H82">
            <v>0</v>
          </cell>
          <cell r="I82">
            <v>0</v>
          </cell>
          <cell r="J82">
            <v>0</v>
          </cell>
        </row>
        <row r="83">
          <cell r="B83">
            <v>13.59</v>
          </cell>
          <cell r="C83">
            <v>13.5</v>
          </cell>
          <cell r="D83">
            <v>13.5</v>
          </cell>
          <cell r="E83">
            <v>9.23</v>
          </cell>
          <cell r="F83">
            <v>9</v>
          </cell>
          <cell r="G83">
            <v>9</v>
          </cell>
          <cell r="H83">
            <v>0</v>
          </cell>
          <cell r="I83">
            <v>0</v>
          </cell>
          <cell r="J83">
            <v>0</v>
          </cell>
        </row>
        <row r="84">
          <cell r="B84">
            <v>15.26</v>
          </cell>
          <cell r="C84">
            <v>15</v>
          </cell>
          <cell r="D84">
            <v>15</v>
          </cell>
          <cell r="E84">
            <v>10.09</v>
          </cell>
          <cell r="F84">
            <v>9</v>
          </cell>
          <cell r="G84">
            <v>9</v>
          </cell>
          <cell r="H84">
            <v>0</v>
          </cell>
          <cell r="I84">
            <v>0</v>
          </cell>
          <cell r="J84">
            <v>0</v>
          </cell>
        </row>
        <row r="85">
          <cell r="B85">
            <v>15.16</v>
          </cell>
          <cell r="C85">
            <v>15</v>
          </cell>
          <cell r="D85">
            <v>15</v>
          </cell>
          <cell r="E85">
            <v>9.2899999999999991</v>
          </cell>
          <cell r="F85">
            <v>9</v>
          </cell>
          <cell r="G85">
            <v>9</v>
          </cell>
          <cell r="H85">
            <v>0</v>
          </cell>
          <cell r="I85">
            <v>0</v>
          </cell>
          <cell r="J85">
            <v>0</v>
          </cell>
        </row>
        <row r="86">
          <cell r="B86">
            <v>15.37</v>
          </cell>
          <cell r="C86">
            <v>15.3</v>
          </cell>
          <cell r="D86">
            <v>15.3</v>
          </cell>
          <cell r="E86">
            <v>10.210000000000001</v>
          </cell>
          <cell r="F86">
            <v>10</v>
          </cell>
          <cell r="G86">
            <v>10</v>
          </cell>
          <cell r="H86">
            <v>0</v>
          </cell>
          <cell r="I86">
            <v>0</v>
          </cell>
          <cell r="J86">
            <v>0</v>
          </cell>
        </row>
        <row r="87">
          <cell r="B87">
            <v>15.4</v>
          </cell>
          <cell r="C87">
            <v>15.3</v>
          </cell>
          <cell r="D87">
            <v>15.3</v>
          </cell>
          <cell r="E87">
            <v>10.25</v>
          </cell>
          <cell r="F87">
            <v>10</v>
          </cell>
          <cell r="G87">
            <v>10</v>
          </cell>
          <cell r="H87">
            <v>0</v>
          </cell>
          <cell r="I87">
            <v>0</v>
          </cell>
          <cell r="J87">
            <v>0</v>
          </cell>
        </row>
        <row r="88">
          <cell r="B88">
            <v>15.56</v>
          </cell>
          <cell r="C88">
            <v>15.5</v>
          </cell>
          <cell r="D88">
            <v>15.5</v>
          </cell>
          <cell r="E88">
            <v>10.220000000000001</v>
          </cell>
          <cell r="F88">
            <v>10</v>
          </cell>
          <cell r="G88">
            <v>10</v>
          </cell>
          <cell r="H88">
            <v>0</v>
          </cell>
          <cell r="I88">
            <v>0</v>
          </cell>
          <cell r="J88">
            <v>0</v>
          </cell>
        </row>
        <row r="89">
          <cell r="B89">
            <v>15.56</v>
          </cell>
          <cell r="C89">
            <v>15.5</v>
          </cell>
          <cell r="D89">
            <v>15.5</v>
          </cell>
          <cell r="E89">
            <v>11.1</v>
          </cell>
          <cell r="F89">
            <v>10</v>
          </cell>
          <cell r="G89">
            <v>11</v>
          </cell>
          <cell r="H89">
            <v>0</v>
          </cell>
          <cell r="I89">
            <v>0</v>
          </cell>
          <cell r="J89">
            <v>0</v>
          </cell>
        </row>
        <row r="90">
          <cell r="B90">
            <v>15.57</v>
          </cell>
          <cell r="C90">
            <v>15.5</v>
          </cell>
          <cell r="D90">
            <v>15.5</v>
          </cell>
          <cell r="E90">
            <v>10.16</v>
          </cell>
          <cell r="F90">
            <v>10</v>
          </cell>
          <cell r="G90">
            <v>10</v>
          </cell>
          <cell r="H90">
            <v>0</v>
          </cell>
          <cell r="I90">
            <v>0</v>
          </cell>
          <cell r="J90">
            <v>0</v>
          </cell>
        </row>
        <row r="91">
          <cell r="B91">
            <v>15.34</v>
          </cell>
          <cell r="C91">
            <v>15.3</v>
          </cell>
          <cell r="D91">
            <v>15.3</v>
          </cell>
          <cell r="E91">
            <v>10.23</v>
          </cell>
          <cell r="F91">
            <v>10</v>
          </cell>
          <cell r="G91">
            <v>10</v>
          </cell>
          <cell r="H91">
            <v>0</v>
          </cell>
          <cell r="I91">
            <v>0</v>
          </cell>
          <cell r="J91">
            <v>0</v>
          </cell>
        </row>
        <row r="92">
          <cell r="B92">
            <v>14.96</v>
          </cell>
          <cell r="C92">
            <v>15</v>
          </cell>
          <cell r="D92">
            <v>15</v>
          </cell>
          <cell r="E92">
            <v>10.14</v>
          </cell>
          <cell r="F92">
            <v>10</v>
          </cell>
          <cell r="G92">
            <v>10</v>
          </cell>
          <cell r="H92">
            <v>0</v>
          </cell>
          <cell r="I92">
            <v>0</v>
          </cell>
          <cell r="J92">
            <v>0</v>
          </cell>
        </row>
        <row r="93">
          <cell r="B93">
            <v>14.6</v>
          </cell>
          <cell r="C93">
            <v>14.5</v>
          </cell>
          <cell r="D93">
            <v>14.5</v>
          </cell>
          <cell r="E93">
            <v>10.1</v>
          </cell>
          <cell r="F93">
            <v>10</v>
          </cell>
          <cell r="G93">
            <v>10</v>
          </cell>
          <cell r="H93">
            <v>0</v>
          </cell>
          <cell r="I93">
            <v>0</v>
          </cell>
          <cell r="J93">
            <v>0</v>
          </cell>
        </row>
        <row r="94">
          <cell r="B94">
            <v>13.07</v>
          </cell>
          <cell r="C94">
            <v>13.3</v>
          </cell>
          <cell r="D94">
            <v>13.3</v>
          </cell>
          <cell r="E94">
            <v>10.09</v>
          </cell>
          <cell r="F94">
            <v>10</v>
          </cell>
          <cell r="G94">
            <v>10</v>
          </cell>
          <cell r="H94">
            <v>0</v>
          </cell>
          <cell r="I94">
            <v>0</v>
          </cell>
          <cell r="J94">
            <v>0</v>
          </cell>
        </row>
        <row r="95">
          <cell r="B95">
            <v>13.06</v>
          </cell>
          <cell r="C95">
            <v>13.2</v>
          </cell>
          <cell r="D95">
            <v>13.2</v>
          </cell>
          <cell r="E95">
            <v>8.27</v>
          </cell>
          <cell r="F95">
            <v>10</v>
          </cell>
          <cell r="G95">
            <v>10</v>
          </cell>
          <cell r="H95">
            <v>0</v>
          </cell>
          <cell r="I95">
            <v>0</v>
          </cell>
          <cell r="J95">
            <v>0</v>
          </cell>
        </row>
        <row r="96">
          <cell r="B96">
            <v>13.08</v>
          </cell>
          <cell r="C96">
            <v>13</v>
          </cell>
          <cell r="D96">
            <v>13</v>
          </cell>
          <cell r="E96">
            <v>10</v>
          </cell>
          <cell r="F96">
            <v>10</v>
          </cell>
          <cell r="G96">
            <v>10</v>
          </cell>
          <cell r="H96">
            <v>0</v>
          </cell>
          <cell r="I96">
            <v>0</v>
          </cell>
          <cell r="J96">
            <v>0</v>
          </cell>
        </row>
        <row r="97">
          <cell r="B97">
            <v>11.09</v>
          </cell>
          <cell r="C97">
            <v>11</v>
          </cell>
          <cell r="D97">
            <v>11</v>
          </cell>
          <cell r="E97">
            <v>10.119999999999999</v>
          </cell>
          <cell r="F97">
            <v>10</v>
          </cell>
          <cell r="G97">
            <v>10</v>
          </cell>
          <cell r="H97">
            <v>0</v>
          </cell>
          <cell r="I97">
            <v>0</v>
          </cell>
          <cell r="J97">
            <v>0</v>
          </cell>
        </row>
        <row r="98">
          <cell r="B98">
            <v>11.08</v>
          </cell>
          <cell r="C98">
            <v>11</v>
          </cell>
          <cell r="D98">
            <v>11</v>
          </cell>
          <cell r="E98">
            <v>8.19</v>
          </cell>
          <cell r="F98">
            <v>9</v>
          </cell>
          <cell r="G98">
            <v>8</v>
          </cell>
          <cell r="H98">
            <v>0</v>
          </cell>
          <cell r="I98">
            <v>0</v>
          </cell>
          <cell r="J98">
            <v>0</v>
          </cell>
        </row>
        <row r="99">
          <cell r="B99">
            <v>11.09</v>
          </cell>
          <cell r="C99">
            <v>11</v>
          </cell>
          <cell r="D99">
            <v>11</v>
          </cell>
          <cell r="E99">
            <v>9</v>
          </cell>
          <cell r="F99">
            <v>9</v>
          </cell>
          <cell r="G99">
            <v>9</v>
          </cell>
          <cell r="H99">
            <v>0</v>
          </cell>
          <cell r="I99">
            <v>0</v>
          </cell>
          <cell r="J99">
            <v>0</v>
          </cell>
        </row>
        <row r="100">
          <cell r="B100">
            <v>12.1</v>
          </cell>
          <cell r="C100">
            <v>12</v>
          </cell>
          <cell r="D100">
            <v>12</v>
          </cell>
          <cell r="E100">
            <v>9.14</v>
          </cell>
          <cell r="F100">
            <v>9</v>
          </cell>
          <cell r="G100">
            <v>9</v>
          </cell>
          <cell r="H100">
            <v>0</v>
          </cell>
          <cell r="I100">
            <v>0</v>
          </cell>
          <cell r="J100">
            <v>0</v>
          </cell>
        </row>
        <row r="101">
          <cell r="B101">
            <v>12.11</v>
          </cell>
          <cell r="C101">
            <v>12</v>
          </cell>
          <cell r="D101">
            <v>12</v>
          </cell>
          <cell r="E101">
            <v>8.24</v>
          </cell>
          <cell r="F101">
            <v>9</v>
          </cell>
          <cell r="G101">
            <v>8</v>
          </cell>
          <cell r="H101">
            <v>0</v>
          </cell>
          <cell r="I101">
            <v>0</v>
          </cell>
          <cell r="J101">
            <v>0</v>
          </cell>
        </row>
        <row r="102">
          <cell r="B102">
            <v>12.05</v>
          </cell>
          <cell r="C102">
            <v>12</v>
          </cell>
          <cell r="D102">
            <v>12</v>
          </cell>
          <cell r="E102">
            <v>8.26</v>
          </cell>
          <cell r="F102">
            <v>9</v>
          </cell>
          <cell r="G102">
            <v>8</v>
          </cell>
          <cell r="H102">
            <v>0</v>
          </cell>
          <cell r="I102">
            <v>0</v>
          </cell>
          <cell r="J102">
            <v>0</v>
          </cell>
        </row>
        <row r="103">
          <cell r="B103">
            <v>12.09</v>
          </cell>
          <cell r="C103">
            <v>11</v>
          </cell>
          <cell r="D103">
            <v>12</v>
          </cell>
          <cell r="E103">
            <v>9.24</v>
          </cell>
          <cell r="F103">
            <v>9</v>
          </cell>
          <cell r="G103">
            <v>9</v>
          </cell>
          <cell r="H103">
            <v>0</v>
          </cell>
          <cell r="I103">
            <v>0</v>
          </cell>
          <cell r="J103">
            <v>0</v>
          </cell>
        </row>
        <row r="104">
          <cell r="B104">
            <v>14.19</v>
          </cell>
          <cell r="C104">
            <v>11</v>
          </cell>
          <cell r="D104">
            <v>14</v>
          </cell>
          <cell r="E104">
            <v>11.14</v>
          </cell>
          <cell r="F104">
            <v>9</v>
          </cell>
          <cell r="G104">
            <v>10</v>
          </cell>
          <cell r="H104">
            <v>0</v>
          </cell>
          <cell r="I104">
            <v>0</v>
          </cell>
          <cell r="J104">
            <v>0</v>
          </cell>
        </row>
        <row r="105">
          <cell r="B105">
            <v>15.17</v>
          </cell>
          <cell r="C105">
            <v>11</v>
          </cell>
          <cell r="D105">
            <v>15</v>
          </cell>
          <cell r="E105">
            <v>12.45</v>
          </cell>
          <cell r="F105">
            <v>9</v>
          </cell>
          <cell r="G105">
            <v>10</v>
          </cell>
          <cell r="H105">
            <v>0</v>
          </cell>
          <cell r="I105">
            <v>0</v>
          </cell>
          <cell r="J105">
            <v>0</v>
          </cell>
        </row>
        <row r="106">
          <cell r="B106">
            <v>16.07</v>
          </cell>
          <cell r="C106">
            <v>13.2</v>
          </cell>
          <cell r="D106">
            <v>16</v>
          </cell>
          <cell r="E106">
            <v>12.41</v>
          </cell>
          <cell r="F106">
            <v>9</v>
          </cell>
          <cell r="G106">
            <v>12</v>
          </cell>
          <cell r="H106">
            <v>0</v>
          </cell>
          <cell r="I106">
            <v>0</v>
          </cell>
          <cell r="J106">
            <v>0</v>
          </cell>
        </row>
        <row r="107">
          <cell r="B107">
            <v>13.26</v>
          </cell>
          <cell r="C107">
            <v>13.5</v>
          </cell>
          <cell r="D107">
            <v>13.5</v>
          </cell>
          <cell r="E107">
            <v>10.54</v>
          </cell>
          <cell r="F107">
            <v>9</v>
          </cell>
          <cell r="G107">
            <v>9</v>
          </cell>
          <cell r="H107">
            <v>0</v>
          </cell>
          <cell r="I107">
            <v>0</v>
          </cell>
          <cell r="J107">
            <v>0</v>
          </cell>
        </row>
        <row r="108"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B116">
            <v>14.95</v>
          </cell>
          <cell r="C116">
            <v>15</v>
          </cell>
          <cell r="D116">
            <v>15</v>
          </cell>
          <cell r="E116">
            <v>9.6</v>
          </cell>
          <cell r="F116">
            <v>10</v>
          </cell>
          <cell r="G116">
            <v>10</v>
          </cell>
          <cell r="H116">
            <v>0</v>
          </cell>
          <cell r="I116">
            <v>0</v>
          </cell>
          <cell r="J116">
            <v>0</v>
          </cell>
        </row>
        <row r="117">
          <cell r="B117">
            <v>12.87</v>
          </cell>
          <cell r="C117">
            <v>14.5</v>
          </cell>
          <cell r="D117">
            <v>14.5</v>
          </cell>
          <cell r="E117">
            <v>10.95</v>
          </cell>
          <cell r="F117">
            <v>9</v>
          </cell>
          <cell r="G117">
            <v>9</v>
          </cell>
          <cell r="H117">
            <v>0</v>
          </cell>
          <cell r="I117">
            <v>0</v>
          </cell>
          <cell r="J117">
            <v>0</v>
          </cell>
        </row>
        <row r="118">
          <cell r="B118">
            <v>10.75</v>
          </cell>
          <cell r="C118">
            <v>13.3</v>
          </cell>
          <cell r="D118">
            <v>13.3</v>
          </cell>
          <cell r="E118">
            <v>11.82</v>
          </cell>
          <cell r="F118">
            <v>9</v>
          </cell>
          <cell r="G118">
            <v>9</v>
          </cell>
          <cell r="H118">
            <v>0</v>
          </cell>
          <cell r="I118">
            <v>0</v>
          </cell>
          <cell r="J118">
            <v>0</v>
          </cell>
        </row>
        <row r="119">
          <cell r="B119">
            <v>11.47</v>
          </cell>
          <cell r="C119">
            <v>13.2</v>
          </cell>
          <cell r="D119">
            <v>13.2</v>
          </cell>
          <cell r="E119">
            <v>11.36</v>
          </cell>
          <cell r="F119">
            <v>10</v>
          </cell>
          <cell r="G119">
            <v>10</v>
          </cell>
          <cell r="H119">
            <v>0</v>
          </cell>
          <cell r="I119">
            <v>0</v>
          </cell>
          <cell r="J119">
            <v>0</v>
          </cell>
        </row>
        <row r="120">
          <cell r="B120">
            <v>11.51</v>
          </cell>
          <cell r="C120">
            <v>13</v>
          </cell>
          <cell r="D120">
            <v>13</v>
          </cell>
          <cell r="E120">
            <v>11.6</v>
          </cell>
          <cell r="F120">
            <v>10</v>
          </cell>
          <cell r="G120">
            <v>10</v>
          </cell>
          <cell r="H120">
            <v>0</v>
          </cell>
          <cell r="I120">
            <v>0</v>
          </cell>
          <cell r="J120">
            <v>0</v>
          </cell>
        </row>
        <row r="121">
          <cell r="B121">
            <v>11.16</v>
          </cell>
          <cell r="C121">
            <v>11</v>
          </cell>
          <cell r="D121">
            <v>11</v>
          </cell>
          <cell r="E121">
            <v>10.16</v>
          </cell>
          <cell r="F121">
            <v>10</v>
          </cell>
          <cell r="G121">
            <v>10</v>
          </cell>
          <cell r="H121">
            <v>0</v>
          </cell>
          <cell r="I121">
            <v>0</v>
          </cell>
          <cell r="J121">
            <v>0</v>
          </cell>
        </row>
        <row r="122">
          <cell r="B122">
            <v>11.95</v>
          </cell>
          <cell r="C122">
            <v>11</v>
          </cell>
          <cell r="D122">
            <v>12</v>
          </cell>
          <cell r="E122">
            <v>10.09</v>
          </cell>
          <cell r="F122">
            <v>10</v>
          </cell>
          <cell r="G122">
            <v>10</v>
          </cell>
          <cell r="H122">
            <v>0</v>
          </cell>
          <cell r="I122">
            <v>0</v>
          </cell>
          <cell r="J122">
            <v>0</v>
          </cell>
        </row>
        <row r="123">
          <cell r="B123">
            <v>11.11</v>
          </cell>
          <cell r="C123">
            <v>11</v>
          </cell>
          <cell r="D123">
            <v>11</v>
          </cell>
          <cell r="E123">
            <v>9.11</v>
          </cell>
          <cell r="F123">
            <v>9</v>
          </cell>
          <cell r="G123">
            <v>9</v>
          </cell>
          <cell r="H123">
            <v>0</v>
          </cell>
          <cell r="I123">
            <v>0</v>
          </cell>
          <cell r="J123">
            <v>0</v>
          </cell>
        </row>
        <row r="124">
          <cell r="B124">
            <v>12.14</v>
          </cell>
          <cell r="C124">
            <v>12</v>
          </cell>
          <cell r="D124">
            <v>12</v>
          </cell>
          <cell r="E124">
            <v>9.11</v>
          </cell>
          <cell r="F124">
            <v>9</v>
          </cell>
          <cell r="G124">
            <v>9</v>
          </cell>
          <cell r="H124">
            <v>0</v>
          </cell>
          <cell r="I124">
            <v>0</v>
          </cell>
          <cell r="J124">
            <v>0</v>
          </cell>
        </row>
        <row r="125">
          <cell r="B125">
            <v>12.19</v>
          </cell>
          <cell r="C125">
            <v>12</v>
          </cell>
          <cell r="D125">
            <v>12</v>
          </cell>
          <cell r="E125">
            <v>9.17</v>
          </cell>
          <cell r="F125">
            <v>9</v>
          </cell>
          <cell r="G125">
            <v>9</v>
          </cell>
          <cell r="H125">
            <v>0</v>
          </cell>
          <cell r="I125">
            <v>0</v>
          </cell>
          <cell r="J125">
            <v>0</v>
          </cell>
        </row>
        <row r="126">
          <cell r="B126">
            <v>12.16</v>
          </cell>
          <cell r="C126">
            <v>12</v>
          </cell>
          <cell r="D126">
            <v>12</v>
          </cell>
          <cell r="E126">
            <v>9.14</v>
          </cell>
          <cell r="F126">
            <v>9</v>
          </cell>
          <cell r="G126">
            <v>9</v>
          </cell>
          <cell r="H126">
            <v>0</v>
          </cell>
          <cell r="I126">
            <v>0</v>
          </cell>
          <cell r="J126">
            <v>0</v>
          </cell>
        </row>
        <row r="127">
          <cell r="B127">
            <v>12.15</v>
          </cell>
          <cell r="C127">
            <v>11</v>
          </cell>
          <cell r="D127">
            <v>11</v>
          </cell>
          <cell r="E127">
            <v>8.09</v>
          </cell>
          <cell r="F127">
            <v>9</v>
          </cell>
          <cell r="G127">
            <v>9</v>
          </cell>
          <cell r="H127">
            <v>0</v>
          </cell>
          <cell r="I127">
            <v>0</v>
          </cell>
          <cell r="J127">
            <v>0</v>
          </cell>
        </row>
        <row r="128">
          <cell r="B128">
            <v>11.18</v>
          </cell>
          <cell r="C128">
            <v>11</v>
          </cell>
          <cell r="D128">
            <v>11</v>
          </cell>
          <cell r="E128">
            <v>9.06</v>
          </cell>
          <cell r="F128">
            <v>9</v>
          </cell>
          <cell r="G128">
            <v>9</v>
          </cell>
          <cell r="H128">
            <v>0</v>
          </cell>
          <cell r="I128">
            <v>0</v>
          </cell>
          <cell r="J128">
            <v>0</v>
          </cell>
        </row>
        <row r="129">
          <cell r="B129">
            <v>11.1</v>
          </cell>
          <cell r="C129">
            <v>11</v>
          </cell>
          <cell r="D129">
            <v>11</v>
          </cell>
          <cell r="E129">
            <v>9.0399999999999991</v>
          </cell>
          <cell r="F129">
            <v>9</v>
          </cell>
          <cell r="G129">
            <v>9</v>
          </cell>
          <cell r="H129">
            <v>0</v>
          </cell>
          <cell r="I129">
            <v>0</v>
          </cell>
          <cell r="J129">
            <v>0</v>
          </cell>
        </row>
        <row r="130">
          <cell r="B130">
            <v>12.17</v>
          </cell>
          <cell r="C130">
            <v>13.2</v>
          </cell>
          <cell r="D130">
            <v>13.2</v>
          </cell>
          <cell r="E130">
            <v>10.31</v>
          </cell>
          <cell r="F130">
            <v>9</v>
          </cell>
          <cell r="G130">
            <v>9</v>
          </cell>
          <cell r="H130">
            <v>0</v>
          </cell>
          <cell r="I130">
            <v>0</v>
          </cell>
          <cell r="J130">
            <v>0</v>
          </cell>
        </row>
        <row r="131">
          <cell r="B131">
            <v>13.22</v>
          </cell>
          <cell r="C131">
            <v>13.5</v>
          </cell>
          <cell r="D131">
            <v>13.5</v>
          </cell>
          <cell r="E131">
            <v>9.68</v>
          </cell>
          <cell r="F131">
            <v>9</v>
          </cell>
          <cell r="G131">
            <v>9</v>
          </cell>
          <cell r="H131">
            <v>0</v>
          </cell>
          <cell r="I131">
            <v>0</v>
          </cell>
          <cell r="J131">
            <v>0</v>
          </cell>
        </row>
        <row r="132">
          <cell r="B132">
            <v>14.02</v>
          </cell>
          <cell r="C132">
            <v>15</v>
          </cell>
          <cell r="D132">
            <v>15</v>
          </cell>
          <cell r="E132">
            <v>10.11</v>
          </cell>
          <cell r="F132">
            <v>9</v>
          </cell>
          <cell r="G132">
            <v>9</v>
          </cell>
          <cell r="H132">
            <v>0</v>
          </cell>
          <cell r="I132">
            <v>0</v>
          </cell>
          <cell r="J132">
            <v>0</v>
          </cell>
        </row>
        <row r="133">
          <cell r="B133">
            <v>14.52</v>
          </cell>
          <cell r="C133">
            <v>15</v>
          </cell>
          <cell r="D133">
            <v>15</v>
          </cell>
          <cell r="E133">
            <v>10.61</v>
          </cell>
          <cell r="F133">
            <v>10</v>
          </cell>
          <cell r="G133">
            <v>10</v>
          </cell>
          <cell r="H133">
            <v>0</v>
          </cell>
          <cell r="I133">
            <v>0</v>
          </cell>
          <cell r="J133">
            <v>0</v>
          </cell>
        </row>
        <row r="134">
          <cell r="B134">
            <v>15.13</v>
          </cell>
          <cell r="C134">
            <v>15.3</v>
          </cell>
          <cell r="D134">
            <v>15.3</v>
          </cell>
          <cell r="E134">
            <v>10.210000000000001</v>
          </cell>
          <cell r="F134">
            <v>10</v>
          </cell>
          <cell r="G134">
            <v>10</v>
          </cell>
          <cell r="H134">
            <v>0</v>
          </cell>
          <cell r="I134">
            <v>0</v>
          </cell>
          <cell r="J134">
            <v>0</v>
          </cell>
        </row>
        <row r="135">
          <cell r="B135">
            <v>14.29</v>
          </cell>
          <cell r="C135">
            <v>15.3</v>
          </cell>
          <cell r="D135">
            <v>15.3</v>
          </cell>
          <cell r="E135">
            <v>10.63</v>
          </cell>
          <cell r="F135">
            <v>10</v>
          </cell>
          <cell r="G135">
            <v>10</v>
          </cell>
          <cell r="H135">
            <v>0</v>
          </cell>
          <cell r="I135">
            <v>0</v>
          </cell>
          <cell r="J135">
            <v>0</v>
          </cell>
        </row>
        <row r="136">
          <cell r="B136">
            <v>10.08</v>
          </cell>
          <cell r="C136">
            <v>15.5</v>
          </cell>
          <cell r="D136">
            <v>10</v>
          </cell>
          <cell r="E136">
            <v>6.86</v>
          </cell>
          <cell r="F136">
            <v>9</v>
          </cell>
          <cell r="G136">
            <v>6.5</v>
          </cell>
          <cell r="H136">
            <v>0</v>
          </cell>
          <cell r="I136">
            <v>0</v>
          </cell>
          <cell r="J136">
            <v>0</v>
          </cell>
        </row>
        <row r="137">
          <cell r="B137">
            <v>13.27</v>
          </cell>
          <cell r="C137">
            <v>15.5</v>
          </cell>
          <cell r="D137">
            <v>13.5</v>
          </cell>
          <cell r="E137">
            <v>8.48</v>
          </cell>
          <cell r="F137">
            <v>10</v>
          </cell>
          <cell r="G137">
            <v>8.5</v>
          </cell>
          <cell r="H137">
            <v>0</v>
          </cell>
          <cell r="I137">
            <v>0</v>
          </cell>
          <cell r="J137">
            <v>0</v>
          </cell>
        </row>
        <row r="138">
          <cell r="B138">
            <v>13.23</v>
          </cell>
          <cell r="C138">
            <v>15.5</v>
          </cell>
          <cell r="D138">
            <v>13.5</v>
          </cell>
          <cell r="E138">
            <v>8.14</v>
          </cell>
          <cell r="F138">
            <v>10</v>
          </cell>
          <cell r="G138">
            <v>8</v>
          </cell>
          <cell r="H138">
            <v>0</v>
          </cell>
          <cell r="I138">
            <v>0</v>
          </cell>
          <cell r="J138">
            <v>0</v>
          </cell>
        </row>
        <row r="139">
          <cell r="B139">
            <v>8.76</v>
          </cell>
          <cell r="C139">
            <v>15.3</v>
          </cell>
          <cell r="D139">
            <v>9</v>
          </cell>
          <cell r="E139">
            <v>7.37</v>
          </cell>
          <cell r="F139">
            <v>10</v>
          </cell>
          <cell r="G139">
            <v>7</v>
          </cell>
          <cell r="H139">
            <v>0</v>
          </cell>
          <cell r="I139">
            <v>0</v>
          </cell>
          <cell r="J139">
            <v>0</v>
          </cell>
        </row>
        <row r="140">
          <cell r="B140">
            <v>8.89</v>
          </cell>
          <cell r="C140">
            <v>14</v>
          </cell>
          <cell r="D140">
            <v>9</v>
          </cell>
          <cell r="E140">
            <v>5.23</v>
          </cell>
          <cell r="F140">
            <v>10</v>
          </cell>
          <cell r="G140">
            <v>5</v>
          </cell>
          <cell r="H140">
            <v>0</v>
          </cell>
          <cell r="I140">
            <v>0</v>
          </cell>
          <cell r="J140">
            <v>0</v>
          </cell>
        </row>
        <row r="141">
          <cell r="B141">
            <v>13.05</v>
          </cell>
          <cell r="C141">
            <v>13.5</v>
          </cell>
          <cell r="D141">
            <v>13.5</v>
          </cell>
          <cell r="E141">
            <v>8.98</v>
          </cell>
          <cell r="F141">
            <v>9</v>
          </cell>
          <cell r="G141">
            <v>9</v>
          </cell>
          <cell r="H141">
            <v>0</v>
          </cell>
          <cell r="I141">
            <v>0</v>
          </cell>
          <cell r="J141">
            <v>0</v>
          </cell>
        </row>
        <row r="142">
          <cell r="B142">
            <v>9.07</v>
          </cell>
          <cell r="C142">
            <v>13.3</v>
          </cell>
          <cell r="D142">
            <v>9</v>
          </cell>
          <cell r="E142">
            <v>9.01</v>
          </cell>
          <cell r="F142">
            <v>9</v>
          </cell>
          <cell r="G142">
            <v>7</v>
          </cell>
          <cell r="H142">
            <v>0</v>
          </cell>
          <cell r="I142">
            <v>0</v>
          </cell>
          <cell r="J142">
            <v>0</v>
          </cell>
        </row>
        <row r="143">
          <cell r="B143">
            <v>9.1</v>
          </cell>
          <cell r="C143">
            <v>13.2</v>
          </cell>
          <cell r="D143">
            <v>9</v>
          </cell>
          <cell r="E143">
            <v>6.14</v>
          </cell>
          <cell r="F143">
            <v>10</v>
          </cell>
          <cell r="G143">
            <v>6</v>
          </cell>
          <cell r="H143">
            <v>0</v>
          </cell>
          <cell r="I143">
            <v>0</v>
          </cell>
          <cell r="J143">
            <v>0</v>
          </cell>
        </row>
        <row r="144">
          <cell r="B144">
            <v>15.87</v>
          </cell>
          <cell r="C144">
            <v>13</v>
          </cell>
          <cell r="D144">
            <v>13</v>
          </cell>
          <cell r="E144">
            <v>6.04</v>
          </cell>
          <cell r="F144">
            <v>10</v>
          </cell>
          <cell r="G144">
            <v>9</v>
          </cell>
          <cell r="H144">
            <v>0</v>
          </cell>
          <cell r="I144">
            <v>0</v>
          </cell>
          <cell r="J144">
            <v>0</v>
          </cell>
        </row>
        <row r="145">
          <cell r="B145">
            <v>13.2</v>
          </cell>
          <cell r="C145">
            <v>11</v>
          </cell>
          <cell r="D145">
            <v>12</v>
          </cell>
          <cell r="E145">
            <v>8.0399999999999991</v>
          </cell>
          <cell r="F145">
            <v>9</v>
          </cell>
          <cell r="G145">
            <v>9</v>
          </cell>
          <cell r="H145">
            <v>0</v>
          </cell>
          <cell r="I145">
            <v>0</v>
          </cell>
          <cell r="J145">
            <v>0</v>
          </cell>
        </row>
        <row r="146">
          <cell r="B146">
            <v>11.18</v>
          </cell>
          <cell r="C146">
            <v>11</v>
          </cell>
          <cell r="D146">
            <v>11</v>
          </cell>
          <cell r="E146">
            <v>8.19</v>
          </cell>
          <cell r="F146">
            <v>9</v>
          </cell>
          <cell r="G146">
            <v>8</v>
          </cell>
          <cell r="H146">
            <v>0</v>
          </cell>
          <cell r="I146">
            <v>0</v>
          </cell>
          <cell r="J146">
            <v>0</v>
          </cell>
        </row>
        <row r="147">
          <cell r="B147">
            <v>11.22</v>
          </cell>
          <cell r="C147">
            <v>11</v>
          </cell>
          <cell r="D147">
            <v>11</v>
          </cell>
          <cell r="E147">
            <v>8.75</v>
          </cell>
          <cell r="F147">
            <v>9</v>
          </cell>
          <cell r="G147">
            <v>9</v>
          </cell>
          <cell r="H147">
            <v>0</v>
          </cell>
          <cell r="I147">
            <v>0</v>
          </cell>
          <cell r="J147">
            <v>0</v>
          </cell>
        </row>
        <row r="148">
          <cell r="B148">
            <v>11.26</v>
          </cell>
          <cell r="C148">
            <v>11</v>
          </cell>
          <cell r="D148">
            <v>11</v>
          </cell>
          <cell r="E148">
            <v>9.1199999999999992</v>
          </cell>
          <cell r="F148">
            <v>8</v>
          </cell>
          <cell r="G148">
            <v>9</v>
          </cell>
          <cell r="H148">
            <v>0</v>
          </cell>
          <cell r="I148">
            <v>0</v>
          </cell>
          <cell r="J148">
            <v>0</v>
          </cell>
        </row>
        <row r="149">
          <cell r="B149">
            <v>11.31</v>
          </cell>
          <cell r="C149">
            <v>11</v>
          </cell>
          <cell r="D149">
            <v>11</v>
          </cell>
          <cell r="E149">
            <v>8.1999999999999993</v>
          </cell>
          <cell r="F149">
            <v>8</v>
          </cell>
          <cell r="G149">
            <v>8</v>
          </cell>
          <cell r="H149">
            <v>0</v>
          </cell>
          <cell r="I149">
            <v>0</v>
          </cell>
          <cell r="J149">
            <v>0</v>
          </cell>
        </row>
        <row r="150">
          <cell r="B150">
            <v>11.38</v>
          </cell>
          <cell r="C150">
            <v>11</v>
          </cell>
          <cell r="D150">
            <v>11</v>
          </cell>
          <cell r="E150">
            <v>8.11</v>
          </cell>
          <cell r="F150">
            <v>8</v>
          </cell>
          <cell r="G150">
            <v>8</v>
          </cell>
          <cell r="H150">
            <v>0</v>
          </cell>
          <cell r="I150">
            <v>0</v>
          </cell>
          <cell r="J150">
            <v>0</v>
          </cell>
        </row>
        <row r="151">
          <cell r="B151">
            <v>12.21</v>
          </cell>
          <cell r="C151">
            <v>11</v>
          </cell>
          <cell r="D151">
            <v>12</v>
          </cell>
          <cell r="E151">
            <v>8.11</v>
          </cell>
          <cell r="F151">
            <v>8</v>
          </cell>
          <cell r="G151">
            <v>8</v>
          </cell>
          <cell r="H151">
            <v>0</v>
          </cell>
          <cell r="I151">
            <v>0</v>
          </cell>
          <cell r="J151">
            <v>0</v>
          </cell>
        </row>
        <row r="152">
          <cell r="B152">
            <v>11.42</v>
          </cell>
          <cell r="C152">
            <v>11</v>
          </cell>
          <cell r="D152">
            <v>11</v>
          </cell>
          <cell r="E152">
            <v>8.14</v>
          </cell>
          <cell r="F152">
            <v>8</v>
          </cell>
          <cell r="G152">
            <v>8</v>
          </cell>
          <cell r="H152">
            <v>0</v>
          </cell>
          <cell r="I152">
            <v>0</v>
          </cell>
          <cell r="J152">
            <v>0</v>
          </cell>
        </row>
        <row r="153">
          <cell r="B153">
            <v>12.27</v>
          </cell>
          <cell r="C153">
            <v>11</v>
          </cell>
          <cell r="D153">
            <v>12</v>
          </cell>
          <cell r="E153">
            <v>8.16</v>
          </cell>
          <cell r="F153">
            <v>8</v>
          </cell>
          <cell r="G153">
            <v>8</v>
          </cell>
          <cell r="H153">
            <v>0</v>
          </cell>
          <cell r="I153">
            <v>0</v>
          </cell>
          <cell r="J153">
            <v>0</v>
          </cell>
        </row>
        <row r="154">
          <cell r="B154">
            <v>12.4</v>
          </cell>
          <cell r="C154">
            <v>11.2</v>
          </cell>
          <cell r="D154">
            <v>12.2</v>
          </cell>
          <cell r="E154">
            <v>9.25</v>
          </cell>
          <cell r="F154">
            <v>8</v>
          </cell>
          <cell r="G154">
            <v>9</v>
          </cell>
          <cell r="H154">
            <v>0</v>
          </cell>
          <cell r="I154">
            <v>0</v>
          </cell>
          <cell r="J154">
            <v>0</v>
          </cell>
        </row>
        <row r="155">
          <cell r="B155">
            <v>12.55</v>
          </cell>
          <cell r="C155">
            <v>11.4</v>
          </cell>
          <cell r="D155">
            <v>12.4</v>
          </cell>
          <cell r="E155">
            <v>9.18</v>
          </cell>
          <cell r="F155">
            <v>8</v>
          </cell>
          <cell r="G155">
            <v>9</v>
          </cell>
          <cell r="H155">
            <v>0</v>
          </cell>
          <cell r="I155">
            <v>0</v>
          </cell>
          <cell r="J155">
            <v>0</v>
          </cell>
        </row>
        <row r="156">
          <cell r="B156">
            <v>13.84</v>
          </cell>
          <cell r="C156">
            <v>12.8</v>
          </cell>
          <cell r="D156">
            <v>12.8</v>
          </cell>
          <cell r="E156">
            <v>9.19</v>
          </cell>
          <cell r="F156">
            <v>8</v>
          </cell>
          <cell r="G156">
            <v>9</v>
          </cell>
          <cell r="H156">
            <v>0</v>
          </cell>
          <cell r="I156">
            <v>0</v>
          </cell>
          <cell r="J156">
            <v>0</v>
          </cell>
        </row>
        <row r="157">
          <cell r="B157">
            <v>14.72</v>
          </cell>
          <cell r="C157">
            <v>13</v>
          </cell>
          <cell r="D157">
            <v>14</v>
          </cell>
          <cell r="E157">
            <v>8.2899999999999991</v>
          </cell>
          <cell r="F157">
            <v>8</v>
          </cell>
          <cell r="G157">
            <v>9</v>
          </cell>
          <cell r="H157">
            <v>0</v>
          </cell>
          <cell r="I157">
            <v>0</v>
          </cell>
          <cell r="J157">
            <v>0</v>
          </cell>
        </row>
        <row r="158">
          <cell r="B158">
            <v>15.31</v>
          </cell>
          <cell r="C158">
            <v>13.3</v>
          </cell>
          <cell r="D158">
            <v>15.3</v>
          </cell>
          <cell r="E158">
            <v>10.25</v>
          </cell>
          <cell r="F158">
            <v>9</v>
          </cell>
          <cell r="G158">
            <v>10</v>
          </cell>
          <cell r="H158">
            <v>0</v>
          </cell>
          <cell r="I158">
            <v>0</v>
          </cell>
          <cell r="J158">
            <v>0</v>
          </cell>
        </row>
        <row r="159">
          <cell r="B159">
            <v>15.6</v>
          </cell>
          <cell r="C159">
            <v>13.5</v>
          </cell>
          <cell r="D159">
            <v>15.5</v>
          </cell>
          <cell r="E159">
            <v>9.14</v>
          </cell>
          <cell r="F159">
            <v>9</v>
          </cell>
          <cell r="G159">
            <v>9</v>
          </cell>
          <cell r="H159">
            <v>0</v>
          </cell>
          <cell r="I159">
            <v>0</v>
          </cell>
          <cell r="J159">
            <v>0</v>
          </cell>
        </row>
        <row r="160">
          <cell r="B160">
            <v>15.68</v>
          </cell>
          <cell r="C160">
            <v>12.6</v>
          </cell>
          <cell r="D160">
            <v>15.6</v>
          </cell>
          <cell r="E160">
            <v>11.08</v>
          </cell>
          <cell r="F160">
            <v>8</v>
          </cell>
          <cell r="G160">
            <v>11</v>
          </cell>
          <cell r="H160">
            <v>0</v>
          </cell>
          <cell r="I160">
            <v>0</v>
          </cell>
          <cell r="J160">
            <v>0</v>
          </cell>
        </row>
        <row r="161">
          <cell r="B161">
            <v>16.13</v>
          </cell>
          <cell r="C161">
            <v>13.6</v>
          </cell>
          <cell r="D161">
            <v>16</v>
          </cell>
          <cell r="E161">
            <v>10.130000000000001</v>
          </cell>
          <cell r="F161">
            <v>9</v>
          </cell>
          <cell r="G161">
            <v>10</v>
          </cell>
          <cell r="H161">
            <v>0</v>
          </cell>
          <cell r="I161">
            <v>0</v>
          </cell>
          <cell r="J161">
            <v>0</v>
          </cell>
        </row>
        <row r="162">
          <cell r="B162">
            <v>15.06</v>
          </cell>
          <cell r="C162">
            <v>13.6</v>
          </cell>
          <cell r="D162">
            <v>15</v>
          </cell>
          <cell r="E162">
            <v>10.99</v>
          </cell>
          <cell r="F162">
            <v>9</v>
          </cell>
          <cell r="G162">
            <v>10.5</v>
          </cell>
          <cell r="H162">
            <v>0</v>
          </cell>
          <cell r="I162">
            <v>0</v>
          </cell>
          <cell r="J162">
            <v>0</v>
          </cell>
        </row>
        <row r="163">
          <cell r="B163">
            <v>13.47</v>
          </cell>
          <cell r="C163">
            <v>13.3</v>
          </cell>
          <cell r="D163">
            <v>13.3</v>
          </cell>
          <cell r="E163">
            <v>10.74</v>
          </cell>
          <cell r="F163">
            <v>9</v>
          </cell>
          <cell r="G163">
            <v>10</v>
          </cell>
          <cell r="H163">
            <v>0</v>
          </cell>
          <cell r="I163">
            <v>0</v>
          </cell>
          <cell r="J163">
            <v>0</v>
          </cell>
        </row>
        <row r="164">
          <cell r="B164">
            <v>14.12</v>
          </cell>
          <cell r="C164">
            <v>12</v>
          </cell>
          <cell r="D164">
            <v>14</v>
          </cell>
          <cell r="E164">
            <v>11.2</v>
          </cell>
          <cell r="F164">
            <v>8</v>
          </cell>
          <cell r="G164">
            <v>11</v>
          </cell>
          <cell r="H164">
            <v>0</v>
          </cell>
          <cell r="I164">
            <v>0</v>
          </cell>
          <cell r="J164">
            <v>0</v>
          </cell>
        </row>
        <row r="165">
          <cell r="B165">
            <v>13.48</v>
          </cell>
          <cell r="C165">
            <v>11.5</v>
          </cell>
          <cell r="D165">
            <v>13.5</v>
          </cell>
          <cell r="E165">
            <v>11.18</v>
          </cell>
          <cell r="F165">
            <v>8</v>
          </cell>
          <cell r="G165">
            <v>11</v>
          </cell>
          <cell r="H165">
            <v>0</v>
          </cell>
          <cell r="I165">
            <v>0</v>
          </cell>
          <cell r="J165">
            <v>0</v>
          </cell>
        </row>
        <row r="166">
          <cell r="B166">
            <v>13.57</v>
          </cell>
          <cell r="C166">
            <v>11.3</v>
          </cell>
          <cell r="D166">
            <v>13.5</v>
          </cell>
          <cell r="E166">
            <v>10.119999999999999</v>
          </cell>
          <cell r="F166">
            <v>9</v>
          </cell>
          <cell r="G166">
            <v>10</v>
          </cell>
          <cell r="H166">
            <v>0</v>
          </cell>
          <cell r="I166">
            <v>0</v>
          </cell>
          <cell r="J166">
            <v>0</v>
          </cell>
        </row>
        <row r="167">
          <cell r="B167">
            <v>13.11</v>
          </cell>
          <cell r="C167">
            <v>11.2</v>
          </cell>
          <cell r="D167">
            <v>13</v>
          </cell>
          <cell r="E167">
            <v>10.16</v>
          </cell>
          <cell r="F167">
            <v>9</v>
          </cell>
          <cell r="G167">
            <v>10</v>
          </cell>
          <cell r="H167">
            <v>0</v>
          </cell>
          <cell r="I167">
            <v>0</v>
          </cell>
          <cell r="J167">
            <v>0</v>
          </cell>
        </row>
        <row r="168">
          <cell r="B168">
            <v>13.08</v>
          </cell>
          <cell r="C168">
            <v>11</v>
          </cell>
          <cell r="D168">
            <v>13</v>
          </cell>
          <cell r="E168">
            <v>9.09</v>
          </cell>
          <cell r="F168">
            <v>9</v>
          </cell>
          <cell r="G168">
            <v>9</v>
          </cell>
          <cell r="H168">
            <v>0</v>
          </cell>
          <cell r="I168">
            <v>0</v>
          </cell>
          <cell r="J168">
            <v>0</v>
          </cell>
        </row>
        <row r="169">
          <cell r="B169">
            <v>13.09</v>
          </cell>
          <cell r="C169">
            <v>11</v>
          </cell>
          <cell r="D169">
            <v>13</v>
          </cell>
          <cell r="E169">
            <v>9.19</v>
          </cell>
          <cell r="F169">
            <v>9</v>
          </cell>
          <cell r="G169">
            <v>9</v>
          </cell>
          <cell r="H169">
            <v>0</v>
          </cell>
          <cell r="I169">
            <v>0</v>
          </cell>
          <cell r="J169">
            <v>0</v>
          </cell>
        </row>
        <row r="170">
          <cell r="B170">
            <v>13.09</v>
          </cell>
          <cell r="C170">
            <v>11</v>
          </cell>
          <cell r="D170">
            <v>13</v>
          </cell>
          <cell r="E170">
            <v>9.19</v>
          </cell>
          <cell r="F170">
            <v>8</v>
          </cell>
          <cell r="G170">
            <v>9</v>
          </cell>
          <cell r="H170">
            <v>0</v>
          </cell>
          <cell r="I170">
            <v>0</v>
          </cell>
          <cell r="J170">
            <v>0</v>
          </cell>
        </row>
        <row r="171">
          <cell r="B171">
            <v>13.08</v>
          </cell>
          <cell r="C171">
            <v>11</v>
          </cell>
          <cell r="D171">
            <v>13</v>
          </cell>
          <cell r="E171">
            <v>9.23</v>
          </cell>
          <cell r="F171">
            <v>8</v>
          </cell>
          <cell r="G171">
            <v>9</v>
          </cell>
          <cell r="H171">
            <v>0</v>
          </cell>
          <cell r="I171">
            <v>0</v>
          </cell>
          <cell r="J171">
            <v>0</v>
          </cell>
        </row>
        <row r="172">
          <cell r="B172">
            <v>13.07</v>
          </cell>
          <cell r="C172">
            <v>12</v>
          </cell>
          <cell r="D172">
            <v>13</v>
          </cell>
          <cell r="E172">
            <v>9.1199999999999992</v>
          </cell>
          <cell r="F172">
            <v>9</v>
          </cell>
          <cell r="G172">
            <v>9</v>
          </cell>
          <cell r="H172">
            <v>0</v>
          </cell>
          <cell r="I172">
            <v>0</v>
          </cell>
          <cell r="J172">
            <v>0</v>
          </cell>
        </row>
        <row r="173">
          <cell r="B173">
            <v>12.07</v>
          </cell>
          <cell r="C173">
            <v>12</v>
          </cell>
          <cell r="D173">
            <v>12</v>
          </cell>
          <cell r="E173">
            <v>9.06</v>
          </cell>
          <cell r="F173">
            <v>9</v>
          </cell>
          <cell r="G173">
            <v>9</v>
          </cell>
          <cell r="H173">
            <v>0</v>
          </cell>
          <cell r="I173">
            <v>0</v>
          </cell>
          <cell r="J173">
            <v>0</v>
          </cell>
        </row>
        <row r="174">
          <cell r="B174">
            <v>13.17</v>
          </cell>
          <cell r="C174">
            <v>12</v>
          </cell>
          <cell r="D174">
            <v>13</v>
          </cell>
          <cell r="E174">
            <v>10.130000000000001</v>
          </cell>
          <cell r="F174">
            <v>9</v>
          </cell>
          <cell r="G174">
            <v>10</v>
          </cell>
          <cell r="H174">
            <v>0</v>
          </cell>
          <cell r="I174">
            <v>0</v>
          </cell>
          <cell r="J174">
            <v>0</v>
          </cell>
        </row>
        <row r="175">
          <cell r="B175">
            <v>13.22</v>
          </cell>
          <cell r="C175">
            <v>12</v>
          </cell>
          <cell r="D175">
            <v>13</v>
          </cell>
          <cell r="E175">
            <v>10.16</v>
          </cell>
          <cell r="F175">
            <v>9</v>
          </cell>
          <cell r="G175">
            <v>10</v>
          </cell>
          <cell r="H175">
            <v>0</v>
          </cell>
          <cell r="I175">
            <v>0</v>
          </cell>
          <cell r="J175">
            <v>0</v>
          </cell>
        </row>
        <row r="176">
          <cell r="B176">
            <v>13.23</v>
          </cell>
          <cell r="C176">
            <v>12</v>
          </cell>
          <cell r="D176">
            <v>13</v>
          </cell>
          <cell r="E176">
            <v>10.15</v>
          </cell>
          <cell r="F176">
            <v>9</v>
          </cell>
          <cell r="G176">
            <v>10</v>
          </cell>
          <cell r="H176">
            <v>0</v>
          </cell>
          <cell r="I176">
            <v>0</v>
          </cell>
          <cell r="J176">
            <v>0</v>
          </cell>
        </row>
        <row r="177">
          <cell r="B177">
            <v>13.26</v>
          </cell>
          <cell r="C177">
            <v>12</v>
          </cell>
          <cell r="D177">
            <v>13</v>
          </cell>
          <cell r="E177">
            <v>10.14</v>
          </cell>
          <cell r="F177">
            <v>9</v>
          </cell>
          <cell r="G177">
            <v>10</v>
          </cell>
          <cell r="H177">
            <v>0</v>
          </cell>
          <cell r="I177">
            <v>0</v>
          </cell>
          <cell r="J177">
            <v>0</v>
          </cell>
        </row>
        <row r="178">
          <cell r="B178">
            <v>13.32</v>
          </cell>
          <cell r="C178">
            <v>13.2</v>
          </cell>
          <cell r="D178">
            <v>13.2</v>
          </cell>
          <cell r="E178">
            <v>10.119999999999999</v>
          </cell>
          <cell r="F178">
            <v>10</v>
          </cell>
          <cell r="G178">
            <v>10</v>
          </cell>
          <cell r="H178">
            <v>0</v>
          </cell>
          <cell r="I178">
            <v>0</v>
          </cell>
          <cell r="J178">
            <v>0</v>
          </cell>
        </row>
        <row r="179">
          <cell r="B179">
            <v>13.73</v>
          </cell>
          <cell r="C179">
            <v>13.5</v>
          </cell>
          <cell r="D179">
            <v>13.5</v>
          </cell>
          <cell r="E179">
            <v>10.08</v>
          </cell>
          <cell r="F179">
            <v>10</v>
          </cell>
          <cell r="G179">
            <v>10</v>
          </cell>
          <cell r="H179">
            <v>0</v>
          </cell>
          <cell r="I179">
            <v>0</v>
          </cell>
          <cell r="J179">
            <v>0</v>
          </cell>
        </row>
        <row r="180">
          <cell r="B180">
            <v>14.24</v>
          </cell>
          <cell r="C180">
            <v>14</v>
          </cell>
          <cell r="D180">
            <v>14</v>
          </cell>
          <cell r="E180">
            <v>10.08</v>
          </cell>
          <cell r="F180">
            <v>10</v>
          </cell>
          <cell r="G180">
            <v>10</v>
          </cell>
          <cell r="H180">
            <v>0</v>
          </cell>
          <cell r="I180">
            <v>0</v>
          </cell>
          <cell r="J180">
            <v>0</v>
          </cell>
        </row>
        <row r="181">
          <cell r="B181">
            <v>14.17</v>
          </cell>
          <cell r="C181">
            <v>14</v>
          </cell>
          <cell r="D181">
            <v>14</v>
          </cell>
          <cell r="E181">
            <v>10.07</v>
          </cell>
          <cell r="F181">
            <v>10</v>
          </cell>
          <cell r="G181">
            <v>10</v>
          </cell>
          <cell r="H181">
            <v>0</v>
          </cell>
          <cell r="I181">
            <v>0</v>
          </cell>
          <cell r="J181">
            <v>0</v>
          </cell>
        </row>
        <row r="182">
          <cell r="B182">
            <v>14.33</v>
          </cell>
          <cell r="C182">
            <v>14.3</v>
          </cell>
          <cell r="D182">
            <v>14.3</v>
          </cell>
          <cell r="E182">
            <v>10.119999999999999</v>
          </cell>
          <cell r="F182">
            <v>10</v>
          </cell>
          <cell r="G182">
            <v>10</v>
          </cell>
          <cell r="H182">
            <v>0</v>
          </cell>
          <cell r="I182">
            <v>0</v>
          </cell>
          <cell r="J182">
            <v>0</v>
          </cell>
        </row>
        <row r="183">
          <cell r="B183">
            <v>14.49</v>
          </cell>
          <cell r="C183">
            <v>14.3</v>
          </cell>
          <cell r="D183">
            <v>14.3</v>
          </cell>
          <cell r="E183">
            <v>10.119999999999999</v>
          </cell>
          <cell r="F183">
            <v>10</v>
          </cell>
          <cell r="G183">
            <v>10</v>
          </cell>
          <cell r="H183">
            <v>0</v>
          </cell>
          <cell r="I183">
            <v>0</v>
          </cell>
          <cell r="J183">
            <v>0</v>
          </cell>
        </row>
        <row r="184">
          <cell r="B184">
            <v>14.58</v>
          </cell>
          <cell r="C184">
            <v>14.5</v>
          </cell>
          <cell r="D184">
            <v>14.5</v>
          </cell>
          <cell r="E184">
            <v>10.119999999999999</v>
          </cell>
          <cell r="F184">
            <v>10</v>
          </cell>
          <cell r="G184">
            <v>10</v>
          </cell>
          <cell r="H184">
            <v>0</v>
          </cell>
          <cell r="I184">
            <v>0</v>
          </cell>
          <cell r="J184">
            <v>0</v>
          </cell>
        </row>
        <row r="185">
          <cell r="B185">
            <v>14.55</v>
          </cell>
          <cell r="C185">
            <v>14.5</v>
          </cell>
          <cell r="D185">
            <v>14.5</v>
          </cell>
          <cell r="E185">
            <v>10.07</v>
          </cell>
          <cell r="F185">
            <v>10</v>
          </cell>
          <cell r="G185">
            <v>10</v>
          </cell>
          <cell r="H185">
            <v>0</v>
          </cell>
          <cell r="I185">
            <v>0</v>
          </cell>
          <cell r="J185">
            <v>0</v>
          </cell>
        </row>
        <row r="186">
          <cell r="B186">
            <v>14.4</v>
          </cell>
          <cell r="C186">
            <v>14.5</v>
          </cell>
          <cell r="D186">
            <v>14.5</v>
          </cell>
          <cell r="E186">
            <v>10.01</v>
          </cell>
          <cell r="F186">
            <v>10</v>
          </cell>
          <cell r="G186">
            <v>10</v>
          </cell>
          <cell r="H186">
            <v>0</v>
          </cell>
          <cell r="I186">
            <v>0</v>
          </cell>
          <cell r="J186">
            <v>0</v>
          </cell>
        </row>
        <row r="187">
          <cell r="B187">
            <v>14.27</v>
          </cell>
          <cell r="C187">
            <v>14.3</v>
          </cell>
          <cell r="D187">
            <v>14.3</v>
          </cell>
          <cell r="E187">
            <v>9.9</v>
          </cell>
          <cell r="F187">
            <v>10</v>
          </cell>
          <cell r="G187">
            <v>10</v>
          </cell>
          <cell r="H187">
            <v>0</v>
          </cell>
          <cell r="I187">
            <v>0</v>
          </cell>
          <cell r="J187">
            <v>0</v>
          </cell>
        </row>
        <row r="188">
          <cell r="B188">
            <v>14.61</v>
          </cell>
          <cell r="C188">
            <v>14</v>
          </cell>
          <cell r="D188">
            <v>14</v>
          </cell>
          <cell r="E188">
            <v>8.4</v>
          </cell>
          <cell r="F188">
            <v>10</v>
          </cell>
          <cell r="G188">
            <v>10</v>
          </cell>
          <cell r="H188">
            <v>0</v>
          </cell>
          <cell r="I188">
            <v>0</v>
          </cell>
          <cell r="J188">
            <v>0</v>
          </cell>
        </row>
        <row r="189">
          <cell r="B189">
            <v>12.08</v>
          </cell>
          <cell r="C189">
            <v>13.5</v>
          </cell>
          <cell r="D189">
            <v>11.5</v>
          </cell>
          <cell r="E189">
            <v>7.98</v>
          </cell>
          <cell r="F189">
            <v>10</v>
          </cell>
          <cell r="G189">
            <v>8</v>
          </cell>
          <cell r="H189">
            <v>0</v>
          </cell>
          <cell r="I189">
            <v>0</v>
          </cell>
          <cell r="J189">
            <v>0</v>
          </cell>
        </row>
        <row r="190">
          <cell r="B190">
            <v>10.97</v>
          </cell>
          <cell r="C190">
            <v>13.3</v>
          </cell>
          <cell r="D190">
            <v>11</v>
          </cell>
          <cell r="E190">
            <v>7.91</v>
          </cell>
          <cell r="F190">
            <v>10</v>
          </cell>
          <cell r="G190">
            <v>8</v>
          </cell>
          <cell r="H190">
            <v>0</v>
          </cell>
          <cell r="I190">
            <v>0</v>
          </cell>
          <cell r="J190">
            <v>0</v>
          </cell>
        </row>
        <row r="191">
          <cell r="B191">
            <v>13.11</v>
          </cell>
          <cell r="C191">
            <v>13.2</v>
          </cell>
          <cell r="D191">
            <v>13.2</v>
          </cell>
          <cell r="E191">
            <v>7.3</v>
          </cell>
          <cell r="F191">
            <v>10</v>
          </cell>
          <cell r="G191">
            <v>7</v>
          </cell>
          <cell r="H191">
            <v>0</v>
          </cell>
          <cell r="I191">
            <v>0</v>
          </cell>
          <cell r="J191">
            <v>0</v>
          </cell>
        </row>
        <row r="192">
          <cell r="B192">
            <v>13.07</v>
          </cell>
          <cell r="C192">
            <v>13</v>
          </cell>
          <cell r="D192">
            <v>13</v>
          </cell>
          <cell r="E192">
            <v>8.98</v>
          </cell>
          <cell r="F192">
            <v>11</v>
          </cell>
          <cell r="G192">
            <v>11</v>
          </cell>
          <cell r="H192">
            <v>0</v>
          </cell>
          <cell r="I192">
            <v>0</v>
          </cell>
          <cell r="J192">
            <v>0</v>
          </cell>
        </row>
        <row r="193">
          <cell r="B193">
            <v>11.9</v>
          </cell>
          <cell r="C193">
            <v>12</v>
          </cell>
          <cell r="D193">
            <v>12</v>
          </cell>
          <cell r="E193">
            <v>8.3800000000000008</v>
          </cell>
          <cell r="F193">
            <v>11</v>
          </cell>
          <cell r="G193">
            <v>11</v>
          </cell>
          <cell r="H193">
            <v>0</v>
          </cell>
          <cell r="I193">
            <v>0</v>
          </cell>
          <cell r="J193">
            <v>0</v>
          </cell>
        </row>
        <row r="194">
          <cell r="B194">
            <v>11.42</v>
          </cell>
          <cell r="C194">
            <v>12</v>
          </cell>
          <cell r="D194">
            <v>12</v>
          </cell>
          <cell r="E194">
            <v>9.8800000000000008</v>
          </cell>
          <cell r="F194">
            <v>11</v>
          </cell>
          <cell r="G194">
            <v>9</v>
          </cell>
          <cell r="H194">
            <v>0</v>
          </cell>
          <cell r="I194">
            <v>0</v>
          </cell>
          <cell r="J194">
            <v>0</v>
          </cell>
        </row>
        <row r="195">
          <cell r="B195">
            <v>11.55</v>
          </cell>
          <cell r="C195">
            <v>12</v>
          </cell>
          <cell r="D195">
            <v>12</v>
          </cell>
          <cell r="E195">
            <v>9.6199999999999992</v>
          </cell>
          <cell r="F195">
            <v>9</v>
          </cell>
          <cell r="G195">
            <v>9</v>
          </cell>
          <cell r="H195">
            <v>0</v>
          </cell>
          <cell r="I195">
            <v>0</v>
          </cell>
          <cell r="J195">
            <v>0</v>
          </cell>
        </row>
      </sheetData>
      <sheetData sheetId="2">
        <row r="1">
          <cell r="B1" t="str">
            <v>Contract Time</v>
          </cell>
          <cell r="C1" t="str">
            <v>Quantity (MWh)</v>
          </cell>
          <cell r="G1" t="str">
            <v>Direction</v>
          </cell>
          <cell r="M1" t="str">
            <v>Company ETSO</v>
          </cell>
          <cell r="O1" t="str">
            <v>TUTAR</v>
          </cell>
        </row>
        <row r="2">
          <cell r="B2">
            <v>46211.916666666664</v>
          </cell>
          <cell r="C2">
            <v>2</v>
          </cell>
          <cell r="G2" t="str">
            <v>Buy</v>
          </cell>
          <cell r="M2" t="str">
            <v>40X000000104782K</v>
          </cell>
          <cell r="O2">
            <v>8275.6</v>
          </cell>
        </row>
        <row r="3">
          <cell r="B3">
            <v>46211.791666666664</v>
          </cell>
          <cell r="C3">
            <v>3</v>
          </cell>
          <cell r="G3" t="str">
            <v>Buy</v>
          </cell>
          <cell r="M3" t="str">
            <v>40X000000104782K</v>
          </cell>
          <cell r="O3">
            <v>12425.400000000001</v>
          </cell>
        </row>
        <row r="4">
          <cell r="B4">
            <v>46211.75</v>
          </cell>
          <cell r="C4">
            <v>0.5</v>
          </cell>
          <cell r="G4" t="str">
            <v>Buy</v>
          </cell>
          <cell r="M4" t="str">
            <v>40X000000104782K</v>
          </cell>
          <cell r="O4">
            <v>1722.6</v>
          </cell>
        </row>
        <row r="5">
          <cell r="B5">
            <v>46211.75</v>
          </cell>
          <cell r="C5">
            <v>3.8</v>
          </cell>
          <cell r="G5" t="str">
            <v>Buy</v>
          </cell>
          <cell r="M5" t="str">
            <v>40X000000104782K</v>
          </cell>
          <cell r="O5">
            <v>13241.328</v>
          </cell>
        </row>
        <row r="6">
          <cell r="B6">
            <v>46211.708333333336</v>
          </cell>
          <cell r="C6">
            <v>4</v>
          </cell>
          <cell r="G6" t="str">
            <v>Buy</v>
          </cell>
          <cell r="M6" t="str">
            <v>40X000000104782K</v>
          </cell>
          <cell r="O6">
            <v>15120.8</v>
          </cell>
        </row>
        <row r="7">
          <cell r="B7">
            <v>46211.208333333336</v>
          </cell>
          <cell r="C7">
            <v>2</v>
          </cell>
          <cell r="G7" t="str">
            <v>Sell</v>
          </cell>
          <cell r="M7" t="str">
            <v>40X000000104782K</v>
          </cell>
          <cell r="O7">
            <v>7537.8</v>
          </cell>
        </row>
        <row r="8">
          <cell r="B8">
            <v>46211.166666666664</v>
          </cell>
          <cell r="C8">
            <v>2</v>
          </cell>
          <cell r="G8" t="str">
            <v>Sell</v>
          </cell>
          <cell r="M8" t="str">
            <v>40X000000104782K</v>
          </cell>
          <cell r="O8">
            <v>8597.4</v>
          </cell>
        </row>
        <row r="9">
          <cell r="B9">
            <v>46211.125</v>
          </cell>
          <cell r="C9">
            <v>2</v>
          </cell>
          <cell r="G9" t="str">
            <v>Sell</v>
          </cell>
          <cell r="M9" t="str">
            <v>40X000000104782K</v>
          </cell>
          <cell r="O9">
            <v>8298.4</v>
          </cell>
        </row>
        <row r="10">
          <cell r="B10">
            <v>46211.083333333336</v>
          </cell>
          <cell r="C10">
            <v>2</v>
          </cell>
          <cell r="G10" t="str">
            <v>Sell</v>
          </cell>
          <cell r="M10" t="str">
            <v>40X000000104782K</v>
          </cell>
          <cell r="O10">
            <v>7793.6</v>
          </cell>
        </row>
        <row r="11">
          <cell r="B11">
            <v>46211</v>
          </cell>
          <cell r="C11">
            <v>1</v>
          </cell>
          <cell r="G11" t="str">
            <v>Sell</v>
          </cell>
          <cell r="M11" t="str">
            <v>40X000000104782K</v>
          </cell>
          <cell r="O11">
            <v>3567.8</v>
          </cell>
        </row>
        <row r="12">
          <cell r="B12">
            <v>46210.958333333336</v>
          </cell>
          <cell r="C12">
            <v>3</v>
          </cell>
          <cell r="G12" t="str">
            <v>Sell</v>
          </cell>
          <cell r="M12" t="str">
            <v>40X000000104782K</v>
          </cell>
          <cell r="O12">
            <v>10574.73</v>
          </cell>
        </row>
        <row r="13">
          <cell r="B13">
            <v>46210.916666666664</v>
          </cell>
          <cell r="C13">
            <v>3</v>
          </cell>
          <cell r="G13" t="str">
            <v>Sell</v>
          </cell>
          <cell r="M13" t="str">
            <v>40X000000104782K</v>
          </cell>
          <cell r="O13">
            <v>13498.349999999999</v>
          </cell>
        </row>
        <row r="14">
          <cell r="B14">
            <v>46210.875</v>
          </cell>
          <cell r="C14">
            <v>2</v>
          </cell>
          <cell r="G14" t="str">
            <v>Sell</v>
          </cell>
          <cell r="M14" t="str">
            <v>40X000000104782K</v>
          </cell>
          <cell r="O14">
            <v>9259.6</v>
          </cell>
        </row>
        <row r="15">
          <cell r="B15">
            <v>46210.833333333336</v>
          </cell>
          <cell r="C15">
            <v>2</v>
          </cell>
          <cell r="G15" t="str">
            <v>Sell</v>
          </cell>
          <cell r="M15" t="str">
            <v>40X000000104782K</v>
          </cell>
          <cell r="O15">
            <v>8984.6</v>
          </cell>
        </row>
        <row r="16">
          <cell r="B16">
            <v>46210.791666666664</v>
          </cell>
          <cell r="C16">
            <v>2.8</v>
          </cell>
          <cell r="G16" t="str">
            <v>Sell</v>
          </cell>
          <cell r="M16" t="str">
            <v>40X000000104782K</v>
          </cell>
          <cell r="O16">
            <v>10344.879999999999</v>
          </cell>
        </row>
        <row r="17">
          <cell r="B17">
            <v>46210.75</v>
          </cell>
          <cell r="C17">
            <v>1</v>
          </cell>
          <cell r="G17" t="str">
            <v>Sell</v>
          </cell>
          <cell r="M17" t="str">
            <v>40X000000104782K</v>
          </cell>
          <cell r="O17">
            <v>2966.8</v>
          </cell>
        </row>
        <row r="18">
          <cell r="B18">
            <v>46210.75</v>
          </cell>
          <cell r="C18">
            <v>2.2000000000000002</v>
          </cell>
          <cell r="G18" t="str">
            <v>Sell</v>
          </cell>
          <cell r="M18" t="str">
            <v>40X000000104782K</v>
          </cell>
          <cell r="O18">
            <v>5711.8600000000006</v>
          </cell>
        </row>
        <row r="19">
          <cell r="B19">
            <v>46210.708333333336</v>
          </cell>
          <cell r="C19">
            <v>3</v>
          </cell>
          <cell r="G19" t="str">
            <v>Sell</v>
          </cell>
          <cell r="M19" t="str">
            <v>40X000000104782K</v>
          </cell>
          <cell r="O19">
            <v>8967.2999999999993</v>
          </cell>
        </row>
        <row r="20">
          <cell r="B20">
            <v>46210.708333333336</v>
          </cell>
          <cell r="C20">
            <v>2</v>
          </cell>
          <cell r="G20" t="str">
            <v>Sell</v>
          </cell>
          <cell r="M20" t="str">
            <v>40X000000104782K</v>
          </cell>
          <cell r="O20">
            <v>5993</v>
          </cell>
        </row>
        <row r="21">
          <cell r="B21">
            <v>46210.666666666664</v>
          </cell>
          <cell r="C21">
            <v>3</v>
          </cell>
          <cell r="G21" t="str">
            <v>Sell</v>
          </cell>
          <cell r="M21" t="str">
            <v>40X000000104782K</v>
          </cell>
          <cell r="O21">
            <v>5999.1</v>
          </cell>
        </row>
        <row r="22">
          <cell r="B22">
            <v>46210.666666666664</v>
          </cell>
          <cell r="C22">
            <v>2</v>
          </cell>
          <cell r="G22" t="str">
            <v>Sell</v>
          </cell>
          <cell r="M22" t="str">
            <v>40X000000104782K</v>
          </cell>
          <cell r="O22">
            <v>3871.48</v>
          </cell>
        </row>
        <row r="23">
          <cell r="B23">
            <v>46210.625</v>
          </cell>
          <cell r="C23">
            <v>0.5</v>
          </cell>
          <cell r="G23" t="str">
            <v>Sell</v>
          </cell>
          <cell r="M23" t="str">
            <v>40X000000104782K</v>
          </cell>
          <cell r="O23">
            <v>684.45</v>
          </cell>
        </row>
        <row r="24">
          <cell r="B24">
            <v>46210.625</v>
          </cell>
          <cell r="C24">
            <v>1</v>
          </cell>
          <cell r="G24" t="str">
            <v>Sell</v>
          </cell>
          <cell r="M24" t="str">
            <v>40X000000104782K</v>
          </cell>
          <cell r="O24">
            <v>1453.4</v>
          </cell>
        </row>
        <row r="25">
          <cell r="B25">
            <v>46210.583333333336</v>
          </cell>
          <cell r="C25">
            <v>2.9</v>
          </cell>
          <cell r="G25" t="str">
            <v>Sell</v>
          </cell>
          <cell r="M25" t="str">
            <v>40X000000104782K</v>
          </cell>
          <cell r="O25">
            <v>3165.06</v>
          </cell>
        </row>
        <row r="26">
          <cell r="B26">
            <v>46210.541666666664</v>
          </cell>
          <cell r="C26">
            <v>3.4</v>
          </cell>
          <cell r="G26" t="str">
            <v>Sell</v>
          </cell>
          <cell r="M26" t="str">
            <v>40X000000104782K</v>
          </cell>
          <cell r="O26">
            <v>4996.6399999999994</v>
          </cell>
        </row>
        <row r="27">
          <cell r="B27">
            <v>46210.5</v>
          </cell>
          <cell r="C27">
            <v>3</v>
          </cell>
          <cell r="G27" t="str">
            <v>Sell</v>
          </cell>
          <cell r="M27" t="str">
            <v>40X000000104782K</v>
          </cell>
          <cell r="O27">
            <v>1546.3500000000001</v>
          </cell>
        </row>
        <row r="28">
          <cell r="B28">
            <v>46210.5</v>
          </cell>
          <cell r="C28">
            <v>3</v>
          </cell>
          <cell r="G28" t="str">
            <v>Sell</v>
          </cell>
          <cell r="M28" t="str">
            <v>40X000000104782K</v>
          </cell>
          <cell r="O28">
            <v>1349.6999999999998</v>
          </cell>
        </row>
        <row r="29">
          <cell r="B29">
            <v>46210.458333333336</v>
          </cell>
          <cell r="C29">
            <v>2</v>
          </cell>
          <cell r="G29" t="str">
            <v>Buy</v>
          </cell>
          <cell r="M29" t="str">
            <v>40X000000104782K</v>
          </cell>
          <cell r="O29">
            <v>2602.2399999999998</v>
          </cell>
        </row>
        <row r="30">
          <cell r="B30">
            <v>46210.458333333336</v>
          </cell>
          <cell r="C30">
            <v>4</v>
          </cell>
          <cell r="G30" t="str">
            <v>Sell</v>
          </cell>
          <cell r="M30" t="str">
            <v>40X000000104782K</v>
          </cell>
          <cell r="O30">
            <v>6600</v>
          </cell>
        </row>
        <row r="31">
          <cell r="B31">
            <v>46210.416666666664</v>
          </cell>
          <cell r="C31">
            <v>1</v>
          </cell>
          <cell r="G31" t="str">
            <v>Sell</v>
          </cell>
          <cell r="M31" t="str">
            <v>40X000000104782K</v>
          </cell>
          <cell r="O31">
            <v>1523.3</v>
          </cell>
        </row>
        <row r="32">
          <cell r="B32">
            <v>46210.416666666664</v>
          </cell>
          <cell r="C32">
            <v>2</v>
          </cell>
          <cell r="G32" t="str">
            <v>Sell</v>
          </cell>
          <cell r="M32" t="str">
            <v>40X000000104782K</v>
          </cell>
          <cell r="O32">
            <v>3174.64</v>
          </cell>
        </row>
        <row r="33">
          <cell r="B33">
            <v>46210.375</v>
          </cell>
          <cell r="C33">
            <v>1</v>
          </cell>
          <cell r="G33" t="str">
            <v>Sell</v>
          </cell>
          <cell r="M33" t="str">
            <v>40X000000104782K</v>
          </cell>
          <cell r="O33">
            <v>1680.5</v>
          </cell>
        </row>
        <row r="34">
          <cell r="B34">
            <v>46210.375</v>
          </cell>
          <cell r="C34">
            <v>1</v>
          </cell>
          <cell r="G34" t="str">
            <v>Sell</v>
          </cell>
          <cell r="M34" t="str">
            <v>40X000000104782K</v>
          </cell>
          <cell r="O34">
            <v>1900.3</v>
          </cell>
        </row>
        <row r="35">
          <cell r="B35">
            <v>46210.333333333336</v>
          </cell>
          <cell r="C35">
            <v>1</v>
          </cell>
          <cell r="G35" t="str">
            <v>Sell</v>
          </cell>
          <cell r="M35" t="str">
            <v>40X000000104782K</v>
          </cell>
          <cell r="O35">
            <v>1598.04</v>
          </cell>
        </row>
        <row r="36">
          <cell r="B36">
            <v>46210.291666666664</v>
          </cell>
          <cell r="C36">
            <v>2</v>
          </cell>
          <cell r="G36" t="str">
            <v>Sell</v>
          </cell>
          <cell r="M36" t="str">
            <v>40X000000104782K</v>
          </cell>
          <cell r="O36">
            <v>2095.1</v>
          </cell>
        </row>
        <row r="37">
          <cell r="B37">
            <v>46210.25</v>
          </cell>
          <cell r="C37">
            <v>2</v>
          </cell>
          <cell r="G37" t="str">
            <v>Sell</v>
          </cell>
          <cell r="M37" t="str">
            <v>40X000000104782K</v>
          </cell>
          <cell r="O37">
            <v>1578</v>
          </cell>
        </row>
        <row r="38">
          <cell r="B38">
            <v>46210.208333333336</v>
          </cell>
          <cell r="C38">
            <v>1</v>
          </cell>
          <cell r="G38" t="str">
            <v>Sell</v>
          </cell>
          <cell r="M38" t="str">
            <v>40X000000104782K</v>
          </cell>
          <cell r="O38">
            <v>1029.7</v>
          </cell>
        </row>
        <row r="39">
          <cell r="B39">
            <v>46210.166666666664</v>
          </cell>
          <cell r="C39">
            <v>0.1</v>
          </cell>
          <cell r="G39" t="str">
            <v>Sell</v>
          </cell>
          <cell r="M39" t="str">
            <v>40X000000104782K</v>
          </cell>
          <cell r="O39">
            <v>138.44000000000003</v>
          </cell>
        </row>
        <row r="40">
          <cell r="B40">
            <v>46210.166666666664</v>
          </cell>
          <cell r="C40">
            <v>0.1</v>
          </cell>
          <cell r="G40" t="str">
            <v>Sell</v>
          </cell>
          <cell r="M40" t="str">
            <v>40X000000104782K</v>
          </cell>
          <cell r="O40">
            <v>106.07000000000001</v>
          </cell>
        </row>
        <row r="41">
          <cell r="B41">
            <v>46210.166666666664</v>
          </cell>
          <cell r="C41">
            <v>0.1</v>
          </cell>
          <cell r="G41" t="str">
            <v>Buy</v>
          </cell>
          <cell r="M41" t="str">
            <v>40X000000104782K</v>
          </cell>
          <cell r="O41">
            <v>138.44000000000003</v>
          </cell>
        </row>
        <row r="42">
          <cell r="B42">
            <v>46210.125</v>
          </cell>
          <cell r="C42">
            <v>1</v>
          </cell>
          <cell r="G42" t="str">
            <v>Sell</v>
          </cell>
          <cell r="M42" t="str">
            <v>40X000000104782K</v>
          </cell>
          <cell r="O42">
            <v>1187.9000000000001</v>
          </cell>
        </row>
        <row r="43">
          <cell r="B43">
            <v>46210</v>
          </cell>
          <cell r="C43">
            <v>1</v>
          </cell>
          <cell r="G43" t="str">
            <v>Sell</v>
          </cell>
          <cell r="M43" t="str">
            <v>40X000000104782K</v>
          </cell>
          <cell r="O43">
            <v>3501.2</v>
          </cell>
        </row>
        <row r="44">
          <cell r="B44">
            <v>46209.916666666664</v>
          </cell>
          <cell r="C44">
            <v>1</v>
          </cell>
          <cell r="G44" t="str">
            <v>Buy</v>
          </cell>
          <cell r="M44" t="str">
            <v>40X000000104782K</v>
          </cell>
          <cell r="O44">
            <v>4214.2</v>
          </cell>
        </row>
        <row r="45">
          <cell r="B45">
            <v>46209.875</v>
          </cell>
          <cell r="C45">
            <v>1</v>
          </cell>
          <cell r="G45" t="str">
            <v>Sell</v>
          </cell>
          <cell r="M45" t="str">
            <v>40X000000104782K</v>
          </cell>
          <cell r="O45">
            <v>4444.6000000000004</v>
          </cell>
        </row>
        <row r="46">
          <cell r="B46">
            <v>46209.833333333336</v>
          </cell>
          <cell r="C46">
            <v>1</v>
          </cell>
          <cell r="G46" t="str">
            <v>Buy</v>
          </cell>
          <cell r="M46" t="str">
            <v>40X000000104782K</v>
          </cell>
          <cell r="O46">
            <v>4048</v>
          </cell>
        </row>
        <row r="47">
          <cell r="B47">
            <v>46209.791666666664</v>
          </cell>
          <cell r="C47">
            <v>1</v>
          </cell>
          <cell r="G47" t="str">
            <v>Buy</v>
          </cell>
          <cell r="M47" t="str">
            <v>40X000000104782K</v>
          </cell>
          <cell r="O47">
            <v>2673.6</v>
          </cell>
        </row>
        <row r="48">
          <cell r="B48">
            <v>46209.791666666664</v>
          </cell>
          <cell r="C48">
            <v>3</v>
          </cell>
          <cell r="G48" t="str">
            <v>Buy</v>
          </cell>
          <cell r="M48" t="str">
            <v>40X000000104782K</v>
          </cell>
          <cell r="O48">
            <v>8583.5999999999985</v>
          </cell>
        </row>
        <row r="49">
          <cell r="B49">
            <v>46209.791666666664</v>
          </cell>
          <cell r="C49">
            <v>4.2</v>
          </cell>
          <cell r="G49" t="str">
            <v>Buy</v>
          </cell>
          <cell r="M49" t="str">
            <v>40X000000104782K</v>
          </cell>
          <cell r="O49">
            <v>13461</v>
          </cell>
        </row>
        <row r="50">
          <cell r="B50">
            <v>46209.75</v>
          </cell>
          <cell r="C50">
            <v>6.3</v>
          </cell>
          <cell r="G50" t="str">
            <v>Buy</v>
          </cell>
          <cell r="M50" t="str">
            <v>40X000000104782K</v>
          </cell>
          <cell r="O50">
            <v>15401.798999999999</v>
          </cell>
        </row>
        <row r="51">
          <cell r="B51">
            <v>46209.666666666664</v>
          </cell>
          <cell r="C51">
            <v>5</v>
          </cell>
          <cell r="G51" t="str">
            <v>Buy</v>
          </cell>
          <cell r="M51" t="str">
            <v>40X000000104782K</v>
          </cell>
          <cell r="O51">
            <v>8000</v>
          </cell>
        </row>
        <row r="52">
          <cell r="B52">
            <v>46209.666666666664</v>
          </cell>
          <cell r="C52">
            <v>5</v>
          </cell>
          <cell r="G52" t="str">
            <v>Buy</v>
          </cell>
          <cell r="M52" t="str">
            <v>40X000000104782K</v>
          </cell>
          <cell r="O52">
            <v>8676.15</v>
          </cell>
        </row>
        <row r="53">
          <cell r="B53">
            <v>46209.625</v>
          </cell>
          <cell r="C53">
            <v>1</v>
          </cell>
          <cell r="G53" t="str">
            <v>Buy</v>
          </cell>
          <cell r="M53" t="str">
            <v>40X000000104782K</v>
          </cell>
          <cell r="O53">
            <v>1920.91</v>
          </cell>
        </row>
        <row r="54">
          <cell r="B54">
            <v>46209.625</v>
          </cell>
          <cell r="C54">
            <v>2</v>
          </cell>
          <cell r="G54" t="str">
            <v>Buy</v>
          </cell>
          <cell r="M54" t="str">
            <v>40X000000104782K</v>
          </cell>
          <cell r="O54">
            <v>3008.2</v>
          </cell>
        </row>
        <row r="55">
          <cell r="B55">
            <v>46209.625</v>
          </cell>
          <cell r="C55">
            <v>4.5</v>
          </cell>
          <cell r="G55" t="str">
            <v>Buy</v>
          </cell>
          <cell r="M55" t="str">
            <v>40X000000104782K</v>
          </cell>
          <cell r="O55">
            <v>8486.1450000000004</v>
          </cell>
        </row>
        <row r="56">
          <cell r="B56">
            <v>46209.625</v>
          </cell>
          <cell r="C56">
            <v>1.8</v>
          </cell>
          <cell r="G56" t="str">
            <v>Buy</v>
          </cell>
          <cell r="M56" t="str">
            <v>40X000000104782K</v>
          </cell>
          <cell r="O56">
            <v>3479.58</v>
          </cell>
        </row>
        <row r="57">
          <cell r="B57">
            <v>46209.583333333336</v>
          </cell>
          <cell r="C57">
            <v>1</v>
          </cell>
          <cell r="G57" t="str">
            <v>Buy</v>
          </cell>
          <cell r="M57" t="str">
            <v>40X000000104782K</v>
          </cell>
          <cell r="O57">
            <v>1768</v>
          </cell>
        </row>
        <row r="58">
          <cell r="B58">
            <v>46209.583333333336</v>
          </cell>
          <cell r="C58">
            <v>1</v>
          </cell>
          <cell r="G58" t="str">
            <v>Buy</v>
          </cell>
          <cell r="M58" t="str">
            <v>40X000000104782K</v>
          </cell>
          <cell r="O58">
            <v>1520.4</v>
          </cell>
        </row>
        <row r="59">
          <cell r="B59">
            <v>46209.583333333336</v>
          </cell>
          <cell r="C59">
            <v>2</v>
          </cell>
          <cell r="G59" t="str">
            <v>Buy</v>
          </cell>
          <cell r="M59" t="str">
            <v>40X000000104782K</v>
          </cell>
          <cell r="O59">
            <v>3597.6</v>
          </cell>
        </row>
        <row r="60">
          <cell r="B60">
            <v>46209.541666666664</v>
          </cell>
          <cell r="C60">
            <v>0.5</v>
          </cell>
          <cell r="G60" t="str">
            <v>Buy</v>
          </cell>
          <cell r="M60" t="str">
            <v>40X000000104782K</v>
          </cell>
          <cell r="O60">
            <v>252.55</v>
          </cell>
        </row>
        <row r="61">
          <cell r="B61">
            <v>46209.541666666664</v>
          </cell>
          <cell r="C61">
            <v>1</v>
          </cell>
          <cell r="G61" t="str">
            <v>Buy</v>
          </cell>
          <cell r="M61" t="str">
            <v>40X000000104782K</v>
          </cell>
          <cell r="O61">
            <v>1399.8</v>
          </cell>
        </row>
        <row r="62">
          <cell r="B62">
            <v>46209.541666666664</v>
          </cell>
          <cell r="C62">
            <v>2</v>
          </cell>
          <cell r="G62" t="str">
            <v>Buy</v>
          </cell>
          <cell r="M62" t="str">
            <v>40X000000104782K</v>
          </cell>
          <cell r="O62">
            <v>2677</v>
          </cell>
        </row>
        <row r="63">
          <cell r="B63">
            <v>46209.5</v>
          </cell>
          <cell r="C63">
            <v>0.5</v>
          </cell>
          <cell r="G63" t="str">
            <v>Buy</v>
          </cell>
          <cell r="M63" t="str">
            <v>40X000000104782K</v>
          </cell>
          <cell r="O63">
            <v>323.5</v>
          </cell>
        </row>
        <row r="64">
          <cell r="B64">
            <v>46209.5</v>
          </cell>
          <cell r="C64">
            <v>7.5</v>
          </cell>
          <cell r="G64" t="str">
            <v>Buy</v>
          </cell>
          <cell r="M64" t="str">
            <v>40X000000104782K</v>
          </cell>
          <cell r="O64">
            <v>5009.7750000000005</v>
          </cell>
        </row>
        <row r="65">
          <cell r="B65">
            <v>46208.916666666664</v>
          </cell>
          <cell r="C65">
            <v>1</v>
          </cell>
          <cell r="G65" t="str">
            <v>Sell</v>
          </cell>
          <cell r="M65" t="str">
            <v>40X000000104782K</v>
          </cell>
          <cell r="O65">
            <v>2697.7</v>
          </cell>
        </row>
        <row r="66">
          <cell r="B66">
            <v>46208.25</v>
          </cell>
          <cell r="C66">
            <v>1</v>
          </cell>
          <cell r="G66" t="str">
            <v>Sell</v>
          </cell>
          <cell r="M66" t="str">
            <v>40X000000104782K</v>
          </cell>
          <cell r="O66">
            <v>1865.36</v>
          </cell>
        </row>
        <row r="67">
          <cell r="B67">
            <v>46208.25</v>
          </cell>
          <cell r="C67">
            <v>1</v>
          </cell>
          <cell r="G67" t="str">
            <v>Sell</v>
          </cell>
          <cell r="M67" t="str">
            <v>40X000000104782K</v>
          </cell>
          <cell r="O67">
            <v>1688.2</v>
          </cell>
        </row>
        <row r="68">
          <cell r="B68">
            <v>46208.25</v>
          </cell>
          <cell r="C68">
            <v>3.8</v>
          </cell>
          <cell r="G68" t="str">
            <v>Sell</v>
          </cell>
          <cell r="M68" t="str">
            <v>40X000000104782K</v>
          </cell>
          <cell r="O68">
            <v>3518.7999999999997</v>
          </cell>
        </row>
        <row r="69">
          <cell r="B69">
            <v>46208.208333333336</v>
          </cell>
          <cell r="C69">
            <v>5</v>
          </cell>
          <cell r="G69" t="str">
            <v>Sell</v>
          </cell>
          <cell r="M69" t="str">
            <v>40X000000104782K</v>
          </cell>
          <cell r="O69">
            <v>2038.0500000000002</v>
          </cell>
        </row>
        <row r="70">
          <cell r="B70">
            <v>46208.208333333336</v>
          </cell>
          <cell r="C70">
            <v>0.1</v>
          </cell>
          <cell r="G70" t="str">
            <v>Sell</v>
          </cell>
          <cell r="M70" t="str">
            <v>40X000000104782K</v>
          </cell>
          <cell r="O70">
            <v>11.190000000000001</v>
          </cell>
        </row>
        <row r="71">
          <cell r="B71">
            <v>46208.208333333336</v>
          </cell>
          <cell r="C71">
            <v>0.1</v>
          </cell>
          <cell r="G71" t="str">
            <v>Buy</v>
          </cell>
          <cell r="M71" t="str">
            <v>40X000000104782K</v>
          </cell>
          <cell r="O71">
            <v>52.720000000000006</v>
          </cell>
        </row>
        <row r="72">
          <cell r="B72">
            <v>46208.166666666664</v>
          </cell>
          <cell r="C72">
            <v>1</v>
          </cell>
          <cell r="G72" t="str">
            <v>Sell</v>
          </cell>
          <cell r="M72" t="str">
            <v>40X000000104782K</v>
          </cell>
          <cell r="O72">
            <v>275.60000000000002</v>
          </cell>
        </row>
        <row r="73">
          <cell r="B73">
            <v>46208.166666666664</v>
          </cell>
          <cell r="C73">
            <v>3</v>
          </cell>
          <cell r="G73" t="str">
            <v>Sell</v>
          </cell>
          <cell r="M73" t="str">
            <v>40X000000104782K</v>
          </cell>
          <cell r="O73">
            <v>3929.7000000000003</v>
          </cell>
        </row>
        <row r="74">
          <cell r="B74">
            <v>46208.125</v>
          </cell>
          <cell r="C74">
            <v>1</v>
          </cell>
          <cell r="G74" t="str">
            <v>Sell</v>
          </cell>
          <cell r="M74" t="str">
            <v>40X000000104782K</v>
          </cell>
          <cell r="O74">
            <v>1912</v>
          </cell>
        </row>
        <row r="75">
          <cell r="B75">
            <v>46208.083333333336</v>
          </cell>
          <cell r="C75">
            <v>1</v>
          </cell>
          <cell r="G75" t="str">
            <v>Buy</v>
          </cell>
          <cell r="M75" t="str">
            <v>40X000000104782K</v>
          </cell>
          <cell r="O75">
            <v>1401.6</v>
          </cell>
        </row>
        <row r="76">
          <cell r="B76">
            <v>46208.041666666664</v>
          </cell>
          <cell r="C76">
            <v>1</v>
          </cell>
          <cell r="G76" t="str">
            <v>Buy</v>
          </cell>
          <cell r="M76" t="str">
            <v>40X000000104782K</v>
          </cell>
          <cell r="O76">
            <v>2778</v>
          </cell>
        </row>
        <row r="77">
          <cell r="B77">
            <v>46207.916666666664</v>
          </cell>
          <cell r="C77">
            <v>1</v>
          </cell>
          <cell r="G77" t="str">
            <v>Buy</v>
          </cell>
          <cell r="M77" t="str">
            <v>40X000000104782K</v>
          </cell>
          <cell r="O77">
            <v>4536.6000000000004</v>
          </cell>
        </row>
        <row r="78">
          <cell r="B78">
            <v>46207.541666666664</v>
          </cell>
          <cell r="C78">
            <v>1</v>
          </cell>
          <cell r="G78" t="str">
            <v>Sell</v>
          </cell>
          <cell r="M78" t="str">
            <v>40X000000104782K</v>
          </cell>
          <cell r="O78">
            <v>1999.4</v>
          </cell>
        </row>
        <row r="79">
          <cell r="B79">
            <v>46207.333333333336</v>
          </cell>
          <cell r="C79">
            <v>1</v>
          </cell>
          <cell r="G79" t="str">
            <v>Sell</v>
          </cell>
          <cell r="M79" t="str">
            <v>40X000000104782K</v>
          </cell>
          <cell r="O79">
            <v>1960</v>
          </cell>
        </row>
        <row r="80">
          <cell r="B80">
            <v>46207.25</v>
          </cell>
          <cell r="C80">
            <v>0.8</v>
          </cell>
          <cell r="G80" t="str">
            <v>Sell</v>
          </cell>
          <cell r="M80" t="str">
            <v>40X000000104782K</v>
          </cell>
          <cell r="O80">
            <v>1991.8400000000001</v>
          </cell>
        </row>
        <row r="81">
          <cell r="B81">
            <v>46207.208333333336</v>
          </cell>
          <cell r="C81">
            <v>5</v>
          </cell>
          <cell r="G81" t="str">
            <v>Sell</v>
          </cell>
          <cell r="M81" t="str">
            <v>40X000000104782K</v>
          </cell>
          <cell r="O81">
            <v>18597.5</v>
          </cell>
        </row>
        <row r="82">
          <cell r="B82">
            <v>46207.166666666664</v>
          </cell>
          <cell r="C82">
            <v>1</v>
          </cell>
          <cell r="G82" t="str">
            <v>Sell</v>
          </cell>
          <cell r="M82" t="str">
            <v>40X000000104782K</v>
          </cell>
          <cell r="O82">
            <v>3792.2</v>
          </cell>
        </row>
        <row r="83">
          <cell r="B83">
            <v>46207.166666666664</v>
          </cell>
          <cell r="C83">
            <v>3</v>
          </cell>
          <cell r="G83" t="str">
            <v>Sell</v>
          </cell>
          <cell r="M83" t="str">
            <v>40X000000104782K</v>
          </cell>
          <cell r="O83">
            <v>11548.8</v>
          </cell>
        </row>
        <row r="84">
          <cell r="B84">
            <v>46207.125</v>
          </cell>
          <cell r="C84">
            <v>3</v>
          </cell>
          <cell r="G84" t="str">
            <v>Sell</v>
          </cell>
          <cell r="M84" t="str">
            <v>40X000000104782K</v>
          </cell>
          <cell r="O84">
            <v>11680.26</v>
          </cell>
        </row>
        <row r="85">
          <cell r="B85">
            <v>46207.125</v>
          </cell>
          <cell r="C85">
            <v>3</v>
          </cell>
          <cell r="G85" t="str">
            <v>Sell</v>
          </cell>
          <cell r="M85" t="str">
            <v>40X000000104782K</v>
          </cell>
          <cell r="O85">
            <v>11695.8</v>
          </cell>
        </row>
        <row r="86">
          <cell r="B86">
            <v>46207.083333333336</v>
          </cell>
          <cell r="C86">
            <v>4</v>
          </cell>
          <cell r="G86" t="str">
            <v>Sell</v>
          </cell>
          <cell r="M86" t="str">
            <v>40X000000104782K</v>
          </cell>
          <cell r="O86">
            <v>15335.6</v>
          </cell>
        </row>
        <row r="87">
          <cell r="B87">
            <v>46207.041666666664</v>
          </cell>
          <cell r="C87">
            <v>4</v>
          </cell>
          <cell r="G87" t="str">
            <v>Sell</v>
          </cell>
          <cell r="M87" t="str">
            <v>40X000000104782K</v>
          </cell>
          <cell r="O87">
            <v>15320</v>
          </cell>
        </row>
        <row r="88">
          <cell r="B88">
            <v>46207</v>
          </cell>
          <cell r="C88">
            <v>1</v>
          </cell>
          <cell r="G88" t="str">
            <v>Sell</v>
          </cell>
          <cell r="M88" t="str">
            <v>40X000000104782K</v>
          </cell>
          <cell r="O88">
            <v>3735</v>
          </cell>
        </row>
        <row r="89">
          <cell r="B89">
            <v>46207</v>
          </cell>
          <cell r="C89">
            <v>2</v>
          </cell>
          <cell r="G89" t="str">
            <v>Sell</v>
          </cell>
          <cell r="M89" t="str">
            <v>40X000000104782K</v>
          </cell>
          <cell r="O89">
            <v>7526.86</v>
          </cell>
        </row>
        <row r="90">
          <cell r="B90">
            <v>46206.958333333336</v>
          </cell>
          <cell r="C90">
            <v>1</v>
          </cell>
          <cell r="G90" t="str">
            <v>Sell</v>
          </cell>
          <cell r="M90" t="str">
            <v>40X000000104782K</v>
          </cell>
          <cell r="O90">
            <v>3724.1</v>
          </cell>
        </row>
        <row r="91">
          <cell r="B91">
            <v>46206.75</v>
          </cell>
          <cell r="C91">
            <v>2</v>
          </cell>
          <cell r="G91" t="str">
            <v>Buy</v>
          </cell>
          <cell r="M91" t="str">
            <v>40X000000104782K</v>
          </cell>
          <cell r="O91">
            <v>7208.1</v>
          </cell>
        </row>
        <row r="92">
          <cell r="B92">
            <v>46206.5</v>
          </cell>
          <cell r="C92">
            <v>1</v>
          </cell>
          <cell r="G92" t="str">
            <v>Buy</v>
          </cell>
          <cell r="M92" t="str">
            <v>40X000000104782K</v>
          </cell>
          <cell r="O92">
            <v>1602.8</v>
          </cell>
        </row>
        <row r="93">
          <cell r="B93">
            <v>46206.5</v>
          </cell>
          <cell r="C93">
            <v>3</v>
          </cell>
          <cell r="G93" t="str">
            <v>Buy</v>
          </cell>
          <cell r="M93" t="str">
            <v>40X000000104782K</v>
          </cell>
          <cell r="O93">
            <v>4504.5</v>
          </cell>
        </row>
        <row r="94">
          <cell r="B94">
            <v>46206.375</v>
          </cell>
          <cell r="C94">
            <v>1</v>
          </cell>
          <cell r="G94" t="str">
            <v>Sell</v>
          </cell>
          <cell r="M94" t="str">
            <v>40X000000104782K</v>
          </cell>
          <cell r="O94">
            <v>2862.5</v>
          </cell>
        </row>
        <row r="95">
          <cell r="B95">
            <v>46206.208333333336</v>
          </cell>
          <cell r="C95">
            <v>1</v>
          </cell>
          <cell r="G95" t="str">
            <v>Sell</v>
          </cell>
          <cell r="M95" t="str">
            <v>40X000000104782K</v>
          </cell>
          <cell r="O95">
            <v>3730.22</v>
          </cell>
        </row>
        <row r="96">
          <cell r="B96">
            <v>46206.208333333336</v>
          </cell>
          <cell r="C96">
            <v>1</v>
          </cell>
          <cell r="G96" t="str">
            <v>Sell</v>
          </cell>
          <cell r="M96" t="str">
            <v>40X000000104782K</v>
          </cell>
          <cell r="O96">
            <v>3644.3</v>
          </cell>
        </row>
        <row r="97">
          <cell r="B97">
            <v>46206.166666666664</v>
          </cell>
          <cell r="C97">
            <v>1</v>
          </cell>
          <cell r="G97" t="str">
            <v>Sell</v>
          </cell>
          <cell r="M97" t="str">
            <v>40X000000104782K</v>
          </cell>
          <cell r="O97">
            <v>3554</v>
          </cell>
        </row>
        <row r="98">
          <cell r="B98">
            <v>46206.166666666664</v>
          </cell>
          <cell r="C98">
            <v>1</v>
          </cell>
          <cell r="G98" t="str">
            <v>Sell</v>
          </cell>
          <cell r="M98" t="str">
            <v>40X000000104782K</v>
          </cell>
          <cell r="O98">
            <v>3559.8</v>
          </cell>
        </row>
        <row r="99">
          <cell r="B99">
            <v>46206.125</v>
          </cell>
          <cell r="C99">
            <v>1</v>
          </cell>
          <cell r="G99" t="str">
            <v>Sell</v>
          </cell>
          <cell r="M99" t="str">
            <v>40X000000104782K</v>
          </cell>
          <cell r="O99">
            <v>3394.68</v>
          </cell>
        </row>
        <row r="100">
          <cell r="B100">
            <v>46206.083333333336</v>
          </cell>
          <cell r="C100">
            <v>2</v>
          </cell>
          <cell r="G100" t="str">
            <v>Sell</v>
          </cell>
          <cell r="M100" t="str">
            <v>40X000000104782K</v>
          </cell>
          <cell r="O100">
            <v>7239.4</v>
          </cell>
        </row>
        <row r="101">
          <cell r="B101">
            <v>46206.041666666664</v>
          </cell>
          <cell r="C101">
            <v>1</v>
          </cell>
          <cell r="G101" t="str">
            <v>Sell</v>
          </cell>
          <cell r="M101" t="str">
            <v>40X000000104782K</v>
          </cell>
          <cell r="O101">
            <v>3184.85</v>
          </cell>
        </row>
        <row r="102">
          <cell r="B102">
            <v>46206</v>
          </cell>
          <cell r="C102">
            <v>3</v>
          </cell>
          <cell r="G102" t="str">
            <v>Sell</v>
          </cell>
          <cell r="M102" t="str">
            <v>40X000000104782K</v>
          </cell>
          <cell r="O102">
            <v>10423.200000000001</v>
          </cell>
        </row>
        <row r="103">
          <cell r="B103">
            <v>46205.958333333336</v>
          </cell>
          <cell r="C103">
            <v>4</v>
          </cell>
          <cell r="G103" t="str">
            <v>Sell</v>
          </cell>
          <cell r="M103" t="str">
            <v>40X000000104782K</v>
          </cell>
          <cell r="O103">
            <v>12787.6</v>
          </cell>
        </row>
        <row r="104">
          <cell r="B104">
            <v>46205.958333333336</v>
          </cell>
          <cell r="C104">
            <v>2</v>
          </cell>
          <cell r="G104" t="str">
            <v>Sell</v>
          </cell>
          <cell r="M104" t="str">
            <v>40X000000104782K</v>
          </cell>
          <cell r="O104">
            <v>6141.2</v>
          </cell>
        </row>
        <row r="105">
          <cell r="B105">
            <v>46205.916666666664</v>
          </cell>
          <cell r="C105">
            <v>5</v>
          </cell>
          <cell r="G105" t="str">
            <v>Sell</v>
          </cell>
          <cell r="M105" t="str">
            <v>40X000000104782K</v>
          </cell>
          <cell r="O105">
            <v>20027</v>
          </cell>
        </row>
        <row r="106">
          <cell r="B106">
            <v>46205.875</v>
          </cell>
          <cell r="C106">
            <v>3</v>
          </cell>
          <cell r="G106" t="str">
            <v>Sell</v>
          </cell>
          <cell r="M106" t="str">
            <v>40X000000104782K</v>
          </cell>
          <cell r="O106">
            <v>13382.400000000001</v>
          </cell>
        </row>
        <row r="107">
          <cell r="B107">
            <v>46205.875</v>
          </cell>
          <cell r="C107">
            <v>2</v>
          </cell>
          <cell r="G107" t="str">
            <v>Sell</v>
          </cell>
          <cell r="M107" t="str">
            <v>40X000000104782K</v>
          </cell>
          <cell r="O107">
            <v>8671.4</v>
          </cell>
        </row>
        <row r="108">
          <cell r="B108">
            <v>46205.791666666664</v>
          </cell>
          <cell r="C108">
            <v>2.8</v>
          </cell>
          <cell r="G108" t="str">
            <v>Sell</v>
          </cell>
          <cell r="M108" t="str">
            <v>40X000000104782K</v>
          </cell>
          <cell r="O108">
            <v>11860.575999999999</v>
          </cell>
        </row>
        <row r="109">
          <cell r="B109">
            <v>46205.75</v>
          </cell>
          <cell r="C109">
            <v>4.7</v>
          </cell>
          <cell r="G109" t="str">
            <v>Sell</v>
          </cell>
          <cell r="M109" t="str">
            <v>40X000000104782K</v>
          </cell>
          <cell r="O109">
            <v>14979.37</v>
          </cell>
        </row>
        <row r="110">
          <cell r="B110">
            <v>46205.708333333336</v>
          </cell>
          <cell r="C110">
            <v>3.5</v>
          </cell>
          <cell r="G110" t="str">
            <v>Sell</v>
          </cell>
          <cell r="M110" t="str">
            <v>40X000000104782K</v>
          </cell>
          <cell r="O110">
            <v>13376.125</v>
          </cell>
        </row>
        <row r="111">
          <cell r="B111">
            <v>46205.666666666664</v>
          </cell>
          <cell r="C111">
            <v>1</v>
          </cell>
          <cell r="G111" t="str">
            <v>Sell</v>
          </cell>
          <cell r="M111" t="str">
            <v>40X000000104782K</v>
          </cell>
          <cell r="O111">
            <v>2840.8</v>
          </cell>
        </row>
        <row r="112">
          <cell r="B112">
            <v>46205.625</v>
          </cell>
          <cell r="C112">
            <v>1.2</v>
          </cell>
          <cell r="G112" t="str">
            <v>Sell</v>
          </cell>
          <cell r="M112" t="str">
            <v>40X000000104782K</v>
          </cell>
          <cell r="O112">
            <v>3207.8399999999997</v>
          </cell>
        </row>
        <row r="113">
          <cell r="B113">
            <v>46205.583333333336</v>
          </cell>
          <cell r="C113">
            <v>2</v>
          </cell>
          <cell r="G113" t="str">
            <v>Sell</v>
          </cell>
          <cell r="M113" t="str">
            <v>40X000000104782K</v>
          </cell>
          <cell r="O113">
            <v>7681.4</v>
          </cell>
        </row>
        <row r="114">
          <cell r="B114">
            <v>46205.541666666664</v>
          </cell>
          <cell r="C114">
            <v>2</v>
          </cell>
          <cell r="G114" t="str">
            <v>Sell</v>
          </cell>
          <cell r="M114" t="str">
            <v>40X000000104782K</v>
          </cell>
          <cell r="O114">
            <v>7399.06</v>
          </cell>
        </row>
        <row r="115">
          <cell r="B115">
            <v>46205.458333333336</v>
          </cell>
          <cell r="C115">
            <v>1</v>
          </cell>
          <cell r="G115" t="str">
            <v>Sell</v>
          </cell>
          <cell r="M115" t="str">
            <v>40X000000104782K</v>
          </cell>
          <cell r="O115">
            <v>3321.51</v>
          </cell>
        </row>
        <row r="116">
          <cell r="B116">
            <v>46205.416666666664</v>
          </cell>
          <cell r="C116">
            <v>1</v>
          </cell>
          <cell r="G116" t="str">
            <v>Sell</v>
          </cell>
          <cell r="M116" t="str">
            <v>40X000000104782K</v>
          </cell>
          <cell r="O116">
            <v>2742.6</v>
          </cell>
        </row>
        <row r="117">
          <cell r="B117">
            <v>46205.375</v>
          </cell>
          <cell r="C117">
            <v>1</v>
          </cell>
          <cell r="G117" t="str">
            <v>Sell</v>
          </cell>
          <cell r="M117" t="str">
            <v>40X000000104782K</v>
          </cell>
          <cell r="O117">
            <v>3714</v>
          </cell>
        </row>
        <row r="118">
          <cell r="B118">
            <v>46205.333333333336</v>
          </cell>
          <cell r="C118">
            <v>1</v>
          </cell>
          <cell r="G118" t="str">
            <v>Sell</v>
          </cell>
          <cell r="M118" t="str">
            <v>40X000000104782K</v>
          </cell>
          <cell r="O118">
            <v>3802.7</v>
          </cell>
        </row>
        <row r="119">
          <cell r="B119">
            <v>46205.291666666664</v>
          </cell>
          <cell r="C119">
            <v>4.5</v>
          </cell>
          <cell r="G119" t="str">
            <v>Sell</v>
          </cell>
          <cell r="M119" t="str">
            <v>40X000000104782K</v>
          </cell>
          <cell r="O119">
            <v>7694.01</v>
          </cell>
        </row>
        <row r="120">
          <cell r="B120">
            <v>46205.25</v>
          </cell>
          <cell r="C120">
            <v>4.8</v>
          </cell>
          <cell r="G120" t="str">
            <v>Sell</v>
          </cell>
          <cell r="M120" t="str">
            <v>40X000000104782K</v>
          </cell>
          <cell r="O120">
            <v>16956.288</v>
          </cell>
        </row>
        <row r="121">
          <cell r="B121">
            <v>46205.208333333336</v>
          </cell>
          <cell r="C121">
            <v>5</v>
          </cell>
          <cell r="G121" t="str">
            <v>Sell</v>
          </cell>
          <cell r="M121" t="str">
            <v>40X000000104782K</v>
          </cell>
          <cell r="O121">
            <v>23140.5</v>
          </cell>
        </row>
        <row r="122">
          <cell r="B122">
            <v>46205.166666666664</v>
          </cell>
          <cell r="C122">
            <v>5</v>
          </cell>
          <cell r="G122" t="str">
            <v>Sell</v>
          </cell>
          <cell r="M122" t="str">
            <v>40X000000104782K</v>
          </cell>
          <cell r="O122">
            <v>22238</v>
          </cell>
        </row>
        <row r="123">
          <cell r="B123">
            <v>46205.125</v>
          </cell>
          <cell r="C123">
            <v>7</v>
          </cell>
          <cell r="G123" t="str">
            <v>Sell</v>
          </cell>
          <cell r="M123" t="str">
            <v>40X000000104782K</v>
          </cell>
          <cell r="O123">
            <v>22859.97</v>
          </cell>
        </row>
        <row r="124">
          <cell r="B124">
            <v>46205.083333333336</v>
          </cell>
          <cell r="C124">
            <v>1</v>
          </cell>
          <cell r="G124" t="str">
            <v>Sell</v>
          </cell>
          <cell r="M124" t="str">
            <v>40X000000104782K</v>
          </cell>
          <cell r="O124">
            <v>3299.9</v>
          </cell>
        </row>
        <row r="125">
          <cell r="B125">
            <v>46205.083333333336</v>
          </cell>
          <cell r="C125">
            <v>5</v>
          </cell>
          <cell r="G125" t="str">
            <v>Sell</v>
          </cell>
          <cell r="M125" t="str">
            <v>40X000000104782K</v>
          </cell>
          <cell r="O125">
            <v>16982</v>
          </cell>
        </row>
        <row r="126">
          <cell r="B126">
            <v>46205.041666666664</v>
          </cell>
          <cell r="C126">
            <v>6</v>
          </cell>
          <cell r="G126" t="str">
            <v>Sell</v>
          </cell>
          <cell r="M126" t="str">
            <v>40X000000104782K</v>
          </cell>
          <cell r="O126">
            <v>20490.599999999999</v>
          </cell>
        </row>
        <row r="127">
          <cell r="B127">
            <v>46205</v>
          </cell>
          <cell r="C127">
            <v>6</v>
          </cell>
          <cell r="G127" t="str">
            <v>Sell</v>
          </cell>
          <cell r="M127" t="str">
            <v>40X000000104782K</v>
          </cell>
          <cell r="O127">
            <v>23885.1</v>
          </cell>
        </row>
        <row r="128">
          <cell r="B128">
            <v>46204.958333333336</v>
          </cell>
          <cell r="C128">
            <v>6</v>
          </cell>
          <cell r="G128" t="str">
            <v>Sell</v>
          </cell>
          <cell r="M128" t="str">
            <v>40X000000104782K</v>
          </cell>
          <cell r="O128">
            <v>20141.28</v>
          </cell>
        </row>
        <row r="129">
          <cell r="B129">
            <v>46204.916666666664</v>
          </cell>
          <cell r="C129">
            <v>7</v>
          </cell>
          <cell r="G129" t="str">
            <v>Sell</v>
          </cell>
          <cell r="M129" t="str">
            <v>40X000000104782K</v>
          </cell>
          <cell r="O129">
            <v>24851.960000000003</v>
          </cell>
        </row>
        <row r="130">
          <cell r="B130">
            <v>46204.875</v>
          </cell>
          <cell r="C130">
            <v>7</v>
          </cell>
          <cell r="G130" t="str">
            <v>Sell</v>
          </cell>
          <cell r="M130" t="str">
            <v>40X000000104782K</v>
          </cell>
          <cell r="O130">
            <v>29468.53</v>
          </cell>
        </row>
        <row r="131">
          <cell r="B131">
            <v>46204.833333333336</v>
          </cell>
          <cell r="C131">
            <v>4</v>
          </cell>
          <cell r="G131" t="str">
            <v>Sell</v>
          </cell>
          <cell r="M131" t="str">
            <v>40X000000104782K</v>
          </cell>
          <cell r="O131">
            <v>17199.599999999999</v>
          </cell>
        </row>
        <row r="132">
          <cell r="B132">
            <v>46204.791666666664</v>
          </cell>
          <cell r="C132">
            <v>1</v>
          </cell>
          <cell r="G132" t="str">
            <v>Sell</v>
          </cell>
          <cell r="M132" t="str">
            <v>40X000000104782K</v>
          </cell>
          <cell r="O132">
            <v>4249.3999999999996</v>
          </cell>
        </row>
        <row r="133">
          <cell r="B133">
            <v>46204.791666666664</v>
          </cell>
          <cell r="C133">
            <v>3.3</v>
          </cell>
          <cell r="G133" t="str">
            <v>Sell</v>
          </cell>
          <cell r="M133" t="str">
            <v>40X000000104782K</v>
          </cell>
          <cell r="O133">
            <v>13927.65</v>
          </cell>
        </row>
        <row r="134">
          <cell r="B134">
            <v>46204.75</v>
          </cell>
          <cell r="C134">
            <v>1.2</v>
          </cell>
          <cell r="G134" t="str">
            <v>Sell</v>
          </cell>
          <cell r="M134" t="str">
            <v>40X000000104782K</v>
          </cell>
          <cell r="O134">
            <v>4740.7199999999993</v>
          </cell>
        </row>
        <row r="135">
          <cell r="B135">
            <v>46204.666666666664</v>
          </cell>
          <cell r="C135">
            <v>1</v>
          </cell>
          <cell r="G135" t="str">
            <v>Sell</v>
          </cell>
          <cell r="M135" t="str">
            <v>40X000000104782K</v>
          </cell>
          <cell r="O135">
            <v>3473</v>
          </cell>
        </row>
        <row r="136">
          <cell r="B136">
            <v>46204.583333333336</v>
          </cell>
          <cell r="C136">
            <v>3</v>
          </cell>
          <cell r="G136" t="str">
            <v>Sell</v>
          </cell>
          <cell r="M136" t="str">
            <v>40X000000104782K</v>
          </cell>
          <cell r="O136">
            <v>10378.5</v>
          </cell>
        </row>
        <row r="137">
          <cell r="B137">
            <v>46204.541666666664</v>
          </cell>
          <cell r="C137">
            <v>2</v>
          </cell>
          <cell r="G137" t="str">
            <v>Sell</v>
          </cell>
          <cell r="M137" t="str">
            <v>40X000000104782K</v>
          </cell>
          <cell r="O137">
            <v>4049.8</v>
          </cell>
        </row>
        <row r="138">
          <cell r="B138">
            <v>46204.333333333336</v>
          </cell>
          <cell r="C138">
            <v>1</v>
          </cell>
          <cell r="G138" t="str">
            <v>Sell</v>
          </cell>
          <cell r="M138" t="str">
            <v>40X000000104782K</v>
          </cell>
          <cell r="O138">
            <v>2874.7</v>
          </cell>
        </row>
        <row r="139">
          <cell r="B139">
            <v>46204.25</v>
          </cell>
          <cell r="C139">
            <v>1</v>
          </cell>
          <cell r="G139" t="str">
            <v>Sell</v>
          </cell>
          <cell r="M139" t="str">
            <v>40X000000104782K</v>
          </cell>
          <cell r="O139">
            <v>2522.6</v>
          </cell>
        </row>
        <row r="140">
          <cell r="B140">
            <v>46204.208333333336</v>
          </cell>
          <cell r="C140">
            <v>3</v>
          </cell>
          <cell r="G140" t="str">
            <v>Sell</v>
          </cell>
          <cell r="M140" t="str">
            <v>40X000000104782K</v>
          </cell>
          <cell r="O140">
            <v>10589.7</v>
          </cell>
        </row>
        <row r="141">
          <cell r="B141">
            <v>46204.166666666664</v>
          </cell>
          <cell r="C141">
            <v>1</v>
          </cell>
          <cell r="G141" t="str">
            <v>Sell</v>
          </cell>
          <cell r="M141" t="str">
            <v>40X000000104782K</v>
          </cell>
          <cell r="O141">
            <v>4058.88</v>
          </cell>
        </row>
        <row r="142">
          <cell r="B142">
            <v>46204.166666666664</v>
          </cell>
          <cell r="C142">
            <v>2</v>
          </cell>
          <cell r="G142" t="str">
            <v>Sell</v>
          </cell>
          <cell r="M142" t="str">
            <v>40X000000104782K</v>
          </cell>
          <cell r="O142">
            <v>7624.6</v>
          </cell>
        </row>
        <row r="143">
          <cell r="B143">
            <v>46204.083333333336</v>
          </cell>
          <cell r="C143">
            <v>1</v>
          </cell>
          <cell r="G143" t="str">
            <v>Sell</v>
          </cell>
          <cell r="M143" t="str">
            <v>40X000000104782K</v>
          </cell>
          <cell r="O143">
            <v>3339.5</v>
          </cell>
        </row>
        <row r="144">
          <cell r="B144">
            <v>46204.041666666664</v>
          </cell>
          <cell r="C144">
            <v>2</v>
          </cell>
          <cell r="G144" t="str">
            <v>Sell</v>
          </cell>
          <cell r="M144" t="str">
            <v>40X000000104782K</v>
          </cell>
          <cell r="O144">
            <v>8400</v>
          </cell>
        </row>
        <row r="145">
          <cell r="B145">
            <v>46204</v>
          </cell>
          <cell r="C145">
            <v>1</v>
          </cell>
          <cell r="G145" t="str">
            <v>Sell</v>
          </cell>
          <cell r="M145" t="str">
            <v>40X000000104782K</v>
          </cell>
          <cell r="O145">
            <v>3934.5</v>
          </cell>
        </row>
        <row r="146">
          <cell r="O146">
            <v>0</v>
          </cell>
        </row>
        <row r="147">
          <cell r="O147">
            <v>0</v>
          </cell>
        </row>
        <row r="148">
          <cell r="O148">
            <v>0</v>
          </cell>
        </row>
        <row r="149">
          <cell r="O149">
            <v>0</v>
          </cell>
        </row>
        <row r="150">
          <cell r="O150">
            <v>0</v>
          </cell>
        </row>
        <row r="151">
          <cell r="O151">
            <v>0</v>
          </cell>
        </row>
        <row r="152">
          <cell r="O152">
            <v>0</v>
          </cell>
        </row>
        <row r="153">
          <cell r="O153">
            <v>0</v>
          </cell>
        </row>
        <row r="154">
          <cell r="O154">
            <v>0</v>
          </cell>
        </row>
        <row r="155">
          <cell r="O155">
            <v>0</v>
          </cell>
        </row>
        <row r="156">
          <cell r="O156">
            <v>0</v>
          </cell>
        </row>
        <row r="157">
          <cell r="O157">
            <v>0</v>
          </cell>
        </row>
        <row r="158">
          <cell r="O158">
            <v>0</v>
          </cell>
        </row>
        <row r="159">
          <cell r="O159">
            <v>0</v>
          </cell>
        </row>
        <row r="160">
          <cell r="O160">
            <v>0</v>
          </cell>
        </row>
        <row r="161">
          <cell r="O161">
            <v>0</v>
          </cell>
        </row>
        <row r="162">
          <cell r="O162">
            <v>0</v>
          </cell>
        </row>
        <row r="163">
          <cell r="O163">
            <v>0</v>
          </cell>
        </row>
        <row r="164">
          <cell r="O164">
            <v>0</v>
          </cell>
        </row>
        <row r="165">
          <cell r="O165">
            <v>0</v>
          </cell>
        </row>
        <row r="166">
          <cell r="O166">
            <v>0</v>
          </cell>
        </row>
        <row r="167">
          <cell r="O167">
            <v>0</v>
          </cell>
        </row>
        <row r="168">
          <cell r="O168">
            <v>0</v>
          </cell>
        </row>
        <row r="169">
          <cell r="O169">
            <v>0</v>
          </cell>
        </row>
        <row r="170">
          <cell r="O170">
            <v>0</v>
          </cell>
        </row>
        <row r="171">
          <cell r="O171">
            <v>0</v>
          </cell>
        </row>
        <row r="172">
          <cell r="O172">
            <v>0</v>
          </cell>
        </row>
        <row r="173">
          <cell r="O173">
            <v>0</v>
          </cell>
        </row>
        <row r="174">
          <cell r="O174">
            <v>0</v>
          </cell>
        </row>
        <row r="175">
          <cell r="O175">
            <v>0</v>
          </cell>
        </row>
        <row r="176">
          <cell r="O176">
            <v>0</v>
          </cell>
        </row>
        <row r="177">
          <cell r="O177">
            <v>0</v>
          </cell>
        </row>
        <row r="178">
          <cell r="O178">
            <v>0</v>
          </cell>
        </row>
        <row r="179">
          <cell r="O179">
            <v>0</v>
          </cell>
        </row>
        <row r="180">
          <cell r="O180">
            <v>0</v>
          </cell>
        </row>
        <row r="181">
          <cell r="O181">
            <v>0</v>
          </cell>
        </row>
        <row r="182">
          <cell r="O182">
            <v>0</v>
          </cell>
        </row>
        <row r="183">
          <cell r="O183">
            <v>0</v>
          </cell>
        </row>
        <row r="184">
          <cell r="O184">
            <v>0</v>
          </cell>
        </row>
        <row r="185">
          <cell r="O185">
            <v>0</v>
          </cell>
        </row>
        <row r="186">
          <cell r="O186">
            <v>0</v>
          </cell>
        </row>
        <row r="187">
          <cell r="O187">
            <v>0</v>
          </cell>
        </row>
        <row r="188">
          <cell r="O188">
            <v>0</v>
          </cell>
        </row>
        <row r="189">
          <cell r="O189">
            <v>0</v>
          </cell>
        </row>
        <row r="190">
          <cell r="O190">
            <v>0</v>
          </cell>
        </row>
        <row r="191">
          <cell r="O191">
            <v>0</v>
          </cell>
        </row>
        <row r="192">
          <cell r="O192">
            <v>0</v>
          </cell>
        </row>
        <row r="193">
          <cell r="O193">
            <v>0</v>
          </cell>
        </row>
        <row r="194">
          <cell r="O194">
            <v>0</v>
          </cell>
        </row>
        <row r="195">
          <cell r="O195">
            <v>0</v>
          </cell>
        </row>
        <row r="196">
          <cell r="O196">
            <v>0</v>
          </cell>
        </row>
        <row r="197">
          <cell r="O197">
            <v>0</v>
          </cell>
        </row>
        <row r="198">
          <cell r="O198">
            <v>0</v>
          </cell>
        </row>
        <row r="199">
          <cell r="O199">
            <v>0</v>
          </cell>
        </row>
        <row r="200">
          <cell r="O200">
            <v>0</v>
          </cell>
        </row>
        <row r="201">
          <cell r="O201">
            <v>0</v>
          </cell>
        </row>
        <row r="202">
          <cell r="O202">
            <v>0</v>
          </cell>
        </row>
        <row r="203">
          <cell r="O203">
            <v>0</v>
          </cell>
        </row>
        <row r="204">
          <cell r="O204">
            <v>0</v>
          </cell>
        </row>
        <row r="205">
          <cell r="O205">
            <v>0</v>
          </cell>
        </row>
        <row r="206">
          <cell r="O206">
            <v>0</v>
          </cell>
        </row>
        <row r="207">
          <cell r="O207">
            <v>0</v>
          </cell>
        </row>
        <row r="208">
          <cell r="O208">
            <v>0</v>
          </cell>
        </row>
        <row r="209">
          <cell r="O209">
            <v>0</v>
          </cell>
        </row>
        <row r="210">
          <cell r="O210">
            <v>0</v>
          </cell>
        </row>
        <row r="211">
          <cell r="O211">
            <v>0</v>
          </cell>
        </row>
        <row r="212">
          <cell r="O212">
            <v>0</v>
          </cell>
        </row>
        <row r="213">
          <cell r="O213">
            <v>0</v>
          </cell>
        </row>
        <row r="214">
          <cell r="O214">
            <v>0</v>
          </cell>
        </row>
        <row r="215">
          <cell r="O215">
            <v>0</v>
          </cell>
        </row>
        <row r="216">
          <cell r="O216">
            <v>0</v>
          </cell>
        </row>
        <row r="217">
          <cell r="O217">
            <v>0</v>
          </cell>
        </row>
        <row r="218">
          <cell r="O218">
            <v>0</v>
          </cell>
        </row>
        <row r="219">
          <cell r="O219">
            <v>0</v>
          </cell>
        </row>
        <row r="220">
          <cell r="O220">
            <v>0</v>
          </cell>
        </row>
        <row r="221">
          <cell r="O221">
            <v>0</v>
          </cell>
        </row>
        <row r="222">
          <cell r="O222">
            <v>0</v>
          </cell>
        </row>
        <row r="223">
          <cell r="O223">
            <v>0</v>
          </cell>
        </row>
        <row r="224">
          <cell r="O224">
            <v>0</v>
          </cell>
        </row>
        <row r="225">
          <cell r="O225">
            <v>0</v>
          </cell>
        </row>
        <row r="226">
          <cell r="O226">
            <v>0</v>
          </cell>
        </row>
        <row r="227">
          <cell r="O227">
            <v>0</v>
          </cell>
        </row>
        <row r="228">
          <cell r="O228">
            <v>0</v>
          </cell>
        </row>
        <row r="229">
          <cell r="O229">
            <v>0</v>
          </cell>
        </row>
        <row r="230">
          <cell r="O230">
            <v>0</v>
          </cell>
        </row>
        <row r="231">
          <cell r="O231">
            <v>0</v>
          </cell>
        </row>
        <row r="232">
          <cell r="O232">
            <v>0</v>
          </cell>
        </row>
        <row r="233">
          <cell r="O233">
            <v>0</v>
          </cell>
        </row>
        <row r="234">
          <cell r="O234">
            <v>0</v>
          </cell>
        </row>
        <row r="235">
          <cell r="O235">
            <v>0</v>
          </cell>
        </row>
        <row r="236">
          <cell r="O236">
            <v>0</v>
          </cell>
        </row>
        <row r="237">
          <cell r="O237">
            <v>0</v>
          </cell>
        </row>
        <row r="238">
          <cell r="O238">
            <v>0</v>
          </cell>
        </row>
        <row r="239">
          <cell r="O239">
            <v>0</v>
          </cell>
        </row>
        <row r="240">
          <cell r="O240">
            <v>0</v>
          </cell>
        </row>
        <row r="241">
          <cell r="O241">
            <v>0</v>
          </cell>
        </row>
        <row r="242">
          <cell r="O242">
            <v>0</v>
          </cell>
        </row>
        <row r="243">
          <cell r="O243">
            <v>0</v>
          </cell>
        </row>
        <row r="244">
          <cell r="O244">
            <v>0</v>
          </cell>
        </row>
        <row r="245">
          <cell r="O245">
            <v>0</v>
          </cell>
        </row>
        <row r="246">
          <cell r="O246">
            <v>0</v>
          </cell>
        </row>
        <row r="247">
          <cell r="O247">
            <v>0</v>
          </cell>
        </row>
        <row r="248">
          <cell r="O248">
            <v>0</v>
          </cell>
        </row>
        <row r="249">
          <cell r="O249">
            <v>0</v>
          </cell>
        </row>
        <row r="250">
          <cell r="O250">
            <v>0</v>
          </cell>
        </row>
        <row r="251">
          <cell r="O251">
            <v>0</v>
          </cell>
        </row>
        <row r="252">
          <cell r="O252">
            <v>0</v>
          </cell>
        </row>
        <row r="253">
          <cell r="O253">
            <v>0</v>
          </cell>
        </row>
        <row r="254">
          <cell r="O254">
            <v>0</v>
          </cell>
        </row>
        <row r="255">
          <cell r="O255">
            <v>0</v>
          </cell>
        </row>
        <row r="256">
          <cell r="O256">
            <v>0</v>
          </cell>
        </row>
        <row r="257">
          <cell r="O257">
            <v>0</v>
          </cell>
        </row>
        <row r="258">
          <cell r="O258">
            <v>0</v>
          </cell>
        </row>
        <row r="259">
          <cell r="O259">
            <v>0</v>
          </cell>
        </row>
        <row r="260">
          <cell r="O260">
            <v>0</v>
          </cell>
        </row>
        <row r="261">
          <cell r="O261">
            <v>0</v>
          </cell>
        </row>
        <row r="262">
          <cell r="O262">
            <v>0</v>
          </cell>
        </row>
        <row r="263">
          <cell r="O263">
            <v>0</v>
          </cell>
        </row>
        <row r="264">
          <cell r="O264">
            <v>0</v>
          </cell>
        </row>
        <row r="265">
          <cell r="O265">
            <v>0</v>
          </cell>
        </row>
        <row r="266">
          <cell r="O266">
            <v>0</v>
          </cell>
        </row>
        <row r="267">
          <cell r="O267">
            <v>0</v>
          </cell>
        </row>
        <row r="268">
          <cell r="O268">
            <v>0</v>
          </cell>
        </row>
        <row r="269">
          <cell r="O269">
            <v>0</v>
          </cell>
        </row>
        <row r="270">
          <cell r="O270">
            <v>0</v>
          </cell>
        </row>
        <row r="271">
          <cell r="O271">
            <v>0</v>
          </cell>
        </row>
        <row r="272">
          <cell r="O272">
            <v>0</v>
          </cell>
        </row>
        <row r="273">
          <cell r="O273">
            <v>0</v>
          </cell>
        </row>
        <row r="274">
          <cell r="O274">
            <v>0</v>
          </cell>
        </row>
        <row r="275">
          <cell r="O275">
            <v>0</v>
          </cell>
        </row>
        <row r="276">
          <cell r="O276">
            <v>0</v>
          </cell>
        </row>
        <row r="277">
          <cell r="O277">
            <v>0</v>
          </cell>
        </row>
        <row r="278">
          <cell r="O278">
            <v>0</v>
          </cell>
        </row>
        <row r="279">
          <cell r="O279">
            <v>0</v>
          </cell>
        </row>
        <row r="280">
          <cell r="O280">
            <v>0</v>
          </cell>
        </row>
        <row r="281">
          <cell r="O281">
            <v>0</v>
          </cell>
        </row>
        <row r="282">
          <cell r="O282">
            <v>0</v>
          </cell>
        </row>
        <row r="283">
          <cell r="O283">
            <v>0</v>
          </cell>
        </row>
        <row r="284">
          <cell r="O284">
            <v>0</v>
          </cell>
        </row>
        <row r="285">
          <cell r="O285">
            <v>0</v>
          </cell>
        </row>
        <row r="286">
          <cell r="O286">
            <v>0</v>
          </cell>
        </row>
        <row r="287">
          <cell r="O287">
            <v>0</v>
          </cell>
        </row>
        <row r="288">
          <cell r="O288">
            <v>0</v>
          </cell>
        </row>
        <row r="289">
          <cell r="O289">
            <v>0</v>
          </cell>
        </row>
        <row r="290">
          <cell r="O290">
            <v>0</v>
          </cell>
        </row>
        <row r="291">
          <cell r="O291">
            <v>0</v>
          </cell>
        </row>
        <row r="292">
          <cell r="O292">
            <v>0</v>
          </cell>
        </row>
        <row r="293">
          <cell r="O293">
            <v>0</v>
          </cell>
        </row>
        <row r="294">
          <cell r="O294">
            <v>0</v>
          </cell>
        </row>
        <row r="295">
          <cell r="O295">
            <v>0</v>
          </cell>
        </row>
        <row r="296">
          <cell r="O296">
            <v>0</v>
          </cell>
        </row>
        <row r="297">
          <cell r="O297">
            <v>0</v>
          </cell>
        </row>
        <row r="298">
          <cell r="O298">
            <v>0</v>
          </cell>
        </row>
        <row r="299">
          <cell r="O299">
            <v>0</v>
          </cell>
        </row>
        <row r="300">
          <cell r="O300">
            <v>0</v>
          </cell>
        </row>
        <row r="301">
          <cell r="O301">
            <v>0</v>
          </cell>
        </row>
        <row r="302">
          <cell r="O302">
            <v>0</v>
          </cell>
        </row>
        <row r="303">
          <cell r="O303">
            <v>0</v>
          </cell>
        </row>
        <row r="304">
          <cell r="O304">
            <v>0</v>
          </cell>
        </row>
        <row r="305">
          <cell r="O305">
            <v>0</v>
          </cell>
        </row>
        <row r="306">
          <cell r="O306">
            <v>0</v>
          </cell>
        </row>
        <row r="307">
          <cell r="O307">
            <v>0</v>
          </cell>
        </row>
        <row r="308">
          <cell r="O308">
            <v>0</v>
          </cell>
        </row>
        <row r="309">
          <cell r="O309">
            <v>0</v>
          </cell>
        </row>
        <row r="310">
          <cell r="O310">
            <v>0</v>
          </cell>
        </row>
        <row r="311">
          <cell r="O311">
            <v>0</v>
          </cell>
        </row>
        <row r="312">
          <cell r="O312">
            <v>0</v>
          </cell>
        </row>
        <row r="313">
          <cell r="O313">
            <v>0</v>
          </cell>
        </row>
        <row r="314">
          <cell r="O314">
            <v>0</v>
          </cell>
        </row>
        <row r="315">
          <cell r="O315">
            <v>0</v>
          </cell>
        </row>
        <row r="316">
          <cell r="O316">
            <v>0</v>
          </cell>
        </row>
        <row r="317">
          <cell r="O317">
            <v>0</v>
          </cell>
        </row>
        <row r="318">
          <cell r="O318">
            <v>0</v>
          </cell>
        </row>
        <row r="319">
          <cell r="O319">
            <v>0</v>
          </cell>
        </row>
        <row r="320">
          <cell r="O320">
            <v>0</v>
          </cell>
        </row>
        <row r="321">
          <cell r="O321">
            <v>0</v>
          </cell>
        </row>
        <row r="322">
          <cell r="O322">
            <v>0</v>
          </cell>
        </row>
        <row r="323">
          <cell r="O323">
            <v>0</v>
          </cell>
        </row>
        <row r="324">
          <cell r="O324">
            <v>0</v>
          </cell>
        </row>
        <row r="325">
          <cell r="O325">
            <v>0</v>
          </cell>
        </row>
        <row r="326">
          <cell r="O326">
            <v>0</v>
          </cell>
        </row>
        <row r="327">
          <cell r="O327">
            <v>0</v>
          </cell>
        </row>
        <row r="328">
          <cell r="O328">
            <v>0</v>
          </cell>
        </row>
        <row r="329">
          <cell r="O329">
            <v>0</v>
          </cell>
        </row>
        <row r="330">
          <cell r="O330">
            <v>0</v>
          </cell>
        </row>
        <row r="331">
          <cell r="O331">
            <v>0</v>
          </cell>
        </row>
        <row r="332">
          <cell r="O332">
            <v>0</v>
          </cell>
        </row>
        <row r="333">
          <cell r="O333">
            <v>0</v>
          </cell>
        </row>
        <row r="334">
          <cell r="O334">
            <v>0</v>
          </cell>
        </row>
        <row r="335">
          <cell r="O335">
            <v>0</v>
          </cell>
        </row>
        <row r="336">
          <cell r="O336">
            <v>0</v>
          </cell>
        </row>
        <row r="337">
          <cell r="O337">
            <v>0</v>
          </cell>
        </row>
        <row r="338">
          <cell r="O338">
            <v>0</v>
          </cell>
        </row>
        <row r="339">
          <cell r="O339">
            <v>0</v>
          </cell>
        </row>
        <row r="340">
          <cell r="O340">
            <v>0</v>
          </cell>
        </row>
        <row r="341">
          <cell r="O341">
            <v>0</v>
          </cell>
        </row>
        <row r="342">
          <cell r="O342">
            <v>0</v>
          </cell>
        </row>
        <row r="343">
          <cell r="O343">
            <v>0</v>
          </cell>
        </row>
        <row r="344">
          <cell r="O344">
            <v>0</v>
          </cell>
        </row>
        <row r="345">
          <cell r="O345">
            <v>0</v>
          </cell>
        </row>
        <row r="346">
          <cell r="O346">
            <v>0</v>
          </cell>
        </row>
        <row r="347">
          <cell r="O347">
            <v>0</v>
          </cell>
        </row>
        <row r="348">
          <cell r="O348">
            <v>0</v>
          </cell>
        </row>
        <row r="349">
          <cell r="O349">
            <v>0</v>
          </cell>
        </row>
        <row r="350">
          <cell r="O350">
            <v>0</v>
          </cell>
        </row>
        <row r="351">
          <cell r="O351">
            <v>0</v>
          </cell>
        </row>
        <row r="352">
          <cell r="O352">
            <v>0</v>
          </cell>
        </row>
        <row r="353">
          <cell r="O353">
            <v>0</v>
          </cell>
        </row>
        <row r="354">
          <cell r="O354">
            <v>0</v>
          </cell>
        </row>
        <row r="355">
          <cell r="O355">
            <v>0</v>
          </cell>
        </row>
        <row r="356">
          <cell r="O356">
            <v>0</v>
          </cell>
        </row>
        <row r="357">
          <cell r="O357">
            <v>0</v>
          </cell>
        </row>
        <row r="358">
          <cell r="O358">
            <v>0</v>
          </cell>
        </row>
        <row r="359">
          <cell r="O359">
            <v>0</v>
          </cell>
        </row>
        <row r="360">
          <cell r="O360">
            <v>0</v>
          </cell>
        </row>
        <row r="361">
          <cell r="O361">
            <v>0</v>
          </cell>
        </row>
        <row r="362">
          <cell r="O362">
            <v>0</v>
          </cell>
        </row>
        <row r="363">
          <cell r="O363">
            <v>0</v>
          </cell>
        </row>
        <row r="364">
          <cell r="O364">
            <v>0</v>
          </cell>
        </row>
        <row r="365">
          <cell r="O365">
            <v>0</v>
          </cell>
        </row>
        <row r="366">
          <cell r="O366">
            <v>0</v>
          </cell>
        </row>
        <row r="367">
          <cell r="O367">
            <v>0</v>
          </cell>
        </row>
        <row r="368">
          <cell r="O368">
            <v>0</v>
          </cell>
        </row>
        <row r="369">
          <cell r="O369">
            <v>0</v>
          </cell>
        </row>
        <row r="370">
          <cell r="O370">
            <v>0</v>
          </cell>
        </row>
        <row r="371">
          <cell r="O371">
            <v>0</v>
          </cell>
        </row>
        <row r="372">
          <cell r="O372">
            <v>0</v>
          </cell>
        </row>
        <row r="373">
          <cell r="O373">
            <v>0</v>
          </cell>
        </row>
        <row r="374">
          <cell r="O374">
            <v>0</v>
          </cell>
        </row>
        <row r="375">
          <cell r="O375">
            <v>0</v>
          </cell>
        </row>
        <row r="376">
          <cell r="O376">
            <v>0</v>
          </cell>
        </row>
        <row r="377">
          <cell r="O377">
            <v>0</v>
          </cell>
        </row>
        <row r="378">
          <cell r="O378">
            <v>0</v>
          </cell>
        </row>
        <row r="379">
          <cell r="O379">
            <v>0</v>
          </cell>
        </row>
        <row r="380">
          <cell r="O380">
            <v>0</v>
          </cell>
        </row>
        <row r="381">
          <cell r="O381">
            <v>0</v>
          </cell>
        </row>
        <row r="382">
          <cell r="O382">
            <v>0</v>
          </cell>
        </row>
        <row r="383">
          <cell r="O383">
            <v>0</v>
          </cell>
        </row>
        <row r="384">
          <cell r="O384">
            <v>0</v>
          </cell>
        </row>
        <row r="385">
          <cell r="O385">
            <v>0</v>
          </cell>
        </row>
        <row r="386">
          <cell r="O386">
            <v>0</v>
          </cell>
        </row>
        <row r="387">
          <cell r="O387">
            <v>0</v>
          </cell>
        </row>
        <row r="388">
          <cell r="O388">
            <v>0</v>
          </cell>
        </row>
        <row r="389">
          <cell r="O389">
            <v>0</v>
          </cell>
        </row>
        <row r="390">
          <cell r="O390">
            <v>0</v>
          </cell>
        </row>
        <row r="391">
          <cell r="O391">
            <v>0</v>
          </cell>
        </row>
        <row r="392">
          <cell r="O392">
            <v>0</v>
          </cell>
        </row>
        <row r="393">
          <cell r="O393">
            <v>0</v>
          </cell>
        </row>
        <row r="394">
          <cell r="O394">
            <v>0</v>
          </cell>
        </row>
        <row r="395">
          <cell r="O395">
            <v>0</v>
          </cell>
        </row>
        <row r="396">
          <cell r="O396">
            <v>0</v>
          </cell>
        </row>
        <row r="397">
          <cell r="O397">
            <v>0</v>
          </cell>
        </row>
        <row r="398">
          <cell r="O398">
            <v>0</v>
          </cell>
        </row>
        <row r="399">
          <cell r="O399">
            <v>0</v>
          </cell>
        </row>
        <row r="400">
          <cell r="O400">
            <v>0</v>
          </cell>
        </row>
        <row r="401">
          <cell r="O401">
            <v>0</v>
          </cell>
        </row>
        <row r="402">
          <cell r="O402">
            <v>0</v>
          </cell>
        </row>
        <row r="403">
          <cell r="O403">
            <v>0</v>
          </cell>
        </row>
        <row r="404">
          <cell r="O404">
            <v>0</v>
          </cell>
        </row>
        <row r="405">
          <cell r="O405">
            <v>0</v>
          </cell>
        </row>
        <row r="406">
          <cell r="O406">
            <v>0</v>
          </cell>
        </row>
        <row r="407">
          <cell r="O407">
            <v>0</v>
          </cell>
        </row>
        <row r="408">
          <cell r="O408">
            <v>0</v>
          </cell>
        </row>
        <row r="409">
          <cell r="O409">
            <v>0</v>
          </cell>
        </row>
        <row r="410">
          <cell r="O410">
            <v>0</v>
          </cell>
        </row>
        <row r="411">
          <cell r="O411">
            <v>0</v>
          </cell>
        </row>
        <row r="412">
          <cell r="O412">
            <v>0</v>
          </cell>
        </row>
        <row r="413">
          <cell r="O413">
            <v>0</v>
          </cell>
        </row>
        <row r="414">
          <cell r="O414">
            <v>0</v>
          </cell>
        </row>
        <row r="415">
          <cell r="O415">
            <v>0</v>
          </cell>
        </row>
        <row r="416">
          <cell r="O416">
            <v>0</v>
          </cell>
        </row>
        <row r="417">
          <cell r="O417">
            <v>0</v>
          </cell>
        </row>
        <row r="418">
          <cell r="O418">
            <v>0</v>
          </cell>
        </row>
        <row r="419">
          <cell r="O419">
            <v>0</v>
          </cell>
        </row>
        <row r="420">
          <cell r="O420">
            <v>0</v>
          </cell>
        </row>
        <row r="421">
          <cell r="O421">
            <v>0</v>
          </cell>
        </row>
        <row r="422">
          <cell r="O422">
            <v>0</v>
          </cell>
        </row>
        <row r="423">
          <cell r="O423">
            <v>0</v>
          </cell>
        </row>
        <row r="424">
          <cell r="O424">
            <v>0</v>
          </cell>
        </row>
        <row r="425">
          <cell r="O425">
            <v>0</v>
          </cell>
        </row>
        <row r="426">
          <cell r="O426">
            <v>0</v>
          </cell>
        </row>
        <row r="427">
          <cell r="O427">
            <v>0</v>
          </cell>
        </row>
        <row r="428">
          <cell r="O428">
            <v>0</v>
          </cell>
        </row>
        <row r="429">
          <cell r="O429">
            <v>0</v>
          </cell>
        </row>
        <row r="430">
          <cell r="O430">
            <v>0</v>
          </cell>
        </row>
        <row r="431">
          <cell r="O431">
            <v>0</v>
          </cell>
        </row>
        <row r="432">
          <cell r="O432">
            <v>0</v>
          </cell>
        </row>
        <row r="433">
          <cell r="O433">
            <v>0</v>
          </cell>
        </row>
        <row r="434">
          <cell r="O434">
            <v>0</v>
          </cell>
        </row>
        <row r="435">
          <cell r="O435">
            <v>0</v>
          </cell>
        </row>
        <row r="436">
          <cell r="O436">
            <v>0</v>
          </cell>
        </row>
        <row r="437">
          <cell r="O437">
            <v>0</v>
          </cell>
        </row>
        <row r="438">
          <cell r="O438">
            <v>0</v>
          </cell>
        </row>
        <row r="439">
          <cell r="O439">
            <v>0</v>
          </cell>
        </row>
        <row r="440">
          <cell r="O440">
            <v>0</v>
          </cell>
        </row>
        <row r="441">
          <cell r="O441">
            <v>0</v>
          </cell>
        </row>
        <row r="442">
          <cell r="O442">
            <v>0</v>
          </cell>
        </row>
        <row r="443">
          <cell r="O443">
            <v>0</v>
          </cell>
        </row>
        <row r="444">
          <cell r="O444">
            <v>0</v>
          </cell>
        </row>
        <row r="445">
          <cell r="O445">
            <v>0</v>
          </cell>
        </row>
        <row r="446">
          <cell r="O446">
            <v>0</v>
          </cell>
        </row>
        <row r="447">
          <cell r="O447">
            <v>0</v>
          </cell>
        </row>
        <row r="448">
          <cell r="O448">
            <v>0</v>
          </cell>
        </row>
        <row r="449">
          <cell r="O449">
            <v>0</v>
          </cell>
        </row>
        <row r="450">
          <cell r="O450">
            <v>0</v>
          </cell>
        </row>
        <row r="451">
          <cell r="O451">
            <v>0</v>
          </cell>
        </row>
        <row r="452">
          <cell r="O452">
            <v>0</v>
          </cell>
        </row>
        <row r="453">
          <cell r="O453">
            <v>0</v>
          </cell>
        </row>
        <row r="454">
          <cell r="O454">
            <v>0</v>
          </cell>
        </row>
        <row r="455">
          <cell r="O455">
            <v>0</v>
          </cell>
        </row>
        <row r="456">
          <cell r="O456">
            <v>0</v>
          </cell>
        </row>
        <row r="457">
          <cell r="O457">
            <v>0</v>
          </cell>
        </row>
        <row r="458">
          <cell r="O458">
            <v>0</v>
          </cell>
        </row>
        <row r="459">
          <cell r="O459">
            <v>0</v>
          </cell>
        </row>
        <row r="460">
          <cell r="O460">
            <v>0</v>
          </cell>
        </row>
        <row r="461">
          <cell r="O461">
            <v>0</v>
          </cell>
        </row>
        <row r="462">
          <cell r="O462">
            <v>0</v>
          </cell>
        </row>
        <row r="463">
          <cell r="O463">
            <v>0</v>
          </cell>
        </row>
        <row r="464">
          <cell r="O464">
            <v>0</v>
          </cell>
        </row>
        <row r="465">
          <cell r="O465">
            <v>0</v>
          </cell>
        </row>
        <row r="466">
          <cell r="O466">
            <v>0</v>
          </cell>
        </row>
        <row r="467">
          <cell r="O467">
            <v>0</v>
          </cell>
        </row>
        <row r="468">
          <cell r="O468">
            <v>0</v>
          </cell>
        </row>
        <row r="469">
          <cell r="O469">
            <v>0</v>
          </cell>
        </row>
        <row r="470">
          <cell r="O470">
            <v>0</v>
          </cell>
        </row>
        <row r="471">
          <cell r="O471">
            <v>0</v>
          </cell>
        </row>
        <row r="472">
          <cell r="O472">
            <v>0</v>
          </cell>
        </row>
        <row r="473">
          <cell r="O473">
            <v>0</v>
          </cell>
        </row>
        <row r="474">
          <cell r="O474">
            <v>0</v>
          </cell>
        </row>
        <row r="475">
          <cell r="O475">
            <v>0</v>
          </cell>
        </row>
        <row r="476">
          <cell r="O476">
            <v>0</v>
          </cell>
        </row>
        <row r="477">
          <cell r="O477">
            <v>0</v>
          </cell>
        </row>
        <row r="478">
          <cell r="O478">
            <v>0</v>
          </cell>
        </row>
        <row r="479">
          <cell r="O479">
            <v>0</v>
          </cell>
        </row>
        <row r="480">
          <cell r="O480">
            <v>0</v>
          </cell>
        </row>
        <row r="481">
          <cell r="O481">
            <v>0</v>
          </cell>
        </row>
        <row r="482">
          <cell r="O482">
            <v>0</v>
          </cell>
        </row>
        <row r="483">
          <cell r="O483">
            <v>0</v>
          </cell>
        </row>
        <row r="484">
          <cell r="O484">
            <v>0</v>
          </cell>
        </row>
        <row r="485">
          <cell r="O485">
            <v>0</v>
          </cell>
        </row>
        <row r="486">
          <cell r="O486">
            <v>0</v>
          </cell>
        </row>
        <row r="487">
          <cell r="O487">
            <v>0</v>
          </cell>
        </row>
        <row r="488">
          <cell r="O488">
            <v>0</v>
          </cell>
        </row>
        <row r="489">
          <cell r="O489">
            <v>0</v>
          </cell>
        </row>
        <row r="490">
          <cell r="O490">
            <v>0</v>
          </cell>
        </row>
        <row r="491">
          <cell r="O491">
            <v>0</v>
          </cell>
        </row>
        <row r="492">
          <cell r="O492">
            <v>0</v>
          </cell>
        </row>
        <row r="493">
          <cell r="O493">
            <v>0</v>
          </cell>
        </row>
        <row r="494">
          <cell r="O494">
            <v>0</v>
          </cell>
        </row>
        <row r="495">
          <cell r="O495">
            <v>0</v>
          </cell>
        </row>
        <row r="496">
          <cell r="O496">
            <v>0</v>
          </cell>
        </row>
        <row r="497">
          <cell r="O497">
            <v>0</v>
          </cell>
        </row>
        <row r="498">
          <cell r="O498">
            <v>0</v>
          </cell>
        </row>
        <row r="499">
          <cell r="O499">
            <v>0</v>
          </cell>
        </row>
        <row r="500">
          <cell r="O500">
            <v>0</v>
          </cell>
        </row>
        <row r="501">
          <cell r="O501">
            <v>0</v>
          </cell>
        </row>
        <row r="502">
          <cell r="O502">
            <v>0</v>
          </cell>
        </row>
        <row r="503">
          <cell r="O503">
            <v>0</v>
          </cell>
        </row>
        <row r="504">
          <cell r="O504">
            <v>0</v>
          </cell>
        </row>
        <row r="505">
          <cell r="O505">
            <v>0</v>
          </cell>
        </row>
        <row r="506">
          <cell r="O506">
            <v>0</v>
          </cell>
        </row>
        <row r="507">
          <cell r="O507">
            <v>0</v>
          </cell>
        </row>
        <row r="508">
          <cell r="O508">
            <v>0</v>
          </cell>
        </row>
        <row r="509">
          <cell r="O509">
            <v>0</v>
          </cell>
        </row>
        <row r="510">
          <cell r="O510">
            <v>0</v>
          </cell>
        </row>
        <row r="511">
          <cell r="O511">
            <v>0</v>
          </cell>
        </row>
        <row r="512">
          <cell r="O512">
            <v>0</v>
          </cell>
        </row>
        <row r="513">
          <cell r="O513">
            <v>0</v>
          </cell>
        </row>
        <row r="514">
          <cell r="O514">
            <v>0</v>
          </cell>
        </row>
        <row r="515">
          <cell r="O515">
            <v>0</v>
          </cell>
        </row>
        <row r="516">
          <cell r="O516">
            <v>0</v>
          </cell>
        </row>
        <row r="517">
          <cell r="O517">
            <v>0</v>
          </cell>
        </row>
        <row r="518">
          <cell r="O518">
            <v>0</v>
          </cell>
        </row>
        <row r="519">
          <cell r="O519">
            <v>0</v>
          </cell>
        </row>
        <row r="520">
          <cell r="O520">
            <v>0</v>
          </cell>
        </row>
        <row r="521">
          <cell r="O521">
            <v>0</v>
          </cell>
        </row>
        <row r="522">
          <cell r="O522">
            <v>0</v>
          </cell>
        </row>
        <row r="523">
          <cell r="O523">
            <v>0</v>
          </cell>
        </row>
        <row r="524">
          <cell r="O524">
            <v>0</v>
          </cell>
        </row>
        <row r="525">
          <cell r="O525">
            <v>0</v>
          </cell>
        </row>
        <row r="526">
          <cell r="O526">
            <v>0</v>
          </cell>
        </row>
        <row r="527">
          <cell r="O527">
            <v>0</v>
          </cell>
        </row>
        <row r="528">
          <cell r="O528">
            <v>0</v>
          </cell>
        </row>
        <row r="529">
          <cell r="O529">
            <v>0</v>
          </cell>
        </row>
        <row r="530">
          <cell r="O530">
            <v>0</v>
          </cell>
        </row>
        <row r="531">
          <cell r="O531">
            <v>0</v>
          </cell>
        </row>
        <row r="532">
          <cell r="O532">
            <v>0</v>
          </cell>
        </row>
        <row r="533">
          <cell r="O533">
            <v>0</v>
          </cell>
        </row>
        <row r="534">
          <cell r="O534">
            <v>0</v>
          </cell>
        </row>
        <row r="535">
          <cell r="O535">
            <v>0</v>
          </cell>
        </row>
        <row r="536">
          <cell r="O536">
            <v>0</v>
          </cell>
        </row>
        <row r="537">
          <cell r="O537">
            <v>0</v>
          </cell>
        </row>
        <row r="538">
          <cell r="O538">
            <v>0</v>
          </cell>
        </row>
        <row r="539">
          <cell r="O539">
            <v>0</v>
          </cell>
        </row>
        <row r="540">
          <cell r="O540">
            <v>0</v>
          </cell>
        </row>
        <row r="541">
          <cell r="O541">
            <v>0</v>
          </cell>
        </row>
        <row r="542">
          <cell r="O542">
            <v>0</v>
          </cell>
        </row>
        <row r="543">
          <cell r="O543">
            <v>0</v>
          </cell>
        </row>
        <row r="544">
          <cell r="O544">
            <v>0</v>
          </cell>
        </row>
        <row r="545">
          <cell r="O545">
            <v>0</v>
          </cell>
        </row>
        <row r="546">
          <cell r="O546">
            <v>0</v>
          </cell>
        </row>
        <row r="547">
          <cell r="O547">
            <v>0</v>
          </cell>
        </row>
        <row r="548">
          <cell r="O548">
            <v>0</v>
          </cell>
        </row>
        <row r="549">
          <cell r="O549">
            <v>0</v>
          </cell>
        </row>
        <row r="550">
          <cell r="O550">
            <v>0</v>
          </cell>
        </row>
        <row r="551">
          <cell r="O551">
            <v>0</v>
          </cell>
        </row>
        <row r="552">
          <cell r="O552">
            <v>0</v>
          </cell>
        </row>
        <row r="553">
          <cell r="O553">
            <v>0</v>
          </cell>
        </row>
        <row r="554">
          <cell r="O554">
            <v>0</v>
          </cell>
        </row>
        <row r="555">
          <cell r="O555">
            <v>0</v>
          </cell>
        </row>
        <row r="556">
          <cell r="O556">
            <v>0</v>
          </cell>
        </row>
        <row r="557">
          <cell r="O557">
            <v>0</v>
          </cell>
        </row>
        <row r="558">
          <cell r="O558">
            <v>0</v>
          </cell>
        </row>
        <row r="559">
          <cell r="O559">
            <v>0</v>
          </cell>
        </row>
        <row r="560">
          <cell r="O560">
            <v>0</v>
          </cell>
        </row>
        <row r="561">
          <cell r="O561">
            <v>0</v>
          </cell>
        </row>
        <row r="562">
          <cell r="O562">
            <v>0</v>
          </cell>
        </row>
        <row r="563">
          <cell r="O563">
            <v>0</v>
          </cell>
        </row>
        <row r="564">
          <cell r="O564">
            <v>0</v>
          </cell>
        </row>
        <row r="565">
          <cell r="O565">
            <v>0</v>
          </cell>
        </row>
        <row r="566">
          <cell r="O566">
            <v>0</v>
          </cell>
        </row>
        <row r="567">
          <cell r="O567">
            <v>0</v>
          </cell>
        </row>
        <row r="568">
          <cell r="O568">
            <v>0</v>
          </cell>
        </row>
        <row r="569">
          <cell r="O569">
            <v>0</v>
          </cell>
        </row>
        <row r="570">
          <cell r="O570">
            <v>0</v>
          </cell>
        </row>
        <row r="571">
          <cell r="O571">
            <v>0</v>
          </cell>
        </row>
        <row r="572">
          <cell r="O572">
            <v>0</v>
          </cell>
        </row>
        <row r="573">
          <cell r="O573">
            <v>0</v>
          </cell>
        </row>
        <row r="574">
          <cell r="O574">
            <v>0</v>
          </cell>
        </row>
        <row r="575">
          <cell r="O575">
            <v>0</v>
          </cell>
        </row>
        <row r="576">
          <cell r="O576">
            <v>0</v>
          </cell>
        </row>
        <row r="577">
          <cell r="O577">
            <v>0</v>
          </cell>
        </row>
        <row r="578">
          <cell r="O578">
            <v>0</v>
          </cell>
        </row>
        <row r="579">
          <cell r="O579">
            <v>0</v>
          </cell>
        </row>
        <row r="580">
          <cell r="O580">
            <v>0</v>
          </cell>
        </row>
        <row r="581">
          <cell r="O581">
            <v>0</v>
          </cell>
        </row>
        <row r="582">
          <cell r="O582">
            <v>0</v>
          </cell>
        </row>
        <row r="583">
          <cell r="O583">
            <v>0</v>
          </cell>
        </row>
        <row r="584">
          <cell r="O584">
            <v>0</v>
          </cell>
        </row>
        <row r="585">
          <cell r="O585">
            <v>0</v>
          </cell>
        </row>
        <row r="586">
          <cell r="O586">
            <v>0</v>
          </cell>
        </row>
        <row r="587">
          <cell r="O587">
            <v>0</v>
          </cell>
        </row>
        <row r="588">
          <cell r="O588">
            <v>0</v>
          </cell>
        </row>
        <row r="589">
          <cell r="O589">
            <v>0</v>
          </cell>
        </row>
        <row r="590">
          <cell r="O590">
            <v>0</v>
          </cell>
        </row>
        <row r="591">
          <cell r="O591">
            <v>0</v>
          </cell>
        </row>
        <row r="592">
          <cell r="O592">
            <v>0</v>
          </cell>
        </row>
        <row r="593">
          <cell r="O593">
            <v>0</v>
          </cell>
        </row>
        <row r="594">
          <cell r="O594">
            <v>0</v>
          </cell>
        </row>
        <row r="595">
          <cell r="O595">
            <v>0</v>
          </cell>
        </row>
        <row r="596">
          <cell r="O596">
            <v>0</v>
          </cell>
        </row>
        <row r="597">
          <cell r="O597">
            <v>0</v>
          </cell>
        </row>
        <row r="598">
          <cell r="O598">
            <v>0</v>
          </cell>
        </row>
        <row r="599">
          <cell r="O599">
            <v>0</v>
          </cell>
        </row>
        <row r="600">
          <cell r="O600">
            <v>0</v>
          </cell>
        </row>
        <row r="601">
          <cell r="O601">
            <v>0</v>
          </cell>
        </row>
        <row r="602">
          <cell r="O602">
            <v>0</v>
          </cell>
        </row>
        <row r="603">
          <cell r="O603">
            <v>0</v>
          </cell>
        </row>
        <row r="604">
          <cell r="O604">
            <v>0</v>
          </cell>
        </row>
        <row r="605">
          <cell r="O605">
            <v>0</v>
          </cell>
        </row>
        <row r="606">
          <cell r="O606">
            <v>0</v>
          </cell>
        </row>
        <row r="607">
          <cell r="O607">
            <v>0</v>
          </cell>
        </row>
        <row r="608">
          <cell r="O608">
            <v>0</v>
          </cell>
        </row>
        <row r="609">
          <cell r="O609">
            <v>0</v>
          </cell>
        </row>
        <row r="610">
          <cell r="O610">
            <v>0</v>
          </cell>
        </row>
        <row r="611">
          <cell r="O611">
            <v>0</v>
          </cell>
        </row>
        <row r="612">
          <cell r="O612">
            <v>0</v>
          </cell>
        </row>
        <row r="613">
          <cell r="O613">
            <v>0</v>
          </cell>
        </row>
        <row r="614">
          <cell r="O614">
            <v>0</v>
          </cell>
        </row>
        <row r="615">
          <cell r="O615">
            <v>0</v>
          </cell>
        </row>
        <row r="616">
          <cell r="O616">
            <v>0</v>
          </cell>
        </row>
        <row r="617">
          <cell r="O617">
            <v>0</v>
          </cell>
        </row>
        <row r="618">
          <cell r="O618">
            <v>0</v>
          </cell>
        </row>
        <row r="619">
          <cell r="O619">
            <v>0</v>
          </cell>
        </row>
        <row r="620">
          <cell r="O620">
            <v>0</v>
          </cell>
        </row>
        <row r="621">
          <cell r="O621">
            <v>0</v>
          </cell>
        </row>
        <row r="622">
          <cell r="O622">
            <v>0</v>
          </cell>
        </row>
        <row r="623">
          <cell r="O623">
            <v>0</v>
          </cell>
        </row>
        <row r="624">
          <cell r="O624">
            <v>0</v>
          </cell>
        </row>
        <row r="625">
          <cell r="O625">
            <v>0</v>
          </cell>
        </row>
        <row r="626">
          <cell r="O626">
            <v>0</v>
          </cell>
        </row>
        <row r="627">
          <cell r="O627">
            <v>0</v>
          </cell>
        </row>
        <row r="628">
          <cell r="O628">
            <v>0</v>
          </cell>
        </row>
        <row r="629">
          <cell r="O629">
            <v>0</v>
          </cell>
        </row>
        <row r="630">
          <cell r="O630">
            <v>0</v>
          </cell>
        </row>
        <row r="631">
          <cell r="O631">
            <v>0</v>
          </cell>
        </row>
        <row r="632">
          <cell r="O632">
            <v>0</v>
          </cell>
        </row>
        <row r="633">
          <cell r="O633">
            <v>0</v>
          </cell>
        </row>
        <row r="634">
          <cell r="O634">
            <v>0</v>
          </cell>
        </row>
        <row r="635">
          <cell r="O635">
            <v>0</v>
          </cell>
        </row>
        <row r="636">
          <cell r="O636">
            <v>0</v>
          </cell>
        </row>
        <row r="637">
          <cell r="O637">
            <v>0</v>
          </cell>
        </row>
        <row r="638">
          <cell r="O638">
            <v>0</v>
          </cell>
        </row>
        <row r="639">
          <cell r="O639">
            <v>0</v>
          </cell>
        </row>
        <row r="640">
          <cell r="O640">
            <v>0</v>
          </cell>
        </row>
        <row r="641">
          <cell r="O641">
            <v>0</v>
          </cell>
        </row>
        <row r="642">
          <cell r="O642">
            <v>0</v>
          </cell>
        </row>
        <row r="643">
          <cell r="O643">
            <v>0</v>
          </cell>
        </row>
        <row r="644">
          <cell r="O644">
            <v>0</v>
          </cell>
        </row>
        <row r="645">
          <cell r="O645">
            <v>0</v>
          </cell>
        </row>
        <row r="646">
          <cell r="O646">
            <v>0</v>
          </cell>
        </row>
        <row r="647">
          <cell r="O647">
            <v>0</v>
          </cell>
        </row>
        <row r="648">
          <cell r="O648">
            <v>0</v>
          </cell>
        </row>
        <row r="649">
          <cell r="O649">
            <v>0</v>
          </cell>
        </row>
        <row r="650">
          <cell r="O650">
            <v>0</v>
          </cell>
        </row>
        <row r="651">
          <cell r="O651">
            <v>0</v>
          </cell>
        </row>
        <row r="652">
          <cell r="O652">
            <v>0</v>
          </cell>
        </row>
        <row r="653">
          <cell r="O653">
            <v>0</v>
          </cell>
        </row>
        <row r="654">
          <cell r="O654">
            <v>0</v>
          </cell>
        </row>
        <row r="655">
          <cell r="O655">
            <v>0</v>
          </cell>
        </row>
        <row r="656">
          <cell r="O656">
            <v>0</v>
          </cell>
        </row>
        <row r="657">
          <cell r="O657">
            <v>0</v>
          </cell>
        </row>
        <row r="658">
          <cell r="O658">
            <v>0</v>
          </cell>
        </row>
        <row r="659">
          <cell r="O659">
            <v>0</v>
          </cell>
        </row>
        <row r="660">
          <cell r="O660">
            <v>0</v>
          </cell>
        </row>
        <row r="661">
          <cell r="O661">
            <v>0</v>
          </cell>
        </row>
        <row r="662">
          <cell r="O662">
            <v>0</v>
          </cell>
        </row>
        <row r="663">
          <cell r="O663">
            <v>0</v>
          </cell>
        </row>
        <row r="664">
          <cell r="O664">
            <v>0</v>
          </cell>
        </row>
        <row r="665">
          <cell r="O665">
            <v>0</v>
          </cell>
        </row>
        <row r="666">
          <cell r="O666">
            <v>0</v>
          </cell>
        </row>
        <row r="667">
          <cell r="O667">
            <v>0</v>
          </cell>
        </row>
        <row r="668">
          <cell r="O668">
            <v>0</v>
          </cell>
        </row>
        <row r="669">
          <cell r="O669">
            <v>0</v>
          </cell>
        </row>
        <row r="670">
          <cell r="O670">
            <v>0</v>
          </cell>
        </row>
        <row r="671">
          <cell r="O671">
            <v>0</v>
          </cell>
        </row>
        <row r="672">
          <cell r="O672">
            <v>0</v>
          </cell>
        </row>
        <row r="673">
          <cell r="O673">
            <v>0</v>
          </cell>
        </row>
        <row r="674">
          <cell r="O674">
            <v>0</v>
          </cell>
        </row>
        <row r="675">
          <cell r="O675">
            <v>0</v>
          </cell>
        </row>
        <row r="676">
          <cell r="O676">
            <v>0</v>
          </cell>
        </row>
        <row r="677">
          <cell r="O677">
            <v>0</v>
          </cell>
        </row>
        <row r="678">
          <cell r="O678">
            <v>0</v>
          </cell>
        </row>
        <row r="679">
          <cell r="O679">
            <v>0</v>
          </cell>
        </row>
        <row r="680">
          <cell r="O680">
            <v>0</v>
          </cell>
        </row>
        <row r="681">
          <cell r="O681">
            <v>0</v>
          </cell>
        </row>
        <row r="682">
          <cell r="O682">
            <v>0</v>
          </cell>
        </row>
        <row r="683">
          <cell r="O683">
            <v>0</v>
          </cell>
        </row>
        <row r="684">
          <cell r="O684">
            <v>0</v>
          </cell>
        </row>
        <row r="685">
          <cell r="O685">
            <v>0</v>
          </cell>
        </row>
        <row r="686">
          <cell r="O686">
            <v>0</v>
          </cell>
        </row>
        <row r="687">
          <cell r="O687">
            <v>0</v>
          </cell>
        </row>
        <row r="688">
          <cell r="O688">
            <v>0</v>
          </cell>
        </row>
        <row r="689">
          <cell r="O689">
            <v>0</v>
          </cell>
        </row>
        <row r="690">
          <cell r="O690">
            <v>0</v>
          </cell>
        </row>
        <row r="691">
          <cell r="O691">
            <v>0</v>
          </cell>
        </row>
        <row r="692">
          <cell r="O692">
            <v>0</v>
          </cell>
        </row>
        <row r="693">
          <cell r="O693">
            <v>0</v>
          </cell>
        </row>
        <row r="694">
          <cell r="O694">
            <v>0</v>
          </cell>
        </row>
        <row r="695">
          <cell r="O695">
            <v>0</v>
          </cell>
        </row>
        <row r="696">
          <cell r="O696">
            <v>0</v>
          </cell>
        </row>
        <row r="697">
          <cell r="O697">
            <v>0</v>
          </cell>
        </row>
        <row r="698">
          <cell r="O698">
            <v>0</v>
          </cell>
        </row>
        <row r="699">
          <cell r="O699">
            <v>0</v>
          </cell>
        </row>
        <row r="700">
          <cell r="O700">
            <v>0</v>
          </cell>
        </row>
        <row r="701">
          <cell r="O701">
            <v>0</v>
          </cell>
        </row>
        <row r="702">
          <cell r="O702">
            <v>0</v>
          </cell>
        </row>
        <row r="703">
          <cell r="O703">
            <v>0</v>
          </cell>
        </row>
        <row r="704">
          <cell r="O704">
            <v>0</v>
          </cell>
        </row>
        <row r="705">
          <cell r="O705">
            <v>0</v>
          </cell>
        </row>
        <row r="706">
          <cell r="O706">
            <v>0</v>
          </cell>
        </row>
        <row r="707">
          <cell r="O707">
            <v>0</v>
          </cell>
        </row>
        <row r="708">
          <cell r="O708">
            <v>0</v>
          </cell>
        </row>
        <row r="709">
          <cell r="O709">
            <v>0</v>
          </cell>
        </row>
        <row r="710">
          <cell r="O710">
            <v>0</v>
          </cell>
        </row>
        <row r="711">
          <cell r="O711">
            <v>0</v>
          </cell>
        </row>
        <row r="712">
          <cell r="O712">
            <v>0</v>
          </cell>
        </row>
        <row r="713">
          <cell r="O713">
            <v>0</v>
          </cell>
        </row>
        <row r="714">
          <cell r="O714">
            <v>0</v>
          </cell>
        </row>
        <row r="715">
          <cell r="O715">
            <v>0</v>
          </cell>
        </row>
        <row r="716">
          <cell r="O716">
            <v>0</v>
          </cell>
        </row>
        <row r="717">
          <cell r="O717">
            <v>0</v>
          </cell>
        </row>
        <row r="718">
          <cell r="O718">
            <v>0</v>
          </cell>
        </row>
        <row r="719">
          <cell r="O719">
            <v>0</v>
          </cell>
        </row>
        <row r="720">
          <cell r="O720">
            <v>0</v>
          </cell>
        </row>
        <row r="721">
          <cell r="O721">
            <v>0</v>
          </cell>
        </row>
        <row r="722">
          <cell r="O722">
            <v>0</v>
          </cell>
        </row>
        <row r="723">
          <cell r="O723">
            <v>0</v>
          </cell>
        </row>
        <row r="724">
          <cell r="O724">
            <v>0</v>
          </cell>
        </row>
        <row r="725">
          <cell r="O725">
            <v>0</v>
          </cell>
        </row>
        <row r="726">
          <cell r="O726">
            <v>0</v>
          </cell>
        </row>
        <row r="727">
          <cell r="O727">
            <v>0</v>
          </cell>
        </row>
        <row r="728">
          <cell r="O728">
            <v>0</v>
          </cell>
        </row>
        <row r="729">
          <cell r="O729">
            <v>0</v>
          </cell>
        </row>
        <row r="730">
          <cell r="O730">
            <v>0</v>
          </cell>
        </row>
        <row r="731">
          <cell r="O731">
            <v>0</v>
          </cell>
        </row>
        <row r="732">
          <cell r="O732">
            <v>0</v>
          </cell>
        </row>
        <row r="733">
          <cell r="O733">
            <v>0</v>
          </cell>
        </row>
        <row r="734">
          <cell r="O734">
            <v>0</v>
          </cell>
        </row>
        <row r="735">
          <cell r="O735">
            <v>0</v>
          </cell>
        </row>
        <row r="736">
          <cell r="O736">
            <v>0</v>
          </cell>
        </row>
        <row r="737">
          <cell r="O737">
            <v>0</v>
          </cell>
        </row>
        <row r="738">
          <cell r="O738">
            <v>0</v>
          </cell>
        </row>
        <row r="739">
          <cell r="O739">
            <v>0</v>
          </cell>
        </row>
        <row r="740">
          <cell r="O740">
            <v>0</v>
          </cell>
        </row>
        <row r="741">
          <cell r="O741">
            <v>0</v>
          </cell>
        </row>
        <row r="742">
          <cell r="O742">
            <v>0</v>
          </cell>
        </row>
        <row r="743">
          <cell r="O743">
            <v>0</v>
          </cell>
        </row>
        <row r="744">
          <cell r="O744">
            <v>0</v>
          </cell>
        </row>
        <row r="745">
          <cell r="O745">
            <v>0</v>
          </cell>
        </row>
        <row r="746">
          <cell r="O746">
            <v>0</v>
          </cell>
        </row>
        <row r="747">
          <cell r="O747">
            <v>0</v>
          </cell>
        </row>
        <row r="748">
          <cell r="O748">
            <v>0</v>
          </cell>
        </row>
        <row r="749">
          <cell r="O749">
            <v>0</v>
          </cell>
        </row>
        <row r="750">
          <cell r="O750">
            <v>0</v>
          </cell>
        </row>
        <row r="751">
          <cell r="O751">
            <v>0</v>
          </cell>
        </row>
        <row r="752">
          <cell r="O752">
            <v>0</v>
          </cell>
        </row>
        <row r="753">
          <cell r="O753">
            <v>0</v>
          </cell>
        </row>
        <row r="754">
          <cell r="O754">
            <v>0</v>
          </cell>
        </row>
        <row r="755">
          <cell r="O755">
            <v>0</v>
          </cell>
        </row>
        <row r="756">
          <cell r="O756">
            <v>0</v>
          </cell>
        </row>
        <row r="757">
          <cell r="O757">
            <v>0</v>
          </cell>
        </row>
        <row r="758">
          <cell r="O758">
            <v>0</v>
          </cell>
        </row>
        <row r="759">
          <cell r="O759">
            <v>0</v>
          </cell>
        </row>
        <row r="760">
          <cell r="O760">
            <v>0</v>
          </cell>
        </row>
        <row r="761">
          <cell r="O761">
            <v>0</v>
          </cell>
        </row>
        <row r="762">
          <cell r="O762">
            <v>0</v>
          </cell>
        </row>
        <row r="763">
          <cell r="O763">
            <v>0</v>
          </cell>
        </row>
        <row r="764">
          <cell r="O764">
            <v>0</v>
          </cell>
        </row>
        <row r="765">
          <cell r="O765">
            <v>0</v>
          </cell>
        </row>
        <row r="766">
          <cell r="O766">
            <v>0</v>
          </cell>
        </row>
        <row r="767">
          <cell r="O767">
            <v>0</v>
          </cell>
        </row>
        <row r="768">
          <cell r="O768">
            <v>0</v>
          </cell>
        </row>
        <row r="769">
          <cell r="O769">
            <v>0</v>
          </cell>
        </row>
        <row r="770">
          <cell r="O770">
            <v>0</v>
          </cell>
        </row>
        <row r="771">
          <cell r="O771">
            <v>0</v>
          </cell>
        </row>
        <row r="772">
          <cell r="O772">
            <v>0</v>
          </cell>
        </row>
        <row r="773">
          <cell r="O773">
            <v>0</v>
          </cell>
        </row>
        <row r="774">
          <cell r="O774">
            <v>0</v>
          </cell>
        </row>
        <row r="775">
          <cell r="O775">
            <v>0</v>
          </cell>
        </row>
        <row r="776">
          <cell r="O776">
            <v>0</v>
          </cell>
        </row>
        <row r="777">
          <cell r="O777">
            <v>0</v>
          </cell>
        </row>
        <row r="778">
          <cell r="O778">
            <v>0</v>
          </cell>
        </row>
        <row r="779">
          <cell r="O779">
            <v>0</v>
          </cell>
        </row>
        <row r="780">
          <cell r="O780">
            <v>0</v>
          </cell>
        </row>
        <row r="781">
          <cell r="O781">
            <v>0</v>
          </cell>
        </row>
        <row r="782">
          <cell r="O782">
            <v>0</v>
          </cell>
        </row>
        <row r="783">
          <cell r="O783">
            <v>0</v>
          </cell>
        </row>
        <row r="784">
          <cell r="O784">
            <v>0</v>
          </cell>
        </row>
        <row r="785">
          <cell r="O785">
            <v>0</v>
          </cell>
        </row>
        <row r="786">
          <cell r="O786">
            <v>0</v>
          </cell>
        </row>
        <row r="787">
          <cell r="O787">
            <v>0</v>
          </cell>
        </row>
        <row r="788">
          <cell r="O788">
            <v>0</v>
          </cell>
        </row>
        <row r="789">
          <cell r="O789">
            <v>0</v>
          </cell>
        </row>
        <row r="790">
          <cell r="O790">
            <v>0</v>
          </cell>
        </row>
        <row r="791">
          <cell r="O791">
            <v>0</v>
          </cell>
        </row>
        <row r="792">
          <cell r="O792">
            <v>0</v>
          </cell>
        </row>
        <row r="793">
          <cell r="O793">
            <v>0</v>
          </cell>
        </row>
        <row r="794">
          <cell r="O794">
            <v>0</v>
          </cell>
        </row>
        <row r="795">
          <cell r="O795">
            <v>0</v>
          </cell>
        </row>
        <row r="796">
          <cell r="O796">
            <v>0</v>
          </cell>
        </row>
        <row r="797">
          <cell r="O797">
            <v>0</v>
          </cell>
        </row>
        <row r="798">
          <cell r="O798">
            <v>0</v>
          </cell>
        </row>
        <row r="799">
          <cell r="O799">
            <v>0</v>
          </cell>
        </row>
        <row r="800">
          <cell r="O800">
            <v>0</v>
          </cell>
        </row>
        <row r="801">
          <cell r="O801">
            <v>0</v>
          </cell>
        </row>
        <row r="802">
          <cell r="O802">
            <v>0</v>
          </cell>
        </row>
        <row r="803">
          <cell r="O803">
            <v>0</v>
          </cell>
        </row>
        <row r="804">
          <cell r="O804">
            <v>0</v>
          </cell>
        </row>
        <row r="805">
          <cell r="O805">
            <v>0</v>
          </cell>
        </row>
        <row r="806">
          <cell r="O806">
            <v>0</v>
          </cell>
        </row>
        <row r="807">
          <cell r="O807">
            <v>0</v>
          </cell>
        </row>
        <row r="808">
          <cell r="O808">
            <v>0</v>
          </cell>
        </row>
        <row r="809">
          <cell r="O809">
            <v>0</v>
          </cell>
        </row>
        <row r="810">
          <cell r="O810">
            <v>0</v>
          </cell>
        </row>
        <row r="811">
          <cell r="O811">
            <v>0</v>
          </cell>
        </row>
        <row r="812">
          <cell r="O812">
            <v>0</v>
          </cell>
        </row>
        <row r="813">
          <cell r="O813">
            <v>0</v>
          </cell>
        </row>
        <row r="814">
          <cell r="O814">
            <v>0</v>
          </cell>
        </row>
        <row r="815">
          <cell r="O815">
            <v>0</v>
          </cell>
        </row>
        <row r="816">
          <cell r="O816">
            <v>0</v>
          </cell>
        </row>
        <row r="817">
          <cell r="O817">
            <v>0</v>
          </cell>
        </row>
        <row r="818">
          <cell r="O818">
            <v>0</v>
          </cell>
        </row>
        <row r="819">
          <cell r="O819">
            <v>0</v>
          </cell>
        </row>
        <row r="820">
          <cell r="O820">
            <v>0</v>
          </cell>
        </row>
        <row r="821">
          <cell r="O821">
            <v>0</v>
          </cell>
        </row>
        <row r="822">
          <cell r="O822">
            <v>0</v>
          </cell>
        </row>
        <row r="823">
          <cell r="O823">
            <v>0</v>
          </cell>
        </row>
        <row r="824">
          <cell r="O824">
            <v>0</v>
          </cell>
        </row>
        <row r="825">
          <cell r="O825">
            <v>0</v>
          </cell>
        </row>
        <row r="826">
          <cell r="O826">
            <v>0</v>
          </cell>
        </row>
        <row r="827">
          <cell r="O827">
            <v>0</v>
          </cell>
        </row>
        <row r="828">
          <cell r="O828">
            <v>0</v>
          </cell>
        </row>
        <row r="829">
          <cell r="O829">
            <v>0</v>
          </cell>
        </row>
        <row r="830">
          <cell r="O830">
            <v>0</v>
          </cell>
        </row>
        <row r="831">
          <cell r="O831">
            <v>0</v>
          </cell>
        </row>
        <row r="832">
          <cell r="O832">
            <v>0</v>
          </cell>
        </row>
        <row r="833">
          <cell r="O833">
            <v>0</v>
          </cell>
        </row>
        <row r="834">
          <cell r="O834">
            <v>0</v>
          </cell>
        </row>
        <row r="835">
          <cell r="O835">
            <v>0</v>
          </cell>
        </row>
        <row r="836">
          <cell r="O836">
            <v>0</v>
          </cell>
        </row>
        <row r="837">
          <cell r="O837">
            <v>0</v>
          </cell>
        </row>
        <row r="838">
          <cell r="O838">
            <v>0</v>
          </cell>
        </row>
        <row r="839">
          <cell r="O839">
            <v>0</v>
          </cell>
        </row>
        <row r="840">
          <cell r="O840">
            <v>0</v>
          </cell>
        </row>
        <row r="841">
          <cell r="O841">
            <v>0</v>
          </cell>
        </row>
        <row r="842">
          <cell r="O842">
            <v>0</v>
          </cell>
        </row>
        <row r="843">
          <cell r="O843">
            <v>0</v>
          </cell>
        </row>
        <row r="844">
          <cell r="O844">
            <v>0</v>
          </cell>
        </row>
        <row r="845">
          <cell r="O845">
            <v>0</v>
          </cell>
        </row>
        <row r="846">
          <cell r="O846">
            <v>0</v>
          </cell>
        </row>
        <row r="847">
          <cell r="O847">
            <v>0</v>
          </cell>
        </row>
        <row r="848">
          <cell r="O848">
            <v>0</v>
          </cell>
        </row>
        <row r="849">
          <cell r="O849">
            <v>0</v>
          </cell>
        </row>
        <row r="850">
          <cell r="O850">
            <v>0</v>
          </cell>
        </row>
        <row r="851">
          <cell r="O851">
            <v>0</v>
          </cell>
        </row>
        <row r="852">
          <cell r="O852">
            <v>0</v>
          </cell>
        </row>
        <row r="853">
          <cell r="O853">
            <v>0</v>
          </cell>
        </row>
        <row r="854">
          <cell r="O854">
            <v>0</v>
          </cell>
        </row>
        <row r="855">
          <cell r="O855">
            <v>0</v>
          </cell>
        </row>
        <row r="856">
          <cell r="O856">
            <v>0</v>
          </cell>
        </row>
        <row r="857">
          <cell r="O857">
            <v>0</v>
          </cell>
        </row>
        <row r="858">
          <cell r="O858">
            <v>0</v>
          </cell>
        </row>
        <row r="859">
          <cell r="O859">
            <v>0</v>
          </cell>
        </row>
        <row r="860">
          <cell r="O860">
            <v>0</v>
          </cell>
        </row>
        <row r="861">
          <cell r="O861">
            <v>0</v>
          </cell>
        </row>
        <row r="862">
          <cell r="O862">
            <v>0</v>
          </cell>
        </row>
        <row r="863">
          <cell r="O863">
            <v>0</v>
          </cell>
        </row>
        <row r="864">
          <cell r="O864">
            <v>0</v>
          </cell>
        </row>
        <row r="865">
          <cell r="O865">
            <v>0</v>
          </cell>
        </row>
        <row r="866">
          <cell r="O866">
            <v>0</v>
          </cell>
        </row>
        <row r="867">
          <cell r="O867">
            <v>0</v>
          </cell>
        </row>
        <row r="868">
          <cell r="O868">
            <v>0</v>
          </cell>
        </row>
        <row r="869">
          <cell r="O869">
            <v>0</v>
          </cell>
        </row>
        <row r="870">
          <cell r="O870">
            <v>0</v>
          </cell>
        </row>
        <row r="871">
          <cell r="O871">
            <v>0</v>
          </cell>
        </row>
        <row r="872">
          <cell r="O872">
            <v>0</v>
          </cell>
        </row>
        <row r="873">
          <cell r="O873">
            <v>0</v>
          </cell>
        </row>
        <row r="874">
          <cell r="O874">
            <v>0</v>
          </cell>
        </row>
        <row r="875">
          <cell r="O875">
            <v>0</v>
          </cell>
        </row>
        <row r="876">
          <cell r="O876">
            <v>0</v>
          </cell>
        </row>
        <row r="877">
          <cell r="O877">
            <v>0</v>
          </cell>
        </row>
        <row r="878">
          <cell r="O878">
            <v>0</v>
          </cell>
        </row>
        <row r="879">
          <cell r="O879">
            <v>0</v>
          </cell>
        </row>
        <row r="880">
          <cell r="O880">
            <v>0</v>
          </cell>
        </row>
        <row r="881">
          <cell r="O881">
            <v>0</v>
          </cell>
        </row>
        <row r="882">
          <cell r="O882">
            <v>0</v>
          </cell>
        </row>
        <row r="883">
          <cell r="O883">
            <v>0</v>
          </cell>
        </row>
        <row r="884">
          <cell r="O884">
            <v>0</v>
          </cell>
        </row>
        <row r="885">
          <cell r="O885">
            <v>0</v>
          </cell>
        </row>
        <row r="886">
          <cell r="O886">
            <v>0</v>
          </cell>
        </row>
        <row r="887">
          <cell r="O887">
            <v>0</v>
          </cell>
        </row>
        <row r="888">
          <cell r="O888">
            <v>0</v>
          </cell>
        </row>
        <row r="889">
          <cell r="O889">
            <v>0</v>
          </cell>
        </row>
        <row r="890">
          <cell r="O890">
            <v>0</v>
          </cell>
        </row>
        <row r="891">
          <cell r="O891">
            <v>0</v>
          </cell>
        </row>
        <row r="892">
          <cell r="O892">
            <v>0</v>
          </cell>
        </row>
        <row r="893">
          <cell r="O893">
            <v>0</v>
          </cell>
        </row>
        <row r="894">
          <cell r="O894">
            <v>0</v>
          </cell>
        </row>
        <row r="895">
          <cell r="O895">
            <v>0</v>
          </cell>
        </row>
        <row r="896">
          <cell r="O896">
            <v>0</v>
          </cell>
        </row>
        <row r="897">
          <cell r="O897">
            <v>0</v>
          </cell>
        </row>
        <row r="898">
          <cell r="O898">
            <v>0</v>
          </cell>
        </row>
        <row r="899">
          <cell r="O899">
            <v>0</v>
          </cell>
        </row>
        <row r="900">
          <cell r="O900">
            <v>0</v>
          </cell>
        </row>
        <row r="901">
          <cell r="O901">
            <v>0</v>
          </cell>
        </row>
        <row r="902">
          <cell r="O902">
            <v>0</v>
          </cell>
        </row>
        <row r="903">
          <cell r="O903">
            <v>0</v>
          </cell>
        </row>
        <row r="904">
          <cell r="O904">
            <v>0</v>
          </cell>
        </row>
        <row r="905">
          <cell r="O905">
            <v>0</v>
          </cell>
        </row>
        <row r="906">
          <cell r="O906">
            <v>0</v>
          </cell>
        </row>
        <row r="907">
          <cell r="O907">
            <v>0</v>
          </cell>
        </row>
        <row r="908">
          <cell r="O908">
            <v>0</v>
          </cell>
        </row>
        <row r="909">
          <cell r="O909">
            <v>0</v>
          </cell>
        </row>
        <row r="910">
          <cell r="O910">
            <v>0</v>
          </cell>
        </row>
        <row r="911">
          <cell r="O911">
            <v>0</v>
          </cell>
        </row>
        <row r="912">
          <cell r="O912">
            <v>0</v>
          </cell>
        </row>
        <row r="913">
          <cell r="O913">
            <v>0</v>
          </cell>
        </row>
        <row r="914">
          <cell r="O914">
            <v>0</v>
          </cell>
        </row>
        <row r="915">
          <cell r="O915">
            <v>0</v>
          </cell>
        </row>
        <row r="916">
          <cell r="O916">
            <v>0</v>
          </cell>
        </row>
        <row r="917">
          <cell r="O917">
            <v>0</v>
          </cell>
        </row>
        <row r="918">
          <cell r="O918">
            <v>0</v>
          </cell>
        </row>
        <row r="919">
          <cell r="O919">
            <v>0</v>
          </cell>
        </row>
        <row r="920">
          <cell r="O920">
            <v>0</v>
          </cell>
        </row>
        <row r="921">
          <cell r="O921">
            <v>0</v>
          </cell>
        </row>
        <row r="922">
          <cell r="O922">
            <v>0</v>
          </cell>
        </row>
        <row r="923">
          <cell r="O923">
            <v>0</v>
          </cell>
        </row>
        <row r="924">
          <cell r="O924">
            <v>0</v>
          </cell>
        </row>
        <row r="925">
          <cell r="O925">
            <v>0</v>
          </cell>
        </row>
        <row r="926">
          <cell r="O926">
            <v>0</v>
          </cell>
        </row>
        <row r="927">
          <cell r="O927">
            <v>0</v>
          </cell>
        </row>
        <row r="928">
          <cell r="O928">
            <v>0</v>
          </cell>
        </row>
        <row r="929">
          <cell r="O929">
            <v>0</v>
          </cell>
        </row>
        <row r="930">
          <cell r="O930">
            <v>0</v>
          </cell>
        </row>
        <row r="931">
          <cell r="O931">
            <v>0</v>
          </cell>
        </row>
        <row r="932">
          <cell r="O932">
            <v>0</v>
          </cell>
        </row>
        <row r="933">
          <cell r="O933">
            <v>0</v>
          </cell>
        </row>
        <row r="934">
          <cell r="O934">
            <v>0</v>
          </cell>
        </row>
        <row r="935">
          <cell r="O935">
            <v>0</v>
          </cell>
        </row>
        <row r="936">
          <cell r="O936">
            <v>0</v>
          </cell>
        </row>
        <row r="937">
          <cell r="O937">
            <v>0</v>
          </cell>
        </row>
        <row r="938">
          <cell r="O938">
            <v>0</v>
          </cell>
        </row>
        <row r="939">
          <cell r="O939">
            <v>0</v>
          </cell>
        </row>
        <row r="940">
          <cell r="O940">
            <v>0</v>
          </cell>
        </row>
        <row r="941">
          <cell r="O941">
            <v>0</v>
          </cell>
        </row>
        <row r="942">
          <cell r="O942">
            <v>0</v>
          </cell>
        </row>
        <row r="943">
          <cell r="O943">
            <v>0</v>
          </cell>
        </row>
        <row r="944">
          <cell r="O944">
            <v>0</v>
          </cell>
        </row>
        <row r="945">
          <cell r="O945">
            <v>0</v>
          </cell>
        </row>
        <row r="946">
          <cell r="O946">
            <v>0</v>
          </cell>
        </row>
        <row r="947">
          <cell r="O947">
            <v>0</v>
          </cell>
        </row>
        <row r="948">
          <cell r="O948">
            <v>0</v>
          </cell>
        </row>
        <row r="949">
          <cell r="O949">
            <v>0</v>
          </cell>
        </row>
        <row r="950">
          <cell r="O950">
            <v>0</v>
          </cell>
        </row>
        <row r="951">
          <cell r="O951">
            <v>0</v>
          </cell>
        </row>
        <row r="952">
          <cell r="O952">
            <v>0</v>
          </cell>
        </row>
        <row r="953">
          <cell r="O953">
            <v>0</v>
          </cell>
        </row>
        <row r="954">
          <cell r="O954">
            <v>0</v>
          </cell>
        </row>
        <row r="955">
          <cell r="O955">
            <v>0</v>
          </cell>
        </row>
        <row r="956">
          <cell r="O956">
            <v>0</v>
          </cell>
        </row>
        <row r="957">
          <cell r="O957">
            <v>0</v>
          </cell>
        </row>
        <row r="958">
          <cell r="O958">
            <v>0</v>
          </cell>
        </row>
        <row r="959">
          <cell r="O959">
            <v>0</v>
          </cell>
        </row>
        <row r="960">
          <cell r="O960">
            <v>0</v>
          </cell>
        </row>
        <row r="961">
          <cell r="O961">
            <v>0</v>
          </cell>
        </row>
        <row r="962">
          <cell r="O962">
            <v>0</v>
          </cell>
        </row>
        <row r="963">
          <cell r="O963">
            <v>0</v>
          </cell>
        </row>
        <row r="964">
          <cell r="O964">
            <v>0</v>
          </cell>
        </row>
        <row r="965">
          <cell r="O965">
            <v>0</v>
          </cell>
        </row>
        <row r="966">
          <cell r="O966">
            <v>0</v>
          </cell>
        </row>
        <row r="967">
          <cell r="O967">
            <v>0</v>
          </cell>
        </row>
        <row r="968">
          <cell r="O968">
            <v>0</v>
          </cell>
        </row>
        <row r="969">
          <cell r="O969">
            <v>0</v>
          </cell>
        </row>
        <row r="970">
          <cell r="O970">
            <v>0</v>
          </cell>
        </row>
        <row r="971">
          <cell r="O971">
            <v>0</v>
          </cell>
        </row>
        <row r="972">
          <cell r="O972">
            <v>0</v>
          </cell>
        </row>
        <row r="973">
          <cell r="O973">
            <v>0</v>
          </cell>
        </row>
        <row r="974">
          <cell r="O974">
            <v>0</v>
          </cell>
        </row>
        <row r="975">
          <cell r="O975">
            <v>0</v>
          </cell>
        </row>
        <row r="976">
          <cell r="O976">
            <v>0</v>
          </cell>
        </row>
        <row r="977">
          <cell r="O977">
            <v>0</v>
          </cell>
        </row>
        <row r="978">
          <cell r="O978">
            <v>0</v>
          </cell>
        </row>
        <row r="979">
          <cell r="O979">
            <v>0</v>
          </cell>
        </row>
        <row r="980">
          <cell r="O980">
            <v>0</v>
          </cell>
        </row>
        <row r="981">
          <cell r="O981">
            <v>0</v>
          </cell>
        </row>
        <row r="982">
          <cell r="O982">
            <v>0</v>
          </cell>
        </row>
        <row r="983">
          <cell r="O983">
            <v>0</v>
          </cell>
        </row>
        <row r="984">
          <cell r="O984">
            <v>0</v>
          </cell>
        </row>
        <row r="985">
          <cell r="O985">
            <v>0</v>
          </cell>
        </row>
        <row r="986">
          <cell r="O986">
            <v>0</v>
          </cell>
        </row>
        <row r="987">
          <cell r="O987">
            <v>0</v>
          </cell>
        </row>
        <row r="988">
          <cell r="O988">
            <v>0</v>
          </cell>
        </row>
        <row r="989">
          <cell r="O989">
            <v>0</v>
          </cell>
        </row>
        <row r="990">
          <cell r="O990">
            <v>0</v>
          </cell>
        </row>
        <row r="991">
          <cell r="O991">
            <v>0</v>
          </cell>
        </row>
        <row r="992">
          <cell r="O992">
            <v>0</v>
          </cell>
        </row>
        <row r="993">
          <cell r="O993">
            <v>0</v>
          </cell>
        </row>
        <row r="994">
          <cell r="O994">
            <v>0</v>
          </cell>
        </row>
        <row r="995">
          <cell r="O995">
            <v>0</v>
          </cell>
        </row>
        <row r="996">
          <cell r="O996">
            <v>0</v>
          </cell>
        </row>
        <row r="997">
          <cell r="O997">
            <v>0</v>
          </cell>
        </row>
        <row r="998">
          <cell r="O998">
            <v>0</v>
          </cell>
        </row>
        <row r="999">
          <cell r="O999">
            <v>0</v>
          </cell>
        </row>
        <row r="1000">
          <cell r="O1000">
            <v>0</v>
          </cell>
        </row>
        <row r="1001">
          <cell r="O1001">
            <v>0</v>
          </cell>
        </row>
        <row r="1002">
          <cell r="O1002">
            <v>0</v>
          </cell>
        </row>
        <row r="1003">
          <cell r="O1003">
            <v>0</v>
          </cell>
        </row>
        <row r="1004">
          <cell r="O1004">
            <v>0</v>
          </cell>
        </row>
        <row r="1005">
          <cell r="O1005">
            <v>0</v>
          </cell>
        </row>
        <row r="1006">
          <cell r="O1006">
            <v>0</v>
          </cell>
        </row>
        <row r="1007">
          <cell r="O1007">
            <v>0</v>
          </cell>
        </row>
        <row r="1008">
          <cell r="O1008">
            <v>0</v>
          </cell>
        </row>
        <row r="1009">
          <cell r="O1009">
            <v>0</v>
          </cell>
        </row>
        <row r="1010">
          <cell r="O1010">
            <v>0</v>
          </cell>
        </row>
        <row r="1011">
          <cell r="O1011">
            <v>0</v>
          </cell>
        </row>
        <row r="1012">
          <cell r="O1012">
            <v>0</v>
          </cell>
        </row>
        <row r="1013">
          <cell r="O1013">
            <v>0</v>
          </cell>
        </row>
        <row r="1014">
          <cell r="O1014">
            <v>0</v>
          </cell>
        </row>
        <row r="1015">
          <cell r="O1015">
            <v>0</v>
          </cell>
        </row>
        <row r="1016">
          <cell r="O1016">
            <v>0</v>
          </cell>
        </row>
        <row r="1017">
          <cell r="O1017">
            <v>0</v>
          </cell>
        </row>
        <row r="1018">
          <cell r="O1018">
            <v>0</v>
          </cell>
        </row>
        <row r="1019">
          <cell r="O1019">
            <v>0</v>
          </cell>
        </row>
        <row r="1020">
          <cell r="O1020">
            <v>0</v>
          </cell>
        </row>
        <row r="1021">
          <cell r="O1021">
            <v>0</v>
          </cell>
        </row>
        <row r="1022">
          <cell r="O1022">
            <v>0</v>
          </cell>
        </row>
        <row r="1023">
          <cell r="O1023">
            <v>0</v>
          </cell>
        </row>
        <row r="1024">
          <cell r="O1024">
            <v>0</v>
          </cell>
        </row>
        <row r="1025">
          <cell r="O1025">
            <v>0</v>
          </cell>
        </row>
        <row r="1026">
          <cell r="O1026">
            <v>0</v>
          </cell>
        </row>
        <row r="1027">
          <cell r="O1027">
            <v>0</v>
          </cell>
        </row>
        <row r="1028">
          <cell r="O1028">
            <v>0</v>
          </cell>
        </row>
        <row r="1029">
          <cell r="O1029">
            <v>0</v>
          </cell>
        </row>
        <row r="1030">
          <cell r="O1030">
            <v>0</v>
          </cell>
        </row>
        <row r="1031">
          <cell r="O1031">
            <v>0</v>
          </cell>
        </row>
        <row r="1032">
          <cell r="O1032">
            <v>0</v>
          </cell>
        </row>
        <row r="1033">
          <cell r="O1033">
            <v>0</v>
          </cell>
        </row>
        <row r="1034">
          <cell r="O1034">
            <v>0</v>
          </cell>
        </row>
        <row r="1035">
          <cell r="O1035">
            <v>0</v>
          </cell>
        </row>
        <row r="1036">
          <cell r="O1036">
            <v>0</v>
          </cell>
        </row>
        <row r="1037">
          <cell r="O1037">
            <v>0</v>
          </cell>
        </row>
        <row r="1038">
          <cell r="O1038">
            <v>0</v>
          </cell>
        </row>
        <row r="1039">
          <cell r="O1039">
            <v>0</v>
          </cell>
        </row>
        <row r="1040">
          <cell r="O1040">
            <v>0</v>
          </cell>
        </row>
        <row r="1041">
          <cell r="O1041">
            <v>0</v>
          </cell>
        </row>
        <row r="1042">
          <cell r="O1042">
            <v>0</v>
          </cell>
        </row>
        <row r="1043">
          <cell r="O1043">
            <v>0</v>
          </cell>
        </row>
        <row r="1044">
          <cell r="O1044">
            <v>0</v>
          </cell>
        </row>
        <row r="1045">
          <cell r="O1045">
            <v>0</v>
          </cell>
        </row>
        <row r="1046">
          <cell r="O1046">
            <v>0</v>
          </cell>
        </row>
        <row r="1047">
          <cell r="O1047">
            <v>0</v>
          </cell>
        </row>
        <row r="1048">
          <cell r="O1048">
            <v>0</v>
          </cell>
        </row>
        <row r="1049">
          <cell r="O1049">
            <v>0</v>
          </cell>
        </row>
        <row r="1050">
          <cell r="O1050">
            <v>0</v>
          </cell>
        </row>
        <row r="1051">
          <cell r="O1051">
            <v>0</v>
          </cell>
        </row>
        <row r="1052">
          <cell r="O1052">
            <v>0</v>
          </cell>
        </row>
        <row r="1053">
          <cell r="O1053">
            <v>0</v>
          </cell>
        </row>
        <row r="1054">
          <cell r="O1054">
            <v>0</v>
          </cell>
        </row>
        <row r="1055">
          <cell r="O1055">
            <v>0</v>
          </cell>
        </row>
        <row r="1056">
          <cell r="O1056">
            <v>0</v>
          </cell>
        </row>
        <row r="1057">
          <cell r="O1057">
            <v>0</v>
          </cell>
        </row>
        <row r="1058">
          <cell r="O1058">
            <v>0</v>
          </cell>
        </row>
        <row r="1059">
          <cell r="O1059">
            <v>0</v>
          </cell>
        </row>
        <row r="1060">
          <cell r="O1060">
            <v>0</v>
          </cell>
        </row>
        <row r="1061">
          <cell r="O1061">
            <v>0</v>
          </cell>
        </row>
        <row r="1062">
          <cell r="O1062">
            <v>0</v>
          </cell>
        </row>
        <row r="1063">
          <cell r="O1063">
            <v>0</v>
          </cell>
        </row>
        <row r="1064">
          <cell r="O1064">
            <v>0</v>
          </cell>
        </row>
        <row r="1065">
          <cell r="O1065">
            <v>0</v>
          </cell>
        </row>
        <row r="1066">
          <cell r="O1066">
            <v>0</v>
          </cell>
        </row>
        <row r="1067">
          <cell r="O1067">
            <v>0</v>
          </cell>
        </row>
        <row r="1068">
          <cell r="O1068">
            <v>0</v>
          </cell>
        </row>
        <row r="1069">
          <cell r="O1069">
            <v>0</v>
          </cell>
        </row>
        <row r="1070">
          <cell r="O1070">
            <v>0</v>
          </cell>
        </row>
        <row r="1071">
          <cell r="O1071">
            <v>0</v>
          </cell>
        </row>
        <row r="1072">
          <cell r="O1072">
            <v>0</v>
          </cell>
        </row>
        <row r="1073">
          <cell r="O1073">
            <v>0</v>
          </cell>
        </row>
        <row r="1074">
          <cell r="O1074">
            <v>0</v>
          </cell>
        </row>
        <row r="1075">
          <cell r="O1075">
            <v>0</v>
          </cell>
        </row>
        <row r="1076">
          <cell r="O1076">
            <v>0</v>
          </cell>
        </row>
        <row r="1077">
          <cell r="O1077">
            <v>0</v>
          </cell>
        </row>
        <row r="1078">
          <cell r="O1078">
            <v>0</v>
          </cell>
        </row>
        <row r="1079">
          <cell r="O1079">
            <v>0</v>
          </cell>
        </row>
        <row r="1080">
          <cell r="O1080">
            <v>0</v>
          </cell>
        </row>
        <row r="1081">
          <cell r="O1081">
            <v>0</v>
          </cell>
        </row>
        <row r="1082">
          <cell r="O1082">
            <v>0</v>
          </cell>
        </row>
        <row r="1083">
          <cell r="O1083">
            <v>0</v>
          </cell>
        </row>
        <row r="1084">
          <cell r="O1084">
            <v>0</v>
          </cell>
        </row>
        <row r="1085">
          <cell r="O1085">
            <v>0</v>
          </cell>
        </row>
        <row r="1086">
          <cell r="O1086">
            <v>0</v>
          </cell>
        </row>
        <row r="1087">
          <cell r="O1087">
            <v>0</v>
          </cell>
        </row>
        <row r="1088">
          <cell r="O1088">
            <v>0</v>
          </cell>
        </row>
        <row r="1089">
          <cell r="O1089">
            <v>0</v>
          </cell>
        </row>
        <row r="1090">
          <cell r="O1090">
            <v>0</v>
          </cell>
        </row>
        <row r="1091">
          <cell r="O1091">
            <v>0</v>
          </cell>
        </row>
        <row r="1092">
          <cell r="O1092">
            <v>0</v>
          </cell>
        </row>
        <row r="1093">
          <cell r="O1093">
            <v>0</v>
          </cell>
        </row>
        <row r="1094">
          <cell r="O1094">
            <v>0</v>
          </cell>
        </row>
        <row r="1095">
          <cell r="O1095">
            <v>0</v>
          </cell>
        </row>
        <row r="1096">
          <cell r="O1096">
            <v>0</v>
          </cell>
        </row>
        <row r="1097">
          <cell r="O1097">
            <v>0</v>
          </cell>
        </row>
        <row r="1098">
          <cell r="O1098">
            <v>0</v>
          </cell>
        </row>
        <row r="1099">
          <cell r="O1099">
            <v>0</v>
          </cell>
        </row>
        <row r="1100">
          <cell r="O1100">
            <v>0</v>
          </cell>
        </row>
        <row r="1101">
          <cell r="O1101">
            <v>0</v>
          </cell>
        </row>
        <row r="1102">
          <cell r="O1102">
            <v>0</v>
          </cell>
        </row>
        <row r="1103">
          <cell r="O1103">
            <v>0</v>
          </cell>
        </row>
        <row r="1104">
          <cell r="O1104">
            <v>0</v>
          </cell>
        </row>
        <row r="1105">
          <cell r="O1105">
            <v>0</v>
          </cell>
        </row>
        <row r="1106">
          <cell r="O1106">
            <v>0</v>
          </cell>
        </row>
        <row r="1107">
          <cell r="O1107">
            <v>0</v>
          </cell>
        </row>
        <row r="1108">
          <cell r="O1108">
            <v>0</v>
          </cell>
        </row>
        <row r="1109">
          <cell r="O1109">
            <v>0</v>
          </cell>
        </row>
        <row r="1110">
          <cell r="O1110">
            <v>0</v>
          </cell>
        </row>
        <row r="1111">
          <cell r="O1111">
            <v>0</v>
          </cell>
        </row>
        <row r="1112">
          <cell r="O1112">
            <v>0</v>
          </cell>
        </row>
        <row r="1113">
          <cell r="O1113">
            <v>0</v>
          </cell>
        </row>
        <row r="1114">
          <cell r="O1114">
            <v>0</v>
          </cell>
        </row>
        <row r="1115">
          <cell r="O1115">
            <v>0</v>
          </cell>
        </row>
        <row r="1116">
          <cell r="O1116">
            <v>0</v>
          </cell>
        </row>
        <row r="1117">
          <cell r="O1117">
            <v>0</v>
          </cell>
        </row>
        <row r="1118">
          <cell r="O1118">
            <v>0</v>
          </cell>
        </row>
        <row r="1119">
          <cell r="O1119">
            <v>0</v>
          </cell>
        </row>
        <row r="1120">
          <cell r="O1120">
            <v>0</v>
          </cell>
        </row>
        <row r="1121">
          <cell r="O1121">
            <v>0</v>
          </cell>
        </row>
        <row r="1122">
          <cell r="O1122">
            <v>0</v>
          </cell>
        </row>
        <row r="1123">
          <cell r="O1123">
            <v>0</v>
          </cell>
        </row>
        <row r="1124">
          <cell r="O1124">
            <v>0</v>
          </cell>
        </row>
        <row r="1125">
          <cell r="O1125">
            <v>0</v>
          </cell>
        </row>
        <row r="1126">
          <cell r="O1126">
            <v>0</v>
          </cell>
        </row>
        <row r="1127">
          <cell r="O1127">
            <v>0</v>
          </cell>
        </row>
        <row r="1128">
          <cell r="O1128">
            <v>0</v>
          </cell>
        </row>
        <row r="1129">
          <cell r="O1129">
            <v>0</v>
          </cell>
        </row>
        <row r="1130">
          <cell r="O1130">
            <v>0</v>
          </cell>
        </row>
        <row r="1131">
          <cell r="O1131">
            <v>0</v>
          </cell>
        </row>
        <row r="1132">
          <cell r="O1132">
            <v>0</v>
          </cell>
        </row>
        <row r="1133">
          <cell r="O1133">
            <v>0</v>
          </cell>
        </row>
        <row r="1134">
          <cell r="O1134">
            <v>0</v>
          </cell>
        </row>
        <row r="1135">
          <cell r="O1135">
            <v>0</v>
          </cell>
        </row>
        <row r="1136">
          <cell r="O1136">
            <v>0</v>
          </cell>
        </row>
        <row r="1137">
          <cell r="O1137">
            <v>0</v>
          </cell>
        </row>
        <row r="1138">
          <cell r="O1138">
            <v>0</v>
          </cell>
        </row>
        <row r="1139">
          <cell r="O1139">
            <v>0</v>
          </cell>
        </row>
        <row r="1140">
          <cell r="O1140">
            <v>0</v>
          </cell>
        </row>
        <row r="1141">
          <cell r="O1141">
            <v>0</v>
          </cell>
        </row>
        <row r="1142">
          <cell r="O1142">
            <v>0</v>
          </cell>
        </row>
        <row r="1143">
          <cell r="O1143">
            <v>0</v>
          </cell>
        </row>
        <row r="1144">
          <cell r="O1144">
            <v>0</v>
          </cell>
        </row>
        <row r="1145">
          <cell r="O1145">
            <v>0</v>
          </cell>
        </row>
        <row r="1146">
          <cell r="O1146">
            <v>0</v>
          </cell>
        </row>
        <row r="1147">
          <cell r="O1147">
            <v>0</v>
          </cell>
        </row>
        <row r="1148">
          <cell r="O1148">
            <v>0</v>
          </cell>
        </row>
        <row r="1149">
          <cell r="O1149">
            <v>0</v>
          </cell>
        </row>
        <row r="1150">
          <cell r="O1150">
            <v>0</v>
          </cell>
        </row>
        <row r="1151">
          <cell r="O1151">
            <v>0</v>
          </cell>
        </row>
        <row r="1152">
          <cell r="O1152">
            <v>0</v>
          </cell>
        </row>
        <row r="1153">
          <cell r="O1153">
            <v>0</v>
          </cell>
        </row>
        <row r="1154">
          <cell r="O1154">
            <v>0</v>
          </cell>
        </row>
        <row r="1155">
          <cell r="O1155">
            <v>0</v>
          </cell>
        </row>
        <row r="1156">
          <cell r="O1156">
            <v>0</v>
          </cell>
        </row>
        <row r="1157">
          <cell r="O1157">
            <v>0</v>
          </cell>
        </row>
        <row r="1158">
          <cell r="O1158">
            <v>0</v>
          </cell>
        </row>
        <row r="1159">
          <cell r="O1159">
            <v>0</v>
          </cell>
        </row>
        <row r="1160">
          <cell r="O1160">
            <v>0</v>
          </cell>
        </row>
        <row r="1161">
          <cell r="O1161">
            <v>0</v>
          </cell>
        </row>
        <row r="1162">
          <cell r="O1162">
            <v>0</v>
          </cell>
        </row>
        <row r="1163">
          <cell r="O1163">
            <v>0</v>
          </cell>
        </row>
        <row r="1164">
          <cell r="O1164">
            <v>0</v>
          </cell>
        </row>
        <row r="1165">
          <cell r="O1165">
            <v>0</v>
          </cell>
        </row>
        <row r="1166">
          <cell r="O1166">
            <v>0</v>
          </cell>
        </row>
        <row r="1167">
          <cell r="O1167">
            <v>0</v>
          </cell>
        </row>
        <row r="1168">
          <cell r="O1168">
            <v>0</v>
          </cell>
        </row>
        <row r="1169">
          <cell r="O1169">
            <v>0</v>
          </cell>
        </row>
        <row r="1170">
          <cell r="O1170">
            <v>0</v>
          </cell>
        </row>
        <row r="1171">
          <cell r="O1171">
            <v>0</v>
          </cell>
        </row>
        <row r="1172">
          <cell r="O1172">
            <v>0</v>
          </cell>
        </row>
        <row r="1173">
          <cell r="O1173">
            <v>0</v>
          </cell>
        </row>
        <row r="1174">
          <cell r="O1174">
            <v>0</v>
          </cell>
        </row>
        <row r="1175">
          <cell r="O1175">
            <v>0</v>
          </cell>
        </row>
        <row r="1176">
          <cell r="O1176">
            <v>0</v>
          </cell>
        </row>
        <row r="1177">
          <cell r="O1177">
            <v>0</v>
          </cell>
        </row>
        <row r="1178">
          <cell r="O1178">
            <v>0</v>
          </cell>
        </row>
        <row r="1179">
          <cell r="O1179">
            <v>0</v>
          </cell>
        </row>
        <row r="1180">
          <cell r="O1180">
            <v>0</v>
          </cell>
        </row>
        <row r="1181">
          <cell r="O1181">
            <v>0</v>
          </cell>
        </row>
        <row r="1182">
          <cell r="O1182">
            <v>0</v>
          </cell>
        </row>
        <row r="1183">
          <cell r="O1183">
            <v>0</v>
          </cell>
        </row>
        <row r="1184">
          <cell r="O1184">
            <v>0</v>
          </cell>
        </row>
        <row r="1185">
          <cell r="O1185">
            <v>0</v>
          </cell>
        </row>
        <row r="1186">
          <cell r="O1186">
            <v>0</v>
          </cell>
        </row>
        <row r="1187">
          <cell r="O1187">
            <v>0</v>
          </cell>
        </row>
        <row r="1188">
          <cell r="O1188">
            <v>0</v>
          </cell>
        </row>
        <row r="1189">
          <cell r="O1189">
            <v>0</v>
          </cell>
        </row>
        <row r="1190">
          <cell r="O1190">
            <v>0</v>
          </cell>
        </row>
        <row r="1191">
          <cell r="O1191">
            <v>0</v>
          </cell>
        </row>
        <row r="1192">
          <cell r="O1192">
            <v>0</v>
          </cell>
        </row>
        <row r="1193">
          <cell r="O1193">
            <v>0</v>
          </cell>
        </row>
        <row r="1194">
          <cell r="O1194">
            <v>0</v>
          </cell>
        </row>
        <row r="1195">
          <cell r="O1195">
            <v>0</v>
          </cell>
        </row>
        <row r="1196">
          <cell r="O1196">
            <v>0</v>
          </cell>
        </row>
        <row r="1197">
          <cell r="O1197">
            <v>0</v>
          </cell>
        </row>
        <row r="1198">
          <cell r="O1198">
            <v>0</v>
          </cell>
        </row>
        <row r="1199">
          <cell r="O1199">
            <v>0</v>
          </cell>
        </row>
        <row r="1200">
          <cell r="O1200">
            <v>0</v>
          </cell>
        </row>
        <row r="1201">
          <cell r="O1201">
            <v>0</v>
          </cell>
        </row>
        <row r="1202">
          <cell r="O1202">
            <v>0</v>
          </cell>
        </row>
        <row r="1203">
          <cell r="O1203">
            <v>0</v>
          </cell>
        </row>
        <row r="1204">
          <cell r="O1204">
            <v>0</v>
          </cell>
        </row>
        <row r="1205">
          <cell r="O1205">
            <v>0</v>
          </cell>
        </row>
        <row r="1206">
          <cell r="O1206">
            <v>0</v>
          </cell>
        </row>
        <row r="1207">
          <cell r="O1207">
            <v>0</v>
          </cell>
        </row>
        <row r="1208">
          <cell r="O1208">
            <v>0</v>
          </cell>
        </row>
        <row r="1209">
          <cell r="O1209">
            <v>0</v>
          </cell>
        </row>
        <row r="1210">
          <cell r="O1210">
            <v>0</v>
          </cell>
        </row>
        <row r="1211">
          <cell r="O1211">
            <v>0</v>
          </cell>
        </row>
        <row r="1212">
          <cell r="O1212">
            <v>0</v>
          </cell>
        </row>
        <row r="1213">
          <cell r="O1213">
            <v>0</v>
          </cell>
        </row>
        <row r="1214">
          <cell r="O1214">
            <v>0</v>
          </cell>
        </row>
        <row r="1215">
          <cell r="O1215">
            <v>0</v>
          </cell>
        </row>
        <row r="1216">
          <cell r="O1216">
            <v>0</v>
          </cell>
        </row>
        <row r="1217">
          <cell r="O1217">
            <v>0</v>
          </cell>
        </row>
        <row r="1218">
          <cell r="O1218">
            <v>0</v>
          </cell>
        </row>
        <row r="1219">
          <cell r="O1219">
            <v>0</v>
          </cell>
        </row>
        <row r="1220">
          <cell r="O1220">
            <v>0</v>
          </cell>
        </row>
        <row r="1221">
          <cell r="O1221">
            <v>0</v>
          </cell>
        </row>
        <row r="1222">
          <cell r="O1222">
            <v>0</v>
          </cell>
        </row>
        <row r="1223">
          <cell r="O1223">
            <v>0</v>
          </cell>
        </row>
        <row r="1224">
          <cell r="O1224">
            <v>0</v>
          </cell>
        </row>
        <row r="1225">
          <cell r="O1225">
            <v>0</v>
          </cell>
        </row>
        <row r="1226">
          <cell r="O1226">
            <v>0</v>
          </cell>
        </row>
        <row r="1227">
          <cell r="O1227">
            <v>0</v>
          </cell>
        </row>
        <row r="1228">
          <cell r="O1228">
            <v>0</v>
          </cell>
        </row>
        <row r="1229">
          <cell r="O1229">
            <v>0</v>
          </cell>
        </row>
        <row r="1230">
          <cell r="O1230">
            <v>0</v>
          </cell>
        </row>
        <row r="1231">
          <cell r="O1231">
            <v>0</v>
          </cell>
        </row>
        <row r="1232">
          <cell r="O1232">
            <v>0</v>
          </cell>
        </row>
        <row r="1233">
          <cell r="O1233">
            <v>0</v>
          </cell>
        </row>
        <row r="1234">
          <cell r="O1234">
            <v>0</v>
          </cell>
        </row>
        <row r="1235">
          <cell r="O1235">
            <v>0</v>
          </cell>
        </row>
        <row r="1236">
          <cell r="O1236">
            <v>0</v>
          </cell>
        </row>
        <row r="1237">
          <cell r="O1237">
            <v>0</v>
          </cell>
        </row>
        <row r="1238">
          <cell r="O1238">
            <v>0</v>
          </cell>
        </row>
        <row r="1239">
          <cell r="O1239">
            <v>0</v>
          </cell>
        </row>
        <row r="1240">
          <cell r="O1240">
            <v>0</v>
          </cell>
        </row>
        <row r="1241">
          <cell r="O1241">
            <v>0</v>
          </cell>
        </row>
        <row r="1242">
          <cell r="O1242">
            <v>0</v>
          </cell>
        </row>
        <row r="1243">
          <cell r="O1243">
            <v>0</v>
          </cell>
        </row>
        <row r="1244">
          <cell r="O1244">
            <v>0</v>
          </cell>
        </row>
        <row r="1245">
          <cell r="O1245">
            <v>0</v>
          </cell>
        </row>
        <row r="1246">
          <cell r="O1246">
            <v>0</v>
          </cell>
        </row>
        <row r="1247">
          <cell r="O1247">
            <v>0</v>
          </cell>
        </row>
        <row r="1248">
          <cell r="O1248">
            <v>0</v>
          </cell>
        </row>
        <row r="1249">
          <cell r="O1249">
            <v>0</v>
          </cell>
        </row>
        <row r="1250">
          <cell r="O1250">
            <v>0</v>
          </cell>
        </row>
        <row r="1251">
          <cell r="O1251">
            <v>0</v>
          </cell>
        </row>
        <row r="1252">
          <cell r="O1252">
            <v>0</v>
          </cell>
        </row>
        <row r="1253">
          <cell r="O1253">
            <v>0</v>
          </cell>
        </row>
        <row r="1254">
          <cell r="O1254">
            <v>0</v>
          </cell>
        </row>
        <row r="1255">
          <cell r="O1255">
            <v>0</v>
          </cell>
        </row>
        <row r="1256">
          <cell r="O1256">
            <v>0</v>
          </cell>
        </row>
        <row r="1257">
          <cell r="O1257">
            <v>0</v>
          </cell>
        </row>
        <row r="1258">
          <cell r="O1258">
            <v>0</v>
          </cell>
        </row>
        <row r="1259">
          <cell r="O1259">
            <v>0</v>
          </cell>
        </row>
        <row r="1260">
          <cell r="O1260">
            <v>0</v>
          </cell>
        </row>
        <row r="1261">
          <cell r="O1261">
            <v>0</v>
          </cell>
        </row>
        <row r="1262">
          <cell r="O1262">
            <v>0</v>
          </cell>
        </row>
        <row r="1263">
          <cell r="O1263">
            <v>0</v>
          </cell>
        </row>
        <row r="1264">
          <cell r="O1264">
            <v>0</v>
          </cell>
        </row>
        <row r="1265">
          <cell r="O1265">
            <v>0</v>
          </cell>
        </row>
        <row r="1266">
          <cell r="O1266">
            <v>0</v>
          </cell>
        </row>
        <row r="1267">
          <cell r="O1267">
            <v>0</v>
          </cell>
        </row>
        <row r="1268">
          <cell r="O1268">
            <v>0</v>
          </cell>
        </row>
        <row r="1269">
          <cell r="O1269">
            <v>0</v>
          </cell>
        </row>
        <row r="1270">
          <cell r="O1270">
            <v>0</v>
          </cell>
        </row>
        <row r="1271">
          <cell r="O1271">
            <v>0</v>
          </cell>
        </row>
        <row r="1272">
          <cell r="O1272">
            <v>0</v>
          </cell>
        </row>
        <row r="1273">
          <cell r="O1273">
            <v>0</v>
          </cell>
        </row>
        <row r="1274">
          <cell r="O1274">
            <v>0</v>
          </cell>
        </row>
        <row r="1275">
          <cell r="O1275">
            <v>0</v>
          </cell>
        </row>
        <row r="1276">
          <cell r="O1276">
            <v>0</v>
          </cell>
        </row>
        <row r="1277">
          <cell r="O1277">
            <v>0</v>
          </cell>
        </row>
        <row r="1278">
          <cell r="O1278">
            <v>0</v>
          </cell>
        </row>
        <row r="1279">
          <cell r="O1279">
            <v>0</v>
          </cell>
        </row>
        <row r="1280">
          <cell r="O1280">
            <v>0</v>
          </cell>
        </row>
        <row r="1281">
          <cell r="O1281">
            <v>0</v>
          </cell>
        </row>
        <row r="1282">
          <cell r="O1282">
            <v>0</v>
          </cell>
        </row>
        <row r="1283">
          <cell r="O1283">
            <v>0</v>
          </cell>
        </row>
        <row r="1284">
          <cell r="O1284">
            <v>0</v>
          </cell>
        </row>
        <row r="1285">
          <cell r="O1285">
            <v>0</v>
          </cell>
        </row>
        <row r="1286">
          <cell r="O1286">
            <v>0</v>
          </cell>
        </row>
        <row r="1287">
          <cell r="O1287">
            <v>0</v>
          </cell>
        </row>
        <row r="1288">
          <cell r="O1288">
            <v>0</v>
          </cell>
        </row>
        <row r="1289">
          <cell r="O1289">
            <v>0</v>
          </cell>
        </row>
        <row r="1290">
          <cell r="O1290">
            <v>0</v>
          </cell>
        </row>
        <row r="1291">
          <cell r="O1291">
            <v>0</v>
          </cell>
        </row>
        <row r="1292">
          <cell r="O1292">
            <v>0</v>
          </cell>
        </row>
        <row r="1293">
          <cell r="O1293">
            <v>0</v>
          </cell>
        </row>
        <row r="1294">
          <cell r="O1294">
            <v>0</v>
          </cell>
        </row>
        <row r="1295">
          <cell r="O1295">
            <v>0</v>
          </cell>
        </row>
        <row r="1296">
          <cell r="O1296">
            <v>0</v>
          </cell>
        </row>
        <row r="1297">
          <cell r="O1297">
            <v>0</v>
          </cell>
        </row>
        <row r="1298">
          <cell r="O1298">
            <v>0</v>
          </cell>
        </row>
        <row r="1299">
          <cell r="O1299">
            <v>0</v>
          </cell>
        </row>
        <row r="1300">
          <cell r="O1300">
            <v>0</v>
          </cell>
        </row>
        <row r="1301">
          <cell r="O1301">
            <v>0</v>
          </cell>
        </row>
        <row r="1302">
          <cell r="O1302">
            <v>0</v>
          </cell>
        </row>
        <row r="1303">
          <cell r="O1303">
            <v>0</v>
          </cell>
        </row>
        <row r="1304">
          <cell r="O1304">
            <v>0</v>
          </cell>
        </row>
        <row r="1305">
          <cell r="O1305">
            <v>0</v>
          </cell>
        </row>
        <row r="1306">
          <cell r="O1306">
            <v>0</v>
          </cell>
        </row>
        <row r="1307">
          <cell r="O1307">
            <v>0</v>
          </cell>
        </row>
        <row r="1308">
          <cell r="O1308">
            <v>0</v>
          </cell>
        </row>
        <row r="1309">
          <cell r="O1309">
            <v>0</v>
          </cell>
        </row>
        <row r="1310">
          <cell r="O1310">
            <v>0</v>
          </cell>
        </row>
        <row r="1311">
          <cell r="O1311">
            <v>0</v>
          </cell>
        </row>
        <row r="1312">
          <cell r="O1312">
            <v>0</v>
          </cell>
        </row>
        <row r="1313">
          <cell r="O1313">
            <v>0</v>
          </cell>
        </row>
        <row r="1314">
          <cell r="O1314">
            <v>0</v>
          </cell>
        </row>
        <row r="1315">
          <cell r="O1315">
            <v>0</v>
          </cell>
        </row>
        <row r="1316">
          <cell r="O1316">
            <v>0</v>
          </cell>
        </row>
        <row r="1317">
          <cell r="O1317">
            <v>0</v>
          </cell>
        </row>
        <row r="1318">
          <cell r="O1318">
            <v>0</v>
          </cell>
        </row>
        <row r="1319">
          <cell r="O1319">
            <v>0</v>
          </cell>
        </row>
        <row r="1320">
          <cell r="O1320">
            <v>0</v>
          </cell>
        </row>
        <row r="1321">
          <cell r="O1321">
            <v>0</v>
          </cell>
        </row>
        <row r="1322">
          <cell r="O1322">
            <v>0</v>
          </cell>
        </row>
        <row r="1323">
          <cell r="O1323">
            <v>0</v>
          </cell>
        </row>
        <row r="1324">
          <cell r="O1324">
            <v>0</v>
          </cell>
        </row>
        <row r="1325">
          <cell r="O1325">
            <v>0</v>
          </cell>
        </row>
        <row r="1326">
          <cell r="O1326">
            <v>0</v>
          </cell>
        </row>
        <row r="1327">
          <cell r="O1327">
            <v>0</v>
          </cell>
        </row>
        <row r="1328">
          <cell r="O1328">
            <v>0</v>
          </cell>
        </row>
        <row r="1329">
          <cell r="O1329">
            <v>0</v>
          </cell>
        </row>
        <row r="1330">
          <cell r="O1330">
            <v>0</v>
          </cell>
        </row>
        <row r="1331">
          <cell r="O1331">
            <v>0</v>
          </cell>
        </row>
        <row r="1332">
          <cell r="O1332">
            <v>0</v>
          </cell>
        </row>
        <row r="1333">
          <cell r="O1333">
            <v>0</v>
          </cell>
        </row>
        <row r="1334">
          <cell r="O1334">
            <v>0</v>
          </cell>
        </row>
        <row r="1335">
          <cell r="O1335">
            <v>0</v>
          </cell>
        </row>
        <row r="1336">
          <cell r="O1336">
            <v>0</v>
          </cell>
        </row>
        <row r="1337">
          <cell r="O1337">
            <v>0</v>
          </cell>
        </row>
        <row r="1338">
          <cell r="O1338">
            <v>0</v>
          </cell>
        </row>
        <row r="1339">
          <cell r="O1339">
            <v>0</v>
          </cell>
        </row>
        <row r="1340">
          <cell r="O1340">
            <v>0</v>
          </cell>
        </row>
        <row r="1341">
          <cell r="O1341">
            <v>0</v>
          </cell>
        </row>
        <row r="1342">
          <cell r="O1342">
            <v>0</v>
          </cell>
        </row>
        <row r="1343">
          <cell r="O1343">
            <v>0</v>
          </cell>
        </row>
        <row r="1344">
          <cell r="O1344">
            <v>0</v>
          </cell>
        </row>
        <row r="1345">
          <cell r="O1345">
            <v>0</v>
          </cell>
        </row>
        <row r="1346">
          <cell r="O1346">
            <v>0</v>
          </cell>
        </row>
        <row r="1347">
          <cell r="O1347">
            <v>0</v>
          </cell>
        </row>
        <row r="1348">
          <cell r="O1348">
            <v>0</v>
          </cell>
        </row>
        <row r="1349">
          <cell r="O1349">
            <v>0</v>
          </cell>
        </row>
        <row r="1350">
          <cell r="O1350">
            <v>0</v>
          </cell>
        </row>
        <row r="1351">
          <cell r="O1351">
            <v>0</v>
          </cell>
        </row>
        <row r="1352">
          <cell r="O1352">
            <v>0</v>
          </cell>
        </row>
        <row r="1353">
          <cell r="O1353">
            <v>0</v>
          </cell>
        </row>
        <row r="1354">
          <cell r="O1354">
            <v>0</v>
          </cell>
        </row>
        <row r="1355">
          <cell r="O1355">
            <v>0</v>
          </cell>
        </row>
        <row r="1356">
          <cell r="O1356">
            <v>0</v>
          </cell>
        </row>
        <row r="1357">
          <cell r="O1357">
            <v>0</v>
          </cell>
        </row>
        <row r="1358">
          <cell r="O1358">
            <v>0</v>
          </cell>
        </row>
        <row r="1359">
          <cell r="O1359">
            <v>0</v>
          </cell>
        </row>
        <row r="1360">
          <cell r="O1360">
            <v>0</v>
          </cell>
        </row>
        <row r="1361">
          <cell r="O1361">
            <v>0</v>
          </cell>
        </row>
        <row r="1362">
          <cell r="O1362">
            <v>0</v>
          </cell>
        </row>
        <row r="1363">
          <cell r="O1363">
            <v>0</v>
          </cell>
        </row>
        <row r="1364">
          <cell r="O1364">
            <v>0</v>
          </cell>
        </row>
        <row r="1365">
          <cell r="O1365">
            <v>0</v>
          </cell>
        </row>
        <row r="1366">
          <cell r="O1366">
            <v>0</v>
          </cell>
        </row>
        <row r="1367">
          <cell r="O1367">
            <v>0</v>
          </cell>
        </row>
        <row r="1368">
          <cell r="O1368">
            <v>0</v>
          </cell>
        </row>
        <row r="1369">
          <cell r="O1369">
            <v>0</v>
          </cell>
        </row>
        <row r="1370">
          <cell r="O1370">
            <v>0</v>
          </cell>
        </row>
        <row r="1371">
          <cell r="O1371">
            <v>0</v>
          </cell>
        </row>
        <row r="1372">
          <cell r="O1372">
            <v>0</v>
          </cell>
        </row>
        <row r="1373">
          <cell r="O1373">
            <v>0</v>
          </cell>
        </row>
        <row r="1374">
          <cell r="O1374">
            <v>0</v>
          </cell>
        </row>
        <row r="1375">
          <cell r="O1375">
            <v>0</v>
          </cell>
        </row>
        <row r="1376">
          <cell r="O1376">
            <v>0</v>
          </cell>
        </row>
        <row r="1377">
          <cell r="O1377">
            <v>0</v>
          </cell>
        </row>
        <row r="1378">
          <cell r="O1378">
            <v>0</v>
          </cell>
        </row>
        <row r="1379">
          <cell r="O1379">
            <v>0</v>
          </cell>
        </row>
        <row r="1380">
          <cell r="O1380">
            <v>0</v>
          </cell>
        </row>
        <row r="1381">
          <cell r="O1381">
            <v>0</v>
          </cell>
        </row>
        <row r="1382">
          <cell r="O1382">
            <v>0</v>
          </cell>
        </row>
        <row r="1383">
          <cell r="O1383">
            <v>0</v>
          </cell>
        </row>
        <row r="1384">
          <cell r="O1384">
            <v>0</v>
          </cell>
        </row>
        <row r="1385">
          <cell r="O1385">
            <v>0</v>
          </cell>
        </row>
        <row r="1386">
          <cell r="O1386">
            <v>0</v>
          </cell>
        </row>
        <row r="1387">
          <cell r="O1387">
            <v>0</v>
          </cell>
        </row>
        <row r="1388">
          <cell r="O1388">
            <v>0</v>
          </cell>
        </row>
        <row r="1389">
          <cell r="O1389">
            <v>0</v>
          </cell>
        </row>
        <row r="1390">
          <cell r="O1390">
            <v>0</v>
          </cell>
        </row>
        <row r="1391">
          <cell r="O1391">
            <v>0</v>
          </cell>
        </row>
        <row r="1392">
          <cell r="O1392">
            <v>0</v>
          </cell>
        </row>
        <row r="1393">
          <cell r="O1393">
            <v>0</v>
          </cell>
        </row>
        <row r="1394">
          <cell r="O1394">
            <v>0</v>
          </cell>
        </row>
        <row r="1395">
          <cell r="O1395">
            <v>0</v>
          </cell>
        </row>
        <row r="1396">
          <cell r="O1396">
            <v>0</v>
          </cell>
        </row>
        <row r="1397">
          <cell r="O1397">
            <v>0</v>
          </cell>
        </row>
        <row r="1398">
          <cell r="O1398">
            <v>0</v>
          </cell>
        </row>
        <row r="1399">
          <cell r="O1399">
            <v>0</v>
          </cell>
        </row>
        <row r="1400">
          <cell r="O1400">
            <v>0</v>
          </cell>
        </row>
        <row r="1401">
          <cell r="O1401">
            <v>0</v>
          </cell>
        </row>
        <row r="1402">
          <cell r="O1402">
            <v>0</v>
          </cell>
        </row>
        <row r="1403">
          <cell r="O1403">
            <v>0</v>
          </cell>
        </row>
        <row r="1404">
          <cell r="O1404">
            <v>0</v>
          </cell>
        </row>
        <row r="1405">
          <cell r="O1405">
            <v>0</v>
          </cell>
        </row>
        <row r="1406">
          <cell r="O1406">
            <v>0</v>
          </cell>
        </row>
        <row r="1407">
          <cell r="O1407">
            <v>0</v>
          </cell>
        </row>
        <row r="1408">
          <cell r="O1408">
            <v>0</v>
          </cell>
        </row>
        <row r="1409">
          <cell r="O1409">
            <v>0</v>
          </cell>
        </row>
        <row r="1410">
          <cell r="O1410">
            <v>0</v>
          </cell>
        </row>
        <row r="1411">
          <cell r="O1411">
            <v>0</v>
          </cell>
        </row>
        <row r="1412">
          <cell r="O1412">
            <v>0</v>
          </cell>
        </row>
        <row r="1413">
          <cell r="O1413">
            <v>0</v>
          </cell>
        </row>
        <row r="1414">
          <cell r="O1414">
            <v>0</v>
          </cell>
        </row>
        <row r="1415">
          <cell r="O1415">
            <v>0</v>
          </cell>
        </row>
        <row r="1416">
          <cell r="O1416">
            <v>0</v>
          </cell>
        </row>
        <row r="1417">
          <cell r="O1417">
            <v>0</v>
          </cell>
        </row>
        <row r="1418">
          <cell r="O1418">
            <v>0</v>
          </cell>
        </row>
        <row r="1419">
          <cell r="O1419">
            <v>0</v>
          </cell>
        </row>
        <row r="1420">
          <cell r="O1420">
            <v>0</v>
          </cell>
        </row>
        <row r="1421">
          <cell r="O1421">
            <v>0</v>
          </cell>
        </row>
        <row r="1422">
          <cell r="O1422">
            <v>0</v>
          </cell>
        </row>
        <row r="1423">
          <cell r="O1423">
            <v>0</v>
          </cell>
        </row>
        <row r="1424">
          <cell r="O1424">
            <v>0</v>
          </cell>
        </row>
        <row r="1425">
          <cell r="O1425">
            <v>0</v>
          </cell>
        </row>
        <row r="1426">
          <cell r="O1426">
            <v>0</v>
          </cell>
        </row>
        <row r="1427">
          <cell r="O1427">
            <v>0</v>
          </cell>
        </row>
        <row r="1428">
          <cell r="O1428">
            <v>0</v>
          </cell>
        </row>
        <row r="1429">
          <cell r="O1429">
            <v>0</v>
          </cell>
        </row>
        <row r="1430">
          <cell r="O1430">
            <v>0</v>
          </cell>
        </row>
        <row r="1431">
          <cell r="O1431">
            <v>0</v>
          </cell>
        </row>
        <row r="1432">
          <cell r="O1432">
            <v>0</v>
          </cell>
        </row>
        <row r="1433">
          <cell r="O1433">
            <v>0</v>
          </cell>
        </row>
        <row r="1434">
          <cell r="O1434">
            <v>0</v>
          </cell>
        </row>
        <row r="1435">
          <cell r="O1435">
            <v>0</v>
          </cell>
        </row>
        <row r="1436">
          <cell r="O1436">
            <v>0</v>
          </cell>
        </row>
        <row r="1437">
          <cell r="O1437">
            <v>0</v>
          </cell>
        </row>
        <row r="1438">
          <cell r="O1438">
            <v>0</v>
          </cell>
        </row>
        <row r="1439">
          <cell r="O1439">
            <v>0</v>
          </cell>
        </row>
        <row r="1440">
          <cell r="O1440">
            <v>0</v>
          </cell>
        </row>
        <row r="1441">
          <cell r="O1441">
            <v>0</v>
          </cell>
        </row>
        <row r="1442">
          <cell r="O1442">
            <v>0</v>
          </cell>
        </row>
        <row r="1443">
          <cell r="O1443">
            <v>0</v>
          </cell>
        </row>
        <row r="1444">
          <cell r="O1444">
            <v>0</v>
          </cell>
        </row>
        <row r="1445">
          <cell r="O1445">
            <v>0</v>
          </cell>
        </row>
        <row r="1446">
          <cell r="O1446">
            <v>0</v>
          </cell>
        </row>
        <row r="1447">
          <cell r="O1447">
            <v>0</v>
          </cell>
        </row>
        <row r="1448">
          <cell r="O1448">
            <v>0</v>
          </cell>
        </row>
        <row r="1449">
          <cell r="O1449">
            <v>0</v>
          </cell>
        </row>
        <row r="1450">
          <cell r="O1450">
            <v>0</v>
          </cell>
        </row>
        <row r="1451">
          <cell r="O1451">
            <v>0</v>
          </cell>
        </row>
        <row r="1452">
          <cell r="O1452">
            <v>0</v>
          </cell>
        </row>
        <row r="1453">
          <cell r="O1453">
            <v>0</v>
          </cell>
        </row>
        <row r="1454">
          <cell r="O1454">
            <v>0</v>
          </cell>
        </row>
        <row r="1455">
          <cell r="O1455">
            <v>0</v>
          </cell>
        </row>
        <row r="1456">
          <cell r="O1456">
            <v>0</v>
          </cell>
        </row>
        <row r="1457">
          <cell r="O1457">
            <v>0</v>
          </cell>
        </row>
        <row r="1458">
          <cell r="O1458">
            <v>0</v>
          </cell>
        </row>
        <row r="1459">
          <cell r="O1459">
            <v>0</v>
          </cell>
        </row>
        <row r="1460">
          <cell r="O1460">
            <v>0</v>
          </cell>
        </row>
        <row r="1461">
          <cell r="O1461">
            <v>0</v>
          </cell>
        </row>
        <row r="1462">
          <cell r="O1462">
            <v>0</v>
          </cell>
        </row>
        <row r="1463">
          <cell r="O1463">
            <v>0</v>
          </cell>
        </row>
        <row r="1464">
          <cell r="O1464">
            <v>0</v>
          </cell>
        </row>
        <row r="1465">
          <cell r="O1465">
            <v>0</v>
          </cell>
        </row>
        <row r="1466">
          <cell r="O1466">
            <v>0</v>
          </cell>
        </row>
        <row r="1467">
          <cell r="O1467">
            <v>0</v>
          </cell>
        </row>
        <row r="1468">
          <cell r="O1468">
            <v>0</v>
          </cell>
        </row>
        <row r="1469">
          <cell r="O1469">
            <v>0</v>
          </cell>
        </row>
        <row r="1470">
          <cell r="O1470">
            <v>0</v>
          </cell>
        </row>
        <row r="1471">
          <cell r="O1471">
            <v>0</v>
          </cell>
        </row>
        <row r="1472">
          <cell r="O1472">
            <v>0</v>
          </cell>
        </row>
        <row r="1473">
          <cell r="O1473">
            <v>0</v>
          </cell>
        </row>
        <row r="1474">
          <cell r="O1474">
            <v>0</v>
          </cell>
        </row>
        <row r="1475">
          <cell r="O1475">
            <v>0</v>
          </cell>
        </row>
        <row r="1476">
          <cell r="O1476">
            <v>0</v>
          </cell>
        </row>
        <row r="1477">
          <cell r="O1477">
            <v>0</v>
          </cell>
        </row>
        <row r="1478">
          <cell r="O1478">
            <v>0</v>
          </cell>
        </row>
        <row r="1479">
          <cell r="O1479">
            <v>0</v>
          </cell>
        </row>
        <row r="1480">
          <cell r="O1480">
            <v>0</v>
          </cell>
        </row>
        <row r="1481">
          <cell r="O1481">
            <v>0</v>
          </cell>
        </row>
        <row r="1482">
          <cell r="O1482">
            <v>0</v>
          </cell>
        </row>
        <row r="1483">
          <cell r="O1483">
            <v>0</v>
          </cell>
        </row>
        <row r="1484">
          <cell r="O1484">
            <v>0</v>
          </cell>
        </row>
        <row r="1485">
          <cell r="O1485">
            <v>0</v>
          </cell>
        </row>
        <row r="1486">
          <cell r="O1486">
            <v>0</v>
          </cell>
        </row>
        <row r="1487">
          <cell r="O1487">
            <v>0</v>
          </cell>
        </row>
        <row r="1488">
          <cell r="O1488">
            <v>0</v>
          </cell>
        </row>
        <row r="1489">
          <cell r="O1489">
            <v>0</v>
          </cell>
        </row>
        <row r="1490">
          <cell r="O1490">
            <v>0</v>
          </cell>
        </row>
        <row r="1491">
          <cell r="O1491">
            <v>0</v>
          </cell>
        </row>
        <row r="1492">
          <cell r="O1492">
            <v>0</v>
          </cell>
        </row>
        <row r="1493">
          <cell r="O1493">
            <v>0</v>
          </cell>
        </row>
        <row r="1494">
          <cell r="O1494">
            <v>0</v>
          </cell>
        </row>
        <row r="1495">
          <cell r="O1495">
            <v>0</v>
          </cell>
        </row>
        <row r="1496">
          <cell r="O1496">
            <v>0</v>
          </cell>
        </row>
        <row r="1497">
          <cell r="O1497">
            <v>0</v>
          </cell>
        </row>
        <row r="1498">
          <cell r="O1498">
            <v>0</v>
          </cell>
        </row>
        <row r="1499">
          <cell r="O1499">
            <v>0</v>
          </cell>
        </row>
        <row r="1500">
          <cell r="O1500">
            <v>0</v>
          </cell>
        </row>
        <row r="1501">
          <cell r="O1501">
            <v>0</v>
          </cell>
        </row>
        <row r="1502">
          <cell r="O1502">
            <v>0</v>
          </cell>
        </row>
        <row r="1503">
          <cell r="O1503">
            <v>0</v>
          </cell>
        </row>
        <row r="1504">
          <cell r="O1504">
            <v>0</v>
          </cell>
        </row>
        <row r="1505">
          <cell r="O1505">
            <v>0</v>
          </cell>
        </row>
        <row r="1506">
          <cell r="O1506">
            <v>0</v>
          </cell>
        </row>
        <row r="1507">
          <cell r="O1507">
            <v>0</v>
          </cell>
        </row>
        <row r="1508">
          <cell r="O1508">
            <v>0</v>
          </cell>
        </row>
        <row r="1509">
          <cell r="O1509">
            <v>0</v>
          </cell>
        </row>
        <row r="1510">
          <cell r="O1510">
            <v>0</v>
          </cell>
        </row>
        <row r="1511">
          <cell r="O1511">
            <v>0</v>
          </cell>
        </row>
        <row r="1512">
          <cell r="O1512">
            <v>0</v>
          </cell>
        </row>
        <row r="1513">
          <cell r="O1513">
            <v>0</v>
          </cell>
        </row>
        <row r="1514">
          <cell r="O1514">
            <v>0</v>
          </cell>
        </row>
        <row r="1515">
          <cell r="O1515">
            <v>0</v>
          </cell>
        </row>
        <row r="1516">
          <cell r="O1516">
            <v>0</v>
          </cell>
        </row>
        <row r="1517">
          <cell r="O1517">
            <v>0</v>
          </cell>
        </row>
        <row r="1518">
          <cell r="O1518">
            <v>0</v>
          </cell>
        </row>
        <row r="1519">
          <cell r="O1519">
            <v>0</v>
          </cell>
        </row>
        <row r="1520">
          <cell r="O1520">
            <v>0</v>
          </cell>
        </row>
        <row r="1521">
          <cell r="O1521">
            <v>0</v>
          </cell>
        </row>
        <row r="1522">
          <cell r="O1522">
            <v>0</v>
          </cell>
        </row>
        <row r="1523">
          <cell r="O1523">
            <v>0</v>
          </cell>
        </row>
        <row r="1524">
          <cell r="O1524">
            <v>0</v>
          </cell>
        </row>
        <row r="1525">
          <cell r="O1525">
            <v>0</v>
          </cell>
        </row>
        <row r="1526">
          <cell r="O1526">
            <v>0</v>
          </cell>
        </row>
        <row r="1527">
          <cell r="O1527">
            <v>0</v>
          </cell>
        </row>
        <row r="1528">
          <cell r="O1528">
            <v>0</v>
          </cell>
        </row>
        <row r="1529">
          <cell r="O1529">
            <v>0</v>
          </cell>
        </row>
        <row r="1530">
          <cell r="O1530">
            <v>0</v>
          </cell>
        </row>
        <row r="1531">
          <cell r="O1531">
            <v>0</v>
          </cell>
        </row>
        <row r="1532">
          <cell r="O1532">
            <v>0</v>
          </cell>
        </row>
        <row r="1533">
          <cell r="O1533">
            <v>0</v>
          </cell>
        </row>
        <row r="1534">
          <cell r="O1534">
            <v>0</v>
          </cell>
        </row>
        <row r="1535">
          <cell r="O1535">
            <v>0</v>
          </cell>
        </row>
        <row r="1536">
          <cell r="O1536">
            <v>0</v>
          </cell>
        </row>
        <row r="1537">
          <cell r="O1537">
            <v>0</v>
          </cell>
        </row>
        <row r="1538">
          <cell r="O1538">
            <v>0</v>
          </cell>
        </row>
        <row r="1539">
          <cell r="O1539">
            <v>0</v>
          </cell>
        </row>
        <row r="1540">
          <cell r="O1540">
            <v>0</v>
          </cell>
        </row>
        <row r="1541">
          <cell r="O1541">
            <v>0</v>
          </cell>
        </row>
        <row r="1542">
          <cell r="O1542">
            <v>0</v>
          </cell>
        </row>
        <row r="1543">
          <cell r="O1543">
            <v>0</v>
          </cell>
        </row>
        <row r="1544">
          <cell r="O1544">
            <v>0</v>
          </cell>
        </row>
        <row r="1545">
          <cell r="O1545">
            <v>0</v>
          </cell>
        </row>
        <row r="1546">
          <cell r="O1546">
            <v>0</v>
          </cell>
        </row>
        <row r="1547">
          <cell r="O1547">
            <v>0</v>
          </cell>
        </row>
        <row r="1548">
          <cell r="O1548">
            <v>0</v>
          </cell>
        </row>
        <row r="1549">
          <cell r="O1549">
            <v>0</v>
          </cell>
        </row>
        <row r="1550">
          <cell r="O1550">
            <v>0</v>
          </cell>
        </row>
        <row r="1551">
          <cell r="O1551">
            <v>0</v>
          </cell>
        </row>
        <row r="1552">
          <cell r="O1552">
            <v>0</v>
          </cell>
        </row>
        <row r="1553">
          <cell r="O1553">
            <v>0</v>
          </cell>
        </row>
        <row r="1554">
          <cell r="O1554">
            <v>0</v>
          </cell>
        </row>
        <row r="1555">
          <cell r="O1555">
            <v>0</v>
          </cell>
        </row>
        <row r="1556">
          <cell r="O1556">
            <v>0</v>
          </cell>
        </row>
        <row r="1557">
          <cell r="O1557">
            <v>0</v>
          </cell>
        </row>
        <row r="1558">
          <cell r="O1558">
            <v>0</v>
          </cell>
        </row>
        <row r="1559">
          <cell r="O1559">
            <v>0</v>
          </cell>
        </row>
        <row r="1560">
          <cell r="O1560">
            <v>0</v>
          </cell>
        </row>
        <row r="1561">
          <cell r="O1561">
            <v>0</v>
          </cell>
        </row>
        <row r="1562">
          <cell r="O1562">
            <v>0</v>
          </cell>
        </row>
        <row r="1563">
          <cell r="O1563">
            <v>0</v>
          </cell>
        </row>
        <row r="1564">
          <cell r="O1564">
            <v>0</v>
          </cell>
        </row>
        <row r="1565">
          <cell r="O1565">
            <v>0</v>
          </cell>
        </row>
        <row r="1566">
          <cell r="O1566">
            <v>0</v>
          </cell>
        </row>
        <row r="1567">
          <cell r="O1567">
            <v>0</v>
          </cell>
        </row>
        <row r="1568">
          <cell r="O1568">
            <v>0</v>
          </cell>
        </row>
        <row r="1569">
          <cell r="O1569">
            <v>0</v>
          </cell>
        </row>
        <row r="1570">
          <cell r="O1570">
            <v>0</v>
          </cell>
        </row>
        <row r="1571">
          <cell r="O1571">
            <v>0</v>
          </cell>
        </row>
        <row r="1572">
          <cell r="O1572">
            <v>0</v>
          </cell>
        </row>
        <row r="1573">
          <cell r="O1573">
            <v>0</v>
          </cell>
        </row>
        <row r="1574">
          <cell r="O1574">
            <v>0</v>
          </cell>
        </row>
        <row r="1575">
          <cell r="O1575">
            <v>0</v>
          </cell>
        </row>
        <row r="1576">
          <cell r="O1576">
            <v>0</v>
          </cell>
        </row>
        <row r="1577">
          <cell r="O1577">
            <v>0</v>
          </cell>
        </row>
        <row r="1578">
          <cell r="O1578">
            <v>0</v>
          </cell>
        </row>
        <row r="1579">
          <cell r="O1579">
            <v>0</v>
          </cell>
        </row>
        <row r="1580">
          <cell r="O1580">
            <v>0</v>
          </cell>
        </row>
        <row r="1581">
          <cell r="O1581">
            <v>0</v>
          </cell>
        </row>
        <row r="1582">
          <cell r="O1582">
            <v>0</v>
          </cell>
        </row>
        <row r="1583">
          <cell r="O1583">
            <v>0</v>
          </cell>
        </row>
        <row r="1584">
          <cell r="O1584">
            <v>0</v>
          </cell>
        </row>
        <row r="1585">
          <cell r="O1585">
            <v>0</v>
          </cell>
        </row>
        <row r="1586">
          <cell r="O1586">
            <v>0</v>
          </cell>
        </row>
        <row r="1587">
          <cell r="O1587">
            <v>0</v>
          </cell>
        </row>
        <row r="1588">
          <cell r="O1588">
            <v>0</v>
          </cell>
        </row>
        <row r="1589">
          <cell r="O1589">
            <v>0</v>
          </cell>
        </row>
        <row r="1590">
          <cell r="O1590">
            <v>0</v>
          </cell>
        </row>
        <row r="1591">
          <cell r="O1591">
            <v>0</v>
          </cell>
        </row>
        <row r="1592">
          <cell r="O1592">
            <v>0</v>
          </cell>
        </row>
        <row r="1593">
          <cell r="O1593">
            <v>0</v>
          </cell>
        </row>
        <row r="1594">
          <cell r="O1594">
            <v>0</v>
          </cell>
        </row>
        <row r="1595">
          <cell r="O1595">
            <v>0</v>
          </cell>
        </row>
        <row r="1596">
          <cell r="O1596">
            <v>0</v>
          </cell>
        </row>
        <row r="1597">
          <cell r="O1597">
            <v>0</v>
          </cell>
        </row>
        <row r="1598">
          <cell r="O1598">
            <v>0</v>
          </cell>
        </row>
        <row r="1599">
          <cell r="O1599">
            <v>0</v>
          </cell>
        </row>
        <row r="1600">
          <cell r="O1600">
            <v>0</v>
          </cell>
        </row>
        <row r="1601">
          <cell r="O1601">
            <v>0</v>
          </cell>
        </row>
        <row r="1602">
          <cell r="O1602">
            <v>0</v>
          </cell>
        </row>
        <row r="1603">
          <cell r="O1603">
            <v>0</v>
          </cell>
        </row>
        <row r="1604">
          <cell r="O1604">
            <v>0</v>
          </cell>
        </row>
        <row r="1605">
          <cell r="O1605">
            <v>0</v>
          </cell>
        </row>
        <row r="1606">
          <cell r="O1606">
            <v>0</v>
          </cell>
        </row>
        <row r="1607">
          <cell r="O1607">
            <v>0</v>
          </cell>
        </row>
        <row r="1608">
          <cell r="O1608">
            <v>0</v>
          </cell>
        </row>
        <row r="1609">
          <cell r="O1609">
            <v>0</v>
          </cell>
        </row>
        <row r="1610">
          <cell r="O1610">
            <v>0</v>
          </cell>
        </row>
        <row r="1611">
          <cell r="O1611">
            <v>0</v>
          </cell>
        </row>
        <row r="1612">
          <cell r="O1612">
            <v>0</v>
          </cell>
        </row>
        <row r="1613">
          <cell r="O1613">
            <v>0</v>
          </cell>
        </row>
        <row r="1614">
          <cell r="O1614">
            <v>0</v>
          </cell>
        </row>
        <row r="1615">
          <cell r="O1615">
            <v>0</v>
          </cell>
        </row>
        <row r="1616">
          <cell r="O1616">
            <v>0</v>
          </cell>
        </row>
        <row r="1617">
          <cell r="O1617">
            <v>0</v>
          </cell>
        </row>
        <row r="1618">
          <cell r="O1618">
            <v>0</v>
          </cell>
        </row>
        <row r="1619">
          <cell r="O1619">
            <v>0</v>
          </cell>
        </row>
        <row r="1620">
          <cell r="O1620">
            <v>0</v>
          </cell>
        </row>
        <row r="1621">
          <cell r="O1621">
            <v>0</v>
          </cell>
        </row>
        <row r="1622">
          <cell r="O1622">
            <v>0</v>
          </cell>
        </row>
        <row r="1623">
          <cell r="O1623">
            <v>0</v>
          </cell>
        </row>
        <row r="1624">
          <cell r="O1624">
            <v>0</v>
          </cell>
        </row>
        <row r="1625">
          <cell r="O1625">
            <v>0</v>
          </cell>
        </row>
        <row r="1626">
          <cell r="O1626">
            <v>0</v>
          </cell>
        </row>
        <row r="1627">
          <cell r="O1627">
            <v>0</v>
          </cell>
        </row>
        <row r="1628">
          <cell r="O1628">
            <v>0</v>
          </cell>
        </row>
        <row r="1629">
          <cell r="O1629">
            <v>0</v>
          </cell>
        </row>
        <row r="1630">
          <cell r="O1630">
            <v>0</v>
          </cell>
        </row>
        <row r="1631">
          <cell r="O1631">
            <v>0</v>
          </cell>
        </row>
        <row r="1632">
          <cell r="O1632">
            <v>0</v>
          </cell>
        </row>
        <row r="1633">
          <cell r="O1633">
            <v>0</v>
          </cell>
        </row>
        <row r="1634">
          <cell r="O1634">
            <v>0</v>
          </cell>
        </row>
        <row r="1635">
          <cell r="O1635">
            <v>0</v>
          </cell>
        </row>
        <row r="1636">
          <cell r="O1636">
            <v>0</v>
          </cell>
        </row>
        <row r="1637">
          <cell r="O1637">
            <v>0</v>
          </cell>
        </row>
        <row r="1638">
          <cell r="O1638">
            <v>0</v>
          </cell>
        </row>
        <row r="1639">
          <cell r="O1639">
            <v>0</v>
          </cell>
        </row>
        <row r="1640">
          <cell r="O1640">
            <v>0</v>
          </cell>
        </row>
        <row r="1641">
          <cell r="O1641">
            <v>0</v>
          </cell>
        </row>
        <row r="1642">
          <cell r="O1642">
            <v>0</v>
          </cell>
        </row>
        <row r="1643">
          <cell r="O1643">
            <v>0</v>
          </cell>
        </row>
        <row r="1644">
          <cell r="O1644">
            <v>0</v>
          </cell>
        </row>
        <row r="1645">
          <cell r="O1645">
            <v>0</v>
          </cell>
        </row>
        <row r="1646">
          <cell r="O1646">
            <v>0</v>
          </cell>
        </row>
        <row r="1647">
          <cell r="O1647">
            <v>0</v>
          </cell>
        </row>
        <row r="1648">
          <cell r="O1648">
            <v>0</v>
          </cell>
        </row>
        <row r="1649">
          <cell r="O1649">
            <v>0</v>
          </cell>
        </row>
        <row r="1650">
          <cell r="O1650">
            <v>0</v>
          </cell>
        </row>
        <row r="1651">
          <cell r="O1651">
            <v>0</v>
          </cell>
        </row>
        <row r="1652">
          <cell r="O1652">
            <v>0</v>
          </cell>
        </row>
        <row r="1653">
          <cell r="O1653">
            <v>0</v>
          </cell>
        </row>
        <row r="1654">
          <cell r="O1654">
            <v>0</v>
          </cell>
        </row>
        <row r="1655">
          <cell r="O1655">
            <v>0</v>
          </cell>
        </row>
        <row r="1656">
          <cell r="O1656">
            <v>0</v>
          </cell>
        </row>
        <row r="1657">
          <cell r="O1657">
            <v>0</v>
          </cell>
        </row>
        <row r="1658">
          <cell r="O1658">
            <v>0</v>
          </cell>
        </row>
        <row r="1659">
          <cell r="O1659">
            <v>0</v>
          </cell>
        </row>
        <row r="1660">
          <cell r="O1660">
            <v>0</v>
          </cell>
        </row>
        <row r="1661">
          <cell r="O1661">
            <v>0</v>
          </cell>
        </row>
        <row r="1662">
          <cell r="O1662">
            <v>0</v>
          </cell>
        </row>
        <row r="1663">
          <cell r="O1663">
            <v>0</v>
          </cell>
        </row>
        <row r="1664">
          <cell r="O1664">
            <v>0</v>
          </cell>
        </row>
        <row r="1665">
          <cell r="O1665">
            <v>0</v>
          </cell>
        </row>
        <row r="1666">
          <cell r="O1666">
            <v>0</v>
          </cell>
        </row>
        <row r="1667">
          <cell r="O1667">
            <v>0</v>
          </cell>
        </row>
        <row r="1668">
          <cell r="O1668">
            <v>0</v>
          </cell>
        </row>
        <row r="1669">
          <cell r="O1669">
            <v>0</v>
          </cell>
        </row>
        <row r="1670">
          <cell r="O1670">
            <v>0</v>
          </cell>
        </row>
        <row r="1671">
          <cell r="O1671">
            <v>0</v>
          </cell>
        </row>
        <row r="1672">
          <cell r="O1672">
            <v>0</v>
          </cell>
        </row>
        <row r="1673">
          <cell r="O1673">
            <v>0</v>
          </cell>
        </row>
        <row r="1674">
          <cell r="O1674">
            <v>0</v>
          </cell>
        </row>
        <row r="1675">
          <cell r="O1675">
            <v>0</v>
          </cell>
        </row>
        <row r="1676">
          <cell r="O1676">
            <v>0</v>
          </cell>
        </row>
        <row r="1677">
          <cell r="O1677">
            <v>0</v>
          </cell>
        </row>
        <row r="1678">
          <cell r="O1678">
            <v>0</v>
          </cell>
        </row>
        <row r="1679">
          <cell r="O1679">
            <v>0</v>
          </cell>
        </row>
        <row r="1680">
          <cell r="O1680">
            <v>0</v>
          </cell>
        </row>
        <row r="1681">
          <cell r="O1681">
            <v>0</v>
          </cell>
        </row>
        <row r="1682">
          <cell r="O1682">
            <v>0</v>
          </cell>
        </row>
        <row r="1683">
          <cell r="O1683">
            <v>0</v>
          </cell>
        </row>
        <row r="1684">
          <cell r="O1684">
            <v>0</v>
          </cell>
        </row>
        <row r="1685">
          <cell r="O1685">
            <v>0</v>
          </cell>
        </row>
        <row r="1686">
          <cell r="O1686">
            <v>0</v>
          </cell>
        </row>
        <row r="1687">
          <cell r="O1687">
            <v>0</v>
          </cell>
        </row>
        <row r="1688">
          <cell r="O1688">
            <v>0</v>
          </cell>
        </row>
        <row r="1689">
          <cell r="O1689">
            <v>0</v>
          </cell>
        </row>
        <row r="1690">
          <cell r="O1690">
            <v>0</v>
          </cell>
        </row>
        <row r="1691">
          <cell r="O1691">
            <v>0</v>
          </cell>
        </row>
        <row r="1692">
          <cell r="O1692">
            <v>0</v>
          </cell>
        </row>
        <row r="1693">
          <cell r="O1693">
            <v>0</v>
          </cell>
        </row>
        <row r="1694">
          <cell r="O1694">
            <v>0</v>
          </cell>
        </row>
        <row r="1695">
          <cell r="O1695">
            <v>0</v>
          </cell>
        </row>
        <row r="1696">
          <cell r="O1696">
            <v>0</v>
          </cell>
        </row>
        <row r="1697">
          <cell r="O1697">
            <v>0</v>
          </cell>
        </row>
        <row r="1698">
          <cell r="O1698">
            <v>0</v>
          </cell>
        </row>
        <row r="1699">
          <cell r="O1699">
            <v>0</v>
          </cell>
        </row>
        <row r="1700">
          <cell r="O1700">
            <v>0</v>
          </cell>
        </row>
        <row r="1701">
          <cell r="O1701">
            <v>0</v>
          </cell>
        </row>
        <row r="1702">
          <cell r="O1702">
            <v>0</v>
          </cell>
        </row>
        <row r="1703">
          <cell r="O1703">
            <v>0</v>
          </cell>
        </row>
        <row r="1704">
          <cell r="O1704">
            <v>0</v>
          </cell>
        </row>
        <row r="1705">
          <cell r="O1705">
            <v>0</v>
          </cell>
        </row>
        <row r="1706">
          <cell r="O1706">
            <v>0</v>
          </cell>
        </row>
        <row r="1707">
          <cell r="O1707">
            <v>0</v>
          </cell>
        </row>
        <row r="1708">
          <cell r="O1708">
            <v>0</v>
          </cell>
        </row>
        <row r="1709">
          <cell r="O1709">
            <v>0</v>
          </cell>
        </row>
        <row r="1710">
          <cell r="O1710">
            <v>0</v>
          </cell>
        </row>
        <row r="1711">
          <cell r="O1711">
            <v>0</v>
          </cell>
        </row>
        <row r="1712">
          <cell r="O1712">
            <v>0</v>
          </cell>
        </row>
        <row r="1713">
          <cell r="O1713">
            <v>0</v>
          </cell>
        </row>
        <row r="1714">
          <cell r="O1714">
            <v>0</v>
          </cell>
        </row>
        <row r="1715">
          <cell r="O1715">
            <v>0</v>
          </cell>
        </row>
        <row r="1716">
          <cell r="O1716">
            <v>0</v>
          </cell>
        </row>
        <row r="1717">
          <cell r="O1717">
            <v>0</v>
          </cell>
        </row>
        <row r="1718">
          <cell r="O1718">
            <v>0</v>
          </cell>
        </row>
        <row r="1719">
          <cell r="O1719">
            <v>0</v>
          </cell>
        </row>
        <row r="1720">
          <cell r="O1720">
            <v>0</v>
          </cell>
        </row>
        <row r="1721">
          <cell r="O1721">
            <v>0</v>
          </cell>
        </row>
        <row r="1722">
          <cell r="O1722">
            <v>0</v>
          </cell>
        </row>
        <row r="1723">
          <cell r="O1723">
            <v>0</v>
          </cell>
        </row>
        <row r="1724">
          <cell r="O1724">
            <v>0</v>
          </cell>
        </row>
        <row r="1725">
          <cell r="O1725">
            <v>0</v>
          </cell>
        </row>
        <row r="1726">
          <cell r="O1726">
            <v>0</v>
          </cell>
        </row>
        <row r="1727">
          <cell r="O1727">
            <v>0</v>
          </cell>
        </row>
        <row r="1728">
          <cell r="O1728">
            <v>0</v>
          </cell>
        </row>
        <row r="1729">
          <cell r="O1729">
            <v>0</v>
          </cell>
        </row>
        <row r="1730">
          <cell r="O1730">
            <v>0</v>
          </cell>
        </row>
        <row r="1731">
          <cell r="O1731">
            <v>0</v>
          </cell>
        </row>
        <row r="1732">
          <cell r="O1732">
            <v>0</v>
          </cell>
        </row>
        <row r="1733">
          <cell r="O1733">
            <v>0</v>
          </cell>
        </row>
        <row r="1734">
          <cell r="O1734">
            <v>0</v>
          </cell>
        </row>
        <row r="1735">
          <cell r="O1735">
            <v>0</v>
          </cell>
        </row>
        <row r="1736">
          <cell r="O1736">
            <v>0</v>
          </cell>
        </row>
        <row r="1737">
          <cell r="O1737">
            <v>0</v>
          </cell>
        </row>
        <row r="1738">
          <cell r="O1738">
            <v>0</v>
          </cell>
        </row>
        <row r="1739">
          <cell r="O1739">
            <v>0</v>
          </cell>
        </row>
        <row r="1740">
          <cell r="O1740">
            <v>0</v>
          </cell>
        </row>
        <row r="1741">
          <cell r="O1741">
            <v>0</v>
          </cell>
        </row>
        <row r="1742">
          <cell r="O1742">
            <v>0</v>
          </cell>
        </row>
        <row r="1743">
          <cell r="O1743">
            <v>0</v>
          </cell>
        </row>
        <row r="1744">
          <cell r="O1744">
            <v>0</v>
          </cell>
        </row>
        <row r="1745">
          <cell r="O1745">
            <v>0</v>
          </cell>
        </row>
        <row r="1746">
          <cell r="O1746">
            <v>0</v>
          </cell>
        </row>
        <row r="1747">
          <cell r="O1747">
            <v>0</v>
          </cell>
        </row>
        <row r="1748">
          <cell r="O1748">
            <v>0</v>
          </cell>
        </row>
        <row r="1749">
          <cell r="O1749">
            <v>0</v>
          </cell>
        </row>
        <row r="1750">
          <cell r="O1750">
            <v>0</v>
          </cell>
        </row>
        <row r="1751">
          <cell r="O1751">
            <v>0</v>
          </cell>
        </row>
        <row r="1752">
          <cell r="O1752">
            <v>0</v>
          </cell>
        </row>
        <row r="1753">
          <cell r="O1753">
            <v>0</v>
          </cell>
        </row>
        <row r="1754">
          <cell r="O1754">
            <v>0</v>
          </cell>
        </row>
        <row r="1755">
          <cell r="O1755">
            <v>0</v>
          </cell>
        </row>
        <row r="1756">
          <cell r="O1756">
            <v>0</v>
          </cell>
        </row>
        <row r="1757">
          <cell r="O1757">
            <v>0</v>
          </cell>
        </row>
        <row r="1758">
          <cell r="O1758">
            <v>0</v>
          </cell>
        </row>
        <row r="1759">
          <cell r="O1759">
            <v>0</v>
          </cell>
        </row>
        <row r="1760">
          <cell r="O1760">
            <v>0</v>
          </cell>
        </row>
        <row r="1761">
          <cell r="O1761">
            <v>0</v>
          </cell>
        </row>
        <row r="1762">
          <cell r="O1762">
            <v>0</v>
          </cell>
        </row>
        <row r="1763">
          <cell r="O1763">
            <v>0</v>
          </cell>
        </row>
        <row r="1764">
          <cell r="O1764">
            <v>0</v>
          </cell>
        </row>
        <row r="1765">
          <cell r="O1765">
            <v>0</v>
          </cell>
        </row>
        <row r="1766">
          <cell r="O1766">
            <v>0</v>
          </cell>
        </row>
        <row r="1767">
          <cell r="O1767">
            <v>0</v>
          </cell>
        </row>
        <row r="1768">
          <cell r="O1768">
            <v>0</v>
          </cell>
        </row>
        <row r="1769">
          <cell r="O1769">
            <v>0</v>
          </cell>
        </row>
        <row r="1770">
          <cell r="O1770">
            <v>0</v>
          </cell>
        </row>
        <row r="1771">
          <cell r="O1771">
            <v>0</v>
          </cell>
        </row>
        <row r="1772">
          <cell r="O1772">
            <v>0</v>
          </cell>
        </row>
        <row r="1773">
          <cell r="O1773">
            <v>0</v>
          </cell>
        </row>
        <row r="1774">
          <cell r="O1774">
            <v>0</v>
          </cell>
        </row>
        <row r="1775">
          <cell r="O1775">
            <v>0</v>
          </cell>
        </row>
        <row r="1776">
          <cell r="O1776">
            <v>0</v>
          </cell>
        </row>
        <row r="1777">
          <cell r="O1777">
            <v>0</v>
          </cell>
        </row>
        <row r="1778">
          <cell r="O1778">
            <v>0</v>
          </cell>
        </row>
        <row r="1779">
          <cell r="O1779">
            <v>0</v>
          </cell>
        </row>
        <row r="1780">
          <cell r="O1780">
            <v>0</v>
          </cell>
        </row>
        <row r="1781">
          <cell r="O1781">
            <v>0</v>
          </cell>
        </row>
        <row r="1782">
          <cell r="O1782">
            <v>0</v>
          </cell>
        </row>
        <row r="1783">
          <cell r="O1783">
            <v>0</v>
          </cell>
        </row>
        <row r="1784">
          <cell r="O1784">
            <v>0</v>
          </cell>
        </row>
        <row r="1785">
          <cell r="O1785">
            <v>0</v>
          </cell>
        </row>
        <row r="1786">
          <cell r="O1786">
            <v>0</v>
          </cell>
        </row>
        <row r="1787">
          <cell r="O1787">
            <v>0</v>
          </cell>
        </row>
        <row r="1788">
          <cell r="O1788">
            <v>0</v>
          </cell>
        </row>
        <row r="1789">
          <cell r="O1789">
            <v>0</v>
          </cell>
        </row>
        <row r="1790">
          <cell r="O1790">
            <v>0</v>
          </cell>
        </row>
        <row r="1791">
          <cell r="O1791">
            <v>0</v>
          </cell>
        </row>
        <row r="1792">
          <cell r="O1792">
            <v>0</v>
          </cell>
        </row>
        <row r="1793">
          <cell r="O1793">
            <v>0</v>
          </cell>
        </row>
        <row r="1794">
          <cell r="O1794">
            <v>0</v>
          </cell>
        </row>
        <row r="1795">
          <cell r="O1795">
            <v>0</v>
          </cell>
        </row>
        <row r="1796">
          <cell r="O1796">
            <v>0</v>
          </cell>
        </row>
        <row r="1797">
          <cell r="O1797">
            <v>0</v>
          </cell>
        </row>
        <row r="1798">
          <cell r="O1798">
            <v>0</v>
          </cell>
        </row>
        <row r="1799">
          <cell r="O1799">
            <v>0</v>
          </cell>
        </row>
        <row r="1800">
          <cell r="O1800">
            <v>0</v>
          </cell>
        </row>
        <row r="1801">
          <cell r="O1801">
            <v>0</v>
          </cell>
        </row>
        <row r="1802">
          <cell r="O1802">
            <v>0</v>
          </cell>
        </row>
        <row r="1803">
          <cell r="O1803">
            <v>0</v>
          </cell>
        </row>
        <row r="1804">
          <cell r="O1804">
            <v>0</v>
          </cell>
        </row>
        <row r="1805">
          <cell r="O1805">
            <v>0</v>
          </cell>
        </row>
        <row r="1806">
          <cell r="O1806">
            <v>0</v>
          </cell>
        </row>
        <row r="1807">
          <cell r="O1807">
            <v>0</v>
          </cell>
        </row>
        <row r="1808">
          <cell r="O1808">
            <v>0</v>
          </cell>
        </row>
        <row r="1809">
          <cell r="O1809">
            <v>0</v>
          </cell>
        </row>
        <row r="1810">
          <cell r="O1810">
            <v>0</v>
          </cell>
        </row>
        <row r="1811">
          <cell r="O1811">
            <v>0</v>
          </cell>
        </row>
        <row r="1812">
          <cell r="O1812">
            <v>0</v>
          </cell>
        </row>
        <row r="1813">
          <cell r="O1813">
            <v>0</v>
          </cell>
        </row>
        <row r="1814">
          <cell r="O1814">
            <v>0</v>
          </cell>
        </row>
        <row r="1815">
          <cell r="O1815">
            <v>0</v>
          </cell>
        </row>
        <row r="1816">
          <cell r="O1816">
            <v>0</v>
          </cell>
        </row>
        <row r="1817">
          <cell r="O1817">
            <v>0</v>
          </cell>
        </row>
        <row r="1818">
          <cell r="O1818">
            <v>0</v>
          </cell>
        </row>
        <row r="1819">
          <cell r="O1819">
            <v>0</v>
          </cell>
        </row>
        <row r="1820">
          <cell r="O1820">
            <v>0</v>
          </cell>
        </row>
        <row r="1821">
          <cell r="O1821">
            <v>0</v>
          </cell>
        </row>
        <row r="1822">
          <cell r="O1822">
            <v>0</v>
          </cell>
        </row>
        <row r="1823">
          <cell r="O1823">
            <v>0</v>
          </cell>
        </row>
        <row r="1824">
          <cell r="O1824">
            <v>0</v>
          </cell>
        </row>
        <row r="1825">
          <cell r="O1825">
            <v>0</v>
          </cell>
        </row>
        <row r="1826">
          <cell r="O1826">
            <v>0</v>
          </cell>
        </row>
        <row r="1827">
          <cell r="O1827">
            <v>0</v>
          </cell>
        </row>
        <row r="1828">
          <cell r="O1828">
            <v>0</v>
          </cell>
        </row>
        <row r="1829">
          <cell r="O1829">
            <v>0</v>
          </cell>
        </row>
        <row r="1830">
          <cell r="O1830">
            <v>0</v>
          </cell>
        </row>
        <row r="1831">
          <cell r="O1831">
            <v>0</v>
          </cell>
        </row>
        <row r="1832">
          <cell r="O1832">
            <v>0</v>
          </cell>
        </row>
        <row r="1833">
          <cell r="O1833">
            <v>0</v>
          </cell>
        </row>
        <row r="1834">
          <cell r="O1834">
            <v>0</v>
          </cell>
        </row>
        <row r="1835">
          <cell r="O1835">
            <v>0</v>
          </cell>
        </row>
        <row r="1836">
          <cell r="O1836">
            <v>0</v>
          </cell>
        </row>
        <row r="1837">
          <cell r="O1837">
            <v>0</v>
          </cell>
        </row>
        <row r="1838">
          <cell r="O1838">
            <v>0</v>
          </cell>
        </row>
        <row r="1839">
          <cell r="O1839">
            <v>0</v>
          </cell>
        </row>
        <row r="1840">
          <cell r="O1840">
            <v>0</v>
          </cell>
        </row>
        <row r="1841">
          <cell r="O1841">
            <v>0</v>
          </cell>
        </row>
        <row r="1842">
          <cell r="O1842">
            <v>0</v>
          </cell>
        </row>
        <row r="1843">
          <cell r="O1843">
            <v>0</v>
          </cell>
        </row>
        <row r="1844">
          <cell r="O1844">
            <v>0</v>
          </cell>
        </row>
        <row r="1845">
          <cell r="O1845">
            <v>0</v>
          </cell>
        </row>
        <row r="1846">
          <cell r="O1846">
            <v>0</v>
          </cell>
        </row>
        <row r="1847">
          <cell r="O1847">
            <v>0</v>
          </cell>
        </row>
        <row r="1848">
          <cell r="O1848">
            <v>0</v>
          </cell>
        </row>
        <row r="1849">
          <cell r="O1849">
            <v>0</v>
          </cell>
        </row>
        <row r="1850">
          <cell r="O1850">
            <v>0</v>
          </cell>
        </row>
        <row r="1851">
          <cell r="O1851">
            <v>0</v>
          </cell>
        </row>
        <row r="1852">
          <cell r="O1852">
            <v>0</v>
          </cell>
        </row>
        <row r="1853">
          <cell r="O1853">
            <v>0</v>
          </cell>
        </row>
        <row r="1854">
          <cell r="O1854">
            <v>0</v>
          </cell>
        </row>
        <row r="1855">
          <cell r="O1855">
            <v>0</v>
          </cell>
        </row>
        <row r="1856">
          <cell r="O1856">
            <v>0</v>
          </cell>
        </row>
        <row r="1857">
          <cell r="O1857">
            <v>0</v>
          </cell>
        </row>
        <row r="1858">
          <cell r="O1858">
            <v>0</v>
          </cell>
        </row>
        <row r="1859">
          <cell r="O1859">
            <v>0</v>
          </cell>
        </row>
        <row r="1860">
          <cell r="O1860">
            <v>0</v>
          </cell>
        </row>
        <row r="1861">
          <cell r="O1861">
            <v>0</v>
          </cell>
        </row>
        <row r="1862">
          <cell r="O1862">
            <v>0</v>
          </cell>
        </row>
        <row r="1863">
          <cell r="O1863">
            <v>0</v>
          </cell>
        </row>
        <row r="1864">
          <cell r="O1864">
            <v>0</v>
          </cell>
        </row>
        <row r="1865">
          <cell r="O1865">
            <v>0</v>
          </cell>
        </row>
        <row r="1866">
          <cell r="O1866">
            <v>0</v>
          </cell>
        </row>
        <row r="1867">
          <cell r="O1867">
            <v>0</v>
          </cell>
        </row>
        <row r="1868">
          <cell r="O1868">
            <v>0</v>
          </cell>
        </row>
        <row r="1869">
          <cell r="O1869">
            <v>0</v>
          </cell>
        </row>
        <row r="1870">
          <cell r="O1870">
            <v>0</v>
          </cell>
        </row>
        <row r="1871">
          <cell r="O1871">
            <v>0</v>
          </cell>
        </row>
        <row r="1872">
          <cell r="O1872">
            <v>0</v>
          </cell>
        </row>
        <row r="1873">
          <cell r="O1873">
            <v>0</v>
          </cell>
        </row>
        <row r="1874">
          <cell r="O1874">
            <v>0</v>
          </cell>
        </row>
        <row r="1875">
          <cell r="O1875">
            <v>0</v>
          </cell>
        </row>
        <row r="1876">
          <cell r="O1876">
            <v>0</v>
          </cell>
        </row>
        <row r="1877">
          <cell r="O1877">
            <v>0</v>
          </cell>
        </row>
        <row r="1878">
          <cell r="O1878">
            <v>0</v>
          </cell>
        </row>
        <row r="1879">
          <cell r="O1879">
            <v>0</v>
          </cell>
        </row>
        <row r="1880">
          <cell r="O1880">
            <v>0</v>
          </cell>
        </row>
        <row r="1881">
          <cell r="O1881">
            <v>0</v>
          </cell>
        </row>
        <row r="1882">
          <cell r="O1882">
            <v>0</v>
          </cell>
        </row>
        <row r="1883">
          <cell r="O1883">
            <v>0</v>
          </cell>
        </row>
        <row r="1884">
          <cell r="O1884">
            <v>0</v>
          </cell>
        </row>
        <row r="1885">
          <cell r="O1885">
            <v>0</v>
          </cell>
        </row>
        <row r="1886">
          <cell r="O1886">
            <v>0</v>
          </cell>
        </row>
        <row r="1887">
          <cell r="O1887">
            <v>0</v>
          </cell>
        </row>
        <row r="1888">
          <cell r="O1888">
            <v>0</v>
          </cell>
        </row>
        <row r="1889">
          <cell r="O1889">
            <v>0</v>
          </cell>
        </row>
        <row r="1890">
          <cell r="O1890">
            <v>0</v>
          </cell>
        </row>
        <row r="1891">
          <cell r="O1891">
            <v>0</v>
          </cell>
        </row>
        <row r="1892">
          <cell r="O1892">
            <v>0</v>
          </cell>
        </row>
        <row r="1893">
          <cell r="O1893">
            <v>0</v>
          </cell>
        </row>
        <row r="1894">
          <cell r="O1894">
            <v>0</v>
          </cell>
        </row>
        <row r="1895">
          <cell r="O1895">
            <v>0</v>
          </cell>
        </row>
        <row r="1896">
          <cell r="O1896">
            <v>0</v>
          </cell>
        </row>
        <row r="1897">
          <cell r="O1897">
            <v>0</v>
          </cell>
        </row>
        <row r="1898">
          <cell r="O1898">
            <v>0</v>
          </cell>
        </row>
        <row r="1899">
          <cell r="O1899">
            <v>0</v>
          </cell>
        </row>
        <row r="1900">
          <cell r="O1900">
            <v>0</v>
          </cell>
        </row>
        <row r="1901">
          <cell r="O1901">
            <v>0</v>
          </cell>
        </row>
        <row r="1902">
          <cell r="O1902">
            <v>0</v>
          </cell>
        </row>
        <row r="1903">
          <cell r="O1903">
            <v>0</v>
          </cell>
        </row>
        <row r="1904">
          <cell r="O1904">
            <v>0</v>
          </cell>
        </row>
        <row r="1905">
          <cell r="O1905">
            <v>0</v>
          </cell>
        </row>
        <row r="1906">
          <cell r="O1906">
            <v>0</v>
          </cell>
        </row>
        <row r="1907">
          <cell r="O1907">
            <v>0</v>
          </cell>
        </row>
        <row r="1908">
          <cell r="O1908">
            <v>0</v>
          </cell>
        </row>
        <row r="1909">
          <cell r="O1909">
            <v>0</v>
          </cell>
        </row>
        <row r="1910">
          <cell r="O1910">
            <v>0</v>
          </cell>
        </row>
        <row r="1911">
          <cell r="O1911">
            <v>0</v>
          </cell>
        </row>
        <row r="1912">
          <cell r="O1912">
            <v>0</v>
          </cell>
        </row>
        <row r="1913">
          <cell r="O1913">
            <v>0</v>
          </cell>
        </row>
        <row r="1914">
          <cell r="O1914">
            <v>0</v>
          </cell>
        </row>
        <row r="1915">
          <cell r="O1915">
            <v>0</v>
          </cell>
        </row>
        <row r="1916">
          <cell r="O1916">
            <v>0</v>
          </cell>
        </row>
        <row r="1917">
          <cell r="O1917">
            <v>0</v>
          </cell>
        </row>
        <row r="1918">
          <cell r="O1918">
            <v>0</v>
          </cell>
        </row>
        <row r="1919">
          <cell r="O1919">
            <v>0</v>
          </cell>
        </row>
        <row r="1920">
          <cell r="O1920">
            <v>0</v>
          </cell>
        </row>
        <row r="1921">
          <cell r="O1921">
            <v>0</v>
          </cell>
        </row>
        <row r="1922">
          <cell r="O1922">
            <v>0</v>
          </cell>
        </row>
        <row r="1923">
          <cell r="O1923">
            <v>0</v>
          </cell>
        </row>
        <row r="1924">
          <cell r="O1924">
            <v>0</v>
          </cell>
        </row>
        <row r="1925">
          <cell r="O1925">
            <v>0</v>
          </cell>
        </row>
        <row r="1926">
          <cell r="O1926">
            <v>0</v>
          </cell>
        </row>
        <row r="1927">
          <cell r="O1927">
            <v>0</v>
          </cell>
        </row>
        <row r="1928">
          <cell r="O1928">
            <v>0</v>
          </cell>
        </row>
        <row r="1929">
          <cell r="O1929">
            <v>0</v>
          </cell>
        </row>
        <row r="1930">
          <cell r="O1930">
            <v>0</v>
          </cell>
        </row>
        <row r="1931">
          <cell r="O1931">
            <v>0</v>
          </cell>
        </row>
        <row r="1932">
          <cell r="O1932">
            <v>0</v>
          </cell>
        </row>
        <row r="1933">
          <cell r="O1933">
            <v>0</v>
          </cell>
        </row>
        <row r="1934">
          <cell r="O1934">
            <v>0</v>
          </cell>
        </row>
        <row r="1935">
          <cell r="O1935">
            <v>0</v>
          </cell>
        </row>
        <row r="1936">
          <cell r="O1936">
            <v>0</v>
          </cell>
        </row>
        <row r="1937">
          <cell r="O1937">
            <v>0</v>
          </cell>
        </row>
        <row r="1938">
          <cell r="O1938">
            <v>0</v>
          </cell>
        </row>
        <row r="1939">
          <cell r="O1939">
            <v>0</v>
          </cell>
        </row>
        <row r="1940">
          <cell r="O1940">
            <v>0</v>
          </cell>
        </row>
        <row r="1941">
          <cell r="O1941">
            <v>0</v>
          </cell>
        </row>
        <row r="1942">
          <cell r="O1942">
            <v>0</v>
          </cell>
        </row>
        <row r="1943">
          <cell r="O1943">
            <v>0</v>
          </cell>
        </row>
        <row r="1944">
          <cell r="O1944">
            <v>0</v>
          </cell>
        </row>
        <row r="1945">
          <cell r="O1945">
            <v>0</v>
          </cell>
        </row>
        <row r="1946">
          <cell r="O1946">
            <v>0</v>
          </cell>
        </row>
        <row r="1947">
          <cell r="O1947">
            <v>0</v>
          </cell>
        </row>
        <row r="1948">
          <cell r="O1948">
            <v>0</v>
          </cell>
        </row>
        <row r="1949">
          <cell r="O1949">
            <v>0</v>
          </cell>
        </row>
        <row r="1950">
          <cell r="O1950">
            <v>0</v>
          </cell>
        </row>
        <row r="1951">
          <cell r="O1951">
            <v>0</v>
          </cell>
        </row>
        <row r="1952">
          <cell r="O1952">
            <v>0</v>
          </cell>
        </row>
        <row r="1953">
          <cell r="O1953">
            <v>0</v>
          </cell>
        </row>
        <row r="1954">
          <cell r="O1954">
            <v>0</v>
          </cell>
        </row>
        <row r="1955">
          <cell r="O1955">
            <v>0</v>
          </cell>
        </row>
        <row r="1956">
          <cell r="O1956">
            <v>0</v>
          </cell>
        </row>
        <row r="1957">
          <cell r="O1957">
            <v>0</v>
          </cell>
        </row>
        <row r="1958">
          <cell r="O1958">
            <v>0</v>
          </cell>
        </row>
        <row r="1959">
          <cell r="O1959">
            <v>0</v>
          </cell>
        </row>
        <row r="1960">
          <cell r="O1960">
            <v>0</v>
          </cell>
        </row>
        <row r="1961">
          <cell r="O1961">
            <v>0</v>
          </cell>
        </row>
        <row r="1962">
          <cell r="O1962">
            <v>0</v>
          </cell>
        </row>
        <row r="1963">
          <cell r="O1963">
            <v>0</v>
          </cell>
        </row>
        <row r="1964">
          <cell r="O1964">
            <v>0</v>
          </cell>
        </row>
        <row r="1965">
          <cell r="O1965">
            <v>0</v>
          </cell>
        </row>
        <row r="1966">
          <cell r="O1966">
            <v>0</v>
          </cell>
        </row>
        <row r="1967">
          <cell r="O1967">
            <v>0</v>
          </cell>
        </row>
        <row r="1968">
          <cell r="O1968">
            <v>0</v>
          </cell>
        </row>
        <row r="1969">
          <cell r="O1969">
            <v>0</v>
          </cell>
        </row>
        <row r="1970">
          <cell r="O1970">
            <v>0</v>
          </cell>
        </row>
        <row r="1971">
          <cell r="O1971">
            <v>0</v>
          </cell>
        </row>
        <row r="1972">
          <cell r="O1972">
            <v>0</v>
          </cell>
        </row>
        <row r="1973">
          <cell r="O1973">
            <v>0</v>
          </cell>
        </row>
        <row r="1974">
          <cell r="O1974">
            <v>0</v>
          </cell>
        </row>
        <row r="1975">
          <cell r="O1975">
            <v>0</v>
          </cell>
        </row>
        <row r="1976">
          <cell r="O1976">
            <v>0</v>
          </cell>
        </row>
        <row r="1977">
          <cell r="O1977">
            <v>0</v>
          </cell>
        </row>
        <row r="1978">
          <cell r="O1978">
            <v>0</v>
          </cell>
        </row>
        <row r="1979">
          <cell r="O1979">
            <v>0</v>
          </cell>
        </row>
        <row r="1980">
          <cell r="O1980">
            <v>0</v>
          </cell>
        </row>
        <row r="1981">
          <cell r="O1981">
            <v>0</v>
          </cell>
        </row>
        <row r="1982">
          <cell r="O1982">
            <v>0</v>
          </cell>
        </row>
        <row r="1983">
          <cell r="O1983">
            <v>0</v>
          </cell>
        </row>
        <row r="1984">
          <cell r="O1984">
            <v>0</v>
          </cell>
        </row>
        <row r="1985">
          <cell r="O1985">
            <v>0</v>
          </cell>
        </row>
        <row r="1986">
          <cell r="O1986">
            <v>0</v>
          </cell>
        </row>
        <row r="1987">
          <cell r="O1987">
            <v>0</v>
          </cell>
        </row>
        <row r="1988">
          <cell r="O1988">
            <v>0</v>
          </cell>
        </row>
        <row r="1989">
          <cell r="O1989">
            <v>0</v>
          </cell>
        </row>
        <row r="1990">
          <cell r="O1990">
            <v>0</v>
          </cell>
        </row>
        <row r="1991">
          <cell r="O1991">
            <v>0</v>
          </cell>
        </row>
        <row r="1992">
          <cell r="O1992">
            <v>0</v>
          </cell>
        </row>
        <row r="1993">
          <cell r="O1993">
            <v>0</v>
          </cell>
        </row>
        <row r="1994">
          <cell r="O1994">
            <v>0</v>
          </cell>
        </row>
        <row r="1995">
          <cell r="O1995">
            <v>0</v>
          </cell>
        </row>
        <row r="1996">
          <cell r="O1996">
            <v>0</v>
          </cell>
        </row>
        <row r="1997">
          <cell r="O1997">
            <v>0</v>
          </cell>
        </row>
        <row r="1998">
          <cell r="O1998">
            <v>0</v>
          </cell>
        </row>
        <row r="1999">
          <cell r="O1999">
            <v>0</v>
          </cell>
        </row>
        <row r="2000">
          <cell r="O2000">
            <v>0</v>
          </cell>
        </row>
        <row r="2001">
          <cell r="O2001">
            <v>0</v>
          </cell>
        </row>
        <row r="2002">
          <cell r="O2002">
            <v>0</v>
          </cell>
        </row>
        <row r="2003">
          <cell r="O2003">
            <v>0</v>
          </cell>
        </row>
        <row r="2004">
          <cell r="O2004">
            <v>0</v>
          </cell>
        </row>
        <row r="2005">
          <cell r="O2005">
            <v>0</v>
          </cell>
        </row>
        <row r="2006">
          <cell r="O2006">
            <v>0</v>
          </cell>
        </row>
        <row r="2007">
          <cell r="O2007">
            <v>0</v>
          </cell>
        </row>
        <row r="2008">
          <cell r="O2008">
            <v>0</v>
          </cell>
        </row>
        <row r="2009">
          <cell r="O2009">
            <v>0</v>
          </cell>
        </row>
        <row r="2010">
          <cell r="O2010">
            <v>0</v>
          </cell>
        </row>
        <row r="2011">
          <cell r="O2011">
            <v>0</v>
          </cell>
        </row>
        <row r="2012">
          <cell r="O2012">
            <v>0</v>
          </cell>
        </row>
        <row r="2013">
          <cell r="O2013">
            <v>0</v>
          </cell>
        </row>
        <row r="2014">
          <cell r="O2014">
            <v>0</v>
          </cell>
        </row>
        <row r="2015">
          <cell r="O2015">
            <v>0</v>
          </cell>
        </row>
        <row r="2016">
          <cell r="O2016">
            <v>0</v>
          </cell>
        </row>
        <row r="2017">
          <cell r="O2017">
            <v>0</v>
          </cell>
        </row>
        <row r="2018">
          <cell r="O2018">
            <v>0</v>
          </cell>
        </row>
        <row r="2019">
          <cell r="O2019">
            <v>0</v>
          </cell>
        </row>
        <row r="2020">
          <cell r="O2020">
            <v>0</v>
          </cell>
        </row>
        <row r="2021">
          <cell r="O2021">
            <v>0</v>
          </cell>
        </row>
        <row r="2022">
          <cell r="O2022">
            <v>0</v>
          </cell>
        </row>
        <row r="2023">
          <cell r="O2023">
            <v>0</v>
          </cell>
        </row>
        <row r="2024">
          <cell r="O2024">
            <v>0</v>
          </cell>
        </row>
        <row r="2025">
          <cell r="O2025">
            <v>0</v>
          </cell>
        </row>
        <row r="2026">
          <cell r="O2026">
            <v>0</v>
          </cell>
        </row>
        <row r="2027">
          <cell r="O2027">
            <v>0</v>
          </cell>
        </row>
        <row r="2028">
          <cell r="O2028">
            <v>0</v>
          </cell>
        </row>
        <row r="2029">
          <cell r="O2029">
            <v>0</v>
          </cell>
        </row>
        <row r="2030">
          <cell r="O2030">
            <v>0</v>
          </cell>
        </row>
        <row r="2031">
          <cell r="O2031">
            <v>0</v>
          </cell>
        </row>
        <row r="2032">
          <cell r="O2032">
            <v>0</v>
          </cell>
        </row>
        <row r="2033">
          <cell r="O2033">
            <v>0</v>
          </cell>
        </row>
        <row r="2034">
          <cell r="O2034">
            <v>0</v>
          </cell>
        </row>
        <row r="2035">
          <cell r="O2035">
            <v>0</v>
          </cell>
        </row>
        <row r="2036">
          <cell r="O2036">
            <v>0</v>
          </cell>
        </row>
        <row r="2037">
          <cell r="O2037">
            <v>0</v>
          </cell>
        </row>
        <row r="2038">
          <cell r="O2038">
            <v>0</v>
          </cell>
        </row>
        <row r="2039">
          <cell r="O2039">
            <v>0</v>
          </cell>
        </row>
        <row r="2040">
          <cell r="O2040">
            <v>0</v>
          </cell>
        </row>
        <row r="2041">
          <cell r="O2041">
            <v>0</v>
          </cell>
        </row>
        <row r="2042">
          <cell r="O2042">
            <v>0</v>
          </cell>
        </row>
        <row r="2043">
          <cell r="O2043">
            <v>0</v>
          </cell>
        </row>
        <row r="2044">
          <cell r="O2044">
            <v>0</v>
          </cell>
        </row>
        <row r="2045">
          <cell r="O2045">
            <v>0</v>
          </cell>
        </row>
        <row r="2046">
          <cell r="O2046">
            <v>0</v>
          </cell>
        </row>
        <row r="2047">
          <cell r="O2047">
            <v>0</v>
          </cell>
        </row>
        <row r="2048">
          <cell r="O2048">
            <v>0</v>
          </cell>
        </row>
        <row r="2049">
          <cell r="O2049">
            <v>0</v>
          </cell>
        </row>
        <row r="2050">
          <cell r="O2050">
            <v>0</v>
          </cell>
        </row>
        <row r="2051">
          <cell r="O2051">
            <v>0</v>
          </cell>
        </row>
        <row r="2052">
          <cell r="O2052">
            <v>0</v>
          </cell>
        </row>
        <row r="2053">
          <cell r="O2053">
            <v>0</v>
          </cell>
        </row>
        <row r="2054">
          <cell r="O2054">
            <v>0</v>
          </cell>
        </row>
        <row r="2055">
          <cell r="O2055">
            <v>0</v>
          </cell>
        </row>
        <row r="2056">
          <cell r="O2056">
            <v>0</v>
          </cell>
        </row>
        <row r="2057">
          <cell r="O2057">
            <v>0</v>
          </cell>
        </row>
        <row r="2058">
          <cell r="O2058">
            <v>0</v>
          </cell>
        </row>
        <row r="2059">
          <cell r="O2059">
            <v>0</v>
          </cell>
        </row>
        <row r="2060">
          <cell r="O2060">
            <v>0</v>
          </cell>
        </row>
        <row r="2061">
          <cell r="O2061">
            <v>0</v>
          </cell>
        </row>
        <row r="2062">
          <cell r="O2062">
            <v>0</v>
          </cell>
        </row>
        <row r="2063">
          <cell r="O2063">
            <v>0</v>
          </cell>
        </row>
        <row r="2064">
          <cell r="O2064">
            <v>0</v>
          </cell>
        </row>
        <row r="2065">
          <cell r="O2065">
            <v>0</v>
          </cell>
        </row>
        <row r="2066">
          <cell r="O2066">
            <v>0</v>
          </cell>
        </row>
        <row r="2067">
          <cell r="O2067">
            <v>0</v>
          </cell>
        </row>
        <row r="2068">
          <cell r="O2068">
            <v>0</v>
          </cell>
        </row>
        <row r="2069">
          <cell r="O2069">
            <v>0</v>
          </cell>
        </row>
        <row r="2070">
          <cell r="O2070">
            <v>0</v>
          </cell>
        </row>
        <row r="2071">
          <cell r="O2071">
            <v>0</v>
          </cell>
        </row>
        <row r="2072">
          <cell r="O2072">
            <v>0</v>
          </cell>
        </row>
        <row r="2073">
          <cell r="O2073">
            <v>0</v>
          </cell>
        </row>
        <row r="2074">
          <cell r="O2074">
            <v>0</v>
          </cell>
        </row>
        <row r="2075">
          <cell r="O2075">
            <v>0</v>
          </cell>
        </row>
        <row r="2076">
          <cell r="O2076">
            <v>0</v>
          </cell>
        </row>
        <row r="2077">
          <cell r="O2077">
            <v>0</v>
          </cell>
        </row>
        <row r="2078">
          <cell r="O2078">
            <v>0</v>
          </cell>
        </row>
        <row r="2079">
          <cell r="O2079">
            <v>0</v>
          </cell>
        </row>
        <row r="2080">
          <cell r="O2080">
            <v>0</v>
          </cell>
        </row>
        <row r="2081">
          <cell r="O2081">
            <v>0</v>
          </cell>
        </row>
        <row r="2082">
          <cell r="O2082">
            <v>0</v>
          </cell>
        </row>
        <row r="2083">
          <cell r="O2083">
            <v>0</v>
          </cell>
        </row>
        <row r="2084">
          <cell r="O2084">
            <v>0</v>
          </cell>
        </row>
        <row r="2085">
          <cell r="O2085">
            <v>0</v>
          </cell>
        </row>
        <row r="2086">
          <cell r="O2086">
            <v>0</v>
          </cell>
        </row>
        <row r="2087">
          <cell r="O2087">
            <v>0</v>
          </cell>
        </row>
        <row r="2088">
          <cell r="O2088">
            <v>0</v>
          </cell>
        </row>
        <row r="2089">
          <cell r="O2089">
            <v>0</v>
          </cell>
        </row>
        <row r="2090">
          <cell r="O2090">
            <v>0</v>
          </cell>
        </row>
        <row r="2091">
          <cell r="O2091">
            <v>0</v>
          </cell>
        </row>
        <row r="2092">
          <cell r="O2092">
            <v>0</v>
          </cell>
        </row>
        <row r="2093">
          <cell r="O2093">
            <v>0</v>
          </cell>
        </row>
        <row r="2094">
          <cell r="O2094">
            <v>0</v>
          </cell>
        </row>
        <row r="2095">
          <cell r="O2095">
            <v>0</v>
          </cell>
        </row>
        <row r="2096">
          <cell r="O2096">
            <v>0</v>
          </cell>
        </row>
        <row r="2097">
          <cell r="O2097">
            <v>0</v>
          </cell>
        </row>
        <row r="2098">
          <cell r="O2098">
            <v>0</v>
          </cell>
        </row>
        <row r="2099">
          <cell r="O2099">
            <v>0</v>
          </cell>
        </row>
        <row r="2100">
          <cell r="O2100">
            <v>0</v>
          </cell>
        </row>
        <row r="2101">
          <cell r="O2101">
            <v>0</v>
          </cell>
        </row>
        <row r="2102">
          <cell r="O2102">
            <v>0</v>
          </cell>
        </row>
        <row r="2103">
          <cell r="O2103">
            <v>0</v>
          </cell>
        </row>
        <row r="2104">
          <cell r="O2104">
            <v>0</v>
          </cell>
        </row>
        <row r="2105">
          <cell r="O2105">
            <v>0</v>
          </cell>
        </row>
        <row r="2106">
          <cell r="O2106">
            <v>0</v>
          </cell>
        </row>
        <row r="2107">
          <cell r="O2107">
            <v>0</v>
          </cell>
        </row>
        <row r="2108">
          <cell r="O2108">
            <v>0</v>
          </cell>
        </row>
        <row r="2109">
          <cell r="O2109">
            <v>0</v>
          </cell>
        </row>
        <row r="2110">
          <cell r="O2110">
            <v>0</v>
          </cell>
        </row>
        <row r="2111">
          <cell r="O2111">
            <v>0</v>
          </cell>
        </row>
        <row r="2112">
          <cell r="O2112">
            <v>0</v>
          </cell>
        </row>
        <row r="2113">
          <cell r="O2113">
            <v>0</v>
          </cell>
        </row>
        <row r="2114">
          <cell r="O2114">
            <v>0</v>
          </cell>
        </row>
        <row r="2115">
          <cell r="O2115">
            <v>0</v>
          </cell>
        </row>
        <row r="2116">
          <cell r="O2116">
            <v>0</v>
          </cell>
        </row>
        <row r="2117">
          <cell r="O2117">
            <v>0</v>
          </cell>
        </row>
        <row r="2118">
          <cell r="O2118">
            <v>0</v>
          </cell>
        </row>
        <row r="2119">
          <cell r="O2119">
            <v>0</v>
          </cell>
        </row>
        <row r="2120">
          <cell r="O2120">
            <v>0</v>
          </cell>
        </row>
        <row r="2121">
          <cell r="O2121">
            <v>0</v>
          </cell>
        </row>
        <row r="2122">
          <cell r="O2122">
            <v>0</v>
          </cell>
        </row>
        <row r="2123">
          <cell r="O2123">
            <v>0</v>
          </cell>
        </row>
        <row r="2124">
          <cell r="O2124">
            <v>0</v>
          </cell>
        </row>
        <row r="2125">
          <cell r="O2125">
            <v>0</v>
          </cell>
        </row>
        <row r="2126">
          <cell r="O2126">
            <v>0</v>
          </cell>
        </row>
        <row r="2127">
          <cell r="O2127">
            <v>0</v>
          </cell>
        </row>
        <row r="2128">
          <cell r="O2128">
            <v>0</v>
          </cell>
        </row>
        <row r="2129">
          <cell r="O2129">
            <v>0</v>
          </cell>
        </row>
        <row r="2130">
          <cell r="O2130">
            <v>0</v>
          </cell>
        </row>
        <row r="2131">
          <cell r="O2131">
            <v>0</v>
          </cell>
        </row>
        <row r="2132">
          <cell r="O2132">
            <v>0</v>
          </cell>
        </row>
        <row r="2133">
          <cell r="O2133">
            <v>0</v>
          </cell>
        </row>
        <row r="2134">
          <cell r="O2134">
            <v>0</v>
          </cell>
        </row>
        <row r="2135">
          <cell r="O2135">
            <v>0</v>
          </cell>
        </row>
        <row r="2136">
          <cell r="O2136">
            <v>0</v>
          </cell>
        </row>
        <row r="2137">
          <cell r="O2137">
            <v>0</v>
          </cell>
        </row>
        <row r="2138">
          <cell r="O2138">
            <v>0</v>
          </cell>
        </row>
        <row r="2139">
          <cell r="O2139">
            <v>0</v>
          </cell>
        </row>
        <row r="2140">
          <cell r="O2140">
            <v>0</v>
          </cell>
        </row>
        <row r="2141">
          <cell r="O2141">
            <v>0</v>
          </cell>
        </row>
        <row r="2142">
          <cell r="O2142">
            <v>0</v>
          </cell>
        </row>
        <row r="2143">
          <cell r="O2143">
            <v>0</v>
          </cell>
        </row>
        <row r="2144">
          <cell r="O2144">
            <v>0</v>
          </cell>
        </row>
        <row r="2145">
          <cell r="O2145">
            <v>0</v>
          </cell>
        </row>
        <row r="2146">
          <cell r="O2146">
            <v>0</v>
          </cell>
        </row>
        <row r="2147">
          <cell r="O2147">
            <v>0</v>
          </cell>
        </row>
        <row r="2148">
          <cell r="O2148">
            <v>0</v>
          </cell>
        </row>
        <row r="2149">
          <cell r="O2149">
            <v>0</v>
          </cell>
        </row>
        <row r="2150">
          <cell r="O2150">
            <v>0</v>
          </cell>
        </row>
        <row r="2151">
          <cell r="O2151">
            <v>0</v>
          </cell>
        </row>
        <row r="2152">
          <cell r="O2152">
            <v>0</v>
          </cell>
        </row>
        <row r="2153">
          <cell r="O2153">
            <v>0</v>
          </cell>
        </row>
        <row r="2154">
          <cell r="O2154">
            <v>0</v>
          </cell>
        </row>
        <row r="2155">
          <cell r="O2155">
            <v>0</v>
          </cell>
        </row>
        <row r="2156">
          <cell r="O2156">
            <v>0</v>
          </cell>
        </row>
        <row r="2157">
          <cell r="O2157">
            <v>0</v>
          </cell>
        </row>
        <row r="2158">
          <cell r="O2158">
            <v>0</v>
          </cell>
        </row>
        <row r="2159">
          <cell r="O2159">
            <v>0</v>
          </cell>
        </row>
        <row r="2160">
          <cell r="O2160">
            <v>0</v>
          </cell>
        </row>
        <row r="2161">
          <cell r="O2161">
            <v>0</v>
          </cell>
        </row>
        <row r="2162">
          <cell r="O2162">
            <v>0</v>
          </cell>
        </row>
        <row r="2163">
          <cell r="O2163">
            <v>0</v>
          </cell>
        </row>
        <row r="2164">
          <cell r="O2164">
            <v>0</v>
          </cell>
        </row>
        <row r="2165">
          <cell r="O2165">
            <v>0</v>
          </cell>
        </row>
        <row r="2166">
          <cell r="O2166">
            <v>0</v>
          </cell>
        </row>
        <row r="2167">
          <cell r="O2167">
            <v>0</v>
          </cell>
        </row>
        <row r="2168">
          <cell r="O2168">
            <v>0</v>
          </cell>
        </row>
        <row r="2169">
          <cell r="O2169">
            <v>0</v>
          </cell>
        </row>
        <row r="2170">
          <cell r="O2170">
            <v>0</v>
          </cell>
        </row>
        <row r="2171">
          <cell r="O2171">
            <v>0</v>
          </cell>
        </row>
        <row r="2172">
          <cell r="O2172">
            <v>0</v>
          </cell>
        </row>
        <row r="2173">
          <cell r="O2173">
            <v>0</v>
          </cell>
        </row>
        <row r="2174">
          <cell r="O2174">
            <v>0</v>
          </cell>
        </row>
        <row r="2175">
          <cell r="O2175">
            <v>0</v>
          </cell>
        </row>
        <row r="2176">
          <cell r="O2176">
            <v>0</v>
          </cell>
        </row>
        <row r="2177">
          <cell r="O2177">
            <v>0</v>
          </cell>
        </row>
        <row r="2178">
          <cell r="O2178">
            <v>0</v>
          </cell>
        </row>
        <row r="2179">
          <cell r="O2179">
            <v>0</v>
          </cell>
        </row>
        <row r="2180">
          <cell r="O2180">
            <v>0</v>
          </cell>
        </row>
        <row r="2181">
          <cell r="O2181">
            <v>0</v>
          </cell>
        </row>
        <row r="2182">
          <cell r="O2182">
            <v>0</v>
          </cell>
        </row>
        <row r="2183">
          <cell r="O2183">
            <v>0</v>
          </cell>
        </row>
        <row r="2184">
          <cell r="O2184">
            <v>0</v>
          </cell>
        </row>
        <row r="2185">
          <cell r="O2185">
            <v>0</v>
          </cell>
        </row>
        <row r="2186">
          <cell r="O2186">
            <v>0</v>
          </cell>
        </row>
        <row r="2187">
          <cell r="O2187">
            <v>0</v>
          </cell>
        </row>
        <row r="2188">
          <cell r="O2188">
            <v>0</v>
          </cell>
        </row>
        <row r="2189">
          <cell r="O2189">
            <v>0</v>
          </cell>
        </row>
        <row r="2190">
          <cell r="O2190">
            <v>0</v>
          </cell>
        </row>
        <row r="2191">
          <cell r="O2191">
            <v>0</v>
          </cell>
        </row>
        <row r="2192">
          <cell r="O2192">
            <v>0</v>
          </cell>
        </row>
        <row r="2193">
          <cell r="O2193">
            <v>0</v>
          </cell>
        </row>
        <row r="2194">
          <cell r="O2194">
            <v>0</v>
          </cell>
        </row>
        <row r="2195">
          <cell r="O2195">
            <v>0</v>
          </cell>
        </row>
        <row r="2196">
          <cell r="O2196">
            <v>0</v>
          </cell>
        </row>
        <row r="2197">
          <cell r="O2197">
            <v>0</v>
          </cell>
        </row>
        <row r="2198">
          <cell r="O2198">
            <v>0</v>
          </cell>
        </row>
        <row r="2199">
          <cell r="O2199">
            <v>0</v>
          </cell>
        </row>
        <row r="2200">
          <cell r="O2200">
            <v>0</v>
          </cell>
        </row>
        <row r="2201">
          <cell r="O2201">
            <v>0</v>
          </cell>
        </row>
        <row r="2202">
          <cell r="O2202">
            <v>0</v>
          </cell>
        </row>
        <row r="2203">
          <cell r="O2203">
            <v>0</v>
          </cell>
        </row>
        <row r="2204">
          <cell r="O2204">
            <v>0</v>
          </cell>
        </row>
        <row r="2205">
          <cell r="O2205">
            <v>0</v>
          </cell>
        </row>
        <row r="2206">
          <cell r="O2206">
            <v>0</v>
          </cell>
        </row>
        <row r="2207">
          <cell r="O2207">
            <v>0</v>
          </cell>
        </row>
        <row r="2208">
          <cell r="O2208">
            <v>0</v>
          </cell>
        </row>
        <row r="2209">
          <cell r="O2209">
            <v>0</v>
          </cell>
        </row>
        <row r="2210">
          <cell r="O2210">
            <v>0</v>
          </cell>
        </row>
        <row r="2211">
          <cell r="O2211">
            <v>0</v>
          </cell>
        </row>
        <row r="2212">
          <cell r="O2212">
            <v>0</v>
          </cell>
        </row>
        <row r="2213">
          <cell r="O2213">
            <v>0</v>
          </cell>
        </row>
        <row r="2214">
          <cell r="O2214">
            <v>0</v>
          </cell>
        </row>
        <row r="2215">
          <cell r="O2215">
            <v>0</v>
          </cell>
        </row>
        <row r="2216">
          <cell r="O2216">
            <v>0</v>
          </cell>
        </row>
        <row r="2217">
          <cell r="O2217">
            <v>0</v>
          </cell>
        </row>
        <row r="2218">
          <cell r="O2218">
            <v>0</v>
          </cell>
        </row>
        <row r="2219">
          <cell r="O2219">
            <v>0</v>
          </cell>
        </row>
        <row r="2220">
          <cell r="O2220">
            <v>0</v>
          </cell>
        </row>
        <row r="2221">
          <cell r="O2221">
            <v>0</v>
          </cell>
        </row>
        <row r="2222">
          <cell r="O2222">
            <v>0</v>
          </cell>
        </row>
        <row r="2223">
          <cell r="O2223">
            <v>0</v>
          </cell>
        </row>
        <row r="2224">
          <cell r="O2224">
            <v>0</v>
          </cell>
        </row>
        <row r="2225">
          <cell r="O2225">
            <v>0</v>
          </cell>
        </row>
        <row r="2226">
          <cell r="O2226">
            <v>0</v>
          </cell>
        </row>
        <row r="2227">
          <cell r="O2227">
            <v>0</v>
          </cell>
        </row>
        <row r="2228">
          <cell r="O2228">
            <v>0</v>
          </cell>
        </row>
        <row r="2229">
          <cell r="O2229">
            <v>0</v>
          </cell>
        </row>
        <row r="2230">
          <cell r="O2230">
            <v>0</v>
          </cell>
        </row>
        <row r="2231">
          <cell r="O2231">
            <v>0</v>
          </cell>
        </row>
        <row r="2232">
          <cell r="O2232">
            <v>0</v>
          </cell>
        </row>
        <row r="2233">
          <cell r="O2233">
            <v>0</v>
          </cell>
        </row>
        <row r="2234">
          <cell r="O2234">
            <v>0</v>
          </cell>
        </row>
        <row r="2235">
          <cell r="O2235">
            <v>0</v>
          </cell>
        </row>
        <row r="2236">
          <cell r="O2236">
            <v>0</v>
          </cell>
        </row>
        <row r="2237">
          <cell r="O2237">
            <v>0</v>
          </cell>
        </row>
        <row r="2238">
          <cell r="O2238">
            <v>0</v>
          </cell>
        </row>
        <row r="2239">
          <cell r="O2239">
            <v>0</v>
          </cell>
        </row>
        <row r="2240">
          <cell r="O2240">
            <v>0</v>
          </cell>
        </row>
        <row r="2241">
          <cell r="O2241">
            <v>0</v>
          </cell>
        </row>
        <row r="2242">
          <cell r="O2242">
            <v>0</v>
          </cell>
        </row>
        <row r="2243">
          <cell r="O2243">
            <v>0</v>
          </cell>
        </row>
        <row r="2244">
          <cell r="O2244">
            <v>0</v>
          </cell>
        </row>
        <row r="2245">
          <cell r="O2245">
            <v>0</v>
          </cell>
        </row>
        <row r="2246">
          <cell r="O2246">
            <v>0</v>
          </cell>
        </row>
        <row r="2247">
          <cell r="O2247">
            <v>0</v>
          </cell>
        </row>
        <row r="2248">
          <cell r="O2248">
            <v>0</v>
          </cell>
        </row>
        <row r="2249">
          <cell r="O2249">
            <v>0</v>
          </cell>
        </row>
        <row r="2250">
          <cell r="O2250">
            <v>0</v>
          </cell>
        </row>
        <row r="2251">
          <cell r="O2251">
            <v>0</v>
          </cell>
        </row>
        <row r="2252">
          <cell r="O2252">
            <v>0</v>
          </cell>
        </row>
        <row r="2253">
          <cell r="O2253">
            <v>0</v>
          </cell>
        </row>
        <row r="2254">
          <cell r="O2254">
            <v>0</v>
          </cell>
        </row>
        <row r="2255">
          <cell r="O2255">
            <v>0</v>
          </cell>
        </row>
        <row r="2256">
          <cell r="O2256">
            <v>0</v>
          </cell>
        </row>
        <row r="2257">
          <cell r="O2257">
            <v>0</v>
          </cell>
        </row>
        <row r="2258">
          <cell r="O2258">
            <v>0</v>
          </cell>
        </row>
        <row r="2259">
          <cell r="O2259">
            <v>0</v>
          </cell>
        </row>
        <row r="2260">
          <cell r="O2260">
            <v>0</v>
          </cell>
        </row>
        <row r="2261">
          <cell r="O2261">
            <v>0</v>
          </cell>
        </row>
        <row r="2262">
          <cell r="O2262">
            <v>0</v>
          </cell>
        </row>
        <row r="2263">
          <cell r="O2263">
            <v>0</v>
          </cell>
        </row>
        <row r="2264">
          <cell r="O2264">
            <v>0</v>
          </cell>
        </row>
        <row r="2265">
          <cell r="O2265">
            <v>0</v>
          </cell>
        </row>
        <row r="2266">
          <cell r="O2266">
            <v>0</v>
          </cell>
        </row>
        <row r="2267">
          <cell r="O2267">
            <v>0</v>
          </cell>
        </row>
        <row r="2268">
          <cell r="O2268">
            <v>0</v>
          </cell>
        </row>
        <row r="2269">
          <cell r="O2269">
            <v>0</v>
          </cell>
        </row>
        <row r="2270">
          <cell r="O2270">
            <v>0</v>
          </cell>
        </row>
        <row r="2271">
          <cell r="O2271">
            <v>0</v>
          </cell>
        </row>
        <row r="2272">
          <cell r="O2272">
            <v>0</v>
          </cell>
        </row>
        <row r="2273">
          <cell r="O2273">
            <v>0</v>
          </cell>
        </row>
        <row r="2274">
          <cell r="O2274">
            <v>0</v>
          </cell>
        </row>
        <row r="2275">
          <cell r="O2275">
            <v>0</v>
          </cell>
        </row>
        <row r="2276">
          <cell r="O2276">
            <v>0</v>
          </cell>
        </row>
        <row r="2277">
          <cell r="O2277">
            <v>0</v>
          </cell>
        </row>
        <row r="2278">
          <cell r="O2278">
            <v>0</v>
          </cell>
        </row>
        <row r="2279">
          <cell r="O2279">
            <v>0</v>
          </cell>
        </row>
        <row r="2280">
          <cell r="O2280">
            <v>0</v>
          </cell>
        </row>
        <row r="2281">
          <cell r="O2281">
            <v>0</v>
          </cell>
        </row>
        <row r="2282">
          <cell r="O2282">
            <v>0</v>
          </cell>
        </row>
        <row r="2283">
          <cell r="O2283">
            <v>0</v>
          </cell>
        </row>
        <row r="2284">
          <cell r="O2284">
            <v>0</v>
          </cell>
        </row>
        <row r="2285">
          <cell r="O2285">
            <v>0</v>
          </cell>
        </row>
        <row r="2286">
          <cell r="O2286">
            <v>0</v>
          </cell>
        </row>
        <row r="2287">
          <cell r="O2287">
            <v>0</v>
          </cell>
        </row>
        <row r="2288">
          <cell r="O2288">
            <v>0</v>
          </cell>
        </row>
        <row r="2289">
          <cell r="O2289">
            <v>0</v>
          </cell>
        </row>
        <row r="2290">
          <cell r="O2290">
            <v>0</v>
          </cell>
        </row>
        <row r="2291">
          <cell r="O2291">
            <v>0</v>
          </cell>
        </row>
        <row r="2292">
          <cell r="O2292">
            <v>0</v>
          </cell>
        </row>
        <row r="2293">
          <cell r="O2293">
            <v>0</v>
          </cell>
        </row>
        <row r="2294">
          <cell r="O2294">
            <v>0</v>
          </cell>
        </row>
        <row r="2295">
          <cell r="O2295">
            <v>0</v>
          </cell>
        </row>
        <row r="2296">
          <cell r="O2296">
            <v>0</v>
          </cell>
        </row>
        <row r="2297">
          <cell r="O2297">
            <v>0</v>
          </cell>
        </row>
        <row r="2298">
          <cell r="O2298">
            <v>0</v>
          </cell>
        </row>
        <row r="2299">
          <cell r="O2299">
            <v>0</v>
          </cell>
        </row>
        <row r="2300">
          <cell r="O2300">
            <v>0</v>
          </cell>
        </row>
        <row r="2301">
          <cell r="O2301">
            <v>0</v>
          </cell>
        </row>
        <row r="2302">
          <cell r="O2302">
            <v>0</v>
          </cell>
        </row>
        <row r="2303">
          <cell r="O2303">
            <v>0</v>
          </cell>
        </row>
        <row r="2304">
          <cell r="O2304">
            <v>0</v>
          </cell>
        </row>
        <row r="2305">
          <cell r="O2305">
            <v>0</v>
          </cell>
        </row>
        <row r="2306">
          <cell r="O2306">
            <v>0</v>
          </cell>
        </row>
        <row r="2307">
          <cell r="O2307">
            <v>0</v>
          </cell>
        </row>
        <row r="2308">
          <cell r="O2308">
            <v>0</v>
          </cell>
        </row>
        <row r="2309">
          <cell r="O2309">
            <v>0</v>
          </cell>
        </row>
        <row r="2310">
          <cell r="O2310">
            <v>0</v>
          </cell>
        </row>
        <row r="2311">
          <cell r="O2311">
            <v>0</v>
          </cell>
        </row>
        <row r="2312">
          <cell r="O2312">
            <v>0</v>
          </cell>
        </row>
        <row r="2313">
          <cell r="O2313">
            <v>0</v>
          </cell>
        </row>
        <row r="2314">
          <cell r="O2314">
            <v>0</v>
          </cell>
        </row>
        <row r="2315">
          <cell r="O2315">
            <v>0</v>
          </cell>
        </row>
        <row r="2316">
          <cell r="O2316">
            <v>0</v>
          </cell>
        </row>
        <row r="2317">
          <cell r="O2317">
            <v>0</v>
          </cell>
        </row>
        <row r="2318">
          <cell r="O2318">
            <v>0</v>
          </cell>
        </row>
        <row r="2319">
          <cell r="O2319">
            <v>0</v>
          </cell>
        </row>
        <row r="2320">
          <cell r="O2320">
            <v>0</v>
          </cell>
        </row>
        <row r="2321">
          <cell r="O2321">
            <v>0</v>
          </cell>
        </row>
        <row r="2322">
          <cell r="O2322">
            <v>0</v>
          </cell>
        </row>
        <row r="2323">
          <cell r="O2323">
            <v>0</v>
          </cell>
        </row>
        <row r="2324">
          <cell r="O2324">
            <v>0</v>
          </cell>
        </row>
        <row r="2325">
          <cell r="O2325">
            <v>0</v>
          </cell>
        </row>
        <row r="2326">
          <cell r="O2326">
            <v>0</v>
          </cell>
        </row>
        <row r="2327">
          <cell r="O2327">
            <v>0</v>
          </cell>
        </row>
        <row r="2328">
          <cell r="O2328">
            <v>0</v>
          </cell>
        </row>
        <row r="2329">
          <cell r="O2329">
            <v>0</v>
          </cell>
        </row>
        <row r="2330">
          <cell r="O2330">
            <v>0</v>
          </cell>
        </row>
        <row r="2331">
          <cell r="O2331">
            <v>0</v>
          </cell>
        </row>
        <row r="2332">
          <cell r="O2332">
            <v>0</v>
          </cell>
        </row>
        <row r="2333">
          <cell r="O2333">
            <v>0</v>
          </cell>
        </row>
        <row r="2334">
          <cell r="O2334">
            <v>0</v>
          </cell>
        </row>
        <row r="2335">
          <cell r="O2335">
            <v>0</v>
          </cell>
        </row>
        <row r="2336">
          <cell r="O2336">
            <v>0</v>
          </cell>
        </row>
        <row r="2337">
          <cell r="O2337">
            <v>0</v>
          </cell>
        </row>
        <row r="2338">
          <cell r="O2338">
            <v>0</v>
          </cell>
        </row>
        <row r="2339">
          <cell r="O2339">
            <v>0</v>
          </cell>
        </row>
        <row r="2340">
          <cell r="O2340">
            <v>0</v>
          </cell>
        </row>
        <row r="2341">
          <cell r="O2341">
            <v>0</v>
          </cell>
        </row>
        <row r="2342">
          <cell r="O2342">
            <v>0</v>
          </cell>
        </row>
        <row r="2343">
          <cell r="O2343">
            <v>0</v>
          </cell>
        </row>
        <row r="2344">
          <cell r="O2344">
            <v>0</v>
          </cell>
        </row>
        <row r="2345">
          <cell r="O2345">
            <v>0</v>
          </cell>
        </row>
        <row r="2346">
          <cell r="O2346">
            <v>0</v>
          </cell>
        </row>
        <row r="2347">
          <cell r="O2347">
            <v>0</v>
          </cell>
        </row>
        <row r="2348">
          <cell r="O2348">
            <v>0</v>
          </cell>
        </row>
        <row r="2349">
          <cell r="O2349">
            <v>0</v>
          </cell>
        </row>
        <row r="2350">
          <cell r="O2350">
            <v>0</v>
          </cell>
        </row>
        <row r="2351">
          <cell r="O2351">
            <v>0</v>
          </cell>
        </row>
        <row r="2352">
          <cell r="O2352">
            <v>0</v>
          </cell>
        </row>
        <row r="2353">
          <cell r="O2353">
            <v>0</v>
          </cell>
        </row>
        <row r="2354">
          <cell r="O2354">
            <v>0</v>
          </cell>
        </row>
        <row r="2355">
          <cell r="O2355">
            <v>0</v>
          </cell>
        </row>
        <row r="2356">
          <cell r="O2356">
            <v>0</v>
          </cell>
        </row>
        <row r="2357">
          <cell r="O2357">
            <v>0</v>
          </cell>
        </row>
        <row r="2358">
          <cell r="O2358">
            <v>0</v>
          </cell>
        </row>
        <row r="2359">
          <cell r="O2359">
            <v>0</v>
          </cell>
        </row>
        <row r="2360">
          <cell r="O2360">
            <v>0</v>
          </cell>
        </row>
        <row r="2361">
          <cell r="O2361">
            <v>0</v>
          </cell>
        </row>
        <row r="2362">
          <cell r="O2362">
            <v>0</v>
          </cell>
        </row>
        <row r="2363">
          <cell r="O2363">
            <v>0</v>
          </cell>
        </row>
        <row r="2364">
          <cell r="O2364">
            <v>0</v>
          </cell>
        </row>
        <row r="2365">
          <cell r="O2365">
            <v>0</v>
          </cell>
        </row>
        <row r="2366">
          <cell r="O2366">
            <v>0</v>
          </cell>
        </row>
        <row r="2367">
          <cell r="O236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P46"/>
  <sheetViews>
    <sheetView showGridLines="0" tabSelected="1" zoomScale="70" zoomScaleNormal="70" workbookViewId="0">
      <selection activeCell="AD26" sqref="AD26"/>
    </sheetView>
  </sheetViews>
  <sheetFormatPr baseColWidth="8" defaultRowHeight="14.4"/>
  <cols>
    <col width="2.5546875" customWidth="1" style="188" min="1" max="1"/>
    <col width="16" customWidth="1" style="188" min="2" max="2"/>
    <col width="3" customWidth="1" style="188" min="3" max="3"/>
    <col width="17.6640625" customWidth="1" style="188" min="4" max="4"/>
    <col width="1.5546875" customWidth="1" style="188" min="5" max="5"/>
    <col width="16.5546875" customWidth="1" style="188" min="6" max="6"/>
    <col width="1.6640625" customWidth="1" style="188" min="7" max="7"/>
    <col width="14.88671875" customWidth="1" style="188" min="8" max="8"/>
    <col width="3.6640625" customWidth="1" style="188" min="9" max="9"/>
    <col width="12.33203125" customWidth="1" style="82" min="10" max="10"/>
    <col width="3.33203125" customWidth="1" style="188" min="11" max="11"/>
    <col width="17" customWidth="1" style="188" min="12" max="12"/>
    <col width="1.33203125" customWidth="1" style="188" min="13" max="13"/>
    <col width="2.33203125" customWidth="1" style="82" min="14" max="14"/>
    <col width="16.44140625" customWidth="1" style="188" min="15" max="15"/>
  </cols>
  <sheetData>
    <row r="1" ht="8.4" customHeight="1" s="188"/>
    <row r="2" ht="14.4" customHeight="1" s="188">
      <c r="B2" s="189">
        <f>"Opera " &amp; TEXT('Günlük Rapor'!$A$3,"aaaa")&amp;"_"&amp;YEAR('Günlük Rapor'!$A$3)&amp;" Portföy Analizi  (1 -  "&amp;DAY(TODAY()-1)&amp;" Haziran)"</f>
        <v/>
      </c>
    </row>
    <row r="3" ht="14.4" customHeight="1" s="188">
      <c r="B3" s="190" t="n"/>
      <c r="C3" s="190" t="n"/>
      <c r="D3" s="190" t="n"/>
      <c r="E3" s="190" t="n"/>
      <c r="F3" s="190" t="n"/>
      <c r="J3" s="82" t="n"/>
      <c r="N3" s="82" t="n"/>
    </row>
    <row r="4" ht="13.2" customHeight="1" s="188"/>
    <row r="5" ht="44.4" customFormat="1" customHeight="1" s="44">
      <c r="B5" s="50">
        <f>'Opera Aylık Analiz'!G2</f>
        <v/>
      </c>
      <c r="D5" s="77">
        <f>'Opera Aylık Analiz'!F2</f>
        <v/>
      </c>
      <c r="E5" s="45" t="n"/>
      <c r="F5" s="77">
        <f>'Opera Aylık Analiz'!AE2</f>
        <v/>
      </c>
      <c r="H5" s="50">
        <f>'Opera Aylık Analiz'!C2</f>
        <v/>
      </c>
      <c r="J5" s="50">
        <f>'Opera Aylık Analiz'!D2</f>
        <v/>
      </c>
      <c r="L5" s="126" t="n"/>
      <c r="M5" s="126">
        <f>'Opera Aylık Analiz'!E2</f>
        <v/>
      </c>
      <c r="O5" s="133">
        <f>'Opera Aylık Analiz'!AH2</f>
        <v/>
      </c>
    </row>
    <row r="6" ht="18" customFormat="1" customHeight="1" s="94">
      <c r="B6" s="94">
        <f>'Opera Aylık Analiz'!G3</f>
        <v/>
      </c>
      <c r="D6" s="94">
        <f>'Opera Aylık Analiz'!F3</f>
        <v/>
      </c>
      <c r="F6" s="94">
        <f>'Opera Aylık Analiz'!AE3</f>
        <v/>
      </c>
      <c r="H6" s="94">
        <f>'Opera Aylık Analiz'!C3</f>
        <v/>
      </c>
      <c r="J6" s="94">
        <f>'Opera Aylık Analiz'!D3</f>
        <v/>
      </c>
      <c r="L6" s="191">
        <f>'Opera Aylık Analiz'!E3</f>
        <v/>
      </c>
      <c r="O6" s="94">
        <f>'Opera Aylık Analiz'!AH3</f>
        <v/>
      </c>
    </row>
    <row r="7" ht="9.6" customHeight="1" s="188"/>
    <row r="8" ht="9.6" customHeight="1" s="188"/>
    <row r="10" ht="12" customHeight="1" s="188"/>
    <row r="11" ht="17.4" customHeight="1" s="188">
      <c r="B11" s="183" t="inlineStr">
        <is>
          <t>GİP Öncesi</t>
        </is>
      </c>
    </row>
    <row r="13">
      <c r="L13" s="82" t="n"/>
    </row>
    <row r="14" ht="44.4" customFormat="1" customHeight="1" s="44">
      <c r="B14" s="77">
        <f>'Opera Aylık Analiz'!M2</f>
        <v/>
      </c>
      <c r="C14" s="45" t="n"/>
      <c r="D14" s="77">
        <f>'Opera Aylık Analiz'!S2</f>
        <v/>
      </c>
      <c r="E14" s="45" t="n"/>
      <c r="F14" s="45">
        <f>'Opera Aylık Analiz'!U2</f>
        <v/>
      </c>
      <c r="G14" s="45" t="n"/>
      <c r="H14" s="143">
        <f>'Opera Aylık Analiz'!V2</f>
        <v/>
      </c>
      <c r="J14" s="45">
        <f>'Opera Aylık Analiz'!W2</f>
        <v/>
      </c>
      <c r="L14" s="51" t="n"/>
      <c r="N14" s="51" t="n"/>
    </row>
    <row r="15" ht="18" customFormat="1" customHeight="1" s="46">
      <c r="B15" s="95">
        <f>'Opera Aylık Analiz'!M3</f>
        <v/>
      </c>
      <c r="D15" s="95">
        <f>'Opera Aylık Analiz'!S3</f>
        <v/>
      </c>
      <c r="F15" s="192">
        <f>'Opera Aylık Analiz'!U3</f>
        <v/>
      </c>
      <c r="H15" s="54">
        <f>'Opera Aylık Analiz'!V3</f>
        <v/>
      </c>
      <c r="J15" s="54">
        <f>'Opera Aylık Analiz'!W3</f>
        <v/>
      </c>
      <c r="L15" s="48" t="n"/>
      <c r="N15" s="48" t="n"/>
    </row>
    <row r="16" ht="9.6" customHeight="1" s="188">
      <c r="L16" s="82" t="n"/>
    </row>
    <row r="17" ht="9.6" customHeight="1" s="188">
      <c r="L17" s="82" t="n"/>
    </row>
    <row r="18">
      <c r="L18" s="82" t="n"/>
    </row>
    <row r="19" ht="3" customHeight="1" s="188">
      <c r="L19" s="82" t="n"/>
    </row>
    <row r="21" ht="17.4" customHeight="1" s="188">
      <c r="B21" s="182" t="inlineStr">
        <is>
          <t>GİP Sonrası</t>
        </is>
      </c>
    </row>
    <row r="22"/>
    <row r="24" ht="44.4" customFormat="1" customHeight="1" s="45">
      <c r="B24" s="77">
        <f>'Opera Aylık Analiz'!Y2</f>
        <v/>
      </c>
      <c r="D24" s="77">
        <f>'Opera Aylık Analiz'!AG2</f>
        <v/>
      </c>
      <c r="F24" s="45">
        <f>'Opera Aylık Analiz'!AI2</f>
        <v/>
      </c>
      <c r="H24" s="143">
        <f>'Opera Aylık Analiz'!AJ2</f>
        <v/>
      </c>
      <c r="J24" s="45">
        <f>'Opera Aylık Analiz'!AK2</f>
        <v/>
      </c>
      <c r="N24" s="49" t="n"/>
    </row>
    <row r="25" ht="18" customFormat="1" customHeight="1" s="193">
      <c r="B25" s="145">
        <f>'Opera Aylık Analiz'!Y3</f>
        <v/>
      </c>
      <c r="D25" s="145">
        <f>'Opera Aylık Analiz'!AG3</f>
        <v/>
      </c>
      <c r="F25" s="194">
        <f>'Opera Aylık Analiz'!AI3</f>
        <v/>
      </c>
      <c r="H25" s="123">
        <f>'Opera Aylık Analiz'!AJ3</f>
        <v/>
      </c>
      <c r="J25" s="123">
        <f>'Opera Aylık Analiz'!AK3</f>
        <v/>
      </c>
      <c r="N25" s="195" t="n"/>
    </row>
    <row r="27" ht="9.6" customHeight="1" s="188"/>
    <row r="28" ht="9.6" customHeight="1" s="188"/>
    <row r="29">
      <c r="H29" s="82" t="n"/>
    </row>
    <row r="31" ht="17.4" customHeight="1" s="188">
      <c r="B31" s="181" t="inlineStr">
        <is>
          <t xml:space="preserve">GİP Sonrası Fayda </t>
        </is>
      </c>
      <c r="H31" s="82" t="n"/>
    </row>
    <row r="32">
      <c r="B32" s="81" t="n"/>
      <c r="C32" s="81" t="n"/>
      <c r="D32" s="81" t="n"/>
      <c r="H32" s="82" t="n"/>
      <c r="J32" s="82" t="n"/>
      <c r="N32" s="82" t="n"/>
    </row>
    <row r="33">
      <c r="D33" s="82" t="n"/>
      <c r="H33" s="82" t="n"/>
    </row>
    <row r="34" ht="43.95" customFormat="1" customHeight="1" s="42">
      <c r="B34" s="134">
        <f>'Opera Aylık Analiz'!AM2</f>
        <v/>
      </c>
      <c r="C34" s="45" t="n"/>
      <c r="D34" s="49">
        <f>'Opera Aylık Analiz'!AN2</f>
        <v/>
      </c>
      <c r="E34" s="45" t="n"/>
      <c r="F34" s="77">
        <f>'Opera Aylık Analiz'!AO2</f>
        <v/>
      </c>
      <c r="G34" s="45" t="n"/>
      <c r="H34" s="49">
        <f>'Opera Aylık Analiz'!AP2</f>
        <v/>
      </c>
      <c r="I34" s="44" t="n"/>
      <c r="J34" s="80" t="n"/>
      <c r="N34" s="80" t="n"/>
    </row>
    <row r="35">
      <c r="B35" s="94">
        <f>'Opera Aylık Analiz'!AM3</f>
        <v/>
      </c>
      <c r="C35" s="191" t="n"/>
      <c r="D35" s="53">
        <f>'Opera Aylık Analiz'!AN3</f>
        <v/>
      </c>
      <c r="E35" s="191" t="n"/>
      <c r="F35" s="94">
        <f>'Opera Aylık Analiz'!AO3</f>
        <v/>
      </c>
      <c r="G35" s="191" t="n"/>
      <c r="H35" s="53">
        <f>'Opera Aylık Analiz'!AP3</f>
        <v/>
      </c>
      <c r="I35" s="191" t="n"/>
      <c r="P35" t="inlineStr">
        <is>
          <t> </t>
        </is>
      </c>
    </row>
    <row r="36">
      <c r="D36" s="82" t="n"/>
      <c r="H36" s="82" t="n"/>
    </row>
    <row r="37">
      <c r="D37" s="82" t="n"/>
      <c r="H37" s="82" t="n"/>
    </row>
    <row r="39" ht="17.4" customHeight="1" s="188">
      <c r="B39" s="180" t="inlineStr">
        <is>
          <t>GES Üretim - Tutar</t>
        </is>
      </c>
      <c r="H39" s="82" t="n"/>
    </row>
    <row r="40">
      <c r="B40" s="81" t="n"/>
      <c r="C40" s="81" t="n"/>
      <c r="D40" s="81" t="n"/>
      <c r="H40" s="82" t="n"/>
      <c r="J40" s="82" t="n"/>
    </row>
    <row r="41">
      <c r="D41" s="82" t="n"/>
    </row>
    <row r="42" ht="35.4" customHeight="1" s="188">
      <c r="A42" s="42" t="n"/>
      <c r="B42" s="175" t="inlineStr">
        <is>
          <t>GES Üretim (MWh)</t>
        </is>
      </c>
      <c r="C42" s="174" t="n"/>
      <c r="D42" s="176" t="inlineStr">
        <is>
          <t>TUTAR (TL)</t>
        </is>
      </c>
      <c r="E42" s="174" t="n"/>
      <c r="F42" s="176" t="inlineStr">
        <is>
          <t>TUTAR (USD)</t>
        </is>
      </c>
      <c r="G42" s="45" t="n"/>
      <c r="I42" s="44" t="n"/>
      <c r="J42" s="80" t="n"/>
      <c r="K42" s="42" t="n"/>
      <c r="L42" s="42" t="n"/>
    </row>
    <row r="43" ht="17.4" customHeight="1" s="188">
      <c r="B43" s="179">
        <f>'GES Üretim'!T3</f>
        <v/>
      </c>
      <c r="C43" s="45" t="n"/>
      <c r="D43" s="196">
        <f>'GES Üretim'!O33</f>
        <v/>
      </c>
      <c r="E43" s="45" t="n"/>
      <c r="F43" s="197">
        <f>'GES Üretim'!P33</f>
        <v/>
      </c>
      <c r="G43" s="191" t="n"/>
      <c r="I43" s="191" t="n"/>
    </row>
    <row r="44">
      <c r="D44" s="82" t="n"/>
    </row>
    <row r="45">
      <c r="D45" s="82" t="n"/>
      <c r="H45" s="82" t="n"/>
    </row>
    <row r="46">
      <c r="D46" s="82" t="n"/>
      <c r="H46" s="82" t="n"/>
    </row>
  </sheetData>
  <mergeCells count="5">
    <mergeCell ref="B11:D11"/>
    <mergeCell ref="B2:F2"/>
    <mergeCell ref="B31:D31"/>
    <mergeCell ref="B21:D21"/>
    <mergeCell ref="B39:D39"/>
  </mergeCells>
  <pageMargins left="0.7" right="0.7" top="0.75" bottom="0.75" header="0.3" footer="0.3"/>
  <pageSetup orientation="landscape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zoomScale="70" zoomScaleNormal="70" workbookViewId="0">
      <selection activeCell="B43" sqref="B43"/>
    </sheetView>
  </sheetViews>
  <sheetFormatPr baseColWidth="8" defaultColWidth="8.88671875" defaultRowHeight="14.4"/>
  <cols>
    <col width="10.88671875" bestFit="1" customWidth="1" style="188" min="1" max="1"/>
    <col width="12.33203125" bestFit="1" customWidth="1" style="188" min="2" max="2"/>
    <col width="11.33203125" bestFit="1" customWidth="1" style="188" min="3" max="4"/>
    <col width="11.5546875" bestFit="1" customWidth="1" style="188" min="5" max="5"/>
    <col width="12.33203125" customWidth="1" style="42" min="6" max="6"/>
    <col width="13.5546875" customWidth="1" style="42" min="7" max="7"/>
    <col width="16.6640625" bestFit="1" customWidth="1" style="42" min="8" max="8"/>
    <col width="16.6640625" customWidth="1" style="42" min="9" max="9"/>
    <col width="10.33203125" bestFit="1" customWidth="1" style="42" min="10" max="10"/>
    <col width="13.33203125" customWidth="1" style="188" min="11" max="11"/>
    <col width="11.33203125" bestFit="1" customWidth="1" style="188" min="12" max="12"/>
    <col width="16.6640625" bestFit="1" customWidth="1" style="188" min="13" max="13"/>
    <col width="16.6640625" customWidth="1" style="188" min="14" max="14"/>
    <col width="11.6640625" customWidth="1" style="188" min="15" max="15"/>
    <col width="15.33203125" bestFit="1" customWidth="1" style="188" min="16" max="17"/>
    <col width="11.109375" bestFit="1" customWidth="1" style="188" min="18" max="18"/>
    <col width="15.6640625" bestFit="1" customWidth="1" style="188" min="19" max="19"/>
    <col width="12.33203125" bestFit="1" customWidth="1" style="188" min="20" max="20"/>
    <col width="10.5546875" bestFit="1" customWidth="1" style="188" min="21" max="21"/>
    <col width="14.44140625" bestFit="1" customWidth="1" style="188" min="22" max="22"/>
  </cols>
  <sheetData>
    <row r="1" ht="28.95" customHeight="1" s="188">
      <c r="F1" s="153" t="inlineStr">
        <is>
          <t>GİP Öncesi</t>
        </is>
      </c>
      <c r="G1" s="198" t="n"/>
      <c r="H1" s="198" t="n"/>
      <c r="I1" s="198" t="n"/>
      <c r="J1" s="199" t="n"/>
      <c r="K1" s="64" t="inlineStr">
        <is>
          <t>GİP Sonrası</t>
        </is>
      </c>
      <c r="L1" s="198" t="n"/>
      <c r="M1" s="198" t="n"/>
      <c r="N1" s="198" t="n"/>
      <c r="O1" s="199" t="n"/>
    </row>
    <row r="2" ht="57.6" customFormat="1" customHeight="1" s="55">
      <c r="A2" s="57" t="inlineStr">
        <is>
          <t>Tarih</t>
        </is>
      </c>
      <c r="B2" s="58" t="inlineStr">
        <is>
          <t>UEVM(MWh)</t>
        </is>
      </c>
      <c r="C2" s="58" t="inlineStr">
        <is>
          <t>PTF (TL/MWh)</t>
        </is>
      </c>
      <c r="D2" s="58" t="inlineStr">
        <is>
          <t>SMF (TL/MWh)</t>
        </is>
      </c>
      <c r="E2" s="58" t="inlineStr">
        <is>
          <t>PTF (USD/MWh)</t>
        </is>
      </c>
      <c r="F2" s="153" t="inlineStr">
        <is>
          <t>İlk KUPST(TL)</t>
        </is>
      </c>
      <c r="G2" s="153" t="inlineStr">
        <is>
          <t>Toplam Maliyet(TL)</t>
        </is>
      </c>
      <c r="H2" s="153" t="inlineStr">
        <is>
          <t>Birim Maliyet(TL/MWh)</t>
        </is>
      </c>
      <c r="I2" s="153" t="inlineStr">
        <is>
          <t>Birim Maliyet(%)</t>
        </is>
      </c>
      <c r="J2" s="153" t="inlineStr">
        <is>
          <t>Dengesizlik Oranı (%)</t>
        </is>
      </c>
      <c r="K2" s="64" t="inlineStr">
        <is>
          <t>Son KUPST(TL)</t>
        </is>
      </c>
      <c r="L2" s="64" t="inlineStr">
        <is>
          <t>Toplam Maliyet(TL)</t>
        </is>
      </c>
      <c r="M2" s="64" t="inlineStr">
        <is>
          <t>Birim Maliyet(TL/MWh)</t>
        </is>
      </c>
      <c r="N2" s="64" t="inlineStr">
        <is>
          <t>Birim Maliyet(%)</t>
        </is>
      </c>
      <c r="O2" s="64" t="inlineStr">
        <is>
          <t>Dengesizlik Oranı (%)</t>
        </is>
      </c>
      <c r="P2" s="60" t="inlineStr">
        <is>
          <t>İdeal Tutar(TL)</t>
        </is>
      </c>
      <c r="Q2" s="60" t="inlineStr">
        <is>
          <t>Net Kazanılan Tutar(TL)</t>
        </is>
      </c>
      <c r="R2" s="61" t="inlineStr">
        <is>
          <t>KUPST Fayda(TL)</t>
        </is>
      </c>
      <c r="S2" s="62" t="inlineStr">
        <is>
          <t>GİP Sonrası KUPST İyileştirme Oranı(%)</t>
        </is>
      </c>
      <c r="T2" s="61" t="inlineStr">
        <is>
          <t>GİP Sonrası Toplam Fayda(TL)</t>
        </is>
      </c>
      <c r="U2" s="62" t="inlineStr">
        <is>
          <t>GİP Sonrası İyileştirme Oranı(%)</t>
        </is>
      </c>
    </row>
    <row r="3">
      <c r="A3" s="63" t="n">
        <v>46204</v>
      </c>
      <c r="B3" s="89">
        <f>'Opera Günlük Analiz'!G3</f>
        <v/>
      </c>
      <c r="C3" s="89">
        <f>'Opera Günlük Analiz'!C3</f>
        <v/>
      </c>
      <c r="D3" s="89">
        <f>'Opera Günlük Analiz'!D3</f>
        <v/>
      </c>
      <c r="E3" s="200">
        <f>'Opera Günlük Analiz'!E3</f>
        <v/>
      </c>
      <c r="F3" s="89">
        <f>'Opera Günlük Analiz'!M3</f>
        <v/>
      </c>
      <c r="G3" s="89">
        <f>'Opera Günlük Analiz'!S3</f>
        <v/>
      </c>
      <c r="H3" s="200">
        <f>'Opera Günlük Analiz'!U3</f>
        <v/>
      </c>
      <c r="I3" s="66">
        <f>'Opera Günlük Analiz'!V3</f>
        <v/>
      </c>
      <c r="J3" s="66">
        <f>'Opera Günlük Analiz'!W3</f>
        <v/>
      </c>
      <c r="K3" s="89">
        <f>'Opera Günlük Analiz'!Y3</f>
        <v/>
      </c>
      <c r="L3" s="89">
        <f>'Opera Günlük Analiz'!AG3</f>
        <v/>
      </c>
      <c r="M3" s="200">
        <f>'Opera Günlük Analiz'!AI3</f>
        <v/>
      </c>
      <c r="N3" s="66">
        <f>'Opera Günlük Analiz'!AJ3</f>
        <v/>
      </c>
      <c r="O3" s="66">
        <f>'Opera Günlük Analiz'!AK3</f>
        <v/>
      </c>
      <c r="P3" s="89">
        <f>'Opera Günlük Analiz'!F3</f>
        <v/>
      </c>
      <c r="Q3" s="89">
        <f>'Opera Günlük Analiz'!AE3</f>
        <v/>
      </c>
      <c r="R3" s="89">
        <f>F3-K3</f>
        <v/>
      </c>
      <c r="S3" s="72">
        <f>IFERROR(R3/F3,0)</f>
        <v/>
      </c>
      <c r="T3" s="89">
        <f>G3-L3</f>
        <v/>
      </c>
      <c r="U3" s="72">
        <f>IFERROR(T3/G3,0)</f>
        <v/>
      </c>
    </row>
    <row r="4">
      <c r="A4" s="63">
        <f>A3+1</f>
        <v/>
      </c>
      <c r="B4" s="90">
        <f>'Opera Günlük Analiz'!G4</f>
        <v/>
      </c>
      <c r="C4" s="90">
        <f>'Opera Günlük Analiz'!C4</f>
        <v/>
      </c>
      <c r="D4" s="90">
        <f>'Opera Günlük Analiz'!D4</f>
        <v/>
      </c>
      <c r="E4" s="201">
        <f>'Opera Günlük Analiz'!E4</f>
        <v/>
      </c>
      <c r="F4" s="90">
        <f>'Opera Günlük Analiz'!M4</f>
        <v/>
      </c>
      <c r="G4" s="90">
        <f>'Opera Günlük Analiz'!S4</f>
        <v/>
      </c>
      <c r="H4" s="201">
        <f>'Opera Günlük Analiz'!U4</f>
        <v/>
      </c>
      <c r="I4" s="68">
        <f>'Opera Günlük Analiz'!V4</f>
        <v/>
      </c>
      <c r="J4" s="68">
        <f>'Opera Günlük Analiz'!W4</f>
        <v/>
      </c>
      <c r="K4" s="90">
        <f>'Opera Günlük Analiz'!Y4</f>
        <v/>
      </c>
      <c r="L4" s="90">
        <f>'Opera Günlük Analiz'!AG4</f>
        <v/>
      </c>
      <c r="M4" s="201">
        <f>'Opera Günlük Analiz'!AI4</f>
        <v/>
      </c>
      <c r="N4" s="68">
        <f>'Opera Günlük Analiz'!AJ4</f>
        <v/>
      </c>
      <c r="O4" s="68">
        <f>'Opera Günlük Analiz'!AK4</f>
        <v/>
      </c>
      <c r="P4" s="90">
        <f>'Opera Günlük Analiz'!F4</f>
        <v/>
      </c>
      <c r="Q4" s="90">
        <f>'Opera Günlük Analiz'!AE4</f>
        <v/>
      </c>
      <c r="R4" s="90">
        <f>F4-K4</f>
        <v/>
      </c>
      <c r="S4" s="73">
        <f>IFERROR(R4/F4,0)</f>
        <v/>
      </c>
      <c r="T4" s="90">
        <f>G4-L4</f>
        <v/>
      </c>
      <c r="U4" s="73">
        <f>IFERROR(T4/G4,0)</f>
        <v/>
      </c>
    </row>
    <row r="5" ht="17.4" customHeight="1" s="188">
      <c r="A5" s="63">
        <f>A4+1</f>
        <v/>
      </c>
      <c r="B5" s="89">
        <f>'Opera Günlük Analiz'!G5</f>
        <v/>
      </c>
      <c r="C5" s="89">
        <f>'Opera Günlük Analiz'!C5</f>
        <v/>
      </c>
      <c r="D5" s="89">
        <f>'Opera Günlük Analiz'!D5</f>
        <v/>
      </c>
      <c r="E5" s="200">
        <f>'Opera Günlük Analiz'!E5</f>
        <v/>
      </c>
      <c r="F5" s="89">
        <f>'Opera Günlük Analiz'!M5</f>
        <v/>
      </c>
      <c r="G5" s="89">
        <f>'Opera Günlük Analiz'!S5</f>
        <v/>
      </c>
      <c r="H5" s="200">
        <f>'Opera Günlük Analiz'!U5</f>
        <v/>
      </c>
      <c r="I5" s="66">
        <f>'Opera Günlük Analiz'!V5</f>
        <v/>
      </c>
      <c r="J5" s="66">
        <f>'Opera Günlük Analiz'!W5</f>
        <v/>
      </c>
      <c r="K5" s="89">
        <f>'Opera Günlük Analiz'!Y5</f>
        <v/>
      </c>
      <c r="L5" s="89">
        <f>'Opera Günlük Analiz'!AG5</f>
        <v/>
      </c>
      <c r="M5" s="200">
        <f>'Opera Günlük Analiz'!AI5</f>
        <v/>
      </c>
      <c r="N5" s="66">
        <f>'Opera Günlük Analiz'!AJ5</f>
        <v/>
      </c>
      <c r="O5" s="66">
        <f>'Opera Günlük Analiz'!AK5</f>
        <v/>
      </c>
      <c r="P5" s="89">
        <f>'Opera Günlük Analiz'!F5</f>
        <v/>
      </c>
      <c r="Q5" s="89">
        <f>'Opera Günlük Analiz'!AE5</f>
        <v/>
      </c>
      <c r="R5" s="89">
        <f>F5-K5</f>
        <v/>
      </c>
      <c r="S5" s="72">
        <f>IFERROR(R5/F5,0)</f>
        <v/>
      </c>
      <c r="T5" s="89">
        <f>G5-L5</f>
        <v/>
      </c>
      <c r="U5" s="72">
        <f>IFERROR(T5/G5,0)</f>
        <v/>
      </c>
    </row>
    <row r="6">
      <c r="A6" s="63">
        <f>A5+1</f>
        <v/>
      </c>
      <c r="B6" s="90">
        <f>'Opera Günlük Analiz'!G6</f>
        <v/>
      </c>
      <c r="C6" s="90">
        <f>'Opera Günlük Analiz'!C6</f>
        <v/>
      </c>
      <c r="D6" s="90">
        <f>'Opera Günlük Analiz'!D6</f>
        <v/>
      </c>
      <c r="E6" s="201">
        <f>'Opera Günlük Analiz'!E6</f>
        <v/>
      </c>
      <c r="F6" s="90">
        <f>'Opera Günlük Analiz'!M6</f>
        <v/>
      </c>
      <c r="G6" s="90">
        <f>'Opera Günlük Analiz'!S6</f>
        <v/>
      </c>
      <c r="H6" s="201">
        <f>'Opera Günlük Analiz'!U6</f>
        <v/>
      </c>
      <c r="I6" s="68">
        <f>'Opera Günlük Analiz'!V6</f>
        <v/>
      </c>
      <c r="J6" s="68">
        <f>'Opera Günlük Analiz'!W6</f>
        <v/>
      </c>
      <c r="K6" s="90">
        <f>'Opera Günlük Analiz'!Y6</f>
        <v/>
      </c>
      <c r="L6" s="90">
        <f>'Opera Günlük Analiz'!AG6</f>
        <v/>
      </c>
      <c r="M6" s="201">
        <f>'Opera Günlük Analiz'!AI6</f>
        <v/>
      </c>
      <c r="N6" s="68">
        <f>'Opera Günlük Analiz'!AJ6</f>
        <v/>
      </c>
      <c r="O6" s="68">
        <f>'Opera Günlük Analiz'!AK6</f>
        <v/>
      </c>
      <c r="P6" s="90">
        <f>'Opera Günlük Analiz'!F6</f>
        <v/>
      </c>
      <c r="Q6" s="90">
        <f>'Opera Günlük Analiz'!AE6</f>
        <v/>
      </c>
      <c r="R6" s="90">
        <f>F6-K6</f>
        <v/>
      </c>
      <c r="S6" s="73">
        <f>IFERROR(R6/F6,0)</f>
        <v/>
      </c>
      <c r="T6" s="90">
        <f>G6-L6</f>
        <v/>
      </c>
      <c r="U6" s="73">
        <f>IFERROR(T6/G6,0)</f>
        <v/>
      </c>
    </row>
    <row r="7">
      <c r="A7" s="63">
        <f>A6+1</f>
        <v/>
      </c>
      <c r="B7" s="89">
        <f>'Opera Günlük Analiz'!G7</f>
        <v/>
      </c>
      <c r="C7" s="89">
        <f>'Opera Günlük Analiz'!C7</f>
        <v/>
      </c>
      <c r="D7" s="89">
        <f>'Opera Günlük Analiz'!D7</f>
        <v/>
      </c>
      <c r="E7" s="200">
        <f>'Opera Günlük Analiz'!E7</f>
        <v/>
      </c>
      <c r="F7" s="89">
        <f>'Opera Günlük Analiz'!M7</f>
        <v/>
      </c>
      <c r="G7" s="89">
        <f>'Opera Günlük Analiz'!S7</f>
        <v/>
      </c>
      <c r="H7" s="200">
        <f>'Opera Günlük Analiz'!U7</f>
        <v/>
      </c>
      <c r="I7" s="66">
        <f>'Opera Günlük Analiz'!V7</f>
        <v/>
      </c>
      <c r="J7" s="66">
        <f>'Opera Günlük Analiz'!W7</f>
        <v/>
      </c>
      <c r="K7" s="89">
        <f>'Opera Günlük Analiz'!Y7</f>
        <v/>
      </c>
      <c r="L7" s="89">
        <f>'Opera Günlük Analiz'!AG7</f>
        <v/>
      </c>
      <c r="M7" s="200">
        <f>'Opera Günlük Analiz'!AI7</f>
        <v/>
      </c>
      <c r="N7" s="66">
        <f>'Opera Günlük Analiz'!AJ7</f>
        <v/>
      </c>
      <c r="O7" s="66">
        <f>'Opera Günlük Analiz'!AK7</f>
        <v/>
      </c>
      <c r="P7" s="89">
        <f>'Opera Günlük Analiz'!F7</f>
        <v/>
      </c>
      <c r="Q7" s="89">
        <f>'Opera Günlük Analiz'!AE7</f>
        <v/>
      </c>
      <c r="R7" s="89">
        <f>F7-K7</f>
        <v/>
      </c>
      <c r="S7" s="72">
        <f>IFERROR(R7/F7,0)</f>
        <v/>
      </c>
      <c r="T7" s="89">
        <f>G7-L7</f>
        <v/>
      </c>
      <c r="U7" s="72">
        <f>IFERROR(T7/G7,0)</f>
        <v/>
      </c>
    </row>
    <row r="8">
      <c r="A8" s="63">
        <f>A7+1</f>
        <v/>
      </c>
      <c r="B8" s="90">
        <f>'Opera Günlük Analiz'!G8</f>
        <v/>
      </c>
      <c r="C8" s="90">
        <f>'Opera Günlük Analiz'!C8</f>
        <v/>
      </c>
      <c r="D8" s="90">
        <f>'Opera Günlük Analiz'!D8</f>
        <v/>
      </c>
      <c r="E8" s="201">
        <f>'Opera Günlük Analiz'!E8</f>
        <v/>
      </c>
      <c r="F8" s="90">
        <f>'Opera Günlük Analiz'!M8</f>
        <v/>
      </c>
      <c r="G8" s="90">
        <f>'Opera Günlük Analiz'!S8</f>
        <v/>
      </c>
      <c r="H8" s="201">
        <f>'Opera Günlük Analiz'!U8</f>
        <v/>
      </c>
      <c r="I8" s="68">
        <f>'Opera Günlük Analiz'!V8</f>
        <v/>
      </c>
      <c r="J8" s="68">
        <f>'Opera Günlük Analiz'!W8</f>
        <v/>
      </c>
      <c r="K8" s="90">
        <f>'Opera Günlük Analiz'!Y8</f>
        <v/>
      </c>
      <c r="L8" s="90">
        <f>'Opera Günlük Analiz'!AG8</f>
        <v/>
      </c>
      <c r="M8" s="201">
        <f>'Opera Günlük Analiz'!AI8</f>
        <v/>
      </c>
      <c r="N8" s="68">
        <f>'Opera Günlük Analiz'!AJ8</f>
        <v/>
      </c>
      <c r="O8" s="68">
        <f>'Opera Günlük Analiz'!AK8</f>
        <v/>
      </c>
      <c r="P8" s="90">
        <f>'Opera Günlük Analiz'!F8</f>
        <v/>
      </c>
      <c r="Q8" s="90">
        <f>'Opera Günlük Analiz'!AE8</f>
        <v/>
      </c>
      <c r="R8" s="90">
        <f>F8-K8</f>
        <v/>
      </c>
      <c r="S8" s="73">
        <f>IFERROR(R8/F8,0)</f>
        <v/>
      </c>
      <c r="T8" s="90">
        <f>G8-L8</f>
        <v/>
      </c>
      <c r="U8" s="73">
        <f>IFERROR(T8/G8,0)</f>
        <v/>
      </c>
    </row>
    <row r="9">
      <c r="A9" s="63">
        <f>A8+1</f>
        <v/>
      </c>
      <c r="B9" s="89">
        <f>'Opera Günlük Analiz'!G9</f>
        <v/>
      </c>
      <c r="C9" s="89">
        <f>'Opera Günlük Analiz'!C9</f>
        <v/>
      </c>
      <c r="D9" s="89">
        <f>'Opera Günlük Analiz'!D9</f>
        <v/>
      </c>
      <c r="E9" s="200">
        <f>'Opera Günlük Analiz'!E9</f>
        <v/>
      </c>
      <c r="F9" s="89">
        <f>'Opera Günlük Analiz'!M9</f>
        <v/>
      </c>
      <c r="G9" s="89">
        <f>'Opera Günlük Analiz'!S9</f>
        <v/>
      </c>
      <c r="H9" s="200">
        <f>'Opera Günlük Analiz'!U9</f>
        <v/>
      </c>
      <c r="I9" s="66">
        <f>'Opera Günlük Analiz'!V9</f>
        <v/>
      </c>
      <c r="J9" s="66">
        <f>'Opera Günlük Analiz'!W9</f>
        <v/>
      </c>
      <c r="K9" s="89">
        <f>'Opera Günlük Analiz'!Y9</f>
        <v/>
      </c>
      <c r="L9" s="89">
        <f>'Opera Günlük Analiz'!AG9</f>
        <v/>
      </c>
      <c r="M9" s="200">
        <f>'Opera Günlük Analiz'!AI9</f>
        <v/>
      </c>
      <c r="N9" s="66">
        <f>'Opera Günlük Analiz'!AJ9</f>
        <v/>
      </c>
      <c r="O9" s="66">
        <f>'Opera Günlük Analiz'!AK9</f>
        <v/>
      </c>
      <c r="P9" s="89">
        <f>'Opera Günlük Analiz'!F9</f>
        <v/>
      </c>
      <c r="Q9" s="89">
        <f>'Opera Günlük Analiz'!AE9</f>
        <v/>
      </c>
      <c r="R9" s="89">
        <f>F9-K9</f>
        <v/>
      </c>
      <c r="S9" s="72">
        <f>IFERROR(R9/F9,0)</f>
        <v/>
      </c>
      <c r="T9" s="89">
        <f>G9-L9</f>
        <v/>
      </c>
      <c r="U9" s="72">
        <f>IFERROR(T9/G9,0)</f>
        <v/>
      </c>
    </row>
    <row r="10">
      <c r="A10" s="63">
        <f>A9+1</f>
        <v/>
      </c>
      <c r="B10" s="90">
        <f>'Opera Günlük Analiz'!G10</f>
        <v/>
      </c>
      <c r="C10" s="90">
        <f>'Opera Günlük Analiz'!C10</f>
        <v/>
      </c>
      <c r="D10" s="90">
        <f>'Opera Günlük Analiz'!D10</f>
        <v/>
      </c>
      <c r="E10" s="201">
        <f>'Opera Günlük Analiz'!E10</f>
        <v/>
      </c>
      <c r="F10" s="90">
        <f>'Opera Günlük Analiz'!M10</f>
        <v/>
      </c>
      <c r="G10" s="90">
        <f>'Opera Günlük Analiz'!S10</f>
        <v/>
      </c>
      <c r="H10" s="201">
        <f>'Opera Günlük Analiz'!U10</f>
        <v/>
      </c>
      <c r="I10" s="68">
        <f>'Opera Günlük Analiz'!V10</f>
        <v/>
      </c>
      <c r="J10" s="68">
        <f>'Opera Günlük Analiz'!W10</f>
        <v/>
      </c>
      <c r="K10" s="90">
        <f>'Opera Günlük Analiz'!Y10</f>
        <v/>
      </c>
      <c r="L10" s="90">
        <f>'Opera Günlük Analiz'!AG10</f>
        <v/>
      </c>
      <c r="M10" s="201">
        <f>'Opera Günlük Analiz'!AI10</f>
        <v/>
      </c>
      <c r="N10" s="68">
        <f>'Opera Günlük Analiz'!AJ10</f>
        <v/>
      </c>
      <c r="O10" s="68">
        <f>'Opera Günlük Analiz'!AK10</f>
        <v/>
      </c>
      <c r="P10" s="90">
        <f>'Opera Günlük Analiz'!F10</f>
        <v/>
      </c>
      <c r="Q10" s="90">
        <f>'Opera Günlük Analiz'!AE10</f>
        <v/>
      </c>
      <c r="R10" s="90">
        <f>F10-K10</f>
        <v/>
      </c>
      <c r="S10" s="73">
        <f>IFERROR(R10/F10,0)</f>
        <v/>
      </c>
      <c r="T10" s="90">
        <f>G10-L10</f>
        <v/>
      </c>
      <c r="U10" s="73">
        <f>IFERROR(T10/G10,0)</f>
        <v/>
      </c>
    </row>
    <row r="11">
      <c r="A11" s="63">
        <f>A10+1</f>
        <v/>
      </c>
      <c r="B11" s="89">
        <f>'Opera Günlük Analiz'!G11</f>
        <v/>
      </c>
      <c r="C11" s="89">
        <f>'Opera Günlük Analiz'!C11</f>
        <v/>
      </c>
      <c r="D11" s="89">
        <f>'Opera Günlük Analiz'!D11</f>
        <v/>
      </c>
      <c r="E11" s="200">
        <f>'Opera Günlük Analiz'!E11</f>
        <v/>
      </c>
      <c r="F11" s="89">
        <f>'Opera Günlük Analiz'!M11</f>
        <v/>
      </c>
      <c r="G11" s="89">
        <f>'Opera Günlük Analiz'!S11</f>
        <v/>
      </c>
      <c r="H11" s="200">
        <f>'Opera Günlük Analiz'!U11</f>
        <v/>
      </c>
      <c r="I11" s="66">
        <f>'Opera Günlük Analiz'!V11</f>
        <v/>
      </c>
      <c r="J11" s="66">
        <f>'Opera Günlük Analiz'!W11</f>
        <v/>
      </c>
      <c r="K11" s="89">
        <f>'Opera Günlük Analiz'!Y11</f>
        <v/>
      </c>
      <c r="L11" s="89">
        <f>'Opera Günlük Analiz'!AG11</f>
        <v/>
      </c>
      <c r="M11" s="200">
        <f>'Opera Günlük Analiz'!AI11</f>
        <v/>
      </c>
      <c r="N11" s="66">
        <f>'Opera Günlük Analiz'!AJ11</f>
        <v/>
      </c>
      <c r="O11" s="66">
        <f>'Opera Günlük Analiz'!AK11</f>
        <v/>
      </c>
      <c r="P11" s="89">
        <f>'Opera Günlük Analiz'!F11</f>
        <v/>
      </c>
      <c r="Q11" s="89">
        <f>'Opera Günlük Analiz'!AE11</f>
        <v/>
      </c>
      <c r="R11" s="89">
        <f>F11-K11</f>
        <v/>
      </c>
      <c r="S11" s="72">
        <f>IFERROR(R11/F11,0)</f>
        <v/>
      </c>
      <c r="T11" s="89">
        <f>G11-L11</f>
        <v/>
      </c>
      <c r="U11" s="72">
        <f>IFERROR(T11/G11,0)</f>
        <v/>
      </c>
    </row>
    <row r="12">
      <c r="A12" s="63">
        <f>A11+1</f>
        <v/>
      </c>
      <c r="B12" s="90">
        <f>'Opera Günlük Analiz'!G12</f>
        <v/>
      </c>
      <c r="C12" s="90">
        <f>'Opera Günlük Analiz'!C12</f>
        <v/>
      </c>
      <c r="D12" s="90">
        <f>'Opera Günlük Analiz'!D12</f>
        <v/>
      </c>
      <c r="E12" s="201">
        <f>'Opera Günlük Analiz'!E12</f>
        <v/>
      </c>
      <c r="F12" s="90">
        <f>'Opera Günlük Analiz'!M12</f>
        <v/>
      </c>
      <c r="G12" s="90">
        <f>'Opera Günlük Analiz'!S12</f>
        <v/>
      </c>
      <c r="H12" s="201">
        <f>'Opera Günlük Analiz'!U12</f>
        <v/>
      </c>
      <c r="I12" s="68">
        <f>'Opera Günlük Analiz'!V12</f>
        <v/>
      </c>
      <c r="J12" s="68">
        <f>'Opera Günlük Analiz'!W12</f>
        <v/>
      </c>
      <c r="K12" s="90">
        <f>'Opera Günlük Analiz'!Y12</f>
        <v/>
      </c>
      <c r="L12" s="90">
        <f>'Opera Günlük Analiz'!AG12</f>
        <v/>
      </c>
      <c r="M12" s="201">
        <f>'Opera Günlük Analiz'!AI12</f>
        <v/>
      </c>
      <c r="N12" s="68">
        <f>'Opera Günlük Analiz'!AJ12</f>
        <v/>
      </c>
      <c r="O12" s="68">
        <f>'Opera Günlük Analiz'!AK12</f>
        <v/>
      </c>
      <c r="P12" s="90">
        <f>'Opera Günlük Analiz'!F12</f>
        <v/>
      </c>
      <c r="Q12" s="90">
        <f>'Opera Günlük Analiz'!AE12</f>
        <v/>
      </c>
      <c r="R12" s="90">
        <f>F12-K12</f>
        <v/>
      </c>
      <c r="S12" s="73">
        <f>IFERROR(R12/F12,0)</f>
        <v/>
      </c>
      <c r="T12" s="90">
        <f>G12-L12</f>
        <v/>
      </c>
      <c r="U12" s="73">
        <f>IFERROR(T12/G12,0)</f>
        <v/>
      </c>
    </row>
    <row r="13">
      <c r="A13" s="63">
        <f>A12+1</f>
        <v/>
      </c>
      <c r="B13" s="89">
        <f>'Opera Günlük Analiz'!G13</f>
        <v/>
      </c>
      <c r="C13" s="89">
        <f>'Opera Günlük Analiz'!C13</f>
        <v/>
      </c>
      <c r="D13" s="89">
        <f>'Opera Günlük Analiz'!D13</f>
        <v/>
      </c>
      <c r="E13" s="200">
        <f>'Opera Günlük Analiz'!E13</f>
        <v/>
      </c>
      <c r="F13" s="89">
        <f>'Opera Günlük Analiz'!M13</f>
        <v/>
      </c>
      <c r="G13" s="89">
        <f>'Opera Günlük Analiz'!S13</f>
        <v/>
      </c>
      <c r="H13" s="200">
        <f>'Opera Günlük Analiz'!U13</f>
        <v/>
      </c>
      <c r="I13" s="66">
        <f>'Opera Günlük Analiz'!V13</f>
        <v/>
      </c>
      <c r="J13" s="66">
        <f>'Opera Günlük Analiz'!W13</f>
        <v/>
      </c>
      <c r="K13" s="89">
        <f>'Opera Günlük Analiz'!Y13</f>
        <v/>
      </c>
      <c r="L13" s="89">
        <f>'Opera Günlük Analiz'!AG13</f>
        <v/>
      </c>
      <c r="M13" s="200">
        <f>'Opera Günlük Analiz'!AI13</f>
        <v/>
      </c>
      <c r="N13" s="66">
        <f>'Opera Günlük Analiz'!AJ13</f>
        <v/>
      </c>
      <c r="O13" s="66">
        <f>'Opera Günlük Analiz'!AK13</f>
        <v/>
      </c>
      <c r="P13" s="89">
        <f>'Opera Günlük Analiz'!F13</f>
        <v/>
      </c>
      <c r="Q13" s="89">
        <f>'Opera Günlük Analiz'!AE13</f>
        <v/>
      </c>
      <c r="R13" s="89">
        <f>F13-K13</f>
        <v/>
      </c>
      <c r="S13" s="72">
        <f>IFERROR(R13/F13,0)</f>
        <v/>
      </c>
      <c r="T13" s="89">
        <f>G13-L13</f>
        <v/>
      </c>
      <c r="U13" s="72">
        <f>IFERROR(T13/G13,0)</f>
        <v/>
      </c>
    </row>
    <row r="14">
      <c r="A14" s="63">
        <f>A13+1</f>
        <v/>
      </c>
      <c r="B14" s="90">
        <f>'Opera Günlük Analiz'!G14</f>
        <v/>
      </c>
      <c r="C14" s="90">
        <f>'Opera Günlük Analiz'!C14</f>
        <v/>
      </c>
      <c r="D14" s="90">
        <f>'Opera Günlük Analiz'!D14</f>
        <v/>
      </c>
      <c r="E14" s="201">
        <f>'Opera Günlük Analiz'!E14</f>
        <v/>
      </c>
      <c r="F14" s="90">
        <f>'Opera Günlük Analiz'!M14</f>
        <v/>
      </c>
      <c r="G14" s="90">
        <f>'Opera Günlük Analiz'!S14</f>
        <v/>
      </c>
      <c r="H14" s="201">
        <f>'Opera Günlük Analiz'!U14</f>
        <v/>
      </c>
      <c r="I14" s="68">
        <f>'Opera Günlük Analiz'!V14</f>
        <v/>
      </c>
      <c r="J14" s="68">
        <f>'Opera Günlük Analiz'!W14</f>
        <v/>
      </c>
      <c r="K14" s="90">
        <f>'Opera Günlük Analiz'!Y14</f>
        <v/>
      </c>
      <c r="L14" s="90">
        <f>'Opera Günlük Analiz'!AG14</f>
        <v/>
      </c>
      <c r="M14" s="201">
        <f>'Opera Günlük Analiz'!AI14</f>
        <v/>
      </c>
      <c r="N14" s="68">
        <f>'Opera Günlük Analiz'!AJ14</f>
        <v/>
      </c>
      <c r="O14" s="68">
        <f>'Opera Günlük Analiz'!AK14</f>
        <v/>
      </c>
      <c r="P14" s="90">
        <f>'Opera Günlük Analiz'!F14</f>
        <v/>
      </c>
      <c r="Q14" s="90">
        <f>'Opera Günlük Analiz'!AE14</f>
        <v/>
      </c>
      <c r="R14" s="90">
        <f>F14-K14</f>
        <v/>
      </c>
      <c r="S14" s="73">
        <f>IFERROR(R14/F14,0)</f>
        <v/>
      </c>
      <c r="T14" s="90">
        <f>G14-L14</f>
        <v/>
      </c>
      <c r="U14" s="73">
        <f>IFERROR(T14/G14,0)</f>
        <v/>
      </c>
    </row>
    <row r="15">
      <c r="A15" s="63">
        <f>A14+1</f>
        <v/>
      </c>
      <c r="B15" s="89">
        <f>'Opera Günlük Analiz'!G15</f>
        <v/>
      </c>
      <c r="C15" s="89">
        <f>'Opera Günlük Analiz'!C15</f>
        <v/>
      </c>
      <c r="D15" s="89">
        <f>'Opera Günlük Analiz'!D15</f>
        <v/>
      </c>
      <c r="E15" s="200">
        <f>'Opera Günlük Analiz'!E15</f>
        <v/>
      </c>
      <c r="F15" s="89">
        <f>'Opera Günlük Analiz'!M15</f>
        <v/>
      </c>
      <c r="G15" s="89">
        <f>'Opera Günlük Analiz'!S15</f>
        <v/>
      </c>
      <c r="H15" s="200">
        <f>'Opera Günlük Analiz'!U15</f>
        <v/>
      </c>
      <c r="I15" s="66">
        <f>'Opera Günlük Analiz'!V15</f>
        <v/>
      </c>
      <c r="J15" s="66">
        <f>'Opera Günlük Analiz'!W15</f>
        <v/>
      </c>
      <c r="K15" s="89">
        <f>'Opera Günlük Analiz'!Y15</f>
        <v/>
      </c>
      <c r="L15" s="89">
        <f>'Opera Günlük Analiz'!AG15</f>
        <v/>
      </c>
      <c r="M15" s="200">
        <f>'Opera Günlük Analiz'!AI15</f>
        <v/>
      </c>
      <c r="N15" s="66">
        <f>'Opera Günlük Analiz'!AJ15</f>
        <v/>
      </c>
      <c r="O15" s="66">
        <f>'Opera Günlük Analiz'!AK15</f>
        <v/>
      </c>
      <c r="P15" s="89">
        <f>'Opera Günlük Analiz'!F15</f>
        <v/>
      </c>
      <c r="Q15" s="89">
        <f>'Opera Günlük Analiz'!AE15</f>
        <v/>
      </c>
      <c r="R15" s="89">
        <f>F15-K15</f>
        <v/>
      </c>
      <c r="S15" s="72">
        <f>IFERROR(R15/F15,0)</f>
        <v/>
      </c>
      <c r="T15" s="89">
        <f>G15-L15</f>
        <v/>
      </c>
      <c r="U15" s="72">
        <f>IFERROR(T15/G15,0)</f>
        <v/>
      </c>
    </row>
    <row r="16">
      <c r="A16" s="63">
        <f>A15+1</f>
        <v/>
      </c>
      <c r="B16" s="90">
        <f>'Opera Günlük Analiz'!G16</f>
        <v/>
      </c>
      <c r="C16" s="90">
        <f>'Opera Günlük Analiz'!C16</f>
        <v/>
      </c>
      <c r="D16" s="90">
        <f>'Opera Günlük Analiz'!D16</f>
        <v/>
      </c>
      <c r="E16" s="201">
        <f>'Opera Günlük Analiz'!E16</f>
        <v/>
      </c>
      <c r="F16" s="90">
        <f>'Opera Günlük Analiz'!M16</f>
        <v/>
      </c>
      <c r="G16" s="90">
        <f>'Opera Günlük Analiz'!S16</f>
        <v/>
      </c>
      <c r="H16" s="201">
        <f>'Opera Günlük Analiz'!U16</f>
        <v/>
      </c>
      <c r="I16" s="68">
        <f>'Opera Günlük Analiz'!V16</f>
        <v/>
      </c>
      <c r="J16" s="68">
        <f>'Opera Günlük Analiz'!W16</f>
        <v/>
      </c>
      <c r="K16" s="90">
        <f>'Opera Günlük Analiz'!Y16</f>
        <v/>
      </c>
      <c r="L16" s="90">
        <f>'Opera Günlük Analiz'!AG16</f>
        <v/>
      </c>
      <c r="M16" s="201">
        <f>'Opera Günlük Analiz'!AI16</f>
        <v/>
      </c>
      <c r="N16" s="68">
        <f>'Opera Günlük Analiz'!AJ16</f>
        <v/>
      </c>
      <c r="O16" s="68">
        <f>'Opera Günlük Analiz'!AK16</f>
        <v/>
      </c>
      <c r="P16" s="90">
        <f>'Opera Günlük Analiz'!F16</f>
        <v/>
      </c>
      <c r="Q16" s="90">
        <f>'Opera Günlük Analiz'!AE16</f>
        <v/>
      </c>
      <c r="R16" s="90">
        <f>F16-K16</f>
        <v/>
      </c>
      <c r="S16" s="73">
        <f>IFERROR(R16/F16,0)</f>
        <v/>
      </c>
      <c r="T16" s="90">
        <f>G16-L16</f>
        <v/>
      </c>
      <c r="U16" s="73">
        <f>IFERROR(T16/G16,0)</f>
        <v/>
      </c>
    </row>
    <row r="17">
      <c r="A17" s="63">
        <f>A16+1</f>
        <v/>
      </c>
      <c r="B17" s="89">
        <f>'Opera Günlük Analiz'!G17</f>
        <v/>
      </c>
      <c r="C17" s="89">
        <f>'Opera Günlük Analiz'!C17</f>
        <v/>
      </c>
      <c r="D17" s="89">
        <f>'Opera Günlük Analiz'!D17</f>
        <v/>
      </c>
      <c r="E17" s="200">
        <f>'Opera Günlük Analiz'!E17</f>
        <v/>
      </c>
      <c r="F17" s="89">
        <f>'Opera Günlük Analiz'!M17</f>
        <v/>
      </c>
      <c r="G17" s="89">
        <f>'Opera Günlük Analiz'!S17</f>
        <v/>
      </c>
      <c r="H17" s="200">
        <f>'Opera Günlük Analiz'!U17</f>
        <v/>
      </c>
      <c r="I17" s="66">
        <f>'Opera Günlük Analiz'!V17</f>
        <v/>
      </c>
      <c r="J17" s="66">
        <f>'Opera Günlük Analiz'!W17</f>
        <v/>
      </c>
      <c r="K17" s="89">
        <f>'Opera Günlük Analiz'!Y17</f>
        <v/>
      </c>
      <c r="L17" s="89">
        <f>'Opera Günlük Analiz'!AG17</f>
        <v/>
      </c>
      <c r="M17" s="200">
        <f>'Opera Günlük Analiz'!AI17</f>
        <v/>
      </c>
      <c r="N17" s="66">
        <f>'Opera Günlük Analiz'!AJ17</f>
        <v/>
      </c>
      <c r="O17" s="66">
        <f>'Opera Günlük Analiz'!AK17</f>
        <v/>
      </c>
      <c r="P17" s="89">
        <f>'Opera Günlük Analiz'!F17</f>
        <v/>
      </c>
      <c r="Q17" s="89">
        <f>'Opera Günlük Analiz'!AE17</f>
        <v/>
      </c>
      <c r="R17" s="89">
        <f>F17-K17</f>
        <v/>
      </c>
      <c r="S17" s="72">
        <f>IFERROR(R17/F17,0)</f>
        <v/>
      </c>
      <c r="T17" s="89">
        <f>G17-L17</f>
        <v/>
      </c>
      <c r="U17" s="72">
        <f>IFERROR(T17/G17,0)</f>
        <v/>
      </c>
    </row>
    <row r="18">
      <c r="A18" s="63">
        <f>A17+1</f>
        <v/>
      </c>
      <c r="B18" s="90">
        <f>'Opera Günlük Analiz'!G18</f>
        <v/>
      </c>
      <c r="C18" s="90">
        <f>'Opera Günlük Analiz'!C18</f>
        <v/>
      </c>
      <c r="D18" s="90">
        <f>'Opera Günlük Analiz'!D18</f>
        <v/>
      </c>
      <c r="E18" s="201">
        <f>'Opera Günlük Analiz'!E18</f>
        <v/>
      </c>
      <c r="F18" s="90">
        <f>'Opera Günlük Analiz'!M18</f>
        <v/>
      </c>
      <c r="G18" s="90">
        <f>'Opera Günlük Analiz'!S18</f>
        <v/>
      </c>
      <c r="H18" s="201">
        <f>'Opera Günlük Analiz'!U18</f>
        <v/>
      </c>
      <c r="I18" s="68">
        <f>'Opera Günlük Analiz'!V18</f>
        <v/>
      </c>
      <c r="J18" s="68">
        <f>'Opera Günlük Analiz'!W18</f>
        <v/>
      </c>
      <c r="K18" s="90">
        <f>'Opera Günlük Analiz'!Y18</f>
        <v/>
      </c>
      <c r="L18" s="90">
        <f>'Opera Günlük Analiz'!AG18</f>
        <v/>
      </c>
      <c r="M18" s="201">
        <f>'Opera Günlük Analiz'!AI18</f>
        <v/>
      </c>
      <c r="N18" s="68">
        <f>'Opera Günlük Analiz'!AJ18</f>
        <v/>
      </c>
      <c r="O18" s="68">
        <f>'Opera Günlük Analiz'!AK18</f>
        <v/>
      </c>
      <c r="P18" s="90">
        <f>'Opera Günlük Analiz'!F18</f>
        <v/>
      </c>
      <c r="Q18" s="90">
        <f>'Opera Günlük Analiz'!AE18</f>
        <v/>
      </c>
      <c r="R18" s="90">
        <f>F18-K18</f>
        <v/>
      </c>
      <c r="S18" s="73">
        <f>IFERROR(R18/F18,0)</f>
        <v/>
      </c>
      <c r="T18" s="90">
        <f>G18-L18</f>
        <v/>
      </c>
      <c r="U18" s="73">
        <f>IFERROR(T18/G18,0)</f>
        <v/>
      </c>
    </row>
    <row r="19">
      <c r="A19" s="63">
        <f>A18+1</f>
        <v/>
      </c>
      <c r="B19" s="89">
        <f>'Opera Günlük Analiz'!G19</f>
        <v/>
      </c>
      <c r="C19" s="89">
        <f>'Opera Günlük Analiz'!C19</f>
        <v/>
      </c>
      <c r="D19" s="89">
        <f>'Opera Günlük Analiz'!D19</f>
        <v/>
      </c>
      <c r="E19" s="200">
        <f>'Opera Günlük Analiz'!E19</f>
        <v/>
      </c>
      <c r="F19" s="89">
        <f>'Opera Günlük Analiz'!M19</f>
        <v/>
      </c>
      <c r="G19" s="89">
        <f>'Opera Günlük Analiz'!S19</f>
        <v/>
      </c>
      <c r="H19" s="200">
        <f>'Opera Günlük Analiz'!U19</f>
        <v/>
      </c>
      <c r="I19" s="66">
        <f>'Opera Günlük Analiz'!V19</f>
        <v/>
      </c>
      <c r="J19" s="66">
        <f>'Opera Günlük Analiz'!W19</f>
        <v/>
      </c>
      <c r="K19" s="89">
        <f>'Opera Günlük Analiz'!Y19</f>
        <v/>
      </c>
      <c r="L19" s="89">
        <f>'Opera Günlük Analiz'!AG19</f>
        <v/>
      </c>
      <c r="M19" s="200">
        <f>'Opera Günlük Analiz'!AI19</f>
        <v/>
      </c>
      <c r="N19" s="66">
        <f>'Opera Günlük Analiz'!AJ19</f>
        <v/>
      </c>
      <c r="O19" s="66">
        <f>'Opera Günlük Analiz'!AK19</f>
        <v/>
      </c>
      <c r="P19" s="89">
        <f>'Opera Günlük Analiz'!F19</f>
        <v/>
      </c>
      <c r="Q19" s="89">
        <f>'Opera Günlük Analiz'!AE19</f>
        <v/>
      </c>
      <c r="R19" s="89">
        <f>F19-K19</f>
        <v/>
      </c>
      <c r="S19" s="72">
        <f>IFERROR(R19/F19,0)</f>
        <v/>
      </c>
      <c r="T19" s="89">
        <f>G19-L19</f>
        <v/>
      </c>
      <c r="U19" s="72">
        <f>IFERROR(T19/G19,0)</f>
        <v/>
      </c>
    </row>
    <row r="20">
      <c r="A20" s="63">
        <f>A19+1</f>
        <v/>
      </c>
      <c r="B20" s="90">
        <f>'Opera Günlük Analiz'!G20</f>
        <v/>
      </c>
      <c r="C20" s="90">
        <f>'Opera Günlük Analiz'!C20</f>
        <v/>
      </c>
      <c r="D20" s="90">
        <f>'Opera Günlük Analiz'!D20</f>
        <v/>
      </c>
      <c r="E20" s="201">
        <f>'Opera Günlük Analiz'!E20</f>
        <v/>
      </c>
      <c r="F20" s="90">
        <f>'Opera Günlük Analiz'!M20</f>
        <v/>
      </c>
      <c r="G20" s="90">
        <f>'Opera Günlük Analiz'!S20</f>
        <v/>
      </c>
      <c r="H20" s="201">
        <f>'Opera Günlük Analiz'!U20</f>
        <v/>
      </c>
      <c r="I20" s="68">
        <f>'Opera Günlük Analiz'!V20</f>
        <v/>
      </c>
      <c r="J20" s="68">
        <f>'Opera Günlük Analiz'!W20</f>
        <v/>
      </c>
      <c r="K20" s="90">
        <f>'Opera Günlük Analiz'!Y20</f>
        <v/>
      </c>
      <c r="L20" s="90">
        <f>'Opera Günlük Analiz'!AG20</f>
        <v/>
      </c>
      <c r="M20" s="201">
        <f>'Opera Günlük Analiz'!AI20</f>
        <v/>
      </c>
      <c r="N20" s="68">
        <f>'Opera Günlük Analiz'!AJ20</f>
        <v/>
      </c>
      <c r="O20" s="68">
        <f>'Opera Günlük Analiz'!AK20</f>
        <v/>
      </c>
      <c r="P20" s="90">
        <f>'Opera Günlük Analiz'!F20</f>
        <v/>
      </c>
      <c r="Q20" s="90">
        <f>'Opera Günlük Analiz'!AE20</f>
        <v/>
      </c>
      <c r="R20" s="90">
        <f>F20-K20</f>
        <v/>
      </c>
      <c r="S20" s="73">
        <f>IFERROR(R20/F20,0)</f>
        <v/>
      </c>
      <c r="T20" s="90">
        <f>G20-L20</f>
        <v/>
      </c>
      <c r="U20" s="73">
        <f>IFERROR(T20/G20,0)</f>
        <v/>
      </c>
    </row>
    <row r="21">
      <c r="A21" s="63">
        <f>A20+1</f>
        <v/>
      </c>
      <c r="B21" s="89">
        <f>'Opera Günlük Analiz'!G21</f>
        <v/>
      </c>
      <c r="C21" s="89">
        <f>'Opera Günlük Analiz'!C21</f>
        <v/>
      </c>
      <c r="D21" s="89">
        <f>'Opera Günlük Analiz'!D21</f>
        <v/>
      </c>
      <c r="E21" s="200">
        <f>'Opera Günlük Analiz'!E21</f>
        <v/>
      </c>
      <c r="F21" s="89">
        <f>'Opera Günlük Analiz'!M21</f>
        <v/>
      </c>
      <c r="G21" s="89">
        <f>'Opera Günlük Analiz'!S21</f>
        <v/>
      </c>
      <c r="H21" s="200">
        <f>'Opera Günlük Analiz'!U21</f>
        <v/>
      </c>
      <c r="I21" s="66">
        <f>'Opera Günlük Analiz'!V21</f>
        <v/>
      </c>
      <c r="J21" s="66">
        <f>'Opera Günlük Analiz'!W21</f>
        <v/>
      </c>
      <c r="K21" s="89">
        <f>'Opera Günlük Analiz'!Y21</f>
        <v/>
      </c>
      <c r="L21" s="89">
        <f>'Opera Günlük Analiz'!AG21</f>
        <v/>
      </c>
      <c r="M21" s="200">
        <f>'Opera Günlük Analiz'!AI21</f>
        <v/>
      </c>
      <c r="N21" s="66">
        <f>'Opera Günlük Analiz'!AJ21</f>
        <v/>
      </c>
      <c r="O21" s="66">
        <f>'Opera Günlük Analiz'!AK21</f>
        <v/>
      </c>
      <c r="P21" s="89">
        <f>'Opera Günlük Analiz'!F21</f>
        <v/>
      </c>
      <c r="Q21" s="89">
        <f>'Opera Günlük Analiz'!AE21</f>
        <v/>
      </c>
      <c r="R21" s="89">
        <f>F21-K21</f>
        <v/>
      </c>
      <c r="S21" s="72">
        <f>IFERROR(R21/F21,0)</f>
        <v/>
      </c>
      <c r="T21" s="89">
        <f>G21-L21</f>
        <v/>
      </c>
      <c r="U21" s="72">
        <f>IFERROR(T21/G21,0)</f>
        <v/>
      </c>
    </row>
    <row r="22">
      <c r="A22" s="63">
        <f>A21+1</f>
        <v/>
      </c>
      <c r="B22" s="90">
        <f>'Opera Günlük Analiz'!G22</f>
        <v/>
      </c>
      <c r="C22" s="90">
        <f>'Opera Günlük Analiz'!C22</f>
        <v/>
      </c>
      <c r="D22" s="90">
        <f>'Opera Günlük Analiz'!D22</f>
        <v/>
      </c>
      <c r="E22" s="201">
        <f>'Opera Günlük Analiz'!E22</f>
        <v/>
      </c>
      <c r="F22" s="90">
        <f>'Opera Günlük Analiz'!M22</f>
        <v/>
      </c>
      <c r="G22" s="90">
        <f>'Opera Günlük Analiz'!S22</f>
        <v/>
      </c>
      <c r="H22" s="201">
        <f>'Opera Günlük Analiz'!U22</f>
        <v/>
      </c>
      <c r="I22" s="68">
        <f>'Opera Günlük Analiz'!V22</f>
        <v/>
      </c>
      <c r="J22" s="68">
        <f>'Opera Günlük Analiz'!W22</f>
        <v/>
      </c>
      <c r="K22" s="90">
        <f>'Opera Günlük Analiz'!Y22</f>
        <v/>
      </c>
      <c r="L22" s="90">
        <f>'Opera Günlük Analiz'!AG22</f>
        <v/>
      </c>
      <c r="M22" s="201">
        <f>'Opera Günlük Analiz'!AI22</f>
        <v/>
      </c>
      <c r="N22" s="68">
        <f>'Opera Günlük Analiz'!AJ22</f>
        <v/>
      </c>
      <c r="O22" s="68">
        <f>'Opera Günlük Analiz'!AK22</f>
        <v/>
      </c>
      <c r="P22" s="90">
        <f>'Opera Günlük Analiz'!F22</f>
        <v/>
      </c>
      <c r="Q22" s="90">
        <f>'Opera Günlük Analiz'!AE22</f>
        <v/>
      </c>
      <c r="R22" s="90">
        <f>F22-K22</f>
        <v/>
      </c>
      <c r="S22" s="73">
        <f>IFERROR(R22/F22,0)</f>
        <v/>
      </c>
      <c r="T22" s="90">
        <f>G22-L22</f>
        <v/>
      </c>
      <c r="U22" s="73">
        <f>IFERROR(T22/G22,0)</f>
        <v/>
      </c>
    </row>
    <row r="23">
      <c r="A23" s="63">
        <f>A22+1</f>
        <v/>
      </c>
      <c r="B23" s="89">
        <f>'Opera Günlük Analiz'!G23</f>
        <v/>
      </c>
      <c r="C23" s="89">
        <f>'Opera Günlük Analiz'!C23</f>
        <v/>
      </c>
      <c r="D23" s="89">
        <f>'Opera Günlük Analiz'!D23</f>
        <v/>
      </c>
      <c r="E23" s="200">
        <f>'Opera Günlük Analiz'!E23</f>
        <v/>
      </c>
      <c r="F23" s="89">
        <f>'Opera Günlük Analiz'!M23</f>
        <v/>
      </c>
      <c r="G23" s="89">
        <f>'Opera Günlük Analiz'!S23</f>
        <v/>
      </c>
      <c r="H23" s="200">
        <f>'Opera Günlük Analiz'!U23</f>
        <v/>
      </c>
      <c r="I23" s="66">
        <f>'Opera Günlük Analiz'!V23</f>
        <v/>
      </c>
      <c r="J23" s="66">
        <f>'Opera Günlük Analiz'!W23</f>
        <v/>
      </c>
      <c r="K23" s="89">
        <f>'Opera Günlük Analiz'!Y23</f>
        <v/>
      </c>
      <c r="L23" s="89">
        <f>'Opera Günlük Analiz'!AG23</f>
        <v/>
      </c>
      <c r="M23" s="200">
        <f>'Opera Günlük Analiz'!AI23</f>
        <v/>
      </c>
      <c r="N23" s="66">
        <f>'Opera Günlük Analiz'!AJ23</f>
        <v/>
      </c>
      <c r="O23" s="66">
        <f>'Opera Günlük Analiz'!AK23</f>
        <v/>
      </c>
      <c r="P23" s="89">
        <f>'Opera Günlük Analiz'!F23</f>
        <v/>
      </c>
      <c r="Q23" s="89">
        <f>'Opera Günlük Analiz'!AE23</f>
        <v/>
      </c>
      <c r="R23" s="89">
        <f>F23-K23</f>
        <v/>
      </c>
      <c r="S23" s="72">
        <f>IFERROR(R23/F23,0)</f>
        <v/>
      </c>
      <c r="T23" s="89">
        <f>G23-L23</f>
        <v/>
      </c>
      <c r="U23" s="72">
        <f>IFERROR(T23/G23,0)</f>
        <v/>
      </c>
    </row>
    <row r="24">
      <c r="A24" s="63">
        <f>A23+1</f>
        <v/>
      </c>
      <c r="B24" s="90">
        <f>'Opera Günlük Analiz'!G24</f>
        <v/>
      </c>
      <c r="C24" s="90">
        <f>'Opera Günlük Analiz'!C24</f>
        <v/>
      </c>
      <c r="D24" s="90">
        <f>'Opera Günlük Analiz'!D24</f>
        <v/>
      </c>
      <c r="E24" s="201">
        <f>'Opera Günlük Analiz'!E24</f>
        <v/>
      </c>
      <c r="F24" s="90">
        <f>'Opera Günlük Analiz'!M24</f>
        <v/>
      </c>
      <c r="G24" s="90">
        <f>'Opera Günlük Analiz'!S24</f>
        <v/>
      </c>
      <c r="H24" s="201">
        <f>'Opera Günlük Analiz'!U24</f>
        <v/>
      </c>
      <c r="I24" s="68">
        <f>'Opera Günlük Analiz'!V24</f>
        <v/>
      </c>
      <c r="J24" s="68">
        <f>'Opera Günlük Analiz'!W24</f>
        <v/>
      </c>
      <c r="K24" s="90">
        <f>'Opera Günlük Analiz'!Y24</f>
        <v/>
      </c>
      <c r="L24" s="90">
        <f>'Opera Günlük Analiz'!AG24</f>
        <v/>
      </c>
      <c r="M24" s="201">
        <f>'Opera Günlük Analiz'!AI24</f>
        <v/>
      </c>
      <c r="N24" s="68">
        <f>'Opera Günlük Analiz'!AJ24</f>
        <v/>
      </c>
      <c r="O24" s="68">
        <f>'Opera Günlük Analiz'!AK24</f>
        <v/>
      </c>
      <c r="P24" s="90">
        <f>'Opera Günlük Analiz'!F24</f>
        <v/>
      </c>
      <c r="Q24" s="90">
        <f>'Opera Günlük Analiz'!AE24</f>
        <v/>
      </c>
      <c r="R24" s="90">
        <f>F24-K24</f>
        <v/>
      </c>
      <c r="S24" s="73">
        <f>IFERROR(R24/F24,0)</f>
        <v/>
      </c>
      <c r="T24" s="90">
        <f>G24-L24</f>
        <v/>
      </c>
      <c r="U24" s="73">
        <f>IFERROR(T24/G24,0)</f>
        <v/>
      </c>
    </row>
    <row r="25">
      <c r="A25" s="63">
        <f>A24+1</f>
        <v/>
      </c>
      <c r="B25" s="89">
        <f>'Opera Günlük Analiz'!G25</f>
        <v/>
      </c>
      <c r="C25" s="89">
        <f>'Opera Günlük Analiz'!C25</f>
        <v/>
      </c>
      <c r="D25" s="89">
        <f>'Opera Günlük Analiz'!D25</f>
        <v/>
      </c>
      <c r="E25" s="200">
        <f>'Opera Günlük Analiz'!E25</f>
        <v/>
      </c>
      <c r="F25" s="89">
        <f>'Opera Günlük Analiz'!M25</f>
        <v/>
      </c>
      <c r="G25" s="89">
        <f>'Opera Günlük Analiz'!S25</f>
        <v/>
      </c>
      <c r="H25" s="200">
        <f>'Opera Günlük Analiz'!U25</f>
        <v/>
      </c>
      <c r="I25" s="66">
        <f>'Opera Günlük Analiz'!V25</f>
        <v/>
      </c>
      <c r="J25" s="66">
        <f>'Opera Günlük Analiz'!W25</f>
        <v/>
      </c>
      <c r="K25" s="89">
        <f>'Opera Günlük Analiz'!Y25</f>
        <v/>
      </c>
      <c r="L25" s="89">
        <f>'Opera Günlük Analiz'!AG25</f>
        <v/>
      </c>
      <c r="M25" s="200">
        <f>'Opera Günlük Analiz'!AI25</f>
        <v/>
      </c>
      <c r="N25" s="66">
        <f>'Opera Günlük Analiz'!AJ25</f>
        <v/>
      </c>
      <c r="O25" s="66">
        <f>'Opera Günlük Analiz'!AK25</f>
        <v/>
      </c>
      <c r="P25" s="89">
        <f>'Opera Günlük Analiz'!F25</f>
        <v/>
      </c>
      <c r="Q25" s="89">
        <f>'Opera Günlük Analiz'!AE25</f>
        <v/>
      </c>
      <c r="R25" s="89">
        <f>F25-K25</f>
        <v/>
      </c>
      <c r="S25" s="72">
        <f>IFERROR(R25/F25,0)</f>
        <v/>
      </c>
      <c r="T25" s="89">
        <f>G25-L25</f>
        <v/>
      </c>
      <c r="U25" s="72">
        <f>IFERROR(T25/G25,0)</f>
        <v/>
      </c>
    </row>
    <row r="26">
      <c r="A26" s="63">
        <f>A25+1</f>
        <v/>
      </c>
      <c r="B26" s="91">
        <f>'Opera Günlük Analiz'!G26</f>
        <v/>
      </c>
      <c r="C26" s="91">
        <f>'Opera Günlük Analiz'!C26</f>
        <v/>
      </c>
      <c r="D26" s="91">
        <f>'Opera Günlük Analiz'!D26</f>
        <v/>
      </c>
      <c r="E26" s="202">
        <f>'Opera Günlük Analiz'!E26</f>
        <v/>
      </c>
      <c r="F26" s="91">
        <f>'Opera Günlük Analiz'!M26</f>
        <v/>
      </c>
      <c r="G26" s="91">
        <f>'Opera Günlük Analiz'!S26</f>
        <v/>
      </c>
      <c r="H26" s="201">
        <f>'Opera Günlük Analiz'!U26</f>
        <v/>
      </c>
      <c r="I26" s="68">
        <f>'Opera Günlük Analiz'!V26</f>
        <v/>
      </c>
      <c r="J26" s="68">
        <f>'Opera Günlük Analiz'!W26</f>
        <v/>
      </c>
      <c r="K26" s="91">
        <f>'Opera Günlük Analiz'!Y26</f>
        <v/>
      </c>
      <c r="L26" s="91">
        <f>'Opera Günlük Analiz'!AG26</f>
        <v/>
      </c>
      <c r="M26" s="201">
        <f>'Opera Günlük Analiz'!AI26</f>
        <v/>
      </c>
      <c r="N26" s="68">
        <f>'Opera Günlük Analiz'!AJ26</f>
        <v/>
      </c>
      <c r="O26" s="68">
        <f>'Opera Günlük Analiz'!AK26</f>
        <v/>
      </c>
      <c r="P26" s="91">
        <f>'Opera Günlük Analiz'!F26</f>
        <v/>
      </c>
      <c r="Q26" s="91">
        <f>'Opera Günlük Analiz'!AE26</f>
        <v/>
      </c>
      <c r="R26" s="91">
        <f>F26-K26</f>
        <v/>
      </c>
      <c r="S26" s="74">
        <f>IFERROR(R26/F26,0)</f>
        <v/>
      </c>
      <c r="T26" s="91">
        <f>G26-L26</f>
        <v/>
      </c>
      <c r="U26" s="74">
        <f>IFERROR(T26/G26,0)</f>
        <v/>
      </c>
    </row>
    <row r="27">
      <c r="A27" s="63">
        <f>A26+1</f>
        <v/>
      </c>
      <c r="B27" s="92">
        <f>'Opera Günlük Analiz'!G27</f>
        <v/>
      </c>
      <c r="C27" s="92">
        <f>'Opera Günlük Analiz'!C27</f>
        <v/>
      </c>
      <c r="D27" s="92">
        <f>'Opera Günlük Analiz'!D27</f>
        <v/>
      </c>
      <c r="E27" s="203">
        <f>'Opera Günlük Analiz'!E27</f>
        <v/>
      </c>
      <c r="F27" s="92">
        <f>'Opera Günlük Analiz'!M27</f>
        <v/>
      </c>
      <c r="G27" s="92">
        <f>'Opera Günlük Analiz'!S27</f>
        <v/>
      </c>
      <c r="H27" s="200">
        <f>'Opera Günlük Analiz'!U27</f>
        <v/>
      </c>
      <c r="I27" s="66">
        <f>'Opera Günlük Analiz'!V27</f>
        <v/>
      </c>
      <c r="J27" s="66">
        <f>'Opera Günlük Analiz'!W27</f>
        <v/>
      </c>
      <c r="K27" s="92">
        <f>'Opera Günlük Analiz'!Y27</f>
        <v/>
      </c>
      <c r="L27" s="92">
        <f>'Opera Günlük Analiz'!AG27</f>
        <v/>
      </c>
      <c r="M27" s="200">
        <f>'Opera Günlük Analiz'!AI27</f>
        <v/>
      </c>
      <c r="N27" s="66">
        <f>'Opera Günlük Analiz'!AJ27</f>
        <v/>
      </c>
      <c r="O27" s="66">
        <f>'Opera Günlük Analiz'!AK27</f>
        <v/>
      </c>
      <c r="P27" s="92">
        <f>'Opera Günlük Analiz'!F27</f>
        <v/>
      </c>
      <c r="Q27" s="92">
        <f>'Opera Günlük Analiz'!AE27</f>
        <v/>
      </c>
      <c r="R27" s="92">
        <f>F27-K27</f>
        <v/>
      </c>
      <c r="S27" s="75">
        <f>IFERROR(R27/F27,0)</f>
        <v/>
      </c>
      <c r="T27" s="92">
        <f>G27-L27</f>
        <v/>
      </c>
      <c r="U27" s="75">
        <f>IFERROR(T27/G27,0)</f>
        <v/>
      </c>
    </row>
    <row r="28" customFormat="1" s="56">
      <c r="A28" s="63">
        <f>A27+1</f>
        <v/>
      </c>
      <c r="B28" s="93">
        <f>'Opera Günlük Analiz'!G28</f>
        <v/>
      </c>
      <c r="C28" s="93">
        <f>'Opera Günlük Analiz'!C28</f>
        <v/>
      </c>
      <c r="D28" s="93">
        <f>'Opera Günlük Analiz'!D28</f>
        <v/>
      </c>
      <c r="E28" s="204">
        <f>'Opera Günlük Analiz'!E28</f>
        <v/>
      </c>
      <c r="F28" s="93">
        <f>'Opera Günlük Analiz'!M28</f>
        <v/>
      </c>
      <c r="G28" s="93">
        <f>'Opera Günlük Analiz'!S28</f>
        <v/>
      </c>
      <c r="H28" s="201">
        <f>'Opera Günlük Analiz'!U28</f>
        <v/>
      </c>
      <c r="I28" s="68">
        <f>'Opera Günlük Analiz'!V28</f>
        <v/>
      </c>
      <c r="J28" s="68">
        <f>'Opera Günlük Analiz'!W28</f>
        <v/>
      </c>
      <c r="K28" s="93">
        <f>'Opera Günlük Analiz'!Y28</f>
        <v/>
      </c>
      <c r="L28" s="93">
        <f>'Opera Günlük Analiz'!AG28</f>
        <v/>
      </c>
      <c r="M28" s="201">
        <f>'Opera Günlük Analiz'!AI28</f>
        <v/>
      </c>
      <c r="N28" s="68">
        <f>'Opera Günlük Analiz'!AJ28</f>
        <v/>
      </c>
      <c r="O28" s="68">
        <f>'Opera Günlük Analiz'!AK28</f>
        <v/>
      </c>
      <c r="P28" s="93">
        <f>'Opera Günlük Analiz'!F28</f>
        <v/>
      </c>
      <c r="Q28" s="93">
        <f>'Opera Günlük Analiz'!AE28</f>
        <v/>
      </c>
      <c r="R28" s="93">
        <f>F28-K28</f>
        <v/>
      </c>
      <c r="S28" s="76">
        <f>IFERROR(R28/F28,0)</f>
        <v/>
      </c>
      <c r="T28" s="93">
        <f>G28-L28</f>
        <v/>
      </c>
      <c r="U28" s="76">
        <f>IFERROR(T28/G28,0)</f>
        <v/>
      </c>
    </row>
    <row r="29">
      <c r="A29" s="63">
        <f>A28+1</f>
        <v/>
      </c>
      <c r="B29" s="92">
        <f>'Opera Günlük Analiz'!G29</f>
        <v/>
      </c>
      <c r="C29" s="92">
        <f>'Opera Günlük Analiz'!C29</f>
        <v/>
      </c>
      <c r="D29" s="92">
        <f>'Opera Günlük Analiz'!D29</f>
        <v/>
      </c>
      <c r="E29" s="203">
        <f>'Opera Günlük Analiz'!E29</f>
        <v/>
      </c>
      <c r="F29" s="92">
        <f>'Opera Günlük Analiz'!M29</f>
        <v/>
      </c>
      <c r="G29" s="92">
        <f>'Opera Günlük Analiz'!S29</f>
        <v/>
      </c>
      <c r="H29" s="200">
        <f>'Opera Günlük Analiz'!U29</f>
        <v/>
      </c>
      <c r="I29" s="66">
        <f>'Opera Günlük Analiz'!V29</f>
        <v/>
      </c>
      <c r="J29" s="66">
        <f>'Opera Günlük Analiz'!W29</f>
        <v/>
      </c>
      <c r="K29" s="92">
        <f>'Opera Günlük Analiz'!Y29</f>
        <v/>
      </c>
      <c r="L29" s="92">
        <f>'Opera Günlük Analiz'!AG29</f>
        <v/>
      </c>
      <c r="M29" s="200">
        <f>'Opera Günlük Analiz'!AI29</f>
        <v/>
      </c>
      <c r="N29" s="66">
        <f>'Opera Günlük Analiz'!AJ29</f>
        <v/>
      </c>
      <c r="O29" s="66">
        <f>'Opera Günlük Analiz'!AK29</f>
        <v/>
      </c>
      <c r="P29" s="92">
        <f>'Opera Günlük Analiz'!F29</f>
        <v/>
      </c>
      <c r="Q29" s="92">
        <f>'Opera Günlük Analiz'!AE29</f>
        <v/>
      </c>
      <c r="R29" s="92">
        <f>F29-K29</f>
        <v/>
      </c>
      <c r="S29" s="75">
        <f>IFERROR(R29/F29,0)</f>
        <v/>
      </c>
      <c r="T29" s="92">
        <f>G29-L29</f>
        <v/>
      </c>
      <c r="U29" s="75">
        <f>IFERROR(T29/G29,0)</f>
        <v/>
      </c>
    </row>
    <row r="30" ht="15" customFormat="1" customHeight="1" s="56">
      <c r="A30" s="63">
        <f>A29+1</f>
        <v/>
      </c>
      <c r="B30" s="93">
        <f>'Opera Günlük Analiz'!G30</f>
        <v/>
      </c>
      <c r="C30" s="93">
        <f>'Opera Günlük Analiz'!C30</f>
        <v/>
      </c>
      <c r="D30" s="93">
        <f>'Opera Günlük Analiz'!D30</f>
        <v/>
      </c>
      <c r="E30" s="204">
        <f>'Opera Günlük Analiz'!E30</f>
        <v/>
      </c>
      <c r="F30" s="93">
        <f>'Opera Günlük Analiz'!M30</f>
        <v/>
      </c>
      <c r="G30" s="93">
        <f>'Opera Günlük Analiz'!S30</f>
        <v/>
      </c>
      <c r="H30" s="201">
        <f>'Opera Günlük Analiz'!U30</f>
        <v/>
      </c>
      <c r="I30" s="68">
        <f>'Opera Günlük Analiz'!V30</f>
        <v/>
      </c>
      <c r="J30" s="68">
        <f>'Opera Günlük Analiz'!W30</f>
        <v/>
      </c>
      <c r="K30" s="93">
        <f>'Opera Günlük Analiz'!Y30</f>
        <v/>
      </c>
      <c r="L30" s="93">
        <f>'Opera Günlük Analiz'!AG30</f>
        <v/>
      </c>
      <c r="M30" s="201">
        <f>'Opera Günlük Analiz'!AI30</f>
        <v/>
      </c>
      <c r="N30" s="68">
        <f>'Opera Günlük Analiz'!AJ30</f>
        <v/>
      </c>
      <c r="O30" s="68">
        <f>'Opera Günlük Analiz'!AK30</f>
        <v/>
      </c>
      <c r="P30" s="93">
        <f>'Opera Günlük Analiz'!F30</f>
        <v/>
      </c>
      <c r="Q30" s="93">
        <f>'Opera Günlük Analiz'!AE30</f>
        <v/>
      </c>
      <c r="R30" s="93">
        <f>F30-K30</f>
        <v/>
      </c>
      <c r="S30" s="76">
        <f>IFERROR(R30/F30,0)</f>
        <v/>
      </c>
      <c r="T30" s="93">
        <f>G30-L30</f>
        <v/>
      </c>
      <c r="U30" s="76">
        <f>IFERROR(T30/G30,0)</f>
        <v/>
      </c>
    </row>
    <row r="31" ht="15" customFormat="1" customHeight="1" s="56">
      <c r="A31" s="63">
        <f>A30+1</f>
        <v/>
      </c>
      <c r="B31" s="92">
        <f>'Opera Günlük Analiz'!G31</f>
        <v/>
      </c>
      <c r="C31" s="92">
        <f>'Opera Günlük Analiz'!C31</f>
        <v/>
      </c>
      <c r="D31" s="92">
        <f>'Opera Günlük Analiz'!D31</f>
        <v/>
      </c>
      <c r="E31" s="203">
        <f>'Opera Günlük Analiz'!E31</f>
        <v/>
      </c>
      <c r="F31" s="92">
        <f>'Opera Günlük Analiz'!M31</f>
        <v/>
      </c>
      <c r="G31" s="92">
        <f>'Opera Günlük Analiz'!S31</f>
        <v/>
      </c>
      <c r="H31" s="200">
        <f>'Opera Günlük Analiz'!U31</f>
        <v/>
      </c>
      <c r="I31" s="66">
        <f>'Opera Günlük Analiz'!V31</f>
        <v/>
      </c>
      <c r="J31" s="66">
        <f>'Opera Günlük Analiz'!W31</f>
        <v/>
      </c>
      <c r="K31" s="92">
        <f>'Opera Günlük Analiz'!Y31</f>
        <v/>
      </c>
      <c r="L31" s="92">
        <f>'Opera Günlük Analiz'!AG31</f>
        <v/>
      </c>
      <c r="M31" s="200">
        <f>'Opera Günlük Analiz'!AI31</f>
        <v/>
      </c>
      <c r="N31" s="66">
        <f>'Opera Günlük Analiz'!AJ31</f>
        <v/>
      </c>
      <c r="O31" s="66">
        <f>'Opera Günlük Analiz'!AK31</f>
        <v/>
      </c>
      <c r="P31" s="92">
        <f>'Opera Günlük Analiz'!F31</f>
        <v/>
      </c>
      <c r="Q31" s="92">
        <f>'Opera Günlük Analiz'!AE31</f>
        <v/>
      </c>
      <c r="R31" s="92">
        <f>F31-K31</f>
        <v/>
      </c>
      <c r="S31" s="75">
        <f>IFERROR(R31/F31,0)</f>
        <v/>
      </c>
      <c r="T31" s="92">
        <f>G31-L31</f>
        <v/>
      </c>
      <c r="U31" s="75">
        <f>IFERROR(T31/G31,0)</f>
        <v/>
      </c>
    </row>
    <row r="32" ht="15" customFormat="1" customHeight="1" s="56">
      <c r="A32" s="63">
        <f>A31+1</f>
        <v/>
      </c>
      <c r="B32" s="93">
        <f>'Opera Günlük Analiz'!G32</f>
        <v/>
      </c>
      <c r="C32" s="93">
        <f>'Opera Günlük Analiz'!C32</f>
        <v/>
      </c>
      <c r="D32" s="93">
        <f>'Opera Günlük Analiz'!D32</f>
        <v/>
      </c>
      <c r="E32" s="204">
        <f>'Opera Günlük Analiz'!E32</f>
        <v/>
      </c>
      <c r="F32" s="93">
        <f>'Opera Günlük Analiz'!M32</f>
        <v/>
      </c>
      <c r="G32" s="93">
        <f>'Opera Günlük Analiz'!S32</f>
        <v/>
      </c>
      <c r="H32" s="201">
        <f>'Opera Günlük Analiz'!U32</f>
        <v/>
      </c>
      <c r="I32" s="68">
        <f>'Opera Günlük Analiz'!V32</f>
        <v/>
      </c>
      <c r="J32" s="68">
        <f>'Opera Günlük Analiz'!W32</f>
        <v/>
      </c>
      <c r="K32" s="93">
        <f>'Opera Günlük Analiz'!Y32</f>
        <v/>
      </c>
      <c r="L32" s="93">
        <f>'Opera Günlük Analiz'!AG32</f>
        <v/>
      </c>
      <c r="M32" s="201">
        <f>'Opera Günlük Analiz'!AI32</f>
        <v/>
      </c>
      <c r="N32" s="68">
        <f>'Opera Günlük Analiz'!AJ32</f>
        <v/>
      </c>
      <c r="O32" s="68">
        <f>'Opera Günlük Analiz'!AK32</f>
        <v/>
      </c>
      <c r="P32" s="93">
        <f>'Opera Günlük Analiz'!F32</f>
        <v/>
      </c>
      <c r="Q32" s="93">
        <f>'Opera Günlük Analiz'!AE32</f>
        <v/>
      </c>
      <c r="R32" s="93">
        <f>F32-K32</f>
        <v/>
      </c>
      <c r="S32" s="76">
        <f>IFERROR(R32/F32,0)</f>
        <v/>
      </c>
      <c r="T32" s="93">
        <f>G32-L32</f>
        <v/>
      </c>
      <c r="U32" s="76">
        <f>IFERROR(T32/G32,0)</f>
        <v/>
      </c>
    </row>
    <row r="33" ht="15" customFormat="1" customHeight="1" s="56">
      <c r="A33" s="63">
        <f>A32+1</f>
        <v/>
      </c>
      <c r="B33" s="92">
        <f>'Opera Günlük Analiz'!G33</f>
        <v/>
      </c>
      <c r="C33" s="92">
        <f>'Opera Günlük Analiz'!C33</f>
        <v/>
      </c>
      <c r="D33" s="92">
        <f>'Opera Günlük Analiz'!D33</f>
        <v/>
      </c>
      <c r="E33" s="203">
        <f>'Opera Günlük Analiz'!E33</f>
        <v/>
      </c>
      <c r="F33" s="92">
        <f>'Opera Günlük Analiz'!M33</f>
        <v/>
      </c>
      <c r="G33" s="92">
        <f>'Opera Günlük Analiz'!S33</f>
        <v/>
      </c>
      <c r="H33" s="200">
        <f>'Opera Günlük Analiz'!U33</f>
        <v/>
      </c>
      <c r="I33" s="66">
        <f>'Opera Günlük Analiz'!V33</f>
        <v/>
      </c>
      <c r="J33" s="66">
        <f>'Opera Günlük Analiz'!W33</f>
        <v/>
      </c>
      <c r="K33" s="92">
        <f>'Opera Günlük Analiz'!Y33</f>
        <v/>
      </c>
      <c r="L33" s="92">
        <f>'Opera Günlük Analiz'!AG33</f>
        <v/>
      </c>
      <c r="M33" s="200">
        <f>'Opera Günlük Analiz'!AI33</f>
        <v/>
      </c>
      <c r="N33" s="66">
        <f>'Opera Günlük Analiz'!AJ33</f>
        <v/>
      </c>
      <c r="O33" s="66">
        <f>'Opera Günlük Analiz'!AK33</f>
        <v/>
      </c>
      <c r="P33" s="92">
        <f>'Opera Günlük Analiz'!F33</f>
        <v/>
      </c>
      <c r="Q33" s="92">
        <f>'Opera Günlük Analiz'!AE33</f>
        <v/>
      </c>
      <c r="R33" s="92">
        <f>F33-K33</f>
        <v/>
      </c>
      <c r="S33" s="75">
        <f>IFERROR(R33/F33,0)</f>
        <v/>
      </c>
      <c r="T33" s="92">
        <f>G33-L33</f>
        <v/>
      </c>
      <c r="U33" s="75">
        <f>IFERROR(T33/G33,0)</f>
        <v/>
      </c>
    </row>
    <row r="34">
      <c r="A34" s="96" t="inlineStr">
        <is>
          <t>Toplam</t>
        </is>
      </c>
      <c r="B34" s="96">
        <f>'Opera Aylık Analiz'!$G$3</f>
        <v/>
      </c>
      <c r="C34" s="116">
        <f>'Opera Aylık Analiz'!$C$3</f>
        <v/>
      </c>
      <c r="D34" s="116">
        <f>'Opera Aylık Analiz'!$D$3</f>
        <v/>
      </c>
      <c r="E34" s="205">
        <f>'Opera Aylık Analiz'!$E$3</f>
        <v/>
      </c>
      <c r="F34" s="115">
        <f>'Opera Aylık Analiz'!$M$3</f>
        <v/>
      </c>
      <c r="G34" s="115">
        <f>'Opera Aylık Analiz'!$S$3</f>
        <v/>
      </c>
      <c r="H34" s="206">
        <f>'Opera Aylık Analiz'!$U$3</f>
        <v/>
      </c>
      <c r="I34" s="139">
        <f>'Opera Aylık Analiz'!$V$3</f>
        <v/>
      </c>
      <c r="J34" s="85">
        <f>'Opera Aylık Analiz'!$W$3</f>
        <v/>
      </c>
      <c r="K34" s="116">
        <f>'Opera Aylık Analiz'!$Y$3</f>
        <v/>
      </c>
      <c r="L34" s="116">
        <f>'Opera Aylık Analiz'!$AG$3</f>
        <v/>
      </c>
      <c r="M34" s="205">
        <f>'Opera Aylık Analiz'!$AI$3</f>
        <v/>
      </c>
      <c r="N34" s="142">
        <f>'Opera Aylık Analiz'!$AJ$3</f>
        <v/>
      </c>
      <c r="O34" s="87">
        <f>'Opera Aylık Analiz'!$AK$3</f>
        <v/>
      </c>
      <c r="P34" s="116">
        <f>'Opera Aylık Analiz'!$F$3</f>
        <v/>
      </c>
      <c r="Q34" s="116">
        <f>'Opera Aylık Analiz'!$AE$3</f>
        <v/>
      </c>
      <c r="R34" s="116">
        <f>'Opera Aylık Analiz'!$AM$3</f>
        <v/>
      </c>
      <c r="S34" s="88">
        <f>'Opera Aylık Analiz'!$AN$3</f>
        <v/>
      </c>
      <c r="T34" s="116">
        <f>'Opera Aylık Analiz'!$AO$3</f>
        <v/>
      </c>
      <c r="U34" s="88">
        <f>'Opera Aylık Analiz'!$AP$3</f>
        <v/>
      </c>
    </row>
    <row r="38" ht="29.4" customHeight="1" s="188">
      <c r="F38" s="153" t="inlineStr">
        <is>
          <t>GİP Öncesi</t>
        </is>
      </c>
      <c r="G38" s="198" t="n"/>
      <c r="H38" s="198" t="n"/>
      <c r="I38" s="198" t="n"/>
      <c r="J38" s="199" t="n"/>
      <c r="K38" s="64" t="inlineStr">
        <is>
          <t>GİP Sonrası</t>
        </is>
      </c>
      <c r="L38" s="198" t="n"/>
      <c r="M38" s="198" t="n"/>
      <c r="N38" s="198" t="n"/>
      <c r="O38" s="199" t="n"/>
    </row>
    <row r="39" ht="57.6" customHeight="1" s="188">
      <c r="A39" s="57" t="inlineStr">
        <is>
          <t>Dönem</t>
        </is>
      </c>
      <c r="B39" s="58" t="inlineStr">
        <is>
          <t>UEVM(MWh)</t>
        </is>
      </c>
      <c r="C39" s="58" t="inlineStr">
        <is>
          <t>PTF (TL/MWh)</t>
        </is>
      </c>
      <c r="D39" s="58" t="inlineStr">
        <is>
          <t>SMF (TL/MWh)</t>
        </is>
      </c>
      <c r="E39" s="58" t="inlineStr">
        <is>
          <t>PTF (USD/MWh)</t>
        </is>
      </c>
      <c r="F39" s="153" t="inlineStr">
        <is>
          <t>İlk KUPST(TL)</t>
        </is>
      </c>
      <c r="G39" s="153" t="inlineStr">
        <is>
          <t>Toplam Maliyet(TL)</t>
        </is>
      </c>
      <c r="H39" s="153" t="inlineStr">
        <is>
          <t>Birim Maliyet(TL/MWh)</t>
        </is>
      </c>
      <c r="I39" s="153" t="inlineStr">
        <is>
          <t>Birim Maliyet(%)</t>
        </is>
      </c>
      <c r="J39" s="153" t="inlineStr">
        <is>
          <t>Dengesizlik Oranı (%)</t>
        </is>
      </c>
      <c r="K39" s="64" t="inlineStr">
        <is>
          <t>Son KUPST(TL)</t>
        </is>
      </c>
      <c r="L39" s="64" t="inlineStr">
        <is>
          <t>Toplam Maliyet(TL)</t>
        </is>
      </c>
      <c r="M39" s="64" t="inlineStr">
        <is>
          <t>Birim Maliyet(TL/MWh)</t>
        </is>
      </c>
      <c r="N39" s="64" t="inlineStr">
        <is>
          <t>Birim Maliyet(%)</t>
        </is>
      </c>
      <c r="O39" s="64" t="inlineStr">
        <is>
          <t>Dengesizlik Oranı (%)</t>
        </is>
      </c>
      <c r="P39" s="60" t="inlineStr">
        <is>
          <t> </t>
        </is>
      </c>
      <c r="Q39" s="60" t="inlineStr">
        <is>
          <t>Net Kazanılan Tutar(TL)</t>
        </is>
      </c>
      <c r="R39" s="61" t="inlineStr">
        <is>
          <t>KUPST Fayda(TL)</t>
        </is>
      </c>
      <c r="S39" s="62" t="inlineStr">
        <is>
          <t>GİP Sonrası KUPST İyileştirme Oranı(%)</t>
        </is>
      </c>
      <c r="T39" s="61" t="inlineStr">
        <is>
          <t>GİP Sonrası Toplam Fayda(TL)</t>
        </is>
      </c>
      <c r="U39" s="62" t="inlineStr">
        <is>
          <t>GİP Sonrası İyileştirme Oranı(%)</t>
        </is>
      </c>
    </row>
    <row r="40">
      <c r="A40" s="207" t="n">
        <v>46023</v>
      </c>
      <c r="B40" s="129" t="n">
        <v>4729.760000000007</v>
      </c>
      <c r="C40" s="129" t="n">
        <v>2894.92069892473</v>
      </c>
      <c r="D40" s="129" t="n">
        <v>2760.639287634408</v>
      </c>
      <c r="E40" s="208" t="n">
        <v>67.20053763440862</v>
      </c>
      <c r="F40" s="129" t="n">
        <v>144921.453915</v>
      </c>
      <c r="G40" s="129" t="n">
        <v>557801.2309939787</v>
      </c>
      <c r="H40" s="208" t="n">
        <v>117.9343626302345</v>
      </c>
      <c r="I40" s="131" t="n">
        <v>0.04029501945363025</v>
      </c>
      <c r="J40" s="131" t="n">
        <v>0.2378513920368049</v>
      </c>
      <c r="K40" s="129" t="n">
        <v>36768.62243499998</v>
      </c>
      <c r="L40" s="129" t="n">
        <v>157309.377363978</v>
      </c>
      <c r="M40" s="208" t="n">
        <v>33.25948406768583</v>
      </c>
      <c r="N40" s="131" t="n">
        <v>0.0113638767161279</v>
      </c>
      <c r="O40" s="131" t="n">
        <v>0.03802729948242609</v>
      </c>
      <c r="P40" s="129" t="n">
        <v>13842932.41589998</v>
      </c>
      <c r="Q40" s="129" t="n">
        <v>13685623.038536</v>
      </c>
      <c r="R40" s="129" t="n">
        <v>108152.83148</v>
      </c>
      <c r="S40" s="132" t="n">
        <v>0.7462858573267855</v>
      </c>
      <c r="T40" s="129" t="n">
        <v>400491.8536300007</v>
      </c>
      <c r="U40" s="132" t="n">
        <v>0.7179830939353448</v>
      </c>
      <c r="V40" s="209" t="n"/>
    </row>
    <row r="41">
      <c r="A41" s="207" t="n">
        <v>46054</v>
      </c>
      <c r="B41" s="129" t="n">
        <v>18430.50000000001</v>
      </c>
      <c r="C41" s="129" t="n">
        <v>2078.194999999998</v>
      </c>
      <c r="D41" s="129" t="n">
        <v>1865.893437499999</v>
      </c>
      <c r="E41" s="208" t="n">
        <v>47.72869047619049</v>
      </c>
      <c r="F41" s="129" t="n">
        <v>426549.2030775002</v>
      </c>
      <c r="G41" s="129" t="n">
        <v>3110222.679917499</v>
      </c>
      <c r="H41" s="208" t="n">
        <v>168.7541130147038</v>
      </c>
      <c r="I41" s="131" t="n">
        <v>0.07462042366310093</v>
      </c>
      <c r="J41" s="131" t="n">
        <v>0.229296003906568</v>
      </c>
      <c r="K41" s="129" t="n">
        <v>85820.79282750002</v>
      </c>
      <c r="L41" s="129" t="n">
        <v>873077.2633275017</v>
      </c>
      <c r="M41" s="208" t="n">
        <v>47.37132814234564</v>
      </c>
      <c r="N41" s="131" t="n">
        <v>0.02094685878949575</v>
      </c>
      <c r="O41" s="131" t="n">
        <v>0.03654594286644416</v>
      </c>
      <c r="P41" s="129" t="n">
        <v>41680581.90019999</v>
      </c>
      <c r="Q41" s="129" t="n">
        <v>40807504.63687249</v>
      </c>
      <c r="R41" s="129" t="n">
        <v>340728.4102500002</v>
      </c>
      <c r="S41" s="132" t="n">
        <v>0.7988021259720719</v>
      </c>
      <c r="T41" s="129" t="n">
        <v>2237145.416589998</v>
      </c>
      <c r="U41" s="132" t="n">
        <v>0.7192878603307399</v>
      </c>
      <c r="V41" s="209" t="n"/>
    </row>
    <row r="42">
      <c r="A42" s="207" t="n">
        <v>46082</v>
      </c>
      <c r="B42" s="129" t="n">
        <v>15270.74999999999</v>
      </c>
      <c r="C42" s="129" t="n">
        <v>1620.324287634408</v>
      </c>
      <c r="D42" s="129" t="n">
        <v>1687.617405913979</v>
      </c>
      <c r="E42" s="208" t="n">
        <v>36.80889784946238</v>
      </c>
      <c r="F42" s="129" t="n">
        <v>290732.7447999998</v>
      </c>
      <c r="G42" s="129" t="n">
        <v>1671137.118163027</v>
      </c>
      <c r="H42" s="208" t="n">
        <v>109.4338600371971</v>
      </c>
      <c r="I42" s="131" t="n">
        <v>0.06288735999082141</v>
      </c>
      <c r="J42" s="131" t="n">
        <v>0.227102794558224</v>
      </c>
      <c r="K42" s="129" t="n">
        <v>33224.97058749999</v>
      </c>
      <c r="L42" s="129" t="n">
        <v>269969.6464125216</v>
      </c>
      <c r="M42" s="208" t="n">
        <v>17.67887277393198</v>
      </c>
      <c r="N42" s="131" t="n">
        <v>0.01015935685708512</v>
      </c>
      <c r="O42" s="131" t="n">
        <v>0.0184162532946974</v>
      </c>
      <c r="P42" s="129" t="n">
        <v>26573497.73320002</v>
      </c>
      <c r="Q42" s="129" t="n">
        <v>26303528.0867875</v>
      </c>
      <c r="R42" s="129" t="n">
        <v>257507.7742124998</v>
      </c>
      <c r="S42" s="132" t="n">
        <v>0.8857198881730504</v>
      </c>
      <c r="T42" s="129" t="n">
        <v>1401167.471750505</v>
      </c>
      <c r="U42" s="132" t="n">
        <v>0.8384515289150648</v>
      </c>
      <c r="V42" s="209" t="n"/>
    </row>
    <row r="43">
      <c r="A43" s="207" t="n">
        <v>46113</v>
      </c>
      <c r="B43" s="129" t="n">
        <v>16987.24999999998</v>
      </c>
      <c r="C43" s="129" t="n">
        <v>921.0565694444448</v>
      </c>
      <c r="D43" s="129" t="n">
        <v>1185.860972222222</v>
      </c>
      <c r="E43" s="208" t="n">
        <v>20.65506944444444</v>
      </c>
      <c r="F43" s="129" t="n">
        <v>214516.6579825</v>
      </c>
      <c r="G43" s="129" t="n">
        <v>1250898.635084502</v>
      </c>
      <c r="H43" s="208" t="n">
        <v>73.63750077761284</v>
      </c>
      <c r="I43" s="131" t="n">
        <v>0.06247449151202364</v>
      </c>
      <c r="J43" s="131" t="n">
        <v>0.1604244359740395</v>
      </c>
      <c r="K43" s="129" t="n">
        <v>41503.6826075</v>
      </c>
      <c r="L43" s="129" t="n">
        <v>307869.477419503</v>
      </c>
      <c r="M43" s="208" t="n">
        <v>18.12356193141935</v>
      </c>
      <c r="N43" s="131" t="n">
        <v>0.01537613721399302</v>
      </c>
      <c r="O43" s="131" t="n">
        <v>0.02480154233322054</v>
      </c>
      <c r="P43" s="129" t="n">
        <v>20022550.081</v>
      </c>
      <c r="Q43" s="129" t="n">
        <v>19714680.60358049</v>
      </c>
      <c r="R43" s="129" t="n">
        <v>173012.975375</v>
      </c>
      <c r="S43" s="132" t="n">
        <v>0.8065246634091894</v>
      </c>
      <c r="T43" s="129" t="n">
        <v>943029.1576649994</v>
      </c>
      <c r="U43" s="132" t="n">
        <v>0.7538813547440594</v>
      </c>
      <c r="V43" s="209" t="n"/>
    </row>
    <row r="44">
      <c r="A44" s="207" t="n">
        <v>46143</v>
      </c>
      <c r="B44" s="129" t="n">
        <v>13232.71</v>
      </c>
      <c r="C44" s="129" t="n">
        <v>590.8999865591401</v>
      </c>
      <c r="D44" s="129" t="n">
        <v>875.2954032258064</v>
      </c>
      <c r="E44" s="208" t="n">
        <v>13.04786290322582</v>
      </c>
      <c r="F44" s="129" t="n">
        <v>299608.6002850002</v>
      </c>
      <c r="G44" s="129" t="n">
        <v>2123120.911824007</v>
      </c>
      <c r="H44" s="208" t="n">
        <v>160.4449059810127</v>
      </c>
      <c r="I44" s="131" t="n">
        <v>0.1282648553628392</v>
      </c>
      <c r="J44" s="131" t="n">
        <v>0.2684582372016012</v>
      </c>
      <c r="K44" s="129" t="n">
        <v>58086.09221499998</v>
      </c>
      <c r="L44" s="129" t="n">
        <v>228774.5901810024</v>
      </c>
      <c r="M44" s="208" t="n">
        <v>17.28856675473145</v>
      </c>
      <c r="N44" s="131" t="n">
        <v>0.01382104031703471</v>
      </c>
      <c r="O44" s="131" t="n">
        <v>0.03659794554554582</v>
      </c>
      <c r="P44" s="129" t="n">
        <v>16552631.70739999</v>
      </c>
      <c r="Q44" s="129" t="n">
        <v>16323857.11721899</v>
      </c>
      <c r="R44" s="129" t="n">
        <v>241522.5080700002</v>
      </c>
      <c r="S44" s="132" t="n">
        <v>0.8061267528377154</v>
      </c>
      <c r="T44" s="129" t="n">
        <v>1894346.321643004</v>
      </c>
      <c r="U44" s="132" t="n">
        <v>0.8922460850406967</v>
      </c>
      <c r="V44" s="209" t="n"/>
    </row>
    <row r="45">
      <c r="A45" s="207" t="n">
        <v>46174</v>
      </c>
      <c r="B45" s="129" t="n">
        <v>20294</v>
      </c>
      <c r="C45" s="129" t="n">
        <v>1240</v>
      </c>
      <c r="D45" s="129" t="n">
        <v>1761</v>
      </c>
      <c r="E45" s="208" t="n">
        <v>26.89</v>
      </c>
      <c r="F45" s="129" t="n">
        <v>223160</v>
      </c>
      <c r="G45" s="129" t="n">
        <v>1395216</v>
      </c>
      <c r="H45" s="208" t="n">
        <v>68.75</v>
      </c>
      <c r="I45" s="131" t="n">
        <v>0.0424</v>
      </c>
      <c r="J45" s="131" t="n">
        <v>0.1451</v>
      </c>
      <c r="K45" s="129" t="n">
        <v>22997</v>
      </c>
      <c r="L45" s="129" t="n">
        <v>-267679</v>
      </c>
      <c r="M45" s="208" t="n">
        <v>-13.19</v>
      </c>
      <c r="N45" s="131" t="n">
        <v>-0.0081</v>
      </c>
      <c r="O45" s="131" t="n">
        <v>0.0165</v>
      </c>
      <c r="P45" s="129" t="n">
        <v>32923516</v>
      </c>
      <c r="Q45" s="129" t="n">
        <v>33191195</v>
      </c>
      <c r="R45" s="129" t="n">
        <v>200163</v>
      </c>
      <c r="S45" s="132" t="n">
        <v>0.9</v>
      </c>
      <c r="T45" s="129" t="n">
        <v>1662894</v>
      </c>
      <c r="U45" s="132" t="n">
        <v>1.19</v>
      </c>
      <c r="V45" s="209" t="n"/>
    </row>
    <row r="46">
      <c r="A46" s="207" t="n">
        <v>46204</v>
      </c>
      <c r="B46" s="129">
        <f>B34</f>
        <v/>
      </c>
      <c r="C46" s="129">
        <f>C34</f>
        <v/>
      </c>
      <c r="D46" s="129">
        <f>D34</f>
        <v/>
      </c>
      <c r="E46" s="208">
        <f>E34</f>
        <v/>
      </c>
      <c r="F46" s="129">
        <f>F34</f>
        <v/>
      </c>
      <c r="G46" s="129">
        <f>G34</f>
        <v/>
      </c>
      <c r="H46" s="208">
        <f>H34</f>
        <v/>
      </c>
      <c r="I46" s="131">
        <f>I34</f>
        <v/>
      </c>
      <c r="J46" s="131">
        <f>J34</f>
        <v/>
      </c>
      <c r="K46" s="129">
        <f>K34</f>
        <v/>
      </c>
      <c r="L46" s="129">
        <f>L34</f>
        <v/>
      </c>
      <c r="M46" s="208">
        <f>M34</f>
        <v/>
      </c>
      <c r="N46" s="131">
        <f>N34</f>
        <v/>
      </c>
      <c r="O46" s="131">
        <f>O34</f>
        <v/>
      </c>
      <c r="P46" s="129">
        <f>P34</f>
        <v/>
      </c>
      <c r="Q46" s="129">
        <f>Q34</f>
        <v/>
      </c>
      <c r="R46" s="129">
        <f>R34</f>
        <v/>
      </c>
      <c r="S46" s="132">
        <f>S34</f>
        <v/>
      </c>
      <c r="T46" s="129">
        <f>T34</f>
        <v/>
      </c>
      <c r="U46" s="132">
        <f>U34</f>
        <v/>
      </c>
    </row>
  </sheetData>
  <mergeCells count="4">
    <mergeCell ref="F1:J1"/>
    <mergeCell ref="K1:O1"/>
    <mergeCell ref="F38:J38"/>
    <mergeCell ref="K38:O38"/>
  </mergeCells>
  <conditionalFormatting sqref="J1:J29">
    <cfRule type="cellIs" priority="22" operator="lessThan" dxfId="3">
      <formula>0</formula>
    </cfRule>
  </conditionalFormatting>
  <conditionalFormatting sqref="J36:J39 J41:J45 J47:J1048576">
    <cfRule type="cellIs" priority="18" operator="lessThan" dxfId="3">
      <formula>0</formula>
    </cfRule>
  </conditionalFormatting>
  <conditionalFormatting sqref="P1:Q1">
    <cfRule type="cellIs" priority="38" operator="lessThan" dxfId="3">
      <formula>0</formula>
    </cfRule>
  </conditionalFormatting>
  <conditionalFormatting sqref="P38:Q38">
    <cfRule type="cellIs" priority="34" operator="lessThan" dxfId="3">
      <formula>0</formula>
    </cfRule>
  </conditionalFormatting>
  <conditionalFormatting sqref="R2 T2">
    <cfRule type="cellIs" priority="37" operator="lessThan" dxfId="0">
      <formula>0</formula>
    </cfRule>
  </conditionalFormatting>
  <conditionalFormatting sqref="R39 T39">
    <cfRule type="cellIs" priority="33" operator="lessThan" dxfId="0">
      <formula>0</formula>
    </cfRule>
  </conditionalFormatting>
  <conditionalFormatting sqref="R1:S1 R34:U34">
    <cfRule type="cellIs" priority="39" operator="lessThan" dxfId="0">
      <formula>0</formula>
    </cfRule>
  </conditionalFormatting>
  <conditionalFormatting sqref="R36:S38">
    <cfRule type="cellIs" priority="35" operator="lessThan" dxfId="0">
      <formula>0</formula>
    </cfRule>
  </conditionalFormatting>
  <conditionalFormatting sqref="R41:S45 R47:S1048576">
    <cfRule type="cellIs" priority="17" operator="lessThan" dxfId="0">
      <formula>0</formula>
    </cfRule>
  </conditionalFormatting>
  <conditionalFormatting sqref="R3:T29">
    <cfRule type="cellIs" priority="21" operator="lessThan" dxfId="0">
      <formula>0</formula>
    </cfRule>
  </conditionalFormatting>
  <conditionalFormatting sqref="J40">
    <cfRule type="cellIs" priority="16" operator="lessThan" dxfId="3">
      <formula>0</formula>
    </cfRule>
  </conditionalFormatting>
  <conditionalFormatting sqref="R40:S40">
    <cfRule type="cellIs" priority="15" operator="lessThan" dxfId="0">
      <formula>0</formula>
    </cfRule>
  </conditionalFormatting>
  <conditionalFormatting sqref="J30:J31">
    <cfRule type="cellIs" priority="10" operator="lessThan" dxfId="3">
      <formula>0</formula>
    </cfRule>
  </conditionalFormatting>
  <conditionalFormatting sqref="R30:T31">
    <cfRule type="cellIs" priority="9" operator="lessThan" dxfId="0">
      <formula>0</formula>
    </cfRule>
  </conditionalFormatting>
  <conditionalFormatting sqref="J32 J34">
    <cfRule type="cellIs" priority="8" operator="lessThan" dxfId="3">
      <formula>0</formula>
    </cfRule>
  </conditionalFormatting>
  <conditionalFormatting sqref="R32:T32 R34:T34">
    <cfRule type="cellIs" priority="7" operator="lessThan" dxfId="0">
      <formula>0</formula>
    </cfRule>
  </conditionalFormatting>
  <conditionalFormatting sqref="J46">
    <cfRule type="cellIs" priority="4" operator="lessThan" dxfId="3">
      <formula>0</formula>
    </cfRule>
  </conditionalFormatting>
  <conditionalFormatting sqref="R46:S46">
    <cfRule type="cellIs" priority="3" operator="lessThan" dxfId="0">
      <formula>0</formula>
    </cfRule>
  </conditionalFormatting>
  <conditionalFormatting sqref="J33">
    <cfRule type="cellIs" priority="2" operator="lessThan" dxfId="3">
      <formula>0</formula>
    </cfRule>
  </conditionalFormatting>
  <conditionalFormatting sqref="R33:T33">
    <cfRule type="cellIs" priority="1" operator="lessThan" dxfId="0">
      <formula>0</formula>
    </cfRule>
  </conditionalFormatting>
  <pageMargins left="0.7" right="0.7" top="0.75" bottom="0.75" header="0.3" footer="0.3"/>
  <pageSetup orientation="landscape" paperSize="9" scale="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44"/>
  <sheetViews>
    <sheetView showGridLines="0" workbookViewId="0">
      <selection activeCell="T13" sqref="T13"/>
    </sheetView>
  </sheetViews>
  <sheetFormatPr baseColWidth="8" defaultRowHeight="14.4"/>
  <cols>
    <col width="10.109375" bestFit="1" customWidth="1" style="188" min="1" max="2"/>
    <col width="9.109375" bestFit="1" customWidth="1" style="188" min="3" max="3"/>
    <col width="8.21875" bestFit="1" customWidth="1" style="188" min="4" max="4"/>
    <col width="10.109375" bestFit="1" customWidth="1" style="188" min="13" max="13"/>
    <col width="14.33203125" customWidth="1" style="188" min="14" max="14"/>
    <col width="10.77734375" bestFit="1" customWidth="1" style="188" min="15" max="15"/>
    <col width="11.21875" customWidth="1" style="188" min="16" max="16"/>
    <col width="4.33203125" bestFit="1" customWidth="1" style="188" min="19" max="19"/>
    <col width="13.88671875" bestFit="1" customWidth="1" style="188" min="20" max="20"/>
    <col width="11.33203125" bestFit="1" customWidth="1" style="188" min="21" max="21"/>
    <col width="10.77734375" bestFit="1" customWidth="1" style="188" min="22" max="22"/>
  </cols>
  <sheetData>
    <row r="1" ht="28.8" customHeight="1" s="188">
      <c r="A1" s="210" t="inlineStr">
        <is>
          <t>Tarih</t>
        </is>
      </c>
      <c r="B1" s="2" t="inlineStr">
        <is>
          <t>Saat</t>
        </is>
      </c>
      <c r="C1" s="210" t="inlineStr">
        <is>
          <t>GÜN</t>
        </is>
      </c>
      <c r="D1" s="210" t="inlineStr">
        <is>
          <t>AY</t>
        </is>
      </c>
      <c r="E1" s="210" t="inlineStr">
        <is>
          <t>Üretim Miktarı</t>
        </is>
      </c>
      <c r="F1" s="170" t="inlineStr">
        <is>
          <t>PTF (TL/MWh)</t>
        </is>
      </c>
      <c r="G1" s="171" t="inlineStr">
        <is>
          <t>PTF (USD/MWh)</t>
        </is>
      </c>
      <c r="H1" s="171" t="inlineStr">
        <is>
          <t>Tutar (TL)</t>
        </is>
      </c>
      <c r="I1" s="171" t="inlineStr">
        <is>
          <t>Tutar (USD)</t>
        </is>
      </c>
      <c r="M1" s="57" t="inlineStr">
        <is>
          <t>Tarih</t>
        </is>
      </c>
      <c r="N1" s="58" t="inlineStr">
        <is>
          <t>UEVM(MWh)</t>
        </is>
      </c>
      <c r="O1" s="58" t="inlineStr">
        <is>
          <t>Tutar (TL)</t>
        </is>
      </c>
      <c r="P1" s="58" t="inlineStr">
        <is>
          <t>Tutar (USD)</t>
        </is>
      </c>
    </row>
    <row r="2">
      <c r="A2" s="29">
        <f>[1]FİYATLAR!A2</f>
        <v/>
      </c>
      <c r="B2" s="29">
        <f>[1]FİYATLAR!B2</f>
        <v/>
      </c>
      <c r="C2" s="35">
        <f>INT(A2)</f>
        <v/>
      </c>
      <c r="D2" s="36">
        <f>MONTH(A2)</f>
        <v/>
      </c>
      <c r="E2" t="n">
        <v>0</v>
      </c>
      <c r="F2" s="30">
        <f>[1]FİYATLAR!C2</f>
        <v/>
      </c>
      <c r="G2" s="30">
        <f>[1]FİYATLAR!D2</f>
        <v/>
      </c>
      <c r="H2">
        <f>E2*F2</f>
        <v/>
      </c>
      <c r="I2">
        <f>E2*G2</f>
        <v/>
      </c>
      <c r="M2" s="63" t="n">
        <v>46204</v>
      </c>
      <c r="N2" s="89">
        <f>SUMIF(C:C,M2,E:E)</f>
        <v/>
      </c>
      <c r="O2" s="89">
        <f>SUMIF(C:C,M2,H:H)</f>
        <v/>
      </c>
      <c r="P2" s="89">
        <f>SUMIF(C:C,M2,I:I)</f>
        <v/>
      </c>
      <c r="T2" s="187" t="inlineStr">
        <is>
          <t>Üretim Miktarı</t>
        </is>
      </c>
      <c r="U2" s="187" t="inlineStr">
        <is>
          <t>Tutar (TL)</t>
        </is>
      </c>
      <c r="V2" s="187" t="inlineStr">
        <is>
          <t>Tutar (USD)</t>
        </is>
      </c>
    </row>
    <row r="3">
      <c r="A3" s="29">
        <f>[1]FİYATLAR!A3</f>
        <v/>
      </c>
      <c r="B3" s="29">
        <f>[1]FİYATLAR!B3</f>
        <v/>
      </c>
      <c r="C3" s="35">
        <f>INT(A3)</f>
        <v/>
      </c>
      <c r="D3" s="36">
        <f>MONTH(A3)</f>
        <v/>
      </c>
      <c r="E3" t="n">
        <v>0</v>
      </c>
      <c r="F3" s="30">
        <f>[1]FİYATLAR!C3</f>
        <v/>
      </c>
      <c r="G3" s="30">
        <f>[1]FİYATLAR!D3</f>
        <v/>
      </c>
      <c r="H3">
        <f>E3*F3</f>
        <v/>
      </c>
      <c r="I3">
        <f>E3*G3</f>
        <v/>
      </c>
      <c r="M3" s="63">
        <f>M2+1</f>
        <v/>
      </c>
      <c r="N3" s="89">
        <f>SUMIF(C:C,M3,E:E)</f>
        <v/>
      </c>
      <c r="O3" s="89">
        <f>SUMIF(C:C,M3,H:H)</f>
        <v/>
      </c>
      <c r="P3" s="89">
        <f>SUMIF(C:C,M3,I:I)</f>
        <v/>
      </c>
      <c r="S3" s="187" t="inlineStr">
        <is>
          <t>GES</t>
        </is>
      </c>
      <c r="T3" s="211">
        <f>'GES Üretim'!N33</f>
        <v/>
      </c>
      <c r="U3" s="211">
        <f>'GES Üretim'!O33</f>
        <v/>
      </c>
      <c r="V3" s="211">
        <f>'GES Üretim'!P33</f>
        <v/>
      </c>
    </row>
    <row r="4">
      <c r="A4" s="29">
        <f>[1]FİYATLAR!A4</f>
        <v/>
      </c>
      <c r="B4" s="29">
        <f>[1]FİYATLAR!B4</f>
        <v/>
      </c>
      <c r="C4" s="35">
        <f>INT(A4)</f>
        <v/>
      </c>
      <c r="D4" s="36">
        <f>MONTH(A4)</f>
        <v/>
      </c>
      <c r="E4" t="n">
        <v>0</v>
      </c>
      <c r="F4" s="30">
        <f>[1]FİYATLAR!C4</f>
        <v/>
      </c>
      <c r="G4" s="30">
        <f>[1]FİYATLAR!D4</f>
        <v/>
      </c>
      <c r="H4">
        <f>E4*F4</f>
        <v/>
      </c>
      <c r="I4">
        <f>E4*G4</f>
        <v/>
      </c>
      <c r="M4" s="63">
        <f>M3+1</f>
        <v/>
      </c>
      <c r="N4" s="89">
        <f>SUMIF(C:C,M4,E:E)</f>
        <v/>
      </c>
      <c r="O4" s="89">
        <f>SUMIF(C:C,M4,H:H)</f>
        <v/>
      </c>
      <c r="P4" s="89">
        <f>SUMIF(C:C,M4,I:I)</f>
        <v/>
      </c>
    </row>
    <row r="5">
      <c r="A5" s="29">
        <f>[1]FİYATLAR!A5</f>
        <v/>
      </c>
      <c r="B5" s="29">
        <f>[1]FİYATLAR!B5</f>
        <v/>
      </c>
      <c r="C5" s="35">
        <f>INT(A5)</f>
        <v/>
      </c>
      <c r="D5" s="36">
        <f>MONTH(A5)</f>
        <v/>
      </c>
      <c r="E5" t="n">
        <v>0</v>
      </c>
      <c r="F5" s="30">
        <f>[1]FİYATLAR!C5</f>
        <v/>
      </c>
      <c r="G5" s="30">
        <f>[1]FİYATLAR!D5</f>
        <v/>
      </c>
      <c r="H5">
        <f>E5*F5</f>
        <v/>
      </c>
      <c r="I5">
        <f>E5*G5</f>
        <v/>
      </c>
      <c r="M5" s="63">
        <f>M4+1</f>
        <v/>
      </c>
      <c r="N5" s="89">
        <f>SUMIF(C:C,M5,E:E)</f>
        <v/>
      </c>
      <c r="O5" s="89">
        <f>SUMIF(C:C,M5,H:H)</f>
        <v/>
      </c>
      <c r="P5" s="89">
        <f>SUMIF(C:C,M5,I:I)</f>
        <v/>
      </c>
    </row>
    <row r="6">
      <c r="A6" s="29">
        <f>[1]FİYATLAR!A6</f>
        <v/>
      </c>
      <c r="B6" s="29">
        <f>[1]FİYATLAR!B6</f>
        <v/>
      </c>
      <c r="C6" s="35">
        <f>INT(A6)</f>
        <v/>
      </c>
      <c r="D6" s="36">
        <f>MONTH(A6)</f>
        <v/>
      </c>
      <c r="E6" t="n">
        <v>0</v>
      </c>
      <c r="F6" s="30">
        <f>[1]FİYATLAR!C6</f>
        <v/>
      </c>
      <c r="G6" s="30">
        <f>[1]FİYATLAR!D6</f>
        <v/>
      </c>
      <c r="H6">
        <f>E6*F6</f>
        <v/>
      </c>
      <c r="I6">
        <f>E6*G6</f>
        <v/>
      </c>
      <c r="M6" s="63">
        <f>M5+1</f>
        <v/>
      </c>
      <c r="N6" s="89">
        <f>SUMIF(C:C,M6,E:E)</f>
        <v/>
      </c>
      <c r="O6" s="89">
        <f>SUMIF(C:C,M6,H:H)</f>
        <v/>
      </c>
      <c r="P6" s="89">
        <f>SUMIF(C:C,M6,I:I)</f>
        <v/>
      </c>
    </row>
    <row r="7">
      <c r="A7" s="29">
        <f>[1]FİYATLAR!A7</f>
        <v/>
      </c>
      <c r="B7" s="29">
        <f>[1]FİYATLAR!B7</f>
        <v/>
      </c>
      <c r="C7" s="35">
        <f>INT(A7)</f>
        <v/>
      </c>
      <c r="D7" s="36">
        <f>MONTH(A7)</f>
        <v/>
      </c>
      <c r="E7" t="n">
        <v>0</v>
      </c>
      <c r="F7" s="30">
        <f>[1]FİYATLAR!C7</f>
        <v/>
      </c>
      <c r="G7" s="30">
        <f>[1]FİYATLAR!D7</f>
        <v/>
      </c>
      <c r="H7">
        <f>E7*F7</f>
        <v/>
      </c>
      <c r="I7">
        <f>E7*G7</f>
        <v/>
      </c>
      <c r="M7" s="63">
        <f>M6+1</f>
        <v/>
      </c>
      <c r="N7" s="89">
        <f>SUMIF(C:C,M7,E:E)</f>
        <v/>
      </c>
      <c r="O7" s="89">
        <f>SUMIF(C:C,M7,H:H)</f>
        <v/>
      </c>
      <c r="P7" s="89">
        <f>SUMIF(C:C,M7,I:I)</f>
        <v/>
      </c>
    </row>
    <row r="8">
      <c r="A8" s="29">
        <f>[1]FİYATLAR!A8</f>
        <v/>
      </c>
      <c r="B8" s="29">
        <f>[1]FİYATLAR!B8</f>
        <v/>
      </c>
      <c r="C8" s="35">
        <f>INT(A8)</f>
        <v/>
      </c>
      <c r="D8" s="36">
        <f>MONTH(A8)</f>
        <v/>
      </c>
      <c r="E8" t="n">
        <v>0.06</v>
      </c>
      <c r="F8" s="30">
        <f>[1]FİYATLAR!C8</f>
        <v/>
      </c>
      <c r="G8" s="30">
        <f>[1]FİYATLAR!D8</f>
        <v/>
      </c>
      <c r="H8">
        <f>E8*F8</f>
        <v/>
      </c>
      <c r="I8">
        <f>E8*G8</f>
        <v/>
      </c>
      <c r="M8" s="63">
        <f>M7+1</f>
        <v/>
      </c>
      <c r="N8" s="89">
        <f>SUMIF(C:C,M8,E:E)</f>
        <v/>
      </c>
      <c r="O8" s="89">
        <f>SUMIF(C:C,M8,H:H)</f>
        <v/>
      </c>
      <c r="P8" s="89">
        <f>SUMIF(C:C,M8,I:I)</f>
        <v/>
      </c>
    </row>
    <row r="9">
      <c r="A9" s="29">
        <f>[1]FİYATLAR!A9</f>
        <v/>
      </c>
      <c r="B9" s="29">
        <f>[1]FİYATLAR!B9</f>
        <v/>
      </c>
      <c r="C9" s="35">
        <f>INT(A9)</f>
        <v/>
      </c>
      <c r="D9" s="36">
        <f>MONTH(A9)</f>
        <v/>
      </c>
      <c r="E9" t="n">
        <v>0.42</v>
      </c>
      <c r="F9" s="30">
        <f>[1]FİYATLAR!C9</f>
        <v/>
      </c>
      <c r="G9" s="30">
        <f>[1]FİYATLAR!D9</f>
        <v/>
      </c>
      <c r="H9">
        <f>E9*F9</f>
        <v/>
      </c>
      <c r="I9">
        <f>E9*G9</f>
        <v/>
      </c>
      <c r="M9" s="63">
        <f>M8+1</f>
        <v/>
      </c>
      <c r="N9" s="89">
        <f>SUMIF(C:C,M9,E:E)</f>
        <v/>
      </c>
      <c r="O9" s="89">
        <f>SUMIF(C:C,M9,H:H)</f>
        <v/>
      </c>
      <c r="P9" s="89">
        <f>SUMIF(C:C,M9,I:I)</f>
        <v/>
      </c>
    </row>
    <row r="10">
      <c r="A10" s="29">
        <f>[1]FİYATLAR!A10</f>
        <v/>
      </c>
      <c r="B10" s="29">
        <f>[1]FİYATLAR!B10</f>
        <v/>
      </c>
      <c r="C10" s="35">
        <f>INT(A10)</f>
        <v/>
      </c>
      <c r="D10" s="36">
        <f>MONTH(A10)</f>
        <v/>
      </c>
      <c r="E10" t="n">
        <v>0.87</v>
      </c>
      <c r="F10" s="30">
        <f>[1]FİYATLAR!C10</f>
        <v/>
      </c>
      <c r="G10" s="30">
        <f>[1]FİYATLAR!D10</f>
        <v/>
      </c>
      <c r="H10">
        <f>E10*F10</f>
        <v/>
      </c>
      <c r="I10">
        <f>E10*G10</f>
        <v/>
      </c>
      <c r="M10" s="63">
        <f>M9+1</f>
        <v/>
      </c>
      <c r="N10" s="89">
        <f>SUMIF(C:C,M10,E:E)</f>
        <v/>
      </c>
      <c r="O10" s="89">
        <f>SUMIF(C:C,M10,H:H)</f>
        <v/>
      </c>
      <c r="P10" s="89">
        <f>SUMIF(C:C,M10,I:I)</f>
        <v/>
      </c>
    </row>
    <row r="11">
      <c r="A11" s="29">
        <f>[1]FİYATLAR!A11</f>
        <v/>
      </c>
      <c r="B11" s="29">
        <f>[1]FİYATLAR!B11</f>
        <v/>
      </c>
      <c r="C11" s="35">
        <f>INT(A11)</f>
        <v/>
      </c>
      <c r="D11" s="36">
        <f>MONTH(A11)</f>
        <v/>
      </c>
      <c r="E11" t="n">
        <v>1.26</v>
      </c>
      <c r="F11" s="30">
        <f>[1]FİYATLAR!C11</f>
        <v/>
      </c>
      <c r="G11" s="30">
        <f>[1]FİYATLAR!D11</f>
        <v/>
      </c>
      <c r="H11">
        <f>E11*F11</f>
        <v/>
      </c>
      <c r="I11">
        <f>E11*G11</f>
        <v/>
      </c>
      <c r="M11" s="63">
        <f>M10+1</f>
        <v/>
      </c>
      <c r="N11" s="89">
        <f>SUMIF(C:C,M11,E:E)</f>
        <v/>
      </c>
      <c r="O11" s="89">
        <f>SUMIF(C:C,M11,H:H)</f>
        <v/>
      </c>
      <c r="P11" s="89">
        <f>SUMIF(C:C,M11,I:I)</f>
        <v/>
      </c>
    </row>
    <row r="12">
      <c r="A12" s="29">
        <f>[1]FİYATLAR!A12</f>
        <v/>
      </c>
      <c r="B12" s="29">
        <f>[1]FİYATLAR!B12</f>
        <v/>
      </c>
      <c r="C12" s="35">
        <f>INT(A12)</f>
        <v/>
      </c>
      <c r="D12" s="36">
        <f>MONTH(A12)</f>
        <v/>
      </c>
      <c r="E12" t="n">
        <v>1.56</v>
      </c>
      <c r="F12" s="30">
        <f>[1]FİYATLAR!C12</f>
        <v/>
      </c>
      <c r="G12" s="30">
        <f>[1]FİYATLAR!D12</f>
        <v/>
      </c>
      <c r="H12">
        <f>E12*F12</f>
        <v/>
      </c>
      <c r="I12">
        <f>E12*G12</f>
        <v/>
      </c>
      <c r="M12" s="63">
        <f>M11+1</f>
        <v/>
      </c>
      <c r="N12" s="89">
        <f>SUMIF(C:C,M12,E:E)</f>
        <v/>
      </c>
      <c r="O12" s="89">
        <f>SUMIF(C:C,M12,H:H)</f>
        <v/>
      </c>
      <c r="P12" s="89">
        <f>SUMIF(C:C,M12,I:I)</f>
        <v/>
      </c>
    </row>
    <row r="13">
      <c r="A13" s="29">
        <f>[1]FİYATLAR!A13</f>
        <v/>
      </c>
      <c r="B13" s="29">
        <f>[1]FİYATLAR!B13</f>
        <v/>
      </c>
      <c r="C13" s="35">
        <f>INT(A13)</f>
        <v/>
      </c>
      <c r="D13" s="36">
        <f>MONTH(A13)</f>
        <v/>
      </c>
      <c r="E13" t="n">
        <v>1.74</v>
      </c>
      <c r="F13" s="30">
        <f>[1]FİYATLAR!C13</f>
        <v/>
      </c>
      <c r="G13" s="30">
        <f>[1]FİYATLAR!D13</f>
        <v/>
      </c>
      <c r="H13">
        <f>E13*F13</f>
        <v/>
      </c>
      <c r="I13">
        <f>E13*G13</f>
        <v/>
      </c>
      <c r="M13" s="63">
        <f>M12+1</f>
        <v/>
      </c>
      <c r="N13" s="89">
        <f>SUMIF(C:C,M13,E:E)</f>
        <v/>
      </c>
      <c r="O13" s="89">
        <f>SUMIF(C:C,M13,H:H)</f>
        <v/>
      </c>
      <c r="P13" s="89">
        <f>SUMIF(C:C,M13,I:I)</f>
        <v/>
      </c>
    </row>
    <row r="14">
      <c r="A14" s="29">
        <f>[1]FİYATLAR!A14</f>
        <v/>
      </c>
      <c r="B14" s="29">
        <f>[1]FİYATLAR!B14</f>
        <v/>
      </c>
      <c r="C14" s="35">
        <f>INT(A14)</f>
        <v/>
      </c>
      <c r="D14" s="36">
        <f>MONTH(A14)</f>
        <v/>
      </c>
      <c r="E14" t="n">
        <v>1.81</v>
      </c>
      <c r="F14" s="30">
        <f>[1]FİYATLAR!C14</f>
        <v/>
      </c>
      <c r="G14" s="30">
        <f>[1]FİYATLAR!D14</f>
        <v/>
      </c>
      <c r="H14">
        <f>E14*F14</f>
        <v/>
      </c>
      <c r="I14">
        <f>E14*G14</f>
        <v/>
      </c>
      <c r="M14" s="63">
        <f>M13+1</f>
        <v/>
      </c>
      <c r="N14" s="89">
        <f>SUMIF(C:C,M14,E:E)</f>
        <v/>
      </c>
      <c r="O14" s="89">
        <f>SUMIF(C:C,M14,H:H)</f>
        <v/>
      </c>
      <c r="P14" s="89">
        <f>SUMIF(C:C,M14,I:I)</f>
        <v/>
      </c>
    </row>
    <row r="15">
      <c r="A15" s="29">
        <f>[1]FİYATLAR!A15</f>
        <v/>
      </c>
      <c r="B15" s="29">
        <f>[1]FİYATLAR!B15</f>
        <v/>
      </c>
      <c r="C15" s="35">
        <f>INT(A15)</f>
        <v/>
      </c>
      <c r="D15" s="36">
        <f>MONTH(A15)</f>
        <v/>
      </c>
      <c r="E15" t="n">
        <v>1.78</v>
      </c>
      <c r="F15" s="30">
        <f>[1]FİYATLAR!C15</f>
        <v/>
      </c>
      <c r="G15" s="30">
        <f>[1]FİYATLAR!D15</f>
        <v/>
      </c>
      <c r="H15">
        <f>E15*F15</f>
        <v/>
      </c>
      <c r="I15">
        <f>E15*G15</f>
        <v/>
      </c>
      <c r="M15" s="63">
        <f>M14+1</f>
        <v/>
      </c>
      <c r="N15" s="89">
        <f>SUMIF(C:C,M15,E:E)</f>
        <v/>
      </c>
      <c r="O15" s="89">
        <f>SUMIF(C:C,M15,H:H)</f>
        <v/>
      </c>
      <c r="P15" s="89">
        <f>SUMIF(C:C,M15,I:I)</f>
        <v/>
      </c>
    </row>
    <row r="16">
      <c r="A16" s="29">
        <f>[1]FİYATLAR!A16</f>
        <v/>
      </c>
      <c r="B16" s="29">
        <f>[1]FİYATLAR!B16</f>
        <v/>
      </c>
      <c r="C16" s="35">
        <f>INT(A16)</f>
        <v/>
      </c>
      <c r="D16" s="36">
        <f>MONTH(A16)</f>
        <v/>
      </c>
      <c r="E16" t="n">
        <v>1.52</v>
      </c>
      <c r="F16" s="30">
        <f>[1]FİYATLAR!C16</f>
        <v/>
      </c>
      <c r="G16" s="30">
        <f>[1]FİYATLAR!D16</f>
        <v/>
      </c>
      <c r="H16">
        <f>E16*F16</f>
        <v/>
      </c>
      <c r="I16">
        <f>E16*G16</f>
        <v/>
      </c>
      <c r="M16" s="63">
        <f>M15+1</f>
        <v/>
      </c>
      <c r="N16" s="89">
        <f>SUMIF(C:C,M16,E:E)</f>
        <v/>
      </c>
      <c r="O16" s="89">
        <f>SUMIF(C:C,M16,H:H)</f>
        <v/>
      </c>
      <c r="P16" s="89">
        <f>SUMIF(C:C,M16,I:I)</f>
        <v/>
      </c>
    </row>
    <row r="17">
      <c r="A17" s="29">
        <f>[1]FİYATLAR!A17</f>
        <v/>
      </c>
      <c r="B17" s="29">
        <f>[1]FİYATLAR!B17</f>
        <v/>
      </c>
      <c r="C17" s="35">
        <f>INT(A17)</f>
        <v/>
      </c>
      <c r="D17" s="36">
        <f>MONTH(A17)</f>
        <v/>
      </c>
      <c r="E17" t="n">
        <v>1.3</v>
      </c>
      <c r="F17" s="30">
        <f>[1]FİYATLAR!C17</f>
        <v/>
      </c>
      <c r="G17" s="30">
        <f>[1]FİYATLAR!D17</f>
        <v/>
      </c>
      <c r="H17">
        <f>E17*F17</f>
        <v/>
      </c>
      <c r="I17">
        <f>E17*G17</f>
        <v/>
      </c>
      <c r="M17" s="63">
        <f>M16+1</f>
        <v/>
      </c>
      <c r="N17" s="89">
        <f>SUMIF(C:C,M17,E:E)</f>
        <v/>
      </c>
      <c r="O17" s="89">
        <f>SUMIF(C:C,M17,H:H)</f>
        <v/>
      </c>
      <c r="P17" s="89">
        <f>SUMIF(C:C,M17,I:I)</f>
        <v/>
      </c>
    </row>
    <row r="18">
      <c r="A18" s="29">
        <f>[1]FİYATLAR!A18</f>
        <v/>
      </c>
      <c r="B18" s="29">
        <f>[1]FİYATLAR!B18</f>
        <v/>
      </c>
      <c r="C18" s="35">
        <f>INT(A18)</f>
        <v/>
      </c>
      <c r="D18" s="36">
        <f>MONTH(A18)</f>
        <v/>
      </c>
      <c r="E18" t="n">
        <v>1.08</v>
      </c>
      <c r="F18" s="30">
        <f>[1]FİYATLAR!C18</f>
        <v/>
      </c>
      <c r="G18" s="30">
        <f>[1]FİYATLAR!D18</f>
        <v/>
      </c>
      <c r="H18">
        <f>E18*F18</f>
        <v/>
      </c>
      <c r="I18">
        <f>E18*G18</f>
        <v/>
      </c>
      <c r="M18" s="63">
        <f>M17+1</f>
        <v/>
      </c>
      <c r="N18" s="89">
        <f>SUMIF(C:C,M18,E:E)</f>
        <v/>
      </c>
      <c r="O18" s="89">
        <f>SUMIF(C:C,M18,H:H)</f>
        <v/>
      </c>
      <c r="P18" s="89">
        <f>SUMIF(C:C,M18,I:I)</f>
        <v/>
      </c>
    </row>
    <row r="19">
      <c r="A19" s="29">
        <f>[1]FİYATLAR!A19</f>
        <v/>
      </c>
      <c r="B19" s="29">
        <f>[1]FİYATLAR!B19</f>
        <v/>
      </c>
      <c r="C19" s="35">
        <f>INT(A19)</f>
        <v/>
      </c>
      <c r="D19" s="36">
        <f>MONTH(A19)</f>
        <v/>
      </c>
      <c r="E19" t="n">
        <v>0.66</v>
      </c>
      <c r="F19" s="30">
        <f>[1]FİYATLAR!C19</f>
        <v/>
      </c>
      <c r="G19" s="30">
        <f>[1]FİYATLAR!D19</f>
        <v/>
      </c>
      <c r="H19">
        <f>E19*F19</f>
        <v/>
      </c>
      <c r="I19">
        <f>E19*G19</f>
        <v/>
      </c>
      <c r="M19" s="63">
        <f>M18+1</f>
        <v/>
      </c>
      <c r="N19" s="89">
        <f>SUMIF(C:C,M19,E:E)</f>
        <v/>
      </c>
      <c r="O19" s="89">
        <f>SUMIF(C:C,M19,H:H)</f>
        <v/>
      </c>
      <c r="P19" s="89">
        <f>SUMIF(C:C,M19,I:I)</f>
        <v/>
      </c>
    </row>
    <row r="20">
      <c r="A20" s="29">
        <f>[1]FİYATLAR!A20</f>
        <v/>
      </c>
      <c r="B20" s="29">
        <f>[1]FİYATLAR!B20</f>
        <v/>
      </c>
      <c r="C20" s="35">
        <f>INT(A20)</f>
        <v/>
      </c>
      <c r="D20" s="36">
        <f>MONTH(A20)</f>
        <v/>
      </c>
      <c r="E20" t="n">
        <v>0.23</v>
      </c>
      <c r="F20" s="30">
        <f>[1]FİYATLAR!C20</f>
        <v/>
      </c>
      <c r="G20" s="30">
        <f>[1]FİYATLAR!D20</f>
        <v/>
      </c>
      <c r="H20">
        <f>E20*F20</f>
        <v/>
      </c>
      <c r="I20">
        <f>E20*G20</f>
        <v/>
      </c>
      <c r="M20" s="63">
        <f>M19+1</f>
        <v/>
      </c>
      <c r="N20" s="89">
        <f>SUMIF(C:C,M20,E:E)</f>
        <v/>
      </c>
      <c r="O20" s="89">
        <f>SUMIF(C:C,M20,H:H)</f>
        <v/>
      </c>
      <c r="P20" s="89">
        <f>SUMIF(C:C,M20,I:I)</f>
        <v/>
      </c>
    </row>
    <row r="21">
      <c r="A21" s="29">
        <f>[1]FİYATLAR!A21</f>
        <v/>
      </c>
      <c r="B21" s="29">
        <f>[1]FİYATLAR!B21</f>
        <v/>
      </c>
      <c r="C21" s="35">
        <f>INT(A21)</f>
        <v/>
      </c>
      <c r="D21" s="36">
        <f>MONTH(A21)</f>
        <v/>
      </c>
      <c r="E21" t="n">
        <v>0.02</v>
      </c>
      <c r="F21" s="30">
        <f>[1]FİYATLAR!C21</f>
        <v/>
      </c>
      <c r="G21" s="30">
        <f>[1]FİYATLAR!D21</f>
        <v/>
      </c>
      <c r="H21">
        <f>E21*F21</f>
        <v/>
      </c>
      <c r="I21">
        <f>E21*G21</f>
        <v/>
      </c>
      <c r="M21" s="63">
        <f>M20+1</f>
        <v/>
      </c>
      <c r="N21" s="89">
        <f>SUMIF(C:C,M21,E:E)</f>
        <v/>
      </c>
      <c r="O21" s="89">
        <f>SUMIF(C:C,M21,H:H)</f>
        <v/>
      </c>
      <c r="P21" s="89">
        <f>SUMIF(C:C,M21,I:I)</f>
        <v/>
      </c>
    </row>
    <row r="22">
      <c r="A22" s="29">
        <f>[1]FİYATLAR!A22</f>
        <v/>
      </c>
      <c r="B22" s="29">
        <f>[1]FİYATLAR!B22</f>
        <v/>
      </c>
      <c r="C22" s="35">
        <f>INT(A22)</f>
        <v/>
      </c>
      <c r="D22" s="36">
        <f>MONTH(A22)</f>
        <v/>
      </c>
      <c r="E22" t="n">
        <v>0</v>
      </c>
      <c r="F22" s="30">
        <f>[1]FİYATLAR!C22</f>
        <v/>
      </c>
      <c r="G22" s="30">
        <f>[1]FİYATLAR!D22</f>
        <v/>
      </c>
      <c r="H22">
        <f>E22*F22</f>
        <v/>
      </c>
      <c r="I22">
        <f>E22*G22</f>
        <v/>
      </c>
      <c r="M22" s="63">
        <f>M21+1</f>
        <v/>
      </c>
      <c r="N22" s="89">
        <f>SUMIF(C:C,M22,E:E)</f>
        <v/>
      </c>
      <c r="O22" s="89">
        <f>SUMIF(C:C,M22,H:H)</f>
        <v/>
      </c>
      <c r="P22" s="89">
        <f>SUMIF(C:C,M22,I:I)</f>
        <v/>
      </c>
    </row>
    <row r="23">
      <c r="A23" s="29">
        <f>[1]FİYATLAR!A23</f>
        <v/>
      </c>
      <c r="B23" s="29">
        <f>[1]FİYATLAR!B23</f>
        <v/>
      </c>
      <c r="C23" s="35">
        <f>INT(A23)</f>
        <v/>
      </c>
      <c r="D23" s="36">
        <f>MONTH(A23)</f>
        <v/>
      </c>
      <c r="E23" t="n">
        <v>0</v>
      </c>
      <c r="F23" s="30">
        <f>[1]FİYATLAR!C23</f>
        <v/>
      </c>
      <c r="G23" s="30">
        <f>[1]FİYATLAR!D23</f>
        <v/>
      </c>
      <c r="H23">
        <f>E23*F23</f>
        <v/>
      </c>
      <c r="I23">
        <f>E23*G23</f>
        <v/>
      </c>
      <c r="M23" s="63">
        <f>M22+1</f>
        <v/>
      </c>
      <c r="N23" s="89">
        <f>SUMIF(C:C,M23,E:E)</f>
        <v/>
      </c>
      <c r="O23" s="89">
        <f>SUMIF(C:C,M23,H:H)</f>
        <v/>
      </c>
      <c r="P23" s="89">
        <f>SUMIF(C:C,M23,I:I)</f>
        <v/>
      </c>
    </row>
    <row r="24">
      <c r="A24" s="29">
        <f>[1]FİYATLAR!A24</f>
        <v/>
      </c>
      <c r="B24" s="29">
        <f>[1]FİYATLAR!B24</f>
        <v/>
      </c>
      <c r="C24" s="35">
        <f>INT(A24)</f>
        <v/>
      </c>
      <c r="D24" s="36">
        <f>MONTH(A24)</f>
        <v/>
      </c>
      <c r="E24" t="n">
        <v>0</v>
      </c>
      <c r="F24" s="30">
        <f>[1]FİYATLAR!C24</f>
        <v/>
      </c>
      <c r="G24" s="30">
        <f>[1]FİYATLAR!D24</f>
        <v/>
      </c>
      <c r="H24">
        <f>E24*F24</f>
        <v/>
      </c>
      <c r="I24">
        <f>E24*G24</f>
        <v/>
      </c>
      <c r="M24" s="63">
        <f>M23+1</f>
        <v/>
      </c>
      <c r="N24" s="89">
        <f>SUMIF(C:C,M24,E:E)</f>
        <v/>
      </c>
      <c r="O24" s="89">
        <f>SUMIF(C:C,M24,H:H)</f>
        <v/>
      </c>
      <c r="P24" s="89">
        <f>SUMIF(C:C,M24,I:I)</f>
        <v/>
      </c>
    </row>
    <row r="25">
      <c r="A25" s="29">
        <f>[1]FİYATLAR!A25</f>
        <v/>
      </c>
      <c r="B25" s="29">
        <f>[1]FİYATLAR!B25</f>
        <v/>
      </c>
      <c r="C25" s="35">
        <f>INT(A25)</f>
        <v/>
      </c>
      <c r="D25" s="36">
        <f>MONTH(A25)</f>
        <v/>
      </c>
      <c r="E25" t="n">
        <v>0</v>
      </c>
      <c r="F25" s="30">
        <f>[1]FİYATLAR!C25</f>
        <v/>
      </c>
      <c r="G25" s="30">
        <f>[1]FİYATLAR!D25</f>
        <v/>
      </c>
      <c r="H25">
        <f>E25*F25</f>
        <v/>
      </c>
      <c r="I25">
        <f>E25*G25</f>
        <v/>
      </c>
      <c r="M25" s="63">
        <f>M24+1</f>
        <v/>
      </c>
      <c r="N25" s="89">
        <f>SUMIF(C:C,M25,E:E)</f>
        <v/>
      </c>
      <c r="O25" s="89">
        <f>SUMIF(C:C,M25,H:H)</f>
        <v/>
      </c>
      <c r="P25" s="89">
        <f>SUMIF(C:C,M25,I:I)</f>
        <v/>
      </c>
    </row>
    <row r="26">
      <c r="A26" s="29">
        <f>[1]FİYATLAR!A26</f>
        <v/>
      </c>
      <c r="B26" s="29">
        <f>[1]FİYATLAR!B26</f>
        <v/>
      </c>
      <c r="C26" s="35">
        <f>INT(A26)</f>
        <v/>
      </c>
      <c r="D26" s="36">
        <f>MONTH(A26)</f>
        <v/>
      </c>
      <c r="E26" t="n">
        <v>0</v>
      </c>
      <c r="F26" s="30">
        <f>[1]FİYATLAR!C26</f>
        <v/>
      </c>
      <c r="G26" s="30">
        <f>[1]FİYATLAR!D26</f>
        <v/>
      </c>
      <c r="H26">
        <f>E26*F26</f>
        <v/>
      </c>
      <c r="I26">
        <f>E26*G26</f>
        <v/>
      </c>
      <c r="M26" s="63">
        <f>M25+1</f>
        <v/>
      </c>
      <c r="N26" s="89">
        <f>SUMIF(C:C,M26,E:E)</f>
        <v/>
      </c>
      <c r="O26" s="89">
        <f>SUMIF(C:C,M26,H:H)</f>
        <v/>
      </c>
      <c r="P26" s="89">
        <f>SUMIF(C:C,M26,I:I)</f>
        <v/>
      </c>
    </row>
    <row r="27">
      <c r="A27" s="29">
        <f>[1]FİYATLAR!A27</f>
        <v/>
      </c>
      <c r="B27" s="29">
        <f>[1]FİYATLAR!B27</f>
        <v/>
      </c>
      <c r="C27" s="35">
        <f>INT(A27)</f>
        <v/>
      </c>
      <c r="D27" s="36">
        <f>MONTH(A27)</f>
        <v/>
      </c>
      <c r="E27" t="n">
        <v>0</v>
      </c>
      <c r="F27" s="30">
        <f>[1]FİYATLAR!C27</f>
        <v/>
      </c>
      <c r="G27" s="30">
        <f>[1]FİYATLAR!D27</f>
        <v/>
      </c>
      <c r="H27">
        <f>E27*F27</f>
        <v/>
      </c>
      <c r="I27">
        <f>E27*G27</f>
        <v/>
      </c>
      <c r="M27" s="63">
        <f>M26+1</f>
        <v/>
      </c>
      <c r="N27" s="89">
        <f>SUMIF(C:C,M27,E:E)</f>
        <v/>
      </c>
      <c r="O27" s="89">
        <f>SUMIF(C:C,M27,H:H)</f>
        <v/>
      </c>
      <c r="P27" s="89">
        <f>SUMIF(C:C,M27,I:I)</f>
        <v/>
      </c>
    </row>
    <row r="28">
      <c r="A28" s="29">
        <f>[1]FİYATLAR!A28</f>
        <v/>
      </c>
      <c r="B28" s="29">
        <f>[1]FİYATLAR!B28</f>
        <v/>
      </c>
      <c r="C28" s="35">
        <f>INT(A28)</f>
        <v/>
      </c>
      <c r="D28" s="36">
        <f>MONTH(A28)</f>
        <v/>
      </c>
      <c r="E28" t="n">
        <v>0</v>
      </c>
      <c r="F28" s="30">
        <f>[1]FİYATLAR!C28</f>
        <v/>
      </c>
      <c r="G28" s="30">
        <f>[1]FİYATLAR!D28</f>
        <v/>
      </c>
      <c r="H28">
        <f>E28*F28</f>
        <v/>
      </c>
      <c r="I28">
        <f>E28*G28</f>
        <v/>
      </c>
      <c r="M28" s="63">
        <f>M27+1</f>
        <v/>
      </c>
      <c r="N28" s="89">
        <f>SUMIF(C:C,M28,E:E)</f>
        <v/>
      </c>
      <c r="O28" s="89">
        <f>SUMIF(C:C,M28,H:H)</f>
        <v/>
      </c>
      <c r="P28" s="89">
        <f>SUMIF(C:C,M28,I:I)</f>
        <v/>
      </c>
    </row>
    <row r="29">
      <c r="A29" s="29">
        <f>[1]FİYATLAR!A29</f>
        <v/>
      </c>
      <c r="B29" s="29">
        <f>[1]FİYATLAR!B29</f>
        <v/>
      </c>
      <c r="C29" s="35">
        <f>INT(A29)</f>
        <v/>
      </c>
      <c r="D29" s="36">
        <f>MONTH(A29)</f>
        <v/>
      </c>
      <c r="E29" t="n">
        <v>0</v>
      </c>
      <c r="F29" s="30">
        <f>[1]FİYATLAR!C29</f>
        <v/>
      </c>
      <c r="G29" s="30">
        <f>[1]FİYATLAR!D29</f>
        <v/>
      </c>
      <c r="H29">
        <f>E29*F29</f>
        <v/>
      </c>
      <c r="I29">
        <f>E29*G29</f>
        <v/>
      </c>
      <c r="M29" s="63">
        <f>M28+1</f>
        <v/>
      </c>
      <c r="N29" s="89">
        <f>SUMIF(C:C,M29,E:E)</f>
        <v/>
      </c>
      <c r="O29" s="89">
        <f>SUMIF(C:C,M29,H:H)</f>
        <v/>
      </c>
      <c r="P29" s="89">
        <f>SUMIF(C:C,M29,I:I)</f>
        <v/>
      </c>
    </row>
    <row r="30">
      <c r="A30" s="29">
        <f>[1]FİYATLAR!A30</f>
        <v/>
      </c>
      <c r="B30" s="29">
        <f>[1]FİYATLAR!B30</f>
        <v/>
      </c>
      <c r="C30" s="35">
        <f>INT(A30)</f>
        <v/>
      </c>
      <c r="D30" s="36">
        <f>MONTH(A30)</f>
        <v/>
      </c>
      <c r="E30" t="n">
        <v>0</v>
      </c>
      <c r="F30" s="30">
        <f>[1]FİYATLAR!C30</f>
        <v/>
      </c>
      <c r="G30" s="30">
        <f>[1]FİYATLAR!D30</f>
        <v/>
      </c>
      <c r="H30">
        <f>E30*F30</f>
        <v/>
      </c>
      <c r="I30">
        <f>E30*G30</f>
        <v/>
      </c>
      <c r="M30" s="63">
        <f>M29+1</f>
        <v/>
      </c>
      <c r="N30" s="89">
        <f>SUMIF(C:C,M30,E:E)</f>
        <v/>
      </c>
      <c r="O30" s="89">
        <f>SUMIF(C:C,M30,H:H)</f>
        <v/>
      </c>
      <c r="P30" s="89">
        <f>SUMIF(C:C,M30,I:I)</f>
        <v/>
      </c>
    </row>
    <row r="31">
      <c r="A31" s="29">
        <f>[1]FİYATLAR!A31</f>
        <v/>
      </c>
      <c r="B31" s="29">
        <f>[1]FİYATLAR!B31</f>
        <v/>
      </c>
      <c r="C31" s="35">
        <f>INT(A31)</f>
        <v/>
      </c>
      <c r="D31" s="36">
        <f>MONTH(A31)</f>
        <v/>
      </c>
      <c r="E31" t="n">
        <v>0</v>
      </c>
      <c r="F31" s="30">
        <f>[1]FİYATLAR!C31</f>
        <v/>
      </c>
      <c r="G31" s="30">
        <f>[1]FİYATLAR!D31</f>
        <v/>
      </c>
      <c r="H31">
        <f>E31*F31</f>
        <v/>
      </c>
      <c r="I31">
        <f>E31*G31</f>
        <v/>
      </c>
      <c r="M31" s="63">
        <f>M30+1</f>
        <v/>
      </c>
      <c r="N31" s="89">
        <f>SUMIF(C:C,M31,E:E)</f>
        <v/>
      </c>
      <c r="O31" s="89">
        <f>SUMIF(C:C,M31,H:H)</f>
        <v/>
      </c>
      <c r="P31" s="89">
        <f>SUMIF(C:C,M31,I:I)</f>
        <v/>
      </c>
    </row>
    <row r="32">
      <c r="A32" s="29">
        <f>[1]FİYATLAR!A32</f>
        <v/>
      </c>
      <c r="B32" s="29">
        <f>[1]FİYATLAR!B32</f>
        <v/>
      </c>
      <c r="C32" s="35">
        <f>INT(A32)</f>
        <v/>
      </c>
      <c r="D32" s="36">
        <f>MONTH(A32)</f>
        <v/>
      </c>
      <c r="E32" t="n">
        <v>0.08</v>
      </c>
      <c r="F32" s="30">
        <f>[1]FİYATLAR!C32</f>
        <v/>
      </c>
      <c r="G32" s="30">
        <f>[1]FİYATLAR!D32</f>
        <v/>
      </c>
      <c r="H32">
        <f>E32*F32</f>
        <v/>
      </c>
      <c r="I32">
        <f>E32*G32</f>
        <v/>
      </c>
      <c r="M32" s="63">
        <f>M31+1</f>
        <v/>
      </c>
      <c r="N32" s="89">
        <f>SUMIF(C:C,M32,E:E)</f>
        <v/>
      </c>
      <c r="O32" s="89">
        <f>SUMIF(C:C,M32,H:H)</f>
        <v/>
      </c>
      <c r="P32" s="89">
        <f>SUMIF(C:C,M32,I:I)</f>
        <v/>
      </c>
    </row>
    <row r="33">
      <c r="A33" s="29">
        <f>[1]FİYATLAR!A33</f>
        <v/>
      </c>
      <c r="B33" s="29">
        <f>[1]FİYATLAR!B33</f>
        <v/>
      </c>
      <c r="C33" s="35">
        <f>INT(A33)</f>
        <v/>
      </c>
      <c r="D33" s="36">
        <f>MONTH(A33)</f>
        <v/>
      </c>
      <c r="E33" t="n">
        <v>0.43</v>
      </c>
      <c r="F33" s="30">
        <f>[1]FİYATLAR!C33</f>
        <v/>
      </c>
      <c r="G33" s="30">
        <f>[1]FİYATLAR!D33</f>
        <v/>
      </c>
      <c r="H33">
        <f>E33*F33</f>
        <v/>
      </c>
      <c r="I33">
        <f>E33*G33</f>
        <v/>
      </c>
      <c r="M33" s="172" t="inlineStr">
        <is>
          <t>Toplam</t>
        </is>
      </c>
      <c r="N33" s="173">
        <f>SUM(N2:N32)</f>
        <v/>
      </c>
      <c r="O33" s="173">
        <f>SUM(O2:O32)</f>
        <v/>
      </c>
      <c r="P33" s="173">
        <f>SUM(P2:P32)</f>
        <v/>
      </c>
    </row>
    <row r="34">
      <c r="A34" s="29">
        <f>[1]FİYATLAR!A34</f>
        <v/>
      </c>
      <c r="B34" s="29">
        <f>[1]FİYATLAR!B34</f>
        <v/>
      </c>
      <c r="C34" s="35">
        <f>INT(A34)</f>
        <v/>
      </c>
      <c r="D34" s="36">
        <f>MONTH(A34)</f>
        <v/>
      </c>
      <c r="E34" t="n">
        <v>0.89</v>
      </c>
      <c r="F34" s="30">
        <f>[1]FİYATLAR!C34</f>
        <v/>
      </c>
      <c r="G34" s="30">
        <f>[1]FİYATLAR!D34</f>
        <v/>
      </c>
      <c r="H34">
        <f>E34*F34</f>
        <v/>
      </c>
      <c r="I34">
        <f>E34*G34</f>
        <v/>
      </c>
    </row>
    <row r="35">
      <c r="A35" s="29">
        <f>[1]FİYATLAR!A35</f>
        <v/>
      </c>
      <c r="B35" s="29">
        <f>[1]FİYATLAR!B35</f>
        <v/>
      </c>
      <c r="C35" s="35">
        <f>INT(A35)</f>
        <v/>
      </c>
      <c r="D35" s="36">
        <f>MONTH(A35)</f>
        <v/>
      </c>
      <c r="E35" t="n">
        <v>1.27</v>
      </c>
      <c r="F35" s="30">
        <f>[1]FİYATLAR!C35</f>
        <v/>
      </c>
      <c r="G35" s="30">
        <f>[1]FİYATLAR!D35</f>
        <v/>
      </c>
      <c r="H35">
        <f>E35*F35</f>
        <v/>
      </c>
      <c r="I35">
        <f>E35*G35</f>
        <v/>
      </c>
    </row>
    <row r="36">
      <c r="A36" s="29">
        <f>[1]FİYATLAR!A36</f>
        <v/>
      </c>
      <c r="B36" s="29">
        <f>[1]FİYATLAR!B36</f>
        <v/>
      </c>
      <c r="C36" s="35">
        <f>INT(A36)</f>
        <v/>
      </c>
      <c r="D36" s="36">
        <f>MONTH(A36)</f>
        <v/>
      </c>
      <c r="E36" t="n">
        <v>1.54</v>
      </c>
      <c r="F36" s="30">
        <f>[1]FİYATLAR!C36</f>
        <v/>
      </c>
      <c r="G36" s="30">
        <f>[1]FİYATLAR!D36</f>
        <v/>
      </c>
      <c r="H36">
        <f>E36*F36</f>
        <v/>
      </c>
      <c r="I36">
        <f>E36*G36</f>
        <v/>
      </c>
    </row>
    <row r="37">
      <c r="A37" s="29">
        <f>[1]FİYATLAR!A37</f>
        <v/>
      </c>
      <c r="B37" s="29">
        <f>[1]FİYATLAR!B37</f>
        <v/>
      </c>
      <c r="C37" s="35">
        <f>INT(A37)</f>
        <v/>
      </c>
      <c r="D37" s="36">
        <f>MONTH(A37)</f>
        <v/>
      </c>
      <c r="E37" t="n">
        <v>1.71</v>
      </c>
      <c r="F37" s="30">
        <f>[1]FİYATLAR!C37</f>
        <v/>
      </c>
      <c r="G37" s="30">
        <f>[1]FİYATLAR!D37</f>
        <v/>
      </c>
      <c r="H37">
        <f>E37*F37</f>
        <v/>
      </c>
      <c r="I37">
        <f>E37*G37</f>
        <v/>
      </c>
    </row>
    <row r="38">
      <c r="A38" s="29">
        <f>[1]FİYATLAR!A38</f>
        <v/>
      </c>
      <c r="B38" s="29">
        <f>[1]FİYATLAR!B38</f>
        <v/>
      </c>
      <c r="C38" s="35">
        <f>INT(A38)</f>
        <v/>
      </c>
      <c r="D38" s="36">
        <f>MONTH(A38)</f>
        <v/>
      </c>
      <c r="E38" t="n">
        <v>1.78</v>
      </c>
      <c r="F38" s="30">
        <f>[1]FİYATLAR!C38</f>
        <v/>
      </c>
      <c r="G38" s="30">
        <f>[1]FİYATLAR!D38</f>
        <v/>
      </c>
      <c r="H38">
        <f>E38*F38</f>
        <v/>
      </c>
      <c r="I38">
        <f>E38*G38</f>
        <v/>
      </c>
    </row>
    <row r="39">
      <c r="A39" s="29">
        <f>[1]FİYATLAR!A39</f>
        <v/>
      </c>
      <c r="B39" s="29">
        <f>[1]FİYATLAR!B39</f>
        <v/>
      </c>
      <c r="C39" s="35">
        <f>INT(A39)</f>
        <v/>
      </c>
      <c r="D39" s="36">
        <f>MONTH(A39)</f>
        <v/>
      </c>
      <c r="E39" t="n">
        <v>1.74</v>
      </c>
      <c r="F39" s="30">
        <f>[1]FİYATLAR!C39</f>
        <v/>
      </c>
      <c r="G39" s="30">
        <f>[1]FİYATLAR!D39</f>
        <v/>
      </c>
      <c r="H39">
        <f>E39*F39</f>
        <v/>
      </c>
      <c r="I39">
        <f>E39*G39</f>
        <v/>
      </c>
    </row>
    <row r="40">
      <c r="A40" s="29">
        <f>[1]FİYATLAR!A40</f>
        <v/>
      </c>
      <c r="B40" s="29">
        <f>[1]FİYATLAR!B40</f>
        <v/>
      </c>
      <c r="C40" s="35">
        <f>INT(A40)</f>
        <v/>
      </c>
      <c r="D40" s="36">
        <f>MONTH(A40)</f>
        <v/>
      </c>
      <c r="E40" t="n">
        <v>1.61</v>
      </c>
      <c r="F40" s="30">
        <f>[1]FİYATLAR!C40</f>
        <v/>
      </c>
      <c r="G40" s="30">
        <f>[1]FİYATLAR!D40</f>
        <v/>
      </c>
      <c r="H40">
        <f>E40*F40</f>
        <v/>
      </c>
      <c r="I40">
        <f>E40*G40</f>
        <v/>
      </c>
    </row>
    <row r="41">
      <c r="A41" s="29">
        <f>[1]FİYATLAR!A41</f>
        <v/>
      </c>
      <c r="B41" s="29">
        <f>[1]FİYATLAR!B41</f>
        <v/>
      </c>
      <c r="C41" s="35">
        <f>INT(A41)</f>
        <v/>
      </c>
      <c r="D41" s="36">
        <f>MONTH(A41)</f>
        <v/>
      </c>
      <c r="E41" t="n">
        <v>1.38</v>
      </c>
      <c r="F41" s="30">
        <f>[1]FİYATLAR!C41</f>
        <v/>
      </c>
      <c r="G41" s="30">
        <f>[1]FİYATLAR!D41</f>
        <v/>
      </c>
      <c r="H41">
        <f>E41*F41</f>
        <v/>
      </c>
      <c r="I41">
        <f>E41*G41</f>
        <v/>
      </c>
    </row>
    <row r="42">
      <c r="A42" s="29">
        <f>[1]FİYATLAR!A42</f>
        <v/>
      </c>
      <c r="B42" s="29">
        <f>[1]FİYATLAR!B42</f>
        <v/>
      </c>
      <c r="C42" s="35">
        <f>INT(A42)</f>
        <v/>
      </c>
      <c r="D42" s="36">
        <f>MONTH(A42)</f>
        <v/>
      </c>
      <c r="E42" t="n">
        <v>1.04</v>
      </c>
      <c r="F42" s="30">
        <f>[1]FİYATLAR!C42</f>
        <v/>
      </c>
      <c r="G42" s="30">
        <f>[1]FİYATLAR!D42</f>
        <v/>
      </c>
      <c r="H42">
        <f>E42*F42</f>
        <v/>
      </c>
      <c r="I42">
        <f>E42*G42</f>
        <v/>
      </c>
    </row>
    <row r="43">
      <c r="A43" s="29">
        <f>[1]FİYATLAR!A43</f>
        <v/>
      </c>
      <c r="B43" s="29">
        <f>[1]FİYATLAR!B43</f>
        <v/>
      </c>
      <c r="C43" s="35">
        <f>INT(A43)</f>
        <v/>
      </c>
      <c r="D43" s="36">
        <f>MONTH(A43)</f>
        <v/>
      </c>
      <c r="E43" t="n">
        <v>0.61</v>
      </c>
      <c r="F43" s="30">
        <f>[1]FİYATLAR!C43</f>
        <v/>
      </c>
      <c r="G43" s="30">
        <f>[1]FİYATLAR!D43</f>
        <v/>
      </c>
      <c r="H43">
        <f>E43*F43</f>
        <v/>
      </c>
      <c r="I43">
        <f>E43*G43</f>
        <v/>
      </c>
    </row>
    <row r="44">
      <c r="A44" s="29">
        <f>[1]FİYATLAR!A44</f>
        <v/>
      </c>
      <c r="B44" s="29">
        <f>[1]FİYATLAR!B44</f>
        <v/>
      </c>
      <c r="C44" s="35">
        <f>INT(A44)</f>
        <v/>
      </c>
      <c r="D44" s="36">
        <f>MONTH(A44)</f>
        <v/>
      </c>
      <c r="E44" t="n">
        <v>0.22</v>
      </c>
      <c r="F44" s="30">
        <f>[1]FİYATLAR!C44</f>
        <v/>
      </c>
      <c r="G44" s="30">
        <f>[1]FİYATLAR!D44</f>
        <v/>
      </c>
      <c r="H44">
        <f>E44*F44</f>
        <v/>
      </c>
      <c r="I44">
        <f>E44*G44</f>
        <v/>
      </c>
    </row>
    <row r="45">
      <c r="A45" s="29">
        <f>[1]FİYATLAR!A45</f>
        <v/>
      </c>
      <c r="B45" s="29">
        <f>[1]FİYATLAR!B45</f>
        <v/>
      </c>
      <c r="C45" s="35">
        <f>INT(A45)</f>
        <v/>
      </c>
      <c r="D45" s="36">
        <f>MONTH(A45)</f>
        <v/>
      </c>
      <c r="E45" t="n">
        <v>0.01</v>
      </c>
      <c r="F45" s="30">
        <f>[1]FİYATLAR!C45</f>
        <v/>
      </c>
      <c r="G45" s="30">
        <f>[1]FİYATLAR!D45</f>
        <v/>
      </c>
      <c r="H45">
        <f>E45*F45</f>
        <v/>
      </c>
      <c r="I45">
        <f>E45*G45</f>
        <v/>
      </c>
    </row>
    <row r="46">
      <c r="A46" s="29">
        <f>[1]FİYATLAR!A46</f>
        <v/>
      </c>
      <c r="B46" s="29">
        <f>[1]FİYATLAR!B46</f>
        <v/>
      </c>
      <c r="C46" s="35">
        <f>INT(A46)</f>
        <v/>
      </c>
      <c r="D46" s="36">
        <f>MONTH(A46)</f>
        <v/>
      </c>
      <c r="E46" t="n">
        <v>0</v>
      </c>
      <c r="F46" s="30">
        <f>[1]FİYATLAR!C46</f>
        <v/>
      </c>
      <c r="G46" s="30">
        <f>[1]FİYATLAR!D46</f>
        <v/>
      </c>
      <c r="H46">
        <f>E46*F46</f>
        <v/>
      </c>
      <c r="I46">
        <f>E46*G46</f>
        <v/>
      </c>
    </row>
    <row r="47">
      <c r="A47" s="29">
        <f>[1]FİYATLAR!A47</f>
        <v/>
      </c>
      <c r="B47" s="29">
        <f>[1]FİYATLAR!B47</f>
        <v/>
      </c>
      <c r="C47" s="35">
        <f>INT(A47)</f>
        <v/>
      </c>
      <c r="D47" s="36">
        <f>MONTH(A47)</f>
        <v/>
      </c>
      <c r="E47" t="n">
        <v>0</v>
      </c>
      <c r="F47" s="30">
        <f>[1]FİYATLAR!C47</f>
        <v/>
      </c>
      <c r="G47" s="30">
        <f>[1]FİYATLAR!D47</f>
        <v/>
      </c>
      <c r="H47">
        <f>E47*F47</f>
        <v/>
      </c>
      <c r="I47">
        <f>E47*G47</f>
        <v/>
      </c>
    </row>
    <row r="48">
      <c r="A48" s="29">
        <f>[1]FİYATLAR!A48</f>
        <v/>
      </c>
      <c r="B48" s="29">
        <f>[1]FİYATLAR!B48</f>
        <v/>
      </c>
      <c r="C48" s="35">
        <f>INT(A48)</f>
        <v/>
      </c>
      <c r="D48" s="36">
        <f>MONTH(A48)</f>
        <v/>
      </c>
      <c r="E48" t="n">
        <v>0</v>
      </c>
      <c r="F48" s="30">
        <f>[1]FİYATLAR!C48</f>
        <v/>
      </c>
      <c r="G48" s="30">
        <f>[1]FİYATLAR!D48</f>
        <v/>
      </c>
      <c r="H48">
        <f>E48*F48</f>
        <v/>
      </c>
      <c r="I48">
        <f>E48*G48</f>
        <v/>
      </c>
    </row>
    <row r="49">
      <c r="A49" s="29">
        <f>[1]FİYATLAR!A49</f>
        <v/>
      </c>
      <c r="B49" s="29">
        <f>[1]FİYATLAR!B49</f>
        <v/>
      </c>
      <c r="C49" s="35">
        <f>INT(A49)</f>
        <v/>
      </c>
      <c r="D49" s="36">
        <f>MONTH(A49)</f>
        <v/>
      </c>
      <c r="E49" t="n">
        <v>0</v>
      </c>
      <c r="F49" s="30">
        <f>[1]FİYATLAR!C49</f>
        <v/>
      </c>
      <c r="G49" s="30">
        <f>[1]FİYATLAR!D49</f>
        <v/>
      </c>
      <c r="H49">
        <f>E49*F49</f>
        <v/>
      </c>
      <c r="I49">
        <f>E49*G49</f>
        <v/>
      </c>
    </row>
    <row r="50">
      <c r="A50" s="29">
        <f>[1]FİYATLAR!A50</f>
        <v/>
      </c>
      <c r="B50" s="29">
        <f>[1]FİYATLAR!B50</f>
        <v/>
      </c>
      <c r="C50" s="35">
        <f>INT(A50)</f>
        <v/>
      </c>
      <c r="D50" s="36">
        <f>MONTH(A50)</f>
        <v/>
      </c>
      <c r="E50" t="n">
        <v>0</v>
      </c>
      <c r="F50" s="30">
        <f>[1]FİYATLAR!C50</f>
        <v/>
      </c>
      <c r="G50" s="30">
        <f>[1]FİYATLAR!D50</f>
        <v/>
      </c>
      <c r="H50">
        <f>E50*F50</f>
        <v/>
      </c>
      <c r="I50">
        <f>E50*G50</f>
        <v/>
      </c>
    </row>
    <row r="51">
      <c r="A51" s="29">
        <f>[1]FİYATLAR!A51</f>
        <v/>
      </c>
      <c r="B51" s="29">
        <f>[1]FİYATLAR!B51</f>
        <v/>
      </c>
      <c r="C51" s="35">
        <f>INT(A51)</f>
        <v/>
      </c>
      <c r="D51" s="36">
        <f>MONTH(A51)</f>
        <v/>
      </c>
      <c r="E51" t="n">
        <v>0</v>
      </c>
      <c r="F51" s="30">
        <f>[1]FİYATLAR!C51</f>
        <v/>
      </c>
      <c r="G51" s="30">
        <f>[1]FİYATLAR!D51</f>
        <v/>
      </c>
      <c r="H51">
        <f>E51*F51</f>
        <v/>
      </c>
      <c r="I51">
        <f>E51*G51</f>
        <v/>
      </c>
    </row>
    <row r="52">
      <c r="A52" s="29">
        <f>[1]FİYATLAR!A52</f>
        <v/>
      </c>
      <c r="B52" s="29">
        <f>[1]FİYATLAR!B52</f>
        <v/>
      </c>
      <c r="C52" s="35">
        <f>INT(A52)</f>
        <v/>
      </c>
      <c r="D52" s="36">
        <f>MONTH(A52)</f>
        <v/>
      </c>
      <c r="E52" t="n">
        <v>0</v>
      </c>
      <c r="F52" s="30">
        <f>[1]FİYATLAR!C52</f>
        <v/>
      </c>
      <c r="G52" s="30">
        <f>[1]FİYATLAR!D52</f>
        <v/>
      </c>
      <c r="H52">
        <f>E52*F52</f>
        <v/>
      </c>
      <c r="I52">
        <f>E52*G52</f>
        <v/>
      </c>
    </row>
    <row r="53">
      <c r="A53" s="29">
        <f>[1]FİYATLAR!A53</f>
        <v/>
      </c>
      <c r="B53" s="29">
        <f>[1]FİYATLAR!B53</f>
        <v/>
      </c>
      <c r="C53" s="35">
        <f>INT(A53)</f>
        <v/>
      </c>
      <c r="D53" s="36">
        <f>MONTH(A53)</f>
        <v/>
      </c>
      <c r="E53" t="n">
        <v>0</v>
      </c>
      <c r="F53" s="30">
        <f>[1]FİYATLAR!C53</f>
        <v/>
      </c>
      <c r="G53" s="30">
        <f>[1]FİYATLAR!D53</f>
        <v/>
      </c>
      <c r="H53">
        <f>E53*F53</f>
        <v/>
      </c>
      <c r="I53">
        <f>E53*G53</f>
        <v/>
      </c>
    </row>
    <row r="54">
      <c r="A54" s="29">
        <f>[1]FİYATLAR!A54</f>
        <v/>
      </c>
      <c r="B54" s="29">
        <f>[1]FİYATLAR!B54</f>
        <v/>
      </c>
      <c r="C54" s="35">
        <f>INT(A54)</f>
        <v/>
      </c>
      <c r="D54" s="36">
        <f>MONTH(A54)</f>
        <v/>
      </c>
      <c r="E54" t="n">
        <v>0</v>
      </c>
      <c r="F54" s="30">
        <f>[1]FİYATLAR!C54</f>
        <v/>
      </c>
      <c r="G54" s="30">
        <f>[1]FİYATLAR!D54</f>
        <v/>
      </c>
      <c r="H54">
        <f>E54*F54</f>
        <v/>
      </c>
      <c r="I54">
        <f>E54*G54</f>
        <v/>
      </c>
    </row>
    <row r="55">
      <c r="A55" s="29">
        <f>[1]FİYATLAR!A55</f>
        <v/>
      </c>
      <c r="B55" s="29">
        <f>[1]FİYATLAR!B55</f>
        <v/>
      </c>
      <c r="C55" s="35">
        <f>INT(A55)</f>
        <v/>
      </c>
      <c r="D55" s="36">
        <f>MONTH(A55)</f>
        <v/>
      </c>
      <c r="E55" t="n">
        <v>0.02</v>
      </c>
      <c r="F55" s="30">
        <f>[1]FİYATLAR!C55</f>
        <v/>
      </c>
      <c r="G55" s="30">
        <f>[1]FİYATLAR!D55</f>
        <v/>
      </c>
      <c r="H55">
        <f>E55*F55</f>
        <v/>
      </c>
      <c r="I55">
        <f>E55*G55</f>
        <v/>
      </c>
    </row>
    <row r="56">
      <c r="A56" s="29">
        <f>[1]FİYATLAR!A56</f>
        <v/>
      </c>
      <c r="B56" s="29">
        <f>[1]FİYATLAR!B56</f>
        <v/>
      </c>
      <c r="C56" s="35">
        <f>INT(A56)</f>
        <v/>
      </c>
      <c r="D56" s="36">
        <f>MONTH(A56)</f>
        <v/>
      </c>
      <c r="E56" t="n">
        <v>0.19</v>
      </c>
      <c r="F56" s="30">
        <f>[1]FİYATLAR!C56</f>
        <v/>
      </c>
      <c r="G56" s="30">
        <f>[1]FİYATLAR!D56</f>
        <v/>
      </c>
      <c r="H56">
        <f>E56*F56</f>
        <v/>
      </c>
      <c r="I56">
        <f>E56*G56</f>
        <v/>
      </c>
    </row>
    <row r="57">
      <c r="A57" s="29">
        <f>[1]FİYATLAR!A57</f>
        <v/>
      </c>
      <c r="B57" s="29">
        <f>[1]FİYATLAR!B57</f>
        <v/>
      </c>
      <c r="C57" s="35">
        <f>INT(A57)</f>
        <v/>
      </c>
      <c r="D57" s="36">
        <f>MONTH(A57)</f>
        <v/>
      </c>
      <c r="E57" t="n">
        <v>0.07000000000000001</v>
      </c>
      <c r="F57" s="30">
        <f>[1]FİYATLAR!C57</f>
        <v/>
      </c>
      <c r="G57" s="30">
        <f>[1]FİYATLAR!D57</f>
        <v/>
      </c>
      <c r="H57">
        <f>E57*F57</f>
        <v/>
      </c>
      <c r="I57">
        <f>E57*G57</f>
        <v/>
      </c>
    </row>
    <row r="58">
      <c r="A58" s="29">
        <f>[1]FİYATLAR!A58</f>
        <v/>
      </c>
      <c r="B58" s="29">
        <f>[1]FİYATLAR!B58</f>
        <v/>
      </c>
      <c r="C58" s="35">
        <f>INT(A58)</f>
        <v/>
      </c>
      <c r="D58" s="36">
        <f>MONTH(A58)</f>
        <v/>
      </c>
      <c r="E58" t="n">
        <v>0.15</v>
      </c>
      <c r="F58" s="30">
        <f>[1]FİYATLAR!C58</f>
        <v/>
      </c>
      <c r="G58" s="30">
        <f>[1]FİYATLAR!D58</f>
        <v/>
      </c>
      <c r="H58">
        <f>E58*F58</f>
        <v/>
      </c>
      <c r="I58">
        <f>E58*G58</f>
        <v/>
      </c>
    </row>
    <row r="59">
      <c r="A59" s="29">
        <f>[1]FİYATLAR!A59</f>
        <v/>
      </c>
      <c r="B59" s="29">
        <f>[1]FİYATLAR!B59</f>
        <v/>
      </c>
      <c r="C59" s="35">
        <f>INT(A59)</f>
        <v/>
      </c>
      <c r="D59" s="36">
        <f>MONTH(A59)</f>
        <v/>
      </c>
      <c r="E59" t="n">
        <v>0.37</v>
      </c>
      <c r="F59" s="30">
        <f>[1]FİYATLAR!C59</f>
        <v/>
      </c>
      <c r="G59" s="30">
        <f>[1]FİYATLAR!D59</f>
        <v/>
      </c>
      <c r="H59">
        <f>E59*F59</f>
        <v/>
      </c>
      <c r="I59">
        <f>E59*G59</f>
        <v/>
      </c>
    </row>
    <row r="60">
      <c r="A60" s="29">
        <f>[1]FİYATLAR!A60</f>
        <v/>
      </c>
      <c r="B60" s="29">
        <f>[1]FİYATLAR!B60</f>
        <v/>
      </c>
      <c r="C60" s="35">
        <f>INT(A60)</f>
        <v/>
      </c>
      <c r="D60" s="36">
        <f>MONTH(A60)</f>
        <v/>
      </c>
      <c r="E60" t="n">
        <v>1.37</v>
      </c>
      <c r="F60" s="30">
        <f>[1]FİYATLAR!C60</f>
        <v/>
      </c>
      <c r="G60" s="30">
        <f>[1]FİYATLAR!D60</f>
        <v/>
      </c>
      <c r="H60">
        <f>E60*F60</f>
        <v/>
      </c>
      <c r="I60">
        <f>E60*G60</f>
        <v/>
      </c>
    </row>
    <row r="61">
      <c r="A61" s="29">
        <f>[1]FİYATLAR!A61</f>
        <v/>
      </c>
      <c r="B61" s="29">
        <f>[1]FİYATLAR!B61</f>
        <v/>
      </c>
      <c r="C61" s="35">
        <f>INT(A61)</f>
        <v/>
      </c>
      <c r="D61" s="36">
        <f>MONTH(A61)</f>
        <v/>
      </c>
      <c r="E61" t="n">
        <v>1.54</v>
      </c>
      <c r="F61" s="30">
        <f>[1]FİYATLAR!C61</f>
        <v/>
      </c>
      <c r="G61" s="30">
        <f>[1]FİYATLAR!D61</f>
        <v/>
      </c>
      <c r="H61">
        <f>E61*F61</f>
        <v/>
      </c>
      <c r="I61">
        <f>E61*G61</f>
        <v/>
      </c>
    </row>
    <row r="62">
      <c r="A62" s="29">
        <f>[1]FİYATLAR!A62</f>
        <v/>
      </c>
      <c r="B62" s="29">
        <f>[1]FİYATLAR!B62</f>
        <v/>
      </c>
      <c r="C62" s="35">
        <f>INT(A62)</f>
        <v/>
      </c>
      <c r="D62" s="36">
        <f>MONTH(A62)</f>
        <v/>
      </c>
      <c r="E62" t="n">
        <v>1.73</v>
      </c>
      <c r="F62" s="30">
        <f>[1]FİYATLAR!C62</f>
        <v/>
      </c>
      <c r="G62" s="30">
        <f>[1]FİYATLAR!D62</f>
        <v/>
      </c>
      <c r="H62">
        <f>E62*F62</f>
        <v/>
      </c>
      <c r="I62">
        <f>E62*G62</f>
        <v/>
      </c>
    </row>
    <row r="63">
      <c r="A63" s="29">
        <f>[1]FİYATLAR!A63</f>
        <v/>
      </c>
      <c r="B63" s="29">
        <f>[1]FİYATLAR!B63</f>
        <v/>
      </c>
      <c r="C63" s="35">
        <f>INT(A63)</f>
        <v/>
      </c>
      <c r="D63" s="36">
        <f>MONTH(A63)</f>
        <v/>
      </c>
      <c r="E63" t="n">
        <v>1.37</v>
      </c>
      <c r="F63" s="30">
        <f>[1]FİYATLAR!C63</f>
        <v/>
      </c>
      <c r="G63" s="30">
        <f>[1]FİYATLAR!D63</f>
        <v/>
      </c>
      <c r="H63">
        <f>E63*F63</f>
        <v/>
      </c>
      <c r="I63">
        <f>E63*G63</f>
        <v/>
      </c>
    </row>
    <row r="64">
      <c r="A64" s="29">
        <f>[1]FİYATLAR!A64</f>
        <v/>
      </c>
      <c r="B64" s="29">
        <f>[1]FİYATLAR!B64</f>
        <v/>
      </c>
      <c r="C64" s="35">
        <f>INT(A64)</f>
        <v/>
      </c>
      <c r="D64" s="36">
        <f>MONTH(A64)</f>
        <v/>
      </c>
      <c r="E64" t="n">
        <v>0.4</v>
      </c>
      <c r="F64" s="30">
        <f>[1]FİYATLAR!C64</f>
        <v/>
      </c>
      <c r="G64" s="30">
        <f>[1]FİYATLAR!D64</f>
        <v/>
      </c>
      <c r="H64">
        <f>E64*F64</f>
        <v/>
      </c>
      <c r="I64">
        <f>E64*G64</f>
        <v/>
      </c>
    </row>
    <row r="65">
      <c r="A65" s="29">
        <f>[1]FİYATLAR!A65</f>
        <v/>
      </c>
      <c r="B65" s="29">
        <f>[1]FİYATLAR!B65</f>
        <v/>
      </c>
      <c r="C65" s="35">
        <f>INT(A65)</f>
        <v/>
      </c>
      <c r="D65" s="36">
        <f>MONTH(A65)</f>
        <v/>
      </c>
      <c r="E65" t="n">
        <v>1.19</v>
      </c>
      <c r="F65" s="30">
        <f>[1]FİYATLAR!C65</f>
        <v/>
      </c>
      <c r="G65" s="30">
        <f>[1]FİYATLAR!D65</f>
        <v/>
      </c>
      <c r="H65">
        <f>E65*F65</f>
        <v/>
      </c>
      <c r="I65">
        <f>E65*G65</f>
        <v/>
      </c>
    </row>
    <row r="66">
      <c r="A66" s="29">
        <f>[1]FİYATLAR!A66</f>
        <v/>
      </c>
      <c r="B66" s="29">
        <f>[1]FİYATLAR!B66</f>
        <v/>
      </c>
      <c r="C66" s="35">
        <f>INT(A66)</f>
        <v/>
      </c>
      <c r="D66" s="36">
        <f>MONTH(A66)</f>
        <v/>
      </c>
      <c r="E66" t="n">
        <v>1.07</v>
      </c>
      <c r="F66" s="30">
        <f>[1]FİYATLAR!C66</f>
        <v/>
      </c>
      <c r="G66" s="30">
        <f>[1]FİYATLAR!D66</f>
        <v/>
      </c>
      <c r="H66">
        <f>E66*F66</f>
        <v/>
      </c>
      <c r="I66">
        <f>E66*G66</f>
        <v/>
      </c>
    </row>
    <row r="67">
      <c r="A67" s="29">
        <f>[1]FİYATLAR!A67</f>
        <v/>
      </c>
      <c r="B67" s="29">
        <f>[1]FİYATLAR!B67</f>
        <v/>
      </c>
      <c r="C67" s="35">
        <f>INT(A67)</f>
        <v/>
      </c>
      <c r="D67" s="36">
        <f>MONTH(A67)</f>
        <v/>
      </c>
      <c r="E67" t="n">
        <v>0.62</v>
      </c>
      <c r="F67" s="30">
        <f>[1]FİYATLAR!C67</f>
        <v/>
      </c>
      <c r="G67" s="30">
        <f>[1]FİYATLAR!D67</f>
        <v/>
      </c>
      <c r="H67">
        <f>E67*F67</f>
        <v/>
      </c>
      <c r="I67">
        <f>E67*G67</f>
        <v/>
      </c>
    </row>
    <row r="68">
      <c r="A68" s="29">
        <f>[1]FİYATLAR!A68</f>
        <v/>
      </c>
      <c r="B68" s="29">
        <f>[1]FİYATLAR!B68</f>
        <v/>
      </c>
      <c r="C68" s="35">
        <f>INT(A68)</f>
        <v/>
      </c>
      <c r="D68" s="36">
        <f>MONTH(A68)</f>
        <v/>
      </c>
      <c r="E68" t="n">
        <v>0.24</v>
      </c>
      <c r="F68" s="30">
        <f>[1]FİYATLAR!C68</f>
        <v/>
      </c>
      <c r="G68" s="30">
        <f>[1]FİYATLAR!D68</f>
        <v/>
      </c>
      <c r="H68">
        <f>E68*F68</f>
        <v/>
      </c>
      <c r="I68">
        <f>E68*G68</f>
        <v/>
      </c>
    </row>
    <row r="69">
      <c r="A69" s="29">
        <f>[1]FİYATLAR!A69</f>
        <v/>
      </c>
      <c r="B69" s="29">
        <f>[1]FİYATLAR!B69</f>
        <v/>
      </c>
      <c r="C69" s="35">
        <f>INT(A69)</f>
        <v/>
      </c>
      <c r="D69" s="36">
        <f>MONTH(A69)</f>
        <v/>
      </c>
      <c r="E69" t="n">
        <v>0</v>
      </c>
      <c r="F69" s="30">
        <f>[1]FİYATLAR!C69</f>
        <v/>
      </c>
      <c r="G69" s="30">
        <f>[1]FİYATLAR!D69</f>
        <v/>
      </c>
      <c r="H69">
        <f>E69*F69</f>
        <v/>
      </c>
      <c r="I69">
        <f>E69*G69</f>
        <v/>
      </c>
    </row>
    <row r="70">
      <c r="A70" s="29">
        <f>[1]FİYATLAR!A70</f>
        <v/>
      </c>
      <c r="B70" s="29">
        <f>[1]FİYATLAR!B70</f>
        <v/>
      </c>
      <c r="C70" s="35">
        <f>INT(A70)</f>
        <v/>
      </c>
      <c r="D70" s="36">
        <f>MONTH(A70)</f>
        <v/>
      </c>
      <c r="E70" t="n">
        <v>0</v>
      </c>
      <c r="F70" s="30">
        <f>[1]FİYATLAR!C70</f>
        <v/>
      </c>
      <c r="G70" s="30">
        <f>[1]FİYATLAR!D70</f>
        <v/>
      </c>
      <c r="H70">
        <f>E70*F70</f>
        <v/>
      </c>
      <c r="I70">
        <f>E70*G70</f>
        <v/>
      </c>
    </row>
    <row r="71">
      <c r="A71" s="29">
        <f>[1]FİYATLAR!A71</f>
        <v/>
      </c>
      <c r="B71" s="29">
        <f>[1]FİYATLAR!B71</f>
        <v/>
      </c>
      <c r="C71" s="35">
        <f>INT(A71)</f>
        <v/>
      </c>
      <c r="D71" s="36">
        <f>MONTH(A71)</f>
        <v/>
      </c>
      <c r="E71" t="n">
        <v>0</v>
      </c>
      <c r="F71" s="30">
        <f>[1]FİYATLAR!C71</f>
        <v/>
      </c>
      <c r="G71" s="30">
        <f>[1]FİYATLAR!D71</f>
        <v/>
      </c>
      <c r="H71">
        <f>E71*F71</f>
        <v/>
      </c>
      <c r="I71">
        <f>E71*G71</f>
        <v/>
      </c>
    </row>
    <row r="72">
      <c r="A72" s="29">
        <f>[1]FİYATLAR!A72</f>
        <v/>
      </c>
      <c r="B72" s="29">
        <f>[1]FİYATLAR!B72</f>
        <v/>
      </c>
      <c r="C72" s="35">
        <f>INT(A72)</f>
        <v/>
      </c>
      <c r="D72" s="36">
        <f>MONTH(A72)</f>
        <v/>
      </c>
      <c r="E72" t="n">
        <v>0</v>
      </c>
      <c r="F72" s="30">
        <f>[1]FİYATLAR!C72</f>
        <v/>
      </c>
      <c r="G72" s="30">
        <f>[1]FİYATLAR!D72</f>
        <v/>
      </c>
      <c r="H72">
        <f>E72*F72</f>
        <v/>
      </c>
      <c r="I72">
        <f>E72*G72</f>
        <v/>
      </c>
    </row>
    <row r="73">
      <c r="A73" s="29">
        <f>[1]FİYATLAR!A73</f>
        <v/>
      </c>
      <c r="B73" s="29">
        <f>[1]FİYATLAR!B73</f>
        <v/>
      </c>
      <c r="C73" s="35">
        <f>INT(A73)</f>
        <v/>
      </c>
      <c r="D73" s="36">
        <f>MONTH(A73)</f>
        <v/>
      </c>
      <c r="E73" t="n">
        <v>0</v>
      </c>
      <c r="F73" s="30">
        <f>[1]FİYATLAR!C73</f>
        <v/>
      </c>
      <c r="G73" s="30">
        <f>[1]FİYATLAR!D73</f>
        <v/>
      </c>
      <c r="H73">
        <f>E73*F73</f>
        <v/>
      </c>
      <c r="I73">
        <f>E73*G73</f>
        <v/>
      </c>
    </row>
    <row r="74">
      <c r="A74" s="29">
        <f>[1]FİYATLAR!A74</f>
        <v/>
      </c>
      <c r="B74" s="29">
        <f>[1]FİYATLAR!B74</f>
        <v/>
      </c>
      <c r="C74" s="35">
        <f>INT(A74)</f>
        <v/>
      </c>
      <c r="D74" s="36">
        <f>MONTH(A74)</f>
        <v/>
      </c>
      <c r="E74" t="n">
        <v>0</v>
      </c>
      <c r="F74" s="30">
        <f>[1]FİYATLAR!C74</f>
        <v/>
      </c>
      <c r="G74" s="30">
        <f>[1]FİYATLAR!D74</f>
        <v/>
      </c>
      <c r="H74">
        <f>E74*F74</f>
        <v/>
      </c>
      <c r="I74">
        <f>E74*G74</f>
        <v/>
      </c>
    </row>
    <row r="75">
      <c r="A75" s="29">
        <f>[1]FİYATLAR!A75</f>
        <v/>
      </c>
      <c r="B75" s="29">
        <f>[1]FİYATLAR!B75</f>
        <v/>
      </c>
      <c r="C75" s="35">
        <f>INT(A75)</f>
        <v/>
      </c>
      <c r="D75" s="36">
        <f>MONTH(A75)</f>
        <v/>
      </c>
      <c r="E75" t="n">
        <v>0</v>
      </c>
      <c r="F75" s="30">
        <f>[1]FİYATLAR!C75</f>
        <v/>
      </c>
      <c r="G75" s="30">
        <f>[1]FİYATLAR!D75</f>
        <v/>
      </c>
      <c r="H75">
        <f>E75*F75</f>
        <v/>
      </c>
      <c r="I75">
        <f>E75*G75</f>
        <v/>
      </c>
    </row>
    <row r="76">
      <c r="A76" s="29">
        <f>[1]FİYATLAR!A76</f>
        <v/>
      </c>
      <c r="B76" s="29">
        <f>[1]FİYATLAR!B76</f>
        <v/>
      </c>
      <c r="C76" s="35">
        <f>INT(A76)</f>
        <v/>
      </c>
      <c r="D76" s="36">
        <f>MONTH(A76)</f>
        <v/>
      </c>
      <c r="E76" t="n">
        <v>0</v>
      </c>
      <c r="F76" s="30">
        <f>[1]FİYATLAR!C76</f>
        <v/>
      </c>
      <c r="G76" s="30">
        <f>[1]FİYATLAR!D76</f>
        <v/>
      </c>
      <c r="H76">
        <f>E76*F76</f>
        <v/>
      </c>
      <c r="I76">
        <f>E76*G76</f>
        <v/>
      </c>
    </row>
    <row r="77">
      <c r="A77" s="29">
        <f>[1]FİYATLAR!A77</f>
        <v/>
      </c>
      <c r="B77" s="29">
        <f>[1]FİYATLAR!B77</f>
        <v/>
      </c>
      <c r="C77" s="35">
        <f>INT(A77)</f>
        <v/>
      </c>
      <c r="D77" s="36">
        <f>MONTH(A77)</f>
        <v/>
      </c>
      <c r="E77" t="n">
        <v>0</v>
      </c>
      <c r="F77" s="30">
        <f>[1]FİYATLAR!C77</f>
        <v/>
      </c>
      <c r="G77" s="30">
        <f>[1]FİYATLAR!D77</f>
        <v/>
      </c>
      <c r="H77">
        <f>E77*F77</f>
        <v/>
      </c>
      <c r="I77">
        <f>E77*G77</f>
        <v/>
      </c>
    </row>
    <row r="78">
      <c r="A78" s="29">
        <f>[1]FİYATLAR!A78</f>
        <v/>
      </c>
      <c r="B78" s="29">
        <f>[1]FİYATLAR!B78</f>
        <v/>
      </c>
      <c r="C78" s="35">
        <f>INT(A78)</f>
        <v/>
      </c>
      <c r="D78" s="36">
        <f>MONTH(A78)</f>
        <v/>
      </c>
      <c r="E78" t="n">
        <v>0</v>
      </c>
      <c r="F78" s="30">
        <f>[1]FİYATLAR!C78</f>
        <v/>
      </c>
      <c r="G78" s="30">
        <f>[1]FİYATLAR!D78</f>
        <v/>
      </c>
      <c r="H78">
        <f>E78*F78</f>
        <v/>
      </c>
      <c r="I78">
        <f>E78*G78</f>
        <v/>
      </c>
    </row>
    <row r="79">
      <c r="A79" s="29">
        <f>[1]FİYATLAR!A79</f>
        <v/>
      </c>
      <c r="B79" s="29">
        <f>[1]FİYATLAR!B79</f>
        <v/>
      </c>
      <c r="C79" s="35">
        <f>INT(A79)</f>
        <v/>
      </c>
      <c r="D79" s="36">
        <f>MONTH(A79)</f>
        <v/>
      </c>
      <c r="E79" t="n">
        <v>0.02</v>
      </c>
      <c r="F79" s="30">
        <f>[1]FİYATLAR!C79</f>
        <v/>
      </c>
      <c r="G79" s="30">
        <f>[1]FİYATLAR!D79</f>
        <v/>
      </c>
      <c r="H79">
        <f>E79*F79</f>
        <v/>
      </c>
      <c r="I79">
        <f>E79*G79</f>
        <v/>
      </c>
    </row>
    <row r="80">
      <c r="A80" s="29">
        <f>[1]FİYATLAR!A80</f>
        <v/>
      </c>
      <c r="B80" s="29">
        <f>[1]FİYATLAR!B80</f>
        <v/>
      </c>
      <c r="C80" s="35">
        <f>INT(A80)</f>
        <v/>
      </c>
      <c r="D80" s="36">
        <f>MONTH(A80)</f>
        <v/>
      </c>
      <c r="E80" t="n">
        <v>0.14</v>
      </c>
      <c r="F80" s="30">
        <f>[1]FİYATLAR!C80</f>
        <v/>
      </c>
      <c r="G80" s="30">
        <f>[1]FİYATLAR!D80</f>
        <v/>
      </c>
      <c r="H80">
        <f>E80*F80</f>
        <v/>
      </c>
      <c r="I80">
        <f>E80*G80</f>
        <v/>
      </c>
    </row>
    <row r="81">
      <c r="A81" s="29">
        <f>[1]FİYATLAR!A81</f>
        <v/>
      </c>
      <c r="B81" s="29">
        <f>[1]FİYATLAR!B81</f>
        <v/>
      </c>
      <c r="C81" s="35">
        <f>INT(A81)</f>
        <v/>
      </c>
      <c r="D81" s="36">
        <f>MONTH(A81)</f>
        <v/>
      </c>
      <c r="E81" t="n">
        <v>0.39</v>
      </c>
      <c r="F81" s="30">
        <f>[1]FİYATLAR!C81</f>
        <v/>
      </c>
      <c r="G81" s="30">
        <f>[1]FİYATLAR!D81</f>
        <v/>
      </c>
      <c r="H81">
        <f>E81*F81</f>
        <v/>
      </c>
      <c r="I81">
        <f>E81*G81</f>
        <v/>
      </c>
    </row>
    <row r="82">
      <c r="A82" s="29">
        <f>[1]FİYATLAR!A82</f>
        <v/>
      </c>
      <c r="B82" s="29">
        <f>[1]FİYATLAR!B82</f>
        <v/>
      </c>
      <c r="C82" s="35">
        <f>INT(A82)</f>
        <v/>
      </c>
      <c r="D82" s="36">
        <f>MONTH(A82)</f>
        <v/>
      </c>
      <c r="E82" t="n">
        <v>0.83</v>
      </c>
      <c r="F82" s="30">
        <f>[1]FİYATLAR!C82</f>
        <v/>
      </c>
      <c r="G82" s="30">
        <f>[1]FİYATLAR!D82</f>
        <v/>
      </c>
      <c r="H82">
        <f>E82*F82</f>
        <v/>
      </c>
      <c r="I82">
        <f>E82*G82</f>
        <v/>
      </c>
    </row>
    <row r="83">
      <c r="A83" s="29">
        <f>[1]FİYATLAR!A83</f>
        <v/>
      </c>
      <c r="B83" s="29">
        <f>[1]FİYATLAR!B83</f>
        <v/>
      </c>
      <c r="C83" s="35">
        <f>INT(A83)</f>
        <v/>
      </c>
      <c r="D83" s="36">
        <f>MONTH(A83)</f>
        <v/>
      </c>
      <c r="E83" t="n">
        <v>1.22</v>
      </c>
      <c r="F83" s="30">
        <f>[1]FİYATLAR!C83</f>
        <v/>
      </c>
      <c r="G83" s="30">
        <f>[1]FİYATLAR!D83</f>
        <v/>
      </c>
      <c r="H83">
        <f>E83*F83</f>
        <v/>
      </c>
      <c r="I83">
        <f>E83*G83</f>
        <v/>
      </c>
    </row>
    <row r="84">
      <c r="A84" s="29">
        <f>[1]FİYATLAR!A84</f>
        <v/>
      </c>
      <c r="B84" s="29">
        <f>[1]FİYATLAR!B84</f>
        <v/>
      </c>
      <c r="C84" s="35">
        <f>INT(A84)</f>
        <v/>
      </c>
      <c r="D84" s="36">
        <f>MONTH(A84)</f>
        <v/>
      </c>
      <c r="E84" t="n">
        <v>1.39</v>
      </c>
      <c r="F84" s="30">
        <f>[1]FİYATLAR!C84</f>
        <v/>
      </c>
      <c r="G84" s="30">
        <f>[1]FİYATLAR!D84</f>
        <v/>
      </c>
      <c r="H84">
        <f>E84*F84</f>
        <v/>
      </c>
      <c r="I84">
        <f>E84*G84</f>
        <v/>
      </c>
    </row>
    <row r="85">
      <c r="A85" s="29">
        <f>[1]FİYATLAR!A85</f>
        <v/>
      </c>
      <c r="B85" s="29">
        <f>[1]FİYATLAR!B85</f>
        <v/>
      </c>
      <c r="C85" s="35">
        <f>INT(A85)</f>
        <v/>
      </c>
      <c r="D85" s="36">
        <f>MONTH(A85)</f>
        <v/>
      </c>
      <c r="E85" t="n">
        <v>1.73</v>
      </c>
      <c r="F85" s="30">
        <f>[1]FİYATLAR!C85</f>
        <v/>
      </c>
      <c r="G85" s="30">
        <f>[1]FİYATLAR!D85</f>
        <v/>
      </c>
      <c r="H85">
        <f>E85*F85</f>
        <v/>
      </c>
      <c r="I85">
        <f>E85*G85</f>
        <v/>
      </c>
    </row>
    <row r="86">
      <c r="A86" s="29">
        <f>[1]FİYATLAR!A86</f>
        <v/>
      </c>
      <c r="B86" s="29">
        <f>[1]FİYATLAR!B86</f>
        <v/>
      </c>
      <c r="C86" s="35">
        <f>INT(A86)</f>
        <v/>
      </c>
      <c r="D86" s="36">
        <f>MONTH(A86)</f>
        <v/>
      </c>
      <c r="E86" t="n">
        <v>1.78</v>
      </c>
      <c r="F86" s="30">
        <f>[1]FİYATLAR!C86</f>
        <v/>
      </c>
      <c r="G86" s="30">
        <f>[1]FİYATLAR!D86</f>
        <v/>
      </c>
      <c r="H86">
        <f>E86*F86</f>
        <v/>
      </c>
      <c r="I86">
        <f>E86*G86</f>
        <v/>
      </c>
    </row>
    <row r="87">
      <c r="A87" s="29">
        <f>[1]FİYATLAR!A87</f>
        <v/>
      </c>
      <c r="B87" s="29">
        <f>[1]FİYATLAR!B87</f>
        <v/>
      </c>
      <c r="C87" s="35">
        <f>INT(A87)</f>
        <v/>
      </c>
      <c r="D87" s="36">
        <f>MONTH(A87)</f>
        <v/>
      </c>
      <c r="E87" t="n">
        <v>1.36</v>
      </c>
      <c r="F87" s="30">
        <f>[1]FİYATLAR!C87</f>
        <v/>
      </c>
      <c r="G87" s="30">
        <f>[1]FİYATLAR!D87</f>
        <v/>
      </c>
      <c r="H87">
        <f>E87*F87</f>
        <v/>
      </c>
      <c r="I87">
        <f>E87*G87</f>
        <v/>
      </c>
    </row>
    <row r="88">
      <c r="A88" s="29">
        <f>[1]FİYATLAR!A88</f>
        <v/>
      </c>
      <c r="B88" s="29">
        <f>[1]FİYATLAR!B88</f>
        <v/>
      </c>
      <c r="C88" s="35">
        <f>INT(A88)</f>
        <v/>
      </c>
      <c r="D88" s="36">
        <f>MONTH(A88)</f>
        <v/>
      </c>
      <c r="E88" t="n">
        <v>1.7</v>
      </c>
      <c r="F88" s="30">
        <f>[1]FİYATLAR!C88</f>
        <v/>
      </c>
      <c r="G88" s="30">
        <f>[1]FİYATLAR!D88</f>
        <v/>
      </c>
      <c r="H88">
        <f>E88*F88</f>
        <v/>
      </c>
      <c r="I88">
        <f>E88*G88</f>
        <v/>
      </c>
    </row>
    <row r="89">
      <c r="A89" s="29">
        <f>[1]FİYATLAR!A89</f>
        <v/>
      </c>
      <c r="B89" s="29">
        <f>[1]FİYATLAR!B89</f>
        <v/>
      </c>
      <c r="C89" s="35">
        <f>INT(A89)</f>
        <v/>
      </c>
      <c r="D89" s="36">
        <f>MONTH(A89)</f>
        <v/>
      </c>
      <c r="E89" t="n">
        <v>1.43</v>
      </c>
      <c r="F89" s="30">
        <f>[1]FİYATLAR!C89</f>
        <v/>
      </c>
      <c r="G89" s="30">
        <f>[1]FİYATLAR!D89</f>
        <v/>
      </c>
      <c r="H89">
        <f>E89*F89</f>
        <v/>
      </c>
      <c r="I89">
        <f>E89*G89</f>
        <v/>
      </c>
    </row>
    <row r="90">
      <c r="A90" s="29">
        <f>[1]FİYATLAR!A90</f>
        <v/>
      </c>
      <c r="B90" s="29">
        <f>[1]FİYATLAR!B90</f>
        <v/>
      </c>
      <c r="C90" s="35">
        <f>INT(A90)</f>
        <v/>
      </c>
      <c r="D90" s="36">
        <f>MONTH(A90)</f>
        <v/>
      </c>
      <c r="E90" t="n">
        <v>0.75</v>
      </c>
      <c r="F90" s="30">
        <f>[1]FİYATLAR!C90</f>
        <v/>
      </c>
      <c r="G90" s="30">
        <f>[1]FİYATLAR!D90</f>
        <v/>
      </c>
      <c r="H90">
        <f>E90*F90</f>
        <v/>
      </c>
      <c r="I90">
        <f>E90*G90</f>
        <v/>
      </c>
    </row>
    <row r="91">
      <c r="A91" s="29">
        <f>[1]FİYATLAR!A91</f>
        <v/>
      </c>
      <c r="B91" s="29">
        <f>[1]FİYATLAR!B91</f>
        <v/>
      </c>
      <c r="C91" s="35">
        <f>INT(A91)</f>
        <v/>
      </c>
      <c r="D91" s="36">
        <f>MONTH(A91)</f>
        <v/>
      </c>
      <c r="E91" t="n">
        <v>0.5600000000000001</v>
      </c>
      <c r="F91" s="30">
        <f>[1]FİYATLAR!C91</f>
        <v/>
      </c>
      <c r="G91" s="30">
        <f>[1]FİYATLAR!D91</f>
        <v/>
      </c>
      <c r="H91">
        <f>E91*F91</f>
        <v/>
      </c>
      <c r="I91">
        <f>E91*G91</f>
        <v/>
      </c>
    </row>
    <row r="92">
      <c r="A92" s="29">
        <f>[1]FİYATLAR!A92</f>
        <v/>
      </c>
      <c r="B92" s="29">
        <f>[1]FİYATLAR!B92</f>
        <v/>
      </c>
      <c r="C92" s="35">
        <f>INT(A92)</f>
        <v/>
      </c>
      <c r="D92" s="36">
        <f>MONTH(A92)</f>
        <v/>
      </c>
      <c r="E92" t="n">
        <v>0.23</v>
      </c>
      <c r="F92" s="30">
        <f>[1]FİYATLAR!C92</f>
        <v/>
      </c>
      <c r="G92" s="30">
        <f>[1]FİYATLAR!D92</f>
        <v/>
      </c>
      <c r="H92">
        <f>E92*F92</f>
        <v/>
      </c>
      <c r="I92">
        <f>E92*G92</f>
        <v/>
      </c>
    </row>
    <row r="93">
      <c r="A93" s="29">
        <f>[1]FİYATLAR!A93</f>
        <v/>
      </c>
      <c r="B93" s="29">
        <f>[1]FİYATLAR!B93</f>
        <v/>
      </c>
      <c r="C93" s="35">
        <f>INT(A93)</f>
        <v/>
      </c>
      <c r="D93" s="36">
        <f>MONTH(A93)</f>
        <v/>
      </c>
      <c r="E93" t="n">
        <v>0</v>
      </c>
      <c r="F93" s="30">
        <f>[1]FİYATLAR!C93</f>
        <v/>
      </c>
      <c r="G93" s="30">
        <f>[1]FİYATLAR!D93</f>
        <v/>
      </c>
      <c r="H93">
        <f>E93*F93</f>
        <v/>
      </c>
      <c r="I93">
        <f>E93*G93</f>
        <v/>
      </c>
    </row>
    <row r="94">
      <c r="A94" s="29">
        <f>[1]FİYATLAR!A94</f>
        <v/>
      </c>
      <c r="B94" s="29">
        <f>[1]FİYATLAR!B94</f>
        <v/>
      </c>
      <c r="C94" s="35">
        <f>INT(A94)</f>
        <v/>
      </c>
      <c r="D94" s="36">
        <f>MONTH(A94)</f>
        <v/>
      </c>
      <c r="E94" t="n">
        <v>0</v>
      </c>
      <c r="F94" s="30">
        <f>[1]FİYATLAR!C94</f>
        <v/>
      </c>
      <c r="G94" s="30">
        <f>[1]FİYATLAR!D94</f>
        <v/>
      </c>
      <c r="H94">
        <f>E94*F94</f>
        <v/>
      </c>
      <c r="I94">
        <f>E94*G94</f>
        <v/>
      </c>
    </row>
    <row r="95">
      <c r="A95" s="29">
        <f>[1]FİYATLAR!A95</f>
        <v/>
      </c>
      <c r="B95" s="29">
        <f>[1]FİYATLAR!B95</f>
        <v/>
      </c>
      <c r="C95" s="35">
        <f>INT(A95)</f>
        <v/>
      </c>
      <c r="D95" s="36">
        <f>MONTH(A95)</f>
        <v/>
      </c>
      <c r="E95" t="n">
        <v>0</v>
      </c>
      <c r="F95" s="30">
        <f>[1]FİYATLAR!C95</f>
        <v/>
      </c>
      <c r="G95" s="30">
        <f>[1]FİYATLAR!D95</f>
        <v/>
      </c>
      <c r="H95">
        <f>E95*F95</f>
        <v/>
      </c>
      <c r="I95">
        <f>E95*G95</f>
        <v/>
      </c>
    </row>
    <row r="96">
      <c r="A96" s="29">
        <f>[1]FİYATLAR!A96</f>
        <v/>
      </c>
      <c r="B96" s="29">
        <f>[1]FİYATLAR!B96</f>
        <v/>
      </c>
      <c r="C96" s="35">
        <f>INT(A96)</f>
        <v/>
      </c>
      <c r="D96" s="36">
        <f>MONTH(A96)</f>
        <v/>
      </c>
      <c r="E96" t="n">
        <v>0</v>
      </c>
      <c r="F96" s="30">
        <f>[1]FİYATLAR!C96</f>
        <v/>
      </c>
      <c r="G96" s="30">
        <f>[1]FİYATLAR!D96</f>
        <v/>
      </c>
      <c r="H96">
        <f>E96*F96</f>
        <v/>
      </c>
      <c r="I96">
        <f>E96*G96</f>
        <v/>
      </c>
    </row>
    <row r="97">
      <c r="A97" s="29">
        <f>[1]FİYATLAR!A97</f>
        <v/>
      </c>
      <c r="B97" s="29">
        <f>[1]FİYATLAR!B97</f>
        <v/>
      </c>
      <c r="C97" s="35">
        <f>INT(A97)</f>
        <v/>
      </c>
      <c r="D97" s="36">
        <f>MONTH(A97)</f>
        <v/>
      </c>
      <c r="E97" t="n">
        <v>0</v>
      </c>
      <c r="F97" s="30">
        <f>[1]FİYATLAR!C97</f>
        <v/>
      </c>
      <c r="G97" s="30">
        <f>[1]FİYATLAR!D97</f>
        <v/>
      </c>
      <c r="H97">
        <f>E97*F97</f>
        <v/>
      </c>
      <c r="I97">
        <f>E97*G97</f>
        <v/>
      </c>
    </row>
    <row r="98">
      <c r="A98" s="29">
        <f>[1]FİYATLAR!A98</f>
        <v/>
      </c>
      <c r="B98" s="29">
        <f>[1]FİYATLAR!B98</f>
        <v/>
      </c>
      <c r="C98" s="35">
        <f>INT(A98)</f>
        <v/>
      </c>
      <c r="D98" s="36">
        <f>MONTH(A98)</f>
        <v/>
      </c>
      <c r="E98" t="n">
        <v>0</v>
      </c>
      <c r="F98" s="30">
        <f>[1]FİYATLAR!C98</f>
        <v/>
      </c>
      <c r="G98" s="30">
        <f>[1]FİYATLAR!D98</f>
        <v/>
      </c>
      <c r="H98">
        <f>E98*F98</f>
        <v/>
      </c>
      <c r="I98">
        <f>E98*G98</f>
        <v/>
      </c>
    </row>
    <row r="99">
      <c r="A99" s="29">
        <f>[1]FİYATLAR!A99</f>
        <v/>
      </c>
      <c r="B99" s="29">
        <f>[1]FİYATLAR!B99</f>
        <v/>
      </c>
      <c r="C99" s="35">
        <f>INT(A99)</f>
        <v/>
      </c>
      <c r="D99" s="36">
        <f>MONTH(A99)</f>
        <v/>
      </c>
      <c r="E99" t="n">
        <v>0</v>
      </c>
      <c r="F99" s="30">
        <f>[1]FİYATLAR!C99</f>
        <v/>
      </c>
      <c r="G99" s="30">
        <f>[1]FİYATLAR!D99</f>
        <v/>
      </c>
      <c r="H99">
        <f>E99*F99</f>
        <v/>
      </c>
      <c r="I99">
        <f>E99*G99</f>
        <v/>
      </c>
    </row>
    <row r="100">
      <c r="A100" s="29">
        <f>[1]FİYATLAR!A100</f>
        <v/>
      </c>
      <c r="B100" s="29">
        <f>[1]FİYATLAR!B100</f>
        <v/>
      </c>
      <c r="C100" s="35">
        <f>INT(A100)</f>
        <v/>
      </c>
      <c r="D100" s="36">
        <f>MONTH(A100)</f>
        <v/>
      </c>
      <c r="E100" t="n">
        <v>0</v>
      </c>
      <c r="F100" s="30">
        <f>[1]FİYATLAR!C100</f>
        <v/>
      </c>
      <c r="G100" s="30">
        <f>[1]FİYATLAR!D100</f>
        <v/>
      </c>
      <c r="H100">
        <f>E100*F100</f>
        <v/>
      </c>
      <c r="I100">
        <f>E100*G100</f>
        <v/>
      </c>
    </row>
    <row r="101">
      <c r="A101" s="29">
        <f>[1]FİYATLAR!A101</f>
        <v/>
      </c>
      <c r="B101" s="29">
        <f>[1]FİYATLAR!B101</f>
        <v/>
      </c>
      <c r="C101" s="35">
        <f>INT(A101)</f>
        <v/>
      </c>
      <c r="D101" s="36">
        <f>MONTH(A101)</f>
        <v/>
      </c>
      <c r="E101" t="n">
        <v>0</v>
      </c>
      <c r="F101" s="30">
        <f>[1]FİYATLAR!C101</f>
        <v/>
      </c>
      <c r="G101" s="30">
        <f>[1]FİYATLAR!D101</f>
        <v/>
      </c>
      <c r="H101">
        <f>E101*F101</f>
        <v/>
      </c>
      <c r="I101">
        <f>E101*G101</f>
        <v/>
      </c>
    </row>
    <row r="102">
      <c r="A102" s="29">
        <f>[1]FİYATLAR!A102</f>
        <v/>
      </c>
      <c r="B102" s="29">
        <f>[1]FİYATLAR!B102</f>
        <v/>
      </c>
      <c r="C102" s="35">
        <f>INT(A102)</f>
        <v/>
      </c>
      <c r="D102" s="36">
        <f>MONTH(A102)</f>
        <v/>
      </c>
      <c r="E102" t="n">
        <v>0</v>
      </c>
      <c r="F102" s="30">
        <f>[1]FİYATLAR!C102</f>
        <v/>
      </c>
      <c r="G102" s="30">
        <f>[1]FİYATLAR!D102</f>
        <v/>
      </c>
      <c r="H102">
        <f>E102*F102</f>
        <v/>
      </c>
      <c r="I102">
        <f>E102*G102</f>
        <v/>
      </c>
    </row>
    <row r="103">
      <c r="A103" s="29">
        <f>[1]FİYATLAR!A103</f>
        <v/>
      </c>
      <c r="B103" s="29">
        <f>[1]FİYATLAR!B103</f>
        <v/>
      </c>
      <c r="C103" s="35">
        <f>INT(A103)</f>
        <v/>
      </c>
      <c r="D103" s="36">
        <f>MONTH(A103)</f>
        <v/>
      </c>
      <c r="E103" t="n">
        <v>0.01</v>
      </c>
      <c r="F103" s="30">
        <f>[1]FİYATLAR!C103</f>
        <v/>
      </c>
      <c r="G103" s="30">
        <f>[1]FİYATLAR!D103</f>
        <v/>
      </c>
      <c r="H103">
        <f>E103*F103</f>
        <v/>
      </c>
      <c r="I103">
        <f>E103*G103</f>
        <v/>
      </c>
    </row>
    <row r="104">
      <c r="A104" s="29">
        <f>[1]FİYATLAR!A104</f>
        <v/>
      </c>
      <c r="B104" s="29">
        <f>[1]FİYATLAR!B104</f>
        <v/>
      </c>
      <c r="C104" s="35">
        <f>INT(A104)</f>
        <v/>
      </c>
      <c r="D104" s="36">
        <f>MONTH(A104)</f>
        <v/>
      </c>
      <c r="E104" t="n">
        <v>0.08</v>
      </c>
      <c r="F104" s="30">
        <f>[1]FİYATLAR!C104</f>
        <v/>
      </c>
      <c r="G104" s="30">
        <f>[1]FİYATLAR!D104</f>
        <v/>
      </c>
      <c r="H104">
        <f>E104*F104</f>
        <v/>
      </c>
      <c r="I104">
        <f>E104*G104</f>
        <v/>
      </c>
    </row>
    <row r="105">
      <c r="A105" s="29">
        <f>[1]FİYATLAR!A105</f>
        <v/>
      </c>
      <c r="B105" s="29">
        <f>[1]FİYATLAR!B105</f>
        <v/>
      </c>
      <c r="C105" s="35">
        <f>INT(A105)</f>
        <v/>
      </c>
      <c r="D105" s="36">
        <f>MONTH(A105)</f>
        <v/>
      </c>
      <c r="E105" t="n">
        <v>0.16</v>
      </c>
      <c r="F105" s="30">
        <f>[1]FİYATLAR!C105</f>
        <v/>
      </c>
      <c r="G105" s="30">
        <f>[1]FİYATLAR!D105</f>
        <v/>
      </c>
      <c r="H105">
        <f>E105*F105</f>
        <v/>
      </c>
      <c r="I105">
        <f>E105*G105</f>
        <v/>
      </c>
    </row>
    <row r="106">
      <c r="A106" s="29">
        <f>[1]FİYATLAR!A106</f>
        <v/>
      </c>
      <c r="B106" s="29">
        <f>[1]FİYATLAR!B106</f>
        <v/>
      </c>
      <c r="C106" s="35">
        <f>INT(A106)</f>
        <v/>
      </c>
      <c r="D106" s="36">
        <f>MONTH(A106)</f>
        <v/>
      </c>
      <c r="E106" t="n">
        <v>0</v>
      </c>
      <c r="F106" s="30">
        <f>[1]FİYATLAR!C106</f>
        <v/>
      </c>
      <c r="G106" s="30">
        <f>[1]FİYATLAR!D106</f>
        <v/>
      </c>
      <c r="H106">
        <f>E106*F106</f>
        <v/>
      </c>
      <c r="I106">
        <f>E106*G106</f>
        <v/>
      </c>
    </row>
    <row r="107">
      <c r="A107" s="29">
        <f>[1]FİYATLAR!A107</f>
        <v/>
      </c>
      <c r="B107" s="29">
        <f>[1]FİYATLAR!B107</f>
        <v/>
      </c>
      <c r="C107" s="35">
        <f>INT(A107)</f>
        <v/>
      </c>
      <c r="D107" s="36">
        <f>MONTH(A107)</f>
        <v/>
      </c>
      <c r="E107" t="n">
        <v>0</v>
      </c>
      <c r="F107" s="30">
        <f>[1]FİYATLAR!C107</f>
        <v/>
      </c>
      <c r="G107" s="30">
        <f>[1]FİYATLAR!D107</f>
        <v/>
      </c>
      <c r="H107">
        <f>E107*F107</f>
        <v/>
      </c>
      <c r="I107">
        <f>E107*G107</f>
        <v/>
      </c>
    </row>
    <row r="108">
      <c r="A108" s="29">
        <f>[1]FİYATLAR!A108</f>
        <v/>
      </c>
      <c r="B108" s="29">
        <f>[1]FİYATLAR!B108</f>
        <v/>
      </c>
      <c r="C108" s="35">
        <f>INT(A108)</f>
        <v/>
      </c>
      <c r="D108" s="36">
        <f>MONTH(A108)</f>
        <v/>
      </c>
      <c r="E108" t="n">
        <v>0</v>
      </c>
      <c r="F108" s="30">
        <f>[1]FİYATLAR!C108</f>
        <v/>
      </c>
      <c r="G108" s="30">
        <f>[1]FİYATLAR!D108</f>
        <v/>
      </c>
      <c r="H108">
        <f>E108*F108</f>
        <v/>
      </c>
      <c r="I108">
        <f>E108*G108</f>
        <v/>
      </c>
    </row>
    <row r="109">
      <c r="A109" s="29">
        <f>[1]FİYATLAR!A109</f>
        <v/>
      </c>
      <c r="B109" s="29">
        <f>[1]FİYATLAR!B109</f>
        <v/>
      </c>
      <c r="C109" s="35">
        <f>INT(A109)</f>
        <v/>
      </c>
      <c r="D109" s="36">
        <f>MONTH(A109)</f>
        <v/>
      </c>
      <c r="E109" t="n">
        <v>0</v>
      </c>
      <c r="F109" s="30">
        <f>[1]FİYATLAR!C109</f>
        <v/>
      </c>
      <c r="G109" s="30">
        <f>[1]FİYATLAR!D109</f>
        <v/>
      </c>
      <c r="H109">
        <f>E109*F109</f>
        <v/>
      </c>
      <c r="I109">
        <f>E109*G109</f>
        <v/>
      </c>
    </row>
    <row r="110">
      <c r="A110" s="29">
        <f>[1]FİYATLAR!A110</f>
        <v/>
      </c>
      <c r="B110" s="29">
        <f>[1]FİYATLAR!B110</f>
        <v/>
      </c>
      <c r="C110" s="35">
        <f>INT(A110)</f>
        <v/>
      </c>
      <c r="D110" s="36">
        <f>MONTH(A110)</f>
        <v/>
      </c>
      <c r="E110" t="n">
        <v>0</v>
      </c>
      <c r="F110" s="30">
        <f>[1]FİYATLAR!C110</f>
        <v/>
      </c>
      <c r="G110" s="30">
        <f>[1]FİYATLAR!D110</f>
        <v/>
      </c>
      <c r="H110">
        <f>E110*F110</f>
        <v/>
      </c>
      <c r="I110">
        <f>E110*G110</f>
        <v/>
      </c>
    </row>
    <row r="111">
      <c r="A111" s="29">
        <f>[1]FİYATLAR!A111</f>
        <v/>
      </c>
      <c r="B111" s="29">
        <f>[1]FİYATLAR!B111</f>
        <v/>
      </c>
      <c r="C111" s="35">
        <f>INT(A111)</f>
        <v/>
      </c>
      <c r="D111" s="36">
        <f>MONTH(A111)</f>
        <v/>
      </c>
      <c r="E111" t="n">
        <v>0</v>
      </c>
      <c r="F111" s="30">
        <f>[1]FİYATLAR!C111</f>
        <v/>
      </c>
      <c r="G111" s="30">
        <f>[1]FİYATLAR!D111</f>
        <v/>
      </c>
      <c r="H111">
        <f>E111*F111</f>
        <v/>
      </c>
      <c r="I111">
        <f>E111*G111</f>
        <v/>
      </c>
    </row>
    <row r="112">
      <c r="A112" s="29">
        <f>[1]FİYATLAR!A112</f>
        <v/>
      </c>
      <c r="B112" s="29">
        <f>[1]FİYATLAR!B112</f>
        <v/>
      </c>
      <c r="C112" s="35">
        <f>INT(A112)</f>
        <v/>
      </c>
      <c r="D112" s="36">
        <f>MONTH(A112)</f>
        <v/>
      </c>
      <c r="E112" t="n">
        <v>0</v>
      </c>
      <c r="F112" s="30">
        <f>[1]FİYATLAR!C112</f>
        <v/>
      </c>
      <c r="G112" s="30">
        <f>[1]FİYATLAR!D112</f>
        <v/>
      </c>
      <c r="H112">
        <f>E112*F112</f>
        <v/>
      </c>
      <c r="I112">
        <f>E112*G112</f>
        <v/>
      </c>
    </row>
    <row r="113">
      <c r="A113" s="29">
        <f>[1]FİYATLAR!A113</f>
        <v/>
      </c>
      <c r="B113" s="29">
        <f>[1]FİYATLAR!B113</f>
        <v/>
      </c>
      <c r="C113" s="35">
        <f>INT(A113)</f>
        <v/>
      </c>
      <c r="D113" s="36">
        <f>MONTH(A113)</f>
        <v/>
      </c>
      <c r="E113" t="n">
        <v>0</v>
      </c>
      <c r="F113" s="30">
        <f>[1]FİYATLAR!C113</f>
        <v/>
      </c>
      <c r="G113" s="30">
        <f>[1]FİYATLAR!D113</f>
        <v/>
      </c>
      <c r="H113">
        <f>E113*F113</f>
        <v/>
      </c>
      <c r="I113">
        <f>E113*G113</f>
        <v/>
      </c>
    </row>
    <row r="114">
      <c r="A114" s="29">
        <f>[1]FİYATLAR!A114</f>
        <v/>
      </c>
      <c r="B114" s="29">
        <f>[1]FİYATLAR!B114</f>
        <v/>
      </c>
      <c r="C114" s="35">
        <f>INT(A114)</f>
        <v/>
      </c>
      <c r="D114" s="36">
        <f>MONTH(A114)</f>
        <v/>
      </c>
      <c r="E114" t="n">
        <v>0</v>
      </c>
      <c r="F114" s="30">
        <f>[1]FİYATLAR!C114</f>
        <v/>
      </c>
      <c r="G114" s="30">
        <f>[1]FİYATLAR!D114</f>
        <v/>
      </c>
      <c r="H114">
        <f>E114*F114</f>
        <v/>
      </c>
      <c r="I114">
        <f>E114*G114</f>
        <v/>
      </c>
    </row>
    <row r="115">
      <c r="A115" s="29">
        <f>[1]FİYATLAR!A115</f>
        <v/>
      </c>
      <c r="B115" s="29">
        <f>[1]FİYATLAR!B115</f>
        <v/>
      </c>
      <c r="C115" s="35">
        <f>INT(A115)</f>
        <v/>
      </c>
      <c r="D115" s="36">
        <f>MONTH(A115)</f>
        <v/>
      </c>
      <c r="E115" t="n">
        <v>0</v>
      </c>
      <c r="F115" s="30">
        <f>[1]FİYATLAR!C115</f>
        <v/>
      </c>
      <c r="G115" s="30">
        <f>[1]FİYATLAR!D115</f>
        <v/>
      </c>
      <c r="H115">
        <f>E115*F115</f>
        <v/>
      </c>
      <c r="I115">
        <f>E115*G115</f>
        <v/>
      </c>
    </row>
    <row r="116">
      <c r="A116" s="29">
        <f>[1]FİYATLAR!A116</f>
        <v/>
      </c>
      <c r="B116" s="29">
        <f>[1]FİYATLAR!B116</f>
        <v/>
      </c>
      <c r="C116" s="35">
        <f>INT(A116)</f>
        <v/>
      </c>
      <c r="D116" s="36">
        <f>MONTH(A116)</f>
        <v/>
      </c>
      <c r="E116" t="n">
        <v>0</v>
      </c>
      <c r="F116" s="30">
        <f>[1]FİYATLAR!C116</f>
        <v/>
      </c>
      <c r="G116" s="30">
        <f>[1]FİYATLAR!D116</f>
        <v/>
      </c>
      <c r="H116">
        <f>E116*F116</f>
        <v/>
      </c>
      <c r="I116">
        <f>E116*G116</f>
        <v/>
      </c>
    </row>
    <row r="117">
      <c r="A117" s="29">
        <f>[1]FİYATLAR!A117</f>
        <v/>
      </c>
      <c r="B117" s="29">
        <f>[1]FİYATLAR!B117</f>
        <v/>
      </c>
      <c r="C117" s="35">
        <f>INT(A117)</f>
        <v/>
      </c>
      <c r="D117" s="36">
        <f>MONTH(A117)</f>
        <v/>
      </c>
      <c r="E117" t="n">
        <v>0</v>
      </c>
      <c r="F117" s="30">
        <f>[1]FİYATLAR!C117</f>
        <v/>
      </c>
      <c r="G117" s="30">
        <f>[1]FİYATLAR!D117</f>
        <v/>
      </c>
      <c r="H117">
        <f>E117*F117</f>
        <v/>
      </c>
      <c r="I117">
        <f>E117*G117</f>
        <v/>
      </c>
    </row>
    <row r="118">
      <c r="A118" s="29">
        <f>[1]FİYATLAR!A118</f>
        <v/>
      </c>
      <c r="B118" s="29">
        <f>[1]FİYATLAR!B118</f>
        <v/>
      </c>
      <c r="C118" s="35">
        <f>INT(A118)</f>
        <v/>
      </c>
      <c r="D118" s="36">
        <f>MONTH(A118)</f>
        <v/>
      </c>
      <c r="E118" t="n">
        <v>0</v>
      </c>
      <c r="F118" s="30">
        <f>[1]FİYATLAR!C118</f>
        <v/>
      </c>
      <c r="G118" s="30">
        <f>[1]FİYATLAR!D118</f>
        <v/>
      </c>
      <c r="H118">
        <f>E118*F118</f>
        <v/>
      </c>
      <c r="I118">
        <f>E118*G118</f>
        <v/>
      </c>
    </row>
    <row r="119">
      <c r="A119" s="29">
        <f>[1]FİYATLAR!A119</f>
        <v/>
      </c>
      <c r="B119" s="29">
        <f>[1]FİYATLAR!B119</f>
        <v/>
      </c>
      <c r="C119" s="35">
        <f>INT(A119)</f>
        <v/>
      </c>
      <c r="D119" s="36">
        <f>MONTH(A119)</f>
        <v/>
      </c>
      <c r="E119" t="n">
        <v>0</v>
      </c>
      <c r="F119" s="30">
        <f>[1]FİYATLAR!C119</f>
        <v/>
      </c>
      <c r="G119" s="30">
        <f>[1]FİYATLAR!D119</f>
        <v/>
      </c>
      <c r="H119">
        <f>E119*F119</f>
        <v/>
      </c>
      <c r="I119">
        <f>E119*G119</f>
        <v/>
      </c>
    </row>
    <row r="120">
      <c r="A120" s="29">
        <f>[1]FİYATLAR!A120</f>
        <v/>
      </c>
      <c r="B120" s="29">
        <f>[1]FİYATLAR!B120</f>
        <v/>
      </c>
      <c r="C120" s="35">
        <f>INT(A120)</f>
        <v/>
      </c>
      <c r="D120" s="36">
        <f>MONTH(A120)</f>
        <v/>
      </c>
      <c r="E120" t="n">
        <v>0</v>
      </c>
      <c r="F120" s="30">
        <f>[1]FİYATLAR!C120</f>
        <v/>
      </c>
      <c r="G120" s="30">
        <f>[1]FİYATLAR!D120</f>
        <v/>
      </c>
      <c r="H120">
        <f>E120*F120</f>
        <v/>
      </c>
      <c r="I120">
        <f>E120*G120</f>
        <v/>
      </c>
    </row>
    <row r="121">
      <c r="A121" s="29">
        <f>[1]FİYATLAR!A121</f>
        <v/>
      </c>
      <c r="B121" s="29">
        <f>[1]FİYATLAR!B121</f>
        <v/>
      </c>
      <c r="C121" s="35">
        <f>INT(A121)</f>
        <v/>
      </c>
      <c r="D121" s="36">
        <f>MONTH(A121)</f>
        <v/>
      </c>
      <c r="E121" t="n">
        <v>0</v>
      </c>
      <c r="F121" s="30">
        <f>[1]FİYATLAR!C121</f>
        <v/>
      </c>
      <c r="G121" s="30">
        <f>[1]FİYATLAR!D121</f>
        <v/>
      </c>
      <c r="H121">
        <f>E121*F121</f>
        <v/>
      </c>
      <c r="I121">
        <f>E121*G121</f>
        <v/>
      </c>
    </row>
    <row r="122">
      <c r="A122" s="29">
        <f>[1]FİYATLAR!A122</f>
        <v/>
      </c>
      <c r="B122" s="29">
        <f>[1]FİYATLAR!B122</f>
        <v/>
      </c>
      <c r="C122" s="35">
        <f>INT(A122)</f>
        <v/>
      </c>
      <c r="D122" s="36">
        <f>MONTH(A122)</f>
        <v/>
      </c>
      <c r="E122" t="n">
        <v>0</v>
      </c>
      <c r="F122" s="30">
        <f>[1]FİYATLAR!C122</f>
        <v/>
      </c>
      <c r="G122" s="30">
        <f>[1]FİYATLAR!D122</f>
        <v/>
      </c>
      <c r="H122">
        <f>E122*F122</f>
        <v/>
      </c>
      <c r="I122">
        <f>E122*G122</f>
        <v/>
      </c>
    </row>
    <row r="123">
      <c r="A123" s="29">
        <f>[1]FİYATLAR!A123</f>
        <v/>
      </c>
      <c r="B123" s="29">
        <f>[1]FİYATLAR!B123</f>
        <v/>
      </c>
      <c r="C123" s="35">
        <f>INT(A123)</f>
        <v/>
      </c>
      <c r="D123" s="36">
        <f>MONTH(A123)</f>
        <v/>
      </c>
      <c r="E123" t="n">
        <v>0</v>
      </c>
      <c r="F123" s="30">
        <f>[1]FİYATLAR!C123</f>
        <v/>
      </c>
      <c r="G123" s="30">
        <f>[1]FİYATLAR!D123</f>
        <v/>
      </c>
      <c r="H123">
        <f>E123*F123</f>
        <v/>
      </c>
      <c r="I123">
        <f>E123*G123</f>
        <v/>
      </c>
    </row>
    <row r="124">
      <c r="A124" s="29">
        <f>[1]FİYATLAR!A124</f>
        <v/>
      </c>
      <c r="B124" s="29">
        <f>[1]FİYATLAR!B124</f>
        <v/>
      </c>
      <c r="C124" s="35">
        <f>INT(A124)</f>
        <v/>
      </c>
      <c r="D124" s="36">
        <f>MONTH(A124)</f>
        <v/>
      </c>
      <c r="E124" t="n">
        <v>0</v>
      </c>
      <c r="F124" s="30">
        <f>[1]FİYATLAR!C124</f>
        <v/>
      </c>
      <c r="G124" s="30">
        <f>[1]FİYATLAR!D124</f>
        <v/>
      </c>
      <c r="H124">
        <f>E124*F124</f>
        <v/>
      </c>
      <c r="I124">
        <f>E124*G124</f>
        <v/>
      </c>
    </row>
    <row r="125">
      <c r="A125" s="29">
        <f>[1]FİYATLAR!A125</f>
        <v/>
      </c>
      <c r="B125" s="29">
        <f>[1]FİYATLAR!B125</f>
        <v/>
      </c>
      <c r="C125" s="35">
        <f>INT(A125)</f>
        <v/>
      </c>
      <c r="D125" s="36">
        <f>MONTH(A125)</f>
        <v/>
      </c>
      <c r="E125" t="n">
        <v>0</v>
      </c>
      <c r="F125" s="30">
        <f>[1]FİYATLAR!C125</f>
        <v/>
      </c>
      <c r="G125" s="30">
        <f>[1]FİYATLAR!D125</f>
        <v/>
      </c>
      <c r="H125">
        <f>E125*F125</f>
        <v/>
      </c>
      <c r="I125">
        <f>E125*G125</f>
        <v/>
      </c>
    </row>
    <row r="126">
      <c r="A126" s="29">
        <f>[1]FİYATLAR!A126</f>
        <v/>
      </c>
      <c r="B126" s="29">
        <f>[1]FİYATLAR!B126</f>
        <v/>
      </c>
      <c r="C126" s="35">
        <f>INT(A126)</f>
        <v/>
      </c>
      <c r="D126" s="36">
        <f>MONTH(A126)</f>
        <v/>
      </c>
      <c r="E126" t="n">
        <v>0</v>
      </c>
      <c r="F126" s="30">
        <f>[1]FİYATLAR!C126</f>
        <v/>
      </c>
      <c r="G126" s="30">
        <f>[1]FİYATLAR!D126</f>
        <v/>
      </c>
      <c r="H126">
        <f>E126*F126</f>
        <v/>
      </c>
      <c r="I126">
        <f>E126*G126</f>
        <v/>
      </c>
    </row>
    <row r="127">
      <c r="A127" s="29">
        <f>[1]FİYATLAR!A127</f>
        <v/>
      </c>
      <c r="B127" s="29">
        <f>[1]FİYATLAR!B127</f>
        <v/>
      </c>
      <c r="C127" s="35">
        <f>INT(A127)</f>
        <v/>
      </c>
      <c r="D127" s="36">
        <f>MONTH(A127)</f>
        <v/>
      </c>
      <c r="E127" t="n">
        <v>0.01</v>
      </c>
      <c r="F127" s="30">
        <f>[1]FİYATLAR!C127</f>
        <v/>
      </c>
      <c r="G127" s="30">
        <f>[1]FİYATLAR!D127</f>
        <v/>
      </c>
      <c r="H127">
        <f>E127*F127</f>
        <v/>
      </c>
      <c r="I127">
        <f>E127*G127</f>
        <v/>
      </c>
    </row>
    <row r="128">
      <c r="A128" s="29">
        <f>[1]FİYATLAR!A128</f>
        <v/>
      </c>
      <c r="B128" s="29">
        <f>[1]FİYATLAR!B128</f>
        <v/>
      </c>
      <c r="C128" s="35">
        <f>INT(A128)</f>
        <v/>
      </c>
      <c r="D128" s="36">
        <f>MONTH(A128)</f>
        <v/>
      </c>
      <c r="E128" t="n">
        <v>0.11</v>
      </c>
      <c r="F128" s="30">
        <f>[1]FİYATLAR!C128</f>
        <v/>
      </c>
      <c r="G128" s="30">
        <f>[1]FİYATLAR!D128</f>
        <v/>
      </c>
      <c r="H128">
        <f>E128*F128</f>
        <v/>
      </c>
      <c r="I128">
        <f>E128*G128</f>
        <v/>
      </c>
    </row>
    <row r="129">
      <c r="A129" s="29">
        <f>[1]FİYATLAR!A129</f>
        <v/>
      </c>
      <c r="B129" s="29">
        <f>[1]FİYATLAR!B129</f>
        <v/>
      </c>
      <c r="C129" s="35">
        <f>INT(A129)</f>
        <v/>
      </c>
      <c r="D129" s="36">
        <f>MONTH(A129)</f>
        <v/>
      </c>
      <c r="E129" t="n">
        <v>0.43</v>
      </c>
      <c r="F129" s="30">
        <f>[1]FİYATLAR!C129</f>
        <v/>
      </c>
      <c r="G129" s="30">
        <f>[1]FİYATLAR!D129</f>
        <v/>
      </c>
      <c r="H129">
        <f>E129*F129</f>
        <v/>
      </c>
      <c r="I129">
        <f>E129*G129</f>
        <v/>
      </c>
    </row>
    <row r="130">
      <c r="A130" s="29">
        <f>[1]FİYATLAR!A130</f>
        <v/>
      </c>
      <c r="B130" s="29">
        <f>[1]FİYATLAR!B130</f>
        <v/>
      </c>
      <c r="C130" s="35">
        <f>INT(A130)</f>
        <v/>
      </c>
      <c r="D130" s="36">
        <f>MONTH(A130)</f>
        <v/>
      </c>
      <c r="E130" t="n">
        <v>0.76</v>
      </c>
      <c r="F130" s="30">
        <f>[1]FİYATLAR!C130</f>
        <v/>
      </c>
      <c r="G130" s="30">
        <f>[1]FİYATLAR!D130</f>
        <v/>
      </c>
      <c r="H130">
        <f>E130*F130</f>
        <v/>
      </c>
      <c r="I130">
        <f>E130*G130</f>
        <v/>
      </c>
    </row>
    <row r="131">
      <c r="A131" s="29">
        <f>[1]FİYATLAR!A131</f>
        <v/>
      </c>
      <c r="B131" s="29">
        <f>[1]FİYATLAR!B131</f>
        <v/>
      </c>
      <c r="C131" s="35">
        <f>INT(A131)</f>
        <v/>
      </c>
      <c r="D131" s="36">
        <f>MONTH(A131)</f>
        <v/>
      </c>
      <c r="E131" t="n">
        <v>0.85</v>
      </c>
      <c r="F131" s="30">
        <f>[1]FİYATLAR!C131</f>
        <v/>
      </c>
      <c r="G131" s="30">
        <f>[1]FİYATLAR!D131</f>
        <v/>
      </c>
      <c r="H131">
        <f>E131*F131</f>
        <v/>
      </c>
      <c r="I131">
        <f>E131*G131</f>
        <v/>
      </c>
    </row>
    <row r="132">
      <c r="A132" s="29">
        <f>[1]FİYATLAR!A132</f>
        <v/>
      </c>
      <c r="B132" s="29">
        <f>[1]FİYATLAR!B132</f>
        <v/>
      </c>
      <c r="C132" s="35">
        <f>INT(A132)</f>
        <v/>
      </c>
      <c r="D132" s="36">
        <f>MONTH(A132)</f>
        <v/>
      </c>
      <c r="E132" t="n">
        <v>1.54</v>
      </c>
      <c r="F132" s="30">
        <f>[1]FİYATLAR!C132</f>
        <v/>
      </c>
      <c r="G132" s="30">
        <f>[1]FİYATLAR!D132</f>
        <v/>
      </c>
      <c r="H132">
        <f>E132*F132</f>
        <v/>
      </c>
      <c r="I132">
        <f>E132*G132</f>
        <v/>
      </c>
    </row>
    <row r="133">
      <c r="A133" s="29">
        <f>[1]FİYATLAR!A133</f>
        <v/>
      </c>
      <c r="B133" s="29">
        <f>[1]FİYATLAR!B133</f>
        <v/>
      </c>
      <c r="C133" s="35">
        <f>INT(A133)</f>
        <v/>
      </c>
      <c r="D133" s="36">
        <f>MONTH(A133)</f>
        <v/>
      </c>
      <c r="E133" t="n">
        <v>1.58</v>
      </c>
      <c r="F133" s="30">
        <f>[1]FİYATLAR!C133</f>
        <v/>
      </c>
      <c r="G133" s="30">
        <f>[1]FİYATLAR!D133</f>
        <v/>
      </c>
      <c r="H133">
        <f>E133*F133</f>
        <v/>
      </c>
      <c r="I133">
        <f>E133*G133</f>
        <v/>
      </c>
    </row>
    <row r="134">
      <c r="A134" s="29">
        <f>[1]FİYATLAR!A134</f>
        <v/>
      </c>
      <c r="B134" s="29">
        <f>[1]FİYATLAR!B134</f>
        <v/>
      </c>
      <c r="C134" s="35">
        <f>INT(A134)</f>
        <v/>
      </c>
      <c r="D134" s="36">
        <f>MONTH(A134)</f>
        <v/>
      </c>
      <c r="E134" t="n">
        <v>1.74</v>
      </c>
      <c r="F134" s="30">
        <f>[1]FİYATLAR!C134</f>
        <v/>
      </c>
      <c r="G134" s="30">
        <f>[1]FİYATLAR!D134</f>
        <v/>
      </c>
      <c r="H134">
        <f>E134*F134</f>
        <v/>
      </c>
      <c r="I134">
        <f>E134*G134</f>
        <v/>
      </c>
    </row>
    <row r="135">
      <c r="A135" s="29">
        <f>[1]FİYATLAR!A135</f>
        <v/>
      </c>
      <c r="B135" s="29">
        <f>[1]FİYATLAR!B135</f>
        <v/>
      </c>
      <c r="C135" s="35">
        <f>INT(A135)</f>
        <v/>
      </c>
      <c r="D135" s="36">
        <f>MONTH(A135)</f>
        <v/>
      </c>
      <c r="E135" t="n">
        <v>1.96</v>
      </c>
      <c r="F135" s="30">
        <f>[1]FİYATLAR!C135</f>
        <v/>
      </c>
      <c r="G135" s="30">
        <f>[1]FİYATLAR!D135</f>
        <v/>
      </c>
      <c r="H135">
        <f>E135*F135</f>
        <v/>
      </c>
      <c r="I135">
        <f>E135*G135</f>
        <v/>
      </c>
    </row>
    <row r="136">
      <c r="A136" s="29">
        <f>[1]FİYATLAR!A136</f>
        <v/>
      </c>
      <c r="B136" s="29">
        <f>[1]FİYATLAR!B136</f>
        <v/>
      </c>
      <c r="C136" s="35">
        <f>INT(A136)</f>
        <v/>
      </c>
      <c r="D136" s="36">
        <f>MONTH(A136)</f>
        <v/>
      </c>
      <c r="E136" t="n">
        <v>1.8</v>
      </c>
      <c r="F136" s="30">
        <f>[1]FİYATLAR!C136</f>
        <v/>
      </c>
      <c r="G136" s="30">
        <f>[1]FİYATLAR!D136</f>
        <v/>
      </c>
      <c r="H136">
        <f>E136*F136</f>
        <v/>
      </c>
      <c r="I136">
        <f>E136*G136</f>
        <v/>
      </c>
    </row>
    <row r="137">
      <c r="A137" s="29">
        <f>[1]FİYATLAR!A137</f>
        <v/>
      </c>
      <c r="B137" s="29">
        <f>[1]FİYATLAR!B137</f>
        <v/>
      </c>
      <c r="C137" s="35">
        <f>INT(A137)</f>
        <v/>
      </c>
      <c r="D137" s="36">
        <f>MONTH(A137)</f>
        <v/>
      </c>
      <c r="E137" t="n">
        <v>1.54</v>
      </c>
      <c r="F137" s="30">
        <f>[1]FİYATLAR!C137</f>
        <v/>
      </c>
      <c r="G137" s="30">
        <f>[1]FİYATLAR!D137</f>
        <v/>
      </c>
      <c r="H137">
        <f>E137*F137</f>
        <v/>
      </c>
      <c r="I137">
        <f>E137*G137</f>
        <v/>
      </c>
    </row>
    <row r="138">
      <c r="A138" s="29">
        <f>[1]FİYATLAR!A138</f>
        <v/>
      </c>
      <c r="B138" s="29">
        <f>[1]FİYATLAR!B138</f>
        <v/>
      </c>
      <c r="C138" s="35">
        <f>INT(A138)</f>
        <v/>
      </c>
      <c r="D138" s="36">
        <f>MONTH(A138)</f>
        <v/>
      </c>
      <c r="E138" t="n">
        <v>1.26</v>
      </c>
      <c r="F138" s="30">
        <f>[1]FİYATLAR!C138</f>
        <v/>
      </c>
      <c r="G138" s="30">
        <f>[1]FİYATLAR!D138</f>
        <v/>
      </c>
      <c r="H138">
        <f>E138*F138</f>
        <v/>
      </c>
      <c r="I138">
        <f>E138*G138</f>
        <v/>
      </c>
    </row>
    <row r="139">
      <c r="A139" s="29">
        <f>[1]FİYATLAR!A139</f>
        <v/>
      </c>
      <c r="B139" s="29">
        <f>[1]FİYATLAR!B139</f>
        <v/>
      </c>
      <c r="C139" s="35">
        <f>INT(A139)</f>
        <v/>
      </c>
      <c r="D139" s="36">
        <f>MONTH(A139)</f>
        <v/>
      </c>
      <c r="E139" t="n">
        <v>0.71</v>
      </c>
      <c r="F139" s="30">
        <f>[1]FİYATLAR!C139</f>
        <v/>
      </c>
      <c r="G139" s="30">
        <f>[1]FİYATLAR!D139</f>
        <v/>
      </c>
      <c r="H139">
        <f>E139*F139</f>
        <v/>
      </c>
      <c r="I139">
        <f>E139*G139</f>
        <v/>
      </c>
    </row>
    <row r="140">
      <c r="A140" s="29">
        <f>[1]FİYATLAR!A140</f>
        <v/>
      </c>
      <c r="B140" s="29">
        <f>[1]FİYATLAR!B140</f>
        <v/>
      </c>
      <c r="C140" s="35">
        <f>INT(A140)</f>
        <v/>
      </c>
      <c r="D140" s="36">
        <f>MONTH(A140)</f>
        <v/>
      </c>
      <c r="E140" t="n">
        <v>0.25</v>
      </c>
      <c r="F140" s="30">
        <f>[1]FİYATLAR!C140</f>
        <v/>
      </c>
      <c r="G140" s="30">
        <f>[1]FİYATLAR!D140</f>
        <v/>
      </c>
      <c r="H140">
        <f>E140*F140</f>
        <v/>
      </c>
      <c r="I140">
        <f>E140*G140</f>
        <v/>
      </c>
    </row>
    <row r="141">
      <c r="A141" s="29">
        <f>[1]FİYATLAR!A141</f>
        <v/>
      </c>
      <c r="B141" s="29">
        <f>[1]FİYATLAR!B141</f>
        <v/>
      </c>
      <c r="C141" s="35">
        <f>INT(A141)</f>
        <v/>
      </c>
      <c r="D141" s="36">
        <f>MONTH(A141)</f>
        <v/>
      </c>
      <c r="E141" t="n">
        <v>0</v>
      </c>
      <c r="F141" s="30">
        <f>[1]FİYATLAR!C141</f>
        <v/>
      </c>
      <c r="G141" s="30">
        <f>[1]FİYATLAR!D141</f>
        <v/>
      </c>
      <c r="H141">
        <f>E141*F141</f>
        <v/>
      </c>
      <c r="I141">
        <f>E141*G141</f>
        <v/>
      </c>
    </row>
    <row r="142">
      <c r="A142" s="29">
        <f>[1]FİYATLAR!A142</f>
        <v/>
      </c>
      <c r="B142" s="29">
        <f>[1]FİYATLAR!B142</f>
        <v/>
      </c>
      <c r="C142" s="35">
        <f>INT(A142)</f>
        <v/>
      </c>
      <c r="D142" s="36">
        <f>MONTH(A142)</f>
        <v/>
      </c>
      <c r="E142" t="n">
        <v>0</v>
      </c>
      <c r="F142" s="30">
        <f>[1]FİYATLAR!C142</f>
        <v/>
      </c>
      <c r="G142" s="30">
        <f>[1]FİYATLAR!D142</f>
        <v/>
      </c>
      <c r="H142">
        <f>E142*F142</f>
        <v/>
      </c>
      <c r="I142">
        <f>E142*G142</f>
        <v/>
      </c>
    </row>
    <row r="143">
      <c r="A143" s="29">
        <f>[1]FİYATLAR!A143</f>
        <v/>
      </c>
      <c r="B143" s="29">
        <f>[1]FİYATLAR!B143</f>
        <v/>
      </c>
      <c r="C143" s="35">
        <f>INT(A143)</f>
        <v/>
      </c>
      <c r="D143" s="36">
        <f>MONTH(A143)</f>
        <v/>
      </c>
      <c r="E143" t="n">
        <v>0</v>
      </c>
      <c r="F143" s="30">
        <f>[1]FİYATLAR!C143</f>
        <v/>
      </c>
      <c r="G143" s="30">
        <f>[1]FİYATLAR!D143</f>
        <v/>
      </c>
      <c r="H143">
        <f>E143*F143</f>
        <v/>
      </c>
      <c r="I143">
        <f>E143*G143</f>
        <v/>
      </c>
    </row>
    <row r="144">
      <c r="A144" s="29">
        <f>[1]FİYATLAR!A144</f>
        <v/>
      </c>
      <c r="B144" s="29">
        <f>[1]FİYATLAR!B144</f>
        <v/>
      </c>
      <c r="C144" s="35">
        <f>INT(A144)</f>
        <v/>
      </c>
      <c r="D144" s="36">
        <f>MONTH(A144)</f>
        <v/>
      </c>
      <c r="E144" t="n">
        <v>0</v>
      </c>
      <c r="F144" s="30">
        <f>[1]FİYATLAR!C144</f>
        <v/>
      </c>
      <c r="G144" s="30">
        <f>[1]FİYATLAR!D144</f>
        <v/>
      </c>
      <c r="H144">
        <f>E144*F144</f>
        <v/>
      </c>
      <c r="I144">
        <f>E144*G144</f>
        <v/>
      </c>
    </row>
    <row r="145">
      <c r="A145" s="29">
        <f>[1]FİYATLAR!A145</f>
        <v/>
      </c>
      <c r="B145" s="29">
        <f>[1]FİYATLAR!B145</f>
        <v/>
      </c>
      <c r="C145" s="35">
        <f>INT(A145)</f>
        <v/>
      </c>
      <c r="D145" s="36">
        <f>MONTH(A145)</f>
        <v/>
      </c>
      <c r="E145" t="n">
        <v>0</v>
      </c>
      <c r="F145" s="30">
        <f>[1]FİYATLAR!C145</f>
        <v/>
      </c>
      <c r="G145" s="30">
        <f>[1]FİYATLAR!D145</f>
        <v/>
      </c>
      <c r="H145">
        <f>E145*F145</f>
        <v/>
      </c>
      <c r="I145">
        <f>E145*G145</f>
        <v/>
      </c>
    </row>
    <row r="146">
      <c r="A146" s="29">
        <f>[1]FİYATLAR!A146</f>
        <v/>
      </c>
      <c r="B146" s="29">
        <f>[1]FİYATLAR!B146</f>
        <v/>
      </c>
      <c r="C146" s="35">
        <f>INT(A146)</f>
        <v/>
      </c>
      <c r="D146" s="36">
        <f>MONTH(A146)</f>
        <v/>
      </c>
      <c r="E146" t="n">
        <v>0</v>
      </c>
      <c r="F146" s="30">
        <f>[1]FİYATLAR!C146</f>
        <v/>
      </c>
      <c r="G146" s="30">
        <f>[1]FİYATLAR!D146</f>
        <v/>
      </c>
      <c r="H146">
        <f>E146*F146</f>
        <v/>
      </c>
      <c r="I146">
        <f>E146*G146</f>
        <v/>
      </c>
    </row>
    <row r="147">
      <c r="A147" s="29">
        <f>[1]FİYATLAR!A147</f>
        <v/>
      </c>
      <c r="B147" s="29">
        <f>[1]FİYATLAR!B147</f>
        <v/>
      </c>
      <c r="C147" s="35">
        <f>INT(A147)</f>
        <v/>
      </c>
      <c r="D147" s="36">
        <f>MONTH(A147)</f>
        <v/>
      </c>
      <c r="E147" t="n">
        <v>0</v>
      </c>
      <c r="F147" s="30">
        <f>[1]FİYATLAR!C147</f>
        <v/>
      </c>
      <c r="G147" s="30">
        <f>[1]FİYATLAR!D147</f>
        <v/>
      </c>
      <c r="H147">
        <f>E147*F147</f>
        <v/>
      </c>
      <c r="I147">
        <f>E147*G147</f>
        <v/>
      </c>
    </row>
    <row r="148">
      <c r="A148" s="29">
        <f>[1]FİYATLAR!A148</f>
        <v/>
      </c>
      <c r="B148" s="29">
        <f>[1]FİYATLAR!B148</f>
        <v/>
      </c>
      <c r="C148" s="35">
        <f>INT(A148)</f>
        <v/>
      </c>
      <c r="D148" s="36">
        <f>MONTH(A148)</f>
        <v/>
      </c>
      <c r="E148" t="n">
        <v>0</v>
      </c>
      <c r="F148" s="30">
        <f>[1]FİYATLAR!C148</f>
        <v/>
      </c>
      <c r="G148" s="30">
        <f>[1]FİYATLAR!D148</f>
        <v/>
      </c>
      <c r="H148">
        <f>E148*F148</f>
        <v/>
      </c>
      <c r="I148">
        <f>E148*G148</f>
        <v/>
      </c>
    </row>
    <row r="149">
      <c r="A149" s="29">
        <f>[1]FİYATLAR!A149</f>
        <v/>
      </c>
      <c r="B149" s="29">
        <f>[1]FİYATLAR!B149</f>
        <v/>
      </c>
      <c r="C149" s="35">
        <f>INT(A149)</f>
        <v/>
      </c>
      <c r="D149" s="36">
        <f>MONTH(A149)</f>
        <v/>
      </c>
      <c r="E149" t="n">
        <v>0</v>
      </c>
      <c r="F149" s="30">
        <f>[1]FİYATLAR!C149</f>
        <v/>
      </c>
      <c r="G149" s="30">
        <f>[1]FİYATLAR!D149</f>
        <v/>
      </c>
      <c r="H149">
        <f>E149*F149</f>
        <v/>
      </c>
      <c r="I149">
        <f>E149*G149</f>
        <v/>
      </c>
    </row>
    <row r="150">
      <c r="A150" s="29">
        <f>[1]FİYATLAR!A150</f>
        <v/>
      </c>
      <c r="B150" s="29">
        <f>[1]FİYATLAR!B150</f>
        <v/>
      </c>
      <c r="C150" s="35">
        <f>INT(A150)</f>
        <v/>
      </c>
      <c r="D150" s="36">
        <f>MONTH(A150)</f>
        <v/>
      </c>
      <c r="E150" t="n">
        <v>0</v>
      </c>
      <c r="F150" s="30">
        <f>[1]FİYATLAR!C150</f>
        <v/>
      </c>
      <c r="G150" s="30">
        <f>[1]FİYATLAR!D150</f>
        <v/>
      </c>
      <c r="H150">
        <f>E150*F150</f>
        <v/>
      </c>
      <c r="I150">
        <f>E150*G150</f>
        <v/>
      </c>
    </row>
    <row r="151">
      <c r="A151" s="29">
        <f>[1]FİYATLAR!A151</f>
        <v/>
      </c>
      <c r="B151" s="29">
        <f>[1]FİYATLAR!B151</f>
        <v/>
      </c>
      <c r="C151" s="35">
        <f>INT(A151)</f>
        <v/>
      </c>
      <c r="D151" s="36">
        <f>MONTH(A151)</f>
        <v/>
      </c>
      <c r="E151" t="n">
        <v>0.03</v>
      </c>
      <c r="F151" s="30">
        <f>[1]FİYATLAR!C151</f>
        <v/>
      </c>
      <c r="G151" s="30">
        <f>[1]FİYATLAR!D151</f>
        <v/>
      </c>
      <c r="H151">
        <f>E151*F151</f>
        <v/>
      </c>
      <c r="I151">
        <f>E151*G151</f>
        <v/>
      </c>
    </row>
    <row r="152">
      <c r="A152" s="29">
        <f>[1]FİYATLAR!A152</f>
        <v/>
      </c>
      <c r="B152" s="29">
        <f>[1]FİYATLAR!B152</f>
        <v/>
      </c>
      <c r="C152" s="35">
        <f>INT(A152)</f>
        <v/>
      </c>
      <c r="D152" s="36">
        <f>MONTH(A152)</f>
        <v/>
      </c>
      <c r="E152" t="n">
        <v>0.15</v>
      </c>
      <c r="F152" s="30">
        <f>[1]FİYATLAR!C152</f>
        <v/>
      </c>
      <c r="G152" s="30">
        <f>[1]FİYATLAR!D152</f>
        <v/>
      </c>
      <c r="H152">
        <f>E152*F152</f>
        <v/>
      </c>
      <c r="I152">
        <f>E152*G152</f>
        <v/>
      </c>
    </row>
    <row r="153">
      <c r="A153" s="29">
        <f>[1]FİYATLAR!A153</f>
        <v/>
      </c>
      <c r="B153" s="29">
        <f>[1]FİYATLAR!B153</f>
        <v/>
      </c>
      <c r="C153" s="35">
        <f>INT(A153)</f>
        <v/>
      </c>
      <c r="D153" s="36">
        <f>MONTH(A153)</f>
        <v/>
      </c>
      <c r="E153" t="n">
        <v>0.22</v>
      </c>
      <c r="F153" s="30">
        <f>[1]FİYATLAR!C153</f>
        <v/>
      </c>
      <c r="G153" s="30">
        <f>[1]FİYATLAR!D153</f>
        <v/>
      </c>
      <c r="H153">
        <f>E153*F153</f>
        <v/>
      </c>
      <c r="I153">
        <f>E153*G153</f>
        <v/>
      </c>
    </row>
    <row r="154">
      <c r="A154" s="29">
        <f>[1]FİYATLAR!A154</f>
        <v/>
      </c>
      <c r="B154" s="29">
        <f>[1]FİYATLAR!B154</f>
        <v/>
      </c>
      <c r="C154" s="35">
        <f>INT(A154)</f>
        <v/>
      </c>
      <c r="D154" s="36">
        <f>MONTH(A154)</f>
        <v/>
      </c>
      <c r="E154" t="n">
        <v>1.03</v>
      </c>
      <c r="F154" s="30">
        <f>[1]FİYATLAR!C154</f>
        <v/>
      </c>
      <c r="G154" s="30">
        <f>[1]FİYATLAR!D154</f>
        <v/>
      </c>
      <c r="H154">
        <f>E154*F154</f>
        <v/>
      </c>
      <c r="I154">
        <f>E154*G154</f>
        <v/>
      </c>
    </row>
    <row r="155">
      <c r="A155" s="29">
        <f>[1]FİYATLAR!A155</f>
        <v/>
      </c>
      <c r="B155" s="29">
        <f>[1]FİYATLAR!B155</f>
        <v/>
      </c>
      <c r="C155" s="35">
        <f>INT(A155)</f>
        <v/>
      </c>
      <c r="D155" s="36">
        <f>MONTH(A155)</f>
        <v/>
      </c>
      <c r="E155" t="n">
        <v>1.09</v>
      </c>
      <c r="F155" s="30">
        <f>[1]FİYATLAR!C155</f>
        <v/>
      </c>
      <c r="G155" s="30">
        <f>[1]FİYATLAR!D155</f>
        <v/>
      </c>
      <c r="H155">
        <f>E155*F155</f>
        <v/>
      </c>
      <c r="I155">
        <f>E155*G155</f>
        <v/>
      </c>
    </row>
    <row r="156">
      <c r="A156" s="29">
        <f>[1]FİYATLAR!A156</f>
        <v/>
      </c>
      <c r="B156" s="29">
        <f>[1]FİYATLAR!B156</f>
        <v/>
      </c>
      <c r="C156" s="35">
        <f>INT(A156)</f>
        <v/>
      </c>
      <c r="D156" s="36">
        <f>MONTH(A156)</f>
        <v/>
      </c>
      <c r="E156" t="n">
        <v>1.36</v>
      </c>
      <c r="F156" s="30">
        <f>[1]FİYATLAR!C156</f>
        <v/>
      </c>
      <c r="G156" s="30">
        <f>[1]FİYATLAR!D156</f>
        <v/>
      </c>
      <c r="H156">
        <f>E156*F156</f>
        <v/>
      </c>
      <c r="I156">
        <f>E156*G156</f>
        <v/>
      </c>
    </row>
    <row r="157">
      <c r="A157" s="29">
        <f>[1]FİYATLAR!A157</f>
        <v/>
      </c>
      <c r="B157" s="29">
        <f>[1]FİYATLAR!B157</f>
        <v/>
      </c>
      <c r="C157" s="35">
        <f>INT(A157)</f>
        <v/>
      </c>
      <c r="D157" s="36">
        <f>MONTH(A157)</f>
        <v/>
      </c>
      <c r="E157" t="n">
        <v>1.4</v>
      </c>
      <c r="F157" s="30">
        <f>[1]FİYATLAR!C157</f>
        <v/>
      </c>
      <c r="G157" s="30">
        <f>[1]FİYATLAR!D157</f>
        <v/>
      </c>
      <c r="H157">
        <f>E157*F157</f>
        <v/>
      </c>
      <c r="I157">
        <f>E157*G157</f>
        <v/>
      </c>
    </row>
    <row r="158">
      <c r="A158" s="29">
        <f>[1]FİYATLAR!A158</f>
        <v/>
      </c>
      <c r="B158" s="29">
        <f>[1]FİYATLAR!B158</f>
        <v/>
      </c>
      <c r="C158" s="35">
        <f>INT(A158)</f>
        <v/>
      </c>
      <c r="D158" s="36">
        <f>MONTH(A158)</f>
        <v/>
      </c>
      <c r="E158" t="n">
        <v>1.53</v>
      </c>
      <c r="F158" s="30">
        <f>[1]FİYATLAR!C158</f>
        <v/>
      </c>
      <c r="G158" s="30">
        <f>[1]FİYATLAR!D158</f>
        <v/>
      </c>
      <c r="H158">
        <f>E158*F158</f>
        <v/>
      </c>
      <c r="I158">
        <f>E158*G158</f>
        <v/>
      </c>
    </row>
    <row r="159">
      <c r="A159" s="29">
        <f>[1]FİYATLAR!A159</f>
        <v/>
      </c>
      <c r="B159" s="29">
        <f>[1]FİYATLAR!B159</f>
        <v/>
      </c>
      <c r="C159" s="35">
        <f>INT(A159)</f>
        <v/>
      </c>
      <c r="D159" s="36">
        <f>MONTH(A159)</f>
        <v/>
      </c>
      <c r="E159" t="n">
        <v>1.47</v>
      </c>
      <c r="F159" s="30">
        <f>[1]FİYATLAR!C159</f>
        <v/>
      </c>
      <c r="G159" s="30">
        <f>[1]FİYATLAR!D159</f>
        <v/>
      </c>
      <c r="H159">
        <f>E159*F159</f>
        <v/>
      </c>
      <c r="I159">
        <f>E159*G159</f>
        <v/>
      </c>
    </row>
    <row r="160">
      <c r="A160" s="29">
        <f>[1]FİYATLAR!A160</f>
        <v/>
      </c>
      <c r="B160" s="29">
        <f>[1]FİYATLAR!B160</f>
        <v/>
      </c>
      <c r="C160" s="35">
        <f>INT(A160)</f>
        <v/>
      </c>
      <c r="D160" s="36">
        <f>MONTH(A160)</f>
        <v/>
      </c>
      <c r="E160" t="n">
        <v>1.01</v>
      </c>
      <c r="F160" s="30">
        <f>[1]FİYATLAR!C160</f>
        <v/>
      </c>
      <c r="G160" s="30">
        <f>[1]FİYATLAR!D160</f>
        <v/>
      </c>
      <c r="H160">
        <f>E160*F160</f>
        <v/>
      </c>
      <c r="I160">
        <f>E160*G160</f>
        <v/>
      </c>
    </row>
    <row r="161">
      <c r="A161" s="29">
        <f>[1]FİYATLAR!A161</f>
        <v/>
      </c>
      <c r="B161" s="29">
        <f>[1]FİYATLAR!B161</f>
        <v/>
      </c>
      <c r="C161" s="35">
        <f>INT(A161)</f>
        <v/>
      </c>
      <c r="D161" s="36">
        <f>MONTH(A161)</f>
        <v/>
      </c>
      <c r="E161" t="n">
        <v>1.43</v>
      </c>
      <c r="F161" s="30">
        <f>[1]FİYATLAR!C161</f>
        <v/>
      </c>
      <c r="G161" s="30">
        <f>[1]FİYATLAR!D161</f>
        <v/>
      </c>
      <c r="H161">
        <f>E161*F161</f>
        <v/>
      </c>
      <c r="I161">
        <f>E161*G161</f>
        <v/>
      </c>
    </row>
    <row r="162">
      <c r="A162" s="29">
        <f>[1]FİYATLAR!A162</f>
        <v/>
      </c>
      <c r="B162" s="29">
        <f>[1]FİYATLAR!B162</f>
        <v/>
      </c>
      <c r="C162" s="35">
        <f>INT(A162)</f>
        <v/>
      </c>
      <c r="D162" s="36">
        <f>MONTH(A162)</f>
        <v/>
      </c>
      <c r="E162" t="n">
        <v>1.09</v>
      </c>
      <c r="F162" s="30">
        <f>[1]FİYATLAR!C162</f>
        <v/>
      </c>
      <c r="G162" s="30">
        <f>[1]FİYATLAR!D162</f>
        <v/>
      </c>
      <c r="H162">
        <f>E162*F162</f>
        <v/>
      </c>
      <c r="I162">
        <f>E162*G162</f>
        <v/>
      </c>
    </row>
    <row r="163">
      <c r="A163" s="29">
        <f>[1]FİYATLAR!A163</f>
        <v/>
      </c>
      <c r="B163" s="29">
        <f>[1]FİYATLAR!B163</f>
        <v/>
      </c>
      <c r="C163" s="35">
        <f>INT(A163)</f>
        <v/>
      </c>
      <c r="D163" s="36">
        <f>MONTH(A163)</f>
        <v/>
      </c>
      <c r="E163" t="n">
        <v>0.63</v>
      </c>
      <c r="F163" s="30">
        <f>[1]FİYATLAR!C163</f>
        <v/>
      </c>
      <c r="G163" s="30">
        <f>[1]FİYATLAR!D163</f>
        <v/>
      </c>
      <c r="H163">
        <f>E163*F163</f>
        <v/>
      </c>
      <c r="I163">
        <f>E163*G163</f>
        <v/>
      </c>
    </row>
    <row r="164">
      <c r="A164" s="29">
        <f>[1]FİYATLAR!A164</f>
        <v/>
      </c>
      <c r="B164" s="29">
        <f>[1]FİYATLAR!B164</f>
        <v/>
      </c>
      <c r="C164" s="35">
        <f>INT(A164)</f>
        <v/>
      </c>
      <c r="D164" s="36">
        <f>MONTH(A164)</f>
        <v/>
      </c>
      <c r="E164" t="n">
        <v>0.22</v>
      </c>
      <c r="F164" s="30">
        <f>[1]FİYATLAR!C164</f>
        <v/>
      </c>
      <c r="G164" s="30">
        <f>[1]FİYATLAR!D164</f>
        <v/>
      </c>
      <c r="H164">
        <f>E164*F164</f>
        <v/>
      </c>
      <c r="I164">
        <f>E164*G164</f>
        <v/>
      </c>
    </row>
    <row r="165">
      <c r="A165" s="29">
        <f>[1]FİYATLAR!A165</f>
        <v/>
      </c>
      <c r="B165" s="29">
        <f>[1]FİYATLAR!B165</f>
        <v/>
      </c>
      <c r="C165" s="35">
        <f>INT(A165)</f>
        <v/>
      </c>
      <c r="D165" s="36">
        <f>MONTH(A165)</f>
        <v/>
      </c>
      <c r="E165" t="n">
        <v>0.04</v>
      </c>
      <c r="F165" s="30">
        <f>[1]FİYATLAR!C165</f>
        <v/>
      </c>
      <c r="G165" s="30">
        <f>[1]FİYATLAR!D165</f>
        <v/>
      </c>
      <c r="H165">
        <f>E165*F165</f>
        <v/>
      </c>
      <c r="I165">
        <f>E165*G165</f>
        <v/>
      </c>
    </row>
    <row r="166">
      <c r="A166" s="29">
        <f>[1]FİYATLAR!A166</f>
        <v/>
      </c>
      <c r="B166" s="29">
        <f>[1]FİYATLAR!B166</f>
        <v/>
      </c>
      <c r="C166" s="35">
        <f>INT(A166)</f>
        <v/>
      </c>
      <c r="D166" s="36">
        <f>MONTH(A166)</f>
        <v/>
      </c>
      <c r="E166" t="n">
        <v>0</v>
      </c>
      <c r="F166" s="30">
        <f>[1]FİYATLAR!C166</f>
        <v/>
      </c>
      <c r="G166" s="30">
        <f>[1]FİYATLAR!D166</f>
        <v/>
      </c>
      <c r="H166">
        <f>E166*F166</f>
        <v/>
      </c>
      <c r="I166">
        <f>E166*G166</f>
        <v/>
      </c>
    </row>
    <row r="167">
      <c r="A167" s="29">
        <f>[1]FİYATLAR!A167</f>
        <v/>
      </c>
      <c r="B167" s="29">
        <f>[1]FİYATLAR!B167</f>
        <v/>
      </c>
      <c r="C167" s="35">
        <f>INT(A167)</f>
        <v/>
      </c>
      <c r="D167" s="36">
        <f>MONTH(A167)</f>
        <v/>
      </c>
      <c r="E167" t="n">
        <v>0</v>
      </c>
      <c r="F167" s="30">
        <f>[1]FİYATLAR!C167</f>
        <v/>
      </c>
      <c r="G167" s="30">
        <f>[1]FİYATLAR!D167</f>
        <v/>
      </c>
      <c r="H167">
        <f>E167*F167</f>
        <v/>
      </c>
      <c r="I167">
        <f>E167*G167</f>
        <v/>
      </c>
    </row>
    <row r="168">
      <c r="A168" s="29">
        <f>[1]FİYATLAR!A168</f>
        <v/>
      </c>
      <c r="B168" s="29">
        <f>[1]FİYATLAR!B168</f>
        <v/>
      </c>
      <c r="C168" s="35">
        <f>INT(A168)</f>
        <v/>
      </c>
      <c r="D168" s="36">
        <f>MONTH(A168)</f>
        <v/>
      </c>
      <c r="E168" t="n">
        <v>0</v>
      </c>
      <c r="F168" s="30">
        <f>[1]FİYATLAR!C168</f>
        <v/>
      </c>
      <c r="G168" s="30">
        <f>[1]FİYATLAR!D168</f>
        <v/>
      </c>
      <c r="H168">
        <f>E168*F168</f>
        <v/>
      </c>
      <c r="I168">
        <f>E168*G168</f>
        <v/>
      </c>
    </row>
    <row r="169">
      <c r="A169" s="29">
        <f>[1]FİYATLAR!A169</f>
        <v/>
      </c>
      <c r="B169" s="29">
        <f>[1]FİYATLAR!B169</f>
        <v/>
      </c>
      <c r="C169" s="35">
        <f>INT(A169)</f>
        <v/>
      </c>
      <c r="D169" s="36">
        <f>MONTH(A169)</f>
        <v/>
      </c>
      <c r="E169" t="n">
        <v>0</v>
      </c>
      <c r="F169" s="30">
        <f>[1]FİYATLAR!C169</f>
        <v/>
      </c>
      <c r="G169" s="30">
        <f>[1]FİYATLAR!D169</f>
        <v/>
      </c>
      <c r="H169">
        <f>E169*F169</f>
        <v/>
      </c>
      <c r="I169">
        <f>E169*G169</f>
        <v/>
      </c>
    </row>
    <row r="170">
      <c r="A170" s="29">
        <f>[1]FİYATLAR!A170</f>
        <v/>
      </c>
      <c r="B170" s="29">
        <f>[1]FİYATLAR!B170</f>
        <v/>
      </c>
      <c r="C170" s="35">
        <f>INT(A170)</f>
        <v/>
      </c>
      <c r="D170" s="36">
        <f>MONTH(A170)</f>
        <v/>
      </c>
      <c r="E170" t="n">
        <v>0</v>
      </c>
      <c r="F170" s="30">
        <f>[1]FİYATLAR!C170</f>
        <v/>
      </c>
      <c r="G170" s="30">
        <f>[1]FİYATLAR!D170</f>
        <v/>
      </c>
      <c r="H170">
        <f>E170*F170</f>
        <v/>
      </c>
      <c r="I170">
        <f>E170*G170</f>
        <v/>
      </c>
    </row>
    <row r="171">
      <c r="A171" s="29">
        <f>[1]FİYATLAR!A171</f>
        <v/>
      </c>
      <c r="B171" s="29">
        <f>[1]FİYATLAR!B171</f>
        <v/>
      </c>
      <c r="C171" s="35">
        <f>INT(A171)</f>
        <v/>
      </c>
      <c r="D171" s="36">
        <f>MONTH(A171)</f>
        <v/>
      </c>
      <c r="E171" t="n">
        <v>0</v>
      </c>
      <c r="F171" s="30">
        <f>[1]FİYATLAR!C171</f>
        <v/>
      </c>
      <c r="G171" s="30">
        <f>[1]FİYATLAR!D171</f>
        <v/>
      </c>
      <c r="H171">
        <f>E171*F171</f>
        <v/>
      </c>
      <c r="I171">
        <f>E171*G171</f>
        <v/>
      </c>
    </row>
    <row r="172">
      <c r="A172" s="29">
        <f>[1]FİYATLAR!A172</f>
        <v/>
      </c>
      <c r="B172" s="29">
        <f>[1]FİYATLAR!B172</f>
        <v/>
      </c>
      <c r="C172" s="35">
        <f>INT(A172)</f>
        <v/>
      </c>
      <c r="D172" s="36">
        <f>MONTH(A172)</f>
        <v/>
      </c>
      <c r="E172" t="n">
        <v>0</v>
      </c>
      <c r="F172" s="30">
        <f>[1]FİYATLAR!C172</f>
        <v/>
      </c>
      <c r="G172" s="30">
        <f>[1]FİYATLAR!D172</f>
        <v/>
      </c>
      <c r="H172">
        <f>E172*F172</f>
        <v/>
      </c>
      <c r="I172">
        <f>E172*G172</f>
        <v/>
      </c>
    </row>
    <row r="173">
      <c r="A173" s="29">
        <f>[1]FİYATLAR!A173</f>
        <v/>
      </c>
      <c r="B173" s="29">
        <f>[1]FİYATLAR!B173</f>
        <v/>
      </c>
      <c r="C173" s="35">
        <f>INT(A173)</f>
        <v/>
      </c>
      <c r="D173" s="36">
        <f>MONTH(A173)</f>
        <v/>
      </c>
      <c r="E173" t="n">
        <v>0</v>
      </c>
      <c r="F173" s="30">
        <f>[1]FİYATLAR!C173</f>
        <v/>
      </c>
      <c r="G173" s="30">
        <f>[1]FİYATLAR!D173</f>
        <v/>
      </c>
      <c r="H173">
        <f>E173*F173</f>
        <v/>
      </c>
      <c r="I173">
        <f>E173*G173</f>
        <v/>
      </c>
    </row>
    <row r="174">
      <c r="A174" s="29">
        <f>[1]FİYATLAR!A174</f>
        <v/>
      </c>
      <c r="B174" s="29">
        <f>[1]FİYATLAR!B174</f>
        <v/>
      </c>
      <c r="C174" s="35">
        <f>INT(A174)</f>
        <v/>
      </c>
      <c r="D174" s="36">
        <f>MONTH(A174)</f>
        <v/>
      </c>
      <c r="E174" t="n">
        <v>0</v>
      </c>
      <c r="F174" s="30">
        <f>[1]FİYATLAR!C174</f>
        <v/>
      </c>
      <c r="G174" s="30">
        <f>[1]FİYATLAR!D174</f>
        <v/>
      </c>
      <c r="H174">
        <f>E174*F174</f>
        <v/>
      </c>
      <c r="I174">
        <f>E174*G174</f>
        <v/>
      </c>
    </row>
    <row r="175">
      <c r="A175" s="29">
        <f>[1]FİYATLAR!A175</f>
        <v/>
      </c>
      <c r="B175" s="29">
        <f>[1]FİYATLAR!B175</f>
        <v/>
      </c>
      <c r="C175" s="35">
        <f>INT(A175)</f>
        <v/>
      </c>
      <c r="D175" s="36">
        <f>MONTH(A175)</f>
        <v/>
      </c>
      <c r="E175" t="n">
        <v>0.02</v>
      </c>
      <c r="F175" s="30">
        <f>[1]FİYATLAR!C175</f>
        <v/>
      </c>
      <c r="G175" s="30">
        <f>[1]FİYATLAR!D175</f>
        <v/>
      </c>
      <c r="H175">
        <f>E175*F175</f>
        <v/>
      </c>
      <c r="I175">
        <f>E175*G175</f>
        <v/>
      </c>
    </row>
    <row r="176">
      <c r="A176" s="29">
        <f>[1]FİYATLAR!A176</f>
        <v/>
      </c>
      <c r="B176" s="29">
        <f>[1]FİYATLAR!B176</f>
        <v/>
      </c>
      <c r="C176" s="35">
        <f>INT(A176)</f>
        <v/>
      </c>
      <c r="D176" s="36">
        <f>MONTH(A176)</f>
        <v/>
      </c>
      <c r="E176" t="n">
        <v>0.11</v>
      </c>
      <c r="F176" s="30">
        <f>[1]FİYATLAR!C176</f>
        <v/>
      </c>
      <c r="G176" s="30">
        <f>[1]FİYATLAR!D176</f>
        <v/>
      </c>
      <c r="H176">
        <f>E176*F176</f>
        <v/>
      </c>
      <c r="I176">
        <f>E176*G176</f>
        <v/>
      </c>
    </row>
    <row r="177">
      <c r="A177" s="29">
        <f>[1]FİYATLAR!A177</f>
        <v/>
      </c>
      <c r="B177" s="29">
        <f>[1]FİYATLAR!B177</f>
        <v/>
      </c>
      <c r="C177" s="35">
        <f>INT(A177)</f>
        <v/>
      </c>
      <c r="D177" s="36">
        <f>MONTH(A177)</f>
        <v/>
      </c>
      <c r="E177" t="n">
        <v>0.4</v>
      </c>
      <c r="F177" s="30">
        <f>[1]FİYATLAR!C177</f>
        <v/>
      </c>
      <c r="G177" s="30">
        <f>[1]FİYATLAR!D177</f>
        <v/>
      </c>
      <c r="H177">
        <f>E177*F177</f>
        <v/>
      </c>
      <c r="I177">
        <f>E177*G177</f>
        <v/>
      </c>
    </row>
    <row r="178">
      <c r="A178" s="29">
        <f>[1]FİYATLAR!A178</f>
        <v/>
      </c>
      <c r="B178" s="29">
        <f>[1]FİYATLAR!B178</f>
        <v/>
      </c>
      <c r="C178" s="35">
        <f>INT(A178)</f>
        <v/>
      </c>
      <c r="D178" s="36">
        <f>MONTH(A178)</f>
        <v/>
      </c>
      <c r="E178" t="n">
        <v>0.86</v>
      </c>
      <c r="F178" s="30">
        <f>[1]FİYATLAR!C178</f>
        <v/>
      </c>
      <c r="G178" s="30">
        <f>[1]FİYATLAR!D178</f>
        <v/>
      </c>
      <c r="H178">
        <f>E178*F178</f>
        <v/>
      </c>
      <c r="I178">
        <f>E178*G178</f>
        <v/>
      </c>
    </row>
    <row r="179">
      <c r="A179" s="29">
        <f>[1]FİYATLAR!A179</f>
        <v/>
      </c>
      <c r="B179" s="29">
        <f>[1]FİYATLAR!B179</f>
        <v/>
      </c>
      <c r="C179" s="35">
        <f>INT(A179)</f>
        <v/>
      </c>
      <c r="D179" s="36">
        <f>MONTH(A179)</f>
        <v/>
      </c>
      <c r="E179" t="n">
        <v>1.25</v>
      </c>
      <c r="F179" s="30">
        <f>[1]FİYATLAR!C179</f>
        <v/>
      </c>
      <c r="G179" s="30">
        <f>[1]FİYATLAR!D179</f>
        <v/>
      </c>
      <c r="H179">
        <f>E179*F179</f>
        <v/>
      </c>
      <c r="I179">
        <f>E179*G179</f>
        <v/>
      </c>
    </row>
    <row r="180">
      <c r="A180" s="29">
        <f>[1]FİYATLAR!A180</f>
        <v/>
      </c>
      <c r="B180" s="29">
        <f>[1]FİYATLAR!B180</f>
        <v/>
      </c>
      <c r="C180" s="35">
        <f>INT(A180)</f>
        <v/>
      </c>
      <c r="D180" s="36">
        <f>MONTH(A180)</f>
        <v/>
      </c>
      <c r="E180" t="n">
        <v>1.57</v>
      </c>
      <c r="F180" s="30">
        <f>[1]FİYATLAR!C180</f>
        <v/>
      </c>
      <c r="G180" s="30">
        <f>[1]FİYATLAR!D180</f>
        <v/>
      </c>
      <c r="H180">
        <f>E180*F180</f>
        <v/>
      </c>
      <c r="I180">
        <f>E180*G180</f>
        <v/>
      </c>
    </row>
    <row r="181">
      <c r="A181" s="29">
        <f>[1]FİYATLAR!A181</f>
        <v/>
      </c>
      <c r="B181" s="29">
        <f>[1]FİYATLAR!B181</f>
        <v/>
      </c>
      <c r="C181" s="35">
        <f>INT(A181)</f>
        <v/>
      </c>
      <c r="D181" s="36">
        <f>MONTH(A181)</f>
        <v/>
      </c>
      <c r="E181" t="n">
        <v>1.76</v>
      </c>
      <c r="F181" s="30">
        <f>[1]FİYATLAR!C181</f>
        <v/>
      </c>
      <c r="G181" s="30">
        <f>[1]FİYATLAR!D181</f>
        <v/>
      </c>
      <c r="H181">
        <f>E181*F181</f>
        <v/>
      </c>
      <c r="I181">
        <f>E181*G181</f>
        <v/>
      </c>
    </row>
    <row r="182">
      <c r="A182" s="29">
        <f>[1]FİYATLAR!A182</f>
        <v/>
      </c>
      <c r="B182" s="29">
        <f>[1]FİYATLAR!B182</f>
        <v/>
      </c>
      <c r="C182" s="35">
        <f>INT(A182)</f>
        <v/>
      </c>
      <c r="D182" s="36">
        <f>MONTH(A182)</f>
        <v/>
      </c>
      <c r="E182" t="n">
        <v>1.84</v>
      </c>
      <c r="F182" s="30">
        <f>[1]FİYATLAR!C182</f>
        <v/>
      </c>
      <c r="G182" s="30">
        <f>[1]FİYATLAR!D182</f>
        <v/>
      </c>
      <c r="H182">
        <f>E182*F182</f>
        <v/>
      </c>
      <c r="I182">
        <f>E182*G182</f>
        <v/>
      </c>
    </row>
    <row r="183">
      <c r="A183" s="29">
        <f>[1]FİYATLAR!A183</f>
        <v/>
      </c>
      <c r="B183" s="29">
        <f>[1]FİYATLAR!B183</f>
        <v/>
      </c>
      <c r="C183" s="35">
        <f>INT(A183)</f>
        <v/>
      </c>
      <c r="D183" s="36">
        <f>MONTH(A183)</f>
        <v/>
      </c>
      <c r="E183" t="n">
        <v>1.82</v>
      </c>
      <c r="F183" s="30">
        <f>[1]FİYATLAR!C183</f>
        <v/>
      </c>
      <c r="G183" s="30">
        <f>[1]FİYATLAR!D183</f>
        <v/>
      </c>
      <c r="H183">
        <f>E183*F183</f>
        <v/>
      </c>
      <c r="I183">
        <f>E183*G183</f>
        <v/>
      </c>
    </row>
    <row r="184">
      <c r="A184" s="29">
        <f>[1]FİYATLAR!A184</f>
        <v/>
      </c>
      <c r="B184" s="29">
        <f>[1]FİYATLAR!B184</f>
        <v/>
      </c>
      <c r="C184" s="35">
        <f>INT(A184)</f>
        <v/>
      </c>
      <c r="D184" s="36">
        <f>MONTH(A184)</f>
        <v/>
      </c>
      <c r="E184" t="n">
        <v>1.69</v>
      </c>
      <c r="F184" s="30">
        <f>[1]FİYATLAR!C184</f>
        <v/>
      </c>
      <c r="G184" s="30">
        <f>[1]FİYATLAR!D184</f>
        <v/>
      </c>
      <c r="H184">
        <f>E184*F184</f>
        <v/>
      </c>
      <c r="I184">
        <f>E184*G184</f>
        <v/>
      </c>
    </row>
    <row r="185">
      <c r="A185" s="29">
        <f>[1]FİYATLAR!A185</f>
        <v/>
      </c>
      <c r="B185" s="29">
        <f>[1]FİYATLAR!B185</f>
        <v/>
      </c>
      <c r="C185" s="35">
        <f>INT(A185)</f>
        <v/>
      </c>
      <c r="D185" s="36">
        <f>MONTH(A185)</f>
        <v/>
      </c>
      <c r="E185" t="n">
        <v>1.47</v>
      </c>
      <c r="F185" s="30">
        <f>[1]FİYATLAR!C185</f>
        <v/>
      </c>
      <c r="G185" s="30">
        <f>[1]FİYATLAR!D185</f>
        <v/>
      </c>
      <c r="H185">
        <f>E185*F185</f>
        <v/>
      </c>
      <c r="I185">
        <f>E185*G185</f>
        <v/>
      </c>
    </row>
    <row r="186">
      <c r="A186" s="29">
        <f>[1]FİYATLAR!A186</f>
        <v/>
      </c>
      <c r="B186" s="29">
        <f>[1]FİYATLAR!B186</f>
        <v/>
      </c>
      <c r="C186" s="35">
        <f>INT(A186)</f>
        <v/>
      </c>
      <c r="D186" s="36">
        <f>MONTH(A186)</f>
        <v/>
      </c>
      <c r="E186" t="n">
        <v>0.65</v>
      </c>
      <c r="F186" s="30">
        <f>[1]FİYATLAR!C186</f>
        <v/>
      </c>
      <c r="G186" s="30">
        <f>[1]FİYATLAR!D186</f>
        <v/>
      </c>
      <c r="H186">
        <f>E186*F186</f>
        <v/>
      </c>
      <c r="I186">
        <f>E186*G186</f>
        <v/>
      </c>
    </row>
    <row r="187">
      <c r="A187" s="29">
        <f>[1]FİYATLAR!A187</f>
        <v/>
      </c>
      <c r="B187" s="29">
        <f>[1]FİYATLAR!B187</f>
        <v/>
      </c>
      <c r="C187" s="35">
        <f>INT(A187)</f>
        <v/>
      </c>
      <c r="D187" s="36">
        <f>MONTH(A187)</f>
        <v/>
      </c>
      <c r="E187" t="n">
        <v>0.65</v>
      </c>
      <c r="F187" s="30">
        <f>[1]FİYATLAR!C187</f>
        <v/>
      </c>
      <c r="G187" s="30">
        <f>[1]FİYATLAR!D187</f>
        <v/>
      </c>
      <c r="H187">
        <f>E187*F187</f>
        <v/>
      </c>
      <c r="I187">
        <f>E187*G187</f>
        <v/>
      </c>
    </row>
    <row r="188">
      <c r="A188" s="29">
        <f>[1]FİYATLAR!A188</f>
        <v/>
      </c>
      <c r="B188" s="29">
        <f>[1]FİYATLAR!B188</f>
        <v/>
      </c>
      <c r="C188" s="35">
        <f>INT(A188)</f>
        <v/>
      </c>
      <c r="D188" s="36">
        <f>MONTH(A188)</f>
        <v/>
      </c>
      <c r="E188" t="n">
        <v>0.24</v>
      </c>
      <c r="F188" s="30">
        <f>[1]FİYATLAR!C188</f>
        <v/>
      </c>
      <c r="G188" s="30">
        <f>[1]FİYATLAR!D188</f>
        <v/>
      </c>
      <c r="H188">
        <f>E188*F188</f>
        <v/>
      </c>
      <c r="I188">
        <f>E188*G188</f>
        <v/>
      </c>
    </row>
    <row r="189">
      <c r="A189" s="29">
        <f>[1]FİYATLAR!A189</f>
        <v/>
      </c>
      <c r="B189" s="29">
        <f>[1]FİYATLAR!B189</f>
        <v/>
      </c>
      <c r="C189" s="35">
        <f>INT(A189)</f>
        <v/>
      </c>
      <c r="D189" s="36">
        <f>MONTH(A189)</f>
        <v/>
      </c>
      <c r="E189" t="n">
        <v>0.03</v>
      </c>
      <c r="F189" s="30">
        <f>[1]FİYATLAR!C189</f>
        <v/>
      </c>
      <c r="G189" s="30">
        <f>[1]FİYATLAR!D189</f>
        <v/>
      </c>
      <c r="H189">
        <f>E189*F189</f>
        <v/>
      </c>
      <c r="I189">
        <f>E189*G189</f>
        <v/>
      </c>
    </row>
    <row r="190">
      <c r="A190" s="29">
        <f>[1]FİYATLAR!A190</f>
        <v/>
      </c>
      <c r="B190" s="29">
        <f>[1]FİYATLAR!B190</f>
        <v/>
      </c>
      <c r="C190" s="35">
        <f>INT(A190)</f>
        <v/>
      </c>
      <c r="D190" s="36">
        <f>MONTH(A190)</f>
        <v/>
      </c>
      <c r="E190" t="n">
        <v>0</v>
      </c>
      <c r="F190" s="30">
        <f>[1]FİYATLAR!C190</f>
        <v/>
      </c>
      <c r="G190" s="30">
        <f>[1]FİYATLAR!D190</f>
        <v/>
      </c>
      <c r="H190">
        <f>E190*F190</f>
        <v/>
      </c>
      <c r="I190">
        <f>E190*G190</f>
        <v/>
      </c>
    </row>
    <row r="191">
      <c r="A191" s="29">
        <f>[1]FİYATLAR!A191</f>
        <v/>
      </c>
      <c r="B191" s="29">
        <f>[1]FİYATLAR!B191</f>
        <v/>
      </c>
      <c r="C191" s="35">
        <f>INT(A191)</f>
        <v/>
      </c>
      <c r="D191" s="36">
        <f>MONTH(A191)</f>
        <v/>
      </c>
      <c r="E191" t="n">
        <v>0</v>
      </c>
      <c r="F191" s="30">
        <f>[1]FİYATLAR!C191</f>
        <v/>
      </c>
      <c r="G191" s="30">
        <f>[1]FİYATLAR!D191</f>
        <v/>
      </c>
      <c r="H191">
        <f>E191*F191</f>
        <v/>
      </c>
      <c r="I191">
        <f>E191*G191</f>
        <v/>
      </c>
    </row>
    <row r="192">
      <c r="A192" s="29">
        <f>[1]FİYATLAR!A192</f>
        <v/>
      </c>
      <c r="B192" s="29">
        <f>[1]FİYATLAR!B192</f>
        <v/>
      </c>
      <c r="C192" s="35">
        <f>INT(A192)</f>
        <v/>
      </c>
      <c r="D192" s="36">
        <f>MONTH(A192)</f>
        <v/>
      </c>
      <c r="E192" t="n">
        <v>0</v>
      </c>
      <c r="F192" s="30">
        <f>[1]FİYATLAR!C192</f>
        <v/>
      </c>
      <c r="G192" s="30">
        <f>[1]FİYATLAR!D192</f>
        <v/>
      </c>
      <c r="H192">
        <f>E192*F192</f>
        <v/>
      </c>
      <c r="I192">
        <f>E192*G192</f>
        <v/>
      </c>
    </row>
    <row r="193">
      <c r="A193" s="29">
        <f>[1]FİYATLAR!A193</f>
        <v/>
      </c>
      <c r="B193" s="29">
        <f>[1]FİYATLAR!B193</f>
        <v/>
      </c>
      <c r="C193" s="35">
        <f>INT(A193)</f>
        <v/>
      </c>
      <c r="D193" s="36">
        <f>MONTH(A193)</f>
        <v/>
      </c>
      <c r="E193" t="n">
        <v>0</v>
      </c>
      <c r="F193" s="30">
        <f>[1]FİYATLAR!C193</f>
        <v/>
      </c>
      <c r="G193" s="30">
        <f>[1]FİYATLAR!D193</f>
        <v/>
      </c>
      <c r="H193">
        <f>E193*F193</f>
        <v/>
      </c>
      <c r="I193">
        <f>E193*G193</f>
        <v/>
      </c>
    </row>
    <row r="194">
      <c r="A194" s="29">
        <f>[1]FİYATLAR!A194</f>
        <v/>
      </c>
      <c r="B194" s="29">
        <f>[1]FİYATLAR!B194</f>
        <v/>
      </c>
      <c r="C194" s="35">
        <f>INT(A194)</f>
        <v/>
      </c>
      <c r="D194" s="36">
        <f>MONTH(A194)</f>
        <v/>
      </c>
      <c r="F194" s="30">
        <f>[1]FİYATLAR!C194</f>
        <v/>
      </c>
      <c r="G194" s="30">
        <f>[1]FİYATLAR!D194</f>
        <v/>
      </c>
      <c r="H194">
        <f>E194*F194</f>
        <v/>
      </c>
      <c r="I194">
        <f>E194*G194</f>
        <v/>
      </c>
    </row>
    <row r="195">
      <c r="A195" s="29">
        <f>[1]FİYATLAR!A195</f>
        <v/>
      </c>
      <c r="B195" s="29">
        <f>[1]FİYATLAR!B195</f>
        <v/>
      </c>
      <c r="C195" s="35">
        <f>INT(A195)</f>
        <v/>
      </c>
      <c r="D195" s="36">
        <f>MONTH(A195)</f>
        <v/>
      </c>
      <c r="F195" s="30">
        <f>[1]FİYATLAR!C195</f>
        <v/>
      </c>
      <c r="G195" s="30">
        <f>[1]FİYATLAR!D195</f>
        <v/>
      </c>
      <c r="H195">
        <f>E195*F195</f>
        <v/>
      </c>
      <c r="I195">
        <f>E195*G195</f>
        <v/>
      </c>
    </row>
    <row r="196">
      <c r="A196" s="29">
        <f>[1]FİYATLAR!A196</f>
        <v/>
      </c>
      <c r="B196" s="29">
        <f>[1]FİYATLAR!B196</f>
        <v/>
      </c>
      <c r="C196" s="35">
        <f>INT(A196)</f>
        <v/>
      </c>
      <c r="D196" s="36">
        <f>MONTH(A196)</f>
        <v/>
      </c>
      <c r="F196" s="30">
        <f>[1]FİYATLAR!C196</f>
        <v/>
      </c>
      <c r="G196" s="30">
        <f>[1]FİYATLAR!D196</f>
        <v/>
      </c>
      <c r="H196">
        <f>E196*F196</f>
        <v/>
      </c>
      <c r="I196">
        <f>E196*G196</f>
        <v/>
      </c>
    </row>
    <row r="197">
      <c r="A197" s="29">
        <f>[1]FİYATLAR!A197</f>
        <v/>
      </c>
      <c r="B197" s="29">
        <f>[1]FİYATLAR!B197</f>
        <v/>
      </c>
      <c r="C197" s="35">
        <f>INT(A197)</f>
        <v/>
      </c>
      <c r="D197" s="36">
        <f>MONTH(A197)</f>
        <v/>
      </c>
      <c r="F197" s="30">
        <f>[1]FİYATLAR!C197</f>
        <v/>
      </c>
      <c r="G197" s="30">
        <f>[1]FİYATLAR!D197</f>
        <v/>
      </c>
      <c r="H197">
        <f>E197*F197</f>
        <v/>
      </c>
      <c r="I197">
        <f>E197*G197</f>
        <v/>
      </c>
    </row>
    <row r="198">
      <c r="A198" s="29">
        <f>[1]FİYATLAR!A198</f>
        <v/>
      </c>
      <c r="B198" s="29">
        <f>[1]FİYATLAR!B198</f>
        <v/>
      </c>
      <c r="C198" s="35">
        <f>INT(A198)</f>
        <v/>
      </c>
      <c r="D198" s="36">
        <f>MONTH(A198)</f>
        <v/>
      </c>
      <c r="F198" s="30">
        <f>[1]FİYATLAR!C198</f>
        <v/>
      </c>
      <c r="G198" s="30">
        <f>[1]FİYATLAR!D198</f>
        <v/>
      </c>
      <c r="H198">
        <f>E198*F198</f>
        <v/>
      </c>
      <c r="I198">
        <f>E198*G198</f>
        <v/>
      </c>
    </row>
    <row r="199">
      <c r="A199" s="29">
        <f>[1]FİYATLAR!A199</f>
        <v/>
      </c>
      <c r="B199" s="29">
        <f>[1]FİYATLAR!B199</f>
        <v/>
      </c>
      <c r="C199" s="35">
        <f>INT(A199)</f>
        <v/>
      </c>
      <c r="D199" s="36">
        <f>MONTH(A199)</f>
        <v/>
      </c>
      <c r="F199" s="30">
        <f>[1]FİYATLAR!C199</f>
        <v/>
      </c>
      <c r="G199" s="30">
        <f>[1]FİYATLAR!D199</f>
        <v/>
      </c>
      <c r="H199">
        <f>E199*F199</f>
        <v/>
      </c>
      <c r="I199">
        <f>E199*G199</f>
        <v/>
      </c>
    </row>
    <row r="200">
      <c r="A200" s="29">
        <f>[1]FİYATLAR!A200</f>
        <v/>
      </c>
      <c r="B200" s="29">
        <f>[1]FİYATLAR!B200</f>
        <v/>
      </c>
      <c r="C200" s="35">
        <f>INT(A200)</f>
        <v/>
      </c>
      <c r="D200" s="36">
        <f>MONTH(A200)</f>
        <v/>
      </c>
      <c r="F200" s="30">
        <f>[1]FİYATLAR!C200</f>
        <v/>
      </c>
      <c r="G200" s="30">
        <f>[1]FİYATLAR!D200</f>
        <v/>
      </c>
      <c r="H200">
        <f>E200*F200</f>
        <v/>
      </c>
      <c r="I200">
        <f>E200*G200</f>
        <v/>
      </c>
    </row>
    <row r="201">
      <c r="A201" s="29">
        <f>[1]FİYATLAR!A201</f>
        <v/>
      </c>
      <c r="B201" s="29">
        <f>[1]FİYATLAR!B201</f>
        <v/>
      </c>
      <c r="C201" s="35">
        <f>INT(A201)</f>
        <v/>
      </c>
      <c r="D201" s="36">
        <f>MONTH(A201)</f>
        <v/>
      </c>
      <c r="F201" s="30">
        <f>[1]FİYATLAR!C201</f>
        <v/>
      </c>
      <c r="G201" s="30">
        <f>[1]FİYATLAR!D201</f>
        <v/>
      </c>
      <c r="H201">
        <f>E201*F201</f>
        <v/>
      </c>
      <c r="I201">
        <f>E201*G201</f>
        <v/>
      </c>
    </row>
    <row r="202">
      <c r="A202" s="29">
        <f>[1]FİYATLAR!A202</f>
        <v/>
      </c>
      <c r="B202" s="29">
        <f>[1]FİYATLAR!B202</f>
        <v/>
      </c>
      <c r="C202" s="35">
        <f>INT(A202)</f>
        <v/>
      </c>
      <c r="D202" s="36">
        <f>MONTH(A202)</f>
        <v/>
      </c>
      <c r="F202" s="30">
        <f>[1]FİYATLAR!C202</f>
        <v/>
      </c>
      <c r="G202" s="30">
        <f>[1]FİYATLAR!D202</f>
        <v/>
      </c>
      <c r="H202">
        <f>E202*F202</f>
        <v/>
      </c>
      <c r="I202">
        <f>E202*G202</f>
        <v/>
      </c>
    </row>
    <row r="203">
      <c r="A203" s="29">
        <f>[1]FİYATLAR!A203</f>
        <v/>
      </c>
      <c r="B203" s="29">
        <f>[1]FİYATLAR!B203</f>
        <v/>
      </c>
      <c r="C203" s="35">
        <f>INT(A203)</f>
        <v/>
      </c>
      <c r="D203" s="36">
        <f>MONTH(A203)</f>
        <v/>
      </c>
      <c r="F203" s="30">
        <f>[1]FİYATLAR!C203</f>
        <v/>
      </c>
      <c r="G203" s="30">
        <f>[1]FİYATLAR!D203</f>
        <v/>
      </c>
      <c r="H203">
        <f>E203*F203</f>
        <v/>
      </c>
      <c r="I203">
        <f>E203*G203</f>
        <v/>
      </c>
    </row>
    <row r="204">
      <c r="A204" s="29">
        <f>[1]FİYATLAR!A204</f>
        <v/>
      </c>
      <c r="B204" s="29">
        <f>[1]FİYATLAR!B204</f>
        <v/>
      </c>
      <c r="C204" s="35">
        <f>INT(A204)</f>
        <v/>
      </c>
      <c r="D204" s="36">
        <f>MONTH(A204)</f>
        <v/>
      </c>
      <c r="F204" s="30">
        <f>[1]FİYATLAR!C204</f>
        <v/>
      </c>
      <c r="G204" s="30">
        <f>[1]FİYATLAR!D204</f>
        <v/>
      </c>
      <c r="H204">
        <f>E204*F204</f>
        <v/>
      </c>
      <c r="I204">
        <f>E204*G204</f>
        <v/>
      </c>
    </row>
    <row r="205">
      <c r="A205" s="29">
        <f>[1]FİYATLAR!A205</f>
        <v/>
      </c>
      <c r="B205" s="29">
        <f>[1]FİYATLAR!B205</f>
        <v/>
      </c>
      <c r="C205" s="35">
        <f>INT(A205)</f>
        <v/>
      </c>
      <c r="D205" s="36">
        <f>MONTH(A205)</f>
        <v/>
      </c>
      <c r="F205" s="30">
        <f>[1]FİYATLAR!C205</f>
        <v/>
      </c>
      <c r="G205" s="30">
        <f>[1]FİYATLAR!D205</f>
        <v/>
      </c>
      <c r="H205">
        <f>E205*F205</f>
        <v/>
      </c>
      <c r="I205">
        <f>E205*G205</f>
        <v/>
      </c>
    </row>
    <row r="206">
      <c r="A206" s="29">
        <f>[1]FİYATLAR!A206</f>
        <v/>
      </c>
      <c r="B206" s="29">
        <f>[1]FİYATLAR!B206</f>
        <v/>
      </c>
      <c r="C206" s="35">
        <f>INT(A206)</f>
        <v/>
      </c>
      <c r="D206" s="36">
        <f>MONTH(A206)</f>
        <v/>
      </c>
      <c r="F206" s="30">
        <f>[1]FİYATLAR!C206</f>
        <v/>
      </c>
      <c r="G206" s="30">
        <f>[1]FİYATLAR!D206</f>
        <v/>
      </c>
      <c r="H206">
        <f>E206*F206</f>
        <v/>
      </c>
      <c r="I206">
        <f>E206*G206</f>
        <v/>
      </c>
    </row>
    <row r="207">
      <c r="A207" s="29">
        <f>[1]FİYATLAR!A207</f>
        <v/>
      </c>
      <c r="B207" s="29">
        <f>[1]FİYATLAR!B207</f>
        <v/>
      </c>
      <c r="C207" s="35">
        <f>INT(A207)</f>
        <v/>
      </c>
      <c r="D207" s="36">
        <f>MONTH(A207)</f>
        <v/>
      </c>
      <c r="F207" s="30">
        <f>[1]FİYATLAR!C207</f>
        <v/>
      </c>
      <c r="G207" s="30">
        <f>[1]FİYATLAR!D207</f>
        <v/>
      </c>
      <c r="H207">
        <f>E207*F207</f>
        <v/>
      </c>
      <c r="I207">
        <f>E207*G207</f>
        <v/>
      </c>
    </row>
    <row r="208">
      <c r="A208" s="29">
        <f>[1]FİYATLAR!A208</f>
        <v/>
      </c>
      <c r="B208" s="29">
        <f>[1]FİYATLAR!B208</f>
        <v/>
      </c>
      <c r="C208" s="35">
        <f>INT(A208)</f>
        <v/>
      </c>
      <c r="D208" s="36">
        <f>MONTH(A208)</f>
        <v/>
      </c>
      <c r="F208" s="30">
        <f>[1]FİYATLAR!C208</f>
        <v/>
      </c>
      <c r="G208" s="30">
        <f>[1]FİYATLAR!D208</f>
        <v/>
      </c>
      <c r="H208">
        <f>E208*F208</f>
        <v/>
      </c>
      <c r="I208">
        <f>E208*G208</f>
        <v/>
      </c>
    </row>
    <row r="209">
      <c r="A209" s="29">
        <f>[1]FİYATLAR!A209</f>
        <v/>
      </c>
      <c r="B209" s="29">
        <f>[1]FİYATLAR!B209</f>
        <v/>
      </c>
      <c r="C209" s="35">
        <f>INT(A209)</f>
        <v/>
      </c>
      <c r="D209" s="36">
        <f>MONTH(A209)</f>
        <v/>
      </c>
      <c r="F209" s="30">
        <f>[1]FİYATLAR!C209</f>
        <v/>
      </c>
      <c r="G209" s="30">
        <f>[1]FİYATLAR!D209</f>
        <v/>
      </c>
      <c r="H209">
        <f>E209*F209</f>
        <v/>
      </c>
      <c r="I209">
        <f>E209*G209</f>
        <v/>
      </c>
    </row>
    <row r="210">
      <c r="A210" s="29">
        <f>[1]FİYATLAR!A210</f>
        <v/>
      </c>
      <c r="B210" s="29">
        <f>[1]FİYATLAR!B210</f>
        <v/>
      </c>
      <c r="C210" s="35">
        <f>INT(A210)</f>
        <v/>
      </c>
      <c r="D210" s="36">
        <f>MONTH(A210)</f>
        <v/>
      </c>
      <c r="F210" s="30">
        <f>[1]FİYATLAR!C210</f>
        <v/>
      </c>
      <c r="G210" s="30">
        <f>[1]FİYATLAR!D210</f>
        <v/>
      </c>
      <c r="H210">
        <f>E210*F210</f>
        <v/>
      </c>
      <c r="I210">
        <f>E210*G210</f>
        <v/>
      </c>
    </row>
    <row r="211">
      <c r="A211" s="29">
        <f>[1]FİYATLAR!A211</f>
        <v/>
      </c>
      <c r="B211" s="29">
        <f>[1]FİYATLAR!B211</f>
        <v/>
      </c>
      <c r="C211" s="35">
        <f>INT(A211)</f>
        <v/>
      </c>
      <c r="D211" s="36">
        <f>MONTH(A211)</f>
        <v/>
      </c>
      <c r="F211" s="30">
        <f>[1]FİYATLAR!C211</f>
        <v/>
      </c>
      <c r="G211" s="30">
        <f>[1]FİYATLAR!D211</f>
        <v/>
      </c>
      <c r="H211">
        <f>E211*F211</f>
        <v/>
      </c>
      <c r="I211">
        <f>E211*G211</f>
        <v/>
      </c>
    </row>
    <row r="212">
      <c r="A212" s="29">
        <f>[1]FİYATLAR!A212</f>
        <v/>
      </c>
      <c r="B212" s="29">
        <f>[1]FİYATLAR!B212</f>
        <v/>
      </c>
      <c r="C212" s="35">
        <f>INT(A212)</f>
        <v/>
      </c>
      <c r="D212" s="36">
        <f>MONTH(A212)</f>
        <v/>
      </c>
      <c r="F212" s="30">
        <f>[1]FİYATLAR!C212</f>
        <v/>
      </c>
      <c r="G212" s="30">
        <f>[1]FİYATLAR!D212</f>
        <v/>
      </c>
      <c r="H212">
        <f>E212*F212</f>
        <v/>
      </c>
      <c r="I212">
        <f>E212*G212</f>
        <v/>
      </c>
    </row>
    <row r="213">
      <c r="A213" s="29">
        <f>[1]FİYATLAR!A213</f>
        <v/>
      </c>
      <c r="B213" s="29">
        <f>[1]FİYATLAR!B213</f>
        <v/>
      </c>
      <c r="C213" s="35">
        <f>INT(A213)</f>
        <v/>
      </c>
      <c r="D213" s="36">
        <f>MONTH(A213)</f>
        <v/>
      </c>
      <c r="F213" s="30">
        <f>[1]FİYATLAR!C213</f>
        <v/>
      </c>
      <c r="G213" s="30">
        <f>[1]FİYATLAR!D213</f>
        <v/>
      </c>
      <c r="H213">
        <f>E213*F213</f>
        <v/>
      </c>
      <c r="I213">
        <f>E213*G213</f>
        <v/>
      </c>
    </row>
    <row r="214">
      <c r="A214" s="29">
        <f>[1]FİYATLAR!A214</f>
        <v/>
      </c>
      <c r="B214" s="29">
        <f>[1]FİYATLAR!B214</f>
        <v/>
      </c>
      <c r="C214" s="35">
        <f>INT(A214)</f>
        <v/>
      </c>
      <c r="D214" s="36">
        <f>MONTH(A214)</f>
        <v/>
      </c>
      <c r="F214" s="30">
        <f>[1]FİYATLAR!C214</f>
        <v/>
      </c>
      <c r="G214" s="30">
        <f>[1]FİYATLAR!D214</f>
        <v/>
      </c>
      <c r="H214">
        <f>E214*F214</f>
        <v/>
      </c>
      <c r="I214">
        <f>E214*G214</f>
        <v/>
      </c>
    </row>
    <row r="215">
      <c r="A215" s="29">
        <f>[1]FİYATLAR!A215</f>
        <v/>
      </c>
      <c r="B215" s="29">
        <f>[1]FİYATLAR!B215</f>
        <v/>
      </c>
      <c r="C215" s="35">
        <f>INT(A215)</f>
        <v/>
      </c>
      <c r="D215" s="36">
        <f>MONTH(A215)</f>
        <v/>
      </c>
      <c r="F215" s="30">
        <f>[1]FİYATLAR!C215</f>
        <v/>
      </c>
      <c r="G215" s="30">
        <f>[1]FİYATLAR!D215</f>
        <v/>
      </c>
      <c r="H215">
        <f>E215*F215</f>
        <v/>
      </c>
      <c r="I215">
        <f>E215*G215</f>
        <v/>
      </c>
    </row>
    <row r="216">
      <c r="A216" s="29">
        <f>[1]FİYATLAR!A216</f>
        <v/>
      </c>
      <c r="B216" s="29">
        <f>[1]FİYATLAR!B216</f>
        <v/>
      </c>
      <c r="C216" s="35">
        <f>INT(A216)</f>
        <v/>
      </c>
      <c r="D216" s="36">
        <f>MONTH(A216)</f>
        <v/>
      </c>
      <c r="F216" s="30">
        <f>[1]FİYATLAR!C216</f>
        <v/>
      </c>
      <c r="G216" s="30">
        <f>[1]FİYATLAR!D216</f>
        <v/>
      </c>
      <c r="H216">
        <f>E216*F216</f>
        <v/>
      </c>
      <c r="I216">
        <f>E216*G216</f>
        <v/>
      </c>
    </row>
    <row r="217">
      <c r="A217" s="29">
        <f>[1]FİYATLAR!A217</f>
        <v/>
      </c>
      <c r="B217" s="29">
        <f>[1]FİYATLAR!B217</f>
        <v/>
      </c>
      <c r="C217" s="35">
        <f>INT(A217)</f>
        <v/>
      </c>
      <c r="D217" s="36">
        <f>MONTH(A217)</f>
        <v/>
      </c>
      <c r="F217" s="30">
        <f>[1]FİYATLAR!C217</f>
        <v/>
      </c>
      <c r="G217" s="30">
        <f>[1]FİYATLAR!D217</f>
        <v/>
      </c>
      <c r="H217">
        <f>E217*F217</f>
        <v/>
      </c>
      <c r="I217">
        <f>E217*G217</f>
        <v/>
      </c>
    </row>
    <row r="218">
      <c r="A218" s="29">
        <f>[1]FİYATLAR!A218</f>
        <v/>
      </c>
      <c r="B218" s="29">
        <f>[1]FİYATLAR!B218</f>
        <v/>
      </c>
      <c r="C218" s="35">
        <f>INT(A218)</f>
        <v/>
      </c>
      <c r="D218" s="36">
        <f>MONTH(A218)</f>
        <v/>
      </c>
      <c r="F218" s="30">
        <f>[1]FİYATLAR!C218</f>
        <v/>
      </c>
      <c r="G218" s="30">
        <f>[1]FİYATLAR!D218</f>
        <v/>
      </c>
      <c r="H218">
        <f>E218*F218</f>
        <v/>
      </c>
      <c r="I218">
        <f>E218*G218</f>
        <v/>
      </c>
    </row>
    <row r="219">
      <c r="A219" s="29">
        <f>[1]FİYATLAR!A219</f>
        <v/>
      </c>
      <c r="B219" s="29">
        <f>[1]FİYATLAR!B219</f>
        <v/>
      </c>
      <c r="C219" s="35">
        <f>INT(A219)</f>
        <v/>
      </c>
      <c r="D219" s="36">
        <f>MONTH(A219)</f>
        <v/>
      </c>
      <c r="F219" s="30">
        <f>[1]FİYATLAR!C219</f>
        <v/>
      </c>
      <c r="G219" s="30">
        <f>[1]FİYATLAR!D219</f>
        <v/>
      </c>
      <c r="H219">
        <f>E219*F219</f>
        <v/>
      </c>
      <c r="I219">
        <f>E219*G219</f>
        <v/>
      </c>
    </row>
    <row r="220">
      <c r="A220" s="29">
        <f>[1]FİYATLAR!A220</f>
        <v/>
      </c>
      <c r="B220" s="29">
        <f>[1]FİYATLAR!B220</f>
        <v/>
      </c>
      <c r="C220" s="35">
        <f>INT(A220)</f>
        <v/>
      </c>
      <c r="D220" s="36">
        <f>MONTH(A220)</f>
        <v/>
      </c>
      <c r="F220" s="30">
        <f>[1]FİYATLAR!C220</f>
        <v/>
      </c>
      <c r="G220" s="30">
        <f>[1]FİYATLAR!D220</f>
        <v/>
      </c>
      <c r="H220">
        <f>E220*F220</f>
        <v/>
      </c>
      <c r="I220">
        <f>E220*G220</f>
        <v/>
      </c>
    </row>
    <row r="221">
      <c r="A221" s="29">
        <f>[1]FİYATLAR!A221</f>
        <v/>
      </c>
      <c r="B221" s="29">
        <f>[1]FİYATLAR!B221</f>
        <v/>
      </c>
      <c r="C221" s="35">
        <f>INT(A221)</f>
        <v/>
      </c>
      <c r="D221" s="36">
        <f>MONTH(A221)</f>
        <v/>
      </c>
      <c r="F221" s="30">
        <f>[1]FİYATLAR!C221</f>
        <v/>
      </c>
      <c r="G221" s="30">
        <f>[1]FİYATLAR!D221</f>
        <v/>
      </c>
      <c r="H221">
        <f>E221*F221</f>
        <v/>
      </c>
      <c r="I221">
        <f>E221*G221</f>
        <v/>
      </c>
    </row>
    <row r="222">
      <c r="A222" s="29">
        <f>[1]FİYATLAR!A222</f>
        <v/>
      </c>
      <c r="B222" s="29">
        <f>[1]FİYATLAR!B222</f>
        <v/>
      </c>
      <c r="C222" s="35">
        <f>INT(A222)</f>
        <v/>
      </c>
      <c r="D222" s="36">
        <f>MONTH(A222)</f>
        <v/>
      </c>
      <c r="F222" s="30">
        <f>[1]FİYATLAR!C222</f>
        <v/>
      </c>
      <c r="G222" s="30">
        <f>[1]FİYATLAR!D222</f>
        <v/>
      </c>
      <c r="H222">
        <f>E222*F222</f>
        <v/>
      </c>
      <c r="I222">
        <f>E222*G222</f>
        <v/>
      </c>
    </row>
    <row r="223">
      <c r="A223" s="29">
        <f>[1]FİYATLAR!A223</f>
        <v/>
      </c>
      <c r="B223" s="29">
        <f>[1]FİYATLAR!B223</f>
        <v/>
      </c>
      <c r="C223" s="35">
        <f>INT(A223)</f>
        <v/>
      </c>
      <c r="D223" s="36">
        <f>MONTH(A223)</f>
        <v/>
      </c>
      <c r="F223" s="30">
        <f>[1]FİYATLAR!C223</f>
        <v/>
      </c>
      <c r="G223" s="30">
        <f>[1]FİYATLAR!D223</f>
        <v/>
      </c>
      <c r="H223">
        <f>E223*F223</f>
        <v/>
      </c>
      <c r="I223">
        <f>E223*G223</f>
        <v/>
      </c>
    </row>
    <row r="224">
      <c r="A224" s="29">
        <f>[1]FİYATLAR!A224</f>
        <v/>
      </c>
      <c r="B224" s="29">
        <f>[1]FİYATLAR!B224</f>
        <v/>
      </c>
      <c r="C224" s="35">
        <f>INT(A224)</f>
        <v/>
      </c>
      <c r="D224" s="36">
        <f>MONTH(A224)</f>
        <v/>
      </c>
      <c r="F224" s="30">
        <f>[1]FİYATLAR!C224</f>
        <v/>
      </c>
      <c r="G224" s="30">
        <f>[1]FİYATLAR!D224</f>
        <v/>
      </c>
      <c r="H224">
        <f>E224*F224</f>
        <v/>
      </c>
      <c r="I224">
        <f>E224*G224</f>
        <v/>
      </c>
    </row>
    <row r="225">
      <c r="A225" s="29">
        <f>[1]FİYATLAR!A225</f>
        <v/>
      </c>
      <c r="B225" s="29">
        <f>[1]FİYATLAR!B225</f>
        <v/>
      </c>
      <c r="C225" s="35">
        <f>INT(A225)</f>
        <v/>
      </c>
      <c r="D225" s="36">
        <f>MONTH(A225)</f>
        <v/>
      </c>
      <c r="F225" s="30">
        <f>[1]FİYATLAR!C225</f>
        <v/>
      </c>
      <c r="G225" s="30">
        <f>[1]FİYATLAR!D225</f>
        <v/>
      </c>
      <c r="H225">
        <f>E225*F225</f>
        <v/>
      </c>
      <c r="I225">
        <f>E225*G225</f>
        <v/>
      </c>
    </row>
    <row r="226">
      <c r="A226" s="29">
        <f>[1]FİYATLAR!A226</f>
        <v/>
      </c>
      <c r="B226" s="29">
        <f>[1]FİYATLAR!B226</f>
        <v/>
      </c>
      <c r="C226" s="35">
        <f>INT(A226)</f>
        <v/>
      </c>
      <c r="D226" s="36">
        <f>MONTH(A226)</f>
        <v/>
      </c>
      <c r="F226" s="30">
        <f>[1]FİYATLAR!C226</f>
        <v/>
      </c>
      <c r="G226" s="30">
        <f>[1]FİYATLAR!D226</f>
        <v/>
      </c>
      <c r="H226">
        <f>E226*F226</f>
        <v/>
      </c>
      <c r="I226">
        <f>E226*G226</f>
        <v/>
      </c>
    </row>
    <row r="227">
      <c r="A227" s="29">
        <f>[1]FİYATLAR!A227</f>
        <v/>
      </c>
      <c r="B227" s="29">
        <f>[1]FİYATLAR!B227</f>
        <v/>
      </c>
      <c r="C227" s="35">
        <f>INT(A227)</f>
        <v/>
      </c>
      <c r="D227" s="36">
        <f>MONTH(A227)</f>
        <v/>
      </c>
      <c r="F227" s="30">
        <f>[1]FİYATLAR!C227</f>
        <v/>
      </c>
      <c r="G227" s="30">
        <f>[1]FİYATLAR!D227</f>
        <v/>
      </c>
      <c r="H227">
        <f>E227*F227</f>
        <v/>
      </c>
      <c r="I227">
        <f>E227*G227</f>
        <v/>
      </c>
    </row>
    <row r="228">
      <c r="A228" s="29">
        <f>[1]FİYATLAR!A228</f>
        <v/>
      </c>
      <c r="B228" s="29">
        <f>[1]FİYATLAR!B228</f>
        <v/>
      </c>
      <c r="C228" s="35">
        <f>INT(A228)</f>
        <v/>
      </c>
      <c r="D228" s="36">
        <f>MONTH(A228)</f>
        <v/>
      </c>
      <c r="F228" s="30">
        <f>[1]FİYATLAR!C228</f>
        <v/>
      </c>
      <c r="G228" s="30">
        <f>[1]FİYATLAR!D228</f>
        <v/>
      </c>
      <c r="H228">
        <f>E228*F228</f>
        <v/>
      </c>
      <c r="I228">
        <f>E228*G228</f>
        <v/>
      </c>
    </row>
    <row r="229">
      <c r="A229" s="29">
        <f>[1]FİYATLAR!A229</f>
        <v/>
      </c>
      <c r="B229" s="29">
        <f>[1]FİYATLAR!B229</f>
        <v/>
      </c>
      <c r="C229" s="35">
        <f>INT(A229)</f>
        <v/>
      </c>
      <c r="D229" s="36">
        <f>MONTH(A229)</f>
        <v/>
      </c>
      <c r="F229" s="30">
        <f>[1]FİYATLAR!C229</f>
        <v/>
      </c>
      <c r="G229" s="30">
        <f>[1]FİYATLAR!D229</f>
        <v/>
      </c>
      <c r="H229">
        <f>E229*F229</f>
        <v/>
      </c>
      <c r="I229">
        <f>E229*G229</f>
        <v/>
      </c>
    </row>
    <row r="230">
      <c r="A230" s="29">
        <f>[1]FİYATLAR!A230</f>
        <v/>
      </c>
      <c r="B230" s="29">
        <f>[1]FİYATLAR!B230</f>
        <v/>
      </c>
      <c r="C230" s="35">
        <f>INT(A230)</f>
        <v/>
      </c>
      <c r="D230" s="36">
        <f>MONTH(A230)</f>
        <v/>
      </c>
      <c r="F230" s="30">
        <f>[1]FİYATLAR!C230</f>
        <v/>
      </c>
      <c r="G230" s="30">
        <f>[1]FİYATLAR!D230</f>
        <v/>
      </c>
      <c r="H230">
        <f>E230*F230</f>
        <v/>
      </c>
      <c r="I230">
        <f>E230*G230</f>
        <v/>
      </c>
    </row>
    <row r="231">
      <c r="A231" s="29">
        <f>[1]FİYATLAR!A231</f>
        <v/>
      </c>
      <c r="B231" s="29">
        <f>[1]FİYATLAR!B231</f>
        <v/>
      </c>
      <c r="C231" s="35">
        <f>INT(A231)</f>
        <v/>
      </c>
      <c r="D231" s="36">
        <f>MONTH(A231)</f>
        <v/>
      </c>
      <c r="F231" s="30">
        <f>[1]FİYATLAR!C231</f>
        <v/>
      </c>
      <c r="G231" s="30">
        <f>[1]FİYATLAR!D231</f>
        <v/>
      </c>
      <c r="H231">
        <f>E231*F231</f>
        <v/>
      </c>
      <c r="I231">
        <f>E231*G231</f>
        <v/>
      </c>
    </row>
    <row r="232">
      <c r="A232" s="29">
        <f>[1]FİYATLAR!A232</f>
        <v/>
      </c>
      <c r="B232" s="29">
        <f>[1]FİYATLAR!B232</f>
        <v/>
      </c>
      <c r="C232" s="35">
        <f>INT(A232)</f>
        <v/>
      </c>
      <c r="D232" s="36">
        <f>MONTH(A232)</f>
        <v/>
      </c>
      <c r="F232" s="30">
        <f>[1]FİYATLAR!C232</f>
        <v/>
      </c>
      <c r="G232" s="30">
        <f>[1]FİYATLAR!D232</f>
        <v/>
      </c>
      <c r="H232">
        <f>E232*F232</f>
        <v/>
      </c>
      <c r="I232">
        <f>E232*G232</f>
        <v/>
      </c>
    </row>
    <row r="233">
      <c r="A233" s="29">
        <f>[1]FİYATLAR!A233</f>
        <v/>
      </c>
      <c r="B233" s="29">
        <f>[1]FİYATLAR!B233</f>
        <v/>
      </c>
      <c r="C233" s="35">
        <f>INT(A233)</f>
        <v/>
      </c>
      <c r="D233" s="36">
        <f>MONTH(A233)</f>
        <v/>
      </c>
      <c r="F233" s="30">
        <f>[1]FİYATLAR!C233</f>
        <v/>
      </c>
      <c r="G233" s="30">
        <f>[1]FİYATLAR!D233</f>
        <v/>
      </c>
      <c r="H233">
        <f>E233*F233</f>
        <v/>
      </c>
      <c r="I233">
        <f>E233*G233</f>
        <v/>
      </c>
    </row>
    <row r="234">
      <c r="A234" s="29">
        <f>[1]FİYATLAR!A234</f>
        <v/>
      </c>
      <c r="B234" s="29">
        <f>[1]FİYATLAR!B234</f>
        <v/>
      </c>
      <c r="C234" s="35">
        <f>INT(A234)</f>
        <v/>
      </c>
      <c r="D234" s="36">
        <f>MONTH(A234)</f>
        <v/>
      </c>
      <c r="F234" s="30">
        <f>[1]FİYATLAR!C234</f>
        <v/>
      </c>
      <c r="G234" s="30">
        <f>[1]FİYATLAR!D234</f>
        <v/>
      </c>
      <c r="H234">
        <f>E234*F234</f>
        <v/>
      </c>
      <c r="I234">
        <f>E234*G234</f>
        <v/>
      </c>
    </row>
    <row r="235">
      <c r="A235" s="29">
        <f>[1]FİYATLAR!A235</f>
        <v/>
      </c>
      <c r="B235" s="29">
        <f>[1]FİYATLAR!B235</f>
        <v/>
      </c>
      <c r="C235" s="35">
        <f>INT(A235)</f>
        <v/>
      </c>
      <c r="D235" s="36">
        <f>MONTH(A235)</f>
        <v/>
      </c>
      <c r="F235" s="30">
        <f>[1]FİYATLAR!C235</f>
        <v/>
      </c>
      <c r="G235" s="30">
        <f>[1]FİYATLAR!D235</f>
        <v/>
      </c>
      <c r="H235">
        <f>E235*F235</f>
        <v/>
      </c>
      <c r="I235">
        <f>E235*G235</f>
        <v/>
      </c>
    </row>
    <row r="236">
      <c r="A236" s="29">
        <f>[1]FİYATLAR!A236</f>
        <v/>
      </c>
      <c r="B236" s="29">
        <f>[1]FİYATLAR!B236</f>
        <v/>
      </c>
      <c r="C236" s="35">
        <f>INT(A236)</f>
        <v/>
      </c>
      <c r="D236" s="36">
        <f>MONTH(A236)</f>
        <v/>
      </c>
      <c r="F236" s="30">
        <f>[1]FİYATLAR!C236</f>
        <v/>
      </c>
      <c r="G236" s="30">
        <f>[1]FİYATLAR!D236</f>
        <v/>
      </c>
      <c r="H236">
        <f>E236*F236</f>
        <v/>
      </c>
      <c r="I236">
        <f>E236*G236</f>
        <v/>
      </c>
    </row>
    <row r="237">
      <c r="A237" s="29">
        <f>[1]FİYATLAR!A237</f>
        <v/>
      </c>
      <c r="B237" s="29">
        <f>[1]FİYATLAR!B237</f>
        <v/>
      </c>
      <c r="C237" s="35">
        <f>INT(A237)</f>
        <v/>
      </c>
      <c r="D237" s="36">
        <f>MONTH(A237)</f>
        <v/>
      </c>
      <c r="F237" s="30">
        <f>[1]FİYATLAR!C237</f>
        <v/>
      </c>
      <c r="G237" s="30">
        <f>[1]FİYATLAR!D237</f>
        <v/>
      </c>
      <c r="H237">
        <f>E237*F237</f>
        <v/>
      </c>
      <c r="I237">
        <f>E237*G237</f>
        <v/>
      </c>
    </row>
    <row r="238">
      <c r="A238" s="29">
        <f>[1]FİYATLAR!A238</f>
        <v/>
      </c>
      <c r="B238" s="29">
        <f>[1]FİYATLAR!B238</f>
        <v/>
      </c>
      <c r="C238" s="35">
        <f>INT(A238)</f>
        <v/>
      </c>
      <c r="D238" s="36">
        <f>MONTH(A238)</f>
        <v/>
      </c>
      <c r="F238" s="30">
        <f>[1]FİYATLAR!C238</f>
        <v/>
      </c>
      <c r="G238" s="30">
        <f>[1]FİYATLAR!D238</f>
        <v/>
      </c>
      <c r="H238">
        <f>E238*F238</f>
        <v/>
      </c>
      <c r="I238">
        <f>E238*G238</f>
        <v/>
      </c>
    </row>
    <row r="239">
      <c r="A239" s="29">
        <f>[1]FİYATLAR!A239</f>
        <v/>
      </c>
      <c r="B239" s="29">
        <f>[1]FİYATLAR!B239</f>
        <v/>
      </c>
      <c r="C239" s="35">
        <f>INT(A239)</f>
        <v/>
      </c>
      <c r="D239" s="36">
        <f>MONTH(A239)</f>
        <v/>
      </c>
      <c r="F239" s="30">
        <f>[1]FİYATLAR!C239</f>
        <v/>
      </c>
      <c r="G239" s="30">
        <f>[1]FİYATLAR!D239</f>
        <v/>
      </c>
      <c r="H239">
        <f>E239*F239</f>
        <v/>
      </c>
      <c r="I239">
        <f>E239*G239</f>
        <v/>
      </c>
    </row>
    <row r="240">
      <c r="A240" s="29">
        <f>[1]FİYATLAR!A240</f>
        <v/>
      </c>
      <c r="B240" s="29">
        <f>[1]FİYATLAR!B240</f>
        <v/>
      </c>
      <c r="C240" s="35">
        <f>INT(A240)</f>
        <v/>
      </c>
      <c r="D240" s="36">
        <f>MONTH(A240)</f>
        <v/>
      </c>
      <c r="F240" s="30">
        <f>[1]FİYATLAR!C240</f>
        <v/>
      </c>
      <c r="G240" s="30">
        <f>[1]FİYATLAR!D240</f>
        <v/>
      </c>
      <c r="H240">
        <f>E240*F240</f>
        <v/>
      </c>
      <c r="I240">
        <f>E240*G240</f>
        <v/>
      </c>
    </row>
    <row r="241">
      <c r="A241" s="29">
        <f>[1]FİYATLAR!A241</f>
        <v/>
      </c>
      <c r="B241" s="29">
        <f>[1]FİYATLAR!B241</f>
        <v/>
      </c>
      <c r="C241" s="35">
        <f>INT(A241)</f>
        <v/>
      </c>
      <c r="D241" s="36">
        <f>MONTH(A241)</f>
        <v/>
      </c>
      <c r="F241" s="30">
        <f>[1]FİYATLAR!C241</f>
        <v/>
      </c>
      <c r="G241" s="30">
        <f>[1]FİYATLAR!D241</f>
        <v/>
      </c>
      <c r="H241">
        <f>E241*F241</f>
        <v/>
      </c>
      <c r="I241">
        <f>E241*G241</f>
        <v/>
      </c>
    </row>
    <row r="242">
      <c r="A242" s="29">
        <f>[1]FİYATLAR!A242</f>
        <v/>
      </c>
      <c r="B242" s="29">
        <f>[1]FİYATLAR!B242</f>
        <v/>
      </c>
      <c r="C242" s="35">
        <f>INT(A242)</f>
        <v/>
      </c>
      <c r="D242" s="36">
        <f>MONTH(A242)</f>
        <v/>
      </c>
      <c r="F242" s="30">
        <f>[1]FİYATLAR!C242</f>
        <v/>
      </c>
      <c r="G242" s="30">
        <f>[1]FİYATLAR!D242</f>
        <v/>
      </c>
      <c r="H242">
        <f>E242*F242</f>
        <v/>
      </c>
      <c r="I242">
        <f>E242*G242</f>
        <v/>
      </c>
    </row>
    <row r="243">
      <c r="A243" s="29">
        <f>[1]FİYATLAR!A243</f>
        <v/>
      </c>
      <c r="B243" s="29">
        <f>[1]FİYATLAR!B243</f>
        <v/>
      </c>
      <c r="C243" s="35">
        <f>INT(A243)</f>
        <v/>
      </c>
      <c r="D243" s="36">
        <f>MONTH(A243)</f>
        <v/>
      </c>
      <c r="F243" s="30">
        <f>[1]FİYATLAR!C243</f>
        <v/>
      </c>
      <c r="G243" s="30">
        <f>[1]FİYATLAR!D243</f>
        <v/>
      </c>
      <c r="H243">
        <f>E243*F243</f>
        <v/>
      </c>
      <c r="I243">
        <f>E243*G243</f>
        <v/>
      </c>
    </row>
    <row r="244">
      <c r="A244" s="29">
        <f>[1]FİYATLAR!A244</f>
        <v/>
      </c>
      <c r="B244" s="29">
        <f>[1]FİYATLAR!B244</f>
        <v/>
      </c>
      <c r="C244" s="35">
        <f>INT(A244)</f>
        <v/>
      </c>
      <c r="D244" s="36">
        <f>MONTH(A244)</f>
        <v/>
      </c>
      <c r="F244" s="30">
        <f>[1]FİYATLAR!C244</f>
        <v/>
      </c>
      <c r="G244" s="30">
        <f>[1]FİYATLAR!D244</f>
        <v/>
      </c>
      <c r="H244">
        <f>E244*F244</f>
        <v/>
      </c>
      <c r="I244">
        <f>E244*G244</f>
        <v/>
      </c>
    </row>
    <row r="245">
      <c r="A245" s="29">
        <f>[1]FİYATLAR!A245</f>
        <v/>
      </c>
      <c r="B245" s="29">
        <f>[1]FİYATLAR!B245</f>
        <v/>
      </c>
      <c r="C245" s="35">
        <f>INT(A245)</f>
        <v/>
      </c>
      <c r="D245" s="36">
        <f>MONTH(A245)</f>
        <v/>
      </c>
      <c r="F245" s="30">
        <f>[1]FİYATLAR!C245</f>
        <v/>
      </c>
      <c r="G245" s="30">
        <f>[1]FİYATLAR!D245</f>
        <v/>
      </c>
      <c r="H245">
        <f>E245*F245</f>
        <v/>
      </c>
      <c r="I245">
        <f>E245*G245</f>
        <v/>
      </c>
    </row>
    <row r="246">
      <c r="A246" s="29">
        <f>[1]FİYATLAR!A246</f>
        <v/>
      </c>
      <c r="B246" s="29">
        <f>[1]FİYATLAR!B246</f>
        <v/>
      </c>
      <c r="C246" s="35">
        <f>INT(A246)</f>
        <v/>
      </c>
      <c r="D246" s="36">
        <f>MONTH(A246)</f>
        <v/>
      </c>
      <c r="F246" s="30">
        <f>[1]FİYATLAR!C246</f>
        <v/>
      </c>
      <c r="G246" s="30">
        <f>[1]FİYATLAR!D246</f>
        <v/>
      </c>
      <c r="H246">
        <f>E246*F246</f>
        <v/>
      </c>
      <c r="I246">
        <f>E246*G246</f>
        <v/>
      </c>
    </row>
    <row r="247">
      <c r="A247" s="29">
        <f>[1]FİYATLAR!A247</f>
        <v/>
      </c>
      <c r="B247" s="29">
        <f>[1]FİYATLAR!B247</f>
        <v/>
      </c>
      <c r="C247" s="35">
        <f>INT(A247)</f>
        <v/>
      </c>
      <c r="D247" s="36">
        <f>MONTH(A247)</f>
        <v/>
      </c>
      <c r="F247" s="30">
        <f>[1]FİYATLAR!C247</f>
        <v/>
      </c>
      <c r="G247" s="30">
        <f>[1]FİYATLAR!D247</f>
        <v/>
      </c>
      <c r="H247">
        <f>E247*F247</f>
        <v/>
      </c>
      <c r="I247">
        <f>E247*G247</f>
        <v/>
      </c>
    </row>
    <row r="248">
      <c r="A248" s="29">
        <f>[1]FİYATLAR!A248</f>
        <v/>
      </c>
      <c r="B248" s="29">
        <f>[1]FİYATLAR!B248</f>
        <v/>
      </c>
      <c r="C248" s="35">
        <f>INT(A248)</f>
        <v/>
      </c>
      <c r="D248" s="36">
        <f>MONTH(A248)</f>
        <v/>
      </c>
      <c r="F248" s="30">
        <f>[1]FİYATLAR!C248</f>
        <v/>
      </c>
      <c r="G248" s="30">
        <f>[1]FİYATLAR!D248</f>
        <v/>
      </c>
      <c r="H248">
        <f>E248*F248</f>
        <v/>
      </c>
      <c r="I248">
        <f>E248*G248</f>
        <v/>
      </c>
    </row>
    <row r="249">
      <c r="A249" s="29">
        <f>[1]FİYATLAR!A249</f>
        <v/>
      </c>
      <c r="B249" s="29">
        <f>[1]FİYATLAR!B249</f>
        <v/>
      </c>
      <c r="C249" s="35">
        <f>INT(A249)</f>
        <v/>
      </c>
      <c r="D249" s="36">
        <f>MONTH(A249)</f>
        <v/>
      </c>
      <c r="F249" s="30">
        <f>[1]FİYATLAR!C249</f>
        <v/>
      </c>
      <c r="G249" s="30">
        <f>[1]FİYATLAR!D249</f>
        <v/>
      </c>
      <c r="H249">
        <f>E249*F249</f>
        <v/>
      </c>
      <c r="I249">
        <f>E249*G249</f>
        <v/>
      </c>
    </row>
    <row r="250">
      <c r="A250" s="29">
        <f>[1]FİYATLAR!A250</f>
        <v/>
      </c>
      <c r="B250" s="29">
        <f>[1]FİYATLAR!B250</f>
        <v/>
      </c>
      <c r="C250" s="35">
        <f>INT(A250)</f>
        <v/>
      </c>
      <c r="D250" s="36">
        <f>MONTH(A250)</f>
        <v/>
      </c>
      <c r="F250" s="30">
        <f>[1]FİYATLAR!C250</f>
        <v/>
      </c>
      <c r="G250" s="30">
        <f>[1]FİYATLAR!D250</f>
        <v/>
      </c>
      <c r="H250">
        <f>E250*F250</f>
        <v/>
      </c>
      <c r="I250">
        <f>E250*G250</f>
        <v/>
      </c>
    </row>
    <row r="251">
      <c r="A251" s="29">
        <f>[1]FİYATLAR!A251</f>
        <v/>
      </c>
      <c r="B251" s="29">
        <f>[1]FİYATLAR!B251</f>
        <v/>
      </c>
      <c r="C251" s="35">
        <f>INT(A251)</f>
        <v/>
      </c>
      <c r="D251" s="36">
        <f>MONTH(A251)</f>
        <v/>
      </c>
      <c r="F251" s="30">
        <f>[1]FİYATLAR!C251</f>
        <v/>
      </c>
      <c r="G251" s="30">
        <f>[1]FİYATLAR!D251</f>
        <v/>
      </c>
      <c r="H251">
        <f>E251*F251</f>
        <v/>
      </c>
      <c r="I251">
        <f>E251*G251</f>
        <v/>
      </c>
    </row>
    <row r="252">
      <c r="A252" s="29">
        <f>[1]FİYATLAR!A252</f>
        <v/>
      </c>
      <c r="B252" s="29">
        <f>[1]FİYATLAR!B252</f>
        <v/>
      </c>
      <c r="C252" s="35">
        <f>INT(A252)</f>
        <v/>
      </c>
      <c r="D252" s="36">
        <f>MONTH(A252)</f>
        <v/>
      </c>
      <c r="F252" s="30">
        <f>[1]FİYATLAR!C252</f>
        <v/>
      </c>
      <c r="G252" s="30">
        <f>[1]FİYATLAR!D252</f>
        <v/>
      </c>
      <c r="H252">
        <f>E252*F252</f>
        <v/>
      </c>
      <c r="I252">
        <f>E252*G252</f>
        <v/>
      </c>
    </row>
    <row r="253">
      <c r="A253" s="29">
        <f>[1]FİYATLAR!A253</f>
        <v/>
      </c>
      <c r="B253" s="29">
        <f>[1]FİYATLAR!B253</f>
        <v/>
      </c>
      <c r="C253" s="35">
        <f>INT(A253)</f>
        <v/>
      </c>
      <c r="D253" s="36">
        <f>MONTH(A253)</f>
        <v/>
      </c>
      <c r="F253" s="30">
        <f>[1]FİYATLAR!C253</f>
        <v/>
      </c>
      <c r="G253" s="30">
        <f>[1]FİYATLAR!D253</f>
        <v/>
      </c>
      <c r="H253">
        <f>E253*F253</f>
        <v/>
      </c>
      <c r="I253">
        <f>E253*G253</f>
        <v/>
      </c>
    </row>
    <row r="254">
      <c r="A254" s="29">
        <f>[1]FİYATLAR!A254</f>
        <v/>
      </c>
      <c r="B254" s="29">
        <f>[1]FİYATLAR!B254</f>
        <v/>
      </c>
      <c r="C254" s="35">
        <f>INT(A254)</f>
        <v/>
      </c>
      <c r="D254" s="36">
        <f>MONTH(A254)</f>
        <v/>
      </c>
      <c r="F254" s="30">
        <f>[1]FİYATLAR!C254</f>
        <v/>
      </c>
      <c r="G254" s="30">
        <f>[1]FİYATLAR!D254</f>
        <v/>
      </c>
      <c r="H254">
        <f>E254*F254</f>
        <v/>
      </c>
      <c r="I254">
        <f>E254*G254</f>
        <v/>
      </c>
    </row>
    <row r="255">
      <c r="A255" s="29">
        <f>[1]FİYATLAR!A255</f>
        <v/>
      </c>
      <c r="B255" s="29">
        <f>[1]FİYATLAR!B255</f>
        <v/>
      </c>
      <c r="C255" s="35">
        <f>INT(A255)</f>
        <v/>
      </c>
      <c r="D255" s="36">
        <f>MONTH(A255)</f>
        <v/>
      </c>
      <c r="F255" s="30">
        <f>[1]FİYATLAR!C255</f>
        <v/>
      </c>
      <c r="G255" s="30">
        <f>[1]FİYATLAR!D255</f>
        <v/>
      </c>
      <c r="H255">
        <f>E255*F255</f>
        <v/>
      </c>
      <c r="I255">
        <f>E255*G255</f>
        <v/>
      </c>
    </row>
    <row r="256">
      <c r="A256" s="29">
        <f>[1]FİYATLAR!A256</f>
        <v/>
      </c>
      <c r="B256" s="29">
        <f>[1]FİYATLAR!B256</f>
        <v/>
      </c>
      <c r="C256" s="35">
        <f>INT(A256)</f>
        <v/>
      </c>
      <c r="D256" s="36">
        <f>MONTH(A256)</f>
        <v/>
      </c>
      <c r="F256" s="30">
        <f>[1]FİYATLAR!C256</f>
        <v/>
      </c>
      <c r="G256" s="30">
        <f>[1]FİYATLAR!D256</f>
        <v/>
      </c>
      <c r="H256">
        <f>E256*F256</f>
        <v/>
      </c>
      <c r="I256">
        <f>E256*G256</f>
        <v/>
      </c>
    </row>
    <row r="257">
      <c r="A257" s="29">
        <f>[1]FİYATLAR!A257</f>
        <v/>
      </c>
      <c r="B257" s="29">
        <f>[1]FİYATLAR!B257</f>
        <v/>
      </c>
      <c r="C257" s="35">
        <f>INT(A257)</f>
        <v/>
      </c>
      <c r="D257" s="36">
        <f>MONTH(A257)</f>
        <v/>
      </c>
      <c r="F257" s="30">
        <f>[1]FİYATLAR!C257</f>
        <v/>
      </c>
      <c r="G257" s="30">
        <f>[1]FİYATLAR!D257</f>
        <v/>
      </c>
      <c r="H257">
        <f>E257*F257</f>
        <v/>
      </c>
      <c r="I257">
        <f>E257*G257</f>
        <v/>
      </c>
    </row>
    <row r="258">
      <c r="A258" s="29">
        <f>[1]FİYATLAR!A258</f>
        <v/>
      </c>
      <c r="B258" s="29">
        <f>[1]FİYATLAR!B258</f>
        <v/>
      </c>
      <c r="C258" s="35">
        <f>INT(A258)</f>
        <v/>
      </c>
      <c r="D258" s="36">
        <f>MONTH(A258)</f>
        <v/>
      </c>
      <c r="F258" s="30">
        <f>[1]FİYATLAR!C258</f>
        <v/>
      </c>
      <c r="G258" s="30">
        <f>[1]FİYATLAR!D258</f>
        <v/>
      </c>
      <c r="H258">
        <f>E258*F258</f>
        <v/>
      </c>
      <c r="I258">
        <f>E258*G258</f>
        <v/>
      </c>
    </row>
    <row r="259">
      <c r="A259" s="29">
        <f>[1]FİYATLAR!A259</f>
        <v/>
      </c>
      <c r="B259" s="29">
        <f>[1]FİYATLAR!B259</f>
        <v/>
      </c>
      <c r="C259" s="35">
        <f>INT(A259)</f>
        <v/>
      </c>
      <c r="D259" s="36">
        <f>MONTH(A259)</f>
        <v/>
      </c>
      <c r="F259" s="30">
        <f>[1]FİYATLAR!C259</f>
        <v/>
      </c>
      <c r="G259" s="30">
        <f>[1]FİYATLAR!D259</f>
        <v/>
      </c>
      <c r="H259">
        <f>E259*F259</f>
        <v/>
      </c>
      <c r="I259">
        <f>E259*G259</f>
        <v/>
      </c>
    </row>
    <row r="260">
      <c r="A260" s="29">
        <f>[1]FİYATLAR!A260</f>
        <v/>
      </c>
      <c r="B260" s="29">
        <f>[1]FİYATLAR!B260</f>
        <v/>
      </c>
      <c r="C260" s="35">
        <f>INT(A260)</f>
        <v/>
      </c>
      <c r="D260" s="36">
        <f>MONTH(A260)</f>
        <v/>
      </c>
      <c r="F260" s="30">
        <f>[1]FİYATLAR!C260</f>
        <v/>
      </c>
      <c r="G260" s="30">
        <f>[1]FİYATLAR!D260</f>
        <v/>
      </c>
      <c r="H260">
        <f>E260*F260</f>
        <v/>
      </c>
      <c r="I260">
        <f>E260*G260</f>
        <v/>
      </c>
    </row>
    <row r="261">
      <c r="A261" s="29">
        <f>[1]FİYATLAR!A261</f>
        <v/>
      </c>
      <c r="B261" s="29">
        <f>[1]FİYATLAR!B261</f>
        <v/>
      </c>
      <c r="C261" s="35">
        <f>INT(A261)</f>
        <v/>
      </c>
      <c r="D261" s="36">
        <f>MONTH(A261)</f>
        <v/>
      </c>
      <c r="F261" s="30">
        <f>[1]FİYATLAR!C261</f>
        <v/>
      </c>
      <c r="G261" s="30">
        <f>[1]FİYATLAR!D261</f>
        <v/>
      </c>
      <c r="H261">
        <f>E261*F261</f>
        <v/>
      </c>
      <c r="I261">
        <f>E261*G261</f>
        <v/>
      </c>
    </row>
    <row r="262">
      <c r="A262" s="29">
        <f>[1]FİYATLAR!A262</f>
        <v/>
      </c>
      <c r="B262" s="29">
        <f>[1]FİYATLAR!B262</f>
        <v/>
      </c>
      <c r="C262" s="35">
        <f>INT(A262)</f>
        <v/>
      </c>
      <c r="D262" s="36">
        <f>MONTH(A262)</f>
        <v/>
      </c>
      <c r="F262" s="30">
        <f>[1]FİYATLAR!C262</f>
        <v/>
      </c>
      <c r="G262" s="30">
        <f>[1]FİYATLAR!D262</f>
        <v/>
      </c>
      <c r="H262">
        <f>E262*F262</f>
        <v/>
      </c>
      <c r="I262">
        <f>E262*G262</f>
        <v/>
      </c>
    </row>
    <row r="263">
      <c r="A263" s="29">
        <f>[1]FİYATLAR!A263</f>
        <v/>
      </c>
      <c r="B263" s="29">
        <f>[1]FİYATLAR!B263</f>
        <v/>
      </c>
      <c r="C263" s="35">
        <f>INT(A263)</f>
        <v/>
      </c>
      <c r="D263" s="36">
        <f>MONTH(A263)</f>
        <v/>
      </c>
      <c r="F263" s="30">
        <f>[1]FİYATLAR!C263</f>
        <v/>
      </c>
      <c r="G263" s="30">
        <f>[1]FİYATLAR!D263</f>
        <v/>
      </c>
      <c r="H263">
        <f>E263*F263</f>
        <v/>
      </c>
      <c r="I263">
        <f>E263*G263</f>
        <v/>
      </c>
    </row>
    <row r="264">
      <c r="A264" s="29">
        <f>[1]FİYATLAR!A264</f>
        <v/>
      </c>
      <c r="B264" s="29">
        <f>[1]FİYATLAR!B264</f>
        <v/>
      </c>
      <c r="C264" s="35">
        <f>INT(A264)</f>
        <v/>
      </c>
      <c r="D264" s="36">
        <f>MONTH(A264)</f>
        <v/>
      </c>
      <c r="F264" s="30">
        <f>[1]FİYATLAR!C264</f>
        <v/>
      </c>
      <c r="G264" s="30">
        <f>[1]FİYATLAR!D264</f>
        <v/>
      </c>
      <c r="H264">
        <f>E264*F264</f>
        <v/>
      </c>
      <c r="I264">
        <f>E264*G264</f>
        <v/>
      </c>
    </row>
    <row r="265">
      <c r="A265" s="29">
        <f>[1]FİYATLAR!A265</f>
        <v/>
      </c>
      <c r="B265" s="29">
        <f>[1]FİYATLAR!B265</f>
        <v/>
      </c>
      <c r="C265" s="35">
        <f>INT(A265)</f>
        <v/>
      </c>
      <c r="D265" s="36">
        <f>MONTH(A265)</f>
        <v/>
      </c>
      <c r="F265" s="30">
        <f>[1]FİYATLAR!C265</f>
        <v/>
      </c>
      <c r="G265" s="30">
        <f>[1]FİYATLAR!D265</f>
        <v/>
      </c>
      <c r="H265">
        <f>E265*F265</f>
        <v/>
      </c>
      <c r="I265">
        <f>E265*G265</f>
        <v/>
      </c>
    </row>
    <row r="266">
      <c r="A266" s="29">
        <f>[1]FİYATLAR!A266</f>
        <v/>
      </c>
      <c r="B266" s="29">
        <f>[1]FİYATLAR!B266</f>
        <v/>
      </c>
      <c r="C266" s="35">
        <f>INT(A266)</f>
        <v/>
      </c>
      <c r="D266" s="36">
        <f>MONTH(A266)</f>
        <v/>
      </c>
      <c r="F266" s="30">
        <f>[1]FİYATLAR!C266</f>
        <v/>
      </c>
      <c r="G266" s="30">
        <f>[1]FİYATLAR!D266</f>
        <v/>
      </c>
      <c r="H266">
        <f>E266*F266</f>
        <v/>
      </c>
      <c r="I266">
        <f>E266*G266</f>
        <v/>
      </c>
    </row>
    <row r="267">
      <c r="A267" s="29">
        <f>[1]FİYATLAR!A267</f>
        <v/>
      </c>
      <c r="B267" s="29">
        <f>[1]FİYATLAR!B267</f>
        <v/>
      </c>
      <c r="C267" s="35">
        <f>INT(A267)</f>
        <v/>
      </c>
      <c r="D267" s="36">
        <f>MONTH(A267)</f>
        <v/>
      </c>
      <c r="F267" s="30">
        <f>[1]FİYATLAR!C267</f>
        <v/>
      </c>
      <c r="G267" s="30">
        <f>[1]FİYATLAR!D267</f>
        <v/>
      </c>
      <c r="H267">
        <f>E267*F267</f>
        <v/>
      </c>
      <c r="I267">
        <f>E267*G267</f>
        <v/>
      </c>
    </row>
    <row r="268">
      <c r="A268" s="29">
        <f>[1]FİYATLAR!A268</f>
        <v/>
      </c>
      <c r="B268" s="29">
        <f>[1]FİYATLAR!B268</f>
        <v/>
      </c>
      <c r="C268" s="35">
        <f>INT(A268)</f>
        <v/>
      </c>
      <c r="D268" s="36">
        <f>MONTH(A268)</f>
        <v/>
      </c>
      <c r="F268" s="30">
        <f>[1]FİYATLAR!C268</f>
        <v/>
      </c>
      <c r="G268" s="30">
        <f>[1]FİYATLAR!D268</f>
        <v/>
      </c>
      <c r="H268">
        <f>E268*F268</f>
        <v/>
      </c>
      <c r="I268">
        <f>E268*G268</f>
        <v/>
      </c>
    </row>
    <row r="269">
      <c r="A269" s="29">
        <f>[1]FİYATLAR!A269</f>
        <v/>
      </c>
      <c r="B269" s="29">
        <f>[1]FİYATLAR!B269</f>
        <v/>
      </c>
      <c r="C269" s="35">
        <f>INT(A269)</f>
        <v/>
      </c>
      <c r="D269" s="36">
        <f>MONTH(A269)</f>
        <v/>
      </c>
      <c r="F269" s="30">
        <f>[1]FİYATLAR!C269</f>
        <v/>
      </c>
      <c r="G269" s="30">
        <f>[1]FİYATLAR!D269</f>
        <v/>
      </c>
      <c r="H269">
        <f>E269*F269</f>
        <v/>
      </c>
      <c r="I269">
        <f>E269*G269</f>
        <v/>
      </c>
    </row>
    <row r="270">
      <c r="A270" s="29">
        <f>[1]FİYATLAR!A270</f>
        <v/>
      </c>
      <c r="B270" s="29">
        <f>[1]FİYATLAR!B270</f>
        <v/>
      </c>
      <c r="C270" s="35">
        <f>INT(A270)</f>
        <v/>
      </c>
      <c r="D270" s="36">
        <f>MONTH(A270)</f>
        <v/>
      </c>
      <c r="F270" s="30">
        <f>[1]FİYATLAR!C270</f>
        <v/>
      </c>
      <c r="G270" s="30">
        <f>[1]FİYATLAR!D270</f>
        <v/>
      </c>
      <c r="H270">
        <f>E270*F270</f>
        <v/>
      </c>
      <c r="I270">
        <f>E270*G270</f>
        <v/>
      </c>
    </row>
    <row r="271">
      <c r="A271" s="29">
        <f>[1]FİYATLAR!A271</f>
        <v/>
      </c>
      <c r="B271" s="29">
        <f>[1]FİYATLAR!B271</f>
        <v/>
      </c>
      <c r="C271" s="35">
        <f>INT(A271)</f>
        <v/>
      </c>
      <c r="D271" s="36">
        <f>MONTH(A271)</f>
        <v/>
      </c>
      <c r="F271" s="30">
        <f>[1]FİYATLAR!C271</f>
        <v/>
      </c>
      <c r="G271" s="30">
        <f>[1]FİYATLAR!D271</f>
        <v/>
      </c>
      <c r="H271">
        <f>E271*F271</f>
        <v/>
      </c>
      <c r="I271">
        <f>E271*G271</f>
        <v/>
      </c>
    </row>
    <row r="272">
      <c r="A272" s="29">
        <f>[1]FİYATLAR!A272</f>
        <v/>
      </c>
      <c r="B272" s="29">
        <f>[1]FİYATLAR!B272</f>
        <v/>
      </c>
      <c r="C272" s="35">
        <f>INT(A272)</f>
        <v/>
      </c>
      <c r="D272" s="36">
        <f>MONTH(A272)</f>
        <v/>
      </c>
      <c r="F272" s="30">
        <f>[1]FİYATLAR!C272</f>
        <v/>
      </c>
      <c r="G272" s="30">
        <f>[1]FİYATLAR!D272</f>
        <v/>
      </c>
      <c r="H272">
        <f>E272*F272</f>
        <v/>
      </c>
      <c r="I272">
        <f>E272*G272</f>
        <v/>
      </c>
    </row>
    <row r="273">
      <c r="A273" s="29">
        <f>[1]FİYATLAR!A273</f>
        <v/>
      </c>
      <c r="B273" s="29">
        <f>[1]FİYATLAR!B273</f>
        <v/>
      </c>
      <c r="C273" s="35">
        <f>INT(A273)</f>
        <v/>
      </c>
      <c r="D273" s="36">
        <f>MONTH(A273)</f>
        <v/>
      </c>
      <c r="F273" s="30">
        <f>[1]FİYATLAR!C273</f>
        <v/>
      </c>
      <c r="G273" s="30">
        <f>[1]FİYATLAR!D273</f>
        <v/>
      </c>
      <c r="H273">
        <f>E273*F273</f>
        <v/>
      </c>
      <c r="I273">
        <f>E273*G273</f>
        <v/>
      </c>
    </row>
    <row r="274">
      <c r="A274" s="29">
        <f>[1]FİYATLAR!A274</f>
        <v/>
      </c>
      <c r="B274" s="29">
        <f>[1]FİYATLAR!B274</f>
        <v/>
      </c>
      <c r="C274" s="35">
        <f>INT(A274)</f>
        <v/>
      </c>
      <c r="D274" s="36">
        <f>MONTH(A274)</f>
        <v/>
      </c>
      <c r="F274" s="30">
        <f>[1]FİYATLAR!C274</f>
        <v/>
      </c>
      <c r="G274" s="30">
        <f>[1]FİYATLAR!D274</f>
        <v/>
      </c>
      <c r="H274">
        <f>E274*F274</f>
        <v/>
      </c>
      <c r="I274">
        <f>E274*G274</f>
        <v/>
      </c>
    </row>
    <row r="275">
      <c r="A275" s="29">
        <f>[1]FİYATLAR!A275</f>
        <v/>
      </c>
      <c r="B275" s="29">
        <f>[1]FİYATLAR!B275</f>
        <v/>
      </c>
      <c r="C275" s="35">
        <f>INT(A275)</f>
        <v/>
      </c>
      <c r="D275" s="36">
        <f>MONTH(A275)</f>
        <v/>
      </c>
      <c r="F275" s="30">
        <f>[1]FİYATLAR!C275</f>
        <v/>
      </c>
      <c r="G275" s="30">
        <f>[1]FİYATLAR!D275</f>
        <v/>
      </c>
      <c r="H275">
        <f>E275*F275</f>
        <v/>
      </c>
      <c r="I275">
        <f>E275*G275</f>
        <v/>
      </c>
    </row>
    <row r="276">
      <c r="A276" s="29">
        <f>[1]FİYATLAR!A276</f>
        <v/>
      </c>
      <c r="B276" s="29">
        <f>[1]FİYATLAR!B276</f>
        <v/>
      </c>
      <c r="C276" s="35">
        <f>INT(A276)</f>
        <v/>
      </c>
      <c r="D276" s="36">
        <f>MONTH(A276)</f>
        <v/>
      </c>
      <c r="F276" s="30">
        <f>[1]FİYATLAR!C276</f>
        <v/>
      </c>
      <c r="G276" s="30">
        <f>[1]FİYATLAR!D276</f>
        <v/>
      </c>
      <c r="H276">
        <f>E276*F276</f>
        <v/>
      </c>
      <c r="I276">
        <f>E276*G276</f>
        <v/>
      </c>
    </row>
    <row r="277">
      <c r="A277" s="29">
        <f>[1]FİYATLAR!A277</f>
        <v/>
      </c>
      <c r="B277" s="29">
        <f>[1]FİYATLAR!B277</f>
        <v/>
      </c>
      <c r="C277" s="35">
        <f>INT(A277)</f>
        <v/>
      </c>
      <c r="D277" s="36">
        <f>MONTH(A277)</f>
        <v/>
      </c>
      <c r="F277" s="30">
        <f>[1]FİYATLAR!C277</f>
        <v/>
      </c>
      <c r="G277" s="30">
        <f>[1]FİYATLAR!D277</f>
        <v/>
      </c>
      <c r="H277">
        <f>E277*F277</f>
        <v/>
      </c>
      <c r="I277">
        <f>E277*G277</f>
        <v/>
      </c>
    </row>
    <row r="278">
      <c r="A278" s="29">
        <f>[1]FİYATLAR!A278</f>
        <v/>
      </c>
      <c r="B278" s="29">
        <f>[1]FİYATLAR!B278</f>
        <v/>
      </c>
      <c r="C278" s="35">
        <f>INT(A278)</f>
        <v/>
      </c>
      <c r="D278" s="36">
        <f>MONTH(A278)</f>
        <v/>
      </c>
      <c r="F278" s="30">
        <f>[1]FİYATLAR!C278</f>
        <v/>
      </c>
      <c r="G278" s="30">
        <f>[1]FİYATLAR!D278</f>
        <v/>
      </c>
      <c r="H278">
        <f>E278*F278</f>
        <v/>
      </c>
      <c r="I278">
        <f>E278*G278</f>
        <v/>
      </c>
    </row>
    <row r="279">
      <c r="A279" s="29">
        <f>[1]FİYATLAR!A279</f>
        <v/>
      </c>
      <c r="B279" s="29">
        <f>[1]FİYATLAR!B279</f>
        <v/>
      </c>
      <c r="C279" s="35">
        <f>INT(A279)</f>
        <v/>
      </c>
      <c r="D279" s="36">
        <f>MONTH(A279)</f>
        <v/>
      </c>
      <c r="F279" s="30">
        <f>[1]FİYATLAR!C279</f>
        <v/>
      </c>
      <c r="G279" s="30">
        <f>[1]FİYATLAR!D279</f>
        <v/>
      </c>
      <c r="H279">
        <f>E279*F279</f>
        <v/>
      </c>
      <c r="I279">
        <f>E279*G279</f>
        <v/>
      </c>
    </row>
    <row r="280">
      <c r="A280" s="29">
        <f>[1]FİYATLAR!A280</f>
        <v/>
      </c>
      <c r="B280" s="29">
        <f>[1]FİYATLAR!B280</f>
        <v/>
      </c>
      <c r="C280" s="35">
        <f>INT(A280)</f>
        <v/>
      </c>
      <c r="D280" s="36">
        <f>MONTH(A280)</f>
        <v/>
      </c>
      <c r="F280" s="30">
        <f>[1]FİYATLAR!C280</f>
        <v/>
      </c>
      <c r="G280" s="30">
        <f>[1]FİYATLAR!D280</f>
        <v/>
      </c>
      <c r="H280">
        <f>E280*F280</f>
        <v/>
      </c>
      <c r="I280">
        <f>E280*G280</f>
        <v/>
      </c>
    </row>
    <row r="281">
      <c r="A281" s="29">
        <f>[1]FİYATLAR!A281</f>
        <v/>
      </c>
      <c r="B281" s="29">
        <f>[1]FİYATLAR!B281</f>
        <v/>
      </c>
      <c r="C281" s="35">
        <f>INT(A281)</f>
        <v/>
      </c>
      <c r="D281" s="36">
        <f>MONTH(A281)</f>
        <v/>
      </c>
      <c r="F281" s="30">
        <f>[1]FİYATLAR!C281</f>
        <v/>
      </c>
      <c r="G281" s="30">
        <f>[1]FİYATLAR!D281</f>
        <v/>
      </c>
      <c r="H281">
        <f>E281*F281</f>
        <v/>
      </c>
      <c r="I281">
        <f>E281*G281</f>
        <v/>
      </c>
    </row>
    <row r="282">
      <c r="A282" s="29">
        <f>[1]FİYATLAR!A282</f>
        <v/>
      </c>
      <c r="B282" s="29">
        <f>[1]FİYATLAR!B282</f>
        <v/>
      </c>
      <c r="C282" s="35">
        <f>INT(A282)</f>
        <v/>
      </c>
      <c r="D282" s="36">
        <f>MONTH(A282)</f>
        <v/>
      </c>
      <c r="F282" s="30">
        <f>[1]FİYATLAR!C282</f>
        <v/>
      </c>
      <c r="G282" s="30">
        <f>[1]FİYATLAR!D282</f>
        <v/>
      </c>
      <c r="H282">
        <f>E282*F282</f>
        <v/>
      </c>
      <c r="I282">
        <f>E282*G282</f>
        <v/>
      </c>
    </row>
    <row r="283">
      <c r="A283" s="29">
        <f>[1]FİYATLAR!A283</f>
        <v/>
      </c>
      <c r="B283" s="29">
        <f>[1]FİYATLAR!B283</f>
        <v/>
      </c>
      <c r="C283" s="35">
        <f>INT(A283)</f>
        <v/>
      </c>
      <c r="D283" s="36">
        <f>MONTH(A283)</f>
        <v/>
      </c>
      <c r="F283" s="30">
        <f>[1]FİYATLAR!C283</f>
        <v/>
      </c>
      <c r="G283" s="30">
        <f>[1]FİYATLAR!D283</f>
        <v/>
      </c>
      <c r="H283">
        <f>E283*F283</f>
        <v/>
      </c>
      <c r="I283">
        <f>E283*G283</f>
        <v/>
      </c>
    </row>
    <row r="284">
      <c r="A284" s="29">
        <f>[1]FİYATLAR!A284</f>
        <v/>
      </c>
      <c r="B284" s="29">
        <f>[1]FİYATLAR!B284</f>
        <v/>
      </c>
      <c r="C284" s="35">
        <f>INT(A284)</f>
        <v/>
      </c>
      <c r="D284" s="36">
        <f>MONTH(A284)</f>
        <v/>
      </c>
      <c r="F284" s="30">
        <f>[1]FİYATLAR!C284</f>
        <v/>
      </c>
      <c r="G284" s="30">
        <f>[1]FİYATLAR!D284</f>
        <v/>
      </c>
      <c r="H284">
        <f>E284*F284</f>
        <v/>
      </c>
      <c r="I284">
        <f>E284*G284</f>
        <v/>
      </c>
    </row>
    <row r="285">
      <c r="A285" s="29">
        <f>[1]FİYATLAR!A285</f>
        <v/>
      </c>
      <c r="B285" s="29">
        <f>[1]FİYATLAR!B285</f>
        <v/>
      </c>
      <c r="C285" s="35">
        <f>INT(A285)</f>
        <v/>
      </c>
      <c r="D285" s="36">
        <f>MONTH(A285)</f>
        <v/>
      </c>
      <c r="F285" s="30">
        <f>[1]FİYATLAR!C285</f>
        <v/>
      </c>
      <c r="G285" s="30">
        <f>[1]FİYATLAR!D285</f>
        <v/>
      </c>
      <c r="H285">
        <f>E285*F285</f>
        <v/>
      </c>
      <c r="I285">
        <f>E285*G285</f>
        <v/>
      </c>
    </row>
    <row r="286">
      <c r="A286" s="29">
        <f>[1]FİYATLAR!A286</f>
        <v/>
      </c>
      <c r="B286" s="29">
        <f>[1]FİYATLAR!B286</f>
        <v/>
      </c>
      <c r="C286" s="35">
        <f>INT(A286)</f>
        <v/>
      </c>
      <c r="D286" s="36">
        <f>MONTH(A286)</f>
        <v/>
      </c>
      <c r="F286" s="30">
        <f>[1]FİYATLAR!C286</f>
        <v/>
      </c>
      <c r="G286" s="30">
        <f>[1]FİYATLAR!D286</f>
        <v/>
      </c>
      <c r="H286">
        <f>E286*F286</f>
        <v/>
      </c>
      <c r="I286">
        <f>E286*G286</f>
        <v/>
      </c>
    </row>
    <row r="287">
      <c r="A287" s="29">
        <f>[1]FİYATLAR!A287</f>
        <v/>
      </c>
      <c r="B287" s="29">
        <f>[1]FİYATLAR!B287</f>
        <v/>
      </c>
      <c r="C287" s="35">
        <f>INT(A287)</f>
        <v/>
      </c>
      <c r="D287" s="36">
        <f>MONTH(A287)</f>
        <v/>
      </c>
      <c r="F287" s="30">
        <f>[1]FİYATLAR!C287</f>
        <v/>
      </c>
      <c r="G287" s="30">
        <f>[1]FİYATLAR!D287</f>
        <v/>
      </c>
      <c r="H287">
        <f>E287*F287</f>
        <v/>
      </c>
      <c r="I287">
        <f>E287*G287</f>
        <v/>
      </c>
    </row>
    <row r="288">
      <c r="A288" s="29">
        <f>[1]FİYATLAR!A288</f>
        <v/>
      </c>
      <c r="B288" s="29">
        <f>[1]FİYATLAR!B288</f>
        <v/>
      </c>
      <c r="C288" s="35">
        <f>INT(A288)</f>
        <v/>
      </c>
      <c r="D288" s="36">
        <f>MONTH(A288)</f>
        <v/>
      </c>
      <c r="F288" s="30">
        <f>[1]FİYATLAR!C288</f>
        <v/>
      </c>
      <c r="G288" s="30">
        <f>[1]FİYATLAR!D288</f>
        <v/>
      </c>
      <c r="H288">
        <f>E288*F288</f>
        <v/>
      </c>
      <c r="I288">
        <f>E288*G288</f>
        <v/>
      </c>
    </row>
    <row r="289">
      <c r="A289" s="29">
        <f>[1]FİYATLAR!A289</f>
        <v/>
      </c>
      <c r="B289" s="29">
        <f>[1]FİYATLAR!B289</f>
        <v/>
      </c>
      <c r="C289" s="35">
        <f>INT(A289)</f>
        <v/>
      </c>
      <c r="D289" s="36">
        <f>MONTH(A289)</f>
        <v/>
      </c>
      <c r="F289" s="30">
        <f>[1]FİYATLAR!C289</f>
        <v/>
      </c>
      <c r="G289" s="30">
        <f>[1]FİYATLAR!D289</f>
        <v/>
      </c>
      <c r="H289">
        <f>E289*F289</f>
        <v/>
      </c>
      <c r="I289">
        <f>E289*G289</f>
        <v/>
      </c>
    </row>
    <row r="290">
      <c r="A290" s="29">
        <f>[1]FİYATLAR!A290</f>
        <v/>
      </c>
      <c r="B290" s="29">
        <f>[1]FİYATLAR!B290</f>
        <v/>
      </c>
      <c r="C290" s="35">
        <f>INT(A290)</f>
        <v/>
      </c>
      <c r="D290" s="36">
        <f>MONTH(A290)</f>
        <v/>
      </c>
      <c r="F290" s="30">
        <f>[1]FİYATLAR!C290</f>
        <v/>
      </c>
      <c r="G290" s="30">
        <f>[1]FİYATLAR!D290</f>
        <v/>
      </c>
      <c r="H290">
        <f>E290*F290</f>
        <v/>
      </c>
      <c r="I290">
        <f>E290*G290</f>
        <v/>
      </c>
    </row>
    <row r="291">
      <c r="A291" s="29">
        <f>[1]FİYATLAR!A291</f>
        <v/>
      </c>
      <c r="B291" s="29">
        <f>[1]FİYATLAR!B291</f>
        <v/>
      </c>
      <c r="C291" s="35">
        <f>INT(A291)</f>
        <v/>
      </c>
      <c r="D291" s="36">
        <f>MONTH(A291)</f>
        <v/>
      </c>
      <c r="F291" s="30">
        <f>[1]FİYATLAR!C291</f>
        <v/>
      </c>
      <c r="G291" s="30">
        <f>[1]FİYATLAR!D291</f>
        <v/>
      </c>
      <c r="H291">
        <f>E291*F291</f>
        <v/>
      </c>
      <c r="I291">
        <f>E291*G291</f>
        <v/>
      </c>
    </row>
    <row r="292">
      <c r="A292" s="29">
        <f>[1]FİYATLAR!A292</f>
        <v/>
      </c>
      <c r="B292" s="29">
        <f>[1]FİYATLAR!B292</f>
        <v/>
      </c>
      <c r="C292" s="35">
        <f>INT(A292)</f>
        <v/>
      </c>
      <c r="D292" s="36">
        <f>MONTH(A292)</f>
        <v/>
      </c>
      <c r="F292" s="30">
        <f>[1]FİYATLAR!C292</f>
        <v/>
      </c>
      <c r="G292" s="30">
        <f>[1]FİYATLAR!D292</f>
        <v/>
      </c>
      <c r="H292">
        <f>E292*F292</f>
        <v/>
      </c>
      <c r="I292">
        <f>E292*G292</f>
        <v/>
      </c>
    </row>
    <row r="293">
      <c r="A293" s="29">
        <f>[1]FİYATLAR!A293</f>
        <v/>
      </c>
      <c r="B293" s="29">
        <f>[1]FİYATLAR!B293</f>
        <v/>
      </c>
      <c r="C293" s="35">
        <f>INT(A293)</f>
        <v/>
      </c>
      <c r="D293" s="36">
        <f>MONTH(A293)</f>
        <v/>
      </c>
      <c r="F293" s="30">
        <f>[1]FİYATLAR!C293</f>
        <v/>
      </c>
      <c r="G293" s="30">
        <f>[1]FİYATLAR!D293</f>
        <v/>
      </c>
      <c r="H293">
        <f>E293*F293</f>
        <v/>
      </c>
      <c r="I293">
        <f>E293*G293</f>
        <v/>
      </c>
    </row>
    <row r="294">
      <c r="A294" s="29">
        <f>[1]FİYATLAR!A294</f>
        <v/>
      </c>
      <c r="B294" s="29">
        <f>[1]FİYATLAR!B294</f>
        <v/>
      </c>
      <c r="C294" s="35">
        <f>INT(A294)</f>
        <v/>
      </c>
      <c r="D294" s="36">
        <f>MONTH(A294)</f>
        <v/>
      </c>
      <c r="F294" s="30">
        <f>[1]FİYATLAR!C294</f>
        <v/>
      </c>
      <c r="G294" s="30">
        <f>[1]FİYATLAR!D294</f>
        <v/>
      </c>
      <c r="H294">
        <f>E294*F294</f>
        <v/>
      </c>
      <c r="I294">
        <f>E294*G294</f>
        <v/>
      </c>
    </row>
    <row r="295">
      <c r="A295" s="29">
        <f>[1]FİYATLAR!A295</f>
        <v/>
      </c>
      <c r="B295" s="29">
        <f>[1]FİYATLAR!B295</f>
        <v/>
      </c>
      <c r="C295" s="35">
        <f>INT(A295)</f>
        <v/>
      </c>
      <c r="D295" s="36">
        <f>MONTH(A295)</f>
        <v/>
      </c>
      <c r="F295" s="30">
        <f>[1]FİYATLAR!C295</f>
        <v/>
      </c>
      <c r="G295" s="30">
        <f>[1]FİYATLAR!D295</f>
        <v/>
      </c>
      <c r="H295">
        <f>E295*F295</f>
        <v/>
      </c>
      <c r="I295">
        <f>E295*G295</f>
        <v/>
      </c>
    </row>
    <row r="296">
      <c r="A296" s="29">
        <f>[1]FİYATLAR!A296</f>
        <v/>
      </c>
      <c r="B296" s="29">
        <f>[1]FİYATLAR!B296</f>
        <v/>
      </c>
      <c r="C296" s="35">
        <f>INT(A296)</f>
        <v/>
      </c>
      <c r="D296" s="36">
        <f>MONTH(A296)</f>
        <v/>
      </c>
      <c r="F296" s="30">
        <f>[1]FİYATLAR!C296</f>
        <v/>
      </c>
      <c r="G296" s="30">
        <f>[1]FİYATLAR!D296</f>
        <v/>
      </c>
      <c r="H296">
        <f>E296*F296</f>
        <v/>
      </c>
      <c r="I296">
        <f>E296*G296</f>
        <v/>
      </c>
    </row>
    <row r="297">
      <c r="A297" s="29">
        <f>[1]FİYATLAR!A297</f>
        <v/>
      </c>
      <c r="B297" s="29">
        <f>[1]FİYATLAR!B297</f>
        <v/>
      </c>
      <c r="C297" s="35">
        <f>INT(A297)</f>
        <v/>
      </c>
      <c r="D297" s="36">
        <f>MONTH(A297)</f>
        <v/>
      </c>
      <c r="F297" s="30">
        <f>[1]FİYATLAR!C297</f>
        <v/>
      </c>
      <c r="G297" s="30">
        <f>[1]FİYATLAR!D297</f>
        <v/>
      </c>
      <c r="H297">
        <f>E297*F297</f>
        <v/>
      </c>
      <c r="I297">
        <f>E297*G297</f>
        <v/>
      </c>
    </row>
    <row r="298">
      <c r="A298" s="29">
        <f>[1]FİYATLAR!A298</f>
        <v/>
      </c>
      <c r="B298" s="29">
        <f>[1]FİYATLAR!B298</f>
        <v/>
      </c>
      <c r="C298" s="35">
        <f>INT(A298)</f>
        <v/>
      </c>
      <c r="D298" s="36">
        <f>MONTH(A298)</f>
        <v/>
      </c>
      <c r="F298" s="30">
        <f>[1]FİYATLAR!C298</f>
        <v/>
      </c>
      <c r="G298" s="30">
        <f>[1]FİYATLAR!D298</f>
        <v/>
      </c>
      <c r="H298">
        <f>E298*F298</f>
        <v/>
      </c>
      <c r="I298">
        <f>E298*G298</f>
        <v/>
      </c>
    </row>
    <row r="299">
      <c r="A299" s="29">
        <f>[1]FİYATLAR!A299</f>
        <v/>
      </c>
      <c r="B299" s="29">
        <f>[1]FİYATLAR!B299</f>
        <v/>
      </c>
      <c r="C299" s="35">
        <f>INT(A299)</f>
        <v/>
      </c>
      <c r="D299" s="36">
        <f>MONTH(A299)</f>
        <v/>
      </c>
      <c r="F299" s="30">
        <f>[1]FİYATLAR!C299</f>
        <v/>
      </c>
      <c r="G299" s="30">
        <f>[1]FİYATLAR!D299</f>
        <v/>
      </c>
      <c r="H299">
        <f>E299*F299</f>
        <v/>
      </c>
      <c r="I299">
        <f>E299*G299</f>
        <v/>
      </c>
    </row>
    <row r="300">
      <c r="A300" s="29">
        <f>[1]FİYATLAR!A300</f>
        <v/>
      </c>
      <c r="B300" s="29">
        <f>[1]FİYATLAR!B300</f>
        <v/>
      </c>
      <c r="C300" s="35">
        <f>INT(A300)</f>
        <v/>
      </c>
      <c r="D300" s="36">
        <f>MONTH(A300)</f>
        <v/>
      </c>
      <c r="F300" s="30">
        <f>[1]FİYATLAR!C300</f>
        <v/>
      </c>
      <c r="G300" s="30">
        <f>[1]FİYATLAR!D300</f>
        <v/>
      </c>
      <c r="H300">
        <f>E300*F300</f>
        <v/>
      </c>
      <c r="I300">
        <f>E300*G300</f>
        <v/>
      </c>
    </row>
    <row r="301">
      <c r="A301" s="29">
        <f>[1]FİYATLAR!A301</f>
        <v/>
      </c>
      <c r="B301" s="29">
        <f>[1]FİYATLAR!B301</f>
        <v/>
      </c>
      <c r="C301" s="35">
        <f>INT(A301)</f>
        <v/>
      </c>
      <c r="D301" s="36">
        <f>MONTH(A301)</f>
        <v/>
      </c>
      <c r="F301" s="30">
        <f>[1]FİYATLAR!C301</f>
        <v/>
      </c>
      <c r="G301" s="30">
        <f>[1]FİYATLAR!D301</f>
        <v/>
      </c>
      <c r="H301">
        <f>E301*F301</f>
        <v/>
      </c>
      <c r="I301">
        <f>E301*G301</f>
        <v/>
      </c>
    </row>
    <row r="302">
      <c r="A302" s="29">
        <f>[1]FİYATLAR!A302</f>
        <v/>
      </c>
      <c r="B302" s="29">
        <f>[1]FİYATLAR!B302</f>
        <v/>
      </c>
      <c r="C302" s="35">
        <f>INT(A302)</f>
        <v/>
      </c>
      <c r="D302" s="36">
        <f>MONTH(A302)</f>
        <v/>
      </c>
      <c r="F302" s="30">
        <f>[1]FİYATLAR!C302</f>
        <v/>
      </c>
      <c r="G302" s="30">
        <f>[1]FİYATLAR!D302</f>
        <v/>
      </c>
      <c r="H302">
        <f>E302*F302</f>
        <v/>
      </c>
      <c r="I302">
        <f>E302*G302</f>
        <v/>
      </c>
    </row>
    <row r="303">
      <c r="A303" s="29">
        <f>[1]FİYATLAR!A303</f>
        <v/>
      </c>
      <c r="B303" s="29">
        <f>[1]FİYATLAR!B303</f>
        <v/>
      </c>
      <c r="C303" s="35">
        <f>INT(A303)</f>
        <v/>
      </c>
      <c r="D303" s="36">
        <f>MONTH(A303)</f>
        <v/>
      </c>
      <c r="F303" s="30">
        <f>[1]FİYATLAR!C303</f>
        <v/>
      </c>
      <c r="G303" s="30">
        <f>[1]FİYATLAR!D303</f>
        <v/>
      </c>
      <c r="H303">
        <f>E303*F303</f>
        <v/>
      </c>
      <c r="I303">
        <f>E303*G303</f>
        <v/>
      </c>
    </row>
    <row r="304">
      <c r="A304" s="29">
        <f>[1]FİYATLAR!A304</f>
        <v/>
      </c>
      <c r="B304" s="29">
        <f>[1]FİYATLAR!B304</f>
        <v/>
      </c>
      <c r="C304" s="35">
        <f>INT(A304)</f>
        <v/>
      </c>
      <c r="D304" s="36">
        <f>MONTH(A304)</f>
        <v/>
      </c>
      <c r="F304" s="30">
        <f>[1]FİYATLAR!C304</f>
        <v/>
      </c>
      <c r="G304" s="30">
        <f>[1]FİYATLAR!D304</f>
        <v/>
      </c>
      <c r="H304">
        <f>E304*F304</f>
        <v/>
      </c>
      <c r="I304">
        <f>E304*G304</f>
        <v/>
      </c>
    </row>
    <row r="305">
      <c r="A305" s="29">
        <f>[1]FİYATLAR!A305</f>
        <v/>
      </c>
      <c r="B305" s="29">
        <f>[1]FİYATLAR!B305</f>
        <v/>
      </c>
      <c r="C305" s="35">
        <f>INT(A305)</f>
        <v/>
      </c>
      <c r="D305" s="36">
        <f>MONTH(A305)</f>
        <v/>
      </c>
      <c r="F305" s="30">
        <f>[1]FİYATLAR!C305</f>
        <v/>
      </c>
      <c r="G305" s="30">
        <f>[1]FİYATLAR!D305</f>
        <v/>
      </c>
      <c r="H305">
        <f>E305*F305</f>
        <v/>
      </c>
      <c r="I305">
        <f>E305*G305</f>
        <v/>
      </c>
    </row>
    <row r="306">
      <c r="A306" s="29">
        <f>[1]FİYATLAR!A306</f>
        <v/>
      </c>
      <c r="B306" s="29">
        <f>[1]FİYATLAR!B306</f>
        <v/>
      </c>
      <c r="C306" s="35">
        <f>INT(A306)</f>
        <v/>
      </c>
      <c r="D306" s="36">
        <f>MONTH(A306)</f>
        <v/>
      </c>
      <c r="F306" s="30">
        <f>[1]FİYATLAR!C306</f>
        <v/>
      </c>
      <c r="G306" s="30">
        <f>[1]FİYATLAR!D306</f>
        <v/>
      </c>
      <c r="H306">
        <f>E306*F306</f>
        <v/>
      </c>
      <c r="I306">
        <f>E306*G306</f>
        <v/>
      </c>
    </row>
    <row r="307">
      <c r="A307" s="29">
        <f>[1]FİYATLAR!A307</f>
        <v/>
      </c>
      <c r="B307" s="29">
        <f>[1]FİYATLAR!B307</f>
        <v/>
      </c>
      <c r="C307" s="35">
        <f>INT(A307)</f>
        <v/>
      </c>
      <c r="D307" s="36">
        <f>MONTH(A307)</f>
        <v/>
      </c>
      <c r="F307" s="30">
        <f>[1]FİYATLAR!C307</f>
        <v/>
      </c>
      <c r="G307" s="30">
        <f>[1]FİYATLAR!D307</f>
        <v/>
      </c>
      <c r="H307">
        <f>E307*F307</f>
        <v/>
      </c>
      <c r="I307">
        <f>E307*G307</f>
        <v/>
      </c>
    </row>
    <row r="308">
      <c r="A308" s="29">
        <f>[1]FİYATLAR!A308</f>
        <v/>
      </c>
      <c r="B308" s="29">
        <f>[1]FİYATLAR!B308</f>
        <v/>
      </c>
      <c r="C308" s="35">
        <f>INT(A308)</f>
        <v/>
      </c>
      <c r="D308" s="36">
        <f>MONTH(A308)</f>
        <v/>
      </c>
      <c r="F308" s="30">
        <f>[1]FİYATLAR!C308</f>
        <v/>
      </c>
      <c r="G308" s="30">
        <f>[1]FİYATLAR!D308</f>
        <v/>
      </c>
      <c r="H308">
        <f>E308*F308</f>
        <v/>
      </c>
      <c r="I308">
        <f>E308*G308</f>
        <v/>
      </c>
    </row>
    <row r="309">
      <c r="A309" s="29">
        <f>[1]FİYATLAR!A309</f>
        <v/>
      </c>
      <c r="B309" s="29">
        <f>[1]FİYATLAR!B309</f>
        <v/>
      </c>
      <c r="C309" s="35">
        <f>INT(A309)</f>
        <v/>
      </c>
      <c r="D309" s="36">
        <f>MONTH(A309)</f>
        <v/>
      </c>
      <c r="F309" s="30">
        <f>[1]FİYATLAR!C309</f>
        <v/>
      </c>
      <c r="G309" s="30">
        <f>[1]FİYATLAR!D309</f>
        <v/>
      </c>
      <c r="H309">
        <f>E309*F309</f>
        <v/>
      </c>
      <c r="I309">
        <f>E309*G309</f>
        <v/>
      </c>
    </row>
    <row r="310">
      <c r="A310" s="29">
        <f>[1]FİYATLAR!A310</f>
        <v/>
      </c>
      <c r="B310" s="29">
        <f>[1]FİYATLAR!B310</f>
        <v/>
      </c>
      <c r="C310" s="35">
        <f>INT(A310)</f>
        <v/>
      </c>
      <c r="D310" s="36">
        <f>MONTH(A310)</f>
        <v/>
      </c>
      <c r="F310" s="30">
        <f>[1]FİYATLAR!C310</f>
        <v/>
      </c>
      <c r="G310" s="30">
        <f>[1]FİYATLAR!D310</f>
        <v/>
      </c>
      <c r="H310">
        <f>E310*F310</f>
        <v/>
      </c>
      <c r="I310">
        <f>E310*G310</f>
        <v/>
      </c>
    </row>
    <row r="311">
      <c r="A311" s="29">
        <f>[1]FİYATLAR!A311</f>
        <v/>
      </c>
      <c r="B311" s="29">
        <f>[1]FİYATLAR!B311</f>
        <v/>
      </c>
      <c r="C311" s="35">
        <f>INT(A311)</f>
        <v/>
      </c>
      <c r="D311" s="36">
        <f>MONTH(A311)</f>
        <v/>
      </c>
      <c r="F311" s="30">
        <f>[1]FİYATLAR!C311</f>
        <v/>
      </c>
      <c r="G311" s="30">
        <f>[1]FİYATLAR!D311</f>
        <v/>
      </c>
      <c r="H311">
        <f>E311*F311</f>
        <v/>
      </c>
      <c r="I311">
        <f>E311*G311</f>
        <v/>
      </c>
    </row>
    <row r="312">
      <c r="A312" s="29">
        <f>[1]FİYATLAR!A312</f>
        <v/>
      </c>
      <c r="B312" s="29">
        <f>[1]FİYATLAR!B312</f>
        <v/>
      </c>
      <c r="C312" s="35">
        <f>INT(A312)</f>
        <v/>
      </c>
      <c r="D312" s="36">
        <f>MONTH(A312)</f>
        <v/>
      </c>
      <c r="F312" s="30">
        <f>[1]FİYATLAR!C312</f>
        <v/>
      </c>
      <c r="G312" s="30">
        <f>[1]FİYATLAR!D312</f>
        <v/>
      </c>
      <c r="H312">
        <f>E312*F312</f>
        <v/>
      </c>
      <c r="I312">
        <f>E312*G312</f>
        <v/>
      </c>
    </row>
    <row r="313">
      <c r="A313" s="29">
        <f>[1]FİYATLAR!A313</f>
        <v/>
      </c>
      <c r="B313" s="29">
        <f>[1]FİYATLAR!B313</f>
        <v/>
      </c>
      <c r="C313" s="35">
        <f>INT(A313)</f>
        <v/>
      </c>
      <c r="D313" s="36">
        <f>MONTH(A313)</f>
        <v/>
      </c>
      <c r="F313" s="30">
        <f>[1]FİYATLAR!C313</f>
        <v/>
      </c>
      <c r="G313" s="30">
        <f>[1]FİYATLAR!D313</f>
        <v/>
      </c>
      <c r="H313">
        <f>E313*F313</f>
        <v/>
      </c>
      <c r="I313">
        <f>E313*G313</f>
        <v/>
      </c>
    </row>
    <row r="314">
      <c r="A314" s="29">
        <f>[1]FİYATLAR!A314</f>
        <v/>
      </c>
      <c r="B314" s="29">
        <f>[1]FİYATLAR!B314</f>
        <v/>
      </c>
      <c r="C314" s="35">
        <f>INT(A314)</f>
        <v/>
      </c>
      <c r="D314" s="36">
        <f>MONTH(A314)</f>
        <v/>
      </c>
      <c r="F314" s="30">
        <f>[1]FİYATLAR!C314</f>
        <v/>
      </c>
      <c r="G314" s="30">
        <f>[1]FİYATLAR!D314</f>
        <v/>
      </c>
      <c r="H314">
        <f>E314*F314</f>
        <v/>
      </c>
      <c r="I314">
        <f>E314*G314</f>
        <v/>
      </c>
    </row>
    <row r="315">
      <c r="A315" s="29">
        <f>[1]FİYATLAR!A315</f>
        <v/>
      </c>
      <c r="B315" s="29">
        <f>[1]FİYATLAR!B315</f>
        <v/>
      </c>
      <c r="C315" s="35">
        <f>INT(A315)</f>
        <v/>
      </c>
      <c r="D315" s="36">
        <f>MONTH(A315)</f>
        <v/>
      </c>
      <c r="F315" s="30">
        <f>[1]FİYATLAR!C315</f>
        <v/>
      </c>
      <c r="G315" s="30">
        <f>[1]FİYATLAR!D315</f>
        <v/>
      </c>
      <c r="H315">
        <f>E315*F315</f>
        <v/>
      </c>
      <c r="I315">
        <f>E315*G315</f>
        <v/>
      </c>
    </row>
    <row r="316">
      <c r="A316" s="29">
        <f>[1]FİYATLAR!A316</f>
        <v/>
      </c>
      <c r="B316" s="29">
        <f>[1]FİYATLAR!B316</f>
        <v/>
      </c>
      <c r="C316" s="35">
        <f>INT(A316)</f>
        <v/>
      </c>
      <c r="D316" s="36">
        <f>MONTH(A316)</f>
        <v/>
      </c>
      <c r="F316" s="30">
        <f>[1]FİYATLAR!C316</f>
        <v/>
      </c>
      <c r="G316" s="30">
        <f>[1]FİYATLAR!D316</f>
        <v/>
      </c>
      <c r="H316">
        <f>E316*F316</f>
        <v/>
      </c>
      <c r="I316">
        <f>E316*G316</f>
        <v/>
      </c>
    </row>
    <row r="317">
      <c r="A317" s="29">
        <f>[1]FİYATLAR!A317</f>
        <v/>
      </c>
      <c r="B317" s="29">
        <f>[1]FİYATLAR!B317</f>
        <v/>
      </c>
      <c r="C317" s="35">
        <f>INT(A317)</f>
        <v/>
      </c>
      <c r="D317" s="36">
        <f>MONTH(A317)</f>
        <v/>
      </c>
      <c r="F317" s="30">
        <f>[1]FİYATLAR!C317</f>
        <v/>
      </c>
      <c r="G317" s="30">
        <f>[1]FİYATLAR!D317</f>
        <v/>
      </c>
      <c r="H317">
        <f>E317*F317</f>
        <v/>
      </c>
      <c r="I317">
        <f>E317*G317</f>
        <v/>
      </c>
    </row>
    <row r="318">
      <c r="A318" s="29">
        <f>[1]FİYATLAR!A318</f>
        <v/>
      </c>
      <c r="B318" s="29">
        <f>[1]FİYATLAR!B318</f>
        <v/>
      </c>
      <c r="C318" s="35">
        <f>INT(A318)</f>
        <v/>
      </c>
      <c r="D318" s="36">
        <f>MONTH(A318)</f>
        <v/>
      </c>
      <c r="F318" s="30">
        <f>[1]FİYATLAR!C318</f>
        <v/>
      </c>
      <c r="G318" s="30">
        <f>[1]FİYATLAR!D318</f>
        <v/>
      </c>
      <c r="H318">
        <f>E318*F318</f>
        <v/>
      </c>
      <c r="I318">
        <f>E318*G318</f>
        <v/>
      </c>
    </row>
    <row r="319">
      <c r="A319" s="29">
        <f>[1]FİYATLAR!A319</f>
        <v/>
      </c>
      <c r="B319" s="29">
        <f>[1]FİYATLAR!B319</f>
        <v/>
      </c>
      <c r="C319" s="35">
        <f>INT(A319)</f>
        <v/>
      </c>
      <c r="D319" s="36">
        <f>MONTH(A319)</f>
        <v/>
      </c>
      <c r="F319" s="30">
        <f>[1]FİYATLAR!C319</f>
        <v/>
      </c>
      <c r="G319" s="30">
        <f>[1]FİYATLAR!D319</f>
        <v/>
      </c>
      <c r="H319">
        <f>E319*F319</f>
        <v/>
      </c>
      <c r="I319">
        <f>E319*G319</f>
        <v/>
      </c>
    </row>
    <row r="320">
      <c r="A320" s="29">
        <f>[1]FİYATLAR!A320</f>
        <v/>
      </c>
      <c r="B320" s="29">
        <f>[1]FİYATLAR!B320</f>
        <v/>
      </c>
      <c r="C320" s="35">
        <f>INT(A320)</f>
        <v/>
      </c>
      <c r="D320" s="36">
        <f>MONTH(A320)</f>
        <v/>
      </c>
      <c r="F320" s="30">
        <f>[1]FİYATLAR!C320</f>
        <v/>
      </c>
      <c r="G320" s="30">
        <f>[1]FİYATLAR!D320</f>
        <v/>
      </c>
      <c r="H320">
        <f>E320*F320</f>
        <v/>
      </c>
      <c r="I320">
        <f>E320*G320</f>
        <v/>
      </c>
    </row>
    <row r="321">
      <c r="A321" s="29">
        <f>[1]FİYATLAR!A321</f>
        <v/>
      </c>
      <c r="B321" s="29">
        <f>[1]FİYATLAR!B321</f>
        <v/>
      </c>
      <c r="C321" s="35">
        <f>INT(A321)</f>
        <v/>
      </c>
      <c r="D321" s="36">
        <f>MONTH(A321)</f>
        <v/>
      </c>
      <c r="F321" s="30">
        <f>[1]FİYATLAR!C321</f>
        <v/>
      </c>
      <c r="G321" s="30">
        <f>[1]FİYATLAR!D321</f>
        <v/>
      </c>
      <c r="H321">
        <f>E321*F321</f>
        <v/>
      </c>
      <c r="I321">
        <f>E321*G321</f>
        <v/>
      </c>
    </row>
    <row r="322">
      <c r="A322" s="29">
        <f>[1]FİYATLAR!A322</f>
        <v/>
      </c>
      <c r="B322" s="29">
        <f>[1]FİYATLAR!B322</f>
        <v/>
      </c>
      <c r="C322" s="35">
        <f>INT(A322)</f>
        <v/>
      </c>
      <c r="D322" s="36">
        <f>MONTH(A322)</f>
        <v/>
      </c>
      <c r="F322" s="30">
        <f>[1]FİYATLAR!C322</f>
        <v/>
      </c>
      <c r="G322" s="30">
        <f>[1]FİYATLAR!D322</f>
        <v/>
      </c>
      <c r="H322">
        <f>E322*F322</f>
        <v/>
      </c>
      <c r="I322">
        <f>E322*G322</f>
        <v/>
      </c>
    </row>
    <row r="323">
      <c r="A323" s="29">
        <f>[1]FİYATLAR!A323</f>
        <v/>
      </c>
      <c r="B323" s="29">
        <f>[1]FİYATLAR!B323</f>
        <v/>
      </c>
      <c r="C323" s="35">
        <f>INT(A323)</f>
        <v/>
      </c>
      <c r="D323" s="36">
        <f>MONTH(A323)</f>
        <v/>
      </c>
      <c r="F323" s="30">
        <f>[1]FİYATLAR!C323</f>
        <v/>
      </c>
      <c r="G323" s="30">
        <f>[1]FİYATLAR!D323</f>
        <v/>
      </c>
      <c r="H323">
        <f>E323*F323</f>
        <v/>
      </c>
      <c r="I323">
        <f>E323*G323</f>
        <v/>
      </c>
    </row>
    <row r="324">
      <c r="A324" s="29">
        <f>[1]FİYATLAR!A324</f>
        <v/>
      </c>
      <c r="B324" s="29">
        <f>[1]FİYATLAR!B324</f>
        <v/>
      </c>
      <c r="C324" s="35">
        <f>INT(A324)</f>
        <v/>
      </c>
      <c r="D324" s="36">
        <f>MONTH(A324)</f>
        <v/>
      </c>
      <c r="F324" s="30">
        <f>[1]FİYATLAR!C324</f>
        <v/>
      </c>
      <c r="G324" s="30">
        <f>[1]FİYATLAR!D324</f>
        <v/>
      </c>
      <c r="H324">
        <f>E324*F324</f>
        <v/>
      </c>
      <c r="I324">
        <f>E324*G324</f>
        <v/>
      </c>
    </row>
    <row r="325">
      <c r="A325" s="29">
        <f>[1]FİYATLAR!A325</f>
        <v/>
      </c>
      <c r="B325" s="29">
        <f>[1]FİYATLAR!B325</f>
        <v/>
      </c>
      <c r="C325" s="35">
        <f>INT(A325)</f>
        <v/>
      </c>
      <c r="D325" s="36">
        <f>MONTH(A325)</f>
        <v/>
      </c>
      <c r="F325" s="30">
        <f>[1]FİYATLAR!C325</f>
        <v/>
      </c>
      <c r="G325" s="30">
        <f>[1]FİYATLAR!D325</f>
        <v/>
      </c>
      <c r="H325">
        <f>E325*F325</f>
        <v/>
      </c>
      <c r="I325">
        <f>E325*G325</f>
        <v/>
      </c>
    </row>
    <row r="326">
      <c r="A326" s="29">
        <f>[1]FİYATLAR!A326</f>
        <v/>
      </c>
      <c r="B326" s="29">
        <f>[1]FİYATLAR!B326</f>
        <v/>
      </c>
      <c r="C326" s="35">
        <f>INT(A326)</f>
        <v/>
      </c>
      <c r="D326" s="36">
        <f>MONTH(A326)</f>
        <v/>
      </c>
      <c r="F326" s="30">
        <f>[1]FİYATLAR!C326</f>
        <v/>
      </c>
      <c r="G326" s="30">
        <f>[1]FİYATLAR!D326</f>
        <v/>
      </c>
      <c r="H326">
        <f>E326*F326</f>
        <v/>
      </c>
      <c r="I326">
        <f>E326*G326</f>
        <v/>
      </c>
    </row>
    <row r="327">
      <c r="A327" s="29">
        <f>[1]FİYATLAR!A327</f>
        <v/>
      </c>
      <c r="B327" s="29">
        <f>[1]FİYATLAR!B327</f>
        <v/>
      </c>
      <c r="C327" s="35">
        <f>INT(A327)</f>
        <v/>
      </c>
      <c r="D327" s="36">
        <f>MONTH(A327)</f>
        <v/>
      </c>
      <c r="F327" s="30">
        <f>[1]FİYATLAR!C327</f>
        <v/>
      </c>
      <c r="G327" s="30">
        <f>[1]FİYATLAR!D327</f>
        <v/>
      </c>
      <c r="H327">
        <f>E327*F327</f>
        <v/>
      </c>
      <c r="I327">
        <f>E327*G327</f>
        <v/>
      </c>
    </row>
    <row r="328">
      <c r="A328" s="29">
        <f>[1]FİYATLAR!A328</f>
        <v/>
      </c>
      <c r="B328" s="29">
        <f>[1]FİYATLAR!B328</f>
        <v/>
      </c>
      <c r="C328" s="35">
        <f>INT(A328)</f>
        <v/>
      </c>
      <c r="D328" s="36">
        <f>MONTH(A328)</f>
        <v/>
      </c>
      <c r="F328" s="30">
        <f>[1]FİYATLAR!C328</f>
        <v/>
      </c>
      <c r="G328" s="30">
        <f>[1]FİYATLAR!D328</f>
        <v/>
      </c>
      <c r="H328">
        <f>E328*F328</f>
        <v/>
      </c>
      <c r="I328">
        <f>E328*G328</f>
        <v/>
      </c>
    </row>
    <row r="329">
      <c r="A329" s="29">
        <f>[1]FİYATLAR!A329</f>
        <v/>
      </c>
      <c r="B329" s="29">
        <f>[1]FİYATLAR!B329</f>
        <v/>
      </c>
      <c r="C329" s="35">
        <f>INT(A329)</f>
        <v/>
      </c>
      <c r="D329" s="36">
        <f>MONTH(A329)</f>
        <v/>
      </c>
      <c r="F329" s="30">
        <f>[1]FİYATLAR!C329</f>
        <v/>
      </c>
      <c r="G329" s="30">
        <f>[1]FİYATLAR!D329</f>
        <v/>
      </c>
      <c r="H329">
        <f>E329*F329</f>
        <v/>
      </c>
      <c r="I329">
        <f>E329*G329</f>
        <v/>
      </c>
    </row>
    <row r="330">
      <c r="A330" s="29">
        <f>[1]FİYATLAR!A330</f>
        <v/>
      </c>
      <c r="B330" s="29">
        <f>[1]FİYATLAR!B330</f>
        <v/>
      </c>
      <c r="C330" s="35">
        <f>INT(A330)</f>
        <v/>
      </c>
      <c r="D330" s="36">
        <f>MONTH(A330)</f>
        <v/>
      </c>
      <c r="F330" s="30">
        <f>[1]FİYATLAR!C330</f>
        <v/>
      </c>
      <c r="G330" s="30">
        <f>[1]FİYATLAR!D330</f>
        <v/>
      </c>
      <c r="H330">
        <f>E330*F330</f>
        <v/>
      </c>
      <c r="I330">
        <f>E330*G330</f>
        <v/>
      </c>
    </row>
    <row r="331">
      <c r="A331" s="29">
        <f>[1]FİYATLAR!A331</f>
        <v/>
      </c>
      <c r="B331" s="29">
        <f>[1]FİYATLAR!B331</f>
        <v/>
      </c>
      <c r="C331" s="35">
        <f>INT(A331)</f>
        <v/>
      </c>
      <c r="D331" s="36">
        <f>MONTH(A331)</f>
        <v/>
      </c>
      <c r="F331" s="30">
        <f>[1]FİYATLAR!C331</f>
        <v/>
      </c>
      <c r="G331" s="30">
        <f>[1]FİYATLAR!D331</f>
        <v/>
      </c>
      <c r="H331">
        <f>E331*F331</f>
        <v/>
      </c>
      <c r="I331">
        <f>E331*G331</f>
        <v/>
      </c>
    </row>
    <row r="332">
      <c r="A332" s="29">
        <f>[1]FİYATLAR!A332</f>
        <v/>
      </c>
      <c r="B332" s="29">
        <f>[1]FİYATLAR!B332</f>
        <v/>
      </c>
      <c r="C332" s="35">
        <f>INT(A332)</f>
        <v/>
      </c>
      <c r="D332" s="36">
        <f>MONTH(A332)</f>
        <v/>
      </c>
      <c r="F332" s="30">
        <f>[1]FİYATLAR!C332</f>
        <v/>
      </c>
      <c r="G332" s="30">
        <f>[1]FİYATLAR!D332</f>
        <v/>
      </c>
      <c r="H332">
        <f>E332*F332</f>
        <v/>
      </c>
      <c r="I332">
        <f>E332*G332</f>
        <v/>
      </c>
    </row>
    <row r="333">
      <c r="A333" s="29">
        <f>[1]FİYATLAR!A333</f>
        <v/>
      </c>
      <c r="B333" s="29">
        <f>[1]FİYATLAR!B333</f>
        <v/>
      </c>
      <c r="C333" s="35">
        <f>INT(A333)</f>
        <v/>
      </c>
      <c r="D333" s="36">
        <f>MONTH(A333)</f>
        <v/>
      </c>
      <c r="F333" s="30">
        <f>[1]FİYATLAR!C333</f>
        <v/>
      </c>
      <c r="G333" s="30">
        <f>[1]FİYATLAR!D333</f>
        <v/>
      </c>
      <c r="H333">
        <f>E333*F333</f>
        <v/>
      </c>
      <c r="I333">
        <f>E333*G333</f>
        <v/>
      </c>
    </row>
    <row r="334">
      <c r="A334" s="29">
        <f>[1]FİYATLAR!A334</f>
        <v/>
      </c>
      <c r="B334" s="29">
        <f>[1]FİYATLAR!B334</f>
        <v/>
      </c>
      <c r="C334" s="35">
        <f>INT(A334)</f>
        <v/>
      </c>
      <c r="D334" s="36">
        <f>MONTH(A334)</f>
        <v/>
      </c>
      <c r="F334" s="30">
        <f>[1]FİYATLAR!C334</f>
        <v/>
      </c>
      <c r="G334" s="30">
        <f>[1]FİYATLAR!D334</f>
        <v/>
      </c>
      <c r="H334">
        <f>E334*F334</f>
        <v/>
      </c>
      <c r="I334">
        <f>E334*G334</f>
        <v/>
      </c>
    </row>
    <row r="335">
      <c r="A335" s="29">
        <f>[1]FİYATLAR!A335</f>
        <v/>
      </c>
      <c r="B335" s="29">
        <f>[1]FİYATLAR!B335</f>
        <v/>
      </c>
      <c r="C335" s="35">
        <f>INT(A335)</f>
        <v/>
      </c>
      <c r="D335" s="36">
        <f>MONTH(A335)</f>
        <v/>
      </c>
      <c r="F335" s="30">
        <f>[1]FİYATLAR!C335</f>
        <v/>
      </c>
      <c r="G335" s="30">
        <f>[1]FİYATLAR!D335</f>
        <v/>
      </c>
      <c r="H335">
        <f>E335*F335</f>
        <v/>
      </c>
      <c r="I335">
        <f>E335*G335</f>
        <v/>
      </c>
    </row>
    <row r="336">
      <c r="A336" s="29">
        <f>[1]FİYATLAR!A336</f>
        <v/>
      </c>
      <c r="B336" s="29">
        <f>[1]FİYATLAR!B336</f>
        <v/>
      </c>
      <c r="C336" s="35">
        <f>INT(A336)</f>
        <v/>
      </c>
      <c r="D336" s="36">
        <f>MONTH(A336)</f>
        <v/>
      </c>
      <c r="F336" s="30">
        <f>[1]FİYATLAR!C336</f>
        <v/>
      </c>
      <c r="G336" s="30">
        <f>[1]FİYATLAR!D336</f>
        <v/>
      </c>
      <c r="H336">
        <f>E336*F336</f>
        <v/>
      </c>
      <c r="I336">
        <f>E336*G336</f>
        <v/>
      </c>
    </row>
    <row r="337">
      <c r="A337" s="29">
        <f>[1]FİYATLAR!A337</f>
        <v/>
      </c>
      <c r="B337" s="29">
        <f>[1]FİYATLAR!B337</f>
        <v/>
      </c>
      <c r="C337" s="35">
        <f>INT(A337)</f>
        <v/>
      </c>
      <c r="D337" s="36">
        <f>MONTH(A337)</f>
        <v/>
      </c>
      <c r="F337" s="30">
        <f>[1]FİYATLAR!C337</f>
        <v/>
      </c>
      <c r="G337" s="30">
        <f>[1]FİYATLAR!D337</f>
        <v/>
      </c>
      <c r="H337">
        <f>E337*F337</f>
        <v/>
      </c>
      <c r="I337">
        <f>E337*G337</f>
        <v/>
      </c>
    </row>
    <row r="338">
      <c r="A338" s="29">
        <f>[1]FİYATLAR!A338</f>
        <v/>
      </c>
      <c r="B338" s="29">
        <f>[1]FİYATLAR!B338</f>
        <v/>
      </c>
      <c r="C338" s="35">
        <f>INT(A338)</f>
        <v/>
      </c>
      <c r="D338" s="36">
        <f>MONTH(A338)</f>
        <v/>
      </c>
      <c r="F338" s="30">
        <f>[1]FİYATLAR!C338</f>
        <v/>
      </c>
      <c r="G338" s="30">
        <f>[1]FİYATLAR!D338</f>
        <v/>
      </c>
      <c r="H338">
        <f>E338*F338</f>
        <v/>
      </c>
      <c r="I338">
        <f>E338*G338</f>
        <v/>
      </c>
    </row>
    <row r="339">
      <c r="A339" s="29">
        <f>[1]FİYATLAR!A339</f>
        <v/>
      </c>
      <c r="B339" s="29">
        <f>[1]FİYATLAR!B339</f>
        <v/>
      </c>
      <c r="C339" s="35">
        <f>INT(A339)</f>
        <v/>
      </c>
      <c r="D339" s="36">
        <f>MONTH(A339)</f>
        <v/>
      </c>
      <c r="F339" s="30">
        <f>[1]FİYATLAR!C339</f>
        <v/>
      </c>
      <c r="G339" s="30">
        <f>[1]FİYATLAR!D339</f>
        <v/>
      </c>
      <c r="H339">
        <f>E339*F339</f>
        <v/>
      </c>
      <c r="I339">
        <f>E339*G339</f>
        <v/>
      </c>
    </row>
    <row r="340">
      <c r="A340" s="29">
        <f>[1]FİYATLAR!A340</f>
        <v/>
      </c>
      <c r="B340" s="29">
        <f>[1]FİYATLAR!B340</f>
        <v/>
      </c>
      <c r="C340" s="35">
        <f>INT(A340)</f>
        <v/>
      </c>
      <c r="D340" s="36">
        <f>MONTH(A340)</f>
        <v/>
      </c>
      <c r="F340" s="30">
        <f>[1]FİYATLAR!C340</f>
        <v/>
      </c>
      <c r="G340" s="30">
        <f>[1]FİYATLAR!D340</f>
        <v/>
      </c>
      <c r="H340">
        <f>E340*F340</f>
        <v/>
      </c>
      <c r="I340">
        <f>E340*G340</f>
        <v/>
      </c>
    </row>
    <row r="341">
      <c r="A341" s="29">
        <f>[1]FİYATLAR!A341</f>
        <v/>
      </c>
      <c r="B341" s="29">
        <f>[1]FİYATLAR!B341</f>
        <v/>
      </c>
      <c r="C341" s="35">
        <f>INT(A341)</f>
        <v/>
      </c>
      <c r="D341" s="36">
        <f>MONTH(A341)</f>
        <v/>
      </c>
      <c r="F341" s="30">
        <f>[1]FİYATLAR!C341</f>
        <v/>
      </c>
      <c r="G341" s="30">
        <f>[1]FİYATLAR!D341</f>
        <v/>
      </c>
      <c r="H341">
        <f>E341*F341</f>
        <v/>
      </c>
      <c r="I341">
        <f>E341*G341</f>
        <v/>
      </c>
    </row>
    <row r="342">
      <c r="A342" s="29">
        <f>[1]FİYATLAR!A342</f>
        <v/>
      </c>
      <c r="B342" s="29">
        <f>[1]FİYATLAR!B342</f>
        <v/>
      </c>
      <c r="C342" s="35">
        <f>INT(A342)</f>
        <v/>
      </c>
      <c r="D342" s="36">
        <f>MONTH(A342)</f>
        <v/>
      </c>
      <c r="F342" s="30">
        <f>[1]FİYATLAR!C342</f>
        <v/>
      </c>
      <c r="G342" s="30">
        <f>[1]FİYATLAR!D342</f>
        <v/>
      </c>
      <c r="H342">
        <f>E342*F342</f>
        <v/>
      </c>
      <c r="I342">
        <f>E342*G342</f>
        <v/>
      </c>
    </row>
    <row r="343">
      <c r="A343" s="29">
        <f>[1]FİYATLAR!A343</f>
        <v/>
      </c>
      <c r="B343" s="29">
        <f>[1]FİYATLAR!B343</f>
        <v/>
      </c>
      <c r="C343" s="35">
        <f>INT(A343)</f>
        <v/>
      </c>
      <c r="D343" s="36">
        <f>MONTH(A343)</f>
        <v/>
      </c>
      <c r="F343" s="30">
        <f>[1]FİYATLAR!C343</f>
        <v/>
      </c>
      <c r="G343" s="30">
        <f>[1]FİYATLAR!D343</f>
        <v/>
      </c>
      <c r="H343">
        <f>E343*F343</f>
        <v/>
      </c>
      <c r="I343">
        <f>E343*G343</f>
        <v/>
      </c>
    </row>
    <row r="344">
      <c r="A344" s="29">
        <f>[1]FİYATLAR!A344</f>
        <v/>
      </c>
      <c r="B344" s="29">
        <f>[1]FİYATLAR!B344</f>
        <v/>
      </c>
      <c r="C344" s="35">
        <f>INT(A344)</f>
        <v/>
      </c>
      <c r="D344" s="36">
        <f>MONTH(A344)</f>
        <v/>
      </c>
      <c r="F344" s="30">
        <f>[1]FİYATLAR!C344</f>
        <v/>
      </c>
      <c r="G344" s="30">
        <f>[1]FİYATLAR!D344</f>
        <v/>
      </c>
      <c r="H344">
        <f>E344*F344</f>
        <v/>
      </c>
      <c r="I344">
        <f>E344*G344</f>
        <v/>
      </c>
    </row>
    <row r="345">
      <c r="A345" s="29">
        <f>[1]FİYATLAR!A345</f>
        <v/>
      </c>
      <c r="B345" s="29">
        <f>[1]FİYATLAR!B345</f>
        <v/>
      </c>
      <c r="C345" s="35">
        <f>INT(A345)</f>
        <v/>
      </c>
      <c r="D345" s="36">
        <f>MONTH(A345)</f>
        <v/>
      </c>
      <c r="F345" s="30">
        <f>[1]FİYATLAR!C345</f>
        <v/>
      </c>
      <c r="G345" s="30">
        <f>[1]FİYATLAR!D345</f>
        <v/>
      </c>
      <c r="H345">
        <f>E345*F345</f>
        <v/>
      </c>
      <c r="I345">
        <f>E345*G345</f>
        <v/>
      </c>
    </row>
    <row r="346">
      <c r="A346" s="29">
        <f>[1]FİYATLAR!A346</f>
        <v/>
      </c>
      <c r="B346" s="29">
        <f>[1]FİYATLAR!B346</f>
        <v/>
      </c>
      <c r="C346" s="35">
        <f>INT(A346)</f>
        <v/>
      </c>
      <c r="D346" s="36">
        <f>MONTH(A346)</f>
        <v/>
      </c>
      <c r="F346" s="30">
        <f>[1]FİYATLAR!C346</f>
        <v/>
      </c>
      <c r="G346" s="30">
        <f>[1]FİYATLAR!D346</f>
        <v/>
      </c>
      <c r="H346">
        <f>E346*F346</f>
        <v/>
      </c>
      <c r="I346">
        <f>E346*G346</f>
        <v/>
      </c>
    </row>
    <row r="347">
      <c r="A347" s="29">
        <f>[1]FİYATLAR!A347</f>
        <v/>
      </c>
      <c r="B347" s="29">
        <f>[1]FİYATLAR!B347</f>
        <v/>
      </c>
      <c r="C347" s="35">
        <f>INT(A347)</f>
        <v/>
      </c>
      <c r="D347" s="36">
        <f>MONTH(A347)</f>
        <v/>
      </c>
      <c r="F347" s="30">
        <f>[1]FİYATLAR!C347</f>
        <v/>
      </c>
      <c r="G347" s="30">
        <f>[1]FİYATLAR!D347</f>
        <v/>
      </c>
      <c r="H347">
        <f>E347*F347</f>
        <v/>
      </c>
      <c r="I347">
        <f>E347*G347</f>
        <v/>
      </c>
    </row>
    <row r="348">
      <c r="A348" s="29">
        <f>[1]FİYATLAR!A348</f>
        <v/>
      </c>
      <c r="B348" s="29">
        <f>[1]FİYATLAR!B348</f>
        <v/>
      </c>
      <c r="C348" s="35">
        <f>INT(A348)</f>
        <v/>
      </c>
      <c r="D348" s="36">
        <f>MONTH(A348)</f>
        <v/>
      </c>
      <c r="F348" s="30">
        <f>[1]FİYATLAR!C348</f>
        <v/>
      </c>
      <c r="G348" s="30">
        <f>[1]FİYATLAR!D348</f>
        <v/>
      </c>
      <c r="H348">
        <f>E348*F348</f>
        <v/>
      </c>
      <c r="I348">
        <f>E348*G348</f>
        <v/>
      </c>
    </row>
    <row r="349">
      <c r="A349" s="29">
        <f>[1]FİYATLAR!A349</f>
        <v/>
      </c>
      <c r="B349" s="29">
        <f>[1]FİYATLAR!B349</f>
        <v/>
      </c>
      <c r="C349" s="35">
        <f>INT(A349)</f>
        <v/>
      </c>
      <c r="D349" s="36">
        <f>MONTH(A349)</f>
        <v/>
      </c>
      <c r="F349" s="30">
        <f>[1]FİYATLAR!C349</f>
        <v/>
      </c>
      <c r="G349" s="30">
        <f>[1]FİYATLAR!D349</f>
        <v/>
      </c>
      <c r="H349">
        <f>E349*F349</f>
        <v/>
      </c>
      <c r="I349">
        <f>E349*G349</f>
        <v/>
      </c>
    </row>
    <row r="350">
      <c r="A350" s="29">
        <f>[1]FİYATLAR!A350</f>
        <v/>
      </c>
      <c r="B350" s="29">
        <f>[1]FİYATLAR!B350</f>
        <v/>
      </c>
      <c r="C350" s="35">
        <f>INT(A350)</f>
        <v/>
      </c>
      <c r="D350" s="36">
        <f>MONTH(A350)</f>
        <v/>
      </c>
      <c r="F350" s="30">
        <f>[1]FİYATLAR!C350</f>
        <v/>
      </c>
      <c r="G350" s="30">
        <f>[1]FİYATLAR!D350</f>
        <v/>
      </c>
      <c r="H350">
        <f>E350*F350</f>
        <v/>
      </c>
      <c r="I350">
        <f>E350*G350</f>
        <v/>
      </c>
    </row>
    <row r="351">
      <c r="A351" s="29">
        <f>[1]FİYATLAR!A351</f>
        <v/>
      </c>
      <c r="B351" s="29">
        <f>[1]FİYATLAR!B351</f>
        <v/>
      </c>
      <c r="C351" s="35">
        <f>INT(A351)</f>
        <v/>
      </c>
      <c r="D351" s="36">
        <f>MONTH(A351)</f>
        <v/>
      </c>
      <c r="F351" s="30">
        <f>[1]FİYATLAR!C351</f>
        <v/>
      </c>
      <c r="G351" s="30">
        <f>[1]FİYATLAR!D351</f>
        <v/>
      </c>
      <c r="H351">
        <f>E351*F351</f>
        <v/>
      </c>
      <c r="I351">
        <f>E351*G351</f>
        <v/>
      </c>
    </row>
    <row r="352">
      <c r="A352" s="29">
        <f>[1]FİYATLAR!A352</f>
        <v/>
      </c>
      <c r="B352" s="29">
        <f>[1]FİYATLAR!B352</f>
        <v/>
      </c>
      <c r="C352" s="35">
        <f>INT(A352)</f>
        <v/>
      </c>
      <c r="D352" s="36">
        <f>MONTH(A352)</f>
        <v/>
      </c>
      <c r="F352" s="30">
        <f>[1]FİYATLAR!C352</f>
        <v/>
      </c>
      <c r="G352" s="30">
        <f>[1]FİYATLAR!D352</f>
        <v/>
      </c>
      <c r="H352">
        <f>E352*F352</f>
        <v/>
      </c>
      <c r="I352">
        <f>E352*G352</f>
        <v/>
      </c>
    </row>
    <row r="353">
      <c r="A353" s="29">
        <f>[1]FİYATLAR!A353</f>
        <v/>
      </c>
      <c r="B353" s="29">
        <f>[1]FİYATLAR!B353</f>
        <v/>
      </c>
      <c r="C353" s="35">
        <f>INT(A353)</f>
        <v/>
      </c>
      <c r="D353" s="36">
        <f>MONTH(A353)</f>
        <v/>
      </c>
      <c r="F353" s="30">
        <f>[1]FİYATLAR!C353</f>
        <v/>
      </c>
      <c r="G353" s="30">
        <f>[1]FİYATLAR!D353</f>
        <v/>
      </c>
      <c r="H353">
        <f>E353*F353</f>
        <v/>
      </c>
      <c r="I353">
        <f>E353*G353</f>
        <v/>
      </c>
    </row>
    <row r="354">
      <c r="A354" s="29">
        <f>[1]FİYATLAR!A354</f>
        <v/>
      </c>
      <c r="B354" s="29">
        <f>[1]FİYATLAR!B354</f>
        <v/>
      </c>
      <c r="C354" s="35">
        <f>INT(A354)</f>
        <v/>
      </c>
      <c r="D354" s="36">
        <f>MONTH(A354)</f>
        <v/>
      </c>
      <c r="F354" s="30">
        <f>[1]FİYATLAR!C354</f>
        <v/>
      </c>
      <c r="G354" s="30">
        <f>[1]FİYATLAR!D354</f>
        <v/>
      </c>
      <c r="H354">
        <f>E354*F354</f>
        <v/>
      </c>
      <c r="I354">
        <f>E354*G354</f>
        <v/>
      </c>
    </row>
    <row r="355">
      <c r="A355" s="29">
        <f>[1]FİYATLAR!A355</f>
        <v/>
      </c>
      <c r="B355" s="29">
        <f>[1]FİYATLAR!B355</f>
        <v/>
      </c>
      <c r="C355" s="35">
        <f>INT(A355)</f>
        <v/>
      </c>
      <c r="D355" s="36">
        <f>MONTH(A355)</f>
        <v/>
      </c>
      <c r="F355" s="30">
        <f>[1]FİYATLAR!C355</f>
        <v/>
      </c>
      <c r="G355" s="30">
        <f>[1]FİYATLAR!D355</f>
        <v/>
      </c>
      <c r="H355">
        <f>E355*F355</f>
        <v/>
      </c>
      <c r="I355">
        <f>E355*G355</f>
        <v/>
      </c>
    </row>
    <row r="356">
      <c r="A356" s="29">
        <f>[1]FİYATLAR!A356</f>
        <v/>
      </c>
      <c r="B356" s="29">
        <f>[1]FİYATLAR!B356</f>
        <v/>
      </c>
      <c r="C356" s="35">
        <f>INT(A356)</f>
        <v/>
      </c>
      <c r="D356" s="36">
        <f>MONTH(A356)</f>
        <v/>
      </c>
      <c r="F356" s="30">
        <f>[1]FİYATLAR!C356</f>
        <v/>
      </c>
      <c r="G356" s="30">
        <f>[1]FİYATLAR!D356</f>
        <v/>
      </c>
      <c r="H356">
        <f>E356*F356</f>
        <v/>
      </c>
      <c r="I356">
        <f>E356*G356</f>
        <v/>
      </c>
    </row>
    <row r="357">
      <c r="A357" s="29">
        <f>[1]FİYATLAR!A357</f>
        <v/>
      </c>
      <c r="B357" s="29">
        <f>[1]FİYATLAR!B357</f>
        <v/>
      </c>
      <c r="C357" s="35">
        <f>INT(A357)</f>
        <v/>
      </c>
      <c r="D357" s="36">
        <f>MONTH(A357)</f>
        <v/>
      </c>
      <c r="F357" s="30">
        <f>[1]FİYATLAR!C357</f>
        <v/>
      </c>
      <c r="G357" s="30">
        <f>[1]FİYATLAR!D357</f>
        <v/>
      </c>
      <c r="H357">
        <f>E357*F357</f>
        <v/>
      </c>
      <c r="I357">
        <f>E357*G357</f>
        <v/>
      </c>
    </row>
    <row r="358">
      <c r="A358" s="29">
        <f>[1]FİYATLAR!A358</f>
        <v/>
      </c>
      <c r="B358" s="29">
        <f>[1]FİYATLAR!B358</f>
        <v/>
      </c>
      <c r="C358" s="35">
        <f>INT(A358)</f>
        <v/>
      </c>
      <c r="D358" s="36">
        <f>MONTH(A358)</f>
        <v/>
      </c>
      <c r="F358" s="30">
        <f>[1]FİYATLAR!C358</f>
        <v/>
      </c>
      <c r="G358" s="30">
        <f>[1]FİYATLAR!D358</f>
        <v/>
      </c>
      <c r="H358">
        <f>E358*F358</f>
        <v/>
      </c>
      <c r="I358">
        <f>E358*G358</f>
        <v/>
      </c>
    </row>
    <row r="359">
      <c r="A359" s="29">
        <f>[1]FİYATLAR!A359</f>
        <v/>
      </c>
      <c r="B359" s="29">
        <f>[1]FİYATLAR!B359</f>
        <v/>
      </c>
      <c r="C359" s="35">
        <f>INT(A359)</f>
        <v/>
      </c>
      <c r="D359" s="36">
        <f>MONTH(A359)</f>
        <v/>
      </c>
      <c r="F359" s="30">
        <f>[1]FİYATLAR!C359</f>
        <v/>
      </c>
      <c r="G359" s="30">
        <f>[1]FİYATLAR!D359</f>
        <v/>
      </c>
      <c r="H359">
        <f>E359*F359</f>
        <v/>
      </c>
      <c r="I359">
        <f>E359*G359</f>
        <v/>
      </c>
    </row>
    <row r="360">
      <c r="A360" s="29">
        <f>[1]FİYATLAR!A360</f>
        <v/>
      </c>
      <c r="B360" s="29">
        <f>[1]FİYATLAR!B360</f>
        <v/>
      </c>
      <c r="C360" s="35">
        <f>INT(A360)</f>
        <v/>
      </c>
      <c r="D360" s="36">
        <f>MONTH(A360)</f>
        <v/>
      </c>
      <c r="F360" s="30">
        <f>[1]FİYATLAR!C360</f>
        <v/>
      </c>
      <c r="G360" s="30">
        <f>[1]FİYATLAR!D360</f>
        <v/>
      </c>
      <c r="H360">
        <f>E360*F360</f>
        <v/>
      </c>
      <c r="I360">
        <f>E360*G360</f>
        <v/>
      </c>
    </row>
    <row r="361">
      <c r="A361" s="29">
        <f>[1]FİYATLAR!A361</f>
        <v/>
      </c>
      <c r="B361" s="29">
        <f>[1]FİYATLAR!B361</f>
        <v/>
      </c>
      <c r="C361" s="35">
        <f>INT(A361)</f>
        <v/>
      </c>
      <c r="D361" s="36">
        <f>MONTH(A361)</f>
        <v/>
      </c>
      <c r="F361" s="30">
        <f>[1]FİYATLAR!C361</f>
        <v/>
      </c>
      <c r="G361" s="30">
        <f>[1]FİYATLAR!D361</f>
        <v/>
      </c>
      <c r="H361">
        <f>E361*F361</f>
        <v/>
      </c>
      <c r="I361">
        <f>E361*G361</f>
        <v/>
      </c>
    </row>
    <row r="362">
      <c r="A362" s="29">
        <f>[1]FİYATLAR!A362</f>
        <v/>
      </c>
      <c r="B362" s="29">
        <f>[1]FİYATLAR!B362</f>
        <v/>
      </c>
      <c r="C362" s="35">
        <f>INT(A362)</f>
        <v/>
      </c>
      <c r="D362" s="36">
        <f>MONTH(A362)</f>
        <v/>
      </c>
      <c r="F362" s="30">
        <f>[1]FİYATLAR!C362</f>
        <v/>
      </c>
      <c r="G362" s="30">
        <f>[1]FİYATLAR!D362</f>
        <v/>
      </c>
      <c r="H362">
        <f>E362*F362</f>
        <v/>
      </c>
      <c r="I362">
        <f>E362*G362</f>
        <v/>
      </c>
    </row>
    <row r="363">
      <c r="A363" s="29">
        <f>[1]FİYATLAR!A363</f>
        <v/>
      </c>
      <c r="B363" s="29">
        <f>[1]FİYATLAR!B363</f>
        <v/>
      </c>
      <c r="C363" s="35">
        <f>INT(A363)</f>
        <v/>
      </c>
      <c r="D363" s="36">
        <f>MONTH(A363)</f>
        <v/>
      </c>
      <c r="F363" s="30">
        <f>[1]FİYATLAR!C363</f>
        <v/>
      </c>
      <c r="G363" s="30">
        <f>[1]FİYATLAR!D363</f>
        <v/>
      </c>
      <c r="H363">
        <f>E363*F363</f>
        <v/>
      </c>
      <c r="I363">
        <f>E363*G363</f>
        <v/>
      </c>
    </row>
    <row r="364">
      <c r="A364" s="29">
        <f>[1]FİYATLAR!A364</f>
        <v/>
      </c>
      <c r="B364" s="29">
        <f>[1]FİYATLAR!B364</f>
        <v/>
      </c>
      <c r="C364" s="35">
        <f>INT(A364)</f>
        <v/>
      </c>
      <c r="D364" s="36">
        <f>MONTH(A364)</f>
        <v/>
      </c>
      <c r="F364" s="30">
        <f>[1]FİYATLAR!C364</f>
        <v/>
      </c>
      <c r="G364" s="30">
        <f>[1]FİYATLAR!D364</f>
        <v/>
      </c>
      <c r="H364">
        <f>E364*F364</f>
        <v/>
      </c>
      <c r="I364">
        <f>E364*G364</f>
        <v/>
      </c>
    </row>
    <row r="365">
      <c r="A365" s="29">
        <f>[1]FİYATLAR!A365</f>
        <v/>
      </c>
      <c r="B365" s="29">
        <f>[1]FİYATLAR!B365</f>
        <v/>
      </c>
      <c r="C365" s="35">
        <f>INT(A365)</f>
        <v/>
      </c>
      <c r="D365" s="36">
        <f>MONTH(A365)</f>
        <v/>
      </c>
      <c r="F365" s="30">
        <f>[1]FİYATLAR!C365</f>
        <v/>
      </c>
      <c r="G365" s="30">
        <f>[1]FİYATLAR!D365</f>
        <v/>
      </c>
      <c r="H365">
        <f>E365*F365</f>
        <v/>
      </c>
      <c r="I365">
        <f>E365*G365</f>
        <v/>
      </c>
    </row>
    <row r="366">
      <c r="A366" s="29">
        <f>[1]FİYATLAR!A366</f>
        <v/>
      </c>
      <c r="B366" s="29">
        <f>[1]FİYATLAR!B366</f>
        <v/>
      </c>
      <c r="C366" s="35">
        <f>INT(A366)</f>
        <v/>
      </c>
      <c r="D366" s="36">
        <f>MONTH(A366)</f>
        <v/>
      </c>
      <c r="F366" s="30">
        <f>[1]FİYATLAR!C366</f>
        <v/>
      </c>
      <c r="G366" s="30">
        <f>[1]FİYATLAR!D366</f>
        <v/>
      </c>
      <c r="H366">
        <f>E366*F366</f>
        <v/>
      </c>
      <c r="I366">
        <f>E366*G366</f>
        <v/>
      </c>
    </row>
    <row r="367">
      <c r="A367" s="29">
        <f>[1]FİYATLAR!A367</f>
        <v/>
      </c>
      <c r="B367" s="29">
        <f>[1]FİYATLAR!B367</f>
        <v/>
      </c>
      <c r="C367" s="35">
        <f>INT(A367)</f>
        <v/>
      </c>
      <c r="D367" s="36">
        <f>MONTH(A367)</f>
        <v/>
      </c>
      <c r="F367" s="30">
        <f>[1]FİYATLAR!C367</f>
        <v/>
      </c>
      <c r="G367" s="30">
        <f>[1]FİYATLAR!D367</f>
        <v/>
      </c>
      <c r="H367">
        <f>E367*F367</f>
        <v/>
      </c>
      <c r="I367">
        <f>E367*G367</f>
        <v/>
      </c>
    </row>
    <row r="368">
      <c r="A368" s="29">
        <f>[1]FİYATLAR!A368</f>
        <v/>
      </c>
      <c r="B368" s="29">
        <f>[1]FİYATLAR!B368</f>
        <v/>
      </c>
      <c r="C368" s="35">
        <f>INT(A368)</f>
        <v/>
      </c>
      <c r="D368" s="36">
        <f>MONTH(A368)</f>
        <v/>
      </c>
      <c r="F368" s="30">
        <f>[1]FİYATLAR!C368</f>
        <v/>
      </c>
      <c r="G368" s="30">
        <f>[1]FİYATLAR!D368</f>
        <v/>
      </c>
      <c r="H368">
        <f>E368*F368</f>
        <v/>
      </c>
      <c r="I368">
        <f>E368*G368</f>
        <v/>
      </c>
    </row>
    <row r="369">
      <c r="A369" s="29">
        <f>[1]FİYATLAR!A369</f>
        <v/>
      </c>
      <c r="B369" s="29">
        <f>[1]FİYATLAR!B369</f>
        <v/>
      </c>
      <c r="C369" s="35">
        <f>INT(A369)</f>
        <v/>
      </c>
      <c r="D369" s="36">
        <f>MONTH(A369)</f>
        <v/>
      </c>
      <c r="F369" s="30">
        <f>[1]FİYATLAR!C369</f>
        <v/>
      </c>
      <c r="G369" s="30">
        <f>[1]FİYATLAR!D369</f>
        <v/>
      </c>
      <c r="H369">
        <f>E369*F369</f>
        <v/>
      </c>
      <c r="I369">
        <f>E369*G369</f>
        <v/>
      </c>
    </row>
    <row r="370">
      <c r="A370" s="29">
        <f>[1]FİYATLAR!A370</f>
        <v/>
      </c>
      <c r="B370" s="29">
        <f>[1]FİYATLAR!B370</f>
        <v/>
      </c>
      <c r="C370" s="35">
        <f>INT(A370)</f>
        <v/>
      </c>
      <c r="D370" s="36">
        <f>MONTH(A370)</f>
        <v/>
      </c>
      <c r="F370" s="30">
        <f>[1]FİYATLAR!C370</f>
        <v/>
      </c>
      <c r="G370" s="30">
        <f>[1]FİYATLAR!D370</f>
        <v/>
      </c>
      <c r="H370">
        <f>E370*F370</f>
        <v/>
      </c>
      <c r="I370">
        <f>E370*G370</f>
        <v/>
      </c>
    </row>
    <row r="371">
      <c r="A371" s="29">
        <f>[1]FİYATLAR!A371</f>
        <v/>
      </c>
      <c r="B371" s="29">
        <f>[1]FİYATLAR!B371</f>
        <v/>
      </c>
      <c r="C371" s="35">
        <f>INT(A371)</f>
        <v/>
      </c>
      <c r="D371" s="36">
        <f>MONTH(A371)</f>
        <v/>
      </c>
      <c r="F371" s="30">
        <f>[1]FİYATLAR!C371</f>
        <v/>
      </c>
      <c r="G371" s="30">
        <f>[1]FİYATLAR!D371</f>
        <v/>
      </c>
      <c r="H371">
        <f>E371*F371</f>
        <v/>
      </c>
      <c r="I371">
        <f>E371*G371</f>
        <v/>
      </c>
    </row>
    <row r="372">
      <c r="A372" s="29">
        <f>[1]FİYATLAR!A372</f>
        <v/>
      </c>
      <c r="B372" s="29">
        <f>[1]FİYATLAR!B372</f>
        <v/>
      </c>
      <c r="C372" s="35">
        <f>INT(A372)</f>
        <v/>
      </c>
      <c r="D372" s="36">
        <f>MONTH(A372)</f>
        <v/>
      </c>
      <c r="F372" s="30">
        <f>[1]FİYATLAR!C372</f>
        <v/>
      </c>
      <c r="G372" s="30">
        <f>[1]FİYATLAR!D372</f>
        <v/>
      </c>
      <c r="H372">
        <f>E372*F372</f>
        <v/>
      </c>
      <c r="I372">
        <f>E372*G372</f>
        <v/>
      </c>
    </row>
    <row r="373">
      <c r="A373" s="29">
        <f>[1]FİYATLAR!A373</f>
        <v/>
      </c>
      <c r="B373" s="29">
        <f>[1]FİYATLAR!B373</f>
        <v/>
      </c>
      <c r="C373" s="35">
        <f>INT(A373)</f>
        <v/>
      </c>
      <c r="D373" s="36">
        <f>MONTH(A373)</f>
        <v/>
      </c>
      <c r="F373" s="30">
        <f>[1]FİYATLAR!C373</f>
        <v/>
      </c>
      <c r="G373" s="30">
        <f>[1]FİYATLAR!D373</f>
        <v/>
      </c>
      <c r="H373">
        <f>E373*F373</f>
        <v/>
      </c>
      <c r="I373">
        <f>E373*G373</f>
        <v/>
      </c>
    </row>
    <row r="374">
      <c r="A374" s="29">
        <f>[1]FİYATLAR!A374</f>
        <v/>
      </c>
      <c r="B374" s="29">
        <f>[1]FİYATLAR!B374</f>
        <v/>
      </c>
      <c r="C374" s="35">
        <f>INT(A374)</f>
        <v/>
      </c>
      <c r="D374" s="36">
        <f>MONTH(A374)</f>
        <v/>
      </c>
      <c r="F374" s="30">
        <f>[1]FİYATLAR!C374</f>
        <v/>
      </c>
      <c r="G374" s="30">
        <f>[1]FİYATLAR!D374</f>
        <v/>
      </c>
      <c r="H374">
        <f>E374*F374</f>
        <v/>
      </c>
      <c r="I374">
        <f>E374*G374</f>
        <v/>
      </c>
    </row>
    <row r="375">
      <c r="A375" s="29">
        <f>[1]FİYATLAR!A375</f>
        <v/>
      </c>
      <c r="B375" s="29">
        <f>[1]FİYATLAR!B375</f>
        <v/>
      </c>
      <c r="C375" s="35">
        <f>INT(A375)</f>
        <v/>
      </c>
      <c r="D375" s="36">
        <f>MONTH(A375)</f>
        <v/>
      </c>
      <c r="F375" s="30">
        <f>[1]FİYATLAR!C375</f>
        <v/>
      </c>
      <c r="G375" s="30">
        <f>[1]FİYATLAR!D375</f>
        <v/>
      </c>
      <c r="H375">
        <f>E375*F375</f>
        <v/>
      </c>
      <c r="I375">
        <f>E375*G375</f>
        <v/>
      </c>
    </row>
    <row r="376">
      <c r="A376" s="29">
        <f>[1]FİYATLAR!A376</f>
        <v/>
      </c>
      <c r="B376" s="29">
        <f>[1]FİYATLAR!B376</f>
        <v/>
      </c>
      <c r="C376" s="35">
        <f>INT(A376)</f>
        <v/>
      </c>
      <c r="D376" s="36">
        <f>MONTH(A376)</f>
        <v/>
      </c>
      <c r="F376" s="30">
        <f>[1]FİYATLAR!C376</f>
        <v/>
      </c>
      <c r="G376" s="30">
        <f>[1]FİYATLAR!D376</f>
        <v/>
      </c>
      <c r="H376">
        <f>E376*F376</f>
        <v/>
      </c>
      <c r="I376">
        <f>E376*G376</f>
        <v/>
      </c>
    </row>
    <row r="377">
      <c r="A377" s="29">
        <f>[1]FİYATLAR!A377</f>
        <v/>
      </c>
      <c r="B377" s="29">
        <f>[1]FİYATLAR!B377</f>
        <v/>
      </c>
      <c r="C377" s="35">
        <f>INT(A377)</f>
        <v/>
      </c>
      <c r="D377" s="36">
        <f>MONTH(A377)</f>
        <v/>
      </c>
      <c r="F377" s="30">
        <f>[1]FİYATLAR!C377</f>
        <v/>
      </c>
      <c r="G377" s="30">
        <f>[1]FİYATLAR!D377</f>
        <v/>
      </c>
      <c r="H377">
        <f>E377*F377</f>
        <v/>
      </c>
      <c r="I377">
        <f>E377*G377</f>
        <v/>
      </c>
    </row>
    <row r="378">
      <c r="A378" s="29">
        <f>[1]FİYATLAR!A378</f>
        <v/>
      </c>
      <c r="B378" s="29">
        <f>[1]FİYATLAR!B378</f>
        <v/>
      </c>
      <c r="C378" s="35">
        <f>INT(A378)</f>
        <v/>
      </c>
      <c r="D378" s="36">
        <f>MONTH(A378)</f>
        <v/>
      </c>
      <c r="F378" s="30">
        <f>[1]FİYATLAR!C378</f>
        <v/>
      </c>
      <c r="G378" s="30">
        <f>[1]FİYATLAR!D378</f>
        <v/>
      </c>
      <c r="H378">
        <f>E378*F378</f>
        <v/>
      </c>
      <c r="I378">
        <f>E378*G378</f>
        <v/>
      </c>
    </row>
    <row r="379">
      <c r="A379" s="29">
        <f>[1]FİYATLAR!A379</f>
        <v/>
      </c>
      <c r="B379" s="29">
        <f>[1]FİYATLAR!B379</f>
        <v/>
      </c>
      <c r="C379" s="35">
        <f>INT(A379)</f>
        <v/>
      </c>
      <c r="D379" s="36">
        <f>MONTH(A379)</f>
        <v/>
      </c>
      <c r="F379" s="30">
        <f>[1]FİYATLAR!C379</f>
        <v/>
      </c>
      <c r="G379" s="30">
        <f>[1]FİYATLAR!D379</f>
        <v/>
      </c>
      <c r="H379">
        <f>E379*F379</f>
        <v/>
      </c>
      <c r="I379">
        <f>E379*G379</f>
        <v/>
      </c>
    </row>
    <row r="380">
      <c r="A380" s="29">
        <f>[1]FİYATLAR!A380</f>
        <v/>
      </c>
      <c r="B380" s="29">
        <f>[1]FİYATLAR!B380</f>
        <v/>
      </c>
      <c r="C380" s="35">
        <f>INT(A380)</f>
        <v/>
      </c>
      <c r="D380" s="36">
        <f>MONTH(A380)</f>
        <v/>
      </c>
      <c r="F380" s="30">
        <f>[1]FİYATLAR!C380</f>
        <v/>
      </c>
      <c r="G380" s="30">
        <f>[1]FİYATLAR!D380</f>
        <v/>
      </c>
      <c r="H380">
        <f>E380*F380</f>
        <v/>
      </c>
      <c r="I380">
        <f>E380*G380</f>
        <v/>
      </c>
    </row>
    <row r="381">
      <c r="A381" s="29">
        <f>[1]FİYATLAR!A381</f>
        <v/>
      </c>
      <c r="B381" s="29">
        <f>[1]FİYATLAR!B381</f>
        <v/>
      </c>
      <c r="C381" s="35">
        <f>INT(A381)</f>
        <v/>
      </c>
      <c r="D381" s="36">
        <f>MONTH(A381)</f>
        <v/>
      </c>
      <c r="F381" s="30">
        <f>[1]FİYATLAR!C381</f>
        <v/>
      </c>
      <c r="G381" s="30">
        <f>[1]FİYATLAR!D381</f>
        <v/>
      </c>
      <c r="H381">
        <f>E381*F381</f>
        <v/>
      </c>
      <c r="I381">
        <f>E381*G381</f>
        <v/>
      </c>
    </row>
    <row r="382">
      <c r="A382" s="29">
        <f>[1]FİYATLAR!A382</f>
        <v/>
      </c>
      <c r="B382" s="29">
        <f>[1]FİYATLAR!B382</f>
        <v/>
      </c>
      <c r="C382" s="35">
        <f>INT(A382)</f>
        <v/>
      </c>
      <c r="D382" s="36">
        <f>MONTH(A382)</f>
        <v/>
      </c>
      <c r="F382" s="30">
        <f>[1]FİYATLAR!C382</f>
        <v/>
      </c>
      <c r="G382" s="30">
        <f>[1]FİYATLAR!D382</f>
        <v/>
      </c>
      <c r="H382">
        <f>E382*F382</f>
        <v/>
      </c>
      <c r="I382">
        <f>E382*G382</f>
        <v/>
      </c>
    </row>
    <row r="383">
      <c r="A383" s="29">
        <f>[1]FİYATLAR!A383</f>
        <v/>
      </c>
      <c r="B383" s="29">
        <f>[1]FİYATLAR!B383</f>
        <v/>
      </c>
      <c r="C383" s="35">
        <f>INT(A383)</f>
        <v/>
      </c>
      <c r="D383" s="36">
        <f>MONTH(A383)</f>
        <v/>
      </c>
      <c r="F383" s="30">
        <f>[1]FİYATLAR!C383</f>
        <v/>
      </c>
      <c r="G383" s="30">
        <f>[1]FİYATLAR!D383</f>
        <v/>
      </c>
      <c r="H383">
        <f>E383*F383</f>
        <v/>
      </c>
      <c r="I383">
        <f>E383*G383</f>
        <v/>
      </c>
    </row>
    <row r="384">
      <c r="A384" s="29">
        <f>[1]FİYATLAR!A384</f>
        <v/>
      </c>
      <c r="B384" s="29">
        <f>[1]FİYATLAR!B384</f>
        <v/>
      </c>
      <c r="C384" s="35">
        <f>INT(A384)</f>
        <v/>
      </c>
      <c r="D384" s="36">
        <f>MONTH(A384)</f>
        <v/>
      </c>
      <c r="F384" s="30">
        <f>[1]FİYATLAR!C384</f>
        <v/>
      </c>
      <c r="G384" s="30">
        <f>[1]FİYATLAR!D384</f>
        <v/>
      </c>
      <c r="H384">
        <f>E384*F384</f>
        <v/>
      </c>
      <c r="I384">
        <f>E384*G384</f>
        <v/>
      </c>
    </row>
    <row r="385">
      <c r="A385" s="29">
        <f>[1]FİYATLAR!A385</f>
        <v/>
      </c>
      <c r="B385" s="29">
        <f>[1]FİYATLAR!B385</f>
        <v/>
      </c>
      <c r="C385" s="35">
        <f>INT(A385)</f>
        <v/>
      </c>
      <c r="D385" s="36">
        <f>MONTH(A385)</f>
        <v/>
      </c>
      <c r="F385" s="30">
        <f>[1]FİYATLAR!C385</f>
        <v/>
      </c>
      <c r="G385" s="30">
        <f>[1]FİYATLAR!D385</f>
        <v/>
      </c>
      <c r="H385">
        <f>E385*F385</f>
        <v/>
      </c>
      <c r="I385">
        <f>E385*G385</f>
        <v/>
      </c>
    </row>
    <row r="386">
      <c r="A386" s="29">
        <f>[1]FİYATLAR!A386</f>
        <v/>
      </c>
      <c r="B386" s="29">
        <f>[1]FİYATLAR!B386</f>
        <v/>
      </c>
      <c r="C386" s="35">
        <f>INT(A386)</f>
        <v/>
      </c>
      <c r="D386" s="36">
        <f>MONTH(A386)</f>
        <v/>
      </c>
      <c r="F386" s="30">
        <f>[1]FİYATLAR!C386</f>
        <v/>
      </c>
      <c r="G386" s="30">
        <f>[1]FİYATLAR!D386</f>
        <v/>
      </c>
      <c r="H386">
        <f>E386*F386</f>
        <v/>
      </c>
      <c r="I386">
        <f>E386*G386</f>
        <v/>
      </c>
    </row>
    <row r="387">
      <c r="A387" s="29">
        <f>[1]FİYATLAR!A387</f>
        <v/>
      </c>
      <c r="B387" s="29">
        <f>[1]FİYATLAR!B387</f>
        <v/>
      </c>
      <c r="C387" s="35">
        <f>INT(A387)</f>
        <v/>
      </c>
      <c r="D387" s="36">
        <f>MONTH(A387)</f>
        <v/>
      </c>
      <c r="F387" s="30">
        <f>[1]FİYATLAR!C387</f>
        <v/>
      </c>
      <c r="G387" s="30">
        <f>[1]FİYATLAR!D387</f>
        <v/>
      </c>
      <c r="H387">
        <f>E387*F387</f>
        <v/>
      </c>
      <c r="I387">
        <f>E387*G387</f>
        <v/>
      </c>
    </row>
    <row r="388">
      <c r="A388" s="29">
        <f>[1]FİYATLAR!A388</f>
        <v/>
      </c>
      <c r="B388" s="29">
        <f>[1]FİYATLAR!B388</f>
        <v/>
      </c>
      <c r="C388" s="35">
        <f>INT(A388)</f>
        <v/>
      </c>
      <c r="D388" s="36">
        <f>MONTH(A388)</f>
        <v/>
      </c>
      <c r="F388" s="30">
        <f>[1]FİYATLAR!C388</f>
        <v/>
      </c>
      <c r="G388" s="30">
        <f>[1]FİYATLAR!D388</f>
        <v/>
      </c>
      <c r="H388">
        <f>E388*F388</f>
        <v/>
      </c>
      <c r="I388">
        <f>E388*G388</f>
        <v/>
      </c>
    </row>
    <row r="389">
      <c r="A389" s="29">
        <f>[1]FİYATLAR!A389</f>
        <v/>
      </c>
      <c r="B389" s="29">
        <f>[1]FİYATLAR!B389</f>
        <v/>
      </c>
      <c r="C389" s="35">
        <f>INT(A389)</f>
        <v/>
      </c>
      <c r="D389" s="36">
        <f>MONTH(A389)</f>
        <v/>
      </c>
      <c r="F389" s="30">
        <f>[1]FİYATLAR!C389</f>
        <v/>
      </c>
      <c r="G389" s="30">
        <f>[1]FİYATLAR!D389</f>
        <v/>
      </c>
      <c r="H389">
        <f>E389*F389</f>
        <v/>
      </c>
      <c r="I389">
        <f>E389*G389</f>
        <v/>
      </c>
    </row>
    <row r="390">
      <c r="A390" s="29">
        <f>[1]FİYATLAR!A390</f>
        <v/>
      </c>
      <c r="B390" s="29">
        <f>[1]FİYATLAR!B390</f>
        <v/>
      </c>
      <c r="C390" s="35">
        <f>INT(A390)</f>
        <v/>
      </c>
      <c r="D390" s="36">
        <f>MONTH(A390)</f>
        <v/>
      </c>
      <c r="F390" s="30">
        <f>[1]FİYATLAR!C390</f>
        <v/>
      </c>
      <c r="G390" s="30">
        <f>[1]FİYATLAR!D390</f>
        <v/>
      </c>
      <c r="H390">
        <f>E390*F390</f>
        <v/>
      </c>
      <c r="I390">
        <f>E390*G390</f>
        <v/>
      </c>
    </row>
    <row r="391">
      <c r="A391" s="29">
        <f>[1]FİYATLAR!A391</f>
        <v/>
      </c>
      <c r="B391" s="29">
        <f>[1]FİYATLAR!B391</f>
        <v/>
      </c>
      <c r="C391" s="35">
        <f>INT(A391)</f>
        <v/>
      </c>
      <c r="D391" s="36">
        <f>MONTH(A391)</f>
        <v/>
      </c>
      <c r="F391" s="30">
        <f>[1]FİYATLAR!C391</f>
        <v/>
      </c>
      <c r="G391" s="30">
        <f>[1]FİYATLAR!D391</f>
        <v/>
      </c>
      <c r="H391">
        <f>E391*F391</f>
        <v/>
      </c>
      <c r="I391">
        <f>E391*G391</f>
        <v/>
      </c>
    </row>
    <row r="392">
      <c r="A392" s="29">
        <f>[1]FİYATLAR!A392</f>
        <v/>
      </c>
      <c r="B392" s="29">
        <f>[1]FİYATLAR!B392</f>
        <v/>
      </c>
      <c r="C392" s="35">
        <f>INT(A392)</f>
        <v/>
      </c>
      <c r="D392" s="36">
        <f>MONTH(A392)</f>
        <v/>
      </c>
      <c r="F392" s="30">
        <f>[1]FİYATLAR!C392</f>
        <v/>
      </c>
      <c r="G392" s="30">
        <f>[1]FİYATLAR!D392</f>
        <v/>
      </c>
      <c r="H392">
        <f>E392*F392</f>
        <v/>
      </c>
      <c r="I392">
        <f>E392*G392</f>
        <v/>
      </c>
    </row>
    <row r="393">
      <c r="A393" s="29">
        <f>[1]FİYATLAR!A393</f>
        <v/>
      </c>
      <c r="B393" s="29">
        <f>[1]FİYATLAR!B393</f>
        <v/>
      </c>
      <c r="C393" s="35">
        <f>INT(A393)</f>
        <v/>
      </c>
      <c r="D393" s="36">
        <f>MONTH(A393)</f>
        <v/>
      </c>
      <c r="F393" s="30">
        <f>[1]FİYATLAR!C393</f>
        <v/>
      </c>
      <c r="G393" s="30">
        <f>[1]FİYATLAR!D393</f>
        <v/>
      </c>
      <c r="H393">
        <f>E393*F393</f>
        <v/>
      </c>
      <c r="I393">
        <f>E393*G393</f>
        <v/>
      </c>
    </row>
    <row r="394">
      <c r="A394" s="29">
        <f>[1]FİYATLAR!A394</f>
        <v/>
      </c>
      <c r="B394" s="29">
        <f>[1]FİYATLAR!B394</f>
        <v/>
      </c>
      <c r="C394" s="35">
        <f>INT(A394)</f>
        <v/>
      </c>
      <c r="D394" s="36">
        <f>MONTH(A394)</f>
        <v/>
      </c>
      <c r="F394" s="30">
        <f>[1]FİYATLAR!C394</f>
        <v/>
      </c>
      <c r="G394" s="30">
        <f>[1]FİYATLAR!D394</f>
        <v/>
      </c>
      <c r="H394">
        <f>E394*F394</f>
        <v/>
      </c>
      <c r="I394">
        <f>E394*G394</f>
        <v/>
      </c>
    </row>
    <row r="395">
      <c r="A395" s="29">
        <f>[1]FİYATLAR!A395</f>
        <v/>
      </c>
      <c r="B395" s="29">
        <f>[1]FİYATLAR!B395</f>
        <v/>
      </c>
      <c r="C395" s="35">
        <f>INT(A395)</f>
        <v/>
      </c>
      <c r="D395" s="36">
        <f>MONTH(A395)</f>
        <v/>
      </c>
      <c r="F395" s="30">
        <f>[1]FİYATLAR!C395</f>
        <v/>
      </c>
      <c r="G395" s="30">
        <f>[1]FİYATLAR!D395</f>
        <v/>
      </c>
      <c r="H395">
        <f>E395*F395</f>
        <v/>
      </c>
      <c r="I395">
        <f>E395*G395</f>
        <v/>
      </c>
    </row>
    <row r="396">
      <c r="A396" s="29">
        <f>[1]FİYATLAR!A396</f>
        <v/>
      </c>
      <c r="B396" s="29">
        <f>[1]FİYATLAR!B396</f>
        <v/>
      </c>
      <c r="C396" s="35">
        <f>INT(A396)</f>
        <v/>
      </c>
      <c r="D396" s="36">
        <f>MONTH(A396)</f>
        <v/>
      </c>
      <c r="F396" s="30">
        <f>[1]FİYATLAR!C396</f>
        <v/>
      </c>
      <c r="G396" s="30">
        <f>[1]FİYATLAR!D396</f>
        <v/>
      </c>
      <c r="H396">
        <f>E396*F396</f>
        <v/>
      </c>
      <c r="I396">
        <f>E396*G396</f>
        <v/>
      </c>
    </row>
    <row r="397">
      <c r="A397" s="29">
        <f>[1]FİYATLAR!A397</f>
        <v/>
      </c>
      <c r="B397" s="29">
        <f>[1]FİYATLAR!B397</f>
        <v/>
      </c>
      <c r="C397" s="35">
        <f>INT(A397)</f>
        <v/>
      </c>
      <c r="D397" s="36">
        <f>MONTH(A397)</f>
        <v/>
      </c>
      <c r="F397" s="30">
        <f>[1]FİYATLAR!C397</f>
        <v/>
      </c>
      <c r="G397" s="30">
        <f>[1]FİYATLAR!D397</f>
        <v/>
      </c>
      <c r="H397">
        <f>E397*F397</f>
        <v/>
      </c>
      <c r="I397">
        <f>E397*G397</f>
        <v/>
      </c>
    </row>
    <row r="398">
      <c r="A398" s="29">
        <f>[1]FİYATLAR!A398</f>
        <v/>
      </c>
      <c r="B398" s="29">
        <f>[1]FİYATLAR!B398</f>
        <v/>
      </c>
      <c r="C398" s="35">
        <f>INT(A398)</f>
        <v/>
      </c>
      <c r="D398" s="36">
        <f>MONTH(A398)</f>
        <v/>
      </c>
      <c r="F398" s="30">
        <f>[1]FİYATLAR!C398</f>
        <v/>
      </c>
      <c r="G398" s="30">
        <f>[1]FİYATLAR!D398</f>
        <v/>
      </c>
      <c r="H398">
        <f>E398*F398</f>
        <v/>
      </c>
      <c r="I398">
        <f>E398*G398</f>
        <v/>
      </c>
    </row>
    <row r="399">
      <c r="A399" s="29">
        <f>[1]FİYATLAR!A399</f>
        <v/>
      </c>
      <c r="B399" s="29">
        <f>[1]FİYATLAR!B399</f>
        <v/>
      </c>
      <c r="C399" s="35">
        <f>INT(A399)</f>
        <v/>
      </c>
      <c r="D399" s="36">
        <f>MONTH(A399)</f>
        <v/>
      </c>
      <c r="F399" s="30">
        <f>[1]FİYATLAR!C399</f>
        <v/>
      </c>
      <c r="G399" s="30">
        <f>[1]FİYATLAR!D399</f>
        <v/>
      </c>
      <c r="H399">
        <f>E399*F399</f>
        <v/>
      </c>
      <c r="I399">
        <f>E399*G399</f>
        <v/>
      </c>
    </row>
    <row r="400">
      <c r="A400" s="29">
        <f>[1]FİYATLAR!A400</f>
        <v/>
      </c>
      <c r="B400" s="29">
        <f>[1]FİYATLAR!B400</f>
        <v/>
      </c>
      <c r="C400" s="35">
        <f>INT(A400)</f>
        <v/>
      </c>
      <c r="D400" s="36">
        <f>MONTH(A400)</f>
        <v/>
      </c>
      <c r="F400" s="30">
        <f>[1]FİYATLAR!C400</f>
        <v/>
      </c>
      <c r="G400" s="30">
        <f>[1]FİYATLAR!D400</f>
        <v/>
      </c>
      <c r="H400">
        <f>E400*F400</f>
        <v/>
      </c>
      <c r="I400">
        <f>E400*G400</f>
        <v/>
      </c>
    </row>
    <row r="401">
      <c r="A401" s="29">
        <f>[1]FİYATLAR!A401</f>
        <v/>
      </c>
      <c r="B401" s="29">
        <f>[1]FİYATLAR!B401</f>
        <v/>
      </c>
      <c r="C401" s="35">
        <f>INT(A401)</f>
        <v/>
      </c>
      <c r="D401" s="36">
        <f>MONTH(A401)</f>
        <v/>
      </c>
      <c r="F401" s="30">
        <f>[1]FİYATLAR!C401</f>
        <v/>
      </c>
      <c r="G401" s="30">
        <f>[1]FİYATLAR!D401</f>
        <v/>
      </c>
      <c r="H401">
        <f>E401*F401</f>
        <v/>
      </c>
      <c r="I401">
        <f>E401*G401</f>
        <v/>
      </c>
    </row>
    <row r="402">
      <c r="A402" s="29">
        <f>[1]FİYATLAR!A402</f>
        <v/>
      </c>
      <c r="B402" s="29">
        <f>[1]FİYATLAR!B402</f>
        <v/>
      </c>
      <c r="C402" s="35">
        <f>INT(A402)</f>
        <v/>
      </c>
      <c r="D402" s="36">
        <f>MONTH(A402)</f>
        <v/>
      </c>
      <c r="F402" s="30">
        <f>[1]FİYATLAR!C402</f>
        <v/>
      </c>
      <c r="G402" s="30">
        <f>[1]FİYATLAR!D402</f>
        <v/>
      </c>
      <c r="H402">
        <f>E402*F402</f>
        <v/>
      </c>
      <c r="I402">
        <f>E402*G402</f>
        <v/>
      </c>
    </row>
    <row r="403">
      <c r="A403" s="29">
        <f>[1]FİYATLAR!A403</f>
        <v/>
      </c>
      <c r="B403" s="29">
        <f>[1]FİYATLAR!B403</f>
        <v/>
      </c>
      <c r="C403" s="35">
        <f>INT(A403)</f>
        <v/>
      </c>
      <c r="D403" s="36">
        <f>MONTH(A403)</f>
        <v/>
      </c>
      <c r="F403" s="30">
        <f>[1]FİYATLAR!C403</f>
        <v/>
      </c>
      <c r="G403" s="30">
        <f>[1]FİYATLAR!D403</f>
        <v/>
      </c>
      <c r="H403">
        <f>E403*F403</f>
        <v/>
      </c>
      <c r="I403">
        <f>E403*G403</f>
        <v/>
      </c>
    </row>
    <row r="404">
      <c r="A404" s="29">
        <f>[1]FİYATLAR!A404</f>
        <v/>
      </c>
      <c r="B404" s="29">
        <f>[1]FİYATLAR!B404</f>
        <v/>
      </c>
      <c r="C404" s="35">
        <f>INT(A404)</f>
        <v/>
      </c>
      <c r="D404" s="36">
        <f>MONTH(A404)</f>
        <v/>
      </c>
      <c r="F404" s="30">
        <f>[1]FİYATLAR!C404</f>
        <v/>
      </c>
      <c r="G404" s="30">
        <f>[1]FİYATLAR!D404</f>
        <v/>
      </c>
      <c r="H404">
        <f>E404*F404</f>
        <v/>
      </c>
      <c r="I404">
        <f>E404*G404</f>
        <v/>
      </c>
    </row>
    <row r="405">
      <c r="A405" s="29">
        <f>[1]FİYATLAR!A405</f>
        <v/>
      </c>
      <c r="B405" s="29">
        <f>[1]FİYATLAR!B405</f>
        <v/>
      </c>
      <c r="C405" s="35">
        <f>INT(A405)</f>
        <v/>
      </c>
      <c r="D405" s="36">
        <f>MONTH(A405)</f>
        <v/>
      </c>
      <c r="F405" s="30">
        <f>[1]FİYATLAR!C405</f>
        <v/>
      </c>
      <c r="G405" s="30">
        <f>[1]FİYATLAR!D405</f>
        <v/>
      </c>
      <c r="H405">
        <f>E405*F405</f>
        <v/>
      </c>
      <c r="I405">
        <f>E405*G405</f>
        <v/>
      </c>
    </row>
    <row r="406">
      <c r="A406" s="29">
        <f>[1]FİYATLAR!A406</f>
        <v/>
      </c>
      <c r="B406" s="29">
        <f>[1]FİYATLAR!B406</f>
        <v/>
      </c>
      <c r="C406" s="35">
        <f>INT(A406)</f>
        <v/>
      </c>
      <c r="D406" s="36">
        <f>MONTH(A406)</f>
        <v/>
      </c>
      <c r="F406" s="30">
        <f>[1]FİYATLAR!C406</f>
        <v/>
      </c>
      <c r="G406" s="30">
        <f>[1]FİYATLAR!D406</f>
        <v/>
      </c>
      <c r="H406">
        <f>E406*F406</f>
        <v/>
      </c>
      <c r="I406">
        <f>E406*G406</f>
        <v/>
      </c>
    </row>
    <row r="407">
      <c r="A407" s="29">
        <f>[1]FİYATLAR!A407</f>
        <v/>
      </c>
      <c r="B407" s="29">
        <f>[1]FİYATLAR!B407</f>
        <v/>
      </c>
      <c r="C407" s="35">
        <f>INT(A407)</f>
        <v/>
      </c>
      <c r="D407" s="36">
        <f>MONTH(A407)</f>
        <v/>
      </c>
      <c r="F407" s="30">
        <f>[1]FİYATLAR!C407</f>
        <v/>
      </c>
      <c r="G407" s="30">
        <f>[1]FİYATLAR!D407</f>
        <v/>
      </c>
      <c r="H407">
        <f>E407*F407</f>
        <v/>
      </c>
      <c r="I407">
        <f>E407*G407</f>
        <v/>
      </c>
    </row>
    <row r="408">
      <c r="A408" s="29">
        <f>[1]FİYATLAR!A408</f>
        <v/>
      </c>
      <c r="B408" s="29">
        <f>[1]FİYATLAR!B408</f>
        <v/>
      </c>
      <c r="C408" s="35">
        <f>INT(A408)</f>
        <v/>
      </c>
      <c r="D408" s="36">
        <f>MONTH(A408)</f>
        <v/>
      </c>
      <c r="F408" s="30">
        <f>[1]FİYATLAR!C408</f>
        <v/>
      </c>
      <c r="G408" s="30">
        <f>[1]FİYATLAR!D408</f>
        <v/>
      </c>
      <c r="H408">
        <f>E408*F408</f>
        <v/>
      </c>
      <c r="I408">
        <f>E408*G408</f>
        <v/>
      </c>
    </row>
    <row r="409">
      <c r="A409" s="29">
        <f>[1]FİYATLAR!A409</f>
        <v/>
      </c>
      <c r="B409" s="29">
        <f>[1]FİYATLAR!B409</f>
        <v/>
      </c>
      <c r="C409" s="35">
        <f>INT(A409)</f>
        <v/>
      </c>
      <c r="D409" s="36">
        <f>MONTH(A409)</f>
        <v/>
      </c>
      <c r="F409" s="30">
        <f>[1]FİYATLAR!C409</f>
        <v/>
      </c>
      <c r="G409" s="30">
        <f>[1]FİYATLAR!D409</f>
        <v/>
      </c>
      <c r="H409">
        <f>E409*F409</f>
        <v/>
      </c>
      <c r="I409">
        <f>E409*G409</f>
        <v/>
      </c>
    </row>
    <row r="410">
      <c r="A410" s="29">
        <f>[1]FİYATLAR!A410</f>
        <v/>
      </c>
      <c r="B410" s="29">
        <f>[1]FİYATLAR!B410</f>
        <v/>
      </c>
      <c r="C410" s="35">
        <f>INT(A410)</f>
        <v/>
      </c>
      <c r="D410" s="36">
        <f>MONTH(A410)</f>
        <v/>
      </c>
      <c r="F410" s="30">
        <f>[1]FİYATLAR!C410</f>
        <v/>
      </c>
      <c r="G410" s="30">
        <f>[1]FİYATLAR!D410</f>
        <v/>
      </c>
      <c r="H410">
        <f>E410*F410</f>
        <v/>
      </c>
      <c r="I410">
        <f>E410*G410</f>
        <v/>
      </c>
    </row>
    <row r="411">
      <c r="A411" s="29">
        <f>[1]FİYATLAR!A411</f>
        <v/>
      </c>
      <c r="B411" s="29">
        <f>[1]FİYATLAR!B411</f>
        <v/>
      </c>
      <c r="C411" s="35">
        <f>INT(A411)</f>
        <v/>
      </c>
      <c r="D411" s="36">
        <f>MONTH(A411)</f>
        <v/>
      </c>
      <c r="F411" s="30">
        <f>[1]FİYATLAR!C411</f>
        <v/>
      </c>
      <c r="G411" s="30">
        <f>[1]FİYATLAR!D411</f>
        <v/>
      </c>
      <c r="H411">
        <f>E411*F411</f>
        <v/>
      </c>
      <c r="I411">
        <f>E411*G411</f>
        <v/>
      </c>
    </row>
    <row r="412">
      <c r="A412" s="29">
        <f>[1]FİYATLAR!A412</f>
        <v/>
      </c>
      <c r="B412" s="29">
        <f>[1]FİYATLAR!B412</f>
        <v/>
      </c>
      <c r="C412" s="35">
        <f>INT(A412)</f>
        <v/>
      </c>
      <c r="D412" s="36">
        <f>MONTH(A412)</f>
        <v/>
      </c>
      <c r="F412" s="30">
        <f>[1]FİYATLAR!C412</f>
        <v/>
      </c>
      <c r="G412" s="30">
        <f>[1]FİYATLAR!D412</f>
        <v/>
      </c>
      <c r="H412">
        <f>E412*F412</f>
        <v/>
      </c>
      <c r="I412">
        <f>E412*G412</f>
        <v/>
      </c>
    </row>
    <row r="413">
      <c r="A413" s="29">
        <f>[1]FİYATLAR!A413</f>
        <v/>
      </c>
      <c r="B413" s="29">
        <f>[1]FİYATLAR!B413</f>
        <v/>
      </c>
      <c r="C413" s="35">
        <f>INT(A413)</f>
        <v/>
      </c>
      <c r="D413" s="36">
        <f>MONTH(A413)</f>
        <v/>
      </c>
      <c r="F413" s="30">
        <f>[1]FİYATLAR!C413</f>
        <v/>
      </c>
      <c r="G413" s="30">
        <f>[1]FİYATLAR!D413</f>
        <v/>
      </c>
      <c r="H413">
        <f>E413*F413</f>
        <v/>
      </c>
      <c r="I413">
        <f>E413*G413</f>
        <v/>
      </c>
    </row>
    <row r="414">
      <c r="A414" s="29">
        <f>[1]FİYATLAR!A414</f>
        <v/>
      </c>
      <c r="B414" s="29">
        <f>[1]FİYATLAR!B414</f>
        <v/>
      </c>
      <c r="C414" s="35">
        <f>INT(A414)</f>
        <v/>
      </c>
      <c r="D414" s="36">
        <f>MONTH(A414)</f>
        <v/>
      </c>
      <c r="F414" s="30">
        <f>[1]FİYATLAR!C414</f>
        <v/>
      </c>
      <c r="G414" s="30">
        <f>[1]FİYATLAR!D414</f>
        <v/>
      </c>
      <c r="H414">
        <f>E414*F414</f>
        <v/>
      </c>
      <c r="I414">
        <f>E414*G414</f>
        <v/>
      </c>
    </row>
    <row r="415">
      <c r="A415" s="29">
        <f>[1]FİYATLAR!A415</f>
        <v/>
      </c>
      <c r="B415" s="29">
        <f>[1]FİYATLAR!B415</f>
        <v/>
      </c>
      <c r="C415" s="35">
        <f>INT(A415)</f>
        <v/>
      </c>
      <c r="D415" s="36">
        <f>MONTH(A415)</f>
        <v/>
      </c>
      <c r="F415" s="30">
        <f>[1]FİYATLAR!C415</f>
        <v/>
      </c>
      <c r="G415" s="30">
        <f>[1]FİYATLAR!D415</f>
        <v/>
      </c>
      <c r="H415">
        <f>E415*F415</f>
        <v/>
      </c>
      <c r="I415">
        <f>E415*G415</f>
        <v/>
      </c>
    </row>
    <row r="416">
      <c r="A416" s="29">
        <f>[1]FİYATLAR!A416</f>
        <v/>
      </c>
      <c r="B416" s="29">
        <f>[1]FİYATLAR!B416</f>
        <v/>
      </c>
      <c r="C416" s="35">
        <f>INT(A416)</f>
        <v/>
      </c>
      <c r="D416" s="36">
        <f>MONTH(A416)</f>
        <v/>
      </c>
      <c r="F416" s="30">
        <f>[1]FİYATLAR!C416</f>
        <v/>
      </c>
      <c r="G416" s="30">
        <f>[1]FİYATLAR!D416</f>
        <v/>
      </c>
      <c r="H416">
        <f>E416*F416</f>
        <v/>
      </c>
      <c r="I416">
        <f>E416*G416</f>
        <v/>
      </c>
    </row>
    <row r="417">
      <c r="A417" s="29">
        <f>[1]FİYATLAR!A417</f>
        <v/>
      </c>
      <c r="B417" s="29">
        <f>[1]FİYATLAR!B417</f>
        <v/>
      </c>
      <c r="C417" s="35">
        <f>INT(A417)</f>
        <v/>
      </c>
      <c r="D417" s="36">
        <f>MONTH(A417)</f>
        <v/>
      </c>
      <c r="F417" s="30">
        <f>[1]FİYATLAR!C417</f>
        <v/>
      </c>
      <c r="G417" s="30">
        <f>[1]FİYATLAR!D417</f>
        <v/>
      </c>
      <c r="H417">
        <f>E417*F417</f>
        <v/>
      </c>
      <c r="I417">
        <f>E417*G417</f>
        <v/>
      </c>
    </row>
    <row r="418">
      <c r="A418" s="29">
        <f>[1]FİYATLAR!A418</f>
        <v/>
      </c>
      <c r="B418" s="29">
        <f>[1]FİYATLAR!B418</f>
        <v/>
      </c>
      <c r="C418" s="35">
        <f>INT(A418)</f>
        <v/>
      </c>
      <c r="D418" s="36">
        <f>MONTH(A418)</f>
        <v/>
      </c>
      <c r="F418" s="30">
        <f>[1]FİYATLAR!C418</f>
        <v/>
      </c>
      <c r="G418" s="30">
        <f>[1]FİYATLAR!D418</f>
        <v/>
      </c>
      <c r="H418">
        <f>E418*F418</f>
        <v/>
      </c>
      <c r="I418">
        <f>E418*G418</f>
        <v/>
      </c>
    </row>
    <row r="419">
      <c r="A419" s="29">
        <f>[1]FİYATLAR!A419</f>
        <v/>
      </c>
      <c r="B419" s="29">
        <f>[1]FİYATLAR!B419</f>
        <v/>
      </c>
      <c r="C419" s="35">
        <f>INT(A419)</f>
        <v/>
      </c>
      <c r="D419" s="36">
        <f>MONTH(A419)</f>
        <v/>
      </c>
      <c r="F419" s="30">
        <f>[1]FİYATLAR!C419</f>
        <v/>
      </c>
      <c r="G419" s="30">
        <f>[1]FİYATLAR!D419</f>
        <v/>
      </c>
      <c r="H419">
        <f>E419*F419</f>
        <v/>
      </c>
      <c r="I419">
        <f>E419*G419</f>
        <v/>
      </c>
    </row>
    <row r="420">
      <c r="A420" s="29">
        <f>[1]FİYATLAR!A420</f>
        <v/>
      </c>
      <c r="B420" s="29">
        <f>[1]FİYATLAR!B420</f>
        <v/>
      </c>
      <c r="C420" s="35">
        <f>INT(A420)</f>
        <v/>
      </c>
      <c r="D420" s="36">
        <f>MONTH(A420)</f>
        <v/>
      </c>
      <c r="F420" s="30">
        <f>[1]FİYATLAR!C420</f>
        <v/>
      </c>
      <c r="G420" s="30">
        <f>[1]FİYATLAR!D420</f>
        <v/>
      </c>
      <c r="H420">
        <f>E420*F420</f>
        <v/>
      </c>
      <c r="I420">
        <f>E420*G420</f>
        <v/>
      </c>
    </row>
    <row r="421">
      <c r="A421" s="29">
        <f>[1]FİYATLAR!A421</f>
        <v/>
      </c>
      <c r="B421" s="29">
        <f>[1]FİYATLAR!B421</f>
        <v/>
      </c>
      <c r="C421" s="35">
        <f>INT(A421)</f>
        <v/>
      </c>
      <c r="D421" s="36">
        <f>MONTH(A421)</f>
        <v/>
      </c>
      <c r="F421" s="30">
        <f>[1]FİYATLAR!C421</f>
        <v/>
      </c>
      <c r="G421" s="30">
        <f>[1]FİYATLAR!D421</f>
        <v/>
      </c>
      <c r="H421">
        <f>E421*F421</f>
        <v/>
      </c>
      <c r="I421">
        <f>E421*G421</f>
        <v/>
      </c>
    </row>
    <row r="422">
      <c r="A422" s="29">
        <f>[1]FİYATLAR!A422</f>
        <v/>
      </c>
      <c r="B422" s="29">
        <f>[1]FİYATLAR!B422</f>
        <v/>
      </c>
      <c r="C422" s="35">
        <f>INT(A422)</f>
        <v/>
      </c>
      <c r="D422" s="36">
        <f>MONTH(A422)</f>
        <v/>
      </c>
      <c r="F422" s="30">
        <f>[1]FİYATLAR!C422</f>
        <v/>
      </c>
      <c r="G422" s="30">
        <f>[1]FİYATLAR!D422</f>
        <v/>
      </c>
      <c r="H422">
        <f>E422*F422</f>
        <v/>
      </c>
      <c r="I422">
        <f>E422*G422</f>
        <v/>
      </c>
    </row>
    <row r="423">
      <c r="A423" s="29">
        <f>[1]FİYATLAR!A423</f>
        <v/>
      </c>
      <c r="B423" s="29">
        <f>[1]FİYATLAR!B423</f>
        <v/>
      </c>
      <c r="C423" s="35">
        <f>INT(A423)</f>
        <v/>
      </c>
      <c r="D423" s="36">
        <f>MONTH(A423)</f>
        <v/>
      </c>
      <c r="F423" s="30">
        <f>[1]FİYATLAR!C423</f>
        <v/>
      </c>
      <c r="G423" s="30">
        <f>[1]FİYATLAR!D423</f>
        <v/>
      </c>
      <c r="H423">
        <f>E423*F423</f>
        <v/>
      </c>
      <c r="I423">
        <f>E423*G423</f>
        <v/>
      </c>
    </row>
    <row r="424">
      <c r="A424" s="29">
        <f>[1]FİYATLAR!A424</f>
        <v/>
      </c>
      <c r="B424" s="29">
        <f>[1]FİYATLAR!B424</f>
        <v/>
      </c>
      <c r="C424" s="35">
        <f>INT(A424)</f>
        <v/>
      </c>
      <c r="D424" s="36">
        <f>MONTH(A424)</f>
        <v/>
      </c>
      <c r="F424" s="30">
        <f>[1]FİYATLAR!C424</f>
        <v/>
      </c>
      <c r="G424" s="30">
        <f>[1]FİYATLAR!D424</f>
        <v/>
      </c>
      <c r="H424">
        <f>E424*F424</f>
        <v/>
      </c>
      <c r="I424">
        <f>E424*G424</f>
        <v/>
      </c>
    </row>
    <row r="425">
      <c r="A425" s="29">
        <f>[1]FİYATLAR!A425</f>
        <v/>
      </c>
      <c r="B425" s="29">
        <f>[1]FİYATLAR!B425</f>
        <v/>
      </c>
      <c r="C425" s="35">
        <f>INT(A425)</f>
        <v/>
      </c>
      <c r="D425" s="36">
        <f>MONTH(A425)</f>
        <v/>
      </c>
      <c r="F425" s="30">
        <f>[1]FİYATLAR!C425</f>
        <v/>
      </c>
      <c r="G425" s="30">
        <f>[1]FİYATLAR!D425</f>
        <v/>
      </c>
      <c r="H425">
        <f>E425*F425</f>
        <v/>
      </c>
      <c r="I425">
        <f>E425*G425</f>
        <v/>
      </c>
    </row>
    <row r="426">
      <c r="A426" s="29">
        <f>[1]FİYATLAR!A426</f>
        <v/>
      </c>
      <c r="B426" s="29">
        <f>[1]FİYATLAR!B426</f>
        <v/>
      </c>
      <c r="C426" s="35">
        <f>INT(A426)</f>
        <v/>
      </c>
      <c r="D426" s="36">
        <f>MONTH(A426)</f>
        <v/>
      </c>
      <c r="F426" s="30">
        <f>[1]FİYATLAR!C426</f>
        <v/>
      </c>
      <c r="G426" s="30">
        <f>[1]FİYATLAR!D426</f>
        <v/>
      </c>
      <c r="H426">
        <f>E426*F426</f>
        <v/>
      </c>
      <c r="I426">
        <f>E426*G426</f>
        <v/>
      </c>
    </row>
    <row r="427">
      <c r="A427" s="29">
        <f>[1]FİYATLAR!A427</f>
        <v/>
      </c>
      <c r="B427" s="29">
        <f>[1]FİYATLAR!B427</f>
        <v/>
      </c>
      <c r="C427" s="35">
        <f>INT(A427)</f>
        <v/>
      </c>
      <c r="D427" s="36">
        <f>MONTH(A427)</f>
        <v/>
      </c>
      <c r="F427" s="30">
        <f>[1]FİYATLAR!C427</f>
        <v/>
      </c>
      <c r="G427" s="30">
        <f>[1]FİYATLAR!D427</f>
        <v/>
      </c>
      <c r="H427">
        <f>E427*F427</f>
        <v/>
      </c>
      <c r="I427">
        <f>E427*G427</f>
        <v/>
      </c>
    </row>
    <row r="428">
      <c r="A428" s="29">
        <f>[1]FİYATLAR!A428</f>
        <v/>
      </c>
      <c r="B428" s="29">
        <f>[1]FİYATLAR!B428</f>
        <v/>
      </c>
      <c r="C428" s="35">
        <f>INT(A428)</f>
        <v/>
      </c>
      <c r="D428" s="36">
        <f>MONTH(A428)</f>
        <v/>
      </c>
      <c r="F428" s="30">
        <f>[1]FİYATLAR!C428</f>
        <v/>
      </c>
      <c r="G428" s="30">
        <f>[1]FİYATLAR!D428</f>
        <v/>
      </c>
      <c r="H428">
        <f>E428*F428</f>
        <v/>
      </c>
      <c r="I428">
        <f>E428*G428</f>
        <v/>
      </c>
    </row>
    <row r="429">
      <c r="A429" s="29">
        <f>[1]FİYATLAR!A429</f>
        <v/>
      </c>
      <c r="B429" s="29">
        <f>[1]FİYATLAR!B429</f>
        <v/>
      </c>
      <c r="C429" s="35">
        <f>INT(A429)</f>
        <v/>
      </c>
      <c r="D429" s="36">
        <f>MONTH(A429)</f>
        <v/>
      </c>
      <c r="F429" s="30">
        <f>[1]FİYATLAR!C429</f>
        <v/>
      </c>
      <c r="G429" s="30">
        <f>[1]FİYATLAR!D429</f>
        <v/>
      </c>
      <c r="H429">
        <f>E429*F429</f>
        <v/>
      </c>
      <c r="I429">
        <f>E429*G429</f>
        <v/>
      </c>
    </row>
    <row r="430">
      <c r="A430" s="29">
        <f>[1]FİYATLAR!A430</f>
        <v/>
      </c>
      <c r="B430" s="29">
        <f>[1]FİYATLAR!B430</f>
        <v/>
      </c>
      <c r="C430" s="35">
        <f>INT(A430)</f>
        <v/>
      </c>
      <c r="D430" s="36">
        <f>MONTH(A430)</f>
        <v/>
      </c>
      <c r="F430" s="30">
        <f>[1]FİYATLAR!C430</f>
        <v/>
      </c>
      <c r="G430" s="30">
        <f>[1]FİYATLAR!D430</f>
        <v/>
      </c>
      <c r="H430">
        <f>E430*F430</f>
        <v/>
      </c>
      <c r="I430">
        <f>E430*G430</f>
        <v/>
      </c>
    </row>
    <row r="431">
      <c r="A431" s="29">
        <f>[1]FİYATLAR!A431</f>
        <v/>
      </c>
      <c r="B431" s="29">
        <f>[1]FİYATLAR!B431</f>
        <v/>
      </c>
      <c r="C431" s="35">
        <f>INT(A431)</f>
        <v/>
      </c>
      <c r="D431" s="36">
        <f>MONTH(A431)</f>
        <v/>
      </c>
      <c r="F431" s="30">
        <f>[1]FİYATLAR!C431</f>
        <v/>
      </c>
      <c r="G431" s="30">
        <f>[1]FİYATLAR!D431</f>
        <v/>
      </c>
      <c r="H431">
        <f>E431*F431</f>
        <v/>
      </c>
      <c r="I431">
        <f>E431*G431</f>
        <v/>
      </c>
    </row>
    <row r="432">
      <c r="A432" s="29">
        <f>[1]FİYATLAR!A432</f>
        <v/>
      </c>
      <c r="B432" s="29">
        <f>[1]FİYATLAR!B432</f>
        <v/>
      </c>
      <c r="C432" s="35">
        <f>INT(A432)</f>
        <v/>
      </c>
      <c r="D432" s="36">
        <f>MONTH(A432)</f>
        <v/>
      </c>
      <c r="F432" s="30">
        <f>[1]FİYATLAR!C432</f>
        <v/>
      </c>
      <c r="G432" s="30">
        <f>[1]FİYATLAR!D432</f>
        <v/>
      </c>
      <c r="H432">
        <f>E432*F432</f>
        <v/>
      </c>
      <c r="I432">
        <f>E432*G432</f>
        <v/>
      </c>
    </row>
    <row r="433">
      <c r="A433" s="29">
        <f>[1]FİYATLAR!A433</f>
        <v/>
      </c>
      <c r="B433" s="29">
        <f>[1]FİYATLAR!B433</f>
        <v/>
      </c>
      <c r="C433" s="35">
        <f>INT(A433)</f>
        <v/>
      </c>
      <c r="D433" s="36">
        <f>MONTH(A433)</f>
        <v/>
      </c>
      <c r="F433" s="30">
        <f>[1]FİYATLAR!C433</f>
        <v/>
      </c>
      <c r="G433" s="30">
        <f>[1]FİYATLAR!D433</f>
        <v/>
      </c>
      <c r="H433">
        <f>E433*F433</f>
        <v/>
      </c>
      <c r="I433">
        <f>E433*G433</f>
        <v/>
      </c>
    </row>
    <row r="434">
      <c r="A434" s="29">
        <f>[1]FİYATLAR!A434</f>
        <v/>
      </c>
      <c r="B434" s="29">
        <f>[1]FİYATLAR!B434</f>
        <v/>
      </c>
      <c r="C434" s="35">
        <f>INT(A434)</f>
        <v/>
      </c>
      <c r="D434" s="36">
        <f>MONTH(A434)</f>
        <v/>
      </c>
      <c r="F434" s="30">
        <f>[1]FİYATLAR!C434</f>
        <v/>
      </c>
      <c r="G434" s="30">
        <f>[1]FİYATLAR!D434</f>
        <v/>
      </c>
      <c r="H434">
        <f>E434*F434</f>
        <v/>
      </c>
      <c r="I434">
        <f>E434*G434</f>
        <v/>
      </c>
    </row>
    <row r="435">
      <c r="A435" s="29">
        <f>[1]FİYATLAR!A435</f>
        <v/>
      </c>
      <c r="B435" s="29">
        <f>[1]FİYATLAR!B435</f>
        <v/>
      </c>
      <c r="C435" s="35">
        <f>INT(A435)</f>
        <v/>
      </c>
      <c r="D435" s="36">
        <f>MONTH(A435)</f>
        <v/>
      </c>
      <c r="F435" s="30">
        <f>[1]FİYATLAR!C435</f>
        <v/>
      </c>
      <c r="G435" s="30">
        <f>[1]FİYATLAR!D435</f>
        <v/>
      </c>
      <c r="H435">
        <f>E435*F435</f>
        <v/>
      </c>
      <c r="I435">
        <f>E435*G435</f>
        <v/>
      </c>
    </row>
    <row r="436">
      <c r="A436" s="29">
        <f>[1]FİYATLAR!A436</f>
        <v/>
      </c>
      <c r="B436" s="29">
        <f>[1]FİYATLAR!B436</f>
        <v/>
      </c>
      <c r="C436" s="35">
        <f>INT(A436)</f>
        <v/>
      </c>
      <c r="D436" s="36">
        <f>MONTH(A436)</f>
        <v/>
      </c>
      <c r="F436" s="30">
        <f>[1]FİYATLAR!C436</f>
        <v/>
      </c>
      <c r="G436" s="30">
        <f>[1]FİYATLAR!D436</f>
        <v/>
      </c>
      <c r="H436">
        <f>E436*F436</f>
        <v/>
      </c>
      <c r="I436">
        <f>E436*G436</f>
        <v/>
      </c>
    </row>
    <row r="437">
      <c r="A437" s="29">
        <f>[1]FİYATLAR!A437</f>
        <v/>
      </c>
      <c r="B437" s="29">
        <f>[1]FİYATLAR!B437</f>
        <v/>
      </c>
      <c r="C437" s="35">
        <f>INT(A437)</f>
        <v/>
      </c>
      <c r="D437" s="36">
        <f>MONTH(A437)</f>
        <v/>
      </c>
      <c r="F437" s="30">
        <f>[1]FİYATLAR!C437</f>
        <v/>
      </c>
      <c r="G437" s="30">
        <f>[1]FİYATLAR!D437</f>
        <v/>
      </c>
      <c r="H437">
        <f>E437*F437</f>
        <v/>
      </c>
      <c r="I437">
        <f>E437*G437</f>
        <v/>
      </c>
    </row>
    <row r="438">
      <c r="A438" s="29">
        <f>[1]FİYATLAR!A438</f>
        <v/>
      </c>
      <c r="B438" s="29">
        <f>[1]FİYATLAR!B438</f>
        <v/>
      </c>
      <c r="C438" s="35">
        <f>INT(A438)</f>
        <v/>
      </c>
      <c r="D438" s="36">
        <f>MONTH(A438)</f>
        <v/>
      </c>
      <c r="F438" s="30">
        <f>[1]FİYATLAR!C438</f>
        <v/>
      </c>
      <c r="G438" s="30">
        <f>[1]FİYATLAR!D438</f>
        <v/>
      </c>
      <c r="H438">
        <f>E438*F438</f>
        <v/>
      </c>
      <c r="I438">
        <f>E438*G438</f>
        <v/>
      </c>
    </row>
    <row r="439">
      <c r="A439" s="29">
        <f>[1]FİYATLAR!A439</f>
        <v/>
      </c>
      <c r="B439" s="29">
        <f>[1]FİYATLAR!B439</f>
        <v/>
      </c>
      <c r="C439" s="35">
        <f>INT(A439)</f>
        <v/>
      </c>
      <c r="D439" s="36">
        <f>MONTH(A439)</f>
        <v/>
      </c>
      <c r="F439" s="30">
        <f>[1]FİYATLAR!C439</f>
        <v/>
      </c>
      <c r="G439" s="30">
        <f>[1]FİYATLAR!D439</f>
        <v/>
      </c>
      <c r="H439">
        <f>E439*F439</f>
        <v/>
      </c>
      <c r="I439">
        <f>E439*G439</f>
        <v/>
      </c>
    </row>
    <row r="440">
      <c r="A440" s="29">
        <f>[1]FİYATLAR!A440</f>
        <v/>
      </c>
      <c r="B440" s="29">
        <f>[1]FİYATLAR!B440</f>
        <v/>
      </c>
      <c r="C440" s="35">
        <f>INT(A440)</f>
        <v/>
      </c>
      <c r="D440" s="36">
        <f>MONTH(A440)</f>
        <v/>
      </c>
      <c r="F440" s="30">
        <f>[1]FİYATLAR!C440</f>
        <v/>
      </c>
      <c r="G440" s="30">
        <f>[1]FİYATLAR!D440</f>
        <v/>
      </c>
      <c r="H440">
        <f>E440*F440</f>
        <v/>
      </c>
      <c r="I440">
        <f>E440*G440</f>
        <v/>
      </c>
    </row>
    <row r="441">
      <c r="A441" s="29">
        <f>[1]FİYATLAR!A441</f>
        <v/>
      </c>
      <c r="B441" s="29">
        <f>[1]FİYATLAR!B441</f>
        <v/>
      </c>
      <c r="C441" s="35">
        <f>INT(A441)</f>
        <v/>
      </c>
      <c r="D441" s="36">
        <f>MONTH(A441)</f>
        <v/>
      </c>
      <c r="F441" s="30">
        <f>[1]FİYATLAR!C441</f>
        <v/>
      </c>
      <c r="G441" s="30">
        <f>[1]FİYATLAR!D441</f>
        <v/>
      </c>
      <c r="H441">
        <f>E441*F441</f>
        <v/>
      </c>
      <c r="I441">
        <f>E441*G441</f>
        <v/>
      </c>
    </row>
    <row r="442">
      <c r="A442" s="29">
        <f>[1]FİYATLAR!A442</f>
        <v/>
      </c>
      <c r="B442" s="29">
        <f>[1]FİYATLAR!B442</f>
        <v/>
      </c>
      <c r="C442" s="35">
        <f>INT(A442)</f>
        <v/>
      </c>
      <c r="D442" s="36">
        <f>MONTH(A442)</f>
        <v/>
      </c>
      <c r="F442" s="30">
        <f>[1]FİYATLAR!C442</f>
        <v/>
      </c>
      <c r="G442" s="30">
        <f>[1]FİYATLAR!D442</f>
        <v/>
      </c>
      <c r="H442">
        <f>E442*F442</f>
        <v/>
      </c>
      <c r="I442">
        <f>E442*G442</f>
        <v/>
      </c>
    </row>
    <row r="443">
      <c r="A443" s="29">
        <f>[1]FİYATLAR!A443</f>
        <v/>
      </c>
      <c r="B443" s="29">
        <f>[1]FİYATLAR!B443</f>
        <v/>
      </c>
      <c r="C443" s="35">
        <f>INT(A443)</f>
        <v/>
      </c>
      <c r="D443" s="36">
        <f>MONTH(A443)</f>
        <v/>
      </c>
      <c r="F443" s="30">
        <f>[1]FİYATLAR!C443</f>
        <v/>
      </c>
      <c r="G443" s="30">
        <f>[1]FİYATLAR!D443</f>
        <v/>
      </c>
      <c r="H443">
        <f>E443*F443</f>
        <v/>
      </c>
      <c r="I443">
        <f>E443*G443</f>
        <v/>
      </c>
    </row>
    <row r="444">
      <c r="A444" s="29">
        <f>[1]FİYATLAR!A444</f>
        <v/>
      </c>
      <c r="B444" s="29">
        <f>[1]FİYATLAR!B444</f>
        <v/>
      </c>
      <c r="C444" s="35">
        <f>INT(A444)</f>
        <v/>
      </c>
      <c r="D444" s="36">
        <f>MONTH(A444)</f>
        <v/>
      </c>
      <c r="F444" s="30">
        <f>[1]FİYATLAR!C444</f>
        <v/>
      </c>
      <c r="G444" s="30">
        <f>[1]FİYATLAR!D444</f>
        <v/>
      </c>
      <c r="H444">
        <f>E444*F444</f>
        <v/>
      </c>
      <c r="I444">
        <f>E444*G444</f>
        <v/>
      </c>
    </row>
    <row r="445">
      <c r="A445" s="29">
        <f>[1]FİYATLAR!A445</f>
        <v/>
      </c>
      <c r="B445" s="29">
        <f>[1]FİYATLAR!B445</f>
        <v/>
      </c>
      <c r="C445" s="35">
        <f>INT(A445)</f>
        <v/>
      </c>
      <c r="D445" s="36">
        <f>MONTH(A445)</f>
        <v/>
      </c>
      <c r="F445" s="30">
        <f>[1]FİYATLAR!C445</f>
        <v/>
      </c>
      <c r="G445" s="30">
        <f>[1]FİYATLAR!D445</f>
        <v/>
      </c>
      <c r="H445">
        <f>E445*F445</f>
        <v/>
      </c>
      <c r="I445">
        <f>E445*G445</f>
        <v/>
      </c>
    </row>
    <row r="446">
      <c r="A446" s="29">
        <f>[1]FİYATLAR!A446</f>
        <v/>
      </c>
      <c r="B446" s="29">
        <f>[1]FİYATLAR!B446</f>
        <v/>
      </c>
      <c r="C446" s="35">
        <f>INT(A446)</f>
        <v/>
      </c>
      <c r="D446" s="36">
        <f>MONTH(A446)</f>
        <v/>
      </c>
      <c r="F446" s="30">
        <f>[1]FİYATLAR!C446</f>
        <v/>
      </c>
      <c r="G446" s="30">
        <f>[1]FİYATLAR!D446</f>
        <v/>
      </c>
      <c r="H446">
        <f>E446*F446</f>
        <v/>
      </c>
      <c r="I446">
        <f>E446*G446</f>
        <v/>
      </c>
    </row>
    <row r="447">
      <c r="A447" s="29">
        <f>[1]FİYATLAR!A447</f>
        <v/>
      </c>
      <c r="B447" s="29">
        <f>[1]FİYATLAR!B447</f>
        <v/>
      </c>
      <c r="C447" s="35">
        <f>INT(A447)</f>
        <v/>
      </c>
      <c r="D447" s="36">
        <f>MONTH(A447)</f>
        <v/>
      </c>
      <c r="F447" s="30">
        <f>[1]FİYATLAR!C447</f>
        <v/>
      </c>
      <c r="G447" s="30">
        <f>[1]FİYATLAR!D447</f>
        <v/>
      </c>
      <c r="H447">
        <f>E447*F447</f>
        <v/>
      </c>
      <c r="I447">
        <f>E447*G447</f>
        <v/>
      </c>
    </row>
    <row r="448">
      <c r="A448" s="29">
        <f>[1]FİYATLAR!A448</f>
        <v/>
      </c>
      <c r="B448" s="29">
        <f>[1]FİYATLAR!B448</f>
        <v/>
      </c>
      <c r="C448" s="35">
        <f>INT(A448)</f>
        <v/>
      </c>
      <c r="D448" s="36">
        <f>MONTH(A448)</f>
        <v/>
      </c>
      <c r="F448" s="30">
        <f>[1]FİYATLAR!C448</f>
        <v/>
      </c>
      <c r="G448" s="30">
        <f>[1]FİYATLAR!D448</f>
        <v/>
      </c>
      <c r="H448">
        <f>E448*F448</f>
        <v/>
      </c>
      <c r="I448">
        <f>E448*G448</f>
        <v/>
      </c>
    </row>
    <row r="449">
      <c r="A449" s="29">
        <f>[1]FİYATLAR!A449</f>
        <v/>
      </c>
      <c r="B449" s="29">
        <f>[1]FİYATLAR!B449</f>
        <v/>
      </c>
      <c r="C449" s="35">
        <f>INT(A449)</f>
        <v/>
      </c>
      <c r="D449" s="36">
        <f>MONTH(A449)</f>
        <v/>
      </c>
      <c r="F449" s="30">
        <f>[1]FİYATLAR!C449</f>
        <v/>
      </c>
      <c r="G449" s="30">
        <f>[1]FİYATLAR!D449</f>
        <v/>
      </c>
      <c r="H449">
        <f>E449*F449</f>
        <v/>
      </c>
      <c r="I449">
        <f>E449*G449</f>
        <v/>
      </c>
    </row>
    <row r="450">
      <c r="A450" s="29">
        <f>[1]FİYATLAR!A450</f>
        <v/>
      </c>
      <c r="B450" s="29">
        <f>[1]FİYATLAR!B450</f>
        <v/>
      </c>
      <c r="C450" s="35">
        <f>INT(A450)</f>
        <v/>
      </c>
      <c r="D450" s="36">
        <f>MONTH(A450)</f>
        <v/>
      </c>
      <c r="F450" s="30">
        <f>[1]FİYATLAR!C450</f>
        <v/>
      </c>
      <c r="G450" s="30">
        <f>[1]FİYATLAR!D450</f>
        <v/>
      </c>
      <c r="H450">
        <f>E450*F450</f>
        <v/>
      </c>
      <c r="I450">
        <f>E450*G450</f>
        <v/>
      </c>
    </row>
    <row r="451">
      <c r="A451" s="29">
        <f>[1]FİYATLAR!A451</f>
        <v/>
      </c>
      <c r="B451" s="29">
        <f>[1]FİYATLAR!B451</f>
        <v/>
      </c>
      <c r="C451" s="35">
        <f>INT(A451)</f>
        <v/>
      </c>
      <c r="D451" s="36">
        <f>MONTH(A451)</f>
        <v/>
      </c>
      <c r="F451" s="30">
        <f>[1]FİYATLAR!C451</f>
        <v/>
      </c>
      <c r="G451" s="30">
        <f>[1]FİYATLAR!D451</f>
        <v/>
      </c>
      <c r="H451">
        <f>E451*F451</f>
        <v/>
      </c>
      <c r="I451">
        <f>E451*G451</f>
        <v/>
      </c>
    </row>
    <row r="452">
      <c r="A452" s="29">
        <f>[1]FİYATLAR!A452</f>
        <v/>
      </c>
      <c r="B452" s="29">
        <f>[1]FİYATLAR!B452</f>
        <v/>
      </c>
      <c r="C452" s="35">
        <f>INT(A452)</f>
        <v/>
      </c>
      <c r="D452" s="36">
        <f>MONTH(A452)</f>
        <v/>
      </c>
      <c r="F452" s="30">
        <f>[1]FİYATLAR!C452</f>
        <v/>
      </c>
      <c r="G452" s="30">
        <f>[1]FİYATLAR!D452</f>
        <v/>
      </c>
      <c r="H452">
        <f>E452*F452</f>
        <v/>
      </c>
      <c r="I452">
        <f>E452*G452</f>
        <v/>
      </c>
    </row>
    <row r="453">
      <c r="A453" s="29">
        <f>[1]FİYATLAR!A453</f>
        <v/>
      </c>
      <c r="B453" s="29">
        <f>[1]FİYATLAR!B453</f>
        <v/>
      </c>
      <c r="C453" s="35">
        <f>INT(A453)</f>
        <v/>
      </c>
      <c r="D453" s="36">
        <f>MONTH(A453)</f>
        <v/>
      </c>
      <c r="F453" s="30">
        <f>[1]FİYATLAR!C453</f>
        <v/>
      </c>
      <c r="G453" s="30">
        <f>[1]FİYATLAR!D453</f>
        <v/>
      </c>
      <c r="H453">
        <f>E453*F453</f>
        <v/>
      </c>
      <c r="I453">
        <f>E453*G453</f>
        <v/>
      </c>
    </row>
    <row r="454">
      <c r="A454" s="29">
        <f>[1]FİYATLAR!A454</f>
        <v/>
      </c>
      <c r="B454" s="29">
        <f>[1]FİYATLAR!B454</f>
        <v/>
      </c>
      <c r="C454" s="35">
        <f>INT(A454)</f>
        <v/>
      </c>
      <c r="D454" s="36">
        <f>MONTH(A454)</f>
        <v/>
      </c>
      <c r="F454" s="30">
        <f>[1]FİYATLAR!C454</f>
        <v/>
      </c>
      <c r="G454" s="30">
        <f>[1]FİYATLAR!D454</f>
        <v/>
      </c>
      <c r="H454">
        <f>E454*F454</f>
        <v/>
      </c>
      <c r="I454">
        <f>E454*G454</f>
        <v/>
      </c>
    </row>
    <row r="455">
      <c r="A455" s="29">
        <f>[1]FİYATLAR!A455</f>
        <v/>
      </c>
      <c r="B455" s="29">
        <f>[1]FİYATLAR!B455</f>
        <v/>
      </c>
      <c r="C455" s="35">
        <f>INT(A455)</f>
        <v/>
      </c>
      <c r="D455" s="36">
        <f>MONTH(A455)</f>
        <v/>
      </c>
      <c r="F455" s="30">
        <f>[1]FİYATLAR!C455</f>
        <v/>
      </c>
      <c r="G455" s="30">
        <f>[1]FİYATLAR!D455</f>
        <v/>
      </c>
      <c r="H455">
        <f>E455*F455</f>
        <v/>
      </c>
      <c r="I455">
        <f>E455*G455</f>
        <v/>
      </c>
    </row>
    <row r="456">
      <c r="A456" s="29">
        <f>[1]FİYATLAR!A456</f>
        <v/>
      </c>
      <c r="B456" s="29">
        <f>[1]FİYATLAR!B456</f>
        <v/>
      </c>
      <c r="C456" s="35">
        <f>INT(A456)</f>
        <v/>
      </c>
      <c r="D456" s="36">
        <f>MONTH(A456)</f>
        <v/>
      </c>
      <c r="F456" s="30">
        <f>[1]FİYATLAR!C456</f>
        <v/>
      </c>
      <c r="G456" s="30">
        <f>[1]FİYATLAR!D456</f>
        <v/>
      </c>
      <c r="H456">
        <f>E456*F456</f>
        <v/>
      </c>
      <c r="I456">
        <f>E456*G456</f>
        <v/>
      </c>
    </row>
    <row r="457">
      <c r="A457" s="29">
        <f>[1]FİYATLAR!A457</f>
        <v/>
      </c>
      <c r="B457" s="29">
        <f>[1]FİYATLAR!B457</f>
        <v/>
      </c>
      <c r="C457" s="35">
        <f>INT(A457)</f>
        <v/>
      </c>
      <c r="D457" s="36">
        <f>MONTH(A457)</f>
        <v/>
      </c>
      <c r="F457" s="30">
        <f>[1]FİYATLAR!C457</f>
        <v/>
      </c>
      <c r="G457" s="30">
        <f>[1]FİYATLAR!D457</f>
        <v/>
      </c>
      <c r="H457">
        <f>E457*F457</f>
        <v/>
      </c>
      <c r="I457">
        <f>E457*G457</f>
        <v/>
      </c>
    </row>
    <row r="458">
      <c r="A458" s="29">
        <f>[1]FİYATLAR!A458</f>
        <v/>
      </c>
      <c r="B458" s="29">
        <f>[1]FİYATLAR!B458</f>
        <v/>
      </c>
      <c r="C458" s="35">
        <f>INT(A458)</f>
        <v/>
      </c>
      <c r="D458" s="36">
        <f>MONTH(A458)</f>
        <v/>
      </c>
      <c r="F458" s="30">
        <f>[1]FİYATLAR!C458</f>
        <v/>
      </c>
      <c r="G458" s="30">
        <f>[1]FİYATLAR!D458</f>
        <v/>
      </c>
      <c r="H458">
        <f>E458*F458</f>
        <v/>
      </c>
      <c r="I458">
        <f>E458*G458</f>
        <v/>
      </c>
    </row>
    <row r="459">
      <c r="A459" s="29">
        <f>[1]FİYATLAR!A459</f>
        <v/>
      </c>
      <c r="B459" s="29">
        <f>[1]FİYATLAR!B459</f>
        <v/>
      </c>
      <c r="C459" s="35">
        <f>INT(A459)</f>
        <v/>
      </c>
      <c r="D459" s="36">
        <f>MONTH(A459)</f>
        <v/>
      </c>
      <c r="F459" s="30">
        <f>[1]FİYATLAR!C459</f>
        <v/>
      </c>
      <c r="G459" s="30">
        <f>[1]FİYATLAR!D459</f>
        <v/>
      </c>
      <c r="H459">
        <f>E459*F459</f>
        <v/>
      </c>
      <c r="I459">
        <f>E459*G459</f>
        <v/>
      </c>
    </row>
    <row r="460">
      <c r="A460" s="29">
        <f>[1]FİYATLAR!A460</f>
        <v/>
      </c>
      <c r="B460" s="29">
        <f>[1]FİYATLAR!B460</f>
        <v/>
      </c>
      <c r="C460" s="35">
        <f>INT(A460)</f>
        <v/>
      </c>
      <c r="D460" s="36">
        <f>MONTH(A460)</f>
        <v/>
      </c>
      <c r="F460" s="30">
        <f>[1]FİYATLAR!C460</f>
        <v/>
      </c>
      <c r="G460" s="30">
        <f>[1]FİYATLAR!D460</f>
        <v/>
      </c>
      <c r="H460">
        <f>E460*F460</f>
        <v/>
      </c>
      <c r="I460">
        <f>E460*G460</f>
        <v/>
      </c>
    </row>
    <row r="461">
      <c r="A461" s="29">
        <f>[1]FİYATLAR!A461</f>
        <v/>
      </c>
      <c r="B461" s="29">
        <f>[1]FİYATLAR!B461</f>
        <v/>
      </c>
      <c r="C461" s="35">
        <f>INT(A461)</f>
        <v/>
      </c>
      <c r="D461" s="36">
        <f>MONTH(A461)</f>
        <v/>
      </c>
      <c r="F461" s="30">
        <f>[1]FİYATLAR!C461</f>
        <v/>
      </c>
      <c r="G461" s="30">
        <f>[1]FİYATLAR!D461</f>
        <v/>
      </c>
      <c r="H461">
        <f>E461*F461</f>
        <v/>
      </c>
      <c r="I461">
        <f>E461*G461</f>
        <v/>
      </c>
    </row>
    <row r="462">
      <c r="A462" s="29">
        <f>[1]FİYATLAR!A462</f>
        <v/>
      </c>
      <c r="B462" s="29">
        <f>[1]FİYATLAR!B462</f>
        <v/>
      </c>
      <c r="C462" s="35">
        <f>INT(A462)</f>
        <v/>
      </c>
      <c r="D462" s="36">
        <f>MONTH(A462)</f>
        <v/>
      </c>
      <c r="F462" s="30">
        <f>[1]FİYATLAR!C462</f>
        <v/>
      </c>
      <c r="G462" s="30">
        <f>[1]FİYATLAR!D462</f>
        <v/>
      </c>
      <c r="H462">
        <f>E462*F462</f>
        <v/>
      </c>
      <c r="I462">
        <f>E462*G462</f>
        <v/>
      </c>
    </row>
    <row r="463">
      <c r="A463" s="29">
        <f>[1]FİYATLAR!A463</f>
        <v/>
      </c>
      <c r="B463" s="29">
        <f>[1]FİYATLAR!B463</f>
        <v/>
      </c>
      <c r="C463" s="35">
        <f>INT(A463)</f>
        <v/>
      </c>
      <c r="D463" s="36">
        <f>MONTH(A463)</f>
        <v/>
      </c>
      <c r="F463" s="30">
        <f>[1]FİYATLAR!C463</f>
        <v/>
      </c>
      <c r="G463" s="30">
        <f>[1]FİYATLAR!D463</f>
        <v/>
      </c>
      <c r="H463">
        <f>E463*F463</f>
        <v/>
      </c>
      <c r="I463">
        <f>E463*G463</f>
        <v/>
      </c>
    </row>
    <row r="464">
      <c r="A464" s="29">
        <f>[1]FİYATLAR!A464</f>
        <v/>
      </c>
      <c r="B464" s="29">
        <f>[1]FİYATLAR!B464</f>
        <v/>
      </c>
      <c r="C464" s="35">
        <f>INT(A464)</f>
        <v/>
      </c>
      <c r="D464" s="36">
        <f>MONTH(A464)</f>
        <v/>
      </c>
      <c r="F464" s="30">
        <f>[1]FİYATLAR!C464</f>
        <v/>
      </c>
      <c r="G464" s="30">
        <f>[1]FİYATLAR!D464</f>
        <v/>
      </c>
      <c r="H464">
        <f>E464*F464</f>
        <v/>
      </c>
      <c r="I464">
        <f>E464*G464</f>
        <v/>
      </c>
    </row>
    <row r="465">
      <c r="A465" s="29">
        <f>[1]FİYATLAR!A465</f>
        <v/>
      </c>
      <c r="B465" s="29">
        <f>[1]FİYATLAR!B465</f>
        <v/>
      </c>
      <c r="C465" s="35">
        <f>INT(A465)</f>
        <v/>
      </c>
      <c r="D465" s="36">
        <f>MONTH(A465)</f>
        <v/>
      </c>
      <c r="F465" s="30">
        <f>[1]FİYATLAR!C465</f>
        <v/>
      </c>
      <c r="G465" s="30">
        <f>[1]FİYATLAR!D465</f>
        <v/>
      </c>
      <c r="H465">
        <f>E465*F465</f>
        <v/>
      </c>
      <c r="I465">
        <f>E465*G465</f>
        <v/>
      </c>
    </row>
    <row r="466">
      <c r="A466" s="29">
        <f>[1]FİYATLAR!A466</f>
        <v/>
      </c>
      <c r="B466" s="29">
        <f>[1]FİYATLAR!B466</f>
        <v/>
      </c>
      <c r="C466" s="35">
        <f>INT(A466)</f>
        <v/>
      </c>
      <c r="D466" s="36">
        <f>MONTH(A466)</f>
        <v/>
      </c>
      <c r="F466" s="30">
        <f>[1]FİYATLAR!C466</f>
        <v/>
      </c>
      <c r="G466" s="30">
        <f>[1]FİYATLAR!D466</f>
        <v/>
      </c>
      <c r="H466">
        <f>E466*F466</f>
        <v/>
      </c>
      <c r="I466">
        <f>E466*G466</f>
        <v/>
      </c>
    </row>
    <row r="467">
      <c r="A467" s="29">
        <f>[1]FİYATLAR!A467</f>
        <v/>
      </c>
      <c r="B467" s="29">
        <f>[1]FİYATLAR!B467</f>
        <v/>
      </c>
      <c r="C467" s="35">
        <f>INT(A467)</f>
        <v/>
      </c>
      <c r="D467" s="36">
        <f>MONTH(A467)</f>
        <v/>
      </c>
      <c r="F467" s="30">
        <f>[1]FİYATLAR!C467</f>
        <v/>
      </c>
      <c r="G467" s="30">
        <f>[1]FİYATLAR!D467</f>
        <v/>
      </c>
      <c r="H467">
        <f>E467*F467</f>
        <v/>
      </c>
      <c r="I467">
        <f>E467*G467</f>
        <v/>
      </c>
    </row>
    <row r="468">
      <c r="A468" s="29">
        <f>[1]FİYATLAR!A468</f>
        <v/>
      </c>
      <c r="B468" s="29">
        <f>[1]FİYATLAR!B468</f>
        <v/>
      </c>
      <c r="C468" s="35">
        <f>INT(A468)</f>
        <v/>
      </c>
      <c r="D468" s="36">
        <f>MONTH(A468)</f>
        <v/>
      </c>
      <c r="F468" s="30">
        <f>[1]FİYATLAR!C468</f>
        <v/>
      </c>
      <c r="G468" s="30">
        <f>[1]FİYATLAR!D468</f>
        <v/>
      </c>
      <c r="H468">
        <f>E468*F468</f>
        <v/>
      </c>
      <c r="I468">
        <f>E468*G468</f>
        <v/>
      </c>
    </row>
    <row r="469">
      <c r="A469" s="29">
        <f>[1]FİYATLAR!A469</f>
        <v/>
      </c>
      <c r="B469" s="29">
        <f>[1]FİYATLAR!B469</f>
        <v/>
      </c>
      <c r="C469" s="35">
        <f>INT(A469)</f>
        <v/>
      </c>
      <c r="D469" s="36">
        <f>MONTH(A469)</f>
        <v/>
      </c>
      <c r="F469" s="30">
        <f>[1]FİYATLAR!C469</f>
        <v/>
      </c>
      <c r="G469" s="30">
        <f>[1]FİYATLAR!D469</f>
        <v/>
      </c>
      <c r="H469">
        <f>E469*F469</f>
        <v/>
      </c>
      <c r="I469">
        <f>E469*G469</f>
        <v/>
      </c>
    </row>
    <row r="470">
      <c r="A470" s="29">
        <f>[1]FİYATLAR!A470</f>
        <v/>
      </c>
      <c r="B470" s="29">
        <f>[1]FİYATLAR!B470</f>
        <v/>
      </c>
      <c r="C470" s="35">
        <f>INT(A470)</f>
        <v/>
      </c>
      <c r="D470" s="36">
        <f>MONTH(A470)</f>
        <v/>
      </c>
      <c r="F470" s="30">
        <f>[1]FİYATLAR!C470</f>
        <v/>
      </c>
      <c r="G470" s="30">
        <f>[1]FİYATLAR!D470</f>
        <v/>
      </c>
      <c r="H470">
        <f>E470*F470</f>
        <v/>
      </c>
      <c r="I470">
        <f>E470*G470</f>
        <v/>
      </c>
    </row>
    <row r="471">
      <c r="A471" s="29">
        <f>[1]FİYATLAR!A471</f>
        <v/>
      </c>
      <c r="B471" s="29">
        <f>[1]FİYATLAR!B471</f>
        <v/>
      </c>
      <c r="C471" s="35">
        <f>INT(A471)</f>
        <v/>
      </c>
      <c r="D471" s="36">
        <f>MONTH(A471)</f>
        <v/>
      </c>
      <c r="F471" s="30">
        <f>[1]FİYATLAR!C471</f>
        <v/>
      </c>
      <c r="G471" s="30">
        <f>[1]FİYATLAR!D471</f>
        <v/>
      </c>
      <c r="H471">
        <f>E471*F471</f>
        <v/>
      </c>
      <c r="I471">
        <f>E471*G471</f>
        <v/>
      </c>
    </row>
    <row r="472">
      <c r="A472" s="29">
        <f>[1]FİYATLAR!A472</f>
        <v/>
      </c>
      <c r="B472" s="29">
        <f>[1]FİYATLAR!B472</f>
        <v/>
      </c>
      <c r="C472" s="35">
        <f>INT(A472)</f>
        <v/>
      </c>
      <c r="D472" s="36">
        <f>MONTH(A472)</f>
        <v/>
      </c>
      <c r="F472" s="30">
        <f>[1]FİYATLAR!C472</f>
        <v/>
      </c>
      <c r="G472" s="30">
        <f>[1]FİYATLAR!D472</f>
        <v/>
      </c>
      <c r="H472">
        <f>E472*F472</f>
        <v/>
      </c>
      <c r="I472">
        <f>E472*G472</f>
        <v/>
      </c>
    </row>
    <row r="473">
      <c r="A473" s="29">
        <f>[1]FİYATLAR!A473</f>
        <v/>
      </c>
      <c r="B473" s="29">
        <f>[1]FİYATLAR!B473</f>
        <v/>
      </c>
      <c r="C473" s="35">
        <f>INT(A473)</f>
        <v/>
      </c>
      <c r="D473" s="36">
        <f>MONTH(A473)</f>
        <v/>
      </c>
      <c r="F473" s="30">
        <f>[1]FİYATLAR!C473</f>
        <v/>
      </c>
      <c r="G473" s="30">
        <f>[1]FİYATLAR!D473</f>
        <v/>
      </c>
      <c r="H473">
        <f>E473*F473</f>
        <v/>
      </c>
      <c r="I473">
        <f>E473*G473</f>
        <v/>
      </c>
    </row>
    <row r="474">
      <c r="A474" s="29">
        <f>[1]FİYATLAR!A474</f>
        <v/>
      </c>
      <c r="B474" s="29">
        <f>[1]FİYATLAR!B474</f>
        <v/>
      </c>
      <c r="C474" s="35">
        <f>INT(A474)</f>
        <v/>
      </c>
      <c r="D474" s="36">
        <f>MONTH(A474)</f>
        <v/>
      </c>
      <c r="F474" s="30">
        <f>[1]FİYATLAR!C474</f>
        <v/>
      </c>
      <c r="G474" s="30">
        <f>[1]FİYATLAR!D474</f>
        <v/>
      </c>
      <c r="H474">
        <f>E474*F474</f>
        <v/>
      </c>
      <c r="I474">
        <f>E474*G474</f>
        <v/>
      </c>
    </row>
    <row r="475">
      <c r="A475" s="29">
        <f>[1]FİYATLAR!A475</f>
        <v/>
      </c>
      <c r="B475" s="29">
        <f>[1]FİYATLAR!B475</f>
        <v/>
      </c>
      <c r="C475" s="35">
        <f>INT(A475)</f>
        <v/>
      </c>
      <c r="D475" s="36">
        <f>MONTH(A475)</f>
        <v/>
      </c>
      <c r="F475" s="30">
        <f>[1]FİYATLAR!C475</f>
        <v/>
      </c>
      <c r="G475" s="30">
        <f>[1]FİYATLAR!D475</f>
        <v/>
      </c>
      <c r="H475">
        <f>E475*F475</f>
        <v/>
      </c>
      <c r="I475">
        <f>E475*G475</f>
        <v/>
      </c>
    </row>
    <row r="476">
      <c r="A476" s="29">
        <f>[1]FİYATLAR!A476</f>
        <v/>
      </c>
      <c r="B476" s="29">
        <f>[1]FİYATLAR!B476</f>
        <v/>
      </c>
      <c r="C476" s="35">
        <f>INT(A476)</f>
        <v/>
      </c>
      <c r="D476" s="36">
        <f>MONTH(A476)</f>
        <v/>
      </c>
      <c r="F476" s="30">
        <f>[1]FİYATLAR!C476</f>
        <v/>
      </c>
      <c r="G476" s="30">
        <f>[1]FİYATLAR!D476</f>
        <v/>
      </c>
      <c r="H476">
        <f>E476*F476</f>
        <v/>
      </c>
      <c r="I476">
        <f>E476*G476</f>
        <v/>
      </c>
    </row>
    <row r="477">
      <c r="A477" s="29">
        <f>[1]FİYATLAR!A477</f>
        <v/>
      </c>
      <c r="B477" s="29">
        <f>[1]FİYATLAR!B477</f>
        <v/>
      </c>
      <c r="C477" s="35">
        <f>INT(A477)</f>
        <v/>
      </c>
      <c r="D477" s="36">
        <f>MONTH(A477)</f>
        <v/>
      </c>
      <c r="F477" s="30">
        <f>[1]FİYATLAR!C477</f>
        <v/>
      </c>
      <c r="G477" s="30">
        <f>[1]FİYATLAR!D477</f>
        <v/>
      </c>
      <c r="H477">
        <f>E477*F477</f>
        <v/>
      </c>
      <c r="I477">
        <f>E477*G477</f>
        <v/>
      </c>
    </row>
    <row r="478">
      <c r="A478" s="29">
        <f>[1]FİYATLAR!A478</f>
        <v/>
      </c>
      <c r="B478" s="29">
        <f>[1]FİYATLAR!B478</f>
        <v/>
      </c>
      <c r="C478" s="35">
        <f>INT(A478)</f>
        <v/>
      </c>
      <c r="D478" s="36">
        <f>MONTH(A478)</f>
        <v/>
      </c>
      <c r="F478" s="30">
        <f>[1]FİYATLAR!C478</f>
        <v/>
      </c>
      <c r="G478" s="30">
        <f>[1]FİYATLAR!D478</f>
        <v/>
      </c>
      <c r="H478">
        <f>E478*F478</f>
        <v/>
      </c>
      <c r="I478">
        <f>E478*G478</f>
        <v/>
      </c>
    </row>
    <row r="479">
      <c r="A479" s="29">
        <f>[1]FİYATLAR!A479</f>
        <v/>
      </c>
      <c r="B479" s="29">
        <f>[1]FİYATLAR!B479</f>
        <v/>
      </c>
      <c r="C479" s="35">
        <f>INT(A479)</f>
        <v/>
      </c>
      <c r="D479" s="36">
        <f>MONTH(A479)</f>
        <v/>
      </c>
      <c r="F479" s="30">
        <f>[1]FİYATLAR!C479</f>
        <v/>
      </c>
      <c r="G479" s="30">
        <f>[1]FİYATLAR!D479</f>
        <v/>
      </c>
      <c r="H479">
        <f>E479*F479</f>
        <v/>
      </c>
      <c r="I479">
        <f>E479*G479</f>
        <v/>
      </c>
    </row>
    <row r="480">
      <c r="A480" s="29">
        <f>[1]FİYATLAR!A480</f>
        <v/>
      </c>
      <c r="B480" s="29">
        <f>[1]FİYATLAR!B480</f>
        <v/>
      </c>
      <c r="C480" s="35">
        <f>INT(A480)</f>
        <v/>
      </c>
      <c r="D480" s="36">
        <f>MONTH(A480)</f>
        <v/>
      </c>
      <c r="F480" s="30">
        <f>[1]FİYATLAR!C480</f>
        <v/>
      </c>
      <c r="G480" s="30">
        <f>[1]FİYATLAR!D480</f>
        <v/>
      </c>
      <c r="H480">
        <f>E480*F480</f>
        <v/>
      </c>
      <c r="I480">
        <f>E480*G480</f>
        <v/>
      </c>
    </row>
    <row r="481">
      <c r="A481" s="29">
        <f>[1]FİYATLAR!A481</f>
        <v/>
      </c>
      <c r="B481" s="29">
        <f>[1]FİYATLAR!B481</f>
        <v/>
      </c>
      <c r="C481" s="35">
        <f>INT(A481)</f>
        <v/>
      </c>
      <c r="D481" s="36">
        <f>MONTH(A481)</f>
        <v/>
      </c>
      <c r="F481" s="30">
        <f>[1]FİYATLAR!C481</f>
        <v/>
      </c>
      <c r="G481" s="30">
        <f>[1]FİYATLAR!D481</f>
        <v/>
      </c>
      <c r="H481">
        <f>E481*F481</f>
        <v/>
      </c>
      <c r="I481">
        <f>E481*G481</f>
        <v/>
      </c>
    </row>
    <row r="482">
      <c r="A482" s="29">
        <f>[1]FİYATLAR!A482</f>
        <v/>
      </c>
      <c r="B482" s="29">
        <f>[1]FİYATLAR!B482</f>
        <v/>
      </c>
      <c r="C482" s="35">
        <f>INT(A482)</f>
        <v/>
      </c>
      <c r="D482" s="36">
        <f>MONTH(A482)</f>
        <v/>
      </c>
      <c r="F482" s="30">
        <f>[1]FİYATLAR!C482</f>
        <v/>
      </c>
      <c r="G482" s="30">
        <f>[1]FİYATLAR!D482</f>
        <v/>
      </c>
      <c r="H482">
        <f>E482*F482</f>
        <v/>
      </c>
      <c r="I482">
        <f>E482*G482</f>
        <v/>
      </c>
    </row>
    <row r="483">
      <c r="A483" s="29">
        <f>[1]FİYATLAR!A483</f>
        <v/>
      </c>
      <c r="B483" s="29">
        <f>[1]FİYATLAR!B483</f>
        <v/>
      </c>
      <c r="C483" s="35">
        <f>INT(A483)</f>
        <v/>
      </c>
      <c r="D483" s="36">
        <f>MONTH(A483)</f>
        <v/>
      </c>
      <c r="F483" s="30">
        <f>[1]FİYATLAR!C483</f>
        <v/>
      </c>
      <c r="G483" s="30">
        <f>[1]FİYATLAR!D483</f>
        <v/>
      </c>
      <c r="H483">
        <f>E483*F483</f>
        <v/>
      </c>
      <c r="I483">
        <f>E483*G483</f>
        <v/>
      </c>
    </row>
    <row r="484">
      <c r="A484" s="29">
        <f>[1]FİYATLAR!A484</f>
        <v/>
      </c>
      <c r="B484" s="29">
        <f>[1]FİYATLAR!B484</f>
        <v/>
      </c>
      <c r="C484" s="35">
        <f>INT(A484)</f>
        <v/>
      </c>
      <c r="D484" s="36">
        <f>MONTH(A484)</f>
        <v/>
      </c>
      <c r="F484" s="30">
        <f>[1]FİYATLAR!C484</f>
        <v/>
      </c>
      <c r="G484" s="30">
        <f>[1]FİYATLAR!D484</f>
        <v/>
      </c>
      <c r="H484">
        <f>E484*F484</f>
        <v/>
      </c>
      <c r="I484">
        <f>E484*G484</f>
        <v/>
      </c>
    </row>
    <row r="485">
      <c r="A485" s="29">
        <f>[1]FİYATLAR!A485</f>
        <v/>
      </c>
      <c r="B485" s="29">
        <f>[1]FİYATLAR!B485</f>
        <v/>
      </c>
      <c r="C485" s="35">
        <f>INT(A485)</f>
        <v/>
      </c>
      <c r="D485" s="36">
        <f>MONTH(A485)</f>
        <v/>
      </c>
      <c r="F485" s="30">
        <f>[1]FİYATLAR!C485</f>
        <v/>
      </c>
      <c r="G485" s="30">
        <f>[1]FİYATLAR!D485</f>
        <v/>
      </c>
      <c r="H485">
        <f>E485*F485</f>
        <v/>
      </c>
      <c r="I485">
        <f>E485*G485</f>
        <v/>
      </c>
    </row>
    <row r="486">
      <c r="A486" s="29">
        <f>[1]FİYATLAR!A486</f>
        <v/>
      </c>
      <c r="B486" s="29">
        <f>[1]FİYATLAR!B486</f>
        <v/>
      </c>
      <c r="C486" s="35">
        <f>INT(A486)</f>
        <v/>
      </c>
      <c r="D486" s="36">
        <f>MONTH(A486)</f>
        <v/>
      </c>
      <c r="F486" s="30">
        <f>[1]FİYATLAR!C486</f>
        <v/>
      </c>
      <c r="G486" s="30">
        <f>[1]FİYATLAR!D486</f>
        <v/>
      </c>
      <c r="H486">
        <f>E486*F486</f>
        <v/>
      </c>
      <c r="I486">
        <f>E486*G486</f>
        <v/>
      </c>
    </row>
    <row r="487">
      <c r="A487" s="29">
        <f>[1]FİYATLAR!A487</f>
        <v/>
      </c>
      <c r="B487" s="29">
        <f>[1]FİYATLAR!B487</f>
        <v/>
      </c>
      <c r="C487" s="35">
        <f>INT(A487)</f>
        <v/>
      </c>
      <c r="D487" s="36">
        <f>MONTH(A487)</f>
        <v/>
      </c>
      <c r="F487" s="30">
        <f>[1]FİYATLAR!C487</f>
        <v/>
      </c>
      <c r="G487" s="30">
        <f>[1]FİYATLAR!D487</f>
        <v/>
      </c>
      <c r="H487">
        <f>E487*F487</f>
        <v/>
      </c>
      <c r="I487">
        <f>E487*G487</f>
        <v/>
      </c>
    </row>
    <row r="488">
      <c r="A488" s="29">
        <f>[1]FİYATLAR!A488</f>
        <v/>
      </c>
      <c r="B488" s="29">
        <f>[1]FİYATLAR!B488</f>
        <v/>
      </c>
      <c r="C488" s="35">
        <f>INT(A488)</f>
        <v/>
      </c>
      <c r="D488" s="36">
        <f>MONTH(A488)</f>
        <v/>
      </c>
      <c r="F488" s="30">
        <f>[1]FİYATLAR!C488</f>
        <v/>
      </c>
      <c r="G488" s="30">
        <f>[1]FİYATLAR!D488</f>
        <v/>
      </c>
      <c r="H488">
        <f>E488*F488</f>
        <v/>
      </c>
      <c r="I488">
        <f>E488*G488</f>
        <v/>
      </c>
    </row>
    <row r="489">
      <c r="A489" s="29">
        <f>[1]FİYATLAR!A489</f>
        <v/>
      </c>
      <c r="B489" s="29">
        <f>[1]FİYATLAR!B489</f>
        <v/>
      </c>
      <c r="C489" s="35">
        <f>INT(A489)</f>
        <v/>
      </c>
      <c r="D489" s="36">
        <f>MONTH(A489)</f>
        <v/>
      </c>
      <c r="F489" s="30">
        <f>[1]FİYATLAR!C489</f>
        <v/>
      </c>
      <c r="G489" s="30">
        <f>[1]FİYATLAR!D489</f>
        <v/>
      </c>
      <c r="H489">
        <f>E489*F489</f>
        <v/>
      </c>
      <c r="I489">
        <f>E489*G489</f>
        <v/>
      </c>
    </row>
    <row r="490">
      <c r="A490" s="29">
        <f>[1]FİYATLAR!A490</f>
        <v/>
      </c>
      <c r="B490" s="29">
        <f>[1]FİYATLAR!B490</f>
        <v/>
      </c>
      <c r="C490" s="35">
        <f>INT(A490)</f>
        <v/>
      </c>
      <c r="D490" s="36">
        <f>MONTH(A490)</f>
        <v/>
      </c>
      <c r="F490" s="30">
        <f>[1]FİYATLAR!C490</f>
        <v/>
      </c>
      <c r="G490" s="30">
        <f>[1]FİYATLAR!D490</f>
        <v/>
      </c>
      <c r="H490">
        <f>E490*F490</f>
        <v/>
      </c>
      <c r="I490">
        <f>E490*G490</f>
        <v/>
      </c>
    </row>
    <row r="491">
      <c r="A491" s="29">
        <f>[1]FİYATLAR!A491</f>
        <v/>
      </c>
      <c r="B491" s="29">
        <f>[1]FİYATLAR!B491</f>
        <v/>
      </c>
      <c r="C491" s="35">
        <f>INT(A491)</f>
        <v/>
      </c>
      <c r="D491" s="36">
        <f>MONTH(A491)</f>
        <v/>
      </c>
      <c r="F491" s="30">
        <f>[1]FİYATLAR!C491</f>
        <v/>
      </c>
      <c r="G491" s="30">
        <f>[1]FİYATLAR!D491</f>
        <v/>
      </c>
      <c r="H491">
        <f>E491*F491</f>
        <v/>
      </c>
      <c r="I491">
        <f>E491*G491</f>
        <v/>
      </c>
    </row>
    <row r="492">
      <c r="A492" s="29">
        <f>[1]FİYATLAR!A492</f>
        <v/>
      </c>
      <c r="B492" s="29">
        <f>[1]FİYATLAR!B492</f>
        <v/>
      </c>
      <c r="C492" s="35">
        <f>INT(A492)</f>
        <v/>
      </c>
      <c r="D492" s="36">
        <f>MONTH(A492)</f>
        <v/>
      </c>
      <c r="F492" s="30">
        <f>[1]FİYATLAR!C492</f>
        <v/>
      </c>
      <c r="G492" s="30">
        <f>[1]FİYATLAR!D492</f>
        <v/>
      </c>
      <c r="H492">
        <f>E492*F492</f>
        <v/>
      </c>
      <c r="I492">
        <f>E492*G492</f>
        <v/>
      </c>
    </row>
    <row r="493">
      <c r="A493" s="29">
        <f>[1]FİYATLAR!A493</f>
        <v/>
      </c>
      <c r="B493" s="29">
        <f>[1]FİYATLAR!B493</f>
        <v/>
      </c>
      <c r="C493" s="35">
        <f>INT(A493)</f>
        <v/>
      </c>
      <c r="D493" s="36">
        <f>MONTH(A493)</f>
        <v/>
      </c>
      <c r="F493" s="30">
        <f>[1]FİYATLAR!C493</f>
        <v/>
      </c>
      <c r="G493" s="30">
        <f>[1]FİYATLAR!D493</f>
        <v/>
      </c>
      <c r="H493">
        <f>E493*F493</f>
        <v/>
      </c>
      <c r="I493">
        <f>E493*G493</f>
        <v/>
      </c>
    </row>
    <row r="494">
      <c r="A494" s="29">
        <f>[1]FİYATLAR!A494</f>
        <v/>
      </c>
      <c r="B494" s="29">
        <f>[1]FİYATLAR!B494</f>
        <v/>
      </c>
      <c r="C494" s="35">
        <f>INT(A494)</f>
        <v/>
      </c>
      <c r="D494" s="36">
        <f>MONTH(A494)</f>
        <v/>
      </c>
      <c r="F494" s="30">
        <f>[1]FİYATLAR!C494</f>
        <v/>
      </c>
      <c r="G494" s="30">
        <f>[1]FİYATLAR!D494</f>
        <v/>
      </c>
      <c r="H494">
        <f>E494*F494</f>
        <v/>
      </c>
      <c r="I494">
        <f>E494*G494</f>
        <v/>
      </c>
    </row>
    <row r="495">
      <c r="A495" s="29">
        <f>[1]FİYATLAR!A495</f>
        <v/>
      </c>
      <c r="B495" s="29">
        <f>[1]FİYATLAR!B495</f>
        <v/>
      </c>
      <c r="C495" s="35">
        <f>INT(A495)</f>
        <v/>
      </c>
      <c r="D495" s="36">
        <f>MONTH(A495)</f>
        <v/>
      </c>
      <c r="F495" s="30">
        <f>[1]FİYATLAR!C495</f>
        <v/>
      </c>
      <c r="G495" s="30">
        <f>[1]FİYATLAR!D495</f>
        <v/>
      </c>
      <c r="H495">
        <f>E495*F495</f>
        <v/>
      </c>
      <c r="I495">
        <f>E495*G495</f>
        <v/>
      </c>
    </row>
    <row r="496">
      <c r="A496" s="29">
        <f>[1]FİYATLAR!A496</f>
        <v/>
      </c>
      <c r="B496" s="29">
        <f>[1]FİYATLAR!B496</f>
        <v/>
      </c>
      <c r="C496" s="35">
        <f>INT(A496)</f>
        <v/>
      </c>
      <c r="D496" s="36">
        <f>MONTH(A496)</f>
        <v/>
      </c>
      <c r="F496" s="30">
        <f>[1]FİYATLAR!C496</f>
        <v/>
      </c>
      <c r="G496" s="30">
        <f>[1]FİYATLAR!D496</f>
        <v/>
      </c>
      <c r="H496">
        <f>E496*F496</f>
        <v/>
      </c>
      <c r="I496">
        <f>E496*G496</f>
        <v/>
      </c>
    </row>
    <row r="497">
      <c r="A497" s="29">
        <f>[1]FİYATLAR!A497</f>
        <v/>
      </c>
      <c r="B497" s="29">
        <f>[1]FİYATLAR!B497</f>
        <v/>
      </c>
      <c r="C497" s="35">
        <f>INT(A497)</f>
        <v/>
      </c>
      <c r="D497" s="36">
        <f>MONTH(A497)</f>
        <v/>
      </c>
      <c r="F497" s="30">
        <f>[1]FİYATLAR!C497</f>
        <v/>
      </c>
      <c r="G497" s="30">
        <f>[1]FİYATLAR!D497</f>
        <v/>
      </c>
      <c r="H497">
        <f>E497*F497</f>
        <v/>
      </c>
      <c r="I497">
        <f>E497*G497</f>
        <v/>
      </c>
    </row>
    <row r="498">
      <c r="A498" s="29">
        <f>[1]FİYATLAR!A498</f>
        <v/>
      </c>
      <c r="B498" s="29">
        <f>[1]FİYATLAR!B498</f>
        <v/>
      </c>
      <c r="C498" s="35">
        <f>INT(A498)</f>
        <v/>
      </c>
      <c r="D498" s="36">
        <f>MONTH(A498)</f>
        <v/>
      </c>
      <c r="F498" s="30">
        <f>[1]FİYATLAR!C498</f>
        <v/>
      </c>
      <c r="G498" s="30">
        <f>[1]FİYATLAR!D498</f>
        <v/>
      </c>
      <c r="H498">
        <f>E498*F498</f>
        <v/>
      </c>
      <c r="I498">
        <f>E498*G498</f>
        <v/>
      </c>
    </row>
    <row r="499">
      <c r="A499" s="29">
        <f>[1]FİYATLAR!A499</f>
        <v/>
      </c>
      <c r="B499" s="29">
        <f>[1]FİYATLAR!B499</f>
        <v/>
      </c>
      <c r="C499" s="35">
        <f>INT(A499)</f>
        <v/>
      </c>
      <c r="D499" s="36">
        <f>MONTH(A499)</f>
        <v/>
      </c>
      <c r="F499" s="30">
        <f>[1]FİYATLAR!C499</f>
        <v/>
      </c>
      <c r="G499" s="30">
        <f>[1]FİYATLAR!D499</f>
        <v/>
      </c>
      <c r="H499">
        <f>E499*F499</f>
        <v/>
      </c>
      <c r="I499">
        <f>E499*G499</f>
        <v/>
      </c>
    </row>
    <row r="500">
      <c r="A500" s="29">
        <f>[1]FİYATLAR!A500</f>
        <v/>
      </c>
      <c r="B500" s="29">
        <f>[1]FİYATLAR!B500</f>
        <v/>
      </c>
      <c r="C500" s="35">
        <f>INT(A500)</f>
        <v/>
      </c>
      <c r="D500" s="36">
        <f>MONTH(A500)</f>
        <v/>
      </c>
      <c r="F500" s="30">
        <f>[1]FİYATLAR!C500</f>
        <v/>
      </c>
      <c r="G500" s="30">
        <f>[1]FİYATLAR!D500</f>
        <v/>
      </c>
      <c r="H500">
        <f>E500*F500</f>
        <v/>
      </c>
      <c r="I500">
        <f>E500*G500</f>
        <v/>
      </c>
    </row>
    <row r="501">
      <c r="A501" s="29">
        <f>[1]FİYATLAR!A501</f>
        <v/>
      </c>
      <c r="B501" s="29">
        <f>[1]FİYATLAR!B501</f>
        <v/>
      </c>
      <c r="C501" s="35">
        <f>INT(A501)</f>
        <v/>
      </c>
      <c r="D501" s="36">
        <f>MONTH(A501)</f>
        <v/>
      </c>
      <c r="F501" s="30">
        <f>[1]FİYATLAR!C501</f>
        <v/>
      </c>
      <c r="G501" s="30">
        <f>[1]FİYATLAR!D501</f>
        <v/>
      </c>
      <c r="H501">
        <f>E501*F501</f>
        <v/>
      </c>
      <c r="I501">
        <f>E501*G501</f>
        <v/>
      </c>
    </row>
    <row r="502">
      <c r="A502" s="29">
        <f>[1]FİYATLAR!A502</f>
        <v/>
      </c>
      <c r="B502" s="29">
        <f>[1]FİYATLAR!B502</f>
        <v/>
      </c>
      <c r="C502" s="35">
        <f>INT(A502)</f>
        <v/>
      </c>
      <c r="D502" s="36">
        <f>MONTH(A502)</f>
        <v/>
      </c>
      <c r="F502" s="30">
        <f>[1]FİYATLAR!C502</f>
        <v/>
      </c>
      <c r="G502" s="30">
        <f>[1]FİYATLAR!D502</f>
        <v/>
      </c>
      <c r="H502">
        <f>E502*F502</f>
        <v/>
      </c>
      <c r="I502">
        <f>E502*G502</f>
        <v/>
      </c>
    </row>
    <row r="503">
      <c r="A503" s="29">
        <f>[1]FİYATLAR!A503</f>
        <v/>
      </c>
      <c r="B503" s="29">
        <f>[1]FİYATLAR!B503</f>
        <v/>
      </c>
      <c r="C503" s="35">
        <f>INT(A503)</f>
        <v/>
      </c>
      <c r="D503" s="36">
        <f>MONTH(A503)</f>
        <v/>
      </c>
      <c r="F503" s="30">
        <f>[1]FİYATLAR!C503</f>
        <v/>
      </c>
      <c r="G503" s="30">
        <f>[1]FİYATLAR!D503</f>
        <v/>
      </c>
      <c r="H503">
        <f>E503*F503</f>
        <v/>
      </c>
      <c r="I503">
        <f>E503*G503</f>
        <v/>
      </c>
    </row>
    <row r="504">
      <c r="A504" s="29">
        <f>[1]FİYATLAR!A504</f>
        <v/>
      </c>
      <c r="B504" s="29">
        <f>[1]FİYATLAR!B504</f>
        <v/>
      </c>
      <c r="C504" s="35">
        <f>INT(A504)</f>
        <v/>
      </c>
      <c r="D504" s="36">
        <f>MONTH(A504)</f>
        <v/>
      </c>
      <c r="F504" s="30">
        <f>[1]FİYATLAR!C504</f>
        <v/>
      </c>
      <c r="G504" s="30">
        <f>[1]FİYATLAR!D504</f>
        <v/>
      </c>
      <c r="H504">
        <f>E504*F504</f>
        <v/>
      </c>
      <c r="I504">
        <f>E504*G504</f>
        <v/>
      </c>
    </row>
    <row r="505">
      <c r="A505" s="29">
        <f>[1]FİYATLAR!A505</f>
        <v/>
      </c>
      <c r="B505" s="29">
        <f>[1]FİYATLAR!B505</f>
        <v/>
      </c>
      <c r="C505" s="35">
        <f>INT(A505)</f>
        <v/>
      </c>
      <c r="D505" s="36">
        <f>MONTH(A505)</f>
        <v/>
      </c>
      <c r="F505" s="30">
        <f>[1]FİYATLAR!C505</f>
        <v/>
      </c>
      <c r="G505" s="30">
        <f>[1]FİYATLAR!D505</f>
        <v/>
      </c>
      <c r="H505">
        <f>E505*F505</f>
        <v/>
      </c>
      <c r="I505">
        <f>E505*G505</f>
        <v/>
      </c>
    </row>
    <row r="506">
      <c r="A506" s="29">
        <f>[1]FİYATLAR!A506</f>
        <v/>
      </c>
      <c r="B506" s="29">
        <f>[1]FİYATLAR!B506</f>
        <v/>
      </c>
      <c r="C506" s="35">
        <f>INT(A506)</f>
        <v/>
      </c>
      <c r="D506" s="36">
        <f>MONTH(A506)</f>
        <v/>
      </c>
      <c r="F506" s="30">
        <f>[1]FİYATLAR!C506</f>
        <v/>
      </c>
      <c r="G506" s="30">
        <f>[1]FİYATLAR!D506</f>
        <v/>
      </c>
      <c r="H506">
        <f>E506*F506</f>
        <v/>
      </c>
      <c r="I506">
        <f>E506*G506</f>
        <v/>
      </c>
    </row>
    <row r="507">
      <c r="A507" s="29">
        <f>[1]FİYATLAR!A507</f>
        <v/>
      </c>
      <c r="B507" s="29">
        <f>[1]FİYATLAR!B507</f>
        <v/>
      </c>
      <c r="C507" s="35">
        <f>INT(A507)</f>
        <v/>
      </c>
      <c r="D507" s="36">
        <f>MONTH(A507)</f>
        <v/>
      </c>
      <c r="F507" s="30">
        <f>[1]FİYATLAR!C507</f>
        <v/>
      </c>
      <c r="G507" s="30">
        <f>[1]FİYATLAR!D507</f>
        <v/>
      </c>
      <c r="H507">
        <f>E507*F507</f>
        <v/>
      </c>
      <c r="I507">
        <f>E507*G507</f>
        <v/>
      </c>
    </row>
    <row r="508">
      <c r="A508" s="29">
        <f>[1]FİYATLAR!A508</f>
        <v/>
      </c>
      <c r="B508" s="29">
        <f>[1]FİYATLAR!B508</f>
        <v/>
      </c>
      <c r="C508" s="35">
        <f>INT(A508)</f>
        <v/>
      </c>
      <c r="D508" s="36">
        <f>MONTH(A508)</f>
        <v/>
      </c>
      <c r="F508" s="30">
        <f>[1]FİYATLAR!C508</f>
        <v/>
      </c>
      <c r="G508" s="30">
        <f>[1]FİYATLAR!D508</f>
        <v/>
      </c>
      <c r="H508">
        <f>E508*F508</f>
        <v/>
      </c>
      <c r="I508">
        <f>E508*G508</f>
        <v/>
      </c>
    </row>
    <row r="509">
      <c r="A509" s="29">
        <f>[1]FİYATLAR!A509</f>
        <v/>
      </c>
      <c r="B509" s="29">
        <f>[1]FİYATLAR!B509</f>
        <v/>
      </c>
      <c r="C509" s="35">
        <f>INT(A509)</f>
        <v/>
      </c>
      <c r="D509" s="36">
        <f>MONTH(A509)</f>
        <v/>
      </c>
      <c r="F509" s="30">
        <f>[1]FİYATLAR!C509</f>
        <v/>
      </c>
      <c r="G509" s="30">
        <f>[1]FİYATLAR!D509</f>
        <v/>
      </c>
      <c r="H509">
        <f>E509*F509</f>
        <v/>
      </c>
      <c r="I509">
        <f>E509*G509</f>
        <v/>
      </c>
    </row>
    <row r="510">
      <c r="A510" s="29">
        <f>[1]FİYATLAR!A510</f>
        <v/>
      </c>
      <c r="B510" s="29">
        <f>[1]FİYATLAR!B510</f>
        <v/>
      </c>
      <c r="C510" s="35">
        <f>INT(A510)</f>
        <v/>
      </c>
      <c r="D510" s="36">
        <f>MONTH(A510)</f>
        <v/>
      </c>
      <c r="F510" s="30">
        <f>[1]FİYATLAR!C510</f>
        <v/>
      </c>
      <c r="G510" s="30">
        <f>[1]FİYATLAR!D510</f>
        <v/>
      </c>
      <c r="H510">
        <f>E510*F510</f>
        <v/>
      </c>
      <c r="I510">
        <f>E510*G510</f>
        <v/>
      </c>
    </row>
    <row r="511">
      <c r="A511" s="29">
        <f>[1]FİYATLAR!A511</f>
        <v/>
      </c>
      <c r="B511" s="29">
        <f>[1]FİYATLAR!B511</f>
        <v/>
      </c>
      <c r="C511" s="35">
        <f>INT(A511)</f>
        <v/>
      </c>
      <c r="D511" s="36">
        <f>MONTH(A511)</f>
        <v/>
      </c>
      <c r="F511" s="30">
        <f>[1]FİYATLAR!C511</f>
        <v/>
      </c>
      <c r="G511" s="30">
        <f>[1]FİYATLAR!D511</f>
        <v/>
      </c>
      <c r="H511">
        <f>E511*F511</f>
        <v/>
      </c>
      <c r="I511">
        <f>E511*G511</f>
        <v/>
      </c>
    </row>
    <row r="512">
      <c r="A512" s="29">
        <f>[1]FİYATLAR!A512</f>
        <v/>
      </c>
      <c r="B512" s="29">
        <f>[1]FİYATLAR!B512</f>
        <v/>
      </c>
      <c r="C512" s="35">
        <f>INT(A512)</f>
        <v/>
      </c>
      <c r="D512" s="36">
        <f>MONTH(A512)</f>
        <v/>
      </c>
      <c r="F512" s="30">
        <f>[1]FİYATLAR!C512</f>
        <v/>
      </c>
      <c r="G512" s="30">
        <f>[1]FİYATLAR!D512</f>
        <v/>
      </c>
      <c r="H512">
        <f>E512*F512</f>
        <v/>
      </c>
      <c r="I512">
        <f>E512*G512</f>
        <v/>
      </c>
    </row>
    <row r="513">
      <c r="A513" s="29">
        <f>[1]FİYATLAR!A513</f>
        <v/>
      </c>
      <c r="B513" s="29">
        <f>[1]FİYATLAR!B513</f>
        <v/>
      </c>
      <c r="C513" s="35">
        <f>INT(A513)</f>
        <v/>
      </c>
      <c r="D513" s="36">
        <f>MONTH(A513)</f>
        <v/>
      </c>
      <c r="F513" s="30">
        <f>[1]FİYATLAR!C513</f>
        <v/>
      </c>
      <c r="G513" s="30">
        <f>[1]FİYATLAR!D513</f>
        <v/>
      </c>
      <c r="H513">
        <f>E513*F513</f>
        <v/>
      </c>
      <c r="I513">
        <f>E513*G513</f>
        <v/>
      </c>
    </row>
    <row r="514">
      <c r="A514" s="29">
        <f>[1]FİYATLAR!A514</f>
        <v/>
      </c>
      <c r="B514" s="29">
        <f>[1]FİYATLAR!B514</f>
        <v/>
      </c>
      <c r="C514" s="35">
        <f>INT(A514)</f>
        <v/>
      </c>
      <c r="D514" s="36">
        <f>MONTH(A514)</f>
        <v/>
      </c>
      <c r="F514" s="30">
        <f>[1]FİYATLAR!C514</f>
        <v/>
      </c>
      <c r="G514" s="30">
        <f>[1]FİYATLAR!D514</f>
        <v/>
      </c>
      <c r="H514">
        <f>E514*F514</f>
        <v/>
      </c>
      <c r="I514">
        <f>E514*G514</f>
        <v/>
      </c>
    </row>
    <row r="515">
      <c r="A515" s="29">
        <f>[1]FİYATLAR!A515</f>
        <v/>
      </c>
      <c r="B515" s="29">
        <f>[1]FİYATLAR!B515</f>
        <v/>
      </c>
      <c r="C515" s="35">
        <f>INT(A515)</f>
        <v/>
      </c>
      <c r="D515" s="36">
        <f>MONTH(A515)</f>
        <v/>
      </c>
      <c r="F515" s="30">
        <f>[1]FİYATLAR!C515</f>
        <v/>
      </c>
      <c r="G515" s="30">
        <f>[1]FİYATLAR!D515</f>
        <v/>
      </c>
      <c r="H515">
        <f>E515*F515</f>
        <v/>
      </c>
      <c r="I515">
        <f>E515*G515</f>
        <v/>
      </c>
    </row>
    <row r="516">
      <c r="A516" s="29">
        <f>[1]FİYATLAR!A516</f>
        <v/>
      </c>
      <c r="B516" s="29">
        <f>[1]FİYATLAR!B516</f>
        <v/>
      </c>
      <c r="C516" s="35">
        <f>INT(A516)</f>
        <v/>
      </c>
      <c r="D516" s="36">
        <f>MONTH(A516)</f>
        <v/>
      </c>
      <c r="F516" s="30">
        <f>[1]FİYATLAR!C516</f>
        <v/>
      </c>
      <c r="G516" s="30">
        <f>[1]FİYATLAR!D516</f>
        <v/>
      </c>
      <c r="H516">
        <f>E516*F516</f>
        <v/>
      </c>
      <c r="I516">
        <f>E516*G516</f>
        <v/>
      </c>
    </row>
    <row r="517">
      <c r="A517" s="29">
        <f>[1]FİYATLAR!A517</f>
        <v/>
      </c>
      <c r="B517" s="29">
        <f>[1]FİYATLAR!B517</f>
        <v/>
      </c>
      <c r="C517" s="35">
        <f>INT(A517)</f>
        <v/>
      </c>
      <c r="D517" s="36">
        <f>MONTH(A517)</f>
        <v/>
      </c>
      <c r="F517" s="30">
        <f>[1]FİYATLAR!C517</f>
        <v/>
      </c>
      <c r="G517" s="30">
        <f>[1]FİYATLAR!D517</f>
        <v/>
      </c>
      <c r="H517">
        <f>E517*F517</f>
        <v/>
      </c>
      <c r="I517">
        <f>E517*G517</f>
        <v/>
      </c>
    </row>
    <row r="518">
      <c r="A518" s="29">
        <f>[1]FİYATLAR!A518</f>
        <v/>
      </c>
      <c r="B518" s="29">
        <f>[1]FİYATLAR!B518</f>
        <v/>
      </c>
      <c r="C518" s="35">
        <f>INT(A518)</f>
        <v/>
      </c>
      <c r="D518" s="36">
        <f>MONTH(A518)</f>
        <v/>
      </c>
      <c r="F518" s="30">
        <f>[1]FİYATLAR!C518</f>
        <v/>
      </c>
      <c r="G518" s="30">
        <f>[1]FİYATLAR!D518</f>
        <v/>
      </c>
      <c r="H518">
        <f>E518*F518</f>
        <v/>
      </c>
      <c r="I518">
        <f>E518*G518</f>
        <v/>
      </c>
    </row>
    <row r="519">
      <c r="A519" s="29">
        <f>[1]FİYATLAR!A519</f>
        <v/>
      </c>
      <c r="B519" s="29">
        <f>[1]FİYATLAR!B519</f>
        <v/>
      </c>
      <c r="C519" s="35">
        <f>INT(A519)</f>
        <v/>
      </c>
      <c r="D519" s="36">
        <f>MONTH(A519)</f>
        <v/>
      </c>
      <c r="F519" s="30">
        <f>[1]FİYATLAR!C519</f>
        <v/>
      </c>
      <c r="G519" s="30">
        <f>[1]FİYATLAR!D519</f>
        <v/>
      </c>
      <c r="H519">
        <f>E519*F519</f>
        <v/>
      </c>
      <c r="I519">
        <f>E519*G519</f>
        <v/>
      </c>
    </row>
    <row r="520">
      <c r="A520" s="29">
        <f>[1]FİYATLAR!A520</f>
        <v/>
      </c>
      <c r="B520" s="29">
        <f>[1]FİYATLAR!B520</f>
        <v/>
      </c>
      <c r="C520" s="35">
        <f>INT(A520)</f>
        <v/>
      </c>
      <c r="D520" s="36">
        <f>MONTH(A520)</f>
        <v/>
      </c>
      <c r="F520" s="30">
        <f>[1]FİYATLAR!C520</f>
        <v/>
      </c>
      <c r="G520" s="30">
        <f>[1]FİYATLAR!D520</f>
        <v/>
      </c>
      <c r="H520">
        <f>E520*F520</f>
        <v/>
      </c>
      <c r="I520">
        <f>E520*G520</f>
        <v/>
      </c>
    </row>
    <row r="521">
      <c r="A521" s="29">
        <f>[1]FİYATLAR!A521</f>
        <v/>
      </c>
      <c r="B521" s="29">
        <f>[1]FİYATLAR!B521</f>
        <v/>
      </c>
      <c r="C521" s="35">
        <f>INT(A521)</f>
        <v/>
      </c>
      <c r="D521" s="36">
        <f>MONTH(A521)</f>
        <v/>
      </c>
      <c r="F521" s="30">
        <f>[1]FİYATLAR!C521</f>
        <v/>
      </c>
      <c r="G521" s="30">
        <f>[1]FİYATLAR!D521</f>
        <v/>
      </c>
      <c r="H521">
        <f>E521*F521</f>
        <v/>
      </c>
      <c r="I521">
        <f>E521*G521</f>
        <v/>
      </c>
    </row>
    <row r="522">
      <c r="A522" s="29">
        <f>[1]FİYATLAR!A522</f>
        <v/>
      </c>
      <c r="B522" s="29">
        <f>[1]FİYATLAR!B522</f>
        <v/>
      </c>
      <c r="C522" s="35">
        <f>INT(A522)</f>
        <v/>
      </c>
      <c r="D522" s="36">
        <f>MONTH(A522)</f>
        <v/>
      </c>
      <c r="F522" s="30">
        <f>[1]FİYATLAR!C522</f>
        <v/>
      </c>
      <c r="G522" s="30">
        <f>[1]FİYATLAR!D522</f>
        <v/>
      </c>
      <c r="H522">
        <f>E522*F522</f>
        <v/>
      </c>
      <c r="I522">
        <f>E522*G522</f>
        <v/>
      </c>
    </row>
    <row r="523">
      <c r="A523" s="29">
        <f>[1]FİYATLAR!A523</f>
        <v/>
      </c>
      <c r="B523" s="29">
        <f>[1]FİYATLAR!B523</f>
        <v/>
      </c>
      <c r="C523" s="35">
        <f>INT(A523)</f>
        <v/>
      </c>
      <c r="D523" s="36">
        <f>MONTH(A523)</f>
        <v/>
      </c>
      <c r="F523" s="30">
        <f>[1]FİYATLAR!C523</f>
        <v/>
      </c>
      <c r="G523" s="30">
        <f>[1]FİYATLAR!D523</f>
        <v/>
      </c>
      <c r="H523">
        <f>E523*F523</f>
        <v/>
      </c>
      <c r="I523">
        <f>E523*G523</f>
        <v/>
      </c>
    </row>
    <row r="524">
      <c r="A524" s="29">
        <f>[1]FİYATLAR!A524</f>
        <v/>
      </c>
      <c r="B524" s="29">
        <f>[1]FİYATLAR!B524</f>
        <v/>
      </c>
      <c r="C524" s="35">
        <f>INT(A524)</f>
        <v/>
      </c>
      <c r="D524" s="36">
        <f>MONTH(A524)</f>
        <v/>
      </c>
      <c r="F524" s="30">
        <f>[1]FİYATLAR!C524</f>
        <v/>
      </c>
      <c r="G524" s="30">
        <f>[1]FİYATLAR!D524</f>
        <v/>
      </c>
      <c r="H524">
        <f>E524*F524</f>
        <v/>
      </c>
      <c r="I524">
        <f>E524*G524</f>
        <v/>
      </c>
    </row>
    <row r="525">
      <c r="A525" s="29">
        <f>[1]FİYATLAR!A525</f>
        <v/>
      </c>
      <c r="B525" s="29">
        <f>[1]FİYATLAR!B525</f>
        <v/>
      </c>
      <c r="C525" s="35">
        <f>INT(A525)</f>
        <v/>
      </c>
      <c r="D525" s="36">
        <f>MONTH(A525)</f>
        <v/>
      </c>
      <c r="F525" s="30">
        <f>[1]FİYATLAR!C525</f>
        <v/>
      </c>
      <c r="G525" s="30">
        <f>[1]FİYATLAR!D525</f>
        <v/>
      </c>
      <c r="H525">
        <f>E525*F525</f>
        <v/>
      </c>
      <c r="I525">
        <f>E525*G525</f>
        <v/>
      </c>
    </row>
    <row r="526">
      <c r="A526" s="29">
        <f>[1]FİYATLAR!A526</f>
        <v/>
      </c>
      <c r="B526" s="29">
        <f>[1]FİYATLAR!B526</f>
        <v/>
      </c>
      <c r="C526" s="35">
        <f>INT(A526)</f>
        <v/>
      </c>
      <c r="D526" s="36">
        <f>MONTH(A526)</f>
        <v/>
      </c>
      <c r="F526" s="30">
        <f>[1]FİYATLAR!C526</f>
        <v/>
      </c>
      <c r="G526" s="30">
        <f>[1]FİYATLAR!D526</f>
        <v/>
      </c>
      <c r="H526">
        <f>E526*F526</f>
        <v/>
      </c>
      <c r="I526">
        <f>E526*G526</f>
        <v/>
      </c>
    </row>
    <row r="527">
      <c r="A527" s="29">
        <f>[1]FİYATLAR!A527</f>
        <v/>
      </c>
      <c r="B527" s="29">
        <f>[1]FİYATLAR!B527</f>
        <v/>
      </c>
      <c r="C527" s="35">
        <f>INT(A527)</f>
        <v/>
      </c>
      <c r="D527" s="36">
        <f>MONTH(A527)</f>
        <v/>
      </c>
      <c r="F527" s="30">
        <f>[1]FİYATLAR!C527</f>
        <v/>
      </c>
      <c r="G527" s="30">
        <f>[1]FİYATLAR!D527</f>
        <v/>
      </c>
      <c r="H527">
        <f>E527*F527</f>
        <v/>
      </c>
      <c r="I527">
        <f>E527*G527</f>
        <v/>
      </c>
    </row>
    <row r="528">
      <c r="A528" s="29">
        <f>[1]FİYATLAR!A528</f>
        <v/>
      </c>
      <c r="B528" s="29">
        <f>[1]FİYATLAR!B528</f>
        <v/>
      </c>
      <c r="C528" s="35">
        <f>INT(A528)</f>
        <v/>
      </c>
      <c r="D528" s="36">
        <f>MONTH(A528)</f>
        <v/>
      </c>
      <c r="F528" s="30">
        <f>[1]FİYATLAR!C528</f>
        <v/>
      </c>
      <c r="G528" s="30">
        <f>[1]FİYATLAR!D528</f>
        <v/>
      </c>
      <c r="H528">
        <f>E528*F528</f>
        <v/>
      </c>
      <c r="I528">
        <f>E528*G528</f>
        <v/>
      </c>
    </row>
    <row r="529">
      <c r="A529" s="29">
        <f>[1]FİYATLAR!A529</f>
        <v/>
      </c>
      <c r="B529" s="29">
        <f>[1]FİYATLAR!B529</f>
        <v/>
      </c>
      <c r="C529" s="35">
        <f>INT(A529)</f>
        <v/>
      </c>
      <c r="D529" s="36">
        <f>MONTH(A529)</f>
        <v/>
      </c>
      <c r="F529" s="30">
        <f>[1]FİYATLAR!C529</f>
        <v/>
      </c>
      <c r="G529" s="30">
        <f>[1]FİYATLAR!D529</f>
        <v/>
      </c>
      <c r="H529">
        <f>E529*F529</f>
        <v/>
      </c>
      <c r="I529">
        <f>E529*G529</f>
        <v/>
      </c>
    </row>
    <row r="530">
      <c r="A530" s="29">
        <f>[1]FİYATLAR!A530</f>
        <v/>
      </c>
      <c r="B530" s="29">
        <f>[1]FİYATLAR!B530</f>
        <v/>
      </c>
      <c r="C530" s="35">
        <f>INT(A530)</f>
        <v/>
      </c>
      <c r="D530" s="36">
        <f>MONTH(A530)</f>
        <v/>
      </c>
      <c r="F530" s="30">
        <f>[1]FİYATLAR!C530</f>
        <v/>
      </c>
      <c r="G530" s="30">
        <f>[1]FİYATLAR!D530</f>
        <v/>
      </c>
      <c r="H530">
        <f>E530*F530</f>
        <v/>
      </c>
      <c r="I530">
        <f>E530*G530</f>
        <v/>
      </c>
    </row>
    <row r="531">
      <c r="A531" s="29">
        <f>[1]FİYATLAR!A531</f>
        <v/>
      </c>
      <c r="B531" s="29">
        <f>[1]FİYATLAR!B531</f>
        <v/>
      </c>
      <c r="C531" s="35">
        <f>INT(A531)</f>
        <v/>
      </c>
      <c r="D531" s="36">
        <f>MONTH(A531)</f>
        <v/>
      </c>
      <c r="F531" s="30">
        <f>[1]FİYATLAR!C531</f>
        <v/>
      </c>
      <c r="G531" s="30">
        <f>[1]FİYATLAR!D531</f>
        <v/>
      </c>
      <c r="H531">
        <f>E531*F531</f>
        <v/>
      </c>
      <c r="I531">
        <f>E531*G531</f>
        <v/>
      </c>
    </row>
    <row r="532">
      <c r="A532" s="29">
        <f>[1]FİYATLAR!A532</f>
        <v/>
      </c>
      <c r="B532" s="29">
        <f>[1]FİYATLAR!B532</f>
        <v/>
      </c>
      <c r="C532" s="35">
        <f>INT(A532)</f>
        <v/>
      </c>
      <c r="D532" s="36">
        <f>MONTH(A532)</f>
        <v/>
      </c>
      <c r="F532" s="30">
        <f>[1]FİYATLAR!C532</f>
        <v/>
      </c>
      <c r="G532" s="30">
        <f>[1]FİYATLAR!D532</f>
        <v/>
      </c>
      <c r="H532">
        <f>E532*F532</f>
        <v/>
      </c>
      <c r="I532">
        <f>E532*G532</f>
        <v/>
      </c>
    </row>
    <row r="533">
      <c r="A533" s="29">
        <f>[1]FİYATLAR!A533</f>
        <v/>
      </c>
      <c r="B533" s="29">
        <f>[1]FİYATLAR!B533</f>
        <v/>
      </c>
      <c r="C533" s="35">
        <f>INT(A533)</f>
        <v/>
      </c>
      <c r="D533" s="36">
        <f>MONTH(A533)</f>
        <v/>
      </c>
      <c r="F533" s="30">
        <f>[1]FİYATLAR!C533</f>
        <v/>
      </c>
      <c r="G533" s="30">
        <f>[1]FİYATLAR!D533</f>
        <v/>
      </c>
      <c r="H533">
        <f>E533*F533</f>
        <v/>
      </c>
      <c r="I533">
        <f>E533*G533</f>
        <v/>
      </c>
    </row>
    <row r="534">
      <c r="A534" s="29">
        <f>[1]FİYATLAR!A534</f>
        <v/>
      </c>
      <c r="B534" s="29">
        <f>[1]FİYATLAR!B534</f>
        <v/>
      </c>
      <c r="C534" s="35">
        <f>INT(A534)</f>
        <v/>
      </c>
      <c r="D534" s="36">
        <f>MONTH(A534)</f>
        <v/>
      </c>
      <c r="F534" s="30">
        <f>[1]FİYATLAR!C534</f>
        <v/>
      </c>
      <c r="G534" s="30">
        <f>[1]FİYATLAR!D534</f>
        <v/>
      </c>
      <c r="H534">
        <f>E534*F534</f>
        <v/>
      </c>
      <c r="I534">
        <f>E534*G534</f>
        <v/>
      </c>
    </row>
    <row r="535">
      <c r="A535" s="29">
        <f>[1]FİYATLAR!A535</f>
        <v/>
      </c>
      <c r="B535" s="29">
        <f>[1]FİYATLAR!B535</f>
        <v/>
      </c>
      <c r="C535" s="35">
        <f>INT(A535)</f>
        <v/>
      </c>
      <c r="D535" s="36">
        <f>MONTH(A535)</f>
        <v/>
      </c>
      <c r="F535" s="30">
        <f>[1]FİYATLAR!C535</f>
        <v/>
      </c>
      <c r="G535" s="30">
        <f>[1]FİYATLAR!D535</f>
        <v/>
      </c>
      <c r="H535">
        <f>E535*F535</f>
        <v/>
      </c>
      <c r="I535">
        <f>E535*G535</f>
        <v/>
      </c>
    </row>
    <row r="536">
      <c r="A536" s="29">
        <f>[1]FİYATLAR!A536</f>
        <v/>
      </c>
      <c r="B536" s="29">
        <f>[1]FİYATLAR!B536</f>
        <v/>
      </c>
      <c r="C536" s="35">
        <f>INT(A536)</f>
        <v/>
      </c>
      <c r="D536" s="36">
        <f>MONTH(A536)</f>
        <v/>
      </c>
      <c r="F536" s="30">
        <f>[1]FİYATLAR!C536</f>
        <v/>
      </c>
      <c r="G536" s="30">
        <f>[1]FİYATLAR!D536</f>
        <v/>
      </c>
      <c r="H536">
        <f>E536*F536</f>
        <v/>
      </c>
      <c r="I536">
        <f>E536*G536</f>
        <v/>
      </c>
    </row>
    <row r="537">
      <c r="A537" s="29">
        <f>[1]FİYATLAR!A537</f>
        <v/>
      </c>
      <c r="B537" s="29">
        <f>[1]FİYATLAR!B537</f>
        <v/>
      </c>
      <c r="C537" s="35">
        <f>INT(A537)</f>
        <v/>
      </c>
      <c r="D537" s="36">
        <f>MONTH(A537)</f>
        <v/>
      </c>
      <c r="F537" s="30">
        <f>[1]FİYATLAR!C537</f>
        <v/>
      </c>
      <c r="G537" s="30">
        <f>[1]FİYATLAR!D537</f>
        <v/>
      </c>
      <c r="H537">
        <f>E537*F537</f>
        <v/>
      </c>
      <c r="I537">
        <f>E537*G537</f>
        <v/>
      </c>
    </row>
    <row r="538">
      <c r="A538" s="29">
        <f>[1]FİYATLAR!A538</f>
        <v/>
      </c>
      <c r="B538" s="29">
        <f>[1]FİYATLAR!B538</f>
        <v/>
      </c>
      <c r="C538" s="35">
        <f>INT(A538)</f>
        <v/>
      </c>
      <c r="D538" s="36">
        <f>MONTH(A538)</f>
        <v/>
      </c>
      <c r="F538" s="30">
        <f>[1]FİYATLAR!C538</f>
        <v/>
      </c>
      <c r="G538" s="30">
        <f>[1]FİYATLAR!D538</f>
        <v/>
      </c>
      <c r="H538">
        <f>E538*F538</f>
        <v/>
      </c>
      <c r="I538">
        <f>E538*G538</f>
        <v/>
      </c>
    </row>
    <row r="539">
      <c r="A539" s="29">
        <f>[1]FİYATLAR!A539</f>
        <v/>
      </c>
      <c r="B539" s="29">
        <f>[1]FİYATLAR!B539</f>
        <v/>
      </c>
      <c r="C539" s="35">
        <f>INT(A539)</f>
        <v/>
      </c>
      <c r="D539" s="36">
        <f>MONTH(A539)</f>
        <v/>
      </c>
      <c r="F539" s="30">
        <f>[1]FİYATLAR!C539</f>
        <v/>
      </c>
      <c r="G539" s="30">
        <f>[1]FİYATLAR!D539</f>
        <v/>
      </c>
      <c r="H539">
        <f>E539*F539</f>
        <v/>
      </c>
      <c r="I539">
        <f>E539*G539</f>
        <v/>
      </c>
    </row>
    <row r="540">
      <c r="A540" s="29">
        <f>[1]FİYATLAR!A540</f>
        <v/>
      </c>
      <c r="B540" s="29">
        <f>[1]FİYATLAR!B540</f>
        <v/>
      </c>
      <c r="C540" s="35">
        <f>INT(A540)</f>
        <v/>
      </c>
      <c r="D540" s="36">
        <f>MONTH(A540)</f>
        <v/>
      </c>
      <c r="F540" s="30">
        <f>[1]FİYATLAR!C540</f>
        <v/>
      </c>
      <c r="G540" s="30">
        <f>[1]FİYATLAR!D540</f>
        <v/>
      </c>
      <c r="H540">
        <f>E540*F540</f>
        <v/>
      </c>
      <c r="I540">
        <f>E540*G540</f>
        <v/>
      </c>
    </row>
    <row r="541">
      <c r="A541" s="29">
        <f>[1]FİYATLAR!A541</f>
        <v/>
      </c>
      <c r="B541" s="29">
        <f>[1]FİYATLAR!B541</f>
        <v/>
      </c>
      <c r="C541" s="35">
        <f>INT(A541)</f>
        <v/>
      </c>
      <c r="D541" s="36">
        <f>MONTH(A541)</f>
        <v/>
      </c>
      <c r="F541" s="30">
        <f>[1]FİYATLAR!C541</f>
        <v/>
      </c>
      <c r="G541" s="30">
        <f>[1]FİYATLAR!D541</f>
        <v/>
      </c>
      <c r="H541">
        <f>E541*F541</f>
        <v/>
      </c>
      <c r="I541">
        <f>E541*G541</f>
        <v/>
      </c>
    </row>
    <row r="542">
      <c r="A542" s="29">
        <f>[1]FİYATLAR!A542</f>
        <v/>
      </c>
      <c r="B542" s="29">
        <f>[1]FİYATLAR!B542</f>
        <v/>
      </c>
      <c r="C542" s="35">
        <f>INT(A542)</f>
        <v/>
      </c>
      <c r="D542" s="36">
        <f>MONTH(A542)</f>
        <v/>
      </c>
      <c r="F542" s="30">
        <f>[1]FİYATLAR!C542</f>
        <v/>
      </c>
      <c r="G542" s="30">
        <f>[1]FİYATLAR!D542</f>
        <v/>
      </c>
      <c r="H542">
        <f>E542*F542</f>
        <v/>
      </c>
      <c r="I542">
        <f>E542*G542</f>
        <v/>
      </c>
    </row>
    <row r="543">
      <c r="A543" s="29">
        <f>[1]FİYATLAR!A543</f>
        <v/>
      </c>
      <c r="B543" s="29">
        <f>[1]FİYATLAR!B543</f>
        <v/>
      </c>
      <c r="C543" s="35">
        <f>INT(A543)</f>
        <v/>
      </c>
      <c r="D543" s="36">
        <f>MONTH(A543)</f>
        <v/>
      </c>
      <c r="F543" s="30">
        <f>[1]FİYATLAR!C543</f>
        <v/>
      </c>
      <c r="G543" s="30">
        <f>[1]FİYATLAR!D543</f>
        <v/>
      </c>
      <c r="H543">
        <f>E543*F543</f>
        <v/>
      </c>
      <c r="I543">
        <f>E543*G543</f>
        <v/>
      </c>
    </row>
    <row r="544">
      <c r="A544" s="29">
        <f>[1]FİYATLAR!A544</f>
        <v/>
      </c>
      <c r="B544" s="29">
        <f>[1]FİYATLAR!B544</f>
        <v/>
      </c>
      <c r="C544" s="35">
        <f>INT(A544)</f>
        <v/>
      </c>
      <c r="D544" s="36">
        <f>MONTH(A544)</f>
        <v/>
      </c>
      <c r="F544" s="30">
        <f>[1]FİYATLAR!C544</f>
        <v/>
      </c>
      <c r="G544" s="30">
        <f>[1]FİYATLAR!D544</f>
        <v/>
      </c>
      <c r="H544">
        <f>E544*F544</f>
        <v/>
      </c>
      <c r="I544">
        <f>E544*G544</f>
        <v/>
      </c>
    </row>
    <row r="545">
      <c r="A545" s="29">
        <f>[1]FİYATLAR!A545</f>
        <v/>
      </c>
      <c r="B545" s="29">
        <f>[1]FİYATLAR!B545</f>
        <v/>
      </c>
      <c r="C545" s="35">
        <f>INT(A545)</f>
        <v/>
      </c>
      <c r="D545" s="36">
        <f>MONTH(A545)</f>
        <v/>
      </c>
      <c r="F545" s="30">
        <f>[1]FİYATLAR!C545</f>
        <v/>
      </c>
      <c r="G545" s="30">
        <f>[1]FİYATLAR!D545</f>
        <v/>
      </c>
      <c r="H545">
        <f>E545*F545</f>
        <v/>
      </c>
      <c r="I545">
        <f>E545*G545</f>
        <v/>
      </c>
    </row>
    <row r="546">
      <c r="A546" s="29">
        <f>[1]FİYATLAR!A546</f>
        <v/>
      </c>
      <c r="B546" s="29">
        <f>[1]FİYATLAR!B546</f>
        <v/>
      </c>
      <c r="C546" s="35">
        <f>INT(A546)</f>
        <v/>
      </c>
      <c r="D546" s="36">
        <f>MONTH(A546)</f>
        <v/>
      </c>
      <c r="F546" s="30">
        <f>[1]FİYATLAR!C546</f>
        <v/>
      </c>
      <c r="G546" s="30">
        <f>[1]FİYATLAR!D546</f>
        <v/>
      </c>
      <c r="H546">
        <f>E546*F546</f>
        <v/>
      </c>
      <c r="I546">
        <f>E546*G546</f>
        <v/>
      </c>
    </row>
    <row r="547">
      <c r="A547" s="29">
        <f>[1]FİYATLAR!A547</f>
        <v/>
      </c>
      <c r="B547" s="29">
        <f>[1]FİYATLAR!B547</f>
        <v/>
      </c>
      <c r="C547" s="35">
        <f>INT(A547)</f>
        <v/>
      </c>
      <c r="D547" s="36">
        <f>MONTH(A547)</f>
        <v/>
      </c>
      <c r="F547" s="30">
        <f>[1]FİYATLAR!C547</f>
        <v/>
      </c>
      <c r="G547" s="30">
        <f>[1]FİYATLAR!D547</f>
        <v/>
      </c>
      <c r="H547">
        <f>E547*F547</f>
        <v/>
      </c>
      <c r="I547">
        <f>E547*G547</f>
        <v/>
      </c>
    </row>
    <row r="548">
      <c r="A548" s="29">
        <f>[1]FİYATLAR!A548</f>
        <v/>
      </c>
      <c r="B548" s="29">
        <f>[1]FİYATLAR!B548</f>
        <v/>
      </c>
      <c r="C548" s="35">
        <f>INT(A548)</f>
        <v/>
      </c>
      <c r="D548" s="36">
        <f>MONTH(A548)</f>
        <v/>
      </c>
      <c r="F548" s="30">
        <f>[1]FİYATLAR!C548</f>
        <v/>
      </c>
      <c r="G548" s="30">
        <f>[1]FİYATLAR!D548</f>
        <v/>
      </c>
      <c r="H548">
        <f>E548*F548</f>
        <v/>
      </c>
      <c r="I548">
        <f>E548*G548</f>
        <v/>
      </c>
    </row>
    <row r="549">
      <c r="A549" s="29">
        <f>[1]FİYATLAR!A549</f>
        <v/>
      </c>
      <c r="B549" s="29">
        <f>[1]FİYATLAR!B549</f>
        <v/>
      </c>
      <c r="C549" s="35">
        <f>INT(A549)</f>
        <v/>
      </c>
      <c r="D549" s="36">
        <f>MONTH(A549)</f>
        <v/>
      </c>
      <c r="F549" s="30">
        <f>[1]FİYATLAR!C549</f>
        <v/>
      </c>
      <c r="G549" s="30">
        <f>[1]FİYATLAR!D549</f>
        <v/>
      </c>
      <c r="H549">
        <f>E549*F549</f>
        <v/>
      </c>
      <c r="I549">
        <f>E549*G549</f>
        <v/>
      </c>
    </row>
    <row r="550">
      <c r="A550" s="29">
        <f>[1]FİYATLAR!A550</f>
        <v/>
      </c>
      <c r="B550" s="29">
        <f>[1]FİYATLAR!B550</f>
        <v/>
      </c>
      <c r="C550" s="35">
        <f>INT(A550)</f>
        <v/>
      </c>
      <c r="D550" s="36">
        <f>MONTH(A550)</f>
        <v/>
      </c>
      <c r="F550" s="30">
        <f>[1]FİYATLAR!C550</f>
        <v/>
      </c>
      <c r="G550" s="30">
        <f>[1]FİYATLAR!D550</f>
        <v/>
      </c>
      <c r="H550">
        <f>E550*F550</f>
        <v/>
      </c>
      <c r="I550">
        <f>E550*G550</f>
        <v/>
      </c>
    </row>
    <row r="551">
      <c r="A551" s="29">
        <f>[1]FİYATLAR!A551</f>
        <v/>
      </c>
      <c r="B551" s="29">
        <f>[1]FİYATLAR!B551</f>
        <v/>
      </c>
      <c r="C551" s="35">
        <f>INT(A551)</f>
        <v/>
      </c>
      <c r="D551" s="36">
        <f>MONTH(A551)</f>
        <v/>
      </c>
      <c r="F551" s="30">
        <f>[1]FİYATLAR!C551</f>
        <v/>
      </c>
      <c r="G551" s="30">
        <f>[1]FİYATLAR!D551</f>
        <v/>
      </c>
      <c r="H551">
        <f>E551*F551</f>
        <v/>
      </c>
      <c r="I551">
        <f>E551*G551</f>
        <v/>
      </c>
    </row>
    <row r="552">
      <c r="A552" s="29">
        <f>[1]FİYATLAR!A552</f>
        <v/>
      </c>
      <c r="B552" s="29">
        <f>[1]FİYATLAR!B552</f>
        <v/>
      </c>
      <c r="C552" s="35">
        <f>INT(A552)</f>
        <v/>
      </c>
      <c r="D552" s="36">
        <f>MONTH(A552)</f>
        <v/>
      </c>
      <c r="F552" s="30">
        <f>[1]FİYATLAR!C552</f>
        <v/>
      </c>
      <c r="G552" s="30">
        <f>[1]FİYATLAR!D552</f>
        <v/>
      </c>
      <c r="H552">
        <f>E552*F552</f>
        <v/>
      </c>
      <c r="I552">
        <f>E552*G552</f>
        <v/>
      </c>
    </row>
    <row r="553">
      <c r="A553" s="29">
        <f>[1]FİYATLAR!A553</f>
        <v/>
      </c>
      <c r="B553" s="29">
        <f>[1]FİYATLAR!B553</f>
        <v/>
      </c>
      <c r="C553" s="35">
        <f>INT(A553)</f>
        <v/>
      </c>
      <c r="D553" s="36">
        <f>MONTH(A553)</f>
        <v/>
      </c>
      <c r="F553" s="30">
        <f>[1]FİYATLAR!C553</f>
        <v/>
      </c>
      <c r="G553" s="30">
        <f>[1]FİYATLAR!D553</f>
        <v/>
      </c>
      <c r="H553">
        <f>E553*F553</f>
        <v/>
      </c>
      <c r="I553">
        <f>E553*G553</f>
        <v/>
      </c>
    </row>
    <row r="554">
      <c r="A554" s="29">
        <f>[1]FİYATLAR!A554</f>
        <v/>
      </c>
      <c r="B554" s="29">
        <f>[1]FİYATLAR!B554</f>
        <v/>
      </c>
      <c r="C554" s="35">
        <f>INT(A554)</f>
        <v/>
      </c>
      <c r="D554" s="36">
        <f>MONTH(A554)</f>
        <v/>
      </c>
      <c r="F554" s="30">
        <f>[1]FİYATLAR!C554</f>
        <v/>
      </c>
      <c r="G554" s="30">
        <f>[1]FİYATLAR!D554</f>
        <v/>
      </c>
      <c r="H554">
        <f>E554*F554</f>
        <v/>
      </c>
      <c r="I554">
        <f>E554*G554</f>
        <v/>
      </c>
    </row>
    <row r="555">
      <c r="A555" s="29">
        <f>[1]FİYATLAR!A555</f>
        <v/>
      </c>
      <c r="B555" s="29">
        <f>[1]FİYATLAR!B555</f>
        <v/>
      </c>
      <c r="C555" s="35">
        <f>INT(A555)</f>
        <v/>
      </c>
      <c r="D555" s="36">
        <f>MONTH(A555)</f>
        <v/>
      </c>
      <c r="F555" s="30">
        <f>[1]FİYATLAR!C555</f>
        <v/>
      </c>
      <c r="G555" s="30">
        <f>[1]FİYATLAR!D555</f>
        <v/>
      </c>
      <c r="H555">
        <f>E555*F555</f>
        <v/>
      </c>
      <c r="I555">
        <f>E555*G555</f>
        <v/>
      </c>
    </row>
    <row r="556">
      <c r="A556" s="29">
        <f>[1]FİYATLAR!A556</f>
        <v/>
      </c>
      <c r="B556" s="29">
        <f>[1]FİYATLAR!B556</f>
        <v/>
      </c>
      <c r="C556" s="35">
        <f>INT(A556)</f>
        <v/>
      </c>
      <c r="D556" s="36">
        <f>MONTH(A556)</f>
        <v/>
      </c>
      <c r="F556" s="30">
        <f>[1]FİYATLAR!C556</f>
        <v/>
      </c>
      <c r="G556" s="30">
        <f>[1]FİYATLAR!D556</f>
        <v/>
      </c>
      <c r="H556">
        <f>E556*F556</f>
        <v/>
      </c>
      <c r="I556">
        <f>E556*G556</f>
        <v/>
      </c>
    </row>
    <row r="557">
      <c r="A557" s="29">
        <f>[1]FİYATLAR!A557</f>
        <v/>
      </c>
      <c r="B557" s="29">
        <f>[1]FİYATLAR!B557</f>
        <v/>
      </c>
      <c r="C557" s="35">
        <f>INT(A557)</f>
        <v/>
      </c>
      <c r="D557" s="36">
        <f>MONTH(A557)</f>
        <v/>
      </c>
      <c r="F557" s="30">
        <f>[1]FİYATLAR!C557</f>
        <v/>
      </c>
      <c r="G557" s="30">
        <f>[1]FİYATLAR!D557</f>
        <v/>
      </c>
      <c r="H557">
        <f>E557*F557</f>
        <v/>
      </c>
      <c r="I557">
        <f>E557*G557</f>
        <v/>
      </c>
    </row>
    <row r="558">
      <c r="A558" s="29">
        <f>[1]FİYATLAR!A558</f>
        <v/>
      </c>
      <c r="B558" s="29">
        <f>[1]FİYATLAR!B558</f>
        <v/>
      </c>
      <c r="C558" s="35">
        <f>INT(A558)</f>
        <v/>
      </c>
      <c r="D558" s="36">
        <f>MONTH(A558)</f>
        <v/>
      </c>
      <c r="F558" s="30">
        <f>[1]FİYATLAR!C558</f>
        <v/>
      </c>
      <c r="G558" s="30">
        <f>[1]FİYATLAR!D558</f>
        <v/>
      </c>
      <c r="H558">
        <f>E558*F558</f>
        <v/>
      </c>
      <c r="I558">
        <f>E558*G558</f>
        <v/>
      </c>
    </row>
    <row r="559">
      <c r="A559" s="29">
        <f>[1]FİYATLAR!A559</f>
        <v/>
      </c>
      <c r="B559" s="29">
        <f>[1]FİYATLAR!B559</f>
        <v/>
      </c>
      <c r="C559" s="35">
        <f>INT(A559)</f>
        <v/>
      </c>
      <c r="D559" s="36">
        <f>MONTH(A559)</f>
        <v/>
      </c>
      <c r="F559" s="30">
        <f>[1]FİYATLAR!C559</f>
        <v/>
      </c>
      <c r="G559" s="30">
        <f>[1]FİYATLAR!D559</f>
        <v/>
      </c>
      <c r="H559">
        <f>E559*F559</f>
        <v/>
      </c>
      <c r="I559">
        <f>E559*G559</f>
        <v/>
      </c>
    </row>
    <row r="560">
      <c r="A560" s="29">
        <f>[1]FİYATLAR!A560</f>
        <v/>
      </c>
      <c r="B560" s="29">
        <f>[1]FİYATLAR!B560</f>
        <v/>
      </c>
      <c r="C560" s="35">
        <f>INT(A560)</f>
        <v/>
      </c>
      <c r="D560" s="36">
        <f>MONTH(A560)</f>
        <v/>
      </c>
      <c r="F560" s="30">
        <f>[1]FİYATLAR!C560</f>
        <v/>
      </c>
      <c r="G560" s="30">
        <f>[1]FİYATLAR!D560</f>
        <v/>
      </c>
      <c r="H560">
        <f>E560*F560</f>
        <v/>
      </c>
      <c r="I560">
        <f>E560*G560</f>
        <v/>
      </c>
    </row>
    <row r="561">
      <c r="A561" s="29">
        <f>[1]FİYATLAR!A561</f>
        <v/>
      </c>
      <c r="B561" s="29">
        <f>[1]FİYATLAR!B561</f>
        <v/>
      </c>
      <c r="C561" s="35">
        <f>INT(A561)</f>
        <v/>
      </c>
      <c r="D561" s="36">
        <f>MONTH(A561)</f>
        <v/>
      </c>
      <c r="F561" s="30">
        <f>[1]FİYATLAR!C561</f>
        <v/>
      </c>
      <c r="G561" s="30">
        <f>[1]FİYATLAR!D561</f>
        <v/>
      </c>
      <c r="H561">
        <f>E561*F561</f>
        <v/>
      </c>
      <c r="I561">
        <f>E561*G561</f>
        <v/>
      </c>
    </row>
    <row r="562">
      <c r="A562" s="29">
        <f>[1]FİYATLAR!A562</f>
        <v/>
      </c>
      <c r="B562" s="29">
        <f>[1]FİYATLAR!B562</f>
        <v/>
      </c>
      <c r="C562" s="35">
        <f>INT(A562)</f>
        <v/>
      </c>
      <c r="D562" s="36">
        <f>MONTH(A562)</f>
        <v/>
      </c>
      <c r="F562" s="30">
        <f>[1]FİYATLAR!C562</f>
        <v/>
      </c>
      <c r="G562" s="30">
        <f>[1]FİYATLAR!D562</f>
        <v/>
      </c>
      <c r="H562">
        <f>E562*F562</f>
        <v/>
      </c>
      <c r="I562">
        <f>E562*G562</f>
        <v/>
      </c>
    </row>
    <row r="563">
      <c r="A563" s="29">
        <f>[1]FİYATLAR!A563</f>
        <v/>
      </c>
      <c r="B563" s="29">
        <f>[1]FİYATLAR!B563</f>
        <v/>
      </c>
      <c r="C563" s="35">
        <f>INT(A563)</f>
        <v/>
      </c>
      <c r="D563" s="36">
        <f>MONTH(A563)</f>
        <v/>
      </c>
      <c r="F563" s="30">
        <f>[1]FİYATLAR!C563</f>
        <v/>
      </c>
      <c r="G563" s="30">
        <f>[1]FİYATLAR!D563</f>
        <v/>
      </c>
      <c r="H563">
        <f>E563*F563</f>
        <v/>
      </c>
      <c r="I563">
        <f>E563*G563</f>
        <v/>
      </c>
    </row>
    <row r="564">
      <c r="A564" s="29">
        <f>[1]FİYATLAR!A564</f>
        <v/>
      </c>
      <c r="B564" s="29">
        <f>[1]FİYATLAR!B564</f>
        <v/>
      </c>
      <c r="C564" s="35">
        <f>INT(A564)</f>
        <v/>
      </c>
      <c r="D564" s="36">
        <f>MONTH(A564)</f>
        <v/>
      </c>
      <c r="F564" s="30">
        <f>[1]FİYATLAR!C564</f>
        <v/>
      </c>
      <c r="G564" s="30">
        <f>[1]FİYATLAR!D564</f>
        <v/>
      </c>
      <c r="H564">
        <f>E564*F564</f>
        <v/>
      </c>
      <c r="I564">
        <f>E564*G564</f>
        <v/>
      </c>
    </row>
    <row r="565">
      <c r="A565" s="29">
        <f>[1]FİYATLAR!A565</f>
        <v/>
      </c>
      <c r="B565" s="29">
        <f>[1]FİYATLAR!B565</f>
        <v/>
      </c>
      <c r="C565" s="35">
        <f>INT(A565)</f>
        <v/>
      </c>
      <c r="D565" s="36">
        <f>MONTH(A565)</f>
        <v/>
      </c>
      <c r="F565" s="30">
        <f>[1]FİYATLAR!C565</f>
        <v/>
      </c>
      <c r="G565" s="30">
        <f>[1]FİYATLAR!D565</f>
        <v/>
      </c>
      <c r="H565">
        <f>E565*F565</f>
        <v/>
      </c>
      <c r="I565">
        <f>E565*G565</f>
        <v/>
      </c>
    </row>
    <row r="566">
      <c r="A566" s="29">
        <f>[1]FİYATLAR!A566</f>
        <v/>
      </c>
      <c r="B566" s="29">
        <f>[1]FİYATLAR!B566</f>
        <v/>
      </c>
      <c r="C566" s="35">
        <f>INT(A566)</f>
        <v/>
      </c>
      <c r="D566" s="36">
        <f>MONTH(A566)</f>
        <v/>
      </c>
      <c r="F566" s="30">
        <f>[1]FİYATLAR!C566</f>
        <v/>
      </c>
      <c r="G566" s="30">
        <f>[1]FİYATLAR!D566</f>
        <v/>
      </c>
      <c r="H566">
        <f>E566*F566</f>
        <v/>
      </c>
      <c r="I566">
        <f>E566*G566</f>
        <v/>
      </c>
    </row>
    <row r="567">
      <c r="A567" s="29">
        <f>[1]FİYATLAR!A567</f>
        <v/>
      </c>
      <c r="B567" s="29">
        <f>[1]FİYATLAR!B567</f>
        <v/>
      </c>
      <c r="C567" s="35">
        <f>INT(A567)</f>
        <v/>
      </c>
      <c r="D567" s="36">
        <f>MONTH(A567)</f>
        <v/>
      </c>
      <c r="F567" s="30">
        <f>[1]FİYATLAR!C567</f>
        <v/>
      </c>
      <c r="G567" s="30">
        <f>[1]FİYATLAR!D567</f>
        <v/>
      </c>
      <c r="H567">
        <f>E567*F567</f>
        <v/>
      </c>
      <c r="I567">
        <f>E567*G567</f>
        <v/>
      </c>
    </row>
    <row r="568">
      <c r="A568" s="29">
        <f>[1]FİYATLAR!A568</f>
        <v/>
      </c>
      <c r="B568" s="29">
        <f>[1]FİYATLAR!B568</f>
        <v/>
      </c>
      <c r="C568" s="35">
        <f>INT(A568)</f>
        <v/>
      </c>
      <c r="D568" s="36">
        <f>MONTH(A568)</f>
        <v/>
      </c>
      <c r="F568" s="30">
        <f>[1]FİYATLAR!C568</f>
        <v/>
      </c>
      <c r="G568" s="30">
        <f>[1]FİYATLAR!D568</f>
        <v/>
      </c>
      <c r="H568">
        <f>E568*F568</f>
        <v/>
      </c>
      <c r="I568">
        <f>E568*G568</f>
        <v/>
      </c>
    </row>
    <row r="569">
      <c r="A569" s="29">
        <f>[1]FİYATLAR!A569</f>
        <v/>
      </c>
      <c r="B569" s="29">
        <f>[1]FİYATLAR!B569</f>
        <v/>
      </c>
      <c r="C569" s="35">
        <f>INT(A569)</f>
        <v/>
      </c>
      <c r="D569" s="36">
        <f>MONTH(A569)</f>
        <v/>
      </c>
      <c r="F569" s="30">
        <f>[1]FİYATLAR!C569</f>
        <v/>
      </c>
      <c r="G569" s="30">
        <f>[1]FİYATLAR!D569</f>
        <v/>
      </c>
      <c r="H569">
        <f>E569*F569</f>
        <v/>
      </c>
      <c r="I569">
        <f>E569*G569</f>
        <v/>
      </c>
    </row>
    <row r="570">
      <c r="A570" s="29">
        <f>[1]FİYATLAR!A570</f>
        <v/>
      </c>
      <c r="B570" s="29">
        <f>[1]FİYATLAR!B570</f>
        <v/>
      </c>
      <c r="C570" s="35">
        <f>INT(A570)</f>
        <v/>
      </c>
      <c r="D570" s="36">
        <f>MONTH(A570)</f>
        <v/>
      </c>
      <c r="F570" s="30">
        <f>[1]FİYATLAR!C570</f>
        <v/>
      </c>
      <c r="G570" s="30">
        <f>[1]FİYATLAR!D570</f>
        <v/>
      </c>
      <c r="H570">
        <f>E570*F570</f>
        <v/>
      </c>
      <c r="I570">
        <f>E570*G570</f>
        <v/>
      </c>
    </row>
    <row r="571">
      <c r="A571" s="29">
        <f>[1]FİYATLAR!A571</f>
        <v/>
      </c>
      <c r="B571" s="29">
        <f>[1]FİYATLAR!B571</f>
        <v/>
      </c>
      <c r="C571" s="35">
        <f>INT(A571)</f>
        <v/>
      </c>
      <c r="D571" s="36">
        <f>MONTH(A571)</f>
        <v/>
      </c>
      <c r="F571" s="30">
        <f>[1]FİYATLAR!C571</f>
        <v/>
      </c>
      <c r="G571" s="30">
        <f>[1]FİYATLAR!D571</f>
        <v/>
      </c>
      <c r="H571">
        <f>E571*F571</f>
        <v/>
      </c>
      <c r="I571">
        <f>E571*G571</f>
        <v/>
      </c>
    </row>
    <row r="572">
      <c r="A572" s="29">
        <f>[1]FİYATLAR!A572</f>
        <v/>
      </c>
      <c r="B572" s="29">
        <f>[1]FİYATLAR!B572</f>
        <v/>
      </c>
      <c r="C572" s="35">
        <f>INT(A572)</f>
        <v/>
      </c>
      <c r="D572" s="36">
        <f>MONTH(A572)</f>
        <v/>
      </c>
      <c r="F572" s="30">
        <f>[1]FİYATLAR!C572</f>
        <v/>
      </c>
      <c r="G572" s="30">
        <f>[1]FİYATLAR!D572</f>
        <v/>
      </c>
      <c r="H572">
        <f>E572*F572</f>
        <v/>
      </c>
      <c r="I572">
        <f>E572*G572</f>
        <v/>
      </c>
    </row>
    <row r="573">
      <c r="A573" s="29">
        <f>[1]FİYATLAR!A573</f>
        <v/>
      </c>
      <c r="B573" s="29">
        <f>[1]FİYATLAR!B573</f>
        <v/>
      </c>
      <c r="C573" s="35">
        <f>INT(A573)</f>
        <v/>
      </c>
      <c r="D573" s="36">
        <f>MONTH(A573)</f>
        <v/>
      </c>
      <c r="F573" s="30">
        <f>[1]FİYATLAR!C573</f>
        <v/>
      </c>
      <c r="G573" s="30">
        <f>[1]FİYATLAR!D573</f>
        <v/>
      </c>
      <c r="H573">
        <f>E573*F573</f>
        <v/>
      </c>
      <c r="I573">
        <f>E573*G573</f>
        <v/>
      </c>
    </row>
    <row r="574">
      <c r="A574" s="29">
        <f>[1]FİYATLAR!A574</f>
        <v/>
      </c>
      <c r="B574" s="29">
        <f>[1]FİYATLAR!B574</f>
        <v/>
      </c>
      <c r="C574" s="35">
        <f>INT(A574)</f>
        <v/>
      </c>
      <c r="D574" s="36">
        <f>MONTH(A574)</f>
        <v/>
      </c>
      <c r="F574" s="30">
        <f>[1]FİYATLAR!C574</f>
        <v/>
      </c>
      <c r="G574" s="30">
        <f>[1]FİYATLAR!D574</f>
        <v/>
      </c>
      <c r="H574">
        <f>E574*F574</f>
        <v/>
      </c>
      <c r="I574">
        <f>E574*G574</f>
        <v/>
      </c>
    </row>
    <row r="575">
      <c r="A575" s="29">
        <f>[1]FİYATLAR!A575</f>
        <v/>
      </c>
      <c r="B575" s="29">
        <f>[1]FİYATLAR!B575</f>
        <v/>
      </c>
      <c r="C575" s="35">
        <f>INT(A575)</f>
        <v/>
      </c>
      <c r="D575" s="36">
        <f>MONTH(A575)</f>
        <v/>
      </c>
      <c r="F575" s="30">
        <f>[1]FİYATLAR!C575</f>
        <v/>
      </c>
      <c r="G575" s="30">
        <f>[1]FİYATLAR!D575</f>
        <v/>
      </c>
      <c r="H575">
        <f>E575*F575</f>
        <v/>
      </c>
      <c r="I575">
        <f>E575*G575</f>
        <v/>
      </c>
    </row>
    <row r="576">
      <c r="A576" s="29">
        <f>[1]FİYATLAR!A576</f>
        <v/>
      </c>
      <c r="B576" s="29">
        <f>[1]FİYATLAR!B576</f>
        <v/>
      </c>
      <c r="C576" s="35">
        <f>INT(A576)</f>
        <v/>
      </c>
      <c r="D576" s="36">
        <f>MONTH(A576)</f>
        <v/>
      </c>
      <c r="F576" s="30">
        <f>[1]FİYATLAR!C576</f>
        <v/>
      </c>
      <c r="G576" s="30">
        <f>[1]FİYATLAR!D576</f>
        <v/>
      </c>
      <c r="H576">
        <f>E576*F576</f>
        <v/>
      </c>
      <c r="I576">
        <f>E576*G576</f>
        <v/>
      </c>
    </row>
    <row r="577">
      <c r="A577" s="29">
        <f>[1]FİYATLAR!A577</f>
        <v/>
      </c>
      <c r="B577" s="29">
        <f>[1]FİYATLAR!B577</f>
        <v/>
      </c>
      <c r="C577" s="35">
        <f>INT(A577)</f>
        <v/>
      </c>
      <c r="D577" s="36">
        <f>MONTH(A577)</f>
        <v/>
      </c>
      <c r="F577" s="30">
        <f>[1]FİYATLAR!C577</f>
        <v/>
      </c>
      <c r="G577" s="30">
        <f>[1]FİYATLAR!D577</f>
        <v/>
      </c>
      <c r="H577">
        <f>E577*F577</f>
        <v/>
      </c>
      <c r="I577">
        <f>E577*G577</f>
        <v/>
      </c>
    </row>
    <row r="578">
      <c r="A578" s="29">
        <f>[1]FİYATLAR!A578</f>
        <v/>
      </c>
      <c r="B578" s="29">
        <f>[1]FİYATLAR!B578</f>
        <v/>
      </c>
      <c r="C578" s="35">
        <f>INT(A578)</f>
        <v/>
      </c>
      <c r="D578" s="36">
        <f>MONTH(A578)</f>
        <v/>
      </c>
      <c r="F578" s="30">
        <f>[1]FİYATLAR!C578</f>
        <v/>
      </c>
      <c r="G578" s="30">
        <f>[1]FİYATLAR!D578</f>
        <v/>
      </c>
      <c r="H578">
        <f>E578*F578</f>
        <v/>
      </c>
      <c r="I578">
        <f>E578*G578</f>
        <v/>
      </c>
    </row>
    <row r="579">
      <c r="A579" s="29">
        <f>[1]FİYATLAR!A579</f>
        <v/>
      </c>
      <c r="B579" s="29">
        <f>[1]FİYATLAR!B579</f>
        <v/>
      </c>
      <c r="C579" s="35">
        <f>INT(A579)</f>
        <v/>
      </c>
      <c r="D579" s="36">
        <f>MONTH(A579)</f>
        <v/>
      </c>
      <c r="F579" s="30">
        <f>[1]FİYATLAR!C579</f>
        <v/>
      </c>
      <c r="G579" s="30">
        <f>[1]FİYATLAR!D579</f>
        <v/>
      </c>
      <c r="H579">
        <f>E579*F579</f>
        <v/>
      </c>
      <c r="I579">
        <f>E579*G579</f>
        <v/>
      </c>
    </row>
    <row r="580">
      <c r="A580" s="29">
        <f>[1]FİYATLAR!A580</f>
        <v/>
      </c>
      <c r="B580" s="29">
        <f>[1]FİYATLAR!B580</f>
        <v/>
      </c>
      <c r="C580" s="35">
        <f>INT(A580)</f>
        <v/>
      </c>
      <c r="D580" s="36">
        <f>MONTH(A580)</f>
        <v/>
      </c>
      <c r="F580" s="30">
        <f>[1]FİYATLAR!C580</f>
        <v/>
      </c>
      <c r="G580" s="30">
        <f>[1]FİYATLAR!D580</f>
        <v/>
      </c>
      <c r="H580">
        <f>E580*F580</f>
        <v/>
      </c>
      <c r="I580">
        <f>E580*G580</f>
        <v/>
      </c>
    </row>
    <row r="581">
      <c r="A581" s="29">
        <f>[1]FİYATLAR!A581</f>
        <v/>
      </c>
      <c r="B581" s="29">
        <f>[1]FİYATLAR!B581</f>
        <v/>
      </c>
      <c r="C581" s="35">
        <f>INT(A581)</f>
        <v/>
      </c>
      <c r="D581" s="36">
        <f>MONTH(A581)</f>
        <v/>
      </c>
      <c r="F581" s="30">
        <f>[1]FİYATLAR!C581</f>
        <v/>
      </c>
      <c r="G581" s="30">
        <f>[1]FİYATLAR!D581</f>
        <v/>
      </c>
      <c r="H581">
        <f>E581*F581</f>
        <v/>
      </c>
      <c r="I581">
        <f>E581*G581</f>
        <v/>
      </c>
    </row>
    <row r="582">
      <c r="A582" s="29">
        <f>[1]FİYATLAR!A582</f>
        <v/>
      </c>
      <c r="B582" s="29">
        <f>[1]FİYATLAR!B582</f>
        <v/>
      </c>
      <c r="C582" s="35">
        <f>INT(A582)</f>
        <v/>
      </c>
      <c r="D582" s="36">
        <f>MONTH(A582)</f>
        <v/>
      </c>
      <c r="F582" s="30">
        <f>[1]FİYATLAR!C582</f>
        <v/>
      </c>
      <c r="G582" s="30">
        <f>[1]FİYATLAR!D582</f>
        <v/>
      </c>
      <c r="H582">
        <f>E582*F582</f>
        <v/>
      </c>
      <c r="I582">
        <f>E582*G582</f>
        <v/>
      </c>
    </row>
    <row r="583">
      <c r="A583" s="29">
        <f>[1]FİYATLAR!A583</f>
        <v/>
      </c>
      <c r="B583" s="29">
        <f>[1]FİYATLAR!B583</f>
        <v/>
      </c>
      <c r="C583" s="35">
        <f>INT(A583)</f>
        <v/>
      </c>
      <c r="D583" s="36">
        <f>MONTH(A583)</f>
        <v/>
      </c>
      <c r="F583" s="30">
        <f>[1]FİYATLAR!C583</f>
        <v/>
      </c>
      <c r="G583" s="30">
        <f>[1]FİYATLAR!D583</f>
        <v/>
      </c>
      <c r="H583">
        <f>E583*F583</f>
        <v/>
      </c>
      <c r="I583">
        <f>E583*G583</f>
        <v/>
      </c>
    </row>
    <row r="584">
      <c r="A584" s="29">
        <f>[1]FİYATLAR!A584</f>
        <v/>
      </c>
      <c r="B584" s="29">
        <f>[1]FİYATLAR!B584</f>
        <v/>
      </c>
      <c r="C584" s="35">
        <f>INT(A584)</f>
        <v/>
      </c>
      <c r="D584" s="36">
        <f>MONTH(A584)</f>
        <v/>
      </c>
      <c r="F584" s="30">
        <f>[1]FİYATLAR!C584</f>
        <v/>
      </c>
      <c r="G584" s="30">
        <f>[1]FİYATLAR!D584</f>
        <v/>
      </c>
      <c r="H584">
        <f>E584*F584</f>
        <v/>
      </c>
      <c r="I584">
        <f>E584*G584</f>
        <v/>
      </c>
    </row>
    <row r="585">
      <c r="A585" s="29">
        <f>[1]FİYATLAR!A585</f>
        <v/>
      </c>
      <c r="B585" s="29">
        <f>[1]FİYATLAR!B585</f>
        <v/>
      </c>
      <c r="C585" s="35">
        <f>INT(A585)</f>
        <v/>
      </c>
      <c r="D585" s="36">
        <f>MONTH(A585)</f>
        <v/>
      </c>
      <c r="F585" s="30">
        <f>[1]FİYATLAR!C585</f>
        <v/>
      </c>
      <c r="G585" s="30">
        <f>[1]FİYATLAR!D585</f>
        <v/>
      </c>
      <c r="H585">
        <f>E585*F585</f>
        <v/>
      </c>
      <c r="I585">
        <f>E585*G585</f>
        <v/>
      </c>
    </row>
    <row r="586">
      <c r="A586" s="29">
        <f>[1]FİYATLAR!A586</f>
        <v/>
      </c>
      <c r="B586" s="29">
        <f>[1]FİYATLAR!B586</f>
        <v/>
      </c>
      <c r="C586" s="35">
        <f>INT(A586)</f>
        <v/>
      </c>
      <c r="D586" s="36">
        <f>MONTH(A586)</f>
        <v/>
      </c>
      <c r="F586" s="30">
        <f>[1]FİYATLAR!C586</f>
        <v/>
      </c>
      <c r="G586" s="30">
        <f>[1]FİYATLAR!D586</f>
        <v/>
      </c>
      <c r="H586">
        <f>E586*F586</f>
        <v/>
      </c>
      <c r="I586">
        <f>E586*G586</f>
        <v/>
      </c>
    </row>
    <row r="587">
      <c r="A587" s="29">
        <f>[1]FİYATLAR!A587</f>
        <v/>
      </c>
      <c r="B587" s="29">
        <f>[1]FİYATLAR!B587</f>
        <v/>
      </c>
      <c r="C587" s="35">
        <f>INT(A587)</f>
        <v/>
      </c>
      <c r="D587" s="36">
        <f>MONTH(A587)</f>
        <v/>
      </c>
      <c r="F587" s="30">
        <f>[1]FİYATLAR!C587</f>
        <v/>
      </c>
      <c r="G587" s="30">
        <f>[1]FİYATLAR!D587</f>
        <v/>
      </c>
      <c r="H587">
        <f>E587*F587</f>
        <v/>
      </c>
      <c r="I587">
        <f>E587*G587</f>
        <v/>
      </c>
    </row>
    <row r="588">
      <c r="A588" s="29">
        <f>[1]FİYATLAR!A588</f>
        <v/>
      </c>
      <c r="B588" s="29">
        <f>[1]FİYATLAR!B588</f>
        <v/>
      </c>
      <c r="C588" s="35">
        <f>INT(A588)</f>
        <v/>
      </c>
      <c r="D588" s="36">
        <f>MONTH(A588)</f>
        <v/>
      </c>
      <c r="F588" s="30">
        <f>[1]FİYATLAR!C588</f>
        <v/>
      </c>
      <c r="G588" s="30">
        <f>[1]FİYATLAR!D588</f>
        <v/>
      </c>
      <c r="H588">
        <f>E588*F588</f>
        <v/>
      </c>
      <c r="I588">
        <f>E588*G588</f>
        <v/>
      </c>
    </row>
    <row r="589">
      <c r="A589" s="29">
        <f>[1]FİYATLAR!A589</f>
        <v/>
      </c>
      <c r="B589" s="29">
        <f>[1]FİYATLAR!B589</f>
        <v/>
      </c>
      <c r="C589" s="35">
        <f>INT(A589)</f>
        <v/>
      </c>
      <c r="D589" s="36">
        <f>MONTH(A589)</f>
        <v/>
      </c>
      <c r="F589" s="30">
        <f>[1]FİYATLAR!C589</f>
        <v/>
      </c>
      <c r="G589" s="30">
        <f>[1]FİYATLAR!D589</f>
        <v/>
      </c>
      <c r="H589">
        <f>E589*F589</f>
        <v/>
      </c>
      <c r="I589">
        <f>E589*G589</f>
        <v/>
      </c>
    </row>
    <row r="590">
      <c r="A590" s="29">
        <f>[1]FİYATLAR!A590</f>
        <v/>
      </c>
      <c r="B590" s="29">
        <f>[1]FİYATLAR!B590</f>
        <v/>
      </c>
      <c r="C590" s="35">
        <f>INT(A590)</f>
        <v/>
      </c>
      <c r="D590" s="36">
        <f>MONTH(A590)</f>
        <v/>
      </c>
      <c r="F590" s="30">
        <f>[1]FİYATLAR!C590</f>
        <v/>
      </c>
      <c r="G590" s="30">
        <f>[1]FİYATLAR!D590</f>
        <v/>
      </c>
      <c r="H590">
        <f>E590*F590</f>
        <v/>
      </c>
      <c r="I590">
        <f>E590*G590</f>
        <v/>
      </c>
    </row>
    <row r="591">
      <c r="A591" s="29">
        <f>[1]FİYATLAR!A591</f>
        <v/>
      </c>
      <c r="B591" s="29">
        <f>[1]FİYATLAR!B591</f>
        <v/>
      </c>
      <c r="C591" s="35">
        <f>INT(A591)</f>
        <v/>
      </c>
      <c r="D591" s="36">
        <f>MONTH(A591)</f>
        <v/>
      </c>
      <c r="F591" s="30">
        <f>[1]FİYATLAR!C591</f>
        <v/>
      </c>
      <c r="G591" s="30">
        <f>[1]FİYATLAR!D591</f>
        <v/>
      </c>
      <c r="H591">
        <f>E591*F591</f>
        <v/>
      </c>
      <c r="I591">
        <f>E591*G591</f>
        <v/>
      </c>
    </row>
    <row r="592">
      <c r="A592" s="29">
        <f>[1]FİYATLAR!A592</f>
        <v/>
      </c>
      <c r="B592" s="29">
        <f>[1]FİYATLAR!B592</f>
        <v/>
      </c>
      <c r="C592" s="35">
        <f>INT(A592)</f>
        <v/>
      </c>
      <c r="D592" s="36">
        <f>MONTH(A592)</f>
        <v/>
      </c>
      <c r="F592" s="30">
        <f>[1]FİYATLAR!C592</f>
        <v/>
      </c>
      <c r="G592" s="30">
        <f>[1]FİYATLAR!D592</f>
        <v/>
      </c>
      <c r="H592">
        <f>E592*F592</f>
        <v/>
      </c>
      <c r="I592">
        <f>E592*G592</f>
        <v/>
      </c>
    </row>
    <row r="593">
      <c r="A593" s="29">
        <f>[1]FİYATLAR!A593</f>
        <v/>
      </c>
      <c r="B593" s="29">
        <f>[1]FİYATLAR!B593</f>
        <v/>
      </c>
      <c r="C593" s="35">
        <f>INT(A593)</f>
        <v/>
      </c>
      <c r="D593" s="36">
        <f>MONTH(A593)</f>
        <v/>
      </c>
      <c r="F593" s="30">
        <f>[1]FİYATLAR!C593</f>
        <v/>
      </c>
      <c r="G593" s="30">
        <f>[1]FİYATLAR!D593</f>
        <v/>
      </c>
      <c r="H593">
        <f>E593*F593</f>
        <v/>
      </c>
      <c r="I593">
        <f>E593*G593</f>
        <v/>
      </c>
    </row>
    <row r="594">
      <c r="A594" s="29">
        <f>[1]FİYATLAR!A594</f>
        <v/>
      </c>
      <c r="B594" s="29">
        <f>[1]FİYATLAR!B594</f>
        <v/>
      </c>
      <c r="C594" s="35">
        <f>INT(A594)</f>
        <v/>
      </c>
      <c r="D594" s="36">
        <f>MONTH(A594)</f>
        <v/>
      </c>
      <c r="F594" s="30">
        <f>[1]FİYATLAR!C594</f>
        <v/>
      </c>
      <c r="G594" s="30">
        <f>[1]FİYATLAR!D594</f>
        <v/>
      </c>
      <c r="H594">
        <f>E594*F594</f>
        <v/>
      </c>
      <c r="I594">
        <f>E594*G594</f>
        <v/>
      </c>
    </row>
    <row r="595">
      <c r="A595" s="29">
        <f>[1]FİYATLAR!A595</f>
        <v/>
      </c>
      <c r="B595" s="29">
        <f>[1]FİYATLAR!B595</f>
        <v/>
      </c>
      <c r="C595" s="35">
        <f>INT(A595)</f>
        <v/>
      </c>
      <c r="D595" s="36">
        <f>MONTH(A595)</f>
        <v/>
      </c>
      <c r="F595" s="30">
        <f>[1]FİYATLAR!C595</f>
        <v/>
      </c>
      <c r="G595" s="30">
        <f>[1]FİYATLAR!D595</f>
        <v/>
      </c>
      <c r="H595">
        <f>E595*F595</f>
        <v/>
      </c>
      <c r="I595">
        <f>E595*G595</f>
        <v/>
      </c>
    </row>
    <row r="596">
      <c r="A596" s="29">
        <f>[1]FİYATLAR!A596</f>
        <v/>
      </c>
      <c r="B596" s="29">
        <f>[1]FİYATLAR!B596</f>
        <v/>
      </c>
      <c r="C596" s="35">
        <f>INT(A596)</f>
        <v/>
      </c>
      <c r="D596" s="36">
        <f>MONTH(A596)</f>
        <v/>
      </c>
      <c r="F596" s="30">
        <f>[1]FİYATLAR!C596</f>
        <v/>
      </c>
      <c r="G596" s="30">
        <f>[1]FİYATLAR!D596</f>
        <v/>
      </c>
      <c r="H596">
        <f>E596*F596</f>
        <v/>
      </c>
      <c r="I596">
        <f>E596*G596</f>
        <v/>
      </c>
    </row>
    <row r="597">
      <c r="A597" s="29">
        <f>[1]FİYATLAR!A597</f>
        <v/>
      </c>
      <c r="B597" s="29">
        <f>[1]FİYATLAR!B597</f>
        <v/>
      </c>
      <c r="C597" s="35">
        <f>INT(A597)</f>
        <v/>
      </c>
      <c r="D597" s="36">
        <f>MONTH(A597)</f>
        <v/>
      </c>
      <c r="F597" s="30">
        <f>[1]FİYATLAR!C597</f>
        <v/>
      </c>
      <c r="G597" s="30">
        <f>[1]FİYATLAR!D597</f>
        <v/>
      </c>
      <c r="H597">
        <f>E597*F597</f>
        <v/>
      </c>
      <c r="I597">
        <f>E597*G597</f>
        <v/>
      </c>
    </row>
    <row r="598">
      <c r="A598" s="29">
        <f>[1]FİYATLAR!A598</f>
        <v/>
      </c>
      <c r="B598" s="29">
        <f>[1]FİYATLAR!B598</f>
        <v/>
      </c>
      <c r="C598" s="35">
        <f>INT(A598)</f>
        <v/>
      </c>
      <c r="D598" s="36">
        <f>MONTH(A598)</f>
        <v/>
      </c>
      <c r="F598" s="30">
        <f>[1]FİYATLAR!C598</f>
        <v/>
      </c>
      <c r="G598" s="30">
        <f>[1]FİYATLAR!D598</f>
        <v/>
      </c>
      <c r="H598">
        <f>E598*F598</f>
        <v/>
      </c>
      <c r="I598">
        <f>E598*G598</f>
        <v/>
      </c>
    </row>
    <row r="599">
      <c r="A599" s="29">
        <f>[1]FİYATLAR!A599</f>
        <v/>
      </c>
      <c r="B599" s="29">
        <f>[1]FİYATLAR!B599</f>
        <v/>
      </c>
      <c r="C599" s="35">
        <f>INT(A599)</f>
        <v/>
      </c>
      <c r="D599" s="36">
        <f>MONTH(A599)</f>
        <v/>
      </c>
      <c r="F599" s="30">
        <f>[1]FİYATLAR!C599</f>
        <v/>
      </c>
      <c r="G599" s="30">
        <f>[1]FİYATLAR!D599</f>
        <v/>
      </c>
      <c r="H599">
        <f>E599*F599</f>
        <v/>
      </c>
      <c r="I599">
        <f>E599*G599</f>
        <v/>
      </c>
    </row>
    <row r="600">
      <c r="A600" s="29">
        <f>[1]FİYATLAR!A600</f>
        <v/>
      </c>
      <c r="B600" s="29">
        <f>[1]FİYATLAR!B600</f>
        <v/>
      </c>
      <c r="C600" s="35">
        <f>INT(A600)</f>
        <v/>
      </c>
      <c r="D600" s="36">
        <f>MONTH(A600)</f>
        <v/>
      </c>
      <c r="F600" s="30">
        <f>[1]FİYATLAR!C600</f>
        <v/>
      </c>
      <c r="G600" s="30">
        <f>[1]FİYATLAR!D600</f>
        <v/>
      </c>
      <c r="H600">
        <f>E600*F600</f>
        <v/>
      </c>
      <c r="I600">
        <f>E600*G600</f>
        <v/>
      </c>
    </row>
    <row r="601">
      <c r="A601" s="29">
        <f>[1]FİYATLAR!A601</f>
        <v/>
      </c>
      <c r="B601" s="29">
        <f>[1]FİYATLAR!B601</f>
        <v/>
      </c>
      <c r="C601" s="35">
        <f>INT(A601)</f>
        <v/>
      </c>
      <c r="D601" s="36">
        <f>MONTH(A601)</f>
        <v/>
      </c>
      <c r="F601" s="30">
        <f>[1]FİYATLAR!C601</f>
        <v/>
      </c>
      <c r="G601" s="30">
        <f>[1]FİYATLAR!D601</f>
        <v/>
      </c>
      <c r="H601">
        <f>E601*F601</f>
        <v/>
      </c>
      <c r="I601">
        <f>E601*G601</f>
        <v/>
      </c>
    </row>
    <row r="602">
      <c r="A602" s="29">
        <f>[1]FİYATLAR!A602</f>
        <v/>
      </c>
      <c r="B602" s="29">
        <f>[1]FİYATLAR!B602</f>
        <v/>
      </c>
      <c r="C602" s="35">
        <f>INT(A602)</f>
        <v/>
      </c>
      <c r="D602" s="36">
        <f>MONTH(A602)</f>
        <v/>
      </c>
      <c r="F602" s="30">
        <f>[1]FİYATLAR!C602</f>
        <v/>
      </c>
      <c r="G602" s="30">
        <f>[1]FİYATLAR!D602</f>
        <v/>
      </c>
      <c r="H602">
        <f>E602*F602</f>
        <v/>
      </c>
      <c r="I602">
        <f>E602*G602</f>
        <v/>
      </c>
    </row>
    <row r="603">
      <c r="A603" s="29">
        <f>[1]FİYATLAR!A603</f>
        <v/>
      </c>
      <c r="B603" s="29">
        <f>[1]FİYATLAR!B603</f>
        <v/>
      </c>
      <c r="C603" s="35">
        <f>INT(A603)</f>
        <v/>
      </c>
      <c r="D603" s="36">
        <f>MONTH(A603)</f>
        <v/>
      </c>
      <c r="F603" s="30">
        <f>[1]FİYATLAR!C603</f>
        <v/>
      </c>
      <c r="G603" s="30">
        <f>[1]FİYATLAR!D603</f>
        <v/>
      </c>
      <c r="H603">
        <f>E603*F603</f>
        <v/>
      </c>
      <c r="I603">
        <f>E603*G603</f>
        <v/>
      </c>
    </row>
    <row r="604">
      <c r="A604" s="29">
        <f>[1]FİYATLAR!A604</f>
        <v/>
      </c>
      <c r="B604" s="29">
        <f>[1]FİYATLAR!B604</f>
        <v/>
      </c>
      <c r="C604" s="35">
        <f>INT(A604)</f>
        <v/>
      </c>
      <c r="D604" s="36">
        <f>MONTH(A604)</f>
        <v/>
      </c>
      <c r="F604" s="30">
        <f>[1]FİYATLAR!C604</f>
        <v/>
      </c>
      <c r="G604" s="30">
        <f>[1]FİYATLAR!D604</f>
        <v/>
      </c>
      <c r="H604">
        <f>E604*F604</f>
        <v/>
      </c>
      <c r="I604">
        <f>E604*G604</f>
        <v/>
      </c>
    </row>
    <row r="605">
      <c r="A605" s="29">
        <f>[1]FİYATLAR!A605</f>
        <v/>
      </c>
      <c r="B605" s="29">
        <f>[1]FİYATLAR!B605</f>
        <v/>
      </c>
      <c r="C605" s="35">
        <f>INT(A605)</f>
        <v/>
      </c>
      <c r="D605" s="36">
        <f>MONTH(A605)</f>
        <v/>
      </c>
      <c r="F605" s="30">
        <f>[1]FİYATLAR!C605</f>
        <v/>
      </c>
      <c r="G605" s="30">
        <f>[1]FİYATLAR!D605</f>
        <v/>
      </c>
      <c r="H605">
        <f>E605*F605</f>
        <v/>
      </c>
      <c r="I605">
        <f>E605*G605</f>
        <v/>
      </c>
    </row>
    <row r="606">
      <c r="A606" s="29">
        <f>[1]FİYATLAR!A606</f>
        <v/>
      </c>
      <c r="B606" s="29">
        <f>[1]FİYATLAR!B606</f>
        <v/>
      </c>
      <c r="C606" s="35">
        <f>INT(A606)</f>
        <v/>
      </c>
      <c r="D606" s="36">
        <f>MONTH(A606)</f>
        <v/>
      </c>
      <c r="F606" s="30">
        <f>[1]FİYATLAR!C606</f>
        <v/>
      </c>
      <c r="G606" s="30">
        <f>[1]FİYATLAR!D606</f>
        <v/>
      </c>
      <c r="H606">
        <f>E606*F606</f>
        <v/>
      </c>
      <c r="I606">
        <f>E606*G606</f>
        <v/>
      </c>
    </row>
    <row r="607">
      <c r="A607" s="29">
        <f>[1]FİYATLAR!A607</f>
        <v/>
      </c>
      <c r="B607" s="29">
        <f>[1]FİYATLAR!B607</f>
        <v/>
      </c>
      <c r="C607" s="35">
        <f>INT(A607)</f>
        <v/>
      </c>
      <c r="D607" s="36">
        <f>MONTH(A607)</f>
        <v/>
      </c>
      <c r="F607" s="30">
        <f>[1]FİYATLAR!C607</f>
        <v/>
      </c>
      <c r="G607" s="30">
        <f>[1]FİYATLAR!D607</f>
        <v/>
      </c>
      <c r="H607">
        <f>E607*F607</f>
        <v/>
      </c>
      <c r="I607">
        <f>E607*G607</f>
        <v/>
      </c>
    </row>
    <row r="608">
      <c r="A608" s="29">
        <f>[1]FİYATLAR!A608</f>
        <v/>
      </c>
      <c r="B608" s="29">
        <f>[1]FİYATLAR!B608</f>
        <v/>
      </c>
      <c r="C608" s="35">
        <f>INT(A608)</f>
        <v/>
      </c>
      <c r="D608" s="36">
        <f>MONTH(A608)</f>
        <v/>
      </c>
      <c r="F608" s="30">
        <f>[1]FİYATLAR!C608</f>
        <v/>
      </c>
      <c r="G608" s="30">
        <f>[1]FİYATLAR!D608</f>
        <v/>
      </c>
      <c r="H608">
        <f>E608*F608</f>
        <v/>
      </c>
      <c r="I608">
        <f>E608*G608</f>
        <v/>
      </c>
    </row>
    <row r="609">
      <c r="A609" s="29">
        <f>[1]FİYATLAR!A609</f>
        <v/>
      </c>
      <c r="B609" s="29">
        <f>[1]FİYATLAR!B609</f>
        <v/>
      </c>
      <c r="C609" s="35">
        <f>INT(A609)</f>
        <v/>
      </c>
      <c r="D609" s="36">
        <f>MONTH(A609)</f>
        <v/>
      </c>
      <c r="F609" s="30">
        <f>[1]FİYATLAR!C609</f>
        <v/>
      </c>
      <c r="G609" s="30">
        <f>[1]FİYATLAR!D609</f>
        <v/>
      </c>
      <c r="H609">
        <f>E609*F609</f>
        <v/>
      </c>
      <c r="I609">
        <f>E609*G609</f>
        <v/>
      </c>
    </row>
    <row r="610">
      <c r="A610" s="29">
        <f>[1]FİYATLAR!A610</f>
        <v/>
      </c>
      <c r="B610" s="29">
        <f>[1]FİYATLAR!B610</f>
        <v/>
      </c>
      <c r="C610" s="35">
        <f>INT(A610)</f>
        <v/>
      </c>
      <c r="D610" s="36">
        <f>MONTH(A610)</f>
        <v/>
      </c>
      <c r="F610" s="30">
        <f>[1]FİYATLAR!C610</f>
        <v/>
      </c>
      <c r="G610" s="30">
        <f>[1]FİYATLAR!D610</f>
        <v/>
      </c>
      <c r="H610">
        <f>E610*F610</f>
        <v/>
      </c>
      <c r="I610">
        <f>E610*G610</f>
        <v/>
      </c>
    </row>
    <row r="611">
      <c r="A611" s="29">
        <f>[1]FİYATLAR!A611</f>
        <v/>
      </c>
      <c r="B611" s="29">
        <f>[1]FİYATLAR!B611</f>
        <v/>
      </c>
      <c r="C611" s="35">
        <f>INT(A611)</f>
        <v/>
      </c>
      <c r="D611" s="36">
        <f>MONTH(A611)</f>
        <v/>
      </c>
      <c r="F611" s="30">
        <f>[1]FİYATLAR!C611</f>
        <v/>
      </c>
      <c r="G611" s="30">
        <f>[1]FİYATLAR!D611</f>
        <v/>
      </c>
      <c r="H611">
        <f>E611*F611</f>
        <v/>
      </c>
      <c r="I611">
        <f>E611*G611</f>
        <v/>
      </c>
    </row>
    <row r="612">
      <c r="A612" s="29">
        <f>[1]FİYATLAR!A612</f>
        <v/>
      </c>
      <c r="B612" s="29">
        <f>[1]FİYATLAR!B612</f>
        <v/>
      </c>
      <c r="C612" s="35">
        <f>INT(A612)</f>
        <v/>
      </c>
      <c r="D612" s="36">
        <f>MONTH(A612)</f>
        <v/>
      </c>
      <c r="F612" s="30">
        <f>[1]FİYATLAR!C612</f>
        <v/>
      </c>
      <c r="G612" s="30">
        <f>[1]FİYATLAR!D612</f>
        <v/>
      </c>
      <c r="H612">
        <f>E612*F612</f>
        <v/>
      </c>
      <c r="I612">
        <f>E612*G612</f>
        <v/>
      </c>
    </row>
    <row r="613">
      <c r="A613" s="29">
        <f>[1]FİYATLAR!A613</f>
        <v/>
      </c>
      <c r="B613" s="29">
        <f>[1]FİYATLAR!B613</f>
        <v/>
      </c>
      <c r="C613" s="35">
        <f>INT(A613)</f>
        <v/>
      </c>
      <c r="D613" s="36">
        <f>MONTH(A613)</f>
        <v/>
      </c>
      <c r="F613" s="30">
        <f>[1]FİYATLAR!C613</f>
        <v/>
      </c>
      <c r="G613" s="30">
        <f>[1]FİYATLAR!D613</f>
        <v/>
      </c>
      <c r="H613">
        <f>E613*F613</f>
        <v/>
      </c>
      <c r="I613">
        <f>E613*G613</f>
        <v/>
      </c>
    </row>
    <row r="614">
      <c r="A614" s="29">
        <f>[1]FİYATLAR!A614</f>
        <v/>
      </c>
      <c r="B614" s="29">
        <f>[1]FİYATLAR!B614</f>
        <v/>
      </c>
      <c r="C614" s="35">
        <f>INT(A614)</f>
        <v/>
      </c>
      <c r="D614" s="36">
        <f>MONTH(A614)</f>
        <v/>
      </c>
      <c r="F614" s="30">
        <f>[1]FİYATLAR!C614</f>
        <v/>
      </c>
      <c r="G614" s="30">
        <f>[1]FİYATLAR!D614</f>
        <v/>
      </c>
      <c r="H614">
        <f>E614*F614</f>
        <v/>
      </c>
      <c r="I614">
        <f>E614*G614</f>
        <v/>
      </c>
    </row>
    <row r="615">
      <c r="A615" s="29">
        <f>[1]FİYATLAR!A615</f>
        <v/>
      </c>
      <c r="B615" s="29">
        <f>[1]FİYATLAR!B615</f>
        <v/>
      </c>
      <c r="C615" s="35">
        <f>INT(A615)</f>
        <v/>
      </c>
      <c r="D615" s="36">
        <f>MONTH(A615)</f>
        <v/>
      </c>
      <c r="F615" s="30">
        <f>[1]FİYATLAR!C615</f>
        <v/>
      </c>
      <c r="G615" s="30">
        <f>[1]FİYATLAR!D615</f>
        <v/>
      </c>
      <c r="H615">
        <f>E615*F615</f>
        <v/>
      </c>
      <c r="I615">
        <f>E615*G615</f>
        <v/>
      </c>
    </row>
    <row r="616">
      <c r="A616" s="29">
        <f>[1]FİYATLAR!A616</f>
        <v/>
      </c>
      <c r="B616" s="29">
        <f>[1]FİYATLAR!B616</f>
        <v/>
      </c>
      <c r="C616" s="35">
        <f>INT(A616)</f>
        <v/>
      </c>
      <c r="D616" s="36">
        <f>MONTH(A616)</f>
        <v/>
      </c>
      <c r="F616" s="30">
        <f>[1]FİYATLAR!C616</f>
        <v/>
      </c>
      <c r="G616" s="30">
        <f>[1]FİYATLAR!D616</f>
        <v/>
      </c>
      <c r="H616">
        <f>E616*F616</f>
        <v/>
      </c>
      <c r="I616">
        <f>E616*G616</f>
        <v/>
      </c>
    </row>
    <row r="617">
      <c r="A617" s="29">
        <f>[1]FİYATLAR!A617</f>
        <v/>
      </c>
      <c r="B617" s="29">
        <f>[1]FİYATLAR!B617</f>
        <v/>
      </c>
      <c r="C617" s="35">
        <f>INT(A617)</f>
        <v/>
      </c>
      <c r="D617" s="36">
        <f>MONTH(A617)</f>
        <v/>
      </c>
      <c r="F617" s="30">
        <f>[1]FİYATLAR!C617</f>
        <v/>
      </c>
      <c r="G617" s="30">
        <f>[1]FİYATLAR!D617</f>
        <v/>
      </c>
      <c r="H617">
        <f>E617*F617</f>
        <v/>
      </c>
      <c r="I617">
        <f>E617*G617</f>
        <v/>
      </c>
    </row>
    <row r="618">
      <c r="A618" s="29">
        <f>[1]FİYATLAR!A618</f>
        <v/>
      </c>
      <c r="B618" s="29">
        <f>[1]FİYATLAR!B618</f>
        <v/>
      </c>
      <c r="C618" s="35">
        <f>INT(A618)</f>
        <v/>
      </c>
      <c r="D618" s="36">
        <f>MONTH(A618)</f>
        <v/>
      </c>
      <c r="F618" s="30">
        <f>[1]FİYATLAR!C618</f>
        <v/>
      </c>
      <c r="G618" s="30">
        <f>[1]FİYATLAR!D618</f>
        <v/>
      </c>
      <c r="H618">
        <f>E618*F618</f>
        <v/>
      </c>
      <c r="I618">
        <f>E618*G618</f>
        <v/>
      </c>
    </row>
    <row r="619">
      <c r="A619" s="29">
        <f>[1]FİYATLAR!A619</f>
        <v/>
      </c>
      <c r="B619" s="29">
        <f>[1]FİYATLAR!B619</f>
        <v/>
      </c>
      <c r="C619" s="35">
        <f>INT(A619)</f>
        <v/>
      </c>
      <c r="D619" s="36">
        <f>MONTH(A619)</f>
        <v/>
      </c>
      <c r="F619" s="30">
        <f>[1]FİYATLAR!C619</f>
        <v/>
      </c>
      <c r="G619" s="30">
        <f>[1]FİYATLAR!D619</f>
        <v/>
      </c>
      <c r="H619">
        <f>E619*F619</f>
        <v/>
      </c>
      <c r="I619">
        <f>E619*G619</f>
        <v/>
      </c>
    </row>
    <row r="620">
      <c r="A620" s="29">
        <f>[1]FİYATLAR!A620</f>
        <v/>
      </c>
      <c r="B620" s="29">
        <f>[1]FİYATLAR!B620</f>
        <v/>
      </c>
      <c r="C620" s="35">
        <f>INT(A620)</f>
        <v/>
      </c>
      <c r="D620" s="36">
        <f>MONTH(A620)</f>
        <v/>
      </c>
      <c r="F620" s="30">
        <f>[1]FİYATLAR!C620</f>
        <v/>
      </c>
      <c r="G620" s="30">
        <f>[1]FİYATLAR!D620</f>
        <v/>
      </c>
      <c r="H620">
        <f>E620*F620</f>
        <v/>
      </c>
      <c r="I620">
        <f>E620*G620</f>
        <v/>
      </c>
    </row>
    <row r="621">
      <c r="A621" s="29">
        <f>[1]FİYATLAR!A621</f>
        <v/>
      </c>
      <c r="B621" s="29">
        <f>[1]FİYATLAR!B621</f>
        <v/>
      </c>
      <c r="C621" s="35">
        <f>INT(A621)</f>
        <v/>
      </c>
      <c r="D621" s="36">
        <f>MONTH(A621)</f>
        <v/>
      </c>
      <c r="F621" s="30">
        <f>[1]FİYATLAR!C621</f>
        <v/>
      </c>
      <c r="G621" s="30">
        <f>[1]FİYATLAR!D621</f>
        <v/>
      </c>
      <c r="H621">
        <f>E621*F621</f>
        <v/>
      </c>
      <c r="I621">
        <f>E621*G621</f>
        <v/>
      </c>
    </row>
    <row r="622">
      <c r="A622" s="29">
        <f>[1]FİYATLAR!A622</f>
        <v/>
      </c>
      <c r="B622" s="29">
        <f>[1]FİYATLAR!B622</f>
        <v/>
      </c>
      <c r="C622" s="35">
        <f>INT(A622)</f>
        <v/>
      </c>
      <c r="D622" s="36">
        <f>MONTH(A622)</f>
        <v/>
      </c>
      <c r="F622" s="30">
        <f>[1]FİYATLAR!C622</f>
        <v/>
      </c>
      <c r="G622" s="30">
        <f>[1]FİYATLAR!D622</f>
        <v/>
      </c>
      <c r="H622">
        <f>E622*F622</f>
        <v/>
      </c>
      <c r="I622">
        <f>E622*G622</f>
        <v/>
      </c>
    </row>
    <row r="623">
      <c r="A623" s="29">
        <f>[1]FİYATLAR!A623</f>
        <v/>
      </c>
      <c r="B623" s="29">
        <f>[1]FİYATLAR!B623</f>
        <v/>
      </c>
      <c r="C623" s="35">
        <f>INT(A623)</f>
        <v/>
      </c>
      <c r="D623" s="36">
        <f>MONTH(A623)</f>
        <v/>
      </c>
      <c r="F623" s="30">
        <f>[1]FİYATLAR!C623</f>
        <v/>
      </c>
      <c r="G623" s="30">
        <f>[1]FİYATLAR!D623</f>
        <v/>
      </c>
      <c r="H623">
        <f>E623*F623</f>
        <v/>
      </c>
      <c r="I623">
        <f>E623*G623</f>
        <v/>
      </c>
    </row>
    <row r="624">
      <c r="A624" s="29">
        <f>[1]FİYATLAR!A624</f>
        <v/>
      </c>
      <c r="B624" s="29">
        <f>[1]FİYATLAR!B624</f>
        <v/>
      </c>
      <c r="C624" s="35">
        <f>INT(A624)</f>
        <v/>
      </c>
      <c r="D624" s="36">
        <f>MONTH(A624)</f>
        <v/>
      </c>
      <c r="F624" s="30">
        <f>[1]FİYATLAR!C624</f>
        <v/>
      </c>
      <c r="G624" s="30">
        <f>[1]FİYATLAR!D624</f>
        <v/>
      </c>
      <c r="H624">
        <f>E624*F624</f>
        <v/>
      </c>
      <c r="I624">
        <f>E624*G624</f>
        <v/>
      </c>
    </row>
    <row r="625">
      <c r="A625" s="29">
        <f>[1]FİYATLAR!A625</f>
        <v/>
      </c>
      <c r="B625" s="29">
        <f>[1]FİYATLAR!B625</f>
        <v/>
      </c>
      <c r="C625" s="35">
        <f>INT(A625)</f>
        <v/>
      </c>
      <c r="D625" s="36">
        <f>MONTH(A625)</f>
        <v/>
      </c>
      <c r="F625" s="30">
        <f>[1]FİYATLAR!C625</f>
        <v/>
      </c>
      <c r="G625" s="30">
        <f>[1]FİYATLAR!D625</f>
        <v/>
      </c>
      <c r="H625">
        <f>E625*F625</f>
        <v/>
      </c>
      <c r="I625">
        <f>E625*G625</f>
        <v/>
      </c>
    </row>
    <row r="626">
      <c r="A626" s="29">
        <f>[1]FİYATLAR!A626</f>
        <v/>
      </c>
      <c r="B626" s="29">
        <f>[1]FİYATLAR!B626</f>
        <v/>
      </c>
      <c r="C626" s="35">
        <f>INT(A626)</f>
        <v/>
      </c>
      <c r="D626" s="36">
        <f>MONTH(A626)</f>
        <v/>
      </c>
      <c r="F626" s="30">
        <f>[1]FİYATLAR!C626</f>
        <v/>
      </c>
      <c r="G626" s="30">
        <f>[1]FİYATLAR!D626</f>
        <v/>
      </c>
      <c r="H626">
        <f>E626*F626</f>
        <v/>
      </c>
      <c r="I626">
        <f>E626*G626</f>
        <v/>
      </c>
    </row>
    <row r="627">
      <c r="A627" s="29">
        <f>[1]FİYATLAR!A627</f>
        <v/>
      </c>
      <c r="B627" s="29">
        <f>[1]FİYATLAR!B627</f>
        <v/>
      </c>
      <c r="C627" s="35">
        <f>INT(A627)</f>
        <v/>
      </c>
      <c r="D627" s="36">
        <f>MONTH(A627)</f>
        <v/>
      </c>
      <c r="F627" s="30">
        <f>[1]FİYATLAR!C627</f>
        <v/>
      </c>
      <c r="G627" s="30">
        <f>[1]FİYATLAR!D627</f>
        <v/>
      </c>
      <c r="H627">
        <f>E627*F627</f>
        <v/>
      </c>
      <c r="I627">
        <f>E627*G627</f>
        <v/>
      </c>
    </row>
    <row r="628">
      <c r="A628" s="29">
        <f>[1]FİYATLAR!A628</f>
        <v/>
      </c>
      <c r="B628" s="29">
        <f>[1]FİYATLAR!B628</f>
        <v/>
      </c>
      <c r="C628" s="35">
        <f>INT(A628)</f>
        <v/>
      </c>
      <c r="D628" s="36">
        <f>MONTH(A628)</f>
        <v/>
      </c>
      <c r="F628" s="30">
        <f>[1]FİYATLAR!C628</f>
        <v/>
      </c>
      <c r="G628" s="30">
        <f>[1]FİYATLAR!D628</f>
        <v/>
      </c>
      <c r="H628">
        <f>E628*F628</f>
        <v/>
      </c>
      <c r="I628">
        <f>E628*G628</f>
        <v/>
      </c>
    </row>
    <row r="629">
      <c r="A629" s="29">
        <f>[1]FİYATLAR!A629</f>
        <v/>
      </c>
      <c r="B629" s="29">
        <f>[1]FİYATLAR!B629</f>
        <v/>
      </c>
      <c r="C629" s="35">
        <f>INT(A629)</f>
        <v/>
      </c>
      <c r="D629" s="36">
        <f>MONTH(A629)</f>
        <v/>
      </c>
      <c r="F629" s="30">
        <f>[1]FİYATLAR!C629</f>
        <v/>
      </c>
      <c r="G629" s="30">
        <f>[1]FİYATLAR!D629</f>
        <v/>
      </c>
      <c r="H629">
        <f>E629*F629</f>
        <v/>
      </c>
      <c r="I629">
        <f>E629*G629</f>
        <v/>
      </c>
    </row>
    <row r="630">
      <c r="A630" s="29">
        <f>[1]FİYATLAR!A630</f>
        <v/>
      </c>
      <c r="B630" s="29">
        <f>[1]FİYATLAR!B630</f>
        <v/>
      </c>
      <c r="C630" s="35">
        <f>INT(A630)</f>
        <v/>
      </c>
      <c r="D630" s="36">
        <f>MONTH(A630)</f>
        <v/>
      </c>
      <c r="F630" s="30">
        <f>[1]FİYATLAR!C630</f>
        <v/>
      </c>
      <c r="G630" s="30">
        <f>[1]FİYATLAR!D630</f>
        <v/>
      </c>
      <c r="H630">
        <f>E630*F630</f>
        <v/>
      </c>
      <c r="I630">
        <f>E630*G630</f>
        <v/>
      </c>
    </row>
    <row r="631">
      <c r="A631" s="29">
        <f>[1]FİYATLAR!A631</f>
        <v/>
      </c>
      <c r="B631" s="29">
        <f>[1]FİYATLAR!B631</f>
        <v/>
      </c>
      <c r="C631" s="35">
        <f>INT(A631)</f>
        <v/>
      </c>
      <c r="D631" s="36">
        <f>MONTH(A631)</f>
        <v/>
      </c>
      <c r="F631" s="30">
        <f>[1]FİYATLAR!C631</f>
        <v/>
      </c>
      <c r="G631" s="30">
        <f>[1]FİYATLAR!D631</f>
        <v/>
      </c>
      <c r="H631">
        <f>E631*F631</f>
        <v/>
      </c>
      <c r="I631">
        <f>E631*G631</f>
        <v/>
      </c>
    </row>
    <row r="632">
      <c r="A632" s="29">
        <f>[1]FİYATLAR!A632</f>
        <v/>
      </c>
      <c r="B632" s="29">
        <f>[1]FİYATLAR!B632</f>
        <v/>
      </c>
      <c r="C632" s="35">
        <f>INT(A632)</f>
        <v/>
      </c>
      <c r="D632" s="36">
        <f>MONTH(A632)</f>
        <v/>
      </c>
      <c r="F632" s="30">
        <f>[1]FİYATLAR!C632</f>
        <v/>
      </c>
      <c r="G632" s="30">
        <f>[1]FİYATLAR!D632</f>
        <v/>
      </c>
      <c r="H632">
        <f>E632*F632</f>
        <v/>
      </c>
      <c r="I632">
        <f>E632*G632</f>
        <v/>
      </c>
    </row>
    <row r="633">
      <c r="A633" s="29">
        <f>[1]FİYATLAR!A633</f>
        <v/>
      </c>
      <c r="B633" s="29">
        <f>[1]FİYATLAR!B633</f>
        <v/>
      </c>
      <c r="C633" s="35">
        <f>INT(A633)</f>
        <v/>
      </c>
      <c r="D633" s="36">
        <f>MONTH(A633)</f>
        <v/>
      </c>
      <c r="F633" s="30">
        <f>[1]FİYATLAR!C633</f>
        <v/>
      </c>
      <c r="G633" s="30">
        <f>[1]FİYATLAR!D633</f>
        <v/>
      </c>
      <c r="H633">
        <f>E633*F633</f>
        <v/>
      </c>
      <c r="I633">
        <f>E633*G633</f>
        <v/>
      </c>
    </row>
    <row r="634">
      <c r="A634" s="29">
        <f>[1]FİYATLAR!A634</f>
        <v/>
      </c>
      <c r="B634" s="29">
        <f>[1]FİYATLAR!B634</f>
        <v/>
      </c>
      <c r="C634" s="35">
        <f>INT(A634)</f>
        <v/>
      </c>
      <c r="D634" s="36">
        <f>MONTH(A634)</f>
        <v/>
      </c>
      <c r="F634" s="30">
        <f>[1]FİYATLAR!C634</f>
        <v/>
      </c>
      <c r="G634" s="30">
        <f>[1]FİYATLAR!D634</f>
        <v/>
      </c>
      <c r="H634">
        <f>E634*F634</f>
        <v/>
      </c>
      <c r="I634">
        <f>E634*G634</f>
        <v/>
      </c>
    </row>
    <row r="635">
      <c r="A635" s="29">
        <f>[1]FİYATLAR!A635</f>
        <v/>
      </c>
      <c r="B635" s="29">
        <f>[1]FİYATLAR!B635</f>
        <v/>
      </c>
      <c r="C635" s="35">
        <f>INT(A635)</f>
        <v/>
      </c>
      <c r="D635" s="36">
        <f>MONTH(A635)</f>
        <v/>
      </c>
      <c r="F635" s="30">
        <f>[1]FİYATLAR!C635</f>
        <v/>
      </c>
      <c r="G635" s="30">
        <f>[1]FİYATLAR!D635</f>
        <v/>
      </c>
      <c r="H635">
        <f>E635*F635</f>
        <v/>
      </c>
      <c r="I635">
        <f>E635*G635</f>
        <v/>
      </c>
    </row>
    <row r="636">
      <c r="A636" s="29">
        <f>[1]FİYATLAR!A636</f>
        <v/>
      </c>
      <c r="B636" s="29">
        <f>[1]FİYATLAR!B636</f>
        <v/>
      </c>
      <c r="C636" s="35">
        <f>INT(A636)</f>
        <v/>
      </c>
      <c r="D636" s="36">
        <f>MONTH(A636)</f>
        <v/>
      </c>
      <c r="F636" s="30">
        <f>[1]FİYATLAR!C636</f>
        <v/>
      </c>
      <c r="G636" s="30">
        <f>[1]FİYATLAR!D636</f>
        <v/>
      </c>
      <c r="H636">
        <f>E636*F636</f>
        <v/>
      </c>
      <c r="I636">
        <f>E636*G636</f>
        <v/>
      </c>
    </row>
    <row r="637">
      <c r="A637" s="29">
        <f>[1]FİYATLAR!A637</f>
        <v/>
      </c>
      <c r="B637" s="29">
        <f>[1]FİYATLAR!B637</f>
        <v/>
      </c>
      <c r="C637" s="35">
        <f>INT(A637)</f>
        <v/>
      </c>
      <c r="D637" s="36">
        <f>MONTH(A637)</f>
        <v/>
      </c>
      <c r="F637" s="30">
        <f>[1]FİYATLAR!C637</f>
        <v/>
      </c>
      <c r="G637" s="30">
        <f>[1]FİYATLAR!D637</f>
        <v/>
      </c>
      <c r="H637">
        <f>E637*F637</f>
        <v/>
      </c>
      <c r="I637">
        <f>E637*G637</f>
        <v/>
      </c>
    </row>
    <row r="638">
      <c r="A638" s="29">
        <f>[1]FİYATLAR!A638</f>
        <v/>
      </c>
      <c r="B638" s="29">
        <f>[1]FİYATLAR!B638</f>
        <v/>
      </c>
      <c r="C638" s="35">
        <f>INT(A638)</f>
        <v/>
      </c>
      <c r="D638" s="36">
        <f>MONTH(A638)</f>
        <v/>
      </c>
      <c r="F638" s="30">
        <f>[1]FİYATLAR!C638</f>
        <v/>
      </c>
      <c r="G638" s="30">
        <f>[1]FİYATLAR!D638</f>
        <v/>
      </c>
      <c r="H638">
        <f>E638*F638</f>
        <v/>
      </c>
      <c r="I638">
        <f>E638*G638</f>
        <v/>
      </c>
    </row>
    <row r="639">
      <c r="A639" s="29">
        <f>[1]FİYATLAR!A639</f>
        <v/>
      </c>
      <c r="B639" s="29">
        <f>[1]FİYATLAR!B639</f>
        <v/>
      </c>
      <c r="C639" s="35">
        <f>INT(A639)</f>
        <v/>
      </c>
      <c r="D639" s="36">
        <f>MONTH(A639)</f>
        <v/>
      </c>
      <c r="F639" s="30">
        <f>[1]FİYATLAR!C639</f>
        <v/>
      </c>
      <c r="G639" s="30">
        <f>[1]FİYATLAR!D639</f>
        <v/>
      </c>
      <c r="H639">
        <f>E639*F639</f>
        <v/>
      </c>
      <c r="I639">
        <f>E639*G639</f>
        <v/>
      </c>
    </row>
    <row r="640">
      <c r="A640" s="29">
        <f>[1]FİYATLAR!A640</f>
        <v/>
      </c>
      <c r="B640" s="29">
        <f>[1]FİYATLAR!B640</f>
        <v/>
      </c>
      <c r="C640" s="35">
        <f>INT(A640)</f>
        <v/>
      </c>
      <c r="D640" s="36">
        <f>MONTH(A640)</f>
        <v/>
      </c>
      <c r="F640" s="30">
        <f>[1]FİYATLAR!C640</f>
        <v/>
      </c>
      <c r="G640" s="30">
        <f>[1]FİYATLAR!D640</f>
        <v/>
      </c>
      <c r="H640">
        <f>E640*F640</f>
        <v/>
      </c>
      <c r="I640">
        <f>E640*G640</f>
        <v/>
      </c>
    </row>
    <row r="641">
      <c r="A641" s="29">
        <f>[1]FİYATLAR!A641</f>
        <v/>
      </c>
      <c r="B641" s="29">
        <f>[1]FİYATLAR!B641</f>
        <v/>
      </c>
      <c r="C641" s="35">
        <f>INT(A641)</f>
        <v/>
      </c>
      <c r="D641" s="36">
        <f>MONTH(A641)</f>
        <v/>
      </c>
      <c r="F641" s="30">
        <f>[1]FİYATLAR!C641</f>
        <v/>
      </c>
      <c r="G641" s="30">
        <f>[1]FİYATLAR!D641</f>
        <v/>
      </c>
      <c r="H641">
        <f>E641*F641</f>
        <v/>
      </c>
      <c r="I641">
        <f>E641*G641</f>
        <v/>
      </c>
    </row>
    <row r="642">
      <c r="A642" s="29">
        <f>[1]FİYATLAR!A642</f>
        <v/>
      </c>
      <c r="B642" s="29">
        <f>[1]FİYATLAR!B642</f>
        <v/>
      </c>
      <c r="C642" s="35">
        <f>INT(A642)</f>
        <v/>
      </c>
      <c r="D642" s="36">
        <f>MONTH(A642)</f>
        <v/>
      </c>
      <c r="F642" s="30">
        <f>[1]FİYATLAR!C642</f>
        <v/>
      </c>
      <c r="G642" s="30">
        <f>[1]FİYATLAR!D642</f>
        <v/>
      </c>
      <c r="H642">
        <f>E642*F642</f>
        <v/>
      </c>
      <c r="I642">
        <f>E642*G642</f>
        <v/>
      </c>
    </row>
    <row r="643">
      <c r="A643" s="29">
        <f>[1]FİYATLAR!A643</f>
        <v/>
      </c>
      <c r="B643" s="29">
        <f>[1]FİYATLAR!B643</f>
        <v/>
      </c>
      <c r="C643" s="35">
        <f>INT(A643)</f>
        <v/>
      </c>
      <c r="D643" s="36">
        <f>MONTH(A643)</f>
        <v/>
      </c>
      <c r="F643" s="30">
        <f>[1]FİYATLAR!C643</f>
        <v/>
      </c>
      <c r="G643" s="30">
        <f>[1]FİYATLAR!D643</f>
        <v/>
      </c>
      <c r="H643">
        <f>E643*F643</f>
        <v/>
      </c>
      <c r="I643">
        <f>E643*G643</f>
        <v/>
      </c>
    </row>
    <row r="644">
      <c r="A644" s="29">
        <f>[1]FİYATLAR!A644</f>
        <v/>
      </c>
      <c r="B644" s="29">
        <f>[1]FİYATLAR!B644</f>
        <v/>
      </c>
      <c r="C644" s="35">
        <f>INT(A644)</f>
        <v/>
      </c>
      <c r="D644" s="36">
        <f>MONTH(A644)</f>
        <v/>
      </c>
      <c r="F644" s="30">
        <f>[1]FİYATLAR!C644</f>
        <v/>
      </c>
      <c r="G644" s="30">
        <f>[1]FİYATLAR!D644</f>
        <v/>
      </c>
      <c r="H644">
        <f>E644*F644</f>
        <v/>
      </c>
      <c r="I644">
        <f>E644*G644</f>
        <v/>
      </c>
    </row>
    <row r="645">
      <c r="A645" s="29">
        <f>[1]FİYATLAR!A645</f>
        <v/>
      </c>
      <c r="B645" s="29">
        <f>[1]FİYATLAR!B645</f>
        <v/>
      </c>
      <c r="C645" s="35">
        <f>INT(A645)</f>
        <v/>
      </c>
      <c r="D645" s="36">
        <f>MONTH(A645)</f>
        <v/>
      </c>
      <c r="F645" s="30">
        <f>[1]FİYATLAR!C645</f>
        <v/>
      </c>
      <c r="G645" s="30">
        <f>[1]FİYATLAR!D645</f>
        <v/>
      </c>
      <c r="H645">
        <f>E645*F645</f>
        <v/>
      </c>
      <c r="I645">
        <f>E645*G645</f>
        <v/>
      </c>
    </row>
    <row r="646">
      <c r="A646" s="29">
        <f>[1]FİYATLAR!A646</f>
        <v/>
      </c>
      <c r="B646" s="29">
        <f>[1]FİYATLAR!B646</f>
        <v/>
      </c>
      <c r="C646" s="35">
        <f>INT(A646)</f>
        <v/>
      </c>
      <c r="D646" s="36">
        <f>MONTH(A646)</f>
        <v/>
      </c>
      <c r="F646" s="30">
        <f>[1]FİYATLAR!C646</f>
        <v/>
      </c>
      <c r="G646" s="30">
        <f>[1]FİYATLAR!D646</f>
        <v/>
      </c>
      <c r="H646">
        <f>E646*F646</f>
        <v/>
      </c>
      <c r="I646">
        <f>E646*G646</f>
        <v/>
      </c>
    </row>
    <row r="647">
      <c r="A647" s="29">
        <f>[1]FİYATLAR!A647</f>
        <v/>
      </c>
      <c r="B647" s="29">
        <f>[1]FİYATLAR!B647</f>
        <v/>
      </c>
      <c r="C647" s="35">
        <f>INT(A647)</f>
        <v/>
      </c>
      <c r="D647" s="36">
        <f>MONTH(A647)</f>
        <v/>
      </c>
      <c r="F647" s="30">
        <f>[1]FİYATLAR!C647</f>
        <v/>
      </c>
      <c r="G647" s="30">
        <f>[1]FİYATLAR!D647</f>
        <v/>
      </c>
      <c r="H647">
        <f>E647*F647</f>
        <v/>
      </c>
      <c r="I647">
        <f>E647*G647</f>
        <v/>
      </c>
    </row>
    <row r="648">
      <c r="A648" s="29">
        <f>[1]FİYATLAR!A648</f>
        <v/>
      </c>
      <c r="B648" s="29">
        <f>[1]FİYATLAR!B648</f>
        <v/>
      </c>
      <c r="C648" s="35">
        <f>INT(A648)</f>
        <v/>
      </c>
      <c r="D648" s="36">
        <f>MONTH(A648)</f>
        <v/>
      </c>
      <c r="F648" s="30">
        <f>[1]FİYATLAR!C648</f>
        <v/>
      </c>
      <c r="G648" s="30">
        <f>[1]FİYATLAR!D648</f>
        <v/>
      </c>
      <c r="H648">
        <f>E648*F648</f>
        <v/>
      </c>
      <c r="I648">
        <f>E648*G648</f>
        <v/>
      </c>
    </row>
    <row r="649">
      <c r="A649" s="29">
        <f>[1]FİYATLAR!A649</f>
        <v/>
      </c>
      <c r="B649" s="29">
        <f>[1]FİYATLAR!B649</f>
        <v/>
      </c>
      <c r="C649" s="35">
        <f>INT(A649)</f>
        <v/>
      </c>
      <c r="D649" s="36">
        <f>MONTH(A649)</f>
        <v/>
      </c>
      <c r="F649" s="30">
        <f>[1]FİYATLAR!C649</f>
        <v/>
      </c>
      <c r="G649" s="30">
        <f>[1]FİYATLAR!D649</f>
        <v/>
      </c>
      <c r="H649">
        <f>E649*F649</f>
        <v/>
      </c>
      <c r="I649">
        <f>E649*G649</f>
        <v/>
      </c>
    </row>
    <row r="650">
      <c r="A650" s="29">
        <f>[1]FİYATLAR!A650</f>
        <v/>
      </c>
      <c r="B650" s="29">
        <f>[1]FİYATLAR!B650</f>
        <v/>
      </c>
      <c r="C650" s="35">
        <f>INT(A650)</f>
        <v/>
      </c>
      <c r="D650" s="36">
        <f>MONTH(A650)</f>
        <v/>
      </c>
      <c r="F650" s="30">
        <f>[1]FİYATLAR!C650</f>
        <v/>
      </c>
      <c r="G650" s="30">
        <f>[1]FİYATLAR!D650</f>
        <v/>
      </c>
      <c r="H650">
        <f>E650*F650</f>
        <v/>
      </c>
      <c r="I650">
        <f>E650*G650</f>
        <v/>
      </c>
    </row>
    <row r="651">
      <c r="A651" s="29">
        <f>[1]FİYATLAR!A651</f>
        <v/>
      </c>
      <c r="B651" s="29">
        <f>[1]FİYATLAR!B651</f>
        <v/>
      </c>
      <c r="C651" s="35">
        <f>INT(A651)</f>
        <v/>
      </c>
      <c r="D651" s="36">
        <f>MONTH(A651)</f>
        <v/>
      </c>
      <c r="F651" s="30">
        <f>[1]FİYATLAR!C651</f>
        <v/>
      </c>
      <c r="G651" s="30">
        <f>[1]FİYATLAR!D651</f>
        <v/>
      </c>
      <c r="H651">
        <f>E651*F651</f>
        <v/>
      </c>
      <c r="I651">
        <f>E651*G651</f>
        <v/>
      </c>
    </row>
    <row r="652">
      <c r="A652" s="29">
        <f>[1]FİYATLAR!A652</f>
        <v/>
      </c>
      <c r="B652" s="29">
        <f>[1]FİYATLAR!B652</f>
        <v/>
      </c>
      <c r="C652" s="35">
        <f>INT(A652)</f>
        <v/>
      </c>
      <c r="D652" s="36">
        <f>MONTH(A652)</f>
        <v/>
      </c>
      <c r="F652" s="30">
        <f>[1]FİYATLAR!C652</f>
        <v/>
      </c>
      <c r="G652" s="30">
        <f>[1]FİYATLAR!D652</f>
        <v/>
      </c>
      <c r="H652">
        <f>E652*F652</f>
        <v/>
      </c>
      <c r="I652">
        <f>E652*G652</f>
        <v/>
      </c>
    </row>
    <row r="653">
      <c r="A653" s="29">
        <f>[1]FİYATLAR!A653</f>
        <v/>
      </c>
      <c r="B653" s="29">
        <f>[1]FİYATLAR!B653</f>
        <v/>
      </c>
      <c r="C653" s="35">
        <f>INT(A653)</f>
        <v/>
      </c>
      <c r="D653" s="36">
        <f>MONTH(A653)</f>
        <v/>
      </c>
      <c r="F653" s="30">
        <f>[1]FİYATLAR!C653</f>
        <v/>
      </c>
      <c r="G653" s="30">
        <f>[1]FİYATLAR!D653</f>
        <v/>
      </c>
      <c r="H653">
        <f>E653*F653</f>
        <v/>
      </c>
      <c r="I653">
        <f>E653*G653</f>
        <v/>
      </c>
    </row>
    <row r="654">
      <c r="A654" s="29">
        <f>[1]FİYATLAR!A654</f>
        <v/>
      </c>
      <c r="B654" s="29">
        <f>[1]FİYATLAR!B654</f>
        <v/>
      </c>
      <c r="C654" s="35">
        <f>INT(A654)</f>
        <v/>
      </c>
      <c r="D654" s="36">
        <f>MONTH(A654)</f>
        <v/>
      </c>
      <c r="F654" s="30">
        <f>[1]FİYATLAR!C654</f>
        <v/>
      </c>
      <c r="G654" s="30">
        <f>[1]FİYATLAR!D654</f>
        <v/>
      </c>
      <c r="H654">
        <f>E654*F654</f>
        <v/>
      </c>
      <c r="I654">
        <f>E654*G654</f>
        <v/>
      </c>
    </row>
    <row r="655">
      <c r="A655" s="29">
        <f>[1]FİYATLAR!A655</f>
        <v/>
      </c>
      <c r="B655" s="29">
        <f>[1]FİYATLAR!B655</f>
        <v/>
      </c>
      <c r="C655" s="35">
        <f>INT(A655)</f>
        <v/>
      </c>
      <c r="D655" s="36">
        <f>MONTH(A655)</f>
        <v/>
      </c>
      <c r="F655" s="30">
        <f>[1]FİYATLAR!C655</f>
        <v/>
      </c>
      <c r="G655" s="30">
        <f>[1]FİYATLAR!D655</f>
        <v/>
      </c>
      <c r="H655">
        <f>E655*F655</f>
        <v/>
      </c>
      <c r="I655">
        <f>E655*G655</f>
        <v/>
      </c>
    </row>
    <row r="656">
      <c r="A656" s="29">
        <f>[1]FİYATLAR!A656</f>
        <v/>
      </c>
      <c r="B656" s="29">
        <f>[1]FİYATLAR!B656</f>
        <v/>
      </c>
      <c r="C656" s="35">
        <f>INT(A656)</f>
        <v/>
      </c>
      <c r="D656" s="36">
        <f>MONTH(A656)</f>
        <v/>
      </c>
      <c r="F656" s="30">
        <f>[1]FİYATLAR!C656</f>
        <v/>
      </c>
      <c r="G656" s="30">
        <f>[1]FİYATLAR!D656</f>
        <v/>
      </c>
      <c r="H656">
        <f>E656*F656</f>
        <v/>
      </c>
      <c r="I656">
        <f>E656*G656</f>
        <v/>
      </c>
    </row>
    <row r="657">
      <c r="A657" s="29">
        <f>[1]FİYATLAR!A657</f>
        <v/>
      </c>
      <c r="B657" s="29">
        <f>[1]FİYATLAR!B657</f>
        <v/>
      </c>
      <c r="C657" s="35">
        <f>INT(A657)</f>
        <v/>
      </c>
      <c r="D657" s="36">
        <f>MONTH(A657)</f>
        <v/>
      </c>
      <c r="F657" s="30">
        <f>[1]FİYATLAR!C657</f>
        <v/>
      </c>
      <c r="G657" s="30">
        <f>[1]FİYATLAR!D657</f>
        <v/>
      </c>
      <c r="H657">
        <f>E657*F657</f>
        <v/>
      </c>
      <c r="I657">
        <f>E657*G657</f>
        <v/>
      </c>
    </row>
    <row r="658">
      <c r="A658" s="29">
        <f>[1]FİYATLAR!A658</f>
        <v/>
      </c>
      <c r="B658" s="29">
        <f>[1]FİYATLAR!B658</f>
        <v/>
      </c>
      <c r="C658" s="35">
        <f>INT(A658)</f>
        <v/>
      </c>
      <c r="D658" s="36">
        <f>MONTH(A658)</f>
        <v/>
      </c>
      <c r="F658" s="30">
        <f>[1]FİYATLAR!C658</f>
        <v/>
      </c>
      <c r="G658" s="30">
        <f>[1]FİYATLAR!D658</f>
        <v/>
      </c>
      <c r="H658">
        <f>E658*F658</f>
        <v/>
      </c>
      <c r="I658">
        <f>E658*G658</f>
        <v/>
      </c>
    </row>
    <row r="659">
      <c r="A659" s="29">
        <f>[1]FİYATLAR!A659</f>
        <v/>
      </c>
      <c r="B659" s="29">
        <f>[1]FİYATLAR!B659</f>
        <v/>
      </c>
      <c r="C659" s="35">
        <f>INT(A659)</f>
        <v/>
      </c>
      <c r="D659" s="36">
        <f>MONTH(A659)</f>
        <v/>
      </c>
      <c r="F659" s="30">
        <f>[1]FİYATLAR!C659</f>
        <v/>
      </c>
      <c r="G659" s="30">
        <f>[1]FİYATLAR!D659</f>
        <v/>
      </c>
      <c r="H659">
        <f>E659*F659</f>
        <v/>
      </c>
      <c r="I659">
        <f>E659*G659</f>
        <v/>
      </c>
    </row>
    <row r="660">
      <c r="A660" s="29">
        <f>[1]FİYATLAR!A660</f>
        <v/>
      </c>
      <c r="B660" s="29">
        <f>[1]FİYATLAR!B660</f>
        <v/>
      </c>
      <c r="C660" s="35">
        <f>INT(A660)</f>
        <v/>
      </c>
      <c r="D660" s="36">
        <f>MONTH(A660)</f>
        <v/>
      </c>
      <c r="F660" s="30">
        <f>[1]FİYATLAR!C660</f>
        <v/>
      </c>
      <c r="G660" s="30">
        <f>[1]FİYATLAR!D660</f>
        <v/>
      </c>
      <c r="H660">
        <f>E660*F660</f>
        <v/>
      </c>
      <c r="I660">
        <f>E660*G660</f>
        <v/>
      </c>
    </row>
    <row r="661">
      <c r="A661" s="29">
        <f>[1]FİYATLAR!A661</f>
        <v/>
      </c>
      <c r="B661" s="29">
        <f>[1]FİYATLAR!B661</f>
        <v/>
      </c>
      <c r="C661" s="35">
        <f>INT(A661)</f>
        <v/>
      </c>
      <c r="D661" s="36">
        <f>MONTH(A661)</f>
        <v/>
      </c>
      <c r="F661" s="30">
        <f>[1]FİYATLAR!C661</f>
        <v/>
      </c>
      <c r="G661" s="30">
        <f>[1]FİYATLAR!D661</f>
        <v/>
      </c>
      <c r="H661">
        <f>E661*F661</f>
        <v/>
      </c>
      <c r="I661">
        <f>E661*G661</f>
        <v/>
      </c>
    </row>
    <row r="662">
      <c r="A662" s="29">
        <f>[1]FİYATLAR!A662</f>
        <v/>
      </c>
      <c r="B662" s="29">
        <f>[1]FİYATLAR!B662</f>
        <v/>
      </c>
      <c r="C662" s="35">
        <f>INT(A662)</f>
        <v/>
      </c>
      <c r="D662" s="36">
        <f>MONTH(A662)</f>
        <v/>
      </c>
      <c r="F662" s="30">
        <f>[1]FİYATLAR!C662</f>
        <v/>
      </c>
      <c r="G662" s="30">
        <f>[1]FİYATLAR!D662</f>
        <v/>
      </c>
      <c r="H662">
        <f>E662*F662</f>
        <v/>
      </c>
      <c r="I662">
        <f>E662*G662</f>
        <v/>
      </c>
    </row>
    <row r="663">
      <c r="A663" s="29">
        <f>[1]FİYATLAR!A663</f>
        <v/>
      </c>
      <c r="B663" s="29">
        <f>[1]FİYATLAR!B663</f>
        <v/>
      </c>
      <c r="C663" s="35">
        <f>INT(A663)</f>
        <v/>
      </c>
      <c r="D663" s="36">
        <f>MONTH(A663)</f>
        <v/>
      </c>
      <c r="F663" s="30">
        <f>[1]FİYATLAR!C663</f>
        <v/>
      </c>
      <c r="G663" s="30">
        <f>[1]FİYATLAR!D663</f>
        <v/>
      </c>
      <c r="H663">
        <f>E663*F663</f>
        <v/>
      </c>
      <c r="I663">
        <f>E663*G663</f>
        <v/>
      </c>
    </row>
    <row r="664">
      <c r="A664" s="29">
        <f>[1]FİYATLAR!A664</f>
        <v/>
      </c>
      <c r="B664" s="29">
        <f>[1]FİYATLAR!B664</f>
        <v/>
      </c>
      <c r="C664" s="35">
        <f>INT(A664)</f>
        <v/>
      </c>
      <c r="D664" s="36">
        <f>MONTH(A664)</f>
        <v/>
      </c>
      <c r="F664" s="30">
        <f>[1]FİYATLAR!C664</f>
        <v/>
      </c>
      <c r="G664" s="30">
        <f>[1]FİYATLAR!D664</f>
        <v/>
      </c>
      <c r="H664">
        <f>E664*F664</f>
        <v/>
      </c>
      <c r="I664">
        <f>E664*G664</f>
        <v/>
      </c>
    </row>
    <row r="665">
      <c r="A665" s="29">
        <f>[1]FİYATLAR!A665</f>
        <v/>
      </c>
      <c r="B665" s="29">
        <f>[1]FİYATLAR!B665</f>
        <v/>
      </c>
      <c r="C665" s="35">
        <f>INT(A665)</f>
        <v/>
      </c>
      <c r="D665" s="36">
        <f>MONTH(A665)</f>
        <v/>
      </c>
      <c r="F665" s="30">
        <f>[1]FİYATLAR!C665</f>
        <v/>
      </c>
      <c r="G665" s="30">
        <f>[1]FİYATLAR!D665</f>
        <v/>
      </c>
      <c r="H665">
        <f>E665*F665</f>
        <v/>
      </c>
      <c r="I665">
        <f>E665*G665</f>
        <v/>
      </c>
    </row>
    <row r="666">
      <c r="A666" s="29">
        <f>[1]FİYATLAR!A666</f>
        <v/>
      </c>
      <c r="B666" s="29">
        <f>[1]FİYATLAR!B666</f>
        <v/>
      </c>
      <c r="C666" s="35">
        <f>INT(A666)</f>
        <v/>
      </c>
      <c r="D666" s="36">
        <f>MONTH(A666)</f>
        <v/>
      </c>
      <c r="F666" s="30">
        <f>[1]FİYATLAR!C666</f>
        <v/>
      </c>
      <c r="G666" s="30">
        <f>[1]FİYATLAR!D666</f>
        <v/>
      </c>
      <c r="H666">
        <f>E666*F666</f>
        <v/>
      </c>
      <c r="I666">
        <f>E666*G666</f>
        <v/>
      </c>
    </row>
    <row r="667">
      <c r="A667" s="29">
        <f>[1]FİYATLAR!A667</f>
        <v/>
      </c>
      <c r="B667" s="29">
        <f>[1]FİYATLAR!B667</f>
        <v/>
      </c>
      <c r="C667" s="35">
        <f>INT(A667)</f>
        <v/>
      </c>
      <c r="D667" s="36">
        <f>MONTH(A667)</f>
        <v/>
      </c>
      <c r="F667" s="30">
        <f>[1]FİYATLAR!C667</f>
        <v/>
      </c>
      <c r="G667" s="30">
        <f>[1]FİYATLAR!D667</f>
        <v/>
      </c>
      <c r="H667">
        <f>E667*F667</f>
        <v/>
      </c>
      <c r="I667">
        <f>E667*G667</f>
        <v/>
      </c>
    </row>
    <row r="668">
      <c r="A668" s="29">
        <f>[1]FİYATLAR!A668</f>
        <v/>
      </c>
      <c r="B668" s="29">
        <f>[1]FİYATLAR!B668</f>
        <v/>
      </c>
      <c r="C668" s="35">
        <f>INT(A668)</f>
        <v/>
      </c>
      <c r="D668" s="36">
        <f>MONTH(A668)</f>
        <v/>
      </c>
      <c r="F668" s="30">
        <f>[1]FİYATLAR!C668</f>
        <v/>
      </c>
      <c r="G668" s="30">
        <f>[1]FİYATLAR!D668</f>
        <v/>
      </c>
      <c r="H668">
        <f>E668*F668</f>
        <v/>
      </c>
      <c r="I668">
        <f>E668*G668</f>
        <v/>
      </c>
    </row>
    <row r="669">
      <c r="A669" s="29">
        <f>[1]FİYATLAR!A669</f>
        <v/>
      </c>
      <c r="B669" s="29">
        <f>[1]FİYATLAR!B669</f>
        <v/>
      </c>
      <c r="C669" s="35">
        <f>INT(A669)</f>
        <v/>
      </c>
      <c r="D669" s="36">
        <f>MONTH(A669)</f>
        <v/>
      </c>
      <c r="F669" s="30">
        <f>[1]FİYATLAR!C669</f>
        <v/>
      </c>
      <c r="G669" s="30">
        <f>[1]FİYATLAR!D669</f>
        <v/>
      </c>
      <c r="H669">
        <f>E669*F669</f>
        <v/>
      </c>
      <c r="I669">
        <f>E669*G669</f>
        <v/>
      </c>
    </row>
    <row r="670">
      <c r="A670" s="29">
        <f>[1]FİYATLAR!A670</f>
        <v/>
      </c>
      <c r="B670" s="29">
        <f>[1]FİYATLAR!B670</f>
        <v/>
      </c>
      <c r="C670" s="35">
        <f>INT(A670)</f>
        <v/>
      </c>
      <c r="D670" s="36">
        <f>MONTH(A670)</f>
        <v/>
      </c>
      <c r="F670" s="30">
        <f>[1]FİYATLAR!C670</f>
        <v/>
      </c>
      <c r="G670" s="30">
        <f>[1]FİYATLAR!D670</f>
        <v/>
      </c>
      <c r="H670">
        <f>E670*F670</f>
        <v/>
      </c>
      <c r="I670">
        <f>E670*G670</f>
        <v/>
      </c>
    </row>
    <row r="671">
      <c r="A671" s="29">
        <f>[1]FİYATLAR!A671</f>
        <v/>
      </c>
      <c r="B671" s="29">
        <f>[1]FİYATLAR!B671</f>
        <v/>
      </c>
      <c r="C671" s="35">
        <f>INT(A671)</f>
        <v/>
      </c>
      <c r="D671" s="36">
        <f>MONTH(A671)</f>
        <v/>
      </c>
      <c r="F671" s="30">
        <f>[1]FİYATLAR!C671</f>
        <v/>
      </c>
      <c r="G671" s="30">
        <f>[1]FİYATLAR!D671</f>
        <v/>
      </c>
      <c r="H671">
        <f>E671*F671</f>
        <v/>
      </c>
      <c r="I671">
        <f>E671*G671</f>
        <v/>
      </c>
    </row>
    <row r="672">
      <c r="A672" s="29">
        <f>[1]FİYATLAR!A672</f>
        <v/>
      </c>
      <c r="B672" s="29">
        <f>[1]FİYATLAR!B672</f>
        <v/>
      </c>
      <c r="C672" s="35">
        <f>INT(A672)</f>
        <v/>
      </c>
      <c r="D672" s="36">
        <f>MONTH(A672)</f>
        <v/>
      </c>
      <c r="F672" s="30">
        <f>[1]FİYATLAR!C672</f>
        <v/>
      </c>
      <c r="G672" s="30">
        <f>[1]FİYATLAR!D672</f>
        <v/>
      </c>
      <c r="H672">
        <f>E672*F672</f>
        <v/>
      </c>
      <c r="I672">
        <f>E672*G672</f>
        <v/>
      </c>
    </row>
    <row r="673">
      <c r="A673" s="29">
        <f>[1]FİYATLAR!A673</f>
        <v/>
      </c>
      <c r="B673" s="29">
        <f>[1]FİYATLAR!B673</f>
        <v/>
      </c>
      <c r="C673" s="35">
        <f>INT(A673)</f>
        <v/>
      </c>
      <c r="D673" s="36">
        <f>MONTH(A673)</f>
        <v/>
      </c>
      <c r="F673" s="30">
        <f>[1]FİYATLAR!C673</f>
        <v/>
      </c>
      <c r="G673" s="30">
        <f>[1]FİYATLAR!D673</f>
        <v/>
      </c>
      <c r="H673">
        <f>E673*F673</f>
        <v/>
      </c>
      <c r="I673">
        <f>E673*G673</f>
        <v/>
      </c>
    </row>
    <row r="674">
      <c r="A674" s="29">
        <f>[1]FİYATLAR!A674</f>
        <v/>
      </c>
      <c r="B674" s="29">
        <f>[1]FİYATLAR!B674</f>
        <v/>
      </c>
      <c r="C674" s="35">
        <f>INT(A674)</f>
        <v/>
      </c>
      <c r="D674" s="36">
        <f>MONTH(A674)</f>
        <v/>
      </c>
      <c r="F674" s="30">
        <f>[1]FİYATLAR!C674</f>
        <v/>
      </c>
      <c r="G674" s="30">
        <f>[1]FİYATLAR!D674</f>
        <v/>
      </c>
      <c r="H674">
        <f>E674*F674</f>
        <v/>
      </c>
      <c r="I674">
        <f>E674*G674</f>
        <v/>
      </c>
    </row>
    <row r="675">
      <c r="A675" s="29">
        <f>[1]FİYATLAR!A675</f>
        <v/>
      </c>
      <c r="B675" s="29">
        <f>[1]FİYATLAR!B675</f>
        <v/>
      </c>
      <c r="C675" s="35">
        <f>INT(A675)</f>
        <v/>
      </c>
      <c r="D675" s="36">
        <f>MONTH(A675)</f>
        <v/>
      </c>
      <c r="F675" s="30">
        <f>[1]FİYATLAR!C675</f>
        <v/>
      </c>
      <c r="G675" s="30">
        <f>[1]FİYATLAR!D675</f>
        <v/>
      </c>
      <c r="H675">
        <f>E675*F675</f>
        <v/>
      </c>
      <c r="I675">
        <f>E675*G675</f>
        <v/>
      </c>
    </row>
    <row r="676">
      <c r="A676" s="29">
        <f>[1]FİYATLAR!A676</f>
        <v/>
      </c>
      <c r="B676" s="29">
        <f>[1]FİYATLAR!B676</f>
        <v/>
      </c>
      <c r="C676" s="35">
        <f>INT(A676)</f>
        <v/>
      </c>
      <c r="D676" s="36">
        <f>MONTH(A676)</f>
        <v/>
      </c>
      <c r="F676" s="30">
        <f>[1]FİYATLAR!C676</f>
        <v/>
      </c>
      <c r="G676" s="30">
        <f>[1]FİYATLAR!D676</f>
        <v/>
      </c>
      <c r="H676">
        <f>E676*F676</f>
        <v/>
      </c>
      <c r="I676">
        <f>E676*G676</f>
        <v/>
      </c>
    </row>
    <row r="677">
      <c r="A677" s="29">
        <f>[1]FİYATLAR!A677</f>
        <v/>
      </c>
      <c r="B677" s="29">
        <f>[1]FİYATLAR!B677</f>
        <v/>
      </c>
      <c r="C677" s="35">
        <f>INT(A677)</f>
        <v/>
      </c>
      <c r="D677" s="36">
        <f>MONTH(A677)</f>
        <v/>
      </c>
      <c r="F677" s="30">
        <f>[1]FİYATLAR!C677</f>
        <v/>
      </c>
      <c r="G677" s="30">
        <f>[1]FİYATLAR!D677</f>
        <v/>
      </c>
      <c r="H677">
        <f>E677*F677</f>
        <v/>
      </c>
      <c r="I677">
        <f>E677*G677</f>
        <v/>
      </c>
    </row>
    <row r="678">
      <c r="A678" s="29">
        <f>[1]FİYATLAR!A678</f>
        <v/>
      </c>
      <c r="B678" s="29">
        <f>[1]FİYATLAR!B678</f>
        <v/>
      </c>
      <c r="C678" s="35">
        <f>INT(A678)</f>
        <v/>
      </c>
      <c r="D678" s="36">
        <f>MONTH(A678)</f>
        <v/>
      </c>
      <c r="F678" s="30">
        <f>[1]FİYATLAR!C678</f>
        <v/>
      </c>
      <c r="G678" s="30">
        <f>[1]FİYATLAR!D678</f>
        <v/>
      </c>
      <c r="H678">
        <f>E678*F678</f>
        <v/>
      </c>
      <c r="I678">
        <f>E678*G678</f>
        <v/>
      </c>
    </row>
    <row r="679">
      <c r="A679" s="29">
        <f>[1]FİYATLAR!A679</f>
        <v/>
      </c>
      <c r="B679" s="29">
        <f>[1]FİYATLAR!B679</f>
        <v/>
      </c>
      <c r="C679" s="35">
        <f>INT(A679)</f>
        <v/>
      </c>
      <c r="D679" s="36">
        <f>MONTH(A679)</f>
        <v/>
      </c>
      <c r="F679" s="30">
        <f>[1]FİYATLAR!C679</f>
        <v/>
      </c>
      <c r="G679" s="30">
        <f>[1]FİYATLAR!D679</f>
        <v/>
      </c>
      <c r="H679">
        <f>E679*F679</f>
        <v/>
      </c>
      <c r="I679">
        <f>E679*G679</f>
        <v/>
      </c>
    </row>
    <row r="680">
      <c r="A680" s="29">
        <f>[1]FİYATLAR!A680</f>
        <v/>
      </c>
      <c r="B680" s="29">
        <f>[1]FİYATLAR!B680</f>
        <v/>
      </c>
      <c r="C680" s="35">
        <f>INT(A680)</f>
        <v/>
      </c>
      <c r="D680" s="36">
        <f>MONTH(A680)</f>
        <v/>
      </c>
      <c r="F680" s="30">
        <f>[1]FİYATLAR!C680</f>
        <v/>
      </c>
      <c r="G680" s="30">
        <f>[1]FİYATLAR!D680</f>
        <v/>
      </c>
      <c r="H680">
        <f>E680*F680</f>
        <v/>
      </c>
      <c r="I680">
        <f>E680*G680</f>
        <v/>
      </c>
    </row>
    <row r="681">
      <c r="A681" s="29">
        <f>[1]FİYATLAR!A681</f>
        <v/>
      </c>
      <c r="B681" s="29">
        <f>[1]FİYATLAR!B681</f>
        <v/>
      </c>
      <c r="C681" s="35">
        <f>INT(A681)</f>
        <v/>
      </c>
      <c r="D681" s="36">
        <f>MONTH(A681)</f>
        <v/>
      </c>
      <c r="F681" s="30">
        <f>[1]FİYATLAR!C681</f>
        <v/>
      </c>
      <c r="G681" s="30">
        <f>[1]FİYATLAR!D681</f>
        <v/>
      </c>
      <c r="H681">
        <f>E681*F681</f>
        <v/>
      </c>
      <c r="I681">
        <f>E681*G681</f>
        <v/>
      </c>
    </row>
    <row r="682">
      <c r="A682" s="29">
        <f>[1]FİYATLAR!A682</f>
        <v/>
      </c>
      <c r="B682" s="29">
        <f>[1]FİYATLAR!B682</f>
        <v/>
      </c>
      <c r="C682" s="35">
        <f>INT(A682)</f>
        <v/>
      </c>
      <c r="D682" s="36">
        <f>MONTH(A682)</f>
        <v/>
      </c>
      <c r="F682" s="30">
        <f>[1]FİYATLAR!C682</f>
        <v/>
      </c>
      <c r="G682" s="30">
        <f>[1]FİYATLAR!D682</f>
        <v/>
      </c>
      <c r="H682">
        <f>E682*F682</f>
        <v/>
      </c>
      <c r="I682">
        <f>E682*G682</f>
        <v/>
      </c>
    </row>
    <row r="683">
      <c r="A683" s="29">
        <f>[1]FİYATLAR!A683</f>
        <v/>
      </c>
      <c r="B683" s="29">
        <f>[1]FİYATLAR!B683</f>
        <v/>
      </c>
      <c r="C683" s="35">
        <f>INT(A683)</f>
        <v/>
      </c>
      <c r="D683" s="36">
        <f>MONTH(A683)</f>
        <v/>
      </c>
      <c r="F683" s="30">
        <f>[1]FİYATLAR!C683</f>
        <v/>
      </c>
      <c r="G683" s="30">
        <f>[1]FİYATLAR!D683</f>
        <v/>
      </c>
      <c r="H683">
        <f>E683*F683</f>
        <v/>
      </c>
      <c r="I683">
        <f>E683*G683</f>
        <v/>
      </c>
    </row>
    <row r="684">
      <c r="A684" s="29">
        <f>[1]FİYATLAR!A684</f>
        <v/>
      </c>
      <c r="B684" s="29">
        <f>[1]FİYATLAR!B684</f>
        <v/>
      </c>
      <c r="C684" s="35">
        <f>INT(A684)</f>
        <v/>
      </c>
      <c r="D684" s="36">
        <f>MONTH(A684)</f>
        <v/>
      </c>
      <c r="F684" s="30">
        <f>[1]FİYATLAR!C684</f>
        <v/>
      </c>
      <c r="G684" s="30">
        <f>[1]FİYATLAR!D684</f>
        <v/>
      </c>
      <c r="H684">
        <f>E684*F684</f>
        <v/>
      </c>
      <c r="I684">
        <f>E684*G684</f>
        <v/>
      </c>
    </row>
    <row r="685">
      <c r="A685" s="29">
        <f>[1]FİYATLAR!A685</f>
        <v/>
      </c>
      <c r="B685" s="29">
        <f>[1]FİYATLAR!B685</f>
        <v/>
      </c>
      <c r="C685" s="35">
        <f>INT(A685)</f>
        <v/>
      </c>
      <c r="D685" s="36">
        <f>MONTH(A685)</f>
        <v/>
      </c>
      <c r="F685" s="30">
        <f>[1]FİYATLAR!C685</f>
        <v/>
      </c>
      <c r="G685" s="30">
        <f>[1]FİYATLAR!D685</f>
        <v/>
      </c>
      <c r="H685">
        <f>E685*F685</f>
        <v/>
      </c>
      <c r="I685">
        <f>E685*G685</f>
        <v/>
      </c>
    </row>
    <row r="686">
      <c r="A686" s="29">
        <f>[1]FİYATLAR!A686</f>
        <v/>
      </c>
      <c r="B686" s="29">
        <f>[1]FİYATLAR!B686</f>
        <v/>
      </c>
      <c r="C686" s="35">
        <f>INT(A686)</f>
        <v/>
      </c>
      <c r="D686" s="36">
        <f>MONTH(A686)</f>
        <v/>
      </c>
      <c r="F686" s="30">
        <f>[1]FİYATLAR!C686</f>
        <v/>
      </c>
      <c r="G686" s="30">
        <f>[1]FİYATLAR!D686</f>
        <v/>
      </c>
      <c r="H686">
        <f>E686*F686</f>
        <v/>
      </c>
      <c r="I686">
        <f>E686*G686</f>
        <v/>
      </c>
    </row>
    <row r="687">
      <c r="A687" s="29">
        <f>[1]FİYATLAR!A687</f>
        <v/>
      </c>
      <c r="B687" s="29">
        <f>[1]FİYATLAR!B687</f>
        <v/>
      </c>
      <c r="C687" s="35">
        <f>INT(A687)</f>
        <v/>
      </c>
      <c r="D687" s="36">
        <f>MONTH(A687)</f>
        <v/>
      </c>
      <c r="F687" s="30">
        <f>[1]FİYATLAR!C687</f>
        <v/>
      </c>
      <c r="G687" s="30">
        <f>[1]FİYATLAR!D687</f>
        <v/>
      </c>
      <c r="H687">
        <f>E687*F687</f>
        <v/>
      </c>
      <c r="I687">
        <f>E687*G687</f>
        <v/>
      </c>
    </row>
    <row r="688">
      <c r="A688" s="29">
        <f>[1]FİYATLAR!A688</f>
        <v/>
      </c>
      <c r="B688" s="29">
        <f>[1]FİYATLAR!B688</f>
        <v/>
      </c>
      <c r="C688" s="35">
        <f>INT(A688)</f>
        <v/>
      </c>
      <c r="D688" s="36">
        <f>MONTH(A688)</f>
        <v/>
      </c>
      <c r="F688" s="30">
        <f>[1]FİYATLAR!C688</f>
        <v/>
      </c>
      <c r="G688" s="30">
        <f>[1]FİYATLAR!D688</f>
        <v/>
      </c>
      <c r="H688">
        <f>E688*F688</f>
        <v/>
      </c>
      <c r="I688">
        <f>E688*G688</f>
        <v/>
      </c>
    </row>
    <row r="689">
      <c r="A689" s="29">
        <f>[1]FİYATLAR!A689</f>
        <v/>
      </c>
      <c r="B689" s="29">
        <f>[1]FİYATLAR!B689</f>
        <v/>
      </c>
      <c r="C689" s="35">
        <f>INT(A689)</f>
        <v/>
      </c>
      <c r="D689" s="36">
        <f>MONTH(A689)</f>
        <v/>
      </c>
      <c r="F689" s="30">
        <f>[1]FİYATLAR!C689</f>
        <v/>
      </c>
      <c r="G689" s="30">
        <f>[1]FİYATLAR!D689</f>
        <v/>
      </c>
      <c r="H689">
        <f>E689*F689</f>
        <v/>
      </c>
      <c r="I689">
        <f>E689*G689</f>
        <v/>
      </c>
    </row>
    <row r="690">
      <c r="A690" s="29">
        <f>[1]FİYATLAR!A690</f>
        <v/>
      </c>
      <c r="B690" s="29">
        <f>[1]FİYATLAR!B690</f>
        <v/>
      </c>
      <c r="C690" s="35">
        <f>INT(A690)</f>
        <v/>
      </c>
      <c r="D690" s="36">
        <f>MONTH(A690)</f>
        <v/>
      </c>
      <c r="F690" s="30">
        <f>[1]FİYATLAR!C690</f>
        <v/>
      </c>
      <c r="G690" s="30">
        <f>[1]FİYATLAR!D690</f>
        <v/>
      </c>
      <c r="H690">
        <f>E690*F690</f>
        <v/>
      </c>
      <c r="I690">
        <f>E690*G690</f>
        <v/>
      </c>
    </row>
    <row r="691">
      <c r="A691" s="29">
        <f>[1]FİYATLAR!A691</f>
        <v/>
      </c>
      <c r="B691" s="29">
        <f>[1]FİYATLAR!B691</f>
        <v/>
      </c>
      <c r="C691" s="35">
        <f>INT(A691)</f>
        <v/>
      </c>
      <c r="D691" s="36">
        <f>MONTH(A691)</f>
        <v/>
      </c>
      <c r="F691" s="30">
        <f>[1]FİYATLAR!C691</f>
        <v/>
      </c>
      <c r="G691" s="30">
        <f>[1]FİYATLAR!D691</f>
        <v/>
      </c>
      <c r="H691">
        <f>E691*F691</f>
        <v/>
      </c>
      <c r="I691">
        <f>E691*G691</f>
        <v/>
      </c>
    </row>
    <row r="692">
      <c r="A692" s="29">
        <f>[1]FİYATLAR!A692</f>
        <v/>
      </c>
      <c r="B692" s="29">
        <f>[1]FİYATLAR!B692</f>
        <v/>
      </c>
      <c r="C692" s="35">
        <f>INT(A692)</f>
        <v/>
      </c>
      <c r="D692" s="36">
        <f>MONTH(A692)</f>
        <v/>
      </c>
      <c r="F692" s="30">
        <f>[1]FİYATLAR!C692</f>
        <v/>
      </c>
      <c r="G692" s="30">
        <f>[1]FİYATLAR!D692</f>
        <v/>
      </c>
      <c r="H692">
        <f>E692*F692</f>
        <v/>
      </c>
      <c r="I692">
        <f>E692*G692</f>
        <v/>
      </c>
    </row>
    <row r="693">
      <c r="A693" s="29">
        <f>[1]FİYATLAR!A693</f>
        <v/>
      </c>
      <c r="B693" s="29">
        <f>[1]FİYATLAR!B693</f>
        <v/>
      </c>
      <c r="C693" s="35">
        <f>INT(A693)</f>
        <v/>
      </c>
      <c r="D693" s="36">
        <f>MONTH(A693)</f>
        <v/>
      </c>
      <c r="F693" s="30">
        <f>[1]FİYATLAR!C693</f>
        <v/>
      </c>
      <c r="G693" s="30">
        <f>[1]FİYATLAR!D693</f>
        <v/>
      </c>
      <c r="H693">
        <f>E693*F693</f>
        <v/>
      </c>
      <c r="I693">
        <f>E693*G693</f>
        <v/>
      </c>
    </row>
    <row r="694">
      <c r="A694" s="29">
        <f>[1]FİYATLAR!A694</f>
        <v/>
      </c>
      <c r="B694" s="29">
        <f>[1]FİYATLAR!B694</f>
        <v/>
      </c>
      <c r="C694" s="35">
        <f>INT(A694)</f>
        <v/>
      </c>
      <c r="D694" s="36">
        <f>MONTH(A694)</f>
        <v/>
      </c>
      <c r="F694" s="30">
        <f>[1]FİYATLAR!C694</f>
        <v/>
      </c>
      <c r="G694" s="30">
        <f>[1]FİYATLAR!D694</f>
        <v/>
      </c>
      <c r="H694">
        <f>E694*F694</f>
        <v/>
      </c>
      <c r="I694">
        <f>E694*G694</f>
        <v/>
      </c>
    </row>
    <row r="695">
      <c r="A695" s="29">
        <f>[1]FİYATLAR!A695</f>
        <v/>
      </c>
      <c r="B695" s="29">
        <f>[1]FİYATLAR!B695</f>
        <v/>
      </c>
      <c r="C695" s="35">
        <f>INT(A695)</f>
        <v/>
      </c>
      <c r="D695" s="36">
        <f>MONTH(A695)</f>
        <v/>
      </c>
      <c r="F695" s="30">
        <f>[1]FİYATLAR!C695</f>
        <v/>
      </c>
      <c r="G695" s="30">
        <f>[1]FİYATLAR!D695</f>
        <v/>
      </c>
      <c r="H695">
        <f>E695*F695</f>
        <v/>
      </c>
      <c r="I695">
        <f>E695*G695</f>
        <v/>
      </c>
    </row>
    <row r="696">
      <c r="A696" s="29">
        <f>[1]FİYATLAR!A696</f>
        <v/>
      </c>
      <c r="B696" s="29">
        <f>[1]FİYATLAR!B696</f>
        <v/>
      </c>
      <c r="C696" s="35">
        <f>INT(A696)</f>
        <v/>
      </c>
      <c r="D696" s="36">
        <f>MONTH(A696)</f>
        <v/>
      </c>
      <c r="F696" s="30">
        <f>[1]FİYATLAR!C696</f>
        <v/>
      </c>
      <c r="G696" s="30">
        <f>[1]FİYATLAR!D696</f>
        <v/>
      </c>
      <c r="H696">
        <f>E696*F696</f>
        <v/>
      </c>
      <c r="I696">
        <f>E696*G696</f>
        <v/>
      </c>
    </row>
    <row r="697">
      <c r="A697" s="29">
        <f>[1]FİYATLAR!A697</f>
        <v/>
      </c>
      <c r="B697" s="29">
        <f>[1]FİYATLAR!B697</f>
        <v/>
      </c>
      <c r="C697" s="35">
        <f>INT(A697)</f>
        <v/>
      </c>
      <c r="D697" s="36">
        <f>MONTH(A697)</f>
        <v/>
      </c>
      <c r="F697" s="30">
        <f>[1]FİYATLAR!C697</f>
        <v/>
      </c>
      <c r="G697" s="30">
        <f>[1]FİYATLAR!D697</f>
        <v/>
      </c>
      <c r="H697">
        <f>E697*F697</f>
        <v/>
      </c>
      <c r="I697">
        <f>E697*G697</f>
        <v/>
      </c>
    </row>
    <row r="698">
      <c r="A698" s="29">
        <f>[1]FİYATLAR!A698</f>
        <v/>
      </c>
      <c r="B698" s="29">
        <f>[1]FİYATLAR!B698</f>
        <v/>
      </c>
      <c r="C698" s="35">
        <f>INT(A698)</f>
        <v/>
      </c>
      <c r="D698" s="36">
        <f>MONTH(A698)</f>
        <v/>
      </c>
      <c r="F698" s="30">
        <f>[1]FİYATLAR!C698</f>
        <v/>
      </c>
      <c r="G698" s="30">
        <f>[1]FİYATLAR!D698</f>
        <v/>
      </c>
      <c r="H698">
        <f>E698*F698</f>
        <v/>
      </c>
      <c r="I698">
        <f>E698*G698</f>
        <v/>
      </c>
    </row>
    <row r="699">
      <c r="A699" s="29">
        <f>[1]FİYATLAR!A699</f>
        <v/>
      </c>
      <c r="B699" s="29">
        <f>[1]FİYATLAR!B699</f>
        <v/>
      </c>
      <c r="C699" s="35">
        <f>INT(A699)</f>
        <v/>
      </c>
      <c r="D699" s="36">
        <f>MONTH(A699)</f>
        <v/>
      </c>
      <c r="F699" s="30">
        <f>[1]FİYATLAR!C699</f>
        <v/>
      </c>
      <c r="G699" s="30">
        <f>[1]FİYATLAR!D699</f>
        <v/>
      </c>
      <c r="H699">
        <f>E699*F699</f>
        <v/>
      </c>
      <c r="I699">
        <f>E699*G699</f>
        <v/>
      </c>
    </row>
    <row r="700">
      <c r="A700" s="29">
        <f>[1]FİYATLAR!A700</f>
        <v/>
      </c>
      <c r="B700" s="29">
        <f>[1]FİYATLAR!B700</f>
        <v/>
      </c>
      <c r="C700" s="35">
        <f>INT(A700)</f>
        <v/>
      </c>
      <c r="D700" s="36">
        <f>MONTH(A700)</f>
        <v/>
      </c>
      <c r="F700" s="30">
        <f>[1]FİYATLAR!C700</f>
        <v/>
      </c>
      <c r="G700" s="30">
        <f>[1]FİYATLAR!D700</f>
        <v/>
      </c>
      <c r="H700">
        <f>E700*F700</f>
        <v/>
      </c>
      <c r="I700">
        <f>E700*G700</f>
        <v/>
      </c>
    </row>
    <row r="701">
      <c r="A701" s="29">
        <f>[1]FİYATLAR!A701</f>
        <v/>
      </c>
      <c r="B701" s="29">
        <f>[1]FİYATLAR!B701</f>
        <v/>
      </c>
      <c r="C701" s="35">
        <f>INT(A701)</f>
        <v/>
      </c>
      <c r="D701" s="36">
        <f>MONTH(A701)</f>
        <v/>
      </c>
      <c r="F701" s="30">
        <f>[1]FİYATLAR!C701</f>
        <v/>
      </c>
      <c r="G701" s="30">
        <f>[1]FİYATLAR!D701</f>
        <v/>
      </c>
      <c r="H701">
        <f>E701*F701</f>
        <v/>
      </c>
      <c r="I701">
        <f>E701*G701</f>
        <v/>
      </c>
    </row>
    <row r="702">
      <c r="A702" s="29">
        <f>[1]FİYATLAR!A702</f>
        <v/>
      </c>
      <c r="B702" s="29">
        <f>[1]FİYATLAR!B702</f>
        <v/>
      </c>
      <c r="C702" s="35">
        <f>INT(A702)</f>
        <v/>
      </c>
      <c r="D702" s="36">
        <f>MONTH(A702)</f>
        <v/>
      </c>
      <c r="F702" s="30">
        <f>[1]FİYATLAR!C702</f>
        <v/>
      </c>
      <c r="G702" s="30">
        <f>[1]FİYATLAR!D702</f>
        <v/>
      </c>
      <c r="H702">
        <f>E702*F702</f>
        <v/>
      </c>
      <c r="I702">
        <f>E702*G702</f>
        <v/>
      </c>
    </row>
    <row r="703">
      <c r="A703" s="29">
        <f>[1]FİYATLAR!A703</f>
        <v/>
      </c>
      <c r="B703" s="29">
        <f>[1]FİYATLAR!B703</f>
        <v/>
      </c>
      <c r="C703" s="35">
        <f>INT(A703)</f>
        <v/>
      </c>
      <c r="D703" s="36">
        <f>MONTH(A703)</f>
        <v/>
      </c>
      <c r="F703" s="30">
        <f>[1]FİYATLAR!C703</f>
        <v/>
      </c>
      <c r="G703" s="30">
        <f>[1]FİYATLAR!D703</f>
        <v/>
      </c>
      <c r="H703">
        <f>E703*F703</f>
        <v/>
      </c>
      <c r="I703">
        <f>E703*G703</f>
        <v/>
      </c>
    </row>
    <row r="704">
      <c r="A704" s="29">
        <f>[1]FİYATLAR!A704</f>
        <v/>
      </c>
      <c r="B704" s="29">
        <f>[1]FİYATLAR!B704</f>
        <v/>
      </c>
      <c r="C704" s="35">
        <f>INT(A704)</f>
        <v/>
      </c>
      <c r="D704" s="36">
        <f>MONTH(A704)</f>
        <v/>
      </c>
      <c r="F704" s="30">
        <f>[1]FİYATLAR!C704</f>
        <v/>
      </c>
      <c r="G704" s="30">
        <f>[1]FİYATLAR!D704</f>
        <v/>
      </c>
      <c r="H704">
        <f>E704*F704</f>
        <v/>
      </c>
      <c r="I704">
        <f>E704*G704</f>
        <v/>
      </c>
    </row>
    <row r="705">
      <c r="A705" s="29">
        <f>[1]FİYATLAR!A705</f>
        <v/>
      </c>
      <c r="B705" s="29">
        <f>[1]FİYATLAR!B705</f>
        <v/>
      </c>
      <c r="C705" s="35">
        <f>INT(A705)</f>
        <v/>
      </c>
      <c r="D705" s="36">
        <f>MONTH(A705)</f>
        <v/>
      </c>
      <c r="F705" s="30">
        <f>[1]FİYATLAR!C705</f>
        <v/>
      </c>
      <c r="G705" s="30">
        <f>[1]FİYATLAR!D705</f>
        <v/>
      </c>
      <c r="H705">
        <f>E705*F705</f>
        <v/>
      </c>
      <c r="I705">
        <f>E705*G705</f>
        <v/>
      </c>
    </row>
    <row r="706">
      <c r="A706" s="29">
        <f>[1]FİYATLAR!A706</f>
        <v/>
      </c>
      <c r="B706" s="29">
        <f>[1]FİYATLAR!B706</f>
        <v/>
      </c>
      <c r="C706" s="35">
        <f>INT(A706)</f>
        <v/>
      </c>
      <c r="D706" s="36">
        <f>MONTH(A706)</f>
        <v/>
      </c>
      <c r="F706" s="30">
        <f>[1]FİYATLAR!C706</f>
        <v/>
      </c>
      <c r="G706" s="30">
        <f>[1]FİYATLAR!D706</f>
        <v/>
      </c>
      <c r="H706">
        <f>E706*F706</f>
        <v/>
      </c>
      <c r="I706">
        <f>E706*G706</f>
        <v/>
      </c>
    </row>
    <row r="707">
      <c r="A707" s="29">
        <f>[1]FİYATLAR!A707</f>
        <v/>
      </c>
      <c r="B707" s="29">
        <f>[1]FİYATLAR!B707</f>
        <v/>
      </c>
      <c r="C707" s="35">
        <f>INT(A707)</f>
        <v/>
      </c>
      <c r="D707" s="36">
        <f>MONTH(A707)</f>
        <v/>
      </c>
      <c r="F707" s="30">
        <f>[1]FİYATLAR!C707</f>
        <v/>
      </c>
      <c r="G707" s="30">
        <f>[1]FİYATLAR!D707</f>
        <v/>
      </c>
      <c r="H707">
        <f>E707*F707</f>
        <v/>
      </c>
      <c r="I707">
        <f>E707*G707</f>
        <v/>
      </c>
    </row>
    <row r="708">
      <c r="A708" s="29">
        <f>[1]FİYATLAR!A708</f>
        <v/>
      </c>
      <c r="B708" s="29">
        <f>[1]FİYATLAR!B708</f>
        <v/>
      </c>
      <c r="C708" s="35">
        <f>INT(A708)</f>
        <v/>
      </c>
      <c r="D708" s="36">
        <f>MONTH(A708)</f>
        <v/>
      </c>
      <c r="F708" s="30">
        <f>[1]FİYATLAR!C708</f>
        <v/>
      </c>
      <c r="G708" s="30">
        <f>[1]FİYATLAR!D708</f>
        <v/>
      </c>
      <c r="H708">
        <f>E708*F708</f>
        <v/>
      </c>
      <c r="I708">
        <f>E708*G708</f>
        <v/>
      </c>
    </row>
    <row r="709">
      <c r="A709" s="29">
        <f>[1]FİYATLAR!A709</f>
        <v/>
      </c>
      <c r="B709" s="29">
        <f>[1]FİYATLAR!B709</f>
        <v/>
      </c>
      <c r="C709" s="35">
        <f>INT(A709)</f>
        <v/>
      </c>
      <c r="D709" s="36">
        <f>MONTH(A709)</f>
        <v/>
      </c>
      <c r="F709" s="30">
        <f>[1]FİYATLAR!C709</f>
        <v/>
      </c>
      <c r="G709" s="30">
        <f>[1]FİYATLAR!D709</f>
        <v/>
      </c>
      <c r="H709">
        <f>E709*F709</f>
        <v/>
      </c>
      <c r="I709">
        <f>E709*G709</f>
        <v/>
      </c>
    </row>
    <row r="710">
      <c r="A710" s="29">
        <f>[1]FİYATLAR!A710</f>
        <v/>
      </c>
      <c r="B710" s="29">
        <f>[1]FİYATLAR!B710</f>
        <v/>
      </c>
      <c r="C710" s="35">
        <f>INT(A710)</f>
        <v/>
      </c>
      <c r="D710" s="36">
        <f>MONTH(A710)</f>
        <v/>
      </c>
      <c r="F710" s="30">
        <f>[1]FİYATLAR!C710</f>
        <v/>
      </c>
      <c r="G710" s="30">
        <f>[1]FİYATLAR!D710</f>
        <v/>
      </c>
      <c r="H710">
        <f>E710*F710</f>
        <v/>
      </c>
      <c r="I710">
        <f>E710*G710</f>
        <v/>
      </c>
    </row>
    <row r="711">
      <c r="A711" s="29">
        <f>[1]FİYATLAR!A711</f>
        <v/>
      </c>
      <c r="B711" s="29">
        <f>[1]FİYATLAR!B711</f>
        <v/>
      </c>
      <c r="C711" s="35">
        <f>INT(A711)</f>
        <v/>
      </c>
      <c r="D711" s="36">
        <f>MONTH(A711)</f>
        <v/>
      </c>
      <c r="F711" s="30">
        <f>[1]FİYATLAR!C711</f>
        <v/>
      </c>
      <c r="G711" s="30">
        <f>[1]FİYATLAR!D711</f>
        <v/>
      </c>
      <c r="H711">
        <f>E711*F711</f>
        <v/>
      </c>
      <c r="I711">
        <f>E711*G711</f>
        <v/>
      </c>
    </row>
    <row r="712">
      <c r="A712" s="29">
        <f>[1]FİYATLAR!A712</f>
        <v/>
      </c>
      <c r="B712" s="29">
        <f>[1]FİYATLAR!B712</f>
        <v/>
      </c>
      <c r="C712" s="35">
        <f>INT(A712)</f>
        <v/>
      </c>
      <c r="D712" s="36">
        <f>MONTH(A712)</f>
        <v/>
      </c>
      <c r="F712" s="30">
        <f>[1]FİYATLAR!C712</f>
        <v/>
      </c>
      <c r="G712" s="30">
        <f>[1]FİYATLAR!D712</f>
        <v/>
      </c>
      <c r="H712">
        <f>E712*F712</f>
        <v/>
      </c>
      <c r="I712">
        <f>E712*G712</f>
        <v/>
      </c>
    </row>
    <row r="713">
      <c r="A713" s="29">
        <f>[1]FİYATLAR!A713</f>
        <v/>
      </c>
      <c r="B713" s="29">
        <f>[1]FİYATLAR!B713</f>
        <v/>
      </c>
      <c r="C713" s="35">
        <f>INT(A713)</f>
        <v/>
      </c>
      <c r="D713" s="36">
        <f>MONTH(A713)</f>
        <v/>
      </c>
      <c r="F713" s="30">
        <f>[1]FİYATLAR!C713</f>
        <v/>
      </c>
      <c r="G713" s="30">
        <f>[1]FİYATLAR!D713</f>
        <v/>
      </c>
      <c r="H713">
        <f>E713*F713</f>
        <v/>
      </c>
      <c r="I713">
        <f>E713*G713</f>
        <v/>
      </c>
    </row>
    <row r="714">
      <c r="A714" s="29">
        <f>[1]FİYATLAR!A714</f>
        <v/>
      </c>
      <c r="B714" s="29">
        <f>[1]FİYATLAR!B714</f>
        <v/>
      </c>
      <c r="C714" s="35">
        <f>INT(A714)</f>
        <v/>
      </c>
      <c r="D714" s="36">
        <f>MONTH(A714)</f>
        <v/>
      </c>
      <c r="F714" s="30">
        <f>[1]FİYATLAR!C714</f>
        <v/>
      </c>
      <c r="G714" s="30">
        <f>[1]FİYATLAR!D714</f>
        <v/>
      </c>
      <c r="H714">
        <f>E714*F714</f>
        <v/>
      </c>
      <c r="I714">
        <f>E714*G714</f>
        <v/>
      </c>
    </row>
    <row r="715">
      <c r="A715" s="29">
        <f>[1]FİYATLAR!A715</f>
        <v/>
      </c>
      <c r="B715" s="29">
        <f>[1]FİYATLAR!B715</f>
        <v/>
      </c>
      <c r="C715" s="35">
        <f>INT(A715)</f>
        <v/>
      </c>
      <c r="D715" s="36">
        <f>MONTH(A715)</f>
        <v/>
      </c>
      <c r="F715" s="30">
        <f>[1]FİYATLAR!C715</f>
        <v/>
      </c>
      <c r="G715" s="30">
        <f>[1]FİYATLAR!D715</f>
        <v/>
      </c>
      <c r="H715">
        <f>E715*F715</f>
        <v/>
      </c>
      <c r="I715">
        <f>E715*G715</f>
        <v/>
      </c>
    </row>
    <row r="716">
      <c r="A716" s="29">
        <f>[1]FİYATLAR!A716</f>
        <v/>
      </c>
      <c r="B716" s="29">
        <f>[1]FİYATLAR!B716</f>
        <v/>
      </c>
      <c r="C716" s="35">
        <f>INT(A716)</f>
        <v/>
      </c>
      <c r="D716" s="36">
        <f>MONTH(A716)</f>
        <v/>
      </c>
      <c r="F716" s="30">
        <f>[1]FİYATLAR!C716</f>
        <v/>
      </c>
      <c r="G716" s="30">
        <f>[1]FİYATLAR!D716</f>
        <v/>
      </c>
      <c r="H716">
        <f>E716*F716</f>
        <v/>
      </c>
      <c r="I716">
        <f>E716*G716</f>
        <v/>
      </c>
    </row>
    <row r="717">
      <c r="A717" s="29">
        <f>[1]FİYATLAR!A717</f>
        <v/>
      </c>
      <c r="B717" s="29">
        <f>[1]FİYATLAR!B717</f>
        <v/>
      </c>
      <c r="C717" s="35">
        <f>INT(A717)</f>
        <v/>
      </c>
      <c r="D717" s="36">
        <f>MONTH(A717)</f>
        <v/>
      </c>
      <c r="F717" s="30">
        <f>[1]FİYATLAR!C717</f>
        <v/>
      </c>
      <c r="G717" s="30">
        <f>[1]FİYATLAR!D717</f>
        <v/>
      </c>
      <c r="H717">
        <f>E717*F717</f>
        <v/>
      </c>
      <c r="I717">
        <f>E717*G717</f>
        <v/>
      </c>
    </row>
    <row r="718">
      <c r="A718" s="29">
        <f>[1]FİYATLAR!A718</f>
        <v/>
      </c>
      <c r="B718" s="29">
        <f>[1]FİYATLAR!B718</f>
        <v/>
      </c>
      <c r="C718" s="35">
        <f>INT(A718)</f>
        <v/>
      </c>
      <c r="D718" s="36">
        <f>MONTH(A718)</f>
        <v/>
      </c>
      <c r="F718" s="30">
        <f>[1]FİYATLAR!C718</f>
        <v/>
      </c>
      <c r="G718" s="30">
        <f>[1]FİYATLAR!D718</f>
        <v/>
      </c>
      <c r="H718">
        <f>E718*F718</f>
        <v/>
      </c>
      <c r="I718">
        <f>E718*G718</f>
        <v/>
      </c>
    </row>
    <row r="719">
      <c r="A719" s="29">
        <f>[1]FİYATLAR!A719</f>
        <v/>
      </c>
      <c r="B719" s="29">
        <f>[1]FİYATLAR!B719</f>
        <v/>
      </c>
      <c r="C719" s="35">
        <f>INT(A719)</f>
        <v/>
      </c>
      <c r="D719" s="36">
        <f>MONTH(A719)</f>
        <v/>
      </c>
      <c r="F719" s="30">
        <f>[1]FİYATLAR!C719</f>
        <v/>
      </c>
      <c r="G719" s="30">
        <f>[1]FİYATLAR!D719</f>
        <v/>
      </c>
      <c r="H719">
        <f>E719*F719</f>
        <v/>
      </c>
      <c r="I719">
        <f>E719*G719</f>
        <v/>
      </c>
    </row>
    <row r="720">
      <c r="A720" s="29">
        <f>[1]FİYATLAR!A720</f>
        <v/>
      </c>
      <c r="B720" s="29">
        <f>[1]FİYATLAR!B720</f>
        <v/>
      </c>
      <c r="C720" s="35">
        <f>INT(A720)</f>
        <v/>
      </c>
      <c r="D720" s="36">
        <f>MONTH(A720)</f>
        <v/>
      </c>
      <c r="F720" s="30">
        <f>[1]FİYATLAR!C720</f>
        <v/>
      </c>
      <c r="G720" s="30">
        <f>[1]FİYATLAR!D720</f>
        <v/>
      </c>
      <c r="H720">
        <f>E720*F720</f>
        <v/>
      </c>
      <c r="I720">
        <f>E720*G720</f>
        <v/>
      </c>
    </row>
    <row r="721">
      <c r="A721" s="29">
        <f>[1]FİYATLAR!A721</f>
        <v/>
      </c>
      <c r="B721" s="29">
        <f>[1]FİYATLAR!B721</f>
        <v/>
      </c>
      <c r="C721" s="35">
        <f>INT(A721)</f>
        <v/>
      </c>
      <c r="D721" s="36">
        <f>MONTH(A721)</f>
        <v/>
      </c>
      <c r="F721" s="30">
        <f>[1]FİYATLAR!C721</f>
        <v/>
      </c>
      <c r="G721" s="30">
        <f>[1]FİYATLAR!D721</f>
        <v/>
      </c>
      <c r="H721">
        <f>E721*F721</f>
        <v/>
      </c>
      <c r="I721">
        <f>E721*G721</f>
        <v/>
      </c>
    </row>
    <row r="722">
      <c r="A722" s="29">
        <f>[1]FİYATLAR!A722</f>
        <v/>
      </c>
      <c r="B722" s="29">
        <f>[1]FİYATLAR!B722</f>
        <v/>
      </c>
      <c r="C722" s="35">
        <f>INT(A722)</f>
        <v/>
      </c>
      <c r="D722" s="36">
        <f>MONTH(A722)</f>
        <v/>
      </c>
      <c r="F722" s="30">
        <f>[1]FİYATLAR!C722</f>
        <v/>
      </c>
      <c r="G722" s="30">
        <f>[1]FİYATLAR!D722</f>
        <v/>
      </c>
      <c r="H722">
        <f>E722*F722</f>
        <v/>
      </c>
      <c r="I722">
        <f>E722*G722</f>
        <v/>
      </c>
    </row>
    <row r="723">
      <c r="A723" s="29">
        <f>[1]FİYATLAR!A723</f>
        <v/>
      </c>
      <c r="B723" s="29">
        <f>[1]FİYATLAR!B723</f>
        <v/>
      </c>
      <c r="C723" s="35">
        <f>INT(A723)</f>
        <v/>
      </c>
      <c r="D723" s="36">
        <f>MONTH(A723)</f>
        <v/>
      </c>
      <c r="F723" s="30">
        <f>[1]FİYATLAR!C723</f>
        <v/>
      </c>
      <c r="G723" s="30">
        <f>[1]FİYATLAR!D723</f>
        <v/>
      </c>
      <c r="H723">
        <f>E723*F723</f>
        <v/>
      </c>
      <c r="I723">
        <f>E723*G723</f>
        <v/>
      </c>
    </row>
    <row r="724">
      <c r="A724" s="29">
        <f>[1]FİYATLAR!A724</f>
        <v/>
      </c>
      <c r="B724" s="29">
        <f>[1]FİYATLAR!B724</f>
        <v/>
      </c>
      <c r="C724" s="35">
        <f>INT(A724)</f>
        <v/>
      </c>
      <c r="D724" s="36">
        <f>MONTH(A724)</f>
        <v/>
      </c>
      <c r="F724" s="30">
        <f>[1]FİYATLAR!C724</f>
        <v/>
      </c>
      <c r="G724" s="30">
        <f>[1]FİYATLAR!D724</f>
        <v/>
      </c>
      <c r="H724">
        <f>E724*F724</f>
        <v/>
      </c>
      <c r="I724">
        <f>E724*G724</f>
        <v/>
      </c>
    </row>
    <row r="725">
      <c r="A725" s="29">
        <f>[1]FİYATLAR!A725</f>
        <v/>
      </c>
      <c r="B725" s="29">
        <f>[1]FİYATLAR!B725</f>
        <v/>
      </c>
      <c r="C725" s="35">
        <f>INT(A725)</f>
        <v/>
      </c>
      <c r="D725" s="36">
        <f>MONTH(A725)</f>
        <v/>
      </c>
      <c r="F725" s="30">
        <f>[1]FİYATLAR!C725</f>
        <v/>
      </c>
      <c r="G725" s="30">
        <f>[1]FİYATLAR!D725</f>
        <v/>
      </c>
      <c r="H725">
        <f>E725*F725</f>
        <v/>
      </c>
      <c r="I725">
        <f>E725*G725</f>
        <v/>
      </c>
    </row>
    <row r="726">
      <c r="A726" s="29">
        <f>[1]FİYATLAR!A726</f>
        <v/>
      </c>
      <c r="B726" s="29">
        <f>[1]FİYATLAR!B726</f>
        <v/>
      </c>
      <c r="C726" s="35">
        <f>INT(A726)</f>
        <v/>
      </c>
      <c r="D726" s="36">
        <f>MONTH(A726)</f>
        <v/>
      </c>
      <c r="F726" s="30">
        <f>[1]FİYATLAR!C726</f>
        <v/>
      </c>
      <c r="G726" s="30">
        <f>[1]FİYATLAR!D726</f>
        <v/>
      </c>
      <c r="H726">
        <f>E726*F726</f>
        <v/>
      </c>
      <c r="I726">
        <f>E726*G726</f>
        <v/>
      </c>
    </row>
    <row r="727">
      <c r="A727" s="29">
        <f>[1]FİYATLAR!A727</f>
        <v/>
      </c>
      <c r="B727" s="29">
        <f>[1]FİYATLAR!B727</f>
        <v/>
      </c>
      <c r="C727" s="35">
        <f>INT(A727)</f>
        <v/>
      </c>
      <c r="D727" s="36">
        <f>MONTH(A727)</f>
        <v/>
      </c>
      <c r="F727" s="30">
        <f>[1]FİYATLAR!C727</f>
        <v/>
      </c>
      <c r="G727" s="30">
        <f>[1]FİYATLAR!D727</f>
        <v/>
      </c>
      <c r="H727">
        <f>E727*F727</f>
        <v/>
      </c>
      <c r="I727">
        <f>E727*G727</f>
        <v/>
      </c>
    </row>
    <row r="728">
      <c r="A728" s="29">
        <f>[1]FİYATLAR!A728</f>
        <v/>
      </c>
      <c r="B728" s="29">
        <f>[1]FİYATLAR!B728</f>
        <v/>
      </c>
      <c r="C728" s="35">
        <f>INT(A728)</f>
        <v/>
      </c>
      <c r="D728" s="36">
        <f>MONTH(A728)</f>
        <v/>
      </c>
      <c r="F728" s="30">
        <f>[1]FİYATLAR!C728</f>
        <v/>
      </c>
      <c r="G728" s="30">
        <f>[1]FİYATLAR!D728</f>
        <v/>
      </c>
      <c r="H728">
        <f>E728*F728</f>
        <v/>
      </c>
      <c r="I728">
        <f>E728*G728</f>
        <v/>
      </c>
    </row>
    <row r="729">
      <c r="A729" s="29">
        <f>[1]FİYATLAR!A729</f>
        <v/>
      </c>
      <c r="B729" s="29">
        <f>[1]FİYATLAR!B729</f>
        <v/>
      </c>
      <c r="C729" s="35">
        <f>INT(A729)</f>
        <v/>
      </c>
      <c r="D729" s="36">
        <f>MONTH(A729)</f>
        <v/>
      </c>
      <c r="F729" s="30">
        <f>[1]FİYATLAR!C729</f>
        <v/>
      </c>
      <c r="G729" s="30">
        <f>[1]FİYATLAR!D729</f>
        <v/>
      </c>
      <c r="H729">
        <f>E729*F729</f>
        <v/>
      </c>
      <c r="I729">
        <f>E729*G729</f>
        <v/>
      </c>
    </row>
    <row r="730">
      <c r="A730" s="29">
        <f>[1]FİYATLAR!A730</f>
        <v/>
      </c>
      <c r="B730" s="29">
        <f>[1]FİYATLAR!B730</f>
        <v/>
      </c>
      <c r="C730" s="35">
        <f>INT(A730)</f>
        <v/>
      </c>
      <c r="D730" s="36">
        <f>MONTH(A730)</f>
        <v/>
      </c>
      <c r="F730" s="30">
        <f>[1]FİYATLAR!C730</f>
        <v/>
      </c>
      <c r="G730" s="30">
        <f>[1]FİYATLAR!D730</f>
        <v/>
      </c>
      <c r="H730">
        <f>E730*F730</f>
        <v/>
      </c>
      <c r="I730">
        <f>E730*G730</f>
        <v/>
      </c>
    </row>
    <row r="731">
      <c r="A731" s="29">
        <f>[1]FİYATLAR!A731</f>
        <v/>
      </c>
      <c r="B731" s="29">
        <f>[1]FİYATLAR!B731</f>
        <v/>
      </c>
      <c r="C731" s="35">
        <f>INT(A731)</f>
        <v/>
      </c>
      <c r="D731" s="36">
        <f>MONTH(A731)</f>
        <v/>
      </c>
      <c r="F731" s="30">
        <f>[1]FİYATLAR!C731</f>
        <v/>
      </c>
      <c r="G731" s="30">
        <f>[1]FİYATLAR!D731</f>
        <v/>
      </c>
      <c r="H731">
        <f>E731*F731</f>
        <v/>
      </c>
      <c r="I731">
        <f>E731*G731</f>
        <v/>
      </c>
    </row>
    <row r="732">
      <c r="A732" s="29">
        <f>[1]FİYATLAR!A732</f>
        <v/>
      </c>
      <c r="B732" s="29">
        <f>[1]FİYATLAR!B732</f>
        <v/>
      </c>
      <c r="C732" s="35">
        <f>INT(A732)</f>
        <v/>
      </c>
      <c r="D732" s="36">
        <f>MONTH(A732)</f>
        <v/>
      </c>
      <c r="F732" s="30">
        <f>[1]FİYATLAR!C732</f>
        <v/>
      </c>
      <c r="G732" s="30">
        <f>[1]FİYATLAR!D732</f>
        <v/>
      </c>
      <c r="H732">
        <f>E732*F732</f>
        <v/>
      </c>
      <c r="I732">
        <f>E732*G732</f>
        <v/>
      </c>
    </row>
    <row r="733">
      <c r="A733" s="29">
        <f>[1]FİYATLAR!A733</f>
        <v/>
      </c>
      <c r="B733" s="29">
        <f>[1]FİYATLAR!B733</f>
        <v/>
      </c>
      <c r="C733" s="35">
        <f>INT(A733)</f>
        <v/>
      </c>
      <c r="D733" s="36">
        <f>MONTH(A733)</f>
        <v/>
      </c>
      <c r="F733" s="30">
        <f>[1]FİYATLAR!C733</f>
        <v/>
      </c>
      <c r="G733" s="30">
        <f>[1]FİYATLAR!D733</f>
        <v/>
      </c>
      <c r="H733">
        <f>E733*F733</f>
        <v/>
      </c>
      <c r="I733">
        <f>E733*G733</f>
        <v/>
      </c>
    </row>
    <row r="734">
      <c r="A734" s="29">
        <f>[1]FİYATLAR!A734</f>
        <v/>
      </c>
      <c r="B734" s="29">
        <f>[1]FİYATLAR!B734</f>
        <v/>
      </c>
      <c r="C734" s="35">
        <f>INT(A734)</f>
        <v/>
      </c>
      <c r="D734" s="36">
        <f>MONTH(A734)</f>
        <v/>
      </c>
      <c r="F734" s="30">
        <f>[1]FİYATLAR!C734</f>
        <v/>
      </c>
      <c r="G734" s="30">
        <f>[1]FİYATLAR!D734</f>
        <v/>
      </c>
      <c r="H734">
        <f>E734*F734</f>
        <v/>
      </c>
      <c r="I734">
        <f>E734*G734</f>
        <v/>
      </c>
    </row>
    <row r="735">
      <c r="A735" s="29">
        <f>[1]FİYATLAR!A735</f>
        <v/>
      </c>
      <c r="B735" s="29">
        <f>[1]FİYATLAR!B735</f>
        <v/>
      </c>
      <c r="C735" s="35">
        <f>INT(A735)</f>
        <v/>
      </c>
      <c r="D735" s="36">
        <f>MONTH(A735)</f>
        <v/>
      </c>
      <c r="F735" s="30">
        <f>[1]FİYATLAR!C735</f>
        <v/>
      </c>
      <c r="G735" s="30">
        <f>[1]FİYATLAR!D735</f>
        <v/>
      </c>
      <c r="H735">
        <f>E735*F735</f>
        <v/>
      </c>
      <c r="I735">
        <f>E735*G735</f>
        <v/>
      </c>
    </row>
    <row r="736">
      <c r="A736" s="29">
        <f>[1]FİYATLAR!A736</f>
        <v/>
      </c>
      <c r="B736" s="29">
        <f>[1]FİYATLAR!B736</f>
        <v/>
      </c>
      <c r="C736" s="35">
        <f>INT(A736)</f>
        <v/>
      </c>
      <c r="D736" s="36">
        <f>MONTH(A736)</f>
        <v/>
      </c>
      <c r="F736" s="30">
        <f>[1]FİYATLAR!C736</f>
        <v/>
      </c>
      <c r="G736" s="30">
        <f>[1]FİYATLAR!D736</f>
        <v/>
      </c>
      <c r="H736">
        <f>E736*F736</f>
        <v/>
      </c>
      <c r="I736">
        <f>E736*G736</f>
        <v/>
      </c>
    </row>
    <row r="737">
      <c r="A737" s="29">
        <f>[1]FİYATLAR!A737</f>
        <v/>
      </c>
      <c r="B737" s="29">
        <f>[1]FİYATLAR!B737</f>
        <v/>
      </c>
      <c r="C737" s="35">
        <f>INT(A737)</f>
        <v/>
      </c>
      <c r="D737" s="36">
        <f>MONTH(A737)</f>
        <v/>
      </c>
      <c r="F737" s="30">
        <f>[1]FİYATLAR!C737</f>
        <v/>
      </c>
      <c r="G737" s="30">
        <f>[1]FİYATLAR!D737</f>
        <v/>
      </c>
      <c r="H737">
        <f>E737*F737</f>
        <v/>
      </c>
      <c r="I737">
        <f>E737*G737</f>
        <v/>
      </c>
    </row>
    <row r="738">
      <c r="A738" s="29">
        <f>[1]FİYATLAR!A738</f>
        <v/>
      </c>
      <c r="B738" s="29">
        <f>[1]FİYATLAR!B738</f>
        <v/>
      </c>
      <c r="C738" s="35">
        <f>INT(A738)</f>
        <v/>
      </c>
      <c r="D738" s="36">
        <f>MONTH(A738)</f>
        <v/>
      </c>
      <c r="F738" s="30">
        <f>[1]FİYATLAR!C738</f>
        <v/>
      </c>
      <c r="G738" s="30">
        <f>[1]FİYATLAR!D738</f>
        <v/>
      </c>
      <c r="H738">
        <f>E738*F738</f>
        <v/>
      </c>
      <c r="I738">
        <f>E738*G738</f>
        <v/>
      </c>
    </row>
    <row r="739">
      <c r="A739" s="29">
        <f>[1]FİYATLAR!A739</f>
        <v/>
      </c>
      <c r="B739" s="29">
        <f>[1]FİYATLAR!B739</f>
        <v/>
      </c>
      <c r="C739" s="35">
        <f>INT(A739)</f>
        <v/>
      </c>
      <c r="D739" s="36">
        <f>MONTH(A739)</f>
        <v/>
      </c>
      <c r="F739" s="30">
        <f>[1]FİYATLAR!C739</f>
        <v/>
      </c>
      <c r="G739" s="30">
        <f>[1]FİYATLAR!D739</f>
        <v/>
      </c>
      <c r="H739">
        <f>E739*F739</f>
        <v/>
      </c>
      <c r="I739">
        <f>E739*G739</f>
        <v/>
      </c>
    </row>
    <row r="740">
      <c r="A740" s="29">
        <f>[1]FİYATLAR!A740</f>
        <v/>
      </c>
      <c r="B740" s="29">
        <f>[1]FİYATLAR!B740</f>
        <v/>
      </c>
      <c r="C740" s="35">
        <f>INT(A740)</f>
        <v/>
      </c>
      <c r="D740" s="36">
        <f>MONTH(A740)</f>
        <v/>
      </c>
      <c r="F740" s="30">
        <f>[1]FİYATLAR!C740</f>
        <v/>
      </c>
      <c r="G740" s="30">
        <f>[1]FİYATLAR!D740</f>
        <v/>
      </c>
      <c r="H740">
        <f>E740*F740</f>
        <v/>
      </c>
      <c r="I740">
        <f>E740*G740</f>
        <v/>
      </c>
    </row>
    <row r="741">
      <c r="A741" s="29">
        <f>[1]FİYATLAR!A741</f>
        <v/>
      </c>
      <c r="B741" s="29">
        <f>[1]FİYATLAR!B741</f>
        <v/>
      </c>
      <c r="C741" s="35">
        <f>INT(A741)</f>
        <v/>
      </c>
      <c r="D741" s="36">
        <f>MONTH(A741)</f>
        <v/>
      </c>
      <c r="F741" s="30">
        <f>[1]FİYATLAR!C741</f>
        <v/>
      </c>
      <c r="G741" s="30">
        <f>[1]FİYATLAR!D741</f>
        <v/>
      </c>
      <c r="H741">
        <f>E741*F741</f>
        <v/>
      </c>
      <c r="I741">
        <f>E741*G741</f>
        <v/>
      </c>
    </row>
    <row r="742">
      <c r="A742" s="29">
        <f>[1]FİYATLAR!A742</f>
        <v/>
      </c>
      <c r="B742" s="29">
        <f>[1]FİYATLAR!B742</f>
        <v/>
      </c>
      <c r="C742" s="35">
        <f>INT(A742)</f>
        <v/>
      </c>
      <c r="D742" s="36">
        <f>MONTH(A742)</f>
        <v/>
      </c>
      <c r="F742" s="30">
        <f>[1]FİYATLAR!C742</f>
        <v/>
      </c>
      <c r="G742" s="30">
        <f>[1]FİYATLAR!D742</f>
        <v/>
      </c>
      <c r="H742">
        <f>E742*F742</f>
        <v/>
      </c>
      <c r="I742">
        <f>E742*G742</f>
        <v/>
      </c>
    </row>
    <row r="743">
      <c r="A743" s="29">
        <f>[1]FİYATLAR!A743</f>
        <v/>
      </c>
      <c r="B743" s="29">
        <f>[1]FİYATLAR!B743</f>
        <v/>
      </c>
      <c r="C743" s="35">
        <f>INT(A743)</f>
        <v/>
      </c>
      <c r="D743" s="36">
        <f>MONTH(A743)</f>
        <v/>
      </c>
      <c r="F743" s="30">
        <f>[1]FİYATLAR!C743</f>
        <v/>
      </c>
      <c r="G743" s="30">
        <f>[1]FİYATLAR!D743</f>
        <v/>
      </c>
      <c r="H743">
        <f>E743*F743</f>
        <v/>
      </c>
      <c r="I743">
        <f>E743*G743</f>
        <v/>
      </c>
    </row>
    <row r="744">
      <c r="A744" s="29">
        <f>[1]FİYATLAR!A744</f>
        <v/>
      </c>
      <c r="B744" s="29">
        <f>[1]FİYATLAR!B744</f>
        <v/>
      </c>
      <c r="C744" s="35">
        <f>INT(A744)</f>
        <v/>
      </c>
      <c r="D744" s="36">
        <f>MONTH(A744)</f>
        <v/>
      </c>
      <c r="F744" s="30">
        <f>[1]FİYATLAR!C744</f>
        <v/>
      </c>
      <c r="G744" s="30">
        <f>[1]FİYATLAR!D744</f>
        <v/>
      </c>
      <c r="H744">
        <f>E744*F744</f>
        <v/>
      </c>
      <c r="I744">
        <f>E744*G744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3"/>
  <sheetViews>
    <sheetView showGridLines="0" zoomScale="70" zoomScaleNormal="70" workbookViewId="0">
      <selection activeCell="B4" sqref="B4"/>
    </sheetView>
  </sheetViews>
  <sheetFormatPr baseColWidth="8" defaultRowHeight="14.4"/>
  <cols>
    <col width="3.33203125" bestFit="1" customWidth="1" style="188" min="1" max="1"/>
    <col width="10.5546875" bestFit="1" customWidth="1" style="19" min="2" max="2"/>
    <col width="10" bestFit="1" customWidth="1" style="188" min="3" max="4"/>
    <col width="11.5546875" bestFit="1" customWidth="1" style="188" min="5" max="5"/>
    <col width="16.33203125" customWidth="1" style="188" min="6" max="6"/>
    <col width="13" customWidth="1" style="188" min="7" max="7"/>
    <col width="15.33203125" customWidth="1" style="188" min="8" max="9"/>
    <col width="14.88671875" customWidth="1" style="209" min="10" max="12"/>
    <col width="12.33203125" customWidth="1" style="188" min="13" max="15"/>
    <col width="15" customWidth="1" style="188" min="16" max="16"/>
    <col width="16" customWidth="1" style="188" min="17" max="18"/>
    <col width="15.33203125" customWidth="1" style="188" min="19" max="19"/>
    <col width="12.33203125" customWidth="1" style="188" min="20" max="20"/>
    <col width="10.6640625" bestFit="1" customWidth="1" style="188" min="21" max="21"/>
    <col width="10.6640625" customWidth="1" style="188" min="22" max="22"/>
    <col width="12.33203125" customWidth="1" style="188" min="23" max="23"/>
    <col width="14.109375" bestFit="1" customWidth="1" style="188" min="24" max="24"/>
    <col width="12.33203125" customWidth="1" style="188" min="25" max="28"/>
    <col width="14.5546875" customWidth="1" style="188" min="29" max="29"/>
    <col width="14.33203125" customWidth="1" style="188" min="30" max="30"/>
    <col width="17.109375" customWidth="1" style="188" min="31" max="31"/>
    <col width="12.33203125" customWidth="1" style="188" min="32" max="38"/>
    <col width="10.6640625" customWidth="1" style="188" min="39" max="40"/>
    <col width="13.5546875" customWidth="1" style="188" min="41" max="41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2" t="n"/>
      <c r="V1" s="212" t="n"/>
      <c r="W1" s="212" t="n"/>
      <c r="X1" s="213" t="n"/>
      <c r="Y1" s="160" t="inlineStr">
        <is>
          <t>GİP SONRASI</t>
        </is>
      </c>
      <c r="Z1" s="214" t="n"/>
      <c r="AA1" s="214" t="n"/>
      <c r="AB1" s="214" t="n"/>
      <c r="AC1" s="214" t="n"/>
      <c r="AD1" s="214" t="n"/>
      <c r="AE1" s="214" t="n"/>
      <c r="AF1" s="214" t="n"/>
      <c r="AG1" s="214" t="n"/>
      <c r="AH1" s="214" t="n"/>
      <c r="AI1" s="214" t="n"/>
      <c r="AJ1" s="214" t="n"/>
      <c r="AK1" s="214" t="n"/>
      <c r="AL1" s="214" t="n"/>
    </row>
    <row r="2" ht="72" customFormat="1" customHeight="1" s="9">
      <c r="B2" s="20" t="inlineStr">
        <is>
          <t>AY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Kazanılan Tutar(TL)</t>
        </is>
      </c>
      <c r="R2" s="11" t="inlineStr">
        <is>
          <t>Dengesizlik Maliyeti(TL)</t>
        </is>
      </c>
      <c r="S2" s="11" t="inlineStr">
        <is>
          <t>Toplam Maliyet(TL)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12" t="inlineStr">
        <is>
          <t>Birim Maliyet(%)</t>
        </is>
      </c>
      <c r="W2" s="12" t="inlineStr">
        <is>
          <t>Dengesizlik Oranı (%)</t>
        </is>
      </c>
      <c r="X2" s="12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Kazanılan Tutar(TL)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78" t="inlineStr">
        <is>
          <t>Birim Maliyet(%)</t>
        </is>
      </c>
      <c r="AK2" s="78" t="inlineStr">
        <is>
          <t>Dengesizlik Oranı (%)</t>
        </is>
      </c>
      <c r="AL2" s="78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A3" t="n">
        <v>7</v>
      </c>
      <c r="B3" s="216" t="n">
        <v>46204</v>
      </c>
      <c r="C3" s="217">
        <f>AVERAGEIF('Opera Enerji Veri'!$D:$D,'Opera Aylık Analiz'!$A3,'Opera Enerji Veri'!F:F)</f>
        <v/>
      </c>
      <c r="D3" s="217">
        <f>AVERAGEIF('Opera Enerji Veri'!$D:$D,'Opera Aylık Analiz'!$A3,'Opera Enerji Veri'!G:G)</f>
        <v/>
      </c>
      <c r="E3" s="217">
        <f>AVERAGEIF('Opera Enerji Veri'!$D:$D,'Opera Aylık Analiz'!$A3,'Opera Enerji Veri'!H:H)</f>
        <v/>
      </c>
      <c r="F3" s="217">
        <f>SUMIF('Opera Enerji Veri'!$D:$D, $A3,'Opera Enerji Veri'!BE:BE)</f>
        <v/>
      </c>
      <c r="G3" s="217">
        <f>SUMIF('Opera Enerji Veri'!$D:$D, $A3,'Opera Enerji Veri'!AY:AY)</f>
        <v/>
      </c>
      <c r="H3" s="217">
        <f>F3/G3</f>
        <v/>
      </c>
      <c r="I3" s="217">
        <f>SUMIF('Opera Enerji Veri'!$D:$D, $A3,'Opera Enerji Veri'!J:J)</f>
        <v/>
      </c>
      <c r="J3" s="217">
        <f>SUMIF('Opera Enerji Veri'!$D:$D, $A3,'Opera Enerji Veri'!BF:BF)</f>
        <v/>
      </c>
      <c r="K3" s="217">
        <f>SUMIF('Opera Enerji Veri'!$D:$D, $A3,'Opera Enerji Veri'!BG:BG)</f>
        <v/>
      </c>
      <c r="L3" s="217">
        <f>SUMIF('Opera Enerji Veri'!$D:$D, $A3,'Opera Enerji Veri'!BH:BH)</f>
        <v/>
      </c>
      <c r="M3" s="217">
        <f>SUMIF('Opera Enerji Veri'!$D:$D, $A3,'Opera Enerji Veri'!BB:BB)</f>
        <v/>
      </c>
      <c r="N3" s="217">
        <f>SUMIF('Opera Enerji Veri'!$D:$D, $A3,'Opera Enerji Veri'!BJ:BJ)</f>
        <v/>
      </c>
      <c r="O3" s="217">
        <f>SUMIF('Opera Enerji Veri'!$D:$D, $A3,'Opera Enerji Veri'!BK:BK)</f>
        <v/>
      </c>
      <c r="P3" s="217">
        <f>SUMIF('Opera Enerji Veri'!$D:$D, $A3,'Opera Enerji Veri'!BL:BL)</f>
        <v/>
      </c>
      <c r="Q3" s="217">
        <f>J3+K3+P3-M3</f>
        <v/>
      </c>
      <c r="R3" s="217">
        <f>F3-Q3-M3</f>
        <v/>
      </c>
      <c r="S3" s="217">
        <f>F3-Q3</f>
        <v/>
      </c>
      <c r="T3" s="217">
        <f>Q3/G3</f>
        <v/>
      </c>
      <c r="U3" s="218">
        <f>IFERROR(S3/G3,0)</f>
        <v/>
      </c>
      <c r="V3" s="140">
        <f>IFERROR(U3/H3,0)</f>
        <v/>
      </c>
      <c r="W3" s="27">
        <f>N3/G3</f>
        <v/>
      </c>
      <c r="X3" s="106">
        <f>SUMIF('Opera Enerji Veri'!$D:$D, $A3,'Opera Enerji Veri'!BU:BU)</f>
        <v/>
      </c>
      <c r="Y3" s="217">
        <f>SUMIF('Opera Enerji Veri'!$D:$D, $A3,'Opera Enerji Veri'!BD:BD)</f>
        <v/>
      </c>
      <c r="Z3" s="217">
        <f>SUMIF('Opera Enerji Veri'!$D:$D, $A3,'Opera Enerji Veri'!BW:BW)</f>
        <v/>
      </c>
      <c r="AA3" s="217">
        <f>SUMIF('Opera Enerji Veri'!$D:$D, $A3,'Opera Enerji Veri'!BX:BX)</f>
        <v/>
      </c>
      <c r="AB3" s="217">
        <f>SUMIF('Opera Enerji Veri'!$D:$D, $A3,'Opera Enerji Veri'!BY:BY)</f>
        <v/>
      </c>
      <c r="AC3" s="219">
        <f>SUMIF('Opera Enerji Veri'!$D:$D, $A3,'Opera Enerji Veri'!CI:CI)</f>
        <v/>
      </c>
      <c r="AD3" s="219">
        <f>AC3/G3</f>
        <v/>
      </c>
      <c r="AE3" s="217">
        <f>J3+K3+L3+AB3-Y3</f>
        <v/>
      </c>
      <c r="AF3" s="217">
        <f>F3-AE3-Y3</f>
        <v/>
      </c>
      <c r="AG3" s="217">
        <f>F3-AE3</f>
        <v/>
      </c>
      <c r="AH3" s="217">
        <f>AE3/G3</f>
        <v/>
      </c>
      <c r="AI3" s="218">
        <f>IF(G3=0,0,AG3/G3)</f>
        <v/>
      </c>
      <c r="AJ3" s="141">
        <f>IFERROR(AI3/H3,0)</f>
        <v/>
      </c>
      <c r="AK3" s="79">
        <f>Z3/G3</f>
        <v/>
      </c>
      <c r="AL3" s="105">
        <f>SUMIF('Opera Enerji Veri'!$D:$D, $A3,'Opera Enerji Veri'!CH:CH)</f>
        <v/>
      </c>
      <c r="AM3" s="217">
        <f>M3-Y3</f>
        <v/>
      </c>
      <c r="AN3" s="97">
        <f>AM3/M3</f>
        <v/>
      </c>
      <c r="AO3" s="217">
        <f>S3-AG3</f>
        <v/>
      </c>
      <c r="AP3" s="220">
        <f>AO3/S3</f>
        <v/>
      </c>
    </row>
    <row r="33">
      <c r="T33" s="221" t="n"/>
    </row>
  </sheetData>
  <mergeCells count="2">
    <mergeCell ref="Y1:AL1"/>
    <mergeCell ref="M1:X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62"/>
  <sheetViews>
    <sheetView showGridLines="0" topLeftCell="B1" zoomScale="70" zoomScaleNormal="70" workbookViewId="0">
      <selection activeCell="B34" sqref="B34"/>
    </sheetView>
  </sheetViews>
  <sheetFormatPr baseColWidth="8" defaultRowHeight="14.4"/>
  <cols>
    <col width="4.33203125" customWidth="1" style="188" min="1" max="1"/>
    <col width="15.6640625" customWidth="1" style="19" min="2" max="2"/>
    <col width="11.33203125" customWidth="1" style="188" min="3" max="5"/>
    <col width="13.5546875" customWidth="1" style="188" min="6" max="6"/>
    <col width="14.44140625" customWidth="1" style="188" min="7" max="7"/>
    <col width="13.33203125" customWidth="1" style="188" min="8" max="8"/>
    <col width="14.44140625" customWidth="1" style="188" min="9" max="9"/>
    <col width="13.88671875" customWidth="1" style="209" min="10" max="11"/>
    <col width="11.5546875" customWidth="1" style="209" min="12" max="12"/>
    <col width="12.33203125" customWidth="1" style="188" min="13" max="14"/>
    <col width="11.44140625" customWidth="1" style="188" min="15" max="15"/>
    <col width="12.33203125" customWidth="1" style="188" min="16" max="16"/>
    <col width="13" bestFit="1" customWidth="1" style="188" min="17" max="17"/>
    <col width="12.33203125" bestFit="1" customWidth="1" style="188" min="18" max="18"/>
    <col width="12.33203125" customWidth="1" style="188" min="19" max="19"/>
    <col width="12.109375" bestFit="1" customWidth="1" style="188" min="20" max="20"/>
    <col width="12.33203125" customWidth="1" style="188" min="21" max="21"/>
    <col width="12.33203125" customWidth="1" style="222" min="22" max="22"/>
    <col width="12.33203125" customWidth="1" style="188" min="23" max="23"/>
    <col width="12.33203125" customWidth="1" style="110" min="24" max="24"/>
    <col width="12.33203125" customWidth="1" style="188" min="25" max="28"/>
    <col width="15.6640625" customWidth="1" style="188" min="29" max="29"/>
    <col width="14.33203125" customWidth="1" style="188" min="30" max="30"/>
    <col width="21.5546875" customWidth="1" style="188" min="31" max="31"/>
    <col width="12.33203125" bestFit="1" customWidth="1" style="188" min="32" max="32"/>
    <col width="12.33203125" customWidth="1" style="188" min="33" max="33"/>
    <col width="12.109375" bestFit="1" customWidth="1" style="188" min="34" max="34"/>
    <col width="17.88671875" customWidth="1" style="188" min="35" max="36"/>
    <col width="12" customWidth="1" style="188" min="37" max="37"/>
    <col width="12" customWidth="1" style="113" min="38" max="38"/>
    <col width="10.33203125" bestFit="1" customWidth="1" style="188" min="39" max="39"/>
    <col width="18.109375" customWidth="1" style="188" min="40" max="40"/>
    <col width="10.44140625" bestFit="1" customWidth="1" style="188" min="41" max="41"/>
    <col width="10.5546875" bestFit="1" customWidth="1" style="188" min="42" max="42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3" t="n"/>
      <c r="V1" s="223" t="n"/>
      <c r="W1" s="162" t="n"/>
      <c r="X1" s="107" t="n"/>
      <c r="Y1" s="163" t="inlineStr">
        <is>
          <t>GİP SONRASI</t>
        </is>
      </c>
      <c r="Z1" s="212" t="n"/>
      <c r="AA1" s="212" t="n"/>
      <c r="AB1" s="212" t="n"/>
      <c r="AC1" s="212" t="n"/>
      <c r="AD1" s="212" t="n"/>
      <c r="AE1" s="212" t="n"/>
      <c r="AF1" s="212" t="n"/>
      <c r="AG1" s="212" t="n"/>
      <c r="AH1" s="212" t="n"/>
      <c r="AI1" s="213" t="n"/>
      <c r="AJ1" s="28" t="n"/>
      <c r="AK1" s="28" t="n"/>
      <c r="AL1" s="111" t="n"/>
    </row>
    <row r="2" ht="51.6" customFormat="1" customHeight="1" s="9">
      <c r="B2" s="20" t="inlineStr">
        <is>
          <t>TARİH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GELİR(TL)</t>
        </is>
      </c>
      <c r="R2" s="11" t="inlineStr">
        <is>
          <t>Dengesizlik Maliyeti(TL)</t>
        </is>
      </c>
      <c r="S2" s="11" t="inlineStr">
        <is>
          <t>TOPLAM MALİYET(TL)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224" t="inlineStr">
        <is>
          <t>Birim Maliyet(%)</t>
        </is>
      </c>
      <c r="W2" s="12" t="inlineStr">
        <is>
          <t>Dengesizlik Oranı (%)</t>
        </is>
      </c>
      <c r="X2" s="108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GELİR(TL)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14" t="inlineStr">
        <is>
          <t>Birim Maliyet(%)</t>
        </is>
      </c>
      <c r="AK2" s="14" t="inlineStr">
        <is>
          <t>Dengesizlik Oranı (%)</t>
        </is>
      </c>
      <c r="AL2" s="112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B3" s="17" t="n">
        <v>46204</v>
      </c>
      <c r="C3" s="217">
        <f>IFERROR(AVERAGEIF('Opera Enerji Veri'!$C:$C,'Opera Günlük Analiz'!$B3,'Opera Enerji Veri'!F:F),0)</f>
        <v/>
      </c>
      <c r="D3" s="217">
        <f>IFERROR(AVERAGEIF('Opera Enerji Veri'!$C:$C,'Opera Günlük Analiz'!$B3,'Opera Enerji Veri'!G:G),0)</f>
        <v/>
      </c>
      <c r="E3" s="217">
        <f>IFERROR(AVERAGEIF('Opera Enerji Veri'!$C:$C,'Opera Günlük Analiz'!$B3,'Opera Enerji Veri'!H:H),0)</f>
        <v/>
      </c>
      <c r="F3" s="217">
        <f>SUMIF('Opera Enerji Veri'!$C:$C, 'Opera Günlük Analiz'!$B3,'Opera Enerji Veri'!BE:BE)</f>
        <v/>
      </c>
      <c r="G3" s="217">
        <f>SUMIF('Opera Enerji Veri'!$C:$C, 'Opera Günlük Analiz'!$B3,'Opera Enerji Veri'!AY:AY)</f>
        <v/>
      </c>
      <c r="H3" s="217">
        <f>IFERROR(F3/G3,0)</f>
        <v/>
      </c>
      <c r="I3" s="217">
        <f>SUMIF('Opera Enerji Veri'!$C:$C, 'Opera Günlük Analiz'!$B3,'Opera Enerji Veri'!J:J)</f>
        <v/>
      </c>
      <c r="J3" s="217">
        <f>SUMIF('Opera Enerji Veri'!$C:$C, 'Opera Günlük Analiz'!$B3,'Opera Enerji Veri'!BF:BF)</f>
        <v/>
      </c>
      <c r="K3" s="217">
        <f>SUMIF('Opera Enerji Veri'!$C:$C, 'Opera Günlük Analiz'!$B3,'Opera Enerji Veri'!BG:BG)</f>
        <v/>
      </c>
      <c r="L3" s="217">
        <f>SUMIF('Opera Enerji Veri'!$C:$C, 'Opera Günlük Analiz'!$B3,'Opera Enerji Veri'!BH:BH)</f>
        <v/>
      </c>
      <c r="M3" s="217">
        <f>SUMIF('Opera Enerji Veri'!$C:$C, 'Opera Günlük Analiz'!$B3,'Opera Enerji Veri'!BB:BB)</f>
        <v/>
      </c>
      <c r="N3" s="217">
        <f>SUMIF('Opera Enerji Veri'!$C:$C, 'Opera Günlük Analiz'!$B3,'Opera Enerji Veri'!BJ:BJ)</f>
        <v/>
      </c>
      <c r="O3" s="217">
        <f>SUMIF('Opera Enerji Veri'!$C:$C, 'Opera Günlük Analiz'!$B3,'Opera Enerji Veri'!BK:BK)</f>
        <v/>
      </c>
      <c r="P3" s="217">
        <f>SUMIF('Opera Enerji Veri'!$C:$C, 'Opera Günlük Analiz'!$B3,'Opera Enerji Veri'!BL:BL)</f>
        <v/>
      </c>
      <c r="Q3" s="217">
        <f>J3+K3+P3-M3</f>
        <v/>
      </c>
      <c r="R3" s="217">
        <f>F3-Q3-M3</f>
        <v/>
      </c>
      <c r="S3" s="217">
        <f>M3+R3</f>
        <v/>
      </c>
      <c r="T3" s="217">
        <f>IFERROR(Q3/G3,0)</f>
        <v/>
      </c>
      <c r="U3" s="218">
        <f>IF(G3=0,0,S3/G3)</f>
        <v/>
      </c>
      <c r="V3" s="225">
        <f>IFERROR(U3/H3,0)</f>
        <v/>
      </c>
      <c r="W3" s="27">
        <f>IFERROR(ABS(N3/G3),0)</f>
        <v/>
      </c>
      <c r="X3" s="109">
        <f>SUMIF('Opera Enerji Veri'!$C:$C, 'Opera Günlük Analiz'!$B3,'Opera Enerji Veri'!BU:BU)</f>
        <v/>
      </c>
      <c r="Y3" s="217">
        <f>SUMIF('Opera Enerji Veri'!$C:$C, 'Opera Günlük Analiz'!$B3,'Opera Enerji Veri'!BD:BD)</f>
        <v/>
      </c>
      <c r="Z3" s="217">
        <f>SUMIF('Opera Enerji Veri'!$C:$C, 'Opera Günlük Analiz'!$B3,'Opera Enerji Veri'!BW:BW)</f>
        <v/>
      </c>
      <c r="AA3" s="217">
        <f>SUMIF('Opera Enerji Veri'!$C:$C, 'Opera Günlük Analiz'!$B3,'Opera Enerji Veri'!BX:BX)</f>
        <v/>
      </c>
      <c r="AB3" s="217">
        <f>SUMIF('Opera Enerji Veri'!$C:$C, 'Opera Günlük Analiz'!$B3,'Opera Enerji Veri'!BY:BY)</f>
        <v/>
      </c>
      <c r="AC3" s="219">
        <f>SUMIF('Opera Enerji Veri'!$C:$C, 'Opera Günlük Analiz'!$B3,'Opera Enerji Veri'!CI:CI)</f>
        <v/>
      </c>
      <c r="AD3" s="219">
        <f>IFERROR(AC3/G3,0)</f>
        <v/>
      </c>
      <c r="AE3" s="217">
        <f>J3+K3+L3+AB3-Y3</f>
        <v/>
      </c>
      <c r="AF3" s="217">
        <f>F3-AE3-Y3</f>
        <v/>
      </c>
      <c r="AG3" s="217">
        <f>Y3+AF3</f>
        <v/>
      </c>
      <c r="AH3" s="217">
        <f>IFERROR(AE3/G3,0)</f>
        <v/>
      </c>
      <c r="AI3" s="218">
        <f>IF(G3=0,0,AG3/G3)</f>
        <v/>
      </c>
      <c r="AJ3" s="225">
        <f>IFERROR(AI3/H3,0)</f>
        <v/>
      </c>
      <c r="AK3" s="27">
        <f>IFERROR(ABS(Z3/G3),0)</f>
        <v/>
      </c>
      <c r="AL3" s="109">
        <f>SUMIF('Opera Enerji Veri'!$C:$C, 'Opera Günlük Analiz'!$B3,'Opera Enerji Veri'!CH:CH)</f>
        <v/>
      </c>
      <c r="AM3" s="217">
        <f>M3-Y3</f>
        <v/>
      </c>
      <c r="AN3" s="97">
        <f>IFERROR(AM3/M3,0)</f>
        <v/>
      </c>
      <c r="AO3" s="217">
        <f>S3-AG3</f>
        <v/>
      </c>
      <c r="AP3" s="97">
        <f>IFERROR(AO3/S3,0)</f>
        <v/>
      </c>
    </row>
    <row r="4">
      <c r="B4" s="17">
        <f>B3+1</f>
        <v/>
      </c>
      <c r="C4" s="217">
        <f>IFERROR(AVERAGEIF('Opera Enerji Veri'!C:C,'Opera Günlük Analiz'!B4,'Opera Enerji Veri'!F:F),0)</f>
        <v/>
      </c>
      <c r="D4" s="217">
        <f>IFERROR(AVERAGEIF('Opera Enerji Veri'!$C:$C,'Opera Günlük Analiz'!$B4,'Opera Enerji Veri'!G:G),0)</f>
        <v/>
      </c>
      <c r="E4" s="217">
        <f>IFERROR(AVERAGEIF('Opera Enerji Veri'!$C:$C,'Opera Günlük Analiz'!$B4,'Opera Enerji Veri'!H:H),0)</f>
        <v/>
      </c>
      <c r="F4" s="217">
        <f>SUMIF('Opera Enerji Veri'!$C:$C, 'Opera Günlük Analiz'!$B4,'Opera Enerji Veri'!BE:BE)</f>
        <v/>
      </c>
      <c r="G4" s="217">
        <f>SUMIF('Opera Enerji Veri'!$C:$C, 'Opera Günlük Analiz'!$B4,'Opera Enerji Veri'!AY:AY)</f>
        <v/>
      </c>
      <c r="H4" s="217">
        <f>IFERROR(F4/G4,0)</f>
        <v/>
      </c>
      <c r="I4" s="217">
        <f>SUMIF('Opera Enerji Veri'!$C:$C, 'Opera Günlük Analiz'!$B4,'Opera Enerji Veri'!J:J)</f>
        <v/>
      </c>
      <c r="J4" s="217">
        <f>SUMIF('Opera Enerji Veri'!$C:$C, 'Opera Günlük Analiz'!$B4,'Opera Enerji Veri'!BF:BF)</f>
        <v/>
      </c>
      <c r="K4" s="217">
        <f>SUMIF('Opera Enerji Veri'!$C:$C, 'Opera Günlük Analiz'!$B4,'Opera Enerji Veri'!BG:BG)</f>
        <v/>
      </c>
      <c r="L4" s="217">
        <f>SUMIF('Opera Enerji Veri'!$C:$C, 'Opera Günlük Analiz'!$B4,'Opera Enerji Veri'!BH:BH)</f>
        <v/>
      </c>
      <c r="M4" s="217">
        <f>SUMIF('Opera Enerji Veri'!$C:$C, 'Opera Günlük Analiz'!$B4,'Opera Enerji Veri'!BB:BB)</f>
        <v/>
      </c>
      <c r="N4" s="217">
        <f>SUMIF('Opera Enerji Veri'!$C:$C, 'Opera Günlük Analiz'!$B4,'Opera Enerji Veri'!BJ:BJ)</f>
        <v/>
      </c>
      <c r="O4" s="217">
        <f>SUMIF('Opera Enerji Veri'!$C:$C, 'Opera Günlük Analiz'!$B4,'Opera Enerji Veri'!BK:BK)</f>
        <v/>
      </c>
      <c r="P4" s="217">
        <f>SUMIF('Opera Enerji Veri'!$C:$C, 'Opera Günlük Analiz'!$B4,'Opera Enerji Veri'!BL:BL)</f>
        <v/>
      </c>
      <c r="Q4" s="217">
        <f>J4+K4+P4-M4</f>
        <v/>
      </c>
      <c r="R4" s="217">
        <f>F4-Q4-M4</f>
        <v/>
      </c>
      <c r="S4" s="217">
        <f>M4+R4</f>
        <v/>
      </c>
      <c r="T4" s="217">
        <f>IFERROR(Q4/G4,0)</f>
        <v/>
      </c>
      <c r="U4" s="218">
        <f>IF(G4=0,0,S4/G4)</f>
        <v/>
      </c>
      <c r="V4" s="225">
        <f>IFERROR(U4/H4,0)</f>
        <v/>
      </c>
      <c r="W4" s="27">
        <f>IFERROR(ABS(N4/G4),0)</f>
        <v/>
      </c>
      <c r="X4" s="109">
        <f>SUMIF('Opera Enerji Veri'!$C:$C, 'Opera Günlük Analiz'!$B4,'Opera Enerji Veri'!BU:BU)</f>
        <v/>
      </c>
      <c r="Y4" s="217">
        <f>SUMIF('Opera Enerji Veri'!$C:$C, 'Opera Günlük Analiz'!$B4,'Opera Enerji Veri'!BD:BD)</f>
        <v/>
      </c>
      <c r="Z4" s="217">
        <f>SUMIF('Opera Enerji Veri'!$C:$C, 'Opera Günlük Analiz'!$B4,'Opera Enerji Veri'!BW:BW)</f>
        <v/>
      </c>
      <c r="AA4" s="217">
        <f>SUMIF('Opera Enerji Veri'!$C:$C, 'Opera Günlük Analiz'!$B4,'Opera Enerji Veri'!BX:BX)</f>
        <v/>
      </c>
      <c r="AB4" s="217">
        <f>SUMIF('Opera Enerji Veri'!$C:$C, 'Opera Günlük Analiz'!$B4,'Opera Enerji Veri'!BY:BY)</f>
        <v/>
      </c>
      <c r="AC4" s="219">
        <f>SUMIF('Opera Enerji Veri'!$C:$C, 'Opera Günlük Analiz'!$B4,'Opera Enerji Veri'!CI:CI)</f>
        <v/>
      </c>
      <c r="AD4" s="219">
        <f>IFERROR(AC4/G4,0)</f>
        <v/>
      </c>
      <c r="AE4" s="217">
        <f>J4+K4+L4+AB4-Y4</f>
        <v/>
      </c>
      <c r="AF4" s="217">
        <f>F4-AE4-Y4</f>
        <v/>
      </c>
      <c r="AG4" s="217">
        <f>Y4+AF4</f>
        <v/>
      </c>
      <c r="AH4" s="217">
        <f>IFERROR(AE4/G4,0)</f>
        <v/>
      </c>
      <c r="AI4" s="218">
        <f>IF(G4=0,0,AG4/G4)</f>
        <v/>
      </c>
      <c r="AJ4" s="225">
        <f>IFERROR(AI4/H4,0)</f>
        <v/>
      </c>
      <c r="AK4" s="27">
        <f>IFERROR(ABS(Z4/G4),0)</f>
        <v/>
      </c>
      <c r="AL4" s="109">
        <f>SUMIF('Opera Enerji Veri'!$C:$C, 'Opera Günlük Analiz'!$B4,'Opera Enerji Veri'!CH:CH)</f>
        <v/>
      </c>
      <c r="AM4" s="217">
        <f>M4-Y4</f>
        <v/>
      </c>
      <c r="AN4" s="97">
        <f>IFERROR(AM4/M4,0)</f>
        <v/>
      </c>
      <c r="AO4" s="217">
        <f>S4-AG4</f>
        <v/>
      </c>
      <c r="AP4" s="97">
        <f>IFERROR(AO4/S4,0)</f>
        <v/>
      </c>
    </row>
    <row r="5">
      <c r="B5" s="17">
        <f>B4+1</f>
        <v/>
      </c>
      <c r="C5" s="217">
        <f>IFERROR(AVERAGEIF('Opera Enerji Veri'!C:C,'Opera Günlük Analiz'!B5,'Opera Enerji Veri'!F:F),0)</f>
        <v/>
      </c>
      <c r="D5" s="217">
        <f>IFERROR(AVERAGEIF('Opera Enerji Veri'!$C:$C,'Opera Günlük Analiz'!$B5,'Opera Enerji Veri'!G:G),0)</f>
        <v/>
      </c>
      <c r="E5" s="217">
        <f>IFERROR(AVERAGEIF('Opera Enerji Veri'!$C:$C,'Opera Günlük Analiz'!$B5,'Opera Enerji Veri'!H:H),0)</f>
        <v/>
      </c>
      <c r="F5" s="217">
        <f>SUMIF('Opera Enerji Veri'!$C:$C, 'Opera Günlük Analiz'!$B5,'Opera Enerji Veri'!BE:BE)</f>
        <v/>
      </c>
      <c r="G5" s="217">
        <f>SUMIF('Opera Enerji Veri'!$C:$C, 'Opera Günlük Analiz'!$B5,'Opera Enerji Veri'!AY:AY)</f>
        <v/>
      </c>
      <c r="H5" s="217">
        <f>IFERROR(F5/G5,0)</f>
        <v/>
      </c>
      <c r="I5" s="217">
        <f>SUMIF('Opera Enerji Veri'!$C:$C, 'Opera Günlük Analiz'!$B5,'Opera Enerji Veri'!J:J)</f>
        <v/>
      </c>
      <c r="J5" s="217">
        <f>SUMIF('Opera Enerji Veri'!$C:$C, 'Opera Günlük Analiz'!$B5,'Opera Enerji Veri'!BF:BF)</f>
        <v/>
      </c>
      <c r="K5" s="217">
        <f>SUMIF('Opera Enerji Veri'!$C:$C, 'Opera Günlük Analiz'!$B5,'Opera Enerji Veri'!BG:BG)</f>
        <v/>
      </c>
      <c r="L5" s="217">
        <f>SUMIF('Opera Enerji Veri'!$C:$C, 'Opera Günlük Analiz'!$B5,'Opera Enerji Veri'!BH:BH)</f>
        <v/>
      </c>
      <c r="M5" s="217">
        <f>SUMIF('Opera Enerji Veri'!$C:$C, 'Opera Günlük Analiz'!$B5,'Opera Enerji Veri'!BB:BB)</f>
        <v/>
      </c>
      <c r="N5" s="217">
        <f>SUMIF('Opera Enerji Veri'!$C:$C, 'Opera Günlük Analiz'!$B5,'Opera Enerji Veri'!BJ:BJ)</f>
        <v/>
      </c>
      <c r="O5" s="217">
        <f>SUMIF('Opera Enerji Veri'!$C:$C, 'Opera Günlük Analiz'!$B5,'Opera Enerji Veri'!BK:BK)</f>
        <v/>
      </c>
      <c r="P5" s="217">
        <f>SUMIF('Opera Enerji Veri'!$C:$C, 'Opera Günlük Analiz'!$B5,'Opera Enerji Veri'!BL:BL)</f>
        <v/>
      </c>
      <c r="Q5" s="217">
        <f>J5+K5+P5-M5</f>
        <v/>
      </c>
      <c r="R5" s="217">
        <f>F5-Q5-M5</f>
        <v/>
      </c>
      <c r="S5" s="217">
        <f>M5+R5</f>
        <v/>
      </c>
      <c r="T5" s="217">
        <f>IFERROR(Q5/G5,0)</f>
        <v/>
      </c>
      <c r="U5" s="218">
        <f>IF(G5=0,0,S5/G5)</f>
        <v/>
      </c>
      <c r="V5" s="225">
        <f>IFERROR(U5/H5,0)</f>
        <v/>
      </c>
      <c r="W5" s="27">
        <f>IFERROR(ABS(N5/G5),0)</f>
        <v/>
      </c>
      <c r="X5" s="109">
        <f>SUMIF('Opera Enerji Veri'!$C:$C, 'Opera Günlük Analiz'!$B5,'Opera Enerji Veri'!BU:BU)</f>
        <v/>
      </c>
      <c r="Y5" s="217">
        <f>SUMIF('Opera Enerji Veri'!$C:$C, 'Opera Günlük Analiz'!$B5,'Opera Enerji Veri'!BD:BD)</f>
        <v/>
      </c>
      <c r="Z5" s="217">
        <f>SUMIF('Opera Enerji Veri'!$C:$C, 'Opera Günlük Analiz'!$B5,'Opera Enerji Veri'!BW:BW)</f>
        <v/>
      </c>
      <c r="AA5" s="217">
        <f>SUMIF('Opera Enerji Veri'!$C:$C, 'Opera Günlük Analiz'!$B5,'Opera Enerji Veri'!BX:BX)</f>
        <v/>
      </c>
      <c r="AB5" s="217">
        <f>SUMIF('Opera Enerji Veri'!$C:$C, 'Opera Günlük Analiz'!$B5,'Opera Enerji Veri'!BY:BY)</f>
        <v/>
      </c>
      <c r="AC5" s="219">
        <f>SUMIF('Opera Enerji Veri'!$C:$C, 'Opera Günlük Analiz'!$B5,'Opera Enerji Veri'!CI:CI)</f>
        <v/>
      </c>
      <c r="AD5" s="219">
        <f>IFERROR(AC5/G5,0)</f>
        <v/>
      </c>
      <c r="AE5" s="217">
        <f>J5+K5+L5+AB5-Y5</f>
        <v/>
      </c>
      <c r="AF5" s="217">
        <f>F5-AE5-Y5</f>
        <v/>
      </c>
      <c r="AG5" s="217">
        <f>Y5+AF5</f>
        <v/>
      </c>
      <c r="AH5" s="217">
        <f>IFERROR(AE5/G5,0)</f>
        <v/>
      </c>
      <c r="AI5" s="218">
        <f>IF(G5=0,0,AG5/G5)</f>
        <v/>
      </c>
      <c r="AJ5" s="225">
        <f>IFERROR(AI5/H5,0)</f>
        <v/>
      </c>
      <c r="AK5" s="27">
        <f>IFERROR(ABS(Z5/G5),0)</f>
        <v/>
      </c>
      <c r="AL5" s="109">
        <f>SUMIF('Opera Enerji Veri'!$C:$C, 'Opera Günlük Analiz'!$B5,'Opera Enerji Veri'!CH:CH)</f>
        <v/>
      </c>
      <c r="AM5" s="217">
        <f>M5-Y5</f>
        <v/>
      </c>
      <c r="AN5" s="97">
        <f>IFERROR(AM5/M5,0)</f>
        <v/>
      </c>
      <c r="AO5" s="217">
        <f>S5-AG5</f>
        <v/>
      </c>
      <c r="AP5" s="97">
        <f>IFERROR(AO5/S5,0)</f>
        <v/>
      </c>
    </row>
    <row r="6">
      <c r="B6" s="17">
        <f>B5+1</f>
        <v/>
      </c>
      <c r="C6" s="217">
        <f>IFERROR(AVERAGEIF('Opera Enerji Veri'!C:C,'Opera Günlük Analiz'!B6,'Opera Enerji Veri'!F:F),0)</f>
        <v/>
      </c>
      <c r="D6" s="217">
        <f>IFERROR(AVERAGEIF('Opera Enerji Veri'!$C:$C,'Opera Günlük Analiz'!$B6,'Opera Enerji Veri'!G:G),0)</f>
        <v/>
      </c>
      <c r="E6" s="217">
        <f>IFERROR(AVERAGEIF('Opera Enerji Veri'!$C:$C,'Opera Günlük Analiz'!$B6,'Opera Enerji Veri'!H:H),0)</f>
        <v/>
      </c>
      <c r="F6" s="217">
        <f>SUMIF('Opera Enerji Veri'!$C:$C, 'Opera Günlük Analiz'!$B6,'Opera Enerji Veri'!BE:BE)</f>
        <v/>
      </c>
      <c r="G6" s="217">
        <f>SUMIF('Opera Enerji Veri'!$C:$C, 'Opera Günlük Analiz'!$B6,'Opera Enerji Veri'!AY:AY)</f>
        <v/>
      </c>
      <c r="H6" s="217">
        <f>IFERROR(F6/G6,0)</f>
        <v/>
      </c>
      <c r="I6" s="217">
        <f>SUMIF('Opera Enerji Veri'!$C:$C, 'Opera Günlük Analiz'!$B6,'Opera Enerji Veri'!J:J)</f>
        <v/>
      </c>
      <c r="J6" s="217">
        <f>SUMIF('Opera Enerji Veri'!$C:$C, 'Opera Günlük Analiz'!$B6,'Opera Enerji Veri'!BF:BF)</f>
        <v/>
      </c>
      <c r="K6" s="217">
        <f>SUMIF('Opera Enerji Veri'!$C:$C, 'Opera Günlük Analiz'!$B6,'Opera Enerji Veri'!BG:BG)</f>
        <v/>
      </c>
      <c r="L6" s="217">
        <f>SUMIF('Opera Enerji Veri'!$C:$C, 'Opera Günlük Analiz'!$B6,'Opera Enerji Veri'!BH:BH)</f>
        <v/>
      </c>
      <c r="M6" s="217">
        <f>SUMIF('Opera Enerji Veri'!$C:$C, 'Opera Günlük Analiz'!$B6,'Opera Enerji Veri'!BB:BB)</f>
        <v/>
      </c>
      <c r="N6" s="217">
        <f>SUMIF('Opera Enerji Veri'!$C:$C, 'Opera Günlük Analiz'!$B6,'Opera Enerji Veri'!BJ:BJ)</f>
        <v/>
      </c>
      <c r="O6" s="217">
        <f>SUMIF('Opera Enerji Veri'!$C:$C, 'Opera Günlük Analiz'!$B6,'Opera Enerji Veri'!BK:BK)</f>
        <v/>
      </c>
      <c r="P6" s="217">
        <f>SUMIF('Opera Enerji Veri'!$C:$C, 'Opera Günlük Analiz'!$B6,'Opera Enerji Veri'!BL:BL)</f>
        <v/>
      </c>
      <c r="Q6" s="217">
        <f>J6+K6+P6-M6</f>
        <v/>
      </c>
      <c r="R6" s="217">
        <f>F6-Q6-M6</f>
        <v/>
      </c>
      <c r="S6" s="217">
        <f>M6+R6</f>
        <v/>
      </c>
      <c r="T6" s="217">
        <f>IFERROR(Q6/G6,0)</f>
        <v/>
      </c>
      <c r="U6" s="218">
        <f>IF(G6=0,0,S6/G6)</f>
        <v/>
      </c>
      <c r="V6" s="225">
        <f>IFERROR(U6/H6,0)</f>
        <v/>
      </c>
      <c r="W6" s="27">
        <f>IFERROR(ABS(N6/G6),0)</f>
        <v/>
      </c>
      <c r="X6" s="109">
        <f>SUMIF('Opera Enerji Veri'!$C:$C, 'Opera Günlük Analiz'!$B6,'Opera Enerji Veri'!BU:BU)</f>
        <v/>
      </c>
      <c r="Y6" s="217">
        <f>SUMIF('Opera Enerji Veri'!$C:$C, 'Opera Günlük Analiz'!$B6,'Opera Enerji Veri'!BD:BD)</f>
        <v/>
      </c>
      <c r="Z6" s="217">
        <f>SUMIF('Opera Enerji Veri'!$C:$C, 'Opera Günlük Analiz'!$B6,'Opera Enerji Veri'!BW:BW)</f>
        <v/>
      </c>
      <c r="AA6" s="217">
        <f>SUMIF('Opera Enerji Veri'!$C:$C, 'Opera Günlük Analiz'!$B6,'Opera Enerji Veri'!BX:BX)</f>
        <v/>
      </c>
      <c r="AB6" s="217">
        <f>SUMIF('Opera Enerji Veri'!$C:$C, 'Opera Günlük Analiz'!$B6,'Opera Enerji Veri'!BY:BY)</f>
        <v/>
      </c>
      <c r="AC6" s="219">
        <f>SUMIF('Opera Enerji Veri'!$C:$C, 'Opera Günlük Analiz'!$B6,'Opera Enerji Veri'!CI:CI)</f>
        <v/>
      </c>
      <c r="AD6" s="219">
        <f>IFERROR(AC6/G6,0)</f>
        <v/>
      </c>
      <c r="AE6" s="217">
        <f>J6+K6+L6+AB6-Y6</f>
        <v/>
      </c>
      <c r="AF6" s="217">
        <f>F6-AE6-Y6</f>
        <v/>
      </c>
      <c r="AG6" s="217">
        <f>Y6+AF6</f>
        <v/>
      </c>
      <c r="AH6" s="217">
        <f>IFERROR(AE6/G6,0)</f>
        <v/>
      </c>
      <c r="AI6" s="218">
        <f>IF(G6=0,0,AG6/G6)</f>
        <v/>
      </c>
      <c r="AJ6" s="225">
        <f>IFERROR(AI6/H6,0)</f>
        <v/>
      </c>
      <c r="AK6" s="27">
        <f>IFERROR(ABS(Z6/G6),0)</f>
        <v/>
      </c>
      <c r="AL6" s="109">
        <f>SUMIF('Opera Enerji Veri'!$C:$C, 'Opera Günlük Analiz'!$B6,'Opera Enerji Veri'!CH:CH)</f>
        <v/>
      </c>
      <c r="AM6" s="217">
        <f>M6-Y6</f>
        <v/>
      </c>
      <c r="AN6" s="97">
        <f>IFERROR(AM6/M6,0)</f>
        <v/>
      </c>
      <c r="AO6" s="217">
        <f>S6-AG6</f>
        <v/>
      </c>
      <c r="AP6" s="97">
        <f>IFERROR(AO6/S6,0)</f>
        <v/>
      </c>
    </row>
    <row r="7">
      <c r="B7" s="17">
        <f>B6+1</f>
        <v/>
      </c>
      <c r="C7" s="217">
        <f>IFERROR(AVERAGEIF('Opera Enerji Veri'!C:C,'Opera Günlük Analiz'!B7,'Opera Enerji Veri'!F:F),0)</f>
        <v/>
      </c>
      <c r="D7" s="217">
        <f>IFERROR(AVERAGEIF('Opera Enerji Veri'!$C:$C,'Opera Günlük Analiz'!$B7,'Opera Enerji Veri'!G:G),0)</f>
        <v/>
      </c>
      <c r="E7" s="217">
        <f>IFERROR(AVERAGEIF('Opera Enerji Veri'!$C:$C,'Opera Günlük Analiz'!$B7,'Opera Enerji Veri'!H:H),0)</f>
        <v/>
      </c>
      <c r="F7" s="217">
        <f>SUMIF('Opera Enerji Veri'!$C:$C, 'Opera Günlük Analiz'!$B7,'Opera Enerji Veri'!BE:BE)</f>
        <v/>
      </c>
      <c r="G7" s="217">
        <f>SUMIF('Opera Enerji Veri'!$C:$C, 'Opera Günlük Analiz'!$B7,'Opera Enerji Veri'!AY:AY)</f>
        <v/>
      </c>
      <c r="H7" s="217">
        <f>IFERROR(F7/G7,0)</f>
        <v/>
      </c>
      <c r="I7" s="217">
        <f>SUMIF('Opera Enerji Veri'!$C:$C, 'Opera Günlük Analiz'!$B7,'Opera Enerji Veri'!J:J)</f>
        <v/>
      </c>
      <c r="J7" s="217">
        <f>SUMIF('Opera Enerji Veri'!$C:$C, 'Opera Günlük Analiz'!$B7,'Opera Enerji Veri'!BF:BF)</f>
        <v/>
      </c>
      <c r="K7" s="217">
        <f>SUMIF('Opera Enerji Veri'!$C:$C, 'Opera Günlük Analiz'!$B7,'Opera Enerji Veri'!BG:BG)</f>
        <v/>
      </c>
      <c r="L7" s="217">
        <f>SUMIF('Opera Enerji Veri'!$C:$C, 'Opera Günlük Analiz'!$B7,'Opera Enerji Veri'!BH:BH)</f>
        <v/>
      </c>
      <c r="M7" s="217">
        <f>SUMIF('Opera Enerji Veri'!$C:$C, 'Opera Günlük Analiz'!$B7,'Opera Enerji Veri'!BB:BB)</f>
        <v/>
      </c>
      <c r="N7" s="217">
        <f>SUMIF('Opera Enerji Veri'!$C:$C, 'Opera Günlük Analiz'!$B7,'Opera Enerji Veri'!BJ:BJ)</f>
        <v/>
      </c>
      <c r="O7" s="217">
        <f>SUMIF('Opera Enerji Veri'!$C:$C, 'Opera Günlük Analiz'!$B7,'Opera Enerji Veri'!BK:BK)</f>
        <v/>
      </c>
      <c r="P7" s="217">
        <f>SUMIF('Opera Enerji Veri'!$C:$C, 'Opera Günlük Analiz'!$B7,'Opera Enerji Veri'!BL:BL)</f>
        <v/>
      </c>
      <c r="Q7" s="217">
        <f>J7+K7+P7-M7</f>
        <v/>
      </c>
      <c r="R7" s="217">
        <f>F7-Q7-M7</f>
        <v/>
      </c>
      <c r="S7" s="217">
        <f>M7+R7</f>
        <v/>
      </c>
      <c r="T7" s="217">
        <f>IFERROR(Q7/G7,0)</f>
        <v/>
      </c>
      <c r="U7" s="218">
        <f>IF(G7=0,0,S7/G7)</f>
        <v/>
      </c>
      <c r="V7" s="225">
        <f>IFERROR(U7/H7,0)</f>
        <v/>
      </c>
      <c r="W7" s="27">
        <f>IFERROR(ABS(N7/G7),0)</f>
        <v/>
      </c>
      <c r="X7" s="109">
        <f>SUMIF('Opera Enerji Veri'!$C:$C, 'Opera Günlük Analiz'!$B7,'Opera Enerji Veri'!BU:BU)</f>
        <v/>
      </c>
      <c r="Y7" s="217">
        <f>SUMIF('Opera Enerji Veri'!$C:$C, 'Opera Günlük Analiz'!$B7,'Opera Enerji Veri'!BD:BD)</f>
        <v/>
      </c>
      <c r="Z7" s="217">
        <f>SUMIF('Opera Enerji Veri'!$C:$C, 'Opera Günlük Analiz'!$B7,'Opera Enerji Veri'!BW:BW)</f>
        <v/>
      </c>
      <c r="AA7" s="217">
        <f>SUMIF('Opera Enerji Veri'!$C:$C, 'Opera Günlük Analiz'!$B7,'Opera Enerji Veri'!BX:BX)</f>
        <v/>
      </c>
      <c r="AB7" s="217">
        <f>SUMIF('Opera Enerji Veri'!$C:$C, 'Opera Günlük Analiz'!$B7,'Opera Enerji Veri'!BY:BY)</f>
        <v/>
      </c>
      <c r="AC7" s="219">
        <f>SUMIF('Opera Enerji Veri'!$C:$C, 'Opera Günlük Analiz'!$B7,'Opera Enerji Veri'!CI:CI)</f>
        <v/>
      </c>
      <c r="AD7" s="219">
        <f>IFERROR(AC7/G7,0)</f>
        <v/>
      </c>
      <c r="AE7" s="217">
        <f>J7+K7+L7+AB7-Y7</f>
        <v/>
      </c>
      <c r="AF7" s="217">
        <f>F7-AE7-Y7</f>
        <v/>
      </c>
      <c r="AG7" s="217">
        <f>Y7+AF7</f>
        <v/>
      </c>
      <c r="AH7" s="217">
        <f>IFERROR(AE7/G7,0)</f>
        <v/>
      </c>
      <c r="AI7" s="218">
        <f>IF(G7=0,0,AG7/G7)</f>
        <v/>
      </c>
      <c r="AJ7" s="225">
        <f>IFERROR(AI7/H7,0)</f>
        <v/>
      </c>
      <c r="AK7" s="27">
        <f>IFERROR(ABS(Z7/G7),0)</f>
        <v/>
      </c>
      <c r="AL7" s="109">
        <f>SUMIF('Opera Enerji Veri'!$C:$C, 'Opera Günlük Analiz'!$B7,'Opera Enerji Veri'!CH:CH)</f>
        <v/>
      </c>
      <c r="AM7" s="217">
        <f>M7-Y7</f>
        <v/>
      </c>
      <c r="AN7" s="97">
        <f>IFERROR(AM7/M7,0)</f>
        <v/>
      </c>
      <c r="AO7" s="217">
        <f>S7-AG7</f>
        <v/>
      </c>
      <c r="AP7" s="97">
        <f>IFERROR(AO7/S7,0)</f>
        <v/>
      </c>
    </row>
    <row r="8">
      <c r="B8" s="17">
        <f>B7+1</f>
        <v/>
      </c>
      <c r="C8" s="217">
        <f>IFERROR(AVERAGEIF('Opera Enerji Veri'!C:C,'Opera Günlük Analiz'!B8,'Opera Enerji Veri'!F:F),0)</f>
        <v/>
      </c>
      <c r="D8" s="217">
        <f>IFERROR(AVERAGEIF('Opera Enerji Veri'!$C:$C,'Opera Günlük Analiz'!$B8,'Opera Enerji Veri'!G:G),0)</f>
        <v/>
      </c>
      <c r="E8" s="217">
        <f>IFERROR(AVERAGEIF('Opera Enerji Veri'!$C:$C,'Opera Günlük Analiz'!$B8,'Opera Enerji Veri'!H:H),0)</f>
        <v/>
      </c>
      <c r="F8" s="217">
        <f>SUMIF('Opera Enerji Veri'!$C:$C, 'Opera Günlük Analiz'!$B8,'Opera Enerji Veri'!BE:BE)</f>
        <v/>
      </c>
      <c r="G8" s="217">
        <f>SUMIF('Opera Enerji Veri'!$C:$C, 'Opera Günlük Analiz'!$B8,'Opera Enerji Veri'!AY:AY)</f>
        <v/>
      </c>
      <c r="H8" s="217">
        <f>IFERROR(F8/G8,0)</f>
        <v/>
      </c>
      <c r="I8" s="217">
        <f>SUMIF('Opera Enerji Veri'!$C:$C, 'Opera Günlük Analiz'!$B8,'Opera Enerji Veri'!J:J)</f>
        <v/>
      </c>
      <c r="J8" s="217">
        <f>SUMIF('Opera Enerji Veri'!$C:$C, 'Opera Günlük Analiz'!$B8,'Opera Enerji Veri'!BF:BF)</f>
        <v/>
      </c>
      <c r="K8" s="217">
        <f>SUMIF('Opera Enerji Veri'!$C:$C, 'Opera Günlük Analiz'!$B8,'Opera Enerji Veri'!BG:BG)</f>
        <v/>
      </c>
      <c r="L8" s="217">
        <f>SUMIF('Opera Enerji Veri'!$C:$C, 'Opera Günlük Analiz'!$B8,'Opera Enerji Veri'!BH:BH)</f>
        <v/>
      </c>
      <c r="M8" s="217">
        <f>SUMIF('Opera Enerji Veri'!$C:$C, 'Opera Günlük Analiz'!$B8,'Opera Enerji Veri'!BB:BB)</f>
        <v/>
      </c>
      <c r="N8" s="217">
        <f>SUMIF('Opera Enerji Veri'!$C:$C, 'Opera Günlük Analiz'!$B8,'Opera Enerji Veri'!BJ:BJ)</f>
        <v/>
      </c>
      <c r="O8" s="217">
        <f>SUMIF('Opera Enerji Veri'!$C:$C, 'Opera Günlük Analiz'!$B8,'Opera Enerji Veri'!BK:BK)</f>
        <v/>
      </c>
      <c r="P8" s="217">
        <f>SUMIF('Opera Enerji Veri'!$C:$C, 'Opera Günlük Analiz'!$B8,'Opera Enerji Veri'!BL:BL)</f>
        <v/>
      </c>
      <c r="Q8" s="217">
        <f>J8+K8+P8-M8</f>
        <v/>
      </c>
      <c r="R8" s="217">
        <f>F8-Q8-M8</f>
        <v/>
      </c>
      <c r="S8" s="217">
        <f>M8+R8</f>
        <v/>
      </c>
      <c r="T8" s="217">
        <f>IFERROR(Q8/G8,0)</f>
        <v/>
      </c>
      <c r="U8" s="218">
        <f>IF(G8=0,0,S8/G8)</f>
        <v/>
      </c>
      <c r="V8" s="225">
        <f>IFERROR(U8/H8,0)</f>
        <v/>
      </c>
      <c r="W8" s="27">
        <f>IFERROR(ABS(N8/G8),0)</f>
        <v/>
      </c>
      <c r="X8" s="109">
        <f>SUMIF('Opera Enerji Veri'!$C:$C, 'Opera Günlük Analiz'!$B8,'Opera Enerji Veri'!BU:BU)</f>
        <v/>
      </c>
      <c r="Y8" s="217">
        <f>SUMIF('Opera Enerji Veri'!$C:$C, 'Opera Günlük Analiz'!$B8,'Opera Enerji Veri'!BD:BD)</f>
        <v/>
      </c>
      <c r="Z8" s="217">
        <f>SUMIF('Opera Enerji Veri'!$C:$C, 'Opera Günlük Analiz'!$B8,'Opera Enerji Veri'!BW:BW)</f>
        <v/>
      </c>
      <c r="AA8" s="217">
        <f>SUMIF('Opera Enerji Veri'!$C:$C, 'Opera Günlük Analiz'!$B8,'Opera Enerji Veri'!BX:BX)</f>
        <v/>
      </c>
      <c r="AB8" s="217">
        <f>SUMIF('Opera Enerji Veri'!$C:$C, 'Opera Günlük Analiz'!$B8,'Opera Enerji Veri'!BY:BY)</f>
        <v/>
      </c>
      <c r="AC8" s="219">
        <f>SUMIF('Opera Enerji Veri'!$C:$C, 'Opera Günlük Analiz'!$B8,'Opera Enerji Veri'!CI:CI)</f>
        <v/>
      </c>
      <c r="AD8" s="219">
        <f>IFERROR(AC8/G8,0)</f>
        <v/>
      </c>
      <c r="AE8" s="217">
        <f>J8+K8+L8+AB8-Y8</f>
        <v/>
      </c>
      <c r="AF8" s="217">
        <f>F8-AE8-Y8</f>
        <v/>
      </c>
      <c r="AG8" s="217">
        <f>Y8+AF8</f>
        <v/>
      </c>
      <c r="AH8" s="217">
        <f>IFERROR(AE8/G8,0)</f>
        <v/>
      </c>
      <c r="AI8" s="218">
        <f>IF(G8=0,0,AG8/G8)</f>
        <v/>
      </c>
      <c r="AJ8" s="225">
        <f>IFERROR(AI8/H8,0)</f>
        <v/>
      </c>
      <c r="AK8" s="27">
        <f>IFERROR(ABS(Z8/G8),0)</f>
        <v/>
      </c>
      <c r="AL8" s="109">
        <f>SUMIF('Opera Enerji Veri'!$C:$C, 'Opera Günlük Analiz'!$B8,'Opera Enerji Veri'!CH:CH)</f>
        <v/>
      </c>
      <c r="AM8" s="217">
        <f>M8-Y8</f>
        <v/>
      </c>
      <c r="AN8" s="97">
        <f>IFERROR(AM8/M8,0)</f>
        <v/>
      </c>
      <c r="AO8" s="217">
        <f>S8-AG8</f>
        <v/>
      </c>
      <c r="AP8" s="97">
        <f>IFERROR(AO8/S8,0)</f>
        <v/>
      </c>
    </row>
    <row r="9">
      <c r="B9" s="17">
        <f>B8+1</f>
        <v/>
      </c>
      <c r="C9" s="217">
        <f>IFERROR(AVERAGEIF('Opera Enerji Veri'!C:C,'Opera Günlük Analiz'!B9,'Opera Enerji Veri'!F:F),0)</f>
        <v/>
      </c>
      <c r="D9" s="217">
        <f>IFERROR(AVERAGEIF('Opera Enerji Veri'!$C:$C,'Opera Günlük Analiz'!$B9,'Opera Enerji Veri'!G:G),0)</f>
        <v/>
      </c>
      <c r="E9" s="217">
        <f>IFERROR(AVERAGEIF('Opera Enerji Veri'!$C:$C,'Opera Günlük Analiz'!$B9,'Opera Enerji Veri'!H:H),0)</f>
        <v/>
      </c>
      <c r="F9" s="217">
        <f>SUMIF('Opera Enerji Veri'!$C:$C, 'Opera Günlük Analiz'!$B9,'Opera Enerji Veri'!BE:BE)</f>
        <v/>
      </c>
      <c r="G9" s="217">
        <f>SUMIF('Opera Enerji Veri'!$C:$C, 'Opera Günlük Analiz'!$B9,'Opera Enerji Veri'!AY:AY)</f>
        <v/>
      </c>
      <c r="H9" s="217">
        <f>IFERROR(F9/G9,0)</f>
        <v/>
      </c>
      <c r="I9" s="217">
        <f>SUMIF('Opera Enerji Veri'!$C:$C, 'Opera Günlük Analiz'!$B9,'Opera Enerji Veri'!J:J)</f>
        <v/>
      </c>
      <c r="J9" s="217">
        <f>SUMIF('Opera Enerji Veri'!$C:$C, 'Opera Günlük Analiz'!$B9,'Opera Enerji Veri'!BF:BF)</f>
        <v/>
      </c>
      <c r="K9" s="217">
        <f>SUMIF('Opera Enerji Veri'!$C:$C, 'Opera Günlük Analiz'!$B9,'Opera Enerji Veri'!BG:BG)</f>
        <v/>
      </c>
      <c r="L9" s="217">
        <f>SUMIF('Opera Enerji Veri'!$C:$C, 'Opera Günlük Analiz'!$B9,'Opera Enerji Veri'!BH:BH)</f>
        <v/>
      </c>
      <c r="M9" s="217">
        <f>SUMIF('Opera Enerji Veri'!$C:$C, 'Opera Günlük Analiz'!$B9,'Opera Enerji Veri'!BB:BB)</f>
        <v/>
      </c>
      <c r="N9" s="217">
        <f>SUMIF('Opera Enerji Veri'!$C:$C, 'Opera Günlük Analiz'!$B9,'Opera Enerji Veri'!BJ:BJ)</f>
        <v/>
      </c>
      <c r="O9" s="217">
        <f>SUMIF('Opera Enerji Veri'!$C:$C, 'Opera Günlük Analiz'!$B9,'Opera Enerji Veri'!BK:BK)</f>
        <v/>
      </c>
      <c r="P9" s="217">
        <f>SUMIF('Opera Enerji Veri'!$C:$C, 'Opera Günlük Analiz'!$B9,'Opera Enerji Veri'!BL:BL)</f>
        <v/>
      </c>
      <c r="Q9" s="217">
        <f>J9+K9+P9-M9</f>
        <v/>
      </c>
      <c r="R9" s="217">
        <f>F9-Q9-M9</f>
        <v/>
      </c>
      <c r="S9" s="217">
        <f>M9+R9</f>
        <v/>
      </c>
      <c r="T9" s="217">
        <f>IFERROR(Q9/G9,0)</f>
        <v/>
      </c>
      <c r="U9" s="218">
        <f>IF(G9=0,0,S9/G9)</f>
        <v/>
      </c>
      <c r="V9" s="225">
        <f>IFERROR(U9/H9,0)</f>
        <v/>
      </c>
      <c r="W9" s="27">
        <f>IFERROR(ABS(N9/G9),0)</f>
        <v/>
      </c>
      <c r="X9" s="109">
        <f>SUMIF('Opera Enerji Veri'!$C:$C, 'Opera Günlük Analiz'!$B9,'Opera Enerji Veri'!BU:BU)</f>
        <v/>
      </c>
      <c r="Y9" s="217">
        <f>SUMIF('Opera Enerji Veri'!$C:$C, 'Opera Günlük Analiz'!$B9,'Opera Enerji Veri'!BD:BD)</f>
        <v/>
      </c>
      <c r="Z9" s="217">
        <f>SUMIF('Opera Enerji Veri'!$C:$C, 'Opera Günlük Analiz'!$B9,'Opera Enerji Veri'!BW:BW)</f>
        <v/>
      </c>
      <c r="AA9" s="217">
        <f>SUMIF('Opera Enerji Veri'!$C:$C, 'Opera Günlük Analiz'!$B9,'Opera Enerji Veri'!BX:BX)</f>
        <v/>
      </c>
      <c r="AB9" s="217">
        <f>SUMIF('Opera Enerji Veri'!$C:$C, 'Opera Günlük Analiz'!$B9,'Opera Enerji Veri'!BY:BY)</f>
        <v/>
      </c>
      <c r="AC9" s="219">
        <f>SUMIF('Opera Enerji Veri'!$C:$C, 'Opera Günlük Analiz'!$B9,'Opera Enerji Veri'!CI:CI)</f>
        <v/>
      </c>
      <c r="AD9" s="219">
        <f>IFERROR(AC9/G9,0)</f>
        <v/>
      </c>
      <c r="AE9" s="217">
        <f>J9+K9+L9+AB9-Y9</f>
        <v/>
      </c>
      <c r="AF9" s="217">
        <f>F9-AE9-Y9</f>
        <v/>
      </c>
      <c r="AG9" s="217">
        <f>Y9+AF9</f>
        <v/>
      </c>
      <c r="AH9" s="217">
        <f>IFERROR(AE9/G9,0)</f>
        <v/>
      </c>
      <c r="AI9" s="218">
        <f>IF(G9=0,0,AG9/G9)</f>
        <v/>
      </c>
      <c r="AJ9" s="225">
        <f>IFERROR(AI9/H9,0)</f>
        <v/>
      </c>
      <c r="AK9" s="27">
        <f>IFERROR(ABS(Z9/G9),0)</f>
        <v/>
      </c>
      <c r="AL9" s="109">
        <f>SUMIF('Opera Enerji Veri'!$C:$C, 'Opera Günlük Analiz'!$B9,'Opera Enerji Veri'!CH:CH)</f>
        <v/>
      </c>
      <c r="AM9" s="217">
        <f>M9-Y9</f>
        <v/>
      </c>
      <c r="AN9" s="97">
        <f>IFERROR(AM9/M9,0)</f>
        <v/>
      </c>
      <c r="AO9" s="217">
        <f>S9-AG9</f>
        <v/>
      </c>
      <c r="AP9" s="97">
        <f>IFERROR(AO9/S9,0)</f>
        <v/>
      </c>
    </row>
    <row r="10">
      <c r="B10" s="17">
        <f>B9+1</f>
        <v/>
      </c>
      <c r="C10" s="217">
        <f>IFERROR(AVERAGEIF('Opera Enerji Veri'!C:C,'Opera Günlük Analiz'!B10,'Opera Enerji Veri'!F:F),0)</f>
        <v/>
      </c>
      <c r="D10" s="217">
        <f>IFERROR(AVERAGEIF('Opera Enerji Veri'!$C:$C,'Opera Günlük Analiz'!$B10,'Opera Enerji Veri'!G:G),0)</f>
        <v/>
      </c>
      <c r="E10" s="217">
        <f>IFERROR(AVERAGEIF('Opera Enerji Veri'!$C:$C,'Opera Günlük Analiz'!$B10,'Opera Enerji Veri'!H:H),0)</f>
        <v/>
      </c>
      <c r="F10" s="217">
        <f>SUMIF('Opera Enerji Veri'!$C:$C, 'Opera Günlük Analiz'!$B10,'Opera Enerji Veri'!BE:BE)</f>
        <v/>
      </c>
      <c r="G10" s="217">
        <f>SUMIF('Opera Enerji Veri'!$C:$C, 'Opera Günlük Analiz'!$B10,'Opera Enerji Veri'!AY:AY)</f>
        <v/>
      </c>
      <c r="H10" s="217">
        <f>IFERROR(F10/G10,0)</f>
        <v/>
      </c>
      <c r="I10" s="217">
        <f>SUMIF('Opera Enerji Veri'!$C:$C, 'Opera Günlük Analiz'!$B10,'Opera Enerji Veri'!J:J)</f>
        <v/>
      </c>
      <c r="J10" s="217">
        <f>SUMIF('Opera Enerji Veri'!$C:$C, 'Opera Günlük Analiz'!$B10,'Opera Enerji Veri'!BF:BF)</f>
        <v/>
      </c>
      <c r="K10" s="217">
        <f>SUMIF('Opera Enerji Veri'!$C:$C, 'Opera Günlük Analiz'!$B10,'Opera Enerji Veri'!BG:BG)</f>
        <v/>
      </c>
      <c r="L10" s="217">
        <f>SUMIF('Opera Enerji Veri'!$C:$C, 'Opera Günlük Analiz'!$B10,'Opera Enerji Veri'!BH:BH)</f>
        <v/>
      </c>
      <c r="M10" s="217">
        <f>SUMIF('Opera Enerji Veri'!$C:$C, 'Opera Günlük Analiz'!$B10,'Opera Enerji Veri'!BB:BB)</f>
        <v/>
      </c>
      <c r="N10" s="217">
        <f>SUMIF('Opera Enerji Veri'!$C:$C, 'Opera Günlük Analiz'!$B10,'Opera Enerji Veri'!BJ:BJ)</f>
        <v/>
      </c>
      <c r="O10" s="217">
        <f>SUMIF('Opera Enerji Veri'!$C:$C, 'Opera Günlük Analiz'!$B10,'Opera Enerji Veri'!BK:BK)</f>
        <v/>
      </c>
      <c r="P10" s="217">
        <f>SUMIF('Opera Enerji Veri'!$C:$C, 'Opera Günlük Analiz'!$B10,'Opera Enerji Veri'!BL:BL)</f>
        <v/>
      </c>
      <c r="Q10" s="217">
        <f>J10+K10+P10-M10</f>
        <v/>
      </c>
      <c r="R10" s="217">
        <f>F10-Q10-M10</f>
        <v/>
      </c>
      <c r="S10" s="217">
        <f>M10+R10</f>
        <v/>
      </c>
      <c r="T10" s="217">
        <f>IFERROR(Q10/G10,0)</f>
        <v/>
      </c>
      <c r="U10" s="218">
        <f>IF(G10=0,0,S10/G10)</f>
        <v/>
      </c>
      <c r="V10" s="225">
        <f>IFERROR(U10/H10,0)</f>
        <v/>
      </c>
      <c r="W10" s="27">
        <f>IFERROR(ABS(N10/G10),0)</f>
        <v/>
      </c>
      <c r="X10" s="109">
        <f>SUMIF('Opera Enerji Veri'!$C:$C, 'Opera Günlük Analiz'!$B10,'Opera Enerji Veri'!BU:BU)</f>
        <v/>
      </c>
      <c r="Y10" s="217">
        <f>SUMIF('Opera Enerji Veri'!$C:$C, 'Opera Günlük Analiz'!$B10,'Opera Enerji Veri'!BD:BD)</f>
        <v/>
      </c>
      <c r="Z10" s="217">
        <f>SUMIF('Opera Enerji Veri'!$C:$C, 'Opera Günlük Analiz'!$B10,'Opera Enerji Veri'!BW:BW)</f>
        <v/>
      </c>
      <c r="AA10" s="217">
        <f>SUMIF('Opera Enerji Veri'!$C:$C, 'Opera Günlük Analiz'!$B10,'Opera Enerji Veri'!BX:BX)</f>
        <v/>
      </c>
      <c r="AB10" s="217">
        <f>SUMIF('Opera Enerji Veri'!$C:$C, 'Opera Günlük Analiz'!$B10,'Opera Enerji Veri'!BY:BY)</f>
        <v/>
      </c>
      <c r="AC10" s="219">
        <f>SUMIF('Opera Enerji Veri'!$C:$C, 'Opera Günlük Analiz'!$B10,'Opera Enerji Veri'!CI:CI)</f>
        <v/>
      </c>
      <c r="AD10" s="219">
        <f>IFERROR(AC10/G10,0)</f>
        <v/>
      </c>
      <c r="AE10" s="217">
        <f>J10+K10+L10+AB10-Y10</f>
        <v/>
      </c>
      <c r="AF10" s="217">
        <f>F10-AE10-Y10</f>
        <v/>
      </c>
      <c r="AG10" s="217">
        <f>Y10+AF10</f>
        <v/>
      </c>
      <c r="AH10" s="217">
        <f>IFERROR(AE10/G10,0)</f>
        <v/>
      </c>
      <c r="AI10" s="218">
        <f>IF(G10=0,0,AG10/G10)</f>
        <v/>
      </c>
      <c r="AJ10" s="225">
        <f>IFERROR(AI10/H10,0)</f>
        <v/>
      </c>
      <c r="AK10" s="27">
        <f>IFERROR(ABS(Z10/G10),0)</f>
        <v/>
      </c>
      <c r="AL10" s="109">
        <f>SUMIF('Opera Enerji Veri'!$C:$C, 'Opera Günlük Analiz'!$B10,'Opera Enerji Veri'!CH:CH)</f>
        <v/>
      </c>
      <c r="AM10" s="217">
        <f>M10-Y10</f>
        <v/>
      </c>
      <c r="AN10" s="97">
        <f>IFERROR(AM10/M10,0)</f>
        <v/>
      </c>
      <c r="AO10" s="217">
        <f>S10-AG10</f>
        <v/>
      </c>
      <c r="AP10" s="97">
        <f>IFERROR(AO10/S10,0)</f>
        <v/>
      </c>
    </row>
    <row r="11">
      <c r="B11" s="17">
        <f>B10+1</f>
        <v/>
      </c>
      <c r="C11" s="217">
        <f>IFERROR(AVERAGEIF('Opera Enerji Veri'!C:C,'Opera Günlük Analiz'!B11,'Opera Enerji Veri'!F:F),0)</f>
        <v/>
      </c>
      <c r="D11" s="217">
        <f>IFERROR(AVERAGEIF('Opera Enerji Veri'!$C:$C,'Opera Günlük Analiz'!$B11,'Opera Enerji Veri'!G:G),0)</f>
        <v/>
      </c>
      <c r="E11" s="217">
        <f>IFERROR(AVERAGEIF('Opera Enerji Veri'!$C:$C,'Opera Günlük Analiz'!$B11,'Opera Enerji Veri'!H:H),0)</f>
        <v/>
      </c>
      <c r="F11" s="217">
        <f>SUMIF('Opera Enerji Veri'!$C:$C, 'Opera Günlük Analiz'!$B11,'Opera Enerji Veri'!BE:BE)</f>
        <v/>
      </c>
      <c r="G11" s="217">
        <f>SUMIF('Opera Enerji Veri'!$C:$C, 'Opera Günlük Analiz'!$B11,'Opera Enerji Veri'!AY:AY)</f>
        <v/>
      </c>
      <c r="H11" s="217">
        <f>IFERROR(F11/G11,0)</f>
        <v/>
      </c>
      <c r="I11" s="217">
        <f>SUMIF('Opera Enerji Veri'!$C:$C, 'Opera Günlük Analiz'!$B11,'Opera Enerji Veri'!J:J)</f>
        <v/>
      </c>
      <c r="J11" s="217">
        <f>SUMIF('Opera Enerji Veri'!$C:$C, 'Opera Günlük Analiz'!$B11,'Opera Enerji Veri'!BF:BF)</f>
        <v/>
      </c>
      <c r="K11" s="217">
        <f>SUMIF('Opera Enerji Veri'!$C:$C, 'Opera Günlük Analiz'!$B11,'Opera Enerji Veri'!BG:BG)</f>
        <v/>
      </c>
      <c r="L11" s="217">
        <f>SUMIF('Opera Enerji Veri'!$C:$C, 'Opera Günlük Analiz'!$B11,'Opera Enerji Veri'!BH:BH)</f>
        <v/>
      </c>
      <c r="M11" s="217">
        <f>SUMIF('Opera Enerji Veri'!$C:$C, 'Opera Günlük Analiz'!$B11,'Opera Enerji Veri'!BB:BB)</f>
        <v/>
      </c>
      <c r="N11" s="217">
        <f>SUMIF('Opera Enerji Veri'!$C:$C, 'Opera Günlük Analiz'!$B11,'Opera Enerji Veri'!BJ:BJ)</f>
        <v/>
      </c>
      <c r="O11" s="217">
        <f>SUMIF('Opera Enerji Veri'!$C:$C, 'Opera Günlük Analiz'!$B11,'Opera Enerji Veri'!BK:BK)</f>
        <v/>
      </c>
      <c r="P11" s="217">
        <f>SUMIF('Opera Enerji Veri'!$C:$C, 'Opera Günlük Analiz'!$B11,'Opera Enerji Veri'!BL:BL)</f>
        <v/>
      </c>
      <c r="Q11" s="217">
        <f>J11+K11+P11-M11</f>
        <v/>
      </c>
      <c r="R11" s="217">
        <f>F11-Q11-M11</f>
        <v/>
      </c>
      <c r="S11" s="217">
        <f>M11+R11</f>
        <v/>
      </c>
      <c r="T11" s="217">
        <f>IFERROR(Q11/G11,0)</f>
        <v/>
      </c>
      <c r="U11" s="218">
        <f>IF(G11=0,0,S11/G11)</f>
        <v/>
      </c>
      <c r="V11" s="225">
        <f>IFERROR(U11/H11,0)</f>
        <v/>
      </c>
      <c r="W11" s="27">
        <f>IFERROR(ABS(N11/G11),0)</f>
        <v/>
      </c>
      <c r="X11" s="109">
        <f>SUMIF('Opera Enerji Veri'!$C:$C, 'Opera Günlük Analiz'!$B11,'Opera Enerji Veri'!BU:BU)</f>
        <v/>
      </c>
      <c r="Y11" s="217">
        <f>SUMIF('Opera Enerji Veri'!$C:$C, 'Opera Günlük Analiz'!$B11,'Opera Enerji Veri'!BD:BD)</f>
        <v/>
      </c>
      <c r="Z11" s="217">
        <f>SUMIF('Opera Enerji Veri'!$C:$C, 'Opera Günlük Analiz'!$B11,'Opera Enerji Veri'!BW:BW)</f>
        <v/>
      </c>
      <c r="AA11" s="217">
        <f>SUMIF('Opera Enerji Veri'!$C:$C, 'Opera Günlük Analiz'!$B11,'Opera Enerji Veri'!BX:BX)</f>
        <v/>
      </c>
      <c r="AB11" s="217">
        <f>SUMIF('Opera Enerji Veri'!$C:$C, 'Opera Günlük Analiz'!$B11,'Opera Enerji Veri'!BY:BY)</f>
        <v/>
      </c>
      <c r="AC11" s="219">
        <f>SUMIF('Opera Enerji Veri'!$C:$C, 'Opera Günlük Analiz'!$B11,'Opera Enerji Veri'!CI:CI)</f>
        <v/>
      </c>
      <c r="AD11" s="219">
        <f>IFERROR(AC11/G11,0)</f>
        <v/>
      </c>
      <c r="AE11" s="217">
        <f>J11+K11+L11+AB11-Y11</f>
        <v/>
      </c>
      <c r="AF11" s="217">
        <f>F11-AE11-Y11</f>
        <v/>
      </c>
      <c r="AG11" s="217">
        <f>Y11+AF11</f>
        <v/>
      </c>
      <c r="AH11" s="217">
        <f>IFERROR(AE11/G11,0)</f>
        <v/>
      </c>
      <c r="AI11" s="218">
        <f>IF(G11=0,0,AG11/G11)</f>
        <v/>
      </c>
      <c r="AJ11" s="225">
        <f>IFERROR(AI11/H11,0)</f>
        <v/>
      </c>
      <c r="AK11" s="27">
        <f>IFERROR(ABS(Z11/G11),0)</f>
        <v/>
      </c>
      <c r="AL11" s="109">
        <f>SUMIF('Opera Enerji Veri'!$C:$C, 'Opera Günlük Analiz'!$B11,'Opera Enerji Veri'!CH:CH)</f>
        <v/>
      </c>
      <c r="AM11" s="217">
        <f>M11-Y11</f>
        <v/>
      </c>
      <c r="AN11" s="97">
        <f>IFERROR(AM11/M11,0)</f>
        <v/>
      </c>
      <c r="AO11" s="217">
        <f>S11-AG11</f>
        <v/>
      </c>
      <c r="AP11" s="97">
        <f>IFERROR(AO11/S11,0)</f>
        <v/>
      </c>
    </row>
    <row r="12">
      <c r="B12" s="17">
        <f>B11+1</f>
        <v/>
      </c>
      <c r="C12" s="217">
        <f>IFERROR(AVERAGEIF('Opera Enerji Veri'!C:C,'Opera Günlük Analiz'!B12,'Opera Enerji Veri'!F:F),0)</f>
        <v/>
      </c>
      <c r="D12" s="217">
        <f>IFERROR(AVERAGEIF('Opera Enerji Veri'!$C:$C,'Opera Günlük Analiz'!$B12,'Opera Enerji Veri'!G:G),0)</f>
        <v/>
      </c>
      <c r="E12" s="217">
        <f>IFERROR(AVERAGEIF('Opera Enerji Veri'!$C:$C,'Opera Günlük Analiz'!$B12,'Opera Enerji Veri'!H:H),0)</f>
        <v/>
      </c>
      <c r="F12" s="217">
        <f>SUMIF('Opera Enerji Veri'!$C:$C, 'Opera Günlük Analiz'!$B12,'Opera Enerji Veri'!BE:BE)</f>
        <v/>
      </c>
      <c r="G12" s="217">
        <f>SUMIF('Opera Enerji Veri'!$C:$C, 'Opera Günlük Analiz'!$B12,'Opera Enerji Veri'!AY:AY)</f>
        <v/>
      </c>
      <c r="H12" s="217">
        <f>IFERROR(F12/G12,0)</f>
        <v/>
      </c>
      <c r="I12" s="217">
        <f>SUMIF('Opera Enerji Veri'!$C:$C, 'Opera Günlük Analiz'!$B12,'Opera Enerji Veri'!J:J)</f>
        <v/>
      </c>
      <c r="J12" s="217">
        <f>SUMIF('Opera Enerji Veri'!$C:$C, 'Opera Günlük Analiz'!$B12,'Opera Enerji Veri'!BF:BF)</f>
        <v/>
      </c>
      <c r="K12" s="217">
        <f>SUMIF('Opera Enerji Veri'!$C:$C, 'Opera Günlük Analiz'!$B12,'Opera Enerji Veri'!BG:BG)</f>
        <v/>
      </c>
      <c r="L12" s="217">
        <f>SUMIF('Opera Enerji Veri'!$C:$C, 'Opera Günlük Analiz'!$B12,'Opera Enerji Veri'!BH:BH)</f>
        <v/>
      </c>
      <c r="M12" s="217">
        <f>SUMIF('Opera Enerji Veri'!$C:$C, 'Opera Günlük Analiz'!$B12,'Opera Enerji Veri'!BB:BB)</f>
        <v/>
      </c>
      <c r="N12" s="217">
        <f>SUMIF('Opera Enerji Veri'!$C:$C, 'Opera Günlük Analiz'!$B12,'Opera Enerji Veri'!BJ:BJ)</f>
        <v/>
      </c>
      <c r="O12" s="217">
        <f>SUMIF('Opera Enerji Veri'!$C:$C, 'Opera Günlük Analiz'!$B12,'Opera Enerji Veri'!BK:BK)</f>
        <v/>
      </c>
      <c r="P12" s="217">
        <f>SUMIF('Opera Enerji Veri'!$C:$C, 'Opera Günlük Analiz'!$B12,'Opera Enerji Veri'!BL:BL)</f>
        <v/>
      </c>
      <c r="Q12" s="217">
        <f>J12+K12+P12-M12</f>
        <v/>
      </c>
      <c r="R12" s="217">
        <f>F12-Q12-M12</f>
        <v/>
      </c>
      <c r="S12" s="217">
        <f>M12+R12</f>
        <v/>
      </c>
      <c r="T12" s="217">
        <f>IFERROR(Q12/G12,0)</f>
        <v/>
      </c>
      <c r="U12" s="218">
        <f>IF(G12=0,0,S12/G12)</f>
        <v/>
      </c>
      <c r="V12" s="225">
        <f>IFERROR(U12/H12,0)</f>
        <v/>
      </c>
      <c r="W12" s="27">
        <f>IFERROR(ABS(N12/G12),0)</f>
        <v/>
      </c>
      <c r="X12" s="109">
        <f>SUMIF('Opera Enerji Veri'!$C:$C, 'Opera Günlük Analiz'!$B12,'Opera Enerji Veri'!BU:BU)</f>
        <v/>
      </c>
      <c r="Y12" s="217">
        <f>SUMIF('Opera Enerji Veri'!$C:$C, 'Opera Günlük Analiz'!$B12,'Opera Enerji Veri'!BD:BD)</f>
        <v/>
      </c>
      <c r="Z12" s="217">
        <f>SUMIF('Opera Enerji Veri'!$C:$C, 'Opera Günlük Analiz'!$B12,'Opera Enerji Veri'!BW:BW)</f>
        <v/>
      </c>
      <c r="AA12" s="217">
        <f>SUMIF('Opera Enerji Veri'!$C:$C, 'Opera Günlük Analiz'!$B12,'Opera Enerji Veri'!BX:BX)</f>
        <v/>
      </c>
      <c r="AB12" s="217">
        <f>SUMIF('Opera Enerji Veri'!$C:$C, 'Opera Günlük Analiz'!$B12,'Opera Enerji Veri'!BY:BY)</f>
        <v/>
      </c>
      <c r="AC12" s="219">
        <f>SUMIF('Opera Enerji Veri'!$C:$C, 'Opera Günlük Analiz'!$B12,'Opera Enerji Veri'!CI:CI)</f>
        <v/>
      </c>
      <c r="AD12" s="219">
        <f>IFERROR(AC12/G12,0)</f>
        <v/>
      </c>
      <c r="AE12" s="217">
        <f>J12+K12+L12+AB12-Y12</f>
        <v/>
      </c>
      <c r="AF12" s="217">
        <f>F12-AE12-Y12</f>
        <v/>
      </c>
      <c r="AG12" s="217">
        <f>Y12+AF12</f>
        <v/>
      </c>
      <c r="AH12" s="217">
        <f>IFERROR(AE12/G12,0)</f>
        <v/>
      </c>
      <c r="AI12" s="218">
        <f>IF(G12=0,0,AG12/G12)</f>
        <v/>
      </c>
      <c r="AJ12" s="225">
        <f>IFERROR(AI12/H12,0)</f>
        <v/>
      </c>
      <c r="AK12" s="27">
        <f>IFERROR(ABS(Z12/G12),0)</f>
        <v/>
      </c>
      <c r="AL12" s="109">
        <f>SUMIF('Opera Enerji Veri'!$C:$C, 'Opera Günlük Analiz'!$B12,'Opera Enerji Veri'!CH:CH)</f>
        <v/>
      </c>
      <c r="AM12" s="217">
        <f>M12-Y12</f>
        <v/>
      </c>
      <c r="AN12" s="97">
        <f>IFERROR(AM12/M12,0)</f>
        <v/>
      </c>
      <c r="AO12" s="217">
        <f>S12-AG12</f>
        <v/>
      </c>
      <c r="AP12" s="97">
        <f>IFERROR(AO12/S12,0)</f>
        <v/>
      </c>
    </row>
    <row r="13">
      <c r="B13" s="17">
        <f>B12+1</f>
        <v/>
      </c>
      <c r="C13" s="217">
        <f>IFERROR(AVERAGEIF('Opera Enerji Veri'!C:C,'Opera Günlük Analiz'!B13,'Opera Enerji Veri'!F:F),0)</f>
        <v/>
      </c>
      <c r="D13" s="217">
        <f>IFERROR(AVERAGEIF('Opera Enerji Veri'!$C:$C,'Opera Günlük Analiz'!$B13,'Opera Enerji Veri'!G:G),0)</f>
        <v/>
      </c>
      <c r="E13" s="217">
        <f>IFERROR(AVERAGEIF('Opera Enerji Veri'!$C:$C,'Opera Günlük Analiz'!$B13,'Opera Enerji Veri'!H:H),0)</f>
        <v/>
      </c>
      <c r="F13" s="217">
        <f>SUMIF('Opera Enerji Veri'!$C:$C, 'Opera Günlük Analiz'!$B13,'Opera Enerji Veri'!BE:BE)</f>
        <v/>
      </c>
      <c r="G13" s="217">
        <f>SUMIF('Opera Enerji Veri'!$C:$C, 'Opera Günlük Analiz'!$B13,'Opera Enerji Veri'!AY:AY)</f>
        <v/>
      </c>
      <c r="H13" s="217">
        <f>IFERROR(F13/G13,0)</f>
        <v/>
      </c>
      <c r="I13" s="217">
        <f>SUMIF('Opera Enerji Veri'!$C:$C, 'Opera Günlük Analiz'!$B13,'Opera Enerji Veri'!J:J)</f>
        <v/>
      </c>
      <c r="J13" s="217">
        <f>SUMIF('Opera Enerji Veri'!$C:$C, 'Opera Günlük Analiz'!$B13,'Opera Enerji Veri'!BF:BF)</f>
        <v/>
      </c>
      <c r="K13" s="217">
        <f>SUMIF('Opera Enerji Veri'!$C:$C, 'Opera Günlük Analiz'!$B13,'Opera Enerji Veri'!BG:BG)</f>
        <v/>
      </c>
      <c r="L13" s="217">
        <f>SUMIF('Opera Enerji Veri'!$C:$C, 'Opera Günlük Analiz'!$B13,'Opera Enerji Veri'!BH:BH)</f>
        <v/>
      </c>
      <c r="M13" s="217">
        <f>SUMIF('Opera Enerji Veri'!$C:$C, 'Opera Günlük Analiz'!$B13,'Opera Enerji Veri'!BB:BB)</f>
        <v/>
      </c>
      <c r="N13" s="217">
        <f>SUMIF('Opera Enerji Veri'!$C:$C, 'Opera Günlük Analiz'!$B13,'Opera Enerji Veri'!BJ:BJ)</f>
        <v/>
      </c>
      <c r="O13" s="217">
        <f>SUMIF('Opera Enerji Veri'!$C:$C, 'Opera Günlük Analiz'!$B13,'Opera Enerji Veri'!BK:BK)</f>
        <v/>
      </c>
      <c r="P13" s="217">
        <f>SUMIF('Opera Enerji Veri'!$C:$C, 'Opera Günlük Analiz'!$B13,'Opera Enerji Veri'!BL:BL)</f>
        <v/>
      </c>
      <c r="Q13" s="217">
        <f>J13+K13+P13-M13</f>
        <v/>
      </c>
      <c r="R13" s="217">
        <f>F13-Q13-M13</f>
        <v/>
      </c>
      <c r="S13" s="217">
        <f>M13+R13</f>
        <v/>
      </c>
      <c r="T13" s="217">
        <f>IFERROR(Q13/G13,0)</f>
        <v/>
      </c>
      <c r="U13" s="218">
        <f>IF(G13=0,0,S13/G13)</f>
        <v/>
      </c>
      <c r="V13" s="225">
        <f>IFERROR(U13/H13,0)</f>
        <v/>
      </c>
      <c r="W13" s="27">
        <f>IFERROR(ABS(N13/G13),0)</f>
        <v/>
      </c>
      <c r="X13" s="109">
        <f>SUMIF('Opera Enerji Veri'!$C:$C, 'Opera Günlük Analiz'!$B13,'Opera Enerji Veri'!BU:BU)</f>
        <v/>
      </c>
      <c r="Y13" s="217">
        <f>SUMIF('Opera Enerji Veri'!$C:$C, 'Opera Günlük Analiz'!$B13,'Opera Enerji Veri'!BD:BD)</f>
        <v/>
      </c>
      <c r="Z13" s="217">
        <f>SUMIF('Opera Enerji Veri'!$C:$C, 'Opera Günlük Analiz'!$B13,'Opera Enerji Veri'!BW:BW)</f>
        <v/>
      </c>
      <c r="AA13" s="217">
        <f>SUMIF('Opera Enerji Veri'!$C:$C, 'Opera Günlük Analiz'!$B13,'Opera Enerji Veri'!BX:BX)</f>
        <v/>
      </c>
      <c r="AB13" s="217">
        <f>SUMIF('Opera Enerji Veri'!$C:$C, 'Opera Günlük Analiz'!$B13,'Opera Enerji Veri'!BY:BY)</f>
        <v/>
      </c>
      <c r="AC13" s="219">
        <f>SUMIF('Opera Enerji Veri'!$C:$C, 'Opera Günlük Analiz'!$B13,'Opera Enerji Veri'!CI:CI)</f>
        <v/>
      </c>
      <c r="AD13" s="219">
        <f>IFERROR(AC13/G13,0)</f>
        <v/>
      </c>
      <c r="AE13" s="217">
        <f>J13+K13+L13+AB13-Y13</f>
        <v/>
      </c>
      <c r="AF13" s="217">
        <f>F13-AE13-Y13</f>
        <v/>
      </c>
      <c r="AG13" s="217">
        <f>Y13+AF13</f>
        <v/>
      </c>
      <c r="AH13" s="217">
        <f>IFERROR(AE13/G13,0)</f>
        <v/>
      </c>
      <c r="AI13" s="218">
        <f>IF(G13=0,0,AG13/G13)</f>
        <v/>
      </c>
      <c r="AJ13" s="225">
        <f>IFERROR(AI13/H13,0)</f>
        <v/>
      </c>
      <c r="AK13" s="27">
        <f>IFERROR(ABS(Z13/G13),0)</f>
        <v/>
      </c>
      <c r="AL13" s="109">
        <f>SUMIF('Opera Enerji Veri'!$C:$C, 'Opera Günlük Analiz'!$B13,'Opera Enerji Veri'!CH:CH)</f>
        <v/>
      </c>
      <c r="AM13" s="217">
        <f>M13-Y13</f>
        <v/>
      </c>
      <c r="AN13" s="97">
        <f>IFERROR(AM13/M13,0)</f>
        <v/>
      </c>
      <c r="AO13" s="217">
        <f>S13-AG13</f>
        <v/>
      </c>
      <c r="AP13" s="97">
        <f>IFERROR(AO13/S13,0)</f>
        <v/>
      </c>
    </row>
    <row r="14">
      <c r="B14" s="17">
        <f>B13+1</f>
        <v/>
      </c>
      <c r="C14" s="217">
        <f>IFERROR(AVERAGEIF('Opera Enerji Veri'!C:C,'Opera Günlük Analiz'!B14,'Opera Enerji Veri'!F:F),0)</f>
        <v/>
      </c>
      <c r="D14" s="217">
        <f>IFERROR(AVERAGEIF('Opera Enerji Veri'!$C:$C,'Opera Günlük Analiz'!$B14,'Opera Enerji Veri'!G:G),0)</f>
        <v/>
      </c>
      <c r="E14" s="217">
        <f>IFERROR(AVERAGEIF('Opera Enerji Veri'!$C:$C,'Opera Günlük Analiz'!$B14,'Opera Enerji Veri'!H:H),0)</f>
        <v/>
      </c>
      <c r="F14" s="217">
        <f>SUMIF('Opera Enerji Veri'!$C:$C, 'Opera Günlük Analiz'!$B14,'Opera Enerji Veri'!BE:BE)</f>
        <v/>
      </c>
      <c r="G14" s="217">
        <f>SUMIF('Opera Enerji Veri'!$C:$C, 'Opera Günlük Analiz'!$B14,'Opera Enerji Veri'!AY:AY)</f>
        <v/>
      </c>
      <c r="H14" s="217">
        <f>IFERROR(F14/G14,0)</f>
        <v/>
      </c>
      <c r="I14" s="217">
        <f>SUMIF('Opera Enerji Veri'!$C:$C, 'Opera Günlük Analiz'!$B14,'Opera Enerji Veri'!J:J)</f>
        <v/>
      </c>
      <c r="J14" s="217">
        <f>SUMIF('Opera Enerji Veri'!$C:$C, 'Opera Günlük Analiz'!$B14,'Opera Enerji Veri'!BF:BF)</f>
        <v/>
      </c>
      <c r="K14" s="217">
        <f>SUMIF('Opera Enerji Veri'!$C:$C, 'Opera Günlük Analiz'!$B14,'Opera Enerji Veri'!BG:BG)</f>
        <v/>
      </c>
      <c r="L14" s="217">
        <f>SUMIF('Opera Enerji Veri'!$C:$C, 'Opera Günlük Analiz'!$B14,'Opera Enerji Veri'!BH:BH)</f>
        <v/>
      </c>
      <c r="M14" s="217">
        <f>SUMIF('Opera Enerji Veri'!$C:$C, 'Opera Günlük Analiz'!$B14,'Opera Enerji Veri'!BB:BB)</f>
        <v/>
      </c>
      <c r="N14" s="217">
        <f>SUMIF('Opera Enerji Veri'!$C:$C, 'Opera Günlük Analiz'!$B14,'Opera Enerji Veri'!BJ:BJ)</f>
        <v/>
      </c>
      <c r="O14" s="217">
        <f>SUMIF('Opera Enerji Veri'!$C:$C, 'Opera Günlük Analiz'!$B14,'Opera Enerji Veri'!BK:BK)</f>
        <v/>
      </c>
      <c r="P14" s="217">
        <f>SUMIF('Opera Enerji Veri'!$C:$C, 'Opera Günlük Analiz'!$B14,'Opera Enerji Veri'!BL:BL)</f>
        <v/>
      </c>
      <c r="Q14" s="217">
        <f>J14+K14+P14-M14</f>
        <v/>
      </c>
      <c r="R14" s="217">
        <f>F14-Q14-M14</f>
        <v/>
      </c>
      <c r="S14" s="217">
        <f>M14+R14</f>
        <v/>
      </c>
      <c r="T14" s="217">
        <f>IFERROR(Q14/G14,0)</f>
        <v/>
      </c>
      <c r="U14" s="218">
        <f>IF(G14=0,0,S14/G14)</f>
        <v/>
      </c>
      <c r="V14" s="225">
        <f>IFERROR(U14/H14,0)</f>
        <v/>
      </c>
      <c r="W14" s="27">
        <f>IFERROR(ABS(N14/G14),0)</f>
        <v/>
      </c>
      <c r="X14" s="109">
        <f>SUMIF('Opera Enerji Veri'!$C:$C, 'Opera Günlük Analiz'!$B14,'Opera Enerji Veri'!BU:BU)</f>
        <v/>
      </c>
      <c r="Y14" s="217">
        <f>SUMIF('Opera Enerji Veri'!$C:$C, 'Opera Günlük Analiz'!$B14,'Opera Enerji Veri'!BD:BD)</f>
        <v/>
      </c>
      <c r="Z14" s="217">
        <f>SUMIF('Opera Enerji Veri'!$C:$C, 'Opera Günlük Analiz'!$B14,'Opera Enerji Veri'!BW:BW)</f>
        <v/>
      </c>
      <c r="AA14" s="217">
        <f>SUMIF('Opera Enerji Veri'!$C:$C, 'Opera Günlük Analiz'!$B14,'Opera Enerji Veri'!BX:BX)</f>
        <v/>
      </c>
      <c r="AB14" s="217">
        <f>SUMIF('Opera Enerji Veri'!$C:$C, 'Opera Günlük Analiz'!$B14,'Opera Enerji Veri'!BY:BY)</f>
        <v/>
      </c>
      <c r="AC14" s="219">
        <f>SUMIF('Opera Enerji Veri'!$C:$C, 'Opera Günlük Analiz'!$B14,'Opera Enerji Veri'!CI:CI)</f>
        <v/>
      </c>
      <c r="AD14" s="219">
        <f>IFERROR(AC14/G14,0)</f>
        <v/>
      </c>
      <c r="AE14" s="217">
        <f>J14+K14+L14+AB14-Y14</f>
        <v/>
      </c>
      <c r="AF14" s="217">
        <f>F14-AE14-Y14</f>
        <v/>
      </c>
      <c r="AG14" s="217">
        <f>Y14+AF14</f>
        <v/>
      </c>
      <c r="AH14" s="217">
        <f>IFERROR(AE14/G14,0)</f>
        <v/>
      </c>
      <c r="AI14" s="218">
        <f>IF(G14=0,0,AG14/G14)</f>
        <v/>
      </c>
      <c r="AJ14" s="225">
        <f>IFERROR(AI14/H14,0)</f>
        <v/>
      </c>
      <c r="AK14" s="27">
        <f>IFERROR(ABS(Z14/G14),0)</f>
        <v/>
      </c>
      <c r="AL14" s="109">
        <f>SUMIF('Opera Enerji Veri'!$C:$C, 'Opera Günlük Analiz'!$B14,'Opera Enerji Veri'!CH:CH)</f>
        <v/>
      </c>
      <c r="AM14" s="217">
        <f>M14-Y14</f>
        <v/>
      </c>
      <c r="AN14" s="97">
        <f>IFERROR(AM14/M14,0)</f>
        <v/>
      </c>
      <c r="AO14" s="217">
        <f>S14-AG14</f>
        <v/>
      </c>
      <c r="AP14" s="97">
        <f>IFERROR(AO14/S14,0)</f>
        <v/>
      </c>
    </row>
    <row r="15">
      <c r="B15" s="17">
        <f>B14+1</f>
        <v/>
      </c>
      <c r="C15" s="217">
        <f>IFERROR(AVERAGEIF('Opera Enerji Veri'!C:C,'Opera Günlük Analiz'!B15,'Opera Enerji Veri'!F:F),0)</f>
        <v/>
      </c>
      <c r="D15" s="217">
        <f>IFERROR(AVERAGEIF('Opera Enerji Veri'!$C:$C,'Opera Günlük Analiz'!$B15,'Opera Enerji Veri'!G:G),0)</f>
        <v/>
      </c>
      <c r="E15" s="217">
        <f>IFERROR(AVERAGEIF('Opera Enerji Veri'!$C:$C,'Opera Günlük Analiz'!$B15,'Opera Enerji Veri'!H:H),0)</f>
        <v/>
      </c>
      <c r="F15" s="217">
        <f>SUMIF('Opera Enerji Veri'!$C:$C, 'Opera Günlük Analiz'!$B15,'Opera Enerji Veri'!BE:BE)</f>
        <v/>
      </c>
      <c r="G15" s="217">
        <f>SUMIF('Opera Enerji Veri'!$C:$C, 'Opera Günlük Analiz'!$B15,'Opera Enerji Veri'!AY:AY)</f>
        <v/>
      </c>
      <c r="H15" s="217">
        <f>IFERROR(F15/G15,0)</f>
        <v/>
      </c>
      <c r="I15" s="217">
        <f>SUMIF('Opera Enerji Veri'!$C:$C, 'Opera Günlük Analiz'!$B15,'Opera Enerji Veri'!J:J)</f>
        <v/>
      </c>
      <c r="J15" s="217">
        <f>SUMIF('Opera Enerji Veri'!$C:$C, 'Opera Günlük Analiz'!$B15,'Opera Enerji Veri'!BF:BF)</f>
        <v/>
      </c>
      <c r="K15" s="217">
        <f>SUMIF('Opera Enerji Veri'!$C:$C, 'Opera Günlük Analiz'!$B15,'Opera Enerji Veri'!BG:BG)</f>
        <v/>
      </c>
      <c r="L15" s="217">
        <f>SUMIF('Opera Enerji Veri'!$C:$C, 'Opera Günlük Analiz'!$B15,'Opera Enerji Veri'!BH:BH)</f>
        <v/>
      </c>
      <c r="M15" s="217">
        <f>SUMIF('Opera Enerji Veri'!$C:$C, 'Opera Günlük Analiz'!$B15,'Opera Enerji Veri'!BB:BB)</f>
        <v/>
      </c>
      <c r="N15" s="217">
        <f>SUMIF('Opera Enerji Veri'!$C:$C, 'Opera Günlük Analiz'!$B15,'Opera Enerji Veri'!BJ:BJ)</f>
        <v/>
      </c>
      <c r="O15" s="217">
        <f>SUMIF('Opera Enerji Veri'!$C:$C, 'Opera Günlük Analiz'!$B15,'Opera Enerji Veri'!BK:BK)</f>
        <v/>
      </c>
      <c r="P15" s="217">
        <f>SUMIF('Opera Enerji Veri'!$C:$C, 'Opera Günlük Analiz'!$B15,'Opera Enerji Veri'!BL:BL)</f>
        <v/>
      </c>
      <c r="Q15" s="217">
        <f>J15+K15+P15-M15</f>
        <v/>
      </c>
      <c r="R15" s="217">
        <f>F15-Q15-M15</f>
        <v/>
      </c>
      <c r="S15" s="217">
        <f>M15+R15</f>
        <v/>
      </c>
      <c r="T15" s="217">
        <f>IFERROR(Q15/G15,0)</f>
        <v/>
      </c>
      <c r="U15" s="218">
        <f>IF(G15=0,0,S15/G15)</f>
        <v/>
      </c>
      <c r="V15" s="225">
        <f>IFERROR(U15/H15,0)</f>
        <v/>
      </c>
      <c r="W15" s="27">
        <f>IFERROR(ABS(N15/G15),0)</f>
        <v/>
      </c>
      <c r="X15" s="109">
        <f>SUMIF('Opera Enerji Veri'!$C:$C, 'Opera Günlük Analiz'!$B15,'Opera Enerji Veri'!BU:BU)</f>
        <v/>
      </c>
      <c r="Y15" s="217">
        <f>SUMIF('Opera Enerji Veri'!$C:$C, 'Opera Günlük Analiz'!$B15,'Opera Enerji Veri'!BD:BD)</f>
        <v/>
      </c>
      <c r="Z15" s="217">
        <f>SUMIF('Opera Enerji Veri'!$C:$C, 'Opera Günlük Analiz'!$B15,'Opera Enerji Veri'!BW:BW)</f>
        <v/>
      </c>
      <c r="AA15" s="217">
        <f>SUMIF('Opera Enerji Veri'!$C:$C, 'Opera Günlük Analiz'!$B15,'Opera Enerji Veri'!BX:BX)</f>
        <v/>
      </c>
      <c r="AB15" s="217">
        <f>SUMIF('Opera Enerji Veri'!$C:$C, 'Opera Günlük Analiz'!$B15,'Opera Enerji Veri'!BY:BY)</f>
        <v/>
      </c>
      <c r="AC15" s="219">
        <f>SUMIF('Opera Enerji Veri'!$C:$C, 'Opera Günlük Analiz'!$B15,'Opera Enerji Veri'!CI:CI)</f>
        <v/>
      </c>
      <c r="AD15" s="219">
        <f>IFERROR(AC15/G15,0)</f>
        <v/>
      </c>
      <c r="AE15" s="217">
        <f>J15+K15+L15+AB15-Y15</f>
        <v/>
      </c>
      <c r="AF15" s="217">
        <f>F15-AE15-Y15</f>
        <v/>
      </c>
      <c r="AG15" s="217">
        <f>Y15+AF15</f>
        <v/>
      </c>
      <c r="AH15" s="217">
        <f>IFERROR(AE15/G15,0)</f>
        <v/>
      </c>
      <c r="AI15" s="218">
        <f>IF(G15=0,0,AG15/G15)</f>
        <v/>
      </c>
      <c r="AJ15" s="225">
        <f>IFERROR(AI15/H15,0)</f>
        <v/>
      </c>
      <c r="AK15" s="27">
        <f>IFERROR(ABS(Z15/G15),0)</f>
        <v/>
      </c>
      <c r="AL15" s="109">
        <f>SUMIF('Opera Enerji Veri'!$C:$C, 'Opera Günlük Analiz'!$B15,'Opera Enerji Veri'!CH:CH)</f>
        <v/>
      </c>
      <c r="AM15" s="217">
        <f>M15-Y15</f>
        <v/>
      </c>
      <c r="AN15" s="97">
        <f>IFERROR(AM15/M15,0)</f>
        <v/>
      </c>
      <c r="AO15" s="217">
        <f>S15-AG15</f>
        <v/>
      </c>
      <c r="AP15" s="97">
        <f>IFERROR(AO15/S15,0)</f>
        <v/>
      </c>
    </row>
    <row r="16">
      <c r="B16" s="17">
        <f>B15+1</f>
        <v/>
      </c>
      <c r="C16" s="217">
        <f>IFERROR(AVERAGEIF('Opera Enerji Veri'!C:C,'Opera Günlük Analiz'!B16,'Opera Enerji Veri'!F:F),0)</f>
        <v/>
      </c>
      <c r="D16" s="217">
        <f>IFERROR(AVERAGEIF('Opera Enerji Veri'!$C:$C,'Opera Günlük Analiz'!$B16,'Opera Enerji Veri'!G:G),0)</f>
        <v/>
      </c>
      <c r="E16" s="217">
        <f>IFERROR(AVERAGEIF('Opera Enerji Veri'!$C:$C,'Opera Günlük Analiz'!$B16,'Opera Enerji Veri'!H:H),0)</f>
        <v/>
      </c>
      <c r="F16" s="217">
        <f>SUMIF('Opera Enerji Veri'!$C:$C, 'Opera Günlük Analiz'!$B16,'Opera Enerji Veri'!BE:BE)</f>
        <v/>
      </c>
      <c r="G16" s="217">
        <f>SUMIF('Opera Enerji Veri'!$C:$C, 'Opera Günlük Analiz'!$B16,'Opera Enerji Veri'!AY:AY)</f>
        <v/>
      </c>
      <c r="H16" s="217">
        <f>IFERROR(F16/G16,0)</f>
        <v/>
      </c>
      <c r="I16" s="217">
        <f>SUMIF('Opera Enerji Veri'!$C:$C, 'Opera Günlük Analiz'!$B16,'Opera Enerji Veri'!J:J)</f>
        <v/>
      </c>
      <c r="J16" s="217">
        <f>SUMIF('Opera Enerji Veri'!$C:$C, 'Opera Günlük Analiz'!$B16,'Opera Enerji Veri'!BF:BF)</f>
        <v/>
      </c>
      <c r="K16" s="217">
        <f>SUMIF('Opera Enerji Veri'!$C:$C, 'Opera Günlük Analiz'!$B16,'Opera Enerji Veri'!BG:BG)</f>
        <v/>
      </c>
      <c r="L16" s="217">
        <f>SUMIF('Opera Enerji Veri'!$C:$C, 'Opera Günlük Analiz'!$B16,'Opera Enerji Veri'!BH:BH)</f>
        <v/>
      </c>
      <c r="M16" s="217">
        <f>SUMIF('Opera Enerji Veri'!$C:$C, 'Opera Günlük Analiz'!$B16,'Opera Enerji Veri'!BB:BB)</f>
        <v/>
      </c>
      <c r="N16" s="217">
        <f>SUMIF('Opera Enerji Veri'!$C:$C, 'Opera Günlük Analiz'!$B16,'Opera Enerji Veri'!BJ:BJ)</f>
        <v/>
      </c>
      <c r="O16" s="217">
        <f>SUMIF('Opera Enerji Veri'!$C:$C, 'Opera Günlük Analiz'!$B16,'Opera Enerji Veri'!BK:BK)</f>
        <v/>
      </c>
      <c r="P16" s="217">
        <f>SUMIF('Opera Enerji Veri'!$C:$C, 'Opera Günlük Analiz'!$B16,'Opera Enerji Veri'!BL:BL)</f>
        <v/>
      </c>
      <c r="Q16" s="217">
        <f>J16+K16+P16-M16</f>
        <v/>
      </c>
      <c r="R16" s="217">
        <f>F16-Q16-M16</f>
        <v/>
      </c>
      <c r="S16" s="217">
        <f>M16+R16</f>
        <v/>
      </c>
      <c r="T16" s="217">
        <f>IFERROR(Q16/G16,0)</f>
        <v/>
      </c>
      <c r="U16" s="218">
        <f>IF(G16=0,0,S16/G16)</f>
        <v/>
      </c>
      <c r="V16" s="225">
        <f>IFERROR(U16/H16,0)</f>
        <v/>
      </c>
      <c r="W16" s="27">
        <f>IFERROR(ABS(N16/G16),0)</f>
        <v/>
      </c>
      <c r="X16" s="109">
        <f>SUMIF('Opera Enerji Veri'!$C:$C, 'Opera Günlük Analiz'!$B16,'Opera Enerji Veri'!BU:BU)</f>
        <v/>
      </c>
      <c r="Y16" s="217">
        <f>SUMIF('Opera Enerji Veri'!$C:$C, 'Opera Günlük Analiz'!$B16,'Opera Enerji Veri'!BD:BD)</f>
        <v/>
      </c>
      <c r="Z16" s="217">
        <f>SUMIF('Opera Enerji Veri'!$C:$C, 'Opera Günlük Analiz'!$B16,'Opera Enerji Veri'!BW:BW)</f>
        <v/>
      </c>
      <c r="AA16" s="217">
        <f>SUMIF('Opera Enerji Veri'!$C:$C, 'Opera Günlük Analiz'!$B16,'Opera Enerji Veri'!BX:BX)</f>
        <v/>
      </c>
      <c r="AB16" s="217">
        <f>SUMIF('Opera Enerji Veri'!$C:$C, 'Opera Günlük Analiz'!$B16,'Opera Enerji Veri'!BY:BY)</f>
        <v/>
      </c>
      <c r="AC16" s="219">
        <f>SUMIF('Opera Enerji Veri'!$C:$C, 'Opera Günlük Analiz'!$B16,'Opera Enerji Veri'!CI:CI)</f>
        <v/>
      </c>
      <c r="AD16" s="219">
        <f>IFERROR(AC16/G16,0)</f>
        <v/>
      </c>
      <c r="AE16" s="217">
        <f>J16+K16+L16+AB16-Y16</f>
        <v/>
      </c>
      <c r="AF16" s="217">
        <f>F16-AE16-Y16</f>
        <v/>
      </c>
      <c r="AG16" s="217">
        <f>Y16+AF16</f>
        <v/>
      </c>
      <c r="AH16" s="217">
        <f>IFERROR(AE16/G16,0)</f>
        <v/>
      </c>
      <c r="AI16" s="218">
        <f>IF(G16=0,0,AG16/G16)</f>
        <v/>
      </c>
      <c r="AJ16" s="225">
        <f>IFERROR(AI16/H16,0)</f>
        <v/>
      </c>
      <c r="AK16" s="27">
        <f>IFERROR(ABS(Z16/G16),0)</f>
        <v/>
      </c>
      <c r="AL16" s="109">
        <f>SUMIF('Opera Enerji Veri'!$C:$C, 'Opera Günlük Analiz'!$B16,'Opera Enerji Veri'!CH:CH)</f>
        <v/>
      </c>
      <c r="AM16" s="217">
        <f>M16-Y16</f>
        <v/>
      </c>
      <c r="AN16" s="97">
        <f>IFERROR(AM16/M16,0)</f>
        <v/>
      </c>
      <c r="AO16" s="217">
        <f>S16-AG16</f>
        <v/>
      </c>
      <c r="AP16" s="97">
        <f>IFERROR(AO16/S16,0)</f>
        <v/>
      </c>
    </row>
    <row r="17">
      <c r="B17" s="17">
        <f>B16+1</f>
        <v/>
      </c>
      <c r="C17" s="217">
        <f>IFERROR(AVERAGEIF('Opera Enerji Veri'!C:C,'Opera Günlük Analiz'!B17,'Opera Enerji Veri'!F:F),0)</f>
        <v/>
      </c>
      <c r="D17" s="217">
        <f>IFERROR(AVERAGEIF('Opera Enerji Veri'!$C:$C,'Opera Günlük Analiz'!$B17,'Opera Enerji Veri'!G:G),0)</f>
        <v/>
      </c>
      <c r="E17" s="217">
        <f>IFERROR(AVERAGEIF('Opera Enerji Veri'!$C:$C,'Opera Günlük Analiz'!$B17,'Opera Enerji Veri'!H:H),0)</f>
        <v/>
      </c>
      <c r="F17" s="217">
        <f>SUMIF('Opera Enerji Veri'!$C:$C, 'Opera Günlük Analiz'!$B17,'Opera Enerji Veri'!BE:BE)</f>
        <v/>
      </c>
      <c r="G17" s="217">
        <f>SUMIF('Opera Enerji Veri'!$C:$C, 'Opera Günlük Analiz'!$B17,'Opera Enerji Veri'!AY:AY)</f>
        <v/>
      </c>
      <c r="H17" s="217">
        <f>IFERROR(F17/G17,0)</f>
        <v/>
      </c>
      <c r="I17" s="217">
        <f>SUMIF('Opera Enerji Veri'!$C:$C, 'Opera Günlük Analiz'!$B17,'Opera Enerji Veri'!J:J)</f>
        <v/>
      </c>
      <c r="J17" s="217">
        <f>SUMIF('Opera Enerji Veri'!$C:$C, 'Opera Günlük Analiz'!$B17,'Opera Enerji Veri'!BF:BF)</f>
        <v/>
      </c>
      <c r="K17" s="217">
        <f>SUMIF('Opera Enerji Veri'!$C:$C, 'Opera Günlük Analiz'!$B17,'Opera Enerji Veri'!BG:BG)</f>
        <v/>
      </c>
      <c r="L17" s="217">
        <f>SUMIF('Opera Enerji Veri'!$C:$C, 'Opera Günlük Analiz'!$B17,'Opera Enerji Veri'!BH:BH)</f>
        <v/>
      </c>
      <c r="M17" s="217">
        <f>SUMIF('Opera Enerji Veri'!$C:$C, 'Opera Günlük Analiz'!$B17,'Opera Enerji Veri'!BB:BB)</f>
        <v/>
      </c>
      <c r="N17" s="217">
        <f>SUMIF('Opera Enerji Veri'!$C:$C, 'Opera Günlük Analiz'!$B17,'Opera Enerji Veri'!BJ:BJ)</f>
        <v/>
      </c>
      <c r="O17" s="217">
        <f>SUMIF('Opera Enerji Veri'!$C:$C, 'Opera Günlük Analiz'!$B17,'Opera Enerji Veri'!BK:BK)</f>
        <v/>
      </c>
      <c r="P17" s="217">
        <f>SUMIF('Opera Enerji Veri'!$C:$C, 'Opera Günlük Analiz'!$B17,'Opera Enerji Veri'!BL:BL)</f>
        <v/>
      </c>
      <c r="Q17" s="217">
        <f>J17+K17+P17-M17</f>
        <v/>
      </c>
      <c r="R17" s="217">
        <f>F17-Q17-M17</f>
        <v/>
      </c>
      <c r="S17" s="217">
        <f>M17+R17</f>
        <v/>
      </c>
      <c r="T17" s="217">
        <f>IFERROR(Q17/G17,0)</f>
        <v/>
      </c>
      <c r="U17" s="218">
        <f>IF(G17=0,0,S17/G17)</f>
        <v/>
      </c>
      <c r="V17" s="225">
        <f>IFERROR(U17/H17,0)</f>
        <v/>
      </c>
      <c r="W17" s="27">
        <f>IFERROR(ABS(N17/G17),0)</f>
        <v/>
      </c>
      <c r="X17" s="109">
        <f>SUMIF('Opera Enerji Veri'!$C:$C, 'Opera Günlük Analiz'!$B17,'Opera Enerji Veri'!BU:BU)</f>
        <v/>
      </c>
      <c r="Y17" s="217">
        <f>SUMIF('Opera Enerji Veri'!$C:$C, 'Opera Günlük Analiz'!$B17,'Opera Enerji Veri'!BD:BD)</f>
        <v/>
      </c>
      <c r="Z17" s="217">
        <f>SUMIF('Opera Enerji Veri'!$C:$C, 'Opera Günlük Analiz'!$B17,'Opera Enerji Veri'!BW:BW)</f>
        <v/>
      </c>
      <c r="AA17" s="217">
        <f>SUMIF('Opera Enerji Veri'!$C:$C, 'Opera Günlük Analiz'!$B17,'Opera Enerji Veri'!BX:BX)</f>
        <v/>
      </c>
      <c r="AB17" s="217">
        <f>SUMIF('Opera Enerji Veri'!$C:$C, 'Opera Günlük Analiz'!$B17,'Opera Enerji Veri'!BY:BY)</f>
        <v/>
      </c>
      <c r="AC17" s="219">
        <f>SUMIF('Opera Enerji Veri'!$C:$C, 'Opera Günlük Analiz'!$B17,'Opera Enerji Veri'!CI:CI)</f>
        <v/>
      </c>
      <c r="AD17" s="219">
        <f>IFERROR(AC17/G17,0)</f>
        <v/>
      </c>
      <c r="AE17" s="217">
        <f>J17+K17+L17+AB17-Y17</f>
        <v/>
      </c>
      <c r="AF17" s="217">
        <f>F17-AE17-Y17</f>
        <v/>
      </c>
      <c r="AG17" s="217">
        <f>Y17+AF17</f>
        <v/>
      </c>
      <c r="AH17" s="217">
        <f>IFERROR(AE17/G17,0)</f>
        <v/>
      </c>
      <c r="AI17" s="218">
        <f>IF(G17=0,0,AG17/G17)</f>
        <v/>
      </c>
      <c r="AJ17" s="225">
        <f>IFERROR(AI17/H17,0)</f>
        <v/>
      </c>
      <c r="AK17" s="27">
        <f>IFERROR(ABS(Z17/G17),0)</f>
        <v/>
      </c>
      <c r="AL17" s="109">
        <f>SUMIF('Opera Enerji Veri'!$C:$C, 'Opera Günlük Analiz'!$B17,'Opera Enerji Veri'!CH:CH)</f>
        <v/>
      </c>
      <c r="AM17" s="217">
        <f>M17-Y17</f>
        <v/>
      </c>
      <c r="AN17" s="97">
        <f>IFERROR(AM17/M17,0)</f>
        <v/>
      </c>
      <c r="AO17" s="217">
        <f>S17-AG17</f>
        <v/>
      </c>
      <c r="AP17" s="97">
        <f>IFERROR(AO17/S17,0)</f>
        <v/>
      </c>
    </row>
    <row r="18">
      <c r="B18" s="17">
        <f>B17+1</f>
        <v/>
      </c>
      <c r="C18" s="217">
        <f>IFERROR(AVERAGEIF('Opera Enerji Veri'!C:C,'Opera Günlük Analiz'!B18,'Opera Enerji Veri'!F:F),0)</f>
        <v/>
      </c>
      <c r="D18" s="217">
        <f>IFERROR(AVERAGEIF('Opera Enerji Veri'!$C:$C,'Opera Günlük Analiz'!$B18,'Opera Enerji Veri'!G:G),0)</f>
        <v/>
      </c>
      <c r="E18" s="217">
        <f>IFERROR(AVERAGEIF('Opera Enerji Veri'!$C:$C,'Opera Günlük Analiz'!$B18,'Opera Enerji Veri'!H:H),0)</f>
        <v/>
      </c>
      <c r="F18" s="217">
        <f>SUMIF('Opera Enerji Veri'!$C:$C, 'Opera Günlük Analiz'!$B18,'Opera Enerji Veri'!BE:BE)</f>
        <v/>
      </c>
      <c r="G18" s="217">
        <f>SUMIF('Opera Enerji Veri'!$C:$C, 'Opera Günlük Analiz'!$B18,'Opera Enerji Veri'!AY:AY)</f>
        <v/>
      </c>
      <c r="H18" s="217">
        <f>IFERROR(F18/G18,0)</f>
        <v/>
      </c>
      <c r="I18" s="217">
        <f>SUMIF('Opera Enerji Veri'!$C:$C, 'Opera Günlük Analiz'!$B18,'Opera Enerji Veri'!J:J)</f>
        <v/>
      </c>
      <c r="J18" s="217">
        <f>SUMIF('Opera Enerji Veri'!$C:$C, 'Opera Günlük Analiz'!$B18,'Opera Enerji Veri'!BF:BF)</f>
        <v/>
      </c>
      <c r="K18" s="217">
        <f>SUMIF('Opera Enerji Veri'!$C:$C, 'Opera Günlük Analiz'!$B18,'Opera Enerji Veri'!BG:BG)</f>
        <v/>
      </c>
      <c r="L18" s="217">
        <f>SUMIF('Opera Enerji Veri'!$C:$C, 'Opera Günlük Analiz'!$B18,'Opera Enerji Veri'!BH:BH)</f>
        <v/>
      </c>
      <c r="M18" s="217">
        <f>SUMIF('Opera Enerji Veri'!$C:$C, 'Opera Günlük Analiz'!$B18,'Opera Enerji Veri'!BB:BB)</f>
        <v/>
      </c>
      <c r="N18" s="217">
        <f>SUMIF('Opera Enerji Veri'!$C:$C, 'Opera Günlük Analiz'!$B18,'Opera Enerji Veri'!BJ:BJ)</f>
        <v/>
      </c>
      <c r="O18" s="217">
        <f>SUMIF('Opera Enerji Veri'!$C:$C, 'Opera Günlük Analiz'!$B18,'Opera Enerji Veri'!BK:BK)</f>
        <v/>
      </c>
      <c r="P18" s="217">
        <f>SUMIF('Opera Enerji Veri'!$C:$C, 'Opera Günlük Analiz'!$B18,'Opera Enerji Veri'!BL:BL)</f>
        <v/>
      </c>
      <c r="Q18" s="217">
        <f>J18+K18+P18-M18</f>
        <v/>
      </c>
      <c r="R18" s="217">
        <f>F18-Q18-M18</f>
        <v/>
      </c>
      <c r="S18" s="217">
        <f>M18+R18</f>
        <v/>
      </c>
      <c r="T18" s="217">
        <f>IFERROR(Q18/G18,0)</f>
        <v/>
      </c>
      <c r="U18" s="218">
        <f>IF(G18=0,0,S18/G18)</f>
        <v/>
      </c>
      <c r="V18" s="225">
        <f>IFERROR(U18/H18,0)</f>
        <v/>
      </c>
      <c r="W18" s="27">
        <f>IFERROR(ABS(N18/G18),0)</f>
        <v/>
      </c>
      <c r="X18" s="109">
        <f>SUMIF('Opera Enerji Veri'!$C:$C, 'Opera Günlük Analiz'!$B18,'Opera Enerji Veri'!BU:BU)</f>
        <v/>
      </c>
      <c r="Y18" s="217">
        <f>SUMIF('Opera Enerji Veri'!$C:$C, 'Opera Günlük Analiz'!$B18,'Opera Enerji Veri'!BD:BD)</f>
        <v/>
      </c>
      <c r="Z18" s="217">
        <f>SUMIF('Opera Enerji Veri'!$C:$C, 'Opera Günlük Analiz'!$B18,'Opera Enerji Veri'!BW:BW)</f>
        <v/>
      </c>
      <c r="AA18" s="217">
        <f>SUMIF('Opera Enerji Veri'!$C:$C, 'Opera Günlük Analiz'!$B18,'Opera Enerji Veri'!BX:BX)</f>
        <v/>
      </c>
      <c r="AB18" s="217">
        <f>SUMIF('Opera Enerji Veri'!$C:$C, 'Opera Günlük Analiz'!$B18,'Opera Enerji Veri'!BY:BY)</f>
        <v/>
      </c>
      <c r="AC18" s="219">
        <f>SUMIF('Opera Enerji Veri'!$C:$C, 'Opera Günlük Analiz'!$B18,'Opera Enerji Veri'!CI:CI)</f>
        <v/>
      </c>
      <c r="AD18" s="219">
        <f>IFERROR(AC18/G18,0)</f>
        <v/>
      </c>
      <c r="AE18" s="217">
        <f>J18+K18+L18+AB18-Y18</f>
        <v/>
      </c>
      <c r="AF18" s="217">
        <f>F18-AE18-Y18</f>
        <v/>
      </c>
      <c r="AG18" s="217">
        <f>Y18+AF18</f>
        <v/>
      </c>
      <c r="AH18" s="217">
        <f>IFERROR(AE18/G18,0)</f>
        <v/>
      </c>
      <c r="AI18" s="218">
        <f>IF(G18=0,0,AG18/G18)</f>
        <v/>
      </c>
      <c r="AJ18" s="225">
        <f>IFERROR(AI18/H18,0)</f>
        <v/>
      </c>
      <c r="AK18" s="27">
        <f>IFERROR(ABS(Z18/G18),0)</f>
        <v/>
      </c>
      <c r="AL18" s="109">
        <f>SUMIF('Opera Enerji Veri'!$C:$C, 'Opera Günlük Analiz'!$B18,'Opera Enerji Veri'!CH:CH)</f>
        <v/>
      </c>
      <c r="AM18" s="217">
        <f>M18-Y18</f>
        <v/>
      </c>
      <c r="AN18" s="97">
        <f>IFERROR(AM18/M18,0)</f>
        <v/>
      </c>
      <c r="AO18" s="217">
        <f>S18-AG18</f>
        <v/>
      </c>
      <c r="AP18" s="97">
        <f>IFERROR(AO18/S18,0)</f>
        <v/>
      </c>
    </row>
    <row r="19">
      <c r="B19" s="17">
        <f>B18+1</f>
        <v/>
      </c>
      <c r="C19" s="217">
        <f>IFERROR(AVERAGEIF('Opera Enerji Veri'!C:C,'Opera Günlük Analiz'!B19,'Opera Enerji Veri'!F:F),0)</f>
        <v/>
      </c>
      <c r="D19" s="217">
        <f>IFERROR(AVERAGEIF('Opera Enerji Veri'!$C:$C,'Opera Günlük Analiz'!$B19,'Opera Enerji Veri'!G:G),0)</f>
        <v/>
      </c>
      <c r="E19" s="217">
        <f>IFERROR(AVERAGEIF('Opera Enerji Veri'!$C:$C,'Opera Günlük Analiz'!$B19,'Opera Enerji Veri'!H:H),0)</f>
        <v/>
      </c>
      <c r="F19" s="217">
        <f>SUMIF('Opera Enerji Veri'!$C:$C, 'Opera Günlük Analiz'!$B19,'Opera Enerji Veri'!BE:BE)</f>
        <v/>
      </c>
      <c r="G19" s="217">
        <f>SUMIF('Opera Enerji Veri'!$C:$C, 'Opera Günlük Analiz'!$B19,'Opera Enerji Veri'!AY:AY)</f>
        <v/>
      </c>
      <c r="H19" s="217">
        <f>IFERROR(F19/G19,0)</f>
        <v/>
      </c>
      <c r="I19" s="217">
        <f>SUMIF('Opera Enerji Veri'!$C:$C, 'Opera Günlük Analiz'!$B19,'Opera Enerji Veri'!J:J)</f>
        <v/>
      </c>
      <c r="J19" s="217">
        <f>SUMIF('Opera Enerji Veri'!$C:$C, 'Opera Günlük Analiz'!$B19,'Opera Enerji Veri'!BF:BF)</f>
        <v/>
      </c>
      <c r="K19" s="217">
        <f>SUMIF('Opera Enerji Veri'!$C:$C, 'Opera Günlük Analiz'!$B19,'Opera Enerji Veri'!BG:BG)</f>
        <v/>
      </c>
      <c r="L19" s="217">
        <f>SUMIF('Opera Enerji Veri'!$C:$C, 'Opera Günlük Analiz'!$B19,'Opera Enerji Veri'!BH:BH)</f>
        <v/>
      </c>
      <c r="M19" s="217">
        <f>SUMIF('Opera Enerji Veri'!$C:$C, 'Opera Günlük Analiz'!$B19,'Opera Enerji Veri'!BB:BB)</f>
        <v/>
      </c>
      <c r="N19" s="217">
        <f>SUMIF('Opera Enerji Veri'!$C:$C, 'Opera Günlük Analiz'!$B19,'Opera Enerji Veri'!BJ:BJ)</f>
        <v/>
      </c>
      <c r="O19" s="217">
        <f>SUMIF('Opera Enerji Veri'!$C:$C, 'Opera Günlük Analiz'!$B19,'Opera Enerji Veri'!BK:BK)</f>
        <v/>
      </c>
      <c r="P19" s="217">
        <f>SUMIF('Opera Enerji Veri'!$C:$C, 'Opera Günlük Analiz'!$B19,'Opera Enerji Veri'!BL:BL)</f>
        <v/>
      </c>
      <c r="Q19" s="217">
        <f>J19+K19+P19-M19</f>
        <v/>
      </c>
      <c r="R19" s="217">
        <f>F19-Q19-M19</f>
        <v/>
      </c>
      <c r="S19" s="217">
        <f>M19+R19</f>
        <v/>
      </c>
      <c r="T19" s="217">
        <f>IFERROR(Q19/G19,0)</f>
        <v/>
      </c>
      <c r="U19" s="218">
        <f>IF(G19=0,0,S19/G19)</f>
        <v/>
      </c>
      <c r="V19" s="225">
        <f>IFERROR(U19/H19,0)</f>
        <v/>
      </c>
      <c r="W19" s="27">
        <f>IFERROR(ABS(N19/G19),0)</f>
        <v/>
      </c>
      <c r="X19" s="109">
        <f>SUMIF('Opera Enerji Veri'!$C:$C, 'Opera Günlük Analiz'!$B19,'Opera Enerji Veri'!BU:BU)</f>
        <v/>
      </c>
      <c r="Y19" s="217">
        <f>SUMIF('Opera Enerji Veri'!$C:$C, 'Opera Günlük Analiz'!$B19,'Opera Enerji Veri'!BD:BD)</f>
        <v/>
      </c>
      <c r="Z19" s="217">
        <f>SUMIF('Opera Enerji Veri'!$C:$C, 'Opera Günlük Analiz'!$B19,'Opera Enerji Veri'!BW:BW)</f>
        <v/>
      </c>
      <c r="AA19" s="217">
        <f>SUMIF('Opera Enerji Veri'!$C:$C, 'Opera Günlük Analiz'!$B19,'Opera Enerji Veri'!BX:BX)</f>
        <v/>
      </c>
      <c r="AB19" s="217">
        <f>SUMIF('Opera Enerji Veri'!$C:$C, 'Opera Günlük Analiz'!$B19,'Opera Enerji Veri'!BY:BY)</f>
        <v/>
      </c>
      <c r="AC19" s="219">
        <f>SUMIF('Opera Enerji Veri'!$C:$C, 'Opera Günlük Analiz'!$B19,'Opera Enerji Veri'!CI:CI)</f>
        <v/>
      </c>
      <c r="AD19" s="219">
        <f>IFERROR(AC19/G19,0)</f>
        <v/>
      </c>
      <c r="AE19" s="217">
        <f>J19+K19+L19+AB19-Y19</f>
        <v/>
      </c>
      <c r="AF19" s="217">
        <f>F19-AE19-Y19</f>
        <v/>
      </c>
      <c r="AG19" s="217">
        <f>Y19+AF19</f>
        <v/>
      </c>
      <c r="AH19" s="217">
        <f>IFERROR(AE19/G19,0)</f>
        <v/>
      </c>
      <c r="AI19" s="218">
        <f>IF(G19=0,0,AG19/G19)</f>
        <v/>
      </c>
      <c r="AJ19" s="225">
        <f>IFERROR(AI19/H19,0)</f>
        <v/>
      </c>
      <c r="AK19" s="27">
        <f>IFERROR(ABS(Z19/G19),0)</f>
        <v/>
      </c>
      <c r="AL19" s="109">
        <f>SUMIF('Opera Enerji Veri'!$C:$C, 'Opera Günlük Analiz'!$B19,'Opera Enerji Veri'!CH:CH)</f>
        <v/>
      </c>
      <c r="AM19" s="217">
        <f>M19-Y19</f>
        <v/>
      </c>
      <c r="AN19" s="97">
        <f>IFERROR(AM19/M19,0)</f>
        <v/>
      </c>
      <c r="AO19" s="217">
        <f>S19-AG19</f>
        <v/>
      </c>
      <c r="AP19" s="97">
        <f>IFERROR(AO19/S19,0)</f>
        <v/>
      </c>
    </row>
    <row r="20">
      <c r="B20" s="17">
        <f>B19+1</f>
        <v/>
      </c>
      <c r="C20" s="217">
        <f>IFERROR(AVERAGEIF('Opera Enerji Veri'!C:C,'Opera Günlük Analiz'!B20,'Opera Enerji Veri'!F:F),0)</f>
        <v/>
      </c>
      <c r="D20" s="217">
        <f>IFERROR(AVERAGEIF('Opera Enerji Veri'!$C:$C,'Opera Günlük Analiz'!$B20,'Opera Enerji Veri'!G:G),0)</f>
        <v/>
      </c>
      <c r="E20" s="217">
        <f>IFERROR(AVERAGEIF('Opera Enerji Veri'!$C:$C,'Opera Günlük Analiz'!$B20,'Opera Enerji Veri'!H:H),0)</f>
        <v/>
      </c>
      <c r="F20" s="217">
        <f>SUMIF('Opera Enerji Veri'!$C:$C, 'Opera Günlük Analiz'!$B20,'Opera Enerji Veri'!BE:BE)</f>
        <v/>
      </c>
      <c r="G20" s="217">
        <f>SUMIF('Opera Enerji Veri'!$C:$C, 'Opera Günlük Analiz'!$B20,'Opera Enerji Veri'!AY:AY)</f>
        <v/>
      </c>
      <c r="H20" s="217">
        <f>IFERROR(F20/G20,0)</f>
        <v/>
      </c>
      <c r="I20" s="217">
        <f>SUMIF('Opera Enerji Veri'!$C:$C, 'Opera Günlük Analiz'!$B20,'Opera Enerji Veri'!J:J)</f>
        <v/>
      </c>
      <c r="J20" s="217">
        <f>SUMIF('Opera Enerji Veri'!$C:$C, 'Opera Günlük Analiz'!$B20,'Opera Enerji Veri'!BF:BF)</f>
        <v/>
      </c>
      <c r="K20" s="217">
        <f>SUMIF('Opera Enerji Veri'!$C:$C, 'Opera Günlük Analiz'!$B20,'Opera Enerji Veri'!BG:BG)</f>
        <v/>
      </c>
      <c r="L20" s="217">
        <f>SUMIF('Opera Enerji Veri'!$C:$C, 'Opera Günlük Analiz'!$B20,'Opera Enerji Veri'!BH:BH)</f>
        <v/>
      </c>
      <c r="M20" s="217">
        <f>SUMIF('Opera Enerji Veri'!$C:$C, 'Opera Günlük Analiz'!$B20,'Opera Enerji Veri'!BB:BB)</f>
        <v/>
      </c>
      <c r="N20" s="217">
        <f>SUMIF('Opera Enerji Veri'!$C:$C, 'Opera Günlük Analiz'!$B20,'Opera Enerji Veri'!BJ:BJ)</f>
        <v/>
      </c>
      <c r="O20" s="217">
        <f>SUMIF('Opera Enerji Veri'!$C:$C, 'Opera Günlük Analiz'!$B20,'Opera Enerji Veri'!BK:BK)</f>
        <v/>
      </c>
      <c r="P20" s="217">
        <f>SUMIF('Opera Enerji Veri'!$C:$C, 'Opera Günlük Analiz'!$B20,'Opera Enerji Veri'!BL:BL)</f>
        <v/>
      </c>
      <c r="Q20" s="217">
        <f>J20+K20+P20-M20</f>
        <v/>
      </c>
      <c r="R20" s="217">
        <f>F20-Q20-M20</f>
        <v/>
      </c>
      <c r="S20" s="217">
        <f>M20+R20</f>
        <v/>
      </c>
      <c r="T20" s="217">
        <f>IFERROR(Q20/G20,0)</f>
        <v/>
      </c>
      <c r="U20" s="218">
        <f>IF(G20=0,0,S20/G20)</f>
        <v/>
      </c>
      <c r="V20" s="225">
        <f>IFERROR(U20/H20,0)</f>
        <v/>
      </c>
      <c r="W20" s="27">
        <f>IFERROR(ABS(N20/G20),0)</f>
        <v/>
      </c>
      <c r="X20" s="109">
        <f>SUMIF('Opera Enerji Veri'!$C:$C, 'Opera Günlük Analiz'!$B20,'Opera Enerji Veri'!BU:BU)</f>
        <v/>
      </c>
      <c r="Y20" s="217">
        <f>SUMIF('Opera Enerji Veri'!$C:$C, 'Opera Günlük Analiz'!$B20,'Opera Enerji Veri'!BD:BD)</f>
        <v/>
      </c>
      <c r="Z20" s="217">
        <f>SUMIF('Opera Enerji Veri'!$C:$C, 'Opera Günlük Analiz'!$B20,'Opera Enerji Veri'!BW:BW)</f>
        <v/>
      </c>
      <c r="AA20" s="217">
        <f>SUMIF('Opera Enerji Veri'!$C:$C, 'Opera Günlük Analiz'!$B20,'Opera Enerji Veri'!BX:BX)</f>
        <v/>
      </c>
      <c r="AB20" s="217">
        <f>SUMIF('Opera Enerji Veri'!$C:$C, 'Opera Günlük Analiz'!$B20,'Opera Enerji Veri'!BY:BY)</f>
        <v/>
      </c>
      <c r="AC20" s="219">
        <f>SUMIF('Opera Enerji Veri'!$C:$C, 'Opera Günlük Analiz'!$B20,'Opera Enerji Veri'!CI:CI)</f>
        <v/>
      </c>
      <c r="AD20" s="219">
        <f>IFERROR(AC20/G20,0)</f>
        <v/>
      </c>
      <c r="AE20" s="217">
        <f>J20+K20+L20+AB20-Y20</f>
        <v/>
      </c>
      <c r="AF20" s="217">
        <f>F20-AE20-Y20</f>
        <v/>
      </c>
      <c r="AG20" s="217">
        <f>Y20+AF20</f>
        <v/>
      </c>
      <c r="AH20" s="217">
        <f>IFERROR(AE20/G20,0)</f>
        <v/>
      </c>
      <c r="AI20" s="218">
        <f>IF(G20=0,0,AG20/G20)</f>
        <v/>
      </c>
      <c r="AJ20" s="225">
        <f>IFERROR(AI20/H20,0)</f>
        <v/>
      </c>
      <c r="AK20" s="27">
        <f>IFERROR(ABS(Z20/G20),0)</f>
        <v/>
      </c>
      <c r="AL20" s="109">
        <f>SUMIF('Opera Enerji Veri'!$C:$C, 'Opera Günlük Analiz'!$B20,'Opera Enerji Veri'!CH:CH)</f>
        <v/>
      </c>
      <c r="AM20" s="217">
        <f>M20-Y20</f>
        <v/>
      </c>
      <c r="AN20" s="97">
        <f>IFERROR(AM20/M20,0)</f>
        <v/>
      </c>
      <c r="AO20" s="217">
        <f>S20-AG20</f>
        <v/>
      </c>
      <c r="AP20" s="97">
        <f>IFERROR(AO20/S20,0)</f>
        <v/>
      </c>
    </row>
    <row r="21">
      <c r="B21" s="17">
        <f>B20+1</f>
        <v/>
      </c>
      <c r="C21" s="217">
        <f>IFERROR(AVERAGEIF('Opera Enerji Veri'!C:C,'Opera Günlük Analiz'!B21,'Opera Enerji Veri'!F:F),0)</f>
        <v/>
      </c>
      <c r="D21" s="217">
        <f>IFERROR(AVERAGEIF('Opera Enerji Veri'!$C:$C,'Opera Günlük Analiz'!$B21,'Opera Enerji Veri'!G:G),0)</f>
        <v/>
      </c>
      <c r="E21" s="217">
        <f>IFERROR(AVERAGEIF('Opera Enerji Veri'!$C:$C,'Opera Günlük Analiz'!$B21,'Opera Enerji Veri'!H:H),0)</f>
        <v/>
      </c>
      <c r="F21" s="217">
        <f>SUMIF('Opera Enerji Veri'!$C:$C, 'Opera Günlük Analiz'!$B21,'Opera Enerji Veri'!BE:BE)</f>
        <v/>
      </c>
      <c r="G21" s="217">
        <f>SUMIF('Opera Enerji Veri'!$C:$C, 'Opera Günlük Analiz'!$B21,'Opera Enerji Veri'!AY:AY)</f>
        <v/>
      </c>
      <c r="H21" s="217">
        <f>IFERROR(F21/G21,0)</f>
        <v/>
      </c>
      <c r="I21" s="217">
        <f>SUMIF('Opera Enerji Veri'!$C:$C, 'Opera Günlük Analiz'!$B21,'Opera Enerji Veri'!J:J)</f>
        <v/>
      </c>
      <c r="J21" s="217">
        <f>SUMIF('Opera Enerji Veri'!$C:$C, 'Opera Günlük Analiz'!$B21,'Opera Enerji Veri'!BF:BF)</f>
        <v/>
      </c>
      <c r="K21" s="217">
        <f>SUMIF('Opera Enerji Veri'!$C:$C, 'Opera Günlük Analiz'!$B21,'Opera Enerji Veri'!BG:BG)</f>
        <v/>
      </c>
      <c r="L21" s="217">
        <f>SUMIF('Opera Enerji Veri'!$C:$C, 'Opera Günlük Analiz'!$B21,'Opera Enerji Veri'!BH:BH)</f>
        <v/>
      </c>
      <c r="M21" s="217">
        <f>SUMIF('Opera Enerji Veri'!$C:$C, 'Opera Günlük Analiz'!$B21,'Opera Enerji Veri'!BB:BB)</f>
        <v/>
      </c>
      <c r="N21" s="217">
        <f>SUMIF('Opera Enerji Veri'!$C:$C, 'Opera Günlük Analiz'!$B21,'Opera Enerji Veri'!BJ:BJ)</f>
        <v/>
      </c>
      <c r="O21" s="217">
        <f>SUMIF('Opera Enerji Veri'!$C:$C, 'Opera Günlük Analiz'!$B21,'Opera Enerji Veri'!BK:BK)</f>
        <v/>
      </c>
      <c r="P21" s="217">
        <f>SUMIF('Opera Enerji Veri'!$C:$C, 'Opera Günlük Analiz'!$B21,'Opera Enerji Veri'!BL:BL)</f>
        <v/>
      </c>
      <c r="Q21" s="217">
        <f>J21+K21+P21-M21</f>
        <v/>
      </c>
      <c r="R21" s="217">
        <f>F21-Q21-M21</f>
        <v/>
      </c>
      <c r="S21" s="217">
        <f>M21+R21</f>
        <v/>
      </c>
      <c r="T21" s="217">
        <f>IFERROR(Q21/G21,0)</f>
        <v/>
      </c>
      <c r="U21" s="218">
        <f>IF(G21=0,0,S21/G21)</f>
        <v/>
      </c>
      <c r="V21" s="225">
        <f>IFERROR(U21/H21,0)</f>
        <v/>
      </c>
      <c r="W21" s="27">
        <f>IFERROR(ABS(N21/G21),0)</f>
        <v/>
      </c>
      <c r="X21" s="109">
        <f>SUMIF('Opera Enerji Veri'!$C:$C, 'Opera Günlük Analiz'!$B21,'Opera Enerji Veri'!BU:BU)</f>
        <v/>
      </c>
      <c r="Y21" s="217">
        <f>SUMIF('Opera Enerji Veri'!$C:$C, 'Opera Günlük Analiz'!$B21,'Opera Enerji Veri'!BD:BD)</f>
        <v/>
      </c>
      <c r="Z21" s="217">
        <f>SUMIF('Opera Enerji Veri'!$C:$C, 'Opera Günlük Analiz'!$B21,'Opera Enerji Veri'!BW:BW)</f>
        <v/>
      </c>
      <c r="AA21" s="217">
        <f>SUMIF('Opera Enerji Veri'!$C:$C, 'Opera Günlük Analiz'!$B21,'Opera Enerji Veri'!BX:BX)</f>
        <v/>
      </c>
      <c r="AB21" s="217">
        <f>SUMIF('Opera Enerji Veri'!$C:$C, 'Opera Günlük Analiz'!$B21,'Opera Enerji Veri'!BY:BY)</f>
        <v/>
      </c>
      <c r="AC21" s="219">
        <f>SUMIF('Opera Enerji Veri'!$C:$C, 'Opera Günlük Analiz'!$B21,'Opera Enerji Veri'!CI:CI)</f>
        <v/>
      </c>
      <c r="AD21" s="219">
        <f>IFERROR(AC21/G21,0)</f>
        <v/>
      </c>
      <c r="AE21" s="217">
        <f>J21+K21+L21+AB21-Y21</f>
        <v/>
      </c>
      <c r="AF21" s="217">
        <f>F21-AE21-Y21</f>
        <v/>
      </c>
      <c r="AG21" s="217">
        <f>Y21+AF21</f>
        <v/>
      </c>
      <c r="AH21" s="217">
        <f>IFERROR(AE21/G21,0)</f>
        <v/>
      </c>
      <c r="AI21" s="218">
        <f>IF(G21=0,0,AG21/G21)</f>
        <v/>
      </c>
      <c r="AJ21" s="225">
        <f>IFERROR(AI21/H21,0)</f>
        <v/>
      </c>
      <c r="AK21" s="27">
        <f>IFERROR(ABS(Z21/G21),0)</f>
        <v/>
      </c>
      <c r="AL21" s="109">
        <f>SUMIF('Opera Enerji Veri'!$C:$C, 'Opera Günlük Analiz'!$B21,'Opera Enerji Veri'!CH:CH)</f>
        <v/>
      </c>
      <c r="AM21" s="217">
        <f>M21-Y21</f>
        <v/>
      </c>
      <c r="AN21" s="97">
        <f>IFERROR(AM21/M21,0)</f>
        <v/>
      </c>
      <c r="AO21" s="217">
        <f>S21-AG21</f>
        <v/>
      </c>
      <c r="AP21" s="97">
        <f>IFERROR(AO21/S21,0)</f>
        <v/>
      </c>
    </row>
    <row r="22">
      <c r="B22" s="17">
        <f>B21+1</f>
        <v/>
      </c>
      <c r="C22" s="217">
        <f>IFERROR(AVERAGEIF('Opera Enerji Veri'!C:C,'Opera Günlük Analiz'!B22,'Opera Enerji Veri'!F:F),0)</f>
        <v/>
      </c>
      <c r="D22" s="217">
        <f>IFERROR(AVERAGEIF('Opera Enerji Veri'!$C:$C,'Opera Günlük Analiz'!$B22,'Opera Enerji Veri'!G:G),0)</f>
        <v/>
      </c>
      <c r="E22" s="217">
        <f>IFERROR(AVERAGEIF('Opera Enerji Veri'!$C:$C,'Opera Günlük Analiz'!$B22,'Opera Enerji Veri'!H:H),0)</f>
        <v/>
      </c>
      <c r="F22" s="217">
        <f>SUMIF('Opera Enerji Veri'!$C:$C, 'Opera Günlük Analiz'!$B22,'Opera Enerji Veri'!BE:BE)</f>
        <v/>
      </c>
      <c r="G22" s="217">
        <f>SUMIF('Opera Enerji Veri'!$C:$C, 'Opera Günlük Analiz'!$B22,'Opera Enerji Veri'!AY:AY)</f>
        <v/>
      </c>
      <c r="H22" s="217">
        <f>IFERROR(F22/G22,0)</f>
        <v/>
      </c>
      <c r="I22" s="217">
        <f>SUMIF('Opera Enerji Veri'!$C:$C, 'Opera Günlük Analiz'!$B22,'Opera Enerji Veri'!J:J)</f>
        <v/>
      </c>
      <c r="J22" s="217">
        <f>SUMIF('Opera Enerji Veri'!$C:$C, 'Opera Günlük Analiz'!$B22,'Opera Enerji Veri'!BF:BF)</f>
        <v/>
      </c>
      <c r="K22" s="217">
        <f>SUMIF('Opera Enerji Veri'!$C:$C, 'Opera Günlük Analiz'!$B22,'Opera Enerji Veri'!BG:BG)</f>
        <v/>
      </c>
      <c r="L22" s="217">
        <f>SUMIF('Opera Enerji Veri'!$C:$C, 'Opera Günlük Analiz'!$B22,'Opera Enerji Veri'!BH:BH)</f>
        <v/>
      </c>
      <c r="M22" s="217">
        <f>SUMIF('Opera Enerji Veri'!$C:$C, 'Opera Günlük Analiz'!$B22,'Opera Enerji Veri'!BB:BB)</f>
        <v/>
      </c>
      <c r="N22" s="217">
        <f>SUMIF('Opera Enerji Veri'!$C:$C, 'Opera Günlük Analiz'!$B22,'Opera Enerji Veri'!BJ:BJ)</f>
        <v/>
      </c>
      <c r="O22" s="217">
        <f>SUMIF('Opera Enerji Veri'!$C:$C, 'Opera Günlük Analiz'!$B22,'Opera Enerji Veri'!BK:BK)</f>
        <v/>
      </c>
      <c r="P22" s="217">
        <f>SUMIF('Opera Enerji Veri'!$C:$C, 'Opera Günlük Analiz'!$B22,'Opera Enerji Veri'!BL:BL)</f>
        <v/>
      </c>
      <c r="Q22" s="217">
        <f>J22+K22+P22-M22</f>
        <v/>
      </c>
      <c r="R22" s="217">
        <f>F22-Q22-M22</f>
        <v/>
      </c>
      <c r="S22" s="217">
        <f>M22+R22</f>
        <v/>
      </c>
      <c r="T22" s="217">
        <f>IFERROR(Q22/G22,0)</f>
        <v/>
      </c>
      <c r="U22" s="218">
        <f>IF(G22=0,0,S22/G22)</f>
        <v/>
      </c>
      <c r="V22" s="225">
        <f>IFERROR(U22/H22,0)</f>
        <v/>
      </c>
      <c r="W22" s="27">
        <f>IFERROR(ABS(N22/G22),0)</f>
        <v/>
      </c>
      <c r="X22" s="109">
        <f>SUMIF('Opera Enerji Veri'!$C:$C, 'Opera Günlük Analiz'!$B22,'Opera Enerji Veri'!BU:BU)</f>
        <v/>
      </c>
      <c r="Y22" s="217">
        <f>SUMIF('Opera Enerji Veri'!$C:$C, 'Opera Günlük Analiz'!$B22,'Opera Enerji Veri'!BD:BD)</f>
        <v/>
      </c>
      <c r="Z22" s="217">
        <f>SUMIF('Opera Enerji Veri'!$C:$C, 'Opera Günlük Analiz'!$B22,'Opera Enerji Veri'!BW:BW)</f>
        <v/>
      </c>
      <c r="AA22" s="217">
        <f>SUMIF('Opera Enerji Veri'!$C:$C, 'Opera Günlük Analiz'!$B22,'Opera Enerji Veri'!BX:BX)</f>
        <v/>
      </c>
      <c r="AB22" s="217">
        <f>SUMIF('Opera Enerji Veri'!$C:$C, 'Opera Günlük Analiz'!$B22,'Opera Enerji Veri'!BY:BY)</f>
        <v/>
      </c>
      <c r="AC22" s="219">
        <f>SUMIF('Opera Enerji Veri'!$C:$C, 'Opera Günlük Analiz'!$B22,'Opera Enerji Veri'!CI:CI)</f>
        <v/>
      </c>
      <c r="AD22" s="219">
        <f>IFERROR(AC22/G22,0)</f>
        <v/>
      </c>
      <c r="AE22" s="217">
        <f>J22+K22+L22+AB22-Y22</f>
        <v/>
      </c>
      <c r="AF22" s="217">
        <f>F22-AE22-Y22</f>
        <v/>
      </c>
      <c r="AG22" s="217">
        <f>Y22+AF22</f>
        <v/>
      </c>
      <c r="AH22" s="217">
        <f>IFERROR(AE22/G22,0)</f>
        <v/>
      </c>
      <c r="AI22" s="218">
        <f>IF(G22=0,0,AG22/G22)</f>
        <v/>
      </c>
      <c r="AJ22" s="225">
        <f>IFERROR(AI22/H22,0)</f>
        <v/>
      </c>
      <c r="AK22" s="27">
        <f>IFERROR(ABS(Z22/G22),0)</f>
        <v/>
      </c>
      <c r="AL22" s="109">
        <f>SUMIF('Opera Enerji Veri'!$C:$C, 'Opera Günlük Analiz'!$B22,'Opera Enerji Veri'!CH:CH)</f>
        <v/>
      </c>
      <c r="AM22" s="217">
        <f>M22-Y22</f>
        <v/>
      </c>
      <c r="AN22" s="97">
        <f>IFERROR(AM22/M22,0)</f>
        <v/>
      </c>
      <c r="AO22" s="217">
        <f>S22-AG22</f>
        <v/>
      </c>
      <c r="AP22" s="97">
        <f>IFERROR(AO22/S22,0)</f>
        <v/>
      </c>
    </row>
    <row r="23">
      <c r="B23" s="17">
        <f>B22+1</f>
        <v/>
      </c>
      <c r="C23" s="217">
        <f>IFERROR(AVERAGEIF('Opera Enerji Veri'!C:C,'Opera Günlük Analiz'!B23,'Opera Enerji Veri'!F:F),0)</f>
        <v/>
      </c>
      <c r="D23" s="217">
        <f>IFERROR(AVERAGEIF('Opera Enerji Veri'!$C:$C,'Opera Günlük Analiz'!$B23,'Opera Enerji Veri'!G:G),0)</f>
        <v/>
      </c>
      <c r="E23" s="217">
        <f>IFERROR(AVERAGEIF('Opera Enerji Veri'!$C:$C,'Opera Günlük Analiz'!$B23,'Opera Enerji Veri'!H:H),0)</f>
        <v/>
      </c>
      <c r="F23" s="217">
        <f>SUMIF('Opera Enerji Veri'!$C:$C, 'Opera Günlük Analiz'!$B23,'Opera Enerji Veri'!BE:BE)</f>
        <v/>
      </c>
      <c r="G23" s="217">
        <f>SUMIF('Opera Enerji Veri'!$C:$C, 'Opera Günlük Analiz'!$B23,'Opera Enerji Veri'!AY:AY)</f>
        <v/>
      </c>
      <c r="H23" s="217">
        <f>IFERROR(F23/G23,0)</f>
        <v/>
      </c>
      <c r="I23" s="217">
        <f>SUMIF('Opera Enerji Veri'!$C:$C, 'Opera Günlük Analiz'!$B23,'Opera Enerji Veri'!J:J)</f>
        <v/>
      </c>
      <c r="J23" s="217">
        <f>SUMIF('Opera Enerji Veri'!$C:$C, 'Opera Günlük Analiz'!$B23,'Opera Enerji Veri'!BF:BF)</f>
        <v/>
      </c>
      <c r="K23" s="217">
        <f>SUMIF('Opera Enerji Veri'!$C:$C, 'Opera Günlük Analiz'!$B23,'Opera Enerji Veri'!BG:BG)</f>
        <v/>
      </c>
      <c r="L23" s="217">
        <f>SUMIF('Opera Enerji Veri'!$C:$C, 'Opera Günlük Analiz'!$B23,'Opera Enerji Veri'!BH:BH)</f>
        <v/>
      </c>
      <c r="M23" s="217">
        <f>SUMIF('Opera Enerji Veri'!$C:$C, 'Opera Günlük Analiz'!$B23,'Opera Enerji Veri'!BB:BB)</f>
        <v/>
      </c>
      <c r="N23" s="217">
        <f>SUMIF('Opera Enerji Veri'!$C:$C, 'Opera Günlük Analiz'!$B23,'Opera Enerji Veri'!BJ:BJ)</f>
        <v/>
      </c>
      <c r="O23" s="217">
        <f>SUMIF('Opera Enerji Veri'!$C:$C, 'Opera Günlük Analiz'!$B23,'Opera Enerji Veri'!BK:BK)</f>
        <v/>
      </c>
      <c r="P23" s="217">
        <f>SUMIF('Opera Enerji Veri'!$C:$C, 'Opera Günlük Analiz'!$B23,'Opera Enerji Veri'!BL:BL)</f>
        <v/>
      </c>
      <c r="Q23" s="217">
        <f>J23+K23+P23-M23</f>
        <v/>
      </c>
      <c r="R23" s="217">
        <f>F23-Q23-M23</f>
        <v/>
      </c>
      <c r="S23" s="217">
        <f>M23+R23</f>
        <v/>
      </c>
      <c r="T23" s="217">
        <f>IFERROR(Q23/G23,0)</f>
        <v/>
      </c>
      <c r="U23" s="218">
        <f>IF(G23=0,0,S23/G23)</f>
        <v/>
      </c>
      <c r="V23" s="225">
        <f>IFERROR(U23/H23,0)</f>
        <v/>
      </c>
      <c r="W23" s="27">
        <f>IFERROR(ABS(N23/G23),0)</f>
        <v/>
      </c>
      <c r="X23" s="109">
        <f>SUMIF('Opera Enerji Veri'!$C:$C, 'Opera Günlük Analiz'!$B23,'Opera Enerji Veri'!BU:BU)</f>
        <v/>
      </c>
      <c r="Y23" s="217">
        <f>SUMIF('Opera Enerji Veri'!$C:$C, 'Opera Günlük Analiz'!$B23,'Opera Enerji Veri'!BD:BD)</f>
        <v/>
      </c>
      <c r="Z23" s="217">
        <f>SUMIF('Opera Enerji Veri'!$C:$C, 'Opera Günlük Analiz'!$B23,'Opera Enerji Veri'!BW:BW)</f>
        <v/>
      </c>
      <c r="AA23" s="217">
        <f>SUMIF('Opera Enerji Veri'!$C:$C, 'Opera Günlük Analiz'!$B23,'Opera Enerji Veri'!BX:BX)</f>
        <v/>
      </c>
      <c r="AB23" s="217">
        <f>SUMIF('Opera Enerji Veri'!$C:$C, 'Opera Günlük Analiz'!$B23,'Opera Enerji Veri'!BY:BY)</f>
        <v/>
      </c>
      <c r="AC23" s="219">
        <f>SUMIF('Opera Enerji Veri'!$C:$C, 'Opera Günlük Analiz'!$B23,'Opera Enerji Veri'!CI:CI)</f>
        <v/>
      </c>
      <c r="AD23" s="219">
        <f>IFERROR(AC23/G23,0)</f>
        <v/>
      </c>
      <c r="AE23" s="217">
        <f>J23+K23+L23+AB23-Y23</f>
        <v/>
      </c>
      <c r="AF23" s="217">
        <f>F23-AE23-Y23</f>
        <v/>
      </c>
      <c r="AG23" s="217">
        <f>Y23+AF23</f>
        <v/>
      </c>
      <c r="AH23" s="217">
        <f>IFERROR(AE23/G23,0)</f>
        <v/>
      </c>
      <c r="AI23" s="218">
        <f>IF(G23=0,0,AG23/G23)</f>
        <v/>
      </c>
      <c r="AJ23" s="225">
        <f>IFERROR(AI23/H23,0)</f>
        <v/>
      </c>
      <c r="AK23" s="27">
        <f>IFERROR(ABS(Z23/G23),0)</f>
        <v/>
      </c>
      <c r="AL23" s="109">
        <f>SUMIF('Opera Enerji Veri'!$C:$C, 'Opera Günlük Analiz'!$B23,'Opera Enerji Veri'!CH:CH)</f>
        <v/>
      </c>
      <c r="AM23" s="217">
        <f>M23-Y23</f>
        <v/>
      </c>
      <c r="AN23" s="97">
        <f>IFERROR(AM23/M23,0)</f>
        <v/>
      </c>
      <c r="AO23" s="217">
        <f>S23-AG23</f>
        <v/>
      </c>
      <c r="AP23" s="97">
        <f>IFERROR(AO23/S23,0)</f>
        <v/>
      </c>
    </row>
    <row r="24">
      <c r="B24" s="17">
        <f>B23+1</f>
        <v/>
      </c>
      <c r="C24" s="217">
        <f>IFERROR(AVERAGEIF('Opera Enerji Veri'!C:C,'Opera Günlük Analiz'!B24,'Opera Enerji Veri'!F:F),0)</f>
        <v/>
      </c>
      <c r="D24" s="217">
        <f>IFERROR(AVERAGEIF('Opera Enerji Veri'!$C:$C,'Opera Günlük Analiz'!$B24,'Opera Enerji Veri'!G:G),0)</f>
        <v/>
      </c>
      <c r="E24" s="217">
        <f>IFERROR(AVERAGEIF('Opera Enerji Veri'!$C:$C,'Opera Günlük Analiz'!$B24,'Opera Enerji Veri'!H:H),0)</f>
        <v/>
      </c>
      <c r="F24" s="217">
        <f>SUMIF('Opera Enerji Veri'!$C:$C, 'Opera Günlük Analiz'!$B24,'Opera Enerji Veri'!BE:BE)</f>
        <v/>
      </c>
      <c r="G24" s="217">
        <f>SUMIF('Opera Enerji Veri'!$C:$C, 'Opera Günlük Analiz'!$B24,'Opera Enerji Veri'!AY:AY)</f>
        <v/>
      </c>
      <c r="H24" s="217">
        <f>IFERROR(F24/G24,0)</f>
        <v/>
      </c>
      <c r="I24" s="217">
        <f>SUMIF('Opera Enerji Veri'!$C:$C, 'Opera Günlük Analiz'!$B24,'Opera Enerji Veri'!J:J)</f>
        <v/>
      </c>
      <c r="J24" s="217">
        <f>SUMIF('Opera Enerji Veri'!$C:$C, 'Opera Günlük Analiz'!$B24,'Opera Enerji Veri'!BF:BF)</f>
        <v/>
      </c>
      <c r="K24" s="217">
        <f>SUMIF('Opera Enerji Veri'!$C:$C, 'Opera Günlük Analiz'!$B24,'Opera Enerji Veri'!BG:BG)</f>
        <v/>
      </c>
      <c r="L24" s="217">
        <f>SUMIF('Opera Enerji Veri'!$C:$C, 'Opera Günlük Analiz'!$B24,'Opera Enerji Veri'!BH:BH)</f>
        <v/>
      </c>
      <c r="M24" s="217">
        <f>SUMIF('Opera Enerji Veri'!$C:$C, 'Opera Günlük Analiz'!$B24,'Opera Enerji Veri'!BB:BB)</f>
        <v/>
      </c>
      <c r="N24" s="217">
        <f>SUMIF('Opera Enerji Veri'!$C:$C, 'Opera Günlük Analiz'!$B24,'Opera Enerji Veri'!BJ:BJ)</f>
        <v/>
      </c>
      <c r="O24" s="217">
        <f>SUMIF('Opera Enerji Veri'!$C:$C, 'Opera Günlük Analiz'!$B24,'Opera Enerji Veri'!BK:BK)</f>
        <v/>
      </c>
      <c r="P24" s="217">
        <f>SUMIF('Opera Enerji Veri'!$C:$C, 'Opera Günlük Analiz'!$B24,'Opera Enerji Veri'!BL:BL)</f>
        <v/>
      </c>
      <c r="Q24" s="217">
        <f>J24+K24+P24-M24</f>
        <v/>
      </c>
      <c r="R24" s="217">
        <f>F24-Q24-M24</f>
        <v/>
      </c>
      <c r="S24" s="217">
        <f>M24+R24</f>
        <v/>
      </c>
      <c r="T24" s="217">
        <f>IFERROR(Q24/G24,0)</f>
        <v/>
      </c>
      <c r="U24" s="218">
        <f>IF(G24=0,0,S24/G24)</f>
        <v/>
      </c>
      <c r="V24" s="225">
        <f>IFERROR(U24/H24,0)</f>
        <v/>
      </c>
      <c r="W24" s="27">
        <f>IFERROR(ABS(N24/G24),0)</f>
        <v/>
      </c>
      <c r="X24" s="109">
        <f>SUMIF('Opera Enerji Veri'!$C:$C, 'Opera Günlük Analiz'!$B24,'Opera Enerji Veri'!BU:BU)</f>
        <v/>
      </c>
      <c r="Y24" s="217">
        <f>SUMIF('Opera Enerji Veri'!$C:$C, 'Opera Günlük Analiz'!$B24,'Opera Enerji Veri'!BD:BD)</f>
        <v/>
      </c>
      <c r="Z24" s="217">
        <f>SUMIF('Opera Enerji Veri'!$C:$C, 'Opera Günlük Analiz'!$B24,'Opera Enerji Veri'!BW:BW)</f>
        <v/>
      </c>
      <c r="AA24" s="217">
        <f>SUMIF('Opera Enerji Veri'!$C:$C, 'Opera Günlük Analiz'!$B24,'Opera Enerji Veri'!BX:BX)</f>
        <v/>
      </c>
      <c r="AB24" s="217">
        <f>SUMIF('Opera Enerji Veri'!$C:$C, 'Opera Günlük Analiz'!$B24,'Opera Enerji Veri'!BY:BY)</f>
        <v/>
      </c>
      <c r="AC24" s="219">
        <f>SUMIF('Opera Enerji Veri'!$C:$C, 'Opera Günlük Analiz'!$B24,'Opera Enerji Veri'!CI:CI)</f>
        <v/>
      </c>
      <c r="AD24" s="219">
        <f>IFERROR(AC24/G24,0)</f>
        <v/>
      </c>
      <c r="AE24" s="217">
        <f>J24+K24+L24+AB24-Y24</f>
        <v/>
      </c>
      <c r="AF24" s="217">
        <f>F24-AE24-Y24</f>
        <v/>
      </c>
      <c r="AG24" s="217">
        <f>Y24+AF24</f>
        <v/>
      </c>
      <c r="AH24" s="217">
        <f>IFERROR(AE24/G24,0)</f>
        <v/>
      </c>
      <c r="AI24" s="218">
        <f>IF(G24=0,0,AG24/G24)</f>
        <v/>
      </c>
      <c r="AJ24" s="225">
        <f>IFERROR(AI24/H24,0)</f>
        <v/>
      </c>
      <c r="AK24" s="27">
        <f>IFERROR(ABS(Z24/G24),0)</f>
        <v/>
      </c>
      <c r="AL24" s="109">
        <f>SUMIF('Opera Enerji Veri'!$C:$C, 'Opera Günlük Analiz'!$B24,'Opera Enerji Veri'!CH:CH)</f>
        <v/>
      </c>
      <c r="AM24" s="217">
        <f>M24-Y24</f>
        <v/>
      </c>
      <c r="AN24" s="97">
        <f>IFERROR(AM24/M24,0)</f>
        <v/>
      </c>
      <c r="AO24" s="217">
        <f>S24-AG24</f>
        <v/>
      </c>
      <c r="AP24" s="97">
        <f>IFERROR(AO24/S24,0)</f>
        <v/>
      </c>
    </row>
    <row r="25">
      <c r="B25" s="17">
        <f>B24+1</f>
        <v/>
      </c>
      <c r="C25" s="217">
        <f>IFERROR(AVERAGEIF('Opera Enerji Veri'!C:C,'Opera Günlük Analiz'!B25,'Opera Enerji Veri'!F:F),0)</f>
        <v/>
      </c>
      <c r="D25" s="217">
        <f>IFERROR(AVERAGEIF('Opera Enerji Veri'!$C:$C,'Opera Günlük Analiz'!$B25,'Opera Enerji Veri'!G:G),0)</f>
        <v/>
      </c>
      <c r="E25" s="217">
        <f>IFERROR(AVERAGEIF('Opera Enerji Veri'!$C:$C,'Opera Günlük Analiz'!$B25,'Opera Enerji Veri'!H:H),0)</f>
        <v/>
      </c>
      <c r="F25" s="217">
        <f>SUMIF('Opera Enerji Veri'!$C:$C, 'Opera Günlük Analiz'!$B25,'Opera Enerji Veri'!BE:BE)</f>
        <v/>
      </c>
      <c r="G25" s="217">
        <f>SUMIF('Opera Enerji Veri'!$C:$C, 'Opera Günlük Analiz'!$B25,'Opera Enerji Veri'!AY:AY)</f>
        <v/>
      </c>
      <c r="H25" s="217">
        <f>IFERROR(F25/G25,0)</f>
        <v/>
      </c>
      <c r="I25" s="217">
        <f>SUMIF('Opera Enerji Veri'!$C:$C, 'Opera Günlük Analiz'!$B25,'Opera Enerji Veri'!J:J)</f>
        <v/>
      </c>
      <c r="J25" s="217">
        <f>SUMIF('Opera Enerji Veri'!$C:$C, 'Opera Günlük Analiz'!$B25,'Opera Enerji Veri'!BF:BF)</f>
        <v/>
      </c>
      <c r="K25" s="217">
        <f>SUMIF('Opera Enerji Veri'!$C:$C, 'Opera Günlük Analiz'!$B25,'Opera Enerji Veri'!BG:BG)</f>
        <v/>
      </c>
      <c r="L25" s="217">
        <f>SUMIF('Opera Enerji Veri'!$C:$C, 'Opera Günlük Analiz'!$B25,'Opera Enerji Veri'!BH:BH)</f>
        <v/>
      </c>
      <c r="M25" s="217">
        <f>SUMIF('Opera Enerji Veri'!$C:$C, 'Opera Günlük Analiz'!$B25,'Opera Enerji Veri'!BB:BB)</f>
        <v/>
      </c>
      <c r="N25" s="217">
        <f>SUMIF('Opera Enerji Veri'!$C:$C, 'Opera Günlük Analiz'!$B25,'Opera Enerji Veri'!BJ:BJ)</f>
        <v/>
      </c>
      <c r="O25" s="217">
        <f>SUMIF('Opera Enerji Veri'!$C:$C, 'Opera Günlük Analiz'!$B25,'Opera Enerji Veri'!BK:BK)</f>
        <v/>
      </c>
      <c r="P25" s="217">
        <f>SUMIF('Opera Enerji Veri'!$C:$C, 'Opera Günlük Analiz'!$B25,'Opera Enerji Veri'!BL:BL)</f>
        <v/>
      </c>
      <c r="Q25" s="217">
        <f>J25+K25+P25-M25</f>
        <v/>
      </c>
      <c r="R25" s="217">
        <f>F25-Q25-M25</f>
        <v/>
      </c>
      <c r="S25" s="217">
        <f>M25+R25</f>
        <v/>
      </c>
      <c r="T25" s="217">
        <f>IFERROR(Q25/G25,0)</f>
        <v/>
      </c>
      <c r="U25" s="218">
        <f>IF(G25=0,0,S25/G25)</f>
        <v/>
      </c>
      <c r="V25" s="225">
        <f>IFERROR(U25/H25,0)</f>
        <v/>
      </c>
      <c r="W25" s="27">
        <f>IFERROR(ABS(N25/G25),0)</f>
        <v/>
      </c>
      <c r="X25" s="109">
        <f>SUMIF('Opera Enerji Veri'!$C:$C, 'Opera Günlük Analiz'!$B25,'Opera Enerji Veri'!BU:BU)</f>
        <v/>
      </c>
      <c r="Y25" s="217">
        <f>SUMIF('Opera Enerji Veri'!$C:$C, 'Opera Günlük Analiz'!$B25,'Opera Enerji Veri'!BD:BD)</f>
        <v/>
      </c>
      <c r="Z25" s="217">
        <f>SUMIF('Opera Enerji Veri'!$C:$C, 'Opera Günlük Analiz'!$B25,'Opera Enerji Veri'!BW:BW)</f>
        <v/>
      </c>
      <c r="AA25" s="217">
        <f>SUMIF('Opera Enerji Veri'!$C:$C, 'Opera Günlük Analiz'!$B25,'Opera Enerji Veri'!BX:BX)</f>
        <v/>
      </c>
      <c r="AB25" s="217">
        <f>SUMIF('Opera Enerji Veri'!$C:$C, 'Opera Günlük Analiz'!$B25,'Opera Enerji Veri'!BY:BY)</f>
        <v/>
      </c>
      <c r="AC25" s="219">
        <f>SUMIF('Opera Enerji Veri'!$C:$C, 'Opera Günlük Analiz'!$B25,'Opera Enerji Veri'!CI:CI)</f>
        <v/>
      </c>
      <c r="AD25" s="219">
        <f>IFERROR(AC25/G25,0)</f>
        <v/>
      </c>
      <c r="AE25" s="217">
        <f>J25+K25+L25+AB25-Y25</f>
        <v/>
      </c>
      <c r="AF25" s="217">
        <f>F25-AE25-Y25</f>
        <v/>
      </c>
      <c r="AG25" s="217">
        <f>Y25+AF25</f>
        <v/>
      </c>
      <c r="AH25" s="217">
        <f>IFERROR(AE25/G25,0)</f>
        <v/>
      </c>
      <c r="AI25" s="218">
        <f>IF(G25=0,0,AG25/G25)</f>
        <v/>
      </c>
      <c r="AJ25" s="225">
        <f>IFERROR(AI25/H25,0)</f>
        <v/>
      </c>
      <c r="AK25" s="27">
        <f>IFERROR(ABS(Z25/G25),0)</f>
        <v/>
      </c>
      <c r="AL25" s="109">
        <f>SUMIF('Opera Enerji Veri'!$C:$C, 'Opera Günlük Analiz'!$B25,'Opera Enerji Veri'!CH:CH)</f>
        <v/>
      </c>
      <c r="AM25" s="217">
        <f>M25-Y25</f>
        <v/>
      </c>
      <c r="AN25" s="97">
        <f>IFERROR(AM25/M25,0)</f>
        <v/>
      </c>
      <c r="AO25" s="217">
        <f>S25-AG25</f>
        <v/>
      </c>
      <c r="AP25" s="97">
        <f>IFERROR(AO25/S25,0)</f>
        <v/>
      </c>
    </row>
    <row r="26">
      <c r="B26" s="17">
        <f>B25+1</f>
        <v/>
      </c>
      <c r="C26" s="217">
        <f>IFERROR(AVERAGEIF('Opera Enerji Veri'!C:C,'Opera Günlük Analiz'!B26,'Opera Enerji Veri'!F:F),0)</f>
        <v/>
      </c>
      <c r="D26" s="217">
        <f>IFERROR(AVERAGEIF('Opera Enerji Veri'!$C:$C,'Opera Günlük Analiz'!$B26,'Opera Enerji Veri'!G:G),0)</f>
        <v/>
      </c>
      <c r="E26" s="217">
        <f>IFERROR(AVERAGEIF('Opera Enerji Veri'!$C:$C,'Opera Günlük Analiz'!$B26,'Opera Enerji Veri'!H:H),0)</f>
        <v/>
      </c>
      <c r="F26" s="217">
        <f>SUMIF('Opera Enerji Veri'!$C:$C, 'Opera Günlük Analiz'!$B26,'Opera Enerji Veri'!BE:BE)</f>
        <v/>
      </c>
      <c r="G26" s="217">
        <f>SUMIF('Opera Enerji Veri'!$C:$C, 'Opera Günlük Analiz'!$B26,'Opera Enerji Veri'!AY:AY)</f>
        <v/>
      </c>
      <c r="H26" s="217">
        <f>IFERROR(F26/G26,0)</f>
        <v/>
      </c>
      <c r="I26" s="217">
        <f>SUMIF('Opera Enerji Veri'!$C:$C, 'Opera Günlük Analiz'!$B26,'Opera Enerji Veri'!J:J)</f>
        <v/>
      </c>
      <c r="J26" s="217">
        <f>SUMIF('Opera Enerji Veri'!$C:$C, 'Opera Günlük Analiz'!$B26,'Opera Enerji Veri'!BF:BF)</f>
        <v/>
      </c>
      <c r="K26" s="217">
        <f>SUMIF('Opera Enerji Veri'!$C:$C, 'Opera Günlük Analiz'!$B26,'Opera Enerji Veri'!BG:BG)</f>
        <v/>
      </c>
      <c r="L26" s="217">
        <f>SUMIF('Opera Enerji Veri'!$C:$C, 'Opera Günlük Analiz'!$B26,'Opera Enerji Veri'!BH:BH)</f>
        <v/>
      </c>
      <c r="M26" s="217">
        <f>SUMIF('Opera Enerji Veri'!$C:$C, 'Opera Günlük Analiz'!$B26,'Opera Enerji Veri'!BB:BB)</f>
        <v/>
      </c>
      <c r="N26" s="217">
        <f>SUMIF('Opera Enerji Veri'!$C:$C, 'Opera Günlük Analiz'!$B26,'Opera Enerji Veri'!BJ:BJ)</f>
        <v/>
      </c>
      <c r="O26" s="217">
        <f>SUMIF('Opera Enerji Veri'!$C:$C, 'Opera Günlük Analiz'!$B26,'Opera Enerji Veri'!BK:BK)</f>
        <v/>
      </c>
      <c r="P26" s="217">
        <f>SUMIF('Opera Enerji Veri'!$C:$C, 'Opera Günlük Analiz'!$B26,'Opera Enerji Veri'!BL:BL)</f>
        <v/>
      </c>
      <c r="Q26" s="217">
        <f>J26+K26+P26-M26</f>
        <v/>
      </c>
      <c r="R26" s="217">
        <f>F26-Q26-M26</f>
        <v/>
      </c>
      <c r="S26" s="217">
        <f>M26+R26</f>
        <v/>
      </c>
      <c r="T26" s="217">
        <f>IFERROR(Q26/G26,0)</f>
        <v/>
      </c>
      <c r="U26" s="218">
        <f>IF(G26=0,0,S26/G26)</f>
        <v/>
      </c>
      <c r="V26" s="225">
        <f>IFERROR(U26/H26,0)</f>
        <v/>
      </c>
      <c r="W26" s="27">
        <f>IFERROR(ABS(N26/G26),0)</f>
        <v/>
      </c>
      <c r="X26" s="109">
        <f>SUMIF('Opera Enerji Veri'!$C:$C, 'Opera Günlük Analiz'!$B26,'Opera Enerji Veri'!BU:BU)</f>
        <v/>
      </c>
      <c r="Y26" s="217">
        <f>SUMIF('Opera Enerji Veri'!$C:$C, 'Opera Günlük Analiz'!$B26,'Opera Enerji Veri'!BD:BD)</f>
        <v/>
      </c>
      <c r="Z26" s="217">
        <f>SUMIF('Opera Enerji Veri'!$C:$C, 'Opera Günlük Analiz'!$B26,'Opera Enerji Veri'!BW:BW)</f>
        <v/>
      </c>
      <c r="AA26" s="217">
        <f>SUMIF('Opera Enerji Veri'!$C:$C, 'Opera Günlük Analiz'!$B26,'Opera Enerji Veri'!BX:BX)</f>
        <v/>
      </c>
      <c r="AB26" s="217">
        <f>SUMIF('Opera Enerji Veri'!$C:$C, 'Opera Günlük Analiz'!$B26,'Opera Enerji Veri'!BY:BY)</f>
        <v/>
      </c>
      <c r="AC26" s="219">
        <f>SUMIF('Opera Enerji Veri'!$C:$C, 'Opera Günlük Analiz'!$B26,'Opera Enerji Veri'!CI:CI)</f>
        <v/>
      </c>
      <c r="AD26" s="219">
        <f>IFERROR(AC26/G26,0)</f>
        <v/>
      </c>
      <c r="AE26" s="217">
        <f>J26+K26+L26+AB26-Y26</f>
        <v/>
      </c>
      <c r="AF26" s="217">
        <f>F26-AE26-Y26</f>
        <v/>
      </c>
      <c r="AG26" s="217">
        <f>Y26+AF26</f>
        <v/>
      </c>
      <c r="AH26" s="217">
        <f>IFERROR(AE26/G26,0)</f>
        <v/>
      </c>
      <c r="AI26" s="218">
        <f>IF(G26=0,0,AG26/G26)</f>
        <v/>
      </c>
      <c r="AJ26" s="225">
        <f>IFERROR(AI26/H26,0)</f>
        <v/>
      </c>
      <c r="AK26" s="27">
        <f>IFERROR(ABS(Z26/G26),0)</f>
        <v/>
      </c>
      <c r="AL26" s="109">
        <f>SUMIF('Opera Enerji Veri'!$C:$C, 'Opera Günlük Analiz'!$B26,'Opera Enerji Veri'!CH:CH)</f>
        <v/>
      </c>
      <c r="AM26" s="217">
        <f>M26-Y26</f>
        <v/>
      </c>
      <c r="AN26" s="97">
        <f>IFERROR(AM26/M26,0)</f>
        <v/>
      </c>
      <c r="AO26" s="217">
        <f>S26-AG26</f>
        <v/>
      </c>
      <c r="AP26" s="97">
        <f>IFERROR(AO26/S26,0)</f>
        <v/>
      </c>
    </row>
    <row r="27">
      <c r="B27" s="17">
        <f>B26+1</f>
        <v/>
      </c>
      <c r="C27" s="217">
        <f>IFERROR(AVERAGEIF('Opera Enerji Veri'!C:C,'Opera Günlük Analiz'!B27,'Opera Enerji Veri'!F:F),0)</f>
        <v/>
      </c>
      <c r="D27" s="217">
        <f>IFERROR(AVERAGEIF('Opera Enerji Veri'!$C:$C,'Opera Günlük Analiz'!$B27,'Opera Enerji Veri'!G:G),0)</f>
        <v/>
      </c>
      <c r="E27" s="217">
        <f>IFERROR(AVERAGEIF('Opera Enerji Veri'!$C:$C,'Opera Günlük Analiz'!$B27,'Opera Enerji Veri'!H:H),0)</f>
        <v/>
      </c>
      <c r="F27" s="217">
        <f>SUMIF('Opera Enerji Veri'!$C:$C, 'Opera Günlük Analiz'!$B27,'Opera Enerji Veri'!BE:BE)</f>
        <v/>
      </c>
      <c r="G27" s="217">
        <f>SUMIF('Opera Enerji Veri'!$C:$C, 'Opera Günlük Analiz'!$B27,'Opera Enerji Veri'!AY:AY)</f>
        <v/>
      </c>
      <c r="H27" s="217">
        <f>IFERROR(F27/G27,0)</f>
        <v/>
      </c>
      <c r="I27" s="217">
        <f>SUMIF('Opera Enerji Veri'!$C:$C, 'Opera Günlük Analiz'!$B27,'Opera Enerji Veri'!J:J)</f>
        <v/>
      </c>
      <c r="J27" s="217">
        <f>SUMIF('Opera Enerji Veri'!$C:$C, 'Opera Günlük Analiz'!$B27,'Opera Enerji Veri'!BF:BF)</f>
        <v/>
      </c>
      <c r="K27" s="217">
        <f>SUMIF('Opera Enerji Veri'!$C:$C, 'Opera Günlük Analiz'!$B27,'Opera Enerji Veri'!BG:BG)</f>
        <v/>
      </c>
      <c r="L27" s="217">
        <f>SUMIF('Opera Enerji Veri'!$C:$C, 'Opera Günlük Analiz'!$B27,'Opera Enerji Veri'!BH:BH)</f>
        <v/>
      </c>
      <c r="M27" s="217">
        <f>SUMIF('Opera Enerji Veri'!$C:$C, 'Opera Günlük Analiz'!$B27,'Opera Enerji Veri'!BB:BB)</f>
        <v/>
      </c>
      <c r="N27" s="217">
        <f>SUMIF('Opera Enerji Veri'!$C:$C, 'Opera Günlük Analiz'!$B27,'Opera Enerji Veri'!BJ:BJ)</f>
        <v/>
      </c>
      <c r="O27" s="217">
        <f>SUMIF('Opera Enerji Veri'!$C:$C, 'Opera Günlük Analiz'!$B27,'Opera Enerji Veri'!BK:BK)</f>
        <v/>
      </c>
      <c r="P27" s="217">
        <f>SUMIF('Opera Enerji Veri'!$C:$C, 'Opera Günlük Analiz'!$B27,'Opera Enerji Veri'!BL:BL)</f>
        <v/>
      </c>
      <c r="Q27" s="217">
        <f>J27+K27+P27-M27</f>
        <v/>
      </c>
      <c r="R27" s="217">
        <f>F27-Q27-M27</f>
        <v/>
      </c>
      <c r="S27" s="217">
        <f>M27+R27</f>
        <v/>
      </c>
      <c r="T27" s="217">
        <f>IFERROR(Q27/G27,0)</f>
        <v/>
      </c>
      <c r="U27" s="218">
        <f>IF(G27=0,0,S27/G27)</f>
        <v/>
      </c>
      <c r="V27" s="225">
        <f>IFERROR(U27/H27,0)</f>
        <v/>
      </c>
      <c r="W27" s="27">
        <f>IFERROR(ABS(N27/G27),0)</f>
        <v/>
      </c>
      <c r="X27" s="109">
        <f>SUMIF('Opera Enerji Veri'!$C:$C, 'Opera Günlük Analiz'!$B27,'Opera Enerji Veri'!BU:BU)</f>
        <v/>
      </c>
      <c r="Y27" s="217">
        <f>SUMIF('Opera Enerji Veri'!$C:$C, 'Opera Günlük Analiz'!$B27,'Opera Enerji Veri'!BD:BD)</f>
        <v/>
      </c>
      <c r="Z27" s="217">
        <f>SUMIF('Opera Enerji Veri'!$C:$C, 'Opera Günlük Analiz'!$B27,'Opera Enerji Veri'!BW:BW)</f>
        <v/>
      </c>
      <c r="AA27" s="217">
        <f>SUMIF('Opera Enerji Veri'!$C:$C, 'Opera Günlük Analiz'!$B27,'Opera Enerji Veri'!BX:BX)</f>
        <v/>
      </c>
      <c r="AB27" s="217">
        <f>SUMIF('Opera Enerji Veri'!$C:$C, 'Opera Günlük Analiz'!$B27,'Opera Enerji Veri'!BY:BY)</f>
        <v/>
      </c>
      <c r="AC27" s="219">
        <f>SUMIF('Opera Enerji Veri'!$C:$C, 'Opera Günlük Analiz'!$B27,'Opera Enerji Veri'!CI:CI)</f>
        <v/>
      </c>
      <c r="AD27" s="219">
        <f>IFERROR(AC27/G27,0)</f>
        <v/>
      </c>
      <c r="AE27" s="217">
        <f>J27+K27+L27+AB27-Y27</f>
        <v/>
      </c>
      <c r="AF27" s="217">
        <f>F27-AE27-Y27</f>
        <v/>
      </c>
      <c r="AG27" s="217">
        <f>Y27+AF27</f>
        <v/>
      </c>
      <c r="AH27" s="217">
        <f>IFERROR(AE27/G27,0)</f>
        <v/>
      </c>
      <c r="AI27" s="218">
        <f>IF(G27=0,0,AG27/G27)</f>
        <v/>
      </c>
      <c r="AJ27" s="225">
        <f>IFERROR(AI27/H27,0)</f>
        <v/>
      </c>
      <c r="AK27" s="27">
        <f>IFERROR(ABS(Z27/G27),0)</f>
        <v/>
      </c>
      <c r="AL27" s="109">
        <f>SUMIF('Opera Enerji Veri'!$C:$C, 'Opera Günlük Analiz'!$B27,'Opera Enerji Veri'!CH:CH)</f>
        <v/>
      </c>
      <c r="AM27" s="217">
        <f>M27-Y27</f>
        <v/>
      </c>
      <c r="AN27" s="97">
        <f>IFERROR(AM27/M27,0)</f>
        <v/>
      </c>
      <c r="AO27" s="217">
        <f>S27-AG27</f>
        <v/>
      </c>
      <c r="AP27" s="97">
        <f>IFERROR(AO27/S27,0)</f>
        <v/>
      </c>
    </row>
    <row r="28">
      <c r="B28" s="17">
        <f>B27+1</f>
        <v/>
      </c>
      <c r="C28" s="217">
        <f>IFERROR(AVERAGEIF('Opera Enerji Veri'!C:C,'Opera Günlük Analiz'!B28,'Opera Enerji Veri'!F:F),0)</f>
        <v/>
      </c>
      <c r="D28" s="217">
        <f>IFERROR(AVERAGEIF('Opera Enerji Veri'!$C:$C,'Opera Günlük Analiz'!$B28,'Opera Enerji Veri'!G:G),0)</f>
        <v/>
      </c>
      <c r="E28" s="217">
        <f>IFERROR(AVERAGEIF('Opera Enerji Veri'!$C:$C,'Opera Günlük Analiz'!$B28,'Opera Enerji Veri'!H:H),0)</f>
        <v/>
      </c>
      <c r="F28" s="217">
        <f>SUMIF('Opera Enerji Veri'!$C:$C, 'Opera Günlük Analiz'!$B28,'Opera Enerji Veri'!BE:BE)</f>
        <v/>
      </c>
      <c r="G28" s="217">
        <f>SUMIF('Opera Enerji Veri'!$C:$C, 'Opera Günlük Analiz'!$B28,'Opera Enerji Veri'!AY:AY)</f>
        <v/>
      </c>
      <c r="H28" s="217">
        <f>IFERROR(F28/G28,0)</f>
        <v/>
      </c>
      <c r="I28" s="217">
        <f>SUMIF('Opera Enerji Veri'!$C:$C, 'Opera Günlük Analiz'!$B28,'Opera Enerji Veri'!J:J)</f>
        <v/>
      </c>
      <c r="J28" s="217">
        <f>SUMIF('Opera Enerji Veri'!$C:$C, 'Opera Günlük Analiz'!$B28,'Opera Enerji Veri'!BF:BF)</f>
        <v/>
      </c>
      <c r="K28" s="217">
        <f>SUMIF('Opera Enerji Veri'!$C:$C, 'Opera Günlük Analiz'!$B28,'Opera Enerji Veri'!BG:BG)</f>
        <v/>
      </c>
      <c r="L28" s="217">
        <f>SUMIF('Opera Enerji Veri'!$C:$C, 'Opera Günlük Analiz'!$B28,'Opera Enerji Veri'!BH:BH)</f>
        <v/>
      </c>
      <c r="M28" s="217">
        <f>SUMIF('Opera Enerji Veri'!$C:$C, 'Opera Günlük Analiz'!$B28,'Opera Enerji Veri'!BB:BB)</f>
        <v/>
      </c>
      <c r="N28" s="217">
        <f>SUMIF('Opera Enerji Veri'!$C:$C, 'Opera Günlük Analiz'!$B28,'Opera Enerji Veri'!BJ:BJ)</f>
        <v/>
      </c>
      <c r="O28" s="217">
        <f>SUMIF('Opera Enerji Veri'!$C:$C, 'Opera Günlük Analiz'!$B28,'Opera Enerji Veri'!BK:BK)</f>
        <v/>
      </c>
      <c r="P28" s="217">
        <f>SUMIF('Opera Enerji Veri'!$C:$C, 'Opera Günlük Analiz'!$B28,'Opera Enerji Veri'!BL:BL)</f>
        <v/>
      </c>
      <c r="Q28" s="217">
        <f>J28+K28+P28-M28</f>
        <v/>
      </c>
      <c r="R28" s="217">
        <f>F28-Q28-M28</f>
        <v/>
      </c>
      <c r="S28" s="217">
        <f>M28+R28</f>
        <v/>
      </c>
      <c r="T28" s="217">
        <f>IFERROR(Q28/G28,0)</f>
        <v/>
      </c>
      <c r="U28" s="218">
        <f>IF(G28=0,0,S28/G28)</f>
        <v/>
      </c>
      <c r="V28" s="225">
        <f>IFERROR(U28/H28,0)</f>
        <v/>
      </c>
      <c r="W28" s="27">
        <f>IFERROR(ABS(N28/G28),0)</f>
        <v/>
      </c>
      <c r="X28" s="109">
        <f>SUMIF('Opera Enerji Veri'!$C:$C, 'Opera Günlük Analiz'!$B28,'Opera Enerji Veri'!BU:BU)</f>
        <v/>
      </c>
      <c r="Y28" s="217">
        <f>SUMIF('Opera Enerji Veri'!$C:$C, 'Opera Günlük Analiz'!$B28,'Opera Enerji Veri'!BD:BD)</f>
        <v/>
      </c>
      <c r="Z28" s="217">
        <f>SUMIF('Opera Enerji Veri'!$C:$C, 'Opera Günlük Analiz'!$B28,'Opera Enerji Veri'!BW:BW)</f>
        <v/>
      </c>
      <c r="AA28" s="217">
        <f>SUMIF('Opera Enerji Veri'!$C:$C, 'Opera Günlük Analiz'!$B28,'Opera Enerji Veri'!BX:BX)</f>
        <v/>
      </c>
      <c r="AB28" s="217">
        <f>SUMIF('Opera Enerji Veri'!$C:$C, 'Opera Günlük Analiz'!$B28,'Opera Enerji Veri'!BY:BY)</f>
        <v/>
      </c>
      <c r="AC28" s="219">
        <f>SUMIF('Opera Enerji Veri'!$C:$C, 'Opera Günlük Analiz'!$B28,'Opera Enerji Veri'!CI:CI)</f>
        <v/>
      </c>
      <c r="AD28" s="219">
        <f>IFERROR(AC28/G28,0)</f>
        <v/>
      </c>
      <c r="AE28" s="217">
        <f>J28+K28+L28+AB28-Y28</f>
        <v/>
      </c>
      <c r="AF28" s="217">
        <f>F28-AE28-Y28</f>
        <v/>
      </c>
      <c r="AG28" s="217">
        <f>Y28+AF28</f>
        <v/>
      </c>
      <c r="AH28" s="217">
        <f>IFERROR(AE28/G28,0)</f>
        <v/>
      </c>
      <c r="AI28" s="218">
        <f>IF(G28=0,0,AG28/G28)</f>
        <v/>
      </c>
      <c r="AJ28" s="225">
        <f>IFERROR(AI28/H28,0)</f>
        <v/>
      </c>
      <c r="AK28" s="27">
        <f>IFERROR(ABS(Z28/G28),0)</f>
        <v/>
      </c>
      <c r="AL28" s="109">
        <f>SUMIF('Opera Enerji Veri'!$C:$C, 'Opera Günlük Analiz'!$B28,'Opera Enerji Veri'!CH:CH)</f>
        <v/>
      </c>
      <c r="AM28" s="217">
        <f>M28-Y28</f>
        <v/>
      </c>
      <c r="AN28" s="97">
        <f>IFERROR(AM28/M28,0)</f>
        <v/>
      </c>
      <c r="AO28" s="217">
        <f>S28-AG28</f>
        <v/>
      </c>
      <c r="AP28" s="97">
        <f>IFERROR(AO28/S28,0)</f>
        <v/>
      </c>
    </row>
    <row r="29">
      <c r="B29" s="17">
        <f>B28+1</f>
        <v/>
      </c>
      <c r="C29" s="217">
        <f>IFERROR(AVERAGEIF('Opera Enerji Veri'!C:C,'Opera Günlük Analiz'!B29,'Opera Enerji Veri'!F:F),0)</f>
        <v/>
      </c>
      <c r="D29" s="217">
        <f>IFERROR(AVERAGEIF('Opera Enerji Veri'!$C:$C,'Opera Günlük Analiz'!$B29,'Opera Enerji Veri'!G:G),0)</f>
        <v/>
      </c>
      <c r="E29" s="217">
        <f>IFERROR(AVERAGEIF('Opera Enerji Veri'!$C:$C,'Opera Günlük Analiz'!$B29,'Opera Enerji Veri'!H:H),0)</f>
        <v/>
      </c>
      <c r="F29" s="217">
        <f>SUMIF('Opera Enerji Veri'!$C:$C, 'Opera Günlük Analiz'!$B29,'Opera Enerji Veri'!BE:BE)</f>
        <v/>
      </c>
      <c r="G29" s="217">
        <f>SUMIF('Opera Enerji Veri'!$C:$C, 'Opera Günlük Analiz'!$B29,'Opera Enerji Veri'!AY:AY)</f>
        <v/>
      </c>
      <c r="H29" s="217">
        <f>IFERROR(F29/G29,0)</f>
        <v/>
      </c>
      <c r="I29" s="217">
        <f>SUMIF('Opera Enerji Veri'!$C:$C, 'Opera Günlük Analiz'!$B29,'Opera Enerji Veri'!J:J)</f>
        <v/>
      </c>
      <c r="J29" s="217">
        <f>SUMIF('Opera Enerji Veri'!$C:$C, 'Opera Günlük Analiz'!$B29,'Opera Enerji Veri'!BF:BF)</f>
        <v/>
      </c>
      <c r="K29" s="217">
        <f>SUMIF('Opera Enerji Veri'!$C:$C, 'Opera Günlük Analiz'!$B29,'Opera Enerji Veri'!BG:BG)</f>
        <v/>
      </c>
      <c r="L29" s="217">
        <f>SUMIF('Opera Enerji Veri'!$C:$C, 'Opera Günlük Analiz'!$B29,'Opera Enerji Veri'!BH:BH)</f>
        <v/>
      </c>
      <c r="M29" s="217">
        <f>SUMIF('Opera Enerji Veri'!$C:$C, 'Opera Günlük Analiz'!$B29,'Opera Enerji Veri'!BB:BB)</f>
        <v/>
      </c>
      <c r="N29" s="217">
        <f>SUMIF('Opera Enerji Veri'!$C:$C, 'Opera Günlük Analiz'!$B29,'Opera Enerji Veri'!BJ:BJ)</f>
        <v/>
      </c>
      <c r="O29" s="217">
        <f>SUMIF('Opera Enerji Veri'!$C:$C, 'Opera Günlük Analiz'!$B29,'Opera Enerji Veri'!BK:BK)</f>
        <v/>
      </c>
      <c r="P29" s="217">
        <f>SUMIF('Opera Enerji Veri'!$C:$C, 'Opera Günlük Analiz'!$B29,'Opera Enerji Veri'!BL:BL)</f>
        <v/>
      </c>
      <c r="Q29" s="217">
        <f>J29+K29+P29-M29</f>
        <v/>
      </c>
      <c r="R29" s="217">
        <f>F29-Q29-M29</f>
        <v/>
      </c>
      <c r="S29" s="217">
        <f>M29+R29</f>
        <v/>
      </c>
      <c r="T29" s="217">
        <f>IFERROR(Q29/G29,0)</f>
        <v/>
      </c>
      <c r="U29" s="218">
        <f>IF(G29=0,0,S29/G29)</f>
        <v/>
      </c>
      <c r="V29" s="225">
        <f>IFERROR(U29/H29,0)</f>
        <v/>
      </c>
      <c r="W29" s="27">
        <f>IFERROR(ABS(N29/G29),0)</f>
        <v/>
      </c>
      <c r="X29" s="109">
        <f>SUMIF('Opera Enerji Veri'!$C:$C, 'Opera Günlük Analiz'!$B29,'Opera Enerji Veri'!BU:BU)</f>
        <v/>
      </c>
      <c r="Y29" s="217">
        <f>SUMIF('Opera Enerji Veri'!$C:$C, 'Opera Günlük Analiz'!$B29,'Opera Enerji Veri'!BD:BD)</f>
        <v/>
      </c>
      <c r="Z29" s="217">
        <f>SUMIF('Opera Enerji Veri'!$C:$C, 'Opera Günlük Analiz'!$B29,'Opera Enerji Veri'!BW:BW)</f>
        <v/>
      </c>
      <c r="AA29" s="217">
        <f>SUMIF('Opera Enerji Veri'!$C:$C, 'Opera Günlük Analiz'!$B29,'Opera Enerji Veri'!BX:BX)</f>
        <v/>
      </c>
      <c r="AB29" s="217">
        <f>SUMIF('Opera Enerji Veri'!$C:$C, 'Opera Günlük Analiz'!$B29,'Opera Enerji Veri'!BY:BY)</f>
        <v/>
      </c>
      <c r="AC29" s="219">
        <f>SUMIF('Opera Enerji Veri'!$C:$C, 'Opera Günlük Analiz'!$B29,'Opera Enerji Veri'!CI:CI)</f>
        <v/>
      </c>
      <c r="AD29" s="219">
        <f>IFERROR(AC29/G29,0)</f>
        <v/>
      </c>
      <c r="AE29" s="217">
        <f>J29+K29+L29+AB29-Y29</f>
        <v/>
      </c>
      <c r="AF29" s="217">
        <f>F29-AE29-Y29</f>
        <v/>
      </c>
      <c r="AG29" s="217">
        <f>Y29+AF29</f>
        <v/>
      </c>
      <c r="AH29" s="217">
        <f>IFERROR(AE29/G29,0)</f>
        <v/>
      </c>
      <c r="AI29" s="218">
        <f>IF(G29=0,0,AG29/G29)</f>
        <v/>
      </c>
      <c r="AJ29" s="225">
        <f>IFERROR(AI29/H29,0)</f>
        <v/>
      </c>
      <c r="AK29" s="27">
        <f>IFERROR(ABS(Z29/G29),0)</f>
        <v/>
      </c>
      <c r="AL29" s="109">
        <f>SUMIF('Opera Enerji Veri'!$C:$C, 'Opera Günlük Analiz'!$B29,'Opera Enerji Veri'!CH:CH)</f>
        <v/>
      </c>
      <c r="AM29" s="217">
        <f>M29-Y29</f>
        <v/>
      </c>
      <c r="AN29" s="97">
        <f>IFERROR(AM29/M29,0)</f>
        <v/>
      </c>
      <c r="AO29" s="217">
        <f>S29-AG29</f>
        <v/>
      </c>
      <c r="AP29" s="97">
        <f>IFERROR(AO29/S29,0)</f>
        <v/>
      </c>
    </row>
    <row r="30">
      <c r="B30" s="17">
        <f>B29+1</f>
        <v/>
      </c>
      <c r="C30" s="217">
        <f>IFERROR(AVERAGEIF('Opera Enerji Veri'!C:C,'Opera Günlük Analiz'!B30,'Opera Enerji Veri'!F:F),0)</f>
        <v/>
      </c>
      <c r="D30" s="217">
        <f>IFERROR(AVERAGEIF('Opera Enerji Veri'!$C:$C,'Opera Günlük Analiz'!$B30,'Opera Enerji Veri'!G:G),0)</f>
        <v/>
      </c>
      <c r="E30" s="217">
        <f>IFERROR(AVERAGEIF('Opera Enerji Veri'!$C:$C,'Opera Günlük Analiz'!$B30,'Opera Enerji Veri'!H:H),0)</f>
        <v/>
      </c>
      <c r="F30" s="217">
        <f>SUMIF('Opera Enerji Veri'!$C:$C, 'Opera Günlük Analiz'!$B30,'Opera Enerji Veri'!BE:BE)</f>
        <v/>
      </c>
      <c r="G30" s="217">
        <f>SUMIF('Opera Enerji Veri'!$C:$C, 'Opera Günlük Analiz'!$B30,'Opera Enerji Veri'!AY:AY)</f>
        <v/>
      </c>
      <c r="H30" s="217">
        <f>IFERROR(F30/G30,0)</f>
        <v/>
      </c>
      <c r="I30" s="217">
        <f>SUMIF('Opera Enerji Veri'!$C:$C, 'Opera Günlük Analiz'!$B30,'Opera Enerji Veri'!J:J)</f>
        <v/>
      </c>
      <c r="J30" s="217">
        <f>SUMIF('Opera Enerji Veri'!$C:$C, 'Opera Günlük Analiz'!$B30,'Opera Enerji Veri'!BF:BF)</f>
        <v/>
      </c>
      <c r="K30" s="217">
        <f>SUMIF('Opera Enerji Veri'!$C:$C, 'Opera Günlük Analiz'!$B30,'Opera Enerji Veri'!BG:BG)</f>
        <v/>
      </c>
      <c r="L30" s="217">
        <f>SUMIF('Opera Enerji Veri'!$C:$C, 'Opera Günlük Analiz'!$B30,'Opera Enerji Veri'!BH:BH)</f>
        <v/>
      </c>
      <c r="M30" s="217">
        <f>SUMIF('Opera Enerji Veri'!$C:$C, 'Opera Günlük Analiz'!$B30,'Opera Enerji Veri'!BB:BB)</f>
        <v/>
      </c>
      <c r="N30" s="217">
        <f>SUMIF('Opera Enerji Veri'!$C:$C, 'Opera Günlük Analiz'!$B30,'Opera Enerji Veri'!BJ:BJ)</f>
        <v/>
      </c>
      <c r="O30" s="217">
        <f>SUMIF('Opera Enerji Veri'!$C:$C, 'Opera Günlük Analiz'!$B30,'Opera Enerji Veri'!BK:BK)</f>
        <v/>
      </c>
      <c r="P30" s="217">
        <f>SUMIF('Opera Enerji Veri'!$C:$C, 'Opera Günlük Analiz'!$B30,'Opera Enerji Veri'!BL:BL)</f>
        <v/>
      </c>
      <c r="Q30" s="217">
        <f>J30+K30+P30-M30</f>
        <v/>
      </c>
      <c r="R30" s="217">
        <f>F30-Q30-M30</f>
        <v/>
      </c>
      <c r="S30" s="217">
        <f>M30+R30</f>
        <v/>
      </c>
      <c r="T30" s="217">
        <f>IFERROR(Q30/G30,0)</f>
        <v/>
      </c>
      <c r="U30" s="218">
        <f>IF(G30=0,0,S30/G30)</f>
        <v/>
      </c>
      <c r="V30" s="225">
        <f>IFERROR(U30/H30,0)</f>
        <v/>
      </c>
      <c r="W30" s="27">
        <f>IFERROR(ABS(N30/G30),0)</f>
        <v/>
      </c>
      <c r="X30" s="109">
        <f>SUMIF('Opera Enerji Veri'!$C:$C, 'Opera Günlük Analiz'!$B30,'Opera Enerji Veri'!BU:BU)</f>
        <v/>
      </c>
      <c r="Y30" s="217">
        <f>SUMIF('Opera Enerji Veri'!$C:$C, 'Opera Günlük Analiz'!$B30,'Opera Enerji Veri'!BD:BD)</f>
        <v/>
      </c>
      <c r="Z30" s="217">
        <f>SUMIF('Opera Enerji Veri'!$C:$C, 'Opera Günlük Analiz'!$B30,'Opera Enerji Veri'!BW:BW)</f>
        <v/>
      </c>
      <c r="AA30" s="217">
        <f>SUMIF('Opera Enerji Veri'!$C:$C, 'Opera Günlük Analiz'!$B30,'Opera Enerji Veri'!BX:BX)</f>
        <v/>
      </c>
      <c r="AB30" s="217">
        <f>SUMIF('Opera Enerji Veri'!$C:$C, 'Opera Günlük Analiz'!$B30,'Opera Enerji Veri'!BY:BY)</f>
        <v/>
      </c>
      <c r="AC30" s="219">
        <f>SUMIF('Opera Enerji Veri'!$C:$C, 'Opera Günlük Analiz'!$B30,'Opera Enerji Veri'!CI:CI)</f>
        <v/>
      </c>
      <c r="AD30" s="219">
        <f>IFERROR(AC30/G30,0)</f>
        <v/>
      </c>
      <c r="AE30" s="217">
        <f>J30+K30+L30+AB30-Y30</f>
        <v/>
      </c>
      <c r="AF30" s="217">
        <f>F30-AE30-Y30</f>
        <v/>
      </c>
      <c r="AG30" s="217">
        <f>Y30+AF30</f>
        <v/>
      </c>
      <c r="AH30" s="217">
        <f>IFERROR(AE30/G30,0)</f>
        <v/>
      </c>
      <c r="AI30" s="218">
        <f>IF(G30=0,0,AG30/G30)</f>
        <v/>
      </c>
      <c r="AJ30" s="225">
        <f>IFERROR(AI30/H30,0)</f>
        <v/>
      </c>
      <c r="AK30" s="27">
        <f>IFERROR(ABS(Z30/G30),0)</f>
        <v/>
      </c>
      <c r="AL30" s="109">
        <f>SUMIF('Opera Enerji Veri'!$C:$C, 'Opera Günlük Analiz'!$B30,'Opera Enerji Veri'!CH:CH)</f>
        <v/>
      </c>
      <c r="AM30" s="217">
        <f>M30-Y30</f>
        <v/>
      </c>
      <c r="AN30" s="97">
        <f>IFERROR(AM30/M30,0)</f>
        <v/>
      </c>
      <c r="AO30" s="217">
        <f>S30-AG30</f>
        <v/>
      </c>
      <c r="AP30" s="97">
        <f>IFERROR(AO30/S30,0)</f>
        <v/>
      </c>
    </row>
    <row r="31">
      <c r="B31" s="17">
        <f>B30+1</f>
        <v/>
      </c>
      <c r="C31" s="217">
        <f>IFERROR(AVERAGEIF('Opera Enerji Veri'!C:C,'Opera Günlük Analiz'!B31,'Opera Enerji Veri'!F:F),0)</f>
        <v/>
      </c>
      <c r="D31" s="217">
        <f>IFERROR(AVERAGEIF('Opera Enerji Veri'!$C:$C,'Opera Günlük Analiz'!$B31,'Opera Enerji Veri'!G:G),0)</f>
        <v/>
      </c>
      <c r="E31" s="217">
        <f>IFERROR(AVERAGEIF('Opera Enerji Veri'!$C:$C,'Opera Günlük Analiz'!$B31,'Opera Enerji Veri'!H:H),0)</f>
        <v/>
      </c>
      <c r="F31" s="217">
        <f>SUMIF('Opera Enerji Veri'!$C:$C, 'Opera Günlük Analiz'!$B31,'Opera Enerji Veri'!BE:BE)</f>
        <v/>
      </c>
      <c r="G31" s="217">
        <f>SUMIF('Opera Enerji Veri'!$C:$C, 'Opera Günlük Analiz'!$B31,'Opera Enerji Veri'!AY:AY)</f>
        <v/>
      </c>
      <c r="H31" s="217">
        <f>IFERROR(F31/G31,0)</f>
        <v/>
      </c>
      <c r="I31" s="217">
        <f>SUMIF('Opera Enerji Veri'!$C:$C, 'Opera Günlük Analiz'!$B31,'Opera Enerji Veri'!J:J)</f>
        <v/>
      </c>
      <c r="J31" s="217">
        <f>SUMIF('Opera Enerji Veri'!$C:$C, 'Opera Günlük Analiz'!$B31,'Opera Enerji Veri'!BF:BF)</f>
        <v/>
      </c>
      <c r="K31" s="217">
        <f>SUMIF('Opera Enerji Veri'!$C:$C, 'Opera Günlük Analiz'!$B31,'Opera Enerji Veri'!BG:BG)</f>
        <v/>
      </c>
      <c r="L31" s="217">
        <f>SUMIF('Opera Enerji Veri'!$C:$C, 'Opera Günlük Analiz'!$B31,'Opera Enerji Veri'!BH:BH)</f>
        <v/>
      </c>
      <c r="M31" s="217">
        <f>SUMIF('Opera Enerji Veri'!$C:$C, 'Opera Günlük Analiz'!$B31,'Opera Enerji Veri'!BB:BB)</f>
        <v/>
      </c>
      <c r="N31" s="217">
        <f>SUMIF('Opera Enerji Veri'!$C:$C, 'Opera Günlük Analiz'!$B31,'Opera Enerji Veri'!BJ:BJ)</f>
        <v/>
      </c>
      <c r="O31" s="217">
        <f>SUMIF('Opera Enerji Veri'!$C:$C, 'Opera Günlük Analiz'!$B31,'Opera Enerji Veri'!BK:BK)</f>
        <v/>
      </c>
      <c r="P31" s="217">
        <f>SUMIF('Opera Enerji Veri'!$C:$C, 'Opera Günlük Analiz'!$B31,'Opera Enerji Veri'!BL:BL)</f>
        <v/>
      </c>
      <c r="Q31" s="217">
        <f>J31+K31+P31-M31</f>
        <v/>
      </c>
      <c r="R31" s="217">
        <f>F31-Q31-M31</f>
        <v/>
      </c>
      <c r="S31" s="217">
        <f>M31+R31</f>
        <v/>
      </c>
      <c r="T31" s="217">
        <f>IFERROR(Q31/G31,0)</f>
        <v/>
      </c>
      <c r="U31" s="218">
        <f>IF(G31=0,0,S31/G31)</f>
        <v/>
      </c>
      <c r="V31" s="225">
        <f>IFERROR(U31/H31,0)</f>
        <v/>
      </c>
      <c r="W31" s="27">
        <f>IFERROR(ABS(N31/G31),0)</f>
        <v/>
      </c>
      <c r="X31" s="109">
        <f>SUMIF('Opera Enerji Veri'!$C:$C, 'Opera Günlük Analiz'!$B31,'Opera Enerji Veri'!BU:BU)</f>
        <v/>
      </c>
      <c r="Y31" s="217">
        <f>SUMIF('Opera Enerji Veri'!$C:$C, 'Opera Günlük Analiz'!$B31,'Opera Enerji Veri'!BD:BD)</f>
        <v/>
      </c>
      <c r="Z31" s="217">
        <f>SUMIF('Opera Enerji Veri'!$C:$C, 'Opera Günlük Analiz'!$B31,'Opera Enerji Veri'!BW:BW)</f>
        <v/>
      </c>
      <c r="AA31" s="217">
        <f>SUMIF('Opera Enerji Veri'!$C:$C, 'Opera Günlük Analiz'!$B31,'Opera Enerji Veri'!BX:BX)</f>
        <v/>
      </c>
      <c r="AB31" s="217">
        <f>SUMIF('Opera Enerji Veri'!$C:$C, 'Opera Günlük Analiz'!$B31,'Opera Enerji Veri'!BY:BY)</f>
        <v/>
      </c>
      <c r="AC31" s="219">
        <f>SUMIF('Opera Enerji Veri'!$C:$C, 'Opera Günlük Analiz'!$B31,'Opera Enerji Veri'!CI:CI)</f>
        <v/>
      </c>
      <c r="AD31" s="219">
        <f>IFERROR(AC31/G31,0)</f>
        <v/>
      </c>
      <c r="AE31" s="217">
        <f>J31+K31+L31+AB31-Y31</f>
        <v/>
      </c>
      <c r="AF31" s="217">
        <f>F31-AE31-Y31</f>
        <v/>
      </c>
      <c r="AG31" s="217">
        <f>Y31+AF31</f>
        <v/>
      </c>
      <c r="AH31" s="217">
        <f>IFERROR(AE31/G31,0)</f>
        <v/>
      </c>
      <c r="AI31" s="218">
        <f>IF(G31=0,0,AG31/G31)</f>
        <v/>
      </c>
      <c r="AJ31" s="225">
        <f>IFERROR(AI31/H31,0)</f>
        <v/>
      </c>
      <c r="AK31" s="27">
        <f>IFERROR(ABS(Z31/G31),0)</f>
        <v/>
      </c>
      <c r="AL31" s="109">
        <f>SUMIF('Opera Enerji Veri'!$C:$C, 'Opera Günlük Analiz'!$B31,'Opera Enerji Veri'!CH:CH)</f>
        <v/>
      </c>
      <c r="AM31" s="217">
        <f>M31-Y31</f>
        <v/>
      </c>
      <c r="AN31" s="97">
        <f>IFERROR(AM31/M31,0)</f>
        <v/>
      </c>
      <c r="AO31" s="217">
        <f>S31-AG31</f>
        <v/>
      </c>
      <c r="AP31" s="97">
        <f>IFERROR(AO31/S31,0)</f>
        <v/>
      </c>
    </row>
    <row r="32">
      <c r="B32" s="17">
        <f>B31+1</f>
        <v/>
      </c>
      <c r="C32" s="217">
        <f>IFERROR(AVERAGEIF('Opera Enerji Veri'!C:C,'Opera Günlük Analiz'!B32,'Opera Enerji Veri'!F:F),0)</f>
        <v/>
      </c>
      <c r="D32" s="217">
        <f>IFERROR(AVERAGEIF('Opera Enerji Veri'!$C:$C,'Opera Günlük Analiz'!$B32,'Opera Enerji Veri'!G:G),0)</f>
        <v/>
      </c>
      <c r="E32" s="217">
        <f>IFERROR(AVERAGEIF('Opera Enerji Veri'!$C:$C,'Opera Günlük Analiz'!$B32,'Opera Enerji Veri'!H:H),0)</f>
        <v/>
      </c>
      <c r="F32" s="217">
        <f>SUMIF('Opera Enerji Veri'!$C:$C, 'Opera Günlük Analiz'!$B32,'Opera Enerji Veri'!BE:BE)</f>
        <v/>
      </c>
      <c r="G32" s="217">
        <f>SUMIF('Opera Enerji Veri'!$C:$C, 'Opera Günlük Analiz'!$B32,'Opera Enerji Veri'!AY:AY)</f>
        <v/>
      </c>
      <c r="H32" s="217">
        <f>IFERROR(F32/G32,0)</f>
        <v/>
      </c>
      <c r="I32" s="217">
        <f>SUMIF('Opera Enerji Veri'!$C:$C, 'Opera Günlük Analiz'!$B32,'Opera Enerji Veri'!J:J)</f>
        <v/>
      </c>
      <c r="J32" s="217">
        <f>SUMIF('Opera Enerji Veri'!$C:$C, 'Opera Günlük Analiz'!$B32,'Opera Enerji Veri'!BF:BF)</f>
        <v/>
      </c>
      <c r="K32" s="217">
        <f>SUMIF('Opera Enerji Veri'!$C:$C, 'Opera Günlük Analiz'!$B32,'Opera Enerji Veri'!BG:BG)</f>
        <v/>
      </c>
      <c r="L32" s="217">
        <f>SUMIF('Opera Enerji Veri'!$C:$C, 'Opera Günlük Analiz'!$B32,'Opera Enerji Veri'!BH:BH)</f>
        <v/>
      </c>
      <c r="M32" s="217">
        <f>SUMIF('Opera Enerji Veri'!$C:$C, 'Opera Günlük Analiz'!$B32,'Opera Enerji Veri'!BB:BB)</f>
        <v/>
      </c>
      <c r="N32" s="217">
        <f>SUMIF('Opera Enerji Veri'!$C:$C, 'Opera Günlük Analiz'!$B32,'Opera Enerji Veri'!BJ:BJ)</f>
        <v/>
      </c>
      <c r="O32" s="217">
        <f>SUMIF('Opera Enerji Veri'!$C:$C, 'Opera Günlük Analiz'!$B32,'Opera Enerji Veri'!BK:BK)</f>
        <v/>
      </c>
      <c r="P32" s="217">
        <f>SUMIF('Opera Enerji Veri'!$C:$C, 'Opera Günlük Analiz'!$B32,'Opera Enerji Veri'!BL:BL)</f>
        <v/>
      </c>
      <c r="Q32" s="217">
        <f>J32+K32+P32-M32</f>
        <v/>
      </c>
      <c r="R32" s="217">
        <f>F32-Q32-M32</f>
        <v/>
      </c>
      <c r="S32" s="217">
        <f>M32+R32</f>
        <v/>
      </c>
      <c r="T32" s="217">
        <f>IFERROR(Q32/G32,0)</f>
        <v/>
      </c>
      <c r="U32" s="218">
        <f>IF(G32=0,0,S32/G32)</f>
        <v/>
      </c>
      <c r="V32" s="225">
        <f>IFERROR(U32/H32,0)</f>
        <v/>
      </c>
      <c r="W32" s="27">
        <f>IFERROR(ABS(N32/G32),0)</f>
        <v/>
      </c>
      <c r="X32" s="109">
        <f>SUMIF('Opera Enerji Veri'!$C:$C, 'Opera Günlük Analiz'!$B32,'Opera Enerji Veri'!BU:BU)</f>
        <v/>
      </c>
      <c r="Y32" s="217">
        <f>SUMIF('Opera Enerji Veri'!$C:$C, 'Opera Günlük Analiz'!$B32,'Opera Enerji Veri'!BD:BD)</f>
        <v/>
      </c>
      <c r="Z32" s="217">
        <f>SUMIF('Opera Enerji Veri'!$C:$C, 'Opera Günlük Analiz'!$B32,'Opera Enerji Veri'!BW:BW)</f>
        <v/>
      </c>
      <c r="AA32" s="217">
        <f>SUMIF('Opera Enerji Veri'!$C:$C, 'Opera Günlük Analiz'!$B32,'Opera Enerji Veri'!BX:BX)</f>
        <v/>
      </c>
      <c r="AB32" s="217">
        <f>SUMIF('Opera Enerji Veri'!$C:$C, 'Opera Günlük Analiz'!$B32,'Opera Enerji Veri'!BY:BY)</f>
        <v/>
      </c>
      <c r="AC32" s="219">
        <f>SUMIF('Opera Enerji Veri'!$C:$C, 'Opera Günlük Analiz'!$B32,'Opera Enerji Veri'!CI:CI)</f>
        <v/>
      </c>
      <c r="AD32" s="219">
        <f>IFERROR(AC32/G32,0)</f>
        <v/>
      </c>
      <c r="AE32" s="217">
        <f>J32+K32+L32+AB32-Y32</f>
        <v/>
      </c>
      <c r="AF32" s="217">
        <f>F32-AE32-Y32</f>
        <v/>
      </c>
      <c r="AG32" s="217">
        <f>Y32+AF32</f>
        <v/>
      </c>
      <c r="AH32" s="217">
        <f>IFERROR(AE32/G32,0)</f>
        <v/>
      </c>
      <c r="AI32" s="218">
        <f>IF(G32=0,0,AG32/G32)</f>
        <v/>
      </c>
      <c r="AJ32" s="225">
        <f>IFERROR(AI32/H32,0)</f>
        <v/>
      </c>
      <c r="AK32" s="27">
        <f>IFERROR(ABS(Z32/G32),0)</f>
        <v/>
      </c>
      <c r="AL32" s="109">
        <f>SUMIF('Opera Enerji Veri'!$C:$C, 'Opera Günlük Analiz'!$B32,'Opera Enerji Veri'!CH:CH)</f>
        <v/>
      </c>
      <c r="AM32" s="217">
        <f>M32-Y32</f>
        <v/>
      </c>
      <c r="AN32" s="97">
        <f>IFERROR(AM32/M32,0)</f>
        <v/>
      </c>
      <c r="AO32" s="217">
        <f>S32-AG32</f>
        <v/>
      </c>
      <c r="AP32" s="97">
        <f>IFERROR(AO32/S32,0)</f>
        <v/>
      </c>
    </row>
    <row r="33">
      <c r="B33" s="17">
        <f>B32+1</f>
        <v/>
      </c>
      <c r="C33" s="217">
        <f>IFERROR(AVERAGEIF('Opera Enerji Veri'!C:C,'Opera Günlük Analiz'!B33,'Opera Enerji Veri'!F:F),0)</f>
        <v/>
      </c>
      <c r="D33" s="217">
        <f>IFERROR(AVERAGEIF('Opera Enerji Veri'!$C:$C,'Opera Günlük Analiz'!$B33,'Opera Enerji Veri'!G:G),0)</f>
        <v/>
      </c>
      <c r="E33" s="217">
        <f>IFERROR(AVERAGEIF('Opera Enerji Veri'!$C:$C,'Opera Günlük Analiz'!$B33,'Opera Enerji Veri'!H:H),0)</f>
        <v/>
      </c>
      <c r="F33" s="217">
        <f>SUMIF('Opera Enerji Veri'!$C:$C, 'Opera Günlük Analiz'!$B33,'Opera Enerji Veri'!BE:BE)</f>
        <v/>
      </c>
      <c r="G33" s="217">
        <f>SUMIF('Opera Enerji Veri'!$C:$C, 'Opera Günlük Analiz'!$B33,'Opera Enerji Veri'!AY:AY)</f>
        <v/>
      </c>
      <c r="H33" s="217">
        <f>IFERROR(F33/G33,0)</f>
        <v/>
      </c>
      <c r="I33" s="217">
        <f>SUMIF('Opera Enerji Veri'!$C:$C, 'Opera Günlük Analiz'!$B33,'Opera Enerji Veri'!J:J)</f>
        <v/>
      </c>
      <c r="J33" s="217">
        <f>SUMIF('Opera Enerji Veri'!$C:$C, 'Opera Günlük Analiz'!$B33,'Opera Enerji Veri'!BF:BF)</f>
        <v/>
      </c>
      <c r="K33" s="217">
        <f>SUMIF('Opera Enerji Veri'!$C:$C, 'Opera Günlük Analiz'!$B33,'Opera Enerji Veri'!BG:BG)</f>
        <v/>
      </c>
      <c r="L33" s="217">
        <f>SUMIF('Opera Enerji Veri'!$C:$C, 'Opera Günlük Analiz'!$B33,'Opera Enerji Veri'!BH:BH)</f>
        <v/>
      </c>
      <c r="M33" s="217">
        <f>SUMIF('Opera Enerji Veri'!$C:$C, 'Opera Günlük Analiz'!$B33,'Opera Enerji Veri'!BB:BB)</f>
        <v/>
      </c>
      <c r="N33" s="217">
        <f>SUMIF('Opera Enerji Veri'!$C:$C, 'Opera Günlük Analiz'!$B33,'Opera Enerji Veri'!BJ:BJ)</f>
        <v/>
      </c>
      <c r="O33" s="217">
        <f>SUMIF('Opera Enerji Veri'!$C:$C, 'Opera Günlük Analiz'!$B33,'Opera Enerji Veri'!BK:BK)</f>
        <v/>
      </c>
      <c r="P33" s="217">
        <f>SUMIF('Opera Enerji Veri'!$C:$C, 'Opera Günlük Analiz'!$B33,'Opera Enerji Veri'!BL:BL)</f>
        <v/>
      </c>
      <c r="Q33" s="217">
        <f>J33+K33+P33-M33</f>
        <v/>
      </c>
      <c r="R33" s="217">
        <f>F33-Q33-M33</f>
        <v/>
      </c>
      <c r="S33" s="217">
        <f>M33+R33</f>
        <v/>
      </c>
      <c r="T33" s="217">
        <f>IFERROR(Q33/G33,0)</f>
        <v/>
      </c>
      <c r="U33" s="218">
        <f>IF(G33=0,0,S33/G33)</f>
        <v/>
      </c>
      <c r="V33" s="225">
        <f>IFERROR(U33/H33,0)</f>
        <v/>
      </c>
      <c r="W33" s="27">
        <f>IFERROR(ABS(N33/G33),0)</f>
        <v/>
      </c>
      <c r="X33" s="109">
        <f>SUMIF('Opera Enerji Veri'!$C:$C, 'Opera Günlük Analiz'!$B33,'Opera Enerji Veri'!BU:BU)</f>
        <v/>
      </c>
      <c r="Y33" s="217">
        <f>SUMIF('Opera Enerji Veri'!$C:$C, 'Opera Günlük Analiz'!$B33,'Opera Enerji Veri'!BD:BD)</f>
        <v/>
      </c>
      <c r="Z33" s="217">
        <f>SUMIF('Opera Enerji Veri'!$C:$C, 'Opera Günlük Analiz'!$B33,'Opera Enerji Veri'!BW:BW)</f>
        <v/>
      </c>
      <c r="AA33" s="217">
        <f>SUMIF('Opera Enerji Veri'!$C:$C, 'Opera Günlük Analiz'!$B33,'Opera Enerji Veri'!BX:BX)</f>
        <v/>
      </c>
      <c r="AB33" s="217">
        <f>SUMIF('Opera Enerji Veri'!$C:$C, 'Opera Günlük Analiz'!$B33,'Opera Enerji Veri'!BY:BY)</f>
        <v/>
      </c>
      <c r="AC33" s="219">
        <f>SUMIF('Opera Enerji Veri'!$C:$C, 'Opera Günlük Analiz'!$B33,'Opera Enerji Veri'!CI:CI)</f>
        <v/>
      </c>
      <c r="AD33" s="219">
        <f>IFERROR(AC33/G33,0)</f>
        <v/>
      </c>
      <c r="AE33" s="217">
        <f>J33+K33+L33+AB33-Y33</f>
        <v/>
      </c>
      <c r="AF33" s="217">
        <f>F33-AE33-Y33</f>
        <v/>
      </c>
      <c r="AG33" s="217">
        <f>Y33+AF33</f>
        <v/>
      </c>
      <c r="AH33" s="217">
        <f>IFERROR(AE33/G33,0)</f>
        <v/>
      </c>
      <c r="AI33" s="218">
        <f>IF(G33=0,0,AG33/G33)</f>
        <v/>
      </c>
      <c r="AJ33" s="225">
        <f>IFERROR(AI33/H33,0)</f>
        <v/>
      </c>
      <c r="AK33" s="27">
        <f>IFERROR(ABS(Z33/G33),0)</f>
        <v/>
      </c>
      <c r="AL33" s="109">
        <f>SUMIF('Opera Enerji Veri'!$C:$C, 'Opera Günlük Analiz'!$B33,'Opera Enerji Veri'!CH:CH)</f>
        <v/>
      </c>
      <c r="AM33" s="217">
        <f>M33-Y33</f>
        <v/>
      </c>
      <c r="AN33" s="97">
        <f>IFERROR(AM33/M33,0)</f>
        <v/>
      </c>
      <c r="AO33" s="217">
        <f>S33-AG33</f>
        <v/>
      </c>
      <c r="AP33" s="97">
        <f>IFERROR(AO33/S33,0)</f>
        <v/>
      </c>
    </row>
    <row r="62">
      <c r="AI62" s="209">
        <f>19000000-18439500</f>
        <v/>
      </c>
      <c r="AJ62" s="209" t="n"/>
      <c r="AM62" s="23">
        <f>AI62/19000000</f>
        <v/>
      </c>
    </row>
  </sheetData>
  <mergeCells count="2">
    <mergeCell ref="M1:U1"/>
    <mergeCell ref="Y1:AI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K770"/>
  <sheetViews>
    <sheetView showGridLines="0" zoomScale="70" zoomScaleNormal="70" workbookViewId="0">
      <pane ySplit="2" topLeftCell="A699" activePane="bottomLeft" state="frozen"/>
      <selection activeCell="A2" sqref="A2"/>
      <selection pane="bottomLeft" activeCell="A2" sqref="A2:D746"/>
    </sheetView>
  </sheetViews>
  <sheetFormatPr baseColWidth="8" defaultColWidth="8.88671875" defaultRowHeight="14.4"/>
  <cols>
    <col width="18.6640625" customWidth="1" style="226" min="1" max="1"/>
    <col width="12" customWidth="1" style="34" min="2" max="2"/>
    <col width="18.6640625" customWidth="1" style="226" min="3" max="5"/>
    <col width="12" customWidth="1" style="34" min="6" max="9"/>
    <col width="12" customWidth="1" style="117" min="10" max="10"/>
    <col width="12" customWidth="1" style="34" min="11" max="11"/>
    <col width="12" customWidth="1" style="117" min="12" max="12"/>
    <col width="12" customWidth="1" style="34" min="13" max="13"/>
    <col width="12" customWidth="1" style="117" min="14" max="14"/>
    <col width="12" customWidth="1" style="34" min="15" max="16"/>
    <col width="12" customWidth="1" style="117" min="17" max="17"/>
    <col width="12" customWidth="1" style="34" min="18" max="35"/>
    <col width="9.44140625" customWidth="1" style="34" min="36" max="38"/>
    <col width="12" customWidth="1" style="40" min="39" max="39"/>
    <col width="12" customWidth="1" style="34" min="40" max="42"/>
    <col width="8.5546875" customWidth="1" style="34" min="43" max="45"/>
    <col width="12" customWidth="1" style="34" min="46" max="56"/>
    <col width="12.33203125" customWidth="1" style="34" min="57" max="59"/>
    <col width="12.33203125" customWidth="1" style="188" min="60" max="60"/>
    <col width="11.109375" customWidth="1" style="34" min="61" max="64"/>
    <col width="13.6640625" customWidth="1" style="34" min="65" max="65"/>
    <col width="11.109375" customWidth="1" style="34" min="66" max="68"/>
    <col hidden="1" width="11.109375" customWidth="1" style="34" min="69" max="73"/>
    <col width="11.44140625" bestFit="1" customWidth="1" style="34" min="74" max="74"/>
    <col width="10.6640625" customWidth="1" style="34" min="75" max="77"/>
    <col width="11.6640625" customWidth="1" style="34" min="78" max="78"/>
    <col width="8.88671875" customWidth="1" style="34" min="79" max="79"/>
    <col width="12.88671875" customWidth="1" style="34" min="80" max="80"/>
    <col width="8.88671875" customWidth="1" style="34" min="81" max="81"/>
    <col hidden="1" style="34" min="82" max="84"/>
    <col hidden="1" width="11.109375" customWidth="1" style="34" min="85" max="85"/>
    <col hidden="1" style="34" min="86" max="86"/>
    <col width="15.6640625" customWidth="1" style="34" min="87" max="87"/>
    <col width="8.88671875" customWidth="1" style="34" min="88" max="16384"/>
  </cols>
  <sheetData>
    <row r="1" ht="14.4" customHeight="1" s="188">
      <c r="AB1" s="169" t="inlineStr">
        <is>
          <t>ARPACIK HES(3,77 MWh)</t>
        </is>
      </c>
      <c r="AI1" s="165" t="inlineStr">
        <is>
          <t>YAVUZ HES(33,5 MWh)</t>
        </is>
      </c>
      <c r="AP1" s="166" t="inlineStr">
        <is>
          <t>MİDİLLİ HES(33,548 MWh)</t>
        </is>
      </c>
      <c r="BH1" s="34" t="n"/>
      <c r="BI1" s="164" t="inlineStr">
        <is>
          <t>GİP ÖNCESİ</t>
        </is>
      </c>
      <c r="BJ1" s="212" t="n"/>
      <c r="BK1" s="212" t="n"/>
      <c r="BL1" s="212" t="n"/>
      <c r="BM1" s="212" t="n"/>
      <c r="BN1" s="212" t="n"/>
      <c r="BO1" s="212" t="n"/>
      <c r="BP1" s="213" t="n"/>
      <c r="BQ1" s="164" t="n"/>
      <c r="BR1" s="164" t="n"/>
      <c r="BS1" s="164" t="n"/>
      <c r="BT1" s="164" t="n"/>
      <c r="BU1" s="164" t="n"/>
      <c r="BV1" s="167" t="inlineStr">
        <is>
          <t>GİP SONRASI</t>
        </is>
      </c>
      <c r="BW1" s="214" t="n"/>
      <c r="BX1" s="214" t="n"/>
      <c r="BY1" s="214" t="n"/>
      <c r="BZ1" s="214" t="n"/>
      <c r="CA1" s="214" t="n"/>
      <c r="CB1" s="214" t="n"/>
      <c r="CC1" s="214" t="n"/>
      <c r="CD1" s="214" t="n"/>
      <c r="CE1" s="214" t="n"/>
      <c r="CF1" s="214" t="n"/>
      <c r="CG1" s="214" t="n"/>
      <c r="CH1" s="214" t="n"/>
    </row>
    <row r="2" ht="86.40000000000001" customFormat="1" customHeight="1" s="3">
      <c r="A2" s="210" t="inlineStr">
        <is>
          <t>Tarih</t>
        </is>
      </c>
      <c r="B2" s="2" t="inlineStr">
        <is>
          <t>Saat</t>
        </is>
      </c>
      <c r="C2" s="210" t="inlineStr">
        <is>
          <t>GÜN</t>
        </is>
      </c>
      <c r="D2" s="210" t="inlineStr">
        <is>
          <t>AY</t>
        </is>
      </c>
      <c r="E2" s="210" t="inlineStr">
        <is>
          <t>Sistem Yönü</t>
        </is>
      </c>
      <c r="F2" s="2" t="inlineStr">
        <is>
          <t>PTF (TL/MWh)</t>
        </is>
      </c>
      <c r="G2" s="2" t="inlineStr">
        <is>
          <t>SMF (TL/MWh)</t>
        </is>
      </c>
      <c r="H2" s="2" t="inlineStr">
        <is>
          <t>PTF (USD/MWh)</t>
        </is>
      </c>
      <c r="I2" s="227" t="inlineStr">
        <is>
          <t>AOF (TL/MWh)</t>
        </is>
      </c>
      <c r="J2" s="118" t="inlineStr">
        <is>
          <t>GÖP SSM (MWh)</t>
        </is>
      </c>
      <c r="K2" s="2" t="inlineStr">
        <is>
          <t>GÖP SST (TL)</t>
        </is>
      </c>
      <c r="L2" s="118" t="inlineStr">
        <is>
          <t>GÖP SAM (MWh)</t>
        </is>
      </c>
      <c r="M2" s="2" t="inlineStr">
        <is>
          <t>GÖP SAT (TL)</t>
        </is>
      </c>
      <c r="N2" s="118" t="inlineStr">
        <is>
          <t>İA Satış Miktarı (MWh)</t>
        </is>
      </c>
      <c r="O2" s="2" t="inlineStr">
        <is>
          <t>İA Satış Birim Fiyatı(TL/MWh)</t>
        </is>
      </c>
      <c r="P2" s="2" t="inlineStr">
        <is>
          <t>İASST(TL)</t>
        </is>
      </c>
      <c r="Q2" s="118" t="inlineStr">
        <is>
          <t>İA Alış Miktarı (MWh)</t>
        </is>
      </c>
      <c r="R2" s="2" t="inlineStr">
        <is>
          <t>İA Alış Birim Fiyatı (TL/MWh)</t>
        </is>
      </c>
      <c r="S2" s="2" t="inlineStr">
        <is>
          <t>İAAT(TL)</t>
        </is>
      </c>
      <c r="T2" s="2" t="inlineStr">
        <is>
          <t>GİPSM (MWh)</t>
        </is>
      </c>
      <c r="U2" s="227" t="inlineStr">
        <is>
          <t>GİP İŞLEM AOF (TL/MWh)</t>
        </is>
      </c>
      <c r="V2" s="228" t="inlineStr">
        <is>
          <t>PTF-SATIŞ AÖF</t>
        </is>
      </c>
      <c r="W2" s="2" t="inlineStr">
        <is>
          <t>GİPST (TL)</t>
        </is>
      </c>
      <c r="X2" s="2" t="inlineStr">
        <is>
          <t>GİPAM (MWh)</t>
        </is>
      </c>
      <c r="Y2" s="227" t="inlineStr">
        <is>
          <t>GİP İŞLEM AOF (TL/MWh)</t>
        </is>
      </c>
      <c r="Z2" s="227" t="inlineStr">
        <is>
          <t>ALIŞ AÖF-PTF</t>
        </is>
      </c>
      <c r="AA2" s="149" t="inlineStr">
        <is>
          <t>GİPAT (TL)</t>
        </is>
      </c>
      <c r="AB2" s="127" t="inlineStr">
        <is>
          <t>UEVM</t>
        </is>
      </c>
      <c r="AC2" s="127" t="inlineStr">
        <is>
          <t>İLK KGÜP</t>
        </is>
      </c>
      <c r="AD2" s="127" t="inlineStr">
        <is>
          <t>İLK KUPSM</t>
        </is>
      </c>
      <c r="AE2" s="127" t="inlineStr">
        <is>
          <t>İLK KUPST</t>
        </is>
      </c>
      <c r="AF2" s="128" t="inlineStr">
        <is>
          <t>SON KGÜP</t>
        </is>
      </c>
      <c r="AG2" s="127" t="inlineStr">
        <is>
          <t>SON KUPSM</t>
        </is>
      </c>
      <c r="AH2" s="127" t="inlineStr">
        <is>
          <t>SON KUPST</t>
        </is>
      </c>
      <c r="AI2" s="31" t="inlineStr">
        <is>
          <t>UEVM</t>
        </is>
      </c>
      <c r="AJ2" s="31" t="inlineStr">
        <is>
          <t>İLK KGÜP</t>
        </is>
      </c>
      <c r="AK2" s="31" t="inlineStr">
        <is>
          <t>İLK KUPSM</t>
        </is>
      </c>
      <c r="AL2" s="31" t="inlineStr">
        <is>
          <t>İLK KUPST</t>
        </is>
      </c>
      <c r="AM2" s="38" t="inlineStr">
        <is>
          <t>SON KGÜP</t>
        </is>
      </c>
      <c r="AN2" s="31" t="inlineStr">
        <is>
          <t>SON KUPSM</t>
        </is>
      </c>
      <c r="AO2" s="31" t="inlineStr">
        <is>
          <t>SON KUPST</t>
        </is>
      </c>
      <c r="AP2" s="32" t="inlineStr">
        <is>
          <t>UEVM</t>
        </is>
      </c>
      <c r="AQ2" s="32" t="inlineStr">
        <is>
          <t>İLK KGÜP</t>
        </is>
      </c>
      <c r="AR2" s="32" t="inlineStr">
        <is>
          <t>İLK KUPSM</t>
        </is>
      </c>
      <c r="AS2" s="32" t="inlineStr">
        <is>
          <t>İLK KUPST</t>
        </is>
      </c>
      <c r="AT2" s="32" t="inlineStr">
        <is>
          <t>SON KGÜP</t>
        </is>
      </c>
      <c r="AU2" s="32" t="inlineStr">
        <is>
          <t>SON KUPSM</t>
        </is>
      </c>
      <c r="AV2" s="32" t="inlineStr">
        <is>
          <t>SON KUPST</t>
        </is>
      </c>
      <c r="AW2" s="2" t="inlineStr">
        <is>
          <t>TOPLAM İLK KGÜP</t>
        </is>
      </c>
      <c r="AX2" s="2" t="inlineStr">
        <is>
          <t>TOPLAM SON KGÜP</t>
        </is>
      </c>
      <c r="AY2" s="2" t="inlineStr">
        <is>
          <t>TOPLAM UEVM (MWh)</t>
        </is>
      </c>
      <c r="AZ2" s="2" t="inlineStr">
        <is>
          <t>TOPLAM UEÇM (MWh)</t>
        </is>
      </c>
      <c r="BA2" s="8" t="inlineStr">
        <is>
          <t>İLK KUPSM(MWh)</t>
        </is>
      </c>
      <c r="BB2" s="8" t="inlineStr">
        <is>
          <t>İLK KUPST(TL)</t>
        </is>
      </c>
      <c r="BC2" s="8" t="inlineStr">
        <is>
          <t>SON KUPSM</t>
        </is>
      </c>
      <c r="BD2" s="8" t="inlineStr">
        <is>
          <t>SON KUPST</t>
        </is>
      </c>
      <c r="BE2" s="8" t="inlineStr">
        <is>
          <t>İDEAL TUTAR(TL)</t>
        </is>
      </c>
      <c r="BF2" s="8" t="inlineStr">
        <is>
          <t>GÖP TUTAR</t>
        </is>
      </c>
      <c r="BG2" s="8" t="inlineStr">
        <is>
          <t>İA TUTAR</t>
        </is>
      </c>
      <c r="BH2" s="8" t="inlineStr">
        <is>
          <t>GİP TUTAR</t>
        </is>
      </c>
      <c r="BI2" s="24" t="inlineStr">
        <is>
          <t>NET GELİR(TL)</t>
        </is>
      </c>
      <c r="BJ2" s="24" t="inlineStr">
        <is>
          <t>Mutlak EDM(MWh)</t>
        </is>
      </c>
      <c r="BK2" s="24" t="inlineStr">
        <is>
          <t>EDM(MWh)</t>
        </is>
      </c>
      <c r="BL2" s="24" t="inlineStr">
        <is>
          <t>EDT(TL)</t>
        </is>
      </c>
      <c r="BM2" s="24" t="inlineStr">
        <is>
          <t>DENGESİZLİK MALİYETİ</t>
        </is>
      </c>
      <c r="BN2" s="24" t="inlineStr">
        <is>
          <t>İLK KÜPST</t>
        </is>
      </c>
      <c r="BO2" s="24" t="inlineStr">
        <is>
          <t>TOPLAM MALİYET</t>
        </is>
      </c>
      <c r="BP2" s="24" t="inlineStr">
        <is>
          <t>BİRİM MALİYET</t>
        </is>
      </c>
      <c r="BQ2" s="11" t="inlineStr">
        <is>
          <t>GİP'siz Piyasa Hacmi</t>
        </is>
      </c>
      <c r="BR2" s="102" t="inlineStr">
        <is>
          <t>GİP'siz Dengesizlik Oranı</t>
        </is>
      </c>
      <c r="BS2" s="11" t="inlineStr">
        <is>
          <t>GİP'siz Piyasa Hacminin %10 dışında EDM</t>
        </is>
      </c>
      <c r="BT2" s="11" t="inlineStr">
        <is>
          <t>GİP'siz Piyasa Hacminin %10 dışında EDT</t>
        </is>
      </c>
      <c r="BU2" s="11" t="inlineStr">
        <is>
          <t>GİP'siz DO Miktarı</t>
        </is>
      </c>
      <c r="BV2" s="25" t="inlineStr">
        <is>
          <t>NET GELİR(TL)</t>
        </is>
      </c>
      <c r="BW2" s="25" t="inlineStr">
        <is>
          <t>Mutlak EDM(MWh)</t>
        </is>
      </c>
      <c r="BX2" s="25" t="inlineStr">
        <is>
          <t>EDM(MWh)</t>
        </is>
      </c>
      <c r="BY2" s="25" t="inlineStr">
        <is>
          <t>EDT(TL)</t>
        </is>
      </c>
      <c r="BZ2" s="25" t="inlineStr">
        <is>
          <t>DENGESİZLİK MALİYETİ</t>
        </is>
      </c>
      <c r="CA2" s="25" t="inlineStr">
        <is>
          <t>SON KÜPST</t>
        </is>
      </c>
      <c r="CB2" s="25" t="inlineStr">
        <is>
          <t>TOPLAM MALİYET</t>
        </is>
      </c>
      <c r="CC2" s="25" t="inlineStr">
        <is>
          <t>BİRİM MALİYET</t>
        </is>
      </c>
      <c r="CD2" s="103" t="inlineStr">
        <is>
          <t>GİP'li Piyasa Hacmi</t>
        </is>
      </c>
      <c r="CE2" s="103" t="inlineStr">
        <is>
          <t>GİP' li Dengesizlik Oranı</t>
        </is>
      </c>
      <c r="CF2" s="229" t="inlineStr">
        <is>
          <t>GİP'li Piyasa Hacminin %10 dışında EDM</t>
        </is>
      </c>
      <c r="CG2" s="229" t="inlineStr">
        <is>
          <t>GİP'li Piyasa Hacminin %10 dışında EDT</t>
        </is>
      </c>
      <c r="CH2" s="229" t="inlineStr">
        <is>
          <t>GİP'li DO Miktarı</t>
        </is>
      </c>
      <c r="CI2" s="150" t="inlineStr">
        <is>
          <t>Dengesizlik Maliyeti_Yeni</t>
        </is>
      </c>
      <c r="CJ2" s="150" t="inlineStr">
        <is>
          <t>Birim Maliyeti_Yeni</t>
        </is>
      </c>
    </row>
    <row r="3">
      <c r="A3" s="29" t="n">
        <v>46204</v>
      </c>
      <c r="B3" s="29" t="inlineStr">
        <is>
          <t>00:00</t>
        </is>
      </c>
      <c r="C3" s="35">
        <f>INT(A3)</f>
        <v/>
      </c>
      <c r="D3" s="36">
        <f>MONTH(A3)</f>
        <v/>
      </c>
      <c r="E3" s="147">
        <f>[1]FİYATLAR!G2</f>
        <v/>
      </c>
      <c r="F3" s="30" t="n">
        <v>4090.67</v>
      </c>
      <c r="G3" s="30" t="n">
        <v>4091</v>
      </c>
      <c r="H3" s="30" t="n">
        <v>87.87</v>
      </c>
      <c r="I3" s="30" t="n">
        <v>3901.78</v>
      </c>
      <c r="J3" s="119" t="n">
        <v>0</v>
      </c>
      <c r="K3" s="34">
        <f>F3*J3</f>
        <v/>
      </c>
      <c r="L3" s="119" t="n">
        <v>0</v>
      </c>
      <c r="M3" s="34">
        <f>L3*F3</f>
        <v/>
      </c>
      <c r="N3" s="119" t="n">
        <v>16</v>
      </c>
      <c r="O3" s="34">
        <f>F3</f>
        <v/>
      </c>
      <c r="P3" s="34">
        <f>N3*O3</f>
        <v/>
      </c>
      <c r="Q3" s="119" t="n">
        <v>0</v>
      </c>
      <c r="R3" s="34">
        <f>F3</f>
        <v/>
      </c>
      <c r="S3" s="34">
        <f>R3*Q3</f>
        <v/>
      </c>
      <c r="T3" s="34">
        <f>SUMIFS('[1]GİP VERİLERİ'!$C:$C,'[1]GİP VERİLERİ'!$B:$B,A3,'[1]GİP VERİLERİ'!$M:$M,"40X000000104782K",'[1]GİP VERİLERİ'!$G:$G,"SELL")</f>
        <v/>
      </c>
      <c r="U3" s="34">
        <f>IFERROR(W3/T3,0)</f>
        <v/>
      </c>
      <c r="V3" s="34">
        <f>IF(U3=0,0,U3-F3)</f>
        <v/>
      </c>
      <c r="W3" s="34">
        <f>SUMIFS('[1]GİP VERİLERİ'!$O:$O,'[1]GİP VERİLERİ'!$B:$B,A3,'[1]GİP VERİLERİ'!$M:$M,"40X000000104782K",'[1]GİP VERİLERİ'!$G:$G,"SELL")</f>
        <v/>
      </c>
      <c r="X3" s="34">
        <f>SUMIFS('[1]GİP VERİLERİ'!$C:$C,'[1]GİP VERİLERİ'!$B:$B,A3,'[1]GİP VERİLERİ'!$M:$M,"40X000000104782K",'[1]GİP VERİLERİ'!$G:$G,"BUY")</f>
        <v/>
      </c>
      <c r="Y3" s="34">
        <f>IFERROR(AA3/X3,0)</f>
        <v/>
      </c>
      <c r="Z3" s="34">
        <f>IF(Y3=0,0,F3-Y3)</f>
        <v/>
      </c>
      <c r="AA3" s="34">
        <f>SUMIFS('[1]GİP VERİLERİ'!$O:$O,'[1]GİP VERİLERİ'!$B:$B,A3,'[1]GİP VERİLERİ'!$M:$M,"40X000000104782K",'[1]GİP VERİLERİ'!$G:$G,"BUY")</f>
        <v/>
      </c>
      <c r="AB3" s="34" t="n">
        <v>0</v>
      </c>
      <c r="AC3" s="34" t="n">
        <v>0</v>
      </c>
      <c r="AD3" s="34">
        <f>IF(AB3&gt;AC3*1.05,AB3-AC3*1.05,IF(AB3&lt;AC3*0.95,AC3*0.95-AB3,0))</f>
        <v/>
      </c>
      <c r="AE3" s="34">
        <f>MAX(F3,G3,750)*0.05*AD3</f>
        <v/>
      </c>
      <c r="AF3" s="34" t="n">
        <v>0</v>
      </c>
      <c r="AG3" s="34">
        <f>IF(AB3&gt;AF3*1.05,AB3-AF3*1.05,IF(AB3&lt;AF3*0.95,AF3*0.95-AB3,0))</f>
        <v/>
      </c>
      <c r="AH3" s="34">
        <f>MAX(I3,J3,750)*0.05*AG3</f>
        <v/>
      </c>
      <c r="AI3" t="n">
        <v>8.15</v>
      </c>
      <c r="AJ3" t="n">
        <v>7</v>
      </c>
      <c r="AK3" s="34">
        <f>IF(AI3&gt;AJ3*1.05,AI3-AJ3*1.05,IF(AI3&lt;AJ3*0.95,AJ3*0.95-AI3,0))</f>
        <v/>
      </c>
      <c r="AL3" s="34">
        <f>MAX(F3,G3,750)*0.05*AK3</f>
        <v/>
      </c>
      <c r="AM3" s="39" t="n">
        <v>8</v>
      </c>
      <c r="AN3" s="34">
        <f>IF(AI3&gt;AM3*1.05,AI3-AM3*1.05,IF(AI3&lt;AM3*0.95,AM3*0.95-AI3,0))</f>
        <v/>
      </c>
      <c r="AO3" s="34">
        <f>MAX(F3,G3,750)*0.05*AN3</f>
        <v/>
      </c>
      <c r="AP3" s="34" t="n">
        <v>8.94</v>
      </c>
      <c r="AQ3" s="34" t="n">
        <v>9</v>
      </c>
      <c r="AR3" s="34">
        <f>IF(AP3&gt;AQ3*1.05,AP3-AQ3*1.05,IF(AP3&lt;AQ3*0.95,AQ3*0.95-AP3,0))</f>
        <v/>
      </c>
      <c r="AS3" s="34">
        <f>MAX(F3:G3,750)*0.05*AR3</f>
        <v/>
      </c>
      <c r="AT3" t="n">
        <v>9</v>
      </c>
      <c r="AU3" s="34">
        <f>IF(AP3&gt;AT3*1.05,AP3-AT3*1.05,IF(AP3&lt;AT3*0.95,AT3*0.95-AP3,0))</f>
        <v/>
      </c>
      <c r="AV3" s="34">
        <f>MAX(F3:G3,750)*0.05*AU3</f>
        <v/>
      </c>
      <c r="AW3" s="34">
        <f>AC3+AJ3+AQ3</f>
        <v/>
      </c>
      <c r="AX3" s="34">
        <f>AF3+AM3+AT3</f>
        <v/>
      </c>
      <c r="AY3" s="34">
        <f>AB3+AI3+AP3</f>
        <v/>
      </c>
      <c r="AZ3" s="34" t="n">
        <v>0</v>
      </c>
      <c r="BA3" s="34">
        <f>AD3+AK3+AR3</f>
        <v/>
      </c>
      <c r="BB3" s="34">
        <f>MAX(F3:G3,750)*0.05*BA3</f>
        <v/>
      </c>
      <c r="BC3" s="34">
        <f>AG3+AN3+AU3</f>
        <v/>
      </c>
      <c r="BD3" s="34">
        <f>MAX(F3:G3,750)*0.05*BC3</f>
        <v/>
      </c>
      <c r="BE3" s="34">
        <f>F3*AY3</f>
        <v/>
      </c>
      <c r="BF3" s="34">
        <f>K3-M3</f>
        <v/>
      </c>
      <c r="BG3" s="34">
        <f>P3-S3</f>
        <v/>
      </c>
      <c r="BH3" s="34">
        <f>W3-AA3</f>
        <v/>
      </c>
      <c r="BI3" s="34">
        <f>BF3+BG3+BL3-BN3</f>
        <v/>
      </c>
      <c r="BJ3" s="34">
        <f>ABS(BK3)</f>
        <v/>
      </c>
      <c r="BK3" s="34">
        <f>AY3-(J3-L3+N3-Q3)</f>
        <v/>
      </c>
      <c r="BL3" s="34">
        <f>IF(AND(BK3&gt;0,MIN($F3:$G3)&lt;150,$E3="Enerji Açığı"),-100*BK3*1.03,IF(AND(BK3&gt;0,MIN($F3:$G3)&lt;150,$E3="Enerji Fazlası"),-100*BK3*1.06,IF(AND(BK3&gt;0,MIN($F3:$G3)&gt;=150,$E3="Enerji Açığı"),BK3*MIN($F3:$G3)*0.97,IF(AND(BK3&gt;0,MIN($F3:$G3)&gt;=150,$E3="Enerji Fazlası"),BK3*MIN($F3:$G3)*0.94,IF(AND(BK3&lt;0,MAX($F3:$G3)=4500,$E3="Enerji Açığı"),4500*1.05*1.06*BK3,IF(AND(BK3&lt;0,MAX($F3:$G3)=4500,$E3="Enerji Fazlası"),4500*1.05*1.03*BK3,IF(AND(BK3&lt;0,$E3="Enerji Açığı"),MAX($F3,$G3,150)*BK3*1.06,IF(AND(BK3&lt;0,$E3="Enerji Fazlası"),MAX($F3,$G3,150)*BK3*1.03,IF(AND(BK3&lt;0,$E3="Dengede"),MAX($F3:$G3,150)*1.03*BK3,MIN($F3:$G3)*0.97*BK3)))))))))</f>
        <v/>
      </c>
      <c r="BM3" s="34">
        <f>BE3-BI3-BN3</f>
        <v/>
      </c>
      <c r="BN3" s="34">
        <f>BB3</f>
        <v/>
      </c>
      <c r="BO3" s="34">
        <f>BE3-BI3</f>
        <v/>
      </c>
      <c r="BP3" s="34">
        <f>IF(AY3=0,0,BO3/AY3)</f>
        <v/>
      </c>
      <c r="BQ3" s="34">
        <f>MAX((AY3+MAX((-J3+L3-N3+Q3),0)),(MAX((J3-L3+N3-Q3),0)))</f>
        <v/>
      </c>
      <c r="BR3" s="82">
        <f>IFERROR(ABS(BK3/BQ3),0)</f>
        <v/>
      </c>
      <c r="BS3" s="34">
        <f>IF(BR3&lt;=0.1,0,BK3/BR3*(BR3-0.1))</f>
        <v/>
      </c>
      <c r="BT3" s="34">
        <f>IF((BS3)&lt;0,MAX(F3:G3)*(BS3)*1.03,MIN(F3:G3)*(BS3)*0.97)</f>
        <v/>
      </c>
      <c r="BU3" s="34">
        <f>IF(BR3&gt;0.1,1,0)</f>
        <v/>
      </c>
      <c r="BV3" s="34">
        <f>BF3+BG3+BH3+BY3-CA3</f>
        <v/>
      </c>
      <c r="BW3" s="34">
        <f>ABS(BX3)</f>
        <v/>
      </c>
      <c r="BX3" s="34">
        <f>AY3-(J3-L3+N3-Q3+T3-X3)</f>
        <v/>
      </c>
      <c r="BY3" s="34">
        <f>IF(AND(BX3&gt;0,MIN($F3:$G3)&lt;150,$E3="Enerji Açığı"),-100*BX3*1.03,IF(AND(BX3&gt;0,MIN($F3:$G3)&lt;150,$E3="Enerji Fazlası"),-100*BX3*1.06,IF(AND(BX3&gt;0,MIN($F3:$G3)&gt;=150,$E3="Enerji Açığı"),BX3*MIN($F3:$G3)*0.97,IF(AND(BX3&gt;0,MIN($F3:$G3)&gt;=150,$E3="Enerji Fazlası"),BX3*MIN($F3:$G3)*0.94,IF(AND(BX3&lt;0,MAX($F3:$G3)=4500,$E3="Enerji Açığı"),4500*1.05*1.06*BX3,IF(AND(BX3&lt;0,MAX($F3:$G3)=4500,$E3="Enerji Fazlası"),4500*1.05*1.03*BX3,IF(AND(BX3&lt;0,$E3="Enerji Açığı"),MAX($F3,$G3,150)*BX3*1.06,IF(AND(BX3&lt;0,$E3="Enerji Fazlası"),MAX($F3,$G3,150)*BX3*1.03,IF(AND(BX3&lt;0,$E3="Dengede"),MAX($F3:$G3,150)*1.03*BX3,MIN($F3:$G3)*0.97*BX3)))))))))</f>
        <v/>
      </c>
      <c r="BZ3" s="34">
        <f>BE3-BV3-CA3</f>
        <v/>
      </c>
      <c r="CA3" s="34">
        <f>BD3</f>
        <v/>
      </c>
      <c r="CB3" s="33">
        <f>BE3-BV3</f>
        <v/>
      </c>
      <c r="CC3" s="34">
        <f>IF(AY3=0,0,CB3/AY3)</f>
        <v/>
      </c>
      <c r="CD3" s="34">
        <f>MAX((AY3+MAX((-J3+L3-N3+Q3-T3+X3),0)),(MAX((J3-L3+N3-Q3+T3-X3),0)))</f>
        <v/>
      </c>
      <c r="CE3" s="82">
        <f>IFERROR(ABS(BX3/CD3),0)</f>
        <v/>
      </c>
      <c r="CF3" s="34">
        <f>IF(CE3&lt;=0.1,0,BX3/CE3*(CE3-0.1))</f>
        <v/>
      </c>
      <c r="CG3" s="34">
        <f>IF((CF3)&lt;0,MAX(F3:G3)*(CF3)*1.03,MIN(F3:G3)*(CF3)*0.97)</f>
        <v/>
      </c>
      <c r="CH3" s="34">
        <f>IF(CE3&gt;0.1,1,0)</f>
        <v/>
      </c>
      <c r="CI3" s="34">
        <f>(F3*BX3)-BY3</f>
        <v/>
      </c>
      <c r="CJ3" s="34">
        <f>IF(AY3=0,0,CI3/AY3)</f>
        <v/>
      </c>
    </row>
    <row r="4">
      <c r="A4" s="29" t="n">
        <v>46204.04166666666</v>
      </c>
      <c r="B4" s="29" t="inlineStr">
        <is>
          <t>01:00</t>
        </is>
      </c>
      <c r="C4" s="35">
        <f>INT(A4)</f>
        <v/>
      </c>
      <c r="D4" s="36">
        <f>MONTH(A4)</f>
        <v/>
      </c>
      <c r="E4" s="147">
        <f>[1]FİYATLAR!G3</f>
        <v/>
      </c>
      <c r="F4" s="30" t="n">
        <v>4000</v>
      </c>
      <c r="G4" s="30" t="n">
        <v>4000</v>
      </c>
      <c r="H4" s="30" t="n">
        <v>85.92</v>
      </c>
      <c r="I4" s="30" t="n">
        <v>3986.47</v>
      </c>
      <c r="J4" s="119" t="n">
        <v>0</v>
      </c>
      <c r="K4" s="34">
        <f>F4*J4</f>
        <v/>
      </c>
      <c r="L4" s="119" t="n">
        <v>0</v>
      </c>
      <c r="M4" s="34">
        <f>L4*F4</f>
        <v/>
      </c>
      <c r="N4" s="119" t="n">
        <v>16</v>
      </c>
      <c r="O4" s="34">
        <f>F4</f>
        <v/>
      </c>
      <c r="P4" s="34">
        <f>N4*O4</f>
        <v/>
      </c>
      <c r="Q4" s="119" t="n">
        <v>0</v>
      </c>
      <c r="R4" s="34">
        <f>F4</f>
        <v/>
      </c>
      <c r="S4" s="34">
        <f>R4*Q4</f>
        <v/>
      </c>
      <c r="T4" s="34">
        <f>SUMIFS('[1]GİP VERİLERİ'!$C:$C,'[1]GİP VERİLERİ'!$B:$B,A4,'[1]GİP VERİLERİ'!$M:$M,"40X000000104782K",'[1]GİP VERİLERİ'!$G:$G,"SELL")</f>
        <v/>
      </c>
      <c r="U4" s="34">
        <f>IFERROR(W4/T4,0)</f>
        <v/>
      </c>
      <c r="V4" s="34">
        <f>IF(U4=0,0,U4-F4)</f>
        <v/>
      </c>
      <c r="W4" s="34">
        <f>SUMIFS('[1]GİP VERİLERİ'!$O:$O,'[1]GİP VERİLERİ'!$B:$B,A4,'[1]GİP VERİLERİ'!$M:$M,"40X000000104782K",'[1]GİP VERİLERİ'!$G:$G,"SELL")</f>
        <v/>
      </c>
      <c r="X4" s="34">
        <f>SUMIFS('[1]GİP VERİLERİ'!$C:$C,'[1]GİP VERİLERİ'!$B:$B,A4,'[1]GİP VERİLERİ'!$M:$M,"40X000000104782K",'[1]GİP VERİLERİ'!$G:$G,"BUY")</f>
        <v/>
      </c>
      <c r="Y4" s="34">
        <f>IFERROR(AA4/X4,0)</f>
        <v/>
      </c>
      <c r="Z4" s="34">
        <f>IF(Y4=0,0,F4-Y4)</f>
        <v/>
      </c>
      <c r="AA4" s="34">
        <f>SUMIFS('[1]GİP VERİLERİ'!$O:$O,'[1]GİP VERİLERİ'!$B:$B,A4,'[1]GİP VERİLERİ'!$M:$M,"40X000000104782K",'[1]GİP VERİLERİ'!$G:$G,"BUY")</f>
        <v/>
      </c>
      <c r="AB4" s="34" t="n">
        <v>0</v>
      </c>
      <c r="AC4" s="34" t="n">
        <v>0</v>
      </c>
      <c r="AD4" s="34">
        <f>IF(AB4&gt;AC4*1.05,AB4-AC4*1.05,IF(AB4&lt;AC4*0.95,AC4*0.95-AB4,0))</f>
        <v/>
      </c>
      <c r="AE4" s="34">
        <f>MAX(F4,G4,750)*0.05*AD4</f>
        <v/>
      </c>
      <c r="AF4" s="34" t="n">
        <v>0</v>
      </c>
      <c r="AG4" s="34">
        <f>IF(AB4&gt;AF4*1.05,AB4-AF4*1.05,IF(AB4&lt;AF4*0.95,AF4*0.95-AB4,0))</f>
        <v/>
      </c>
      <c r="AH4" s="34">
        <f>MAX(I4,J4,750)*0.05*AG4</f>
        <v/>
      </c>
      <c r="AI4" t="n">
        <v>8.140000000000001</v>
      </c>
      <c r="AJ4" t="n">
        <v>7</v>
      </c>
      <c r="AK4" s="34">
        <f>IF(AI4&gt;AJ4*1.05,AI4-AJ4*1.05,IF(AI4&lt;AJ4*0.95,AJ4*0.95-AI4,0))</f>
        <v/>
      </c>
      <c r="AL4" s="34">
        <f>MAX(F4,G4,750)*0.05*AK4</f>
        <v/>
      </c>
      <c r="AM4" s="39" t="n">
        <v>8</v>
      </c>
      <c r="AN4" s="34">
        <f>IF(AI4&gt;AM4*1.05,AI4-AM4*1.05,IF(AI4&lt;AM4*0.95,AM4*0.95-AI4,0))</f>
        <v/>
      </c>
      <c r="AO4" s="34">
        <f>MAX(F4,G4,750)*0.05*AN4</f>
        <v/>
      </c>
      <c r="AP4" s="34" t="n">
        <v>9.970000000000001</v>
      </c>
      <c r="AQ4" s="34" t="n">
        <v>9</v>
      </c>
      <c r="AR4" s="34">
        <f>IF(AP4&gt;AQ4*1.05,AP4-AQ4*1.05,IF(AP4&lt;AQ4*0.95,AQ4*0.95-AP4,0))</f>
        <v/>
      </c>
      <c r="AS4" s="34">
        <f>MAX(F4:G4,750)*0.05*AR4</f>
        <v/>
      </c>
      <c r="AT4" t="n">
        <v>10</v>
      </c>
      <c r="AU4" s="34">
        <f>IF(AP4&gt;AT4*1.05,AP4-AT4*1.05,IF(AP4&lt;AT4*0.95,AT4*0.95-AP4,0))</f>
        <v/>
      </c>
      <c r="AV4" s="34">
        <f>MAX(F4:G4,750)*0.05*AU4</f>
        <v/>
      </c>
      <c r="AW4" s="34">
        <f>AC4+AJ4+AQ4</f>
        <v/>
      </c>
      <c r="AX4" s="34">
        <f>AF4+AM4+AT4</f>
        <v/>
      </c>
      <c r="AY4" s="34">
        <f>AB4+AI4+AP4</f>
        <v/>
      </c>
      <c r="AZ4" s="34" t="n">
        <v>0</v>
      </c>
      <c r="BA4" s="34">
        <f>AD4+AK4+AR4</f>
        <v/>
      </c>
      <c r="BB4" s="34">
        <f>MAX(F4:G4,750)*0.05*BA4</f>
        <v/>
      </c>
      <c r="BC4" s="34">
        <f>AG4+AN4+AU4</f>
        <v/>
      </c>
      <c r="BD4" s="34">
        <f>MAX(F4:G4,750)*0.05*BC4</f>
        <v/>
      </c>
      <c r="BE4" s="34">
        <f>F4*AY4</f>
        <v/>
      </c>
      <c r="BF4" s="34">
        <f>K4-M4</f>
        <v/>
      </c>
      <c r="BG4" s="34">
        <f>P4-S4</f>
        <v/>
      </c>
      <c r="BH4" s="34">
        <f>W4-AA4</f>
        <v/>
      </c>
      <c r="BI4" s="34">
        <f>BF4+BG4+BL4-BN4</f>
        <v/>
      </c>
      <c r="BJ4" s="34">
        <f>ABS(BK4)</f>
        <v/>
      </c>
      <c r="BK4" s="34">
        <f>AY4-(J4-L4+N4-Q4)</f>
        <v/>
      </c>
      <c r="BL4" s="34">
        <f>IF(AND(BK4&gt;0,MIN($F4:$G4)&lt;150,$E4="Enerji Açığı"),-100*BK4*1.03,IF(AND(BK4&gt;0,MIN($F4:$G4)&lt;150,$E4="Enerji Fazlası"),-100*BK4*1.06,IF(AND(BK4&gt;0,MIN($F4:$G4)&gt;=150,$E4="Enerji Açığı"),BK4*MIN($F4:$G4)*0.97,IF(AND(BK4&gt;0,MIN($F4:$G4)&gt;=150,$E4="Enerji Fazlası"),BK4*MIN($F4:$G4)*0.94,IF(AND(BK4&lt;0,MAX($F4:$G4)=4500,$E4="Enerji Açığı"),4500*1.05*1.06*BK4,IF(AND(BK4&lt;0,MAX($F4:$G4)=4500,$E4="Enerji Fazlası"),4500*1.05*1.03*BK4,IF(AND(BK4&lt;0,$E4="Enerji Açığı"),MAX($F4,$G4,150)*BK4*1.06,IF(AND(BK4&lt;0,$E4="Enerji Fazlası"),MAX($F4,$G4,150)*BK4*1.03,IF(AND(BK4&lt;0,$E4="Dengede"),MAX($F4:$G4,150)*1.03*BK4,MIN($F4:$G4)*0.97*BK4)))))))))</f>
        <v/>
      </c>
      <c r="BM4" s="34">
        <f>BE4-BI4-BN4</f>
        <v/>
      </c>
      <c r="BN4" s="34">
        <f>BB4</f>
        <v/>
      </c>
      <c r="BO4" s="34">
        <f>BE4-BI4</f>
        <v/>
      </c>
      <c r="BP4" s="34">
        <f>IF(AY4=0,0,BO4/AY4)</f>
        <v/>
      </c>
      <c r="BQ4" s="34">
        <f>MAX((AY4+MAX((-J4+L4-N4+Q4),0)),(MAX((J4-L4+N4-Q4),0)))</f>
        <v/>
      </c>
      <c r="BR4" s="82">
        <f>IFERROR(ABS(BK4/BQ4),0)</f>
        <v/>
      </c>
      <c r="BS4" s="34">
        <f>IF(BR4&lt;=0.1,0,BK4/BR4*(BR4-0.1))</f>
        <v/>
      </c>
      <c r="BT4" s="34">
        <f>IF((BS4)&lt;0,MAX(F4:G4)*(BS4)*1.03,MIN(F4:G4)*(BS4)*0.97)</f>
        <v/>
      </c>
      <c r="BU4" s="34">
        <f>IF(BR4&gt;0.1,1,0)</f>
        <v/>
      </c>
      <c r="BV4" s="34">
        <f>BF4+BG4+BH4+BY4-CA4</f>
        <v/>
      </c>
      <c r="BW4" s="34">
        <f>ABS(BX4)</f>
        <v/>
      </c>
      <c r="BX4" s="34">
        <f>AY4-(J4-L4+N4-Q4+T4-X4)</f>
        <v/>
      </c>
      <c r="BY4" s="34">
        <f>IF(AND(BX4&gt;0,MIN($F4:$G4)&lt;150,$E4="Enerji Açığı"),-100*BX4*1.03,IF(AND(BX4&gt;0,MIN($F4:$G4)&lt;150,$E4="Enerji Fazlası"),-100*BX4*1.06,IF(AND(BX4&gt;0,MIN($F4:$G4)&gt;=150,$E4="Enerji Açığı"),BX4*MIN($F4:$G4)*0.97,IF(AND(BX4&gt;0,MIN($F4:$G4)&gt;=150,$E4="Enerji Fazlası"),BX4*MIN($F4:$G4)*0.94,IF(AND(BX4&lt;0,MAX($F4:$G4)=4500,$E4="Enerji Açığı"),4500*1.05*1.06*BX4,IF(AND(BX4&lt;0,MAX($F4:$G4)=4500,$E4="Enerji Fazlası"),4500*1.05*1.03*BX4,IF(AND(BX4&lt;0,$E4="Enerji Açığı"),MAX($F4,$G4,150)*BX4*1.06,IF(AND(BX4&lt;0,$E4="Enerji Fazlası"),MAX($F4,$G4,150)*BX4*1.03,IF(AND(BX4&lt;0,$E4="Dengede"),MAX($F4:$G4,150)*1.03*BX4,MIN($F4:$G4)*0.97*BX4)))))))))</f>
        <v/>
      </c>
      <c r="BZ4" s="34">
        <f>BE4-BV4-CA4</f>
        <v/>
      </c>
      <c r="CA4" s="34">
        <f>BD4</f>
        <v/>
      </c>
      <c r="CB4" s="33">
        <f>BE4-BV4</f>
        <v/>
      </c>
      <c r="CC4" s="34">
        <f>IF(AY4=0,0,CB4/AY4)</f>
        <v/>
      </c>
      <c r="CD4" s="34">
        <f>MAX((AY4+MAX((-J4+L4-N4+Q4-T4+X4),0)),(MAX((J4-L4+N4-Q4+T4-X4),0)))</f>
        <v/>
      </c>
      <c r="CE4" s="82">
        <f>IFERROR(ABS(BX4/CD4),0)</f>
        <v/>
      </c>
      <c r="CF4" s="34">
        <f>IF(CE4&lt;=0.1,0,BX4/CE4*(CE4-0.1))</f>
        <v/>
      </c>
      <c r="CG4" s="34">
        <f>IF((CF4)&lt;0,MAX(F4:G4)*(CF4)*1.03,MIN(F4:G4)*(CF4)*0.97)</f>
        <v/>
      </c>
      <c r="CH4" s="34">
        <f>IF(CE4&gt;0.1,1,0)</f>
        <v/>
      </c>
      <c r="CI4" s="34">
        <f>(F4*BX4)-BY4</f>
        <v/>
      </c>
      <c r="CJ4" s="34">
        <f>IF(AY4=0,0,CI4/AY4)</f>
        <v/>
      </c>
    </row>
    <row r="5">
      <c r="A5" s="29" t="n">
        <v>46204.08333333334</v>
      </c>
      <c r="B5" s="29" t="inlineStr">
        <is>
          <t>02:00</t>
        </is>
      </c>
      <c r="C5" s="35">
        <f>INT(A5)</f>
        <v/>
      </c>
      <c r="D5" s="36">
        <f>MONTH(A5)</f>
        <v/>
      </c>
      <c r="E5" s="147">
        <f>[1]FİYATLAR!G4</f>
        <v/>
      </c>
      <c r="F5" s="30" t="n">
        <v>3575.03</v>
      </c>
      <c r="G5" s="30" t="n">
        <v>3848</v>
      </c>
      <c r="H5" s="30" t="n">
        <v>76.79000000000001</v>
      </c>
      <c r="I5" s="30" t="n">
        <v>3229.34</v>
      </c>
      <c r="J5" s="119" t="n">
        <v>0</v>
      </c>
      <c r="K5" s="34">
        <f>F5*J5</f>
        <v/>
      </c>
      <c r="L5" s="119" t="n">
        <v>0</v>
      </c>
      <c r="M5" s="34">
        <f>L5*F5</f>
        <v/>
      </c>
      <c r="N5" s="119" t="n">
        <v>16</v>
      </c>
      <c r="O5" s="34">
        <f>F5</f>
        <v/>
      </c>
      <c r="P5" s="34">
        <f>N5*O5</f>
        <v/>
      </c>
      <c r="Q5" s="119" t="n">
        <v>0</v>
      </c>
      <c r="R5" s="34">
        <f>F5</f>
        <v/>
      </c>
      <c r="S5" s="34">
        <f>R5*Q5</f>
        <v/>
      </c>
      <c r="T5" s="34">
        <f>SUMIFS('[1]GİP VERİLERİ'!$C:$C,'[1]GİP VERİLERİ'!$B:$B,A5,'[1]GİP VERİLERİ'!$M:$M,"40X000000104782K",'[1]GİP VERİLERİ'!$G:$G,"SELL")</f>
        <v/>
      </c>
      <c r="U5" s="34">
        <f>IFERROR(W5/T5,0)</f>
        <v/>
      </c>
      <c r="V5" s="34">
        <f>IF(U5=0,0,U5-F5)</f>
        <v/>
      </c>
      <c r="W5" s="34">
        <f>SUMIFS('[1]GİP VERİLERİ'!$O:$O,'[1]GİP VERİLERİ'!$B:$B,A5,'[1]GİP VERİLERİ'!$M:$M,"40X000000104782K",'[1]GİP VERİLERİ'!$G:$G,"SELL")</f>
        <v/>
      </c>
      <c r="X5" s="34">
        <f>SUMIFS('[1]GİP VERİLERİ'!$C:$C,'[1]GİP VERİLERİ'!$B:$B,A5,'[1]GİP VERİLERİ'!$M:$M,"40X000000104782K",'[1]GİP VERİLERİ'!$G:$G,"BUY")</f>
        <v/>
      </c>
      <c r="Y5" s="34">
        <f>IFERROR(AA5/X5,0)</f>
        <v/>
      </c>
      <c r="Z5" s="34">
        <f>IF(Y5=0,0,F5-Y5)</f>
        <v/>
      </c>
      <c r="AA5" s="34">
        <f>SUMIFS('[1]GİP VERİLERİ'!$O:$O,'[1]GİP VERİLERİ'!$B:$B,A5,'[1]GİP VERİLERİ'!$M:$M,"40X000000104782K",'[1]GİP VERİLERİ'!$G:$G,"BUY")</f>
        <v/>
      </c>
      <c r="AB5" s="34" t="n">
        <v>0</v>
      </c>
      <c r="AC5" s="34" t="n">
        <v>0</v>
      </c>
      <c r="AD5" s="34">
        <f>IF(AB5&gt;AC5*1.05,AB5-AC5*1.05,IF(AB5&lt;AC5*0.95,AC5*0.95-AB5,0))</f>
        <v/>
      </c>
      <c r="AE5" s="34">
        <f>MAX(F5,G5,750)*0.05*AD5</f>
        <v/>
      </c>
      <c r="AF5" s="34" t="n">
        <v>0</v>
      </c>
      <c r="AG5" s="34">
        <f>IF(AB5&gt;AF5*1.05,AB5-AF5*1.05,IF(AB5&lt;AF5*0.95,AF5*0.95-AB5,0))</f>
        <v/>
      </c>
      <c r="AH5" s="34">
        <f>MAX(I5,J5,750)*0.05*AG5</f>
        <v/>
      </c>
      <c r="AI5" t="n">
        <v>7.25</v>
      </c>
      <c r="AJ5" t="n">
        <v>7</v>
      </c>
      <c r="AK5" s="34">
        <f>IF(AI5&gt;AJ5*1.05,AI5-AJ5*1.05,IF(AI5&lt;AJ5*0.95,AJ5*0.95-AI5,0))</f>
        <v/>
      </c>
      <c r="AL5" s="34">
        <f>MAX(F5,G5,750)*0.05*AK5</f>
        <v/>
      </c>
      <c r="AM5" s="39" t="n">
        <v>8</v>
      </c>
      <c r="AN5" s="34">
        <f>IF(AI5&gt;AM5*1.05,AI5-AM5*1.05,IF(AI5&lt;AM5*0.95,AM5*0.95-AI5,0))</f>
        <v/>
      </c>
      <c r="AO5" s="34">
        <f>MAX(F5,G5,750)*0.05*AN5</f>
        <v/>
      </c>
      <c r="AP5" s="34" t="n">
        <v>10.05</v>
      </c>
      <c r="AQ5" s="34" t="n">
        <v>9</v>
      </c>
      <c r="AR5" s="34">
        <f>IF(AP5&gt;AQ5*1.05,AP5-AQ5*1.05,IF(AP5&lt;AQ5*0.95,AQ5*0.95-AP5,0))</f>
        <v/>
      </c>
      <c r="AS5" s="34">
        <f>MAX(F5:G5,750)*0.05*AR5</f>
        <v/>
      </c>
      <c r="AT5" t="n">
        <v>9</v>
      </c>
      <c r="AU5" s="34">
        <f>IF(AP5&gt;AT5*1.05,AP5-AT5*1.05,IF(AP5&lt;AT5*0.95,AT5*0.95-AP5,0))</f>
        <v/>
      </c>
      <c r="AV5" s="34">
        <f>MAX(F5:G5,750)*0.05*AU5</f>
        <v/>
      </c>
      <c r="AW5" s="34">
        <f>AC5+AJ5+AQ5</f>
        <v/>
      </c>
      <c r="AX5" s="34">
        <f>AF5+AM5+AT5</f>
        <v/>
      </c>
      <c r="AY5" s="34">
        <f>AB5+AI5+AP5</f>
        <v/>
      </c>
      <c r="AZ5" s="34" t="n">
        <v>0</v>
      </c>
      <c r="BA5" s="34">
        <f>AD5+AK5+AR5</f>
        <v/>
      </c>
      <c r="BB5" s="34">
        <f>MAX(F5:G5,750)*0.05*BA5</f>
        <v/>
      </c>
      <c r="BC5" s="34">
        <f>AG5+AN5+AU5</f>
        <v/>
      </c>
      <c r="BD5" s="34">
        <f>MAX(F5:G5,750)*0.05*BC5</f>
        <v/>
      </c>
      <c r="BE5" s="34">
        <f>F5*AY5</f>
        <v/>
      </c>
      <c r="BF5" s="34">
        <f>K5-M5</f>
        <v/>
      </c>
      <c r="BG5" s="34">
        <f>P5-S5</f>
        <v/>
      </c>
      <c r="BH5" s="34">
        <f>W5-AA5</f>
        <v/>
      </c>
      <c r="BI5" s="34">
        <f>BF5+BG5+BL5-BN5</f>
        <v/>
      </c>
      <c r="BJ5" s="34">
        <f>ABS(BK5)</f>
        <v/>
      </c>
      <c r="BK5" s="34">
        <f>AY5-(J5-L5+N5-Q5)</f>
        <v/>
      </c>
      <c r="BL5" s="34">
        <f>IF(AND(BK5&gt;0,MIN($F5:$G5)&lt;150,$E5="Enerji Açığı"),-100*BK5*1.03,IF(AND(BK5&gt;0,MIN($F5:$G5)&lt;150,$E5="Enerji Fazlası"),-100*BK5*1.06,IF(AND(BK5&gt;0,MIN($F5:$G5)&gt;=150,$E5="Enerji Açığı"),BK5*MIN($F5:$G5)*0.97,IF(AND(BK5&gt;0,MIN($F5:$G5)&gt;=150,$E5="Enerji Fazlası"),BK5*MIN($F5:$G5)*0.94,IF(AND(BK5&lt;0,MAX($F5:$G5)=4500,$E5="Enerji Açığı"),4500*1.05*1.06*BK5,IF(AND(BK5&lt;0,MAX($F5:$G5)=4500,$E5="Enerji Fazlası"),4500*1.05*1.03*BK5,IF(AND(BK5&lt;0,$E5="Enerji Açığı"),MAX($F5,$G5,150)*BK5*1.06,IF(AND(BK5&lt;0,$E5="Enerji Fazlası"),MAX($F5,$G5,150)*BK5*1.03,IF(AND(BK5&lt;0,$E5="Dengede"),MAX($F5:$G5,150)*1.03*BK5,MIN($F5:$G5)*0.97*BK5)))))))))</f>
        <v/>
      </c>
      <c r="BM5" s="34">
        <f>BE5-BI5-BN5</f>
        <v/>
      </c>
      <c r="BN5" s="34">
        <f>BB5</f>
        <v/>
      </c>
      <c r="BO5" s="34">
        <f>BE5-BI5</f>
        <v/>
      </c>
      <c r="BP5" s="34">
        <f>IF(AY5=0,0,BO5/AY5)</f>
        <v/>
      </c>
      <c r="BQ5" s="34">
        <f>MAX((AY5+MAX((-J5+L5-N5+Q5),0)),(MAX((J5-L5+N5-Q5),0)))</f>
        <v/>
      </c>
      <c r="BR5" s="82">
        <f>IFERROR(ABS(BK5/BQ5),0)</f>
        <v/>
      </c>
      <c r="BS5" s="34">
        <f>IF(BR5&lt;=0.1,0,BK5/BR5*(BR5-0.1))</f>
        <v/>
      </c>
      <c r="BT5" s="34">
        <f>IF((BS5)&lt;0,MAX(F5:G5)*(BS5)*1.03,MIN(F5:G5)*(BS5)*0.97)</f>
        <v/>
      </c>
      <c r="BU5" s="34">
        <f>IF(BR5&gt;0.1,1,0)</f>
        <v/>
      </c>
      <c r="BV5" s="34">
        <f>BF5+BG5+BH5+BY5-CA5</f>
        <v/>
      </c>
      <c r="BW5" s="34">
        <f>ABS(BX5)</f>
        <v/>
      </c>
      <c r="BX5" s="34">
        <f>AY5-(J5-L5+N5-Q5+T5-X5)</f>
        <v/>
      </c>
      <c r="BY5" s="34">
        <f>IF(AND(BX5&gt;0,MIN($F5:$G5)&lt;150,$E5="Enerji Açığı"),-100*BX5*1.03,IF(AND(BX5&gt;0,MIN($F5:$G5)&lt;150,$E5="Enerji Fazlası"),-100*BX5*1.06,IF(AND(BX5&gt;0,MIN($F5:$G5)&gt;=150,$E5="Enerji Açığı"),BX5*MIN($F5:$G5)*0.97,IF(AND(BX5&gt;0,MIN($F5:$G5)&gt;=150,$E5="Enerji Fazlası"),BX5*MIN($F5:$G5)*0.94,IF(AND(BX5&lt;0,MAX($F5:$G5)=4500,$E5="Enerji Açığı"),4500*1.05*1.06*BX5,IF(AND(BX5&lt;0,MAX($F5:$G5)=4500,$E5="Enerji Fazlası"),4500*1.05*1.03*BX5,IF(AND(BX5&lt;0,$E5="Enerji Açığı"),MAX($F5,$G5,150)*BX5*1.06,IF(AND(BX5&lt;0,$E5="Enerji Fazlası"),MAX($F5,$G5,150)*BX5*1.03,IF(AND(BX5&lt;0,$E5="Dengede"),MAX($F5:$G5,150)*1.03*BX5,MIN($F5:$G5)*0.97*BX5)))))))))</f>
        <v/>
      </c>
      <c r="BZ5" s="34">
        <f>BE5-BV5-CA5</f>
        <v/>
      </c>
      <c r="CA5" s="34">
        <f>BD5</f>
        <v/>
      </c>
      <c r="CB5" s="33">
        <f>BE5-BV5</f>
        <v/>
      </c>
      <c r="CC5" s="34">
        <f>IF(AY5=0,0,CB5/AY5)</f>
        <v/>
      </c>
      <c r="CD5" s="34">
        <f>MAX((AY5+MAX((-J5+L5-N5+Q5-T5+X5),0)),(MAX((J5-L5+N5-Q5+T5-X5),0)))</f>
        <v/>
      </c>
      <c r="CE5" s="82">
        <f>IFERROR(ABS(BX5/CD5),0)</f>
        <v/>
      </c>
      <c r="CF5" s="34">
        <f>IF(CE5&lt;=0.1,0,BX5/CE5*(CE5-0.1))</f>
        <v/>
      </c>
      <c r="CG5" s="34">
        <f>IF((CF5)&lt;0,MAX(F5:G5)*(CF5)*1.03,MIN(F5:G5)*(CF5)*0.97)</f>
        <v/>
      </c>
      <c r="CH5" s="34">
        <f>IF(CE5&gt;0.1,1,0)</f>
        <v/>
      </c>
      <c r="CI5" s="34">
        <f>(F5*BX5)-BY5</f>
        <v/>
      </c>
      <c r="CJ5" s="34">
        <f>IF(AY5=0,0,CI5/AY5)</f>
        <v/>
      </c>
    </row>
    <row r="6">
      <c r="A6" s="29" t="n">
        <v>46204.125</v>
      </c>
      <c r="B6" s="29" t="inlineStr">
        <is>
          <t>03:00</t>
        </is>
      </c>
      <c r="C6" s="35">
        <f>INT(A6)</f>
        <v/>
      </c>
      <c r="D6" s="36">
        <f>MONTH(A6)</f>
        <v/>
      </c>
      <c r="E6" s="147">
        <f>[1]FİYATLAR!G5</f>
        <v/>
      </c>
      <c r="F6" s="30" t="n">
        <v>3544.71</v>
      </c>
      <c r="G6" s="30" t="n">
        <v>3800</v>
      </c>
      <c r="H6" s="30" t="n">
        <v>76.14</v>
      </c>
      <c r="I6" s="30" t="n">
        <v>3506.53</v>
      </c>
      <c r="J6" s="119" t="n">
        <v>0</v>
      </c>
      <c r="K6" s="34">
        <f>F6*J6</f>
        <v/>
      </c>
      <c r="L6" s="119" t="n">
        <v>0</v>
      </c>
      <c r="M6" s="34">
        <f>L6*F6</f>
        <v/>
      </c>
      <c r="N6" s="119" t="n">
        <v>16</v>
      </c>
      <c r="O6" s="34">
        <f>F6</f>
        <v/>
      </c>
      <c r="P6" s="34">
        <f>N6*O6</f>
        <v/>
      </c>
      <c r="Q6" s="119" t="n">
        <v>0</v>
      </c>
      <c r="R6" s="34">
        <f>F6</f>
        <v/>
      </c>
      <c r="S6" s="34">
        <f>R6*Q6</f>
        <v/>
      </c>
      <c r="T6" s="34">
        <f>SUMIFS('[1]GİP VERİLERİ'!$C:$C,'[1]GİP VERİLERİ'!$B:$B,A6,'[1]GİP VERİLERİ'!$M:$M,"40X000000104782K",'[1]GİP VERİLERİ'!$G:$G,"SELL")</f>
        <v/>
      </c>
      <c r="U6" s="34">
        <f>IFERROR(W6/T6,0)</f>
        <v/>
      </c>
      <c r="V6" s="34">
        <f>IF(U6=0,0,U6-F6)</f>
        <v/>
      </c>
      <c r="W6" s="34">
        <f>SUMIFS('[1]GİP VERİLERİ'!$O:$O,'[1]GİP VERİLERİ'!$B:$B,A6,'[1]GİP VERİLERİ'!$M:$M,"40X000000104782K",'[1]GİP VERİLERİ'!$G:$G,"SELL")</f>
        <v/>
      </c>
      <c r="X6" s="34">
        <f>SUMIFS('[1]GİP VERİLERİ'!$C:$C,'[1]GİP VERİLERİ'!$B:$B,A6,'[1]GİP VERİLERİ'!$M:$M,"40X000000104782K",'[1]GİP VERİLERİ'!$G:$G,"BUY")</f>
        <v/>
      </c>
      <c r="Y6" s="34">
        <f>IFERROR(AA6/X6,0)</f>
        <v/>
      </c>
      <c r="Z6" s="34">
        <f>IF(Y6=0,0,F6-Y6)</f>
        <v/>
      </c>
      <c r="AA6" s="34">
        <f>SUMIFS('[1]GİP VERİLERİ'!$O:$O,'[1]GİP VERİLERİ'!$B:$B,A6,'[1]GİP VERİLERİ'!$M:$M,"40X000000104782K",'[1]GİP VERİLERİ'!$G:$G,"BUY")</f>
        <v/>
      </c>
      <c r="AB6" s="34" t="n">
        <v>0</v>
      </c>
      <c r="AC6" s="34" t="n">
        <v>0</v>
      </c>
      <c r="AD6" s="34">
        <f>IF(AB6&gt;AC6*1.05,AB6-AC6*1.05,IF(AB6&lt;AC6*0.95,AC6*0.95-AB6,0))</f>
        <v/>
      </c>
      <c r="AE6" s="34">
        <f>MAX(F6,G6,750)*0.05*AD6</f>
        <v/>
      </c>
      <c r="AF6" s="34" t="n">
        <v>0</v>
      </c>
      <c r="AG6" s="34">
        <f>IF(AB6&gt;AF6*1.05,AB6-AF6*1.05,IF(AB6&lt;AF6*0.95,AF6*0.95-AB6,0))</f>
        <v/>
      </c>
      <c r="AH6" s="34">
        <f>MAX(I6,J6,750)*0.05*AG6</f>
        <v/>
      </c>
      <c r="AI6" t="n">
        <v>7.15</v>
      </c>
      <c r="AJ6" t="n">
        <v>7</v>
      </c>
      <c r="AK6" s="34">
        <f>IF(AI6&gt;AJ6*1.05,AI6-AJ6*1.05,IF(AI6&lt;AJ6*0.95,AJ6*0.95-AI6,0))</f>
        <v/>
      </c>
      <c r="AL6" s="34">
        <f>MAX(F6,G6,750)*0.05*AK6</f>
        <v/>
      </c>
      <c r="AM6" s="39" t="n">
        <v>7</v>
      </c>
      <c r="AN6" s="34">
        <f>IF(AI6&gt;AM6*1.05,AI6-AM6*1.05,IF(AI6&lt;AM6*0.95,AM6*0.95-AI6,0))</f>
        <v/>
      </c>
      <c r="AO6" s="34">
        <f>MAX(F6,G6,750)*0.05*AN6</f>
        <v/>
      </c>
      <c r="AP6" s="34" t="n">
        <v>8.970000000000001</v>
      </c>
      <c r="AQ6" s="34" t="n">
        <v>9</v>
      </c>
      <c r="AR6" s="34">
        <f>IF(AP6&gt;AQ6*1.05,AP6-AQ6*1.05,IF(AP6&lt;AQ6*0.95,AQ6*0.95-AP6,0))</f>
        <v/>
      </c>
      <c r="AS6" s="34">
        <f>MAX(F6:G6,750)*0.05*AR6</f>
        <v/>
      </c>
      <c r="AT6" t="n">
        <v>9</v>
      </c>
      <c r="AU6" s="34">
        <f>IF(AP6&gt;AT6*1.05,AP6-AT6*1.05,IF(AP6&lt;AT6*0.95,AT6*0.95-AP6,0))</f>
        <v/>
      </c>
      <c r="AV6" s="34">
        <f>MAX(F6:G6,750)*0.05*AU6</f>
        <v/>
      </c>
      <c r="AW6" s="34">
        <f>AC6+AJ6+AQ6</f>
        <v/>
      </c>
      <c r="AX6" s="34">
        <f>AF6+AM6+AT6</f>
        <v/>
      </c>
      <c r="AY6" s="34">
        <f>AB6+AI6+AP6</f>
        <v/>
      </c>
      <c r="AZ6" s="34" t="n">
        <v>0</v>
      </c>
      <c r="BA6" s="34">
        <f>AD6+AK6+AR6</f>
        <v/>
      </c>
      <c r="BB6" s="34">
        <f>MAX(F6:G6,750)*0.05*BA6</f>
        <v/>
      </c>
      <c r="BC6" s="34">
        <f>AG6+AN6+AU6</f>
        <v/>
      </c>
      <c r="BD6" s="34">
        <f>MAX(F6:G6,750)*0.05*BC6</f>
        <v/>
      </c>
      <c r="BE6" s="34">
        <f>F6*AY6</f>
        <v/>
      </c>
      <c r="BF6" s="34">
        <f>K6-M6</f>
        <v/>
      </c>
      <c r="BG6" s="34">
        <f>P6-S6</f>
        <v/>
      </c>
      <c r="BH6" s="34">
        <f>W6-AA6</f>
        <v/>
      </c>
      <c r="BI6" s="34">
        <f>BF6+BG6+BL6-BN6</f>
        <v/>
      </c>
      <c r="BJ6" s="34">
        <f>ABS(BK6)</f>
        <v/>
      </c>
      <c r="BK6" s="34">
        <f>AY6-(J6-L6+N6-Q6)</f>
        <v/>
      </c>
      <c r="BL6" s="34">
        <f>IF(AND(BK6&gt;0,MIN($F6:$G6)&lt;150,$E6="Enerji Açığı"),-100*BK6*1.03,IF(AND(BK6&gt;0,MIN($F6:$G6)&lt;150,$E6="Enerji Fazlası"),-100*BK6*1.06,IF(AND(BK6&gt;0,MIN($F6:$G6)&gt;=150,$E6="Enerji Açığı"),BK6*MIN($F6:$G6)*0.97,IF(AND(BK6&gt;0,MIN($F6:$G6)&gt;=150,$E6="Enerji Fazlası"),BK6*MIN($F6:$G6)*0.94,IF(AND(BK6&lt;0,MAX($F6:$G6)=4500,$E6="Enerji Açığı"),4500*1.05*1.06*BK6,IF(AND(BK6&lt;0,MAX($F6:$G6)=4500,$E6="Enerji Fazlası"),4500*1.05*1.03*BK6,IF(AND(BK6&lt;0,$E6="Enerji Açığı"),MAX($F6,$G6,150)*BK6*1.06,IF(AND(BK6&lt;0,$E6="Enerji Fazlası"),MAX($F6,$G6,150)*BK6*1.03,IF(AND(BK6&lt;0,$E6="Dengede"),MAX($F6:$G6,150)*1.03*BK6,MIN($F6:$G6)*0.97*BK6)))))))))</f>
        <v/>
      </c>
      <c r="BM6" s="34">
        <f>BE6-BI6-BN6</f>
        <v/>
      </c>
      <c r="BN6" s="34">
        <f>BB6</f>
        <v/>
      </c>
      <c r="BO6" s="34">
        <f>BE6-BI6</f>
        <v/>
      </c>
      <c r="BP6" s="34">
        <f>IF(AY6=0,0,BO6/AY6)</f>
        <v/>
      </c>
      <c r="BQ6" s="34">
        <f>MAX((AY6+MAX((-J6+L6-N6+Q6),0)),(MAX((J6-L6+N6-Q6),0)))</f>
        <v/>
      </c>
      <c r="BR6" s="82">
        <f>IFERROR(ABS(BK6/BQ6),0)</f>
        <v/>
      </c>
      <c r="BS6" s="34">
        <f>IF(BR6&lt;=0.1,0,BK6/BR6*(BR6-0.1))</f>
        <v/>
      </c>
      <c r="BT6" s="34">
        <f>IF((BS6)&lt;0,MAX(F6:G6)*(BS6)*1.03,MIN(F6:G6)*(BS6)*0.97)</f>
        <v/>
      </c>
      <c r="BU6" s="34">
        <f>IF(BR6&gt;0.1,1,0)</f>
        <v/>
      </c>
      <c r="BV6" s="34">
        <f>BF6+BG6+BH6+BY6-CA6</f>
        <v/>
      </c>
      <c r="BW6" s="34">
        <f>ABS(BX6)</f>
        <v/>
      </c>
      <c r="BX6" s="34">
        <f>AY6-(J6-L6+N6-Q6+T6-X6)</f>
        <v/>
      </c>
      <c r="BY6" s="34">
        <f>IF(AND(BX6&gt;0,MIN($F6:$G6)&lt;150,$E6="Enerji Açığı"),-100*BX6*1.03,IF(AND(BX6&gt;0,MIN($F6:$G6)&lt;150,$E6="Enerji Fazlası"),-100*BX6*1.06,IF(AND(BX6&gt;0,MIN($F6:$G6)&gt;=150,$E6="Enerji Açığı"),BX6*MIN($F6:$G6)*0.97,IF(AND(BX6&gt;0,MIN($F6:$G6)&gt;=150,$E6="Enerji Fazlası"),BX6*MIN($F6:$G6)*0.94,IF(AND(BX6&lt;0,MAX($F6:$G6)=4500,$E6="Enerji Açığı"),4500*1.05*1.06*BX6,IF(AND(BX6&lt;0,MAX($F6:$G6)=4500,$E6="Enerji Fazlası"),4500*1.05*1.03*BX6,IF(AND(BX6&lt;0,$E6="Enerji Açığı"),MAX($F6,$G6,150)*BX6*1.06,IF(AND(BX6&lt;0,$E6="Enerji Fazlası"),MAX($F6,$G6,150)*BX6*1.03,IF(AND(BX6&lt;0,$E6="Dengede"),MAX($F6:$G6,150)*1.03*BX6,MIN($F6:$G6)*0.97*BX6)))))))))</f>
        <v/>
      </c>
      <c r="BZ6" s="34">
        <f>BE6-BV6-CA6</f>
        <v/>
      </c>
      <c r="CA6" s="34">
        <f>BD6</f>
        <v/>
      </c>
      <c r="CB6" s="33">
        <f>BE6-BV6</f>
        <v/>
      </c>
      <c r="CC6" s="34">
        <f>IF(AY6=0,0,CB6/AY6)</f>
        <v/>
      </c>
      <c r="CD6" s="34">
        <f>MAX((AY6+MAX((-J6+L6-N6+Q6-T6+X6),0)),(MAX((J6-L6+N6-Q6+T6-X6),0)))</f>
        <v/>
      </c>
      <c r="CE6" s="82">
        <f>IFERROR(ABS(BX6/CD6),0)</f>
        <v/>
      </c>
      <c r="CF6" s="34">
        <f>IF(CE6&lt;=0.1,0,BX6/CE6*(CE6-0.1))</f>
        <v/>
      </c>
      <c r="CG6" s="34">
        <f>IF((CF6)&lt;0,MAX(F6:G6)*(CF6)*1.03,MIN(F6:G6)*(CF6)*0.97)</f>
        <v/>
      </c>
      <c r="CH6" s="34">
        <f>IF(CE6&gt;0.1,1,0)</f>
        <v/>
      </c>
      <c r="CI6" s="34">
        <f>(F6*BX6)-BY6</f>
        <v/>
      </c>
      <c r="CJ6" s="34">
        <f>IF(AY6=0,0,CI6/AY6)</f>
        <v/>
      </c>
    </row>
    <row r="7">
      <c r="A7" s="29" t="n">
        <v>46204.16666666666</v>
      </c>
      <c r="B7" s="29" t="inlineStr">
        <is>
          <t>04:00</t>
        </is>
      </c>
      <c r="C7" s="35">
        <f>INT(A7)</f>
        <v/>
      </c>
      <c r="D7" s="36">
        <f>MONTH(A7)</f>
        <v/>
      </c>
      <c r="E7" s="147">
        <f>[1]FİYATLAR!G6</f>
        <v/>
      </c>
      <c r="F7" s="30" t="n">
        <v>3506.05</v>
      </c>
      <c r="G7" s="30" t="n">
        <v>3600</v>
      </c>
      <c r="H7" s="30" t="n">
        <v>75.31</v>
      </c>
      <c r="I7" s="30" t="n">
        <v>3554.59</v>
      </c>
      <c r="J7" s="119" t="n">
        <v>0</v>
      </c>
      <c r="K7" s="34">
        <f>F7*J7</f>
        <v/>
      </c>
      <c r="L7" s="119" t="n">
        <v>0</v>
      </c>
      <c r="M7" s="34">
        <f>L7*F7</f>
        <v/>
      </c>
      <c r="N7" s="119" t="n">
        <v>17</v>
      </c>
      <c r="O7" s="34">
        <f>F7</f>
        <v/>
      </c>
      <c r="P7" s="34">
        <f>N7*O7</f>
        <v/>
      </c>
      <c r="Q7" s="119" t="n">
        <v>0</v>
      </c>
      <c r="R7" s="34">
        <f>F7</f>
        <v/>
      </c>
      <c r="S7" s="34">
        <f>R7*Q7</f>
        <v/>
      </c>
      <c r="T7" s="34">
        <f>SUMIFS('[1]GİP VERİLERİ'!$C:$C,'[1]GİP VERİLERİ'!$B:$B,A7,'[1]GİP VERİLERİ'!$M:$M,"40X000000104782K",'[1]GİP VERİLERİ'!$G:$G,"SELL")</f>
        <v/>
      </c>
      <c r="U7" s="34">
        <f>IFERROR(W7/T7,0)</f>
        <v/>
      </c>
      <c r="V7" s="34">
        <f>IF(U7=0,0,U7-F7)</f>
        <v/>
      </c>
      <c r="W7" s="34">
        <f>SUMIFS('[1]GİP VERİLERİ'!$O:$O,'[1]GİP VERİLERİ'!$B:$B,A7,'[1]GİP VERİLERİ'!$M:$M,"40X000000104782K",'[1]GİP VERİLERİ'!$G:$G,"SELL")</f>
        <v/>
      </c>
      <c r="X7" s="34">
        <f>SUMIFS('[1]GİP VERİLERİ'!$C:$C,'[1]GİP VERİLERİ'!$B:$B,A7,'[1]GİP VERİLERİ'!$M:$M,"40X000000104782K",'[1]GİP VERİLERİ'!$G:$G,"BUY")</f>
        <v/>
      </c>
      <c r="Y7" s="34">
        <f>IFERROR(AA7/X7,0)</f>
        <v/>
      </c>
      <c r="Z7" s="34">
        <f>IF(Y7=0,0,F7-Y7)</f>
        <v/>
      </c>
      <c r="AA7" s="34">
        <f>SUMIFS('[1]GİP VERİLERİ'!$O:$O,'[1]GİP VERİLERİ'!$B:$B,A7,'[1]GİP VERİLERİ'!$M:$M,"40X000000104782K",'[1]GİP VERİLERİ'!$G:$G,"BUY")</f>
        <v/>
      </c>
      <c r="AB7" s="34" t="n">
        <v>0</v>
      </c>
      <c r="AC7" s="34" t="n">
        <v>0</v>
      </c>
      <c r="AD7" s="34">
        <f>IF(AB7&gt;AC7*1.05,AB7-AC7*1.05,IF(AB7&lt;AC7*0.95,AC7*0.95-AB7,0))</f>
        <v/>
      </c>
      <c r="AE7" s="34">
        <f>MAX(F7,G7,750)*0.05*AD7</f>
        <v/>
      </c>
      <c r="AF7" s="34" t="n">
        <v>0</v>
      </c>
      <c r="AG7" s="34">
        <f>IF(AB7&gt;AF7*1.05,AB7-AF7*1.05,IF(AB7&lt;AF7*0.95,AF7*0.95-AB7,0))</f>
        <v/>
      </c>
      <c r="AH7" s="34">
        <f>MAX(I7,J7,750)*0.05*AG7</f>
        <v/>
      </c>
      <c r="AI7" t="n">
        <v>8.210000000000001</v>
      </c>
      <c r="AJ7" t="n">
        <v>7</v>
      </c>
      <c r="AK7" s="34">
        <f>IF(AI7&gt;AJ7*1.05,AI7-AJ7*1.05,IF(AI7&lt;AJ7*0.95,AJ7*0.95-AI7,0))</f>
        <v/>
      </c>
      <c r="AL7" s="34">
        <f>MAX(F7,G7,750)*0.05*AK7</f>
        <v/>
      </c>
      <c r="AM7" s="39" t="n">
        <v>8</v>
      </c>
      <c r="AN7" s="34">
        <f>IF(AI7&gt;AM7*1.05,AI7-AM7*1.05,IF(AI7&lt;AM7*0.95,AM7*0.95-AI7,0))</f>
        <v/>
      </c>
      <c r="AO7" s="34">
        <f>MAX(F7,G7,750)*0.05*AN7</f>
        <v/>
      </c>
      <c r="AP7" s="34" t="n">
        <v>11.99</v>
      </c>
      <c r="AQ7" s="34" t="n">
        <v>10</v>
      </c>
      <c r="AR7" s="34">
        <f>IF(AP7&gt;AQ7*1.05,AP7-AQ7*1.05,IF(AP7&lt;AQ7*0.95,AQ7*0.95-AP7,0))</f>
        <v/>
      </c>
      <c r="AS7" s="34">
        <f>MAX(F7:G7,750)*0.05*AR7</f>
        <v/>
      </c>
      <c r="AT7" t="n">
        <v>12</v>
      </c>
      <c r="AU7" s="34">
        <f>IF(AP7&gt;AT7*1.05,AP7-AT7*1.05,IF(AP7&lt;AT7*0.95,AT7*0.95-AP7,0))</f>
        <v/>
      </c>
      <c r="AV7" s="34">
        <f>MAX(F7:G7,750)*0.05*AU7</f>
        <v/>
      </c>
      <c r="AW7" s="34">
        <f>AC7+AJ7+AQ7</f>
        <v/>
      </c>
      <c r="AX7" s="34">
        <f>AF7+AM7+AT7</f>
        <v/>
      </c>
      <c r="AY7" s="34">
        <f>AB7+AI7+AP7</f>
        <v/>
      </c>
      <c r="AZ7" s="34" t="n">
        <v>0</v>
      </c>
      <c r="BA7" s="34">
        <f>AD7+AK7+AR7</f>
        <v/>
      </c>
      <c r="BB7" s="34">
        <f>MAX(F7:G7,750)*0.05*BA7</f>
        <v/>
      </c>
      <c r="BC7" s="34">
        <f>AG7+AN7+AU7</f>
        <v/>
      </c>
      <c r="BD7" s="34">
        <f>MAX(F7:G7,750)*0.05*BC7</f>
        <v/>
      </c>
      <c r="BE7" s="34">
        <f>F7*AY7</f>
        <v/>
      </c>
      <c r="BF7" s="34">
        <f>K7-M7</f>
        <v/>
      </c>
      <c r="BG7" s="34">
        <f>P7-S7</f>
        <v/>
      </c>
      <c r="BH7" s="34">
        <f>W7-AA7</f>
        <v/>
      </c>
      <c r="BI7" s="34">
        <f>BF7+BG7+BL7-BN7</f>
        <v/>
      </c>
      <c r="BJ7" s="34">
        <f>ABS(BK7)</f>
        <v/>
      </c>
      <c r="BK7" s="34">
        <f>AY7-(J7-L7+N7-Q7)</f>
        <v/>
      </c>
      <c r="BL7" s="34">
        <f>IF(AND(BK7&gt;0,MIN($F7:$G7)&lt;150,$E7="Enerji Açığı"),-100*BK7*1.03,IF(AND(BK7&gt;0,MIN($F7:$G7)&lt;150,$E7="Enerji Fazlası"),-100*BK7*1.06,IF(AND(BK7&gt;0,MIN($F7:$G7)&gt;=150,$E7="Enerji Açığı"),BK7*MIN($F7:$G7)*0.97,IF(AND(BK7&gt;0,MIN($F7:$G7)&gt;=150,$E7="Enerji Fazlası"),BK7*MIN($F7:$G7)*0.94,IF(AND(BK7&lt;0,MAX($F7:$G7)=4500,$E7="Enerji Açığı"),4500*1.05*1.06*BK7,IF(AND(BK7&lt;0,MAX($F7:$G7)=4500,$E7="Enerji Fazlası"),4500*1.05*1.03*BK7,IF(AND(BK7&lt;0,$E7="Enerji Açığı"),MAX($F7,$G7,150)*BK7*1.06,IF(AND(BK7&lt;0,$E7="Enerji Fazlası"),MAX($F7,$G7,150)*BK7*1.03,IF(AND(BK7&lt;0,$E7="Dengede"),MAX($F7:$G7,150)*1.03*BK7,MIN($F7:$G7)*0.97*BK7)))))))))</f>
        <v/>
      </c>
      <c r="BM7" s="34">
        <f>BE7-BI7-BN7</f>
        <v/>
      </c>
      <c r="BN7" s="34">
        <f>BB7</f>
        <v/>
      </c>
      <c r="BO7" s="34">
        <f>BE7-BI7</f>
        <v/>
      </c>
      <c r="BP7" s="34">
        <f>IF(AY7=0,0,BO7/AY7)</f>
        <v/>
      </c>
      <c r="BQ7" s="34">
        <f>MAX((AY7+MAX((-J7+L7-N7+Q7),0)),(MAX((J7-L7+N7-Q7),0)))</f>
        <v/>
      </c>
      <c r="BR7" s="82">
        <f>IFERROR(ABS(BK7/BQ7),0)</f>
        <v/>
      </c>
      <c r="BS7" s="34">
        <f>IF(BR7&lt;=0.1,0,BK7/BR7*(BR7-0.1))</f>
        <v/>
      </c>
      <c r="BT7" s="34">
        <f>IF((BS7)&lt;0,MAX(F7:G7)*(BS7)*1.03,MIN(F7:G7)*(BS7)*0.97)</f>
        <v/>
      </c>
      <c r="BU7" s="34">
        <f>IF(BR7&gt;0.1,1,0)</f>
        <v/>
      </c>
      <c r="BV7" s="34">
        <f>BF7+BG7+BH7+BY7-CA7</f>
        <v/>
      </c>
      <c r="BW7" s="34">
        <f>ABS(BX7)</f>
        <v/>
      </c>
      <c r="BX7" s="34">
        <f>AY7-(J7-L7+N7-Q7+T7-X7)</f>
        <v/>
      </c>
      <c r="BY7" s="34">
        <f>IF(AND(BX7&gt;0,MIN($F7:$G7)&lt;150,$E7="Enerji Açığı"),-100*BX7*1.03,IF(AND(BX7&gt;0,MIN($F7:$G7)&lt;150,$E7="Enerji Fazlası"),-100*BX7*1.06,IF(AND(BX7&gt;0,MIN($F7:$G7)&gt;=150,$E7="Enerji Açığı"),BX7*MIN($F7:$G7)*0.97,IF(AND(BX7&gt;0,MIN($F7:$G7)&gt;=150,$E7="Enerji Fazlası"),BX7*MIN($F7:$G7)*0.94,IF(AND(BX7&lt;0,MAX($F7:$G7)=4500,$E7="Enerji Açığı"),4500*1.05*1.06*BX7,IF(AND(BX7&lt;0,MAX($F7:$G7)=4500,$E7="Enerji Fazlası"),4500*1.05*1.03*BX7,IF(AND(BX7&lt;0,$E7="Enerji Açığı"),MAX($F7,$G7,150)*BX7*1.06,IF(AND(BX7&lt;0,$E7="Enerji Fazlası"),MAX($F7,$G7,150)*BX7*1.03,IF(AND(BX7&lt;0,$E7="Dengede"),MAX($F7:$G7,150)*1.03*BX7,MIN($F7:$G7)*0.97*BX7)))))))))</f>
        <v/>
      </c>
      <c r="BZ7" s="34">
        <f>BE7-BV7-CA7</f>
        <v/>
      </c>
      <c r="CA7" s="34">
        <f>BD7</f>
        <v/>
      </c>
      <c r="CB7" s="33">
        <f>BE7-BV7</f>
        <v/>
      </c>
      <c r="CC7" s="34">
        <f>IF(AY7=0,0,CB7/AY7)</f>
        <v/>
      </c>
      <c r="CD7" s="34">
        <f>MAX((AY7+MAX((-J7+L7-N7+Q7-T7+X7),0)),(MAX((J7-L7+N7-Q7+T7-X7),0)))</f>
        <v/>
      </c>
      <c r="CE7" s="82">
        <f>IFERROR(ABS(BX7/CD7),0)</f>
        <v/>
      </c>
      <c r="CF7" s="34">
        <f>IF(CE7&lt;=0.1,0,BX7/CE7*(CE7-0.1))</f>
        <v/>
      </c>
      <c r="CG7" s="34">
        <f>IF((CF7)&lt;0,MAX(F7:G7)*(CF7)*1.03,MIN(F7:G7)*(CF7)*0.97)</f>
        <v/>
      </c>
      <c r="CH7" s="34">
        <f>IF(CE7&gt;0.1,1,0)</f>
        <v/>
      </c>
      <c r="CI7" s="34">
        <f>(F7*BX7)-BY7</f>
        <v/>
      </c>
      <c r="CJ7" s="34">
        <f>IF(AY7=0,0,CI7/AY7)</f>
        <v/>
      </c>
    </row>
    <row r="8">
      <c r="A8" s="29" t="n">
        <v>46204.20833333334</v>
      </c>
      <c r="B8" s="29" t="inlineStr">
        <is>
          <t>05:00</t>
        </is>
      </c>
      <c r="C8" s="35">
        <f>INT(A8)</f>
        <v/>
      </c>
      <c r="D8" s="36">
        <f>MONTH(A8)</f>
        <v/>
      </c>
      <c r="E8" s="147">
        <f>[1]FİYATLAR!G7</f>
        <v/>
      </c>
      <c r="F8" s="30" t="n">
        <v>3000</v>
      </c>
      <c r="G8" s="30" t="n">
        <v>3450</v>
      </c>
      <c r="H8" s="30" t="n">
        <v>64.44</v>
      </c>
      <c r="I8" s="30" t="n">
        <v>2641.52</v>
      </c>
      <c r="J8" s="119" t="n">
        <v>0</v>
      </c>
      <c r="K8" s="34">
        <f>F8*J8</f>
        <v/>
      </c>
      <c r="L8" s="119" t="n">
        <v>0</v>
      </c>
      <c r="M8" s="34">
        <f>L8*F8</f>
        <v/>
      </c>
      <c r="N8" s="119" t="n">
        <v>17</v>
      </c>
      <c r="O8" s="34">
        <f>F8</f>
        <v/>
      </c>
      <c r="P8" s="34">
        <f>N8*O8</f>
        <v/>
      </c>
      <c r="Q8" s="119" t="n">
        <v>0</v>
      </c>
      <c r="R8" s="34">
        <f>F8</f>
        <v/>
      </c>
      <c r="S8" s="34">
        <f>R8*Q8</f>
        <v/>
      </c>
      <c r="T8" s="34">
        <f>SUMIFS('[1]GİP VERİLERİ'!$C:$C,'[1]GİP VERİLERİ'!$B:$B,A8,'[1]GİP VERİLERİ'!$M:$M,"40X000000104782K",'[1]GİP VERİLERİ'!$G:$G,"SELL")</f>
        <v/>
      </c>
      <c r="U8" s="34">
        <f>IFERROR(W8/T8,0)</f>
        <v/>
      </c>
      <c r="V8" s="34">
        <f>IF(U8=0,0,U8-F8)</f>
        <v/>
      </c>
      <c r="W8" s="34">
        <f>SUMIFS('[1]GİP VERİLERİ'!$O:$O,'[1]GİP VERİLERİ'!$B:$B,A8,'[1]GİP VERİLERİ'!$M:$M,"40X000000104782K",'[1]GİP VERİLERİ'!$G:$G,"SELL")</f>
        <v/>
      </c>
      <c r="X8" s="34">
        <f>SUMIFS('[1]GİP VERİLERİ'!$C:$C,'[1]GİP VERİLERİ'!$B:$B,A8,'[1]GİP VERİLERİ'!$M:$M,"40X000000104782K",'[1]GİP VERİLERİ'!$G:$G,"BUY")</f>
        <v/>
      </c>
      <c r="Y8" s="34">
        <f>IFERROR(AA8/X8,0)</f>
        <v/>
      </c>
      <c r="Z8" s="34">
        <f>IF(Y8=0,0,F8-Y8)</f>
        <v/>
      </c>
      <c r="AA8" s="34">
        <f>SUMIFS('[1]GİP VERİLERİ'!$O:$O,'[1]GİP VERİLERİ'!$B:$B,A8,'[1]GİP VERİLERİ'!$M:$M,"40X000000104782K",'[1]GİP VERİLERİ'!$G:$G,"BUY")</f>
        <v/>
      </c>
      <c r="AB8" s="34" t="n">
        <v>0</v>
      </c>
      <c r="AC8" s="34" t="n">
        <v>0</v>
      </c>
      <c r="AD8" s="34">
        <f>IF(AB8&gt;AC8*1.05,AB8-AC8*1.05,IF(AB8&lt;AC8*0.95,AC8*0.95-AB8,0))</f>
        <v/>
      </c>
      <c r="AE8" s="34">
        <f>MAX(F8,G8,750)*0.05*AD8</f>
        <v/>
      </c>
      <c r="AF8" s="34" t="n">
        <v>0</v>
      </c>
      <c r="AG8" s="34">
        <f>IF(AB8&gt;AF8*1.05,AB8-AF8*1.05,IF(AB8&lt;AF8*0.95,AF8*0.95-AB8,0))</f>
        <v/>
      </c>
      <c r="AH8" s="34">
        <f>MAX(I8,J8,750)*0.05*AG8</f>
        <v/>
      </c>
      <c r="AI8" t="n">
        <v>8.300000000000001</v>
      </c>
      <c r="AJ8" t="n">
        <v>7</v>
      </c>
      <c r="AK8" s="34">
        <f>IF(AI8&gt;AJ8*1.05,AI8-AJ8*1.05,IF(AI8&lt;AJ8*0.95,AJ8*0.95-AI8,0))</f>
        <v/>
      </c>
      <c r="AL8" s="34">
        <f>MAX(F8,G8,750)*0.05*AK8</f>
        <v/>
      </c>
      <c r="AM8" s="39" t="n">
        <v>8</v>
      </c>
      <c r="AN8" s="34">
        <f>IF(AI8&gt;AM8*1.05,AI8-AM8*1.05,IF(AI8&lt;AM8*0.95,AM8*0.95-AI8,0))</f>
        <v/>
      </c>
      <c r="AO8" s="34">
        <f>MAX(F8,G8,750)*0.05*AN8</f>
        <v/>
      </c>
      <c r="AP8" s="34" t="n">
        <v>12.06</v>
      </c>
      <c r="AQ8" s="34" t="n">
        <v>10</v>
      </c>
      <c r="AR8" s="34">
        <f>IF(AP8&gt;AQ8*1.05,AP8-AQ8*1.05,IF(AP8&lt;AQ8*0.95,AQ8*0.95-AP8,0))</f>
        <v/>
      </c>
      <c r="AS8" s="34">
        <f>MAX(F8:G8,750)*0.05*AR8</f>
        <v/>
      </c>
      <c r="AT8" t="n">
        <v>12</v>
      </c>
      <c r="AU8" s="34">
        <f>IF(AP8&gt;AT8*1.05,AP8-AT8*1.05,IF(AP8&lt;AT8*0.95,AT8*0.95-AP8,0))</f>
        <v/>
      </c>
      <c r="AV8" s="34">
        <f>MAX(F8:G8,750)*0.05*AU8</f>
        <v/>
      </c>
      <c r="AW8" s="34">
        <f>AC8+AJ8+AQ8</f>
        <v/>
      </c>
      <c r="AX8" s="34">
        <f>AF8+AM8+AT8</f>
        <v/>
      </c>
      <c r="AY8" s="34">
        <f>AB8+AI8+AP8</f>
        <v/>
      </c>
      <c r="AZ8" s="34" t="n">
        <v>0</v>
      </c>
      <c r="BA8" s="34">
        <f>AD8+AK8+AR8</f>
        <v/>
      </c>
      <c r="BB8" s="34">
        <f>MAX(F8:G8,750)*0.05*BA8</f>
        <v/>
      </c>
      <c r="BC8" s="34">
        <f>AG8+AN8+AU8</f>
        <v/>
      </c>
      <c r="BD8" s="34">
        <f>MAX(F8:G8,750)*0.05*BC8</f>
        <v/>
      </c>
      <c r="BE8" s="34">
        <f>F8*AY8</f>
        <v/>
      </c>
      <c r="BF8" s="34">
        <f>K8-M8</f>
        <v/>
      </c>
      <c r="BG8" s="34">
        <f>P8-S8</f>
        <v/>
      </c>
      <c r="BH8" s="34">
        <f>W8-AA8</f>
        <v/>
      </c>
      <c r="BI8" s="34">
        <f>BF8+BG8+BL8-BN8</f>
        <v/>
      </c>
      <c r="BJ8" s="34">
        <f>ABS(BK8)</f>
        <v/>
      </c>
      <c r="BK8" s="34">
        <f>AY8-(J8-L8+N8-Q8)</f>
        <v/>
      </c>
      <c r="BL8" s="34">
        <f>IF(AND(BK8&gt;0,MIN($F8:$G8)&lt;150,$E8="Enerji Açığı"),-100*BK8*1.03,IF(AND(BK8&gt;0,MIN($F8:$G8)&lt;150,$E8="Enerji Fazlası"),-100*BK8*1.06,IF(AND(BK8&gt;0,MIN($F8:$G8)&gt;=150,$E8="Enerji Açığı"),BK8*MIN($F8:$G8)*0.97,IF(AND(BK8&gt;0,MIN($F8:$G8)&gt;=150,$E8="Enerji Fazlası"),BK8*MIN($F8:$G8)*0.94,IF(AND(BK8&lt;0,MAX($F8:$G8)=4500,$E8="Enerji Açığı"),4500*1.05*1.06*BK8,IF(AND(BK8&lt;0,MAX($F8:$G8)=4500,$E8="Enerji Fazlası"),4500*1.05*1.03*BK8,IF(AND(BK8&lt;0,$E8="Enerji Açığı"),MAX($F8,$G8,150)*BK8*1.06,IF(AND(BK8&lt;0,$E8="Enerji Fazlası"),MAX($F8,$G8,150)*BK8*1.03,IF(AND(BK8&lt;0,$E8="Dengede"),MAX($F8:$G8,150)*1.03*BK8,MIN($F8:$G8)*0.97*BK8)))))))))</f>
        <v/>
      </c>
      <c r="BM8" s="34">
        <f>BE8-BI8-BN8</f>
        <v/>
      </c>
      <c r="BN8" s="34">
        <f>BB8</f>
        <v/>
      </c>
      <c r="BO8" s="34">
        <f>BE8-BI8</f>
        <v/>
      </c>
      <c r="BP8" s="34">
        <f>IF(AY8=0,0,BO8/AY8)</f>
        <v/>
      </c>
      <c r="BQ8" s="34">
        <f>MAX((AY8+MAX((-J8+L8-N8+Q8),0)),(MAX((J8-L8+N8-Q8),0)))</f>
        <v/>
      </c>
      <c r="BR8" s="82">
        <f>IFERROR(ABS(BK8/BQ8),0)</f>
        <v/>
      </c>
      <c r="BS8" s="34">
        <f>IF(BR8&lt;=0.1,0,BK8/BR8*(BR8-0.1))</f>
        <v/>
      </c>
      <c r="BT8" s="34">
        <f>IF((BS8)&lt;0,MAX(F8:G8)*(BS8)*1.03,MIN(F8:G8)*(BS8)*0.97)</f>
        <v/>
      </c>
      <c r="BU8" s="34">
        <f>IF(BR8&gt;0.1,1,0)</f>
        <v/>
      </c>
      <c r="BV8" s="34">
        <f>BF8+BG8+BH8+BY8-CA8</f>
        <v/>
      </c>
      <c r="BW8" s="34">
        <f>ABS(BX8)</f>
        <v/>
      </c>
      <c r="BX8" s="34">
        <f>AY8-(J8-L8+N8-Q8+T8-X8)</f>
        <v/>
      </c>
      <c r="BY8" s="34">
        <f>IF(AND(BX8&gt;0,MIN($F8:$G8)&lt;150,$E8="Enerji Açığı"),-100*BX8*1.03,IF(AND(BX8&gt;0,MIN($F8:$G8)&lt;150,$E8="Enerji Fazlası"),-100*BX8*1.06,IF(AND(BX8&gt;0,MIN($F8:$G8)&gt;=150,$E8="Enerji Açığı"),BX8*MIN($F8:$G8)*0.97,IF(AND(BX8&gt;0,MIN($F8:$G8)&gt;=150,$E8="Enerji Fazlası"),BX8*MIN($F8:$G8)*0.94,IF(AND(BX8&lt;0,MAX($F8:$G8)=4500,$E8="Enerji Açığı"),4500*1.05*1.06*BX8,IF(AND(BX8&lt;0,MAX($F8:$G8)=4500,$E8="Enerji Fazlası"),4500*1.05*1.03*BX8,IF(AND(BX8&lt;0,$E8="Enerji Açığı"),MAX($F8,$G8,150)*BX8*1.06,IF(AND(BX8&lt;0,$E8="Enerji Fazlası"),MAX($F8,$G8,150)*BX8*1.03,IF(AND(BX8&lt;0,$E8="Dengede"),MAX($F8:$G8,150)*1.03*BX8,MIN($F8:$G8)*0.97*BX8)))))))))</f>
        <v/>
      </c>
      <c r="BZ8" s="34">
        <f>BE8-BV8-CA8</f>
        <v/>
      </c>
      <c r="CA8" s="34">
        <f>BD8</f>
        <v/>
      </c>
      <c r="CB8" s="33">
        <f>BE8-BV8</f>
        <v/>
      </c>
      <c r="CC8" s="34">
        <f>IF(AY8=0,0,CB8/AY8)</f>
        <v/>
      </c>
      <c r="CD8" s="34">
        <f>MAX((AY8+MAX((-J8+L8-N8+Q8-T8+X8),0)),(MAX((J8-L8+N8-Q8+T8-X8),0)))</f>
        <v/>
      </c>
      <c r="CE8" s="82">
        <f>IFERROR(ABS(BX8/CD8),0)</f>
        <v/>
      </c>
      <c r="CF8" s="34">
        <f>IF(CE8&lt;=0.1,0,BX8/CE8*(CE8-0.1))</f>
        <v/>
      </c>
      <c r="CG8" s="34">
        <f>IF((CF8)&lt;0,MAX(F8:G8)*(CF8)*1.03,MIN(F8:G8)*(CF8)*0.97)</f>
        <v/>
      </c>
      <c r="CH8" s="34">
        <f>IF(CE8&gt;0.1,1,0)</f>
        <v/>
      </c>
      <c r="CI8" s="34">
        <f>(F8*BX8)-BY8</f>
        <v/>
      </c>
      <c r="CJ8" s="34">
        <f>IF(AY8=0,0,CI8/AY8)</f>
        <v/>
      </c>
    </row>
    <row r="9">
      <c r="A9" s="29" t="n">
        <v>46204.25</v>
      </c>
      <c r="B9" s="29" t="inlineStr">
        <is>
          <t>06:00</t>
        </is>
      </c>
      <c r="C9" s="35">
        <f>INT(A9)</f>
        <v/>
      </c>
      <c r="D9" s="36">
        <f>MONTH(A9)</f>
        <v/>
      </c>
      <c r="E9" s="147">
        <f>[1]FİYATLAR!G8</f>
        <v/>
      </c>
      <c r="F9" s="30" t="n">
        <v>1899.99</v>
      </c>
      <c r="G9" s="30" t="n">
        <v>1909.99</v>
      </c>
      <c r="H9" s="30" t="n">
        <v>40.81</v>
      </c>
      <c r="I9" s="30" t="n">
        <v>2675.81</v>
      </c>
      <c r="J9" s="119" t="n">
        <v>0</v>
      </c>
      <c r="K9" s="34">
        <f>F9*J9</f>
        <v/>
      </c>
      <c r="L9" s="119" t="n">
        <v>0</v>
      </c>
      <c r="M9" s="34">
        <f>L9*F9</f>
        <v/>
      </c>
      <c r="N9" s="119" t="n">
        <v>22.2</v>
      </c>
      <c r="O9" s="34">
        <f>F9</f>
        <v/>
      </c>
      <c r="P9" s="34">
        <f>N9*O9</f>
        <v/>
      </c>
      <c r="Q9" s="119" t="n">
        <v>0</v>
      </c>
      <c r="R9" s="34">
        <f>F9</f>
        <v/>
      </c>
      <c r="S9" s="34">
        <f>R9*Q9</f>
        <v/>
      </c>
      <c r="T9" s="34">
        <f>SUMIFS('[1]GİP VERİLERİ'!$C:$C,'[1]GİP VERİLERİ'!$B:$B,A9,'[1]GİP VERİLERİ'!$M:$M,"40X000000104782K",'[1]GİP VERİLERİ'!$G:$G,"SELL")</f>
        <v/>
      </c>
      <c r="U9" s="34">
        <f>IFERROR(W9/T9,0)</f>
        <v/>
      </c>
      <c r="V9" s="34">
        <f>IF(U9=0,0,U9-F9)</f>
        <v/>
      </c>
      <c r="W9" s="34">
        <f>SUMIFS('[1]GİP VERİLERİ'!$O:$O,'[1]GİP VERİLERİ'!$B:$B,A9,'[1]GİP VERİLERİ'!$M:$M,"40X000000104782K",'[1]GİP VERİLERİ'!$G:$G,"SELL")</f>
        <v/>
      </c>
      <c r="X9" s="34">
        <f>SUMIFS('[1]GİP VERİLERİ'!$C:$C,'[1]GİP VERİLERİ'!$B:$B,A9,'[1]GİP VERİLERİ'!$M:$M,"40X000000104782K",'[1]GİP VERİLERİ'!$G:$G,"BUY")</f>
        <v/>
      </c>
      <c r="Y9" s="34">
        <f>IFERROR(AA9/X9,0)</f>
        <v/>
      </c>
      <c r="Z9" s="34">
        <f>IF(Y9=0,0,F9-Y9)</f>
        <v/>
      </c>
      <c r="AA9" s="34">
        <f>SUMIFS('[1]GİP VERİLERİ'!$O:$O,'[1]GİP VERİLERİ'!$B:$B,A9,'[1]GİP VERİLERİ'!$M:$M,"40X000000104782K",'[1]GİP VERİLERİ'!$G:$G,"BUY")</f>
        <v/>
      </c>
      <c r="AB9" s="34" t="n">
        <v>0</v>
      </c>
      <c r="AC9" s="34" t="n">
        <v>0</v>
      </c>
      <c r="AD9" s="34">
        <f>IF(AB9&gt;AC9*1.05,AB9-AC9*1.05,IF(AB9&lt;AC9*0.95,AC9*0.95-AB9,0))</f>
        <v/>
      </c>
      <c r="AE9" s="34">
        <f>MAX(F9,G9,750)*0.05*AD9</f>
        <v/>
      </c>
      <c r="AF9" s="34" t="n">
        <v>0</v>
      </c>
      <c r="AG9" s="34">
        <f>IF(AB9&gt;AF9*1.05,AB9-AF9*1.05,IF(AB9&lt;AF9*0.95,AF9*0.95-AB9,0))</f>
        <v/>
      </c>
      <c r="AH9" s="34">
        <f>MAX(I9,J9,750)*0.05*AG9</f>
        <v/>
      </c>
      <c r="AI9" t="n">
        <v>10.96</v>
      </c>
      <c r="AJ9" t="n">
        <v>9</v>
      </c>
      <c r="AK9" s="34">
        <f>IF(AI9&gt;AJ9*1.05,AI9-AJ9*1.05,IF(AI9&lt;AJ9*0.95,AJ9*0.95-AI9,0))</f>
        <v/>
      </c>
      <c r="AL9" s="34">
        <f>MAX(F9,G9,750)*0.05*AK9</f>
        <v/>
      </c>
      <c r="AM9" s="39" t="n">
        <v>10</v>
      </c>
      <c r="AN9" s="34">
        <f>IF(AI9&gt;AM9*1.05,AI9-AM9*1.05,IF(AI9&lt;AM9*0.95,AM9*0.95-AI9,0))</f>
        <v/>
      </c>
      <c r="AO9" s="34">
        <f>MAX(F9,G9,750)*0.05*AN9</f>
        <v/>
      </c>
      <c r="AP9" s="34" t="n">
        <v>12.64</v>
      </c>
      <c r="AQ9" s="34" t="n">
        <v>13.2</v>
      </c>
      <c r="AR9" s="34">
        <f>IF(AP9&gt;AQ9*1.05,AP9-AQ9*1.05,IF(AP9&lt;AQ9*0.95,AQ9*0.95-AP9,0))</f>
        <v/>
      </c>
      <c r="AS9" s="34">
        <f>MAX(F9:G9,750)*0.05*AR9</f>
        <v/>
      </c>
      <c r="AT9" t="n">
        <v>13.2</v>
      </c>
      <c r="AU9" s="34">
        <f>IF(AP9&gt;AT9*1.05,AP9-AT9*1.05,IF(AP9&lt;AT9*0.95,AT9*0.95-AP9,0))</f>
        <v/>
      </c>
      <c r="AV9" s="34">
        <f>MAX(F9:G9,750)*0.05*AU9</f>
        <v/>
      </c>
      <c r="AW9" s="34">
        <f>AC9+AJ9+AQ9</f>
        <v/>
      </c>
      <c r="AX9" s="34">
        <f>AF9+AM9+AT9</f>
        <v/>
      </c>
      <c r="AY9" s="34">
        <f>AB9+AI9+AP9</f>
        <v/>
      </c>
      <c r="AZ9" s="34" t="n">
        <v>0</v>
      </c>
      <c r="BA9" s="34">
        <f>AD9+AK9+AR9</f>
        <v/>
      </c>
      <c r="BB9" s="34">
        <f>MAX(F9:G9,750)*0.05*BA9</f>
        <v/>
      </c>
      <c r="BC9" s="34">
        <f>AG9+AN9+AU9</f>
        <v/>
      </c>
      <c r="BD9" s="34">
        <f>MAX(F9:G9,750)*0.05*BC9</f>
        <v/>
      </c>
      <c r="BE9" s="34">
        <f>F9*AY9</f>
        <v/>
      </c>
      <c r="BF9" s="34">
        <f>K9-M9</f>
        <v/>
      </c>
      <c r="BG9" s="34">
        <f>P9-S9</f>
        <v/>
      </c>
      <c r="BH9" s="34">
        <f>W9-AA9</f>
        <v/>
      </c>
      <c r="BI9" s="34">
        <f>BF9+BG9+BL9-BN9</f>
        <v/>
      </c>
      <c r="BJ9" s="34">
        <f>ABS(BK9)</f>
        <v/>
      </c>
      <c r="BK9" s="34">
        <f>AY9-(J9-L9+N9-Q9)</f>
        <v/>
      </c>
      <c r="BL9" s="34">
        <f>IF(AND(BK9&gt;0,MIN($F9:$G9)&lt;150,$E9="Enerji Açığı"),-100*BK9*1.03,IF(AND(BK9&gt;0,MIN($F9:$G9)&lt;150,$E9="Enerji Fazlası"),-100*BK9*1.06,IF(AND(BK9&gt;0,MIN($F9:$G9)&gt;=150,$E9="Enerji Açığı"),BK9*MIN($F9:$G9)*0.97,IF(AND(BK9&gt;0,MIN($F9:$G9)&gt;=150,$E9="Enerji Fazlası"),BK9*MIN($F9:$G9)*0.94,IF(AND(BK9&lt;0,MAX($F9:$G9)=4500,$E9="Enerji Açığı"),4500*1.05*1.06*BK9,IF(AND(BK9&lt;0,MAX($F9:$G9)=4500,$E9="Enerji Fazlası"),4500*1.05*1.03*BK9,IF(AND(BK9&lt;0,$E9="Enerji Açığı"),MAX($F9,$G9,150)*BK9*1.06,IF(AND(BK9&lt;0,$E9="Enerji Fazlası"),MAX($F9,$G9,150)*BK9*1.03,IF(AND(BK9&lt;0,$E9="Dengede"),MAX($F9:$G9,150)*1.03*BK9,MIN($F9:$G9)*0.97*BK9)))))))))</f>
        <v/>
      </c>
      <c r="BM9" s="34">
        <f>BE9-BI9-BN9</f>
        <v/>
      </c>
      <c r="BN9" s="34">
        <f>BB9</f>
        <v/>
      </c>
      <c r="BO9" s="34">
        <f>BE9-BI9</f>
        <v/>
      </c>
      <c r="BP9" s="34">
        <f>IF(AY9=0,0,BO9/AY9)</f>
        <v/>
      </c>
      <c r="BQ9" s="34">
        <f>MAX((AY9+MAX((-J9+L9-N9+Q9),0)),(MAX((J9-L9+N9-Q9),0)))</f>
        <v/>
      </c>
      <c r="BR9" s="82">
        <f>IFERROR(ABS(BK9/BQ9),0)</f>
        <v/>
      </c>
      <c r="BS9" s="34">
        <f>IF(BR9&lt;=0.1,0,BK9/BR9*(BR9-0.1))</f>
        <v/>
      </c>
      <c r="BT9" s="34">
        <f>IF((BS9)&lt;0,MAX(F9:G9)*(BS9)*1.03,MIN(F9:G9)*(BS9)*0.97)</f>
        <v/>
      </c>
      <c r="BU9" s="34">
        <f>IF(BR9&gt;0.1,1,0)</f>
        <v/>
      </c>
      <c r="BV9" s="34">
        <f>BF9+BG9+BH9+BY9-CA9</f>
        <v/>
      </c>
      <c r="BW9" s="34">
        <f>ABS(BX9)</f>
        <v/>
      </c>
      <c r="BX9" s="34">
        <f>AY9-(J9-L9+N9-Q9+T9-X9)</f>
        <v/>
      </c>
      <c r="BY9" s="34">
        <f>IF(AND(BX9&gt;0,MIN($F9:$G9)&lt;150,$E9="Enerji Açığı"),-100*BX9*1.03,IF(AND(BX9&gt;0,MIN($F9:$G9)&lt;150,$E9="Enerji Fazlası"),-100*BX9*1.06,IF(AND(BX9&gt;0,MIN($F9:$G9)&gt;=150,$E9="Enerji Açığı"),BX9*MIN($F9:$G9)*0.97,IF(AND(BX9&gt;0,MIN($F9:$G9)&gt;=150,$E9="Enerji Fazlası"),BX9*MIN($F9:$G9)*0.94,IF(AND(BX9&lt;0,MAX($F9:$G9)=4500,$E9="Enerji Açığı"),4500*1.05*1.06*BX9,IF(AND(BX9&lt;0,MAX($F9:$G9)=4500,$E9="Enerji Fazlası"),4500*1.05*1.03*BX9,IF(AND(BX9&lt;0,$E9="Enerji Açığı"),MAX($F9,$G9,150)*BX9*1.06,IF(AND(BX9&lt;0,$E9="Enerji Fazlası"),MAX($F9,$G9,150)*BX9*1.03,IF(AND(BX9&lt;0,$E9="Dengede"),MAX($F9:$G9,150)*1.03*BX9,MIN($F9:$G9)*0.97*BX9)))))))))</f>
        <v/>
      </c>
      <c r="BZ9" s="34">
        <f>BE9-BV9-CA9</f>
        <v/>
      </c>
      <c r="CA9" s="34">
        <f>BD9</f>
        <v/>
      </c>
      <c r="CB9" s="33">
        <f>BE9-BV9</f>
        <v/>
      </c>
      <c r="CC9" s="34">
        <f>IF(AY9=0,0,CB9/AY9)</f>
        <v/>
      </c>
      <c r="CD9" s="34">
        <f>MAX((AY9+MAX((-J9+L9-N9+Q9-T9+X9),0)),(MAX((J9-L9+N9-Q9+T9-X9),0)))</f>
        <v/>
      </c>
      <c r="CE9" s="82">
        <f>IFERROR(ABS(BX9/CD9),0)</f>
        <v/>
      </c>
      <c r="CF9" s="34">
        <f>IF(CE9&lt;=0.1,0,BX9/CE9*(CE9-0.1))</f>
        <v/>
      </c>
      <c r="CG9" s="34">
        <f>IF((CF9)&lt;0,MAX(F9:G9)*(CF9)*1.03,MIN(F9:G9)*(CF9)*0.97)</f>
        <v/>
      </c>
      <c r="CH9" s="34">
        <f>IF(CE9&gt;0.1,1,0)</f>
        <v/>
      </c>
      <c r="CI9" s="34">
        <f>(F9*BX9)-BY9</f>
        <v/>
      </c>
      <c r="CJ9" s="34">
        <f>IF(AY9=0,0,CI9/AY9)</f>
        <v/>
      </c>
    </row>
    <row r="10">
      <c r="A10" s="29" t="n">
        <v>46204.29166666666</v>
      </c>
      <c r="B10" s="29" t="inlineStr">
        <is>
          <t>07:00</t>
        </is>
      </c>
      <c r="C10" s="35">
        <f>INT(A10)</f>
        <v/>
      </c>
      <c r="D10" s="36">
        <f>MONTH(A10)</f>
        <v/>
      </c>
      <c r="E10" s="147">
        <f>[1]FİYATLAR!G9</f>
        <v/>
      </c>
      <c r="F10" s="30" t="n">
        <v>370.01</v>
      </c>
      <c r="G10" s="30" t="n">
        <v>370</v>
      </c>
      <c r="H10" s="30" t="n">
        <v>7.95</v>
      </c>
      <c r="I10" s="30" t="n">
        <v>417.17</v>
      </c>
      <c r="J10" s="119" t="n">
        <v>0</v>
      </c>
      <c r="K10" s="34">
        <f>F10*J10</f>
        <v/>
      </c>
      <c r="L10" s="119" t="n">
        <v>0</v>
      </c>
      <c r="M10" s="34">
        <f>L10*F10</f>
        <v/>
      </c>
      <c r="N10" s="119" t="n">
        <v>22.5</v>
      </c>
      <c r="O10" s="34">
        <f>F10</f>
        <v/>
      </c>
      <c r="P10" s="34">
        <f>N10*O10</f>
        <v/>
      </c>
      <c r="Q10" s="119" t="n">
        <v>0</v>
      </c>
      <c r="R10" s="34">
        <f>F10</f>
        <v/>
      </c>
      <c r="S10" s="34">
        <f>R10*Q10</f>
        <v/>
      </c>
      <c r="T10" s="34">
        <f>SUMIFS('[1]GİP VERİLERİ'!$C:$C,'[1]GİP VERİLERİ'!$B:$B,A10,'[1]GİP VERİLERİ'!$M:$M,"40X000000104782K",'[1]GİP VERİLERİ'!$G:$G,"SELL")</f>
        <v/>
      </c>
      <c r="U10" s="34">
        <f>IFERROR(W10/T10,0)</f>
        <v/>
      </c>
      <c r="V10" s="34">
        <f>IF(U10=0,0,U10-F10)</f>
        <v/>
      </c>
      <c r="W10" s="34">
        <f>SUMIFS('[1]GİP VERİLERİ'!$O:$O,'[1]GİP VERİLERİ'!$B:$B,A10,'[1]GİP VERİLERİ'!$M:$M,"40X000000104782K",'[1]GİP VERİLERİ'!$G:$G,"SELL")</f>
        <v/>
      </c>
      <c r="X10" s="34">
        <f>SUMIFS('[1]GİP VERİLERİ'!$C:$C,'[1]GİP VERİLERİ'!$B:$B,A10,'[1]GİP VERİLERİ'!$M:$M,"40X000000104782K",'[1]GİP VERİLERİ'!$G:$G,"BUY")</f>
        <v/>
      </c>
      <c r="Y10" s="34">
        <f>IFERROR(AA10/X10,0)</f>
        <v/>
      </c>
      <c r="Z10" s="34">
        <f>IF(Y10=0,0,F10-Y10)</f>
        <v/>
      </c>
      <c r="AA10" s="34">
        <f>SUMIFS('[1]GİP VERİLERİ'!$O:$O,'[1]GİP VERİLERİ'!$B:$B,A10,'[1]GİP VERİLERİ'!$M:$M,"40X000000104782K",'[1]GİP VERİLERİ'!$G:$G,"BUY")</f>
        <v/>
      </c>
      <c r="AB10" s="34" t="n">
        <v>0</v>
      </c>
      <c r="AC10" s="34" t="n">
        <v>0</v>
      </c>
      <c r="AD10" s="34">
        <f>IF(AB10&gt;AC10*1.05,AB10-AC10*1.05,IF(AB10&lt;AC10*0.95,AC10*0.95-AB10,0))</f>
        <v/>
      </c>
      <c r="AE10" s="34">
        <f>MAX(F10,G10,750)*0.05*AD10</f>
        <v/>
      </c>
      <c r="AF10" s="34" t="n">
        <v>0</v>
      </c>
      <c r="AG10" s="34">
        <f>IF(AB10&gt;AF10*1.05,AB10-AF10*1.05,IF(AB10&lt;AF10*0.95,AF10*0.95-AB10,0))</f>
        <v/>
      </c>
      <c r="AH10" s="34">
        <f>MAX(I10,J10,750)*0.05*AG10</f>
        <v/>
      </c>
      <c r="AI10" t="n">
        <v>11.38</v>
      </c>
      <c r="AJ10" t="n">
        <v>9</v>
      </c>
      <c r="AK10" s="34">
        <f>IF(AI10&gt;AJ10*1.05,AI10-AJ10*1.05,IF(AI10&lt;AJ10*0.95,AJ10*0.95-AI10,0))</f>
        <v/>
      </c>
      <c r="AL10" s="34">
        <f>MAX(F10,G10,750)*0.05*AK10</f>
        <v/>
      </c>
      <c r="AM10" s="39" t="n">
        <v>9</v>
      </c>
      <c r="AN10" s="34">
        <f>IF(AI10&gt;AM10*1.05,AI10-AM10*1.05,IF(AI10&lt;AM10*0.95,AM10*0.95-AI10,0))</f>
        <v/>
      </c>
      <c r="AO10" s="34">
        <f>MAX(F10,G10,750)*0.05*AN10</f>
        <v/>
      </c>
      <c r="AP10" s="34" t="n">
        <v>11.34</v>
      </c>
      <c r="AQ10" s="34" t="n">
        <v>13.5</v>
      </c>
      <c r="AR10" s="34">
        <f>IF(AP10&gt;AQ10*1.05,AP10-AQ10*1.05,IF(AP10&lt;AQ10*0.95,AQ10*0.95-AP10,0))</f>
        <v/>
      </c>
      <c r="AS10" s="34">
        <f>MAX(F10:G10,750)*0.05*AR10</f>
        <v/>
      </c>
      <c r="AT10" t="n">
        <v>13.5</v>
      </c>
      <c r="AU10" s="34">
        <f>IF(AP10&gt;AT10*1.05,AP10-AT10*1.05,IF(AP10&lt;AT10*0.95,AT10*0.95-AP10,0))</f>
        <v/>
      </c>
      <c r="AV10" s="34">
        <f>MAX(F10:G10,750)*0.05*AU10</f>
        <v/>
      </c>
      <c r="AW10" s="34">
        <f>AC10+AJ10+AQ10</f>
        <v/>
      </c>
      <c r="AX10" s="34">
        <f>AF10+AM10+AT10</f>
        <v/>
      </c>
      <c r="AY10" s="34">
        <f>AB10+AI10+AP10</f>
        <v/>
      </c>
      <c r="AZ10" s="34" t="n">
        <v>0</v>
      </c>
      <c r="BA10" s="34">
        <f>AD10+AK10+AR10</f>
        <v/>
      </c>
      <c r="BB10" s="34">
        <f>MAX(F10:G10,750)*0.05*BA10</f>
        <v/>
      </c>
      <c r="BC10" s="34">
        <f>AG10+AN10+AU10</f>
        <v/>
      </c>
      <c r="BD10" s="34">
        <f>MAX(F10:G10,750)*0.05*BC10</f>
        <v/>
      </c>
      <c r="BE10" s="34">
        <f>F10*AY10</f>
        <v/>
      </c>
      <c r="BF10" s="34">
        <f>K10-M10</f>
        <v/>
      </c>
      <c r="BG10" s="34">
        <f>P10-S10</f>
        <v/>
      </c>
      <c r="BH10" s="34">
        <f>W10-AA10</f>
        <v/>
      </c>
      <c r="BI10" s="34">
        <f>BF10+BG10+BL10-BN10</f>
        <v/>
      </c>
      <c r="BJ10" s="34">
        <f>ABS(BK10)</f>
        <v/>
      </c>
      <c r="BK10" s="34">
        <f>AY10-(J10-L10+N10-Q10)</f>
        <v/>
      </c>
      <c r="BL10" s="34">
        <f>IF(AND(BK10&gt;0,MIN($F10:$G10)&lt;150,$E10="Enerji Açığı"),-100*BK10*1.03,IF(AND(BK10&gt;0,MIN($F10:$G10)&lt;150,$E10="Enerji Fazlası"),-100*BK10*1.06,IF(AND(BK10&gt;0,MIN($F10:$G10)&gt;=150,$E10="Enerji Açığı"),BK10*MIN($F10:$G10)*0.97,IF(AND(BK10&gt;0,MIN($F10:$G10)&gt;=150,$E10="Enerji Fazlası"),BK10*MIN($F10:$G10)*0.94,IF(AND(BK10&lt;0,MAX($F10:$G10)=4500,$E10="Enerji Açığı"),4500*1.05*1.06*BK10,IF(AND(BK10&lt;0,MAX($F10:$G10)=4500,$E10="Enerji Fazlası"),4500*1.05*1.03*BK10,IF(AND(BK10&lt;0,$E10="Enerji Açığı"),MAX($F10,$G10,150)*BK10*1.06,IF(AND(BK10&lt;0,$E10="Enerji Fazlası"),MAX($F10,$G10,150)*BK10*1.03,IF(AND(BK10&lt;0,$E10="Dengede"),MAX($F10:$G10,150)*1.03*BK10,MIN($F10:$G10)*0.97*BK10)))))))))</f>
        <v/>
      </c>
      <c r="BM10" s="34">
        <f>BE10-BI10-BN10</f>
        <v/>
      </c>
      <c r="BN10" s="34">
        <f>BB10</f>
        <v/>
      </c>
      <c r="BO10" s="34">
        <f>BE10-BI10</f>
        <v/>
      </c>
      <c r="BP10" s="34">
        <f>IF(AY10=0,0,BO10/AY10)</f>
        <v/>
      </c>
      <c r="BQ10" s="34">
        <f>MAX((AY10+MAX((-J10+L10-N10+Q10),0)),(MAX((J10-L10+N10-Q10),0)))</f>
        <v/>
      </c>
      <c r="BR10" s="82">
        <f>IFERROR(ABS(BK10/BQ10),0)</f>
        <v/>
      </c>
      <c r="BS10" s="34">
        <f>IF(BR10&lt;=0.1,0,BK10/BR10*(BR10-0.1))</f>
        <v/>
      </c>
      <c r="BT10" s="34">
        <f>IF((BS10)&lt;0,MAX(F10:G10)*(BS10)*1.03,MIN(F10:G10)*(BS10)*0.97)</f>
        <v/>
      </c>
      <c r="BU10" s="34">
        <f>IF(BR10&gt;0.1,1,0)</f>
        <v/>
      </c>
      <c r="BV10" s="34">
        <f>BF10+BG10+BH10+BY10-CA10</f>
        <v/>
      </c>
      <c r="BW10" s="34">
        <f>ABS(BX10)</f>
        <v/>
      </c>
      <c r="BX10" s="34">
        <f>AY10-(J10-L10+N10-Q10+T10-X10)</f>
        <v/>
      </c>
      <c r="BY10" s="34">
        <f>IF(AND(BX10&gt;0,MIN($F10:$G10)&lt;150,$E10="Enerji Açığı"),-100*BX10*1.03,IF(AND(BX10&gt;0,MIN($F10:$G10)&lt;150,$E10="Enerji Fazlası"),-100*BX10*1.06,IF(AND(BX10&gt;0,MIN($F10:$G10)&gt;=150,$E10="Enerji Açığı"),BX10*MIN($F10:$G10)*0.97,IF(AND(BX10&gt;0,MIN($F10:$G10)&gt;=150,$E10="Enerji Fazlası"),BX10*MIN($F10:$G10)*0.94,IF(AND(BX10&lt;0,MAX($F10:$G10)=4500,$E10="Enerji Açığı"),4500*1.05*1.06*BX10,IF(AND(BX10&lt;0,MAX($F10:$G10)=4500,$E10="Enerji Fazlası"),4500*1.05*1.03*BX10,IF(AND(BX10&lt;0,$E10="Enerji Açığı"),MAX($F10,$G10,150)*BX10*1.06,IF(AND(BX10&lt;0,$E10="Enerji Fazlası"),MAX($F10,$G10,150)*BX10*1.03,IF(AND(BX10&lt;0,$E10="Dengede"),MAX($F10:$G10,150)*1.03*BX10,MIN($F10:$G10)*0.97*BX10)))))))))</f>
        <v/>
      </c>
      <c r="BZ10" s="34">
        <f>BE10-BV10-CA10</f>
        <v/>
      </c>
      <c r="CA10" s="34">
        <f>BD10</f>
        <v/>
      </c>
      <c r="CB10" s="33">
        <f>BE10-BV10</f>
        <v/>
      </c>
      <c r="CC10" s="34">
        <f>IF(AY10=0,0,CB10/AY10)</f>
        <v/>
      </c>
      <c r="CD10" s="34">
        <f>MAX((AY10+MAX((-J10+L10-N10+Q10-T10+X10),0)),(MAX((J10-L10+N10-Q10+T10-X10),0)))</f>
        <v/>
      </c>
      <c r="CE10" s="82">
        <f>IFERROR(ABS(BX10/CD10),0)</f>
        <v/>
      </c>
      <c r="CF10" s="34">
        <f>IF(CE10&lt;=0.1,0,BX10/CE10*(CE10-0.1))</f>
        <v/>
      </c>
      <c r="CG10" s="34">
        <f>IF((CF10)&lt;0,MAX(F10:G10)*(CF10)*1.03,MIN(F10:G10)*(CF10)*0.97)</f>
        <v/>
      </c>
      <c r="CH10" s="34">
        <f>IF(CE10&gt;0.1,1,0)</f>
        <v/>
      </c>
      <c r="CI10" s="34">
        <f>(F10*BX10)-BY10</f>
        <v/>
      </c>
      <c r="CJ10" s="34">
        <f>IF(AY10=0,0,CI10/AY10)</f>
        <v/>
      </c>
    </row>
    <row r="11">
      <c r="A11" s="29" t="n">
        <v>46204.33333333334</v>
      </c>
      <c r="B11" s="29" t="inlineStr">
        <is>
          <t>08:00</t>
        </is>
      </c>
      <c r="C11" s="35">
        <f>INT(A11)</f>
        <v/>
      </c>
      <c r="D11" s="36">
        <f>MONTH(A11)</f>
        <v/>
      </c>
      <c r="E11" s="147">
        <f>[1]FİYATLAR!G10</f>
        <v/>
      </c>
      <c r="F11" s="30" t="n">
        <v>2800</v>
      </c>
      <c r="G11" s="30" t="n">
        <v>699.99</v>
      </c>
      <c r="H11" s="30" t="n">
        <v>60.14</v>
      </c>
      <c r="I11" s="30" t="n">
        <v>2955.48</v>
      </c>
      <c r="J11" s="119" t="n">
        <v>0</v>
      </c>
      <c r="K11" s="34">
        <f>F11*J11</f>
        <v/>
      </c>
      <c r="L11" s="119" t="n">
        <v>0</v>
      </c>
      <c r="M11" s="34">
        <f>L11*F11</f>
        <v/>
      </c>
      <c r="N11" s="119" t="n">
        <v>24</v>
      </c>
      <c r="O11" s="34">
        <f>F11</f>
        <v/>
      </c>
      <c r="P11" s="34">
        <f>N11*O11</f>
        <v/>
      </c>
      <c r="Q11" s="119" t="n">
        <v>0</v>
      </c>
      <c r="R11" s="34">
        <f>F11</f>
        <v/>
      </c>
      <c r="S11" s="34">
        <f>R11*Q11</f>
        <v/>
      </c>
      <c r="T11" s="34">
        <f>SUMIFS('[1]GİP VERİLERİ'!$C:$C,'[1]GİP VERİLERİ'!$B:$B,A11,'[1]GİP VERİLERİ'!$M:$M,"40X000000104782K",'[1]GİP VERİLERİ'!$G:$G,"SELL")</f>
        <v/>
      </c>
      <c r="U11" s="34">
        <f>IFERROR(W11/T11,0)</f>
        <v/>
      </c>
      <c r="V11" s="34">
        <f>IF(U11=0,0,U11-F11)</f>
        <v/>
      </c>
      <c r="W11" s="34">
        <f>SUMIFS('[1]GİP VERİLERİ'!$O:$O,'[1]GİP VERİLERİ'!$B:$B,A11,'[1]GİP VERİLERİ'!$M:$M,"40X000000104782K",'[1]GİP VERİLERİ'!$G:$G,"SELL")</f>
        <v/>
      </c>
      <c r="X11" s="34">
        <f>SUMIFS('[1]GİP VERİLERİ'!$C:$C,'[1]GİP VERİLERİ'!$B:$B,A11,'[1]GİP VERİLERİ'!$M:$M,"40X000000104782K",'[1]GİP VERİLERİ'!$G:$G,"BUY")</f>
        <v/>
      </c>
      <c r="Y11" s="34">
        <f>IFERROR(AA11/X11,0)</f>
        <v/>
      </c>
      <c r="Z11" s="34">
        <f>IF(Y11=0,0,F11-Y11)</f>
        <v/>
      </c>
      <c r="AA11" s="34">
        <f>SUMIFS('[1]GİP VERİLERİ'!$O:$O,'[1]GİP VERİLERİ'!$B:$B,A11,'[1]GİP VERİLERİ'!$M:$M,"40X000000104782K",'[1]GİP VERİLERİ'!$G:$G,"BUY")</f>
        <v/>
      </c>
      <c r="AB11" s="34" t="n">
        <v>0</v>
      </c>
      <c r="AC11" s="34" t="n">
        <v>0</v>
      </c>
      <c r="AD11" s="34">
        <f>IF(AB11&gt;AC11*1.05,AB11-AC11*1.05,IF(AB11&lt;AC11*0.95,AC11*0.95-AB11,0))</f>
        <v/>
      </c>
      <c r="AE11" s="34">
        <f>MAX(F11,G11,750)*0.05*AD11</f>
        <v/>
      </c>
      <c r="AF11" s="34" t="n">
        <v>0</v>
      </c>
      <c r="AG11" s="34">
        <f>IF(AB11&gt;AF11*1.05,AB11-AF11*1.05,IF(AB11&lt;AF11*0.95,AF11*0.95-AB11,0))</f>
        <v/>
      </c>
      <c r="AH11" s="34">
        <f>MAX(I11,J11,750)*0.05*AG11</f>
        <v/>
      </c>
      <c r="AI11" t="n">
        <v>12.38</v>
      </c>
      <c r="AJ11" t="n">
        <v>9</v>
      </c>
      <c r="AK11" s="34">
        <f>IF(AI11&gt;AJ11*1.05,AI11-AJ11*1.05,IF(AI11&lt;AJ11*0.95,AJ11*0.95-AI11,0))</f>
        <v/>
      </c>
      <c r="AL11" s="34">
        <f>MAX(F11,G11,750)*0.05*AK11</f>
        <v/>
      </c>
      <c r="AM11" s="39" t="n">
        <v>10</v>
      </c>
      <c r="AN11" s="34">
        <f>IF(AI11&gt;AM11*1.05,AI11-AM11*1.05,IF(AI11&lt;AM11*0.95,AM11*0.95-AI11,0))</f>
        <v/>
      </c>
      <c r="AO11" s="34">
        <f>MAX(F11,G11,750)*0.05*AN11</f>
        <v/>
      </c>
      <c r="AP11" s="34" t="n">
        <v>11.76</v>
      </c>
      <c r="AQ11" s="34" t="n">
        <v>15</v>
      </c>
      <c r="AR11" s="34">
        <f>IF(AP11&gt;AQ11*1.05,AP11-AQ11*1.05,IF(AP11&lt;AQ11*0.95,AQ11*0.95-AP11,0))</f>
        <v/>
      </c>
      <c r="AS11" s="34">
        <f>MAX(F11:G11,750)*0.05*AR11</f>
        <v/>
      </c>
      <c r="AT11" t="n">
        <v>15</v>
      </c>
      <c r="AU11" s="34">
        <f>IF(AP11&gt;AT11*1.05,AP11-AT11*1.05,IF(AP11&lt;AT11*0.95,AT11*0.95-AP11,0))</f>
        <v/>
      </c>
      <c r="AV11" s="34">
        <f>MAX(F11:G11,750)*0.05*AU11</f>
        <v/>
      </c>
      <c r="AW11" s="34">
        <f>AC11+AJ11+AQ11</f>
        <v/>
      </c>
      <c r="AX11" s="34">
        <f>AF11+AM11+AT11</f>
        <v/>
      </c>
      <c r="AY11" s="34">
        <f>AB11+AI11+AP11</f>
        <v/>
      </c>
      <c r="AZ11" s="34" t="n">
        <v>0</v>
      </c>
      <c r="BA11" s="34">
        <f>AD11+AK11+AR11</f>
        <v/>
      </c>
      <c r="BB11" s="34">
        <f>MAX(F11:G11,750)*0.05*BA11</f>
        <v/>
      </c>
      <c r="BC11" s="34">
        <f>AG11+AN11+AU11</f>
        <v/>
      </c>
      <c r="BD11" s="34">
        <f>MAX(F11:G11,750)*0.05*BC11</f>
        <v/>
      </c>
      <c r="BE11" s="34">
        <f>F11*AY11</f>
        <v/>
      </c>
      <c r="BF11" s="34">
        <f>K11-M11</f>
        <v/>
      </c>
      <c r="BG11" s="34">
        <f>P11-S11</f>
        <v/>
      </c>
      <c r="BH11" s="34">
        <f>W11-AA11</f>
        <v/>
      </c>
      <c r="BI11" s="34">
        <f>BF11+BG11+BL11-BN11</f>
        <v/>
      </c>
      <c r="BJ11" s="34">
        <f>ABS(BK11)</f>
        <v/>
      </c>
      <c r="BK11" s="34">
        <f>AY11-(J11-L11+N11-Q11)</f>
        <v/>
      </c>
      <c r="BL11" s="34">
        <f>IF(AND(BK11&gt;0,MIN($F11:$G11)&lt;150,$E11="Enerji Açığı"),-100*BK11*1.03,IF(AND(BK11&gt;0,MIN($F11:$G11)&lt;150,$E11="Enerji Fazlası"),-100*BK11*1.06,IF(AND(BK11&gt;0,MIN($F11:$G11)&gt;=150,$E11="Enerji Açığı"),BK11*MIN($F11:$G11)*0.97,IF(AND(BK11&gt;0,MIN($F11:$G11)&gt;=150,$E11="Enerji Fazlası"),BK11*MIN($F11:$G11)*0.94,IF(AND(BK11&lt;0,MAX($F11:$G11)=4500,$E11="Enerji Açığı"),4500*1.05*1.06*BK11,IF(AND(BK11&lt;0,MAX($F11:$G11)=4500,$E11="Enerji Fazlası"),4500*1.05*1.03*BK11,IF(AND(BK11&lt;0,$E11="Enerji Açığı"),MAX($F11,$G11,150)*BK11*1.06,IF(AND(BK11&lt;0,$E11="Enerji Fazlası"),MAX($F11,$G11,150)*BK11*1.03,IF(AND(BK11&lt;0,$E11="Dengede"),MAX($F11:$G11,150)*1.03*BK11,MIN($F11:$G11)*0.97*BK11)))))))))</f>
        <v/>
      </c>
      <c r="BM11" s="34">
        <f>BE11-BI11-BN11</f>
        <v/>
      </c>
      <c r="BN11" s="34">
        <f>BB11</f>
        <v/>
      </c>
      <c r="BO11" s="34">
        <f>BE11-BI11</f>
        <v/>
      </c>
      <c r="BP11" s="34">
        <f>IF(AY11=0,0,BO11/AY11)</f>
        <v/>
      </c>
      <c r="BQ11" s="34">
        <f>MAX((AY11+MAX((-J11+L11-N11+Q11),0)),(MAX((J11-L11+N11-Q11),0)))</f>
        <v/>
      </c>
      <c r="BR11" s="82">
        <f>IFERROR(ABS(BK11/BQ11),0)</f>
        <v/>
      </c>
      <c r="BS11" s="34">
        <f>IF(BR11&lt;=0.1,0,BK11/BR11*(BR11-0.1))</f>
        <v/>
      </c>
      <c r="BT11" s="34">
        <f>IF((BS11)&lt;0,MAX(F11:G11)*(BS11)*1.03,MIN(F11:G11)*(BS11)*0.97)</f>
        <v/>
      </c>
      <c r="BU11" s="34">
        <f>IF(BR11&gt;0.1,1,0)</f>
        <v/>
      </c>
      <c r="BV11" s="34">
        <f>BF11+BG11+BH11+BY11-CA11</f>
        <v/>
      </c>
      <c r="BW11" s="34">
        <f>ABS(BX11)</f>
        <v/>
      </c>
      <c r="BX11" s="34">
        <f>AY11-(J11-L11+N11-Q11+T11-X11)</f>
        <v/>
      </c>
      <c r="BY11" s="34">
        <f>IF(AND(BX11&gt;0,MIN($F11:$G11)&lt;150,$E11="Enerji Açığı"),-100*BX11*1.03,IF(AND(BX11&gt;0,MIN($F11:$G11)&lt;150,$E11="Enerji Fazlası"),-100*BX11*1.06,IF(AND(BX11&gt;0,MIN($F11:$G11)&gt;=150,$E11="Enerji Açığı"),BX11*MIN($F11:$G11)*0.97,IF(AND(BX11&gt;0,MIN($F11:$G11)&gt;=150,$E11="Enerji Fazlası"),BX11*MIN($F11:$G11)*0.94,IF(AND(BX11&lt;0,MAX($F11:$G11)=4500,$E11="Enerji Açığı"),4500*1.05*1.06*BX11,IF(AND(BX11&lt;0,MAX($F11:$G11)=4500,$E11="Enerji Fazlası"),4500*1.05*1.03*BX11,IF(AND(BX11&lt;0,$E11="Enerji Açığı"),MAX($F11,$G11,150)*BX11*1.06,IF(AND(BX11&lt;0,$E11="Enerji Fazlası"),MAX($F11,$G11,150)*BX11*1.03,IF(AND(BX11&lt;0,$E11="Dengede"),MAX($F11:$G11,150)*1.03*BX11,MIN($F11:$G11)*0.97*BX11)))))))))</f>
        <v/>
      </c>
      <c r="BZ11" s="34">
        <f>BE11-BV11-CA11</f>
        <v/>
      </c>
      <c r="CA11" s="34">
        <f>BD11</f>
        <v/>
      </c>
      <c r="CB11" s="33">
        <f>BE11-BV11</f>
        <v/>
      </c>
      <c r="CC11" s="34">
        <f>IF(AY11=0,0,CB11/AY11)</f>
        <v/>
      </c>
      <c r="CD11" s="34">
        <f>MAX((AY11+MAX((-J11+L11-N11+Q11-T11+X11),0)),(MAX((J11-L11+N11-Q11+T11-X11),0)))</f>
        <v/>
      </c>
      <c r="CE11" s="82">
        <f>IFERROR(ABS(BX11/CD11),0)</f>
        <v/>
      </c>
      <c r="CF11" s="34">
        <f>IF(CE11&lt;=0.1,0,BX11/CE11*(CE11-0.1))</f>
        <v/>
      </c>
      <c r="CG11" s="34">
        <f>IF((CF11)&lt;0,MAX(F11:G11)*(CF11)*1.03,MIN(F11:G11)*(CF11)*0.97)</f>
        <v/>
      </c>
      <c r="CH11" s="34">
        <f>IF(CE11&gt;0.1,1,0)</f>
        <v/>
      </c>
      <c r="CI11" s="34">
        <f>(F11*BX11)-BY11</f>
        <v/>
      </c>
      <c r="CJ11" s="34">
        <f>IF(AY11=0,0,CI11/AY11)</f>
        <v/>
      </c>
    </row>
    <row r="12">
      <c r="A12" s="29" t="n">
        <v>46204.375</v>
      </c>
      <c r="B12" s="29" t="inlineStr">
        <is>
          <t>09:00</t>
        </is>
      </c>
      <c r="C12" s="35">
        <f>INT(A12)</f>
        <v/>
      </c>
      <c r="D12" s="36">
        <f>MONTH(A12)</f>
        <v/>
      </c>
      <c r="E12" s="147">
        <f>[1]FİYATLAR!G11</f>
        <v/>
      </c>
      <c r="F12" s="30" t="n">
        <v>3489.99</v>
      </c>
      <c r="G12" s="30" t="n">
        <v>3489.99</v>
      </c>
      <c r="H12" s="30" t="n">
        <v>74.95999999999999</v>
      </c>
      <c r="I12" s="30" t="n">
        <v>3318.99</v>
      </c>
      <c r="J12" s="119" t="n">
        <v>0</v>
      </c>
      <c r="K12" s="34">
        <f>F12*J12</f>
        <v/>
      </c>
      <c r="L12" s="119" t="n">
        <v>0</v>
      </c>
      <c r="M12" s="34">
        <f>L12*F12</f>
        <v/>
      </c>
      <c r="N12" s="119" t="n">
        <v>25</v>
      </c>
      <c r="O12" s="34">
        <f>F12</f>
        <v/>
      </c>
      <c r="P12" s="34">
        <f>N12*O12</f>
        <v/>
      </c>
      <c r="Q12" s="119" t="n">
        <v>0</v>
      </c>
      <c r="R12" s="34">
        <f>F12</f>
        <v/>
      </c>
      <c r="S12" s="34">
        <f>R12*Q12</f>
        <v/>
      </c>
      <c r="T12" s="34">
        <f>SUMIFS('[1]GİP VERİLERİ'!$C:$C,'[1]GİP VERİLERİ'!$B:$B,A12,'[1]GİP VERİLERİ'!$M:$M,"40X000000104782K",'[1]GİP VERİLERİ'!$G:$G,"SELL")</f>
        <v/>
      </c>
      <c r="U12" s="34">
        <f>IFERROR(W12/T12,0)</f>
        <v/>
      </c>
      <c r="V12" s="34">
        <f>IF(U12=0,0,U12-F12)</f>
        <v/>
      </c>
      <c r="W12" s="34">
        <f>SUMIFS('[1]GİP VERİLERİ'!$O:$O,'[1]GİP VERİLERİ'!$B:$B,A12,'[1]GİP VERİLERİ'!$M:$M,"40X000000104782K",'[1]GİP VERİLERİ'!$G:$G,"SELL")</f>
        <v/>
      </c>
      <c r="X12" s="34">
        <f>SUMIFS('[1]GİP VERİLERİ'!$C:$C,'[1]GİP VERİLERİ'!$B:$B,A12,'[1]GİP VERİLERİ'!$M:$M,"40X000000104782K",'[1]GİP VERİLERİ'!$G:$G,"BUY")</f>
        <v/>
      </c>
      <c r="Y12" s="34">
        <f>IFERROR(AA12/X12,0)</f>
        <v/>
      </c>
      <c r="Z12" s="34">
        <f>IF(Y12=0,0,F12-Y12)</f>
        <v/>
      </c>
      <c r="AA12" s="34">
        <f>SUMIFS('[1]GİP VERİLERİ'!$O:$O,'[1]GİP VERİLERİ'!$B:$B,A12,'[1]GİP VERİLERİ'!$M:$M,"40X000000104782K",'[1]GİP VERİLERİ'!$G:$G,"BUY")</f>
        <v/>
      </c>
      <c r="AB12" s="34" t="n">
        <v>0</v>
      </c>
      <c r="AC12" s="34" t="n">
        <v>0</v>
      </c>
      <c r="AD12" s="34">
        <f>IF(AB12&gt;AC12*1.05,AB12-AC12*1.05,IF(AB12&lt;AC12*0.95,AC12*0.95-AB12,0))</f>
        <v/>
      </c>
      <c r="AE12" s="34">
        <f>MAX(F12,G12,750)*0.05*AD12</f>
        <v/>
      </c>
      <c r="AF12" s="34" t="n">
        <v>0</v>
      </c>
      <c r="AG12" s="34">
        <f>IF(AB12&gt;AF12*1.05,AB12-AF12*1.05,IF(AB12&lt;AF12*0.95,AF12*0.95-AB12,0))</f>
        <v/>
      </c>
      <c r="AH12" s="34">
        <f>MAX(I12,J12,750)*0.05*AG12</f>
        <v/>
      </c>
      <c r="AI12" t="n">
        <v>12.4</v>
      </c>
      <c r="AJ12" t="n">
        <v>10</v>
      </c>
      <c r="AK12" s="34">
        <f>IF(AI12&gt;AJ12*1.05,AI12-AJ12*1.05,IF(AI12&lt;AJ12*0.95,AJ12*0.95-AI12,0))</f>
        <v/>
      </c>
      <c r="AL12" s="34">
        <f>MAX(F12,G12,750)*0.05*AK12</f>
        <v/>
      </c>
      <c r="AM12" s="39" t="n">
        <v>10</v>
      </c>
      <c r="AN12" s="34">
        <f>IF(AI12&gt;AM12*1.05,AI12-AM12*1.05,IF(AI12&lt;AM12*0.95,AM12*0.95-AI12,0))</f>
        <v/>
      </c>
      <c r="AO12" s="34">
        <f>MAX(F12,G12,750)*0.05*AN12</f>
        <v/>
      </c>
      <c r="AP12" s="34" t="n">
        <v>13.04</v>
      </c>
      <c r="AQ12" s="34" t="n">
        <v>15</v>
      </c>
      <c r="AR12" s="34">
        <f>IF(AP12&gt;AQ12*1.05,AP12-AQ12*1.05,IF(AP12&lt;AQ12*0.95,AQ12*0.95-AP12,0))</f>
        <v/>
      </c>
      <c r="AS12" s="34">
        <f>MAX(F12:G12,750)*0.05*AR12</f>
        <v/>
      </c>
      <c r="AT12" t="n">
        <v>15</v>
      </c>
      <c r="AU12" s="34">
        <f>IF(AP12&gt;AT12*1.05,AP12-AT12*1.05,IF(AP12&lt;AT12*0.95,AT12*0.95-AP12,0))</f>
        <v/>
      </c>
      <c r="AV12" s="34">
        <f>MAX(F12:G12,750)*0.05*AU12</f>
        <v/>
      </c>
      <c r="AW12" s="34">
        <f>AC12+AJ12+AQ12</f>
        <v/>
      </c>
      <c r="AX12" s="34">
        <f>AF12+AM12+AT12</f>
        <v/>
      </c>
      <c r="AY12" s="34">
        <f>AB12+AI12+AP12</f>
        <v/>
      </c>
      <c r="AZ12" s="34" t="n">
        <v>0</v>
      </c>
      <c r="BA12" s="34">
        <f>AD12+AK12+AR12</f>
        <v/>
      </c>
      <c r="BB12" s="34">
        <f>MAX(F12:G12,750)*0.05*BA12</f>
        <v/>
      </c>
      <c r="BC12" s="34">
        <f>AG12+AN12+AU12</f>
        <v/>
      </c>
      <c r="BD12" s="34">
        <f>MAX(F12:G12,750)*0.05*BC12</f>
        <v/>
      </c>
      <c r="BE12" s="34">
        <f>F12*AY12</f>
        <v/>
      </c>
      <c r="BF12" s="34">
        <f>K12-M12</f>
        <v/>
      </c>
      <c r="BG12" s="34">
        <f>P12-S12</f>
        <v/>
      </c>
      <c r="BH12" s="34">
        <f>W12-AA12</f>
        <v/>
      </c>
      <c r="BI12" s="34">
        <f>BF12+BG12+BL12-BN12</f>
        <v/>
      </c>
      <c r="BJ12" s="34">
        <f>ABS(BK12)</f>
        <v/>
      </c>
      <c r="BK12" s="34">
        <f>AY12-(J12-L12+N12-Q12)</f>
        <v/>
      </c>
      <c r="BL12" s="34">
        <f>IF(AND(BK12&gt;0,MIN($F12:$G12)&lt;150,$E12="Enerji Açığı"),-100*BK12*1.03,IF(AND(BK12&gt;0,MIN($F12:$G12)&lt;150,$E12="Enerji Fazlası"),-100*BK12*1.06,IF(AND(BK12&gt;0,MIN($F12:$G12)&gt;=150,$E12="Enerji Açığı"),BK12*MIN($F12:$G12)*0.97,IF(AND(BK12&gt;0,MIN($F12:$G12)&gt;=150,$E12="Enerji Fazlası"),BK12*MIN($F12:$G12)*0.94,IF(AND(BK12&lt;0,MAX($F12:$G12)=4500,$E12="Enerji Açığı"),4500*1.05*1.06*BK12,IF(AND(BK12&lt;0,MAX($F12:$G12)=4500,$E12="Enerji Fazlası"),4500*1.05*1.03*BK12,IF(AND(BK12&lt;0,$E12="Enerji Açığı"),MAX($F12,$G12,150)*BK12*1.06,IF(AND(BK12&lt;0,$E12="Enerji Fazlası"),MAX($F12,$G12,150)*BK12*1.03,IF(AND(BK12&lt;0,$E12="Dengede"),MAX($F12:$G12,150)*1.03*BK12,MIN($F12:$G12)*0.97*BK12)))))))))</f>
        <v/>
      </c>
      <c r="BM12" s="34">
        <f>BE12-BI12-BN12</f>
        <v/>
      </c>
      <c r="BN12" s="34">
        <f>BB12</f>
        <v/>
      </c>
      <c r="BO12" s="34">
        <f>BE12-BI12</f>
        <v/>
      </c>
      <c r="BP12" s="34">
        <f>IF(AY12=0,0,BO12/AY12)</f>
        <v/>
      </c>
      <c r="BQ12" s="34">
        <f>MAX((AY12+MAX((-J12+L12-N12+Q12),0)),(MAX((J12-L12+N12-Q12),0)))</f>
        <v/>
      </c>
      <c r="BR12" s="82">
        <f>IFERROR(ABS(BK12/BQ12),0)</f>
        <v/>
      </c>
      <c r="BS12" s="34">
        <f>IF(BR12&lt;=0.1,0,BK12/BR12*(BR12-0.1))</f>
        <v/>
      </c>
      <c r="BT12" s="34">
        <f>IF((BS12)&lt;0,MAX(F12:G12)*(BS12)*1.03,MIN(F12:G12)*(BS12)*0.97)</f>
        <v/>
      </c>
      <c r="BU12" s="34">
        <f>IF(BR12&gt;0.1,1,0)</f>
        <v/>
      </c>
      <c r="BV12" s="34">
        <f>BF12+BG12+BH12+BY12-CA12</f>
        <v/>
      </c>
      <c r="BW12" s="34">
        <f>ABS(BX12)</f>
        <v/>
      </c>
      <c r="BX12" s="34">
        <f>AY12-(J12-L12+N12-Q12+T12-X12)</f>
        <v/>
      </c>
      <c r="BY12" s="34">
        <f>IF(AND(BX12&gt;0,MIN($F12:$G12)&lt;150,$E12="Enerji Açığı"),-100*BX12*1.03,IF(AND(BX12&gt;0,MIN($F12:$G12)&lt;150,$E12="Enerji Fazlası"),-100*BX12*1.06,IF(AND(BX12&gt;0,MIN($F12:$G12)&gt;=150,$E12="Enerji Açığı"),BX12*MIN($F12:$G12)*0.97,IF(AND(BX12&gt;0,MIN($F12:$G12)&gt;=150,$E12="Enerji Fazlası"),BX12*MIN($F12:$G12)*0.94,IF(AND(BX12&lt;0,MAX($F12:$G12)=4500,$E12="Enerji Açığı"),4500*1.05*1.06*BX12,IF(AND(BX12&lt;0,MAX($F12:$G12)=4500,$E12="Enerji Fazlası"),4500*1.05*1.03*BX12,IF(AND(BX12&lt;0,$E12="Enerji Açığı"),MAX($F12,$G12,150)*BX12*1.06,IF(AND(BX12&lt;0,$E12="Enerji Fazlası"),MAX($F12,$G12,150)*BX12*1.03,IF(AND(BX12&lt;0,$E12="Dengede"),MAX($F12:$G12,150)*1.03*BX12,MIN($F12:$G12)*0.97*BX12)))))))))</f>
        <v/>
      </c>
      <c r="BZ12" s="34">
        <f>BE12-BV12-CA12</f>
        <v/>
      </c>
      <c r="CA12" s="34">
        <f>BD12</f>
        <v/>
      </c>
      <c r="CB12" s="33">
        <f>BE12-BV12</f>
        <v/>
      </c>
      <c r="CC12" s="34">
        <f>IF(AY12=0,0,CB12/AY12)</f>
        <v/>
      </c>
      <c r="CD12" s="34">
        <f>MAX((AY12+MAX((-J12+L12-N12+Q12-T12+X12),0)),(MAX((J12-L12+N12-Q12+T12-X12),0)))</f>
        <v/>
      </c>
      <c r="CE12" s="82">
        <f>IFERROR(ABS(BX12/CD12),0)</f>
        <v/>
      </c>
      <c r="CF12" s="34">
        <f>IF(CE12&lt;=0.1,0,BX12/CE12*(CE12-0.1))</f>
        <v/>
      </c>
      <c r="CG12" s="34">
        <f>IF((CF12)&lt;0,MAX(F12:G12)*(CF12)*1.03,MIN(F12:G12)*(CF12)*0.97)</f>
        <v/>
      </c>
      <c r="CH12" s="34">
        <f>IF(CE12&gt;0.1,1,0)</f>
        <v/>
      </c>
      <c r="CI12" s="34">
        <f>(F12*BX12)-BY12</f>
        <v/>
      </c>
      <c r="CJ12" s="34">
        <f>IF(AY12=0,0,CI12/AY12)</f>
        <v/>
      </c>
    </row>
    <row r="13">
      <c r="A13" s="29" t="n">
        <v>46204.41666666666</v>
      </c>
      <c r="B13" s="29" t="inlineStr">
        <is>
          <t>10:00</t>
        </is>
      </c>
      <c r="C13" s="35">
        <f>INT(A13)</f>
        <v/>
      </c>
      <c r="D13" s="36">
        <f>MONTH(A13)</f>
        <v/>
      </c>
      <c r="E13" s="147">
        <f>[1]FİYATLAR!G12</f>
        <v/>
      </c>
      <c r="F13" s="30" t="n">
        <v>2499.67</v>
      </c>
      <c r="G13" s="30" t="n">
        <v>400</v>
      </c>
      <c r="H13" s="30" t="n">
        <v>53.69</v>
      </c>
      <c r="I13" s="30" t="n">
        <v>2435.48</v>
      </c>
      <c r="J13" s="119" t="n">
        <v>0</v>
      </c>
      <c r="K13" s="34">
        <f>F13*J13</f>
        <v/>
      </c>
      <c r="L13" s="119" t="n">
        <v>0</v>
      </c>
      <c r="M13" s="34">
        <f>L13*F13</f>
        <v/>
      </c>
      <c r="N13" s="119" t="n">
        <v>25.3</v>
      </c>
      <c r="O13" s="34">
        <f>F13</f>
        <v/>
      </c>
      <c r="P13" s="34">
        <f>N13*O13</f>
        <v/>
      </c>
      <c r="Q13" s="119" t="n">
        <v>0</v>
      </c>
      <c r="R13" s="34">
        <f>F13</f>
        <v/>
      </c>
      <c r="S13" s="34">
        <f>R13*Q13</f>
        <v/>
      </c>
      <c r="T13" s="34">
        <f>SUMIFS('[1]GİP VERİLERİ'!$C:$C,'[1]GİP VERİLERİ'!$B:$B,A13,'[1]GİP VERİLERİ'!$M:$M,"40X000000104782K",'[1]GİP VERİLERİ'!$G:$G,"SELL")</f>
        <v/>
      </c>
      <c r="U13" s="34">
        <f>IFERROR(W13/T13,0)</f>
        <v/>
      </c>
      <c r="V13" s="34">
        <f>IF(U13=0,0,U13-F13)</f>
        <v/>
      </c>
      <c r="W13" s="34">
        <f>SUMIFS('[1]GİP VERİLERİ'!$O:$O,'[1]GİP VERİLERİ'!$B:$B,A13,'[1]GİP VERİLERİ'!$M:$M,"40X000000104782K",'[1]GİP VERİLERİ'!$G:$G,"SELL")</f>
        <v/>
      </c>
      <c r="X13" s="34">
        <f>SUMIFS('[1]GİP VERİLERİ'!$C:$C,'[1]GİP VERİLERİ'!$B:$B,A13,'[1]GİP VERİLERİ'!$M:$M,"40X000000104782K",'[1]GİP VERİLERİ'!$G:$G,"BUY")</f>
        <v/>
      </c>
      <c r="Y13" s="34">
        <f>IFERROR(AA13/X13,0)</f>
        <v/>
      </c>
      <c r="Z13" s="34">
        <f>IF(Y13=0,0,F13-Y13)</f>
        <v/>
      </c>
      <c r="AA13" s="34">
        <f>SUMIFS('[1]GİP VERİLERİ'!$O:$O,'[1]GİP VERİLERİ'!$B:$B,A13,'[1]GİP VERİLERİ'!$M:$M,"40X000000104782K",'[1]GİP VERİLERİ'!$G:$G,"BUY")</f>
        <v/>
      </c>
      <c r="AB13" s="34" t="n">
        <v>0</v>
      </c>
      <c r="AC13" s="34" t="n">
        <v>0</v>
      </c>
      <c r="AD13" s="34">
        <f>IF(AB13&gt;AC13*1.05,AB13-AC13*1.05,IF(AB13&lt;AC13*0.95,AC13*0.95-AB13,0))</f>
        <v/>
      </c>
      <c r="AE13" s="34">
        <f>MAX(F13,G13,750)*0.05*AD13</f>
        <v/>
      </c>
      <c r="AF13" s="34" t="n">
        <v>0</v>
      </c>
      <c r="AG13" s="34">
        <f>IF(AB13&gt;AF13*1.05,AB13-AF13*1.05,IF(AB13&lt;AF13*0.95,AF13*0.95-AB13,0))</f>
        <v/>
      </c>
      <c r="AH13" s="34">
        <f>MAX(I13,J13,750)*0.05*AG13</f>
        <v/>
      </c>
      <c r="AI13" t="n">
        <v>11.31</v>
      </c>
      <c r="AJ13" t="n">
        <v>10</v>
      </c>
      <c r="AK13" s="34">
        <f>IF(AI13&gt;AJ13*1.05,AI13-AJ13*1.05,IF(AI13&lt;AJ13*0.95,AJ13*0.95-AI13,0))</f>
        <v/>
      </c>
      <c r="AL13" s="34">
        <f>MAX(F13,G13,750)*0.05*AK13</f>
        <v/>
      </c>
      <c r="AM13" s="39" t="n">
        <v>10</v>
      </c>
      <c r="AN13" s="34">
        <f>IF(AI13&gt;AM13*1.05,AI13-AM13*1.05,IF(AI13&lt;AM13*0.95,AM13*0.95-AI13,0))</f>
        <v/>
      </c>
      <c r="AO13" s="34">
        <f>MAX(F13,G13,750)*0.05*AN13</f>
        <v/>
      </c>
      <c r="AP13" s="34" t="n">
        <v>14.79</v>
      </c>
      <c r="AQ13" s="34" t="n">
        <v>15.3</v>
      </c>
      <c r="AR13" s="34">
        <f>IF(AP13&gt;AQ13*1.05,AP13-AQ13*1.05,IF(AP13&lt;AQ13*0.95,AQ13*0.95-AP13,0))</f>
        <v/>
      </c>
      <c r="AS13" s="34">
        <f>MAX(F13:G13,750)*0.05*AR13</f>
        <v/>
      </c>
      <c r="AT13" t="n">
        <v>15.3</v>
      </c>
      <c r="AU13" s="34">
        <f>IF(AP13&gt;AT13*1.05,AP13-AT13*1.05,IF(AP13&lt;AT13*0.95,AT13*0.95-AP13,0))</f>
        <v/>
      </c>
      <c r="AV13" s="34">
        <f>MAX(F13:G13,750)*0.05*AU13</f>
        <v/>
      </c>
      <c r="AW13" s="34">
        <f>AC13+AJ13+AQ13</f>
        <v/>
      </c>
      <c r="AX13" s="34">
        <f>AF13+AM13+AT13</f>
        <v/>
      </c>
      <c r="AY13" s="34">
        <f>AB13+AI13+AP13</f>
        <v/>
      </c>
      <c r="AZ13" s="34" t="n">
        <v>0</v>
      </c>
      <c r="BA13" s="34">
        <f>AD13+AK13+AR13</f>
        <v/>
      </c>
      <c r="BB13" s="34">
        <f>MAX(F13:G13,750)*0.05*BA13</f>
        <v/>
      </c>
      <c r="BC13" s="34">
        <f>AG13+AN13+AU13</f>
        <v/>
      </c>
      <c r="BD13" s="34">
        <f>MAX(F13:G13,750)*0.05*BC13</f>
        <v/>
      </c>
      <c r="BE13" s="34">
        <f>F13*AY13</f>
        <v/>
      </c>
      <c r="BF13" s="34">
        <f>K13-M13</f>
        <v/>
      </c>
      <c r="BG13" s="34">
        <f>P13-S13</f>
        <v/>
      </c>
      <c r="BH13" s="34">
        <f>W13-AA13</f>
        <v/>
      </c>
      <c r="BI13" s="34">
        <f>BF13+BG13+BL13-BN13</f>
        <v/>
      </c>
      <c r="BJ13" s="34">
        <f>ABS(BK13)</f>
        <v/>
      </c>
      <c r="BK13" s="34">
        <f>AY13-(J13-L13+N13-Q13)</f>
        <v/>
      </c>
      <c r="BL13" s="34">
        <f>IF(AND(BK13&gt;0,MIN($F13:$G13)&lt;150,$E13="Enerji Açığı"),-100*BK13*1.03,IF(AND(BK13&gt;0,MIN($F13:$G13)&lt;150,$E13="Enerji Fazlası"),-100*BK13*1.06,IF(AND(BK13&gt;0,MIN($F13:$G13)&gt;=150,$E13="Enerji Açığı"),BK13*MIN($F13:$G13)*0.97,IF(AND(BK13&gt;0,MIN($F13:$G13)&gt;=150,$E13="Enerji Fazlası"),BK13*MIN($F13:$G13)*0.94,IF(AND(BK13&lt;0,MAX($F13:$G13)=4500,$E13="Enerji Açığı"),4500*1.05*1.06*BK13,IF(AND(BK13&lt;0,MAX($F13:$G13)=4500,$E13="Enerji Fazlası"),4500*1.05*1.03*BK13,IF(AND(BK13&lt;0,$E13="Enerji Açığı"),MAX($F13,$G13,150)*BK13*1.06,IF(AND(BK13&lt;0,$E13="Enerji Fazlası"),MAX($F13,$G13,150)*BK13*1.03,IF(AND(BK13&lt;0,$E13="Dengede"),MAX($F13:$G13,150)*1.03*BK13,MIN($F13:$G13)*0.97*BK13)))))))))</f>
        <v/>
      </c>
      <c r="BM13" s="34">
        <f>BE13-BI13-BN13</f>
        <v/>
      </c>
      <c r="BN13" s="34">
        <f>BB13</f>
        <v/>
      </c>
      <c r="BO13" s="34">
        <f>BE13-BI13</f>
        <v/>
      </c>
      <c r="BP13" s="34">
        <f>IF(AY13=0,0,BO13/AY13)</f>
        <v/>
      </c>
      <c r="BQ13" s="34">
        <f>MAX((AY13+MAX((-J13+L13-N13+Q13),0)),(MAX((J13-L13+N13-Q13),0)))</f>
        <v/>
      </c>
      <c r="BR13" s="82">
        <f>IFERROR(ABS(BK13/BQ13),0)</f>
        <v/>
      </c>
      <c r="BS13" s="34">
        <f>IF(BR13&lt;=0.1,0,BK13/BR13*(BR13-0.1))</f>
        <v/>
      </c>
      <c r="BT13" s="34">
        <f>IF((BS13)&lt;0,MAX(F13:G13)*(BS13)*1.03,MIN(F13:G13)*(BS13)*0.97)</f>
        <v/>
      </c>
      <c r="BU13" s="34">
        <f>IF(BR13&gt;0.1,1,0)</f>
        <v/>
      </c>
      <c r="BV13" s="34">
        <f>BF13+BG13+BH13+BY13-CA13</f>
        <v/>
      </c>
      <c r="BW13" s="34">
        <f>ABS(BX13)</f>
        <v/>
      </c>
      <c r="BX13" s="34">
        <f>AY13-(J13-L13+N13-Q13+T13-X13)</f>
        <v/>
      </c>
      <c r="BY13" s="34">
        <f>IF(AND(BX13&gt;0,MIN($F13:$G13)&lt;150,$E13="Enerji Açığı"),-100*BX13*1.03,IF(AND(BX13&gt;0,MIN($F13:$G13)&lt;150,$E13="Enerji Fazlası"),-100*BX13*1.06,IF(AND(BX13&gt;0,MIN($F13:$G13)&gt;=150,$E13="Enerji Açığı"),BX13*MIN($F13:$G13)*0.97,IF(AND(BX13&gt;0,MIN($F13:$G13)&gt;=150,$E13="Enerji Fazlası"),BX13*MIN($F13:$G13)*0.94,IF(AND(BX13&lt;0,MAX($F13:$G13)=4500,$E13="Enerji Açığı"),4500*1.05*1.06*BX13,IF(AND(BX13&lt;0,MAX($F13:$G13)=4500,$E13="Enerji Fazlası"),4500*1.05*1.03*BX13,IF(AND(BX13&lt;0,$E13="Enerji Açığı"),MAX($F13,$G13,150)*BX13*1.06,IF(AND(BX13&lt;0,$E13="Enerji Fazlası"),MAX($F13,$G13,150)*BX13*1.03,IF(AND(BX13&lt;0,$E13="Dengede"),MAX($F13:$G13,150)*1.03*BX13,MIN($F13:$G13)*0.97*BX13)))))))))</f>
        <v/>
      </c>
      <c r="BZ13" s="34">
        <f>BE13-BV13-CA13</f>
        <v/>
      </c>
      <c r="CA13" s="34">
        <f>BD13</f>
        <v/>
      </c>
      <c r="CB13" s="33">
        <f>BE13-BV13</f>
        <v/>
      </c>
      <c r="CC13" s="34">
        <f>IF(AY13=0,0,CB13/AY13)</f>
        <v/>
      </c>
      <c r="CD13" s="34">
        <f>MAX((AY13+MAX((-J13+L13-N13+Q13-T13+X13),0)),(MAX((J13-L13+N13-Q13+T13-X13),0)))</f>
        <v/>
      </c>
      <c r="CE13" s="82">
        <f>IFERROR(ABS(BX13/CD13),0)</f>
        <v/>
      </c>
      <c r="CF13" s="34">
        <f>IF(CE13&lt;=0.1,0,BX13/CE13*(CE13-0.1))</f>
        <v/>
      </c>
      <c r="CG13" s="34">
        <f>IF((CF13)&lt;0,MAX(F13:G13)*(CF13)*1.03,MIN(F13:G13)*(CF13)*0.97)</f>
        <v/>
      </c>
      <c r="CH13" s="34">
        <f>IF(CE13&gt;0.1,1,0)</f>
        <v/>
      </c>
      <c r="CI13" s="34">
        <f>(F13*BX13)-BY13</f>
        <v/>
      </c>
      <c r="CJ13" s="34">
        <f>IF(AY13=0,0,CI13/AY13)</f>
        <v/>
      </c>
    </row>
    <row r="14">
      <c r="A14" s="29" t="n">
        <v>46204.45833333334</v>
      </c>
      <c r="B14" s="29" t="inlineStr">
        <is>
          <t>11:00</t>
        </is>
      </c>
      <c r="C14" s="35">
        <f>INT(A14)</f>
        <v/>
      </c>
      <c r="D14" s="36">
        <f>MONTH(A14)</f>
        <v/>
      </c>
      <c r="E14" s="147">
        <f>[1]FİYATLAR!G13</f>
        <v/>
      </c>
      <c r="F14" s="30" t="n">
        <v>2429.01</v>
      </c>
      <c r="G14" s="30" t="n">
        <v>500</v>
      </c>
      <c r="H14" s="30" t="n">
        <v>52.17</v>
      </c>
      <c r="I14" s="30" t="n">
        <v>1772.46</v>
      </c>
      <c r="J14" s="119" t="n">
        <v>0</v>
      </c>
      <c r="K14" s="34">
        <f>F14*J14</f>
        <v/>
      </c>
      <c r="L14" s="119" t="n">
        <v>0</v>
      </c>
      <c r="M14" s="34">
        <f>L14*F14</f>
        <v/>
      </c>
      <c r="N14" s="119" t="n">
        <v>25.3</v>
      </c>
      <c r="O14" s="34">
        <f>F14</f>
        <v/>
      </c>
      <c r="P14" s="34">
        <f>N14*O14</f>
        <v/>
      </c>
      <c r="Q14" s="119" t="n">
        <v>0</v>
      </c>
      <c r="R14" s="34">
        <f>F14</f>
        <v/>
      </c>
      <c r="S14" s="34">
        <f>R14*Q14</f>
        <v/>
      </c>
      <c r="T14" s="34">
        <f>SUMIFS('[1]GİP VERİLERİ'!$C:$C,'[1]GİP VERİLERİ'!$B:$B,A14,'[1]GİP VERİLERİ'!$M:$M,"40X000000104782K",'[1]GİP VERİLERİ'!$G:$G,"SELL")</f>
        <v/>
      </c>
      <c r="U14" s="34">
        <f>IFERROR(W14/T14,0)</f>
        <v/>
      </c>
      <c r="V14" s="34">
        <f>IF(U14=0,0,U14-F14)</f>
        <v/>
      </c>
      <c r="W14" s="34">
        <f>SUMIFS('[1]GİP VERİLERİ'!$O:$O,'[1]GİP VERİLERİ'!$B:$B,A14,'[1]GİP VERİLERİ'!$M:$M,"40X000000104782K",'[1]GİP VERİLERİ'!$G:$G,"SELL")</f>
        <v/>
      </c>
      <c r="X14" s="34">
        <f>SUMIFS('[1]GİP VERİLERİ'!$C:$C,'[1]GİP VERİLERİ'!$B:$B,A14,'[1]GİP VERİLERİ'!$M:$M,"40X000000104782K",'[1]GİP VERİLERİ'!$G:$G,"BUY")</f>
        <v/>
      </c>
      <c r="Y14" s="34">
        <f>IFERROR(AA14/X14,0)</f>
        <v/>
      </c>
      <c r="Z14" s="34">
        <f>IF(Y14=0,0,F14-Y14)</f>
        <v/>
      </c>
      <c r="AA14" s="34">
        <f>SUMIFS('[1]GİP VERİLERİ'!$O:$O,'[1]GİP VERİLERİ'!$B:$B,A14,'[1]GİP VERİLERİ'!$M:$M,"40X000000104782K",'[1]GİP VERİLERİ'!$G:$G,"BUY")</f>
        <v/>
      </c>
      <c r="AB14" s="34" t="n">
        <v>0</v>
      </c>
      <c r="AC14" s="34" t="n">
        <v>0</v>
      </c>
      <c r="AD14" s="34">
        <f>IF(AB14&gt;AC14*1.05,AB14-AC14*1.05,IF(AB14&lt;AC14*0.95,AC14*0.95-AB14,0))</f>
        <v/>
      </c>
      <c r="AE14" s="34">
        <f>MAX(F14,G14,750)*0.05*AD14</f>
        <v/>
      </c>
      <c r="AF14" s="34" t="n">
        <v>0</v>
      </c>
      <c r="AG14" s="34">
        <f>IF(AB14&gt;AF14*1.05,AB14-AF14*1.05,IF(AB14&lt;AF14*0.95,AF14*0.95-AB14,0))</f>
        <v/>
      </c>
      <c r="AH14" s="34">
        <f>MAX(I14,J14,750)*0.05*AG14</f>
        <v/>
      </c>
      <c r="AI14" t="n">
        <v>10.35</v>
      </c>
      <c r="AJ14" t="n">
        <v>10</v>
      </c>
      <c r="AK14" s="34">
        <f>IF(AI14&gt;AJ14*1.05,AI14-AJ14*1.05,IF(AI14&lt;AJ14*0.95,AJ14*0.95-AI14,0))</f>
        <v/>
      </c>
      <c r="AL14" s="34">
        <f>MAX(F14,G14,750)*0.05*AK14</f>
        <v/>
      </c>
      <c r="AM14" s="39" t="n">
        <v>10</v>
      </c>
      <c r="AN14" s="34">
        <f>IF(AI14&gt;AM14*1.05,AI14-AM14*1.05,IF(AI14&lt;AM14*0.95,AM14*0.95-AI14,0))</f>
        <v/>
      </c>
      <c r="AO14" s="34">
        <f>MAX(F14,G14,750)*0.05*AN14</f>
        <v/>
      </c>
      <c r="AP14" s="34" t="n">
        <v>15.63</v>
      </c>
      <c r="AQ14" s="34" t="n">
        <v>15.3</v>
      </c>
      <c r="AR14" s="34">
        <f>IF(AP14&gt;AQ14*1.05,AP14-AQ14*1.05,IF(AP14&lt;AQ14*0.95,AQ14*0.95-AP14,0))</f>
        <v/>
      </c>
      <c r="AS14" s="34">
        <f>MAX(F14:G14,750)*0.05*AR14</f>
        <v/>
      </c>
      <c r="AT14" t="n">
        <v>15.3</v>
      </c>
      <c r="AU14" s="34">
        <f>IF(AP14&gt;AT14*1.05,AP14-AT14*1.05,IF(AP14&lt;AT14*0.95,AT14*0.95-AP14,0))</f>
        <v/>
      </c>
      <c r="AV14" s="34">
        <f>MAX(F14:G14,750)*0.05*AU14</f>
        <v/>
      </c>
      <c r="AW14" s="34">
        <f>AC14+AJ14+AQ14</f>
        <v/>
      </c>
      <c r="AX14" s="34">
        <f>AF14+AM14+AT14</f>
        <v/>
      </c>
      <c r="AY14" s="34">
        <f>AB14+AI14+AP14</f>
        <v/>
      </c>
      <c r="AZ14" s="34" t="n">
        <v>0</v>
      </c>
      <c r="BA14" s="34">
        <f>AD14+AK14+AR14</f>
        <v/>
      </c>
      <c r="BB14" s="34">
        <f>MAX(F14:G14,750)*0.05*BA14</f>
        <v/>
      </c>
      <c r="BC14" s="34">
        <f>AG14+AN14+AU14</f>
        <v/>
      </c>
      <c r="BD14" s="34">
        <f>MAX(F14:G14,750)*0.05*BC14</f>
        <v/>
      </c>
      <c r="BE14" s="34">
        <f>F14*AY14</f>
        <v/>
      </c>
      <c r="BF14" s="34">
        <f>K14-M14</f>
        <v/>
      </c>
      <c r="BG14" s="34">
        <f>P14-S14</f>
        <v/>
      </c>
      <c r="BH14" s="34">
        <f>W14-AA14</f>
        <v/>
      </c>
      <c r="BI14" s="34">
        <f>BF14+BG14+BL14-BN14</f>
        <v/>
      </c>
      <c r="BJ14" s="34">
        <f>ABS(BK14)</f>
        <v/>
      </c>
      <c r="BK14" s="34">
        <f>AY14-(J14-L14+N14-Q14)</f>
        <v/>
      </c>
      <c r="BL14" s="34">
        <f>IF(AND(BK14&gt;0,MIN($F14:$G14)&lt;150,$E14="Enerji Açığı"),-100*BK14*1.03,IF(AND(BK14&gt;0,MIN($F14:$G14)&lt;150,$E14="Enerji Fazlası"),-100*BK14*1.06,IF(AND(BK14&gt;0,MIN($F14:$G14)&gt;=150,$E14="Enerji Açığı"),BK14*MIN($F14:$G14)*0.97,IF(AND(BK14&gt;0,MIN($F14:$G14)&gt;=150,$E14="Enerji Fazlası"),BK14*MIN($F14:$G14)*0.94,IF(AND(BK14&lt;0,MAX($F14:$G14)=4500,$E14="Enerji Açığı"),4500*1.05*1.06*BK14,IF(AND(BK14&lt;0,MAX($F14:$G14)=4500,$E14="Enerji Fazlası"),4500*1.05*1.03*BK14,IF(AND(BK14&lt;0,$E14="Enerji Açığı"),MAX($F14,$G14,150)*BK14*1.06,IF(AND(BK14&lt;0,$E14="Enerji Fazlası"),MAX($F14,$G14,150)*BK14*1.03,IF(AND(BK14&lt;0,$E14="Dengede"),MAX($F14:$G14,150)*1.03*BK14,MIN($F14:$G14)*0.97*BK14)))))))))</f>
        <v/>
      </c>
      <c r="BM14" s="34">
        <f>BE14-BI14-BN14</f>
        <v/>
      </c>
      <c r="BN14" s="34">
        <f>BB14</f>
        <v/>
      </c>
      <c r="BO14" s="34">
        <f>BE14-BI14</f>
        <v/>
      </c>
      <c r="BP14" s="34">
        <f>IF(AY14=0,0,BO14/AY14)</f>
        <v/>
      </c>
      <c r="BQ14" s="34">
        <f>MAX((AY14+MAX((-J14+L14-N14+Q14),0)),(MAX((J14-L14+N14-Q14),0)))</f>
        <v/>
      </c>
      <c r="BR14" s="82">
        <f>IFERROR(ABS(BK14/BQ14),0)</f>
        <v/>
      </c>
      <c r="BS14" s="34">
        <f>IF(BR14&lt;=0.1,0,BK14/BR14*(BR14-0.1))</f>
        <v/>
      </c>
      <c r="BT14" s="34">
        <f>IF((BS14)&lt;0,MAX(F14:G14)*(BS14)*1.03,MIN(F14:G14)*(BS14)*0.97)</f>
        <v/>
      </c>
      <c r="BU14" s="34">
        <f>IF(BR14&gt;0.1,1,0)</f>
        <v/>
      </c>
      <c r="BV14" s="34">
        <f>BF14+BG14+BH14+BY14-CA14</f>
        <v/>
      </c>
      <c r="BW14" s="34">
        <f>ABS(BX14)</f>
        <v/>
      </c>
      <c r="BX14" s="34">
        <f>AY14-(J14-L14+N14-Q14+T14-X14)</f>
        <v/>
      </c>
      <c r="BY14" s="34">
        <f>IF(AND(BX14&gt;0,MIN($F14:$G14)&lt;150,$E14="Enerji Açığı"),-100*BX14*1.03,IF(AND(BX14&gt;0,MIN($F14:$G14)&lt;150,$E14="Enerji Fazlası"),-100*BX14*1.06,IF(AND(BX14&gt;0,MIN($F14:$G14)&gt;=150,$E14="Enerji Açığı"),BX14*MIN($F14:$G14)*0.97,IF(AND(BX14&gt;0,MIN($F14:$G14)&gt;=150,$E14="Enerji Fazlası"),BX14*MIN($F14:$G14)*0.94,IF(AND(BX14&lt;0,MAX($F14:$G14)=4500,$E14="Enerji Açığı"),4500*1.05*1.06*BX14,IF(AND(BX14&lt;0,MAX($F14:$G14)=4500,$E14="Enerji Fazlası"),4500*1.05*1.03*BX14,IF(AND(BX14&lt;0,$E14="Enerji Açığı"),MAX($F14,$G14,150)*BX14*1.06,IF(AND(BX14&lt;0,$E14="Enerji Fazlası"),MAX($F14,$G14,150)*BX14*1.03,IF(AND(BX14&lt;0,$E14="Dengede"),MAX($F14:$G14,150)*1.03*BX14,MIN($F14:$G14)*0.97*BX14)))))))))</f>
        <v/>
      </c>
      <c r="BZ14" s="34">
        <f>BE14-BV14-CA14</f>
        <v/>
      </c>
      <c r="CA14" s="34">
        <f>BD14</f>
        <v/>
      </c>
      <c r="CB14" s="33">
        <f>BE14-BV14</f>
        <v/>
      </c>
      <c r="CC14" s="34">
        <f>IF(AY14=0,0,CB14/AY14)</f>
        <v/>
      </c>
      <c r="CD14" s="34">
        <f>MAX((AY14+MAX((-J14+L14-N14+Q14-T14+X14),0)),(MAX((J14-L14+N14-Q14+T14-X14),0)))</f>
        <v/>
      </c>
      <c r="CE14" s="82">
        <f>IFERROR(ABS(BX14/CD14),0)</f>
        <v/>
      </c>
      <c r="CF14" s="34">
        <f>IF(CE14&lt;=0.1,0,BX14/CE14*(CE14-0.1))</f>
        <v/>
      </c>
      <c r="CG14" s="34">
        <f>IF((CF14)&lt;0,MAX(F14:G14)*(CF14)*1.03,MIN(F14:G14)*(CF14)*0.97)</f>
        <v/>
      </c>
      <c r="CH14" s="34">
        <f>IF(CE14&gt;0.1,1,0)</f>
        <v/>
      </c>
      <c r="CI14" s="34">
        <f>(F14*BX14)-BY14</f>
        <v/>
      </c>
      <c r="CJ14" s="34">
        <f>IF(AY14=0,0,CI14/AY14)</f>
        <v/>
      </c>
    </row>
    <row r="15">
      <c r="A15" s="29" t="n">
        <v>46204.5</v>
      </c>
      <c r="B15" s="29" t="inlineStr">
        <is>
          <t>12:00</t>
        </is>
      </c>
      <c r="C15" s="35">
        <f>INT(A15)</f>
        <v/>
      </c>
      <c r="D15" s="36">
        <f>MONTH(A15)</f>
        <v/>
      </c>
      <c r="E15" s="147">
        <f>[1]FİYATLAR!G14</f>
        <v/>
      </c>
      <c r="F15" s="30" t="n">
        <v>1499.97</v>
      </c>
      <c r="G15" s="30" t="n">
        <v>450</v>
      </c>
      <c r="H15" s="30" t="n">
        <v>32.22</v>
      </c>
      <c r="I15" s="30" t="n">
        <v>1164.53</v>
      </c>
      <c r="J15" s="119" t="n">
        <v>0</v>
      </c>
      <c r="K15" s="34">
        <f>F15*J15</f>
        <v/>
      </c>
      <c r="L15" s="119" t="n">
        <v>0</v>
      </c>
      <c r="M15" s="34">
        <f>L15*F15</f>
        <v/>
      </c>
      <c r="N15" s="119" t="n">
        <v>25.5</v>
      </c>
      <c r="O15" s="34">
        <f>F15</f>
        <v/>
      </c>
      <c r="P15" s="34">
        <f>N15*O15</f>
        <v/>
      </c>
      <c r="Q15" s="119" t="n">
        <v>0</v>
      </c>
      <c r="R15" s="34">
        <f>F15</f>
        <v/>
      </c>
      <c r="S15" s="34">
        <f>R15*Q15</f>
        <v/>
      </c>
      <c r="T15" s="34">
        <f>SUMIFS('[1]GİP VERİLERİ'!$C:$C,'[1]GİP VERİLERİ'!$B:$B,A15,'[1]GİP VERİLERİ'!$M:$M,"40X000000104782K",'[1]GİP VERİLERİ'!$G:$G,"SELL")</f>
        <v/>
      </c>
      <c r="U15" s="34">
        <f>IFERROR(W15/T15,0)</f>
        <v/>
      </c>
      <c r="V15" s="34">
        <f>IF(U15=0,0,U15-F15)</f>
        <v/>
      </c>
      <c r="W15" s="34">
        <f>SUMIFS('[1]GİP VERİLERİ'!$O:$O,'[1]GİP VERİLERİ'!$B:$B,A15,'[1]GİP VERİLERİ'!$M:$M,"40X000000104782K",'[1]GİP VERİLERİ'!$G:$G,"SELL")</f>
        <v/>
      </c>
      <c r="X15" s="34">
        <f>SUMIFS('[1]GİP VERİLERİ'!$C:$C,'[1]GİP VERİLERİ'!$B:$B,A15,'[1]GİP VERİLERİ'!$M:$M,"40X000000104782K",'[1]GİP VERİLERİ'!$G:$G,"BUY")</f>
        <v/>
      </c>
      <c r="Y15" s="34">
        <f>IFERROR(AA15/X15,0)</f>
        <v/>
      </c>
      <c r="Z15" s="34">
        <f>IF(Y15=0,0,F15-Y15)</f>
        <v/>
      </c>
      <c r="AA15" s="34">
        <f>SUMIFS('[1]GİP VERİLERİ'!$O:$O,'[1]GİP VERİLERİ'!$B:$B,A15,'[1]GİP VERİLERİ'!$M:$M,"40X000000104782K",'[1]GİP VERİLERİ'!$G:$G,"BUY")</f>
        <v/>
      </c>
      <c r="AB15" s="34" t="n">
        <v>0</v>
      </c>
      <c r="AC15" s="34" t="n">
        <v>0</v>
      </c>
      <c r="AD15" s="34">
        <f>IF(AB15&gt;AC15*1.05,AB15-AC15*1.05,IF(AB15&lt;AC15*0.95,AC15*0.95-AB15,0))</f>
        <v/>
      </c>
      <c r="AE15" s="34">
        <f>MAX(F15,G15,750)*0.05*AD15</f>
        <v/>
      </c>
      <c r="AF15" s="34" t="n">
        <v>0</v>
      </c>
      <c r="AG15" s="34">
        <f>IF(AB15&gt;AF15*1.05,AB15-AF15*1.05,IF(AB15&lt;AF15*0.95,AF15*0.95-AB15,0))</f>
        <v/>
      </c>
      <c r="AH15" s="34">
        <f>MAX(I15,J15,750)*0.05*AG15</f>
        <v/>
      </c>
      <c r="AI15" t="n">
        <v>10.41</v>
      </c>
      <c r="AJ15" t="n">
        <v>10</v>
      </c>
      <c r="AK15" s="34">
        <f>IF(AI15&gt;AJ15*1.05,AI15-AJ15*1.05,IF(AI15&lt;AJ15*0.95,AJ15*0.95-AI15,0))</f>
        <v/>
      </c>
      <c r="AL15" s="34">
        <f>MAX(F15,G15,750)*0.05*AK15</f>
        <v/>
      </c>
      <c r="AM15" s="39" t="n">
        <v>10</v>
      </c>
      <c r="AN15" s="34">
        <f>IF(AI15&gt;AM15*1.05,AI15-AM15*1.05,IF(AI15&lt;AM15*0.95,AM15*0.95-AI15,0))</f>
        <v/>
      </c>
      <c r="AO15" s="34">
        <f>MAX(F15,G15,750)*0.05*AN15</f>
        <v/>
      </c>
      <c r="AP15" s="34" t="n">
        <v>15.73</v>
      </c>
      <c r="AQ15" s="34" t="n">
        <v>15.5</v>
      </c>
      <c r="AR15" s="34">
        <f>IF(AP15&gt;AQ15*1.05,AP15-AQ15*1.05,IF(AP15&lt;AQ15*0.95,AQ15*0.95-AP15,0))</f>
        <v/>
      </c>
      <c r="AS15" s="34">
        <f>MAX(F15:G15,750)*0.05*AR15</f>
        <v/>
      </c>
      <c r="AT15" t="n">
        <v>15.5</v>
      </c>
      <c r="AU15" s="34">
        <f>IF(AP15&gt;AT15*1.05,AP15-AT15*1.05,IF(AP15&lt;AT15*0.95,AT15*0.95-AP15,0))</f>
        <v/>
      </c>
      <c r="AV15" s="34">
        <f>MAX(F15:G15,750)*0.05*AU15</f>
        <v/>
      </c>
      <c r="AW15" s="34">
        <f>AC15+AJ15+AQ15</f>
        <v/>
      </c>
      <c r="AX15" s="34">
        <f>AF15+AM15+AT15</f>
        <v/>
      </c>
      <c r="AY15" s="34">
        <f>AB15+AI15+AP15</f>
        <v/>
      </c>
      <c r="AZ15" s="34" t="n">
        <v>0</v>
      </c>
      <c r="BA15" s="34">
        <f>AD15+AK15+AR15</f>
        <v/>
      </c>
      <c r="BB15" s="34">
        <f>MAX(F15:G15,750)*0.05*BA15</f>
        <v/>
      </c>
      <c r="BC15" s="34">
        <f>AG15+AN15+AU15</f>
        <v/>
      </c>
      <c r="BD15" s="34">
        <f>MAX(F15:G15,750)*0.05*BC15</f>
        <v/>
      </c>
      <c r="BE15" s="34">
        <f>F15*AY15</f>
        <v/>
      </c>
      <c r="BF15" s="34">
        <f>K15-M15</f>
        <v/>
      </c>
      <c r="BG15" s="34">
        <f>P15-S15</f>
        <v/>
      </c>
      <c r="BH15" s="34">
        <f>W15-AA15</f>
        <v/>
      </c>
      <c r="BI15" s="34">
        <f>BF15+BG15+BL15-BN15</f>
        <v/>
      </c>
      <c r="BJ15" s="34">
        <f>ABS(BK15)</f>
        <v/>
      </c>
      <c r="BK15" s="34">
        <f>AY15-(J15-L15+N15-Q15)</f>
        <v/>
      </c>
      <c r="BL15" s="34">
        <f>IF(AND(BK15&gt;0,MIN($F15:$G15)&lt;150,$E15="Enerji Açığı"),-100*BK15*1.03,IF(AND(BK15&gt;0,MIN($F15:$G15)&lt;150,$E15="Enerji Fazlası"),-100*BK15*1.06,IF(AND(BK15&gt;0,MIN($F15:$G15)&gt;=150,$E15="Enerji Açığı"),BK15*MIN($F15:$G15)*0.97,IF(AND(BK15&gt;0,MIN($F15:$G15)&gt;=150,$E15="Enerji Fazlası"),BK15*MIN($F15:$G15)*0.94,IF(AND(BK15&lt;0,MAX($F15:$G15)=4500,$E15="Enerji Açığı"),4500*1.05*1.06*BK15,IF(AND(BK15&lt;0,MAX($F15:$G15)=4500,$E15="Enerji Fazlası"),4500*1.05*1.03*BK15,IF(AND(BK15&lt;0,$E15="Enerji Açığı"),MAX($F15,$G15,150)*BK15*1.06,IF(AND(BK15&lt;0,$E15="Enerji Fazlası"),MAX($F15,$G15,150)*BK15*1.03,IF(AND(BK15&lt;0,$E15="Dengede"),MAX($F15:$G15,150)*1.03*BK15,MIN($F15:$G15)*0.97*BK15)))))))))</f>
        <v/>
      </c>
      <c r="BM15" s="34">
        <f>BE15-BI15-BN15</f>
        <v/>
      </c>
      <c r="BN15" s="34">
        <f>BB15</f>
        <v/>
      </c>
      <c r="BO15" s="34">
        <f>BE15-BI15</f>
        <v/>
      </c>
      <c r="BP15" s="34">
        <f>IF(AY15=0,0,BO15/AY15)</f>
        <v/>
      </c>
      <c r="BQ15" s="34">
        <f>MAX((AY15+MAX((-J15+L15-N15+Q15),0)),(MAX((J15-L15+N15-Q15),0)))</f>
        <v/>
      </c>
      <c r="BR15" s="82">
        <f>IFERROR(ABS(BK15/BQ15),0)</f>
        <v/>
      </c>
      <c r="BS15" s="34">
        <f>IF(BR15&lt;=0.1,0,BK15/BR15*(BR15-0.1))</f>
        <v/>
      </c>
      <c r="BT15" s="34">
        <f>IF((BS15)&lt;0,MAX(F15:G15)*(BS15)*1.03,MIN(F15:G15)*(BS15)*0.97)</f>
        <v/>
      </c>
      <c r="BU15" s="34">
        <f>IF(BR15&gt;0.1,1,0)</f>
        <v/>
      </c>
      <c r="BV15" s="34">
        <f>BF15+BG15+BH15+BY15-CA15</f>
        <v/>
      </c>
      <c r="BW15" s="34">
        <f>ABS(BX15)</f>
        <v/>
      </c>
      <c r="BX15" s="34">
        <f>AY15-(J15-L15+N15-Q15+T15-X15)</f>
        <v/>
      </c>
      <c r="BY15" s="34">
        <f>IF(AND(BX15&gt;0,MIN($F15:$G15)&lt;150,$E15="Enerji Açığı"),-100*BX15*1.03,IF(AND(BX15&gt;0,MIN($F15:$G15)&lt;150,$E15="Enerji Fazlası"),-100*BX15*1.06,IF(AND(BX15&gt;0,MIN($F15:$G15)&gt;=150,$E15="Enerji Açığı"),BX15*MIN($F15:$G15)*0.97,IF(AND(BX15&gt;0,MIN($F15:$G15)&gt;=150,$E15="Enerji Fazlası"),BX15*MIN($F15:$G15)*0.94,IF(AND(BX15&lt;0,MAX($F15:$G15)=4500,$E15="Enerji Açığı"),4500*1.05*1.06*BX15,IF(AND(BX15&lt;0,MAX($F15:$G15)=4500,$E15="Enerji Fazlası"),4500*1.05*1.03*BX15,IF(AND(BX15&lt;0,$E15="Enerji Açığı"),MAX($F15,$G15,150)*BX15*1.06,IF(AND(BX15&lt;0,$E15="Enerji Fazlası"),MAX($F15,$G15,150)*BX15*1.03,IF(AND(BX15&lt;0,$E15="Dengede"),MAX($F15:$G15,150)*1.03*BX15,MIN($F15:$G15)*0.97*BX15)))))))))</f>
        <v/>
      </c>
      <c r="BZ15" s="34">
        <f>BE15-BV15-CA15</f>
        <v/>
      </c>
      <c r="CA15" s="34">
        <f>BD15</f>
        <v/>
      </c>
      <c r="CB15" s="33">
        <f>BE15-BV15</f>
        <v/>
      </c>
      <c r="CC15" s="34">
        <f>IF(AY15=0,0,CB15/AY15)</f>
        <v/>
      </c>
      <c r="CD15" s="34">
        <f>MAX((AY15+MAX((-J15+L15-N15+Q15-T15+X15),0)),(MAX((J15-L15+N15-Q15+T15-X15),0)))</f>
        <v/>
      </c>
      <c r="CE15" s="82">
        <f>IFERROR(ABS(BX15/CD15),0)</f>
        <v/>
      </c>
      <c r="CF15" s="34">
        <f>IF(CE15&lt;=0.1,0,BX15/CE15*(CE15-0.1))</f>
        <v/>
      </c>
      <c r="CG15" s="34">
        <f>IF((CF15)&lt;0,MAX(F15:G15)*(CF15)*1.03,MIN(F15:G15)*(CF15)*0.97)</f>
        <v/>
      </c>
      <c r="CH15" s="34">
        <f>IF(CE15&gt;0.1,1,0)</f>
        <v/>
      </c>
      <c r="CI15" s="34">
        <f>(F15*BX15)-BY15</f>
        <v/>
      </c>
      <c r="CJ15" s="34">
        <f>IF(AY15=0,0,CI15/AY15)</f>
        <v/>
      </c>
    </row>
    <row r="16">
      <c r="A16" s="29" t="n">
        <v>46204.54166666666</v>
      </c>
      <c r="B16" s="29" t="inlineStr">
        <is>
          <t>13:00</t>
        </is>
      </c>
      <c r="C16" s="35">
        <f>INT(A16)</f>
        <v/>
      </c>
      <c r="D16" s="36">
        <f>MONTH(A16)</f>
        <v/>
      </c>
      <c r="E16" s="147">
        <f>[1]FİYATLAR!G15</f>
        <v/>
      </c>
      <c r="F16" s="30" t="n">
        <v>2429.01</v>
      </c>
      <c r="G16" s="30" t="n">
        <v>400</v>
      </c>
      <c r="H16" s="30" t="n">
        <v>52.17</v>
      </c>
      <c r="I16" s="30" t="n">
        <v>2194.48</v>
      </c>
      <c r="J16" s="119" t="n">
        <v>0</v>
      </c>
      <c r="K16" s="34">
        <f>F16*J16</f>
        <v/>
      </c>
      <c r="L16" s="119" t="n">
        <v>0</v>
      </c>
      <c r="M16" s="34">
        <f>L16*F16</f>
        <v/>
      </c>
      <c r="N16" s="119" t="n">
        <v>25.5</v>
      </c>
      <c r="O16" s="34">
        <f>F16</f>
        <v/>
      </c>
      <c r="P16" s="34">
        <f>N16*O16</f>
        <v/>
      </c>
      <c r="Q16" s="119" t="n">
        <v>0</v>
      </c>
      <c r="R16" s="34">
        <f>F16</f>
        <v/>
      </c>
      <c r="S16" s="34">
        <f>R16*Q16</f>
        <v/>
      </c>
      <c r="T16" s="34">
        <f>SUMIFS('[1]GİP VERİLERİ'!$C:$C,'[1]GİP VERİLERİ'!$B:$B,A16,'[1]GİP VERİLERİ'!$M:$M,"40X000000104782K",'[1]GİP VERİLERİ'!$G:$G,"SELL")</f>
        <v/>
      </c>
      <c r="U16" s="34">
        <f>IFERROR(W16/T16,0)</f>
        <v/>
      </c>
      <c r="V16" s="34">
        <f>IF(U16=0,0,U16-F16)</f>
        <v/>
      </c>
      <c r="W16" s="34">
        <f>SUMIFS('[1]GİP VERİLERİ'!$O:$O,'[1]GİP VERİLERİ'!$B:$B,A16,'[1]GİP VERİLERİ'!$M:$M,"40X000000104782K",'[1]GİP VERİLERİ'!$G:$G,"SELL")</f>
        <v/>
      </c>
      <c r="X16" s="34">
        <f>SUMIFS('[1]GİP VERİLERİ'!$C:$C,'[1]GİP VERİLERİ'!$B:$B,A16,'[1]GİP VERİLERİ'!$M:$M,"40X000000104782K",'[1]GİP VERİLERİ'!$G:$G,"BUY")</f>
        <v/>
      </c>
      <c r="Y16" s="34">
        <f>IFERROR(AA16/X16,0)</f>
        <v/>
      </c>
      <c r="Z16" s="34">
        <f>IF(Y16=0,0,F16-Y16)</f>
        <v/>
      </c>
      <c r="AA16" s="34">
        <f>SUMIFS('[1]GİP VERİLERİ'!$O:$O,'[1]GİP VERİLERİ'!$B:$B,A16,'[1]GİP VERİLERİ'!$M:$M,"40X000000104782K",'[1]GİP VERİLERİ'!$G:$G,"BUY")</f>
        <v/>
      </c>
      <c r="AB16" s="34" t="n">
        <v>0</v>
      </c>
      <c r="AC16" s="34" t="n">
        <v>0</v>
      </c>
      <c r="AD16" s="34">
        <f>IF(AB16&gt;AC16*1.05,AB16-AC16*1.05,IF(AB16&lt;AC16*0.95,AC16*0.95-AB16,0))</f>
        <v/>
      </c>
      <c r="AE16" s="34">
        <f>MAX(F16,G16,750)*0.05*AD16</f>
        <v/>
      </c>
      <c r="AF16" s="34" t="n">
        <v>0</v>
      </c>
      <c r="AG16" s="34">
        <f>IF(AB16&gt;AF16*1.05,AB16-AF16*1.05,IF(AB16&lt;AF16*0.95,AF16*0.95-AB16,0))</f>
        <v/>
      </c>
      <c r="AH16" s="34">
        <f>MAX(I16,J16,750)*0.05*AG16</f>
        <v/>
      </c>
      <c r="AI16" t="n">
        <v>12.2</v>
      </c>
      <c r="AJ16" t="n">
        <v>10</v>
      </c>
      <c r="AK16" s="34">
        <f>IF(AI16&gt;AJ16*1.05,AI16-AJ16*1.05,IF(AI16&lt;AJ16*0.95,AJ16*0.95-AI16,0))</f>
        <v/>
      </c>
      <c r="AL16" s="34">
        <f>MAX(F16,G16,750)*0.05*AK16</f>
        <v/>
      </c>
      <c r="AM16" s="39" t="n">
        <v>12</v>
      </c>
      <c r="AN16" s="34">
        <f>IF(AI16&gt;AM16*1.05,AI16-AM16*1.05,IF(AI16&lt;AM16*0.95,AM16*0.95-AI16,0))</f>
        <v/>
      </c>
      <c r="AO16" s="34">
        <f>MAX(F16,G16,750)*0.05*AN16</f>
        <v/>
      </c>
      <c r="AP16" s="34" t="n">
        <v>15.76</v>
      </c>
      <c r="AQ16" s="34" t="n">
        <v>15.5</v>
      </c>
      <c r="AR16" s="34">
        <f>IF(AP16&gt;AQ16*1.05,AP16-AQ16*1.05,IF(AP16&lt;AQ16*0.95,AQ16*0.95-AP16,0))</f>
        <v/>
      </c>
      <c r="AS16" s="34">
        <f>MAX(F16:G16,750)*0.05*AR16</f>
        <v/>
      </c>
      <c r="AT16" t="n">
        <v>15.5</v>
      </c>
      <c r="AU16" s="34">
        <f>IF(AP16&gt;AT16*1.05,AP16-AT16*1.05,IF(AP16&lt;AT16*0.95,AT16*0.95-AP16,0))</f>
        <v/>
      </c>
      <c r="AV16" s="34">
        <f>MAX(F16:G16,750)*0.05*AU16</f>
        <v/>
      </c>
      <c r="AW16" s="34">
        <f>AC16+AJ16+AQ16</f>
        <v/>
      </c>
      <c r="AX16" s="34">
        <f>AF16+AM16+AT16</f>
        <v/>
      </c>
      <c r="AY16" s="34">
        <f>AB16+AI16+AP16</f>
        <v/>
      </c>
      <c r="AZ16" s="34" t="n">
        <v>0</v>
      </c>
      <c r="BA16" s="34">
        <f>AD16+AK16+AR16</f>
        <v/>
      </c>
      <c r="BB16" s="34">
        <f>MAX(F16:G16,750)*0.05*BA16</f>
        <v/>
      </c>
      <c r="BC16" s="34">
        <f>AG16+AN16+AU16</f>
        <v/>
      </c>
      <c r="BD16" s="34">
        <f>MAX(F16:G16,750)*0.05*BC16</f>
        <v/>
      </c>
      <c r="BE16" s="34">
        <f>F16*AY16</f>
        <v/>
      </c>
      <c r="BF16" s="34">
        <f>K16-M16</f>
        <v/>
      </c>
      <c r="BG16" s="34">
        <f>P16-S16</f>
        <v/>
      </c>
      <c r="BH16" s="34">
        <f>W16-AA16</f>
        <v/>
      </c>
      <c r="BI16" s="34">
        <f>BF16+BG16+BL16-BN16</f>
        <v/>
      </c>
      <c r="BJ16" s="34">
        <f>ABS(BK16)</f>
        <v/>
      </c>
      <c r="BK16" s="34">
        <f>AY16-(J16-L16+N16-Q16)</f>
        <v/>
      </c>
      <c r="BL16" s="34">
        <f>IF(AND(BK16&gt;0,MIN($F16:$G16)&lt;150,$E16="Enerji Açığı"),-100*BK16*1.03,IF(AND(BK16&gt;0,MIN($F16:$G16)&lt;150,$E16="Enerji Fazlası"),-100*BK16*1.06,IF(AND(BK16&gt;0,MIN($F16:$G16)&gt;=150,$E16="Enerji Açığı"),BK16*MIN($F16:$G16)*0.97,IF(AND(BK16&gt;0,MIN($F16:$G16)&gt;=150,$E16="Enerji Fazlası"),BK16*MIN($F16:$G16)*0.94,IF(AND(BK16&lt;0,MAX($F16:$G16)=4500,$E16="Enerji Açığı"),4500*1.05*1.06*BK16,IF(AND(BK16&lt;0,MAX($F16:$G16)=4500,$E16="Enerji Fazlası"),4500*1.05*1.03*BK16,IF(AND(BK16&lt;0,$E16="Enerji Açığı"),MAX($F16,$G16,150)*BK16*1.06,IF(AND(BK16&lt;0,$E16="Enerji Fazlası"),MAX($F16,$G16,150)*BK16*1.03,IF(AND(BK16&lt;0,$E16="Dengede"),MAX($F16:$G16,150)*1.03*BK16,MIN($F16:$G16)*0.97*BK16)))))))))</f>
        <v/>
      </c>
      <c r="BM16" s="34">
        <f>BE16-BI16-BN16</f>
        <v/>
      </c>
      <c r="BN16" s="34">
        <f>BB16</f>
        <v/>
      </c>
      <c r="BO16" s="34">
        <f>BE16-BI16</f>
        <v/>
      </c>
      <c r="BP16" s="34">
        <f>IF(AY16=0,0,BO16/AY16)</f>
        <v/>
      </c>
      <c r="BQ16" s="34">
        <f>MAX((AY16+MAX((-J16+L16-N16+Q16),0)),(MAX((J16-L16+N16-Q16),0)))</f>
        <v/>
      </c>
      <c r="BR16" s="82">
        <f>IFERROR(ABS(BK16/BQ16),0)</f>
        <v/>
      </c>
      <c r="BS16" s="34">
        <f>IF(BR16&lt;=0.1,0,BK16/BR16*(BR16-0.1))</f>
        <v/>
      </c>
      <c r="BT16" s="34">
        <f>IF((BS16)&lt;0,MAX(F16:G16)*(BS16)*1.03,MIN(F16:G16)*(BS16)*0.97)</f>
        <v/>
      </c>
      <c r="BU16" s="34">
        <f>IF(BR16&gt;0.1,1,0)</f>
        <v/>
      </c>
      <c r="BV16" s="34">
        <f>BF16+BG16+BH16+BY16-CA16</f>
        <v/>
      </c>
      <c r="BW16" s="34">
        <f>ABS(BX16)</f>
        <v/>
      </c>
      <c r="BX16" s="34">
        <f>AY16-(J16-L16+N16-Q16+T16-X16)</f>
        <v/>
      </c>
      <c r="BY16" s="34">
        <f>IF(AND(BX16&gt;0,MIN($F16:$G16)&lt;150,$E16="Enerji Açığı"),-100*BX16*1.03,IF(AND(BX16&gt;0,MIN($F16:$G16)&lt;150,$E16="Enerji Fazlası"),-100*BX16*1.06,IF(AND(BX16&gt;0,MIN($F16:$G16)&gt;=150,$E16="Enerji Açığı"),BX16*MIN($F16:$G16)*0.97,IF(AND(BX16&gt;0,MIN($F16:$G16)&gt;=150,$E16="Enerji Fazlası"),BX16*MIN($F16:$G16)*0.94,IF(AND(BX16&lt;0,MAX($F16:$G16)=4500,$E16="Enerji Açığı"),4500*1.05*1.06*BX16,IF(AND(BX16&lt;0,MAX($F16:$G16)=4500,$E16="Enerji Fazlası"),4500*1.05*1.03*BX16,IF(AND(BX16&lt;0,$E16="Enerji Açığı"),MAX($F16,$G16,150)*BX16*1.06,IF(AND(BX16&lt;0,$E16="Enerji Fazlası"),MAX($F16,$G16,150)*BX16*1.03,IF(AND(BX16&lt;0,$E16="Dengede"),MAX($F16:$G16,150)*1.03*BX16,MIN($F16:$G16)*0.97*BX16)))))))))</f>
        <v/>
      </c>
      <c r="BZ16" s="34">
        <f>BE16-BV16-CA16</f>
        <v/>
      </c>
      <c r="CA16" s="34">
        <f>BD16</f>
        <v/>
      </c>
      <c r="CB16" s="33">
        <f>BE16-BV16</f>
        <v/>
      </c>
      <c r="CC16" s="34">
        <f>IF(AY16=0,0,CB16/AY16)</f>
        <v/>
      </c>
      <c r="CD16" s="34">
        <f>MAX((AY16+MAX((-J16+L16-N16+Q16-T16+X16),0)),(MAX((J16-L16+N16-Q16+T16-X16),0)))</f>
        <v/>
      </c>
      <c r="CE16" s="82">
        <f>IFERROR(ABS(BX16/CD16),0)</f>
        <v/>
      </c>
      <c r="CF16" s="34">
        <f>IF(CE16&lt;=0.1,0,BX16/CE16*(CE16-0.1))</f>
        <v/>
      </c>
      <c r="CG16" s="34">
        <f>IF((CF16)&lt;0,MAX(F16:G16)*(CF16)*1.03,MIN(F16:G16)*(CF16)*0.97)</f>
        <v/>
      </c>
      <c r="CH16" s="34">
        <f>IF(CE16&gt;0.1,1,0)</f>
        <v/>
      </c>
      <c r="CI16" s="34">
        <f>(F16*BX16)-BY16</f>
        <v/>
      </c>
      <c r="CJ16" s="34">
        <f>IF(AY16=0,0,CI16/AY16)</f>
        <v/>
      </c>
    </row>
    <row r="17">
      <c r="A17" s="29" t="n">
        <v>46204.58333333334</v>
      </c>
      <c r="B17" s="29" t="inlineStr">
        <is>
          <t>14:00</t>
        </is>
      </c>
      <c r="C17" s="35">
        <f>INT(A17)</f>
        <v/>
      </c>
      <c r="D17" s="36">
        <f>MONTH(A17)</f>
        <v/>
      </c>
      <c r="E17" s="147">
        <f>[1]FİYATLAR!G16</f>
        <v/>
      </c>
      <c r="F17" s="30" t="n">
        <v>3500.89</v>
      </c>
      <c r="G17" s="30" t="n">
        <v>1000</v>
      </c>
      <c r="H17" s="30" t="n">
        <v>75.2</v>
      </c>
      <c r="I17" s="30" t="n">
        <v>3422.99</v>
      </c>
      <c r="J17" s="119" t="n">
        <v>0</v>
      </c>
      <c r="K17" s="34">
        <f>F17*J17</f>
        <v/>
      </c>
      <c r="L17" s="119" t="n">
        <v>0</v>
      </c>
      <c r="M17" s="34">
        <f>L17*F17</f>
        <v/>
      </c>
      <c r="N17" s="119" t="n">
        <v>25.5</v>
      </c>
      <c r="O17" s="34">
        <f>F17</f>
        <v/>
      </c>
      <c r="P17" s="34">
        <f>N17*O17</f>
        <v/>
      </c>
      <c r="Q17" s="119" t="n">
        <v>0</v>
      </c>
      <c r="R17" s="34">
        <f>F17</f>
        <v/>
      </c>
      <c r="S17" s="34">
        <f>R17*Q17</f>
        <v/>
      </c>
      <c r="T17" s="34">
        <f>SUMIFS('[1]GİP VERİLERİ'!$C:$C,'[1]GİP VERİLERİ'!$B:$B,A17,'[1]GİP VERİLERİ'!$M:$M,"40X000000104782K",'[1]GİP VERİLERİ'!$G:$G,"SELL")</f>
        <v/>
      </c>
      <c r="U17" s="34">
        <f>IFERROR(W17/T17,0)</f>
        <v/>
      </c>
      <c r="V17" s="34">
        <f>IF(U17=0,0,U17-F17)</f>
        <v/>
      </c>
      <c r="W17" s="34">
        <f>SUMIFS('[1]GİP VERİLERİ'!$O:$O,'[1]GİP VERİLERİ'!$B:$B,A17,'[1]GİP VERİLERİ'!$M:$M,"40X000000104782K",'[1]GİP VERİLERİ'!$G:$G,"SELL")</f>
        <v/>
      </c>
      <c r="X17" s="34">
        <f>SUMIFS('[1]GİP VERİLERİ'!$C:$C,'[1]GİP VERİLERİ'!$B:$B,A17,'[1]GİP VERİLERİ'!$M:$M,"40X000000104782K",'[1]GİP VERİLERİ'!$G:$G,"BUY")</f>
        <v/>
      </c>
      <c r="Y17" s="34">
        <f>IFERROR(AA17/X17,0)</f>
        <v/>
      </c>
      <c r="Z17" s="34">
        <f>IF(Y17=0,0,F17-Y17)</f>
        <v/>
      </c>
      <c r="AA17" s="34">
        <f>SUMIFS('[1]GİP VERİLERİ'!$O:$O,'[1]GİP VERİLERİ'!$B:$B,A17,'[1]GİP VERİLERİ'!$M:$M,"40X000000104782K",'[1]GİP VERİLERİ'!$G:$G,"BUY")</f>
        <v/>
      </c>
      <c r="AB17" s="34" t="n">
        <v>0</v>
      </c>
      <c r="AC17" s="34" t="n">
        <v>0</v>
      </c>
      <c r="AD17" s="34">
        <f>IF(AB17&gt;AC17*1.05,AB17-AC17*1.05,IF(AB17&lt;AC17*0.95,AC17*0.95-AB17,0))</f>
        <v/>
      </c>
      <c r="AE17" s="34">
        <f>MAX(F17,G17,750)*0.05*AD17</f>
        <v/>
      </c>
      <c r="AF17" s="34" t="n">
        <v>0</v>
      </c>
      <c r="AG17" s="34">
        <f>IF(AB17&gt;AF17*1.05,AB17-AF17*1.05,IF(AB17&lt;AF17*0.95,AF17*0.95-AB17,0))</f>
        <v/>
      </c>
      <c r="AH17" s="34">
        <f>MAX(I17,J17,750)*0.05*AG17</f>
        <v/>
      </c>
      <c r="AI17" t="n">
        <v>13.22</v>
      </c>
      <c r="AJ17" t="n">
        <v>10</v>
      </c>
      <c r="AK17" s="34">
        <f>IF(AI17&gt;AJ17*1.05,AI17-AJ17*1.05,IF(AI17&lt;AJ17*0.95,AJ17*0.95-AI17,0))</f>
        <v/>
      </c>
      <c r="AL17" s="34">
        <f>MAX(F17,G17,750)*0.05*AK17</f>
        <v/>
      </c>
      <c r="AM17" s="39" t="n">
        <v>13</v>
      </c>
      <c r="AN17" s="34">
        <f>IF(AI17&gt;AM17*1.05,AI17-AM17*1.05,IF(AI17&lt;AM17*0.95,AM17*0.95-AI17,0))</f>
        <v/>
      </c>
      <c r="AO17" s="34">
        <f>MAX(F17,G17,750)*0.05*AN17</f>
        <v/>
      </c>
      <c r="AP17" s="34" t="n">
        <v>15.94</v>
      </c>
      <c r="AQ17" s="34" t="n">
        <v>15.5</v>
      </c>
      <c r="AR17" s="34">
        <f>IF(AP17&gt;AQ17*1.05,AP17-AQ17*1.05,IF(AP17&lt;AQ17*0.95,AQ17*0.95-AP17,0))</f>
        <v/>
      </c>
      <c r="AS17" s="34">
        <f>MAX(F17:G17,750)*0.05*AR17</f>
        <v/>
      </c>
      <c r="AT17" t="n">
        <v>15.5</v>
      </c>
      <c r="AU17" s="34">
        <f>IF(AP17&gt;AT17*1.05,AP17-AT17*1.05,IF(AP17&lt;AT17*0.95,AT17*0.95-AP17,0))</f>
        <v/>
      </c>
      <c r="AV17" s="34">
        <f>MAX(F17:G17,750)*0.05*AU17</f>
        <v/>
      </c>
      <c r="AW17" s="34">
        <f>AC17+AJ17+AQ17</f>
        <v/>
      </c>
      <c r="AX17" s="34">
        <f>AF17+AM17+AT17</f>
        <v/>
      </c>
      <c r="AY17" s="34">
        <f>AB17+AI17+AP17</f>
        <v/>
      </c>
      <c r="AZ17" s="34" t="n">
        <v>0</v>
      </c>
      <c r="BA17" s="34">
        <f>AD17+AK17+AR17</f>
        <v/>
      </c>
      <c r="BB17" s="34">
        <f>MAX(F17:G17,750)*0.05*BA17</f>
        <v/>
      </c>
      <c r="BC17" s="34">
        <f>AG17+AN17+AU17</f>
        <v/>
      </c>
      <c r="BD17" s="34">
        <f>MAX(F17:G17,750)*0.05*BC17</f>
        <v/>
      </c>
      <c r="BE17" s="34">
        <f>F17*AY17</f>
        <v/>
      </c>
      <c r="BF17" s="34">
        <f>K17-M17</f>
        <v/>
      </c>
      <c r="BG17" s="34">
        <f>P17-S17</f>
        <v/>
      </c>
      <c r="BH17" s="34">
        <f>W17-AA17</f>
        <v/>
      </c>
      <c r="BI17" s="34">
        <f>BF17+BG17+BL17-BN17</f>
        <v/>
      </c>
      <c r="BJ17" s="34">
        <f>ABS(BK17)</f>
        <v/>
      </c>
      <c r="BK17" s="34">
        <f>AY17-(J17-L17+N17-Q17)</f>
        <v/>
      </c>
      <c r="BL17" s="34">
        <f>IF(AND(BK17&gt;0,MIN($F17:$G17)&lt;150,$E17="Enerji Açığı"),-100*BK17*1.03,IF(AND(BK17&gt;0,MIN($F17:$G17)&lt;150,$E17="Enerji Fazlası"),-100*BK17*1.06,IF(AND(BK17&gt;0,MIN($F17:$G17)&gt;=150,$E17="Enerji Açığı"),BK17*MIN($F17:$G17)*0.97,IF(AND(BK17&gt;0,MIN($F17:$G17)&gt;=150,$E17="Enerji Fazlası"),BK17*MIN($F17:$G17)*0.94,IF(AND(BK17&lt;0,MAX($F17:$G17)=4500,$E17="Enerji Açığı"),4500*1.05*1.06*BK17,IF(AND(BK17&lt;0,MAX($F17:$G17)=4500,$E17="Enerji Fazlası"),4500*1.05*1.03*BK17,IF(AND(BK17&lt;0,$E17="Enerji Açığı"),MAX($F17,$G17,150)*BK17*1.06,IF(AND(BK17&lt;0,$E17="Enerji Fazlası"),MAX($F17,$G17,150)*BK17*1.03,IF(AND(BK17&lt;0,$E17="Dengede"),MAX($F17:$G17,150)*1.03*BK17,MIN($F17:$G17)*0.97*BK17)))))))))</f>
        <v/>
      </c>
      <c r="BM17" s="34">
        <f>BE17-BI17-BN17</f>
        <v/>
      </c>
      <c r="BN17" s="34">
        <f>BB17</f>
        <v/>
      </c>
      <c r="BO17" s="34">
        <f>BE17-BI17</f>
        <v/>
      </c>
      <c r="BP17" s="34">
        <f>IF(AY17=0,0,BO17/AY17)</f>
        <v/>
      </c>
      <c r="BQ17" s="34">
        <f>MAX((AY17+MAX((-J17+L17-N17+Q17),0)),(MAX((J17-L17+N17-Q17),0)))</f>
        <v/>
      </c>
      <c r="BR17" s="82">
        <f>IFERROR(ABS(BK17/BQ17),0)</f>
        <v/>
      </c>
      <c r="BS17" s="34">
        <f>IF(BR17&lt;=0.1,0,BK17/BR17*(BR17-0.1))</f>
        <v/>
      </c>
      <c r="BT17" s="34">
        <f>IF((BS17)&lt;0,MAX(F17:G17)*(BS17)*1.03,MIN(F17:G17)*(BS17)*0.97)</f>
        <v/>
      </c>
      <c r="BU17" s="34">
        <f>IF(BR17&gt;0.1,1,0)</f>
        <v/>
      </c>
      <c r="BV17" s="34">
        <f>BF17+BG17+BH17+BY17-CA17</f>
        <v/>
      </c>
      <c r="BW17" s="34">
        <f>ABS(BX17)</f>
        <v/>
      </c>
      <c r="BX17" s="34">
        <f>AY17-(J17-L17+N17-Q17+T17-X17)</f>
        <v/>
      </c>
      <c r="BY17" s="34">
        <f>IF(AND(BX17&gt;0,MIN($F17:$G17)&lt;150,$E17="Enerji Açığı"),-100*BX17*1.03,IF(AND(BX17&gt;0,MIN($F17:$G17)&lt;150,$E17="Enerji Fazlası"),-100*BX17*1.06,IF(AND(BX17&gt;0,MIN($F17:$G17)&gt;=150,$E17="Enerji Açığı"),BX17*MIN($F17:$G17)*0.97,IF(AND(BX17&gt;0,MIN($F17:$G17)&gt;=150,$E17="Enerji Fazlası"),BX17*MIN($F17:$G17)*0.94,IF(AND(BX17&lt;0,MAX($F17:$G17)=4500,$E17="Enerji Açığı"),4500*1.05*1.06*BX17,IF(AND(BX17&lt;0,MAX($F17:$G17)=4500,$E17="Enerji Fazlası"),4500*1.05*1.03*BX17,IF(AND(BX17&lt;0,$E17="Enerji Açığı"),MAX($F17,$G17,150)*BX17*1.06,IF(AND(BX17&lt;0,$E17="Enerji Fazlası"),MAX($F17,$G17,150)*BX17*1.03,IF(AND(BX17&lt;0,$E17="Dengede"),MAX($F17:$G17,150)*1.03*BX17,MIN($F17:$G17)*0.97*BX17)))))))))</f>
        <v/>
      </c>
      <c r="BZ17" s="34">
        <f>BE17-BV17-CA17</f>
        <v/>
      </c>
      <c r="CA17" s="34">
        <f>BD17</f>
        <v/>
      </c>
      <c r="CB17" s="33">
        <f>BE17-BV17</f>
        <v/>
      </c>
      <c r="CC17" s="34">
        <f>IF(AY17=0,0,CB17/AY17)</f>
        <v/>
      </c>
      <c r="CD17" s="34">
        <f>MAX((AY17+MAX((-J17+L17-N17+Q17-T17+X17),0)),(MAX((J17-L17+N17-Q17+T17-X17),0)))</f>
        <v/>
      </c>
      <c r="CE17" s="82">
        <f>IFERROR(ABS(BX17/CD17),0)</f>
        <v/>
      </c>
      <c r="CF17" s="34">
        <f>IF(CE17&lt;=0.1,0,BX17/CE17*(CE17-0.1))</f>
        <v/>
      </c>
      <c r="CG17" s="34">
        <f>IF((CF17)&lt;0,MAX(F17:G17)*(CF17)*1.03,MIN(F17:G17)*(CF17)*0.97)</f>
        <v/>
      </c>
      <c r="CH17" s="34">
        <f>IF(CE17&gt;0.1,1,0)</f>
        <v/>
      </c>
      <c r="CI17" s="34">
        <f>(F17*BX17)-BY17</f>
        <v/>
      </c>
      <c r="CJ17" s="34">
        <f>IF(AY17=0,0,CI17/AY17)</f>
        <v/>
      </c>
    </row>
    <row r="18">
      <c r="A18" s="29" t="n">
        <v>46204.625</v>
      </c>
      <c r="B18" s="29" t="inlineStr">
        <is>
          <t>15:00</t>
        </is>
      </c>
      <c r="C18" s="35">
        <f>INT(A18)</f>
        <v/>
      </c>
      <c r="D18" s="36">
        <f>MONTH(A18)</f>
        <v/>
      </c>
      <c r="E18" s="147">
        <f>[1]FİYATLAR!G17</f>
        <v/>
      </c>
      <c r="F18" s="30" t="n">
        <v>3475.57</v>
      </c>
      <c r="G18" s="30" t="n">
        <v>500</v>
      </c>
      <c r="H18" s="30" t="n">
        <v>74.65000000000001</v>
      </c>
      <c r="I18" s="30" t="n">
        <v>3124.79</v>
      </c>
      <c r="J18" s="119" t="n">
        <v>0</v>
      </c>
      <c r="K18" s="34">
        <f>F18*J18</f>
        <v/>
      </c>
      <c r="L18" s="119" t="n">
        <v>0</v>
      </c>
      <c r="M18" s="34">
        <f>L18*F18</f>
        <v/>
      </c>
      <c r="N18" s="119" t="n">
        <v>25.3</v>
      </c>
      <c r="O18" s="34">
        <f>F18</f>
        <v/>
      </c>
      <c r="P18" s="34">
        <f>N18*O18</f>
        <v/>
      </c>
      <c r="Q18" s="119" t="n">
        <v>0</v>
      </c>
      <c r="R18" s="34">
        <f>F18</f>
        <v/>
      </c>
      <c r="S18" s="34">
        <f>R18*Q18</f>
        <v/>
      </c>
      <c r="T18" s="34">
        <f>SUMIFS('[1]GİP VERİLERİ'!$C:$C,'[1]GİP VERİLERİ'!$B:$B,A18,'[1]GİP VERİLERİ'!$M:$M,"40X000000104782K",'[1]GİP VERİLERİ'!$G:$G,"SELL")</f>
        <v/>
      </c>
      <c r="U18" s="34">
        <f>IFERROR(W18/T18,0)</f>
        <v/>
      </c>
      <c r="V18" s="34">
        <f>IF(U18=0,0,U18-F18)</f>
        <v/>
      </c>
      <c r="W18" s="34">
        <f>SUMIFS('[1]GİP VERİLERİ'!$O:$O,'[1]GİP VERİLERİ'!$B:$B,A18,'[1]GİP VERİLERİ'!$M:$M,"40X000000104782K",'[1]GİP VERİLERİ'!$G:$G,"SELL")</f>
        <v/>
      </c>
      <c r="X18" s="34">
        <f>SUMIFS('[1]GİP VERİLERİ'!$C:$C,'[1]GİP VERİLERİ'!$B:$B,A18,'[1]GİP VERİLERİ'!$M:$M,"40X000000104782K",'[1]GİP VERİLERİ'!$G:$G,"BUY")</f>
        <v/>
      </c>
      <c r="Y18" s="34">
        <f>IFERROR(AA18/X18,0)</f>
        <v/>
      </c>
      <c r="Z18" s="34">
        <f>IF(Y18=0,0,F18-Y18)</f>
        <v/>
      </c>
      <c r="AA18" s="34">
        <f>SUMIFS('[1]GİP VERİLERİ'!$O:$O,'[1]GİP VERİLERİ'!$B:$B,A18,'[1]GİP VERİLERİ'!$M:$M,"40X000000104782K",'[1]GİP VERİLERİ'!$G:$G,"BUY")</f>
        <v/>
      </c>
      <c r="AB18" s="34" t="n">
        <v>0</v>
      </c>
      <c r="AC18" s="34" t="n">
        <v>0</v>
      </c>
      <c r="AD18" s="34">
        <f>IF(AB18&gt;AC18*1.05,AB18-AC18*1.05,IF(AB18&lt;AC18*0.95,AC18*0.95-AB18,0))</f>
        <v/>
      </c>
      <c r="AE18" s="34">
        <f>MAX(F18,G18,750)*0.05*AD18</f>
        <v/>
      </c>
      <c r="AF18" s="34" t="n">
        <v>0</v>
      </c>
      <c r="AG18" s="34">
        <f>IF(AB18&gt;AF18*1.05,AB18-AF18*1.05,IF(AB18&lt;AF18*0.95,AF18*0.95-AB18,0))</f>
        <v/>
      </c>
      <c r="AH18" s="34">
        <f>MAX(I18,J18,750)*0.05*AG18</f>
        <v/>
      </c>
      <c r="AI18" t="n">
        <v>10.1</v>
      </c>
      <c r="AJ18" t="n">
        <v>10</v>
      </c>
      <c r="AK18" s="34">
        <f>IF(AI18&gt;AJ18*1.05,AI18-AJ18*1.05,IF(AI18&lt;AJ18*0.95,AJ18*0.95-AI18,0))</f>
        <v/>
      </c>
      <c r="AL18" s="34">
        <f>MAX(F18,G18,750)*0.05*AK18</f>
        <v/>
      </c>
      <c r="AM18" s="39" t="n">
        <v>10</v>
      </c>
      <c r="AN18" s="34">
        <f>IF(AI18&gt;AM18*1.05,AI18-AM18*1.05,IF(AI18&lt;AM18*0.95,AM18*0.95-AI18,0))</f>
        <v/>
      </c>
      <c r="AO18" s="34">
        <f>MAX(F18,G18,750)*0.05*AN18</f>
        <v/>
      </c>
      <c r="AP18" s="34" t="n">
        <v>15.72</v>
      </c>
      <c r="AQ18" s="34" t="n">
        <v>15.3</v>
      </c>
      <c r="AR18" s="34">
        <f>IF(AP18&gt;AQ18*1.05,AP18-AQ18*1.05,IF(AP18&lt;AQ18*0.95,AQ18*0.95-AP18,0))</f>
        <v/>
      </c>
      <c r="AS18" s="34">
        <f>MAX(F18:G18,750)*0.05*AR18</f>
        <v/>
      </c>
      <c r="AT18" t="n">
        <v>15.3</v>
      </c>
      <c r="AU18" s="34">
        <f>IF(AP18&gt;AT18*1.05,AP18-AT18*1.05,IF(AP18&lt;AT18*0.95,AT18*0.95-AP18,0))</f>
        <v/>
      </c>
      <c r="AV18" s="34">
        <f>MAX(F18:G18,750)*0.05*AU18</f>
        <v/>
      </c>
      <c r="AW18" s="34">
        <f>AC18+AJ18+AQ18</f>
        <v/>
      </c>
      <c r="AX18" s="34">
        <f>AF18+AM18+AT18</f>
        <v/>
      </c>
      <c r="AY18" s="34">
        <f>AB18+AI18+AP18</f>
        <v/>
      </c>
      <c r="AZ18" s="34" t="n">
        <v>0</v>
      </c>
      <c r="BA18" s="34">
        <f>AD18+AK18+AR18</f>
        <v/>
      </c>
      <c r="BB18" s="34">
        <f>MAX(F18:G18,750)*0.05*BA18</f>
        <v/>
      </c>
      <c r="BC18" s="34">
        <f>AG18+AN18+AU18</f>
        <v/>
      </c>
      <c r="BD18" s="34">
        <f>MAX(F18:G18,750)*0.05*BC18</f>
        <v/>
      </c>
      <c r="BE18" s="34">
        <f>F18*AY18</f>
        <v/>
      </c>
      <c r="BF18" s="34">
        <f>K18-M18</f>
        <v/>
      </c>
      <c r="BG18" s="34">
        <f>P18-S18</f>
        <v/>
      </c>
      <c r="BH18" s="34">
        <f>W18-AA18</f>
        <v/>
      </c>
      <c r="BI18" s="34">
        <f>BF18+BG18+BL18-BN18</f>
        <v/>
      </c>
      <c r="BJ18" s="34">
        <f>ABS(BK18)</f>
        <v/>
      </c>
      <c r="BK18" s="34">
        <f>AY18-(J18-L18+N18-Q18)</f>
        <v/>
      </c>
      <c r="BL18" s="34">
        <f>IF(AND(BK18&gt;0,MIN($F18:$G18)&lt;150,$E18="Enerji Açığı"),-100*BK18*1.03,IF(AND(BK18&gt;0,MIN($F18:$G18)&lt;150,$E18="Enerji Fazlası"),-100*BK18*1.06,IF(AND(BK18&gt;0,MIN($F18:$G18)&gt;=150,$E18="Enerji Açığı"),BK18*MIN($F18:$G18)*0.97,IF(AND(BK18&gt;0,MIN($F18:$G18)&gt;=150,$E18="Enerji Fazlası"),BK18*MIN($F18:$G18)*0.94,IF(AND(BK18&lt;0,MAX($F18:$G18)=4500,$E18="Enerji Açığı"),4500*1.05*1.06*BK18,IF(AND(BK18&lt;0,MAX($F18:$G18)=4500,$E18="Enerji Fazlası"),4500*1.05*1.03*BK18,IF(AND(BK18&lt;0,$E18="Enerji Açığı"),MAX($F18,$G18,150)*BK18*1.06,IF(AND(BK18&lt;0,$E18="Enerji Fazlası"),MAX($F18,$G18,150)*BK18*1.03,IF(AND(BK18&lt;0,$E18="Dengede"),MAX($F18:$G18,150)*1.03*BK18,MIN($F18:$G18)*0.97*BK18)))))))))</f>
        <v/>
      </c>
      <c r="BM18" s="34">
        <f>BE18-BI18-BN18</f>
        <v/>
      </c>
      <c r="BN18" s="34">
        <f>BB18</f>
        <v/>
      </c>
      <c r="BO18" s="34">
        <f>BE18-BI18</f>
        <v/>
      </c>
      <c r="BP18" s="34">
        <f>IF(AY18=0,0,BO18/AY18)</f>
        <v/>
      </c>
      <c r="BQ18" s="34">
        <f>MAX((AY18+MAX((-J18+L18-N18+Q18),0)),(MAX((J18-L18+N18-Q18),0)))</f>
        <v/>
      </c>
      <c r="BR18" s="82">
        <f>IFERROR(ABS(BK18/BQ18),0)</f>
        <v/>
      </c>
      <c r="BS18" s="34">
        <f>IF(BR18&lt;=0.1,0,BK18/BR18*(BR18-0.1))</f>
        <v/>
      </c>
      <c r="BT18" s="34">
        <f>IF((BS18)&lt;0,MAX(F18:G18)*(BS18)*1.03,MIN(F18:G18)*(BS18)*0.97)</f>
        <v/>
      </c>
      <c r="BU18" s="34">
        <f>IF(BR18&gt;0.1,1,0)</f>
        <v/>
      </c>
      <c r="BV18" s="34">
        <f>BF18+BG18+BH18+BY18-CA18</f>
        <v/>
      </c>
      <c r="BW18" s="34">
        <f>ABS(BX18)</f>
        <v/>
      </c>
      <c r="BX18" s="34">
        <f>AY18-(J18-L18+N18-Q18+T18-X18)</f>
        <v/>
      </c>
      <c r="BY18" s="34">
        <f>IF(AND(BX18&gt;0,MIN($F18:$G18)&lt;150,$E18="Enerji Açığı"),-100*BX18*1.03,IF(AND(BX18&gt;0,MIN($F18:$G18)&lt;150,$E18="Enerji Fazlası"),-100*BX18*1.06,IF(AND(BX18&gt;0,MIN($F18:$G18)&gt;=150,$E18="Enerji Açığı"),BX18*MIN($F18:$G18)*0.97,IF(AND(BX18&gt;0,MIN($F18:$G18)&gt;=150,$E18="Enerji Fazlası"),BX18*MIN($F18:$G18)*0.94,IF(AND(BX18&lt;0,MAX($F18:$G18)=4500,$E18="Enerji Açığı"),4500*1.05*1.06*BX18,IF(AND(BX18&lt;0,MAX($F18:$G18)=4500,$E18="Enerji Fazlası"),4500*1.05*1.03*BX18,IF(AND(BX18&lt;0,$E18="Enerji Açığı"),MAX($F18,$G18,150)*BX18*1.06,IF(AND(BX18&lt;0,$E18="Enerji Fazlası"),MAX($F18,$G18,150)*BX18*1.03,IF(AND(BX18&lt;0,$E18="Dengede"),MAX($F18:$G18,150)*1.03*BX18,MIN($F18:$G18)*0.97*BX18)))))))))</f>
        <v/>
      </c>
      <c r="BZ18" s="34">
        <f>BE18-BV18-CA18</f>
        <v/>
      </c>
      <c r="CA18" s="34">
        <f>BD18</f>
        <v/>
      </c>
      <c r="CB18" s="33">
        <f>BE18-BV18</f>
        <v/>
      </c>
      <c r="CC18" s="34">
        <f>IF(AY18=0,0,CB18/AY18)</f>
        <v/>
      </c>
      <c r="CD18" s="34">
        <f>MAX((AY18+MAX((-J18+L18-N18+Q18-T18+X18),0)),(MAX((J18-L18+N18-Q18+T18-X18),0)))</f>
        <v/>
      </c>
      <c r="CE18" s="82">
        <f>IFERROR(ABS(BX18/CD18),0)</f>
        <v/>
      </c>
      <c r="CF18" s="34">
        <f>IF(CE18&lt;=0.1,0,BX18/CE18*(CE18-0.1))</f>
        <v/>
      </c>
      <c r="CG18" s="34">
        <f>IF((CF18)&lt;0,MAX(F18:G18)*(CF18)*1.03,MIN(F18:G18)*(CF18)*0.97)</f>
        <v/>
      </c>
      <c r="CH18" s="34">
        <f>IF(CE18&gt;0.1,1,0)</f>
        <v/>
      </c>
      <c r="CI18" s="34">
        <f>(F18*BX18)-BY18</f>
        <v/>
      </c>
      <c r="CJ18" s="34">
        <f>IF(AY18=0,0,CI18/AY18)</f>
        <v/>
      </c>
    </row>
    <row r="19">
      <c r="A19" s="29" t="n">
        <v>46204.66666666666</v>
      </c>
      <c r="B19" s="29" t="inlineStr">
        <is>
          <t>16:00</t>
        </is>
      </c>
      <c r="C19" s="35">
        <f>INT(A19)</f>
        <v/>
      </c>
      <c r="D19" s="36">
        <f>MONTH(A19)</f>
        <v/>
      </c>
      <c r="E19" s="147">
        <f>[1]FİYATLAR!G18</f>
        <v/>
      </c>
      <c r="F19" s="30" t="n">
        <v>3995</v>
      </c>
      <c r="G19" s="30" t="n">
        <v>3995</v>
      </c>
      <c r="H19" s="30" t="n">
        <v>85.81</v>
      </c>
      <c r="I19" s="30" t="n">
        <v>3540.8</v>
      </c>
      <c r="J19" s="119" t="n">
        <v>0</v>
      </c>
      <c r="K19" s="34">
        <f>F19*J19</f>
        <v/>
      </c>
      <c r="L19" s="119" t="n">
        <v>0</v>
      </c>
      <c r="M19" s="34">
        <f>L19*F19</f>
        <v/>
      </c>
      <c r="N19" s="119" t="n">
        <v>25</v>
      </c>
      <c r="O19" s="34">
        <f>F19</f>
        <v/>
      </c>
      <c r="P19" s="34">
        <f>N19*O19</f>
        <v/>
      </c>
      <c r="Q19" s="119" t="n">
        <v>0</v>
      </c>
      <c r="R19" s="34">
        <f>F19</f>
        <v/>
      </c>
      <c r="S19" s="34">
        <f>R19*Q19</f>
        <v/>
      </c>
      <c r="T19" s="34">
        <f>SUMIFS('[1]GİP VERİLERİ'!$C:$C,'[1]GİP VERİLERİ'!$B:$B,A19,'[1]GİP VERİLERİ'!$M:$M,"40X000000104782K",'[1]GİP VERİLERİ'!$G:$G,"SELL")</f>
        <v/>
      </c>
      <c r="U19" s="34">
        <f>IFERROR(W19/T19,0)</f>
        <v/>
      </c>
      <c r="V19" s="34">
        <f>IF(U19=0,0,U19-F19)</f>
        <v/>
      </c>
      <c r="W19" s="34">
        <f>SUMIFS('[1]GİP VERİLERİ'!$O:$O,'[1]GİP VERİLERİ'!$B:$B,A19,'[1]GİP VERİLERİ'!$M:$M,"40X000000104782K",'[1]GİP VERİLERİ'!$G:$G,"SELL")</f>
        <v/>
      </c>
      <c r="X19" s="34">
        <f>SUMIFS('[1]GİP VERİLERİ'!$C:$C,'[1]GİP VERİLERİ'!$B:$B,A19,'[1]GİP VERİLERİ'!$M:$M,"40X000000104782K",'[1]GİP VERİLERİ'!$G:$G,"BUY")</f>
        <v/>
      </c>
      <c r="Y19" s="34">
        <f>IFERROR(AA19/X19,0)</f>
        <v/>
      </c>
      <c r="Z19" s="34">
        <f>IF(Y19=0,0,F19-Y19)</f>
        <v/>
      </c>
      <c r="AA19" s="34">
        <f>SUMIFS('[1]GİP VERİLERİ'!$O:$O,'[1]GİP VERİLERİ'!$B:$B,A19,'[1]GİP VERİLERİ'!$M:$M,"40X000000104782K",'[1]GİP VERİLERİ'!$G:$G,"BUY")</f>
        <v/>
      </c>
      <c r="AB19" s="34" t="n">
        <v>0</v>
      </c>
      <c r="AC19" s="34" t="n">
        <v>0</v>
      </c>
      <c r="AD19" s="34">
        <f>IF(AB19&gt;AC19*1.05,AB19-AC19*1.05,IF(AB19&lt;AC19*0.95,AC19*0.95-AB19,0))</f>
        <v/>
      </c>
      <c r="AE19" s="34">
        <f>MAX(F19,G19,750)*0.05*AD19</f>
        <v/>
      </c>
      <c r="AF19" s="34" t="n">
        <v>0</v>
      </c>
      <c r="AG19" s="34">
        <f>IF(AB19&gt;AF19*1.05,AB19-AF19*1.05,IF(AB19&lt;AF19*0.95,AF19*0.95-AB19,0))</f>
        <v/>
      </c>
      <c r="AH19" s="34">
        <f>MAX(I19,J19,750)*0.05*AG19</f>
        <v/>
      </c>
      <c r="AI19" t="n">
        <v>10.2</v>
      </c>
      <c r="AJ19" t="n">
        <v>10</v>
      </c>
      <c r="AK19" s="34">
        <f>IF(AI19&gt;AJ19*1.05,AI19-AJ19*1.05,IF(AI19&lt;AJ19*0.95,AJ19*0.95-AI19,0))</f>
        <v/>
      </c>
      <c r="AL19" s="34">
        <f>MAX(F19,G19,750)*0.05*AK19</f>
        <v/>
      </c>
      <c r="AM19" s="39" t="n">
        <v>11</v>
      </c>
      <c r="AN19" s="34">
        <f>IF(AI19&gt;AM19*1.05,AI19-AM19*1.05,IF(AI19&lt;AM19*0.95,AM19*0.95-AI19,0))</f>
        <v/>
      </c>
      <c r="AO19" s="34">
        <f>MAX(F19,G19,750)*0.05*AN19</f>
        <v/>
      </c>
      <c r="AP19" s="34" t="n">
        <v>16.17</v>
      </c>
      <c r="AQ19" s="34" t="n">
        <v>15</v>
      </c>
      <c r="AR19" s="34">
        <f>IF(AP19&gt;AQ19*1.05,AP19-AQ19*1.05,IF(AP19&lt;AQ19*0.95,AQ19*0.95-AP19,0))</f>
        <v/>
      </c>
      <c r="AS19" s="34">
        <f>MAX(F19:G19,750)*0.05*AR19</f>
        <v/>
      </c>
      <c r="AT19" t="n">
        <v>15</v>
      </c>
      <c r="AU19" s="34">
        <f>IF(AP19&gt;AT19*1.05,AP19-AT19*1.05,IF(AP19&lt;AT19*0.95,AT19*0.95-AP19,0))</f>
        <v/>
      </c>
      <c r="AV19" s="34">
        <f>MAX(F19:G19,750)*0.05*AU19</f>
        <v/>
      </c>
      <c r="AW19" s="34">
        <f>AC19+AJ19+AQ19</f>
        <v/>
      </c>
      <c r="AX19" s="34">
        <f>AF19+AM19+AT19</f>
        <v/>
      </c>
      <c r="AY19" s="34">
        <f>AB19+AI19+AP19</f>
        <v/>
      </c>
      <c r="AZ19" s="34" t="n">
        <v>0</v>
      </c>
      <c r="BA19" s="34">
        <f>AD19+AK19+AR19</f>
        <v/>
      </c>
      <c r="BB19" s="34">
        <f>MAX(F19:G19,750)*0.05*BA19</f>
        <v/>
      </c>
      <c r="BC19" s="34">
        <f>AG19+AN19+AU19</f>
        <v/>
      </c>
      <c r="BD19" s="34">
        <f>MAX(F19:G19,750)*0.05*BC19</f>
        <v/>
      </c>
      <c r="BE19" s="34">
        <f>F19*AY19</f>
        <v/>
      </c>
      <c r="BF19" s="34">
        <f>K19-M19</f>
        <v/>
      </c>
      <c r="BG19" s="34">
        <f>P19-S19</f>
        <v/>
      </c>
      <c r="BH19" s="34">
        <f>W19-AA19</f>
        <v/>
      </c>
      <c r="BI19" s="34">
        <f>BF19+BG19+BL19-BN19</f>
        <v/>
      </c>
      <c r="BJ19" s="34">
        <f>ABS(BK19)</f>
        <v/>
      </c>
      <c r="BK19" s="34">
        <f>AY19-(J19-L19+N19-Q19)</f>
        <v/>
      </c>
      <c r="BL19" s="34">
        <f>IF(AND(BK19&gt;0,MIN($F19:$G19)&lt;150,$E19="Enerji Açığı"),-100*BK19*1.03,IF(AND(BK19&gt;0,MIN($F19:$G19)&lt;150,$E19="Enerji Fazlası"),-100*BK19*1.06,IF(AND(BK19&gt;0,MIN($F19:$G19)&gt;=150,$E19="Enerji Açığı"),BK19*MIN($F19:$G19)*0.97,IF(AND(BK19&gt;0,MIN($F19:$G19)&gt;=150,$E19="Enerji Fazlası"),BK19*MIN($F19:$G19)*0.94,IF(AND(BK19&lt;0,MAX($F19:$G19)=4500,$E19="Enerji Açığı"),4500*1.05*1.06*BK19,IF(AND(BK19&lt;0,MAX($F19:$G19)=4500,$E19="Enerji Fazlası"),4500*1.05*1.03*BK19,IF(AND(BK19&lt;0,$E19="Enerji Açığı"),MAX($F19,$G19,150)*BK19*1.06,IF(AND(BK19&lt;0,$E19="Enerji Fazlası"),MAX($F19,$G19,150)*BK19*1.03,IF(AND(BK19&lt;0,$E19="Dengede"),MAX($F19:$G19,150)*1.03*BK19,MIN($F19:$G19)*0.97*BK19)))))))))</f>
        <v/>
      </c>
      <c r="BM19" s="34">
        <f>BE19-BI19-BN19</f>
        <v/>
      </c>
      <c r="BN19" s="34">
        <f>BB19</f>
        <v/>
      </c>
      <c r="BO19" s="34">
        <f>BE19-BI19</f>
        <v/>
      </c>
      <c r="BP19" s="34">
        <f>IF(AY19=0,0,BO19/AY19)</f>
        <v/>
      </c>
      <c r="BQ19" s="34">
        <f>MAX((AY19+MAX((-J19+L19-N19+Q19),0)),(MAX((J19-L19+N19-Q19),0)))</f>
        <v/>
      </c>
      <c r="BR19" s="82">
        <f>IFERROR(ABS(BK19/BQ19),0)</f>
        <v/>
      </c>
      <c r="BS19" s="34">
        <f>IF(BR19&lt;=0.1,0,BK19/BR19*(BR19-0.1))</f>
        <v/>
      </c>
      <c r="BT19" s="34">
        <f>IF((BS19)&lt;0,MAX(F19:G19)*(BS19)*1.03,MIN(F19:G19)*(BS19)*0.97)</f>
        <v/>
      </c>
      <c r="BU19" s="34">
        <f>IF(BR19&gt;0.1,1,0)</f>
        <v/>
      </c>
      <c r="BV19" s="34">
        <f>BF19+BG19+BH19+BY19-CA19</f>
        <v/>
      </c>
      <c r="BW19" s="34">
        <f>ABS(BX19)</f>
        <v/>
      </c>
      <c r="BX19" s="34">
        <f>AY19-(J19-L19+N19-Q19+T19-X19)</f>
        <v/>
      </c>
      <c r="BY19" s="34">
        <f>IF(AND(BX19&gt;0,MIN($F19:$G19)&lt;150,$E19="Enerji Açığı"),-100*BX19*1.03,IF(AND(BX19&gt;0,MIN($F19:$G19)&lt;150,$E19="Enerji Fazlası"),-100*BX19*1.06,IF(AND(BX19&gt;0,MIN($F19:$G19)&gt;=150,$E19="Enerji Açığı"),BX19*MIN($F19:$G19)*0.97,IF(AND(BX19&gt;0,MIN($F19:$G19)&gt;=150,$E19="Enerji Fazlası"),BX19*MIN($F19:$G19)*0.94,IF(AND(BX19&lt;0,MAX($F19:$G19)=4500,$E19="Enerji Açığı"),4500*1.05*1.06*BX19,IF(AND(BX19&lt;0,MAX($F19:$G19)=4500,$E19="Enerji Fazlası"),4500*1.05*1.03*BX19,IF(AND(BX19&lt;0,$E19="Enerji Açığı"),MAX($F19,$G19,150)*BX19*1.06,IF(AND(BX19&lt;0,$E19="Enerji Fazlası"),MAX($F19,$G19,150)*BX19*1.03,IF(AND(BX19&lt;0,$E19="Dengede"),MAX($F19:$G19,150)*1.03*BX19,MIN($F19:$G19)*0.97*BX19)))))))))</f>
        <v/>
      </c>
      <c r="BZ19" s="34">
        <f>BE19-BV19-CA19</f>
        <v/>
      </c>
      <c r="CA19" s="34">
        <f>BD19</f>
        <v/>
      </c>
      <c r="CB19" s="33">
        <f>BE19-BV19</f>
        <v/>
      </c>
      <c r="CC19" s="34">
        <f>IF(AY19=0,0,CB19/AY19)</f>
        <v/>
      </c>
      <c r="CD19" s="34">
        <f>MAX((AY19+MAX((-J19+L19-N19+Q19-T19+X19),0)),(MAX((J19-L19+N19-Q19+T19-X19),0)))</f>
        <v/>
      </c>
      <c r="CE19" s="82">
        <f>IFERROR(ABS(BX19/CD19),0)</f>
        <v/>
      </c>
      <c r="CF19" s="34">
        <f>IF(CE19&lt;=0.1,0,BX19/CE19*(CE19-0.1))</f>
        <v/>
      </c>
      <c r="CG19" s="34">
        <f>IF((CF19)&lt;0,MAX(F19:G19)*(CF19)*1.03,MIN(F19:G19)*(CF19)*0.97)</f>
        <v/>
      </c>
      <c r="CH19" s="34">
        <f>IF(CE19&gt;0.1,1,0)</f>
        <v/>
      </c>
      <c r="CI19" s="34">
        <f>(F19*BX19)-BY19</f>
        <v/>
      </c>
      <c r="CJ19" s="34">
        <f>IF(AY19=0,0,CI19/AY19)</f>
        <v/>
      </c>
    </row>
    <row r="20">
      <c r="A20" s="29" t="n">
        <v>46204.70833333334</v>
      </c>
      <c r="B20" s="29" t="inlineStr">
        <is>
          <t>17:00</t>
        </is>
      </c>
      <c r="C20" s="35">
        <f>INT(A20)</f>
        <v/>
      </c>
      <c r="D20" s="36">
        <f>MONTH(A20)</f>
        <v/>
      </c>
      <c r="E20" s="147">
        <f>[1]FİYATLAR!G19</f>
        <v/>
      </c>
      <c r="F20" s="30" t="n">
        <v>4400.01</v>
      </c>
      <c r="G20" s="30" t="n">
        <v>4400.01</v>
      </c>
      <c r="H20" s="30" t="n">
        <v>94.51000000000001</v>
      </c>
      <c r="I20" s="30" t="n">
        <v>4019.12</v>
      </c>
      <c r="J20" s="119" t="n">
        <v>0</v>
      </c>
      <c r="K20" s="34">
        <f>F20*J20</f>
        <v/>
      </c>
      <c r="L20" s="119" t="n">
        <v>0</v>
      </c>
      <c r="M20" s="34">
        <f>L20*F20</f>
        <v/>
      </c>
      <c r="N20" s="119" t="n">
        <v>22.5</v>
      </c>
      <c r="O20" s="34">
        <f>F20</f>
        <v/>
      </c>
      <c r="P20" s="34">
        <f>N20*O20</f>
        <v/>
      </c>
      <c r="Q20" s="119" t="n">
        <v>0</v>
      </c>
      <c r="R20" s="34">
        <f>F20</f>
        <v/>
      </c>
      <c r="S20" s="34">
        <f>R20*Q20</f>
        <v/>
      </c>
      <c r="T20" s="34">
        <f>SUMIFS('[1]GİP VERİLERİ'!$C:$C,'[1]GİP VERİLERİ'!$B:$B,A20,'[1]GİP VERİLERİ'!$M:$M,"40X000000104782K",'[1]GİP VERİLERİ'!$G:$G,"SELL")</f>
        <v/>
      </c>
      <c r="U20" s="34">
        <f>IFERROR(W20/T20,0)</f>
        <v/>
      </c>
      <c r="V20" s="34">
        <f>IF(U20=0,0,U20-F20)</f>
        <v/>
      </c>
      <c r="W20" s="34">
        <f>SUMIFS('[1]GİP VERİLERİ'!$O:$O,'[1]GİP VERİLERİ'!$B:$B,A20,'[1]GİP VERİLERİ'!$M:$M,"40X000000104782K",'[1]GİP VERİLERİ'!$G:$G,"SELL")</f>
        <v/>
      </c>
      <c r="X20" s="34">
        <f>SUMIFS('[1]GİP VERİLERİ'!$C:$C,'[1]GİP VERİLERİ'!$B:$B,A20,'[1]GİP VERİLERİ'!$M:$M,"40X000000104782K",'[1]GİP VERİLERİ'!$G:$G,"BUY")</f>
        <v/>
      </c>
      <c r="Y20" s="34">
        <f>IFERROR(AA20/X20,0)</f>
        <v/>
      </c>
      <c r="Z20" s="34">
        <f>IF(Y20=0,0,F20-Y20)</f>
        <v/>
      </c>
      <c r="AA20" s="34">
        <f>SUMIFS('[1]GİP VERİLERİ'!$O:$O,'[1]GİP VERİLERİ'!$B:$B,A20,'[1]GİP VERİLERİ'!$M:$M,"40X000000104782K",'[1]GİP VERİLERİ'!$G:$G,"BUY")</f>
        <v/>
      </c>
      <c r="AB20" s="34" t="n">
        <v>0</v>
      </c>
      <c r="AC20" s="34" t="n">
        <v>0</v>
      </c>
      <c r="AD20" s="34">
        <f>IF(AB20&gt;AC20*1.05,AB20-AC20*1.05,IF(AB20&lt;AC20*0.95,AC20*0.95-AB20,0))</f>
        <v/>
      </c>
      <c r="AE20" s="34">
        <f>MAX(F20,G20,750)*0.05*AD20</f>
        <v/>
      </c>
      <c r="AF20" s="34" t="n">
        <v>0</v>
      </c>
      <c r="AG20" s="34">
        <f>IF(AB20&gt;AF20*1.05,AB20-AF20*1.05,IF(AB20&lt;AF20*0.95,AF20*0.95-AB20,0))</f>
        <v/>
      </c>
      <c r="AH20" s="34">
        <f>MAX(I20,J20,750)*0.05*AG20</f>
        <v/>
      </c>
      <c r="AI20" t="n">
        <v>8.43</v>
      </c>
      <c r="AJ20" t="n">
        <v>9</v>
      </c>
      <c r="AK20" s="34">
        <f>IF(AI20&gt;AJ20*1.05,AI20-AJ20*1.05,IF(AI20&lt;AJ20*0.95,AJ20*0.95-AI20,0))</f>
        <v/>
      </c>
      <c r="AL20" s="34">
        <f>MAX(F20,G20,750)*0.05*AK20</f>
        <v/>
      </c>
      <c r="AM20" s="39" t="n">
        <v>9</v>
      </c>
      <c r="AN20" s="34">
        <f>IF(AI20&gt;AM20*1.05,AI20-AM20*1.05,IF(AI20&lt;AM20*0.95,AM20*0.95-AI20,0))</f>
        <v/>
      </c>
      <c r="AO20" s="34">
        <f>MAX(F20,G20,750)*0.05*AN20</f>
        <v/>
      </c>
      <c r="AP20" s="34" t="n">
        <v>15.01</v>
      </c>
      <c r="AQ20" s="34" t="n">
        <v>13.5</v>
      </c>
      <c r="AR20" s="34">
        <f>IF(AP20&gt;AQ20*1.05,AP20-AQ20*1.05,IF(AP20&lt;AQ20*0.95,AQ20*0.95-AP20,0))</f>
        <v/>
      </c>
      <c r="AS20" s="34">
        <f>MAX(F20:G20,750)*0.05*AR20</f>
        <v/>
      </c>
      <c r="AT20" t="n">
        <v>13.5</v>
      </c>
      <c r="AU20" s="34">
        <f>IF(AP20&gt;AT20*1.05,AP20-AT20*1.05,IF(AP20&lt;AT20*0.95,AT20*0.95-AP20,0))</f>
        <v/>
      </c>
      <c r="AV20" s="34">
        <f>MAX(F20:G20,750)*0.05*AU20</f>
        <v/>
      </c>
      <c r="AW20" s="34">
        <f>AC20+AJ20+AQ20</f>
        <v/>
      </c>
      <c r="AX20" s="34">
        <f>AF20+AM20+AT20</f>
        <v/>
      </c>
      <c r="AY20" s="34">
        <f>AB20+AI20+AP20</f>
        <v/>
      </c>
      <c r="AZ20" s="34" t="n">
        <v>0</v>
      </c>
      <c r="BA20" s="34">
        <f>AD20+AK20+AR20</f>
        <v/>
      </c>
      <c r="BB20" s="34">
        <f>MAX(F20:G20,750)*0.05*BA20</f>
        <v/>
      </c>
      <c r="BC20" s="34">
        <f>AG20+AN20+AU20</f>
        <v/>
      </c>
      <c r="BD20" s="34">
        <f>MAX(F20:G20,750)*0.05*BC20</f>
        <v/>
      </c>
      <c r="BE20" s="34">
        <f>F20*AY20</f>
        <v/>
      </c>
      <c r="BF20" s="34">
        <f>K20-M20</f>
        <v/>
      </c>
      <c r="BG20" s="34">
        <f>P20-S20</f>
        <v/>
      </c>
      <c r="BH20" s="34">
        <f>W20-AA20</f>
        <v/>
      </c>
      <c r="BI20" s="34">
        <f>BF20+BG20+BL20-BN20</f>
        <v/>
      </c>
      <c r="BJ20" s="34">
        <f>ABS(BK20)</f>
        <v/>
      </c>
      <c r="BK20" s="34">
        <f>AY20-(J20-L20+N20-Q20)</f>
        <v/>
      </c>
      <c r="BL20" s="34">
        <f>IF(AND(BK20&gt;0,MIN($F20:$G20)&lt;150,$E20="Enerji Açığı"),-100*BK20*1.03,IF(AND(BK20&gt;0,MIN($F20:$G20)&lt;150,$E20="Enerji Fazlası"),-100*BK20*1.06,IF(AND(BK20&gt;0,MIN($F20:$G20)&gt;=150,$E20="Enerji Açığı"),BK20*MIN($F20:$G20)*0.97,IF(AND(BK20&gt;0,MIN($F20:$G20)&gt;=150,$E20="Enerji Fazlası"),BK20*MIN($F20:$G20)*0.94,IF(AND(BK20&lt;0,MAX($F20:$G20)=4500,$E20="Enerji Açığı"),4500*1.05*1.06*BK20,IF(AND(BK20&lt;0,MAX($F20:$G20)=4500,$E20="Enerji Fazlası"),4500*1.05*1.03*BK20,IF(AND(BK20&lt;0,$E20="Enerji Açığı"),MAX($F20,$G20,150)*BK20*1.06,IF(AND(BK20&lt;0,$E20="Enerji Fazlası"),MAX($F20,$G20,150)*BK20*1.03,IF(AND(BK20&lt;0,$E20="Dengede"),MAX($F20:$G20,150)*1.03*BK20,MIN($F20:$G20)*0.97*BK20)))))))))</f>
        <v/>
      </c>
      <c r="BM20" s="34">
        <f>BE20-BI20-BN20</f>
        <v/>
      </c>
      <c r="BN20" s="34">
        <f>BB20</f>
        <v/>
      </c>
      <c r="BO20" s="34">
        <f>BE20-BI20</f>
        <v/>
      </c>
      <c r="BP20" s="34">
        <f>IF(AY20=0,0,BO20/AY20)</f>
        <v/>
      </c>
      <c r="BQ20" s="34">
        <f>MAX((AY20+MAX((-J20+L20-N20+Q20),0)),(MAX((J20-L20+N20-Q20),0)))</f>
        <v/>
      </c>
      <c r="BR20" s="82">
        <f>IFERROR(ABS(BK20/BQ20),0)</f>
        <v/>
      </c>
      <c r="BS20" s="34">
        <f>IF(BR20&lt;=0.1,0,BK20/BR20*(BR20-0.1))</f>
        <v/>
      </c>
      <c r="BT20" s="34">
        <f>IF((BS20)&lt;0,MAX(F20:G20)*(BS20)*1.03,MIN(F20:G20)*(BS20)*0.97)</f>
        <v/>
      </c>
      <c r="BU20" s="34">
        <f>IF(BR20&gt;0.1,1,0)</f>
        <v/>
      </c>
      <c r="BV20" s="34">
        <f>BF20+BG20+BH20+BY20-CA20</f>
        <v/>
      </c>
      <c r="BW20" s="34">
        <f>ABS(BX20)</f>
        <v/>
      </c>
      <c r="BX20" s="34">
        <f>AY20-(J20-L20+N20-Q20+T20-X20)</f>
        <v/>
      </c>
      <c r="BY20" s="34">
        <f>IF(AND(BX20&gt;0,MIN($F20:$G20)&lt;150,$E20="Enerji Açığı"),-100*BX20*1.03,IF(AND(BX20&gt;0,MIN($F20:$G20)&lt;150,$E20="Enerji Fazlası"),-100*BX20*1.06,IF(AND(BX20&gt;0,MIN($F20:$G20)&gt;=150,$E20="Enerji Açığı"),BX20*MIN($F20:$G20)*0.97,IF(AND(BX20&gt;0,MIN($F20:$G20)&gt;=150,$E20="Enerji Fazlası"),BX20*MIN($F20:$G20)*0.94,IF(AND(BX20&lt;0,MAX($F20:$G20)=4500,$E20="Enerji Açığı"),4500*1.05*1.06*BX20,IF(AND(BX20&lt;0,MAX($F20:$G20)=4500,$E20="Enerji Fazlası"),4500*1.05*1.03*BX20,IF(AND(BX20&lt;0,$E20="Enerji Açığı"),MAX($F20,$G20,150)*BX20*1.06,IF(AND(BX20&lt;0,$E20="Enerji Fazlası"),MAX($F20,$G20,150)*BX20*1.03,IF(AND(BX20&lt;0,$E20="Dengede"),MAX($F20:$G20,150)*1.03*BX20,MIN($F20:$G20)*0.97*BX20)))))))))</f>
        <v/>
      </c>
      <c r="BZ20" s="34">
        <f>BE20-BV20-CA20</f>
        <v/>
      </c>
      <c r="CA20" s="34">
        <f>BD20</f>
        <v/>
      </c>
      <c r="CB20" s="33">
        <f>BE20-BV20</f>
        <v/>
      </c>
      <c r="CC20" s="34">
        <f>IF(AY20=0,0,CB20/AY20)</f>
        <v/>
      </c>
      <c r="CD20" s="34">
        <f>MAX((AY20+MAX((-J20+L20-N20+Q20-T20+X20),0)),(MAX((J20-L20+N20-Q20+T20-X20),0)))</f>
        <v/>
      </c>
      <c r="CE20" s="82">
        <f>IFERROR(ABS(BX20/CD20),0)</f>
        <v/>
      </c>
      <c r="CF20" s="34">
        <f>IF(CE20&lt;=0.1,0,BX20/CE20*(CE20-0.1))</f>
        <v/>
      </c>
      <c r="CG20" s="34">
        <f>IF((CF20)&lt;0,MAX(F20:G20)*(CF20)*1.03,MIN(F20:G20)*(CF20)*0.97)</f>
        <v/>
      </c>
      <c r="CH20" s="34">
        <f>IF(CE20&gt;0.1,1,0)</f>
        <v/>
      </c>
      <c r="CI20" s="34">
        <f>(F20*BX20)-BY20</f>
        <v/>
      </c>
      <c r="CJ20" s="34">
        <f>IF(AY20=0,0,CI20/AY20)</f>
        <v/>
      </c>
    </row>
    <row r="21">
      <c r="A21" s="29" t="n">
        <v>46204.75</v>
      </c>
      <c r="B21" s="29" t="inlineStr">
        <is>
          <t>18:00</t>
        </is>
      </c>
      <c r="C21" s="35">
        <f>INT(A21)</f>
        <v/>
      </c>
      <c r="D21" s="36">
        <f>MONTH(A21)</f>
        <v/>
      </c>
      <c r="E21" s="147">
        <f>[1]FİYATLAR!G20</f>
        <v/>
      </c>
      <c r="F21" s="30" t="n">
        <v>4200</v>
      </c>
      <c r="G21" s="30" t="n">
        <v>4200</v>
      </c>
      <c r="H21" s="30" t="n">
        <v>90.22</v>
      </c>
      <c r="I21" s="30" t="n">
        <v>3865.12</v>
      </c>
      <c r="J21" s="119" t="n">
        <v>0</v>
      </c>
      <c r="K21" s="34">
        <f>F21*J21</f>
        <v/>
      </c>
      <c r="L21" s="119" t="n">
        <v>0</v>
      </c>
      <c r="M21" s="34">
        <f>L21*F21</f>
        <v/>
      </c>
      <c r="N21" s="119" t="n">
        <v>22.3</v>
      </c>
      <c r="O21" s="34">
        <f>F21</f>
        <v/>
      </c>
      <c r="P21" s="34">
        <f>N21*O21</f>
        <v/>
      </c>
      <c r="Q21" s="119" t="n">
        <v>0</v>
      </c>
      <c r="R21" s="34">
        <f>F21</f>
        <v/>
      </c>
      <c r="S21" s="34">
        <f>R21*Q21</f>
        <v/>
      </c>
      <c r="T21" s="34">
        <f>SUMIFS('[1]GİP VERİLERİ'!$C:$C,'[1]GİP VERİLERİ'!$B:$B,A21,'[1]GİP VERİLERİ'!$M:$M,"40X000000104782K",'[1]GİP VERİLERİ'!$G:$G,"SELL")</f>
        <v/>
      </c>
      <c r="U21" s="34">
        <f>IFERROR(W21/T21,0)</f>
        <v/>
      </c>
      <c r="V21" s="34">
        <f>IF(U21=0,0,U21-F21)</f>
        <v/>
      </c>
      <c r="W21" s="34">
        <f>SUMIFS('[1]GİP VERİLERİ'!$O:$O,'[1]GİP VERİLERİ'!$B:$B,A21,'[1]GİP VERİLERİ'!$M:$M,"40X000000104782K",'[1]GİP VERİLERİ'!$G:$G,"SELL")</f>
        <v/>
      </c>
      <c r="X21" s="34">
        <f>SUMIFS('[1]GİP VERİLERİ'!$C:$C,'[1]GİP VERİLERİ'!$B:$B,A21,'[1]GİP VERİLERİ'!$M:$M,"40X000000104782K",'[1]GİP VERİLERİ'!$G:$G,"BUY")</f>
        <v/>
      </c>
      <c r="Y21" s="34">
        <f>IFERROR(AA21/X21,0)</f>
        <v/>
      </c>
      <c r="Z21" s="34">
        <f>IF(Y21=0,0,F21-Y21)</f>
        <v/>
      </c>
      <c r="AA21" s="34">
        <f>SUMIFS('[1]GİP VERİLERİ'!$O:$O,'[1]GİP VERİLERİ'!$B:$B,A21,'[1]GİP VERİLERİ'!$M:$M,"40X000000104782K",'[1]GİP VERİLERİ'!$G:$G,"BUY")</f>
        <v/>
      </c>
      <c r="AB21" s="34" t="n">
        <v>0</v>
      </c>
      <c r="AC21" s="34" t="n">
        <v>0</v>
      </c>
      <c r="AD21" s="34">
        <f>IF(AB21&gt;AC21*1.05,AB21-AC21*1.05,IF(AB21&lt;AC21*0.95,AC21*0.95-AB21,0))</f>
        <v/>
      </c>
      <c r="AE21" s="34">
        <f>MAX(F21,G21,750)*0.05*AD21</f>
        <v/>
      </c>
      <c r="AF21" s="34" t="n">
        <v>0</v>
      </c>
      <c r="AG21" s="34">
        <f>IF(AB21&gt;AF21*1.05,AB21-AF21*1.05,IF(AB21&lt;AF21*0.95,AF21*0.95-AB21,0))</f>
        <v/>
      </c>
      <c r="AH21" s="34">
        <f>MAX(I21,J21,750)*0.05*AG21</f>
        <v/>
      </c>
      <c r="AI21" t="n">
        <v>9.19</v>
      </c>
      <c r="AJ21" t="n">
        <v>9</v>
      </c>
      <c r="AK21" s="34">
        <f>IF(AI21&gt;AJ21*1.05,AI21-AJ21*1.05,IF(AI21&lt;AJ21*0.95,AJ21*0.95-AI21,0))</f>
        <v/>
      </c>
      <c r="AL21" s="34">
        <f>MAX(F21,G21,750)*0.05*AK21</f>
        <v/>
      </c>
      <c r="AM21" s="39" t="n">
        <v>9</v>
      </c>
      <c r="AN21" s="34">
        <f>IF(AI21&gt;AM21*1.05,AI21-AM21*1.05,IF(AI21&lt;AM21*0.95,AM21*0.95-AI21,0))</f>
        <v/>
      </c>
      <c r="AO21" s="34">
        <f>MAX(F21,G21,750)*0.05*AN21</f>
        <v/>
      </c>
      <c r="AP21" s="34" t="n">
        <v>14.64</v>
      </c>
      <c r="AQ21" s="34" t="n">
        <v>13.3</v>
      </c>
      <c r="AR21" s="34">
        <f>IF(AP21&gt;AQ21*1.05,AP21-AQ21*1.05,IF(AP21&lt;AQ21*0.95,AQ21*0.95-AP21,0))</f>
        <v/>
      </c>
      <c r="AS21" s="34">
        <f>MAX(F21:G21,750)*0.05*AR21</f>
        <v/>
      </c>
      <c r="AT21" t="n">
        <v>14.5</v>
      </c>
      <c r="AU21" s="34">
        <f>IF(AP21&gt;AT21*1.05,AP21-AT21*1.05,IF(AP21&lt;AT21*0.95,AT21*0.95-AP21,0))</f>
        <v/>
      </c>
      <c r="AV21" s="34">
        <f>MAX(F21:G21,750)*0.05*AU21</f>
        <v/>
      </c>
      <c r="AW21" s="34">
        <f>AC21+AJ21+AQ21</f>
        <v/>
      </c>
      <c r="AX21" s="34">
        <f>AF21+AM21+AT21</f>
        <v/>
      </c>
      <c r="AY21" s="34">
        <f>AB21+AI21+AP21</f>
        <v/>
      </c>
      <c r="AZ21" s="34" t="n">
        <v>0</v>
      </c>
      <c r="BA21" s="34">
        <f>AD21+AK21+AR21</f>
        <v/>
      </c>
      <c r="BB21" s="34">
        <f>MAX(F21:G21,750)*0.05*BA21</f>
        <v/>
      </c>
      <c r="BC21" s="34">
        <f>AG21+AN21+AU21</f>
        <v/>
      </c>
      <c r="BD21" s="34">
        <f>MAX(F21:G21,750)*0.05*BC21</f>
        <v/>
      </c>
      <c r="BE21" s="34">
        <f>F21*AY21</f>
        <v/>
      </c>
      <c r="BF21" s="34">
        <f>K21-M21</f>
        <v/>
      </c>
      <c r="BG21" s="34">
        <f>P21-S21</f>
        <v/>
      </c>
      <c r="BH21" s="34">
        <f>W21-AA21</f>
        <v/>
      </c>
      <c r="BI21" s="34">
        <f>BF21+BG21+BL21-BN21</f>
        <v/>
      </c>
      <c r="BJ21" s="34">
        <f>ABS(BK21)</f>
        <v/>
      </c>
      <c r="BK21" s="34">
        <f>AY21-(J21-L21+N21-Q21)</f>
        <v/>
      </c>
      <c r="BL21" s="34">
        <f>IF(AND(BK21&gt;0,MIN($F21:$G21)&lt;150,$E21="Enerji Açığı"),-100*BK21*1.03,IF(AND(BK21&gt;0,MIN($F21:$G21)&lt;150,$E21="Enerji Fazlası"),-100*BK21*1.06,IF(AND(BK21&gt;0,MIN($F21:$G21)&gt;=150,$E21="Enerji Açığı"),BK21*MIN($F21:$G21)*0.97,IF(AND(BK21&gt;0,MIN($F21:$G21)&gt;=150,$E21="Enerji Fazlası"),BK21*MIN($F21:$G21)*0.94,IF(AND(BK21&lt;0,MAX($F21:$G21)=4500,$E21="Enerji Açığı"),4500*1.05*1.06*BK21,IF(AND(BK21&lt;0,MAX($F21:$G21)=4500,$E21="Enerji Fazlası"),4500*1.05*1.03*BK21,IF(AND(BK21&lt;0,$E21="Enerji Açığı"),MAX($F21,$G21,150)*BK21*1.06,IF(AND(BK21&lt;0,$E21="Enerji Fazlası"),MAX($F21,$G21,150)*BK21*1.03,IF(AND(BK21&lt;0,$E21="Dengede"),MAX($F21:$G21,150)*1.03*BK21,MIN($F21:$G21)*0.97*BK21)))))))))</f>
        <v/>
      </c>
      <c r="BM21" s="34">
        <f>BE21-BI21-BN21</f>
        <v/>
      </c>
      <c r="BN21" s="34">
        <f>BB21</f>
        <v/>
      </c>
      <c r="BO21" s="34">
        <f>BE21-BI21</f>
        <v/>
      </c>
      <c r="BP21" s="34">
        <f>IF(AY21=0,0,BO21/AY21)</f>
        <v/>
      </c>
      <c r="BQ21" s="34">
        <f>MAX((AY21+MAX((-J21+L21-N21+Q21),0)),(MAX((J21-L21+N21-Q21),0)))</f>
        <v/>
      </c>
      <c r="BR21" s="82">
        <f>IFERROR(ABS(BK21/BQ21),0)</f>
        <v/>
      </c>
      <c r="BS21" s="34">
        <f>IF(BR21&lt;=0.1,0,BK21/BR21*(BR21-0.1))</f>
        <v/>
      </c>
      <c r="BT21" s="34">
        <f>IF((BS21)&lt;0,MAX(F21:G21)*(BS21)*1.03,MIN(F21:G21)*(BS21)*0.97)</f>
        <v/>
      </c>
      <c r="BU21" s="34">
        <f>IF(BR21&gt;0.1,1,0)</f>
        <v/>
      </c>
      <c r="BV21" s="34">
        <f>BF21+BG21+BH21+BY21-CA21</f>
        <v/>
      </c>
      <c r="BW21" s="34">
        <f>ABS(BX21)</f>
        <v/>
      </c>
      <c r="BX21" s="34">
        <f>AY21-(J21-L21+N21-Q21+T21-X21)</f>
        <v/>
      </c>
      <c r="BY21" s="34">
        <f>IF(AND(BX21&gt;0,MIN($F21:$G21)&lt;150,$E21="Enerji Açığı"),-100*BX21*1.03,IF(AND(BX21&gt;0,MIN($F21:$G21)&lt;150,$E21="Enerji Fazlası"),-100*BX21*1.06,IF(AND(BX21&gt;0,MIN($F21:$G21)&gt;=150,$E21="Enerji Açığı"),BX21*MIN($F21:$G21)*0.97,IF(AND(BX21&gt;0,MIN($F21:$G21)&gt;=150,$E21="Enerji Fazlası"),BX21*MIN($F21:$G21)*0.94,IF(AND(BX21&lt;0,MAX($F21:$G21)=4500,$E21="Enerji Açığı"),4500*1.05*1.06*BX21,IF(AND(BX21&lt;0,MAX($F21:$G21)=4500,$E21="Enerji Fazlası"),4500*1.05*1.03*BX21,IF(AND(BX21&lt;0,$E21="Enerji Açığı"),MAX($F21,$G21,150)*BX21*1.06,IF(AND(BX21&lt;0,$E21="Enerji Fazlası"),MAX($F21,$G21,150)*BX21*1.03,IF(AND(BX21&lt;0,$E21="Dengede"),MAX($F21:$G21,150)*1.03*BX21,MIN($F21:$G21)*0.97*BX21)))))))))</f>
        <v/>
      </c>
      <c r="BZ21" s="34">
        <f>BE21-BV21-CA21</f>
        <v/>
      </c>
      <c r="CA21" s="34">
        <f>BD21</f>
        <v/>
      </c>
      <c r="CB21" s="33">
        <f>BE21-BV21</f>
        <v/>
      </c>
      <c r="CC21" s="34">
        <f>IF(AY21=0,0,CB21/AY21)</f>
        <v/>
      </c>
      <c r="CD21" s="34">
        <f>MAX((AY21+MAX((-J21+L21-N21+Q21-T21+X21),0)),(MAX((J21-L21+N21-Q21+T21-X21),0)))</f>
        <v/>
      </c>
      <c r="CE21" s="82">
        <f>IFERROR(ABS(BX21/CD21),0)</f>
        <v/>
      </c>
      <c r="CF21" s="34">
        <f>IF(CE21&lt;=0.1,0,BX21/CE21*(CE21-0.1))</f>
        <v/>
      </c>
      <c r="CG21" s="34">
        <f>IF((CF21)&lt;0,MAX(F21:G21)*(CF21)*1.03,MIN(F21:G21)*(CF21)*0.97)</f>
        <v/>
      </c>
      <c r="CH21" s="34">
        <f>IF(CE21&gt;0.1,1,0)</f>
        <v/>
      </c>
      <c r="CI21" s="34">
        <f>(F21*BX21)-BY21</f>
        <v/>
      </c>
      <c r="CJ21" s="34">
        <f>IF(AY21=0,0,CI21/AY21)</f>
        <v/>
      </c>
    </row>
    <row r="22">
      <c r="A22" s="29" t="n">
        <v>46204.79166666666</v>
      </c>
      <c r="B22" s="29" t="inlineStr">
        <is>
          <t>19:00</t>
        </is>
      </c>
      <c r="C22" s="35">
        <f>INT(A22)</f>
        <v/>
      </c>
      <c r="D22" s="36">
        <f>MONTH(A22)</f>
        <v/>
      </c>
      <c r="E22" s="147">
        <f>[1]FİYATLAR!G21</f>
        <v/>
      </c>
      <c r="F22" s="30" t="n">
        <v>3800</v>
      </c>
      <c r="G22" s="30" t="n">
        <v>4320</v>
      </c>
      <c r="H22" s="30" t="n">
        <v>81.62</v>
      </c>
      <c r="I22" s="30" t="n">
        <v>3933.95</v>
      </c>
      <c r="J22" s="119" t="n">
        <v>0</v>
      </c>
      <c r="K22" s="34">
        <f>F22*J22</f>
        <v/>
      </c>
      <c r="L22" s="119" t="n">
        <v>0</v>
      </c>
      <c r="M22" s="34">
        <f>L22*F22</f>
        <v/>
      </c>
      <c r="N22" s="119" t="n">
        <v>22.2</v>
      </c>
      <c r="O22" s="34">
        <f>F22</f>
        <v/>
      </c>
      <c r="P22" s="34">
        <f>N22*O22</f>
        <v/>
      </c>
      <c r="Q22" s="119" t="n">
        <v>0</v>
      </c>
      <c r="R22" s="34">
        <f>F22</f>
        <v/>
      </c>
      <c r="S22" s="34">
        <f>R22*Q22</f>
        <v/>
      </c>
      <c r="T22" s="34">
        <f>SUMIFS('[1]GİP VERİLERİ'!$C:$C,'[1]GİP VERİLERİ'!$B:$B,A22,'[1]GİP VERİLERİ'!$M:$M,"40X000000104782K",'[1]GİP VERİLERİ'!$G:$G,"SELL")</f>
        <v/>
      </c>
      <c r="U22" s="34">
        <f>IFERROR(W22/T22,0)</f>
        <v/>
      </c>
      <c r="V22" s="34">
        <f>IF(U22=0,0,U22-F22)</f>
        <v/>
      </c>
      <c r="W22" s="34">
        <f>SUMIFS('[1]GİP VERİLERİ'!$O:$O,'[1]GİP VERİLERİ'!$B:$B,A22,'[1]GİP VERİLERİ'!$M:$M,"40X000000104782K",'[1]GİP VERİLERİ'!$G:$G,"SELL")</f>
        <v/>
      </c>
      <c r="X22" s="34">
        <f>SUMIFS('[1]GİP VERİLERİ'!$C:$C,'[1]GİP VERİLERİ'!$B:$B,A22,'[1]GİP VERİLERİ'!$M:$M,"40X000000104782K",'[1]GİP VERİLERİ'!$G:$G,"BUY")</f>
        <v/>
      </c>
      <c r="Y22" s="34">
        <f>IFERROR(AA22/X22,0)</f>
        <v/>
      </c>
      <c r="Z22" s="34">
        <f>IF(Y22=0,0,F22-Y22)</f>
        <v/>
      </c>
      <c r="AA22" s="34">
        <f>SUMIFS('[1]GİP VERİLERİ'!$O:$O,'[1]GİP VERİLERİ'!$B:$B,A22,'[1]GİP VERİLERİ'!$M:$M,"40X000000104782K",'[1]GİP VERİLERİ'!$G:$G,"BUY")</f>
        <v/>
      </c>
      <c r="AB22" s="34" t="n">
        <v>0</v>
      </c>
      <c r="AC22" s="34" t="n">
        <v>0</v>
      </c>
      <c r="AD22" s="34">
        <f>IF(AB22&gt;AC22*1.05,AB22-AC22*1.05,IF(AB22&lt;AC22*0.95,AC22*0.95-AB22,0))</f>
        <v/>
      </c>
      <c r="AE22" s="34">
        <f>MAX(F22,G22,750)*0.05*AD22</f>
        <v/>
      </c>
      <c r="AF22" s="34" t="n">
        <v>0</v>
      </c>
      <c r="AG22" s="34">
        <f>IF(AB22&gt;AF22*1.05,AB22-AF22*1.05,IF(AB22&lt;AF22*0.95,AF22*0.95-AB22,0))</f>
        <v/>
      </c>
      <c r="AH22" s="34">
        <f>MAX(I22,J22,750)*0.05*AG22</f>
        <v/>
      </c>
      <c r="AI22" t="n">
        <v>12.1</v>
      </c>
      <c r="AJ22" t="n">
        <v>9</v>
      </c>
      <c r="AK22" s="34">
        <f>IF(AI22&gt;AJ22*1.05,AI22-AJ22*1.05,IF(AI22&lt;AJ22*0.95,AJ22*0.95-AI22,0))</f>
        <v/>
      </c>
      <c r="AL22" s="34">
        <f>MAX(F22,G22,750)*0.05*AK22</f>
        <v/>
      </c>
      <c r="AM22" s="39" t="n">
        <v>11</v>
      </c>
      <c r="AN22" s="34">
        <f>IF(AI22&gt;AM22*1.05,AI22-AM22*1.05,IF(AI22&lt;AM22*0.95,AM22*0.95-AI22,0))</f>
        <v/>
      </c>
      <c r="AO22" s="34">
        <f>MAX(F22,G22,750)*0.05*AN22</f>
        <v/>
      </c>
      <c r="AP22" s="34" t="n">
        <v>14.81</v>
      </c>
      <c r="AQ22" s="34" t="n">
        <v>13.2</v>
      </c>
      <c r="AR22" s="34">
        <f>IF(AP22&gt;AQ22*1.05,AP22-AQ22*1.05,IF(AP22&lt;AQ22*0.95,AQ22*0.95-AP22,0))</f>
        <v/>
      </c>
      <c r="AS22" s="34">
        <f>MAX(F22:G22,750)*0.05*AR22</f>
        <v/>
      </c>
      <c r="AT22" t="n">
        <v>15.5</v>
      </c>
      <c r="AU22" s="34">
        <f>IF(AP22&gt;AT22*1.05,AP22-AT22*1.05,IF(AP22&lt;AT22*0.95,AT22*0.95-AP22,0))</f>
        <v/>
      </c>
      <c r="AV22" s="34">
        <f>MAX(F22:G22,750)*0.05*AU22</f>
        <v/>
      </c>
      <c r="AW22" s="34">
        <f>AC22+AJ22+AQ22</f>
        <v/>
      </c>
      <c r="AX22" s="34">
        <f>AF22+AM22+AT22</f>
        <v/>
      </c>
      <c r="AY22" s="34">
        <f>AB22+AI22+AP22</f>
        <v/>
      </c>
      <c r="AZ22" s="34" t="n">
        <v>0</v>
      </c>
      <c r="BA22" s="34">
        <f>AD22+AK22+AR22</f>
        <v/>
      </c>
      <c r="BB22" s="34">
        <f>MAX(F22:G22,750)*0.05*BA22</f>
        <v/>
      </c>
      <c r="BC22" s="34">
        <f>AG22+AN22+AU22</f>
        <v/>
      </c>
      <c r="BD22" s="34">
        <f>MAX(F22:G22,750)*0.05*BC22</f>
        <v/>
      </c>
      <c r="BE22" s="34">
        <f>F22*AY22</f>
        <v/>
      </c>
      <c r="BF22" s="34">
        <f>K22-M22</f>
        <v/>
      </c>
      <c r="BG22" s="34">
        <f>P22-S22</f>
        <v/>
      </c>
      <c r="BH22" s="34">
        <f>W22-AA22</f>
        <v/>
      </c>
      <c r="BI22" s="34">
        <f>BF22+BG22+BL22-BN22</f>
        <v/>
      </c>
      <c r="BJ22" s="34">
        <f>ABS(BK22)</f>
        <v/>
      </c>
      <c r="BK22" s="34">
        <f>AY22-(J22-L22+N22-Q22)</f>
        <v/>
      </c>
      <c r="BL22" s="34">
        <f>IF(AND(BK22&gt;0,MIN($F22:$G22)&lt;150,$E22="Enerji Açığı"),-100*BK22*1.03,IF(AND(BK22&gt;0,MIN($F22:$G22)&lt;150,$E22="Enerji Fazlası"),-100*BK22*1.06,IF(AND(BK22&gt;0,MIN($F22:$G22)&gt;=150,$E22="Enerji Açığı"),BK22*MIN($F22:$G22)*0.97,IF(AND(BK22&gt;0,MIN($F22:$G22)&gt;=150,$E22="Enerji Fazlası"),BK22*MIN($F22:$G22)*0.94,IF(AND(BK22&lt;0,MAX($F22:$G22)=4500,$E22="Enerji Açığı"),4500*1.05*1.06*BK22,IF(AND(BK22&lt;0,MAX($F22:$G22)=4500,$E22="Enerji Fazlası"),4500*1.05*1.03*BK22,IF(AND(BK22&lt;0,$E22="Enerji Açığı"),MAX($F22,$G22,150)*BK22*1.06,IF(AND(BK22&lt;0,$E22="Enerji Fazlası"),MAX($F22,$G22,150)*BK22*1.03,IF(AND(BK22&lt;0,$E22="Dengede"),MAX($F22:$G22,150)*1.03*BK22,MIN($F22:$G22)*0.97*BK22)))))))))</f>
        <v/>
      </c>
      <c r="BM22" s="34">
        <f>BE22-BI22-BN22</f>
        <v/>
      </c>
      <c r="BN22" s="34">
        <f>BB22</f>
        <v/>
      </c>
      <c r="BO22" s="34">
        <f>BE22-BI22</f>
        <v/>
      </c>
      <c r="BP22" s="34">
        <f>IF(AY22=0,0,BO22/AY22)</f>
        <v/>
      </c>
      <c r="BQ22" s="34">
        <f>MAX((AY22+MAX((-J22+L22-N22+Q22),0)),(MAX((J22-L22+N22-Q22),0)))</f>
        <v/>
      </c>
      <c r="BR22" s="82">
        <f>IFERROR(ABS(BK22/BQ22),0)</f>
        <v/>
      </c>
      <c r="BS22" s="34">
        <f>IF(BR22&lt;=0.1,0,BK22/BR22*(BR22-0.1))</f>
        <v/>
      </c>
      <c r="BT22" s="34">
        <f>IF((BS22)&lt;0,MAX(F22:G22)*(BS22)*1.03,MIN(F22:G22)*(BS22)*0.97)</f>
        <v/>
      </c>
      <c r="BU22" s="34">
        <f>IF(BR22&gt;0.1,1,0)</f>
        <v/>
      </c>
      <c r="BV22" s="34">
        <f>BF22+BG22+BH22+BY22-CA22</f>
        <v/>
      </c>
      <c r="BW22" s="34">
        <f>ABS(BX22)</f>
        <v/>
      </c>
      <c r="BX22" s="34">
        <f>AY22-(J22-L22+N22-Q22+T22-X22)</f>
        <v/>
      </c>
      <c r="BY22" s="34">
        <f>IF(AND(BX22&gt;0,MIN($F22:$G22)&lt;150,$E22="Enerji Açığı"),-100*BX22*1.03,IF(AND(BX22&gt;0,MIN($F22:$G22)&lt;150,$E22="Enerji Fazlası"),-100*BX22*1.06,IF(AND(BX22&gt;0,MIN($F22:$G22)&gt;=150,$E22="Enerji Açığı"),BX22*MIN($F22:$G22)*0.97,IF(AND(BX22&gt;0,MIN($F22:$G22)&gt;=150,$E22="Enerji Fazlası"),BX22*MIN($F22:$G22)*0.94,IF(AND(BX22&lt;0,MAX($F22:$G22)=4500,$E22="Enerji Açığı"),4500*1.05*1.06*BX22,IF(AND(BX22&lt;0,MAX($F22:$G22)=4500,$E22="Enerji Fazlası"),4500*1.05*1.03*BX22,IF(AND(BX22&lt;0,$E22="Enerji Açığı"),MAX($F22,$G22,150)*BX22*1.06,IF(AND(BX22&lt;0,$E22="Enerji Fazlası"),MAX($F22,$G22,150)*BX22*1.03,IF(AND(BX22&lt;0,$E22="Dengede"),MAX($F22:$G22,150)*1.03*BX22,MIN($F22:$G22)*0.97*BX22)))))))))</f>
        <v/>
      </c>
      <c r="BZ22" s="34">
        <f>BE22-BV22-CA22</f>
        <v/>
      </c>
      <c r="CA22" s="34">
        <f>BD22</f>
        <v/>
      </c>
      <c r="CB22" s="33">
        <f>BE22-BV22</f>
        <v/>
      </c>
      <c r="CC22" s="34">
        <f>IF(AY22=0,0,CB22/AY22)</f>
        <v/>
      </c>
      <c r="CD22" s="34">
        <f>MAX((AY22+MAX((-J22+L22-N22+Q22-T22+X22),0)),(MAX((J22-L22+N22-Q22+T22-X22),0)))</f>
        <v/>
      </c>
      <c r="CE22" s="82">
        <f>IFERROR(ABS(BX22/CD22),0)</f>
        <v/>
      </c>
      <c r="CF22" s="34">
        <f>IF(CE22&lt;=0.1,0,BX22/CE22*(CE22-0.1))</f>
        <v/>
      </c>
      <c r="CG22" s="34">
        <f>IF((CF22)&lt;0,MAX(F22:G22)*(CF22)*1.03,MIN(F22:G22)*(CF22)*0.97)</f>
        <v/>
      </c>
      <c r="CH22" s="34">
        <f>IF(CE22&gt;0.1,1,0)</f>
        <v/>
      </c>
      <c r="CI22" s="34">
        <f>(F22*BX22)-BY22</f>
        <v/>
      </c>
      <c r="CJ22" s="34">
        <f>IF(AY22=0,0,CI22/AY22)</f>
        <v/>
      </c>
    </row>
    <row r="23">
      <c r="A23" s="29" t="n">
        <v>46204.83333333334</v>
      </c>
      <c r="B23" s="29" t="inlineStr">
        <is>
          <t>20:00</t>
        </is>
      </c>
      <c r="C23" s="35">
        <f>INT(A23)</f>
        <v/>
      </c>
      <c r="D23" s="36">
        <f>MONTH(A23)</f>
        <v/>
      </c>
      <c r="E23" s="147">
        <f>[1]FİYATLAR!G22</f>
        <v/>
      </c>
      <c r="F23" s="30" t="n">
        <v>4400</v>
      </c>
      <c r="G23" s="30" t="n">
        <v>4400</v>
      </c>
      <c r="H23" s="30" t="n">
        <v>94.51000000000001</v>
      </c>
      <c r="I23" s="30" t="n">
        <v>4277.88</v>
      </c>
      <c r="J23" s="119" t="n">
        <v>0</v>
      </c>
      <c r="K23" s="34">
        <f>F23*J23</f>
        <v/>
      </c>
      <c r="L23" s="119" t="n">
        <v>0</v>
      </c>
      <c r="M23" s="34">
        <f>L23*F23</f>
        <v/>
      </c>
      <c r="N23" s="119" t="n">
        <v>22</v>
      </c>
      <c r="O23" s="34">
        <f>F23</f>
        <v/>
      </c>
      <c r="P23" s="34">
        <f>N23*O23</f>
        <v/>
      </c>
      <c r="Q23" s="119" t="n">
        <v>0</v>
      </c>
      <c r="R23" s="34">
        <f>F23</f>
        <v/>
      </c>
      <c r="S23" s="34">
        <f>R23*Q23</f>
        <v/>
      </c>
      <c r="T23" s="34">
        <f>SUMIFS('[1]GİP VERİLERİ'!$C:$C,'[1]GİP VERİLERİ'!$B:$B,A23,'[1]GİP VERİLERİ'!$M:$M,"40X000000104782K",'[1]GİP VERİLERİ'!$G:$G,"SELL")</f>
        <v/>
      </c>
      <c r="U23" s="34">
        <f>IFERROR(W23/T23,0)</f>
        <v/>
      </c>
      <c r="V23" s="34">
        <f>IF(U23=0,0,U23-F23)</f>
        <v/>
      </c>
      <c r="W23" s="34">
        <f>SUMIFS('[1]GİP VERİLERİ'!$O:$O,'[1]GİP VERİLERİ'!$B:$B,A23,'[1]GİP VERİLERİ'!$M:$M,"40X000000104782K",'[1]GİP VERİLERİ'!$G:$G,"SELL")</f>
        <v/>
      </c>
      <c r="X23" s="34">
        <f>SUMIFS('[1]GİP VERİLERİ'!$C:$C,'[1]GİP VERİLERİ'!$B:$B,A23,'[1]GİP VERİLERİ'!$M:$M,"40X000000104782K",'[1]GİP VERİLERİ'!$G:$G,"BUY")</f>
        <v/>
      </c>
      <c r="Y23" s="34">
        <f>IFERROR(AA23/X23,0)</f>
        <v/>
      </c>
      <c r="Z23" s="34">
        <f>IF(Y23=0,0,F23-Y23)</f>
        <v/>
      </c>
      <c r="AA23" s="34">
        <f>SUMIFS('[1]GİP VERİLERİ'!$O:$O,'[1]GİP VERİLERİ'!$B:$B,A23,'[1]GİP VERİLERİ'!$M:$M,"40X000000104782K",'[1]GİP VERİLERİ'!$G:$G,"BUY")</f>
        <v/>
      </c>
      <c r="AB23" s="34" t="n">
        <v>0</v>
      </c>
      <c r="AC23" s="34" t="n">
        <v>0</v>
      </c>
      <c r="AD23" s="34">
        <f>IF(AB23&gt;AC23*1.05,AB23-AC23*1.05,IF(AB23&lt;AC23*0.95,AC23*0.95-AB23,0))</f>
        <v/>
      </c>
      <c r="AE23" s="34">
        <f>MAX(F23,G23,750)*0.05*AD23</f>
        <v/>
      </c>
      <c r="AF23" s="34" t="n">
        <v>0</v>
      </c>
      <c r="AG23" s="34">
        <f>IF(AB23&gt;AF23*1.05,AB23-AF23*1.05,IF(AB23&lt;AF23*0.95,AF23*0.95-AB23,0))</f>
        <v/>
      </c>
      <c r="AH23" s="34">
        <f>MAX(I23,J23,750)*0.05*AG23</f>
        <v/>
      </c>
      <c r="AI23" t="n">
        <v>12.61</v>
      </c>
      <c r="AJ23" t="n">
        <v>9</v>
      </c>
      <c r="AK23" s="34">
        <f>IF(AI23&gt;AJ23*1.05,AI23-AJ23*1.05,IF(AI23&lt;AJ23*0.95,AJ23*0.95-AI23,0))</f>
        <v/>
      </c>
      <c r="AL23" s="34">
        <f>MAX(F23,G23,750)*0.05*AK23</f>
        <v/>
      </c>
      <c r="AM23" s="39" t="n">
        <v>11</v>
      </c>
      <c r="AN23" s="34">
        <f>IF(AI23&gt;AM23*1.05,AI23-AM23*1.05,IF(AI23&lt;AM23*0.95,AM23*0.95-AI23,0))</f>
        <v/>
      </c>
      <c r="AO23" s="34">
        <f>MAX(F23,G23,750)*0.05*AN23</f>
        <v/>
      </c>
      <c r="AP23" s="34" t="n">
        <v>14.22</v>
      </c>
      <c r="AQ23" s="34" t="n">
        <v>13</v>
      </c>
      <c r="AR23" s="34">
        <f>IF(AP23&gt;AQ23*1.05,AP23-AQ23*1.05,IF(AP23&lt;AQ23*0.95,AQ23*0.95-AP23,0))</f>
        <v/>
      </c>
      <c r="AS23" s="34">
        <f>MAX(F23:G23,750)*0.05*AR23</f>
        <v/>
      </c>
      <c r="AT23" t="n">
        <v>15</v>
      </c>
      <c r="AU23" s="34">
        <f>IF(AP23&gt;AT23*1.05,AP23-AT23*1.05,IF(AP23&lt;AT23*0.95,AT23*0.95-AP23,0))</f>
        <v/>
      </c>
      <c r="AV23" s="34">
        <f>MAX(F23:G23,750)*0.05*AU23</f>
        <v/>
      </c>
      <c r="AW23" s="34">
        <f>AC23+AJ23+AQ23</f>
        <v/>
      </c>
      <c r="AX23" s="34">
        <f>AF23+AM23+AT23</f>
        <v/>
      </c>
      <c r="AY23" s="34">
        <f>AB23+AI23+AP23</f>
        <v/>
      </c>
      <c r="AZ23" s="34" t="n">
        <v>0</v>
      </c>
      <c r="BA23" s="34">
        <f>AD23+AK23+AR23</f>
        <v/>
      </c>
      <c r="BB23" s="34">
        <f>MAX(F23:G23,750)*0.05*BA23</f>
        <v/>
      </c>
      <c r="BC23" s="34">
        <f>AG23+AN23+AU23</f>
        <v/>
      </c>
      <c r="BD23" s="34">
        <f>MAX(F23:G23,750)*0.05*BC23</f>
        <v/>
      </c>
      <c r="BE23" s="34">
        <f>F23*AY23</f>
        <v/>
      </c>
      <c r="BF23" s="34">
        <f>K23-M23</f>
        <v/>
      </c>
      <c r="BG23" s="34">
        <f>P23-S23</f>
        <v/>
      </c>
      <c r="BH23" s="34">
        <f>W23-AA23</f>
        <v/>
      </c>
      <c r="BI23" s="34">
        <f>BF23+BG23+BL23-BN23</f>
        <v/>
      </c>
      <c r="BJ23" s="34">
        <f>ABS(BK23)</f>
        <v/>
      </c>
      <c r="BK23" s="34">
        <f>AY23-(J23-L23+N23-Q23)</f>
        <v/>
      </c>
      <c r="BL23" s="34">
        <f>IF(AND(BK23&gt;0,MIN($F23:$G23)&lt;150,$E23="Enerji Açığı"),-100*BK23*1.03,IF(AND(BK23&gt;0,MIN($F23:$G23)&lt;150,$E23="Enerji Fazlası"),-100*BK23*1.06,IF(AND(BK23&gt;0,MIN($F23:$G23)&gt;=150,$E23="Enerji Açığı"),BK23*MIN($F23:$G23)*0.97,IF(AND(BK23&gt;0,MIN($F23:$G23)&gt;=150,$E23="Enerji Fazlası"),BK23*MIN($F23:$G23)*0.94,IF(AND(BK23&lt;0,MAX($F23:$G23)=4500,$E23="Enerji Açığı"),4500*1.05*1.06*BK23,IF(AND(BK23&lt;0,MAX($F23:$G23)=4500,$E23="Enerji Fazlası"),4500*1.05*1.03*BK23,IF(AND(BK23&lt;0,$E23="Enerji Açığı"),MAX($F23,$G23,150)*BK23*1.06,IF(AND(BK23&lt;0,$E23="Enerji Fazlası"),MAX($F23,$G23,150)*BK23*1.03,IF(AND(BK23&lt;0,$E23="Dengede"),MAX($F23:$G23,150)*1.03*BK23,MIN($F23:$G23)*0.97*BK23)))))))))</f>
        <v/>
      </c>
      <c r="BM23" s="34">
        <f>BE23-BI23-BN23</f>
        <v/>
      </c>
      <c r="BN23" s="34">
        <f>BB23</f>
        <v/>
      </c>
      <c r="BO23" s="34">
        <f>BE23-BI23</f>
        <v/>
      </c>
      <c r="BP23" s="34">
        <f>IF(AY23=0,0,BO23/AY23)</f>
        <v/>
      </c>
      <c r="BQ23" s="34">
        <f>MAX((AY23+MAX((-J23+L23-N23+Q23),0)),(MAX((J23-L23+N23-Q23),0)))</f>
        <v/>
      </c>
      <c r="BR23" s="82">
        <f>IFERROR(ABS(BK23/BQ23),0)</f>
        <v/>
      </c>
      <c r="BS23" s="34">
        <f>IF(BR23&lt;=0.1,0,BK23/BR23*(BR23-0.1))</f>
        <v/>
      </c>
      <c r="BT23" s="34">
        <f>IF((BS23)&lt;0,MAX(F23:G23)*(BS23)*1.03,MIN(F23:G23)*(BS23)*0.97)</f>
        <v/>
      </c>
      <c r="BU23" s="34">
        <f>IF(BR23&gt;0.1,1,0)</f>
        <v/>
      </c>
      <c r="BV23" s="34">
        <f>BF23+BG23+BH23+BY23-CA23</f>
        <v/>
      </c>
      <c r="BW23" s="34">
        <f>ABS(BX23)</f>
        <v/>
      </c>
      <c r="BX23" s="34">
        <f>AY23-(J23-L23+N23-Q23+T23-X23)</f>
        <v/>
      </c>
      <c r="BY23" s="34">
        <f>IF(AND(BX23&gt;0,MIN($F23:$G23)&lt;150,$E23="Enerji Açığı"),-100*BX23*1.03,IF(AND(BX23&gt;0,MIN($F23:$G23)&lt;150,$E23="Enerji Fazlası"),-100*BX23*1.06,IF(AND(BX23&gt;0,MIN($F23:$G23)&gt;=150,$E23="Enerji Açığı"),BX23*MIN($F23:$G23)*0.97,IF(AND(BX23&gt;0,MIN($F23:$G23)&gt;=150,$E23="Enerji Fazlası"),BX23*MIN($F23:$G23)*0.94,IF(AND(BX23&lt;0,MAX($F23:$G23)=4500,$E23="Enerji Açığı"),4500*1.05*1.06*BX23,IF(AND(BX23&lt;0,MAX($F23:$G23)=4500,$E23="Enerji Fazlası"),4500*1.05*1.03*BX23,IF(AND(BX23&lt;0,$E23="Enerji Açığı"),MAX($F23,$G23,150)*BX23*1.06,IF(AND(BX23&lt;0,$E23="Enerji Fazlası"),MAX($F23,$G23,150)*BX23*1.03,IF(AND(BX23&lt;0,$E23="Dengede"),MAX($F23:$G23,150)*1.03*BX23,MIN($F23:$G23)*0.97*BX23)))))))))</f>
        <v/>
      </c>
      <c r="BZ23" s="34">
        <f>BE23-BV23-CA23</f>
        <v/>
      </c>
      <c r="CA23" s="34">
        <f>BD23</f>
        <v/>
      </c>
      <c r="CB23" s="33">
        <f>BE23-BV23</f>
        <v/>
      </c>
      <c r="CC23" s="34">
        <f>IF(AY23=0,0,CB23/AY23)</f>
        <v/>
      </c>
      <c r="CD23" s="34">
        <f>MAX((AY23+MAX((-J23+L23-N23+Q23-T23+X23),0)),(MAX((J23-L23+N23-Q23+T23-X23),0)))</f>
        <v/>
      </c>
      <c r="CE23" s="82">
        <f>IFERROR(ABS(BX23/CD23),0)</f>
        <v/>
      </c>
      <c r="CF23" s="34">
        <f>IF(CE23&lt;=0.1,0,BX23/CE23*(CE23-0.1))</f>
        <v/>
      </c>
      <c r="CG23" s="34">
        <f>IF((CF23)&lt;0,MAX(F23:G23)*(CF23)*1.03,MIN(F23:G23)*(CF23)*0.97)</f>
        <v/>
      </c>
      <c r="CH23" s="34">
        <f>IF(CE23&gt;0.1,1,0)</f>
        <v/>
      </c>
      <c r="CI23" s="34">
        <f>(F23*BX23)-BY23</f>
        <v/>
      </c>
      <c r="CJ23" s="34">
        <f>IF(AY23=0,0,CI23/AY23)</f>
        <v/>
      </c>
    </row>
    <row r="24">
      <c r="A24" s="29" t="n">
        <v>46204.875</v>
      </c>
      <c r="B24" s="29" t="inlineStr">
        <is>
          <t>21:00</t>
        </is>
      </c>
      <c r="C24" s="35">
        <f>INT(A24)</f>
        <v/>
      </c>
      <c r="D24" s="36">
        <f>MONTH(A24)</f>
        <v/>
      </c>
      <c r="E24" s="147">
        <f>[1]FİYATLAR!G23</f>
        <v/>
      </c>
      <c r="F24" s="30" t="n">
        <v>4300</v>
      </c>
      <c r="G24" s="30" t="n">
        <v>4450</v>
      </c>
      <c r="H24" s="30" t="n">
        <v>92.36</v>
      </c>
      <c r="I24" s="30" t="n">
        <v>4202.66</v>
      </c>
      <c r="J24" s="119" t="n">
        <v>0</v>
      </c>
      <c r="K24" s="34">
        <f>F24*J24</f>
        <v/>
      </c>
      <c r="L24" s="119" t="n">
        <v>0</v>
      </c>
      <c r="M24" s="34">
        <f>L24*F24</f>
        <v/>
      </c>
      <c r="N24" s="119" t="n">
        <v>21</v>
      </c>
      <c r="O24" s="34">
        <f>F24</f>
        <v/>
      </c>
      <c r="P24" s="34">
        <f>N24*O24</f>
        <v/>
      </c>
      <c r="Q24" s="119" t="n">
        <v>0</v>
      </c>
      <c r="R24" s="34">
        <f>F24</f>
        <v/>
      </c>
      <c r="S24" s="34">
        <f>R24*Q24</f>
        <v/>
      </c>
      <c r="T24" s="34">
        <f>SUMIFS('[1]GİP VERİLERİ'!$C:$C,'[1]GİP VERİLERİ'!$B:$B,A24,'[1]GİP VERİLERİ'!$M:$M,"40X000000104782K",'[1]GİP VERİLERİ'!$G:$G,"SELL")</f>
        <v/>
      </c>
      <c r="U24" s="34">
        <f>IFERROR(W24/T24,0)</f>
        <v/>
      </c>
      <c r="V24" s="34">
        <f>IF(U24=0,0,U24-F24)</f>
        <v/>
      </c>
      <c r="W24" s="34">
        <f>SUMIFS('[1]GİP VERİLERİ'!$O:$O,'[1]GİP VERİLERİ'!$B:$B,A24,'[1]GİP VERİLERİ'!$M:$M,"40X000000104782K",'[1]GİP VERİLERİ'!$G:$G,"SELL")</f>
        <v/>
      </c>
      <c r="X24" s="34">
        <f>SUMIFS('[1]GİP VERİLERİ'!$C:$C,'[1]GİP VERİLERİ'!$B:$B,A24,'[1]GİP VERİLERİ'!$M:$M,"40X000000104782K",'[1]GİP VERİLERİ'!$G:$G,"BUY")</f>
        <v/>
      </c>
      <c r="Y24" s="34">
        <f>IFERROR(AA24/X24,0)</f>
        <v/>
      </c>
      <c r="Z24" s="34">
        <f>IF(Y24=0,0,F24-Y24)</f>
        <v/>
      </c>
      <c r="AA24" s="34">
        <f>SUMIFS('[1]GİP VERİLERİ'!$O:$O,'[1]GİP VERİLERİ'!$B:$B,A24,'[1]GİP VERİLERİ'!$M:$M,"40X000000104782K",'[1]GİP VERİLERİ'!$G:$G,"BUY")</f>
        <v/>
      </c>
      <c r="AB24" s="34" t="n">
        <v>0</v>
      </c>
      <c r="AC24" s="34" t="n">
        <v>0</v>
      </c>
      <c r="AD24" s="34">
        <f>IF(AB24&gt;AC24*1.05,AB24-AC24*1.05,IF(AB24&lt;AC24*0.95,AC24*0.95-AB24,0))</f>
        <v/>
      </c>
      <c r="AE24" s="34">
        <f>MAX(F24,G24,750)*0.05*AD24</f>
        <v/>
      </c>
      <c r="AF24" s="34" t="n">
        <v>0</v>
      </c>
      <c r="AG24" s="34">
        <f>IF(AB24&gt;AF24*1.05,AB24-AF24*1.05,IF(AB24&lt;AF24*0.95,AF24*0.95-AB24,0))</f>
        <v/>
      </c>
      <c r="AH24" s="34">
        <f>MAX(I24,J24,750)*0.05*AG24</f>
        <v/>
      </c>
      <c r="AI24" t="n">
        <v>13.28</v>
      </c>
      <c r="AJ24" t="n">
        <v>9</v>
      </c>
      <c r="AK24" s="34">
        <f>IF(AI24&gt;AJ24*1.05,AI24-AJ24*1.05,IF(AI24&lt;AJ24*0.95,AJ24*0.95-AI24,0))</f>
        <v/>
      </c>
      <c r="AL24" s="34">
        <f>MAX(F24,G24,750)*0.05*AK24</f>
        <v/>
      </c>
      <c r="AM24" s="39" t="n">
        <v>13</v>
      </c>
      <c r="AN24" s="34">
        <f>IF(AI24&gt;AM24*1.05,AI24-AM24*1.05,IF(AI24&lt;AM24*0.95,AM24*0.95-AI24,0))</f>
        <v/>
      </c>
      <c r="AO24" s="34">
        <f>MAX(F24,G24,750)*0.05*AN24</f>
        <v/>
      </c>
      <c r="AP24" s="34" t="n">
        <v>15.14</v>
      </c>
      <c r="AQ24" s="34" t="n">
        <v>12</v>
      </c>
      <c r="AR24" s="34">
        <f>IF(AP24&gt;AQ24*1.05,AP24-AQ24*1.05,IF(AP24&lt;AQ24*0.95,AQ24*0.95-AP24,0))</f>
        <v/>
      </c>
      <c r="AS24" s="34">
        <f>MAX(F24:G24,750)*0.05*AR24</f>
        <v/>
      </c>
      <c r="AT24" t="n">
        <v>15</v>
      </c>
      <c r="AU24" s="34">
        <f>IF(AP24&gt;AT24*1.05,AP24-AT24*1.05,IF(AP24&lt;AT24*0.95,AT24*0.95-AP24,0))</f>
        <v/>
      </c>
      <c r="AV24" s="34">
        <f>MAX(F24:G24,750)*0.05*AU24</f>
        <v/>
      </c>
      <c r="AW24" s="34">
        <f>AC24+AJ24+AQ24</f>
        <v/>
      </c>
      <c r="AX24" s="34">
        <f>AF24+AM24+AT24</f>
        <v/>
      </c>
      <c r="AY24" s="34">
        <f>AB24+AI24+AP24</f>
        <v/>
      </c>
      <c r="AZ24" s="34" t="n">
        <v>0</v>
      </c>
      <c r="BA24" s="34">
        <f>AD24+AK24+AR24</f>
        <v/>
      </c>
      <c r="BB24" s="34">
        <f>MAX(F24:G24,750)*0.05*BA24</f>
        <v/>
      </c>
      <c r="BC24" s="34">
        <f>AG24+AN24+AU24</f>
        <v/>
      </c>
      <c r="BD24" s="34">
        <f>MAX(F24:G24,750)*0.05*BC24</f>
        <v/>
      </c>
      <c r="BE24" s="34">
        <f>F24*AY24</f>
        <v/>
      </c>
      <c r="BF24" s="34">
        <f>K24-M24</f>
        <v/>
      </c>
      <c r="BG24" s="34">
        <f>P24-S24</f>
        <v/>
      </c>
      <c r="BH24" s="34">
        <f>W24-AA24</f>
        <v/>
      </c>
      <c r="BI24" s="34">
        <f>BF24+BG24+BL24-BN24</f>
        <v/>
      </c>
      <c r="BJ24" s="34">
        <f>ABS(BK24)</f>
        <v/>
      </c>
      <c r="BK24" s="34">
        <f>AY24-(J24-L24+N24-Q24)</f>
        <v/>
      </c>
      <c r="BL24" s="34">
        <f>IF(AND(BK24&gt;0,MIN($F24:$G24)&lt;150,$E24="Enerji Açığı"),-100*BK24*1.03,IF(AND(BK24&gt;0,MIN($F24:$G24)&lt;150,$E24="Enerji Fazlası"),-100*BK24*1.06,IF(AND(BK24&gt;0,MIN($F24:$G24)&gt;=150,$E24="Enerji Açığı"),BK24*MIN($F24:$G24)*0.97,IF(AND(BK24&gt;0,MIN($F24:$G24)&gt;=150,$E24="Enerji Fazlası"),BK24*MIN($F24:$G24)*0.94,IF(AND(BK24&lt;0,MAX($F24:$G24)=4500,$E24="Enerji Açığı"),4500*1.05*1.06*BK24,IF(AND(BK24&lt;0,MAX($F24:$G24)=4500,$E24="Enerji Fazlası"),4500*1.05*1.03*BK24,IF(AND(BK24&lt;0,$E24="Enerji Açığı"),MAX($F24,$G24,150)*BK24*1.06,IF(AND(BK24&lt;0,$E24="Enerji Fazlası"),MAX($F24,$G24,150)*BK24*1.03,IF(AND(BK24&lt;0,$E24="Dengede"),MAX($F24:$G24,150)*1.03*BK24,MIN($F24:$G24)*0.97*BK24)))))))))</f>
        <v/>
      </c>
      <c r="BM24" s="34">
        <f>BE24-BI24-BN24</f>
        <v/>
      </c>
      <c r="BN24" s="34">
        <f>BB24</f>
        <v/>
      </c>
      <c r="BO24" s="34">
        <f>BE24-BI24</f>
        <v/>
      </c>
      <c r="BP24" s="34">
        <f>IF(AY24=0,0,BO24/AY24)</f>
        <v/>
      </c>
      <c r="BQ24" s="34">
        <f>MAX((AY24+MAX((-J24+L24-N24+Q24),0)),(MAX((J24-L24+N24-Q24),0)))</f>
        <v/>
      </c>
      <c r="BR24" s="82">
        <f>IFERROR(ABS(BK24/BQ24),0)</f>
        <v/>
      </c>
      <c r="BS24" s="34">
        <f>IF(BR24&lt;=0.1,0,BK24/BR24*(BR24-0.1))</f>
        <v/>
      </c>
      <c r="BT24" s="34">
        <f>IF((BS24)&lt;0,MAX(F24:G24)*(BS24)*1.03,MIN(F24:G24)*(BS24)*0.97)</f>
        <v/>
      </c>
      <c r="BU24" s="34">
        <f>IF(BR24&gt;0.1,1,0)</f>
        <v/>
      </c>
      <c r="BV24" s="34">
        <f>BF24+BG24+BH24+BY24-CA24</f>
        <v/>
      </c>
      <c r="BW24" s="34">
        <f>ABS(BX24)</f>
        <v/>
      </c>
      <c r="BX24" s="34">
        <f>AY24-(J24-L24+N24-Q24+T24-X24)</f>
        <v/>
      </c>
      <c r="BY24" s="34">
        <f>IF(AND(BX24&gt;0,MIN($F24:$G24)&lt;150,$E24="Enerji Açığı"),-100*BX24*1.03,IF(AND(BX24&gt;0,MIN($F24:$G24)&lt;150,$E24="Enerji Fazlası"),-100*BX24*1.06,IF(AND(BX24&gt;0,MIN($F24:$G24)&gt;=150,$E24="Enerji Açığı"),BX24*MIN($F24:$G24)*0.97,IF(AND(BX24&gt;0,MIN($F24:$G24)&gt;=150,$E24="Enerji Fazlası"),BX24*MIN($F24:$G24)*0.94,IF(AND(BX24&lt;0,MAX($F24:$G24)=4500,$E24="Enerji Açığı"),4500*1.05*1.06*BX24,IF(AND(BX24&lt;0,MAX($F24:$G24)=4500,$E24="Enerji Fazlası"),4500*1.05*1.03*BX24,IF(AND(BX24&lt;0,$E24="Enerji Açığı"),MAX($F24,$G24,150)*BX24*1.06,IF(AND(BX24&lt;0,$E24="Enerji Fazlası"),MAX($F24,$G24,150)*BX24*1.03,IF(AND(BX24&lt;0,$E24="Dengede"),MAX($F24:$G24,150)*1.03*BX24,MIN($F24:$G24)*0.97*BX24)))))))))</f>
        <v/>
      </c>
      <c r="BZ24" s="34">
        <f>BE24-BV24-CA24</f>
        <v/>
      </c>
      <c r="CA24" s="34">
        <f>BD24</f>
        <v/>
      </c>
      <c r="CB24" s="33">
        <f>BE24-BV24</f>
        <v/>
      </c>
      <c r="CC24" s="34">
        <f>IF(AY24=0,0,CB24/AY24)</f>
        <v/>
      </c>
      <c r="CD24" s="34">
        <f>MAX((AY24+MAX((-J24+L24-N24+Q24-T24+X24),0)),(MAX((J24-L24+N24-Q24+T24-X24),0)))</f>
        <v/>
      </c>
      <c r="CE24" s="82">
        <f>IFERROR(ABS(BX24/CD24),0)</f>
        <v/>
      </c>
      <c r="CF24" s="34">
        <f>IF(CE24&lt;=0.1,0,BX24/CE24*(CE24-0.1))</f>
        <v/>
      </c>
      <c r="CG24" s="34">
        <f>IF((CF24)&lt;0,MAX(F24:G24)*(CF24)*1.03,MIN(F24:G24)*(CF24)*0.97)</f>
        <v/>
      </c>
      <c r="CH24" s="34">
        <f>IF(CE24&gt;0.1,1,0)</f>
        <v/>
      </c>
      <c r="CI24" s="34">
        <f>(F24*BX24)-BY24</f>
        <v/>
      </c>
      <c r="CJ24" s="34">
        <f>IF(AY24=0,0,CI24/AY24)</f>
        <v/>
      </c>
    </row>
    <row r="25">
      <c r="A25" s="29" t="n">
        <v>46204.91666666666</v>
      </c>
      <c r="B25" s="29" t="inlineStr">
        <is>
          <t>22:00</t>
        </is>
      </c>
      <c r="C25" s="35">
        <f>INT(A25)</f>
        <v/>
      </c>
      <c r="D25" s="36">
        <f>MONTH(A25)</f>
        <v/>
      </c>
      <c r="E25" s="147">
        <f>[1]FİYATLAR!G24</f>
        <v/>
      </c>
      <c r="F25" s="30" t="n">
        <v>3700.63</v>
      </c>
      <c r="G25" s="30" t="n">
        <v>4198</v>
      </c>
      <c r="H25" s="30" t="n">
        <v>79.48999999999999</v>
      </c>
      <c r="I25" s="30" t="n">
        <v>3627.23</v>
      </c>
      <c r="J25" s="119" t="n">
        <v>0</v>
      </c>
      <c r="K25" s="34">
        <f>F25*J25</f>
        <v/>
      </c>
      <c r="L25" s="119" t="n">
        <v>0</v>
      </c>
      <c r="M25" s="34">
        <f>L25*F25</f>
        <v/>
      </c>
      <c r="N25" s="119" t="n">
        <v>21</v>
      </c>
      <c r="O25" s="34">
        <f>F25</f>
        <v/>
      </c>
      <c r="P25" s="34">
        <f>N25*O25</f>
        <v/>
      </c>
      <c r="Q25" s="119" t="n">
        <v>0</v>
      </c>
      <c r="R25" s="34">
        <f>F25</f>
        <v/>
      </c>
      <c r="S25" s="34">
        <f>R25*Q25</f>
        <v/>
      </c>
      <c r="T25" s="34">
        <f>SUMIFS('[1]GİP VERİLERİ'!$C:$C,'[1]GİP VERİLERİ'!$B:$B,A25,'[1]GİP VERİLERİ'!$M:$M,"40X000000104782K",'[1]GİP VERİLERİ'!$G:$G,"SELL")</f>
        <v/>
      </c>
      <c r="U25" s="34">
        <f>IFERROR(W25/T25,0)</f>
        <v/>
      </c>
      <c r="V25" s="34">
        <f>IF(U25=0,0,U25-F25)</f>
        <v/>
      </c>
      <c r="W25" s="34">
        <f>SUMIFS('[1]GİP VERİLERİ'!$O:$O,'[1]GİP VERİLERİ'!$B:$B,A25,'[1]GİP VERİLERİ'!$M:$M,"40X000000104782K",'[1]GİP VERİLERİ'!$G:$G,"SELL")</f>
        <v/>
      </c>
      <c r="X25" s="34">
        <f>SUMIFS('[1]GİP VERİLERİ'!$C:$C,'[1]GİP VERİLERİ'!$B:$B,A25,'[1]GİP VERİLERİ'!$M:$M,"40X000000104782K",'[1]GİP VERİLERİ'!$G:$G,"BUY")</f>
        <v/>
      </c>
      <c r="Y25" s="34">
        <f>IFERROR(AA25/X25,0)</f>
        <v/>
      </c>
      <c r="Z25" s="34">
        <f>IF(Y25=0,0,F25-Y25)</f>
        <v/>
      </c>
      <c r="AA25" s="34">
        <f>SUMIFS('[1]GİP VERİLERİ'!$O:$O,'[1]GİP VERİLERİ'!$B:$B,A25,'[1]GİP VERİLERİ'!$M:$M,"40X000000104782K",'[1]GİP VERİLERİ'!$G:$G,"BUY")</f>
        <v/>
      </c>
      <c r="AB25" s="34" t="n">
        <v>0</v>
      </c>
      <c r="AC25" s="34" t="n">
        <v>0</v>
      </c>
      <c r="AD25" s="34">
        <f>IF(AB25&gt;AC25*1.05,AB25-AC25*1.05,IF(AB25&lt;AC25*0.95,AC25*0.95-AB25,0))</f>
        <v/>
      </c>
      <c r="AE25" s="34">
        <f>MAX(F25,G25,750)*0.05*AD25</f>
        <v/>
      </c>
      <c r="AF25" s="34" t="n">
        <v>0</v>
      </c>
      <c r="AG25" s="34">
        <f>IF(AB25&gt;AF25*1.05,AB25-AF25*1.05,IF(AB25&lt;AF25*0.95,AF25*0.95-AB25,0))</f>
        <v/>
      </c>
      <c r="AH25" s="34">
        <f>MAX(I25,J25,750)*0.05*AG25</f>
        <v/>
      </c>
      <c r="AI25" t="n">
        <v>13.22</v>
      </c>
      <c r="AJ25" t="n">
        <v>9</v>
      </c>
      <c r="AK25" s="34">
        <f>IF(AI25&gt;AJ25*1.05,AI25-AJ25*1.05,IF(AI25&lt;AJ25*0.95,AJ25*0.95-AI25,0))</f>
        <v/>
      </c>
      <c r="AL25" s="34">
        <f>MAX(F25,G25,750)*0.05*AK25</f>
        <v/>
      </c>
      <c r="AM25" s="39" t="n">
        <v>13</v>
      </c>
      <c r="AN25" s="34">
        <f>IF(AI25&gt;AM25*1.05,AI25-AM25*1.05,IF(AI25&lt;AM25*0.95,AM25*0.95-AI25,0))</f>
        <v/>
      </c>
      <c r="AO25" s="34">
        <f>MAX(F25,G25,750)*0.05*AN25</f>
        <v/>
      </c>
      <c r="AP25" s="34" t="n">
        <v>15.13</v>
      </c>
      <c r="AQ25" s="34" t="n">
        <v>12</v>
      </c>
      <c r="AR25" s="34">
        <f>IF(AP25&gt;AQ25*1.05,AP25-AQ25*1.05,IF(AP25&lt;AQ25*0.95,AQ25*0.95-AP25,0))</f>
        <v/>
      </c>
      <c r="AS25" s="34">
        <f>MAX(F25:G25,750)*0.05*AR25</f>
        <v/>
      </c>
      <c r="AT25" t="n">
        <v>15</v>
      </c>
      <c r="AU25" s="34">
        <f>IF(AP25&gt;AT25*1.05,AP25-AT25*1.05,IF(AP25&lt;AT25*0.95,AT25*0.95-AP25,0))</f>
        <v/>
      </c>
      <c r="AV25" s="34">
        <f>MAX(F25:G25,750)*0.05*AU25</f>
        <v/>
      </c>
      <c r="AW25" s="34">
        <f>AC25+AJ25+AQ25</f>
        <v/>
      </c>
      <c r="AX25" s="34">
        <f>AF25+AM25+AT25</f>
        <v/>
      </c>
      <c r="AY25" s="34">
        <f>AB25+AI25+AP25</f>
        <v/>
      </c>
      <c r="AZ25" s="34" t="n">
        <v>0</v>
      </c>
      <c r="BA25" s="34">
        <f>AD25+AK25+AR25</f>
        <v/>
      </c>
      <c r="BB25" s="34">
        <f>MAX(F25:G25,750)*0.05*BA25</f>
        <v/>
      </c>
      <c r="BC25" s="34">
        <f>AG25+AN25+AU25</f>
        <v/>
      </c>
      <c r="BD25" s="34">
        <f>MAX(F25:G25,750)*0.05*BC25</f>
        <v/>
      </c>
      <c r="BE25" s="34">
        <f>F25*AY25</f>
        <v/>
      </c>
      <c r="BF25" s="34">
        <f>K25-M25</f>
        <v/>
      </c>
      <c r="BG25" s="34">
        <f>P25-S25</f>
        <v/>
      </c>
      <c r="BH25" s="34">
        <f>W25-AA25</f>
        <v/>
      </c>
      <c r="BI25" s="34">
        <f>BF25+BG25+BL25-BN25</f>
        <v/>
      </c>
      <c r="BJ25" s="34">
        <f>ABS(BK25)</f>
        <v/>
      </c>
      <c r="BK25" s="34">
        <f>AY25-(J25-L25+N25-Q25)</f>
        <v/>
      </c>
      <c r="BL25" s="34">
        <f>IF(AND(BK25&gt;0,MIN($F25:$G25)&lt;150,$E25="Enerji Açığı"),-100*BK25*1.03,IF(AND(BK25&gt;0,MIN($F25:$G25)&lt;150,$E25="Enerji Fazlası"),-100*BK25*1.06,IF(AND(BK25&gt;0,MIN($F25:$G25)&gt;=150,$E25="Enerji Açığı"),BK25*MIN($F25:$G25)*0.97,IF(AND(BK25&gt;0,MIN($F25:$G25)&gt;=150,$E25="Enerji Fazlası"),BK25*MIN($F25:$G25)*0.94,IF(AND(BK25&lt;0,MAX($F25:$G25)=4500,$E25="Enerji Açığı"),4500*1.05*1.06*BK25,IF(AND(BK25&lt;0,MAX($F25:$G25)=4500,$E25="Enerji Fazlası"),4500*1.05*1.03*BK25,IF(AND(BK25&lt;0,$E25="Enerji Açığı"),MAX($F25,$G25,150)*BK25*1.06,IF(AND(BK25&lt;0,$E25="Enerji Fazlası"),MAX($F25,$G25,150)*BK25*1.03,IF(AND(BK25&lt;0,$E25="Dengede"),MAX($F25:$G25,150)*1.03*BK25,MIN($F25:$G25)*0.97*BK25)))))))))</f>
        <v/>
      </c>
      <c r="BM25" s="34">
        <f>BE25-BI25-BN25</f>
        <v/>
      </c>
      <c r="BN25" s="34">
        <f>BB25</f>
        <v/>
      </c>
      <c r="BO25" s="34">
        <f>BE25-BI25</f>
        <v/>
      </c>
      <c r="BP25" s="34">
        <f>IF(AY25=0,0,BO25/AY25)</f>
        <v/>
      </c>
      <c r="BQ25" s="34">
        <f>MAX((AY25+MAX((-J25+L25-N25+Q25),0)),(MAX((J25-L25+N25-Q25),0)))</f>
        <v/>
      </c>
      <c r="BR25" s="82">
        <f>IFERROR(ABS(BK25/BQ25),0)</f>
        <v/>
      </c>
      <c r="BS25" s="34">
        <f>IF(BR25&lt;=0.1,0,BK25/BR25*(BR25-0.1))</f>
        <v/>
      </c>
      <c r="BT25" s="34">
        <f>IF((BS25)&lt;0,MAX(F25:G25)*(BS25)*1.03,MIN(F25:G25)*(BS25)*0.97)</f>
        <v/>
      </c>
      <c r="BU25" s="34">
        <f>IF(BR25&gt;0.1,1,0)</f>
        <v/>
      </c>
      <c r="BV25" s="34">
        <f>BF25+BG25+BH25+BY25-CA25</f>
        <v/>
      </c>
      <c r="BW25" s="34">
        <f>ABS(BX25)</f>
        <v/>
      </c>
      <c r="BX25" s="34">
        <f>AY25-(J25-L25+N25-Q25+T25-X25)</f>
        <v/>
      </c>
      <c r="BY25" s="34">
        <f>IF(AND(BX25&gt;0,MIN($F25:$G25)&lt;150,$E25="Enerji Açığı"),-100*BX25*1.03,IF(AND(BX25&gt;0,MIN($F25:$G25)&lt;150,$E25="Enerji Fazlası"),-100*BX25*1.06,IF(AND(BX25&gt;0,MIN($F25:$G25)&gt;=150,$E25="Enerji Açığı"),BX25*MIN($F25:$G25)*0.97,IF(AND(BX25&gt;0,MIN($F25:$G25)&gt;=150,$E25="Enerji Fazlası"),BX25*MIN($F25:$G25)*0.94,IF(AND(BX25&lt;0,MAX($F25:$G25)=4500,$E25="Enerji Açığı"),4500*1.05*1.06*BX25,IF(AND(BX25&lt;0,MAX($F25:$G25)=4500,$E25="Enerji Fazlası"),4500*1.05*1.03*BX25,IF(AND(BX25&lt;0,$E25="Enerji Açığı"),MAX($F25,$G25,150)*BX25*1.06,IF(AND(BX25&lt;0,$E25="Enerji Fazlası"),MAX($F25,$G25,150)*BX25*1.03,IF(AND(BX25&lt;0,$E25="Dengede"),MAX($F25:$G25,150)*1.03*BX25,MIN($F25:$G25)*0.97*BX25)))))))))</f>
        <v/>
      </c>
      <c r="BZ25" s="34">
        <f>BE25-BV25-CA25</f>
        <v/>
      </c>
      <c r="CA25" s="34">
        <f>BD25</f>
        <v/>
      </c>
      <c r="CB25" s="33">
        <f>BE25-BV25</f>
        <v/>
      </c>
      <c r="CC25" s="34">
        <f>IF(AY25=0,0,CB25/AY25)</f>
        <v/>
      </c>
      <c r="CD25" s="34">
        <f>MAX((AY25+MAX((-J25+L25-N25+Q25-T25+X25),0)),(MAX((J25-L25+N25-Q25+T25-X25),0)))</f>
        <v/>
      </c>
      <c r="CE25" s="82">
        <f>IFERROR(ABS(BX25/CD25),0)</f>
        <v/>
      </c>
      <c r="CF25" s="34">
        <f>IF(CE25&lt;=0.1,0,BX25/CE25*(CE25-0.1))</f>
        <v/>
      </c>
      <c r="CG25" s="34">
        <f>IF((CF25)&lt;0,MAX(F25:G25)*(CF25)*1.03,MIN(F25:G25)*(CF25)*0.97)</f>
        <v/>
      </c>
      <c r="CH25" s="34">
        <f>IF(CE25&gt;0.1,1,0)</f>
        <v/>
      </c>
      <c r="CI25" s="34">
        <f>(F25*BX25)-BY25</f>
        <v/>
      </c>
      <c r="CJ25" s="34">
        <f>IF(AY25=0,0,CI25/AY25)</f>
        <v/>
      </c>
      <c r="CK25" s="34" t="inlineStr">
        <is>
          <t>l</t>
        </is>
      </c>
    </row>
    <row r="26">
      <c r="A26" s="29" t="n">
        <v>46204.95833333334</v>
      </c>
      <c r="B26" s="29" t="inlineStr">
        <is>
          <t>23:00</t>
        </is>
      </c>
      <c r="C26" s="35">
        <f>INT(A26)</f>
        <v/>
      </c>
      <c r="D26" s="36">
        <f>MONTH(A26)</f>
        <v/>
      </c>
      <c r="E26" s="147">
        <f>[1]FİYATLAR!G25</f>
        <v/>
      </c>
      <c r="F26" s="30" t="n">
        <v>4000</v>
      </c>
      <c r="G26" s="30" t="n">
        <v>4180</v>
      </c>
      <c r="H26" s="30" t="n">
        <v>85.92</v>
      </c>
      <c r="I26" s="30" t="n">
        <v>3582.93</v>
      </c>
      <c r="J26" s="119" t="n">
        <v>0</v>
      </c>
      <c r="K26" s="34">
        <f>F26*J26</f>
        <v/>
      </c>
      <c r="L26" s="119" t="n">
        <v>0</v>
      </c>
      <c r="M26" s="34">
        <f>L26*F26</f>
        <v/>
      </c>
      <c r="N26" s="119" t="n">
        <v>21</v>
      </c>
      <c r="O26" s="34">
        <f>F26</f>
        <v/>
      </c>
      <c r="P26" s="34">
        <f>N26*O26</f>
        <v/>
      </c>
      <c r="Q26" s="119" t="n">
        <v>0</v>
      </c>
      <c r="R26" s="34">
        <f>F26</f>
        <v/>
      </c>
      <c r="S26" s="34">
        <f>R26*Q26</f>
        <v/>
      </c>
      <c r="T26" s="34">
        <f>SUMIFS('[1]GİP VERİLERİ'!$C:$C,'[1]GİP VERİLERİ'!$B:$B,A26,'[1]GİP VERİLERİ'!$M:$M,"40X000000104782K",'[1]GİP VERİLERİ'!$G:$G,"SELL")</f>
        <v/>
      </c>
      <c r="U26" s="34">
        <f>IFERROR(W26/T26,0)</f>
        <v/>
      </c>
      <c r="V26" s="34">
        <f>IF(U26=0,0,U26-F26)</f>
        <v/>
      </c>
      <c r="W26" s="34">
        <f>SUMIFS('[1]GİP VERİLERİ'!$O:$O,'[1]GİP VERİLERİ'!$B:$B,A26,'[1]GİP VERİLERİ'!$M:$M,"40X000000104782K",'[1]GİP VERİLERİ'!$G:$G,"SELL")</f>
        <v/>
      </c>
      <c r="X26" s="34">
        <f>SUMIFS('[1]GİP VERİLERİ'!$C:$C,'[1]GİP VERİLERİ'!$B:$B,A26,'[1]GİP VERİLERİ'!$M:$M,"40X000000104782K",'[1]GİP VERİLERİ'!$G:$G,"BUY")</f>
        <v/>
      </c>
      <c r="Y26" s="34">
        <f>IFERROR(AA26/X26,0)</f>
        <v/>
      </c>
      <c r="Z26" s="34">
        <f>IF(Y26=0,0,F26-Y26)</f>
        <v/>
      </c>
      <c r="AA26" s="34">
        <f>SUMIFS('[1]GİP VERİLERİ'!$O:$O,'[1]GİP VERİLERİ'!$B:$B,A26,'[1]GİP VERİLERİ'!$M:$M,"40X000000104782K",'[1]GİP VERİLERİ'!$G:$G,"BUY")</f>
        <v/>
      </c>
      <c r="AB26" s="34" t="n">
        <v>0</v>
      </c>
      <c r="AC26" s="34" t="n">
        <v>0</v>
      </c>
      <c r="AD26" s="34">
        <f>IF(AB26&gt;AC26*1.05,AB26-AC26*1.05,IF(AB26&lt;AC26*0.95,AC26*0.95-AB26,0))</f>
        <v/>
      </c>
      <c r="AE26" s="34">
        <f>MAX(F26,G26,750)*0.05*AD26</f>
        <v/>
      </c>
      <c r="AF26" s="34" t="n">
        <v>0</v>
      </c>
      <c r="AG26" s="34">
        <f>IF(AB26&gt;AF26*1.05,AB26-AF26*1.05,IF(AB26&lt;AF26*0.95,AF26*0.95-AB26,0))</f>
        <v/>
      </c>
      <c r="AH26" s="34">
        <f>MAX(I26,J26,750)*0.05*AG26</f>
        <v/>
      </c>
      <c r="AI26" t="n">
        <v>12.22</v>
      </c>
      <c r="AJ26" t="n">
        <v>9</v>
      </c>
      <c r="AK26" s="34">
        <f>IF(AI26&gt;AJ26*1.05,AI26-AJ26*1.05,IF(AI26&lt;AJ26*0.95,AJ26*0.95-AI26,0))</f>
        <v/>
      </c>
      <c r="AL26" s="34">
        <f>MAX(F26,G26,750)*0.05*AK26</f>
        <v/>
      </c>
      <c r="AM26" s="39" t="n">
        <v>12</v>
      </c>
      <c r="AN26" s="34">
        <f>IF(AI26&gt;AM26*1.05,AI26-AM26*1.05,IF(AI26&lt;AM26*0.95,AM26*0.95-AI26,0))</f>
        <v/>
      </c>
      <c r="AO26" s="34">
        <f>MAX(F26,G26,750)*0.05*AN26</f>
        <v/>
      </c>
      <c r="AP26" s="34" t="n">
        <v>15.08</v>
      </c>
      <c r="AQ26" s="34" t="n">
        <v>12</v>
      </c>
      <c r="AR26" s="34">
        <f>IF(AP26&gt;AQ26*1.05,AP26-AQ26*1.05,IF(AP26&lt;AQ26*0.95,AQ26*0.95-AP26,0))</f>
        <v/>
      </c>
      <c r="AS26" s="34">
        <f>MAX(F26:G26,750)*0.05*AR26</f>
        <v/>
      </c>
      <c r="AT26" t="n">
        <v>15</v>
      </c>
      <c r="AU26" s="34">
        <f>IF(AP26&gt;AT26*1.05,AP26-AT26*1.05,IF(AP26&lt;AT26*0.95,AT26*0.95-AP26,0))</f>
        <v/>
      </c>
      <c r="AV26" s="34">
        <f>MAX(F26:G26,750)*0.05*AU26</f>
        <v/>
      </c>
      <c r="AW26" s="34">
        <f>AC26+AJ26+AQ26</f>
        <v/>
      </c>
      <c r="AX26" s="34">
        <f>AF26+AM26+AT26</f>
        <v/>
      </c>
      <c r="AY26" s="34">
        <f>AB26+AI26+AP26</f>
        <v/>
      </c>
      <c r="AZ26" s="34" t="n">
        <v>0</v>
      </c>
      <c r="BA26" s="34">
        <f>AD26+AK26+AR26</f>
        <v/>
      </c>
      <c r="BB26" s="34">
        <f>MAX(F26:G26,750)*0.05*BA26</f>
        <v/>
      </c>
      <c r="BC26" s="34">
        <f>AG26+AN26+AU26</f>
        <v/>
      </c>
      <c r="BD26" s="34">
        <f>MAX(F26:G26,750)*0.05*BC26</f>
        <v/>
      </c>
      <c r="BE26" s="34">
        <f>F26*AY26</f>
        <v/>
      </c>
      <c r="BF26" s="34">
        <f>K26-M26</f>
        <v/>
      </c>
      <c r="BG26" s="34">
        <f>P26-S26</f>
        <v/>
      </c>
      <c r="BH26" s="34">
        <f>W26-AA26</f>
        <v/>
      </c>
      <c r="BI26" s="34">
        <f>BF26+BG26+BL26-BN26</f>
        <v/>
      </c>
      <c r="BJ26" s="34">
        <f>ABS(BK26)</f>
        <v/>
      </c>
      <c r="BK26" s="34">
        <f>AY26-(J26-L26+N26-Q26)</f>
        <v/>
      </c>
      <c r="BL26" s="34">
        <f>IF(AND(BK26&gt;0,MIN($F26:$G26)&lt;150,$E26="Enerji Açığı"),-100*BK26*1.03,IF(AND(BK26&gt;0,MIN($F26:$G26)&lt;150,$E26="Enerji Fazlası"),-100*BK26*1.06,IF(AND(BK26&gt;0,MIN($F26:$G26)&gt;=150,$E26="Enerji Açığı"),BK26*MIN($F26:$G26)*0.97,IF(AND(BK26&gt;0,MIN($F26:$G26)&gt;=150,$E26="Enerji Fazlası"),BK26*MIN($F26:$G26)*0.94,IF(AND(BK26&lt;0,MAX($F26:$G26)=4500,$E26="Enerji Açığı"),4500*1.05*1.06*BK26,IF(AND(BK26&lt;0,MAX($F26:$G26)=4500,$E26="Enerji Fazlası"),4500*1.05*1.03*BK26,IF(AND(BK26&lt;0,$E26="Enerji Açığı"),MAX($F26,$G26,150)*BK26*1.06,IF(AND(BK26&lt;0,$E26="Enerji Fazlası"),MAX($F26,$G26,150)*BK26*1.03,IF(AND(BK26&lt;0,$E26="Dengede"),MAX($F26:$G26,150)*1.03*BK26,MIN($F26:$G26)*0.97*BK26)))))))))</f>
        <v/>
      </c>
      <c r="BM26" s="34">
        <f>BE26-BI26-BN26</f>
        <v/>
      </c>
      <c r="BN26" s="34">
        <f>BB26</f>
        <v/>
      </c>
      <c r="BO26" s="34">
        <f>BE26-BI26</f>
        <v/>
      </c>
      <c r="BP26" s="34">
        <f>IF(AY26=0,0,BO26/AY26)</f>
        <v/>
      </c>
      <c r="BQ26" s="34">
        <f>MAX((AY26+MAX((-J26+L26-N26+Q26),0)),(MAX((J26-L26+N26-Q26),0)))</f>
        <v/>
      </c>
      <c r="BR26" s="82">
        <f>IFERROR(ABS(BK26/BQ26),0)</f>
        <v/>
      </c>
      <c r="BS26" s="34">
        <f>IF(BR26&lt;=0.1,0,BK26/BR26*(BR26-0.1))</f>
        <v/>
      </c>
      <c r="BT26" s="34">
        <f>IF((BS26)&lt;0,MAX(F26:G26)*(BS26)*1.03,MIN(F26:G26)*(BS26)*0.97)</f>
        <v/>
      </c>
      <c r="BU26" s="34">
        <f>IF(BR26&gt;0.1,1,0)</f>
        <v/>
      </c>
      <c r="BV26" s="34">
        <f>BF26+BG26+BH26+BY26-CA26</f>
        <v/>
      </c>
      <c r="BW26" s="34">
        <f>ABS(BX26)</f>
        <v/>
      </c>
      <c r="BX26" s="34">
        <f>AY26-(J26-L26+N26-Q26+T26-X26)</f>
        <v/>
      </c>
      <c r="BY26" s="34">
        <f>IF(AND(BX26&gt;0,MIN($F26:$G26)&lt;150,$E26="Enerji Açığı"),-100*BX26*1.03,IF(AND(BX26&gt;0,MIN($F26:$G26)&lt;150,$E26="Enerji Fazlası"),-100*BX26*1.06,IF(AND(BX26&gt;0,MIN($F26:$G26)&gt;=150,$E26="Enerji Açığı"),BX26*MIN($F26:$G26)*0.97,IF(AND(BX26&gt;0,MIN($F26:$G26)&gt;=150,$E26="Enerji Fazlası"),BX26*MIN($F26:$G26)*0.94,IF(AND(BX26&lt;0,MAX($F26:$G26)=4500,$E26="Enerji Açığı"),4500*1.05*1.06*BX26,IF(AND(BX26&lt;0,MAX($F26:$G26)=4500,$E26="Enerji Fazlası"),4500*1.05*1.03*BX26,IF(AND(BX26&lt;0,$E26="Enerji Açığı"),MAX($F26,$G26,150)*BX26*1.06,IF(AND(BX26&lt;0,$E26="Enerji Fazlası"),MAX($F26,$G26,150)*BX26*1.03,IF(AND(BX26&lt;0,$E26="Dengede"),MAX($F26:$G26,150)*1.03*BX26,MIN($F26:$G26)*0.97*BX26)))))))))</f>
        <v/>
      </c>
      <c r="BZ26" s="34">
        <f>BE26-BV26-CA26</f>
        <v/>
      </c>
      <c r="CA26" s="34">
        <f>BD26</f>
        <v/>
      </c>
      <c r="CB26" s="33">
        <f>BE26-BV26</f>
        <v/>
      </c>
      <c r="CC26" s="34">
        <f>IF(AY26=0,0,CB26/AY26)</f>
        <v/>
      </c>
      <c r="CD26" s="34">
        <f>MAX((AY26+MAX((-J26+L26-N26+Q26-T26+X26),0)),(MAX((J26-L26+N26-Q26+T26-X26),0)))</f>
        <v/>
      </c>
      <c r="CE26" s="82">
        <f>IFERROR(ABS(BX26/CD26),0)</f>
        <v/>
      </c>
      <c r="CF26" s="34">
        <f>IF(CE26&lt;=0.1,0,BX26/CE26*(CE26-0.1))</f>
        <v/>
      </c>
      <c r="CG26" s="34">
        <f>IF((CF26)&lt;0,MAX(F26:G26)*(CF26)*1.03,MIN(F26:G26)*(CF26)*0.97)</f>
        <v/>
      </c>
      <c r="CH26" s="34">
        <f>IF(CE26&gt;0.1,1,0)</f>
        <v/>
      </c>
      <c r="CI26" s="34">
        <f>(F26*BX26)-BY26</f>
        <v/>
      </c>
      <c r="CJ26" s="34">
        <f>IF(AY26=0,0,CI26/AY26)</f>
        <v/>
      </c>
    </row>
    <row r="27" customFormat="1" s="34">
      <c r="A27" s="29" t="n">
        <v>46205</v>
      </c>
      <c r="B27" s="29" t="inlineStr">
        <is>
          <t>00:00</t>
        </is>
      </c>
      <c r="C27" s="35">
        <f>INT(A27)</f>
        <v/>
      </c>
      <c r="D27" s="36">
        <f>MONTH(A27)</f>
        <v/>
      </c>
      <c r="E27" s="147">
        <f>[1]FİYATLAR!G26</f>
        <v/>
      </c>
      <c r="F27" s="30" t="n">
        <v>3743</v>
      </c>
      <c r="G27" s="30" t="n">
        <v>3800</v>
      </c>
      <c r="H27" s="30" t="n">
        <v>80.37</v>
      </c>
      <c r="I27" s="30" t="n">
        <v>3866.2</v>
      </c>
      <c r="J27" s="119" t="n">
        <v>0</v>
      </c>
      <c r="K27" s="34">
        <f>F27*J27</f>
        <v/>
      </c>
      <c r="L27" s="119" t="n">
        <v>0</v>
      </c>
      <c r="M27" s="34">
        <f>L27*F27</f>
        <v/>
      </c>
      <c r="N27" s="119" t="n">
        <v>16</v>
      </c>
      <c r="O27" s="34">
        <f>F27</f>
        <v/>
      </c>
      <c r="P27" s="34">
        <f>N27*O27</f>
        <v/>
      </c>
      <c r="Q27" s="119" t="n">
        <v>0</v>
      </c>
      <c r="R27" s="34">
        <f>F27</f>
        <v/>
      </c>
      <c r="S27" s="34">
        <f>R27*Q27</f>
        <v/>
      </c>
      <c r="T27" s="34">
        <f>SUMIFS('[1]GİP VERİLERİ'!$C:$C,'[1]GİP VERİLERİ'!$B:$B,A27,'[1]GİP VERİLERİ'!$M:$M,"40X000000104782K",'[1]GİP VERİLERİ'!$G:$G,"SELL")</f>
        <v/>
      </c>
      <c r="U27" s="34">
        <f>IFERROR(W27/T27,0)</f>
        <v/>
      </c>
      <c r="V27" s="34">
        <f>IF(U27=0,0,U27-F27)</f>
        <v/>
      </c>
      <c r="W27" s="34">
        <f>SUMIFS('[1]GİP VERİLERİ'!$O:$O,'[1]GİP VERİLERİ'!$B:$B,A27,'[1]GİP VERİLERİ'!$M:$M,"40X000000104782K",'[1]GİP VERİLERİ'!$G:$G,"SELL")</f>
        <v/>
      </c>
      <c r="X27" s="34">
        <f>SUMIFS('[1]GİP VERİLERİ'!$C:$C,'[1]GİP VERİLERİ'!$B:$B,A27,'[1]GİP VERİLERİ'!$M:$M,"40X000000104782K",'[1]GİP VERİLERİ'!$G:$G,"BUY")</f>
        <v/>
      </c>
      <c r="Y27" s="34">
        <f>IFERROR(AA27/X27,0)</f>
        <v/>
      </c>
      <c r="Z27" s="34">
        <f>IF(Y27=0,0,F27-Y27)</f>
        <v/>
      </c>
      <c r="AA27" s="34">
        <f>SUMIFS('[1]GİP VERİLERİ'!$O:$O,'[1]GİP VERİLERİ'!$B:$B,A27,'[1]GİP VERİLERİ'!$M:$M,"40X000000104782K",'[1]GİP VERİLERİ'!$G:$G,"BUY")</f>
        <v/>
      </c>
      <c r="AB27" s="34" t="n">
        <v>0</v>
      </c>
      <c r="AC27" s="34" t="n">
        <v>0</v>
      </c>
      <c r="AD27" s="34">
        <f>IF(AB27&gt;AC27*1.05,AB27-AC27*1.05,IF(AB27&lt;AC27*0.95,AC27*0.95-AB27,0))</f>
        <v/>
      </c>
      <c r="AE27" s="34">
        <f>MAX(F27,G27,750)*0.05*AD27</f>
        <v/>
      </c>
      <c r="AF27" s="34" t="n">
        <v>0</v>
      </c>
      <c r="AG27" s="34">
        <f>IF(AB27&gt;AF27*1.05,AB27-AF27*1.05,IF(AB27&lt;AF27*0.95,AF27*0.95-AB27,0))</f>
        <v/>
      </c>
      <c r="AH27" s="34">
        <f>MAX(I27,J27,750)*0.05*AG27</f>
        <v/>
      </c>
      <c r="AI27" t="n">
        <v>9.43</v>
      </c>
      <c r="AJ27" t="n">
        <v>7</v>
      </c>
      <c r="AK27" s="34">
        <f>IF(AI27&gt;AJ27*1.05,AI27-AJ27*1.05,IF(AI27&lt;AJ27*0.95,AJ27*0.95-AI27,0))</f>
        <v/>
      </c>
      <c r="AL27" s="34">
        <f>MAX(F27,G27,750)*0.05*AK27</f>
        <v/>
      </c>
      <c r="AM27" s="39" t="n">
        <v>9</v>
      </c>
      <c r="AN27" s="34">
        <f>IF(AI27&gt;AM27*1.05,AI27-AM27*1.05,IF(AI27&lt;AM27*0.95,AM27*0.95-AI27,0))</f>
        <v/>
      </c>
      <c r="AO27" s="34">
        <f>MAX(F27,G27,750)*0.05*AN27</f>
        <v/>
      </c>
      <c r="AP27" s="34" t="n">
        <v>13.31</v>
      </c>
      <c r="AQ27" s="34" t="n">
        <v>9</v>
      </c>
      <c r="AR27" s="34">
        <f>IF(AP27&gt;AQ27*1.05,AP27-AQ27*1.05,IF(AP27&lt;AQ27*0.95,AQ27*0.95-AP27,0))</f>
        <v/>
      </c>
      <c r="AS27" s="34">
        <f>MAX(F27:G27,750)*0.05*AR27</f>
        <v/>
      </c>
      <c r="AT27" t="n">
        <v>13</v>
      </c>
      <c r="AU27" s="34">
        <f>IF(AP27&gt;AT27*1.05,AP27-AT27*1.05,IF(AP27&lt;AT27*0.95,AT27*0.95-AP27,0))</f>
        <v/>
      </c>
      <c r="AV27" s="34">
        <f>MAX(F27:G27,750)*0.05*AU27</f>
        <v/>
      </c>
      <c r="AW27" s="34">
        <f>AC27+AJ27+AQ27</f>
        <v/>
      </c>
      <c r="AX27" s="34">
        <f>AF27+AM27+AT27</f>
        <v/>
      </c>
      <c r="AY27" s="34">
        <f>AB27+AI27+AP27</f>
        <v/>
      </c>
      <c r="AZ27" s="34" t="n">
        <v>0</v>
      </c>
      <c r="BA27" s="34">
        <f>AD27+AK27+AR27</f>
        <v/>
      </c>
      <c r="BB27" s="34">
        <f>MAX(F27:G27,750)*0.05*BA27</f>
        <v/>
      </c>
      <c r="BC27" s="34">
        <f>AG27+AN27+AU27</f>
        <v/>
      </c>
      <c r="BD27" s="34">
        <f>MAX(F27:G27,750)*0.05*BC27</f>
        <v/>
      </c>
      <c r="BE27" s="34">
        <f>F27*AY27</f>
        <v/>
      </c>
      <c r="BF27" s="34">
        <f>K27-M27</f>
        <v/>
      </c>
      <c r="BG27" s="34">
        <f>P27-S27</f>
        <v/>
      </c>
      <c r="BH27" s="34">
        <f>W27-AA27</f>
        <v/>
      </c>
      <c r="BI27" s="34">
        <f>BF27+BG27+BL27-BN27</f>
        <v/>
      </c>
      <c r="BJ27" s="34">
        <f>ABS(BK27)</f>
        <v/>
      </c>
      <c r="BK27" s="34">
        <f>AY27-(J27-L27+N27-Q27)</f>
        <v/>
      </c>
      <c r="BL27" s="34">
        <f>IF(AND(BK27&gt;0,MIN($F27:$G27)&lt;150,$E27="Enerji Açığı"),-100*BK27*1.03,IF(AND(BK27&gt;0,MIN($F27:$G27)&lt;150,$E27="Enerji Fazlası"),-100*BK27*1.06,IF(AND(BK27&gt;0,MIN($F27:$G27)&gt;=150,$E27="Enerji Açığı"),BK27*MIN($F27:$G27)*0.97,IF(AND(BK27&gt;0,MIN($F27:$G27)&gt;=150,$E27="Enerji Fazlası"),BK27*MIN($F27:$G27)*0.94,IF(AND(BK27&lt;0,MAX($F27:$G27)=4500,$E27="Enerji Açığı"),4500*1.05*1.06*BK27,IF(AND(BK27&lt;0,MAX($F27:$G27)=4500,$E27="Enerji Fazlası"),4500*1.05*1.03*BK27,IF(AND(BK27&lt;0,$E27="Enerji Açığı"),MAX($F27,$G27,150)*BK27*1.06,IF(AND(BK27&lt;0,$E27="Enerji Fazlası"),MAX($F27,$G27,150)*BK27*1.03,IF(AND(BK27&lt;0,$E27="Dengede"),MAX($F27:$G27,150)*1.03*BK27,MIN($F27:$G27)*0.97*BK27)))))))))</f>
        <v/>
      </c>
      <c r="BM27" s="34">
        <f>BE27-BI27-BN27</f>
        <v/>
      </c>
      <c r="BN27" s="34">
        <f>BB27</f>
        <v/>
      </c>
      <c r="BO27" s="34">
        <f>BE27-BI27</f>
        <v/>
      </c>
      <c r="BP27" s="34">
        <f>IF(AY27=0,0,BO27/AY27)</f>
        <v/>
      </c>
      <c r="BQ27" s="34">
        <f>MAX((AY27+MAX((-J27+L27-N27+Q27),0)),(MAX((J27-L27+N27-Q27),0)))</f>
        <v/>
      </c>
      <c r="BR27" s="82">
        <f>IFERROR(ABS(BK27/BQ27),0)</f>
        <v/>
      </c>
      <c r="BS27" s="34">
        <f>IF(BR27&lt;=0.1,0,BK27/BR27*(BR27-0.1))</f>
        <v/>
      </c>
      <c r="BT27" s="34">
        <f>IF((BS27)&lt;0,MAX(F27:G27)*(BS27)*1.03,MIN(F27:G27)*(BS27)*0.97)</f>
        <v/>
      </c>
      <c r="BU27" s="34">
        <f>IF(BR27&gt;0.1,1,0)</f>
        <v/>
      </c>
      <c r="BV27" s="34">
        <f>BF27+BG27+BH27+BY27-CA27</f>
        <v/>
      </c>
      <c r="BW27" s="34">
        <f>ABS(BX27)</f>
        <v/>
      </c>
      <c r="BX27" s="34">
        <f>AY27-(J27-L27+N27-Q27+T27-X27)</f>
        <v/>
      </c>
      <c r="BY27" s="34">
        <f>IF(AND(BX27&gt;0,MIN($F27:$G27)&lt;150,$E27="Enerji Açığı"),-100*BX27*1.03,IF(AND(BX27&gt;0,MIN($F27:$G27)&lt;150,$E27="Enerji Fazlası"),-100*BX27*1.06,IF(AND(BX27&gt;0,MIN($F27:$G27)&gt;=150,$E27="Enerji Açığı"),BX27*MIN($F27:$G27)*0.97,IF(AND(BX27&gt;0,MIN($F27:$G27)&gt;=150,$E27="Enerji Fazlası"),BX27*MIN($F27:$G27)*0.94,IF(AND(BX27&lt;0,MAX($F27:$G27)=4500,$E27="Enerji Açığı"),4500*1.05*1.06*BX27,IF(AND(BX27&lt;0,MAX($F27:$G27)=4500,$E27="Enerji Fazlası"),4500*1.05*1.03*BX27,IF(AND(BX27&lt;0,$E27="Enerji Açığı"),MAX($F27,$G27,150)*BX27*1.06,IF(AND(BX27&lt;0,$E27="Enerji Fazlası"),MAX($F27,$G27,150)*BX27*1.03,IF(AND(BX27&lt;0,$E27="Dengede"),MAX($F27:$G27,150)*1.03*BX27,MIN($F27:$G27)*0.97*BX27)))))))))</f>
        <v/>
      </c>
      <c r="BZ27" s="34">
        <f>BE27-BV27-CA27</f>
        <v/>
      </c>
      <c r="CA27" s="34">
        <f>BD27</f>
        <v/>
      </c>
      <c r="CB27" s="33">
        <f>BE27-BV27</f>
        <v/>
      </c>
      <c r="CC27" s="34">
        <f>IF(AY27=0,0,CB27/AY27)</f>
        <v/>
      </c>
      <c r="CD27" s="34">
        <f>MAX((AY27+MAX((-J27+L27-N27+Q27-T27+X27),0)),(MAX((J27-L27+N27-Q27+T27-X27),0)))</f>
        <v/>
      </c>
      <c r="CE27" s="82">
        <f>IFERROR(ABS(BX27/CD27),0)</f>
        <v/>
      </c>
      <c r="CF27" s="34">
        <f>IF(CE27&lt;=0.1,0,BX27/CE27*(CE27-0.1))</f>
        <v/>
      </c>
      <c r="CG27" s="34">
        <f>IF((CF27)&lt;0,MAX(F27:G27)*(CF27)*1.03,MIN(F27:G27)*(CF27)*0.97)</f>
        <v/>
      </c>
      <c r="CH27" s="34">
        <f>IF(CE27&gt;0.1,1,0)</f>
        <v/>
      </c>
      <c r="CI27" s="34">
        <f>(F27*BX27)-BY27</f>
        <v/>
      </c>
      <c r="CJ27" s="34">
        <f>IF(AY27=0,0,CI27/AY27)</f>
        <v/>
      </c>
    </row>
    <row r="28">
      <c r="A28" s="29" t="n">
        <v>46205.04166666666</v>
      </c>
      <c r="B28" s="29" t="inlineStr">
        <is>
          <t>01:00</t>
        </is>
      </c>
      <c r="C28" s="35">
        <f>INT(A28)</f>
        <v/>
      </c>
      <c r="D28" s="36">
        <f>MONTH(A28)</f>
        <v/>
      </c>
      <c r="E28" s="147">
        <f>[1]FİYATLAR!G27</f>
        <v/>
      </c>
      <c r="F28" s="30" t="n">
        <v>3200</v>
      </c>
      <c r="G28" s="30" t="n">
        <v>3450</v>
      </c>
      <c r="H28" s="30" t="n">
        <v>68.70999999999999</v>
      </c>
      <c r="I28" s="30" t="n">
        <v>3389.41</v>
      </c>
      <c r="J28" s="119" t="n">
        <v>0</v>
      </c>
      <c r="K28" s="34">
        <f>F28*J28</f>
        <v/>
      </c>
      <c r="L28" s="119" t="n">
        <v>0</v>
      </c>
      <c r="M28" s="34">
        <f>L28*F28</f>
        <v/>
      </c>
      <c r="N28" s="119" t="n">
        <v>16</v>
      </c>
      <c r="O28" s="34">
        <f>F28</f>
        <v/>
      </c>
      <c r="P28" s="34">
        <f>N28*O28</f>
        <v/>
      </c>
      <c r="Q28" s="119" t="n">
        <v>0</v>
      </c>
      <c r="R28" s="34">
        <f>F28</f>
        <v/>
      </c>
      <c r="S28" s="34">
        <f>R28*Q28</f>
        <v/>
      </c>
      <c r="T28" s="34">
        <f>SUMIFS('[1]GİP VERİLERİ'!$C:$C,'[1]GİP VERİLERİ'!$B:$B,A28,'[1]GİP VERİLERİ'!$M:$M,"40X000000104782K",'[1]GİP VERİLERİ'!$G:$G,"SELL")</f>
        <v/>
      </c>
      <c r="U28" s="34">
        <f>IFERROR(W28/T28,0)</f>
        <v/>
      </c>
      <c r="V28" s="34">
        <f>IF(U28=0,0,U28-F28)</f>
        <v/>
      </c>
      <c r="W28" s="34">
        <f>SUMIFS('[1]GİP VERİLERİ'!$O:$O,'[1]GİP VERİLERİ'!$B:$B,A28,'[1]GİP VERİLERİ'!$M:$M,"40X000000104782K",'[1]GİP VERİLERİ'!$G:$G,"SELL")</f>
        <v/>
      </c>
      <c r="X28" s="34">
        <f>SUMIFS('[1]GİP VERİLERİ'!$C:$C,'[1]GİP VERİLERİ'!$B:$B,A28,'[1]GİP VERİLERİ'!$M:$M,"40X000000104782K",'[1]GİP VERİLERİ'!$G:$G,"BUY")</f>
        <v/>
      </c>
      <c r="Y28" s="34">
        <f>IFERROR(AA28/X28,0)</f>
        <v/>
      </c>
      <c r="Z28" s="34">
        <f>IF(Y28=0,0,F28-Y28)</f>
        <v/>
      </c>
      <c r="AA28" s="34">
        <f>SUMIFS('[1]GİP VERİLERİ'!$O:$O,'[1]GİP VERİLERİ'!$B:$B,A28,'[1]GİP VERİLERİ'!$M:$M,"40X000000104782K",'[1]GİP VERİLERİ'!$G:$G,"BUY")</f>
        <v/>
      </c>
      <c r="AB28" s="34" t="n">
        <v>0</v>
      </c>
      <c r="AC28" s="34" t="n">
        <v>0</v>
      </c>
      <c r="AD28" s="34">
        <f>IF(AB28&gt;AC28*1.05,AB28-AC28*1.05,IF(AB28&lt;AC28*0.95,AC28*0.95-AB28,0))</f>
        <v/>
      </c>
      <c r="AE28" s="34">
        <f>MAX(F28,G28,750)*0.05*AD28</f>
        <v/>
      </c>
      <c r="AF28" s="34" t="n">
        <v>0</v>
      </c>
      <c r="AG28" s="34">
        <f>IF(AB28&gt;AF28*1.05,AB28-AF28*1.05,IF(AB28&lt;AF28*0.95,AF28*0.95-AB28,0))</f>
        <v/>
      </c>
      <c r="AH28" s="34">
        <f>MAX(I28,J28,750)*0.05*AG28</f>
        <v/>
      </c>
      <c r="AI28" t="n">
        <v>9.300000000000001</v>
      </c>
      <c r="AJ28" t="n">
        <v>7</v>
      </c>
      <c r="AK28" s="34">
        <f>IF(AI28&gt;AJ28*1.05,AI28-AJ28*1.05,IF(AI28&lt;AJ28*0.95,AJ28*0.95-AI28,0))</f>
        <v/>
      </c>
      <c r="AL28" s="34">
        <f>MAX(F28,G28,750)*0.05*AK28</f>
        <v/>
      </c>
      <c r="AM28" s="39" t="n">
        <v>9</v>
      </c>
      <c r="AN28" s="34">
        <f>IF(AI28&gt;AM28*1.05,AI28-AM28*1.05,IF(AI28&lt;AM28*0.95,AM28*0.95-AI28,0))</f>
        <v/>
      </c>
      <c r="AO28" s="34">
        <f>MAX(F28,G28,750)*0.05*AN28</f>
        <v/>
      </c>
      <c r="AP28" s="34" t="n">
        <v>13.02</v>
      </c>
      <c r="AQ28" s="34" t="n">
        <v>9</v>
      </c>
      <c r="AR28" s="34">
        <f>IF(AP28&gt;AQ28*1.05,AP28-AQ28*1.05,IF(AP28&lt;AQ28*0.95,AQ28*0.95-AP28,0))</f>
        <v/>
      </c>
      <c r="AS28" s="34">
        <f>MAX(F28:G28,750)*0.05*AR28</f>
        <v/>
      </c>
      <c r="AT28" t="n">
        <v>13</v>
      </c>
      <c r="AU28" s="34">
        <f>IF(AP28&gt;AT28*1.05,AP28-AT28*1.05,IF(AP28&lt;AT28*0.95,AT28*0.95-AP28,0))</f>
        <v/>
      </c>
      <c r="AV28" s="34">
        <f>MAX(F28:G28,750)*0.05*AU28</f>
        <v/>
      </c>
      <c r="AW28" s="34">
        <f>AC28+AJ28+AQ28</f>
        <v/>
      </c>
      <c r="AX28" s="34">
        <f>AF28+AM28+AT28</f>
        <v/>
      </c>
      <c r="AY28" s="34">
        <f>AB28+AI28+AP28</f>
        <v/>
      </c>
      <c r="AZ28" s="34" t="n">
        <v>0</v>
      </c>
      <c r="BA28" s="34">
        <f>AD28+AK28+AR28</f>
        <v/>
      </c>
      <c r="BB28" s="34">
        <f>MAX(F28:G28,750)*0.05*BA28</f>
        <v/>
      </c>
      <c r="BC28" s="34">
        <f>AG28+AN28+AU28</f>
        <v/>
      </c>
      <c r="BD28" s="34">
        <f>MAX(F28:G28,750)*0.05*BC28</f>
        <v/>
      </c>
      <c r="BE28" s="34">
        <f>F28*AY28</f>
        <v/>
      </c>
      <c r="BF28" s="34">
        <f>K28-M28</f>
        <v/>
      </c>
      <c r="BG28" s="34">
        <f>P28-S28</f>
        <v/>
      </c>
      <c r="BH28" s="34">
        <f>W28-AA28</f>
        <v/>
      </c>
      <c r="BI28" s="34">
        <f>BF28+BG28+BL28-BN28</f>
        <v/>
      </c>
      <c r="BJ28" s="34">
        <f>ABS(BK28)</f>
        <v/>
      </c>
      <c r="BK28" s="34">
        <f>AY28-(J28-L28+N28-Q28)</f>
        <v/>
      </c>
      <c r="BL28" s="34">
        <f>IF(AND(BK28&gt;0,MIN($F28:$G28)&lt;150,$E28="Enerji Açığı"),-100*BK28*1.03,IF(AND(BK28&gt;0,MIN($F28:$G28)&lt;150,$E28="Enerji Fazlası"),-100*BK28*1.06,IF(AND(BK28&gt;0,MIN($F28:$G28)&gt;=150,$E28="Enerji Açığı"),BK28*MIN($F28:$G28)*0.97,IF(AND(BK28&gt;0,MIN($F28:$G28)&gt;=150,$E28="Enerji Fazlası"),BK28*MIN($F28:$G28)*0.94,IF(AND(BK28&lt;0,MAX($F28:$G28)=4500,$E28="Enerji Açığı"),4500*1.05*1.06*BK28,IF(AND(BK28&lt;0,MAX($F28:$G28)=4500,$E28="Enerji Fazlası"),4500*1.05*1.03*BK28,IF(AND(BK28&lt;0,$E28="Enerji Açığı"),MAX($F28,$G28,150)*BK28*1.06,IF(AND(BK28&lt;0,$E28="Enerji Fazlası"),MAX($F28,$G28,150)*BK28*1.03,IF(AND(BK28&lt;0,$E28="Dengede"),MAX($F28:$G28,150)*1.03*BK28,MIN($F28:$G28)*0.97*BK28)))))))))</f>
        <v/>
      </c>
      <c r="BM28" s="34">
        <f>BE28-BI28-BN28</f>
        <v/>
      </c>
      <c r="BN28" s="34">
        <f>BB28</f>
        <v/>
      </c>
      <c r="BO28" s="34">
        <f>BE28-BI28</f>
        <v/>
      </c>
      <c r="BP28" s="34">
        <f>IF(AY28=0,0,BO28/AY28)</f>
        <v/>
      </c>
      <c r="BQ28" s="34">
        <f>MAX((AY28+MAX((-J28+L28-N28+Q28),0)),(MAX((J28-L28+N28-Q28),0)))</f>
        <v/>
      </c>
      <c r="BR28" s="82">
        <f>IFERROR(ABS(BK28/BQ28),0)</f>
        <v/>
      </c>
      <c r="BS28" s="34">
        <f>IF(BR28&lt;=0.1,0,BK28/BR28*(BR28-0.1))</f>
        <v/>
      </c>
      <c r="BT28" s="34">
        <f>IF((BS28)&lt;0,MAX(F28:G28)*(BS28)*1.03,MIN(F28:G28)*(BS28)*0.97)</f>
        <v/>
      </c>
      <c r="BU28" s="34">
        <f>IF(BR28&gt;0.1,1,0)</f>
        <v/>
      </c>
      <c r="BV28" s="34">
        <f>BF28+BG28+BH28+BY28-CA28</f>
        <v/>
      </c>
      <c r="BW28" s="34">
        <f>ABS(BX28)</f>
        <v/>
      </c>
      <c r="BX28" s="34">
        <f>AY28-(J28-L28+N28-Q28+T28-X28)</f>
        <v/>
      </c>
      <c r="BY28" s="34">
        <f>IF(AND(BX28&gt;0,MIN($F28:$G28)&lt;150,$E28="Enerji Açığı"),-100*BX28*1.03,IF(AND(BX28&gt;0,MIN($F28:$G28)&lt;150,$E28="Enerji Fazlası"),-100*BX28*1.06,IF(AND(BX28&gt;0,MIN($F28:$G28)&gt;=150,$E28="Enerji Açığı"),BX28*MIN($F28:$G28)*0.97,IF(AND(BX28&gt;0,MIN($F28:$G28)&gt;=150,$E28="Enerji Fazlası"),BX28*MIN($F28:$G28)*0.94,IF(AND(BX28&lt;0,MAX($F28:$G28)=4500,$E28="Enerji Açığı"),4500*1.05*1.06*BX28,IF(AND(BX28&lt;0,MAX($F28:$G28)=4500,$E28="Enerji Fazlası"),4500*1.05*1.03*BX28,IF(AND(BX28&lt;0,$E28="Enerji Açığı"),MAX($F28,$G28,150)*BX28*1.06,IF(AND(BX28&lt;0,$E28="Enerji Fazlası"),MAX($F28,$G28,150)*BX28*1.03,IF(AND(BX28&lt;0,$E28="Dengede"),MAX($F28:$G28,150)*1.03*BX28,MIN($F28:$G28)*0.97*BX28)))))))))</f>
        <v/>
      </c>
      <c r="BZ28" s="34">
        <f>BE28-BV28-CA28</f>
        <v/>
      </c>
      <c r="CA28" s="34">
        <f>BD28</f>
        <v/>
      </c>
      <c r="CB28" s="33">
        <f>BE28-BV28</f>
        <v/>
      </c>
      <c r="CC28" s="34">
        <f>IF(AY28=0,0,CB28/AY28)</f>
        <v/>
      </c>
      <c r="CD28" s="34">
        <f>MAX((AY28+MAX((-J28+L28-N28+Q28-T28+X28),0)),(MAX((J28-L28+N28-Q28+T28-X28),0)))</f>
        <v/>
      </c>
      <c r="CE28" s="82">
        <f>IFERROR(ABS(BX28/CD28),0)</f>
        <v/>
      </c>
      <c r="CF28" s="34">
        <f>IF(CE28&lt;=0.1,0,BX28/CE28*(CE28-0.1))</f>
        <v/>
      </c>
      <c r="CG28" s="34">
        <f>IF((CF28)&lt;0,MAX(F28:G28)*(CF28)*1.03,MIN(F28:G28)*(CF28)*0.97)</f>
        <v/>
      </c>
      <c r="CH28" s="34">
        <f>IF(CE28&gt;0.1,1,0)</f>
        <v/>
      </c>
      <c r="CI28" s="34">
        <f>(F28*BX28)-BY28</f>
        <v/>
      </c>
      <c r="CJ28" s="34">
        <f>IF(AY28=0,0,CI28/AY28)</f>
        <v/>
      </c>
    </row>
    <row r="29">
      <c r="A29" s="29" t="n">
        <v>46205.08333333334</v>
      </c>
      <c r="B29" s="29" t="inlineStr">
        <is>
          <t>02:00</t>
        </is>
      </c>
      <c r="C29" s="35">
        <f>INT(A29)</f>
        <v/>
      </c>
      <c r="D29" s="36">
        <f>MONTH(A29)</f>
        <v/>
      </c>
      <c r="E29" s="147">
        <f>[1]FİYATLAR!G28</f>
        <v/>
      </c>
      <c r="F29" s="30" t="n">
        <v>3300</v>
      </c>
      <c r="G29" s="30" t="n">
        <v>3500</v>
      </c>
      <c r="H29" s="30" t="n">
        <v>70.84999999999999</v>
      </c>
      <c r="I29" s="30" t="n">
        <v>3423.13</v>
      </c>
      <c r="J29" s="119" t="n">
        <v>0</v>
      </c>
      <c r="K29" s="34">
        <f>F29*J29</f>
        <v/>
      </c>
      <c r="L29" s="119" t="n">
        <v>0</v>
      </c>
      <c r="M29" s="34">
        <f>L29*F29</f>
        <v/>
      </c>
      <c r="N29" s="119" t="n">
        <v>16</v>
      </c>
      <c r="O29" s="34">
        <f>F29</f>
        <v/>
      </c>
      <c r="P29" s="34">
        <f>N29*O29</f>
        <v/>
      </c>
      <c r="Q29" s="119" t="n">
        <v>0</v>
      </c>
      <c r="R29" s="34">
        <f>F29</f>
        <v/>
      </c>
      <c r="S29" s="34">
        <f>R29*Q29</f>
        <v/>
      </c>
      <c r="T29" s="34">
        <f>SUMIFS('[1]GİP VERİLERİ'!$C:$C,'[1]GİP VERİLERİ'!$B:$B,A29,'[1]GİP VERİLERİ'!$M:$M,"40X000000104782K",'[1]GİP VERİLERİ'!$G:$G,"SELL")</f>
        <v/>
      </c>
      <c r="U29" s="34">
        <f>IFERROR(W29/T29,0)</f>
        <v/>
      </c>
      <c r="V29" s="34">
        <f>IF(U29=0,0,U29-F29)</f>
        <v/>
      </c>
      <c r="W29" s="34">
        <f>SUMIFS('[1]GİP VERİLERİ'!$O:$O,'[1]GİP VERİLERİ'!$B:$B,A29,'[1]GİP VERİLERİ'!$M:$M,"40X000000104782K",'[1]GİP VERİLERİ'!$G:$G,"SELL")</f>
        <v/>
      </c>
      <c r="X29" s="34">
        <f>SUMIFS('[1]GİP VERİLERİ'!$C:$C,'[1]GİP VERİLERİ'!$B:$B,A29,'[1]GİP VERİLERİ'!$M:$M,"40X000000104782K",'[1]GİP VERİLERİ'!$G:$G,"BUY")</f>
        <v/>
      </c>
      <c r="Y29" s="34">
        <f>IFERROR(AA29/X29,0)</f>
        <v/>
      </c>
      <c r="Z29" s="34">
        <f>IF(Y29=0,0,F29-Y29)</f>
        <v/>
      </c>
      <c r="AA29" s="34">
        <f>SUMIFS('[1]GİP VERİLERİ'!$O:$O,'[1]GİP VERİLERİ'!$B:$B,A29,'[1]GİP VERİLERİ'!$M:$M,"40X000000104782K",'[1]GİP VERİLERİ'!$G:$G,"BUY")</f>
        <v/>
      </c>
      <c r="AB29" s="34" t="n">
        <v>0</v>
      </c>
      <c r="AC29" s="34" t="n">
        <v>0</v>
      </c>
      <c r="AD29" s="34">
        <f>IF(AB29&gt;AC29*1.05,AB29-AC29*1.05,IF(AB29&lt;AC29*0.95,AC29*0.95-AB29,0))</f>
        <v/>
      </c>
      <c r="AE29" s="34">
        <f>MAX(F29,G29,750)*0.05*AD29</f>
        <v/>
      </c>
      <c r="AF29" s="34" t="n">
        <v>0</v>
      </c>
      <c r="AG29" s="34">
        <f>IF(AB29&gt;AF29*1.05,AB29-AF29*1.05,IF(AB29&lt;AF29*0.95,AF29*0.95-AB29,0))</f>
        <v/>
      </c>
      <c r="AH29" s="34">
        <f>MAX(I29,J29,750)*0.05*AG29</f>
        <v/>
      </c>
      <c r="AI29" t="n">
        <v>9.19</v>
      </c>
      <c r="AJ29" t="n">
        <v>7</v>
      </c>
      <c r="AK29" s="34">
        <f>IF(AI29&gt;AJ29*1.05,AI29-AJ29*1.05,IF(AI29&lt;AJ29*0.95,AJ29*0.95-AI29,0))</f>
        <v/>
      </c>
      <c r="AL29" s="34">
        <f>MAX(F29,G29,750)*0.05*AK29</f>
        <v/>
      </c>
      <c r="AM29" s="39" t="n">
        <v>9</v>
      </c>
      <c r="AN29" s="34">
        <f>IF(AI29&gt;AM29*1.05,AI29-AM29*1.05,IF(AI29&lt;AM29*0.95,AM29*0.95-AI29,0))</f>
        <v/>
      </c>
      <c r="AO29" s="34">
        <f>MAX(F29,G29,750)*0.05*AN29</f>
        <v/>
      </c>
      <c r="AP29" s="34" t="n">
        <v>13.06</v>
      </c>
      <c r="AQ29" s="34" t="n">
        <v>9</v>
      </c>
      <c r="AR29" s="34">
        <f>IF(AP29&gt;AQ29*1.05,AP29-AQ29*1.05,IF(AP29&lt;AQ29*0.95,AQ29*0.95-AP29,0))</f>
        <v/>
      </c>
      <c r="AS29" s="34">
        <f>MAX(F29:G29,750)*0.05*AR29</f>
        <v/>
      </c>
      <c r="AT29" t="n">
        <v>13</v>
      </c>
      <c r="AU29" s="34">
        <f>IF(AP29&gt;AT29*1.05,AP29-AT29*1.05,IF(AP29&lt;AT29*0.95,AT29*0.95-AP29,0))</f>
        <v/>
      </c>
      <c r="AV29" s="34">
        <f>MAX(F29:G29,750)*0.05*AU29</f>
        <v/>
      </c>
      <c r="AW29" s="34">
        <f>AC29+AJ29+AQ29</f>
        <v/>
      </c>
      <c r="AX29" s="34">
        <f>AF29+AM29+AT29</f>
        <v/>
      </c>
      <c r="AY29" s="34">
        <f>AB29+AI29+AP29</f>
        <v/>
      </c>
      <c r="AZ29" s="34" t="n">
        <v>0</v>
      </c>
      <c r="BA29" s="34">
        <f>AD29+AK29+AR29</f>
        <v/>
      </c>
      <c r="BB29" s="34">
        <f>MAX(F29:G29,750)*0.05*BA29</f>
        <v/>
      </c>
      <c r="BC29" s="34">
        <f>AG29+AN29+AU29</f>
        <v/>
      </c>
      <c r="BD29" s="34">
        <f>MAX(F29:G29,750)*0.05*BC29</f>
        <v/>
      </c>
      <c r="BE29" s="34">
        <f>F29*AY29</f>
        <v/>
      </c>
      <c r="BF29" s="34">
        <f>K29-M29</f>
        <v/>
      </c>
      <c r="BG29" s="34">
        <f>P29-S29</f>
        <v/>
      </c>
      <c r="BH29" s="34">
        <f>W29-AA29</f>
        <v/>
      </c>
      <c r="BI29" s="34">
        <f>BF29+BG29+BL29-BN29</f>
        <v/>
      </c>
      <c r="BJ29" s="34">
        <f>ABS(BK29)</f>
        <v/>
      </c>
      <c r="BK29" s="34">
        <f>AY29-(J29-L29+N29-Q29)</f>
        <v/>
      </c>
      <c r="BL29" s="34">
        <f>IF(AND(BK29&gt;0,MIN($F29:$G29)&lt;150,$E29="Enerji Açığı"),-100*BK29*1.03,IF(AND(BK29&gt;0,MIN($F29:$G29)&lt;150,$E29="Enerji Fazlası"),-100*BK29*1.06,IF(AND(BK29&gt;0,MIN($F29:$G29)&gt;=150,$E29="Enerji Açığı"),BK29*MIN($F29:$G29)*0.97,IF(AND(BK29&gt;0,MIN($F29:$G29)&gt;=150,$E29="Enerji Fazlası"),BK29*MIN($F29:$G29)*0.94,IF(AND(BK29&lt;0,MAX($F29:$G29)=4500,$E29="Enerji Açığı"),4500*1.05*1.06*BK29,IF(AND(BK29&lt;0,MAX($F29:$G29)=4500,$E29="Enerji Fazlası"),4500*1.05*1.03*BK29,IF(AND(BK29&lt;0,$E29="Enerji Açığı"),MAX($F29,$G29,150)*BK29*1.06,IF(AND(BK29&lt;0,$E29="Enerji Fazlası"),MAX($F29,$G29,150)*BK29*1.03,IF(AND(BK29&lt;0,$E29="Dengede"),MAX($F29:$G29,150)*1.03*BK29,MIN($F29:$G29)*0.97*BK29)))))))))</f>
        <v/>
      </c>
      <c r="BM29" s="34">
        <f>BE29-BI29-BN29</f>
        <v/>
      </c>
      <c r="BN29" s="34">
        <f>BB29</f>
        <v/>
      </c>
      <c r="BO29" s="34">
        <f>BE29-BI29</f>
        <v/>
      </c>
      <c r="BP29" s="34">
        <f>IF(AY29=0,0,BO29/AY29)</f>
        <v/>
      </c>
      <c r="BQ29" s="34">
        <f>MAX((AY29+MAX((-J29+L29-N29+Q29),0)),(MAX((J29-L29+N29-Q29),0)))</f>
        <v/>
      </c>
      <c r="BR29" s="82">
        <f>IFERROR(ABS(BK29/BQ29),0)</f>
        <v/>
      </c>
      <c r="BS29" s="34">
        <f>IF(BR29&lt;=0.1,0,BK29/BR29*(BR29-0.1))</f>
        <v/>
      </c>
      <c r="BT29" s="34">
        <f>IF((BS29)&lt;0,MAX(F29:G29)*(BS29)*1.03,MIN(F29:G29)*(BS29)*0.97)</f>
        <v/>
      </c>
      <c r="BU29" s="34">
        <f>IF(BR29&gt;0.1,1,0)</f>
        <v/>
      </c>
      <c r="BV29" s="34">
        <f>BF29+BG29+BH29+BY29-CA29</f>
        <v/>
      </c>
      <c r="BW29" s="34">
        <f>ABS(BX29)</f>
        <v/>
      </c>
      <c r="BX29" s="34">
        <f>AY29-(J29-L29+N29-Q29+T29-X29)</f>
        <v/>
      </c>
      <c r="BY29" s="34">
        <f>IF(AND(BX29&gt;0,MIN($F29:$G29)&lt;150,$E29="Enerji Açığı"),-100*BX29*1.03,IF(AND(BX29&gt;0,MIN($F29:$G29)&lt;150,$E29="Enerji Fazlası"),-100*BX29*1.06,IF(AND(BX29&gt;0,MIN($F29:$G29)&gt;=150,$E29="Enerji Açığı"),BX29*MIN($F29:$G29)*0.97,IF(AND(BX29&gt;0,MIN($F29:$G29)&gt;=150,$E29="Enerji Fazlası"),BX29*MIN($F29:$G29)*0.94,IF(AND(BX29&lt;0,MAX($F29:$G29)=4500,$E29="Enerji Açığı"),4500*1.05*1.06*BX29,IF(AND(BX29&lt;0,MAX($F29:$G29)=4500,$E29="Enerji Fazlası"),4500*1.05*1.03*BX29,IF(AND(BX29&lt;0,$E29="Enerji Açığı"),MAX($F29,$G29,150)*BX29*1.06,IF(AND(BX29&lt;0,$E29="Enerji Fazlası"),MAX($F29,$G29,150)*BX29*1.03,IF(AND(BX29&lt;0,$E29="Dengede"),MAX($F29:$G29,150)*1.03*BX29,MIN($F29:$G29)*0.97*BX29)))))))))</f>
        <v/>
      </c>
      <c r="BZ29" s="34">
        <f>BE29-BV29-CA29</f>
        <v/>
      </c>
      <c r="CA29" s="34">
        <f>BD29</f>
        <v/>
      </c>
      <c r="CB29" s="33">
        <f>BE29-BV29</f>
        <v/>
      </c>
      <c r="CC29" s="34">
        <f>IF(AY29=0,0,CB29/AY29)</f>
        <v/>
      </c>
      <c r="CD29" s="34">
        <f>MAX((AY29+MAX((-J29+L29-N29+Q29-T29+X29),0)),(MAX((J29-L29+N29-Q29+T29-X29),0)))</f>
        <v/>
      </c>
      <c r="CE29" s="82">
        <f>IFERROR(ABS(BX29/CD29),0)</f>
        <v/>
      </c>
      <c r="CF29" s="34">
        <f>IF(CE29&lt;=0.1,0,BX29/CE29*(CE29-0.1))</f>
        <v/>
      </c>
      <c r="CG29" s="34">
        <f>IF((CF29)&lt;0,MAX(F29:G29)*(CF29)*1.03,MIN(F29:G29)*(CF29)*0.97)</f>
        <v/>
      </c>
      <c r="CH29" s="34">
        <f>IF(CE29&gt;0.1,1,0)</f>
        <v/>
      </c>
      <c r="CI29" s="34">
        <f>(F29*BX29)-BY29</f>
        <v/>
      </c>
      <c r="CJ29" s="34">
        <f>IF(AY29=0,0,CI29/AY29)</f>
        <v/>
      </c>
    </row>
    <row r="30">
      <c r="A30" s="29" t="n">
        <v>46205.125</v>
      </c>
      <c r="B30" s="29" t="inlineStr">
        <is>
          <t>03:00</t>
        </is>
      </c>
      <c r="C30" s="35">
        <f>INT(A30)</f>
        <v/>
      </c>
      <c r="D30" s="36">
        <f>MONTH(A30)</f>
        <v/>
      </c>
      <c r="E30" s="147">
        <f>[1]FİYATLAR!G29</f>
        <v/>
      </c>
      <c r="F30" s="30" t="n">
        <v>3269.01</v>
      </c>
      <c r="G30" s="30" t="n">
        <v>3450</v>
      </c>
      <c r="H30" s="30" t="n">
        <v>70.19</v>
      </c>
      <c r="I30" s="30" t="n">
        <v>3443.48</v>
      </c>
      <c r="J30" s="119" t="n">
        <v>0</v>
      </c>
      <c r="K30" s="34">
        <f>F30*J30</f>
        <v/>
      </c>
      <c r="L30" s="119" t="n">
        <v>0</v>
      </c>
      <c r="M30" s="34">
        <f>L30*F30</f>
        <v/>
      </c>
      <c r="N30" s="119" t="n">
        <v>16</v>
      </c>
      <c r="O30" s="34">
        <f>F30</f>
        <v/>
      </c>
      <c r="P30" s="34">
        <f>N30*O30</f>
        <v/>
      </c>
      <c r="Q30" s="119" t="n">
        <v>0</v>
      </c>
      <c r="R30" s="34">
        <f>F30</f>
        <v/>
      </c>
      <c r="S30" s="34">
        <f>R30*Q30</f>
        <v/>
      </c>
      <c r="T30" s="34">
        <f>SUMIFS('[1]GİP VERİLERİ'!$C:$C,'[1]GİP VERİLERİ'!$B:$B,A30,'[1]GİP VERİLERİ'!$M:$M,"40X000000104782K",'[1]GİP VERİLERİ'!$G:$G,"SELL")</f>
        <v/>
      </c>
      <c r="U30" s="34">
        <f>IFERROR(W30/T30,0)</f>
        <v/>
      </c>
      <c r="V30" s="34">
        <f>IF(U30=0,0,U30-F30)</f>
        <v/>
      </c>
      <c r="W30" s="34">
        <f>SUMIFS('[1]GİP VERİLERİ'!$O:$O,'[1]GİP VERİLERİ'!$B:$B,A30,'[1]GİP VERİLERİ'!$M:$M,"40X000000104782K",'[1]GİP VERİLERİ'!$G:$G,"SELL")</f>
        <v/>
      </c>
      <c r="X30" s="34">
        <f>SUMIFS('[1]GİP VERİLERİ'!$C:$C,'[1]GİP VERİLERİ'!$B:$B,A30,'[1]GİP VERİLERİ'!$M:$M,"40X000000104782K",'[1]GİP VERİLERİ'!$G:$G,"BUY")</f>
        <v/>
      </c>
      <c r="Y30" s="34">
        <f>IFERROR(AA30/X30,0)</f>
        <v/>
      </c>
      <c r="Z30" s="34">
        <f>IF(Y30=0,0,F30-Y30)</f>
        <v/>
      </c>
      <c r="AA30" s="34">
        <f>SUMIFS('[1]GİP VERİLERİ'!$O:$O,'[1]GİP VERİLERİ'!$B:$B,A30,'[1]GİP VERİLERİ'!$M:$M,"40X000000104782K",'[1]GİP VERİLERİ'!$G:$G,"BUY")</f>
        <v/>
      </c>
      <c r="AB30" s="34" t="n">
        <v>0</v>
      </c>
      <c r="AC30" s="34" t="n">
        <v>0</v>
      </c>
      <c r="AD30" s="34">
        <f>IF(AB30&gt;AC30*1.05,AB30-AC30*1.05,IF(AB30&lt;AC30*0.95,AC30*0.95-AB30,0))</f>
        <v/>
      </c>
      <c r="AE30" s="34">
        <f>MAX(F30,G30,750)*0.05*AD30</f>
        <v/>
      </c>
      <c r="AF30" s="34" t="n">
        <v>0</v>
      </c>
      <c r="AG30" s="34">
        <f>IF(AB30&gt;AF30*1.05,AB30-AF30*1.05,IF(AB30&lt;AF30*0.95,AF30*0.95-AB30,0))</f>
        <v/>
      </c>
      <c r="AH30" s="34">
        <f>MAX(I30,J30,750)*0.05*AG30</f>
        <v/>
      </c>
      <c r="AI30" t="n">
        <v>10.45</v>
      </c>
      <c r="AJ30" t="n">
        <v>7</v>
      </c>
      <c r="AK30" s="34">
        <f>IF(AI30&gt;AJ30*1.05,AI30-AJ30*1.05,IF(AI30&lt;AJ30*0.95,AJ30*0.95-AI30,0))</f>
        <v/>
      </c>
      <c r="AL30" s="34">
        <f>MAX(F30,G30,750)*0.05*AK30</f>
        <v/>
      </c>
      <c r="AM30" s="39" t="n">
        <v>10</v>
      </c>
      <c r="AN30" s="34">
        <f>IF(AI30&gt;AM30*1.05,AI30-AM30*1.05,IF(AI30&lt;AM30*0.95,AM30*0.95-AI30,0))</f>
        <v/>
      </c>
      <c r="AO30" s="34">
        <f>MAX(F30,G30,750)*0.05*AN30</f>
        <v/>
      </c>
      <c r="AP30" s="34" t="n">
        <v>13.16</v>
      </c>
      <c r="AQ30" s="34" t="n">
        <v>9</v>
      </c>
      <c r="AR30" s="34">
        <f>IF(AP30&gt;AQ30*1.05,AP30-AQ30*1.05,IF(AP30&lt;AQ30*0.95,AQ30*0.95-AP30,0))</f>
        <v/>
      </c>
      <c r="AS30" s="34">
        <f>MAX(F30:G30,750)*0.05*AR30</f>
        <v/>
      </c>
      <c r="AT30" t="n">
        <v>13</v>
      </c>
      <c r="AU30" s="34">
        <f>IF(AP30&gt;AT30*1.05,AP30-AT30*1.05,IF(AP30&lt;AT30*0.95,AT30*0.95-AP30,0))</f>
        <v/>
      </c>
      <c r="AV30" s="34">
        <f>MAX(F30:G30,750)*0.05*AU30</f>
        <v/>
      </c>
      <c r="AW30" s="34">
        <f>AC30+AJ30+AQ30</f>
        <v/>
      </c>
      <c r="AX30" s="34">
        <f>AF30+AM30+AT30</f>
        <v/>
      </c>
      <c r="AY30" s="34">
        <f>AB30+AI30+AP30</f>
        <v/>
      </c>
      <c r="AZ30" s="34" t="n">
        <v>0</v>
      </c>
      <c r="BA30" s="34">
        <f>AD30+AK30+AR30</f>
        <v/>
      </c>
      <c r="BB30" s="34">
        <f>MAX(F30:G30,750)*0.05*BA30</f>
        <v/>
      </c>
      <c r="BC30" s="34">
        <f>AG30+AN30+AU30</f>
        <v/>
      </c>
      <c r="BD30" s="34">
        <f>MAX(F30:G30,750)*0.05*BC30</f>
        <v/>
      </c>
      <c r="BE30" s="34">
        <f>F30*AY30</f>
        <v/>
      </c>
      <c r="BF30" s="34">
        <f>K30-M30</f>
        <v/>
      </c>
      <c r="BG30" s="34">
        <f>P30-S30</f>
        <v/>
      </c>
      <c r="BH30" s="34">
        <f>W30-AA30</f>
        <v/>
      </c>
      <c r="BI30" s="34">
        <f>BF30+BG30+BL30-BN30</f>
        <v/>
      </c>
      <c r="BJ30" s="34">
        <f>ABS(BK30)</f>
        <v/>
      </c>
      <c r="BK30" s="34">
        <f>AY30-(J30-L30+N30-Q30)</f>
        <v/>
      </c>
      <c r="BL30" s="34">
        <f>IF(AND(BK30&gt;0,MIN($F30:$G30)&lt;150,$E30="Enerji Açığı"),-100*BK30*1.03,IF(AND(BK30&gt;0,MIN($F30:$G30)&lt;150,$E30="Enerji Fazlası"),-100*BK30*1.06,IF(AND(BK30&gt;0,MIN($F30:$G30)&gt;=150,$E30="Enerji Açığı"),BK30*MIN($F30:$G30)*0.97,IF(AND(BK30&gt;0,MIN($F30:$G30)&gt;=150,$E30="Enerji Fazlası"),BK30*MIN($F30:$G30)*0.94,IF(AND(BK30&lt;0,MAX($F30:$G30)=4500,$E30="Enerji Açığı"),4500*1.05*1.06*BK30,IF(AND(BK30&lt;0,MAX($F30:$G30)=4500,$E30="Enerji Fazlası"),4500*1.05*1.03*BK30,IF(AND(BK30&lt;0,$E30="Enerji Açığı"),MAX($F30,$G30,150)*BK30*1.06,IF(AND(BK30&lt;0,$E30="Enerji Fazlası"),MAX($F30,$G30,150)*BK30*1.03,IF(AND(BK30&lt;0,$E30="Dengede"),MAX($F30:$G30,150)*1.03*BK30,MIN($F30:$G30)*0.97*BK30)))))))))</f>
        <v/>
      </c>
      <c r="BM30" s="34">
        <f>BE30-BI30-BN30</f>
        <v/>
      </c>
      <c r="BN30" s="34">
        <f>BB30</f>
        <v/>
      </c>
      <c r="BO30" s="34">
        <f>BE30-BI30</f>
        <v/>
      </c>
      <c r="BP30" s="34">
        <f>IF(AY30=0,0,BO30/AY30)</f>
        <v/>
      </c>
      <c r="BQ30" s="34">
        <f>MAX((AY30+MAX((-J30+L30-N30+Q30),0)),(MAX((J30-L30+N30-Q30),0)))</f>
        <v/>
      </c>
      <c r="BR30" s="82">
        <f>IFERROR(ABS(BK30/BQ30),0)</f>
        <v/>
      </c>
      <c r="BS30" s="34">
        <f>IF(BR30&lt;=0.1,0,BK30/BR30*(BR30-0.1))</f>
        <v/>
      </c>
      <c r="BT30" s="34">
        <f>IF((BS30)&lt;0,MAX(F30:G30)*(BS30)*1.03,MIN(F30:G30)*(BS30)*0.97)</f>
        <v/>
      </c>
      <c r="BU30" s="34">
        <f>IF(BR30&gt;0.1,1,0)</f>
        <v/>
      </c>
      <c r="BV30" s="34">
        <f>BF30+BG30+BH30+BY30-CA30</f>
        <v/>
      </c>
      <c r="BW30" s="34">
        <f>ABS(BX30)</f>
        <v/>
      </c>
      <c r="BX30" s="34">
        <f>AY30-(J30-L30+N30-Q30+T30-X30)</f>
        <v/>
      </c>
      <c r="BY30" s="34">
        <f>IF(AND(BX30&gt;0,MIN($F30:$G30)&lt;150,$E30="Enerji Açığı"),-100*BX30*1.03,IF(AND(BX30&gt;0,MIN($F30:$G30)&lt;150,$E30="Enerji Fazlası"),-100*BX30*1.06,IF(AND(BX30&gt;0,MIN($F30:$G30)&gt;=150,$E30="Enerji Açığı"),BX30*MIN($F30:$G30)*0.97,IF(AND(BX30&gt;0,MIN($F30:$G30)&gt;=150,$E30="Enerji Fazlası"),BX30*MIN($F30:$G30)*0.94,IF(AND(BX30&lt;0,MAX($F30:$G30)=4500,$E30="Enerji Açığı"),4500*1.05*1.06*BX30,IF(AND(BX30&lt;0,MAX($F30:$G30)=4500,$E30="Enerji Fazlası"),4500*1.05*1.03*BX30,IF(AND(BX30&lt;0,$E30="Enerji Açığı"),MAX($F30,$G30,150)*BX30*1.06,IF(AND(BX30&lt;0,$E30="Enerji Fazlası"),MAX($F30,$G30,150)*BX30*1.03,IF(AND(BX30&lt;0,$E30="Dengede"),MAX($F30:$G30,150)*1.03*BX30,MIN($F30:$G30)*0.97*BX30)))))))))</f>
        <v/>
      </c>
      <c r="BZ30" s="34">
        <f>BE30-BV30-CA30</f>
        <v/>
      </c>
      <c r="CA30" s="34">
        <f>BD30</f>
        <v/>
      </c>
      <c r="CB30" s="33">
        <f>BE30-BV30</f>
        <v/>
      </c>
      <c r="CC30" s="34">
        <f>IF(AY30=0,0,CB30/AY30)</f>
        <v/>
      </c>
      <c r="CD30" s="34">
        <f>MAX((AY30+MAX((-J30+L30-N30+Q30-T30+X30),0)),(MAX((J30-L30+N30-Q30+T30-X30),0)))</f>
        <v/>
      </c>
      <c r="CE30" s="82">
        <f>IFERROR(ABS(BX30/CD30),0)</f>
        <v/>
      </c>
      <c r="CF30" s="34">
        <f>IF(CE30&lt;=0.1,0,BX30/CE30*(CE30-0.1))</f>
        <v/>
      </c>
      <c r="CG30" s="34">
        <f>IF((CF30)&lt;0,MAX(F30:G30)*(CF30)*1.03,MIN(F30:G30)*(CF30)*0.97)</f>
        <v/>
      </c>
      <c r="CH30" s="34">
        <f>IF(CE30&gt;0.1,1,0)</f>
        <v/>
      </c>
      <c r="CI30" s="34">
        <f>(F30*BX30)-BY30</f>
        <v/>
      </c>
      <c r="CJ30" s="34">
        <f>IF(AY30=0,0,CI30/AY30)</f>
        <v/>
      </c>
    </row>
    <row r="31">
      <c r="A31" s="29" t="n">
        <v>46205.16666666666</v>
      </c>
      <c r="B31" s="29" t="inlineStr">
        <is>
          <t>04:00</t>
        </is>
      </c>
      <c r="C31" s="35">
        <f>INT(A31)</f>
        <v/>
      </c>
      <c r="D31" s="36">
        <f>MONTH(A31)</f>
        <v/>
      </c>
      <c r="E31" s="147">
        <f>[1]FİYATLAR!G30</f>
        <v/>
      </c>
      <c r="F31" s="30" t="n">
        <v>3999.99</v>
      </c>
      <c r="G31" s="30" t="n">
        <v>3999.99</v>
      </c>
      <c r="H31" s="30" t="n">
        <v>85.88</v>
      </c>
      <c r="I31" s="30" t="n">
        <v>4231.77</v>
      </c>
      <c r="J31" s="119" t="n">
        <v>0</v>
      </c>
      <c r="K31" s="34">
        <f>F31*J31</f>
        <v/>
      </c>
      <c r="L31" s="119" t="n">
        <v>0</v>
      </c>
      <c r="M31" s="34">
        <f>L31*F31</f>
        <v/>
      </c>
      <c r="N31" s="119" t="n">
        <v>18</v>
      </c>
      <c r="O31" s="34">
        <f>F31</f>
        <v/>
      </c>
      <c r="P31" s="34">
        <f>N31*O31</f>
        <v/>
      </c>
      <c r="Q31" s="119" t="n">
        <v>0</v>
      </c>
      <c r="R31" s="34">
        <f>F31</f>
        <v/>
      </c>
      <c r="S31" s="34">
        <f>R31*Q31</f>
        <v/>
      </c>
      <c r="T31" s="34">
        <f>SUMIFS('[1]GİP VERİLERİ'!$C:$C,'[1]GİP VERİLERİ'!$B:$B,A31,'[1]GİP VERİLERİ'!$M:$M,"40X000000104782K",'[1]GİP VERİLERİ'!$G:$G,"SELL")</f>
        <v/>
      </c>
      <c r="U31" s="34">
        <f>IFERROR(W31/T31,0)</f>
        <v/>
      </c>
      <c r="V31" s="34">
        <f>IF(U31=0,0,U31-F31)</f>
        <v/>
      </c>
      <c r="W31" s="34">
        <f>SUMIFS('[1]GİP VERİLERİ'!$O:$O,'[1]GİP VERİLERİ'!$B:$B,A31,'[1]GİP VERİLERİ'!$M:$M,"40X000000104782K",'[1]GİP VERİLERİ'!$G:$G,"SELL")</f>
        <v/>
      </c>
      <c r="X31" s="34">
        <f>SUMIFS('[1]GİP VERİLERİ'!$C:$C,'[1]GİP VERİLERİ'!$B:$B,A31,'[1]GİP VERİLERİ'!$M:$M,"40X000000104782K",'[1]GİP VERİLERİ'!$G:$G,"BUY")</f>
        <v/>
      </c>
      <c r="Y31" s="34">
        <f>IFERROR(AA31/X31,0)</f>
        <v/>
      </c>
      <c r="Z31" s="34">
        <f>IF(Y31=0,0,F31-Y31)</f>
        <v/>
      </c>
      <c r="AA31" s="34">
        <f>SUMIFS('[1]GİP VERİLERİ'!$O:$O,'[1]GİP VERİLERİ'!$B:$B,A31,'[1]GİP VERİLERİ'!$M:$M,"40X000000104782K",'[1]GİP VERİLERİ'!$G:$G,"BUY")</f>
        <v/>
      </c>
      <c r="AB31" s="34" t="n">
        <v>0</v>
      </c>
      <c r="AC31" s="34" t="n">
        <v>0</v>
      </c>
      <c r="AD31" s="34">
        <f>IF(AB31&gt;AC31*1.05,AB31-AC31*1.05,IF(AB31&lt;AC31*0.95,AC31*0.95-AB31,0))</f>
        <v/>
      </c>
      <c r="AE31" s="34">
        <f>MAX(F31,G31,750)*0.05*AD31</f>
        <v/>
      </c>
      <c r="AF31" s="34" t="n">
        <v>0</v>
      </c>
      <c r="AG31" s="34">
        <f>IF(AB31&gt;AF31*1.05,AB31-AF31*1.05,IF(AB31&lt;AF31*0.95,AF31*0.95-AB31,0))</f>
        <v/>
      </c>
      <c r="AH31" s="34">
        <f>MAX(I31,J31,750)*0.05*AG31</f>
        <v/>
      </c>
      <c r="AI31" t="n">
        <v>10.17</v>
      </c>
      <c r="AJ31" t="n">
        <v>8</v>
      </c>
      <c r="AK31" s="34">
        <f>IF(AI31&gt;AJ31*1.05,AI31-AJ31*1.05,IF(AI31&lt;AJ31*0.95,AJ31*0.95-AI31,0))</f>
        <v/>
      </c>
      <c r="AL31" s="34">
        <f>MAX(F31,G31,750)*0.05*AK31</f>
        <v/>
      </c>
      <c r="AM31" s="39" t="n">
        <v>10</v>
      </c>
      <c r="AN31" s="34">
        <f>IF(AI31&gt;AM31*1.05,AI31-AM31*1.05,IF(AI31&lt;AM31*0.95,AM31*0.95-AI31,0))</f>
        <v/>
      </c>
      <c r="AO31" s="34">
        <f>MAX(F31,G31,750)*0.05*AN31</f>
        <v/>
      </c>
      <c r="AP31" s="34" t="n">
        <v>13.13</v>
      </c>
      <c r="AQ31" s="34" t="n">
        <v>10</v>
      </c>
      <c r="AR31" s="34">
        <f>IF(AP31&gt;AQ31*1.05,AP31-AQ31*1.05,IF(AP31&lt;AQ31*0.95,AQ31*0.95-AP31,0))</f>
        <v/>
      </c>
      <c r="AS31" s="34">
        <f>MAX(F31:G31,750)*0.05*AR31</f>
        <v/>
      </c>
      <c r="AT31" t="n">
        <v>13</v>
      </c>
      <c r="AU31" s="34">
        <f>IF(AP31&gt;AT31*1.05,AP31-AT31*1.05,IF(AP31&lt;AT31*0.95,AT31*0.95-AP31,0))</f>
        <v/>
      </c>
      <c r="AV31" s="34">
        <f>MAX(F31:G31,750)*0.05*AU31</f>
        <v/>
      </c>
      <c r="AW31" s="34">
        <f>AC31+AJ31+AQ31</f>
        <v/>
      </c>
      <c r="AX31" s="34">
        <f>AF31+AM31+AT31</f>
        <v/>
      </c>
      <c r="AY31" s="34">
        <f>AB31+AI31+AP31</f>
        <v/>
      </c>
      <c r="AZ31" s="34" t="n">
        <v>0</v>
      </c>
      <c r="BA31" s="34">
        <f>AD31+AK31+AR31</f>
        <v/>
      </c>
      <c r="BB31" s="34">
        <f>MAX(F31:G31,750)*0.05*BA31</f>
        <v/>
      </c>
      <c r="BC31" s="34">
        <f>AG31+AN31+AU31</f>
        <v/>
      </c>
      <c r="BD31" s="34">
        <f>MAX(F31:G31,750)*0.05*BC31</f>
        <v/>
      </c>
      <c r="BE31" s="34">
        <f>F31*AY31</f>
        <v/>
      </c>
      <c r="BF31" s="34">
        <f>K31-M31</f>
        <v/>
      </c>
      <c r="BG31" s="34">
        <f>P31-S31</f>
        <v/>
      </c>
      <c r="BH31" s="34">
        <f>W31-AA31</f>
        <v/>
      </c>
      <c r="BI31" s="34">
        <f>BF31+BG31+BL31-BN31</f>
        <v/>
      </c>
      <c r="BJ31" s="34">
        <f>ABS(BK31)</f>
        <v/>
      </c>
      <c r="BK31" s="34">
        <f>AY31-(J31-L31+N31-Q31)</f>
        <v/>
      </c>
      <c r="BL31" s="34">
        <f>IF(AND(BK31&gt;0,MIN($F31:$G31)&lt;150,$E31="Enerji Açığı"),-100*BK31*1.03,IF(AND(BK31&gt;0,MIN($F31:$G31)&lt;150,$E31="Enerji Fazlası"),-100*BK31*1.06,IF(AND(BK31&gt;0,MIN($F31:$G31)&gt;=150,$E31="Enerji Açığı"),BK31*MIN($F31:$G31)*0.97,IF(AND(BK31&gt;0,MIN($F31:$G31)&gt;=150,$E31="Enerji Fazlası"),BK31*MIN($F31:$G31)*0.94,IF(AND(BK31&lt;0,MAX($F31:$G31)=4500,$E31="Enerji Açığı"),4500*1.05*1.06*BK31,IF(AND(BK31&lt;0,MAX($F31:$G31)=4500,$E31="Enerji Fazlası"),4500*1.05*1.03*BK31,IF(AND(BK31&lt;0,$E31="Enerji Açığı"),MAX($F31,$G31,150)*BK31*1.06,IF(AND(BK31&lt;0,$E31="Enerji Fazlası"),MAX($F31,$G31,150)*BK31*1.03,IF(AND(BK31&lt;0,$E31="Dengede"),MAX($F31:$G31,150)*1.03*BK31,MIN($F31:$G31)*0.97*BK31)))))))))</f>
        <v/>
      </c>
      <c r="BM31" s="34">
        <f>BE31-BI31-BN31</f>
        <v/>
      </c>
      <c r="BN31" s="34">
        <f>BB31</f>
        <v/>
      </c>
      <c r="BO31" s="34">
        <f>BE31-BI31</f>
        <v/>
      </c>
      <c r="BP31" s="34">
        <f>IF(AY31=0,0,BO31/AY31)</f>
        <v/>
      </c>
      <c r="BQ31" s="34">
        <f>MAX((AY31+MAX((-J31+L31-N31+Q31),0)),(MAX((J31-L31+N31-Q31),0)))</f>
        <v/>
      </c>
      <c r="BR31" s="82">
        <f>IFERROR(ABS(BK31/BQ31),0)</f>
        <v/>
      </c>
      <c r="BS31" s="34">
        <f>IF(BR31&lt;=0.1,0,BK31/BR31*(BR31-0.1))</f>
        <v/>
      </c>
      <c r="BT31" s="34">
        <f>IF((BS31)&lt;0,MAX(F31:G31)*(BS31)*1.03,MIN(F31:G31)*(BS31)*0.97)</f>
        <v/>
      </c>
      <c r="BU31" s="34">
        <f>IF(BR31&gt;0.1,1,0)</f>
        <v/>
      </c>
      <c r="BV31" s="34">
        <f>BF31+BG31+BH31+BY31-CA31</f>
        <v/>
      </c>
      <c r="BW31" s="34">
        <f>ABS(BX31)</f>
        <v/>
      </c>
      <c r="BX31" s="34">
        <f>AY31-(J31-L31+N31-Q31+T31-X31)</f>
        <v/>
      </c>
      <c r="BY31" s="34">
        <f>IF(AND(BX31&gt;0,MIN($F31:$G31)&lt;150,$E31="Enerji Açığı"),-100*BX31*1.03,IF(AND(BX31&gt;0,MIN($F31:$G31)&lt;150,$E31="Enerji Fazlası"),-100*BX31*1.06,IF(AND(BX31&gt;0,MIN($F31:$G31)&gt;=150,$E31="Enerji Açığı"),BX31*MIN($F31:$G31)*0.97,IF(AND(BX31&gt;0,MIN($F31:$G31)&gt;=150,$E31="Enerji Fazlası"),BX31*MIN($F31:$G31)*0.94,IF(AND(BX31&lt;0,MAX($F31:$G31)=4500,$E31="Enerji Açığı"),4500*1.05*1.06*BX31,IF(AND(BX31&lt;0,MAX($F31:$G31)=4500,$E31="Enerji Fazlası"),4500*1.05*1.03*BX31,IF(AND(BX31&lt;0,$E31="Enerji Açığı"),MAX($F31,$G31,150)*BX31*1.06,IF(AND(BX31&lt;0,$E31="Enerji Fazlası"),MAX($F31,$G31,150)*BX31*1.03,IF(AND(BX31&lt;0,$E31="Dengede"),MAX($F31:$G31,150)*1.03*BX31,MIN($F31:$G31)*0.97*BX31)))))))))</f>
        <v/>
      </c>
      <c r="BZ31" s="34">
        <f>BE31-BV31-CA31</f>
        <v/>
      </c>
      <c r="CA31" s="34">
        <f>BD31</f>
        <v/>
      </c>
      <c r="CB31" s="33">
        <f>BE31-BV31</f>
        <v/>
      </c>
      <c r="CC31" s="34">
        <f>IF(AY31=0,0,CB31/AY31)</f>
        <v/>
      </c>
      <c r="CD31" s="34">
        <f>MAX((AY31+MAX((-J31+L31-N31+Q31-T31+X31),0)),(MAX((J31-L31+N31-Q31+T31-X31),0)))</f>
        <v/>
      </c>
      <c r="CE31" s="82">
        <f>IFERROR(ABS(BX31/CD31),0)</f>
        <v/>
      </c>
      <c r="CF31" s="34">
        <f>IF(CE31&lt;=0.1,0,BX31/CE31*(CE31-0.1))</f>
        <v/>
      </c>
      <c r="CG31" s="34">
        <f>IF((CF31)&lt;0,MAX(F31:G31)*(CF31)*1.03,MIN(F31:G31)*(CF31)*0.97)</f>
        <v/>
      </c>
      <c r="CH31" s="34">
        <f>IF(CE31&gt;0.1,1,0)</f>
        <v/>
      </c>
      <c r="CI31" s="34">
        <f>(F31*BX31)-BY31</f>
        <v/>
      </c>
      <c r="CJ31" s="34">
        <f>IF(AY31=0,0,CI31/AY31)</f>
        <v/>
      </c>
    </row>
    <row r="32">
      <c r="A32" s="29" t="n">
        <v>46205.20833333334</v>
      </c>
      <c r="B32" s="29" t="inlineStr">
        <is>
          <t>05:00</t>
        </is>
      </c>
      <c r="C32" s="35">
        <f>INT(A32)</f>
        <v/>
      </c>
      <c r="D32" s="36">
        <f>MONTH(A32)</f>
        <v/>
      </c>
      <c r="E32" s="147">
        <f>[1]FİYATLAR!G31</f>
        <v/>
      </c>
      <c r="F32" s="30" t="n">
        <v>3999.99</v>
      </c>
      <c r="G32" s="30" t="n">
        <v>3999.99</v>
      </c>
      <c r="H32" s="30" t="n">
        <v>85.88</v>
      </c>
      <c r="I32" s="30" t="n">
        <v>4224.94</v>
      </c>
      <c r="J32" s="119" t="n">
        <v>0</v>
      </c>
      <c r="K32" s="34">
        <f>F32*J32</f>
        <v/>
      </c>
      <c r="L32" s="119" t="n">
        <v>0</v>
      </c>
      <c r="M32" s="34">
        <f>L32*F32</f>
        <v/>
      </c>
      <c r="N32" s="119" t="n">
        <v>18</v>
      </c>
      <c r="O32" s="34">
        <f>F32</f>
        <v/>
      </c>
      <c r="P32" s="34">
        <f>N32*O32</f>
        <v/>
      </c>
      <c r="Q32" s="119" t="n">
        <v>0</v>
      </c>
      <c r="R32" s="34">
        <f>F32</f>
        <v/>
      </c>
      <c r="S32" s="34">
        <f>R32*Q32</f>
        <v/>
      </c>
      <c r="T32" s="34">
        <f>SUMIFS('[1]GİP VERİLERİ'!$C:$C,'[1]GİP VERİLERİ'!$B:$B,A32,'[1]GİP VERİLERİ'!$M:$M,"40X000000104782K",'[1]GİP VERİLERİ'!$G:$G,"SELL")</f>
        <v/>
      </c>
      <c r="U32" s="34">
        <f>IFERROR(W32/T32,0)</f>
        <v/>
      </c>
      <c r="V32" s="34">
        <f>IF(U32=0,0,U32-F32)</f>
        <v/>
      </c>
      <c r="W32" s="34">
        <f>SUMIFS('[1]GİP VERİLERİ'!$O:$O,'[1]GİP VERİLERİ'!$B:$B,A32,'[1]GİP VERİLERİ'!$M:$M,"40X000000104782K",'[1]GİP VERİLERİ'!$G:$G,"SELL")</f>
        <v/>
      </c>
      <c r="X32" s="34">
        <f>SUMIFS('[1]GİP VERİLERİ'!$C:$C,'[1]GİP VERİLERİ'!$B:$B,A32,'[1]GİP VERİLERİ'!$M:$M,"40X000000104782K",'[1]GİP VERİLERİ'!$G:$G,"BUY")</f>
        <v/>
      </c>
      <c r="Y32" s="34">
        <f>IFERROR(AA32/X32,0)</f>
        <v/>
      </c>
      <c r="Z32" s="34">
        <f>IF(Y32=0,0,F32-Y32)</f>
        <v/>
      </c>
      <c r="AA32" s="34">
        <f>SUMIFS('[1]GİP VERİLERİ'!$O:$O,'[1]GİP VERİLERİ'!$B:$B,A32,'[1]GİP VERİLERİ'!$M:$M,"40X000000104782K",'[1]GİP VERİLERİ'!$G:$G,"BUY")</f>
        <v/>
      </c>
      <c r="AB32" s="34" t="n">
        <v>0</v>
      </c>
      <c r="AC32" s="34" t="n">
        <v>0</v>
      </c>
      <c r="AD32" s="34">
        <f>IF(AB32&gt;AC32*1.05,AB32-AC32*1.05,IF(AB32&lt;AC32*0.95,AC32*0.95-AB32,0))</f>
        <v/>
      </c>
      <c r="AE32" s="34">
        <f>MAX(F32,G32,750)*0.05*AD32</f>
        <v/>
      </c>
      <c r="AF32" s="34" t="n">
        <v>0</v>
      </c>
      <c r="AG32" s="34">
        <f>IF(AB32&gt;AF32*1.05,AB32-AF32*1.05,IF(AB32&lt;AF32*0.95,AF32*0.95-AB32,0))</f>
        <v/>
      </c>
      <c r="AH32" s="34">
        <f>MAX(I32,J32,750)*0.05*AG32</f>
        <v/>
      </c>
      <c r="AI32" t="n">
        <v>10.26</v>
      </c>
      <c r="AJ32" t="n">
        <v>8</v>
      </c>
      <c r="AK32" s="34">
        <f>IF(AI32&gt;AJ32*1.05,AI32-AJ32*1.05,IF(AI32&lt;AJ32*0.95,AJ32*0.95-AI32,0))</f>
        <v/>
      </c>
      <c r="AL32" s="34">
        <f>MAX(F32,G32,750)*0.05*AK32</f>
        <v/>
      </c>
      <c r="AM32" s="39" t="n">
        <v>10</v>
      </c>
      <c r="AN32" s="34">
        <f>IF(AI32&gt;AM32*1.05,AI32-AM32*1.05,IF(AI32&lt;AM32*0.95,AM32*0.95-AI32,0))</f>
        <v/>
      </c>
      <c r="AO32" s="34">
        <f>MAX(F32,G32,750)*0.05*AN32</f>
        <v/>
      </c>
      <c r="AP32" s="34" t="n">
        <v>13.2</v>
      </c>
      <c r="AQ32" s="34" t="n">
        <v>10</v>
      </c>
      <c r="AR32" s="34">
        <f>IF(AP32&gt;AQ32*1.05,AP32-AQ32*1.05,IF(AP32&lt;AQ32*0.95,AQ32*0.95-AP32,0))</f>
        <v/>
      </c>
      <c r="AS32" s="34">
        <f>MAX(F32:G32,750)*0.05*AR32</f>
        <v/>
      </c>
      <c r="AT32" t="n">
        <v>13</v>
      </c>
      <c r="AU32" s="34">
        <f>IF(AP32&gt;AT32*1.05,AP32-AT32*1.05,IF(AP32&lt;AT32*0.95,AT32*0.95-AP32,0))</f>
        <v/>
      </c>
      <c r="AV32" s="34">
        <f>MAX(F32:G32,750)*0.05*AU32</f>
        <v/>
      </c>
      <c r="AW32" s="34">
        <f>AC32+AJ32+AQ32</f>
        <v/>
      </c>
      <c r="AX32" s="34">
        <f>AF32+AM32+AT32</f>
        <v/>
      </c>
      <c r="AY32" s="34">
        <f>AB32+AI32+AP32</f>
        <v/>
      </c>
      <c r="AZ32" s="34" t="n">
        <v>0</v>
      </c>
      <c r="BA32" s="34">
        <f>AD32+AK32+AR32</f>
        <v/>
      </c>
      <c r="BB32" s="34">
        <f>MAX(F32:G32,750)*0.05*BA32</f>
        <v/>
      </c>
      <c r="BC32" s="34">
        <f>AG32+AN32+AU32</f>
        <v/>
      </c>
      <c r="BD32" s="34">
        <f>MAX(F32:G32,750)*0.05*BC32</f>
        <v/>
      </c>
      <c r="BE32" s="34">
        <f>F32*AY32</f>
        <v/>
      </c>
      <c r="BF32" s="34">
        <f>K32-M32</f>
        <v/>
      </c>
      <c r="BG32" s="34">
        <f>P32-S32</f>
        <v/>
      </c>
      <c r="BH32" s="34">
        <f>W32-AA32</f>
        <v/>
      </c>
      <c r="BI32" s="34">
        <f>BF32+BG32+BL32-BN32</f>
        <v/>
      </c>
      <c r="BJ32" s="34">
        <f>ABS(BK32)</f>
        <v/>
      </c>
      <c r="BK32" s="34">
        <f>AY32-(J32-L32+N32-Q32)</f>
        <v/>
      </c>
      <c r="BL32" s="34">
        <f>IF(AND(BK32&gt;0,MIN($F32:$G32)&lt;150,$E32="Enerji Açığı"),-100*BK32*1.03,IF(AND(BK32&gt;0,MIN($F32:$G32)&lt;150,$E32="Enerji Fazlası"),-100*BK32*1.06,IF(AND(BK32&gt;0,MIN($F32:$G32)&gt;=150,$E32="Enerji Açığı"),BK32*MIN($F32:$G32)*0.97,IF(AND(BK32&gt;0,MIN($F32:$G32)&gt;=150,$E32="Enerji Fazlası"),BK32*MIN($F32:$G32)*0.94,IF(AND(BK32&lt;0,MAX($F32:$G32)=4500,$E32="Enerji Açığı"),4500*1.05*1.06*BK32,IF(AND(BK32&lt;0,MAX($F32:$G32)=4500,$E32="Enerji Fazlası"),4500*1.05*1.03*BK32,IF(AND(BK32&lt;0,$E32="Enerji Açığı"),MAX($F32,$G32,150)*BK32*1.06,IF(AND(BK32&lt;0,$E32="Enerji Fazlası"),MAX($F32,$G32,150)*BK32*1.03,IF(AND(BK32&lt;0,$E32="Dengede"),MAX($F32:$G32,150)*1.03*BK32,MIN($F32:$G32)*0.97*BK32)))))))))</f>
        <v/>
      </c>
      <c r="BM32" s="34">
        <f>BE32-BI32-BN32</f>
        <v/>
      </c>
      <c r="BN32" s="34">
        <f>BB32</f>
        <v/>
      </c>
      <c r="BO32" s="34">
        <f>BE32-BI32</f>
        <v/>
      </c>
      <c r="BP32" s="34">
        <f>IF(AY32=0,0,BO32/AY32)</f>
        <v/>
      </c>
      <c r="BQ32" s="34">
        <f>MAX((AY32+MAX((-J32+L32-N32+Q32),0)),(MAX((J32-L32+N32-Q32),0)))</f>
        <v/>
      </c>
      <c r="BR32" s="82">
        <f>IFERROR(ABS(BK32/BQ32),0)</f>
        <v/>
      </c>
      <c r="BS32" s="34">
        <f>IF(BR32&lt;=0.1,0,BK32/BR32*(BR32-0.1))</f>
        <v/>
      </c>
      <c r="BT32" s="34">
        <f>IF((BS32)&lt;0,MAX(F32:G32)*(BS32)*1.03,MIN(F32:G32)*(BS32)*0.97)</f>
        <v/>
      </c>
      <c r="BU32" s="34">
        <f>IF(BR32&gt;0.1,1,0)</f>
        <v/>
      </c>
      <c r="BV32" s="34">
        <f>BF32+BG32+BH32+BY32-CA32</f>
        <v/>
      </c>
      <c r="BW32" s="34">
        <f>ABS(BX32)</f>
        <v/>
      </c>
      <c r="BX32" s="34">
        <f>AY32-(J32-L32+N32-Q32+T32-X32)</f>
        <v/>
      </c>
      <c r="BY32" s="34">
        <f>IF(AND(BX32&gt;0,MIN($F32:$G32)&lt;150,$E32="Enerji Açığı"),-100*BX32*1.03,IF(AND(BX32&gt;0,MIN($F32:$G32)&lt;150,$E32="Enerji Fazlası"),-100*BX32*1.06,IF(AND(BX32&gt;0,MIN($F32:$G32)&gt;=150,$E32="Enerji Açığı"),BX32*MIN($F32:$G32)*0.97,IF(AND(BX32&gt;0,MIN($F32:$G32)&gt;=150,$E32="Enerji Fazlası"),BX32*MIN($F32:$G32)*0.94,IF(AND(BX32&lt;0,MAX($F32:$G32)=4500,$E32="Enerji Açığı"),4500*1.05*1.06*BX32,IF(AND(BX32&lt;0,MAX($F32:$G32)=4500,$E32="Enerji Fazlası"),4500*1.05*1.03*BX32,IF(AND(BX32&lt;0,$E32="Enerji Açığı"),MAX($F32,$G32,150)*BX32*1.06,IF(AND(BX32&lt;0,$E32="Enerji Fazlası"),MAX($F32,$G32,150)*BX32*1.03,IF(AND(BX32&lt;0,$E32="Dengede"),MAX($F32:$G32,150)*1.03*BX32,MIN($F32:$G32)*0.97*BX32)))))))))</f>
        <v/>
      </c>
      <c r="BZ32" s="34">
        <f>BE32-BV32-CA32</f>
        <v/>
      </c>
      <c r="CA32" s="34">
        <f>BD32</f>
        <v/>
      </c>
      <c r="CB32" s="33">
        <f>BE32-BV32</f>
        <v/>
      </c>
      <c r="CC32" s="34">
        <f>IF(AY32=0,0,CB32/AY32)</f>
        <v/>
      </c>
      <c r="CD32" s="34">
        <f>MAX((AY32+MAX((-J32+L32-N32+Q32-T32+X32),0)),(MAX((J32-L32+N32-Q32+T32-X32),0)))</f>
        <v/>
      </c>
      <c r="CE32" s="82">
        <f>IFERROR(ABS(BX32/CD32),0)</f>
        <v/>
      </c>
      <c r="CF32" s="34">
        <f>IF(CE32&lt;=0.1,0,BX32/CE32*(CE32-0.1))</f>
        <v/>
      </c>
      <c r="CG32" s="34">
        <f>IF((CF32)&lt;0,MAX(F32:G32)*(CF32)*1.03,MIN(F32:G32)*(CF32)*0.97)</f>
        <v/>
      </c>
      <c r="CH32" s="34">
        <f>IF(CE32&gt;0.1,1,0)</f>
        <v/>
      </c>
      <c r="CI32" s="34">
        <f>(F32*BX32)-BY32</f>
        <v/>
      </c>
      <c r="CJ32" s="34">
        <f>IF(AY32=0,0,CI32/AY32)</f>
        <v/>
      </c>
    </row>
    <row r="33">
      <c r="A33" s="29" t="n">
        <v>46205.25</v>
      </c>
      <c r="B33" s="29" t="inlineStr">
        <is>
          <t>06:00</t>
        </is>
      </c>
      <c r="C33" s="35">
        <f>INT(A33)</f>
        <v/>
      </c>
      <c r="D33" s="36">
        <f>MONTH(A33)</f>
        <v/>
      </c>
      <c r="E33" s="147">
        <f>[1]FİYATLAR!G32</f>
        <v/>
      </c>
      <c r="F33" s="30" t="n">
        <v>3488.22</v>
      </c>
      <c r="G33" s="30" t="n">
        <v>1834</v>
      </c>
      <c r="H33" s="30" t="n">
        <v>74.90000000000001</v>
      </c>
      <c r="I33" s="30" t="n">
        <v>3562.07</v>
      </c>
      <c r="J33" s="119" t="n">
        <v>0</v>
      </c>
      <c r="K33" s="34">
        <f>F33*J33</f>
        <v/>
      </c>
      <c r="L33" s="119" t="n">
        <v>0</v>
      </c>
      <c r="M33" s="34">
        <f>L33*F33</f>
        <v/>
      </c>
      <c r="N33" s="119" t="n">
        <v>19.2</v>
      </c>
      <c r="O33" s="34">
        <f>F33</f>
        <v/>
      </c>
      <c r="P33" s="34">
        <f>N33*O33</f>
        <v/>
      </c>
      <c r="Q33" s="119" t="n">
        <v>0</v>
      </c>
      <c r="R33" s="34">
        <f>F33</f>
        <v/>
      </c>
      <c r="S33" s="34">
        <f>R33*Q33</f>
        <v/>
      </c>
      <c r="T33" s="34">
        <f>SUMIFS('[1]GİP VERİLERİ'!$C:$C,'[1]GİP VERİLERİ'!$B:$B,A33,'[1]GİP VERİLERİ'!$M:$M,"40X000000104782K",'[1]GİP VERİLERİ'!$G:$G,"SELL")</f>
        <v/>
      </c>
      <c r="U33" s="34">
        <f>IFERROR(W33/T33,0)</f>
        <v/>
      </c>
      <c r="V33" s="34">
        <f>IF(U33=0,0,U33-F33)</f>
        <v/>
      </c>
      <c r="W33" s="34">
        <f>SUMIFS('[1]GİP VERİLERİ'!$O:$O,'[1]GİP VERİLERİ'!$B:$B,A33,'[1]GİP VERİLERİ'!$M:$M,"40X000000104782K",'[1]GİP VERİLERİ'!$G:$G,"SELL")</f>
        <v/>
      </c>
      <c r="X33" s="34">
        <f>SUMIFS('[1]GİP VERİLERİ'!$C:$C,'[1]GİP VERİLERİ'!$B:$B,A33,'[1]GİP VERİLERİ'!$M:$M,"40X000000104782K",'[1]GİP VERİLERİ'!$G:$G,"BUY")</f>
        <v/>
      </c>
      <c r="Y33" s="34">
        <f>IFERROR(AA33/X33,0)</f>
        <v/>
      </c>
      <c r="Z33" s="34">
        <f>IF(Y33=0,0,F33-Y33)</f>
        <v/>
      </c>
      <c r="AA33" s="34">
        <f>SUMIFS('[1]GİP VERİLERİ'!$O:$O,'[1]GİP VERİLERİ'!$B:$B,A33,'[1]GİP VERİLERİ'!$M:$M,"40X000000104782K",'[1]GİP VERİLERİ'!$G:$G,"BUY")</f>
        <v/>
      </c>
      <c r="AB33" s="34" t="n">
        <v>0</v>
      </c>
      <c r="AC33" s="34" t="n">
        <v>0</v>
      </c>
      <c r="AD33" s="34">
        <f>IF(AB33&gt;AC33*1.05,AB33-AC33*1.05,IF(AB33&lt;AC33*0.95,AC33*0.95-AB33,0))</f>
        <v/>
      </c>
      <c r="AE33" s="34">
        <f>MAX(F33,G33,750)*0.05*AD33</f>
        <v/>
      </c>
      <c r="AF33" s="34" t="n">
        <v>0</v>
      </c>
      <c r="AG33" s="34">
        <f>IF(AB33&gt;AF33*1.05,AB33-AF33*1.05,IF(AB33&lt;AF33*0.95,AF33*0.95-AB33,0))</f>
        <v/>
      </c>
      <c r="AH33" s="34">
        <f>MAX(I33,J33,750)*0.05*AG33</f>
        <v/>
      </c>
      <c r="AI33" t="n">
        <v>10.19</v>
      </c>
      <c r="AJ33" t="n">
        <v>8</v>
      </c>
      <c r="AK33" s="34">
        <f>IF(AI33&gt;AJ33*1.05,AI33-AJ33*1.05,IF(AI33&lt;AJ33*0.95,AJ33*0.95-AI33,0))</f>
        <v/>
      </c>
      <c r="AL33" s="34">
        <f>MAX(F33,G33,750)*0.05*AK33</f>
        <v/>
      </c>
      <c r="AM33" s="39" t="n">
        <v>10</v>
      </c>
      <c r="AN33" s="34">
        <f>IF(AI33&gt;AM33*1.05,AI33-AM33*1.05,IF(AI33&lt;AM33*0.95,AM33*0.95-AI33,0))</f>
        <v/>
      </c>
      <c r="AO33" s="34">
        <f>MAX(F33,G33,750)*0.05*AN33</f>
        <v/>
      </c>
      <c r="AP33" s="34" t="n">
        <v>14.22</v>
      </c>
      <c r="AQ33" s="34" t="n">
        <v>11.2</v>
      </c>
      <c r="AR33" s="34">
        <f>IF(AP33&gt;AQ33*1.05,AP33-AQ33*1.05,IF(AP33&lt;AQ33*0.95,AQ33*0.95-AP33,0))</f>
        <v/>
      </c>
      <c r="AS33" s="34">
        <f>MAX(F33:G33,750)*0.05*AR33</f>
        <v/>
      </c>
      <c r="AT33" t="n">
        <v>14</v>
      </c>
      <c r="AU33" s="34">
        <f>IF(AP33&gt;AT33*1.05,AP33-AT33*1.05,IF(AP33&lt;AT33*0.95,AT33*0.95-AP33,0))</f>
        <v/>
      </c>
      <c r="AV33" s="34">
        <f>MAX(F33:G33,750)*0.05*AU33</f>
        <v/>
      </c>
      <c r="AW33" s="34">
        <f>AC33+AJ33+AQ33</f>
        <v/>
      </c>
      <c r="AX33" s="34">
        <f>AF33+AM33+AT33</f>
        <v/>
      </c>
      <c r="AY33" s="34">
        <f>AB33+AI33+AP33</f>
        <v/>
      </c>
      <c r="AZ33" s="34" t="n">
        <v>0</v>
      </c>
      <c r="BA33" s="34">
        <f>AD33+AK33+AR33</f>
        <v/>
      </c>
      <c r="BB33" s="34">
        <f>MAX(F33:G33,750)*0.05*BA33</f>
        <v/>
      </c>
      <c r="BC33" s="34">
        <f>AG33+AN33+AU33</f>
        <v/>
      </c>
      <c r="BD33" s="34">
        <f>MAX(F33:G33,750)*0.05*BC33</f>
        <v/>
      </c>
      <c r="BE33" s="34">
        <f>F33*AY33</f>
        <v/>
      </c>
      <c r="BF33" s="34">
        <f>K33-M33</f>
        <v/>
      </c>
      <c r="BG33" s="34">
        <f>P33-S33</f>
        <v/>
      </c>
      <c r="BH33" s="34">
        <f>W33-AA33</f>
        <v/>
      </c>
      <c r="BI33" s="34">
        <f>BF33+BG33+BL33-BN33</f>
        <v/>
      </c>
      <c r="BJ33" s="34">
        <f>ABS(BK33)</f>
        <v/>
      </c>
      <c r="BK33" s="34">
        <f>AY33-(J33-L33+N33-Q33)</f>
        <v/>
      </c>
      <c r="BL33" s="34">
        <f>IF(AND(BK33&gt;0,MIN($F33:$G33)&lt;150,$E33="Enerji Açığı"),-100*BK33*1.03,IF(AND(BK33&gt;0,MIN($F33:$G33)&lt;150,$E33="Enerji Fazlası"),-100*BK33*1.06,IF(AND(BK33&gt;0,MIN($F33:$G33)&gt;=150,$E33="Enerji Açığı"),BK33*MIN($F33:$G33)*0.97,IF(AND(BK33&gt;0,MIN($F33:$G33)&gt;=150,$E33="Enerji Fazlası"),BK33*MIN($F33:$G33)*0.94,IF(AND(BK33&lt;0,MAX($F33:$G33)=4500,$E33="Enerji Açığı"),4500*1.05*1.06*BK33,IF(AND(BK33&lt;0,MAX($F33:$G33)=4500,$E33="Enerji Fazlası"),4500*1.05*1.03*BK33,IF(AND(BK33&lt;0,$E33="Enerji Açığı"),MAX($F33,$G33,150)*BK33*1.06,IF(AND(BK33&lt;0,$E33="Enerji Fazlası"),MAX($F33,$G33,150)*BK33*1.03,IF(AND(BK33&lt;0,$E33="Dengede"),MAX($F33:$G33,150)*1.03*BK33,MIN($F33:$G33)*0.97*BK33)))))))))</f>
        <v/>
      </c>
      <c r="BM33" s="34">
        <f>BE33-BI33-BN33</f>
        <v/>
      </c>
      <c r="BN33" s="34">
        <f>BB33</f>
        <v/>
      </c>
      <c r="BO33" s="34">
        <f>BE33-BI33</f>
        <v/>
      </c>
      <c r="BP33" s="34">
        <f>IF(AY33=0,0,BO33/AY33)</f>
        <v/>
      </c>
      <c r="BQ33" s="34">
        <f>MAX((AY33+MAX((-J33+L33-N33+Q33),0)),(MAX((J33-L33+N33-Q33),0)))</f>
        <v/>
      </c>
      <c r="BR33" s="82">
        <f>IFERROR(ABS(BK33/BQ33),0)</f>
        <v/>
      </c>
      <c r="BS33" s="34">
        <f>IF(BR33&lt;=0.1,0,BK33/BR33*(BR33-0.1))</f>
        <v/>
      </c>
      <c r="BT33" s="34">
        <f>IF((BS33)&lt;0,MAX(F33:G33)*(BS33)*1.03,MIN(F33:G33)*(BS33)*0.97)</f>
        <v/>
      </c>
      <c r="BU33" s="34">
        <f>IF(BR33&gt;0.1,1,0)</f>
        <v/>
      </c>
      <c r="BV33" s="34">
        <f>BF33+BG33+BH33+BY33-CA33</f>
        <v/>
      </c>
      <c r="BW33" s="34">
        <f>ABS(BX33)</f>
        <v/>
      </c>
      <c r="BX33" s="34">
        <f>AY33-(J33-L33+N33-Q33+T33-X33)</f>
        <v/>
      </c>
      <c r="BY33" s="34">
        <f>IF(AND(BX33&gt;0,MIN($F33:$G33)&lt;150,$E33="Enerji Açığı"),-100*BX33*1.03,IF(AND(BX33&gt;0,MIN($F33:$G33)&lt;150,$E33="Enerji Fazlası"),-100*BX33*1.06,IF(AND(BX33&gt;0,MIN($F33:$G33)&gt;=150,$E33="Enerji Açığı"),BX33*MIN($F33:$G33)*0.97,IF(AND(BX33&gt;0,MIN($F33:$G33)&gt;=150,$E33="Enerji Fazlası"),BX33*MIN($F33:$G33)*0.94,IF(AND(BX33&lt;0,MAX($F33:$G33)=4500,$E33="Enerji Açığı"),4500*1.05*1.06*BX33,IF(AND(BX33&lt;0,MAX($F33:$G33)=4500,$E33="Enerji Fazlası"),4500*1.05*1.03*BX33,IF(AND(BX33&lt;0,$E33="Enerji Açığı"),MAX($F33,$G33,150)*BX33*1.06,IF(AND(BX33&lt;0,$E33="Enerji Fazlası"),MAX($F33,$G33,150)*BX33*1.03,IF(AND(BX33&lt;0,$E33="Dengede"),MAX($F33:$G33,150)*1.03*BX33,MIN($F33:$G33)*0.97*BX33)))))))))</f>
        <v/>
      </c>
      <c r="BZ33" s="34">
        <f>BE33-BV33-CA33</f>
        <v/>
      </c>
      <c r="CA33" s="34">
        <f>BD33</f>
        <v/>
      </c>
      <c r="CB33" s="33">
        <f>BE33-BV33</f>
        <v/>
      </c>
      <c r="CC33" s="34">
        <f>IF(AY33=0,0,CB33/AY33)</f>
        <v/>
      </c>
      <c r="CD33" s="34">
        <f>MAX((AY33+MAX((-J33+L33-N33+Q33-T33+X33),0)),(MAX((J33-L33+N33-Q33+T33-X33),0)))</f>
        <v/>
      </c>
      <c r="CE33" s="82">
        <f>IFERROR(ABS(BX33/CD33),0)</f>
        <v/>
      </c>
      <c r="CF33" s="34">
        <f>IF(CE33&lt;=0.1,0,BX33/CE33*(CE33-0.1))</f>
        <v/>
      </c>
      <c r="CG33" s="34">
        <f>IF((CF33)&lt;0,MAX(F33:G33)*(CF33)*1.03,MIN(F33:G33)*(CF33)*0.97)</f>
        <v/>
      </c>
      <c r="CH33" s="34">
        <f>IF(CE33&gt;0.1,1,0)</f>
        <v/>
      </c>
      <c r="CI33" s="34">
        <f>(F33*BX33)-BY33</f>
        <v/>
      </c>
      <c r="CJ33" s="34">
        <f>IF(AY33=0,0,CI33/AY33)</f>
        <v/>
      </c>
    </row>
    <row r="34">
      <c r="A34" s="29" t="n">
        <v>46205.29166666666</v>
      </c>
      <c r="B34" s="29" t="inlineStr">
        <is>
          <t>07:00</t>
        </is>
      </c>
      <c r="C34" s="35">
        <f>INT(A34)</f>
        <v/>
      </c>
      <c r="D34" s="36">
        <f>MONTH(A34)</f>
        <v/>
      </c>
      <c r="E34" s="147">
        <f>[1]FİYATLAR!G33</f>
        <v/>
      </c>
      <c r="F34" s="30" t="n">
        <v>1799.97</v>
      </c>
      <c r="G34" s="30" t="n">
        <v>1000</v>
      </c>
      <c r="H34" s="30" t="n">
        <v>38.65</v>
      </c>
      <c r="I34" s="30" t="n">
        <v>1812.87</v>
      </c>
      <c r="J34" s="119" t="n">
        <v>0</v>
      </c>
      <c r="K34" s="34">
        <f>F34*J34</f>
        <v/>
      </c>
      <c r="L34" s="119" t="n">
        <v>0</v>
      </c>
      <c r="M34" s="34">
        <f>L34*F34</f>
        <v/>
      </c>
      <c r="N34" s="119" t="n">
        <v>19.5</v>
      </c>
      <c r="O34" s="34">
        <f>F34</f>
        <v/>
      </c>
      <c r="P34" s="34">
        <f>N34*O34</f>
        <v/>
      </c>
      <c r="Q34" s="119" t="n">
        <v>0</v>
      </c>
      <c r="R34" s="34">
        <f>F34</f>
        <v/>
      </c>
      <c r="S34" s="34">
        <f>R34*Q34</f>
        <v/>
      </c>
      <c r="T34" s="34">
        <f>SUMIFS('[1]GİP VERİLERİ'!$C:$C,'[1]GİP VERİLERİ'!$B:$B,A34,'[1]GİP VERİLERİ'!$M:$M,"40X000000104782K",'[1]GİP VERİLERİ'!$G:$G,"SELL")</f>
        <v/>
      </c>
      <c r="U34" s="34">
        <f>IFERROR(W34/T34,0)</f>
        <v/>
      </c>
      <c r="V34" s="34">
        <f>IF(U34=0,0,U34-F34)</f>
        <v/>
      </c>
      <c r="W34" s="34">
        <f>SUMIFS('[1]GİP VERİLERİ'!$O:$O,'[1]GİP VERİLERİ'!$B:$B,A34,'[1]GİP VERİLERİ'!$M:$M,"40X000000104782K",'[1]GİP VERİLERİ'!$G:$G,"SELL")</f>
        <v/>
      </c>
      <c r="X34" s="34">
        <f>SUMIFS('[1]GİP VERİLERİ'!$C:$C,'[1]GİP VERİLERİ'!$B:$B,A34,'[1]GİP VERİLERİ'!$M:$M,"40X000000104782K",'[1]GİP VERİLERİ'!$G:$G,"BUY")</f>
        <v/>
      </c>
      <c r="Y34" s="34">
        <f>IFERROR(AA34/X34,0)</f>
        <v/>
      </c>
      <c r="Z34" s="34">
        <f>IF(Y34=0,0,F34-Y34)</f>
        <v/>
      </c>
      <c r="AA34" s="34">
        <f>SUMIFS('[1]GİP VERİLERİ'!$O:$O,'[1]GİP VERİLERİ'!$B:$B,A34,'[1]GİP VERİLERİ'!$M:$M,"40X000000104782K",'[1]GİP VERİLERİ'!$G:$G,"BUY")</f>
        <v/>
      </c>
      <c r="AB34" s="34" t="n">
        <v>0</v>
      </c>
      <c r="AC34" s="34" t="n">
        <v>0</v>
      </c>
      <c r="AD34" s="34">
        <f>IF(AB34&gt;AC34*1.05,AB34-AC34*1.05,IF(AB34&lt;AC34*0.95,AC34*0.95-AB34,0))</f>
        <v/>
      </c>
      <c r="AE34" s="34">
        <f>MAX(F34,G34,750)*0.05*AD34</f>
        <v/>
      </c>
      <c r="AF34" s="34" t="n">
        <v>0</v>
      </c>
      <c r="AG34" s="34">
        <f>IF(AB34&gt;AF34*1.05,AB34-AF34*1.05,IF(AB34&lt;AF34*0.95,AF34*0.95-AB34,0))</f>
        <v/>
      </c>
      <c r="AH34" s="34">
        <f>MAX(I34,J34,750)*0.05*AG34</f>
        <v/>
      </c>
      <c r="AI34" t="n">
        <v>10.35</v>
      </c>
      <c r="AJ34" t="n">
        <v>8</v>
      </c>
      <c r="AK34" s="34">
        <f>IF(AI34&gt;AJ34*1.05,AI34-AJ34*1.05,IF(AI34&lt;AJ34*0.95,AJ34*0.95-AI34,0))</f>
        <v/>
      </c>
      <c r="AL34" s="34">
        <f>MAX(F34,G34,750)*0.05*AK34</f>
        <v/>
      </c>
      <c r="AM34" s="39" t="n">
        <v>10</v>
      </c>
      <c r="AN34" s="34">
        <f>IF(AI34&gt;AM34*1.05,AI34-AM34*1.05,IF(AI34&lt;AM34*0.95,AM34*0.95-AI34,0))</f>
        <v/>
      </c>
      <c r="AO34" s="34">
        <f>MAX(F34,G34,750)*0.05*AN34</f>
        <v/>
      </c>
      <c r="AP34" s="34" t="n">
        <v>14.25</v>
      </c>
      <c r="AQ34" s="34" t="n">
        <v>11.5</v>
      </c>
      <c r="AR34" s="34">
        <f>IF(AP34&gt;AQ34*1.05,AP34-AQ34*1.05,IF(AP34&lt;AQ34*0.95,AQ34*0.95-AP34,0))</f>
        <v/>
      </c>
      <c r="AS34" s="34">
        <f>MAX(F34:G34,750)*0.05*AR34</f>
        <v/>
      </c>
      <c r="AT34" t="n">
        <v>14</v>
      </c>
      <c r="AU34" s="34">
        <f>IF(AP34&gt;AT34*1.05,AP34-AT34*1.05,IF(AP34&lt;AT34*0.95,AT34*0.95-AP34,0))</f>
        <v/>
      </c>
      <c r="AV34" s="34">
        <f>MAX(F34:G34,750)*0.05*AU34</f>
        <v/>
      </c>
      <c r="AW34" s="34">
        <f>AC34+AJ34+AQ34</f>
        <v/>
      </c>
      <c r="AX34" s="34">
        <f>AF34+AM34+AT34</f>
        <v/>
      </c>
      <c r="AY34" s="34">
        <f>AB34+AI34+AP34</f>
        <v/>
      </c>
      <c r="AZ34" s="34" t="n">
        <v>0</v>
      </c>
      <c r="BA34" s="34">
        <f>AD34+AK34+AR34</f>
        <v/>
      </c>
      <c r="BB34" s="34">
        <f>MAX(F34:G34,750)*0.05*BA34</f>
        <v/>
      </c>
      <c r="BC34" s="34">
        <f>AG34+AN34+AU34</f>
        <v/>
      </c>
      <c r="BD34" s="34">
        <f>MAX(F34:G34,750)*0.05*BC34</f>
        <v/>
      </c>
      <c r="BE34" s="34">
        <f>F34*AY34</f>
        <v/>
      </c>
      <c r="BF34" s="34">
        <f>K34-M34</f>
        <v/>
      </c>
      <c r="BG34" s="34">
        <f>P34-S34</f>
        <v/>
      </c>
      <c r="BH34" s="34">
        <f>W34-AA34</f>
        <v/>
      </c>
      <c r="BI34" s="34">
        <f>BF34+BG34+BL34-BN34</f>
        <v/>
      </c>
      <c r="BJ34" s="34">
        <f>ABS(BK34)</f>
        <v/>
      </c>
      <c r="BK34" s="34">
        <f>AY34-(J34-L34+N34-Q34)</f>
        <v/>
      </c>
      <c r="BL34" s="34">
        <f>IF(AND(BK34&gt;0,MIN($F34:$G34)&lt;150,$E34="Enerji Açığı"),-100*BK34*1.03,IF(AND(BK34&gt;0,MIN($F34:$G34)&lt;150,$E34="Enerji Fazlası"),-100*BK34*1.06,IF(AND(BK34&gt;0,MIN($F34:$G34)&gt;=150,$E34="Enerji Açığı"),BK34*MIN($F34:$G34)*0.97,IF(AND(BK34&gt;0,MIN($F34:$G34)&gt;=150,$E34="Enerji Fazlası"),BK34*MIN($F34:$G34)*0.94,IF(AND(BK34&lt;0,MAX($F34:$G34)=4500,$E34="Enerji Açığı"),4500*1.05*1.06*BK34,IF(AND(BK34&lt;0,MAX($F34:$G34)=4500,$E34="Enerji Fazlası"),4500*1.05*1.03*BK34,IF(AND(BK34&lt;0,$E34="Enerji Açığı"),MAX($F34,$G34,150)*BK34*1.06,IF(AND(BK34&lt;0,$E34="Enerji Fazlası"),MAX($F34,$G34,150)*BK34*1.03,IF(AND(BK34&lt;0,$E34="Dengede"),MAX($F34:$G34,150)*1.03*BK34,MIN($F34:$G34)*0.97*BK34)))))))))</f>
        <v/>
      </c>
      <c r="BM34" s="34">
        <f>BE34-BI34-BN34</f>
        <v/>
      </c>
      <c r="BN34" s="34">
        <f>BB34</f>
        <v/>
      </c>
      <c r="BO34" s="34">
        <f>BE34-BI34</f>
        <v/>
      </c>
      <c r="BP34" s="34">
        <f>IF(AY34=0,0,BO34/AY34)</f>
        <v/>
      </c>
      <c r="BQ34" s="34">
        <f>MAX((AY34+MAX((-J34+L34-N34+Q34),0)),(MAX((J34-L34+N34-Q34),0)))</f>
        <v/>
      </c>
      <c r="BR34" s="82">
        <f>IFERROR(ABS(BK34/BQ34),0)</f>
        <v/>
      </c>
      <c r="BS34" s="34">
        <f>IF(BR34&lt;=0.1,0,BK34/BR34*(BR34-0.1))</f>
        <v/>
      </c>
      <c r="BT34" s="34">
        <f>IF((BS34)&lt;0,MAX(F34:G34)*(BS34)*1.03,MIN(F34:G34)*(BS34)*0.97)</f>
        <v/>
      </c>
      <c r="BU34" s="34">
        <f>IF(BR34&gt;0.1,1,0)</f>
        <v/>
      </c>
      <c r="BV34" s="34">
        <f>BF34+BG34+BH34+BY34-CA34</f>
        <v/>
      </c>
      <c r="BW34" s="34">
        <f>ABS(BX34)</f>
        <v/>
      </c>
      <c r="BX34" s="34">
        <f>AY34-(J34-L34+N34-Q34+T34-X34)</f>
        <v/>
      </c>
      <c r="BY34" s="34">
        <f>IF(AND(BX34&gt;0,MIN($F34:$G34)&lt;150,$E34="Enerji Açığı"),-100*BX34*1.03,IF(AND(BX34&gt;0,MIN($F34:$G34)&lt;150,$E34="Enerji Fazlası"),-100*BX34*1.06,IF(AND(BX34&gt;0,MIN($F34:$G34)&gt;=150,$E34="Enerji Açığı"),BX34*MIN($F34:$G34)*0.97,IF(AND(BX34&gt;0,MIN($F34:$G34)&gt;=150,$E34="Enerji Fazlası"),BX34*MIN($F34:$G34)*0.94,IF(AND(BX34&lt;0,MAX($F34:$G34)=4500,$E34="Enerji Açığı"),4500*1.05*1.06*BX34,IF(AND(BX34&lt;0,MAX($F34:$G34)=4500,$E34="Enerji Fazlası"),4500*1.05*1.03*BX34,IF(AND(BX34&lt;0,$E34="Enerji Açığı"),MAX($F34,$G34,150)*BX34*1.06,IF(AND(BX34&lt;0,$E34="Enerji Fazlası"),MAX($F34,$G34,150)*BX34*1.03,IF(AND(BX34&lt;0,$E34="Dengede"),MAX($F34:$G34,150)*1.03*BX34,MIN($F34:$G34)*0.97*BX34)))))))))</f>
        <v/>
      </c>
      <c r="BZ34" s="34">
        <f>BE34-BV34-CA34</f>
        <v/>
      </c>
      <c r="CA34" s="34">
        <f>BD34</f>
        <v/>
      </c>
      <c r="CB34" s="33">
        <f>BE34-BV34</f>
        <v/>
      </c>
      <c r="CC34" s="34">
        <f>IF(AY34=0,0,CB34/AY34)</f>
        <v/>
      </c>
      <c r="CD34" s="34">
        <f>MAX((AY34+MAX((-J34+L34-N34+Q34-T34+X34),0)),(MAX((J34-L34+N34-Q34+T34-X34),0)))</f>
        <v/>
      </c>
      <c r="CE34" s="82">
        <f>IFERROR(ABS(BX34/CD34),0)</f>
        <v/>
      </c>
      <c r="CF34" s="34">
        <f>IF(CE34&lt;=0.1,0,BX34/CE34*(CE34-0.1))</f>
        <v/>
      </c>
      <c r="CG34" s="34">
        <f>IF((CF34)&lt;0,MAX(F34:G34)*(CF34)*1.03,MIN(F34:G34)*(CF34)*0.97)</f>
        <v/>
      </c>
      <c r="CH34" s="34">
        <f>IF(CE34&gt;0.1,1,0)</f>
        <v/>
      </c>
      <c r="CI34" s="34">
        <f>(F34*BX34)-BY34</f>
        <v/>
      </c>
      <c r="CJ34" s="34">
        <f>IF(AY34=0,0,CI34/AY34)</f>
        <v/>
      </c>
    </row>
    <row r="35">
      <c r="A35" s="29" t="n">
        <v>46205.33333333334</v>
      </c>
      <c r="B35" s="29" t="inlineStr">
        <is>
          <t>08:00</t>
        </is>
      </c>
      <c r="C35" s="35">
        <f>INT(A35)</f>
        <v/>
      </c>
      <c r="D35" s="36">
        <f>MONTH(A35)</f>
        <v/>
      </c>
      <c r="E35" s="147">
        <f>[1]FİYATLAR!G34</f>
        <v/>
      </c>
      <c r="F35" s="30" t="n">
        <v>3680</v>
      </c>
      <c r="G35" s="30" t="n">
        <v>1001</v>
      </c>
      <c r="H35" s="30" t="n">
        <v>79.01000000000001</v>
      </c>
      <c r="I35" s="30" t="n">
        <v>3809.29</v>
      </c>
      <c r="J35" s="119" t="n">
        <v>0</v>
      </c>
      <c r="K35" s="34">
        <f>F35*J35</f>
        <v/>
      </c>
      <c r="L35" s="119" t="n">
        <v>0</v>
      </c>
      <c r="M35" s="34">
        <f>L35*F35</f>
        <v/>
      </c>
      <c r="N35" s="119" t="n">
        <v>23</v>
      </c>
      <c r="O35" s="34">
        <f>F35</f>
        <v/>
      </c>
      <c r="P35" s="34">
        <f>N35*O35</f>
        <v/>
      </c>
      <c r="Q35" s="119" t="n">
        <v>0</v>
      </c>
      <c r="R35" s="34">
        <f>F35</f>
        <v/>
      </c>
      <c r="S35" s="34">
        <f>R35*Q35</f>
        <v/>
      </c>
      <c r="T35" s="34">
        <f>SUMIFS('[1]GİP VERİLERİ'!$C:$C,'[1]GİP VERİLERİ'!$B:$B,A35,'[1]GİP VERİLERİ'!$M:$M,"40X000000104782K",'[1]GİP VERİLERİ'!$G:$G,"SELL")</f>
        <v/>
      </c>
      <c r="U35" s="34">
        <f>IFERROR(W35/T35,0)</f>
        <v/>
      </c>
      <c r="V35" s="34">
        <f>IF(U35=0,0,U35-F35)</f>
        <v/>
      </c>
      <c r="W35" s="34">
        <f>SUMIFS('[1]GİP VERİLERİ'!$O:$O,'[1]GİP VERİLERİ'!$B:$B,A35,'[1]GİP VERİLERİ'!$M:$M,"40X000000104782K",'[1]GİP VERİLERİ'!$G:$G,"SELL")</f>
        <v/>
      </c>
      <c r="X35" s="34">
        <f>SUMIFS('[1]GİP VERİLERİ'!$C:$C,'[1]GİP VERİLERİ'!$B:$B,A35,'[1]GİP VERİLERİ'!$M:$M,"40X000000104782K",'[1]GİP VERİLERİ'!$G:$G,"BUY")</f>
        <v/>
      </c>
      <c r="Y35" s="34">
        <f>IFERROR(AA35/X35,0)</f>
        <v/>
      </c>
      <c r="Z35" s="34">
        <f>IF(Y35=0,0,F35-Y35)</f>
        <v/>
      </c>
      <c r="AA35" s="34">
        <f>SUMIFS('[1]GİP VERİLERİ'!$O:$O,'[1]GİP VERİLERİ'!$B:$B,A35,'[1]GİP VERİLERİ'!$M:$M,"40X000000104782K",'[1]GİP VERİLERİ'!$G:$G,"BUY")</f>
        <v/>
      </c>
      <c r="AB35" s="34" t="n">
        <v>0</v>
      </c>
      <c r="AC35" s="34" t="n">
        <v>0</v>
      </c>
      <c r="AD35" s="34">
        <f>IF(AB35&gt;AC35*1.05,AB35-AC35*1.05,IF(AB35&lt;AC35*0.95,AC35*0.95-AB35,0))</f>
        <v/>
      </c>
      <c r="AE35" s="34">
        <f>MAX(F35,G35,750)*0.05*AD35</f>
        <v/>
      </c>
      <c r="AF35" s="34" t="n">
        <v>0</v>
      </c>
      <c r="AG35" s="34">
        <f>IF(AB35&gt;AF35*1.05,AB35-AF35*1.05,IF(AB35&lt;AF35*0.95,AF35*0.95-AB35,0))</f>
        <v/>
      </c>
      <c r="AH35" s="34">
        <f>MAX(I35,J35,750)*0.05*AG35</f>
        <v/>
      </c>
      <c r="AI35" t="n">
        <v>10.34</v>
      </c>
      <c r="AJ35" t="n">
        <v>9</v>
      </c>
      <c r="AK35" s="34">
        <f>IF(AI35&gt;AJ35*1.05,AI35-AJ35*1.05,IF(AI35&lt;AJ35*0.95,AJ35*0.95-AI35,0))</f>
        <v/>
      </c>
      <c r="AL35" s="34">
        <f>MAX(F35,G35,750)*0.05*AK35</f>
        <v/>
      </c>
      <c r="AM35" s="39" t="n">
        <v>10</v>
      </c>
      <c r="AN35" s="34">
        <f>IF(AI35&gt;AM35*1.05,AI35-AM35*1.05,IF(AI35&lt;AM35*0.95,AM35*0.95-AI35,0))</f>
        <v/>
      </c>
      <c r="AO35" s="34">
        <f>MAX(F35,G35,750)*0.05*AN35</f>
        <v/>
      </c>
      <c r="AP35" s="34" t="n">
        <v>14.19</v>
      </c>
      <c r="AQ35" s="34" t="n">
        <v>14</v>
      </c>
      <c r="AR35" s="34">
        <f>IF(AP35&gt;AQ35*1.05,AP35-AQ35*1.05,IF(AP35&lt;AQ35*0.95,AQ35*0.95-AP35,0))</f>
        <v/>
      </c>
      <c r="AS35" s="34">
        <f>MAX(F35:G35,750)*0.05*AR35</f>
        <v/>
      </c>
      <c r="AT35" t="n">
        <v>14</v>
      </c>
      <c r="AU35" s="34">
        <f>IF(AP35&gt;AT35*1.05,AP35-AT35*1.05,IF(AP35&lt;AT35*0.95,AT35*0.95-AP35,0))</f>
        <v/>
      </c>
      <c r="AV35" s="34">
        <f>MAX(F35:G35,750)*0.05*AU35</f>
        <v/>
      </c>
      <c r="AW35" s="34">
        <f>AC35+AJ35+AQ35</f>
        <v/>
      </c>
      <c r="AX35" s="34">
        <f>AF35+AM35+AT35</f>
        <v/>
      </c>
      <c r="AY35" s="34">
        <f>AB35+AI35+AP35</f>
        <v/>
      </c>
      <c r="AZ35" s="34" t="n">
        <v>0</v>
      </c>
      <c r="BA35" s="34">
        <f>AD35+AK35+AR35</f>
        <v/>
      </c>
      <c r="BB35" s="34">
        <f>MAX(F35:G35,750)*0.05*BA35</f>
        <v/>
      </c>
      <c r="BC35" s="34">
        <f>AG35+AN35+AU35</f>
        <v/>
      </c>
      <c r="BD35" s="34">
        <f>MAX(F35:G35,750)*0.05*BC35</f>
        <v/>
      </c>
      <c r="BE35" s="34">
        <f>F35*AY35</f>
        <v/>
      </c>
      <c r="BF35" s="34">
        <f>K35-M35</f>
        <v/>
      </c>
      <c r="BG35" s="34">
        <f>P35-S35</f>
        <v/>
      </c>
      <c r="BH35" s="34">
        <f>W35-AA35</f>
        <v/>
      </c>
      <c r="BI35" s="34">
        <f>BF35+BG35+BL35-BN35</f>
        <v/>
      </c>
      <c r="BJ35" s="34">
        <f>ABS(BK35)</f>
        <v/>
      </c>
      <c r="BK35" s="34">
        <f>AY35-(J35-L35+N35-Q35)</f>
        <v/>
      </c>
      <c r="BL35" s="34">
        <f>IF(AND(BK35&gt;0,MIN($F35:$G35)&lt;150,$E35="Enerji Açığı"),-100*BK35*1.03,IF(AND(BK35&gt;0,MIN($F35:$G35)&lt;150,$E35="Enerji Fazlası"),-100*BK35*1.06,IF(AND(BK35&gt;0,MIN($F35:$G35)&gt;=150,$E35="Enerji Açığı"),BK35*MIN($F35:$G35)*0.97,IF(AND(BK35&gt;0,MIN($F35:$G35)&gt;=150,$E35="Enerji Fazlası"),BK35*MIN($F35:$G35)*0.94,IF(AND(BK35&lt;0,MAX($F35:$G35)=4500,$E35="Enerji Açığı"),4500*1.05*1.06*BK35,IF(AND(BK35&lt;0,MAX($F35:$G35)=4500,$E35="Enerji Fazlası"),4500*1.05*1.03*BK35,IF(AND(BK35&lt;0,$E35="Enerji Açığı"),MAX($F35,$G35,150)*BK35*1.06,IF(AND(BK35&lt;0,$E35="Enerji Fazlası"),MAX($F35,$G35,150)*BK35*1.03,IF(AND(BK35&lt;0,$E35="Dengede"),MAX($F35:$G35,150)*1.03*BK35,MIN($F35:$G35)*0.97*BK35)))))))))</f>
        <v/>
      </c>
      <c r="BM35" s="34">
        <f>BE35-BI35-BN35</f>
        <v/>
      </c>
      <c r="BN35" s="34">
        <f>BB35</f>
        <v/>
      </c>
      <c r="BO35" s="34">
        <f>BE35-BI35</f>
        <v/>
      </c>
      <c r="BP35" s="34">
        <f>IF(AY35=0,0,BO35/AY35)</f>
        <v/>
      </c>
      <c r="BQ35" s="34">
        <f>MAX((AY35+MAX((-J35+L35-N35+Q35),0)),(MAX((J35-L35+N35-Q35),0)))</f>
        <v/>
      </c>
      <c r="BR35" s="82">
        <f>IFERROR(ABS(BK35/BQ35),0)</f>
        <v/>
      </c>
      <c r="BS35" s="34">
        <f>IF(BR35&lt;=0.1,0,BK35/BR35*(BR35-0.1))</f>
        <v/>
      </c>
      <c r="BT35" s="34">
        <f>IF((BS35)&lt;0,MAX(F35:G35)*(BS35)*1.03,MIN(F35:G35)*(BS35)*0.97)</f>
        <v/>
      </c>
      <c r="BU35" s="34">
        <f>IF(BR35&gt;0.1,1,0)</f>
        <v/>
      </c>
      <c r="BV35" s="34">
        <f>BF35+BG35+BH35+BY35-CA35</f>
        <v/>
      </c>
      <c r="BW35" s="34">
        <f>ABS(BX35)</f>
        <v/>
      </c>
      <c r="BX35" s="34">
        <f>AY35-(J35-L35+N35-Q35+T35-X35)</f>
        <v/>
      </c>
      <c r="BY35" s="34">
        <f>IF(AND(BX35&gt;0,MIN($F35:$G35)&lt;150,$E35="Enerji Açığı"),-100*BX35*1.03,IF(AND(BX35&gt;0,MIN($F35:$G35)&lt;150,$E35="Enerji Fazlası"),-100*BX35*1.06,IF(AND(BX35&gt;0,MIN($F35:$G35)&gt;=150,$E35="Enerji Açığı"),BX35*MIN($F35:$G35)*0.97,IF(AND(BX35&gt;0,MIN($F35:$G35)&gt;=150,$E35="Enerji Fazlası"),BX35*MIN($F35:$G35)*0.94,IF(AND(BX35&lt;0,MAX($F35:$G35)=4500,$E35="Enerji Açığı"),4500*1.05*1.06*BX35,IF(AND(BX35&lt;0,MAX($F35:$G35)=4500,$E35="Enerji Fazlası"),4500*1.05*1.03*BX35,IF(AND(BX35&lt;0,$E35="Enerji Açığı"),MAX($F35,$G35,150)*BX35*1.06,IF(AND(BX35&lt;0,$E35="Enerji Fazlası"),MAX($F35,$G35,150)*BX35*1.03,IF(AND(BX35&lt;0,$E35="Dengede"),MAX($F35:$G35,150)*1.03*BX35,MIN($F35:$G35)*0.97*BX35)))))))))</f>
        <v/>
      </c>
      <c r="BZ35" s="34">
        <f>BE35-BV35-CA35</f>
        <v/>
      </c>
      <c r="CA35" s="34">
        <f>BD35</f>
        <v/>
      </c>
      <c r="CB35" s="33">
        <f>BE35-BV35</f>
        <v/>
      </c>
      <c r="CC35" s="34">
        <f>IF(AY35=0,0,CB35/AY35)</f>
        <v/>
      </c>
      <c r="CD35" s="34">
        <f>MAX((AY35+MAX((-J35+L35-N35+Q35-T35+X35),0)),(MAX((J35-L35+N35-Q35+T35-X35),0)))</f>
        <v/>
      </c>
      <c r="CE35" s="82">
        <f>IFERROR(ABS(BX35/CD35),0)</f>
        <v/>
      </c>
      <c r="CF35" s="34">
        <f>IF(CE35&lt;=0.1,0,BX35/CE35*(CE35-0.1))</f>
        <v/>
      </c>
      <c r="CG35" s="34">
        <f>IF((CF35)&lt;0,MAX(F35:G35)*(CF35)*1.03,MIN(F35:G35)*(CF35)*0.97)</f>
        <v/>
      </c>
      <c r="CH35" s="34">
        <f>IF(CE35&gt;0.1,1,0)</f>
        <v/>
      </c>
      <c r="CI35" s="34">
        <f>(F35*BX35)-BY35</f>
        <v/>
      </c>
      <c r="CJ35" s="34">
        <f>IF(AY35=0,0,CI35/AY35)</f>
        <v/>
      </c>
    </row>
    <row r="36">
      <c r="A36" s="29" t="n">
        <v>46205.375</v>
      </c>
      <c r="B36" s="29" t="inlineStr">
        <is>
          <t>09:00</t>
        </is>
      </c>
      <c r="C36" s="35">
        <f>INT(A36)</f>
        <v/>
      </c>
      <c r="D36" s="36">
        <f>MONTH(A36)</f>
        <v/>
      </c>
      <c r="E36" s="147">
        <f>[1]FİYATLAR!G35</f>
        <v/>
      </c>
      <c r="F36" s="30" t="n">
        <v>3499.99</v>
      </c>
      <c r="G36" s="30" t="n">
        <v>4048</v>
      </c>
      <c r="H36" s="30" t="n">
        <v>75.15000000000001</v>
      </c>
      <c r="I36" s="30" t="n">
        <v>3646.04</v>
      </c>
      <c r="J36" s="119" t="n">
        <v>0</v>
      </c>
      <c r="K36" s="34">
        <f>F36*J36</f>
        <v/>
      </c>
      <c r="L36" s="119" t="n">
        <v>0</v>
      </c>
      <c r="M36" s="34">
        <f>L36*F36</f>
        <v/>
      </c>
      <c r="N36" s="119" t="n">
        <v>23</v>
      </c>
      <c r="O36" s="34">
        <f>F36</f>
        <v/>
      </c>
      <c r="P36" s="34">
        <f>N36*O36</f>
        <v/>
      </c>
      <c r="Q36" s="119" t="n">
        <v>0</v>
      </c>
      <c r="R36" s="34">
        <f>F36</f>
        <v/>
      </c>
      <c r="S36" s="34">
        <f>R36*Q36</f>
        <v/>
      </c>
      <c r="T36" s="34">
        <f>SUMIFS('[1]GİP VERİLERİ'!$C:$C,'[1]GİP VERİLERİ'!$B:$B,A36,'[1]GİP VERİLERİ'!$M:$M,"40X000000104782K",'[1]GİP VERİLERİ'!$G:$G,"SELL")</f>
        <v/>
      </c>
      <c r="U36" s="34">
        <f>IFERROR(W36/T36,0)</f>
        <v/>
      </c>
      <c r="V36" s="34">
        <f>IF(U36=0,0,U36-F36)</f>
        <v/>
      </c>
      <c r="W36" s="34">
        <f>SUMIFS('[1]GİP VERİLERİ'!$O:$O,'[1]GİP VERİLERİ'!$B:$B,A36,'[1]GİP VERİLERİ'!$M:$M,"40X000000104782K",'[1]GİP VERİLERİ'!$G:$G,"SELL")</f>
        <v/>
      </c>
      <c r="X36" s="34">
        <f>SUMIFS('[1]GİP VERİLERİ'!$C:$C,'[1]GİP VERİLERİ'!$B:$B,A36,'[1]GİP VERİLERİ'!$M:$M,"40X000000104782K",'[1]GİP VERİLERİ'!$G:$G,"BUY")</f>
        <v/>
      </c>
      <c r="Y36" s="34">
        <f>IFERROR(AA36/X36,0)</f>
        <v/>
      </c>
      <c r="Z36" s="34">
        <f>IF(Y36=0,0,F36-Y36)</f>
        <v/>
      </c>
      <c r="AA36" s="34">
        <f>SUMIFS('[1]GİP VERİLERİ'!$O:$O,'[1]GİP VERİLERİ'!$B:$B,A36,'[1]GİP VERİLERİ'!$M:$M,"40X000000104782K",'[1]GİP VERİLERİ'!$G:$G,"BUY")</f>
        <v/>
      </c>
      <c r="AB36" s="34" t="n">
        <v>0</v>
      </c>
      <c r="AC36" s="34" t="n">
        <v>0</v>
      </c>
      <c r="AD36" s="34">
        <f>IF(AB36&gt;AC36*1.05,AB36-AC36*1.05,IF(AB36&lt;AC36*0.95,AC36*0.95-AB36,0))</f>
        <v/>
      </c>
      <c r="AE36" s="34">
        <f>MAX(F36,G36,750)*0.05*AD36</f>
        <v/>
      </c>
      <c r="AF36" s="34" t="n">
        <v>0</v>
      </c>
      <c r="AG36" s="34">
        <f>IF(AB36&gt;AF36*1.05,AB36-AF36*1.05,IF(AB36&lt;AF36*0.95,AF36*0.95-AB36,0))</f>
        <v/>
      </c>
      <c r="AH36" s="34">
        <f>MAX(I36,J36,750)*0.05*AG36</f>
        <v/>
      </c>
      <c r="AI36" t="n">
        <v>10.08</v>
      </c>
      <c r="AJ36" t="n">
        <v>9</v>
      </c>
      <c r="AK36" s="34">
        <f>IF(AI36&gt;AJ36*1.05,AI36-AJ36*1.05,IF(AI36&lt;AJ36*0.95,AJ36*0.95-AI36,0))</f>
        <v/>
      </c>
      <c r="AL36" s="34">
        <f>MAX(F36,G36,750)*0.05*AK36</f>
        <v/>
      </c>
      <c r="AM36" s="39" t="n">
        <v>10</v>
      </c>
      <c r="AN36" s="34">
        <f>IF(AI36&gt;AM36*1.05,AI36-AM36*1.05,IF(AI36&lt;AM36*0.95,AM36*0.95-AI36,0))</f>
        <v/>
      </c>
      <c r="AO36" s="34">
        <f>MAX(F36,G36,750)*0.05*AN36</f>
        <v/>
      </c>
      <c r="AP36" s="34" t="n">
        <v>14.5</v>
      </c>
      <c r="AQ36" s="34" t="n">
        <v>14</v>
      </c>
      <c r="AR36" s="34">
        <f>IF(AP36&gt;AQ36*1.05,AP36-AQ36*1.05,IF(AP36&lt;AQ36*0.95,AQ36*0.95-AP36,0))</f>
        <v/>
      </c>
      <c r="AS36" s="34">
        <f>MAX(F36:G36,750)*0.05*AR36</f>
        <v/>
      </c>
      <c r="AT36" t="n">
        <v>14</v>
      </c>
      <c r="AU36" s="34">
        <f>IF(AP36&gt;AT36*1.05,AP36-AT36*1.05,IF(AP36&lt;AT36*0.95,AT36*0.95-AP36,0))</f>
        <v/>
      </c>
      <c r="AV36" s="34">
        <f>MAX(F36:G36,750)*0.05*AU36</f>
        <v/>
      </c>
      <c r="AW36" s="34">
        <f>AC36+AJ36+AQ36</f>
        <v/>
      </c>
      <c r="AX36" s="34">
        <f>AF36+AM36+AT36</f>
        <v/>
      </c>
      <c r="AY36" s="34">
        <f>AB36+AI36+AP36</f>
        <v/>
      </c>
      <c r="AZ36" s="34" t="n">
        <v>0</v>
      </c>
      <c r="BA36" s="34">
        <f>AD36+AK36+AR36</f>
        <v/>
      </c>
      <c r="BB36" s="34">
        <f>MAX(F36:G36,750)*0.05*BA36</f>
        <v/>
      </c>
      <c r="BC36" s="34">
        <f>AG36+AN36+AU36</f>
        <v/>
      </c>
      <c r="BD36" s="34">
        <f>MAX(F36:G36,750)*0.05*BC36</f>
        <v/>
      </c>
      <c r="BE36" s="34">
        <f>F36*AY36</f>
        <v/>
      </c>
      <c r="BF36" s="34">
        <f>K36-M36</f>
        <v/>
      </c>
      <c r="BG36" s="34">
        <f>P36-S36</f>
        <v/>
      </c>
      <c r="BH36" s="34">
        <f>W36-AA36</f>
        <v/>
      </c>
      <c r="BI36" s="34">
        <f>BF36+BG36+BL36-BN36</f>
        <v/>
      </c>
      <c r="BJ36" s="34">
        <f>ABS(BK36)</f>
        <v/>
      </c>
      <c r="BK36" s="34">
        <f>AY36-(J36-L36+N36-Q36)</f>
        <v/>
      </c>
      <c r="BL36" s="34">
        <f>IF(AND(BK36&gt;0,MIN($F36:$G36)&lt;150,$E36="Enerji Açığı"),-100*BK36*1.03,IF(AND(BK36&gt;0,MIN($F36:$G36)&lt;150,$E36="Enerji Fazlası"),-100*BK36*1.06,IF(AND(BK36&gt;0,MIN($F36:$G36)&gt;=150,$E36="Enerji Açığı"),BK36*MIN($F36:$G36)*0.97,IF(AND(BK36&gt;0,MIN($F36:$G36)&gt;=150,$E36="Enerji Fazlası"),BK36*MIN($F36:$G36)*0.94,IF(AND(BK36&lt;0,MAX($F36:$G36)=4500,$E36="Enerji Açığı"),4500*1.05*1.06*BK36,IF(AND(BK36&lt;0,MAX($F36:$G36)=4500,$E36="Enerji Fazlası"),4500*1.05*1.03*BK36,IF(AND(BK36&lt;0,$E36="Enerji Açığı"),MAX($F36,$G36,150)*BK36*1.06,IF(AND(BK36&lt;0,$E36="Enerji Fazlası"),MAX($F36,$G36,150)*BK36*1.03,IF(AND(BK36&lt;0,$E36="Dengede"),MAX($F36:$G36,150)*1.03*BK36,MIN($F36:$G36)*0.97*BK36)))))))))</f>
        <v/>
      </c>
      <c r="BM36" s="34">
        <f>BE36-BI36-BN36</f>
        <v/>
      </c>
      <c r="BN36" s="34">
        <f>BB36</f>
        <v/>
      </c>
      <c r="BO36" s="34">
        <f>BE36-BI36</f>
        <v/>
      </c>
      <c r="BP36" s="34">
        <f>IF(AY36=0,0,BO36/AY36)</f>
        <v/>
      </c>
      <c r="BQ36" s="34">
        <f>MAX((AY36+MAX((-J36+L36-N36+Q36),0)),(MAX((J36-L36+N36-Q36),0)))</f>
        <v/>
      </c>
      <c r="BR36" s="82">
        <f>IFERROR(ABS(BK36/BQ36),0)</f>
        <v/>
      </c>
      <c r="BS36" s="34">
        <f>IF(BR36&lt;=0.1,0,BK36/BR36*(BR36-0.1))</f>
        <v/>
      </c>
      <c r="BT36" s="34">
        <f>IF((BS36)&lt;0,MAX(F36:G36)*(BS36)*1.03,MIN(F36:G36)*(BS36)*0.97)</f>
        <v/>
      </c>
      <c r="BU36" s="34">
        <f>IF(BR36&gt;0.1,1,0)</f>
        <v/>
      </c>
      <c r="BV36" s="34">
        <f>BF36+BG36+BH36+BY36-CA36</f>
        <v/>
      </c>
      <c r="BW36" s="34">
        <f>ABS(BX36)</f>
        <v/>
      </c>
      <c r="BX36" s="34">
        <f>AY36-(J36-L36+N36-Q36+T36-X36)</f>
        <v/>
      </c>
      <c r="BY36" s="34">
        <f>IF(AND(BX36&gt;0,MIN($F36:$G36)&lt;150,$E36="Enerji Açığı"),-100*BX36*1.03,IF(AND(BX36&gt;0,MIN($F36:$G36)&lt;150,$E36="Enerji Fazlası"),-100*BX36*1.06,IF(AND(BX36&gt;0,MIN($F36:$G36)&gt;=150,$E36="Enerji Açığı"),BX36*MIN($F36:$G36)*0.97,IF(AND(BX36&gt;0,MIN($F36:$G36)&gt;=150,$E36="Enerji Fazlası"),BX36*MIN($F36:$G36)*0.94,IF(AND(BX36&lt;0,MAX($F36:$G36)=4500,$E36="Enerji Açığı"),4500*1.05*1.06*BX36,IF(AND(BX36&lt;0,MAX($F36:$G36)=4500,$E36="Enerji Fazlası"),4500*1.05*1.03*BX36,IF(AND(BX36&lt;0,$E36="Enerji Açığı"),MAX($F36,$G36,150)*BX36*1.06,IF(AND(BX36&lt;0,$E36="Enerji Fazlası"),MAX($F36,$G36,150)*BX36*1.03,IF(AND(BX36&lt;0,$E36="Dengede"),MAX($F36:$G36,150)*1.03*BX36,MIN($F36:$G36)*0.97*BX36)))))))))</f>
        <v/>
      </c>
      <c r="BZ36" s="34">
        <f>BE36-BV36-CA36</f>
        <v/>
      </c>
      <c r="CA36" s="34">
        <f>BD36</f>
        <v/>
      </c>
      <c r="CB36" s="33">
        <f>BE36-BV36</f>
        <v/>
      </c>
      <c r="CC36" s="34">
        <f>IF(AY36=0,0,CB36/AY36)</f>
        <v/>
      </c>
      <c r="CD36" s="34">
        <f>MAX((AY36+MAX((-J36+L36-N36+Q36-T36+X36),0)),(MAX((J36-L36+N36-Q36+T36-X36),0)))</f>
        <v/>
      </c>
      <c r="CE36" s="82">
        <f>IFERROR(ABS(BX36/CD36),0)</f>
        <v/>
      </c>
      <c r="CF36" s="34">
        <f>IF(CE36&lt;=0.1,0,BX36/CE36*(CE36-0.1))</f>
        <v/>
      </c>
      <c r="CG36" s="34">
        <f>IF((CF36)&lt;0,MAX(F36:G36)*(CF36)*1.03,MIN(F36:G36)*(CF36)*0.97)</f>
        <v/>
      </c>
      <c r="CH36" s="34">
        <f>IF(CE36&gt;0.1,1,0)</f>
        <v/>
      </c>
      <c r="CI36" s="34">
        <f>(F36*BX36)-BY36</f>
        <v/>
      </c>
      <c r="CJ36" s="34">
        <f>IF(AY36=0,0,CI36/AY36)</f>
        <v/>
      </c>
    </row>
    <row r="37">
      <c r="A37" s="29" t="n">
        <v>46205.41666666666</v>
      </c>
      <c r="B37" s="29" t="inlineStr">
        <is>
          <t>10:00</t>
        </is>
      </c>
      <c r="C37" s="35">
        <f>INT(A37)</f>
        <v/>
      </c>
      <c r="D37" s="36">
        <f>MONTH(A37)</f>
        <v/>
      </c>
      <c r="E37" s="147">
        <f>[1]FİYATLAR!G36</f>
        <v/>
      </c>
      <c r="F37" s="30" t="n">
        <v>2699.99</v>
      </c>
      <c r="G37" s="30" t="n">
        <v>4090</v>
      </c>
      <c r="H37" s="30" t="n">
        <v>57.97</v>
      </c>
      <c r="I37" s="30" t="n">
        <v>2815.86</v>
      </c>
      <c r="J37" s="119" t="n">
        <v>0</v>
      </c>
      <c r="K37" s="34">
        <f>F37*J37</f>
        <v/>
      </c>
      <c r="L37" s="119" t="n">
        <v>0</v>
      </c>
      <c r="M37" s="34">
        <f>L37*F37</f>
        <v/>
      </c>
      <c r="N37" s="119" t="n">
        <v>23.3</v>
      </c>
      <c r="O37" s="34">
        <f>F37</f>
        <v/>
      </c>
      <c r="P37" s="34">
        <f>N37*O37</f>
        <v/>
      </c>
      <c r="Q37" s="119" t="n">
        <v>0</v>
      </c>
      <c r="R37" s="34">
        <f>F37</f>
        <v/>
      </c>
      <c r="S37" s="34">
        <f>R37*Q37</f>
        <v/>
      </c>
      <c r="T37" s="34">
        <f>SUMIFS('[1]GİP VERİLERİ'!$C:$C,'[1]GİP VERİLERİ'!$B:$B,A37,'[1]GİP VERİLERİ'!$M:$M,"40X000000104782K",'[1]GİP VERİLERİ'!$G:$G,"SELL")</f>
        <v/>
      </c>
      <c r="U37" s="34">
        <f>IFERROR(W37/T37,0)</f>
        <v/>
      </c>
      <c r="V37" s="34">
        <f>IF(U37=0,0,U37-F37)</f>
        <v/>
      </c>
      <c r="W37" s="34">
        <f>SUMIFS('[1]GİP VERİLERİ'!$O:$O,'[1]GİP VERİLERİ'!$B:$B,A37,'[1]GİP VERİLERİ'!$M:$M,"40X000000104782K",'[1]GİP VERİLERİ'!$G:$G,"SELL")</f>
        <v/>
      </c>
      <c r="X37" s="34">
        <f>SUMIFS('[1]GİP VERİLERİ'!$C:$C,'[1]GİP VERİLERİ'!$B:$B,A37,'[1]GİP VERİLERİ'!$M:$M,"40X000000104782K",'[1]GİP VERİLERİ'!$G:$G,"BUY")</f>
        <v/>
      </c>
      <c r="Y37" s="34">
        <f>IFERROR(AA37/X37,0)</f>
        <v/>
      </c>
      <c r="Z37" s="34">
        <f>IF(Y37=0,0,F37-Y37)</f>
        <v/>
      </c>
      <c r="AA37" s="34">
        <f>SUMIFS('[1]GİP VERİLERİ'!$O:$O,'[1]GİP VERİLERİ'!$B:$B,A37,'[1]GİP VERİLERİ'!$M:$M,"40X000000104782K",'[1]GİP VERİLERİ'!$G:$G,"BUY")</f>
        <v/>
      </c>
      <c r="AB37" s="34" t="n">
        <v>0</v>
      </c>
      <c r="AC37" s="34" t="n">
        <v>0</v>
      </c>
      <c r="AD37" s="34">
        <f>IF(AB37&gt;AC37*1.05,AB37-AC37*1.05,IF(AB37&lt;AC37*0.95,AC37*0.95-AB37,0))</f>
        <v/>
      </c>
      <c r="AE37" s="34">
        <f>MAX(F37,G37,750)*0.05*AD37</f>
        <v/>
      </c>
      <c r="AF37" s="34" t="n">
        <v>0</v>
      </c>
      <c r="AG37" s="34">
        <f>IF(AB37&gt;AF37*1.05,AB37-AF37*1.05,IF(AB37&lt;AF37*0.95,AF37*0.95-AB37,0))</f>
        <v/>
      </c>
      <c r="AH37" s="34">
        <f>MAX(I37,J37,750)*0.05*AG37</f>
        <v/>
      </c>
      <c r="AI37" t="n">
        <v>10.19</v>
      </c>
      <c r="AJ37" t="n">
        <v>9</v>
      </c>
      <c r="AK37" s="34">
        <f>IF(AI37&gt;AJ37*1.05,AI37-AJ37*1.05,IF(AI37&lt;AJ37*0.95,AJ37*0.95-AI37,0))</f>
        <v/>
      </c>
      <c r="AL37" s="34">
        <f>MAX(F37,G37,750)*0.05*AK37</f>
        <v/>
      </c>
      <c r="AM37" s="39" t="n">
        <v>10</v>
      </c>
      <c r="AN37" s="34">
        <f>IF(AI37&gt;AM37*1.05,AI37-AM37*1.05,IF(AI37&lt;AM37*0.95,AM37*0.95-AI37,0))</f>
        <v/>
      </c>
      <c r="AO37" s="34">
        <f>MAX(F37,G37,750)*0.05*AN37</f>
        <v/>
      </c>
      <c r="AP37" s="34" t="n">
        <v>14.78</v>
      </c>
      <c r="AQ37" s="34" t="n">
        <v>14.3</v>
      </c>
      <c r="AR37" s="34">
        <f>IF(AP37&gt;AQ37*1.05,AP37-AQ37*1.05,IF(AP37&lt;AQ37*0.95,AQ37*0.95-AP37,0))</f>
        <v/>
      </c>
      <c r="AS37" s="34">
        <f>MAX(F37:G37,750)*0.05*AR37</f>
        <v/>
      </c>
      <c r="AT37" t="n">
        <v>14.3</v>
      </c>
      <c r="AU37" s="34">
        <f>IF(AP37&gt;AT37*1.05,AP37-AT37*1.05,IF(AP37&lt;AT37*0.95,AT37*0.95-AP37,0))</f>
        <v/>
      </c>
      <c r="AV37" s="34">
        <f>MAX(F37:G37,750)*0.05*AU37</f>
        <v/>
      </c>
      <c r="AW37" s="34">
        <f>AC37+AJ37+AQ37</f>
        <v/>
      </c>
      <c r="AX37" s="34">
        <f>AF37+AM37+AT37</f>
        <v/>
      </c>
      <c r="AY37" s="34">
        <f>AB37+AI37+AP37</f>
        <v/>
      </c>
      <c r="AZ37" s="34" t="n">
        <v>0</v>
      </c>
      <c r="BA37" s="34">
        <f>AD37+AK37+AR37</f>
        <v/>
      </c>
      <c r="BB37" s="34">
        <f>MAX(F37:G37,750)*0.05*BA37</f>
        <v/>
      </c>
      <c r="BC37" s="34">
        <f>AG37+AN37+AU37</f>
        <v/>
      </c>
      <c r="BD37" s="34">
        <f>MAX(F37:G37,750)*0.05*BC37</f>
        <v/>
      </c>
      <c r="BE37" s="34">
        <f>F37*AY37</f>
        <v/>
      </c>
      <c r="BF37" s="34">
        <f>K37-M37</f>
        <v/>
      </c>
      <c r="BG37" s="34">
        <f>P37-S37</f>
        <v/>
      </c>
      <c r="BH37" s="34">
        <f>W37-AA37</f>
        <v/>
      </c>
      <c r="BI37" s="34">
        <f>BF37+BG37+BL37-BN37</f>
        <v/>
      </c>
      <c r="BJ37" s="34">
        <f>ABS(BK37)</f>
        <v/>
      </c>
      <c r="BK37" s="34">
        <f>AY37-(J37-L37+N37-Q37)</f>
        <v/>
      </c>
      <c r="BL37" s="34">
        <f>IF(AND(BK37&gt;0,MIN($F37:$G37)&lt;150,$E37="Enerji Açığı"),-100*BK37*1.03,IF(AND(BK37&gt;0,MIN($F37:$G37)&lt;150,$E37="Enerji Fazlası"),-100*BK37*1.06,IF(AND(BK37&gt;0,MIN($F37:$G37)&gt;=150,$E37="Enerji Açığı"),BK37*MIN($F37:$G37)*0.97,IF(AND(BK37&gt;0,MIN($F37:$G37)&gt;=150,$E37="Enerji Fazlası"),BK37*MIN($F37:$G37)*0.94,IF(AND(BK37&lt;0,MAX($F37:$G37)=4500,$E37="Enerji Açığı"),4500*1.05*1.06*BK37,IF(AND(BK37&lt;0,MAX($F37:$G37)=4500,$E37="Enerji Fazlası"),4500*1.05*1.03*BK37,IF(AND(BK37&lt;0,$E37="Enerji Açığı"),MAX($F37,$G37,150)*BK37*1.06,IF(AND(BK37&lt;0,$E37="Enerji Fazlası"),MAX($F37,$G37,150)*BK37*1.03,IF(AND(BK37&lt;0,$E37="Dengede"),MAX($F37:$G37,150)*1.03*BK37,MIN($F37:$G37)*0.97*BK37)))))))))</f>
        <v/>
      </c>
      <c r="BM37" s="34">
        <f>BE37-BI37-BN37</f>
        <v/>
      </c>
      <c r="BN37" s="34">
        <f>BB37</f>
        <v/>
      </c>
      <c r="BO37" s="34">
        <f>BE37-BI37</f>
        <v/>
      </c>
      <c r="BP37" s="34">
        <f>IF(AY37=0,0,BO37/AY37)</f>
        <v/>
      </c>
      <c r="BQ37" s="34">
        <f>MAX((AY37+MAX((-J37+L37-N37+Q37),0)),(MAX((J37-L37+N37-Q37),0)))</f>
        <v/>
      </c>
      <c r="BR37" s="82">
        <f>IFERROR(ABS(BK37/BQ37),0)</f>
        <v/>
      </c>
      <c r="BS37" s="34">
        <f>IF(BR37&lt;=0.1,0,BK37/BR37*(BR37-0.1))</f>
        <v/>
      </c>
      <c r="BT37" s="34">
        <f>IF((BS37)&lt;0,MAX(F37:G37)*(BS37)*1.03,MIN(F37:G37)*(BS37)*0.97)</f>
        <v/>
      </c>
      <c r="BU37" s="34">
        <f>IF(BR37&gt;0.1,1,0)</f>
        <v/>
      </c>
      <c r="BV37" s="34">
        <f>BF37+BG37+BH37+BY37-CA37</f>
        <v/>
      </c>
      <c r="BW37" s="34">
        <f>ABS(BX37)</f>
        <v/>
      </c>
      <c r="BX37" s="34">
        <f>AY37-(J37-L37+N37-Q37+T37-X37)</f>
        <v/>
      </c>
      <c r="BY37" s="34">
        <f>IF(AND(BX37&gt;0,MIN($F37:$G37)&lt;150,$E37="Enerji Açığı"),-100*BX37*1.03,IF(AND(BX37&gt;0,MIN($F37:$G37)&lt;150,$E37="Enerji Fazlası"),-100*BX37*1.06,IF(AND(BX37&gt;0,MIN($F37:$G37)&gt;=150,$E37="Enerji Açığı"),BX37*MIN($F37:$G37)*0.97,IF(AND(BX37&gt;0,MIN($F37:$G37)&gt;=150,$E37="Enerji Fazlası"),BX37*MIN($F37:$G37)*0.94,IF(AND(BX37&lt;0,MAX($F37:$G37)=4500,$E37="Enerji Açığı"),4500*1.05*1.06*BX37,IF(AND(BX37&lt;0,MAX($F37:$G37)=4500,$E37="Enerji Fazlası"),4500*1.05*1.03*BX37,IF(AND(BX37&lt;0,$E37="Enerji Açığı"),MAX($F37,$G37,150)*BX37*1.06,IF(AND(BX37&lt;0,$E37="Enerji Fazlası"),MAX($F37,$G37,150)*BX37*1.03,IF(AND(BX37&lt;0,$E37="Dengede"),MAX($F37:$G37,150)*1.03*BX37,MIN($F37:$G37)*0.97*BX37)))))))))</f>
        <v/>
      </c>
      <c r="BZ37" s="34">
        <f>BE37-BV37-CA37</f>
        <v/>
      </c>
      <c r="CA37" s="34">
        <f>BD37</f>
        <v/>
      </c>
      <c r="CB37" s="33">
        <f>BE37-BV37</f>
        <v/>
      </c>
      <c r="CC37" s="34">
        <f>IF(AY37=0,0,CB37/AY37)</f>
        <v/>
      </c>
      <c r="CD37" s="34">
        <f>MAX((AY37+MAX((-J37+L37-N37+Q37-T37+X37),0)),(MAX((J37-L37+N37-Q37+T37-X37),0)))</f>
        <v/>
      </c>
      <c r="CE37" s="82">
        <f>IFERROR(ABS(BX37/CD37),0)</f>
        <v/>
      </c>
      <c r="CF37" s="34">
        <f>IF(CE37&lt;=0.1,0,BX37/CE37*(CE37-0.1))</f>
        <v/>
      </c>
      <c r="CG37" s="34">
        <f>IF((CF37)&lt;0,MAX(F37:G37)*(CF37)*1.03,MIN(F37:G37)*(CF37)*0.97)</f>
        <v/>
      </c>
      <c r="CH37" s="34">
        <f>IF(CE37&gt;0.1,1,0)</f>
        <v/>
      </c>
      <c r="CI37" s="34">
        <f>(F37*BX37)-BY37</f>
        <v/>
      </c>
      <c r="CJ37" s="34">
        <f>IF(AY37=0,0,CI37/AY37)</f>
        <v/>
      </c>
    </row>
    <row r="38">
      <c r="A38" s="29" t="n">
        <v>46205.45833333334</v>
      </c>
      <c r="B38" s="29" t="inlineStr">
        <is>
          <t>11:00</t>
        </is>
      </c>
      <c r="C38" s="35">
        <f>INT(A38)</f>
        <v/>
      </c>
      <c r="D38" s="36">
        <f>MONTH(A38)</f>
        <v/>
      </c>
      <c r="E38" s="147">
        <f>[1]FİYATLAR!G37</f>
        <v/>
      </c>
      <c r="F38" s="30" t="n">
        <v>2999.01</v>
      </c>
      <c r="G38" s="30" t="n">
        <v>4048</v>
      </c>
      <c r="H38" s="30" t="n">
        <v>64.39</v>
      </c>
      <c r="I38" s="30" t="n">
        <v>3174.79</v>
      </c>
      <c r="J38" s="119" t="n">
        <v>0</v>
      </c>
      <c r="K38" s="34">
        <f>F38*J38</f>
        <v/>
      </c>
      <c r="L38" s="119" t="n">
        <v>0</v>
      </c>
      <c r="M38" s="34">
        <f>L38*F38</f>
        <v/>
      </c>
      <c r="N38" s="119" t="n">
        <v>23.3</v>
      </c>
      <c r="O38" s="34">
        <f>F38</f>
        <v/>
      </c>
      <c r="P38" s="34">
        <f>N38*O38</f>
        <v/>
      </c>
      <c r="Q38" s="119" t="n">
        <v>0</v>
      </c>
      <c r="R38" s="34">
        <f>F38</f>
        <v/>
      </c>
      <c r="S38" s="34">
        <f>R38*Q38</f>
        <v/>
      </c>
      <c r="T38" s="34">
        <f>SUMIFS('[1]GİP VERİLERİ'!$C:$C,'[1]GİP VERİLERİ'!$B:$B,A38,'[1]GİP VERİLERİ'!$M:$M,"40X000000104782K",'[1]GİP VERİLERİ'!$G:$G,"SELL")</f>
        <v/>
      </c>
      <c r="U38" s="34">
        <f>IFERROR(W38/T38,0)</f>
        <v/>
      </c>
      <c r="V38" s="34">
        <f>IF(U38=0,0,U38-F38)</f>
        <v/>
      </c>
      <c r="W38" s="34">
        <f>SUMIFS('[1]GİP VERİLERİ'!$O:$O,'[1]GİP VERİLERİ'!$B:$B,A38,'[1]GİP VERİLERİ'!$M:$M,"40X000000104782K",'[1]GİP VERİLERİ'!$G:$G,"SELL")</f>
        <v/>
      </c>
      <c r="X38" s="34">
        <f>SUMIFS('[1]GİP VERİLERİ'!$C:$C,'[1]GİP VERİLERİ'!$B:$B,A38,'[1]GİP VERİLERİ'!$M:$M,"40X000000104782K",'[1]GİP VERİLERİ'!$G:$G,"BUY")</f>
        <v/>
      </c>
      <c r="Y38" s="34">
        <f>IFERROR(AA38/X38,0)</f>
        <v/>
      </c>
      <c r="Z38" s="34">
        <f>IF(Y38=0,0,F38-Y38)</f>
        <v/>
      </c>
      <c r="AA38" s="34">
        <f>SUMIFS('[1]GİP VERİLERİ'!$O:$O,'[1]GİP VERİLERİ'!$B:$B,A38,'[1]GİP VERİLERİ'!$M:$M,"40X000000104782K",'[1]GİP VERİLERİ'!$G:$G,"BUY")</f>
        <v/>
      </c>
      <c r="AB38" s="34" t="n">
        <v>0</v>
      </c>
      <c r="AC38" s="34" t="n">
        <v>0</v>
      </c>
      <c r="AD38" s="34">
        <f>IF(AB38&gt;AC38*1.05,AB38-AC38*1.05,IF(AB38&lt;AC38*0.95,AC38*0.95-AB38,0))</f>
        <v/>
      </c>
      <c r="AE38" s="34">
        <f>MAX(F38,G38,750)*0.05*AD38</f>
        <v/>
      </c>
      <c r="AF38" s="34" t="n">
        <v>0</v>
      </c>
      <c r="AG38" s="34">
        <f>IF(AB38&gt;AF38*1.05,AB38-AF38*1.05,IF(AB38&lt;AF38*0.95,AF38*0.95-AB38,0))</f>
        <v/>
      </c>
      <c r="AH38" s="34">
        <f>MAX(I38,J38,750)*0.05*AG38</f>
        <v/>
      </c>
      <c r="AI38" t="n">
        <v>10.18</v>
      </c>
      <c r="AJ38" t="n">
        <v>9</v>
      </c>
      <c r="AK38" s="34">
        <f>IF(AI38&gt;AJ38*1.05,AI38-AJ38*1.05,IF(AI38&lt;AJ38*0.95,AJ38*0.95-AI38,0))</f>
        <v/>
      </c>
      <c r="AL38" s="34">
        <f>MAX(F38,G38,750)*0.05*AK38</f>
        <v/>
      </c>
      <c r="AM38" s="39" t="n">
        <v>10</v>
      </c>
      <c r="AN38" s="34">
        <f>IF(AI38&gt;AM38*1.05,AI38-AM38*1.05,IF(AI38&lt;AM38*0.95,AM38*0.95-AI38,0))</f>
        <v/>
      </c>
      <c r="AO38" s="34">
        <f>MAX(F38,G38,750)*0.05*AN38</f>
        <v/>
      </c>
      <c r="AP38" s="34" t="n">
        <v>14.74</v>
      </c>
      <c r="AQ38" s="34" t="n">
        <v>14.3</v>
      </c>
      <c r="AR38" s="34">
        <f>IF(AP38&gt;AQ38*1.05,AP38-AQ38*1.05,IF(AP38&lt;AQ38*0.95,AQ38*0.95-AP38,0))</f>
        <v/>
      </c>
      <c r="AS38" s="34">
        <f>MAX(F38:G38,750)*0.05*AR38</f>
        <v/>
      </c>
      <c r="AT38" t="n">
        <v>14.3</v>
      </c>
      <c r="AU38" s="34">
        <f>IF(AP38&gt;AT38*1.05,AP38-AT38*1.05,IF(AP38&lt;AT38*0.95,AT38*0.95-AP38,0))</f>
        <v/>
      </c>
      <c r="AV38" s="34">
        <f>MAX(F38:G38,750)*0.05*AU38</f>
        <v/>
      </c>
      <c r="AW38" s="34">
        <f>AC38+AJ38+AQ38</f>
        <v/>
      </c>
      <c r="AX38" s="34">
        <f>AF38+AM38+AT38</f>
        <v/>
      </c>
      <c r="AY38" s="34">
        <f>AB38+AI38+AP38</f>
        <v/>
      </c>
      <c r="AZ38" s="34" t="n">
        <v>0</v>
      </c>
      <c r="BA38" s="34">
        <f>AD38+AK38+AR38</f>
        <v/>
      </c>
      <c r="BB38" s="34">
        <f>MAX(F38:G38,750)*0.05*BA38</f>
        <v/>
      </c>
      <c r="BC38" s="34">
        <f>AG38+AN38+AU38</f>
        <v/>
      </c>
      <c r="BD38" s="34">
        <f>MAX(F38:G38,750)*0.05*BC38</f>
        <v/>
      </c>
      <c r="BE38" s="34">
        <f>F38*AY38</f>
        <v/>
      </c>
      <c r="BF38" s="34">
        <f>K38-M38</f>
        <v/>
      </c>
      <c r="BG38" s="34">
        <f>P38-S38</f>
        <v/>
      </c>
      <c r="BH38" s="34">
        <f>W38-AA38</f>
        <v/>
      </c>
      <c r="BI38" s="34">
        <f>BF38+BG38+BL38-BN38</f>
        <v/>
      </c>
      <c r="BJ38" s="34">
        <f>ABS(BK38)</f>
        <v/>
      </c>
      <c r="BK38" s="34">
        <f>AY38-(J38-L38+N38-Q38)</f>
        <v/>
      </c>
      <c r="BL38" s="34">
        <f>IF(AND(BK38&gt;0,MIN($F38:$G38)&lt;150,$E38="Enerji Açığı"),-100*BK38*1.03,IF(AND(BK38&gt;0,MIN($F38:$G38)&lt;150,$E38="Enerji Fazlası"),-100*BK38*1.06,IF(AND(BK38&gt;0,MIN($F38:$G38)&gt;=150,$E38="Enerji Açığı"),BK38*MIN($F38:$G38)*0.97,IF(AND(BK38&gt;0,MIN($F38:$G38)&gt;=150,$E38="Enerji Fazlası"),BK38*MIN($F38:$G38)*0.94,IF(AND(BK38&lt;0,MAX($F38:$G38)=4500,$E38="Enerji Açığı"),4500*1.05*1.06*BK38,IF(AND(BK38&lt;0,MAX($F38:$G38)=4500,$E38="Enerji Fazlası"),4500*1.05*1.03*BK38,IF(AND(BK38&lt;0,$E38="Enerji Açığı"),MAX($F38,$G38,150)*BK38*1.06,IF(AND(BK38&lt;0,$E38="Enerji Fazlası"),MAX($F38,$G38,150)*BK38*1.03,IF(AND(BK38&lt;0,$E38="Dengede"),MAX($F38:$G38,150)*1.03*BK38,MIN($F38:$G38)*0.97*BK38)))))))))</f>
        <v/>
      </c>
      <c r="BM38" s="34">
        <f>BE38-BI38-BN38</f>
        <v/>
      </c>
      <c r="BN38" s="34">
        <f>BB38</f>
        <v/>
      </c>
      <c r="BO38" s="34">
        <f>BE38-BI38</f>
        <v/>
      </c>
      <c r="BP38" s="34">
        <f>IF(AY38=0,0,BO38/AY38)</f>
        <v/>
      </c>
      <c r="BQ38" s="34">
        <f>MAX((AY38+MAX((-J38+L38-N38+Q38),0)),(MAX((J38-L38+N38-Q38),0)))</f>
        <v/>
      </c>
      <c r="BR38" s="82">
        <f>IFERROR(ABS(BK38/BQ38),0)</f>
        <v/>
      </c>
      <c r="BS38" s="34">
        <f>IF(BR38&lt;=0.1,0,BK38/BR38*(BR38-0.1))</f>
        <v/>
      </c>
      <c r="BT38" s="34">
        <f>IF((BS38)&lt;0,MAX(F38:G38)*(BS38)*1.03,MIN(F38:G38)*(BS38)*0.97)</f>
        <v/>
      </c>
      <c r="BU38" s="34">
        <f>IF(BR38&gt;0.1,1,0)</f>
        <v/>
      </c>
      <c r="BV38" s="34">
        <f>BF38+BG38+BH38+BY38-CA38</f>
        <v/>
      </c>
      <c r="BW38" s="34">
        <f>ABS(BX38)</f>
        <v/>
      </c>
      <c r="BX38" s="34">
        <f>AY38-(J38-L38+N38-Q38+T38-X38)</f>
        <v/>
      </c>
      <c r="BY38" s="34">
        <f>IF(AND(BX38&gt;0,MIN($F38:$G38)&lt;150,$E38="Enerji Açığı"),-100*BX38*1.03,IF(AND(BX38&gt;0,MIN($F38:$G38)&lt;150,$E38="Enerji Fazlası"),-100*BX38*1.06,IF(AND(BX38&gt;0,MIN($F38:$G38)&gt;=150,$E38="Enerji Açığı"),BX38*MIN($F38:$G38)*0.97,IF(AND(BX38&gt;0,MIN($F38:$G38)&gt;=150,$E38="Enerji Fazlası"),BX38*MIN($F38:$G38)*0.94,IF(AND(BX38&lt;0,MAX($F38:$G38)=4500,$E38="Enerji Açığı"),4500*1.05*1.06*BX38,IF(AND(BX38&lt;0,MAX($F38:$G38)=4500,$E38="Enerji Fazlası"),4500*1.05*1.03*BX38,IF(AND(BX38&lt;0,$E38="Enerji Açığı"),MAX($F38,$G38,150)*BX38*1.06,IF(AND(BX38&lt;0,$E38="Enerji Fazlası"),MAX($F38,$G38,150)*BX38*1.03,IF(AND(BX38&lt;0,$E38="Dengede"),MAX($F38:$G38,150)*1.03*BX38,MIN($F38:$G38)*0.97*BX38)))))))))</f>
        <v/>
      </c>
      <c r="BZ38" s="34">
        <f>BE38-BV38-CA38</f>
        <v/>
      </c>
      <c r="CA38" s="34">
        <f>BD38</f>
        <v/>
      </c>
      <c r="CB38" s="33">
        <f>BE38-BV38</f>
        <v/>
      </c>
      <c r="CC38" s="34">
        <f>IF(AY38=0,0,CB38/AY38)</f>
        <v/>
      </c>
      <c r="CD38" s="34">
        <f>MAX((AY38+MAX((-J38+L38-N38+Q38-T38+X38),0)),(MAX((J38-L38+N38-Q38+T38-X38),0)))</f>
        <v/>
      </c>
      <c r="CE38" s="82">
        <f>IFERROR(ABS(BX38/CD38),0)</f>
        <v/>
      </c>
      <c r="CF38" s="34">
        <f>IF(CE38&lt;=0.1,0,BX38/CE38*(CE38-0.1))</f>
        <v/>
      </c>
      <c r="CG38" s="34">
        <f>IF((CF38)&lt;0,MAX(F38:G38)*(CF38)*1.03,MIN(F38:G38)*(CF38)*0.97)</f>
        <v/>
      </c>
      <c r="CH38" s="34">
        <f>IF(CE38&gt;0.1,1,0)</f>
        <v/>
      </c>
      <c r="CI38" s="34">
        <f>(F38*BX38)-BY38</f>
        <v/>
      </c>
      <c r="CJ38" s="34">
        <f>IF(AY38=0,0,CI38/AY38)</f>
        <v/>
      </c>
    </row>
    <row r="39">
      <c r="A39" s="29" t="n">
        <v>46205.5</v>
      </c>
      <c r="B39" s="29" t="inlineStr">
        <is>
          <t>12:00</t>
        </is>
      </c>
      <c r="C39" s="35">
        <f>INT(A39)</f>
        <v/>
      </c>
      <c r="D39" s="36">
        <f>MONTH(A39)</f>
        <v/>
      </c>
      <c r="E39" s="147">
        <f>[1]FİYATLAR!G38</f>
        <v/>
      </c>
      <c r="F39" s="30" t="n">
        <v>1499.98</v>
      </c>
      <c r="G39" s="30" t="n">
        <v>3550</v>
      </c>
      <c r="H39" s="30" t="n">
        <v>32.21</v>
      </c>
      <c r="I39" s="30" t="n">
        <v>1970.26</v>
      </c>
      <c r="J39" s="119" t="n">
        <v>0</v>
      </c>
      <c r="K39" s="34">
        <f>F39*J39</f>
        <v/>
      </c>
      <c r="L39" s="119" t="n">
        <v>0</v>
      </c>
      <c r="M39" s="34">
        <f>L39*F39</f>
        <v/>
      </c>
      <c r="N39" s="119" t="n">
        <v>23.5</v>
      </c>
      <c r="O39" s="34">
        <f>F39</f>
        <v/>
      </c>
      <c r="P39" s="34">
        <f>N39*O39</f>
        <v/>
      </c>
      <c r="Q39" s="119" t="n">
        <v>0</v>
      </c>
      <c r="R39" s="34">
        <f>F39</f>
        <v/>
      </c>
      <c r="S39" s="34">
        <f>R39*Q39</f>
        <v/>
      </c>
      <c r="T39" s="34">
        <f>SUMIFS('[1]GİP VERİLERİ'!$C:$C,'[1]GİP VERİLERİ'!$B:$B,A39,'[1]GİP VERİLERİ'!$M:$M,"40X000000104782K",'[1]GİP VERİLERİ'!$G:$G,"SELL")</f>
        <v/>
      </c>
      <c r="U39" s="34">
        <f>IFERROR(W39/T39,0)</f>
        <v/>
      </c>
      <c r="V39" s="34">
        <f>IF(U39=0,0,U39-F39)</f>
        <v/>
      </c>
      <c r="W39" s="34">
        <f>SUMIFS('[1]GİP VERİLERİ'!$O:$O,'[1]GİP VERİLERİ'!$B:$B,A39,'[1]GİP VERİLERİ'!$M:$M,"40X000000104782K",'[1]GİP VERİLERİ'!$G:$G,"SELL")</f>
        <v/>
      </c>
      <c r="X39" s="34">
        <f>SUMIFS('[1]GİP VERİLERİ'!$C:$C,'[1]GİP VERİLERİ'!$B:$B,A39,'[1]GİP VERİLERİ'!$M:$M,"40X000000104782K",'[1]GİP VERİLERİ'!$G:$G,"BUY")</f>
        <v/>
      </c>
      <c r="Y39" s="34">
        <f>IFERROR(AA39/X39,0)</f>
        <v/>
      </c>
      <c r="Z39" s="34">
        <f>IF(Y39=0,0,F39-Y39)</f>
        <v/>
      </c>
      <c r="AA39" s="34">
        <f>SUMIFS('[1]GİP VERİLERİ'!$O:$O,'[1]GİP VERİLERİ'!$B:$B,A39,'[1]GİP VERİLERİ'!$M:$M,"40X000000104782K",'[1]GİP VERİLERİ'!$G:$G,"BUY")</f>
        <v/>
      </c>
      <c r="AB39" s="34" t="n">
        <v>0</v>
      </c>
      <c r="AC39" s="34" t="n">
        <v>0</v>
      </c>
      <c r="AD39" s="34">
        <f>IF(AB39&gt;AC39*1.05,AB39-AC39*1.05,IF(AB39&lt;AC39*0.95,AC39*0.95-AB39,0))</f>
        <v/>
      </c>
      <c r="AE39" s="34">
        <f>MAX(F39,G39,750)*0.05*AD39</f>
        <v/>
      </c>
      <c r="AF39" s="34" t="n">
        <v>0</v>
      </c>
      <c r="AG39" s="34">
        <f>IF(AB39&gt;AF39*1.05,AB39-AF39*1.05,IF(AB39&lt;AF39*0.95,AF39*0.95-AB39,0))</f>
        <v/>
      </c>
      <c r="AH39" s="34">
        <f>MAX(I39,J39,750)*0.05*AG39</f>
        <v/>
      </c>
      <c r="AI39" t="n">
        <v>9.18</v>
      </c>
      <c r="AJ39" t="n">
        <v>9</v>
      </c>
      <c r="AK39" s="34">
        <f>IF(AI39&gt;AJ39*1.05,AI39-AJ39*1.05,IF(AI39&lt;AJ39*0.95,AJ39*0.95-AI39,0))</f>
        <v/>
      </c>
      <c r="AL39" s="34">
        <f>MAX(F39,G39,750)*0.05*AK39</f>
        <v/>
      </c>
      <c r="AM39" s="39" t="n">
        <v>9</v>
      </c>
      <c r="AN39" s="34">
        <f>IF(AI39&gt;AM39*1.05,AI39-AM39*1.05,IF(AI39&lt;AM39*0.95,AM39*0.95-AI39,0))</f>
        <v/>
      </c>
      <c r="AO39" s="34">
        <f>MAX(F39,G39,750)*0.05*AN39</f>
        <v/>
      </c>
      <c r="AP39" s="34" t="n">
        <v>14.83</v>
      </c>
      <c r="AQ39" s="34" t="n">
        <v>14.5</v>
      </c>
      <c r="AR39" s="34">
        <f>IF(AP39&gt;AQ39*1.05,AP39-AQ39*1.05,IF(AP39&lt;AQ39*0.95,AQ39*0.95-AP39,0))</f>
        <v/>
      </c>
      <c r="AS39" s="34">
        <f>MAX(F39:G39,750)*0.05*AR39</f>
        <v/>
      </c>
      <c r="AT39" t="n">
        <v>14.5</v>
      </c>
      <c r="AU39" s="34">
        <f>IF(AP39&gt;AT39*1.05,AP39-AT39*1.05,IF(AP39&lt;AT39*0.95,AT39*0.95-AP39,0))</f>
        <v/>
      </c>
      <c r="AV39" s="34">
        <f>MAX(F39:G39,750)*0.05*AU39</f>
        <v/>
      </c>
      <c r="AW39" s="34">
        <f>AC39+AJ39+AQ39</f>
        <v/>
      </c>
      <c r="AX39" s="34">
        <f>AF39+AM39+AT39</f>
        <v/>
      </c>
      <c r="AY39" s="34">
        <f>AB39+AI39+AP39</f>
        <v/>
      </c>
      <c r="AZ39" s="34" t="n">
        <v>0</v>
      </c>
      <c r="BA39" s="34">
        <f>AD39+AK39+AR39</f>
        <v/>
      </c>
      <c r="BB39" s="34">
        <f>MAX(F39:G39,750)*0.05*BA39</f>
        <v/>
      </c>
      <c r="BC39" s="34">
        <f>AG39+AN39+AU39</f>
        <v/>
      </c>
      <c r="BD39" s="34">
        <f>MAX(F39:G39,750)*0.05*BC39</f>
        <v/>
      </c>
      <c r="BE39" s="34">
        <f>F39*AY39</f>
        <v/>
      </c>
      <c r="BF39" s="34">
        <f>K39-M39</f>
        <v/>
      </c>
      <c r="BG39" s="34">
        <f>P39-S39</f>
        <v/>
      </c>
      <c r="BH39" s="34">
        <f>W39-AA39</f>
        <v/>
      </c>
      <c r="BI39" s="34">
        <f>BF39+BG39+BL39-BN39</f>
        <v/>
      </c>
      <c r="BJ39" s="34">
        <f>ABS(BK39)</f>
        <v/>
      </c>
      <c r="BK39" s="34">
        <f>AY39-(J39-L39+N39-Q39)</f>
        <v/>
      </c>
      <c r="BL39" s="34">
        <f>IF(AND(BK39&gt;0,MIN($F39:$G39)&lt;150,$E39="Enerji Açığı"),-100*BK39*1.03,IF(AND(BK39&gt;0,MIN($F39:$G39)&lt;150,$E39="Enerji Fazlası"),-100*BK39*1.06,IF(AND(BK39&gt;0,MIN($F39:$G39)&gt;=150,$E39="Enerji Açığı"),BK39*MIN($F39:$G39)*0.97,IF(AND(BK39&gt;0,MIN($F39:$G39)&gt;=150,$E39="Enerji Fazlası"),BK39*MIN($F39:$G39)*0.94,IF(AND(BK39&lt;0,MAX($F39:$G39)=4500,$E39="Enerji Açığı"),4500*1.05*1.06*BK39,IF(AND(BK39&lt;0,MAX($F39:$G39)=4500,$E39="Enerji Fazlası"),4500*1.05*1.03*BK39,IF(AND(BK39&lt;0,$E39="Enerji Açığı"),MAX($F39,$G39,150)*BK39*1.06,IF(AND(BK39&lt;0,$E39="Enerji Fazlası"),MAX($F39,$G39,150)*BK39*1.03,IF(AND(BK39&lt;0,$E39="Dengede"),MAX($F39:$G39,150)*1.03*BK39,MIN($F39:$G39)*0.97*BK39)))))))))</f>
        <v/>
      </c>
      <c r="BM39" s="34">
        <f>BE39-BI39-BN39</f>
        <v/>
      </c>
      <c r="BN39" s="34">
        <f>BB39</f>
        <v/>
      </c>
      <c r="BO39" s="34">
        <f>BE39-BI39</f>
        <v/>
      </c>
      <c r="BP39" s="34">
        <f>IF(AY39=0,0,BO39/AY39)</f>
        <v/>
      </c>
      <c r="BQ39" s="34">
        <f>MAX((AY39+MAX((-J39+L39-N39+Q39),0)),(MAX((J39-L39+N39-Q39),0)))</f>
        <v/>
      </c>
      <c r="BR39" s="82">
        <f>IFERROR(ABS(BK39/BQ39),0)</f>
        <v/>
      </c>
      <c r="BS39" s="34">
        <f>IF(BR39&lt;=0.1,0,BK39/BR39*(BR39-0.1))</f>
        <v/>
      </c>
      <c r="BT39" s="34">
        <f>IF((BS39)&lt;0,MAX(F39:G39)*(BS39)*1.03,MIN(F39:G39)*(BS39)*0.97)</f>
        <v/>
      </c>
      <c r="BU39" s="34">
        <f>IF(BR39&gt;0.1,1,0)</f>
        <v/>
      </c>
      <c r="BV39" s="34">
        <f>BF39+BG39+BH39+BY39-CA39</f>
        <v/>
      </c>
      <c r="BW39" s="34">
        <f>ABS(BX39)</f>
        <v/>
      </c>
      <c r="BX39" s="34">
        <f>AY39-(J39-L39+N39-Q39+T39-X39)</f>
        <v/>
      </c>
      <c r="BY39" s="34">
        <f>IF(AND(BX39&gt;0,MIN($F39:$G39)&lt;150,$E39="Enerji Açığı"),-100*BX39*1.03,IF(AND(BX39&gt;0,MIN($F39:$G39)&lt;150,$E39="Enerji Fazlası"),-100*BX39*1.06,IF(AND(BX39&gt;0,MIN($F39:$G39)&gt;=150,$E39="Enerji Açığı"),BX39*MIN($F39:$G39)*0.97,IF(AND(BX39&gt;0,MIN($F39:$G39)&gt;=150,$E39="Enerji Fazlası"),BX39*MIN($F39:$G39)*0.94,IF(AND(BX39&lt;0,MAX($F39:$G39)=4500,$E39="Enerji Açığı"),4500*1.05*1.06*BX39,IF(AND(BX39&lt;0,MAX($F39:$G39)=4500,$E39="Enerji Fazlası"),4500*1.05*1.03*BX39,IF(AND(BX39&lt;0,$E39="Enerji Açığı"),MAX($F39,$G39,150)*BX39*1.06,IF(AND(BX39&lt;0,$E39="Enerji Fazlası"),MAX($F39,$G39,150)*BX39*1.03,IF(AND(BX39&lt;0,$E39="Dengede"),MAX($F39:$G39,150)*1.03*BX39,MIN($F39:$G39)*0.97*BX39)))))))))</f>
        <v/>
      </c>
      <c r="BZ39" s="34">
        <f>BE39-BV39-CA39</f>
        <v/>
      </c>
      <c r="CA39" s="34">
        <f>BD39</f>
        <v/>
      </c>
      <c r="CB39" s="33">
        <f>BE39-BV39</f>
        <v/>
      </c>
      <c r="CC39" s="34">
        <f>IF(AY39=0,0,CB39/AY39)</f>
        <v/>
      </c>
      <c r="CD39" s="34">
        <f>MAX((AY39+MAX((-J39+L39-N39+Q39-T39+X39),0)),(MAX((J39-L39+N39-Q39+T39-X39),0)))</f>
        <v/>
      </c>
      <c r="CE39" s="82">
        <f>IFERROR(ABS(BX39/CD39),0)</f>
        <v/>
      </c>
      <c r="CF39" s="34">
        <f>IF(CE39&lt;=0.1,0,BX39/CE39*(CE39-0.1))</f>
        <v/>
      </c>
      <c r="CG39" s="34">
        <f>IF((CF39)&lt;0,MAX(F39:G39)*(CF39)*1.03,MIN(F39:G39)*(CF39)*0.97)</f>
        <v/>
      </c>
      <c r="CH39" s="34">
        <f>IF(CE39&gt;0.1,1,0)</f>
        <v/>
      </c>
      <c r="CI39" s="34">
        <f>(F39*BX39)-BY39</f>
        <v/>
      </c>
      <c r="CJ39" s="34">
        <f>IF(AY39=0,0,CI39/AY39)</f>
        <v/>
      </c>
    </row>
    <row r="40">
      <c r="A40" s="29" t="n">
        <v>46205.54166666666</v>
      </c>
      <c r="B40" s="29" t="inlineStr">
        <is>
          <t>13:00</t>
        </is>
      </c>
      <c r="C40" s="35">
        <f>INT(A40)</f>
        <v/>
      </c>
      <c r="D40" s="36">
        <f>MONTH(A40)</f>
        <v/>
      </c>
      <c r="E40" s="147">
        <f>[1]FİYATLAR!G39</f>
        <v/>
      </c>
      <c r="F40" s="30" t="n">
        <v>2997</v>
      </c>
      <c r="G40" s="30" t="n">
        <v>3500</v>
      </c>
      <c r="H40" s="30" t="n">
        <v>64.34999999999999</v>
      </c>
      <c r="I40" s="30" t="n">
        <v>3522.69</v>
      </c>
      <c r="J40" s="119" t="n">
        <v>0</v>
      </c>
      <c r="K40" s="34">
        <f>F40*J40</f>
        <v/>
      </c>
      <c r="L40" s="119" t="n">
        <v>0</v>
      </c>
      <c r="M40" s="34">
        <f>L40*F40</f>
        <v/>
      </c>
      <c r="N40" s="119" t="n">
        <v>23.5</v>
      </c>
      <c r="O40" s="34">
        <f>F40</f>
        <v/>
      </c>
      <c r="P40" s="34">
        <f>N40*O40</f>
        <v/>
      </c>
      <c r="Q40" s="119" t="n">
        <v>0</v>
      </c>
      <c r="R40" s="34">
        <f>F40</f>
        <v/>
      </c>
      <c r="S40" s="34">
        <f>R40*Q40</f>
        <v/>
      </c>
      <c r="T40" s="34">
        <f>SUMIFS('[1]GİP VERİLERİ'!$C:$C,'[1]GİP VERİLERİ'!$B:$B,A40,'[1]GİP VERİLERİ'!$M:$M,"40X000000104782K",'[1]GİP VERİLERİ'!$G:$G,"SELL")</f>
        <v/>
      </c>
      <c r="U40" s="34">
        <f>IFERROR(W40/T40,0)</f>
        <v/>
      </c>
      <c r="V40" s="34">
        <f>IF(U40=0,0,U40-F40)</f>
        <v/>
      </c>
      <c r="W40" s="34">
        <f>SUMIFS('[1]GİP VERİLERİ'!$O:$O,'[1]GİP VERİLERİ'!$B:$B,A40,'[1]GİP VERİLERİ'!$M:$M,"40X000000104782K",'[1]GİP VERİLERİ'!$G:$G,"SELL")</f>
        <v/>
      </c>
      <c r="X40" s="34">
        <f>SUMIFS('[1]GİP VERİLERİ'!$C:$C,'[1]GİP VERİLERİ'!$B:$B,A40,'[1]GİP VERİLERİ'!$M:$M,"40X000000104782K",'[1]GİP VERİLERİ'!$G:$G,"BUY")</f>
        <v/>
      </c>
      <c r="Y40" s="34">
        <f>IFERROR(AA40/X40,0)</f>
        <v/>
      </c>
      <c r="Z40" s="34">
        <f>IF(Y40=0,0,F40-Y40)</f>
        <v/>
      </c>
      <c r="AA40" s="34">
        <f>SUMIFS('[1]GİP VERİLERİ'!$O:$O,'[1]GİP VERİLERİ'!$B:$B,A40,'[1]GİP VERİLERİ'!$M:$M,"40X000000104782K",'[1]GİP VERİLERİ'!$G:$G,"BUY")</f>
        <v/>
      </c>
      <c r="AB40" s="34" t="n">
        <v>0</v>
      </c>
      <c r="AC40" s="34" t="n">
        <v>0</v>
      </c>
      <c r="AD40" s="34">
        <f>IF(AB40&gt;AC40*1.05,AB40-AC40*1.05,IF(AB40&lt;AC40*0.95,AC40*0.95-AB40,0))</f>
        <v/>
      </c>
      <c r="AE40" s="34">
        <f>MAX(F40,G40,750)*0.05*AD40</f>
        <v/>
      </c>
      <c r="AF40" s="34" t="n">
        <v>0</v>
      </c>
      <c r="AG40" s="34">
        <f>IF(AB40&gt;AF40*1.05,AB40-AF40*1.05,IF(AB40&lt;AF40*0.95,AF40*0.95-AB40,0))</f>
        <v/>
      </c>
      <c r="AH40" s="34">
        <f>MAX(I40,J40,750)*0.05*AG40</f>
        <v/>
      </c>
      <c r="AI40" t="n">
        <v>10.23</v>
      </c>
      <c r="AJ40" t="n">
        <v>9</v>
      </c>
      <c r="AK40" s="34">
        <f>IF(AI40&gt;AJ40*1.05,AI40-AJ40*1.05,IF(AI40&lt;AJ40*0.95,AJ40*0.95-AI40,0))</f>
        <v/>
      </c>
      <c r="AL40" s="34">
        <f>MAX(F40,G40,750)*0.05*AK40</f>
        <v/>
      </c>
      <c r="AM40" s="39" t="n">
        <v>10</v>
      </c>
      <c r="AN40" s="34">
        <f>IF(AI40&gt;AM40*1.05,AI40-AM40*1.05,IF(AI40&lt;AM40*0.95,AM40*0.95-AI40,0))</f>
        <v/>
      </c>
      <c r="AO40" s="34">
        <f>MAX(F40,G40,750)*0.05*AN40</f>
        <v/>
      </c>
      <c r="AP40" s="34" t="n">
        <v>15.7</v>
      </c>
      <c r="AQ40" s="34" t="n">
        <v>14.5</v>
      </c>
      <c r="AR40" s="34">
        <f>IF(AP40&gt;AQ40*1.05,AP40-AQ40*1.05,IF(AP40&lt;AQ40*0.95,AQ40*0.95-AP40,0))</f>
        <v/>
      </c>
      <c r="AS40" s="34">
        <f>MAX(F40:G40,750)*0.05*AR40</f>
        <v/>
      </c>
      <c r="AT40" t="n">
        <v>15.5</v>
      </c>
      <c r="AU40" s="34">
        <f>IF(AP40&gt;AT40*1.05,AP40-AT40*1.05,IF(AP40&lt;AT40*0.95,AT40*0.95-AP40,0))</f>
        <v/>
      </c>
      <c r="AV40" s="34">
        <f>MAX(F40:G40,750)*0.05*AU40</f>
        <v/>
      </c>
      <c r="AW40" s="34">
        <f>AC40+AJ40+AQ40</f>
        <v/>
      </c>
      <c r="AX40" s="34">
        <f>AF40+AM40+AT40</f>
        <v/>
      </c>
      <c r="AY40" s="34">
        <f>AB40+AI40+AP40</f>
        <v/>
      </c>
      <c r="AZ40" s="34" t="n">
        <v>0</v>
      </c>
      <c r="BA40" s="34">
        <f>AD40+AK40+AR40</f>
        <v/>
      </c>
      <c r="BB40" s="34">
        <f>MAX(F40:G40,750)*0.05*BA40</f>
        <v/>
      </c>
      <c r="BC40" s="34">
        <f>AG40+AN40+AU40</f>
        <v/>
      </c>
      <c r="BD40" s="34">
        <f>MAX(F40:G40,750)*0.05*BC40</f>
        <v/>
      </c>
      <c r="BE40" s="34">
        <f>F40*AY40</f>
        <v/>
      </c>
      <c r="BF40" s="34">
        <f>K40-M40</f>
        <v/>
      </c>
      <c r="BG40" s="34">
        <f>P40-S40</f>
        <v/>
      </c>
      <c r="BH40" s="34">
        <f>W40-AA40</f>
        <v/>
      </c>
      <c r="BI40" s="34">
        <f>BF40+BG40+BL40-BN40</f>
        <v/>
      </c>
      <c r="BJ40" s="34">
        <f>ABS(BK40)</f>
        <v/>
      </c>
      <c r="BK40" s="34">
        <f>AY40-(J40-L40+N40-Q40)</f>
        <v/>
      </c>
      <c r="BL40" s="34">
        <f>IF(AND(BK40&gt;0,MIN($F40:$G40)&lt;150,$E40="Enerji Açığı"),-100*BK40*1.03,IF(AND(BK40&gt;0,MIN($F40:$G40)&lt;150,$E40="Enerji Fazlası"),-100*BK40*1.06,IF(AND(BK40&gt;0,MIN($F40:$G40)&gt;=150,$E40="Enerji Açığı"),BK40*MIN($F40:$G40)*0.97,IF(AND(BK40&gt;0,MIN($F40:$G40)&gt;=150,$E40="Enerji Fazlası"),BK40*MIN($F40:$G40)*0.94,IF(AND(BK40&lt;0,MAX($F40:$G40)=4500,$E40="Enerji Açığı"),4500*1.05*1.06*BK40,IF(AND(BK40&lt;0,MAX($F40:$G40)=4500,$E40="Enerji Fazlası"),4500*1.05*1.03*BK40,IF(AND(BK40&lt;0,$E40="Enerji Açığı"),MAX($F40,$G40,150)*BK40*1.06,IF(AND(BK40&lt;0,$E40="Enerji Fazlası"),MAX($F40,$G40,150)*BK40*1.03,IF(AND(BK40&lt;0,$E40="Dengede"),MAX($F40:$G40,150)*1.03*BK40,MIN($F40:$G40)*0.97*BK40)))))))))</f>
        <v/>
      </c>
      <c r="BM40" s="34">
        <f>BE40-BI40-BN40</f>
        <v/>
      </c>
      <c r="BN40" s="34">
        <f>BB40</f>
        <v/>
      </c>
      <c r="BO40" s="34">
        <f>BE40-BI40</f>
        <v/>
      </c>
      <c r="BP40" s="34">
        <f>IF(AY40=0,0,BO40/AY40)</f>
        <v/>
      </c>
      <c r="BQ40" s="34">
        <f>MAX((AY40+MAX((-J40+L40-N40+Q40),0)),(MAX((J40-L40+N40-Q40),0)))</f>
        <v/>
      </c>
      <c r="BR40" s="82">
        <f>IFERROR(ABS(BK40/BQ40),0)</f>
        <v/>
      </c>
      <c r="BS40" s="34">
        <f>IF(BR40&lt;=0.1,0,BK40/BR40*(BR40-0.1))</f>
        <v/>
      </c>
      <c r="BT40" s="34">
        <f>IF((BS40)&lt;0,MAX(F40:G40)*(BS40)*1.03,MIN(F40:G40)*(BS40)*0.97)</f>
        <v/>
      </c>
      <c r="BU40" s="34">
        <f>IF(BR40&gt;0.1,1,0)</f>
        <v/>
      </c>
      <c r="BV40" s="34">
        <f>BF40+BG40+BH40+BY40-CA40</f>
        <v/>
      </c>
      <c r="BW40" s="34">
        <f>ABS(BX40)</f>
        <v/>
      </c>
      <c r="BX40" s="34">
        <f>AY40-(J40-L40+N40-Q40+T40-X40)</f>
        <v/>
      </c>
      <c r="BY40" s="34">
        <f>IF(AND(BX40&gt;0,MIN($F40:$G40)&lt;150,$E40="Enerji Açığı"),-100*BX40*1.03,IF(AND(BX40&gt;0,MIN($F40:$G40)&lt;150,$E40="Enerji Fazlası"),-100*BX40*1.06,IF(AND(BX40&gt;0,MIN($F40:$G40)&gt;=150,$E40="Enerji Açığı"),BX40*MIN($F40:$G40)*0.97,IF(AND(BX40&gt;0,MIN($F40:$G40)&gt;=150,$E40="Enerji Fazlası"),BX40*MIN($F40:$G40)*0.94,IF(AND(BX40&lt;0,MAX($F40:$G40)=4500,$E40="Enerji Açığı"),4500*1.05*1.06*BX40,IF(AND(BX40&lt;0,MAX($F40:$G40)=4500,$E40="Enerji Fazlası"),4500*1.05*1.03*BX40,IF(AND(BX40&lt;0,$E40="Enerji Açığı"),MAX($F40,$G40,150)*BX40*1.06,IF(AND(BX40&lt;0,$E40="Enerji Fazlası"),MAX($F40,$G40,150)*BX40*1.03,IF(AND(BX40&lt;0,$E40="Dengede"),MAX($F40:$G40,150)*1.03*BX40,MIN($F40:$G40)*0.97*BX40)))))))))</f>
        <v/>
      </c>
      <c r="BZ40" s="34">
        <f>BE40-BV40-CA40</f>
        <v/>
      </c>
      <c r="CA40" s="34">
        <f>BD40</f>
        <v/>
      </c>
      <c r="CB40" s="33">
        <f>BE40-BV40</f>
        <v/>
      </c>
      <c r="CC40" s="34">
        <f>IF(AY40=0,0,CB40/AY40)</f>
        <v/>
      </c>
      <c r="CD40" s="34">
        <f>MAX((AY40+MAX((-J40+L40-N40+Q40-T40+X40),0)),(MAX((J40-L40+N40-Q40+T40-X40),0)))</f>
        <v/>
      </c>
      <c r="CE40" s="82">
        <f>IFERROR(ABS(BX40/CD40),0)</f>
        <v/>
      </c>
      <c r="CF40" s="34">
        <f>IF(CE40&lt;=0.1,0,BX40/CE40*(CE40-0.1))</f>
        <v/>
      </c>
      <c r="CG40" s="34">
        <f>IF((CF40)&lt;0,MAX(F40:G40)*(CF40)*1.03,MIN(F40:G40)*(CF40)*0.97)</f>
        <v/>
      </c>
      <c r="CH40" s="34">
        <f>IF(CE40&gt;0.1,1,0)</f>
        <v/>
      </c>
      <c r="CI40" s="34">
        <f>(F40*BX40)-BY40</f>
        <v/>
      </c>
      <c r="CJ40" s="34">
        <f>IF(AY40=0,0,CI40/AY40)</f>
        <v/>
      </c>
    </row>
    <row r="41">
      <c r="A41" s="29" t="n">
        <v>46205.58333333334</v>
      </c>
      <c r="B41" s="29" t="inlineStr">
        <is>
          <t>14:00</t>
        </is>
      </c>
      <c r="C41" s="35">
        <f>INT(A41)</f>
        <v/>
      </c>
      <c r="D41" s="36">
        <f>MONTH(A41)</f>
        <v/>
      </c>
      <c r="E41" s="147">
        <f>[1]FİYATLAR!G40</f>
        <v/>
      </c>
      <c r="F41" s="30" t="n">
        <v>2997.01</v>
      </c>
      <c r="G41" s="30" t="n">
        <v>3500</v>
      </c>
      <c r="H41" s="30" t="n">
        <v>64.34999999999999</v>
      </c>
      <c r="I41" s="30" t="n">
        <v>3524.87</v>
      </c>
      <c r="J41" s="119" t="n">
        <v>0</v>
      </c>
      <c r="K41" s="34">
        <f>F41*J41</f>
        <v/>
      </c>
      <c r="L41" s="119" t="n">
        <v>0</v>
      </c>
      <c r="M41" s="34">
        <f>L41*F41</f>
        <v/>
      </c>
      <c r="N41" s="119" t="n">
        <v>23.5</v>
      </c>
      <c r="O41" s="34">
        <f>F41</f>
        <v/>
      </c>
      <c r="P41" s="34">
        <f>N41*O41</f>
        <v/>
      </c>
      <c r="Q41" s="119" t="n">
        <v>0</v>
      </c>
      <c r="R41" s="34">
        <f>F41</f>
        <v/>
      </c>
      <c r="S41" s="34">
        <f>R41*Q41</f>
        <v/>
      </c>
      <c r="T41" s="34">
        <f>SUMIFS('[1]GİP VERİLERİ'!$C:$C,'[1]GİP VERİLERİ'!$B:$B,A41,'[1]GİP VERİLERİ'!$M:$M,"40X000000104782K",'[1]GİP VERİLERİ'!$G:$G,"SELL")</f>
        <v/>
      </c>
      <c r="U41" s="34">
        <f>IFERROR(W41/T41,0)</f>
        <v/>
      </c>
      <c r="V41" s="34">
        <f>IF(U41=0,0,U41-F41)</f>
        <v/>
      </c>
      <c r="W41" s="34">
        <f>SUMIFS('[1]GİP VERİLERİ'!$O:$O,'[1]GİP VERİLERİ'!$B:$B,A41,'[1]GİP VERİLERİ'!$M:$M,"40X000000104782K",'[1]GİP VERİLERİ'!$G:$G,"SELL")</f>
        <v/>
      </c>
      <c r="X41" s="34">
        <f>SUMIFS('[1]GİP VERİLERİ'!$C:$C,'[1]GİP VERİLERİ'!$B:$B,A41,'[1]GİP VERİLERİ'!$M:$M,"40X000000104782K",'[1]GİP VERİLERİ'!$G:$G,"BUY")</f>
        <v/>
      </c>
      <c r="Y41" s="34">
        <f>IFERROR(AA41/X41,0)</f>
        <v/>
      </c>
      <c r="Z41" s="34">
        <f>IF(Y41=0,0,F41-Y41)</f>
        <v/>
      </c>
      <c r="AA41" s="34">
        <f>SUMIFS('[1]GİP VERİLERİ'!$O:$O,'[1]GİP VERİLERİ'!$B:$B,A41,'[1]GİP VERİLERİ'!$M:$M,"40X000000104782K",'[1]GİP VERİLERİ'!$G:$G,"BUY")</f>
        <v/>
      </c>
      <c r="AB41" s="34" t="n">
        <v>0</v>
      </c>
      <c r="AC41" s="34" t="n">
        <v>0</v>
      </c>
      <c r="AD41" s="34">
        <f>IF(AB41&gt;AC41*1.05,AB41-AC41*1.05,IF(AB41&lt;AC41*0.95,AC41*0.95-AB41,0))</f>
        <v/>
      </c>
      <c r="AE41" s="34">
        <f>MAX(F41,G41,750)*0.05*AD41</f>
        <v/>
      </c>
      <c r="AF41" s="34" t="n">
        <v>0</v>
      </c>
      <c r="AG41" s="34">
        <f>IF(AB41&gt;AF41*1.05,AB41-AF41*1.05,IF(AB41&lt;AF41*0.95,AF41*0.95-AB41,0))</f>
        <v/>
      </c>
      <c r="AH41" s="34">
        <f>MAX(I41,J41,750)*0.05*AG41</f>
        <v/>
      </c>
      <c r="AI41" t="n">
        <v>10.21</v>
      </c>
      <c r="AJ41" t="n">
        <v>9</v>
      </c>
      <c r="AK41" s="34">
        <f>IF(AI41&gt;AJ41*1.05,AI41-AJ41*1.05,IF(AI41&lt;AJ41*0.95,AJ41*0.95-AI41,0))</f>
        <v/>
      </c>
      <c r="AL41" s="34">
        <f>MAX(F41,G41,750)*0.05*AK41</f>
        <v/>
      </c>
      <c r="AM41" s="39" t="n">
        <v>10</v>
      </c>
      <c r="AN41" s="34">
        <f>IF(AI41&gt;AM41*1.05,AI41-AM41*1.05,IF(AI41&lt;AM41*0.95,AM41*0.95-AI41,0))</f>
        <v/>
      </c>
      <c r="AO41" s="34">
        <f>MAX(F41,G41,750)*0.05*AN41</f>
        <v/>
      </c>
      <c r="AP41" s="34" t="n">
        <v>15.57</v>
      </c>
      <c r="AQ41" s="34" t="n">
        <v>14.5</v>
      </c>
      <c r="AR41" s="34">
        <f>IF(AP41&gt;AQ41*1.05,AP41-AQ41*1.05,IF(AP41&lt;AQ41*0.95,AQ41*0.95-AP41,0))</f>
        <v/>
      </c>
      <c r="AS41" s="34">
        <f>MAX(F41:G41,750)*0.05*AR41</f>
        <v/>
      </c>
      <c r="AT41" t="n">
        <v>15.5</v>
      </c>
      <c r="AU41" s="34">
        <f>IF(AP41&gt;AT41*1.05,AP41-AT41*1.05,IF(AP41&lt;AT41*0.95,AT41*0.95-AP41,0))</f>
        <v/>
      </c>
      <c r="AV41" s="34">
        <f>MAX(F41:G41,750)*0.05*AU41</f>
        <v/>
      </c>
      <c r="AW41" s="34">
        <f>AC41+AJ41+AQ41</f>
        <v/>
      </c>
      <c r="AX41" s="34">
        <f>AF41+AM41+AT41</f>
        <v/>
      </c>
      <c r="AY41" s="34">
        <f>AB41+AI41+AP41</f>
        <v/>
      </c>
      <c r="AZ41" s="34" t="n">
        <v>0</v>
      </c>
      <c r="BA41" s="34">
        <f>AD41+AK41+AR41</f>
        <v/>
      </c>
      <c r="BB41" s="34">
        <f>MAX(F41:G41,750)*0.05*BA41</f>
        <v/>
      </c>
      <c r="BC41" s="34">
        <f>AG41+AN41+AU41</f>
        <v/>
      </c>
      <c r="BD41" s="34">
        <f>MAX(F41:G41,750)*0.05*BC41</f>
        <v/>
      </c>
      <c r="BE41" s="34">
        <f>F41*AY41</f>
        <v/>
      </c>
      <c r="BF41" s="34">
        <f>K41-M41</f>
        <v/>
      </c>
      <c r="BG41" s="34">
        <f>P41-S41</f>
        <v/>
      </c>
      <c r="BH41" s="34">
        <f>W41-AA41</f>
        <v/>
      </c>
      <c r="BI41" s="34">
        <f>BF41+BG41+BL41-BN41</f>
        <v/>
      </c>
      <c r="BJ41" s="34">
        <f>ABS(BK41)</f>
        <v/>
      </c>
      <c r="BK41" s="34">
        <f>AY41-(J41-L41+N41-Q41)</f>
        <v/>
      </c>
      <c r="BL41" s="34">
        <f>IF(AND(BK41&gt;0,MIN($F41:$G41)&lt;150,$E41="Enerji Açığı"),-100*BK41*1.03,IF(AND(BK41&gt;0,MIN($F41:$G41)&lt;150,$E41="Enerji Fazlası"),-100*BK41*1.06,IF(AND(BK41&gt;0,MIN($F41:$G41)&gt;=150,$E41="Enerji Açığı"),BK41*MIN($F41:$G41)*0.97,IF(AND(BK41&gt;0,MIN($F41:$G41)&gt;=150,$E41="Enerji Fazlası"),BK41*MIN($F41:$G41)*0.94,IF(AND(BK41&lt;0,MAX($F41:$G41)=4500,$E41="Enerji Açığı"),4500*1.05*1.06*BK41,IF(AND(BK41&lt;0,MAX($F41:$G41)=4500,$E41="Enerji Fazlası"),4500*1.05*1.03*BK41,IF(AND(BK41&lt;0,$E41="Enerji Açığı"),MAX($F41,$G41,150)*BK41*1.06,IF(AND(BK41&lt;0,$E41="Enerji Fazlası"),MAX($F41,$G41,150)*BK41*1.03,IF(AND(BK41&lt;0,$E41="Dengede"),MAX($F41:$G41,150)*1.03*BK41,MIN($F41:$G41)*0.97*BK41)))))))))</f>
        <v/>
      </c>
      <c r="BM41" s="34">
        <f>BE41-BI41-BN41</f>
        <v/>
      </c>
      <c r="BN41" s="34">
        <f>BB41</f>
        <v/>
      </c>
      <c r="BO41" s="34">
        <f>BE41-BI41</f>
        <v/>
      </c>
      <c r="BP41" s="34">
        <f>IF(AY41=0,0,BO41/AY41)</f>
        <v/>
      </c>
      <c r="BQ41" s="34">
        <f>MAX((AY41+MAX((-J41+L41-N41+Q41),0)),(MAX((J41-L41+N41-Q41),0)))</f>
        <v/>
      </c>
      <c r="BR41" s="82">
        <f>IFERROR(ABS(BK41/BQ41),0)</f>
        <v/>
      </c>
      <c r="BS41" s="34">
        <f>IF(BR41&lt;=0.1,0,BK41/BR41*(BR41-0.1))</f>
        <v/>
      </c>
      <c r="BT41" s="34">
        <f>IF((BS41)&lt;0,MAX(F41:G41)*(BS41)*1.03,MIN(F41:G41)*(BS41)*0.97)</f>
        <v/>
      </c>
      <c r="BU41" s="34">
        <f>IF(BR41&gt;0.1,1,0)</f>
        <v/>
      </c>
      <c r="BV41" s="34">
        <f>BF41+BG41+BH41+BY41-CA41</f>
        <v/>
      </c>
      <c r="BW41" s="34">
        <f>ABS(BX41)</f>
        <v/>
      </c>
      <c r="BX41" s="34">
        <f>AY41-(J41-L41+N41-Q41+T41-X41)</f>
        <v/>
      </c>
      <c r="BY41" s="34">
        <f>IF(AND(BX41&gt;0,MIN($F41:$G41)&lt;150,$E41="Enerji Açığı"),-100*BX41*1.03,IF(AND(BX41&gt;0,MIN($F41:$G41)&lt;150,$E41="Enerji Fazlası"),-100*BX41*1.06,IF(AND(BX41&gt;0,MIN($F41:$G41)&gt;=150,$E41="Enerji Açığı"),BX41*MIN($F41:$G41)*0.97,IF(AND(BX41&gt;0,MIN($F41:$G41)&gt;=150,$E41="Enerji Fazlası"),BX41*MIN($F41:$G41)*0.94,IF(AND(BX41&lt;0,MAX($F41:$G41)=4500,$E41="Enerji Açığı"),4500*1.05*1.06*BX41,IF(AND(BX41&lt;0,MAX($F41:$G41)=4500,$E41="Enerji Fazlası"),4500*1.05*1.03*BX41,IF(AND(BX41&lt;0,$E41="Enerji Açığı"),MAX($F41,$G41,150)*BX41*1.06,IF(AND(BX41&lt;0,$E41="Enerji Fazlası"),MAX($F41,$G41,150)*BX41*1.03,IF(AND(BX41&lt;0,$E41="Dengede"),MAX($F41:$G41,150)*1.03*BX41,MIN($F41:$G41)*0.97*BX41)))))))))</f>
        <v/>
      </c>
      <c r="BZ41" s="34">
        <f>BE41-BV41-CA41</f>
        <v/>
      </c>
      <c r="CA41" s="34">
        <f>BD41</f>
        <v/>
      </c>
      <c r="CB41" s="33">
        <f>BE41-BV41</f>
        <v/>
      </c>
      <c r="CC41" s="34">
        <f>IF(AY41=0,0,CB41/AY41)</f>
        <v/>
      </c>
      <c r="CD41" s="34">
        <f>MAX((AY41+MAX((-J41+L41-N41+Q41-T41+X41),0)),(MAX((J41-L41+N41-Q41+T41-X41),0)))</f>
        <v/>
      </c>
      <c r="CE41" s="82">
        <f>IFERROR(ABS(BX41/CD41),0)</f>
        <v/>
      </c>
      <c r="CF41" s="34">
        <f>IF(CE41&lt;=0.1,0,BX41/CE41*(CE41-0.1))</f>
        <v/>
      </c>
      <c r="CG41" s="34">
        <f>IF((CF41)&lt;0,MAX(F41:G41)*(CF41)*1.03,MIN(F41:G41)*(CF41)*0.97)</f>
        <v/>
      </c>
      <c r="CH41" s="34">
        <f>IF(CE41&gt;0.1,1,0)</f>
        <v/>
      </c>
      <c r="CI41" s="34">
        <f>(F41*BX41)-BY41</f>
        <v/>
      </c>
      <c r="CJ41" s="34">
        <f>IF(AY41=0,0,CI41/AY41)</f>
        <v/>
      </c>
    </row>
    <row r="42">
      <c r="A42" s="29" t="n">
        <v>46205.625</v>
      </c>
      <c r="B42" s="29" t="inlineStr">
        <is>
          <t>15:00</t>
        </is>
      </c>
      <c r="C42" s="35">
        <f>INT(A42)</f>
        <v/>
      </c>
      <c r="D42" s="36">
        <f>MONTH(A42)</f>
        <v/>
      </c>
      <c r="E42" s="147">
        <f>[1]FİYATLAR!G41</f>
        <v/>
      </c>
      <c r="F42" s="30" t="n">
        <v>2007</v>
      </c>
      <c r="G42" s="30" t="n">
        <v>3450</v>
      </c>
      <c r="H42" s="30" t="n">
        <v>43.09</v>
      </c>
      <c r="I42" s="30" t="n">
        <v>2394.29</v>
      </c>
      <c r="J42" s="119" t="n">
        <v>0</v>
      </c>
      <c r="K42" s="34">
        <f>F42*J42</f>
        <v/>
      </c>
      <c r="L42" s="119" t="n">
        <v>0</v>
      </c>
      <c r="M42" s="34">
        <f>L42*F42</f>
        <v/>
      </c>
      <c r="N42" s="119" t="n">
        <v>23.3</v>
      </c>
      <c r="O42" s="34">
        <f>F42</f>
        <v/>
      </c>
      <c r="P42" s="34">
        <f>N42*O42</f>
        <v/>
      </c>
      <c r="Q42" s="119" t="n">
        <v>0</v>
      </c>
      <c r="R42" s="34">
        <f>F42</f>
        <v/>
      </c>
      <c r="S42" s="34">
        <f>R42*Q42</f>
        <v/>
      </c>
      <c r="T42" s="34">
        <f>SUMIFS('[1]GİP VERİLERİ'!$C:$C,'[1]GİP VERİLERİ'!$B:$B,A42,'[1]GİP VERİLERİ'!$M:$M,"40X000000104782K",'[1]GİP VERİLERİ'!$G:$G,"SELL")</f>
        <v/>
      </c>
      <c r="U42" s="34">
        <f>IFERROR(W42/T42,0)</f>
        <v/>
      </c>
      <c r="V42" s="34">
        <f>IF(U42=0,0,U42-F42)</f>
        <v/>
      </c>
      <c r="W42" s="34">
        <f>SUMIFS('[1]GİP VERİLERİ'!$O:$O,'[1]GİP VERİLERİ'!$B:$B,A42,'[1]GİP VERİLERİ'!$M:$M,"40X000000104782K",'[1]GİP VERİLERİ'!$G:$G,"SELL")</f>
        <v/>
      </c>
      <c r="X42" s="34">
        <f>SUMIFS('[1]GİP VERİLERİ'!$C:$C,'[1]GİP VERİLERİ'!$B:$B,A42,'[1]GİP VERİLERİ'!$M:$M,"40X000000104782K",'[1]GİP VERİLERİ'!$G:$G,"BUY")</f>
        <v/>
      </c>
      <c r="Y42" s="34">
        <f>IFERROR(AA42/X42,0)</f>
        <v/>
      </c>
      <c r="Z42" s="34">
        <f>IF(Y42=0,0,F42-Y42)</f>
        <v/>
      </c>
      <c r="AA42" s="34">
        <f>SUMIFS('[1]GİP VERİLERİ'!$O:$O,'[1]GİP VERİLERİ'!$B:$B,A42,'[1]GİP VERİLERİ'!$M:$M,"40X000000104782K",'[1]GİP VERİLERİ'!$G:$G,"BUY")</f>
        <v/>
      </c>
      <c r="AB42" s="34" t="n">
        <v>0</v>
      </c>
      <c r="AC42" s="34" t="n">
        <v>0</v>
      </c>
      <c r="AD42" s="34">
        <f>IF(AB42&gt;AC42*1.05,AB42-AC42*1.05,IF(AB42&lt;AC42*0.95,AC42*0.95-AB42,0))</f>
        <v/>
      </c>
      <c r="AE42" s="34">
        <f>MAX(F42,G42,750)*0.05*AD42</f>
        <v/>
      </c>
      <c r="AF42" s="34" t="n">
        <v>0</v>
      </c>
      <c r="AG42" s="34">
        <f>IF(AB42&gt;AF42*1.05,AB42-AF42*1.05,IF(AB42&lt;AF42*0.95,AF42*0.95-AB42,0))</f>
        <v/>
      </c>
      <c r="AH42" s="34">
        <f>MAX(I42,J42,750)*0.05*AG42</f>
        <v/>
      </c>
      <c r="AI42" t="n">
        <v>9.4</v>
      </c>
      <c r="AJ42" t="n">
        <v>9</v>
      </c>
      <c r="AK42" s="34">
        <f>IF(AI42&gt;AJ42*1.05,AI42-AJ42*1.05,IF(AI42&lt;AJ42*0.95,AJ42*0.95-AI42,0))</f>
        <v/>
      </c>
      <c r="AL42" s="34">
        <f>MAX(F42,G42,750)*0.05*AK42</f>
        <v/>
      </c>
      <c r="AM42" s="39" t="n">
        <v>9</v>
      </c>
      <c r="AN42" s="34">
        <f>IF(AI42&gt;AM42*1.05,AI42-AM42*1.05,IF(AI42&lt;AM42*0.95,AM42*0.95-AI42,0))</f>
        <v/>
      </c>
      <c r="AO42" s="34">
        <f>MAX(F42,G42,750)*0.05*AN42</f>
        <v/>
      </c>
      <c r="AP42" s="34" t="n">
        <v>15.47</v>
      </c>
      <c r="AQ42" s="34" t="n">
        <v>14.3</v>
      </c>
      <c r="AR42" s="34">
        <f>IF(AP42&gt;AQ42*1.05,AP42-AQ42*1.05,IF(AP42&lt;AQ42*0.95,AQ42*0.95-AP42,0))</f>
        <v/>
      </c>
      <c r="AS42" s="34">
        <f>MAX(F42:G42,750)*0.05*AR42</f>
        <v/>
      </c>
      <c r="AT42" t="n">
        <v>15.5</v>
      </c>
      <c r="AU42" s="34">
        <f>IF(AP42&gt;AT42*1.05,AP42-AT42*1.05,IF(AP42&lt;AT42*0.95,AT42*0.95-AP42,0))</f>
        <v/>
      </c>
      <c r="AV42" s="34">
        <f>MAX(F42:G42,750)*0.05*AU42</f>
        <v/>
      </c>
      <c r="AW42" s="34">
        <f>AC42+AJ42+AQ42</f>
        <v/>
      </c>
      <c r="AX42" s="34">
        <f>AF42+AM42+AT42</f>
        <v/>
      </c>
      <c r="AY42" s="34">
        <f>AB42+AI42+AP42</f>
        <v/>
      </c>
      <c r="AZ42" s="34" t="n">
        <v>0</v>
      </c>
      <c r="BA42" s="34">
        <f>AD42+AK42+AR42</f>
        <v/>
      </c>
      <c r="BB42" s="34">
        <f>MAX(F42:G42,750)*0.05*BA42</f>
        <v/>
      </c>
      <c r="BC42" s="34">
        <f>AG42+AN42+AU42</f>
        <v/>
      </c>
      <c r="BD42" s="34">
        <f>MAX(F42:G42,750)*0.05*BC42</f>
        <v/>
      </c>
      <c r="BE42" s="34">
        <f>F42*AY42</f>
        <v/>
      </c>
      <c r="BF42" s="34">
        <f>K42-M42</f>
        <v/>
      </c>
      <c r="BG42" s="34">
        <f>P42-S42</f>
        <v/>
      </c>
      <c r="BH42" s="34">
        <f>W42-AA42</f>
        <v/>
      </c>
      <c r="BI42" s="34">
        <f>BF42+BG42+BL42-BN42</f>
        <v/>
      </c>
      <c r="BJ42" s="34">
        <f>ABS(BK42)</f>
        <v/>
      </c>
      <c r="BK42" s="34">
        <f>AY42-(J42-L42+N42-Q42)</f>
        <v/>
      </c>
      <c r="BL42" s="34">
        <f>IF(AND(BK42&gt;0,MIN($F42:$G42)&lt;150,$E42="Enerji Açığı"),-100*BK42*1.03,IF(AND(BK42&gt;0,MIN($F42:$G42)&lt;150,$E42="Enerji Fazlası"),-100*BK42*1.06,IF(AND(BK42&gt;0,MIN($F42:$G42)&gt;=150,$E42="Enerji Açığı"),BK42*MIN($F42:$G42)*0.97,IF(AND(BK42&gt;0,MIN($F42:$G42)&gt;=150,$E42="Enerji Fazlası"),BK42*MIN($F42:$G42)*0.94,IF(AND(BK42&lt;0,MAX($F42:$G42)=4500,$E42="Enerji Açığı"),4500*1.05*1.06*BK42,IF(AND(BK42&lt;0,MAX($F42:$G42)=4500,$E42="Enerji Fazlası"),4500*1.05*1.03*BK42,IF(AND(BK42&lt;0,$E42="Enerji Açığı"),MAX($F42,$G42,150)*BK42*1.06,IF(AND(BK42&lt;0,$E42="Enerji Fazlası"),MAX($F42,$G42,150)*BK42*1.03,IF(AND(BK42&lt;0,$E42="Dengede"),MAX($F42:$G42,150)*1.03*BK42,MIN($F42:$G42)*0.97*BK42)))))))))</f>
        <v/>
      </c>
      <c r="BM42" s="34">
        <f>BE42-BI42-BN42</f>
        <v/>
      </c>
      <c r="BN42" s="34">
        <f>BB42</f>
        <v/>
      </c>
      <c r="BO42" s="34">
        <f>BE42-BI42</f>
        <v/>
      </c>
      <c r="BP42" s="34">
        <f>IF(AY42=0,0,BO42/AY42)</f>
        <v/>
      </c>
      <c r="BQ42" s="34">
        <f>MAX((AY42+MAX((-J42+L42-N42+Q42),0)),(MAX((J42-L42+N42-Q42),0)))</f>
        <v/>
      </c>
      <c r="BR42" s="82">
        <f>IFERROR(ABS(BK42/BQ42),0)</f>
        <v/>
      </c>
      <c r="BS42" s="34">
        <f>IF(BR42&lt;=0.1,0,BK42/BR42*(BR42-0.1))</f>
        <v/>
      </c>
      <c r="BT42" s="34">
        <f>IF((BS42)&lt;0,MAX(F42:G42)*(BS42)*1.03,MIN(F42:G42)*(BS42)*0.97)</f>
        <v/>
      </c>
      <c r="BU42" s="34">
        <f>IF(BR42&gt;0.1,1,0)</f>
        <v/>
      </c>
      <c r="BV42" s="34">
        <f>BF42+BG42+BH42+BY42-CA42</f>
        <v/>
      </c>
      <c r="BW42" s="34">
        <f>ABS(BX42)</f>
        <v/>
      </c>
      <c r="BX42" s="34">
        <f>AY42-(J42-L42+N42-Q42+T42-X42)</f>
        <v/>
      </c>
      <c r="BY42" s="34">
        <f>IF(AND(BX42&gt;0,MIN($F42:$G42)&lt;150,$E42="Enerji Açığı"),-100*BX42*1.03,IF(AND(BX42&gt;0,MIN($F42:$G42)&lt;150,$E42="Enerji Fazlası"),-100*BX42*1.06,IF(AND(BX42&gt;0,MIN($F42:$G42)&gt;=150,$E42="Enerji Açığı"),BX42*MIN($F42:$G42)*0.97,IF(AND(BX42&gt;0,MIN($F42:$G42)&gt;=150,$E42="Enerji Fazlası"),BX42*MIN($F42:$G42)*0.94,IF(AND(BX42&lt;0,MAX($F42:$G42)=4500,$E42="Enerji Açığı"),4500*1.05*1.06*BX42,IF(AND(BX42&lt;0,MAX($F42:$G42)=4500,$E42="Enerji Fazlası"),4500*1.05*1.03*BX42,IF(AND(BX42&lt;0,$E42="Enerji Açığı"),MAX($F42,$G42,150)*BX42*1.06,IF(AND(BX42&lt;0,$E42="Enerji Fazlası"),MAX($F42,$G42,150)*BX42*1.03,IF(AND(BX42&lt;0,$E42="Dengede"),MAX($F42:$G42,150)*1.03*BX42,MIN($F42:$G42)*0.97*BX42)))))))))</f>
        <v/>
      </c>
      <c r="BZ42" s="34">
        <f>BE42-BV42-CA42</f>
        <v/>
      </c>
      <c r="CA42" s="34">
        <f>BD42</f>
        <v/>
      </c>
      <c r="CB42" s="33">
        <f>BE42-BV42</f>
        <v/>
      </c>
      <c r="CC42" s="34">
        <f>IF(AY42=0,0,CB42/AY42)</f>
        <v/>
      </c>
      <c r="CD42" s="34">
        <f>MAX((AY42+MAX((-J42+L42-N42+Q42-T42+X42),0)),(MAX((J42-L42+N42-Q42+T42-X42),0)))</f>
        <v/>
      </c>
      <c r="CE42" s="82">
        <f>IFERROR(ABS(BX42/CD42),0)</f>
        <v/>
      </c>
      <c r="CF42" s="34">
        <f>IF(CE42&lt;=0.1,0,BX42/CE42*(CE42-0.1))</f>
        <v/>
      </c>
      <c r="CG42" s="34">
        <f>IF((CF42)&lt;0,MAX(F42:G42)*(CF42)*1.03,MIN(F42:G42)*(CF42)*0.97)</f>
        <v/>
      </c>
      <c r="CH42" s="34">
        <f>IF(CE42&gt;0.1,1,0)</f>
        <v/>
      </c>
      <c r="CI42" s="34">
        <f>(F42*BX42)-BY42</f>
        <v/>
      </c>
      <c r="CJ42" s="34">
        <f>IF(AY42=0,0,CI42/AY42)</f>
        <v/>
      </c>
    </row>
    <row r="43">
      <c r="A43" s="29" t="n">
        <v>46205.66666666666</v>
      </c>
      <c r="B43" s="29" t="inlineStr">
        <is>
          <t>16:00</t>
        </is>
      </c>
      <c r="C43" s="35">
        <f>INT(A43)</f>
        <v/>
      </c>
      <c r="D43" s="36">
        <f>MONTH(A43)</f>
        <v/>
      </c>
      <c r="E43" s="147">
        <f>[1]FİYATLAR!G42</f>
        <v/>
      </c>
      <c r="F43" s="30" t="n">
        <v>2537.99</v>
      </c>
      <c r="G43" s="30" t="n">
        <v>3600</v>
      </c>
      <c r="H43" s="30" t="n">
        <v>54.49</v>
      </c>
      <c r="I43" s="30" t="n">
        <v>2900.52</v>
      </c>
      <c r="J43" s="119" t="n">
        <v>0</v>
      </c>
      <c r="K43" s="34">
        <f>F43*J43</f>
        <v/>
      </c>
      <c r="L43" s="119" t="n">
        <v>0</v>
      </c>
      <c r="M43" s="34">
        <f>L43*F43</f>
        <v/>
      </c>
      <c r="N43" s="119" t="n">
        <v>23</v>
      </c>
      <c r="O43" s="34">
        <f>F43</f>
        <v/>
      </c>
      <c r="P43" s="34">
        <f>N43*O43</f>
        <v/>
      </c>
      <c r="Q43" s="119" t="n">
        <v>0</v>
      </c>
      <c r="R43" s="34">
        <f>F43</f>
        <v/>
      </c>
      <c r="S43" s="34">
        <f>R43*Q43</f>
        <v/>
      </c>
      <c r="T43" s="34">
        <f>SUMIFS('[1]GİP VERİLERİ'!$C:$C,'[1]GİP VERİLERİ'!$B:$B,A43,'[1]GİP VERİLERİ'!$M:$M,"40X000000104782K",'[1]GİP VERİLERİ'!$G:$G,"SELL")</f>
        <v/>
      </c>
      <c r="U43" s="34">
        <f>IFERROR(W43/T43,0)</f>
        <v/>
      </c>
      <c r="V43" s="34">
        <f>IF(U43=0,0,U43-F43)</f>
        <v/>
      </c>
      <c r="W43" s="34">
        <f>SUMIFS('[1]GİP VERİLERİ'!$O:$O,'[1]GİP VERİLERİ'!$B:$B,A43,'[1]GİP VERİLERİ'!$M:$M,"40X000000104782K",'[1]GİP VERİLERİ'!$G:$G,"SELL")</f>
        <v/>
      </c>
      <c r="X43" s="34">
        <f>SUMIFS('[1]GİP VERİLERİ'!$C:$C,'[1]GİP VERİLERİ'!$B:$B,A43,'[1]GİP VERİLERİ'!$M:$M,"40X000000104782K",'[1]GİP VERİLERİ'!$G:$G,"BUY")</f>
        <v/>
      </c>
      <c r="Y43" s="34">
        <f>IFERROR(AA43/X43,0)</f>
        <v/>
      </c>
      <c r="Z43" s="34">
        <f>IF(Y43=0,0,F43-Y43)</f>
        <v/>
      </c>
      <c r="AA43" s="34">
        <f>SUMIFS('[1]GİP VERİLERİ'!$O:$O,'[1]GİP VERİLERİ'!$B:$B,A43,'[1]GİP VERİLERİ'!$M:$M,"40X000000104782K",'[1]GİP VERİLERİ'!$G:$G,"BUY")</f>
        <v/>
      </c>
      <c r="AB43" s="34" t="n">
        <v>0</v>
      </c>
      <c r="AC43" s="34" t="n">
        <v>0</v>
      </c>
      <c r="AD43" s="34">
        <f>IF(AB43&gt;AC43*1.05,AB43-AC43*1.05,IF(AB43&lt;AC43*0.95,AC43*0.95-AB43,0))</f>
        <v/>
      </c>
      <c r="AE43" s="34">
        <f>MAX(F43,G43,750)*0.05*AD43</f>
        <v/>
      </c>
      <c r="AF43" s="34" t="n">
        <v>0</v>
      </c>
      <c r="AG43" s="34">
        <f>IF(AB43&gt;AF43*1.05,AB43-AF43*1.05,IF(AB43&lt;AF43*0.95,AF43*0.95-AB43,0))</f>
        <v/>
      </c>
      <c r="AH43" s="34">
        <f>MAX(I43,J43,750)*0.05*AG43</f>
        <v/>
      </c>
      <c r="AI43" t="n">
        <v>10.41</v>
      </c>
      <c r="AJ43" t="n">
        <v>9</v>
      </c>
      <c r="AK43" s="34">
        <f>IF(AI43&gt;AJ43*1.05,AI43-AJ43*1.05,IF(AI43&lt;AJ43*0.95,AJ43*0.95-AI43,0))</f>
        <v/>
      </c>
      <c r="AL43" s="34">
        <f>MAX(F43,G43,750)*0.05*AK43</f>
        <v/>
      </c>
      <c r="AM43" s="39" t="n">
        <v>10</v>
      </c>
      <c r="AN43" s="34">
        <f>IF(AI43&gt;AM43*1.05,AI43-AM43*1.05,IF(AI43&lt;AM43*0.95,AM43*0.95-AI43,0))</f>
        <v/>
      </c>
      <c r="AO43" s="34">
        <f>MAX(F43,G43,750)*0.05*AN43</f>
        <v/>
      </c>
      <c r="AP43" s="34" t="n">
        <v>13.96</v>
      </c>
      <c r="AQ43" s="34" t="n">
        <v>14</v>
      </c>
      <c r="AR43" s="34">
        <f>IF(AP43&gt;AQ43*1.05,AP43-AQ43*1.05,IF(AP43&lt;AQ43*0.95,AQ43*0.95-AP43,0))</f>
        <v/>
      </c>
      <c r="AS43" s="34">
        <f>MAX(F43:G43,750)*0.05*AR43</f>
        <v/>
      </c>
      <c r="AT43" t="n">
        <v>14</v>
      </c>
      <c r="AU43" s="34">
        <f>IF(AP43&gt;AT43*1.05,AP43-AT43*1.05,IF(AP43&lt;AT43*0.95,AT43*0.95-AP43,0))</f>
        <v/>
      </c>
      <c r="AV43" s="34">
        <f>MAX(F43:G43,750)*0.05*AU43</f>
        <v/>
      </c>
      <c r="AW43" s="34">
        <f>AC43+AJ43+AQ43</f>
        <v/>
      </c>
      <c r="AX43" s="34">
        <f>AF43+AM43+AT43</f>
        <v/>
      </c>
      <c r="AY43" s="34">
        <f>AB43+AI43+AP43</f>
        <v/>
      </c>
      <c r="AZ43" s="34" t="n">
        <v>0</v>
      </c>
      <c r="BA43" s="34">
        <f>AD43+AK43+AR43</f>
        <v/>
      </c>
      <c r="BB43" s="34">
        <f>MAX(F43:G43,750)*0.05*BA43</f>
        <v/>
      </c>
      <c r="BC43" s="34">
        <f>AG43+AN43+AU43</f>
        <v/>
      </c>
      <c r="BD43" s="34">
        <f>MAX(F43:G43,750)*0.05*BC43</f>
        <v/>
      </c>
      <c r="BE43" s="34">
        <f>F43*AY43</f>
        <v/>
      </c>
      <c r="BF43" s="34">
        <f>K43-M43</f>
        <v/>
      </c>
      <c r="BG43" s="34">
        <f>P43-S43</f>
        <v/>
      </c>
      <c r="BH43" s="34">
        <f>W43-AA43</f>
        <v/>
      </c>
      <c r="BI43" s="34">
        <f>BF43+BG43+BL43-BN43</f>
        <v/>
      </c>
      <c r="BJ43" s="34">
        <f>ABS(BK43)</f>
        <v/>
      </c>
      <c r="BK43" s="34">
        <f>AY43-(J43-L43+N43-Q43)</f>
        <v/>
      </c>
      <c r="BL43" s="34">
        <f>IF(AND(BK43&gt;0,MIN($F43:$G43)&lt;150,$E43="Enerji Açığı"),-100*BK43*1.03,IF(AND(BK43&gt;0,MIN($F43:$G43)&lt;150,$E43="Enerji Fazlası"),-100*BK43*1.06,IF(AND(BK43&gt;0,MIN($F43:$G43)&gt;=150,$E43="Enerji Açığı"),BK43*MIN($F43:$G43)*0.97,IF(AND(BK43&gt;0,MIN($F43:$G43)&gt;=150,$E43="Enerji Fazlası"),BK43*MIN($F43:$G43)*0.94,IF(AND(BK43&lt;0,MAX($F43:$G43)=4500,$E43="Enerji Açığı"),4500*1.05*1.06*BK43,IF(AND(BK43&lt;0,MAX($F43:$G43)=4500,$E43="Enerji Fazlası"),4500*1.05*1.03*BK43,IF(AND(BK43&lt;0,$E43="Enerji Açığı"),MAX($F43,$G43,150)*BK43*1.06,IF(AND(BK43&lt;0,$E43="Enerji Fazlası"),MAX($F43,$G43,150)*BK43*1.03,IF(AND(BK43&lt;0,$E43="Dengede"),MAX($F43:$G43,150)*1.03*BK43,MIN($F43:$G43)*0.97*BK43)))))))))</f>
        <v/>
      </c>
      <c r="BM43" s="34">
        <f>BE43-BI43-BN43</f>
        <v/>
      </c>
      <c r="BN43" s="34">
        <f>BB43</f>
        <v/>
      </c>
      <c r="BO43" s="34">
        <f>BE43-BI43</f>
        <v/>
      </c>
      <c r="BP43" s="34">
        <f>IF(AY43=0,0,BO43/AY43)</f>
        <v/>
      </c>
      <c r="BQ43" s="34">
        <f>MAX((AY43+MAX((-J43+L43-N43+Q43),0)),(MAX((J43-L43+N43-Q43),0)))</f>
        <v/>
      </c>
      <c r="BR43" s="82">
        <f>IFERROR(ABS(BK43/BQ43),0)</f>
        <v/>
      </c>
      <c r="BS43" s="34">
        <f>IF(BR43&lt;=0.1,0,BK43/BR43*(BR43-0.1))</f>
        <v/>
      </c>
      <c r="BT43" s="34">
        <f>IF((BS43)&lt;0,MAX(F43:G43)*(BS43)*1.03,MIN(F43:G43)*(BS43)*0.97)</f>
        <v/>
      </c>
      <c r="BU43" s="34">
        <f>IF(BR43&gt;0.1,1,0)</f>
        <v/>
      </c>
      <c r="BV43" s="34">
        <f>BF43+BG43+BH43+BY43-CA43</f>
        <v/>
      </c>
      <c r="BW43" s="34">
        <f>ABS(BX43)</f>
        <v/>
      </c>
      <c r="BX43" s="34">
        <f>AY43-(J43-L43+N43-Q43+T43-X43)</f>
        <v/>
      </c>
      <c r="BY43" s="34">
        <f>IF(AND(BX43&gt;0,MIN($F43:$G43)&lt;150,$E43="Enerji Açığı"),-100*BX43*1.03,IF(AND(BX43&gt;0,MIN($F43:$G43)&lt;150,$E43="Enerji Fazlası"),-100*BX43*1.06,IF(AND(BX43&gt;0,MIN($F43:$G43)&gt;=150,$E43="Enerji Açığı"),BX43*MIN($F43:$G43)*0.97,IF(AND(BX43&gt;0,MIN($F43:$G43)&gt;=150,$E43="Enerji Fazlası"),BX43*MIN($F43:$G43)*0.94,IF(AND(BX43&lt;0,MAX($F43:$G43)=4500,$E43="Enerji Açığı"),4500*1.05*1.06*BX43,IF(AND(BX43&lt;0,MAX($F43:$G43)=4500,$E43="Enerji Fazlası"),4500*1.05*1.03*BX43,IF(AND(BX43&lt;0,$E43="Enerji Açığı"),MAX($F43,$G43,150)*BX43*1.06,IF(AND(BX43&lt;0,$E43="Enerji Fazlası"),MAX($F43,$G43,150)*BX43*1.03,IF(AND(BX43&lt;0,$E43="Dengede"),MAX($F43:$G43,150)*1.03*BX43,MIN($F43:$G43)*0.97*BX43)))))))))</f>
        <v/>
      </c>
      <c r="BZ43" s="34">
        <f>BE43-BV43-CA43</f>
        <v/>
      </c>
      <c r="CA43" s="34">
        <f>BD43</f>
        <v/>
      </c>
      <c r="CB43" s="33">
        <f>BE43-BV43</f>
        <v/>
      </c>
      <c r="CC43" s="34">
        <f>IF(AY43=0,0,CB43/AY43)</f>
        <v/>
      </c>
      <c r="CD43" s="34">
        <f>MAX((AY43+MAX((-J43+L43-N43+Q43-T43+X43),0)),(MAX((J43-L43+N43-Q43+T43-X43),0)))</f>
        <v/>
      </c>
      <c r="CE43" s="82">
        <f>IFERROR(ABS(BX43/CD43),0)</f>
        <v/>
      </c>
      <c r="CF43" s="34">
        <f>IF(CE43&lt;=0.1,0,BX43/CE43*(CE43-0.1))</f>
        <v/>
      </c>
      <c r="CG43" s="34">
        <f>IF((CF43)&lt;0,MAX(F43:G43)*(CF43)*1.03,MIN(F43:G43)*(CF43)*0.97)</f>
        <v/>
      </c>
      <c r="CH43" s="34">
        <f>IF(CE43&gt;0.1,1,0)</f>
        <v/>
      </c>
      <c r="CI43" s="34">
        <f>(F43*BX43)-BY43</f>
        <v/>
      </c>
      <c r="CJ43" s="34">
        <f>IF(AY43=0,0,CI43/AY43)</f>
        <v/>
      </c>
    </row>
    <row r="44">
      <c r="A44" s="29" t="n">
        <v>46205.70833333334</v>
      </c>
      <c r="B44" s="29" t="inlineStr">
        <is>
          <t>17:00</t>
        </is>
      </c>
      <c r="C44" s="35">
        <f>INT(A44)</f>
        <v/>
      </c>
      <c r="D44" s="36">
        <f>MONTH(A44)</f>
        <v/>
      </c>
      <c r="E44" s="147">
        <f>[1]FİYATLAR!G43</f>
        <v/>
      </c>
      <c r="F44" s="30" t="n">
        <v>3803.12</v>
      </c>
      <c r="G44" s="30" t="n">
        <v>4180</v>
      </c>
      <c r="H44" s="30" t="n">
        <v>81.66</v>
      </c>
      <c r="I44" s="30" t="n">
        <v>3813.26</v>
      </c>
      <c r="J44" s="119" t="n">
        <v>0</v>
      </c>
      <c r="K44" s="34">
        <f>F44*J44</f>
        <v/>
      </c>
      <c r="L44" s="119" t="n">
        <v>0</v>
      </c>
      <c r="M44" s="34">
        <f>L44*F44</f>
        <v/>
      </c>
      <c r="N44" s="119" t="n">
        <v>20.5</v>
      </c>
      <c r="O44" s="34">
        <f>F44</f>
        <v/>
      </c>
      <c r="P44" s="34">
        <f>N44*O44</f>
        <v/>
      </c>
      <c r="Q44" s="119" t="n">
        <v>0</v>
      </c>
      <c r="R44" s="34">
        <f>F44</f>
        <v/>
      </c>
      <c r="S44" s="34">
        <f>R44*Q44</f>
        <v/>
      </c>
      <c r="T44" s="34">
        <f>SUMIFS('[1]GİP VERİLERİ'!$C:$C,'[1]GİP VERİLERİ'!$B:$B,A44,'[1]GİP VERİLERİ'!$M:$M,"40X000000104782K",'[1]GİP VERİLERİ'!$G:$G,"SELL")</f>
        <v/>
      </c>
      <c r="U44" s="34">
        <f>IFERROR(W44/T44,0)</f>
        <v/>
      </c>
      <c r="V44" s="34">
        <f>IF(U44=0,0,U44-F44)</f>
        <v/>
      </c>
      <c r="W44" s="34">
        <f>SUMIFS('[1]GİP VERİLERİ'!$O:$O,'[1]GİP VERİLERİ'!$B:$B,A44,'[1]GİP VERİLERİ'!$M:$M,"40X000000104782K",'[1]GİP VERİLERİ'!$G:$G,"SELL")</f>
        <v/>
      </c>
      <c r="X44" s="34">
        <f>SUMIFS('[1]GİP VERİLERİ'!$C:$C,'[1]GİP VERİLERİ'!$B:$B,A44,'[1]GİP VERİLERİ'!$M:$M,"40X000000104782K",'[1]GİP VERİLERİ'!$G:$G,"BUY")</f>
        <v/>
      </c>
      <c r="Y44" s="34">
        <f>IFERROR(AA44/X44,0)</f>
        <v/>
      </c>
      <c r="Z44" s="34">
        <f>IF(Y44=0,0,F44-Y44)</f>
        <v/>
      </c>
      <c r="AA44" s="34">
        <f>SUMIFS('[1]GİP VERİLERİ'!$O:$O,'[1]GİP VERİLERİ'!$B:$B,A44,'[1]GİP VERİLERİ'!$M:$M,"40X000000104782K",'[1]GİP VERİLERİ'!$G:$G,"BUY")</f>
        <v/>
      </c>
      <c r="AB44" s="34" t="n">
        <v>0</v>
      </c>
      <c r="AC44" s="34" t="n">
        <v>0</v>
      </c>
      <c r="AD44" s="34">
        <f>IF(AB44&gt;AC44*1.05,AB44-AC44*1.05,IF(AB44&lt;AC44*0.95,AC44*0.95-AB44,0))</f>
        <v/>
      </c>
      <c r="AE44" s="34">
        <f>MAX(F44,G44,750)*0.05*AD44</f>
        <v/>
      </c>
      <c r="AF44" s="34" t="n">
        <v>0</v>
      </c>
      <c r="AG44" s="34">
        <f>IF(AB44&gt;AF44*1.05,AB44-AF44*1.05,IF(AB44&lt;AF44*0.95,AF44*0.95-AB44,0))</f>
        <v/>
      </c>
      <c r="AH44" s="34">
        <f>MAX(I44,J44,750)*0.05*AG44</f>
        <v/>
      </c>
      <c r="AI44" t="n">
        <v>11.13</v>
      </c>
      <c r="AJ44" t="n">
        <v>8</v>
      </c>
      <c r="AK44" s="34">
        <f>IF(AI44&gt;AJ44*1.05,AI44-AJ44*1.05,IF(AI44&lt;AJ44*0.95,AJ44*0.95-AI44,0))</f>
        <v/>
      </c>
      <c r="AL44" s="34">
        <f>MAX(F44,G44,750)*0.05*AK44</f>
        <v/>
      </c>
      <c r="AM44" s="39" t="n">
        <v>10</v>
      </c>
      <c r="AN44" s="34">
        <f>IF(AI44&gt;AM44*1.05,AI44-AM44*1.05,IF(AI44&lt;AM44*0.95,AM44*0.95-AI44,0))</f>
        <v/>
      </c>
      <c r="AO44" s="34">
        <f>MAX(F44,G44,750)*0.05*AN44</f>
        <v/>
      </c>
      <c r="AP44" s="34" t="n">
        <v>13.04</v>
      </c>
      <c r="AQ44" s="34" t="n">
        <v>12.5</v>
      </c>
      <c r="AR44" s="34">
        <f>IF(AP44&gt;AQ44*1.05,AP44-AQ44*1.05,IF(AP44&lt;AQ44*0.95,AQ44*0.95-AP44,0))</f>
        <v/>
      </c>
      <c r="AS44" s="34">
        <f>MAX(F44:G44,750)*0.05*AR44</f>
        <v/>
      </c>
      <c r="AT44" t="n">
        <v>14</v>
      </c>
      <c r="AU44" s="34">
        <f>IF(AP44&gt;AT44*1.05,AP44-AT44*1.05,IF(AP44&lt;AT44*0.95,AT44*0.95-AP44,0))</f>
        <v/>
      </c>
      <c r="AV44" s="34">
        <f>MAX(F44:G44,750)*0.05*AU44</f>
        <v/>
      </c>
      <c r="AW44" s="34">
        <f>AC44+AJ44+AQ44</f>
        <v/>
      </c>
      <c r="AX44" s="34">
        <f>AF44+AM44+AT44</f>
        <v/>
      </c>
      <c r="AY44" s="34">
        <f>AB44+AI44+AP44</f>
        <v/>
      </c>
      <c r="AZ44" s="34" t="n">
        <v>0</v>
      </c>
      <c r="BA44" s="34">
        <f>AD44+AK44+AR44</f>
        <v/>
      </c>
      <c r="BB44" s="34">
        <f>MAX(F44:G44,750)*0.05*BA44</f>
        <v/>
      </c>
      <c r="BC44" s="34">
        <f>AG44+AN44+AU44</f>
        <v/>
      </c>
      <c r="BD44" s="34">
        <f>MAX(F44:G44,750)*0.05*BC44</f>
        <v/>
      </c>
      <c r="BE44" s="34">
        <f>F44*AY44</f>
        <v/>
      </c>
      <c r="BF44" s="34">
        <f>K44-M44</f>
        <v/>
      </c>
      <c r="BG44" s="34">
        <f>P44-S44</f>
        <v/>
      </c>
      <c r="BH44" s="34">
        <f>W44-AA44</f>
        <v/>
      </c>
      <c r="BI44" s="34">
        <f>BF44+BG44+BL44-BN44</f>
        <v/>
      </c>
      <c r="BJ44" s="34">
        <f>ABS(BK44)</f>
        <v/>
      </c>
      <c r="BK44" s="34">
        <f>AY44-(J44-L44+N44-Q44)</f>
        <v/>
      </c>
      <c r="BL44" s="34">
        <f>IF(AND(BK44&gt;0,MIN($F44:$G44)&lt;150,$E44="Enerji Açığı"),-100*BK44*1.03,IF(AND(BK44&gt;0,MIN($F44:$G44)&lt;150,$E44="Enerji Fazlası"),-100*BK44*1.06,IF(AND(BK44&gt;0,MIN($F44:$G44)&gt;=150,$E44="Enerji Açığı"),BK44*MIN($F44:$G44)*0.97,IF(AND(BK44&gt;0,MIN($F44:$G44)&gt;=150,$E44="Enerji Fazlası"),BK44*MIN($F44:$G44)*0.94,IF(AND(BK44&lt;0,MAX($F44:$G44)=4500,$E44="Enerji Açığı"),4500*1.05*1.06*BK44,IF(AND(BK44&lt;0,MAX($F44:$G44)=4500,$E44="Enerji Fazlası"),4500*1.05*1.03*BK44,IF(AND(BK44&lt;0,$E44="Enerji Açığı"),MAX($F44,$G44,150)*BK44*1.06,IF(AND(BK44&lt;0,$E44="Enerji Fazlası"),MAX($F44,$G44,150)*BK44*1.03,IF(AND(BK44&lt;0,$E44="Dengede"),MAX($F44:$G44,150)*1.03*BK44,MIN($F44:$G44)*0.97*BK44)))))))))</f>
        <v/>
      </c>
      <c r="BM44" s="34">
        <f>BE44-BI44-BN44</f>
        <v/>
      </c>
      <c r="BN44" s="34">
        <f>BB44</f>
        <v/>
      </c>
      <c r="BO44" s="34">
        <f>BE44-BI44</f>
        <v/>
      </c>
      <c r="BP44" s="34">
        <f>IF(AY44=0,0,BO44/AY44)</f>
        <v/>
      </c>
      <c r="BQ44" s="34">
        <f>MAX((AY44+MAX((-J44+L44-N44+Q44),0)),(MAX((J44-L44+N44-Q44),0)))</f>
        <v/>
      </c>
      <c r="BR44" s="82">
        <f>IFERROR(ABS(BK44/BQ44),0)</f>
        <v/>
      </c>
      <c r="BS44" s="34">
        <f>IF(BR44&lt;=0.1,0,BK44/BR44*(BR44-0.1))</f>
        <v/>
      </c>
      <c r="BT44" s="34">
        <f>IF((BS44)&lt;0,MAX(F44:G44)*(BS44)*1.03,MIN(F44:G44)*(BS44)*0.97)</f>
        <v/>
      </c>
      <c r="BU44" s="34">
        <f>IF(BR44&gt;0.1,1,0)</f>
        <v/>
      </c>
      <c r="BV44" s="34">
        <f>BF44+BG44+BH44+BY44-CA44</f>
        <v/>
      </c>
      <c r="BW44" s="34">
        <f>ABS(BX44)</f>
        <v/>
      </c>
      <c r="BX44" s="34">
        <f>AY44-(J44-L44+N44-Q44+T44-X44)</f>
        <v/>
      </c>
      <c r="BY44" s="34">
        <f>IF(AND(BX44&gt;0,MIN($F44:$G44)&lt;150,$E44="Enerji Açığı"),-100*BX44*1.03,IF(AND(BX44&gt;0,MIN($F44:$G44)&lt;150,$E44="Enerji Fazlası"),-100*BX44*1.06,IF(AND(BX44&gt;0,MIN($F44:$G44)&gt;=150,$E44="Enerji Açığı"),BX44*MIN($F44:$G44)*0.97,IF(AND(BX44&gt;0,MIN($F44:$G44)&gt;=150,$E44="Enerji Fazlası"),BX44*MIN($F44:$G44)*0.94,IF(AND(BX44&lt;0,MAX($F44:$G44)=4500,$E44="Enerji Açığı"),4500*1.05*1.06*BX44,IF(AND(BX44&lt;0,MAX($F44:$G44)=4500,$E44="Enerji Fazlası"),4500*1.05*1.03*BX44,IF(AND(BX44&lt;0,$E44="Enerji Açığı"),MAX($F44,$G44,150)*BX44*1.06,IF(AND(BX44&lt;0,$E44="Enerji Fazlası"),MAX($F44,$G44,150)*BX44*1.03,IF(AND(BX44&lt;0,$E44="Dengede"),MAX($F44:$G44,150)*1.03*BX44,MIN($F44:$G44)*0.97*BX44)))))))))</f>
        <v/>
      </c>
      <c r="BZ44" s="34">
        <f>BE44-BV44-CA44</f>
        <v/>
      </c>
      <c r="CA44" s="34">
        <f>BD44</f>
        <v/>
      </c>
      <c r="CB44" s="33">
        <f>BE44-BV44</f>
        <v/>
      </c>
      <c r="CC44" s="34">
        <f>IF(AY44=0,0,CB44/AY44)</f>
        <v/>
      </c>
      <c r="CD44" s="34">
        <f>MAX((AY44+MAX((-J44+L44-N44+Q44-T44+X44),0)),(MAX((J44-L44+N44-Q44+T44-X44),0)))</f>
        <v/>
      </c>
      <c r="CE44" s="82">
        <f>IFERROR(ABS(BX44/CD44),0)</f>
        <v/>
      </c>
      <c r="CF44" s="34">
        <f>IF(CE44&lt;=0.1,0,BX44/CE44*(CE44-0.1))</f>
        <v/>
      </c>
      <c r="CG44" s="34">
        <f>IF((CF44)&lt;0,MAX(F44:G44)*(CF44)*1.03,MIN(F44:G44)*(CF44)*0.97)</f>
        <v/>
      </c>
      <c r="CH44" s="34">
        <f>IF(CE44&gt;0.1,1,0)</f>
        <v/>
      </c>
      <c r="CI44" s="34">
        <f>(F44*BX44)-BY44</f>
        <v/>
      </c>
      <c r="CJ44" s="34">
        <f>IF(AY44=0,0,CI44/AY44)</f>
        <v/>
      </c>
    </row>
    <row r="45">
      <c r="A45" s="29" t="n">
        <v>46205.75</v>
      </c>
      <c r="B45" s="29" t="inlineStr">
        <is>
          <t>18:00</t>
        </is>
      </c>
      <c r="C45" s="35">
        <f>INT(A45)</f>
        <v/>
      </c>
      <c r="D45" s="36">
        <f>MONTH(A45)</f>
        <v/>
      </c>
      <c r="E45" s="147">
        <f>[1]FİYATLAR!G44</f>
        <v/>
      </c>
      <c r="F45" s="30" t="n">
        <v>2925</v>
      </c>
      <c r="G45" s="30" t="n">
        <v>4180</v>
      </c>
      <c r="H45" s="30" t="n">
        <v>62.8</v>
      </c>
      <c r="I45" s="30" t="n">
        <v>3347.78</v>
      </c>
      <c r="J45" s="119" t="n">
        <v>0</v>
      </c>
      <c r="K45" s="34">
        <f>F45*J45</f>
        <v/>
      </c>
      <c r="L45" s="119" t="n">
        <v>0</v>
      </c>
      <c r="M45" s="34">
        <f>L45*F45</f>
        <v/>
      </c>
      <c r="N45" s="119" t="n">
        <v>20.3</v>
      </c>
      <c r="O45" s="34">
        <f>F45</f>
        <v/>
      </c>
      <c r="P45" s="34">
        <f>N45*O45</f>
        <v/>
      </c>
      <c r="Q45" s="119" t="n">
        <v>0</v>
      </c>
      <c r="R45" s="34">
        <f>F45</f>
        <v/>
      </c>
      <c r="S45" s="34">
        <f>R45*Q45</f>
        <v/>
      </c>
      <c r="T45" s="34">
        <f>SUMIFS('[1]GİP VERİLERİ'!$C:$C,'[1]GİP VERİLERİ'!$B:$B,A45,'[1]GİP VERİLERİ'!$M:$M,"40X000000104782K",'[1]GİP VERİLERİ'!$G:$G,"SELL")</f>
        <v/>
      </c>
      <c r="U45" s="34">
        <f>IFERROR(W45/T45,0)</f>
        <v/>
      </c>
      <c r="V45" s="34">
        <f>IF(U45=0,0,U45-F45)</f>
        <v/>
      </c>
      <c r="W45" s="34">
        <f>SUMIFS('[1]GİP VERİLERİ'!$O:$O,'[1]GİP VERİLERİ'!$B:$B,A45,'[1]GİP VERİLERİ'!$M:$M,"40X000000104782K",'[1]GİP VERİLERİ'!$G:$G,"SELL")</f>
        <v/>
      </c>
      <c r="X45" s="34">
        <f>SUMIFS('[1]GİP VERİLERİ'!$C:$C,'[1]GİP VERİLERİ'!$B:$B,A45,'[1]GİP VERİLERİ'!$M:$M,"40X000000104782K",'[1]GİP VERİLERİ'!$G:$G,"BUY")</f>
        <v/>
      </c>
      <c r="Y45" s="34">
        <f>IFERROR(AA45/X45,0)</f>
        <v/>
      </c>
      <c r="Z45" s="34">
        <f>IF(Y45=0,0,F45-Y45)</f>
        <v/>
      </c>
      <c r="AA45" s="34">
        <f>SUMIFS('[1]GİP VERİLERİ'!$O:$O,'[1]GİP VERİLERİ'!$B:$B,A45,'[1]GİP VERİLERİ'!$M:$M,"40X000000104782K",'[1]GİP VERİLERİ'!$G:$G,"BUY")</f>
        <v/>
      </c>
      <c r="AB45" s="34" t="n">
        <v>0</v>
      </c>
      <c r="AC45" s="34" t="n">
        <v>0</v>
      </c>
      <c r="AD45" s="34">
        <f>IF(AB45&gt;AC45*1.05,AB45-AC45*1.05,IF(AB45&lt;AC45*0.95,AC45*0.95-AB45,0))</f>
        <v/>
      </c>
      <c r="AE45" s="34">
        <f>MAX(F45,G45,750)*0.05*AD45</f>
        <v/>
      </c>
      <c r="AF45" s="34" t="n">
        <v>0</v>
      </c>
      <c r="AG45" s="34">
        <f>IF(AB45&gt;AF45*1.05,AB45-AF45*1.05,IF(AB45&lt;AF45*0.95,AF45*0.95-AB45,0))</f>
        <v/>
      </c>
      <c r="AH45" s="34">
        <f>MAX(I45,J45,750)*0.05*AG45</f>
        <v/>
      </c>
      <c r="AI45" t="n">
        <v>11.15</v>
      </c>
      <c r="AJ45" t="n">
        <v>8</v>
      </c>
      <c r="AK45" s="34">
        <f>IF(AI45&gt;AJ45*1.05,AI45-AJ45*1.05,IF(AI45&lt;AJ45*0.95,AJ45*0.95-AI45,0))</f>
        <v/>
      </c>
      <c r="AL45" s="34">
        <f>MAX(F45,G45,750)*0.05*AK45</f>
        <v/>
      </c>
      <c r="AM45" s="39" t="n">
        <v>11</v>
      </c>
      <c r="AN45" s="34">
        <f>IF(AI45&gt;AM45*1.05,AI45-AM45*1.05,IF(AI45&lt;AM45*0.95,AM45*0.95-AI45,0))</f>
        <v/>
      </c>
      <c r="AO45" s="34">
        <f>MAX(F45,G45,750)*0.05*AN45</f>
        <v/>
      </c>
      <c r="AP45" s="34" t="n">
        <v>14.1</v>
      </c>
      <c r="AQ45" s="34" t="n">
        <v>12.3</v>
      </c>
      <c r="AR45" s="34">
        <f>IF(AP45&gt;AQ45*1.05,AP45-AQ45*1.05,IF(AP45&lt;AQ45*0.95,AQ45*0.95-AP45,0))</f>
        <v/>
      </c>
      <c r="AS45" s="34">
        <f>MAX(F45:G45,750)*0.05*AR45</f>
        <v/>
      </c>
      <c r="AT45" t="n">
        <v>14</v>
      </c>
      <c r="AU45" s="34">
        <f>IF(AP45&gt;AT45*1.05,AP45-AT45*1.05,IF(AP45&lt;AT45*0.95,AT45*0.95-AP45,0))</f>
        <v/>
      </c>
      <c r="AV45" s="34">
        <f>MAX(F45:G45,750)*0.05*AU45</f>
        <v/>
      </c>
      <c r="AW45" s="34">
        <f>AC45+AJ45+AQ45</f>
        <v/>
      </c>
      <c r="AX45" s="34">
        <f>AF45+AM45+AT45</f>
        <v/>
      </c>
      <c r="AY45" s="34">
        <f>AB45+AI45+AP45</f>
        <v/>
      </c>
      <c r="AZ45" s="34" t="n">
        <v>0</v>
      </c>
      <c r="BA45" s="34">
        <f>AD45+AK45+AR45</f>
        <v/>
      </c>
      <c r="BB45" s="34">
        <f>MAX(F45:G45,750)*0.05*BA45</f>
        <v/>
      </c>
      <c r="BC45" s="34">
        <f>AG45+AN45+AU45</f>
        <v/>
      </c>
      <c r="BD45" s="34">
        <f>MAX(F45:G45,750)*0.05*BC45</f>
        <v/>
      </c>
      <c r="BE45" s="34">
        <f>F45*AY45</f>
        <v/>
      </c>
      <c r="BF45" s="34">
        <f>K45-M45</f>
        <v/>
      </c>
      <c r="BG45" s="34">
        <f>P45-S45</f>
        <v/>
      </c>
      <c r="BH45" s="34">
        <f>W45-AA45</f>
        <v/>
      </c>
      <c r="BI45" s="34">
        <f>BF45+BG45+BL45-BN45</f>
        <v/>
      </c>
      <c r="BJ45" s="34">
        <f>ABS(BK45)</f>
        <v/>
      </c>
      <c r="BK45" s="34">
        <f>AY45-(J45-L45+N45-Q45)</f>
        <v/>
      </c>
      <c r="BL45" s="34">
        <f>IF(AND(BK45&gt;0,MIN($F45:$G45)&lt;150,$E45="Enerji Açığı"),-100*BK45*1.03,IF(AND(BK45&gt;0,MIN($F45:$G45)&lt;150,$E45="Enerji Fazlası"),-100*BK45*1.06,IF(AND(BK45&gt;0,MIN($F45:$G45)&gt;=150,$E45="Enerji Açığı"),BK45*MIN($F45:$G45)*0.97,IF(AND(BK45&gt;0,MIN($F45:$G45)&gt;=150,$E45="Enerji Fazlası"),BK45*MIN($F45:$G45)*0.94,IF(AND(BK45&lt;0,MAX($F45:$G45)=4500,$E45="Enerji Açığı"),4500*1.05*1.06*BK45,IF(AND(BK45&lt;0,MAX($F45:$G45)=4500,$E45="Enerji Fazlası"),4500*1.05*1.03*BK45,IF(AND(BK45&lt;0,$E45="Enerji Açığı"),MAX($F45,$G45,150)*BK45*1.06,IF(AND(BK45&lt;0,$E45="Enerji Fazlası"),MAX($F45,$G45,150)*BK45*1.03,IF(AND(BK45&lt;0,$E45="Dengede"),MAX($F45:$G45,150)*1.03*BK45,MIN($F45:$G45)*0.97*BK45)))))))))</f>
        <v/>
      </c>
      <c r="BM45" s="34">
        <f>BE45-BI45-BN45</f>
        <v/>
      </c>
      <c r="BN45" s="34">
        <f>BB45</f>
        <v/>
      </c>
      <c r="BO45" s="34">
        <f>BE45-BI45</f>
        <v/>
      </c>
      <c r="BP45" s="34">
        <f>IF(AY45=0,0,BO45/AY45)</f>
        <v/>
      </c>
      <c r="BQ45" s="34">
        <f>MAX((AY45+MAX((-J45+L45-N45+Q45),0)),(MAX((J45-L45+N45-Q45),0)))</f>
        <v/>
      </c>
      <c r="BR45" s="82">
        <f>IFERROR(ABS(BK45/BQ45),0)</f>
        <v/>
      </c>
      <c r="BS45" s="34">
        <f>IF(BR45&lt;=0.1,0,BK45/BR45*(BR45-0.1))</f>
        <v/>
      </c>
      <c r="BT45" s="34">
        <f>IF((BS45)&lt;0,MAX(F45:G45)*(BS45)*1.03,MIN(F45:G45)*(BS45)*0.97)</f>
        <v/>
      </c>
      <c r="BU45" s="34">
        <f>IF(BR45&gt;0.1,1,0)</f>
        <v/>
      </c>
      <c r="BV45" s="34">
        <f>BF45+BG45+BH45+BY45-CA45</f>
        <v/>
      </c>
      <c r="BW45" s="34">
        <f>ABS(BX45)</f>
        <v/>
      </c>
      <c r="BX45" s="34">
        <f>AY45-(J45-L45+N45-Q45+T45-X45)</f>
        <v/>
      </c>
      <c r="BY45" s="34">
        <f>IF(AND(BX45&gt;0,MIN($F45:$G45)&lt;150,$E45="Enerji Açığı"),-100*BX45*1.03,IF(AND(BX45&gt;0,MIN($F45:$G45)&lt;150,$E45="Enerji Fazlası"),-100*BX45*1.06,IF(AND(BX45&gt;0,MIN($F45:$G45)&gt;=150,$E45="Enerji Açığı"),BX45*MIN($F45:$G45)*0.97,IF(AND(BX45&gt;0,MIN($F45:$G45)&gt;=150,$E45="Enerji Fazlası"),BX45*MIN($F45:$G45)*0.94,IF(AND(BX45&lt;0,MAX($F45:$G45)=4500,$E45="Enerji Açığı"),4500*1.05*1.06*BX45,IF(AND(BX45&lt;0,MAX($F45:$G45)=4500,$E45="Enerji Fazlası"),4500*1.05*1.03*BX45,IF(AND(BX45&lt;0,$E45="Enerji Açığı"),MAX($F45,$G45,150)*BX45*1.06,IF(AND(BX45&lt;0,$E45="Enerji Fazlası"),MAX($F45,$G45,150)*BX45*1.03,IF(AND(BX45&lt;0,$E45="Dengede"),MAX($F45:$G45,150)*1.03*BX45,MIN($F45:$G45)*0.97*BX45)))))))))</f>
        <v/>
      </c>
      <c r="BZ45" s="34">
        <f>BE45-BV45-CA45</f>
        <v/>
      </c>
      <c r="CA45" s="34">
        <f>BD45</f>
        <v/>
      </c>
      <c r="CB45" s="33">
        <f>BE45-BV45</f>
        <v/>
      </c>
      <c r="CC45" s="34">
        <f>IF(AY45=0,0,CB45/AY45)</f>
        <v/>
      </c>
      <c r="CD45" s="34">
        <f>MAX((AY45+MAX((-J45+L45-N45+Q45-T45+X45),0)),(MAX((J45-L45+N45-Q45+T45-X45),0)))</f>
        <v/>
      </c>
      <c r="CE45" s="82">
        <f>IFERROR(ABS(BX45/CD45),0)</f>
        <v/>
      </c>
      <c r="CF45" s="34">
        <f>IF(CE45&lt;=0.1,0,BX45/CE45*(CE45-0.1))</f>
        <v/>
      </c>
      <c r="CG45" s="34">
        <f>IF((CF45)&lt;0,MAX(F45:G45)*(CF45)*1.03,MIN(F45:G45)*(CF45)*0.97)</f>
        <v/>
      </c>
      <c r="CH45" s="34">
        <f>IF(CE45&gt;0.1,1,0)</f>
        <v/>
      </c>
      <c r="CI45" s="34">
        <f>(F45*BX45)-BY45</f>
        <v/>
      </c>
      <c r="CJ45" s="34">
        <f>IF(AY45=0,0,CI45/AY45)</f>
        <v/>
      </c>
    </row>
    <row r="46">
      <c r="A46" s="29" t="n">
        <v>46205.79166666666</v>
      </c>
      <c r="B46" s="29" t="inlineStr">
        <is>
          <t>19:00</t>
        </is>
      </c>
      <c r="C46" s="35">
        <f>INT(A46)</f>
        <v/>
      </c>
      <c r="D46" s="36">
        <f>MONTH(A46)</f>
        <v/>
      </c>
      <c r="E46" s="147">
        <f>[1]FİYATLAR!G45</f>
        <v/>
      </c>
      <c r="F46" s="30" t="n">
        <v>4237.01</v>
      </c>
      <c r="G46" s="30" t="n">
        <v>4320</v>
      </c>
      <c r="H46" s="30" t="n">
        <v>90.97</v>
      </c>
      <c r="I46" s="30" t="n">
        <v>4223.9</v>
      </c>
      <c r="J46" s="119" t="n">
        <v>0</v>
      </c>
      <c r="K46" s="34">
        <f>F46*J46</f>
        <v/>
      </c>
      <c r="L46" s="119" t="n">
        <v>0</v>
      </c>
      <c r="M46" s="34">
        <f>L46*F46</f>
        <v/>
      </c>
      <c r="N46" s="119" t="n">
        <v>20.2</v>
      </c>
      <c r="O46" s="34">
        <f>F46</f>
        <v/>
      </c>
      <c r="P46" s="34">
        <f>N46*O46</f>
        <v/>
      </c>
      <c r="Q46" s="119" t="n">
        <v>0</v>
      </c>
      <c r="R46" s="34">
        <f>F46</f>
        <v/>
      </c>
      <c r="S46" s="34">
        <f>R46*Q46</f>
        <v/>
      </c>
      <c r="T46" s="34">
        <f>SUMIFS('[1]GİP VERİLERİ'!$C:$C,'[1]GİP VERİLERİ'!$B:$B,A46,'[1]GİP VERİLERİ'!$M:$M,"40X000000104782K",'[1]GİP VERİLERİ'!$G:$G,"SELL")</f>
        <v/>
      </c>
      <c r="U46" s="34">
        <f>IFERROR(W46/T46,0)</f>
        <v/>
      </c>
      <c r="V46" s="34">
        <f>IF(U46=0,0,U46-F46)</f>
        <v/>
      </c>
      <c r="W46" s="34">
        <f>SUMIFS('[1]GİP VERİLERİ'!$O:$O,'[1]GİP VERİLERİ'!$B:$B,A46,'[1]GİP VERİLERİ'!$M:$M,"40X000000104782K",'[1]GİP VERİLERİ'!$G:$G,"SELL")</f>
        <v/>
      </c>
      <c r="X46" s="34">
        <f>SUMIFS('[1]GİP VERİLERİ'!$C:$C,'[1]GİP VERİLERİ'!$B:$B,A46,'[1]GİP VERİLERİ'!$M:$M,"40X000000104782K",'[1]GİP VERİLERİ'!$G:$G,"BUY")</f>
        <v/>
      </c>
      <c r="Y46" s="34">
        <f>IFERROR(AA46/X46,0)</f>
        <v/>
      </c>
      <c r="Z46" s="34">
        <f>IF(Y46=0,0,F46-Y46)</f>
        <v/>
      </c>
      <c r="AA46" s="34">
        <f>SUMIFS('[1]GİP VERİLERİ'!$O:$O,'[1]GİP VERİLERİ'!$B:$B,A46,'[1]GİP VERİLERİ'!$M:$M,"40X000000104782K",'[1]GİP VERİLERİ'!$G:$G,"BUY")</f>
        <v/>
      </c>
      <c r="AB46" s="34" t="n">
        <v>0</v>
      </c>
      <c r="AC46" s="34" t="n">
        <v>0</v>
      </c>
      <c r="AD46" s="34">
        <f>IF(AB46&gt;AC46*1.05,AB46-AC46*1.05,IF(AB46&lt;AC46*0.95,AC46*0.95-AB46,0))</f>
        <v/>
      </c>
      <c r="AE46" s="34">
        <f>MAX(F46,G46,750)*0.05*AD46</f>
        <v/>
      </c>
      <c r="AF46" s="34" t="n">
        <v>0</v>
      </c>
      <c r="AG46" s="34">
        <f>IF(AB46&gt;AF46*1.05,AB46-AF46*1.05,IF(AB46&lt;AF46*0.95,AF46*0.95-AB46,0))</f>
        <v/>
      </c>
      <c r="AH46" s="34">
        <f>MAX(I46,J46,750)*0.05*AG46</f>
        <v/>
      </c>
      <c r="AI46" t="n">
        <v>10.32</v>
      </c>
      <c r="AJ46" t="n">
        <v>8</v>
      </c>
      <c r="AK46" s="34">
        <f>IF(AI46&gt;AJ46*1.05,AI46-AJ46*1.05,IF(AI46&lt;AJ46*0.95,AJ46*0.95-AI46,0))</f>
        <v/>
      </c>
      <c r="AL46" s="34">
        <f>MAX(F46,G46,750)*0.05*AK46</f>
        <v/>
      </c>
      <c r="AM46" s="39" t="n">
        <v>10</v>
      </c>
      <c r="AN46" s="34">
        <f>IF(AI46&gt;AM46*1.05,AI46-AM46*1.05,IF(AI46&lt;AM46*0.95,AM46*0.95-AI46,0))</f>
        <v/>
      </c>
      <c r="AO46" s="34">
        <f>MAX(F46,G46,750)*0.05*AN46</f>
        <v/>
      </c>
      <c r="AP46" s="34" t="n">
        <v>13.21</v>
      </c>
      <c r="AQ46" s="34" t="n">
        <v>12.2</v>
      </c>
      <c r="AR46" s="34">
        <f>IF(AP46&gt;AQ46*1.05,AP46-AQ46*1.05,IF(AP46&lt;AQ46*0.95,AQ46*0.95-AP46,0))</f>
        <v/>
      </c>
      <c r="AS46" s="34">
        <f>MAX(F46:G46,750)*0.05*AR46</f>
        <v/>
      </c>
      <c r="AT46" t="n">
        <v>13</v>
      </c>
      <c r="AU46" s="34">
        <f>IF(AP46&gt;AT46*1.05,AP46-AT46*1.05,IF(AP46&lt;AT46*0.95,AT46*0.95-AP46,0))</f>
        <v/>
      </c>
      <c r="AV46" s="34">
        <f>MAX(F46:G46,750)*0.05*AU46</f>
        <v/>
      </c>
      <c r="AW46" s="34">
        <f>AC46+AJ46+AQ46</f>
        <v/>
      </c>
      <c r="AX46" s="34">
        <f>AF46+AM46+AT46</f>
        <v/>
      </c>
      <c r="AY46" s="34">
        <f>AB46+AI46+AP46</f>
        <v/>
      </c>
      <c r="AZ46" s="34" t="n">
        <v>0</v>
      </c>
      <c r="BA46" s="34">
        <f>AD46+AK46+AR46</f>
        <v/>
      </c>
      <c r="BB46" s="34">
        <f>MAX(F46:G46,750)*0.05*BA46</f>
        <v/>
      </c>
      <c r="BC46" s="34">
        <f>AG46+AN46+AU46</f>
        <v/>
      </c>
      <c r="BD46" s="34">
        <f>MAX(F46:G46,750)*0.05*BC46</f>
        <v/>
      </c>
      <c r="BE46" s="34">
        <f>F46*AY46</f>
        <v/>
      </c>
      <c r="BF46" s="34">
        <f>K46-M46</f>
        <v/>
      </c>
      <c r="BG46" s="34">
        <f>P46-S46</f>
        <v/>
      </c>
      <c r="BH46" s="34">
        <f>W46-AA46</f>
        <v/>
      </c>
      <c r="BI46" s="34">
        <f>BF46+BG46+BL46-BN46</f>
        <v/>
      </c>
      <c r="BJ46" s="34">
        <f>ABS(BK46)</f>
        <v/>
      </c>
      <c r="BK46" s="34">
        <f>AY46-(J46-L46+N46-Q46)</f>
        <v/>
      </c>
      <c r="BL46" s="34">
        <f>IF(AND(BK46&gt;0,MIN($F46:$G46)&lt;150,$E46="Enerji Açığı"),-100*BK46*1.03,IF(AND(BK46&gt;0,MIN($F46:$G46)&lt;150,$E46="Enerji Fazlası"),-100*BK46*1.06,IF(AND(BK46&gt;0,MIN($F46:$G46)&gt;=150,$E46="Enerji Açığı"),BK46*MIN($F46:$G46)*0.97,IF(AND(BK46&gt;0,MIN($F46:$G46)&gt;=150,$E46="Enerji Fazlası"),BK46*MIN($F46:$G46)*0.94,IF(AND(BK46&lt;0,MAX($F46:$G46)=4500,$E46="Enerji Açığı"),4500*1.05*1.06*BK46,IF(AND(BK46&lt;0,MAX($F46:$G46)=4500,$E46="Enerji Fazlası"),4500*1.05*1.03*BK46,IF(AND(BK46&lt;0,$E46="Enerji Açığı"),MAX($F46,$G46,150)*BK46*1.06,IF(AND(BK46&lt;0,$E46="Enerji Fazlası"),MAX($F46,$G46,150)*BK46*1.03,IF(AND(BK46&lt;0,$E46="Dengede"),MAX($F46:$G46,150)*1.03*BK46,MIN($F46:$G46)*0.97*BK46)))))))))</f>
        <v/>
      </c>
      <c r="BM46" s="34">
        <f>BE46-BI46-BN46</f>
        <v/>
      </c>
      <c r="BN46" s="34">
        <f>BB46</f>
        <v/>
      </c>
      <c r="BO46" s="34">
        <f>BE46-BI46</f>
        <v/>
      </c>
      <c r="BP46" s="34">
        <f>IF(AY46=0,0,BO46/AY46)</f>
        <v/>
      </c>
      <c r="BQ46" s="34">
        <f>MAX((AY46+MAX((-J46+L46-N46+Q46),0)),(MAX((J46-L46+N46-Q46),0)))</f>
        <v/>
      </c>
      <c r="BR46" s="82">
        <f>IFERROR(ABS(BK46/BQ46),0)</f>
        <v/>
      </c>
      <c r="BS46" s="34">
        <f>IF(BR46&lt;=0.1,0,BK46/BR46*(BR46-0.1))</f>
        <v/>
      </c>
      <c r="BT46" s="34">
        <f>IF((BS46)&lt;0,MAX(F46:G46)*(BS46)*1.03,MIN(F46:G46)*(BS46)*0.97)</f>
        <v/>
      </c>
      <c r="BU46" s="34">
        <f>IF(BR46&gt;0.1,1,0)</f>
        <v/>
      </c>
      <c r="BV46" s="34">
        <f>BF46+BG46+BH46+BY46-CA46</f>
        <v/>
      </c>
      <c r="BW46" s="34">
        <f>ABS(BX46)</f>
        <v/>
      </c>
      <c r="BX46" s="34">
        <f>AY46-(J46-L46+N46-Q46+T46-X46)</f>
        <v/>
      </c>
      <c r="BY46" s="34">
        <f>IF(AND(BX46&gt;0,MIN($F46:$G46)&lt;150,$E46="Enerji Açığı"),-100*BX46*1.03,IF(AND(BX46&gt;0,MIN($F46:$G46)&lt;150,$E46="Enerji Fazlası"),-100*BX46*1.06,IF(AND(BX46&gt;0,MIN($F46:$G46)&gt;=150,$E46="Enerji Açığı"),BX46*MIN($F46:$G46)*0.97,IF(AND(BX46&gt;0,MIN($F46:$G46)&gt;=150,$E46="Enerji Fazlası"),BX46*MIN($F46:$G46)*0.94,IF(AND(BX46&lt;0,MAX($F46:$G46)=4500,$E46="Enerji Açığı"),4500*1.05*1.06*BX46,IF(AND(BX46&lt;0,MAX($F46:$G46)=4500,$E46="Enerji Fazlası"),4500*1.05*1.03*BX46,IF(AND(BX46&lt;0,$E46="Enerji Açığı"),MAX($F46,$G46,150)*BX46*1.06,IF(AND(BX46&lt;0,$E46="Enerji Fazlası"),MAX($F46,$G46,150)*BX46*1.03,IF(AND(BX46&lt;0,$E46="Dengede"),MAX($F46:$G46,150)*1.03*BX46,MIN($F46:$G46)*0.97*BX46)))))))))</f>
        <v/>
      </c>
      <c r="BZ46" s="34">
        <f>BE46-BV46-CA46</f>
        <v/>
      </c>
      <c r="CA46" s="34">
        <f>BD46</f>
        <v/>
      </c>
      <c r="CB46" s="33">
        <f>BE46-BV46</f>
        <v/>
      </c>
      <c r="CC46" s="34">
        <f>IF(AY46=0,0,CB46/AY46)</f>
        <v/>
      </c>
      <c r="CD46" s="34">
        <f>MAX((AY46+MAX((-J46+L46-N46+Q46-T46+X46),0)),(MAX((J46-L46+N46-Q46+T46-X46),0)))</f>
        <v/>
      </c>
      <c r="CE46" s="82">
        <f>IFERROR(ABS(BX46/CD46),0)</f>
        <v/>
      </c>
      <c r="CF46" s="34">
        <f>IF(CE46&lt;=0.1,0,BX46/CE46*(CE46-0.1))</f>
        <v/>
      </c>
      <c r="CG46" s="34">
        <f>IF((CF46)&lt;0,MAX(F46:G46)*(CF46)*1.03,MIN(F46:G46)*(CF46)*0.97)</f>
        <v/>
      </c>
      <c r="CH46" s="34">
        <f>IF(CE46&gt;0.1,1,0)</f>
        <v/>
      </c>
      <c r="CI46" s="34">
        <f>(F46*BX46)-BY46</f>
        <v/>
      </c>
      <c r="CJ46" s="34">
        <f>IF(AY46=0,0,CI46/AY46)</f>
        <v/>
      </c>
    </row>
    <row r="47">
      <c r="A47" s="29" t="n">
        <v>46205.83333333334</v>
      </c>
      <c r="B47" s="29" t="inlineStr">
        <is>
          <t>20:00</t>
        </is>
      </c>
      <c r="C47" s="35">
        <f>INT(A47)</f>
        <v/>
      </c>
      <c r="D47" s="36">
        <f>MONTH(A47)</f>
        <v/>
      </c>
      <c r="E47" s="147">
        <f>[1]FİYATLAR!G46</f>
        <v/>
      </c>
      <c r="F47" s="30" t="n">
        <v>4500</v>
      </c>
      <c r="G47" s="30" t="n">
        <v>4500</v>
      </c>
      <c r="H47" s="30" t="n">
        <v>96.62</v>
      </c>
      <c r="I47" s="30" t="n">
        <v>4483.69</v>
      </c>
      <c r="J47" s="119" t="n">
        <v>0</v>
      </c>
      <c r="K47" s="34">
        <f>F47*J47</f>
        <v/>
      </c>
      <c r="L47" s="119" t="n">
        <v>0</v>
      </c>
      <c r="M47" s="34">
        <f>L47*F47</f>
        <v/>
      </c>
      <c r="N47" s="119" t="n">
        <v>20</v>
      </c>
      <c r="O47" s="34">
        <f>F47</f>
        <v/>
      </c>
      <c r="P47" s="34">
        <f>N47*O47</f>
        <v/>
      </c>
      <c r="Q47" s="119" t="n">
        <v>0</v>
      </c>
      <c r="R47" s="34">
        <f>F47</f>
        <v/>
      </c>
      <c r="S47" s="34">
        <f>R47*Q47</f>
        <v/>
      </c>
      <c r="T47" s="34">
        <f>SUMIFS('[1]GİP VERİLERİ'!$C:$C,'[1]GİP VERİLERİ'!$B:$B,A47,'[1]GİP VERİLERİ'!$M:$M,"40X000000104782K",'[1]GİP VERİLERİ'!$G:$G,"SELL")</f>
        <v/>
      </c>
      <c r="U47" s="34">
        <f>IFERROR(W47/T47,0)</f>
        <v/>
      </c>
      <c r="V47" s="34">
        <f>IF(U47=0,0,U47-F47)</f>
        <v/>
      </c>
      <c r="W47" s="34">
        <f>SUMIFS('[1]GİP VERİLERİ'!$O:$O,'[1]GİP VERİLERİ'!$B:$B,A47,'[1]GİP VERİLERİ'!$M:$M,"40X000000104782K",'[1]GİP VERİLERİ'!$G:$G,"SELL")</f>
        <v/>
      </c>
      <c r="X47" s="34">
        <f>SUMIFS('[1]GİP VERİLERİ'!$C:$C,'[1]GİP VERİLERİ'!$B:$B,A47,'[1]GİP VERİLERİ'!$M:$M,"40X000000104782K",'[1]GİP VERİLERİ'!$G:$G,"BUY")</f>
        <v/>
      </c>
      <c r="Y47" s="34">
        <f>IFERROR(AA47/X47,0)</f>
        <v/>
      </c>
      <c r="Z47" s="34">
        <f>IF(Y47=0,0,F47-Y47)</f>
        <v/>
      </c>
      <c r="AA47" s="34">
        <f>SUMIFS('[1]GİP VERİLERİ'!$O:$O,'[1]GİP VERİLERİ'!$B:$B,A47,'[1]GİP VERİLERİ'!$M:$M,"40X000000104782K",'[1]GİP VERİLERİ'!$G:$G,"BUY")</f>
        <v/>
      </c>
      <c r="AB47" s="34" t="n">
        <v>0</v>
      </c>
      <c r="AC47" s="34" t="n">
        <v>0</v>
      </c>
      <c r="AD47" s="34">
        <f>IF(AB47&gt;AC47*1.05,AB47-AC47*1.05,IF(AB47&lt;AC47*0.95,AC47*0.95-AB47,0))</f>
        <v/>
      </c>
      <c r="AE47" s="34">
        <f>MAX(F47,G47,750)*0.05*AD47</f>
        <v/>
      </c>
      <c r="AF47" s="34" t="n">
        <v>0</v>
      </c>
      <c r="AG47" s="34">
        <f>IF(AB47&gt;AF47*1.05,AB47-AF47*1.05,IF(AB47&lt;AF47*0.95,AF47*0.95-AB47,0))</f>
        <v/>
      </c>
      <c r="AH47" s="34">
        <f>MAX(I47,J47,750)*0.05*AG47</f>
        <v/>
      </c>
      <c r="AI47" t="n">
        <v>8.27</v>
      </c>
      <c r="AJ47" t="n">
        <v>8</v>
      </c>
      <c r="AK47" s="34">
        <f>IF(AI47&gt;AJ47*1.05,AI47-AJ47*1.05,IF(AI47&lt;AJ47*0.95,AJ47*0.95-AI47,0))</f>
        <v/>
      </c>
      <c r="AL47" s="34">
        <f>MAX(F47,G47,750)*0.05*AK47</f>
        <v/>
      </c>
      <c r="AM47" s="39" t="n">
        <v>8</v>
      </c>
      <c r="AN47" s="34">
        <f>IF(AI47&gt;AM47*1.05,AI47-AM47*1.05,IF(AI47&lt;AM47*0.95,AM47*0.95-AI47,0))</f>
        <v/>
      </c>
      <c r="AO47" s="34">
        <f>MAX(F47,G47,750)*0.05*AN47</f>
        <v/>
      </c>
      <c r="AP47" s="34" t="n">
        <v>12.14</v>
      </c>
      <c r="AQ47" s="34" t="n">
        <v>12</v>
      </c>
      <c r="AR47" s="34">
        <f>IF(AP47&gt;AQ47*1.05,AP47-AQ47*1.05,IF(AP47&lt;AQ47*0.95,AQ47*0.95-AP47,0))</f>
        <v/>
      </c>
      <c r="AS47" s="34">
        <f>MAX(F47:G47,750)*0.05*AR47</f>
        <v/>
      </c>
      <c r="AT47" t="n">
        <v>12</v>
      </c>
      <c r="AU47" s="34">
        <f>IF(AP47&gt;AT47*1.05,AP47-AT47*1.05,IF(AP47&lt;AT47*0.95,AT47*0.95-AP47,0))</f>
        <v/>
      </c>
      <c r="AV47" s="34">
        <f>MAX(F47:G47,750)*0.05*AU47</f>
        <v/>
      </c>
      <c r="AW47" s="34">
        <f>AC47+AJ47+AQ47</f>
        <v/>
      </c>
      <c r="AX47" s="34">
        <f>AF47+AM47+AT47</f>
        <v/>
      </c>
      <c r="AY47" s="34">
        <f>AB47+AI47+AP47</f>
        <v/>
      </c>
      <c r="AZ47" s="34" t="n">
        <v>0</v>
      </c>
      <c r="BA47" s="34">
        <f>AD47+AK47+AR47</f>
        <v/>
      </c>
      <c r="BB47" s="34">
        <f>MAX(F47:G47,750)*0.05*BA47</f>
        <v/>
      </c>
      <c r="BC47" s="34">
        <f>AG47+AN47+AU47</f>
        <v/>
      </c>
      <c r="BD47" s="34">
        <f>MAX(F47:G47,750)*0.05*BC47</f>
        <v/>
      </c>
      <c r="BE47" s="34">
        <f>F47*AY47</f>
        <v/>
      </c>
      <c r="BF47" s="34">
        <f>K47-M47</f>
        <v/>
      </c>
      <c r="BG47" s="34">
        <f>P47-S47</f>
        <v/>
      </c>
      <c r="BH47" s="34">
        <f>W47-AA47</f>
        <v/>
      </c>
      <c r="BI47" s="34">
        <f>BF47+BG47+BL47-BN47</f>
        <v/>
      </c>
      <c r="BJ47" s="34">
        <f>ABS(BK47)</f>
        <v/>
      </c>
      <c r="BK47" s="34">
        <f>AY47-(J47-L47+N47-Q47)</f>
        <v/>
      </c>
      <c r="BL47" s="34">
        <f>IF(AND(BK47&gt;0,MIN($F47:$G47)&lt;150,$E47="Enerji Açığı"),-100*BK47*1.03,IF(AND(BK47&gt;0,MIN($F47:$G47)&lt;150,$E47="Enerji Fazlası"),-100*BK47*1.06,IF(AND(BK47&gt;0,MIN($F47:$G47)&gt;=150,$E47="Enerji Açığı"),BK47*MIN($F47:$G47)*0.97,IF(AND(BK47&gt;0,MIN($F47:$G47)&gt;=150,$E47="Enerji Fazlası"),BK47*MIN($F47:$G47)*0.94,IF(AND(BK47&lt;0,MAX($F47:$G47)=4500,$E47="Enerji Açığı"),4500*1.05*1.06*BK47,IF(AND(BK47&lt;0,MAX($F47:$G47)=4500,$E47="Enerji Fazlası"),4500*1.05*1.03*BK47,IF(AND(BK47&lt;0,$E47="Enerji Açığı"),MAX($F47,$G47,150)*BK47*1.06,IF(AND(BK47&lt;0,$E47="Enerji Fazlası"),MAX($F47,$G47,150)*BK47*1.03,IF(AND(BK47&lt;0,$E47="Dengede"),MAX($F47:$G47,150)*1.03*BK47,MIN($F47:$G47)*0.97*BK47)))))))))</f>
        <v/>
      </c>
      <c r="BM47" s="34">
        <f>BE47-BI47-BN47</f>
        <v/>
      </c>
      <c r="BN47" s="34">
        <f>BB47</f>
        <v/>
      </c>
      <c r="BO47" s="34">
        <f>BE47-BI47</f>
        <v/>
      </c>
      <c r="BP47" s="34">
        <f>IF(AY47=0,0,BO47/AY47)</f>
        <v/>
      </c>
      <c r="BQ47" s="34">
        <f>MAX((AY47+MAX((-J47+L47-N47+Q47),0)),(MAX((J47-L47+N47-Q47),0)))</f>
        <v/>
      </c>
      <c r="BR47" s="82">
        <f>IFERROR(ABS(BK47/BQ47),0)</f>
        <v/>
      </c>
      <c r="BS47" s="34">
        <f>IF(BR47&lt;=0.1,0,BK47/BR47*(BR47-0.1))</f>
        <v/>
      </c>
      <c r="BT47" s="34">
        <f>IF((BS47)&lt;0,MAX(F47:G47)*(BS47)*1.03,MIN(F47:G47)*(BS47)*0.97)</f>
        <v/>
      </c>
      <c r="BU47" s="34">
        <f>IF(BR47&gt;0.1,1,0)</f>
        <v/>
      </c>
      <c r="BV47" s="34">
        <f>BF47+BG47+BH47+BY47-CA47</f>
        <v/>
      </c>
      <c r="BW47" s="34">
        <f>ABS(BX47)</f>
        <v/>
      </c>
      <c r="BX47" s="34">
        <f>AY47-(J47-L47+N47-Q47+T47-X47)</f>
        <v/>
      </c>
      <c r="BY47" s="34">
        <f>IF(AND(BX47&gt;0,MIN($F47:$G47)&lt;150,$E47="Enerji Açığı"),-100*BX47*1.03,IF(AND(BX47&gt;0,MIN($F47:$G47)&lt;150,$E47="Enerji Fazlası"),-100*BX47*1.06,IF(AND(BX47&gt;0,MIN($F47:$G47)&gt;=150,$E47="Enerji Açığı"),BX47*MIN($F47:$G47)*0.97,IF(AND(BX47&gt;0,MIN($F47:$G47)&gt;=150,$E47="Enerji Fazlası"),BX47*MIN($F47:$G47)*0.94,IF(AND(BX47&lt;0,MAX($F47:$G47)=4500,$E47="Enerji Açığı"),4500*1.05*1.06*BX47,IF(AND(BX47&lt;0,MAX($F47:$G47)=4500,$E47="Enerji Fazlası"),4500*1.05*1.03*BX47,IF(AND(BX47&lt;0,$E47="Enerji Açığı"),MAX($F47,$G47,150)*BX47*1.06,IF(AND(BX47&lt;0,$E47="Enerji Fazlası"),MAX($F47,$G47,150)*BX47*1.03,IF(AND(BX47&lt;0,$E47="Dengede"),MAX($F47:$G47,150)*1.03*BX47,MIN($F47:$G47)*0.97*BX47)))))))))</f>
        <v/>
      </c>
      <c r="BZ47" s="34">
        <f>BE47-BV47-CA47</f>
        <v/>
      </c>
      <c r="CA47" s="34">
        <f>BD47</f>
        <v/>
      </c>
      <c r="CB47" s="33">
        <f>BE47-BV47</f>
        <v/>
      </c>
      <c r="CC47" s="34">
        <f>IF(AY47=0,0,CB47/AY47)</f>
        <v/>
      </c>
      <c r="CD47" s="34">
        <f>MAX((AY47+MAX((-J47+L47-N47+Q47-T47+X47),0)),(MAX((J47-L47+N47-Q47+T47-X47),0)))</f>
        <v/>
      </c>
      <c r="CE47" s="82">
        <f>IFERROR(ABS(BX47/CD47),0)</f>
        <v/>
      </c>
      <c r="CF47" s="34">
        <f>IF(CE47&lt;=0.1,0,BX47/CE47*(CE47-0.1))</f>
        <v/>
      </c>
      <c r="CG47" s="34">
        <f>IF((CF47)&lt;0,MAX(F47:G47)*(CF47)*1.03,MIN(F47:G47)*(CF47)*0.97)</f>
        <v/>
      </c>
      <c r="CH47" s="34">
        <f>IF(CE47&gt;0.1,1,0)</f>
        <v/>
      </c>
      <c r="CI47" s="34">
        <f>(F47*BX47)-BY47</f>
        <v/>
      </c>
      <c r="CJ47" s="34">
        <f>IF(AY47=0,0,CI47/AY47)</f>
        <v/>
      </c>
    </row>
    <row r="48">
      <c r="A48" s="29" t="n">
        <v>46205.875</v>
      </c>
      <c r="B48" s="29" t="inlineStr">
        <is>
          <t>21:00</t>
        </is>
      </c>
      <c r="C48" s="35">
        <f>INT(A48)</f>
        <v/>
      </c>
      <c r="D48" s="36">
        <f>MONTH(A48)</f>
        <v/>
      </c>
      <c r="E48" s="147">
        <f>[1]FİYATLAR!G47</f>
        <v/>
      </c>
      <c r="F48" s="30" t="n">
        <v>4500</v>
      </c>
      <c r="G48" s="30" t="n">
        <v>2555</v>
      </c>
      <c r="H48" s="30" t="n">
        <v>96.62</v>
      </c>
      <c r="I48" s="30" t="n">
        <v>4317.25</v>
      </c>
      <c r="J48" s="119" t="n">
        <v>0</v>
      </c>
      <c r="K48" s="34">
        <f>F48*J48</f>
        <v/>
      </c>
      <c r="L48" s="119" t="n">
        <v>0</v>
      </c>
      <c r="M48" s="34">
        <f>L48*F48</f>
        <v/>
      </c>
      <c r="N48" s="119" t="n">
        <v>16</v>
      </c>
      <c r="O48" s="34">
        <f>F48</f>
        <v/>
      </c>
      <c r="P48" s="34">
        <f>N48*O48</f>
        <v/>
      </c>
      <c r="Q48" s="119" t="n">
        <v>0</v>
      </c>
      <c r="R48" s="34">
        <f>F48</f>
        <v/>
      </c>
      <c r="S48" s="34">
        <f>R48*Q48</f>
        <v/>
      </c>
      <c r="T48" s="34">
        <f>SUMIFS('[1]GİP VERİLERİ'!$C:$C,'[1]GİP VERİLERİ'!$B:$B,A48,'[1]GİP VERİLERİ'!$M:$M,"40X000000104782K",'[1]GİP VERİLERİ'!$G:$G,"SELL")</f>
        <v/>
      </c>
      <c r="U48" s="34">
        <f>IFERROR(W48/T48,0)</f>
        <v/>
      </c>
      <c r="V48" s="34">
        <f>IF(U48=0,0,U48-F48)</f>
        <v/>
      </c>
      <c r="W48" s="34">
        <f>SUMIFS('[1]GİP VERİLERİ'!$O:$O,'[1]GİP VERİLERİ'!$B:$B,A48,'[1]GİP VERİLERİ'!$M:$M,"40X000000104782K",'[1]GİP VERİLERİ'!$G:$G,"SELL")</f>
        <v/>
      </c>
      <c r="X48" s="34">
        <f>SUMIFS('[1]GİP VERİLERİ'!$C:$C,'[1]GİP VERİLERİ'!$B:$B,A48,'[1]GİP VERİLERİ'!$M:$M,"40X000000104782K",'[1]GİP VERİLERİ'!$G:$G,"BUY")</f>
        <v/>
      </c>
      <c r="Y48" s="34">
        <f>IFERROR(AA48/X48,0)</f>
        <v/>
      </c>
      <c r="Z48" s="34">
        <f>IF(Y48=0,0,F48-Y48)</f>
        <v/>
      </c>
      <c r="AA48" s="34">
        <f>SUMIFS('[1]GİP VERİLERİ'!$O:$O,'[1]GİP VERİLERİ'!$B:$B,A48,'[1]GİP VERİLERİ'!$M:$M,"40X000000104782K",'[1]GİP VERİLERİ'!$G:$G,"BUY")</f>
        <v/>
      </c>
      <c r="AB48" s="34" t="n">
        <v>0</v>
      </c>
      <c r="AC48" s="34" t="n">
        <v>0</v>
      </c>
      <c r="AD48" s="34">
        <f>IF(AB48&gt;AC48*1.05,AB48-AC48*1.05,IF(AB48&lt;AC48*0.95,AC48*0.95-AB48,0))</f>
        <v/>
      </c>
      <c r="AE48" s="34">
        <f>MAX(F48,G48,750)*0.05*AD48</f>
        <v/>
      </c>
      <c r="AF48" s="34" t="n">
        <v>0</v>
      </c>
      <c r="AG48" s="34">
        <f>IF(AB48&gt;AF48*1.05,AB48-AF48*1.05,IF(AB48&lt;AF48*0.95,AF48*0.95-AB48,0))</f>
        <v/>
      </c>
      <c r="AH48" s="34">
        <f>MAX(I48,J48,750)*0.05*AG48</f>
        <v/>
      </c>
      <c r="AI48" t="n">
        <v>9.67</v>
      </c>
      <c r="AJ48" t="n">
        <v>7</v>
      </c>
      <c r="AK48" s="34">
        <f>IF(AI48&gt;AJ48*1.05,AI48-AJ48*1.05,IF(AI48&lt;AJ48*0.95,AJ48*0.95-AI48,0))</f>
        <v/>
      </c>
      <c r="AL48" s="34">
        <f>MAX(F48,G48,750)*0.05*AK48</f>
        <v/>
      </c>
      <c r="AM48" s="39" t="n">
        <v>9</v>
      </c>
      <c r="AN48" s="34">
        <f>IF(AI48&gt;AM48*1.05,AI48-AM48*1.05,IF(AI48&lt;AM48*0.95,AM48*0.95-AI48,0))</f>
        <v/>
      </c>
      <c r="AO48" s="34">
        <f>MAX(F48,G48,750)*0.05*AN48</f>
        <v/>
      </c>
      <c r="AP48" s="34" t="n">
        <v>11.52</v>
      </c>
      <c r="AQ48" s="34" t="n">
        <v>9</v>
      </c>
      <c r="AR48" s="34">
        <f>IF(AP48&gt;AQ48*1.05,AP48-AQ48*1.05,IF(AP48&lt;AQ48*0.95,AQ48*0.95-AP48,0))</f>
        <v/>
      </c>
      <c r="AS48" s="34">
        <f>MAX(F48:G48,750)*0.05*AR48</f>
        <v/>
      </c>
      <c r="AT48" t="n">
        <v>12</v>
      </c>
      <c r="AU48" s="34">
        <f>IF(AP48&gt;AT48*1.05,AP48-AT48*1.05,IF(AP48&lt;AT48*0.95,AT48*0.95-AP48,0))</f>
        <v/>
      </c>
      <c r="AV48" s="34">
        <f>MAX(F48:G48,750)*0.05*AU48</f>
        <v/>
      </c>
      <c r="AW48" s="34">
        <f>AC48+AJ48+AQ48</f>
        <v/>
      </c>
      <c r="AX48" s="34">
        <f>AF48+AM48+AT48</f>
        <v/>
      </c>
      <c r="AY48" s="34">
        <f>AB48+AI48+AP48</f>
        <v/>
      </c>
      <c r="AZ48" s="34" t="n">
        <v>0</v>
      </c>
      <c r="BA48" s="34">
        <f>AD48+AK48+AR48</f>
        <v/>
      </c>
      <c r="BB48" s="34">
        <f>MAX(F48:G48,750)*0.05*BA48</f>
        <v/>
      </c>
      <c r="BC48" s="34">
        <f>AG48+AN48+AU48</f>
        <v/>
      </c>
      <c r="BD48" s="34">
        <f>MAX(F48:G48,750)*0.05*BC48</f>
        <v/>
      </c>
      <c r="BE48" s="34">
        <f>F48*AY48</f>
        <v/>
      </c>
      <c r="BF48" s="34">
        <f>K48-M48</f>
        <v/>
      </c>
      <c r="BG48" s="34">
        <f>P48-S48</f>
        <v/>
      </c>
      <c r="BH48" s="34">
        <f>W48-AA48</f>
        <v/>
      </c>
      <c r="BI48" s="34">
        <f>BF48+BG48+BL48-BN48</f>
        <v/>
      </c>
      <c r="BJ48" s="34">
        <f>ABS(BK48)</f>
        <v/>
      </c>
      <c r="BK48" s="34">
        <f>AY48-(J48-L48+N48-Q48)</f>
        <v/>
      </c>
      <c r="BL48" s="34">
        <f>IF(AND(BK48&gt;0,MIN($F48:$G48)&lt;150,$E48="Enerji Açığı"),-100*BK48*1.03,IF(AND(BK48&gt;0,MIN($F48:$G48)&lt;150,$E48="Enerji Fazlası"),-100*BK48*1.06,IF(AND(BK48&gt;0,MIN($F48:$G48)&gt;=150,$E48="Enerji Açığı"),BK48*MIN($F48:$G48)*0.97,IF(AND(BK48&gt;0,MIN($F48:$G48)&gt;=150,$E48="Enerji Fazlası"),BK48*MIN($F48:$G48)*0.94,IF(AND(BK48&lt;0,MAX($F48:$G48)=4500,$E48="Enerji Açığı"),4500*1.05*1.06*BK48,IF(AND(BK48&lt;0,MAX($F48:$G48)=4500,$E48="Enerji Fazlası"),4500*1.05*1.03*BK48,IF(AND(BK48&lt;0,$E48="Enerji Açığı"),MAX($F48,$G48,150)*BK48*1.06,IF(AND(BK48&lt;0,$E48="Enerji Fazlası"),MAX($F48,$G48,150)*BK48*1.03,IF(AND(BK48&lt;0,$E48="Dengede"),MAX($F48:$G48,150)*1.03*BK48,MIN($F48:$G48)*0.97*BK48)))))))))</f>
        <v/>
      </c>
      <c r="BM48" s="34">
        <f>BE48-BI48-BN48</f>
        <v/>
      </c>
      <c r="BN48" s="34">
        <f>BB48</f>
        <v/>
      </c>
      <c r="BO48" s="34">
        <f>BE48-BI48</f>
        <v/>
      </c>
      <c r="BP48" s="34">
        <f>IF(AY48=0,0,BO48/AY48)</f>
        <v/>
      </c>
      <c r="BQ48" s="34">
        <f>MAX((AY48+MAX((-J48+L48-N48+Q48),0)),(MAX((J48-L48+N48-Q48),0)))</f>
        <v/>
      </c>
      <c r="BR48" s="82">
        <f>IFERROR(ABS(BK48/BQ48),0)</f>
        <v/>
      </c>
      <c r="BS48" s="34">
        <f>IF(BR48&lt;=0.1,0,BK48/BR48*(BR48-0.1))</f>
        <v/>
      </c>
      <c r="BT48" s="34">
        <f>IF((BS48)&lt;0,MAX(F48:G48)*(BS48)*1.03,MIN(F48:G48)*(BS48)*0.97)</f>
        <v/>
      </c>
      <c r="BU48" s="34">
        <f>IF(BR48&gt;0.1,1,0)</f>
        <v/>
      </c>
      <c r="BV48" s="34">
        <f>BF48+BG48+BH48+BY48-CA48</f>
        <v/>
      </c>
      <c r="BW48" s="34">
        <f>ABS(BX48)</f>
        <v/>
      </c>
      <c r="BX48" s="34">
        <f>AY48-(J48-L48+N48-Q48+T48-X48)</f>
        <v/>
      </c>
      <c r="BY48" s="34">
        <f>IF(AND(BX48&gt;0,MIN($F48:$G48)&lt;150,$E48="Enerji Açığı"),-100*BX48*1.03,IF(AND(BX48&gt;0,MIN($F48:$G48)&lt;150,$E48="Enerji Fazlası"),-100*BX48*1.06,IF(AND(BX48&gt;0,MIN($F48:$G48)&gt;=150,$E48="Enerji Açığı"),BX48*MIN($F48:$G48)*0.97,IF(AND(BX48&gt;0,MIN($F48:$G48)&gt;=150,$E48="Enerji Fazlası"),BX48*MIN($F48:$G48)*0.94,IF(AND(BX48&lt;0,MAX($F48:$G48)=4500,$E48="Enerji Açığı"),4500*1.05*1.06*BX48,IF(AND(BX48&lt;0,MAX($F48:$G48)=4500,$E48="Enerji Fazlası"),4500*1.05*1.03*BX48,IF(AND(BX48&lt;0,$E48="Enerji Açığı"),MAX($F48,$G48,150)*BX48*1.06,IF(AND(BX48&lt;0,$E48="Enerji Fazlası"),MAX($F48,$G48,150)*BX48*1.03,IF(AND(BX48&lt;0,$E48="Dengede"),MAX($F48:$G48,150)*1.03*BX48,MIN($F48:$G48)*0.97*BX48)))))))))</f>
        <v/>
      </c>
      <c r="BZ48" s="34">
        <f>BE48-BV48-CA48</f>
        <v/>
      </c>
      <c r="CA48" s="34">
        <f>BD48</f>
        <v/>
      </c>
      <c r="CB48" s="33">
        <f>BE48-BV48</f>
        <v/>
      </c>
      <c r="CC48" s="34">
        <f>IF(AY48=0,0,CB48/AY48)</f>
        <v/>
      </c>
      <c r="CD48" s="34">
        <f>MAX((AY48+MAX((-J48+L48-N48+Q48-T48+X48),0)),(MAX((J48-L48+N48-Q48+T48-X48),0)))</f>
        <v/>
      </c>
      <c r="CE48" s="82">
        <f>IFERROR(ABS(BX48/CD48),0)</f>
        <v/>
      </c>
      <c r="CF48" s="34">
        <f>IF(CE48&lt;=0.1,0,BX48/CE48*(CE48-0.1))</f>
        <v/>
      </c>
      <c r="CG48" s="34">
        <f>IF((CF48)&lt;0,MAX(F48:G48)*(CF48)*1.03,MIN(F48:G48)*(CF48)*0.97)</f>
        <v/>
      </c>
      <c r="CH48" s="34">
        <f>IF(CE48&gt;0.1,1,0)</f>
        <v/>
      </c>
      <c r="CI48" s="34">
        <f>(F48*BX48)-BY48</f>
        <v/>
      </c>
      <c r="CJ48" s="34">
        <f>IF(AY48=0,0,CI48/AY48)</f>
        <v/>
      </c>
    </row>
    <row r="49">
      <c r="A49" s="29" t="n">
        <v>46205.91666666666</v>
      </c>
      <c r="B49" s="29" t="inlineStr">
        <is>
          <t>22:00</t>
        </is>
      </c>
      <c r="C49" s="35">
        <f>INT(A49)</f>
        <v/>
      </c>
      <c r="D49" s="36">
        <f>MONTH(A49)</f>
        <v/>
      </c>
      <c r="E49" s="147">
        <f>[1]FİYATLAR!G48</f>
        <v/>
      </c>
      <c r="F49" s="30" t="n">
        <v>4000.01</v>
      </c>
      <c r="G49" s="30" t="n">
        <v>4048</v>
      </c>
      <c r="H49" s="30" t="n">
        <v>85.88</v>
      </c>
      <c r="I49" s="30" t="n">
        <v>3941.25</v>
      </c>
      <c r="J49" s="119" t="n">
        <v>0</v>
      </c>
      <c r="K49" s="34">
        <f>F49*J49</f>
        <v/>
      </c>
      <c r="L49" s="119" t="n">
        <v>0</v>
      </c>
      <c r="M49" s="34">
        <f>L49*F49</f>
        <v/>
      </c>
      <c r="N49" s="119" t="n">
        <v>16</v>
      </c>
      <c r="O49" s="34">
        <f>F49</f>
        <v/>
      </c>
      <c r="P49" s="34">
        <f>N49*O49</f>
        <v/>
      </c>
      <c r="Q49" s="119" t="n">
        <v>0</v>
      </c>
      <c r="R49" s="34">
        <f>F49</f>
        <v/>
      </c>
      <c r="S49" s="34">
        <f>R49*Q49</f>
        <v/>
      </c>
      <c r="T49" s="34">
        <f>SUMIFS('[1]GİP VERİLERİ'!$C:$C,'[1]GİP VERİLERİ'!$B:$B,A49,'[1]GİP VERİLERİ'!$M:$M,"40X000000104782K",'[1]GİP VERİLERİ'!$G:$G,"SELL")</f>
        <v/>
      </c>
      <c r="U49" s="34">
        <f>IFERROR(W49/T49,0)</f>
        <v/>
      </c>
      <c r="V49" s="34">
        <f>IF(U49=0,0,U49-F49)</f>
        <v/>
      </c>
      <c r="W49" s="34">
        <f>SUMIFS('[1]GİP VERİLERİ'!$O:$O,'[1]GİP VERİLERİ'!$B:$B,A49,'[1]GİP VERİLERİ'!$M:$M,"40X000000104782K",'[1]GİP VERİLERİ'!$G:$G,"SELL")</f>
        <v/>
      </c>
      <c r="X49" s="34">
        <f>SUMIFS('[1]GİP VERİLERİ'!$C:$C,'[1]GİP VERİLERİ'!$B:$B,A49,'[1]GİP VERİLERİ'!$M:$M,"40X000000104782K",'[1]GİP VERİLERİ'!$G:$G,"BUY")</f>
        <v/>
      </c>
      <c r="Y49" s="34">
        <f>IFERROR(AA49/X49,0)</f>
        <v/>
      </c>
      <c r="Z49" s="34">
        <f>IF(Y49=0,0,F49-Y49)</f>
        <v/>
      </c>
      <c r="AA49" s="34">
        <f>SUMIFS('[1]GİP VERİLERİ'!$O:$O,'[1]GİP VERİLERİ'!$B:$B,A49,'[1]GİP VERİLERİ'!$M:$M,"40X000000104782K",'[1]GİP VERİLERİ'!$G:$G,"BUY")</f>
        <v/>
      </c>
      <c r="AB49" s="34" t="n">
        <v>0</v>
      </c>
      <c r="AC49" s="34" t="n">
        <v>0</v>
      </c>
      <c r="AD49" s="34">
        <f>IF(AB49&gt;AC49*1.05,AB49-AC49*1.05,IF(AB49&lt;AC49*0.95,AC49*0.95-AB49,0))</f>
        <v/>
      </c>
      <c r="AE49" s="34">
        <f>MAX(F49,G49,750)*0.05*AD49</f>
        <v/>
      </c>
      <c r="AF49" s="34" t="n">
        <v>0</v>
      </c>
      <c r="AG49" s="34">
        <f>IF(AB49&gt;AF49*1.05,AB49-AF49*1.05,IF(AB49&lt;AF49*0.95,AF49*0.95-AB49,0))</f>
        <v/>
      </c>
      <c r="AH49" s="34">
        <f>MAX(I49,J49,750)*0.05*AG49</f>
        <v/>
      </c>
      <c r="AI49" t="n">
        <v>9.15</v>
      </c>
      <c r="AJ49" t="n">
        <v>7</v>
      </c>
      <c r="AK49" s="34">
        <f>IF(AI49&gt;AJ49*1.05,AI49-AJ49*1.05,IF(AI49&lt;AJ49*0.95,AJ49*0.95-AI49,0))</f>
        <v/>
      </c>
      <c r="AL49" s="34">
        <f>MAX(F49,G49,750)*0.05*AK49</f>
        <v/>
      </c>
      <c r="AM49" s="39" t="n">
        <v>9</v>
      </c>
      <c r="AN49" s="34">
        <f>IF(AI49&gt;AM49*1.05,AI49-AM49*1.05,IF(AI49&lt;AM49*0.95,AM49*0.95-AI49,0))</f>
        <v/>
      </c>
      <c r="AO49" s="34">
        <f>MAX(F49,G49,750)*0.05*AN49</f>
        <v/>
      </c>
      <c r="AP49" s="34" t="n">
        <v>12.02</v>
      </c>
      <c r="AQ49" s="34" t="n">
        <v>9</v>
      </c>
      <c r="AR49" s="34">
        <f>IF(AP49&gt;AQ49*1.05,AP49-AQ49*1.05,IF(AP49&lt;AQ49*0.95,AQ49*0.95-AP49,0))</f>
        <v/>
      </c>
      <c r="AS49" s="34">
        <f>MAX(F49:G49,750)*0.05*AR49</f>
        <v/>
      </c>
      <c r="AT49" t="n">
        <v>12</v>
      </c>
      <c r="AU49" s="34">
        <f>IF(AP49&gt;AT49*1.05,AP49-AT49*1.05,IF(AP49&lt;AT49*0.95,AT49*0.95-AP49,0))</f>
        <v/>
      </c>
      <c r="AV49" s="34">
        <f>MAX(F49:G49,750)*0.05*AU49</f>
        <v/>
      </c>
      <c r="AW49" s="34">
        <f>AC49+AJ49+AQ49</f>
        <v/>
      </c>
      <c r="AX49" s="34">
        <f>AF49+AM49+AT49</f>
        <v/>
      </c>
      <c r="AY49" s="34">
        <f>AB49+AI49+AP49</f>
        <v/>
      </c>
      <c r="AZ49" s="34" t="n">
        <v>0</v>
      </c>
      <c r="BA49" s="34">
        <f>AD49+AK49+AR49</f>
        <v/>
      </c>
      <c r="BB49" s="34">
        <f>MAX(F49:G49,750)*0.05*BA49</f>
        <v/>
      </c>
      <c r="BC49" s="34">
        <f>AG49+AN49+AU49</f>
        <v/>
      </c>
      <c r="BD49" s="34">
        <f>MAX(F49:G49,750)*0.05*BC49</f>
        <v/>
      </c>
      <c r="BE49" s="34">
        <f>F49*AY49</f>
        <v/>
      </c>
      <c r="BF49" s="34">
        <f>K49-M49</f>
        <v/>
      </c>
      <c r="BG49" s="34">
        <f>P49-S49</f>
        <v/>
      </c>
      <c r="BH49" s="34">
        <f>W49-AA49</f>
        <v/>
      </c>
      <c r="BI49" s="34">
        <f>BF49+BG49+BL49-BN49</f>
        <v/>
      </c>
      <c r="BJ49" s="34">
        <f>ABS(BK49)</f>
        <v/>
      </c>
      <c r="BK49" s="34">
        <f>AY49-(J49-L49+N49-Q49)</f>
        <v/>
      </c>
      <c r="BL49" s="34">
        <f>IF(AND(BK49&gt;0,MIN($F49:$G49)&lt;150,$E49="Enerji Açığı"),-100*BK49*1.03,IF(AND(BK49&gt;0,MIN($F49:$G49)&lt;150,$E49="Enerji Fazlası"),-100*BK49*1.06,IF(AND(BK49&gt;0,MIN($F49:$G49)&gt;=150,$E49="Enerji Açığı"),BK49*MIN($F49:$G49)*0.97,IF(AND(BK49&gt;0,MIN($F49:$G49)&gt;=150,$E49="Enerji Fazlası"),BK49*MIN($F49:$G49)*0.94,IF(AND(BK49&lt;0,MAX($F49:$G49)=4500,$E49="Enerji Açığı"),4500*1.05*1.06*BK49,IF(AND(BK49&lt;0,MAX($F49:$G49)=4500,$E49="Enerji Fazlası"),4500*1.05*1.03*BK49,IF(AND(BK49&lt;0,$E49="Enerji Açığı"),MAX($F49,$G49,150)*BK49*1.06,IF(AND(BK49&lt;0,$E49="Enerji Fazlası"),MAX($F49,$G49,150)*BK49*1.03,IF(AND(BK49&lt;0,$E49="Dengede"),MAX($F49:$G49,150)*1.03*BK49,MIN($F49:$G49)*0.97*BK49)))))))))</f>
        <v/>
      </c>
      <c r="BM49" s="34">
        <f>BE49-BI49-BN49</f>
        <v/>
      </c>
      <c r="BN49" s="34">
        <f>BB49</f>
        <v/>
      </c>
      <c r="BO49" s="34">
        <f>BE49-BI49</f>
        <v/>
      </c>
      <c r="BP49" s="34">
        <f>IF(AY49=0,0,BO49/AY49)</f>
        <v/>
      </c>
      <c r="BQ49" s="34">
        <f>MAX((AY49+MAX((-J49+L49-N49+Q49),0)),(MAX((J49-L49+N49-Q49),0)))</f>
        <v/>
      </c>
      <c r="BR49" s="82">
        <f>IFERROR(ABS(BK49/BQ49),0)</f>
        <v/>
      </c>
      <c r="BS49" s="34">
        <f>IF(BR49&lt;=0.1,0,BK49/BR49*(BR49-0.1))</f>
        <v/>
      </c>
      <c r="BT49" s="34">
        <f>IF((BS49)&lt;0,MAX(F49:G49)*(BS49)*1.03,MIN(F49:G49)*(BS49)*0.97)</f>
        <v/>
      </c>
      <c r="BU49" s="34">
        <f>IF(BR49&gt;0.1,1,0)</f>
        <v/>
      </c>
      <c r="BV49" s="34">
        <f>BF49+BG49+BH49+BY49-CA49</f>
        <v/>
      </c>
      <c r="BW49" s="34">
        <f>ABS(BX49)</f>
        <v/>
      </c>
      <c r="BX49" s="34">
        <f>AY49-(J49-L49+N49-Q49+T49-X49)</f>
        <v/>
      </c>
      <c r="BY49" s="34">
        <f>IF(AND(BX49&gt;0,MIN($F49:$G49)&lt;150,$E49="Enerji Açığı"),-100*BX49*1.03,IF(AND(BX49&gt;0,MIN($F49:$G49)&lt;150,$E49="Enerji Fazlası"),-100*BX49*1.06,IF(AND(BX49&gt;0,MIN($F49:$G49)&gt;=150,$E49="Enerji Açığı"),BX49*MIN($F49:$G49)*0.97,IF(AND(BX49&gt;0,MIN($F49:$G49)&gt;=150,$E49="Enerji Fazlası"),BX49*MIN($F49:$G49)*0.94,IF(AND(BX49&lt;0,MAX($F49:$G49)=4500,$E49="Enerji Açığı"),4500*1.05*1.06*BX49,IF(AND(BX49&lt;0,MAX($F49:$G49)=4500,$E49="Enerji Fazlası"),4500*1.05*1.03*BX49,IF(AND(BX49&lt;0,$E49="Enerji Açığı"),MAX($F49,$G49,150)*BX49*1.06,IF(AND(BX49&lt;0,$E49="Enerji Fazlası"),MAX($F49,$G49,150)*BX49*1.03,IF(AND(BX49&lt;0,$E49="Dengede"),MAX($F49:$G49,150)*1.03*BX49,MIN($F49:$G49)*0.97*BX49)))))))))</f>
        <v/>
      </c>
      <c r="BZ49" s="34">
        <f>BE49-BV49-CA49</f>
        <v/>
      </c>
      <c r="CA49" s="34">
        <f>BD49</f>
        <v/>
      </c>
      <c r="CB49" s="33">
        <f>BE49-BV49</f>
        <v/>
      </c>
      <c r="CC49" s="34">
        <f>IF(AY49=0,0,CB49/AY49)</f>
        <v/>
      </c>
      <c r="CD49" s="34">
        <f>MAX((AY49+MAX((-J49+L49-N49+Q49-T49+X49),0)),(MAX((J49-L49+N49-Q49+T49-X49),0)))</f>
        <v/>
      </c>
      <c r="CE49" s="82">
        <f>IFERROR(ABS(BX49/CD49),0)</f>
        <v/>
      </c>
      <c r="CF49" s="34">
        <f>IF(CE49&lt;=0.1,0,BX49/CE49*(CE49-0.1))</f>
        <v/>
      </c>
      <c r="CG49" s="34">
        <f>IF((CF49)&lt;0,MAX(F49:G49)*(CF49)*1.03,MIN(F49:G49)*(CF49)*0.97)</f>
        <v/>
      </c>
      <c r="CH49" s="34">
        <f>IF(CE49&gt;0.1,1,0)</f>
        <v/>
      </c>
      <c r="CI49" s="34">
        <f>(F49*BX49)-BY49</f>
        <v/>
      </c>
      <c r="CJ49" s="34">
        <f>IF(AY49=0,0,CI49/AY49)</f>
        <v/>
      </c>
    </row>
    <row r="50">
      <c r="A50" s="29" t="n">
        <v>46205.95833333334</v>
      </c>
      <c r="B50" s="29" t="inlineStr">
        <is>
          <t>23:00</t>
        </is>
      </c>
      <c r="C50" s="35">
        <f>INT(A50)</f>
        <v/>
      </c>
      <c r="D50" s="36">
        <f>MONTH(A50)</f>
        <v/>
      </c>
      <c r="E50" s="147">
        <f>[1]FİYATLAR!G49</f>
        <v/>
      </c>
      <c r="F50" s="30" t="n">
        <v>3499.4</v>
      </c>
      <c r="G50" s="30" t="n">
        <v>3499.4</v>
      </c>
      <c r="H50" s="30" t="n">
        <v>75.14</v>
      </c>
      <c r="I50" s="30" t="n">
        <v>3256.81</v>
      </c>
      <c r="J50" s="119" t="n">
        <v>0</v>
      </c>
      <c r="K50" s="34">
        <f>F50*J50</f>
        <v/>
      </c>
      <c r="L50" s="119" t="n">
        <v>0</v>
      </c>
      <c r="M50" s="34">
        <f>L50*F50</f>
        <v/>
      </c>
      <c r="N50" s="119" t="n">
        <v>16</v>
      </c>
      <c r="O50" s="34">
        <f>F50</f>
        <v/>
      </c>
      <c r="P50" s="34">
        <f>N50*O50</f>
        <v/>
      </c>
      <c r="Q50" s="119" t="n">
        <v>0</v>
      </c>
      <c r="R50" s="34">
        <f>F50</f>
        <v/>
      </c>
      <c r="S50" s="34">
        <f>R50*Q50</f>
        <v/>
      </c>
      <c r="T50" s="34">
        <f>SUMIFS('[1]GİP VERİLERİ'!$C:$C,'[1]GİP VERİLERİ'!$B:$B,A50,'[1]GİP VERİLERİ'!$M:$M,"40X000000104782K",'[1]GİP VERİLERİ'!$G:$G,"SELL")</f>
        <v/>
      </c>
      <c r="U50" s="34">
        <f>IFERROR(W50/T50,0)</f>
        <v/>
      </c>
      <c r="V50" s="34">
        <f>IF(U50=0,0,U50-F50)</f>
        <v/>
      </c>
      <c r="W50" s="34">
        <f>SUMIFS('[1]GİP VERİLERİ'!$O:$O,'[1]GİP VERİLERİ'!$B:$B,A50,'[1]GİP VERİLERİ'!$M:$M,"40X000000104782K",'[1]GİP VERİLERİ'!$G:$G,"SELL")</f>
        <v/>
      </c>
      <c r="X50" s="34">
        <f>SUMIFS('[1]GİP VERİLERİ'!$C:$C,'[1]GİP VERİLERİ'!$B:$B,A50,'[1]GİP VERİLERİ'!$M:$M,"40X000000104782K",'[1]GİP VERİLERİ'!$G:$G,"BUY")</f>
        <v/>
      </c>
      <c r="Y50" s="34">
        <f>IFERROR(AA50/X50,0)</f>
        <v/>
      </c>
      <c r="Z50" s="34">
        <f>IF(Y50=0,0,F50-Y50)</f>
        <v/>
      </c>
      <c r="AA50" s="34">
        <f>SUMIFS('[1]GİP VERİLERİ'!$O:$O,'[1]GİP VERİLERİ'!$B:$B,A50,'[1]GİP VERİLERİ'!$M:$M,"40X000000104782K",'[1]GİP VERİLERİ'!$G:$G,"BUY")</f>
        <v/>
      </c>
      <c r="AB50" s="34" t="n">
        <v>0</v>
      </c>
      <c r="AC50" s="34" t="n">
        <v>0</v>
      </c>
      <c r="AD50" s="34">
        <f>IF(AB50&gt;AC50*1.05,AB50-AC50*1.05,IF(AB50&lt;AC50*0.95,AC50*0.95-AB50,0))</f>
        <v/>
      </c>
      <c r="AE50" s="34">
        <f>MAX(F50,G50,750)*0.05*AD50</f>
        <v/>
      </c>
      <c r="AF50" s="34" t="n">
        <v>0</v>
      </c>
      <c r="AG50" s="34">
        <f>IF(AB50&gt;AF50*1.05,AB50-AF50*1.05,IF(AB50&lt;AF50*0.95,AF50*0.95-AB50,0))</f>
        <v/>
      </c>
      <c r="AH50" s="34">
        <f>MAX(I50,J50,750)*0.05*AG50</f>
        <v/>
      </c>
      <c r="AI50" t="n">
        <v>10.16</v>
      </c>
      <c r="AJ50" t="n">
        <v>7</v>
      </c>
      <c r="AK50" s="34">
        <f>IF(AI50&gt;AJ50*1.05,AI50-AJ50*1.05,IF(AI50&lt;AJ50*0.95,AJ50*0.95-AI50,0))</f>
        <v/>
      </c>
      <c r="AL50" s="34">
        <f>MAX(F50,G50,750)*0.05*AK50</f>
        <v/>
      </c>
      <c r="AM50" s="39" t="n">
        <v>10</v>
      </c>
      <c r="AN50" s="34">
        <f>IF(AI50&gt;AM50*1.05,AI50-AM50*1.05,IF(AI50&lt;AM50*0.95,AM50*0.95-AI50,0))</f>
        <v/>
      </c>
      <c r="AO50" s="34">
        <f>MAX(F50,G50,750)*0.05*AN50</f>
        <v/>
      </c>
      <c r="AP50" s="34" t="n">
        <v>12.05</v>
      </c>
      <c r="AQ50" s="34" t="n">
        <v>9</v>
      </c>
      <c r="AR50" s="34">
        <f>IF(AP50&gt;AQ50*1.05,AP50-AQ50*1.05,IF(AP50&lt;AQ50*0.95,AQ50*0.95-AP50,0))</f>
        <v/>
      </c>
      <c r="AS50" s="34">
        <f>MAX(F50:G50,750)*0.05*AR50</f>
        <v/>
      </c>
      <c r="AT50" t="n">
        <v>12</v>
      </c>
      <c r="AU50" s="34">
        <f>IF(AP50&gt;AT50*1.05,AP50-AT50*1.05,IF(AP50&lt;AT50*0.95,AT50*0.95-AP50,0))</f>
        <v/>
      </c>
      <c r="AV50" s="34">
        <f>MAX(F50:G50,750)*0.05*AU50</f>
        <v/>
      </c>
      <c r="AW50" s="34">
        <f>AC50+AJ50+AQ50</f>
        <v/>
      </c>
      <c r="AX50" s="34">
        <f>AF50+AM50+AT50</f>
        <v/>
      </c>
      <c r="AY50" s="34">
        <f>AB50+AI50+AP50</f>
        <v/>
      </c>
      <c r="AZ50" s="34" t="n">
        <v>0</v>
      </c>
      <c r="BA50" s="34">
        <f>AD50+AK50+AR50</f>
        <v/>
      </c>
      <c r="BB50" s="34">
        <f>MAX(F50:G50,750)*0.05*BA50</f>
        <v/>
      </c>
      <c r="BC50" s="34">
        <f>AG50+AN50+AU50</f>
        <v/>
      </c>
      <c r="BD50" s="34">
        <f>MAX(F50:G50,750)*0.05*BC50</f>
        <v/>
      </c>
      <c r="BE50" s="34">
        <f>F50*AY50</f>
        <v/>
      </c>
      <c r="BF50" s="34">
        <f>K50-M50</f>
        <v/>
      </c>
      <c r="BG50" s="34">
        <f>P50-S50</f>
        <v/>
      </c>
      <c r="BH50" s="34">
        <f>W50-AA50</f>
        <v/>
      </c>
      <c r="BI50" s="34">
        <f>BF50+BG50+BL50-BN50</f>
        <v/>
      </c>
      <c r="BJ50" s="34">
        <f>ABS(BK50)</f>
        <v/>
      </c>
      <c r="BK50" s="34">
        <f>AY50-(J50-L50+N50-Q50)</f>
        <v/>
      </c>
      <c r="BL50" s="34">
        <f>IF(AND(BK50&gt;0,MIN($F50:$G50)&lt;150,$E50="Enerji Açığı"),-100*BK50*1.03,IF(AND(BK50&gt;0,MIN($F50:$G50)&lt;150,$E50="Enerji Fazlası"),-100*BK50*1.06,IF(AND(BK50&gt;0,MIN($F50:$G50)&gt;=150,$E50="Enerji Açığı"),BK50*MIN($F50:$G50)*0.97,IF(AND(BK50&gt;0,MIN($F50:$G50)&gt;=150,$E50="Enerji Fazlası"),BK50*MIN($F50:$G50)*0.94,IF(AND(BK50&lt;0,MAX($F50:$G50)=4500,$E50="Enerji Açığı"),4500*1.05*1.06*BK50,IF(AND(BK50&lt;0,MAX($F50:$G50)=4500,$E50="Enerji Fazlası"),4500*1.05*1.03*BK50,IF(AND(BK50&lt;0,$E50="Enerji Açığı"),MAX($F50,$G50,150)*BK50*1.06,IF(AND(BK50&lt;0,$E50="Enerji Fazlası"),MAX($F50,$G50,150)*BK50*1.03,IF(AND(BK50&lt;0,$E50="Dengede"),MAX($F50:$G50,150)*1.03*BK50,MIN($F50:$G50)*0.97*BK50)))))))))</f>
        <v/>
      </c>
      <c r="BM50" s="34">
        <f>BE50-BI50-BN50</f>
        <v/>
      </c>
      <c r="BN50" s="34">
        <f>BB50</f>
        <v/>
      </c>
      <c r="BO50" s="34">
        <f>BE50-BI50</f>
        <v/>
      </c>
      <c r="BP50" s="34">
        <f>IF(AY50=0,0,BO50/AY50)</f>
        <v/>
      </c>
      <c r="BQ50" s="34">
        <f>MAX((AY50+MAX((-J50+L50-N50+Q50),0)),(MAX((J50-L50+N50-Q50),0)))</f>
        <v/>
      </c>
      <c r="BR50" s="82">
        <f>IFERROR(ABS(BK50/BQ50),0)</f>
        <v/>
      </c>
      <c r="BS50" s="34">
        <f>IF(BR50&lt;=0.1,0,BK50/BR50*(BR50-0.1))</f>
        <v/>
      </c>
      <c r="BT50" s="34">
        <f>IF((BS50)&lt;0,MAX(F50:G50)*(BS50)*1.03,MIN(F50:G50)*(BS50)*0.97)</f>
        <v/>
      </c>
      <c r="BU50" s="34">
        <f>IF(BR50&gt;0.1,1,0)</f>
        <v/>
      </c>
      <c r="BV50" s="34">
        <f>BF50+BG50+BH50+BY50-CA50</f>
        <v/>
      </c>
      <c r="BW50" s="34">
        <f>ABS(BX50)</f>
        <v/>
      </c>
      <c r="BX50" s="34">
        <f>AY50-(J50-L50+N50-Q50+T50-X50)</f>
        <v/>
      </c>
      <c r="BY50" s="34">
        <f>IF(AND(BX50&gt;0,MIN($F50:$G50)&lt;150,$E50="Enerji Açığı"),-100*BX50*1.03,IF(AND(BX50&gt;0,MIN($F50:$G50)&lt;150,$E50="Enerji Fazlası"),-100*BX50*1.06,IF(AND(BX50&gt;0,MIN($F50:$G50)&gt;=150,$E50="Enerji Açığı"),BX50*MIN($F50:$G50)*0.97,IF(AND(BX50&gt;0,MIN($F50:$G50)&gt;=150,$E50="Enerji Fazlası"),BX50*MIN($F50:$G50)*0.94,IF(AND(BX50&lt;0,MAX($F50:$G50)=4500,$E50="Enerji Açığı"),4500*1.05*1.06*BX50,IF(AND(BX50&lt;0,MAX($F50:$G50)=4500,$E50="Enerji Fazlası"),4500*1.05*1.03*BX50,IF(AND(BX50&lt;0,$E50="Enerji Açığı"),MAX($F50,$G50,150)*BX50*1.06,IF(AND(BX50&lt;0,$E50="Enerji Fazlası"),MAX($F50,$G50,150)*BX50*1.03,IF(AND(BX50&lt;0,$E50="Dengede"),MAX($F50:$G50,150)*1.03*BX50,MIN($F50:$G50)*0.97*BX50)))))))))</f>
        <v/>
      </c>
      <c r="BZ50" s="34">
        <f>BE50-BV50-CA50</f>
        <v/>
      </c>
      <c r="CA50" s="34">
        <f>BD50</f>
        <v/>
      </c>
      <c r="CB50" s="33">
        <f>BE50-BV50</f>
        <v/>
      </c>
      <c r="CC50" s="34">
        <f>IF(AY50=0,0,CB50/AY50)</f>
        <v/>
      </c>
      <c r="CD50" s="34">
        <f>MAX((AY50+MAX((-J50+L50-N50+Q50-T50+X50),0)),(MAX((J50-L50+N50-Q50+T50-X50),0)))</f>
        <v/>
      </c>
      <c r="CE50" s="82">
        <f>IFERROR(ABS(BX50/CD50),0)</f>
        <v/>
      </c>
      <c r="CF50" s="34">
        <f>IF(CE50&lt;=0.1,0,BX50/CE50*(CE50-0.1))</f>
        <v/>
      </c>
      <c r="CG50" s="34">
        <f>IF((CF50)&lt;0,MAX(F50:G50)*(CF50)*1.03,MIN(F50:G50)*(CF50)*0.97)</f>
        <v/>
      </c>
      <c r="CH50" s="34">
        <f>IF(CE50&gt;0.1,1,0)</f>
        <v/>
      </c>
      <c r="CI50" s="34">
        <f>(F50*BX50)-BY50</f>
        <v/>
      </c>
      <c r="CJ50" s="34">
        <f>IF(AY50=0,0,CI50/AY50)</f>
        <v/>
      </c>
    </row>
    <row r="51">
      <c r="A51" s="29" t="n">
        <v>46206</v>
      </c>
      <c r="B51" s="29" t="inlineStr">
        <is>
          <t>00:00</t>
        </is>
      </c>
      <c r="C51" s="35">
        <f>INT(A51)</f>
        <v/>
      </c>
      <c r="D51" s="36">
        <f>MONTH(A51)</f>
        <v/>
      </c>
      <c r="E51" s="147">
        <f>[1]FİYATLAR!G50</f>
        <v/>
      </c>
      <c r="F51" s="30" t="n">
        <v>3500.99</v>
      </c>
      <c r="G51" s="30" t="n">
        <v>3600</v>
      </c>
      <c r="H51" s="30" t="n">
        <v>75.15000000000001</v>
      </c>
      <c r="I51" s="30" t="n">
        <v>3407.05</v>
      </c>
      <c r="J51" s="119" t="n">
        <v>0</v>
      </c>
      <c r="K51" s="34">
        <f>F51*J51</f>
        <v/>
      </c>
      <c r="L51" s="119" t="n">
        <v>0</v>
      </c>
      <c r="M51" s="34">
        <f>L51*F51</f>
        <v/>
      </c>
      <c r="N51" s="119" t="n">
        <v>19</v>
      </c>
      <c r="O51" s="34">
        <f>F51</f>
        <v/>
      </c>
      <c r="P51" s="34">
        <f>N51*O51</f>
        <v/>
      </c>
      <c r="Q51" s="119" t="n">
        <v>0</v>
      </c>
      <c r="R51" s="34">
        <f>F51</f>
        <v/>
      </c>
      <c r="S51" s="34">
        <f>R51*Q51</f>
        <v/>
      </c>
      <c r="T51" s="34">
        <f>SUMIFS('[1]GİP VERİLERİ'!$C:$C,'[1]GİP VERİLERİ'!$B:$B,A51,'[1]GİP VERİLERİ'!$M:$M,"40X000000104782K",'[1]GİP VERİLERİ'!$G:$G,"SELL")</f>
        <v/>
      </c>
      <c r="U51" s="34">
        <f>IFERROR(W51/T51,0)</f>
        <v/>
      </c>
      <c r="V51" s="34">
        <f>IF(U51=0,0,U51-F51)</f>
        <v/>
      </c>
      <c r="W51" s="34">
        <f>SUMIFS('[1]GİP VERİLERİ'!$O:$O,'[1]GİP VERİLERİ'!$B:$B,A51,'[1]GİP VERİLERİ'!$M:$M,"40X000000104782K",'[1]GİP VERİLERİ'!$G:$G,"SELL")</f>
        <v/>
      </c>
      <c r="X51" s="34">
        <f>SUMIFS('[1]GİP VERİLERİ'!$C:$C,'[1]GİP VERİLERİ'!$B:$B,A51,'[1]GİP VERİLERİ'!$M:$M,"40X000000104782K",'[1]GİP VERİLERİ'!$G:$G,"BUY")</f>
        <v/>
      </c>
      <c r="Y51" s="34">
        <f>IFERROR(AA51/X51,0)</f>
        <v/>
      </c>
      <c r="Z51" s="34">
        <f>IF(Y51=0,0,F51-Y51)</f>
        <v/>
      </c>
      <c r="AA51" s="34">
        <f>SUMIFS('[1]GİP VERİLERİ'!$O:$O,'[1]GİP VERİLERİ'!$B:$B,A51,'[1]GİP VERİLERİ'!$M:$M,"40X000000104782K",'[1]GİP VERİLERİ'!$G:$G,"BUY")</f>
        <v/>
      </c>
      <c r="AB51" s="34" t="n">
        <v>0</v>
      </c>
      <c r="AC51" s="34" t="n">
        <v>0</v>
      </c>
      <c r="AD51" s="34">
        <f>IF(AB51&gt;AC51*1.05,AB51-AC51*1.05,IF(AB51&lt;AC51*0.95,AC51*0.95-AB51,0))</f>
        <v/>
      </c>
      <c r="AE51" s="34">
        <f>MAX(F51,G51,750)*0.05*AD51</f>
        <v/>
      </c>
      <c r="AF51" s="34" t="n">
        <v>0</v>
      </c>
      <c r="AG51" s="34">
        <f>IF(AB51&gt;AF51*1.05,AB51-AF51*1.05,IF(AB51&lt;AF51*0.95,AF51*0.95-AB51,0))</f>
        <v/>
      </c>
      <c r="AH51" s="34">
        <f>MAX(I51,J51,750)*0.05*AG51</f>
        <v/>
      </c>
      <c r="AI51" t="n">
        <v>10.15</v>
      </c>
      <c r="AJ51" t="n">
        <v>8</v>
      </c>
      <c r="AK51" s="34">
        <f>IF(AI51&gt;AJ51*1.05,AI51-AJ51*1.05,IF(AI51&lt;AJ51*0.95,AJ51*0.95-AI51,0))</f>
        <v/>
      </c>
      <c r="AL51" s="34">
        <f>MAX(F51,G51,750)*0.05*AK51</f>
        <v/>
      </c>
      <c r="AM51" s="39" t="n">
        <v>10</v>
      </c>
      <c r="AN51" s="34">
        <f>IF(AI51&gt;AM51*1.05,AI51-AM51*1.05,IF(AI51&lt;AM51*0.95,AM51*0.95-AI51,0))</f>
        <v/>
      </c>
      <c r="AO51" s="34">
        <f>MAX(F51,G51,750)*0.05*AN51</f>
        <v/>
      </c>
      <c r="AP51" s="34" t="n">
        <v>12.1</v>
      </c>
      <c r="AQ51" s="34" t="n">
        <v>11</v>
      </c>
      <c r="AR51" s="34">
        <f>IF(AP51&gt;AQ51*1.05,AP51-AQ51*1.05,IF(AP51&lt;AQ51*0.95,AQ51*0.95-AP51,0))</f>
        <v/>
      </c>
      <c r="AS51" s="34">
        <f>MAX(F51:G51,750)*0.05*AR51</f>
        <v/>
      </c>
      <c r="AT51" t="n">
        <v>12</v>
      </c>
      <c r="AU51" s="34">
        <f>IF(AP51&gt;AT51*1.05,AP51-AT51*1.05,IF(AP51&lt;AT51*0.95,AT51*0.95-AP51,0))</f>
        <v/>
      </c>
      <c r="AV51" s="34">
        <f>MAX(F51:G51,750)*0.05*AU51</f>
        <v/>
      </c>
      <c r="AW51" s="34">
        <f>AC51+AJ51+AQ51</f>
        <v/>
      </c>
      <c r="AX51" s="34">
        <f>AF51+AM51+AT51</f>
        <v/>
      </c>
      <c r="AY51" s="34">
        <f>AB51+AI51+AP51</f>
        <v/>
      </c>
      <c r="AZ51" s="34" t="n">
        <v>0</v>
      </c>
      <c r="BA51" s="34">
        <f>AD51+AK51+AR51</f>
        <v/>
      </c>
      <c r="BB51" s="34">
        <f>MAX(F51:G51,750)*0.05*BA51</f>
        <v/>
      </c>
      <c r="BC51" s="34">
        <f>AG51+AN51+AU51</f>
        <v/>
      </c>
      <c r="BD51" s="34">
        <f>MAX(F51:G51,750)*0.05*BC51</f>
        <v/>
      </c>
      <c r="BE51" s="34">
        <f>F51*AY51</f>
        <v/>
      </c>
      <c r="BF51" s="34">
        <f>K51-M51</f>
        <v/>
      </c>
      <c r="BG51" s="34">
        <f>P51-S51</f>
        <v/>
      </c>
      <c r="BH51" s="34">
        <f>W51-AA51</f>
        <v/>
      </c>
      <c r="BI51" s="34">
        <f>BF51+BG51+BL51-BN51</f>
        <v/>
      </c>
      <c r="BJ51" s="34">
        <f>ABS(BK51)</f>
        <v/>
      </c>
      <c r="BK51" s="34">
        <f>AY51-(J51-L51+N51-Q51)</f>
        <v/>
      </c>
      <c r="BL51" s="34">
        <f>IF(AND(BK51&gt;0,MIN($F51:$G51)&lt;150,$E51="Enerji Açığı"),-100*BK51*1.03,IF(AND(BK51&gt;0,MIN($F51:$G51)&lt;150,$E51="Enerji Fazlası"),-100*BK51*1.06,IF(AND(BK51&gt;0,MIN($F51:$G51)&gt;=150,$E51="Enerji Açığı"),BK51*MIN($F51:$G51)*0.97,IF(AND(BK51&gt;0,MIN($F51:$G51)&gt;=150,$E51="Enerji Fazlası"),BK51*MIN($F51:$G51)*0.94,IF(AND(BK51&lt;0,MAX($F51:$G51)=4500,$E51="Enerji Açığı"),4500*1.05*1.06*BK51,IF(AND(BK51&lt;0,MAX($F51:$G51)=4500,$E51="Enerji Fazlası"),4500*1.05*1.03*BK51,IF(AND(BK51&lt;0,$E51="Enerji Açığı"),MAX($F51,$G51,150)*BK51*1.06,IF(AND(BK51&lt;0,$E51="Enerji Fazlası"),MAX($F51,$G51,150)*BK51*1.03,IF(AND(BK51&lt;0,$E51="Dengede"),MAX($F51:$G51,150)*1.03*BK51,MIN($F51:$G51)*0.97*BK51)))))))))</f>
        <v/>
      </c>
      <c r="BM51" s="34">
        <f>BE51-BI51-BN51</f>
        <v/>
      </c>
      <c r="BN51" s="34">
        <f>BB51</f>
        <v/>
      </c>
      <c r="BO51" s="34">
        <f>BE51-BI51</f>
        <v/>
      </c>
      <c r="BP51" s="34">
        <f>IF(AY51=0,0,BO51/AY51)</f>
        <v/>
      </c>
      <c r="BQ51" s="34">
        <f>MAX((AY51+MAX((-J51+L51-N51+Q51),0)),(MAX((J51-L51+N51-Q51),0)))</f>
        <v/>
      </c>
      <c r="BR51" s="82">
        <f>IFERROR(ABS(BK51/BQ51),0)</f>
        <v/>
      </c>
      <c r="BS51" s="34">
        <f>IF(BR51&lt;=0.1,0,BK51/BR51*(BR51-0.1))</f>
        <v/>
      </c>
      <c r="BT51" s="34">
        <f>IF((BS51)&lt;0,MAX(F51:G51)*(BS51)*1.03,MIN(F51:G51)*(BS51)*0.97)</f>
        <v/>
      </c>
      <c r="BU51" s="34">
        <f>IF(BR51&gt;0.1,1,0)</f>
        <v/>
      </c>
      <c r="BV51" s="34">
        <f>BF51+BG51+BH51+BY51-CA51</f>
        <v/>
      </c>
      <c r="BW51" s="34">
        <f>ABS(BX51)</f>
        <v/>
      </c>
      <c r="BX51" s="34">
        <f>AY51-(J51-L51+N51-Q51+T51-X51)</f>
        <v/>
      </c>
      <c r="BY51" s="34">
        <f>IF(AND(BX51&gt;0,MIN($F51:$G51)&lt;150,$E51="Enerji Açığı"),-100*BX51*1.03,IF(AND(BX51&gt;0,MIN($F51:$G51)&lt;150,$E51="Enerji Fazlası"),-100*BX51*1.06,IF(AND(BX51&gt;0,MIN($F51:$G51)&gt;=150,$E51="Enerji Açığı"),BX51*MIN($F51:$G51)*0.97,IF(AND(BX51&gt;0,MIN($F51:$G51)&gt;=150,$E51="Enerji Fazlası"),BX51*MIN($F51:$G51)*0.94,IF(AND(BX51&lt;0,MAX($F51:$G51)=4500,$E51="Enerji Açığı"),4500*1.05*1.06*BX51,IF(AND(BX51&lt;0,MAX($F51:$G51)=4500,$E51="Enerji Fazlası"),4500*1.05*1.03*BX51,IF(AND(BX51&lt;0,$E51="Enerji Açığı"),MAX($F51,$G51,150)*BX51*1.06,IF(AND(BX51&lt;0,$E51="Enerji Fazlası"),MAX($F51,$G51,150)*BX51*1.03,IF(AND(BX51&lt;0,$E51="Dengede"),MAX($F51:$G51,150)*1.03*BX51,MIN($F51:$G51)*0.97*BX51)))))))))</f>
        <v/>
      </c>
      <c r="BZ51" s="34">
        <f>BE51-BV51-CA51</f>
        <v/>
      </c>
      <c r="CA51" s="34">
        <f>BD51</f>
        <v/>
      </c>
      <c r="CB51" s="33">
        <f>BE51-BV51</f>
        <v/>
      </c>
      <c r="CC51" s="34">
        <f>IF(AY51=0,0,CB51/AY51)</f>
        <v/>
      </c>
      <c r="CD51" s="34">
        <f>MAX((AY51+MAX((-J51+L51-N51+Q51-T51+X51),0)),(MAX((J51-L51+N51-Q51+T51-X51),0)))</f>
        <v/>
      </c>
      <c r="CE51" s="82">
        <f>IFERROR(ABS(BX51/CD51),0)</f>
        <v/>
      </c>
      <c r="CF51" s="34">
        <f>IF(CE51&lt;=0.1,0,BX51/CE51*(CE51-0.1))</f>
        <v/>
      </c>
      <c r="CG51" s="34">
        <f>IF((CF51)&lt;0,MAX(F51:G51)*(CF51)*1.03,MIN(F51:G51)*(CF51)*0.97)</f>
        <v/>
      </c>
      <c r="CH51" s="34">
        <f>IF(CE51&gt;0.1,1,0)</f>
        <v/>
      </c>
      <c r="CI51" s="34">
        <f>(F51*BX51)-BY51</f>
        <v/>
      </c>
      <c r="CJ51" s="34">
        <f>IF(AY51=0,0,CI51/AY51)</f>
        <v/>
      </c>
    </row>
    <row r="52">
      <c r="A52" s="29" t="n">
        <v>46206.04166666666</v>
      </c>
      <c r="B52" s="29" t="inlineStr">
        <is>
          <t>01:00</t>
        </is>
      </c>
      <c r="C52" s="35">
        <f>INT(A52)</f>
        <v/>
      </c>
      <c r="D52" s="36">
        <f>MONTH(A52)</f>
        <v/>
      </c>
      <c r="E52" s="147">
        <f>[1]FİYATLAR!G51</f>
        <v/>
      </c>
      <c r="F52" s="30" t="n">
        <v>3000</v>
      </c>
      <c r="G52" s="30" t="n">
        <v>3101</v>
      </c>
      <c r="H52" s="30" t="n">
        <v>64.40000000000001</v>
      </c>
      <c r="I52" s="30" t="n">
        <v>3123.55</v>
      </c>
      <c r="J52" s="119" t="n">
        <v>0</v>
      </c>
      <c r="K52" s="34">
        <f>F52*J52</f>
        <v/>
      </c>
      <c r="L52" s="119" t="n">
        <v>0</v>
      </c>
      <c r="M52" s="34">
        <f>L52*F52</f>
        <v/>
      </c>
      <c r="N52" s="119" t="n">
        <v>19</v>
      </c>
      <c r="O52" s="34">
        <f>F52</f>
        <v/>
      </c>
      <c r="P52" s="34">
        <f>N52*O52</f>
        <v/>
      </c>
      <c r="Q52" s="119" t="n">
        <v>0</v>
      </c>
      <c r="R52" s="34">
        <f>F52</f>
        <v/>
      </c>
      <c r="S52" s="34">
        <f>R52*Q52</f>
        <v/>
      </c>
      <c r="T52" s="34">
        <f>SUMIFS('[1]GİP VERİLERİ'!$C:$C,'[1]GİP VERİLERİ'!$B:$B,A52,'[1]GİP VERİLERİ'!$M:$M,"40X000000104782K",'[1]GİP VERİLERİ'!$G:$G,"SELL")</f>
        <v/>
      </c>
      <c r="U52" s="34">
        <f>IFERROR(W52/T52,0)</f>
        <v/>
      </c>
      <c r="V52" s="34">
        <f>IF(U52=0,0,U52-F52)</f>
        <v/>
      </c>
      <c r="W52" s="34">
        <f>SUMIFS('[1]GİP VERİLERİ'!$O:$O,'[1]GİP VERİLERİ'!$B:$B,A52,'[1]GİP VERİLERİ'!$M:$M,"40X000000104782K",'[1]GİP VERİLERİ'!$G:$G,"SELL")</f>
        <v/>
      </c>
      <c r="X52" s="34">
        <f>SUMIFS('[1]GİP VERİLERİ'!$C:$C,'[1]GİP VERİLERİ'!$B:$B,A52,'[1]GİP VERİLERİ'!$M:$M,"40X000000104782K",'[1]GİP VERİLERİ'!$G:$G,"BUY")</f>
        <v/>
      </c>
      <c r="Y52" s="34">
        <f>IFERROR(AA52/X52,0)</f>
        <v/>
      </c>
      <c r="Z52" s="34">
        <f>IF(Y52=0,0,F52-Y52)</f>
        <v/>
      </c>
      <c r="AA52" s="34">
        <f>SUMIFS('[1]GİP VERİLERİ'!$O:$O,'[1]GİP VERİLERİ'!$B:$B,A52,'[1]GİP VERİLERİ'!$M:$M,"40X000000104782K",'[1]GİP VERİLERİ'!$G:$G,"BUY")</f>
        <v/>
      </c>
      <c r="AB52" s="34" t="n">
        <v>0</v>
      </c>
      <c r="AC52" s="34" t="n">
        <v>0</v>
      </c>
      <c r="AD52" s="34">
        <f>IF(AB52&gt;AC52*1.05,AB52-AC52*1.05,IF(AB52&lt;AC52*0.95,AC52*0.95-AB52,0))</f>
        <v/>
      </c>
      <c r="AE52" s="34">
        <f>MAX(F52,G52,750)*0.05*AD52</f>
        <v/>
      </c>
      <c r="AF52" s="34" t="n">
        <v>0</v>
      </c>
      <c r="AG52" s="34">
        <f>IF(AB52&gt;AF52*1.05,AB52-AF52*1.05,IF(AB52&lt;AF52*0.95,AF52*0.95-AB52,0))</f>
        <v/>
      </c>
      <c r="AH52" s="34">
        <f>MAX(I52,J52,750)*0.05*AG52</f>
        <v/>
      </c>
      <c r="AI52" t="n">
        <v>8.16</v>
      </c>
      <c r="AJ52" t="n">
        <v>8</v>
      </c>
      <c r="AK52" s="34">
        <f>IF(AI52&gt;AJ52*1.05,AI52-AJ52*1.05,IF(AI52&lt;AJ52*0.95,AJ52*0.95-AI52,0))</f>
        <v/>
      </c>
      <c r="AL52" s="34">
        <f>MAX(F52,G52,750)*0.05*AK52</f>
        <v/>
      </c>
      <c r="AM52" s="39" t="n">
        <v>8</v>
      </c>
      <c r="AN52" s="34">
        <f>IF(AI52&gt;AM52*1.05,AI52-AM52*1.05,IF(AI52&lt;AM52*0.95,AM52*0.95-AI52,0))</f>
        <v/>
      </c>
      <c r="AO52" s="34">
        <f>MAX(F52,G52,750)*0.05*AN52</f>
        <v/>
      </c>
      <c r="AP52" s="34" t="n">
        <v>12.12</v>
      </c>
      <c r="AQ52" s="34" t="n">
        <v>11</v>
      </c>
      <c r="AR52" s="34">
        <f>IF(AP52&gt;AQ52*1.05,AP52-AQ52*1.05,IF(AP52&lt;AQ52*0.95,AQ52*0.95-AP52,0))</f>
        <v/>
      </c>
      <c r="AS52" s="34">
        <f>MAX(F52:G52,750)*0.05*AR52</f>
        <v/>
      </c>
      <c r="AT52" t="n">
        <v>12</v>
      </c>
      <c r="AU52" s="34">
        <f>IF(AP52&gt;AT52*1.05,AP52-AT52*1.05,IF(AP52&lt;AT52*0.95,AT52*0.95-AP52,0))</f>
        <v/>
      </c>
      <c r="AV52" s="34">
        <f>MAX(F52:G52,750)*0.05*AU52</f>
        <v/>
      </c>
      <c r="AW52" s="34">
        <f>AC52+AJ52+AQ52</f>
        <v/>
      </c>
      <c r="AX52" s="34">
        <f>AF52+AM52+AT52</f>
        <v/>
      </c>
      <c r="AY52" s="34">
        <f>AB52+AI52+AP52</f>
        <v/>
      </c>
      <c r="AZ52" s="34" t="n">
        <v>0</v>
      </c>
      <c r="BA52" s="34">
        <f>AD52+AK52+AR52</f>
        <v/>
      </c>
      <c r="BB52" s="34">
        <f>MAX(F52:G52,750)*0.05*BA52</f>
        <v/>
      </c>
      <c r="BC52" s="34">
        <f>AG52+AN52+AU52</f>
        <v/>
      </c>
      <c r="BD52" s="34">
        <f>MAX(F52:G52,750)*0.05*BC52</f>
        <v/>
      </c>
      <c r="BE52" s="34">
        <f>F52*AY52</f>
        <v/>
      </c>
      <c r="BF52" s="34">
        <f>K52-M52</f>
        <v/>
      </c>
      <c r="BG52" s="34">
        <f>P52-S52</f>
        <v/>
      </c>
      <c r="BH52" s="34">
        <f>W52-AA52</f>
        <v/>
      </c>
      <c r="BI52" s="34">
        <f>BF52+BG52+BL52-BN52</f>
        <v/>
      </c>
      <c r="BJ52" s="34">
        <f>ABS(BK52)</f>
        <v/>
      </c>
      <c r="BK52" s="34">
        <f>AY52-(J52-L52+N52-Q52)</f>
        <v/>
      </c>
      <c r="BL52" s="34">
        <f>IF(AND(BK52&gt;0,MIN($F52:$G52)&lt;150,$E52="Enerji Açığı"),-100*BK52*1.03,IF(AND(BK52&gt;0,MIN($F52:$G52)&lt;150,$E52="Enerji Fazlası"),-100*BK52*1.06,IF(AND(BK52&gt;0,MIN($F52:$G52)&gt;=150,$E52="Enerji Açığı"),BK52*MIN($F52:$G52)*0.97,IF(AND(BK52&gt;0,MIN($F52:$G52)&gt;=150,$E52="Enerji Fazlası"),BK52*MIN($F52:$G52)*0.94,IF(AND(BK52&lt;0,MAX($F52:$G52)=4500,$E52="Enerji Açığı"),4500*1.05*1.06*BK52,IF(AND(BK52&lt;0,MAX($F52:$G52)=4500,$E52="Enerji Fazlası"),4500*1.05*1.03*BK52,IF(AND(BK52&lt;0,$E52="Enerji Açığı"),MAX($F52,$G52,150)*BK52*1.06,IF(AND(BK52&lt;0,$E52="Enerji Fazlası"),MAX($F52,$G52,150)*BK52*1.03,IF(AND(BK52&lt;0,$E52="Dengede"),MAX($F52:$G52,150)*1.03*BK52,MIN($F52:$G52)*0.97*BK52)))))))))</f>
        <v/>
      </c>
      <c r="BM52" s="34">
        <f>BE52-BI52-BN52</f>
        <v/>
      </c>
      <c r="BN52" s="34">
        <f>BB52</f>
        <v/>
      </c>
      <c r="BO52" s="34">
        <f>BE52-BI52</f>
        <v/>
      </c>
      <c r="BP52" s="34">
        <f>IF(AY52=0,0,BO52/AY52)</f>
        <v/>
      </c>
      <c r="BQ52" s="34">
        <f>MAX((AY52+MAX((-J52+L52-N52+Q52),0)),(MAX((J52-L52+N52-Q52),0)))</f>
        <v/>
      </c>
      <c r="BR52" s="82">
        <f>IFERROR(ABS(BK52/BQ52),0)</f>
        <v/>
      </c>
      <c r="BS52" s="34">
        <f>IF(BR52&lt;=0.1,0,BK52/BR52*(BR52-0.1))</f>
        <v/>
      </c>
      <c r="BT52" s="34">
        <f>IF((BS52)&lt;0,MAX(F52:G52)*(BS52)*1.03,MIN(F52:G52)*(BS52)*0.97)</f>
        <v/>
      </c>
      <c r="BU52" s="34">
        <f>IF(BR52&gt;0.1,1,0)</f>
        <v/>
      </c>
      <c r="BV52" s="34">
        <f>BF52+BG52+BH52+BY52-CA52</f>
        <v/>
      </c>
      <c r="BW52" s="34">
        <f>ABS(BX52)</f>
        <v/>
      </c>
      <c r="BX52" s="34">
        <f>AY52-(J52-L52+N52-Q52+T52-X52)</f>
        <v/>
      </c>
      <c r="BY52" s="34">
        <f>IF(AND(BX52&gt;0,MIN($F52:$G52)&lt;150,$E52="Enerji Açığı"),-100*BX52*1.03,IF(AND(BX52&gt;0,MIN($F52:$G52)&lt;150,$E52="Enerji Fazlası"),-100*BX52*1.06,IF(AND(BX52&gt;0,MIN($F52:$G52)&gt;=150,$E52="Enerji Açığı"),BX52*MIN($F52:$G52)*0.97,IF(AND(BX52&gt;0,MIN($F52:$G52)&gt;=150,$E52="Enerji Fazlası"),BX52*MIN($F52:$G52)*0.94,IF(AND(BX52&lt;0,MAX($F52:$G52)=4500,$E52="Enerji Açığı"),4500*1.05*1.06*BX52,IF(AND(BX52&lt;0,MAX($F52:$G52)=4500,$E52="Enerji Fazlası"),4500*1.05*1.03*BX52,IF(AND(BX52&lt;0,$E52="Enerji Açığı"),MAX($F52,$G52,150)*BX52*1.06,IF(AND(BX52&lt;0,$E52="Enerji Fazlası"),MAX($F52,$G52,150)*BX52*1.03,IF(AND(BX52&lt;0,$E52="Dengede"),MAX($F52:$G52,150)*1.03*BX52,MIN($F52:$G52)*0.97*BX52)))))))))</f>
        <v/>
      </c>
      <c r="BZ52" s="34">
        <f>BE52-BV52-CA52</f>
        <v/>
      </c>
      <c r="CA52" s="34">
        <f>BD52</f>
        <v/>
      </c>
      <c r="CB52" s="33">
        <f>BE52-BV52</f>
        <v/>
      </c>
      <c r="CC52" s="34">
        <f>IF(AY52=0,0,CB52/AY52)</f>
        <v/>
      </c>
      <c r="CD52" s="34">
        <f>MAX((AY52+MAX((-J52+L52-N52+Q52-T52+X52),0)),(MAX((J52-L52+N52-Q52+T52-X52),0)))</f>
        <v/>
      </c>
      <c r="CE52" s="82">
        <f>IFERROR(ABS(BX52/CD52),0)</f>
        <v/>
      </c>
      <c r="CF52" s="34">
        <f>IF(CE52&lt;=0.1,0,BX52/CE52*(CE52-0.1))</f>
        <v/>
      </c>
      <c r="CG52" s="34">
        <f>IF((CF52)&lt;0,MAX(F52:G52)*(CF52)*1.03,MIN(F52:G52)*(CF52)*0.97)</f>
        <v/>
      </c>
      <c r="CH52" s="34">
        <f>IF(CE52&gt;0.1,1,0)</f>
        <v/>
      </c>
      <c r="CI52" s="34">
        <f>(F52*BX52)-BY52</f>
        <v/>
      </c>
      <c r="CJ52" s="34">
        <f>IF(AY52=0,0,CI52/AY52)</f>
        <v/>
      </c>
    </row>
    <row r="53">
      <c r="A53" s="29" t="n">
        <v>46206.08333333334</v>
      </c>
      <c r="B53" s="29" t="inlineStr">
        <is>
          <t>02:00</t>
        </is>
      </c>
      <c r="C53" s="35">
        <f>INT(A53)</f>
        <v/>
      </c>
      <c r="D53" s="36">
        <f>MONTH(A53)</f>
        <v/>
      </c>
      <c r="E53" s="147">
        <f>[1]FİYATLAR!G52</f>
        <v/>
      </c>
      <c r="F53" s="30" t="n">
        <v>3499.99</v>
      </c>
      <c r="G53" s="30" t="n">
        <v>3800</v>
      </c>
      <c r="H53" s="30" t="n">
        <v>75.13</v>
      </c>
      <c r="I53" s="30" t="n">
        <v>3584.52</v>
      </c>
      <c r="J53" s="119" t="n">
        <v>0</v>
      </c>
      <c r="K53" s="34">
        <f>F53*J53</f>
        <v/>
      </c>
      <c r="L53" s="119" t="n">
        <v>0</v>
      </c>
      <c r="M53" s="34">
        <f>L53*F53</f>
        <v/>
      </c>
      <c r="N53" s="119" t="n">
        <v>19</v>
      </c>
      <c r="O53" s="34">
        <f>F53</f>
        <v/>
      </c>
      <c r="P53" s="34">
        <f>N53*O53</f>
        <v/>
      </c>
      <c r="Q53" s="119" t="n">
        <v>0</v>
      </c>
      <c r="R53" s="34">
        <f>F53</f>
        <v/>
      </c>
      <c r="S53" s="34">
        <f>R53*Q53</f>
        <v/>
      </c>
      <c r="T53" s="34">
        <f>SUMIFS('[1]GİP VERİLERİ'!$C:$C,'[1]GİP VERİLERİ'!$B:$B,A53,'[1]GİP VERİLERİ'!$M:$M,"40X000000104782K",'[1]GİP VERİLERİ'!$G:$G,"SELL")</f>
        <v/>
      </c>
      <c r="U53" s="34">
        <f>IFERROR(W53/T53,0)</f>
        <v/>
      </c>
      <c r="V53" s="34">
        <f>IF(U53=0,0,U53-F53)</f>
        <v/>
      </c>
      <c r="W53" s="34">
        <f>SUMIFS('[1]GİP VERİLERİ'!$O:$O,'[1]GİP VERİLERİ'!$B:$B,A53,'[1]GİP VERİLERİ'!$M:$M,"40X000000104782K",'[1]GİP VERİLERİ'!$G:$G,"SELL")</f>
        <v/>
      </c>
      <c r="X53" s="34">
        <f>SUMIFS('[1]GİP VERİLERİ'!$C:$C,'[1]GİP VERİLERİ'!$B:$B,A53,'[1]GİP VERİLERİ'!$M:$M,"40X000000104782K",'[1]GİP VERİLERİ'!$G:$G,"BUY")</f>
        <v/>
      </c>
      <c r="Y53" s="34">
        <f>IFERROR(AA53/X53,0)</f>
        <v/>
      </c>
      <c r="Z53" s="34">
        <f>IF(Y53=0,0,F53-Y53)</f>
        <v/>
      </c>
      <c r="AA53" s="34">
        <f>SUMIFS('[1]GİP VERİLERİ'!$O:$O,'[1]GİP VERİLERİ'!$B:$B,A53,'[1]GİP VERİLERİ'!$M:$M,"40X000000104782K",'[1]GİP VERİLERİ'!$G:$G,"BUY")</f>
        <v/>
      </c>
      <c r="AB53" s="34" t="n">
        <v>0</v>
      </c>
      <c r="AC53" s="34" t="n">
        <v>0</v>
      </c>
      <c r="AD53" s="34">
        <f>IF(AB53&gt;AC53*1.05,AB53-AC53*1.05,IF(AB53&lt;AC53*0.95,AC53*0.95-AB53,0))</f>
        <v/>
      </c>
      <c r="AE53" s="34">
        <f>MAX(F53,G53,750)*0.05*AD53</f>
        <v/>
      </c>
      <c r="AF53" s="34" t="n">
        <v>0</v>
      </c>
      <c r="AG53" s="34">
        <f>IF(AB53&gt;AF53*1.05,AB53-AF53*1.05,IF(AB53&lt;AF53*0.95,AF53*0.95-AB53,0))</f>
        <v/>
      </c>
      <c r="AH53" s="34">
        <f>MAX(I53,J53,750)*0.05*AG53</f>
        <v/>
      </c>
      <c r="AI53" t="n">
        <v>9.18</v>
      </c>
      <c r="AJ53" t="n">
        <v>8</v>
      </c>
      <c r="AK53" s="34">
        <f>IF(AI53&gt;AJ53*1.05,AI53-AJ53*1.05,IF(AI53&lt;AJ53*0.95,AJ53*0.95-AI53,0))</f>
        <v/>
      </c>
      <c r="AL53" s="34">
        <f>MAX(F53,G53,750)*0.05*AK53</f>
        <v/>
      </c>
      <c r="AM53" s="39" t="n">
        <v>9</v>
      </c>
      <c r="AN53" s="34">
        <f>IF(AI53&gt;AM53*1.05,AI53-AM53*1.05,IF(AI53&lt;AM53*0.95,AM53*0.95-AI53,0))</f>
        <v/>
      </c>
      <c r="AO53" s="34">
        <f>MAX(F53,G53,750)*0.05*AN53</f>
        <v/>
      </c>
      <c r="AP53" s="34" t="n">
        <v>12.1</v>
      </c>
      <c r="AQ53" s="34" t="n">
        <v>11</v>
      </c>
      <c r="AR53" s="34">
        <f>IF(AP53&gt;AQ53*1.05,AP53-AQ53*1.05,IF(AP53&lt;AQ53*0.95,AQ53*0.95-AP53,0))</f>
        <v/>
      </c>
      <c r="AS53" s="34">
        <f>MAX(F53:G53,750)*0.05*AR53</f>
        <v/>
      </c>
      <c r="AT53" t="n">
        <v>12</v>
      </c>
      <c r="AU53" s="34">
        <f>IF(AP53&gt;AT53*1.05,AP53-AT53*1.05,IF(AP53&lt;AT53*0.95,AT53*0.95-AP53,0))</f>
        <v/>
      </c>
      <c r="AV53" s="34">
        <f>MAX(F53:G53,750)*0.05*AU53</f>
        <v/>
      </c>
      <c r="AW53" s="34">
        <f>AC53+AJ53+AQ53</f>
        <v/>
      </c>
      <c r="AX53" s="34">
        <f>AF53+AM53+AT53</f>
        <v/>
      </c>
      <c r="AY53" s="34">
        <f>AB53+AI53+AP53</f>
        <v/>
      </c>
      <c r="AZ53" s="34" t="n">
        <v>0</v>
      </c>
      <c r="BA53" s="34">
        <f>AD53+AK53+AR53</f>
        <v/>
      </c>
      <c r="BB53" s="34">
        <f>MAX(F53:G53,750)*0.05*BA53</f>
        <v/>
      </c>
      <c r="BC53" s="34">
        <f>AG53+AN53+AU53</f>
        <v/>
      </c>
      <c r="BD53" s="34">
        <f>MAX(F53:G53,750)*0.05*BC53</f>
        <v/>
      </c>
      <c r="BE53" s="34">
        <f>F53*AY53</f>
        <v/>
      </c>
      <c r="BF53" s="34">
        <f>K53-M53</f>
        <v/>
      </c>
      <c r="BG53" s="34">
        <f>P53-S53</f>
        <v/>
      </c>
      <c r="BH53" s="34">
        <f>W53-AA53</f>
        <v/>
      </c>
      <c r="BI53" s="34">
        <f>BF53+BG53+BL53-BN53</f>
        <v/>
      </c>
      <c r="BJ53" s="34">
        <f>ABS(BK53)</f>
        <v/>
      </c>
      <c r="BK53" s="34">
        <f>AY53-(J53-L53+N53-Q53)</f>
        <v/>
      </c>
      <c r="BL53" s="34">
        <f>IF(AND(BK53&gt;0,MIN($F53:$G53)&lt;150,$E53="Enerji Açığı"),-100*BK53*1.03,IF(AND(BK53&gt;0,MIN($F53:$G53)&lt;150,$E53="Enerji Fazlası"),-100*BK53*1.06,IF(AND(BK53&gt;0,MIN($F53:$G53)&gt;=150,$E53="Enerji Açığı"),BK53*MIN($F53:$G53)*0.97,IF(AND(BK53&gt;0,MIN($F53:$G53)&gt;=150,$E53="Enerji Fazlası"),BK53*MIN($F53:$G53)*0.94,IF(AND(BK53&lt;0,MAX($F53:$G53)=4500,$E53="Enerji Açığı"),4500*1.05*1.06*BK53,IF(AND(BK53&lt;0,MAX($F53:$G53)=4500,$E53="Enerji Fazlası"),4500*1.05*1.03*BK53,IF(AND(BK53&lt;0,$E53="Enerji Açığı"),MAX($F53,$G53,150)*BK53*1.06,IF(AND(BK53&lt;0,$E53="Enerji Fazlası"),MAX($F53,$G53,150)*BK53*1.03,IF(AND(BK53&lt;0,$E53="Dengede"),MAX($F53:$G53,150)*1.03*BK53,MIN($F53:$G53)*0.97*BK53)))))))))</f>
        <v/>
      </c>
      <c r="BM53" s="34">
        <f>BE53-BI53-BN53</f>
        <v/>
      </c>
      <c r="BN53" s="34">
        <f>BB53</f>
        <v/>
      </c>
      <c r="BO53" s="34">
        <f>BE53-BI53</f>
        <v/>
      </c>
      <c r="BP53" s="34">
        <f>IF(AY53=0,0,BO53/AY53)</f>
        <v/>
      </c>
      <c r="BQ53" s="34">
        <f>MAX((AY53+MAX((-J53+L53-N53+Q53),0)),(MAX((J53-L53+N53-Q53),0)))</f>
        <v/>
      </c>
      <c r="BR53" s="82">
        <f>IFERROR(ABS(BK53/BQ53),0)</f>
        <v/>
      </c>
      <c r="BS53" s="34">
        <f>IF(BR53&lt;=0.1,0,BK53/BR53*(BR53-0.1))</f>
        <v/>
      </c>
      <c r="BT53" s="34">
        <f>IF((BS53)&lt;0,MAX(F53:G53)*(BS53)*1.03,MIN(F53:G53)*(BS53)*0.97)</f>
        <v/>
      </c>
      <c r="BU53" s="34">
        <f>IF(BR53&gt;0.1,1,0)</f>
        <v/>
      </c>
      <c r="BV53" s="34">
        <f>BF53+BG53+BH53+BY53-CA53</f>
        <v/>
      </c>
      <c r="BW53" s="34">
        <f>ABS(BX53)</f>
        <v/>
      </c>
      <c r="BX53" s="34">
        <f>AY53-(J53-L53+N53-Q53+T53-X53)</f>
        <v/>
      </c>
      <c r="BY53" s="34">
        <f>IF(AND(BX53&gt;0,MIN($F53:$G53)&lt;150,$E53="Enerji Açığı"),-100*BX53*1.03,IF(AND(BX53&gt;0,MIN($F53:$G53)&lt;150,$E53="Enerji Fazlası"),-100*BX53*1.06,IF(AND(BX53&gt;0,MIN($F53:$G53)&gt;=150,$E53="Enerji Açığı"),BX53*MIN($F53:$G53)*0.97,IF(AND(BX53&gt;0,MIN($F53:$G53)&gt;=150,$E53="Enerji Fazlası"),BX53*MIN($F53:$G53)*0.94,IF(AND(BX53&lt;0,MAX($F53:$G53)=4500,$E53="Enerji Açığı"),4500*1.05*1.06*BX53,IF(AND(BX53&lt;0,MAX($F53:$G53)=4500,$E53="Enerji Fazlası"),4500*1.05*1.03*BX53,IF(AND(BX53&lt;0,$E53="Enerji Açığı"),MAX($F53,$G53,150)*BX53*1.06,IF(AND(BX53&lt;0,$E53="Enerji Fazlası"),MAX($F53,$G53,150)*BX53*1.03,IF(AND(BX53&lt;0,$E53="Dengede"),MAX($F53:$G53,150)*1.03*BX53,MIN($F53:$G53)*0.97*BX53)))))))))</f>
        <v/>
      </c>
      <c r="BZ53" s="34">
        <f>BE53-BV53-CA53</f>
        <v/>
      </c>
      <c r="CA53" s="34">
        <f>BD53</f>
        <v/>
      </c>
      <c r="CB53" s="33">
        <f>BE53-BV53</f>
        <v/>
      </c>
      <c r="CC53" s="34">
        <f>IF(AY53=0,0,CB53/AY53)</f>
        <v/>
      </c>
      <c r="CD53" s="34">
        <f>MAX((AY53+MAX((-J53+L53-N53+Q53-T53+X53),0)),(MAX((J53-L53+N53-Q53+T53-X53),0)))</f>
        <v/>
      </c>
      <c r="CE53" s="82">
        <f>IFERROR(ABS(BX53/CD53),0)</f>
        <v/>
      </c>
      <c r="CF53" s="34">
        <f>IF(CE53&lt;=0.1,0,BX53/CE53*(CE53-0.1))</f>
        <v/>
      </c>
      <c r="CG53" s="34">
        <f>IF((CF53)&lt;0,MAX(F53:G53)*(CF53)*1.03,MIN(F53:G53)*(CF53)*0.97)</f>
        <v/>
      </c>
      <c r="CH53" s="34">
        <f>IF(CE53&gt;0.1,1,0)</f>
        <v/>
      </c>
      <c r="CI53" s="34">
        <f>(F53*BX53)-BY53</f>
        <v/>
      </c>
      <c r="CJ53" s="34">
        <f>IF(AY53=0,0,CI53/AY53)</f>
        <v/>
      </c>
    </row>
    <row r="54">
      <c r="A54" s="29" t="n">
        <v>46206.125</v>
      </c>
      <c r="B54" s="29" t="inlineStr">
        <is>
          <t>03:00</t>
        </is>
      </c>
      <c r="C54" s="35">
        <f>INT(A54)</f>
        <v/>
      </c>
      <c r="D54" s="36">
        <f>MONTH(A54)</f>
        <v/>
      </c>
      <c r="E54" s="147">
        <f>[1]FİYATLAR!G53</f>
        <v/>
      </c>
      <c r="F54" s="30" t="n">
        <v>3500</v>
      </c>
      <c r="G54" s="30" t="n">
        <v>2222</v>
      </c>
      <c r="H54" s="30" t="n">
        <v>75.13</v>
      </c>
      <c r="I54" s="30" t="n">
        <v>3115.75</v>
      </c>
      <c r="J54" s="119" t="n">
        <v>0</v>
      </c>
      <c r="K54" s="34">
        <f>F54*J54</f>
        <v/>
      </c>
      <c r="L54" s="119" t="n">
        <v>0</v>
      </c>
      <c r="M54" s="34">
        <f>L54*F54</f>
        <v/>
      </c>
      <c r="N54" s="119" t="n">
        <v>19</v>
      </c>
      <c r="O54" s="34">
        <f>F54</f>
        <v/>
      </c>
      <c r="P54" s="34">
        <f>N54*O54</f>
        <v/>
      </c>
      <c r="Q54" s="119" t="n">
        <v>0</v>
      </c>
      <c r="R54" s="34">
        <f>F54</f>
        <v/>
      </c>
      <c r="S54" s="34">
        <f>R54*Q54</f>
        <v/>
      </c>
      <c r="T54" s="34">
        <f>SUMIFS('[1]GİP VERİLERİ'!$C:$C,'[1]GİP VERİLERİ'!$B:$B,A54,'[1]GİP VERİLERİ'!$M:$M,"40X000000104782K",'[1]GİP VERİLERİ'!$G:$G,"SELL")</f>
        <v/>
      </c>
      <c r="U54" s="34">
        <f>IFERROR(W54/T54,0)</f>
        <v/>
      </c>
      <c r="V54" s="34">
        <f>IF(U54=0,0,U54-F54)</f>
        <v/>
      </c>
      <c r="W54" s="34">
        <f>SUMIFS('[1]GİP VERİLERİ'!$O:$O,'[1]GİP VERİLERİ'!$B:$B,A54,'[1]GİP VERİLERİ'!$M:$M,"40X000000104782K",'[1]GİP VERİLERİ'!$G:$G,"SELL")</f>
        <v/>
      </c>
      <c r="X54" s="34">
        <f>SUMIFS('[1]GİP VERİLERİ'!$C:$C,'[1]GİP VERİLERİ'!$B:$B,A54,'[1]GİP VERİLERİ'!$M:$M,"40X000000104782K",'[1]GİP VERİLERİ'!$G:$G,"BUY")</f>
        <v/>
      </c>
      <c r="Y54" s="34">
        <f>IFERROR(AA54/X54,0)</f>
        <v/>
      </c>
      <c r="Z54" s="34">
        <f>IF(Y54=0,0,F54-Y54)</f>
        <v/>
      </c>
      <c r="AA54" s="34">
        <f>SUMIFS('[1]GİP VERİLERİ'!$O:$O,'[1]GİP VERİLERİ'!$B:$B,A54,'[1]GİP VERİLERİ'!$M:$M,"40X000000104782K",'[1]GİP VERİLERİ'!$G:$G,"BUY")</f>
        <v/>
      </c>
      <c r="AB54" s="34" t="n">
        <v>0</v>
      </c>
      <c r="AC54" s="34" t="n">
        <v>0</v>
      </c>
      <c r="AD54" s="34">
        <f>IF(AB54&gt;AC54*1.05,AB54-AC54*1.05,IF(AB54&lt;AC54*0.95,AC54*0.95-AB54,0))</f>
        <v/>
      </c>
      <c r="AE54" s="34">
        <f>MAX(F54,G54,750)*0.05*AD54</f>
        <v/>
      </c>
      <c r="AF54" s="34" t="n">
        <v>0</v>
      </c>
      <c r="AG54" s="34">
        <f>IF(AB54&gt;AF54*1.05,AB54-AF54*1.05,IF(AB54&lt;AF54*0.95,AF54*0.95-AB54,0))</f>
        <v/>
      </c>
      <c r="AH54" s="34">
        <f>MAX(I54,J54,750)*0.05*AG54</f>
        <v/>
      </c>
      <c r="AI54" t="n">
        <v>8.23</v>
      </c>
      <c r="AJ54" t="n">
        <v>8</v>
      </c>
      <c r="AK54" s="34">
        <f>IF(AI54&gt;AJ54*1.05,AI54-AJ54*1.05,IF(AI54&lt;AJ54*0.95,AJ54*0.95-AI54,0))</f>
        <v/>
      </c>
      <c r="AL54" s="34">
        <f>MAX(F54,G54,750)*0.05*AK54</f>
        <v/>
      </c>
      <c r="AM54" s="39" t="n">
        <v>8</v>
      </c>
      <c r="AN54" s="34">
        <f>IF(AI54&gt;AM54*1.05,AI54-AM54*1.05,IF(AI54&lt;AM54*0.95,AM54*0.95-AI54,0))</f>
        <v/>
      </c>
      <c r="AO54" s="34">
        <f>MAX(F54,G54,750)*0.05*AN54</f>
        <v/>
      </c>
      <c r="AP54" s="34" t="n">
        <v>12.1</v>
      </c>
      <c r="AQ54" s="34" t="n">
        <v>11</v>
      </c>
      <c r="AR54" s="34">
        <f>IF(AP54&gt;AQ54*1.05,AP54-AQ54*1.05,IF(AP54&lt;AQ54*0.95,AQ54*0.95-AP54,0))</f>
        <v/>
      </c>
      <c r="AS54" s="34">
        <f>MAX(F54:G54,750)*0.05*AR54</f>
        <v/>
      </c>
      <c r="AT54" t="n">
        <v>12</v>
      </c>
      <c r="AU54" s="34">
        <f>IF(AP54&gt;AT54*1.05,AP54-AT54*1.05,IF(AP54&lt;AT54*0.95,AT54*0.95-AP54,0))</f>
        <v/>
      </c>
      <c r="AV54" s="34">
        <f>MAX(F54:G54,750)*0.05*AU54</f>
        <v/>
      </c>
      <c r="AW54" s="34">
        <f>AC54+AJ54+AQ54</f>
        <v/>
      </c>
      <c r="AX54" s="34">
        <f>AF54+AM54+AT54</f>
        <v/>
      </c>
      <c r="AY54" s="34">
        <f>AB54+AI54+AP54</f>
        <v/>
      </c>
      <c r="AZ54" s="34" t="n">
        <v>0</v>
      </c>
      <c r="BA54" s="34">
        <f>AD54+AK54+AR54</f>
        <v/>
      </c>
      <c r="BB54" s="34">
        <f>MAX(F54:G54,750)*0.05*BA54</f>
        <v/>
      </c>
      <c r="BC54" s="34">
        <f>AG54+AN54+AU54</f>
        <v/>
      </c>
      <c r="BD54" s="34">
        <f>MAX(F54:G54,750)*0.05*BC54</f>
        <v/>
      </c>
      <c r="BE54" s="34">
        <f>F54*AY54</f>
        <v/>
      </c>
      <c r="BF54" s="34">
        <f>K54-M54</f>
        <v/>
      </c>
      <c r="BG54" s="34">
        <f>P54-S54</f>
        <v/>
      </c>
      <c r="BH54" s="34">
        <f>W54-AA54</f>
        <v/>
      </c>
      <c r="BI54" s="34">
        <f>BF54+BG54+BL54-BN54</f>
        <v/>
      </c>
      <c r="BJ54" s="34">
        <f>ABS(BK54)</f>
        <v/>
      </c>
      <c r="BK54" s="34">
        <f>AY54-(J54-L54+N54-Q54)</f>
        <v/>
      </c>
      <c r="BL54" s="34">
        <f>IF(AND(BK54&gt;0,MIN($F54:$G54)&lt;150,$E54="Enerji Açığı"),-100*BK54*1.03,IF(AND(BK54&gt;0,MIN($F54:$G54)&lt;150,$E54="Enerji Fazlası"),-100*BK54*1.06,IF(AND(BK54&gt;0,MIN($F54:$G54)&gt;=150,$E54="Enerji Açığı"),BK54*MIN($F54:$G54)*0.97,IF(AND(BK54&gt;0,MIN($F54:$G54)&gt;=150,$E54="Enerji Fazlası"),BK54*MIN($F54:$G54)*0.94,IF(AND(BK54&lt;0,MAX($F54:$G54)=4500,$E54="Enerji Açığı"),4500*1.05*1.06*BK54,IF(AND(BK54&lt;0,MAX($F54:$G54)=4500,$E54="Enerji Fazlası"),4500*1.05*1.03*BK54,IF(AND(BK54&lt;0,$E54="Enerji Açığı"),MAX($F54,$G54,150)*BK54*1.06,IF(AND(BK54&lt;0,$E54="Enerji Fazlası"),MAX($F54,$G54,150)*BK54*1.03,IF(AND(BK54&lt;0,$E54="Dengede"),MAX($F54:$G54,150)*1.03*BK54,MIN($F54:$G54)*0.97*BK54)))))))))</f>
        <v/>
      </c>
      <c r="BM54" s="34">
        <f>BE54-BI54-BN54</f>
        <v/>
      </c>
      <c r="BN54" s="34">
        <f>BB54</f>
        <v/>
      </c>
      <c r="BO54" s="34">
        <f>BE54-BI54</f>
        <v/>
      </c>
      <c r="BP54" s="34">
        <f>IF(AY54=0,0,BO54/AY54)</f>
        <v/>
      </c>
      <c r="BQ54" s="34">
        <f>MAX((AY54+MAX((-J54+L54-N54+Q54),0)),(MAX((J54-L54+N54-Q54),0)))</f>
        <v/>
      </c>
      <c r="BR54" s="82">
        <f>IFERROR(ABS(BK54/BQ54),0)</f>
        <v/>
      </c>
      <c r="BS54" s="34">
        <f>IF(BR54&lt;=0.1,0,BK54/BR54*(BR54-0.1))</f>
        <v/>
      </c>
      <c r="BT54" s="34">
        <f>IF((BS54)&lt;0,MAX(F54:G54)*(BS54)*1.03,MIN(F54:G54)*(BS54)*0.97)</f>
        <v/>
      </c>
      <c r="BU54" s="34">
        <f>IF(BR54&gt;0.1,1,0)</f>
        <v/>
      </c>
      <c r="BV54" s="34">
        <f>BF54+BG54+BH54+BY54-CA54</f>
        <v/>
      </c>
      <c r="BW54" s="34">
        <f>ABS(BX54)</f>
        <v/>
      </c>
      <c r="BX54" s="34">
        <f>AY54-(J54-L54+N54-Q54+T54-X54)</f>
        <v/>
      </c>
      <c r="BY54" s="34">
        <f>IF(AND(BX54&gt;0,MIN($F54:$G54)&lt;150,$E54="Enerji Açığı"),-100*BX54*1.03,IF(AND(BX54&gt;0,MIN($F54:$G54)&lt;150,$E54="Enerji Fazlası"),-100*BX54*1.06,IF(AND(BX54&gt;0,MIN($F54:$G54)&gt;=150,$E54="Enerji Açığı"),BX54*MIN($F54:$G54)*0.97,IF(AND(BX54&gt;0,MIN($F54:$G54)&gt;=150,$E54="Enerji Fazlası"),BX54*MIN($F54:$G54)*0.94,IF(AND(BX54&lt;0,MAX($F54:$G54)=4500,$E54="Enerji Açığı"),4500*1.05*1.06*BX54,IF(AND(BX54&lt;0,MAX($F54:$G54)=4500,$E54="Enerji Fazlası"),4500*1.05*1.03*BX54,IF(AND(BX54&lt;0,$E54="Enerji Açığı"),MAX($F54,$G54,150)*BX54*1.06,IF(AND(BX54&lt;0,$E54="Enerji Fazlası"),MAX($F54,$G54,150)*BX54*1.03,IF(AND(BX54&lt;0,$E54="Dengede"),MAX($F54:$G54,150)*1.03*BX54,MIN($F54:$G54)*0.97*BX54)))))))))</f>
        <v/>
      </c>
      <c r="BZ54" s="34">
        <f>BE54-BV54-CA54</f>
        <v/>
      </c>
      <c r="CA54" s="34">
        <f>BD54</f>
        <v/>
      </c>
      <c r="CB54" s="33">
        <f>BE54-BV54</f>
        <v/>
      </c>
      <c r="CC54" s="34">
        <f>IF(AY54=0,0,CB54/AY54)</f>
        <v/>
      </c>
      <c r="CD54" s="34">
        <f>MAX((AY54+MAX((-J54+L54-N54+Q54-T54+X54),0)),(MAX((J54-L54+N54-Q54+T54-X54),0)))</f>
        <v/>
      </c>
      <c r="CE54" s="82">
        <f>IFERROR(ABS(BX54/CD54),0)</f>
        <v/>
      </c>
      <c r="CF54" s="34">
        <f>IF(CE54&lt;=0.1,0,BX54/CE54*(CE54-0.1))</f>
        <v/>
      </c>
      <c r="CG54" s="34">
        <f>IF((CF54)&lt;0,MAX(F54:G54)*(CF54)*1.03,MIN(F54:G54)*(CF54)*0.97)</f>
        <v/>
      </c>
      <c r="CH54" s="34">
        <f>IF(CE54&gt;0.1,1,0)</f>
        <v/>
      </c>
      <c r="CI54" s="34">
        <f>(F54*BX54)-BY54</f>
        <v/>
      </c>
      <c r="CJ54" s="34">
        <f>IF(AY54=0,0,CI54/AY54)</f>
        <v/>
      </c>
    </row>
    <row r="55">
      <c r="A55" s="29" t="n">
        <v>46206.16666666666</v>
      </c>
      <c r="B55" s="29" t="inlineStr">
        <is>
          <t>04:00</t>
        </is>
      </c>
      <c r="C55" s="35">
        <f>INT(A55)</f>
        <v/>
      </c>
      <c r="D55" s="36">
        <f>MONTH(A55)</f>
        <v/>
      </c>
      <c r="E55" s="147">
        <f>[1]FİYATLAR!G54</f>
        <v/>
      </c>
      <c r="F55" s="30" t="n">
        <v>4090.79</v>
      </c>
      <c r="G55" s="30" t="n">
        <v>1500</v>
      </c>
      <c r="H55" s="30" t="n">
        <v>87.81</v>
      </c>
      <c r="I55" s="30" t="n">
        <v>3896.97</v>
      </c>
      <c r="J55" s="119" t="n">
        <v>0</v>
      </c>
      <c r="K55" s="34">
        <f>F55*J55</f>
        <v/>
      </c>
      <c r="L55" s="119" t="n">
        <v>0</v>
      </c>
      <c r="M55" s="34">
        <f>L55*F55</f>
        <v/>
      </c>
      <c r="N55" s="119" t="n">
        <v>19</v>
      </c>
      <c r="O55" s="34">
        <f>F55</f>
        <v/>
      </c>
      <c r="P55" s="34">
        <f>N55*O55</f>
        <v/>
      </c>
      <c r="Q55" s="119" t="n">
        <v>0</v>
      </c>
      <c r="R55" s="34">
        <f>F55</f>
        <v/>
      </c>
      <c r="S55" s="34">
        <f>R55*Q55</f>
        <v/>
      </c>
      <c r="T55" s="34">
        <f>SUMIFS('[1]GİP VERİLERİ'!$C:$C,'[1]GİP VERİLERİ'!$B:$B,A55,'[1]GİP VERİLERİ'!$M:$M,"40X000000104782K",'[1]GİP VERİLERİ'!$G:$G,"SELL")</f>
        <v/>
      </c>
      <c r="U55" s="34">
        <f>IFERROR(W55/T55,0)</f>
        <v/>
      </c>
      <c r="V55" s="34">
        <f>IF(U55=0,0,U55-F55)</f>
        <v/>
      </c>
      <c r="W55" s="34">
        <f>SUMIFS('[1]GİP VERİLERİ'!$O:$O,'[1]GİP VERİLERİ'!$B:$B,A55,'[1]GİP VERİLERİ'!$M:$M,"40X000000104782K",'[1]GİP VERİLERİ'!$G:$G,"SELL")</f>
        <v/>
      </c>
      <c r="X55" s="34">
        <f>SUMIFS('[1]GİP VERİLERİ'!$C:$C,'[1]GİP VERİLERİ'!$B:$B,A55,'[1]GİP VERİLERİ'!$M:$M,"40X000000104782K",'[1]GİP VERİLERİ'!$G:$G,"BUY")</f>
        <v/>
      </c>
      <c r="Y55" s="34">
        <f>IFERROR(AA55/X55,0)</f>
        <v/>
      </c>
      <c r="Z55" s="34">
        <f>IF(Y55=0,0,F55-Y55)</f>
        <v/>
      </c>
      <c r="AA55" s="34">
        <f>SUMIFS('[1]GİP VERİLERİ'!$O:$O,'[1]GİP VERİLERİ'!$B:$B,A55,'[1]GİP VERİLERİ'!$M:$M,"40X000000104782K",'[1]GİP VERİLERİ'!$G:$G,"BUY")</f>
        <v/>
      </c>
      <c r="AB55" s="34" t="n">
        <v>0</v>
      </c>
      <c r="AC55" s="34" t="n">
        <v>0</v>
      </c>
      <c r="AD55" s="34">
        <f>IF(AB55&gt;AC55*1.05,AB55-AC55*1.05,IF(AB55&lt;AC55*0.95,AC55*0.95-AB55,0))</f>
        <v/>
      </c>
      <c r="AE55" s="34">
        <f>MAX(F55,G55,750)*0.05*AD55</f>
        <v/>
      </c>
      <c r="AF55" s="34" t="n">
        <v>0</v>
      </c>
      <c r="AG55" s="34">
        <f>IF(AB55&gt;AF55*1.05,AB55-AF55*1.05,IF(AB55&lt;AF55*0.95,AF55*0.95-AB55,0))</f>
        <v/>
      </c>
      <c r="AH55" s="34">
        <f>MAX(I55,J55,750)*0.05*AG55</f>
        <v/>
      </c>
      <c r="AI55" t="n">
        <v>9.050000000000001</v>
      </c>
      <c r="AJ55" t="n">
        <v>8</v>
      </c>
      <c r="AK55" s="34">
        <f>IF(AI55&gt;AJ55*1.05,AI55-AJ55*1.05,IF(AI55&lt;AJ55*0.95,AJ55*0.95-AI55,0))</f>
        <v/>
      </c>
      <c r="AL55" s="34">
        <f>MAX(F55,G55,750)*0.05*AK55</f>
        <v/>
      </c>
      <c r="AM55" s="39" t="n">
        <v>9</v>
      </c>
      <c r="AN55" s="34">
        <f>IF(AI55&gt;AM55*1.05,AI55-AM55*1.05,IF(AI55&lt;AM55*0.95,AM55*0.95-AI55,0))</f>
        <v/>
      </c>
      <c r="AO55" s="34">
        <f>MAX(F55,G55,750)*0.05*AN55</f>
        <v/>
      </c>
      <c r="AP55" s="34" t="n">
        <v>12.11</v>
      </c>
      <c r="AQ55" s="34" t="n">
        <v>11</v>
      </c>
      <c r="AR55" s="34">
        <f>IF(AP55&gt;AQ55*1.05,AP55-AQ55*1.05,IF(AP55&lt;AQ55*0.95,AQ55*0.95-AP55,0))</f>
        <v/>
      </c>
      <c r="AS55" s="34">
        <f>MAX(F55:G55,750)*0.05*AR55</f>
        <v/>
      </c>
      <c r="AT55" t="n">
        <v>12</v>
      </c>
      <c r="AU55" s="34">
        <f>IF(AP55&gt;AT55*1.05,AP55-AT55*1.05,IF(AP55&lt;AT55*0.95,AT55*0.95-AP55,0))</f>
        <v/>
      </c>
      <c r="AV55" s="34">
        <f>MAX(F55:G55,750)*0.05*AU55</f>
        <v/>
      </c>
      <c r="AW55" s="34">
        <f>AC55+AJ55+AQ55</f>
        <v/>
      </c>
      <c r="AX55" s="34">
        <f>AF55+AM55+AT55</f>
        <v/>
      </c>
      <c r="AY55" s="34">
        <f>AB55+AI55+AP55</f>
        <v/>
      </c>
      <c r="AZ55" s="34" t="n">
        <v>0</v>
      </c>
      <c r="BA55" s="34">
        <f>AD55+AK55+AR55</f>
        <v/>
      </c>
      <c r="BB55" s="34">
        <f>MAX(F55:G55,750)*0.05*BA55</f>
        <v/>
      </c>
      <c r="BC55" s="34">
        <f>AG55+AN55+AU55</f>
        <v/>
      </c>
      <c r="BD55" s="34">
        <f>MAX(F55:G55,750)*0.05*BC55</f>
        <v/>
      </c>
      <c r="BE55" s="34">
        <f>F55*AY55</f>
        <v/>
      </c>
      <c r="BF55" s="34">
        <f>K55-M55</f>
        <v/>
      </c>
      <c r="BG55" s="34">
        <f>P55-S55</f>
        <v/>
      </c>
      <c r="BH55" s="34">
        <f>W55-AA55</f>
        <v/>
      </c>
      <c r="BI55" s="34">
        <f>BF55+BG55+BL55-BN55</f>
        <v/>
      </c>
      <c r="BJ55" s="34">
        <f>ABS(BK55)</f>
        <v/>
      </c>
      <c r="BK55" s="34">
        <f>AY55-(J55-L55+N55-Q55)</f>
        <v/>
      </c>
      <c r="BL55" s="34">
        <f>IF(AND(BK55&gt;0,MIN($F55:$G55)&lt;150,$E55="Enerji Açığı"),-100*BK55*1.03,IF(AND(BK55&gt;0,MIN($F55:$G55)&lt;150,$E55="Enerji Fazlası"),-100*BK55*1.06,IF(AND(BK55&gt;0,MIN($F55:$G55)&gt;=150,$E55="Enerji Açığı"),BK55*MIN($F55:$G55)*0.97,IF(AND(BK55&gt;0,MIN($F55:$G55)&gt;=150,$E55="Enerji Fazlası"),BK55*MIN($F55:$G55)*0.94,IF(AND(BK55&lt;0,MAX($F55:$G55)=4500,$E55="Enerji Açığı"),4500*1.05*1.06*BK55,IF(AND(BK55&lt;0,MAX($F55:$G55)=4500,$E55="Enerji Fazlası"),4500*1.05*1.03*BK55,IF(AND(BK55&lt;0,$E55="Enerji Açığı"),MAX($F55,$G55,150)*BK55*1.06,IF(AND(BK55&lt;0,$E55="Enerji Fazlası"),MAX($F55,$G55,150)*BK55*1.03,IF(AND(BK55&lt;0,$E55="Dengede"),MAX($F55:$G55,150)*1.03*BK55,MIN($F55:$G55)*0.97*BK55)))))))))</f>
        <v/>
      </c>
      <c r="BM55" s="34">
        <f>BE55-BI55-BN55</f>
        <v/>
      </c>
      <c r="BN55" s="34">
        <f>BB55</f>
        <v/>
      </c>
      <c r="BO55" s="34">
        <f>BE55-BI55</f>
        <v/>
      </c>
      <c r="BP55" s="34">
        <f>IF(AY55=0,0,BO55/AY55)</f>
        <v/>
      </c>
      <c r="BQ55" s="34">
        <f>MAX((AY55+MAX((-J55+L55-N55+Q55),0)),(MAX((J55-L55+N55-Q55),0)))</f>
        <v/>
      </c>
      <c r="BR55" s="82">
        <f>IFERROR(ABS(BK55/BQ55),0)</f>
        <v/>
      </c>
      <c r="BS55" s="34">
        <f>IF(BR55&lt;=0.1,0,BK55/BR55*(BR55-0.1))</f>
        <v/>
      </c>
      <c r="BT55" s="34">
        <f>IF((BS55)&lt;0,MAX(F55:G55)*(BS55)*1.03,MIN(F55:G55)*(BS55)*0.97)</f>
        <v/>
      </c>
      <c r="BU55" s="34">
        <f>IF(BR55&gt;0.1,1,0)</f>
        <v/>
      </c>
      <c r="BV55" s="34">
        <f>BF55+BG55+BH55+BY55-CA55</f>
        <v/>
      </c>
      <c r="BW55" s="34">
        <f>ABS(BX55)</f>
        <v/>
      </c>
      <c r="BX55" s="34">
        <f>AY55-(J55-L55+N55-Q55+T55-X55)</f>
        <v/>
      </c>
      <c r="BY55" s="34">
        <f>IF(AND(BX55&gt;0,MIN($F55:$G55)&lt;150,$E55="Enerji Açığı"),-100*BX55*1.03,IF(AND(BX55&gt;0,MIN($F55:$G55)&lt;150,$E55="Enerji Fazlası"),-100*BX55*1.06,IF(AND(BX55&gt;0,MIN($F55:$G55)&gt;=150,$E55="Enerji Açığı"),BX55*MIN($F55:$G55)*0.97,IF(AND(BX55&gt;0,MIN($F55:$G55)&gt;=150,$E55="Enerji Fazlası"),BX55*MIN($F55:$G55)*0.94,IF(AND(BX55&lt;0,MAX($F55:$G55)=4500,$E55="Enerji Açığı"),4500*1.05*1.06*BX55,IF(AND(BX55&lt;0,MAX($F55:$G55)=4500,$E55="Enerji Fazlası"),4500*1.05*1.03*BX55,IF(AND(BX55&lt;0,$E55="Enerji Açığı"),MAX($F55,$G55,150)*BX55*1.06,IF(AND(BX55&lt;0,$E55="Enerji Fazlası"),MAX($F55,$G55,150)*BX55*1.03,IF(AND(BX55&lt;0,$E55="Dengede"),MAX($F55:$G55,150)*1.03*BX55,MIN($F55:$G55)*0.97*BX55)))))))))</f>
        <v/>
      </c>
      <c r="BZ55" s="34">
        <f>BE55-BV55-CA55</f>
        <v/>
      </c>
      <c r="CA55" s="34">
        <f>BD55</f>
        <v/>
      </c>
      <c r="CB55" s="33">
        <f>BE55-BV55</f>
        <v/>
      </c>
      <c r="CC55" s="34">
        <f>IF(AY55=0,0,CB55/AY55)</f>
        <v/>
      </c>
      <c r="CD55" s="34">
        <f>MAX((AY55+MAX((-J55+L55-N55+Q55-T55+X55),0)),(MAX((J55-L55+N55-Q55+T55-X55),0)))</f>
        <v/>
      </c>
      <c r="CE55" s="82">
        <f>IFERROR(ABS(BX55/CD55),0)</f>
        <v/>
      </c>
      <c r="CF55" s="34">
        <f>IF(CE55&lt;=0.1,0,BX55/CE55*(CE55-0.1))</f>
        <v/>
      </c>
      <c r="CG55" s="34">
        <f>IF((CF55)&lt;0,MAX(F55:G55)*(CF55)*1.03,MIN(F55:G55)*(CF55)*0.97)</f>
        <v/>
      </c>
      <c r="CH55" s="34">
        <f>IF(CE55&gt;0.1,1,0)</f>
        <v/>
      </c>
      <c r="CI55" s="34">
        <f>(F55*BX55)-BY55</f>
        <v/>
      </c>
      <c r="CJ55" s="34">
        <f>IF(AY55=0,0,CI55/AY55)</f>
        <v/>
      </c>
    </row>
    <row r="56">
      <c r="A56" s="29" t="n">
        <v>46206.20833333334</v>
      </c>
      <c r="B56" s="29" t="inlineStr">
        <is>
          <t>05:00</t>
        </is>
      </c>
      <c r="C56" s="35">
        <f>INT(A56)</f>
        <v/>
      </c>
      <c r="D56" s="36">
        <f>MONTH(A56)</f>
        <v/>
      </c>
      <c r="E56" s="147">
        <f>[1]FİYATLAR!G55</f>
        <v/>
      </c>
      <c r="F56" s="30" t="n">
        <v>3600</v>
      </c>
      <c r="G56" s="30" t="n">
        <v>2001</v>
      </c>
      <c r="H56" s="30" t="n">
        <v>77.28</v>
      </c>
      <c r="I56" s="30" t="n">
        <v>3156.57</v>
      </c>
      <c r="J56" s="119" t="n">
        <v>0</v>
      </c>
      <c r="K56" s="34">
        <f>F56*J56</f>
        <v/>
      </c>
      <c r="L56" s="119" t="n">
        <v>0</v>
      </c>
      <c r="M56" s="34">
        <f>L56*F56</f>
        <v/>
      </c>
      <c r="N56" s="119" t="n">
        <v>19</v>
      </c>
      <c r="O56" s="34">
        <f>F56</f>
        <v/>
      </c>
      <c r="P56" s="34">
        <f>N56*O56</f>
        <v/>
      </c>
      <c r="Q56" s="119" t="n">
        <v>0</v>
      </c>
      <c r="R56" s="34">
        <f>F56</f>
        <v/>
      </c>
      <c r="S56" s="34">
        <f>R56*Q56</f>
        <v/>
      </c>
      <c r="T56" s="34">
        <f>SUMIFS('[1]GİP VERİLERİ'!$C:$C,'[1]GİP VERİLERİ'!$B:$B,A56,'[1]GİP VERİLERİ'!$M:$M,"40X000000104782K",'[1]GİP VERİLERİ'!$G:$G,"SELL")</f>
        <v/>
      </c>
      <c r="U56" s="34">
        <f>IFERROR(W56/T56,0)</f>
        <v/>
      </c>
      <c r="V56" s="34">
        <f>IF(U56=0,0,U56-F56)</f>
        <v/>
      </c>
      <c r="W56" s="34">
        <f>SUMIFS('[1]GİP VERİLERİ'!$O:$O,'[1]GİP VERİLERİ'!$B:$B,A56,'[1]GİP VERİLERİ'!$M:$M,"40X000000104782K",'[1]GİP VERİLERİ'!$G:$G,"SELL")</f>
        <v/>
      </c>
      <c r="X56" s="34">
        <f>SUMIFS('[1]GİP VERİLERİ'!$C:$C,'[1]GİP VERİLERİ'!$B:$B,A56,'[1]GİP VERİLERİ'!$M:$M,"40X000000104782K",'[1]GİP VERİLERİ'!$G:$G,"BUY")</f>
        <v/>
      </c>
      <c r="Y56" s="34">
        <f>IFERROR(AA56/X56,0)</f>
        <v/>
      </c>
      <c r="Z56" s="34">
        <f>IF(Y56=0,0,F56-Y56)</f>
        <v/>
      </c>
      <c r="AA56" s="34">
        <f>SUMIFS('[1]GİP VERİLERİ'!$O:$O,'[1]GİP VERİLERİ'!$B:$B,A56,'[1]GİP VERİLERİ'!$M:$M,"40X000000104782K",'[1]GİP VERİLERİ'!$G:$G,"BUY")</f>
        <v/>
      </c>
      <c r="AB56" s="34" t="n">
        <v>0</v>
      </c>
      <c r="AC56" s="34" t="n">
        <v>0</v>
      </c>
      <c r="AD56" s="34">
        <f>IF(AB56&gt;AC56*1.05,AB56-AC56*1.05,IF(AB56&lt;AC56*0.95,AC56*0.95-AB56,0))</f>
        <v/>
      </c>
      <c r="AE56" s="34">
        <f>MAX(F56,G56,750)*0.05*AD56</f>
        <v/>
      </c>
      <c r="AF56" s="34" t="n">
        <v>0</v>
      </c>
      <c r="AG56" s="34">
        <f>IF(AB56&gt;AF56*1.05,AB56-AF56*1.05,IF(AB56&lt;AF56*0.95,AF56*0.95-AB56,0))</f>
        <v/>
      </c>
      <c r="AH56" s="34">
        <f>MAX(I56,J56,750)*0.05*AG56</f>
        <v/>
      </c>
      <c r="AI56" t="n">
        <v>9.16</v>
      </c>
      <c r="AJ56" t="n">
        <v>8</v>
      </c>
      <c r="AK56" s="34">
        <f>IF(AI56&gt;AJ56*1.05,AI56-AJ56*1.05,IF(AI56&lt;AJ56*0.95,AJ56*0.95-AI56,0))</f>
        <v/>
      </c>
      <c r="AL56" s="34">
        <f>MAX(F56,G56,750)*0.05*AK56</f>
        <v/>
      </c>
      <c r="AM56" s="39" t="n">
        <v>9</v>
      </c>
      <c r="AN56" s="34">
        <f>IF(AI56&gt;AM56*1.05,AI56-AM56*1.05,IF(AI56&lt;AM56*0.95,AM56*0.95-AI56,0))</f>
        <v/>
      </c>
      <c r="AO56" s="34">
        <f>MAX(F56,G56,750)*0.05*AN56</f>
        <v/>
      </c>
      <c r="AP56" s="34" t="n">
        <v>12.13</v>
      </c>
      <c r="AQ56" s="34" t="n">
        <v>11</v>
      </c>
      <c r="AR56" s="34">
        <f>IF(AP56&gt;AQ56*1.05,AP56-AQ56*1.05,IF(AP56&lt;AQ56*0.95,AQ56*0.95-AP56,0))</f>
        <v/>
      </c>
      <c r="AS56" s="34">
        <f>MAX(F56:G56,750)*0.05*AR56</f>
        <v/>
      </c>
      <c r="AT56" t="n">
        <v>12</v>
      </c>
      <c r="AU56" s="34">
        <f>IF(AP56&gt;AT56*1.05,AP56-AT56*1.05,IF(AP56&lt;AT56*0.95,AT56*0.95-AP56,0))</f>
        <v/>
      </c>
      <c r="AV56" s="34">
        <f>MAX(F56:G56,750)*0.05*AU56</f>
        <v/>
      </c>
      <c r="AW56" s="34">
        <f>AC56+AJ56+AQ56</f>
        <v/>
      </c>
      <c r="AX56" s="34">
        <f>AF56+AM56+AT56</f>
        <v/>
      </c>
      <c r="AY56" s="34">
        <f>AB56+AI56+AP56</f>
        <v/>
      </c>
      <c r="AZ56" s="34" t="n">
        <v>0</v>
      </c>
      <c r="BA56" s="34">
        <f>AD56+AK56+AR56</f>
        <v/>
      </c>
      <c r="BB56" s="34">
        <f>MAX(F56:G56,750)*0.05*BA56</f>
        <v/>
      </c>
      <c r="BC56" s="34">
        <f>AG56+AN56+AU56</f>
        <v/>
      </c>
      <c r="BD56" s="34">
        <f>MAX(F56:G56,750)*0.05*BC56</f>
        <v/>
      </c>
      <c r="BE56" s="34">
        <f>F56*AY56</f>
        <v/>
      </c>
      <c r="BF56" s="34">
        <f>K56-M56</f>
        <v/>
      </c>
      <c r="BG56" s="34">
        <f>P56-S56</f>
        <v/>
      </c>
      <c r="BH56" s="34">
        <f>W56-AA56</f>
        <v/>
      </c>
      <c r="BI56" s="34">
        <f>BF56+BG56+BL56-BN56</f>
        <v/>
      </c>
      <c r="BJ56" s="34">
        <f>ABS(BK56)</f>
        <v/>
      </c>
      <c r="BK56" s="34">
        <f>AY56-(J56-L56+N56-Q56)</f>
        <v/>
      </c>
      <c r="BL56" s="34">
        <f>IF(AND(BK56&gt;0,MIN($F56:$G56)&lt;150,$E56="Enerji Açığı"),-100*BK56*1.03,IF(AND(BK56&gt;0,MIN($F56:$G56)&lt;150,$E56="Enerji Fazlası"),-100*BK56*1.06,IF(AND(BK56&gt;0,MIN($F56:$G56)&gt;=150,$E56="Enerji Açığı"),BK56*MIN($F56:$G56)*0.97,IF(AND(BK56&gt;0,MIN($F56:$G56)&gt;=150,$E56="Enerji Fazlası"),BK56*MIN($F56:$G56)*0.94,IF(AND(BK56&lt;0,MAX($F56:$G56)=4500,$E56="Enerji Açığı"),4500*1.05*1.06*BK56,IF(AND(BK56&lt;0,MAX($F56:$G56)=4500,$E56="Enerji Fazlası"),4500*1.05*1.03*BK56,IF(AND(BK56&lt;0,$E56="Enerji Açığı"),MAX($F56,$G56,150)*BK56*1.06,IF(AND(BK56&lt;0,$E56="Enerji Fazlası"),MAX($F56,$G56,150)*BK56*1.03,IF(AND(BK56&lt;0,$E56="Dengede"),MAX($F56:$G56,150)*1.03*BK56,MIN($F56:$G56)*0.97*BK56)))))))))</f>
        <v/>
      </c>
      <c r="BM56" s="34">
        <f>BE56-BI56-BN56</f>
        <v/>
      </c>
      <c r="BN56" s="34">
        <f>BB56</f>
        <v/>
      </c>
      <c r="BO56" s="34">
        <f>BE56-BI56</f>
        <v/>
      </c>
      <c r="BP56" s="34">
        <f>IF(AY56=0,0,BO56/AY56)</f>
        <v/>
      </c>
      <c r="BQ56" s="34">
        <f>MAX((AY56+MAX((-J56+L56-N56+Q56),0)),(MAX((J56-L56+N56-Q56),0)))</f>
        <v/>
      </c>
      <c r="BR56" s="82">
        <f>IFERROR(ABS(BK56/BQ56),0)</f>
        <v/>
      </c>
      <c r="BS56" s="34">
        <f>IF(BR56&lt;=0.1,0,BK56/BR56*(BR56-0.1))</f>
        <v/>
      </c>
      <c r="BT56" s="34">
        <f>IF((BS56)&lt;0,MAX(F56:G56)*(BS56)*1.03,MIN(F56:G56)*(BS56)*0.97)</f>
        <v/>
      </c>
      <c r="BU56" s="34">
        <f>IF(BR56&gt;0.1,1,0)</f>
        <v/>
      </c>
      <c r="BV56" s="34">
        <f>BF56+BG56+BH56+BY56-CA56</f>
        <v/>
      </c>
      <c r="BW56" s="34">
        <f>ABS(BX56)</f>
        <v/>
      </c>
      <c r="BX56" s="34">
        <f>AY56-(J56-L56+N56-Q56+T56-X56)</f>
        <v/>
      </c>
      <c r="BY56" s="34">
        <f>IF(AND(BX56&gt;0,MIN($F56:$G56)&lt;150,$E56="Enerji Açığı"),-100*BX56*1.03,IF(AND(BX56&gt;0,MIN($F56:$G56)&lt;150,$E56="Enerji Fazlası"),-100*BX56*1.06,IF(AND(BX56&gt;0,MIN($F56:$G56)&gt;=150,$E56="Enerji Açığı"),BX56*MIN($F56:$G56)*0.97,IF(AND(BX56&gt;0,MIN($F56:$G56)&gt;=150,$E56="Enerji Fazlası"),BX56*MIN($F56:$G56)*0.94,IF(AND(BX56&lt;0,MAX($F56:$G56)=4500,$E56="Enerji Açığı"),4500*1.05*1.06*BX56,IF(AND(BX56&lt;0,MAX($F56:$G56)=4500,$E56="Enerji Fazlası"),4500*1.05*1.03*BX56,IF(AND(BX56&lt;0,$E56="Enerji Açığı"),MAX($F56,$G56,150)*BX56*1.06,IF(AND(BX56&lt;0,$E56="Enerji Fazlası"),MAX($F56,$G56,150)*BX56*1.03,IF(AND(BX56&lt;0,$E56="Dengede"),MAX($F56:$G56,150)*1.03*BX56,MIN($F56:$G56)*0.97*BX56)))))))))</f>
        <v/>
      </c>
      <c r="BZ56" s="34">
        <f>BE56-BV56-CA56</f>
        <v/>
      </c>
      <c r="CA56" s="34">
        <f>BD56</f>
        <v/>
      </c>
      <c r="CB56" s="33">
        <f>BE56-BV56</f>
        <v/>
      </c>
      <c r="CC56" s="34">
        <f>IF(AY56=0,0,CB56/AY56)</f>
        <v/>
      </c>
      <c r="CD56" s="34">
        <f>MAX((AY56+MAX((-J56+L56-N56+Q56-T56+X56),0)),(MAX((J56-L56+N56-Q56+T56-X56),0)))</f>
        <v/>
      </c>
      <c r="CE56" s="82">
        <f>IFERROR(ABS(BX56/CD56),0)</f>
        <v/>
      </c>
      <c r="CF56" s="34">
        <f>IF(CE56&lt;=0.1,0,BX56/CE56*(CE56-0.1))</f>
        <v/>
      </c>
      <c r="CG56" s="34">
        <f>IF((CF56)&lt;0,MAX(F56:G56)*(CF56)*1.03,MIN(F56:G56)*(CF56)*0.97)</f>
        <v/>
      </c>
      <c r="CH56" s="34">
        <f>IF(CE56&gt;0.1,1,0)</f>
        <v/>
      </c>
      <c r="CI56" s="34">
        <f>(F56*BX56)-BY56</f>
        <v/>
      </c>
      <c r="CJ56" s="34">
        <f>IF(AY56=0,0,CI56/AY56)</f>
        <v/>
      </c>
    </row>
    <row r="57">
      <c r="A57" s="29" t="n">
        <v>46206.25</v>
      </c>
      <c r="B57" s="29" t="inlineStr">
        <is>
          <t>06:00</t>
        </is>
      </c>
      <c r="C57" s="35">
        <f>INT(A57)</f>
        <v/>
      </c>
      <c r="D57" s="36">
        <f>MONTH(A57)</f>
        <v/>
      </c>
      <c r="E57" s="147">
        <f>[1]FİYATLAR!G56</f>
        <v/>
      </c>
      <c r="F57" s="30" t="n">
        <v>2450.99</v>
      </c>
      <c r="G57" s="30" t="n">
        <v>2302.99</v>
      </c>
      <c r="H57" s="30" t="n">
        <v>52.61</v>
      </c>
      <c r="I57" s="30" t="n">
        <v>1602.82</v>
      </c>
      <c r="J57" s="119" t="n">
        <v>0</v>
      </c>
      <c r="K57" s="34">
        <f>F57*J57</f>
        <v/>
      </c>
      <c r="L57" s="119" t="n">
        <v>0</v>
      </c>
      <c r="M57" s="34">
        <f>L57*F57</f>
        <v/>
      </c>
      <c r="N57" s="119" t="n">
        <v>22.2</v>
      </c>
      <c r="O57" s="34">
        <f>F57</f>
        <v/>
      </c>
      <c r="P57" s="34">
        <f>N57*O57</f>
        <v/>
      </c>
      <c r="Q57" s="119" t="n">
        <v>0</v>
      </c>
      <c r="R57" s="34">
        <f>F57</f>
        <v/>
      </c>
      <c r="S57" s="34">
        <f>R57*Q57</f>
        <v/>
      </c>
      <c r="T57" s="34">
        <f>SUMIFS('[1]GİP VERİLERİ'!$C:$C,'[1]GİP VERİLERİ'!$B:$B,A57,'[1]GİP VERİLERİ'!$M:$M,"40X000000104782K",'[1]GİP VERİLERİ'!$G:$G,"SELL")</f>
        <v/>
      </c>
      <c r="U57" s="34">
        <f>IFERROR(W57/T57,0)</f>
        <v/>
      </c>
      <c r="V57" s="34">
        <f>IF(U57=0,0,U57-F57)</f>
        <v/>
      </c>
      <c r="W57" s="34">
        <f>SUMIFS('[1]GİP VERİLERİ'!$O:$O,'[1]GİP VERİLERİ'!$B:$B,A57,'[1]GİP VERİLERİ'!$M:$M,"40X000000104782K",'[1]GİP VERİLERİ'!$G:$G,"SELL")</f>
        <v/>
      </c>
      <c r="X57" s="34">
        <f>SUMIFS('[1]GİP VERİLERİ'!$C:$C,'[1]GİP VERİLERİ'!$B:$B,A57,'[1]GİP VERİLERİ'!$M:$M,"40X000000104782K",'[1]GİP VERİLERİ'!$G:$G,"BUY")</f>
        <v/>
      </c>
      <c r="Y57" s="34">
        <f>IFERROR(AA57/X57,0)</f>
        <v/>
      </c>
      <c r="Z57" s="34">
        <f>IF(Y57=0,0,F57-Y57)</f>
        <v/>
      </c>
      <c r="AA57" s="34">
        <f>SUMIFS('[1]GİP VERİLERİ'!$O:$O,'[1]GİP VERİLERİ'!$B:$B,A57,'[1]GİP VERİLERİ'!$M:$M,"40X000000104782K",'[1]GİP VERİLERİ'!$G:$G,"BUY")</f>
        <v/>
      </c>
      <c r="AB57" s="34" t="n">
        <v>0</v>
      </c>
      <c r="AC57" s="34" t="n">
        <v>0</v>
      </c>
      <c r="AD57" s="34">
        <f>IF(AB57&gt;AC57*1.05,AB57-AC57*1.05,IF(AB57&lt;AC57*0.95,AC57*0.95-AB57,0))</f>
        <v/>
      </c>
      <c r="AE57" s="34">
        <f>MAX(F57,G57,750)*0.05*AD57</f>
        <v/>
      </c>
      <c r="AF57" s="34" t="n">
        <v>0</v>
      </c>
      <c r="AG57" s="34">
        <f>IF(AB57&gt;AF57*1.05,AB57-AF57*1.05,IF(AB57&lt;AF57*0.95,AF57*0.95-AB57,0))</f>
        <v/>
      </c>
      <c r="AH57" s="34">
        <f>MAX(I57,J57,750)*0.05*AG57</f>
        <v/>
      </c>
      <c r="AI57" t="n">
        <v>9.140000000000001</v>
      </c>
      <c r="AJ57" t="n">
        <v>9</v>
      </c>
      <c r="AK57" s="34">
        <f>IF(AI57&gt;AJ57*1.05,AI57-AJ57*1.05,IF(AI57&lt;AJ57*0.95,AJ57*0.95-AI57,0))</f>
        <v/>
      </c>
      <c r="AL57" s="34">
        <f>MAX(F57,G57,750)*0.05*AK57</f>
        <v/>
      </c>
      <c r="AM57" s="39" t="n">
        <v>9</v>
      </c>
      <c r="AN57" s="34">
        <f>IF(AI57&gt;AM57*1.05,AI57-AM57*1.05,IF(AI57&lt;AM57*0.95,AM57*0.95-AI57,0))</f>
        <v/>
      </c>
      <c r="AO57" s="34">
        <f>MAX(F57,G57,750)*0.05*AN57</f>
        <v/>
      </c>
      <c r="AP57" s="34" t="n">
        <v>13.26</v>
      </c>
      <c r="AQ57" s="34" t="n">
        <v>13.2</v>
      </c>
      <c r="AR57" s="34">
        <f>IF(AP57&gt;AQ57*1.05,AP57-AQ57*1.05,IF(AP57&lt;AQ57*0.95,AQ57*0.95-AP57,0))</f>
        <v/>
      </c>
      <c r="AS57" s="34">
        <f>MAX(F57:G57,750)*0.05*AR57</f>
        <v/>
      </c>
      <c r="AT57" t="n">
        <v>13.2</v>
      </c>
      <c r="AU57" s="34">
        <f>IF(AP57&gt;AT57*1.05,AP57-AT57*1.05,IF(AP57&lt;AT57*0.95,AT57*0.95-AP57,0))</f>
        <v/>
      </c>
      <c r="AV57" s="34">
        <f>MAX(F57:G57,750)*0.05*AU57</f>
        <v/>
      </c>
      <c r="AW57" s="34">
        <f>AC57+AJ57+AQ57</f>
        <v/>
      </c>
      <c r="AX57" s="34">
        <f>AF57+AM57+AT57</f>
        <v/>
      </c>
      <c r="AY57" s="34">
        <f>AB57+AI57+AP57</f>
        <v/>
      </c>
      <c r="AZ57" s="34" t="n">
        <v>0</v>
      </c>
      <c r="BA57" s="34">
        <f>AD57+AK57+AR57</f>
        <v/>
      </c>
      <c r="BB57" s="34">
        <f>MAX(F57:G57,750)*0.05*BA57</f>
        <v/>
      </c>
      <c r="BC57" s="34">
        <f>AG57+AN57+AU57</f>
        <v/>
      </c>
      <c r="BD57" s="34">
        <f>MAX(F57:G57,750)*0.05*BC57</f>
        <v/>
      </c>
      <c r="BE57" s="34">
        <f>F57*AY57</f>
        <v/>
      </c>
      <c r="BF57" s="34">
        <f>K57-M57</f>
        <v/>
      </c>
      <c r="BG57" s="34">
        <f>P57-S57</f>
        <v/>
      </c>
      <c r="BH57" s="34">
        <f>W57-AA57</f>
        <v/>
      </c>
      <c r="BI57" s="34">
        <f>BF57+BG57+BL57-BN57</f>
        <v/>
      </c>
      <c r="BJ57" s="34">
        <f>ABS(BK57)</f>
        <v/>
      </c>
      <c r="BK57" s="34">
        <f>AY57-(J57-L57+N57-Q57)</f>
        <v/>
      </c>
      <c r="BL57" s="34">
        <f>IF(AND(BK57&gt;0,MIN($F57:$G57)&lt;150,$E57="Enerji Açığı"),-100*BK57*1.03,IF(AND(BK57&gt;0,MIN($F57:$G57)&lt;150,$E57="Enerji Fazlası"),-100*BK57*1.06,IF(AND(BK57&gt;0,MIN($F57:$G57)&gt;=150,$E57="Enerji Açığı"),BK57*MIN($F57:$G57)*0.97,IF(AND(BK57&gt;0,MIN($F57:$G57)&gt;=150,$E57="Enerji Fazlası"),BK57*MIN($F57:$G57)*0.94,IF(AND(BK57&lt;0,MAX($F57:$G57)=4500,$E57="Enerji Açığı"),4500*1.05*1.06*BK57,IF(AND(BK57&lt;0,MAX($F57:$G57)=4500,$E57="Enerji Fazlası"),4500*1.05*1.03*BK57,IF(AND(BK57&lt;0,$E57="Enerji Açığı"),MAX($F57,$G57,150)*BK57*1.06,IF(AND(BK57&lt;0,$E57="Enerji Fazlası"),MAX($F57,$G57,150)*BK57*1.03,IF(AND(BK57&lt;0,$E57="Dengede"),MAX($F57:$G57,150)*1.03*BK57,MIN($F57:$G57)*0.97*BK57)))))))))</f>
        <v/>
      </c>
      <c r="BM57" s="34">
        <f>BE57-BI57-BN57</f>
        <v/>
      </c>
      <c r="BN57" s="34">
        <f>BB57</f>
        <v/>
      </c>
      <c r="BO57" s="34">
        <f>BE57-BI57</f>
        <v/>
      </c>
      <c r="BP57" s="34">
        <f>IF(AY57=0,0,BO57/AY57)</f>
        <v/>
      </c>
      <c r="BQ57" s="34">
        <f>MAX((AY57+MAX((-J57+L57-N57+Q57),0)),(MAX((J57-L57+N57-Q57),0)))</f>
        <v/>
      </c>
      <c r="BR57" s="82">
        <f>IFERROR(ABS(BK57/BQ57),0)</f>
        <v/>
      </c>
      <c r="BS57" s="34">
        <f>IF(BR57&lt;=0.1,0,BK57/BR57*(BR57-0.1))</f>
        <v/>
      </c>
      <c r="BT57" s="34">
        <f>IF((BS57)&lt;0,MAX(F57:G57)*(BS57)*1.03,MIN(F57:G57)*(BS57)*0.97)</f>
        <v/>
      </c>
      <c r="BU57" s="34">
        <f>IF(BR57&gt;0.1,1,0)</f>
        <v/>
      </c>
      <c r="BV57" s="34">
        <f>BF57+BG57+BH57+BY57-CA57</f>
        <v/>
      </c>
      <c r="BW57" s="34">
        <f>ABS(BX57)</f>
        <v/>
      </c>
      <c r="BX57" s="34">
        <f>AY57-(J57-L57+N57-Q57+T57-X57)</f>
        <v/>
      </c>
      <c r="BY57" s="34">
        <f>IF(AND(BX57&gt;0,MIN($F57:$G57)&lt;150,$E57="Enerji Açığı"),-100*BX57*1.03,IF(AND(BX57&gt;0,MIN($F57:$G57)&lt;150,$E57="Enerji Fazlası"),-100*BX57*1.06,IF(AND(BX57&gt;0,MIN($F57:$G57)&gt;=150,$E57="Enerji Açığı"),BX57*MIN($F57:$G57)*0.97,IF(AND(BX57&gt;0,MIN($F57:$G57)&gt;=150,$E57="Enerji Fazlası"),BX57*MIN($F57:$G57)*0.94,IF(AND(BX57&lt;0,MAX($F57:$G57)=4500,$E57="Enerji Açığı"),4500*1.05*1.06*BX57,IF(AND(BX57&lt;0,MAX($F57:$G57)=4500,$E57="Enerji Fazlası"),4500*1.05*1.03*BX57,IF(AND(BX57&lt;0,$E57="Enerji Açığı"),MAX($F57,$G57,150)*BX57*1.06,IF(AND(BX57&lt;0,$E57="Enerji Fazlası"),MAX($F57,$G57,150)*BX57*1.03,IF(AND(BX57&lt;0,$E57="Dengede"),MAX($F57:$G57,150)*1.03*BX57,MIN($F57:$G57)*0.97*BX57)))))))))</f>
        <v/>
      </c>
      <c r="BZ57" s="34">
        <f>BE57-BV57-CA57</f>
        <v/>
      </c>
      <c r="CA57" s="34">
        <f>BD57</f>
        <v/>
      </c>
      <c r="CB57" s="33">
        <f>BE57-BV57</f>
        <v/>
      </c>
      <c r="CC57" s="34">
        <f>IF(AY57=0,0,CB57/AY57)</f>
        <v/>
      </c>
      <c r="CD57" s="34">
        <f>MAX((AY57+MAX((-J57+L57-N57+Q57-T57+X57),0)),(MAX((J57-L57+N57-Q57+T57-X57),0)))</f>
        <v/>
      </c>
      <c r="CE57" s="82">
        <f>IFERROR(ABS(BX57/CD57),0)</f>
        <v/>
      </c>
      <c r="CF57" s="34">
        <f>IF(CE57&lt;=0.1,0,BX57/CE57*(CE57-0.1))</f>
        <v/>
      </c>
      <c r="CG57" s="34">
        <f>IF((CF57)&lt;0,MAX(F57:G57)*(CF57)*1.03,MIN(F57:G57)*(CF57)*0.97)</f>
        <v/>
      </c>
      <c r="CH57" s="34">
        <f>IF(CE57&gt;0.1,1,0)</f>
        <v/>
      </c>
      <c r="CI57" s="34">
        <f>(F57*BX57)-BY57</f>
        <v/>
      </c>
      <c r="CJ57" s="34">
        <f>IF(AY57=0,0,CI57/AY57)</f>
        <v/>
      </c>
    </row>
    <row r="58">
      <c r="A58" s="29" t="n">
        <v>46206.29166666666</v>
      </c>
      <c r="B58" s="29" t="inlineStr">
        <is>
          <t>07:00</t>
        </is>
      </c>
      <c r="C58" s="35">
        <f>INT(A58)</f>
        <v/>
      </c>
      <c r="D58" s="36">
        <f>MONTH(A58)</f>
        <v/>
      </c>
      <c r="E58" s="147">
        <f>[1]FİYATLAR!G57</f>
        <v/>
      </c>
      <c r="F58" s="30" t="n">
        <v>1799.98</v>
      </c>
      <c r="G58" s="30" t="n">
        <v>1000</v>
      </c>
      <c r="H58" s="30" t="n">
        <v>38.64</v>
      </c>
      <c r="I58" s="30" t="n">
        <v>1207.98</v>
      </c>
      <c r="J58" s="119" t="n">
        <v>0</v>
      </c>
      <c r="K58" s="34">
        <f>F58*J58</f>
        <v/>
      </c>
      <c r="L58" s="119" t="n">
        <v>0</v>
      </c>
      <c r="M58" s="34">
        <f>L58*F58</f>
        <v/>
      </c>
      <c r="N58" s="119" t="n">
        <v>22.5</v>
      </c>
      <c r="O58" s="34">
        <f>F58</f>
        <v/>
      </c>
      <c r="P58" s="34">
        <f>N58*O58</f>
        <v/>
      </c>
      <c r="Q58" s="119" t="n">
        <v>0</v>
      </c>
      <c r="R58" s="34">
        <f>F58</f>
        <v/>
      </c>
      <c r="S58" s="34">
        <f>R58*Q58</f>
        <v/>
      </c>
      <c r="T58" s="34">
        <f>SUMIFS('[1]GİP VERİLERİ'!$C:$C,'[1]GİP VERİLERİ'!$B:$B,A58,'[1]GİP VERİLERİ'!$M:$M,"40X000000104782K",'[1]GİP VERİLERİ'!$G:$G,"SELL")</f>
        <v/>
      </c>
      <c r="U58" s="34">
        <f>IFERROR(W58/T58,0)</f>
        <v/>
      </c>
      <c r="V58" s="34">
        <f>IF(U58=0,0,U58-F58)</f>
        <v/>
      </c>
      <c r="W58" s="34">
        <f>SUMIFS('[1]GİP VERİLERİ'!$O:$O,'[1]GİP VERİLERİ'!$B:$B,A58,'[1]GİP VERİLERİ'!$M:$M,"40X000000104782K",'[1]GİP VERİLERİ'!$G:$G,"SELL")</f>
        <v/>
      </c>
      <c r="X58" s="34">
        <f>SUMIFS('[1]GİP VERİLERİ'!$C:$C,'[1]GİP VERİLERİ'!$B:$B,A58,'[1]GİP VERİLERİ'!$M:$M,"40X000000104782K",'[1]GİP VERİLERİ'!$G:$G,"BUY")</f>
        <v/>
      </c>
      <c r="Y58" s="34">
        <f>IFERROR(AA58/X58,0)</f>
        <v/>
      </c>
      <c r="Z58" s="34">
        <f>IF(Y58=0,0,F58-Y58)</f>
        <v/>
      </c>
      <c r="AA58" s="34">
        <f>SUMIFS('[1]GİP VERİLERİ'!$O:$O,'[1]GİP VERİLERİ'!$B:$B,A58,'[1]GİP VERİLERİ'!$M:$M,"40X000000104782K",'[1]GİP VERİLERİ'!$G:$G,"BUY")</f>
        <v/>
      </c>
      <c r="AB58" s="34" t="n">
        <v>0</v>
      </c>
      <c r="AC58" s="34" t="n">
        <v>0</v>
      </c>
      <c r="AD58" s="34">
        <f>IF(AB58&gt;AC58*1.05,AB58-AC58*1.05,IF(AB58&lt;AC58*0.95,AC58*0.95-AB58,0))</f>
        <v/>
      </c>
      <c r="AE58" s="34">
        <f>MAX(F58,G58,750)*0.05*AD58</f>
        <v/>
      </c>
      <c r="AF58" s="34" t="n">
        <v>0</v>
      </c>
      <c r="AG58" s="34">
        <f>IF(AB58&gt;AF58*1.05,AB58-AF58*1.05,IF(AB58&lt;AF58*0.95,AF58*0.95-AB58,0))</f>
        <v/>
      </c>
      <c r="AH58" s="34">
        <f>MAX(I58,J58,750)*0.05*AG58</f>
        <v/>
      </c>
      <c r="AI58" t="n">
        <v>9.44</v>
      </c>
      <c r="AJ58" t="n">
        <v>9</v>
      </c>
      <c r="AK58" s="34">
        <f>IF(AI58&gt;AJ58*1.05,AI58-AJ58*1.05,IF(AI58&lt;AJ58*0.95,AJ58*0.95-AI58,0))</f>
        <v/>
      </c>
      <c r="AL58" s="34">
        <f>MAX(F58,G58,750)*0.05*AK58</f>
        <v/>
      </c>
      <c r="AM58" s="39" t="n">
        <v>9</v>
      </c>
      <c r="AN58" s="34">
        <f>IF(AI58&gt;AM58*1.05,AI58-AM58*1.05,IF(AI58&lt;AM58*0.95,AM58*0.95-AI58,0))</f>
        <v/>
      </c>
      <c r="AO58" s="34">
        <f>MAX(F58,G58,750)*0.05*AN58</f>
        <v/>
      </c>
      <c r="AP58" s="34" t="n">
        <v>13.33</v>
      </c>
      <c r="AQ58" s="34" t="n">
        <v>13.5</v>
      </c>
      <c r="AR58" s="34">
        <f>IF(AP58&gt;AQ58*1.05,AP58-AQ58*1.05,IF(AP58&lt;AQ58*0.95,AQ58*0.95-AP58,0))</f>
        <v/>
      </c>
      <c r="AS58" s="34">
        <f>MAX(F58:G58,750)*0.05*AR58</f>
        <v/>
      </c>
      <c r="AT58" t="n">
        <v>13.5</v>
      </c>
      <c r="AU58" s="34">
        <f>IF(AP58&gt;AT58*1.05,AP58-AT58*1.05,IF(AP58&lt;AT58*0.95,AT58*0.95-AP58,0))</f>
        <v/>
      </c>
      <c r="AV58" s="34">
        <f>MAX(F58:G58,750)*0.05*AU58</f>
        <v/>
      </c>
      <c r="AW58" s="34">
        <f>AC58+AJ58+AQ58</f>
        <v/>
      </c>
      <c r="AX58" s="34">
        <f>AF58+AM58+AT58</f>
        <v/>
      </c>
      <c r="AY58" s="34">
        <f>AB58+AI58+AP58</f>
        <v/>
      </c>
      <c r="AZ58" s="34" t="n">
        <v>0</v>
      </c>
      <c r="BA58" s="34">
        <f>AD58+AK58+AR58</f>
        <v/>
      </c>
      <c r="BB58" s="34">
        <f>MAX(F58:G58,750)*0.05*BA58</f>
        <v/>
      </c>
      <c r="BC58" s="34">
        <f>AG58+AN58+AU58</f>
        <v/>
      </c>
      <c r="BD58" s="34">
        <f>MAX(F58:G58,750)*0.05*BC58</f>
        <v/>
      </c>
      <c r="BE58" s="34">
        <f>F58*AY58</f>
        <v/>
      </c>
      <c r="BF58" s="34">
        <f>K58-M58</f>
        <v/>
      </c>
      <c r="BG58" s="34">
        <f>P58-S58</f>
        <v/>
      </c>
      <c r="BH58" s="34">
        <f>W58-AA58</f>
        <v/>
      </c>
      <c r="BI58" s="34">
        <f>BF58+BG58+BL58-BN58</f>
        <v/>
      </c>
      <c r="BJ58" s="34">
        <f>ABS(BK58)</f>
        <v/>
      </c>
      <c r="BK58" s="34">
        <f>AY58-(J58-L58+N58-Q58)</f>
        <v/>
      </c>
      <c r="BL58" s="34">
        <f>IF(AND(BK58&gt;0,MIN($F58:$G58)&lt;150,$E58="Enerji Açığı"),-100*BK58*1.03,IF(AND(BK58&gt;0,MIN($F58:$G58)&lt;150,$E58="Enerji Fazlası"),-100*BK58*1.06,IF(AND(BK58&gt;0,MIN($F58:$G58)&gt;=150,$E58="Enerji Açığı"),BK58*MIN($F58:$G58)*0.97,IF(AND(BK58&gt;0,MIN($F58:$G58)&gt;=150,$E58="Enerji Fazlası"),BK58*MIN($F58:$G58)*0.94,IF(AND(BK58&lt;0,MAX($F58:$G58)=4500,$E58="Enerji Açığı"),4500*1.05*1.06*BK58,IF(AND(BK58&lt;0,MAX($F58:$G58)=4500,$E58="Enerji Fazlası"),4500*1.05*1.03*BK58,IF(AND(BK58&lt;0,$E58="Enerji Açığı"),MAX($F58,$G58,150)*BK58*1.06,IF(AND(BK58&lt;0,$E58="Enerji Fazlası"),MAX($F58,$G58,150)*BK58*1.03,IF(AND(BK58&lt;0,$E58="Dengede"),MAX($F58:$G58,150)*1.03*BK58,MIN($F58:$G58)*0.97*BK58)))))))))</f>
        <v/>
      </c>
      <c r="BM58" s="34">
        <f>BE58-BI58-BN58</f>
        <v/>
      </c>
      <c r="BN58" s="34">
        <f>BB58</f>
        <v/>
      </c>
      <c r="BO58" s="34">
        <f>BE58-BI58</f>
        <v/>
      </c>
      <c r="BP58" s="34">
        <f>IF(AY58=0,0,BO58/AY58)</f>
        <v/>
      </c>
      <c r="BQ58" s="34">
        <f>MAX((AY58+MAX((-J58+L58-N58+Q58),0)),(MAX((J58-L58+N58-Q58),0)))</f>
        <v/>
      </c>
      <c r="BR58" s="82">
        <f>IFERROR(ABS(BK58/BQ58),0)</f>
        <v/>
      </c>
      <c r="BS58" s="34">
        <f>IF(BR58&lt;=0.1,0,BK58/BR58*(BR58-0.1))</f>
        <v/>
      </c>
      <c r="BT58" s="34">
        <f>IF((BS58)&lt;0,MAX(F58:G58)*(BS58)*1.03,MIN(F58:G58)*(BS58)*0.97)</f>
        <v/>
      </c>
      <c r="BU58" s="34">
        <f>IF(BR58&gt;0.1,1,0)</f>
        <v/>
      </c>
      <c r="BV58" s="34">
        <f>BF58+BG58+BH58+BY58-CA58</f>
        <v/>
      </c>
      <c r="BW58" s="34">
        <f>ABS(BX58)</f>
        <v/>
      </c>
      <c r="BX58" s="34">
        <f>AY58-(J58-L58+N58-Q58+T58-X58)</f>
        <v/>
      </c>
      <c r="BY58" s="34">
        <f>IF(AND(BX58&gt;0,MIN($F58:$G58)&lt;150,$E58="Enerji Açığı"),-100*BX58*1.03,IF(AND(BX58&gt;0,MIN($F58:$G58)&lt;150,$E58="Enerji Fazlası"),-100*BX58*1.06,IF(AND(BX58&gt;0,MIN($F58:$G58)&gt;=150,$E58="Enerji Açığı"),BX58*MIN($F58:$G58)*0.97,IF(AND(BX58&gt;0,MIN($F58:$G58)&gt;=150,$E58="Enerji Fazlası"),BX58*MIN($F58:$G58)*0.94,IF(AND(BX58&lt;0,MAX($F58:$G58)=4500,$E58="Enerji Açığı"),4500*1.05*1.06*BX58,IF(AND(BX58&lt;0,MAX($F58:$G58)=4500,$E58="Enerji Fazlası"),4500*1.05*1.03*BX58,IF(AND(BX58&lt;0,$E58="Enerji Açığı"),MAX($F58,$G58,150)*BX58*1.06,IF(AND(BX58&lt;0,$E58="Enerji Fazlası"),MAX($F58,$G58,150)*BX58*1.03,IF(AND(BX58&lt;0,$E58="Dengede"),MAX($F58:$G58,150)*1.03*BX58,MIN($F58:$G58)*0.97*BX58)))))))))</f>
        <v/>
      </c>
      <c r="BZ58" s="34">
        <f>BE58-BV58-CA58</f>
        <v/>
      </c>
      <c r="CA58" s="34">
        <f>BD58</f>
        <v/>
      </c>
      <c r="CB58" s="33">
        <f>BE58-BV58</f>
        <v/>
      </c>
      <c r="CC58" s="34">
        <f>IF(AY58=0,0,CB58/AY58)</f>
        <v/>
      </c>
      <c r="CD58" s="34">
        <f>MAX((AY58+MAX((-J58+L58-N58+Q58-T58+X58),0)),(MAX((J58-L58+N58-Q58+T58-X58),0)))</f>
        <v/>
      </c>
      <c r="CE58" s="82">
        <f>IFERROR(ABS(BX58/CD58),0)</f>
        <v/>
      </c>
      <c r="CF58" s="34">
        <f>IF(CE58&lt;=0.1,0,BX58/CE58*(CE58-0.1))</f>
        <v/>
      </c>
      <c r="CG58" s="34">
        <f>IF((CF58)&lt;0,MAX(F58:G58)*(CF58)*1.03,MIN(F58:G58)*(CF58)*0.97)</f>
        <v/>
      </c>
      <c r="CH58" s="34">
        <f>IF(CE58&gt;0.1,1,0)</f>
        <v/>
      </c>
      <c r="CI58" s="34">
        <f>(F58*BX58)-BY58</f>
        <v/>
      </c>
      <c r="CJ58" s="34">
        <f>IF(AY58=0,0,CI58/AY58)</f>
        <v/>
      </c>
    </row>
    <row r="59">
      <c r="A59" s="29" t="n">
        <v>46206.33333333334</v>
      </c>
      <c r="B59" s="29" t="inlineStr">
        <is>
          <t>08:00</t>
        </is>
      </c>
      <c r="C59" s="35">
        <f>INT(A59)</f>
        <v/>
      </c>
      <c r="D59" s="36">
        <f>MONTH(A59)</f>
        <v/>
      </c>
      <c r="E59" s="147">
        <f>[1]FİYATLAR!G58</f>
        <v/>
      </c>
      <c r="F59" s="30" t="n">
        <v>3599.99</v>
      </c>
      <c r="G59" s="30" t="n">
        <v>3800</v>
      </c>
      <c r="H59" s="30" t="n">
        <v>77.28</v>
      </c>
      <c r="I59" s="30" t="n">
        <v>3137.25</v>
      </c>
      <c r="J59" s="119" t="n">
        <v>0</v>
      </c>
      <c r="K59" s="34">
        <f>F59*J59</f>
        <v/>
      </c>
      <c r="L59" s="119" t="n">
        <v>0</v>
      </c>
      <c r="M59" s="34">
        <f>L59*F59</f>
        <v/>
      </c>
      <c r="N59" s="119" t="n">
        <v>24</v>
      </c>
      <c r="O59" s="34">
        <f>F59</f>
        <v/>
      </c>
      <c r="P59" s="34">
        <f>N59*O59</f>
        <v/>
      </c>
      <c r="Q59" s="119" t="n">
        <v>0</v>
      </c>
      <c r="R59" s="34">
        <f>F59</f>
        <v/>
      </c>
      <c r="S59" s="34">
        <f>R59*Q59</f>
        <v/>
      </c>
      <c r="T59" s="34">
        <f>SUMIFS('[1]GİP VERİLERİ'!$C:$C,'[1]GİP VERİLERİ'!$B:$B,A59,'[1]GİP VERİLERİ'!$M:$M,"40X000000104782K",'[1]GİP VERİLERİ'!$G:$G,"SELL")</f>
        <v/>
      </c>
      <c r="U59" s="34">
        <f>IFERROR(W59/T59,0)</f>
        <v/>
      </c>
      <c r="V59" s="34">
        <f>IF(U59=0,0,U59-F59)</f>
        <v/>
      </c>
      <c r="W59" s="34">
        <f>SUMIFS('[1]GİP VERİLERİ'!$O:$O,'[1]GİP VERİLERİ'!$B:$B,A59,'[1]GİP VERİLERİ'!$M:$M,"40X000000104782K",'[1]GİP VERİLERİ'!$G:$G,"SELL")</f>
        <v/>
      </c>
      <c r="X59" s="34">
        <f>SUMIFS('[1]GİP VERİLERİ'!$C:$C,'[1]GİP VERİLERİ'!$B:$B,A59,'[1]GİP VERİLERİ'!$M:$M,"40X000000104782K",'[1]GİP VERİLERİ'!$G:$G,"BUY")</f>
        <v/>
      </c>
      <c r="Y59" s="34">
        <f>IFERROR(AA59/X59,0)</f>
        <v/>
      </c>
      <c r="Z59" s="34">
        <f>IF(Y59=0,0,F59-Y59)</f>
        <v/>
      </c>
      <c r="AA59" s="34">
        <f>SUMIFS('[1]GİP VERİLERİ'!$O:$O,'[1]GİP VERİLERİ'!$B:$B,A59,'[1]GİP VERİLERİ'!$M:$M,"40X000000104782K",'[1]GİP VERİLERİ'!$G:$G,"BUY")</f>
        <v/>
      </c>
      <c r="AB59" s="34" t="n">
        <v>0</v>
      </c>
      <c r="AC59" s="34" t="n">
        <v>0</v>
      </c>
      <c r="AD59" s="34">
        <f>IF(AB59&gt;AC59*1.05,AB59-AC59*1.05,IF(AB59&lt;AC59*0.95,AC59*0.95-AB59,0))</f>
        <v/>
      </c>
      <c r="AE59" s="34">
        <f>MAX(F59,G59,750)*0.05*AD59</f>
        <v/>
      </c>
      <c r="AF59" s="34" t="n">
        <v>0</v>
      </c>
      <c r="AG59" s="34">
        <f>IF(AB59&gt;AF59*1.05,AB59-AF59*1.05,IF(AB59&lt;AF59*0.95,AF59*0.95-AB59,0))</f>
        <v/>
      </c>
      <c r="AH59" s="34">
        <f>MAX(I59,J59,750)*0.05*AG59</f>
        <v/>
      </c>
      <c r="AI59" t="n">
        <v>10.49</v>
      </c>
      <c r="AJ59" t="n">
        <v>9</v>
      </c>
      <c r="AK59" s="34">
        <f>IF(AI59&gt;AJ59*1.05,AI59-AJ59*1.05,IF(AI59&lt;AJ59*0.95,AJ59*0.95-AI59,0))</f>
        <v/>
      </c>
      <c r="AL59" s="34">
        <f>MAX(F59,G59,750)*0.05*AK59</f>
        <v/>
      </c>
      <c r="AM59" s="39" t="n">
        <v>9</v>
      </c>
      <c r="AN59" s="34">
        <f>IF(AI59&gt;AM59*1.05,AI59-AM59*1.05,IF(AI59&lt;AM59*0.95,AM59*0.95-AI59,0))</f>
        <v/>
      </c>
      <c r="AO59" s="34">
        <f>MAX(F59,G59,750)*0.05*AN59</f>
        <v/>
      </c>
      <c r="AP59" s="34" t="n">
        <v>13.96</v>
      </c>
      <c r="AQ59" s="34" t="n">
        <v>15</v>
      </c>
      <c r="AR59" s="34">
        <f>IF(AP59&gt;AQ59*1.05,AP59-AQ59*1.05,IF(AP59&lt;AQ59*0.95,AQ59*0.95-AP59,0))</f>
        <v/>
      </c>
      <c r="AS59" s="34">
        <f>MAX(F59:G59,750)*0.05*AR59</f>
        <v/>
      </c>
      <c r="AT59" t="n">
        <v>15</v>
      </c>
      <c r="AU59" s="34">
        <f>IF(AP59&gt;AT59*1.05,AP59-AT59*1.05,IF(AP59&lt;AT59*0.95,AT59*0.95-AP59,0))</f>
        <v/>
      </c>
      <c r="AV59" s="34">
        <f>MAX(F59:G59,750)*0.05*AU59</f>
        <v/>
      </c>
      <c r="AW59" s="34">
        <f>AC59+AJ59+AQ59</f>
        <v/>
      </c>
      <c r="AX59" s="34">
        <f>AF59+AM59+AT59</f>
        <v/>
      </c>
      <c r="AY59" s="34">
        <f>AB59+AI59+AP59</f>
        <v/>
      </c>
      <c r="AZ59" s="34" t="n">
        <v>0</v>
      </c>
      <c r="BA59" s="34">
        <f>AD59+AK59+AR59</f>
        <v/>
      </c>
      <c r="BB59" s="34">
        <f>MAX(F59:G59,750)*0.05*BA59</f>
        <v/>
      </c>
      <c r="BC59" s="34">
        <f>AG59+AN59+AU59</f>
        <v/>
      </c>
      <c r="BD59" s="34">
        <f>MAX(F59:G59,750)*0.05*BC59</f>
        <v/>
      </c>
      <c r="BE59" s="34">
        <f>F59*AY59</f>
        <v/>
      </c>
      <c r="BF59" s="34">
        <f>K59-M59</f>
        <v/>
      </c>
      <c r="BG59" s="34">
        <f>P59-S59</f>
        <v/>
      </c>
      <c r="BH59" s="34">
        <f>W59-AA59</f>
        <v/>
      </c>
      <c r="BI59" s="34">
        <f>BF59+BG59+BL59-BN59</f>
        <v/>
      </c>
      <c r="BJ59" s="34">
        <f>ABS(BK59)</f>
        <v/>
      </c>
      <c r="BK59" s="34">
        <f>AY59-(J59-L59+N59-Q59)</f>
        <v/>
      </c>
      <c r="BL59" s="34">
        <f>IF(AND(BK59&gt;0,MIN($F59:$G59)&lt;150,$E59="Enerji Açığı"),-100*BK59*1.03,IF(AND(BK59&gt;0,MIN($F59:$G59)&lt;150,$E59="Enerji Fazlası"),-100*BK59*1.06,IF(AND(BK59&gt;0,MIN($F59:$G59)&gt;=150,$E59="Enerji Açığı"),BK59*MIN($F59:$G59)*0.97,IF(AND(BK59&gt;0,MIN($F59:$G59)&gt;=150,$E59="Enerji Fazlası"),BK59*MIN($F59:$G59)*0.94,IF(AND(BK59&lt;0,MAX($F59:$G59)=4500,$E59="Enerji Açığı"),4500*1.05*1.06*BK59,IF(AND(BK59&lt;0,MAX($F59:$G59)=4500,$E59="Enerji Fazlası"),4500*1.05*1.03*BK59,IF(AND(BK59&lt;0,$E59="Enerji Açığı"),MAX($F59,$G59,150)*BK59*1.06,IF(AND(BK59&lt;0,$E59="Enerji Fazlası"),MAX($F59,$G59,150)*BK59*1.03,IF(AND(BK59&lt;0,$E59="Dengede"),MAX($F59:$G59,150)*1.03*BK59,MIN($F59:$G59)*0.97*BK59)))))))))</f>
        <v/>
      </c>
      <c r="BM59" s="34">
        <f>BE59-BI59-BN59</f>
        <v/>
      </c>
      <c r="BN59" s="34">
        <f>BB59</f>
        <v/>
      </c>
      <c r="BO59" s="34">
        <f>BE59-BI59</f>
        <v/>
      </c>
      <c r="BP59" s="34">
        <f>IF(AY59=0,0,BO59/AY59)</f>
        <v/>
      </c>
      <c r="BQ59" s="34">
        <f>MAX((AY59+MAX((-J59+L59-N59+Q59),0)),(MAX((J59-L59+N59-Q59),0)))</f>
        <v/>
      </c>
      <c r="BR59" s="82">
        <f>IFERROR(ABS(BK59/BQ59),0)</f>
        <v/>
      </c>
      <c r="BS59" s="34">
        <f>IF(BR59&lt;=0.1,0,BK59/BR59*(BR59-0.1))</f>
        <v/>
      </c>
      <c r="BT59" s="34">
        <f>IF((BS59)&lt;0,MAX(F59:G59)*(BS59)*1.03,MIN(F59:G59)*(BS59)*0.97)</f>
        <v/>
      </c>
      <c r="BU59" s="34">
        <f>IF(BR59&gt;0.1,1,0)</f>
        <v/>
      </c>
      <c r="BV59" s="34">
        <f>BF59+BG59+BH59+BY59-CA59</f>
        <v/>
      </c>
      <c r="BW59" s="34">
        <f>ABS(BX59)</f>
        <v/>
      </c>
      <c r="BX59" s="34">
        <f>AY59-(J59-L59+N59-Q59+T59-X59)</f>
        <v/>
      </c>
      <c r="BY59" s="34">
        <f>IF(AND(BX59&gt;0,MIN($F59:$G59)&lt;150,$E59="Enerji Açığı"),-100*BX59*1.03,IF(AND(BX59&gt;0,MIN($F59:$G59)&lt;150,$E59="Enerji Fazlası"),-100*BX59*1.06,IF(AND(BX59&gt;0,MIN($F59:$G59)&gt;=150,$E59="Enerji Açığı"),BX59*MIN($F59:$G59)*0.97,IF(AND(BX59&gt;0,MIN($F59:$G59)&gt;=150,$E59="Enerji Fazlası"),BX59*MIN($F59:$G59)*0.94,IF(AND(BX59&lt;0,MAX($F59:$G59)=4500,$E59="Enerji Açığı"),4500*1.05*1.06*BX59,IF(AND(BX59&lt;0,MAX($F59:$G59)=4500,$E59="Enerji Fazlası"),4500*1.05*1.03*BX59,IF(AND(BX59&lt;0,$E59="Enerji Açığı"),MAX($F59,$G59,150)*BX59*1.06,IF(AND(BX59&lt;0,$E59="Enerji Fazlası"),MAX($F59,$G59,150)*BX59*1.03,IF(AND(BX59&lt;0,$E59="Dengede"),MAX($F59:$G59,150)*1.03*BX59,MIN($F59:$G59)*0.97*BX59)))))))))</f>
        <v/>
      </c>
      <c r="BZ59" s="34">
        <f>BE59-BV59-CA59</f>
        <v/>
      </c>
      <c r="CA59" s="34">
        <f>BD59</f>
        <v/>
      </c>
      <c r="CB59" s="33">
        <f>BE59-BV59</f>
        <v/>
      </c>
      <c r="CC59" s="34">
        <f>IF(AY59=0,0,CB59/AY59)</f>
        <v/>
      </c>
      <c r="CD59" s="34">
        <f>MAX((AY59+MAX((-J59+L59-N59+Q59-T59+X59),0)),(MAX((J59-L59+N59-Q59+T59-X59),0)))</f>
        <v/>
      </c>
      <c r="CE59" s="82">
        <f>IFERROR(ABS(BX59/CD59),0)</f>
        <v/>
      </c>
      <c r="CF59" s="34">
        <f>IF(CE59&lt;=0.1,0,BX59/CE59*(CE59-0.1))</f>
        <v/>
      </c>
      <c r="CG59" s="34">
        <f>IF((CF59)&lt;0,MAX(F59:G59)*(CF59)*1.03,MIN(F59:G59)*(CF59)*0.97)</f>
        <v/>
      </c>
      <c r="CH59" s="34">
        <f>IF(CE59&gt;0.1,1,0)</f>
        <v/>
      </c>
      <c r="CI59" s="34">
        <f>(F59*BX59)-BY59</f>
        <v/>
      </c>
      <c r="CJ59" s="34">
        <f>IF(AY59=0,0,CI59/AY59)</f>
        <v/>
      </c>
    </row>
    <row r="60">
      <c r="A60" s="29" t="n">
        <v>46206.375</v>
      </c>
      <c r="B60" s="29" t="inlineStr">
        <is>
          <t>09:00</t>
        </is>
      </c>
      <c r="C60" s="35">
        <f>INT(A60)</f>
        <v/>
      </c>
      <c r="D60" s="36">
        <f>MONTH(A60)</f>
        <v/>
      </c>
      <c r="E60" s="147">
        <f>[1]FİYATLAR!G59</f>
        <v/>
      </c>
      <c r="F60" s="30" t="n">
        <v>3499.99</v>
      </c>
      <c r="G60" s="30" t="n">
        <v>3999.99</v>
      </c>
      <c r="H60" s="30" t="n">
        <v>75.13</v>
      </c>
      <c r="I60" s="30" t="n">
        <v>3067.38</v>
      </c>
      <c r="J60" s="119" t="n">
        <v>0</v>
      </c>
      <c r="K60" s="34">
        <f>F60*J60</f>
        <v/>
      </c>
      <c r="L60" s="119" t="n">
        <v>0</v>
      </c>
      <c r="M60" s="34">
        <f>L60*F60</f>
        <v/>
      </c>
      <c r="N60" s="119" t="n">
        <v>24</v>
      </c>
      <c r="O60" s="34">
        <f>F60</f>
        <v/>
      </c>
      <c r="P60" s="34">
        <f>N60*O60</f>
        <v/>
      </c>
      <c r="Q60" s="119" t="n">
        <v>0</v>
      </c>
      <c r="R60" s="34">
        <f>F60</f>
        <v/>
      </c>
      <c r="S60" s="34">
        <f>R60*Q60</f>
        <v/>
      </c>
      <c r="T60" s="34">
        <f>SUMIFS('[1]GİP VERİLERİ'!$C:$C,'[1]GİP VERİLERİ'!$B:$B,A60,'[1]GİP VERİLERİ'!$M:$M,"40X000000104782K",'[1]GİP VERİLERİ'!$G:$G,"SELL")</f>
        <v/>
      </c>
      <c r="U60" s="34">
        <f>IFERROR(W60/T60,0)</f>
        <v/>
      </c>
      <c r="V60" s="34">
        <f>IF(U60=0,0,U60-F60)</f>
        <v/>
      </c>
      <c r="W60" s="34">
        <f>SUMIFS('[1]GİP VERİLERİ'!$O:$O,'[1]GİP VERİLERİ'!$B:$B,A60,'[1]GİP VERİLERİ'!$M:$M,"40X000000104782K",'[1]GİP VERİLERİ'!$G:$G,"SELL")</f>
        <v/>
      </c>
      <c r="X60" s="34">
        <f>SUMIFS('[1]GİP VERİLERİ'!$C:$C,'[1]GİP VERİLERİ'!$B:$B,A60,'[1]GİP VERİLERİ'!$M:$M,"40X000000104782K",'[1]GİP VERİLERİ'!$G:$G,"BUY")</f>
        <v/>
      </c>
      <c r="Y60" s="34">
        <f>IFERROR(AA60/X60,0)</f>
        <v/>
      </c>
      <c r="Z60" s="34">
        <f>IF(Y60=0,0,F60-Y60)</f>
        <v/>
      </c>
      <c r="AA60" s="34">
        <f>SUMIFS('[1]GİP VERİLERİ'!$O:$O,'[1]GİP VERİLERİ'!$B:$B,A60,'[1]GİP VERİLERİ'!$M:$M,"40X000000104782K",'[1]GİP VERİLERİ'!$G:$G,"BUY")</f>
        <v/>
      </c>
      <c r="AB60" s="34" t="n">
        <v>0</v>
      </c>
      <c r="AC60" s="34" t="n">
        <v>0</v>
      </c>
      <c r="AD60" s="34">
        <f>IF(AB60&gt;AC60*1.05,AB60-AC60*1.05,IF(AB60&lt;AC60*0.95,AC60*0.95-AB60,0))</f>
        <v/>
      </c>
      <c r="AE60" s="34">
        <f>MAX(F60,G60,750)*0.05*AD60</f>
        <v/>
      </c>
      <c r="AF60" s="34" t="n">
        <v>0</v>
      </c>
      <c r="AG60" s="34">
        <f>IF(AB60&gt;AF60*1.05,AB60-AF60*1.05,IF(AB60&lt;AF60*0.95,AF60*0.95-AB60,0))</f>
        <v/>
      </c>
      <c r="AH60" s="34">
        <f>MAX(I60,J60,750)*0.05*AG60</f>
        <v/>
      </c>
      <c r="AI60" t="n">
        <v>11.11</v>
      </c>
      <c r="AJ60" t="n">
        <v>9</v>
      </c>
      <c r="AK60" s="34">
        <f>IF(AI60&gt;AJ60*1.05,AI60-AJ60*1.05,IF(AI60&lt;AJ60*0.95,AJ60*0.95-AI60,0))</f>
        <v/>
      </c>
      <c r="AL60" s="34">
        <f>MAX(F60,G60,750)*0.05*AK60</f>
        <v/>
      </c>
      <c r="AM60" s="39" t="n">
        <v>10</v>
      </c>
      <c r="AN60" s="34">
        <f>IF(AI60&gt;AM60*1.05,AI60-AM60*1.05,IF(AI60&lt;AM60*0.95,AM60*0.95-AI60,0))</f>
        <v/>
      </c>
      <c r="AO60" s="34">
        <f>MAX(F60,G60,750)*0.05*AN60</f>
        <v/>
      </c>
      <c r="AP60" s="34" t="n">
        <v>14.01</v>
      </c>
      <c r="AQ60" s="34" t="n">
        <v>15</v>
      </c>
      <c r="AR60" s="34">
        <f>IF(AP60&gt;AQ60*1.05,AP60-AQ60*1.05,IF(AP60&lt;AQ60*0.95,AQ60*0.95-AP60,0))</f>
        <v/>
      </c>
      <c r="AS60" s="34">
        <f>MAX(F60:G60,750)*0.05*AR60</f>
        <v/>
      </c>
      <c r="AT60" t="n">
        <v>15</v>
      </c>
      <c r="AU60" s="34">
        <f>IF(AP60&gt;AT60*1.05,AP60-AT60*1.05,IF(AP60&lt;AT60*0.95,AT60*0.95-AP60,0))</f>
        <v/>
      </c>
      <c r="AV60" s="34">
        <f>MAX(F60:G60,750)*0.05*AU60</f>
        <v/>
      </c>
      <c r="AW60" s="34">
        <f>AC60+AJ60+AQ60</f>
        <v/>
      </c>
      <c r="AX60" s="34">
        <f>AF60+AM60+AT60</f>
        <v/>
      </c>
      <c r="AY60" s="34">
        <f>AB60+AI60+AP60</f>
        <v/>
      </c>
      <c r="AZ60" s="34" t="n">
        <v>0</v>
      </c>
      <c r="BA60" s="34">
        <f>AD60+AK60+AR60</f>
        <v/>
      </c>
      <c r="BB60" s="34">
        <f>MAX(F60:G60,750)*0.05*BA60</f>
        <v/>
      </c>
      <c r="BC60" s="34">
        <f>AG60+AN60+AU60</f>
        <v/>
      </c>
      <c r="BD60" s="34">
        <f>MAX(F60:G60,750)*0.05*BC60</f>
        <v/>
      </c>
      <c r="BE60" s="34">
        <f>F60*AY60</f>
        <v/>
      </c>
      <c r="BF60" s="34">
        <f>K60-M60</f>
        <v/>
      </c>
      <c r="BG60" s="34">
        <f>P60-S60</f>
        <v/>
      </c>
      <c r="BH60" s="34">
        <f>W60-AA60</f>
        <v/>
      </c>
      <c r="BI60" s="34">
        <f>BF60+BG60+BL60-BN60</f>
        <v/>
      </c>
      <c r="BJ60" s="34">
        <f>ABS(BK60)</f>
        <v/>
      </c>
      <c r="BK60" s="34">
        <f>AY60-(J60-L60+N60-Q60)</f>
        <v/>
      </c>
      <c r="BL60" s="34">
        <f>IF(AND(BK60&gt;0,MIN($F60:$G60)&lt;150,$E60="Enerji Açığı"),-100*BK60*1.03,IF(AND(BK60&gt;0,MIN($F60:$G60)&lt;150,$E60="Enerji Fazlası"),-100*BK60*1.06,IF(AND(BK60&gt;0,MIN($F60:$G60)&gt;=150,$E60="Enerji Açığı"),BK60*MIN($F60:$G60)*0.97,IF(AND(BK60&gt;0,MIN($F60:$G60)&gt;=150,$E60="Enerji Fazlası"),BK60*MIN($F60:$G60)*0.94,IF(AND(BK60&lt;0,MAX($F60:$G60)=4500,$E60="Enerji Açığı"),4500*1.05*1.06*BK60,IF(AND(BK60&lt;0,MAX($F60:$G60)=4500,$E60="Enerji Fazlası"),4500*1.05*1.03*BK60,IF(AND(BK60&lt;0,$E60="Enerji Açığı"),MAX($F60,$G60,150)*BK60*1.06,IF(AND(BK60&lt;0,$E60="Enerji Fazlası"),MAX($F60,$G60,150)*BK60*1.03,IF(AND(BK60&lt;0,$E60="Dengede"),MAX($F60:$G60,150)*1.03*BK60,MIN($F60:$G60)*0.97*BK60)))))))))</f>
        <v/>
      </c>
      <c r="BM60" s="34">
        <f>BE60-BI60-BN60</f>
        <v/>
      </c>
      <c r="BN60" s="34">
        <f>BB60</f>
        <v/>
      </c>
      <c r="BO60" s="34">
        <f>BE60-BI60</f>
        <v/>
      </c>
      <c r="BP60" s="34">
        <f>IF(AY60=0,0,BO60/AY60)</f>
        <v/>
      </c>
      <c r="BQ60" s="34">
        <f>MAX((AY60+MAX((-J60+L60-N60+Q60),0)),(MAX((J60-L60+N60-Q60),0)))</f>
        <v/>
      </c>
      <c r="BR60" s="82">
        <f>IFERROR(ABS(BK60/BQ60),0)</f>
        <v/>
      </c>
      <c r="BS60" s="34">
        <f>IF(BR60&lt;=0.1,0,BK60/BR60*(BR60-0.1))</f>
        <v/>
      </c>
      <c r="BT60" s="34">
        <f>IF((BS60)&lt;0,MAX(F60:G60)*(BS60)*1.03,MIN(F60:G60)*(BS60)*0.97)</f>
        <v/>
      </c>
      <c r="BU60" s="34">
        <f>IF(BR60&gt;0.1,1,0)</f>
        <v/>
      </c>
      <c r="BV60" s="34">
        <f>BF60+BG60+BH60+BY60-CA60</f>
        <v/>
      </c>
      <c r="BW60" s="34">
        <f>ABS(BX60)</f>
        <v/>
      </c>
      <c r="BX60" s="34">
        <f>AY60-(J60-L60+N60-Q60+T60-X60)</f>
        <v/>
      </c>
      <c r="BY60" s="34">
        <f>IF(AND(BX60&gt;0,MIN($F60:$G60)&lt;150,$E60="Enerji Açığı"),-100*BX60*1.03,IF(AND(BX60&gt;0,MIN($F60:$G60)&lt;150,$E60="Enerji Fazlası"),-100*BX60*1.06,IF(AND(BX60&gt;0,MIN($F60:$G60)&gt;=150,$E60="Enerji Açığı"),BX60*MIN($F60:$G60)*0.97,IF(AND(BX60&gt;0,MIN($F60:$G60)&gt;=150,$E60="Enerji Fazlası"),BX60*MIN($F60:$G60)*0.94,IF(AND(BX60&lt;0,MAX($F60:$G60)=4500,$E60="Enerji Açığı"),4500*1.05*1.06*BX60,IF(AND(BX60&lt;0,MAX($F60:$G60)=4500,$E60="Enerji Fazlası"),4500*1.05*1.03*BX60,IF(AND(BX60&lt;0,$E60="Enerji Açığı"),MAX($F60,$G60,150)*BX60*1.06,IF(AND(BX60&lt;0,$E60="Enerji Fazlası"),MAX($F60,$G60,150)*BX60*1.03,IF(AND(BX60&lt;0,$E60="Dengede"),MAX($F60:$G60,150)*1.03*BX60,MIN($F60:$G60)*0.97*BX60)))))))))</f>
        <v/>
      </c>
      <c r="BZ60" s="34">
        <f>BE60-BV60-CA60</f>
        <v/>
      </c>
      <c r="CA60" s="34">
        <f>BD60</f>
        <v/>
      </c>
      <c r="CB60" s="33">
        <f>BE60-BV60</f>
        <v/>
      </c>
      <c r="CC60" s="34">
        <f>IF(AY60=0,0,CB60/AY60)</f>
        <v/>
      </c>
      <c r="CD60" s="34">
        <f>MAX((AY60+MAX((-J60+L60-N60+Q60-T60+X60),0)),(MAX((J60-L60+N60-Q60+T60-X60),0)))</f>
        <v/>
      </c>
      <c r="CE60" s="82">
        <f>IFERROR(ABS(BX60/CD60),0)</f>
        <v/>
      </c>
      <c r="CF60" s="34">
        <f>IF(CE60&lt;=0.1,0,BX60/CE60*(CE60-0.1))</f>
        <v/>
      </c>
      <c r="CG60" s="34">
        <f>IF((CF60)&lt;0,MAX(F60:G60)*(CF60)*1.03,MIN(F60:G60)*(CF60)*0.97)</f>
        <v/>
      </c>
      <c r="CH60" s="34">
        <f>IF(CE60&gt;0.1,1,0)</f>
        <v/>
      </c>
      <c r="CI60" s="34">
        <f>(F60*BX60)-BY60</f>
        <v/>
      </c>
      <c r="CJ60" s="34">
        <f>IF(AY60=0,0,CI60/AY60)</f>
        <v/>
      </c>
    </row>
    <row r="61">
      <c r="A61" s="29" t="n">
        <v>46206.41666666666</v>
      </c>
      <c r="B61" s="29" t="inlineStr">
        <is>
          <t>10:00</t>
        </is>
      </c>
      <c r="C61" s="35">
        <f>INT(A61)</f>
        <v/>
      </c>
      <c r="D61" s="36">
        <f>MONTH(A61)</f>
        <v/>
      </c>
      <c r="E61" s="147">
        <f>[1]FİYATLAR!G60</f>
        <v/>
      </c>
      <c r="F61" s="30" t="n">
        <v>2537.99</v>
      </c>
      <c r="G61" s="30" t="n">
        <v>3900</v>
      </c>
      <c r="H61" s="30" t="n">
        <v>54.48</v>
      </c>
      <c r="I61" s="30" t="n">
        <v>2421.24</v>
      </c>
      <c r="J61" s="119" t="n">
        <v>0</v>
      </c>
      <c r="K61" s="34">
        <f>F61*J61</f>
        <v/>
      </c>
      <c r="L61" s="119" t="n">
        <v>0</v>
      </c>
      <c r="M61" s="34">
        <f>L61*F61</f>
        <v/>
      </c>
      <c r="N61" s="119" t="n">
        <v>25.3</v>
      </c>
      <c r="O61" s="34">
        <f>F61</f>
        <v/>
      </c>
      <c r="P61" s="34">
        <f>N61*O61</f>
        <v/>
      </c>
      <c r="Q61" s="119" t="n">
        <v>0</v>
      </c>
      <c r="R61" s="34">
        <f>F61</f>
        <v/>
      </c>
      <c r="S61" s="34">
        <f>R61*Q61</f>
        <v/>
      </c>
      <c r="T61" s="34">
        <f>SUMIFS('[1]GİP VERİLERİ'!$C:$C,'[1]GİP VERİLERİ'!$B:$B,A61,'[1]GİP VERİLERİ'!$M:$M,"40X000000104782K",'[1]GİP VERİLERİ'!$G:$G,"SELL")</f>
        <v/>
      </c>
      <c r="U61" s="34">
        <f>IFERROR(W61/T61,0)</f>
        <v/>
      </c>
      <c r="V61" s="34">
        <f>IF(U61=0,0,U61-F61)</f>
        <v/>
      </c>
      <c r="W61" s="34">
        <f>SUMIFS('[1]GİP VERİLERİ'!$O:$O,'[1]GİP VERİLERİ'!$B:$B,A61,'[1]GİP VERİLERİ'!$M:$M,"40X000000104782K",'[1]GİP VERİLERİ'!$G:$G,"SELL")</f>
        <v/>
      </c>
      <c r="X61" s="34">
        <f>SUMIFS('[1]GİP VERİLERİ'!$C:$C,'[1]GİP VERİLERİ'!$B:$B,A61,'[1]GİP VERİLERİ'!$M:$M,"40X000000104782K",'[1]GİP VERİLERİ'!$G:$G,"BUY")</f>
        <v/>
      </c>
      <c r="Y61" s="34">
        <f>IFERROR(AA61/X61,0)</f>
        <v/>
      </c>
      <c r="Z61" s="34">
        <f>IF(Y61=0,0,F61-Y61)</f>
        <v/>
      </c>
      <c r="AA61" s="34">
        <f>SUMIFS('[1]GİP VERİLERİ'!$O:$O,'[1]GİP VERİLERİ'!$B:$B,A61,'[1]GİP VERİLERİ'!$M:$M,"40X000000104782K",'[1]GİP VERİLERİ'!$G:$G,"BUY")</f>
        <v/>
      </c>
      <c r="AB61" s="34" t="n">
        <v>0</v>
      </c>
      <c r="AC61" s="34" t="n">
        <v>0</v>
      </c>
      <c r="AD61" s="34">
        <f>IF(AB61&gt;AC61*1.05,AB61-AC61*1.05,IF(AB61&lt;AC61*0.95,AC61*0.95-AB61,0))</f>
        <v/>
      </c>
      <c r="AE61" s="34">
        <f>MAX(F61,G61,750)*0.05*AD61</f>
        <v/>
      </c>
      <c r="AF61" s="34" t="n">
        <v>0</v>
      </c>
      <c r="AG61" s="34">
        <f>IF(AB61&gt;AF61*1.05,AB61-AF61*1.05,IF(AB61&lt;AF61*0.95,AF61*0.95-AB61,0))</f>
        <v/>
      </c>
      <c r="AH61" s="34">
        <f>MAX(I61,J61,750)*0.05*AG61</f>
        <v/>
      </c>
      <c r="AI61" t="n">
        <v>11.15</v>
      </c>
      <c r="AJ61" t="n">
        <v>10</v>
      </c>
      <c r="AK61" s="34">
        <f>IF(AI61&gt;AJ61*1.05,AI61-AJ61*1.05,IF(AI61&lt;AJ61*0.95,AJ61*0.95-AI61,0))</f>
        <v/>
      </c>
      <c r="AL61" s="34">
        <f>MAX(F61,G61,750)*0.05*AK61</f>
        <v/>
      </c>
      <c r="AM61" s="39" t="n">
        <v>10</v>
      </c>
      <c r="AN61" s="34">
        <f>IF(AI61&gt;AM61*1.05,AI61-AM61*1.05,IF(AI61&lt;AM61*0.95,AM61*0.95-AI61,0))</f>
        <v/>
      </c>
      <c r="AO61" s="34">
        <f>MAX(F61,G61,750)*0.05*AN61</f>
        <v/>
      </c>
      <c r="AP61" s="34" t="n">
        <v>14.6</v>
      </c>
      <c r="AQ61" s="34" t="n">
        <v>15.3</v>
      </c>
      <c r="AR61" s="34">
        <f>IF(AP61&gt;AQ61*1.05,AP61-AQ61*1.05,IF(AP61&lt;AQ61*0.95,AQ61*0.95-AP61,0))</f>
        <v/>
      </c>
      <c r="AS61" s="34">
        <f>MAX(F61:G61,750)*0.05*AR61</f>
        <v/>
      </c>
      <c r="AT61" t="n">
        <v>15.3</v>
      </c>
      <c r="AU61" s="34">
        <f>IF(AP61&gt;AT61*1.05,AP61-AT61*1.05,IF(AP61&lt;AT61*0.95,AT61*0.95-AP61,0))</f>
        <v/>
      </c>
      <c r="AV61" s="34">
        <f>MAX(F61:G61,750)*0.05*AU61</f>
        <v/>
      </c>
      <c r="AW61" s="34">
        <f>AC61+AJ61+AQ61</f>
        <v/>
      </c>
      <c r="AX61" s="34">
        <f>AF61+AM61+AT61</f>
        <v/>
      </c>
      <c r="AY61" s="34">
        <f>AB61+AI61+AP61</f>
        <v/>
      </c>
      <c r="AZ61" s="34" t="n">
        <v>0</v>
      </c>
      <c r="BA61" s="34">
        <f>AD61+AK61+AR61</f>
        <v/>
      </c>
      <c r="BB61" s="34">
        <f>MAX(F61:G61,750)*0.05*BA61</f>
        <v/>
      </c>
      <c r="BC61" s="34">
        <f>AG61+AN61+AU61</f>
        <v/>
      </c>
      <c r="BD61" s="34">
        <f>MAX(F61:G61,750)*0.05*BC61</f>
        <v/>
      </c>
      <c r="BE61" s="34">
        <f>F61*AY61</f>
        <v/>
      </c>
      <c r="BF61" s="34">
        <f>K61-M61</f>
        <v/>
      </c>
      <c r="BG61" s="34">
        <f>P61-S61</f>
        <v/>
      </c>
      <c r="BH61" s="34">
        <f>W61-AA61</f>
        <v/>
      </c>
      <c r="BI61" s="34">
        <f>BF61+BG61+BL61-BN61</f>
        <v/>
      </c>
      <c r="BJ61" s="34">
        <f>ABS(BK61)</f>
        <v/>
      </c>
      <c r="BK61" s="34">
        <f>AY61-(J61-L61+N61-Q61)</f>
        <v/>
      </c>
      <c r="BL61" s="34">
        <f>IF(AND(BK61&gt;0,MIN($F61:$G61)&lt;150,$E61="Enerji Açığı"),-100*BK61*1.03,IF(AND(BK61&gt;0,MIN($F61:$G61)&lt;150,$E61="Enerji Fazlası"),-100*BK61*1.06,IF(AND(BK61&gt;0,MIN($F61:$G61)&gt;=150,$E61="Enerji Açığı"),BK61*MIN($F61:$G61)*0.97,IF(AND(BK61&gt;0,MIN($F61:$G61)&gt;=150,$E61="Enerji Fazlası"),BK61*MIN($F61:$G61)*0.94,IF(AND(BK61&lt;0,MAX($F61:$G61)=4500,$E61="Enerji Açığı"),4500*1.05*1.06*BK61,IF(AND(BK61&lt;0,MAX($F61:$G61)=4500,$E61="Enerji Fazlası"),4500*1.05*1.03*BK61,IF(AND(BK61&lt;0,$E61="Enerji Açığı"),MAX($F61,$G61,150)*BK61*1.06,IF(AND(BK61&lt;0,$E61="Enerji Fazlası"),MAX($F61,$G61,150)*BK61*1.03,IF(AND(BK61&lt;0,$E61="Dengede"),MAX($F61:$G61,150)*1.03*BK61,MIN($F61:$G61)*0.97*BK61)))))))))</f>
        <v/>
      </c>
      <c r="BM61" s="34">
        <f>BE61-BI61-BN61</f>
        <v/>
      </c>
      <c r="BN61" s="34">
        <f>BB61</f>
        <v/>
      </c>
      <c r="BO61" s="34">
        <f>BE61-BI61</f>
        <v/>
      </c>
      <c r="BP61" s="34">
        <f>IF(AY61=0,0,BO61/AY61)</f>
        <v/>
      </c>
      <c r="BQ61" s="34">
        <f>MAX((AY61+MAX((-J61+L61-N61+Q61),0)),(MAX((J61-L61+N61-Q61),0)))</f>
        <v/>
      </c>
      <c r="BR61" s="82">
        <f>IFERROR(ABS(BK61/BQ61),0)</f>
        <v/>
      </c>
      <c r="BS61" s="34">
        <f>IF(BR61&lt;=0.1,0,BK61/BR61*(BR61-0.1))</f>
        <v/>
      </c>
      <c r="BT61" s="34">
        <f>IF((BS61)&lt;0,MAX(F61:G61)*(BS61)*1.03,MIN(F61:G61)*(BS61)*0.97)</f>
        <v/>
      </c>
      <c r="BU61" s="34">
        <f>IF(BR61&gt;0.1,1,0)</f>
        <v/>
      </c>
      <c r="BV61" s="34">
        <f>BF61+BG61+BH61+BY61-CA61</f>
        <v/>
      </c>
      <c r="BW61" s="34">
        <f>ABS(BX61)</f>
        <v/>
      </c>
      <c r="BX61" s="34">
        <f>AY61-(J61-L61+N61-Q61+T61-X61)</f>
        <v/>
      </c>
      <c r="BY61" s="34">
        <f>IF(AND(BX61&gt;0,MIN($F61:$G61)&lt;150,$E61="Enerji Açığı"),-100*BX61*1.03,IF(AND(BX61&gt;0,MIN($F61:$G61)&lt;150,$E61="Enerji Fazlası"),-100*BX61*1.06,IF(AND(BX61&gt;0,MIN($F61:$G61)&gt;=150,$E61="Enerji Açığı"),BX61*MIN($F61:$G61)*0.97,IF(AND(BX61&gt;0,MIN($F61:$G61)&gt;=150,$E61="Enerji Fazlası"),BX61*MIN($F61:$G61)*0.94,IF(AND(BX61&lt;0,MAX($F61:$G61)=4500,$E61="Enerji Açığı"),4500*1.05*1.06*BX61,IF(AND(BX61&lt;0,MAX($F61:$G61)=4500,$E61="Enerji Fazlası"),4500*1.05*1.03*BX61,IF(AND(BX61&lt;0,$E61="Enerji Açığı"),MAX($F61,$G61,150)*BX61*1.06,IF(AND(BX61&lt;0,$E61="Enerji Fazlası"),MAX($F61,$G61,150)*BX61*1.03,IF(AND(BX61&lt;0,$E61="Dengede"),MAX($F61:$G61,150)*1.03*BX61,MIN($F61:$G61)*0.97*BX61)))))))))</f>
        <v/>
      </c>
      <c r="BZ61" s="34">
        <f>BE61-BV61-CA61</f>
        <v/>
      </c>
      <c r="CA61" s="34">
        <f>BD61</f>
        <v/>
      </c>
      <c r="CB61" s="33">
        <f>BE61-BV61</f>
        <v/>
      </c>
      <c r="CC61" s="34">
        <f>IF(AY61=0,0,CB61/AY61)</f>
        <v/>
      </c>
      <c r="CD61" s="34">
        <f>MAX((AY61+MAX((-J61+L61-N61+Q61-T61+X61),0)),(MAX((J61-L61+N61-Q61+T61-X61),0)))</f>
        <v/>
      </c>
      <c r="CE61" s="82">
        <f>IFERROR(ABS(BX61/CD61),0)</f>
        <v/>
      </c>
      <c r="CF61" s="34">
        <f>IF(CE61&lt;=0.1,0,BX61/CE61*(CE61-0.1))</f>
        <v/>
      </c>
      <c r="CG61" s="34">
        <f>IF((CF61)&lt;0,MAX(F61:G61)*(CF61)*1.03,MIN(F61:G61)*(CF61)*0.97)</f>
        <v/>
      </c>
      <c r="CH61" s="34">
        <f>IF(CE61&gt;0.1,1,0)</f>
        <v/>
      </c>
      <c r="CI61" s="34">
        <f>(F61*BX61)-BY61</f>
        <v/>
      </c>
      <c r="CJ61" s="34">
        <f>IF(AY61=0,0,CI61/AY61)</f>
        <v/>
      </c>
    </row>
    <row r="62">
      <c r="A62" s="29" t="n">
        <v>46206.45833333334</v>
      </c>
      <c r="B62" s="29" t="inlineStr">
        <is>
          <t>11:00</t>
        </is>
      </c>
      <c r="C62" s="35">
        <f>INT(A62)</f>
        <v/>
      </c>
      <c r="D62" s="36">
        <f>MONTH(A62)</f>
        <v/>
      </c>
      <c r="E62" s="147">
        <f>[1]FİYATLAR!G61</f>
        <v/>
      </c>
      <c r="F62" s="30" t="n">
        <v>2250</v>
      </c>
      <c r="G62" s="30" t="n">
        <v>3450</v>
      </c>
      <c r="H62" s="30" t="n">
        <v>48.3</v>
      </c>
      <c r="I62" s="30" t="n">
        <v>2151.2</v>
      </c>
      <c r="J62" s="119" t="n">
        <v>0</v>
      </c>
      <c r="K62" s="34">
        <f>F62*J62</f>
        <v/>
      </c>
      <c r="L62" s="119" t="n">
        <v>0</v>
      </c>
      <c r="M62" s="34">
        <f>L62*F62</f>
        <v/>
      </c>
      <c r="N62" s="119" t="n">
        <v>25.3</v>
      </c>
      <c r="O62" s="34">
        <f>F62</f>
        <v/>
      </c>
      <c r="P62" s="34">
        <f>N62*O62</f>
        <v/>
      </c>
      <c r="Q62" s="119" t="n">
        <v>0</v>
      </c>
      <c r="R62" s="34">
        <f>F62</f>
        <v/>
      </c>
      <c r="S62" s="34">
        <f>R62*Q62</f>
        <v/>
      </c>
      <c r="T62" s="34">
        <f>SUMIFS('[1]GİP VERİLERİ'!$C:$C,'[1]GİP VERİLERİ'!$B:$B,A62,'[1]GİP VERİLERİ'!$M:$M,"40X000000104782K",'[1]GİP VERİLERİ'!$G:$G,"SELL")</f>
        <v/>
      </c>
      <c r="U62" s="34">
        <f>IFERROR(W62/T62,0)</f>
        <v/>
      </c>
      <c r="V62" s="34">
        <f>IF(U62=0,0,U62-F62)</f>
        <v/>
      </c>
      <c r="W62" s="34">
        <f>SUMIFS('[1]GİP VERİLERİ'!$O:$O,'[1]GİP VERİLERİ'!$B:$B,A62,'[1]GİP VERİLERİ'!$M:$M,"40X000000104782K",'[1]GİP VERİLERİ'!$G:$G,"SELL")</f>
        <v/>
      </c>
      <c r="X62" s="34">
        <f>SUMIFS('[1]GİP VERİLERİ'!$C:$C,'[1]GİP VERİLERİ'!$B:$B,A62,'[1]GİP VERİLERİ'!$M:$M,"40X000000104782K",'[1]GİP VERİLERİ'!$G:$G,"BUY")</f>
        <v/>
      </c>
      <c r="Y62" s="34">
        <f>IFERROR(AA62/X62,0)</f>
        <v/>
      </c>
      <c r="Z62" s="34">
        <f>IF(Y62=0,0,F62-Y62)</f>
        <v/>
      </c>
      <c r="AA62" s="34">
        <f>SUMIFS('[1]GİP VERİLERİ'!$O:$O,'[1]GİP VERİLERİ'!$B:$B,A62,'[1]GİP VERİLERİ'!$M:$M,"40X000000104782K",'[1]GİP VERİLERİ'!$G:$G,"BUY")</f>
        <v/>
      </c>
      <c r="AB62" s="34" t="n">
        <v>0</v>
      </c>
      <c r="AC62" s="34" t="n">
        <v>0</v>
      </c>
      <c r="AD62" s="34">
        <f>IF(AB62&gt;AC62*1.05,AB62-AC62*1.05,IF(AB62&lt;AC62*0.95,AC62*0.95-AB62,0))</f>
        <v/>
      </c>
      <c r="AE62" s="34">
        <f>MAX(F62,G62,750)*0.05*AD62</f>
        <v/>
      </c>
      <c r="AF62" s="34" t="n">
        <v>0</v>
      </c>
      <c r="AG62" s="34">
        <f>IF(AB62&gt;AF62*1.05,AB62-AF62*1.05,IF(AB62&lt;AF62*0.95,AF62*0.95-AB62,0))</f>
        <v/>
      </c>
      <c r="AH62" s="34">
        <f>MAX(I62,J62,750)*0.05*AG62</f>
        <v/>
      </c>
      <c r="AI62" t="n">
        <v>10.22</v>
      </c>
      <c r="AJ62" t="n">
        <v>10</v>
      </c>
      <c r="AK62" s="34">
        <f>IF(AI62&gt;AJ62*1.05,AI62-AJ62*1.05,IF(AI62&lt;AJ62*0.95,AJ62*0.95-AI62,0))</f>
        <v/>
      </c>
      <c r="AL62" s="34">
        <f>MAX(F62,G62,750)*0.05*AK62</f>
        <v/>
      </c>
      <c r="AM62" s="39" t="n">
        <v>10</v>
      </c>
      <c r="AN62" s="34">
        <f>IF(AI62&gt;AM62*1.05,AI62-AM62*1.05,IF(AI62&lt;AM62*0.95,AM62*0.95-AI62,0))</f>
        <v/>
      </c>
      <c r="AO62" s="34">
        <f>MAX(F62,G62,750)*0.05*AN62</f>
        <v/>
      </c>
      <c r="AP62" s="34" t="n">
        <v>15.3</v>
      </c>
      <c r="AQ62" s="34" t="n">
        <v>15.3</v>
      </c>
      <c r="AR62" s="34">
        <f>IF(AP62&gt;AQ62*1.05,AP62-AQ62*1.05,IF(AP62&lt;AQ62*0.95,AQ62*0.95-AP62,0))</f>
        <v/>
      </c>
      <c r="AS62" s="34">
        <f>MAX(F62:G62,750)*0.05*AR62</f>
        <v/>
      </c>
      <c r="AT62" t="n">
        <v>15.3</v>
      </c>
      <c r="AU62" s="34">
        <f>IF(AP62&gt;AT62*1.05,AP62-AT62*1.05,IF(AP62&lt;AT62*0.95,AT62*0.95-AP62,0))</f>
        <v/>
      </c>
      <c r="AV62" s="34">
        <f>MAX(F62:G62,750)*0.05*AU62</f>
        <v/>
      </c>
      <c r="AW62" s="34">
        <f>AC62+AJ62+AQ62</f>
        <v/>
      </c>
      <c r="AX62" s="34">
        <f>AF62+AM62+AT62</f>
        <v/>
      </c>
      <c r="AY62" s="34">
        <f>AB62+AI62+AP62</f>
        <v/>
      </c>
      <c r="AZ62" s="34" t="n">
        <v>0</v>
      </c>
      <c r="BA62" s="34">
        <f>AD62+AK62+AR62</f>
        <v/>
      </c>
      <c r="BB62" s="34">
        <f>MAX(F62:G62,750)*0.05*BA62</f>
        <v/>
      </c>
      <c r="BC62" s="34">
        <f>AG62+AN62+AU62</f>
        <v/>
      </c>
      <c r="BD62" s="34">
        <f>MAX(F62:G62,750)*0.05*BC62</f>
        <v/>
      </c>
      <c r="BE62" s="34">
        <f>F62*AY62</f>
        <v/>
      </c>
      <c r="BF62" s="34">
        <f>K62-M62</f>
        <v/>
      </c>
      <c r="BG62" s="34">
        <f>P62-S62</f>
        <v/>
      </c>
      <c r="BH62" s="34">
        <f>W62-AA62</f>
        <v/>
      </c>
      <c r="BI62" s="34">
        <f>BF62+BG62+BL62-BN62</f>
        <v/>
      </c>
      <c r="BJ62" s="34">
        <f>ABS(BK62)</f>
        <v/>
      </c>
      <c r="BK62" s="34">
        <f>AY62-(J62-L62+N62-Q62)</f>
        <v/>
      </c>
      <c r="BL62" s="34">
        <f>IF(AND(BK62&gt;0,MIN($F62:$G62)&lt;150,$E62="Enerji Açığı"),-100*BK62*1.03,IF(AND(BK62&gt;0,MIN($F62:$G62)&lt;150,$E62="Enerji Fazlası"),-100*BK62*1.06,IF(AND(BK62&gt;0,MIN($F62:$G62)&gt;=150,$E62="Enerji Açığı"),BK62*MIN($F62:$G62)*0.97,IF(AND(BK62&gt;0,MIN($F62:$G62)&gt;=150,$E62="Enerji Fazlası"),BK62*MIN($F62:$G62)*0.94,IF(AND(BK62&lt;0,MAX($F62:$G62)=4500,$E62="Enerji Açığı"),4500*1.05*1.06*BK62,IF(AND(BK62&lt;0,MAX($F62:$G62)=4500,$E62="Enerji Fazlası"),4500*1.05*1.03*BK62,IF(AND(BK62&lt;0,$E62="Enerji Açığı"),MAX($F62,$G62,150)*BK62*1.06,IF(AND(BK62&lt;0,$E62="Enerji Fazlası"),MAX($F62,$G62,150)*BK62*1.03,IF(AND(BK62&lt;0,$E62="Dengede"),MAX($F62:$G62,150)*1.03*BK62,MIN($F62:$G62)*0.97*BK62)))))))))</f>
        <v/>
      </c>
      <c r="BM62" s="34">
        <f>BE62-BI62-BN62</f>
        <v/>
      </c>
      <c r="BN62" s="34">
        <f>BB62</f>
        <v/>
      </c>
      <c r="BO62" s="34">
        <f>BE62-BI62</f>
        <v/>
      </c>
      <c r="BP62" s="34">
        <f>IF(AY62=0,0,BO62/AY62)</f>
        <v/>
      </c>
      <c r="BQ62" s="34">
        <f>MAX((AY62+MAX((-J62+L62-N62+Q62),0)),(MAX((J62-L62+N62-Q62),0)))</f>
        <v/>
      </c>
      <c r="BR62" s="82">
        <f>IFERROR(ABS(BK62/BQ62),0)</f>
        <v/>
      </c>
      <c r="BS62" s="34">
        <f>IF(BR62&lt;=0.1,0,BK62/BR62*(BR62-0.1))</f>
        <v/>
      </c>
      <c r="BT62" s="34">
        <f>IF((BS62)&lt;0,MAX(F62:G62)*(BS62)*1.03,MIN(F62:G62)*(BS62)*0.97)</f>
        <v/>
      </c>
      <c r="BU62" s="34">
        <f>IF(BR62&gt;0.1,1,0)</f>
        <v/>
      </c>
      <c r="BV62" s="34">
        <f>BF62+BG62+BH62+BY62-CA62</f>
        <v/>
      </c>
      <c r="BW62" s="34">
        <f>ABS(BX62)</f>
        <v/>
      </c>
      <c r="BX62" s="34">
        <f>AY62-(J62-L62+N62-Q62+T62-X62)</f>
        <v/>
      </c>
      <c r="BY62" s="34">
        <f>IF(AND(BX62&gt;0,MIN($F62:$G62)&lt;150,$E62="Enerji Açığı"),-100*BX62*1.03,IF(AND(BX62&gt;0,MIN($F62:$G62)&lt;150,$E62="Enerji Fazlası"),-100*BX62*1.06,IF(AND(BX62&gt;0,MIN($F62:$G62)&gt;=150,$E62="Enerji Açığı"),BX62*MIN($F62:$G62)*0.97,IF(AND(BX62&gt;0,MIN($F62:$G62)&gt;=150,$E62="Enerji Fazlası"),BX62*MIN($F62:$G62)*0.94,IF(AND(BX62&lt;0,MAX($F62:$G62)=4500,$E62="Enerji Açığı"),4500*1.05*1.06*BX62,IF(AND(BX62&lt;0,MAX($F62:$G62)=4500,$E62="Enerji Fazlası"),4500*1.05*1.03*BX62,IF(AND(BX62&lt;0,$E62="Enerji Açığı"),MAX($F62,$G62,150)*BX62*1.06,IF(AND(BX62&lt;0,$E62="Enerji Fazlası"),MAX($F62,$G62,150)*BX62*1.03,IF(AND(BX62&lt;0,$E62="Dengede"),MAX($F62:$G62,150)*1.03*BX62,MIN($F62:$G62)*0.97*BX62)))))))))</f>
        <v/>
      </c>
      <c r="BZ62" s="34">
        <f>BE62-BV62-CA62</f>
        <v/>
      </c>
      <c r="CA62" s="34">
        <f>BD62</f>
        <v/>
      </c>
      <c r="CB62" s="33">
        <f>BE62-BV62</f>
        <v/>
      </c>
      <c r="CC62" s="34">
        <f>IF(AY62=0,0,CB62/AY62)</f>
        <v/>
      </c>
      <c r="CD62" s="34">
        <f>MAX((AY62+MAX((-J62+L62-N62+Q62-T62+X62),0)),(MAX((J62-L62+N62-Q62+T62-X62),0)))</f>
        <v/>
      </c>
      <c r="CE62" s="82">
        <f>IFERROR(ABS(BX62/CD62),0)</f>
        <v/>
      </c>
      <c r="CF62" s="34">
        <f>IF(CE62&lt;=0.1,0,BX62/CE62*(CE62-0.1))</f>
        <v/>
      </c>
      <c r="CG62" s="34">
        <f>IF((CF62)&lt;0,MAX(F62:G62)*(CF62)*1.03,MIN(F62:G62)*(CF62)*0.97)</f>
        <v/>
      </c>
      <c r="CH62" s="34">
        <f>IF(CE62&gt;0.1,1,0)</f>
        <v/>
      </c>
      <c r="CI62" s="34">
        <f>(F62*BX62)-BY62</f>
        <v/>
      </c>
      <c r="CJ62" s="34">
        <f>IF(AY62=0,0,CI62/AY62)</f>
        <v/>
      </c>
    </row>
    <row r="63">
      <c r="A63" s="29" t="n">
        <v>46206.5</v>
      </c>
      <c r="B63" s="29" t="inlineStr">
        <is>
          <t>12:00</t>
        </is>
      </c>
      <c r="C63" s="35">
        <f>INT(A63)</f>
        <v/>
      </c>
      <c r="D63" s="36">
        <f>MONTH(A63)</f>
        <v/>
      </c>
      <c r="E63" s="147">
        <f>[1]FİYATLAR!G62</f>
        <v/>
      </c>
      <c r="F63" s="30" t="n">
        <v>1499.98</v>
      </c>
      <c r="G63" s="30" t="n">
        <v>1000</v>
      </c>
      <c r="H63" s="30" t="n">
        <v>32.2</v>
      </c>
      <c r="I63" s="30" t="n">
        <v>1324.84</v>
      </c>
      <c r="J63" s="119" t="n">
        <v>0</v>
      </c>
      <c r="K63" s="34">
        <f>F63*J63</f>
        <v/>
      </c>
      <c r="L63" s="119" t="n">
        <v>0</v>
      </c>
      <c r="M63" s="34">
        <f>L63*F63</f>
        <v/>
      </c>
      <c r="N63" s="119" t="n">
        <v>25.5</v>
      </c>
      <c r="O63" s="34">
        <f>F63</f>
        <v/>
      </c>
      <c r="P63" s="34">
        <f>N63*O63</f>
        <v/>
      </c>
      <c r="Q63" s="119" t="n">
        <v>0</v>
      </c>
      <c r="R63" s="34">
        <f>F63</f>
        <v/>
      </c>
      <c r="S63" s="34">
        <f>R63*Q63</f>
        <v/>
      </c>
      <c r="T63" s="34">
        <f>SUMIFS('[1]GİP VERİLERİ'!$C:$C,'[1]GİP VERİLERİ'!$B:$B,A63,'[1]GİP VERİLERİ'!$M:$M,"40X000000104782K",'[1]GİP VERİLERİ'!$G:$G,"SELL")</f>
        <v/>
      </c>
      <c r="U63" s="34">
        <f>IFERROR(W63/T63,0)</f>
        <v/>
      </c>
      <c r="V63" s="34">
        <f>IF(U63=0,0,U63-F63)</f>
        <v/>
      </c>
      <c r="W63" s="34">
        <f>SUMIFS('[1]GİP VERİLERİ'!$O:$O,'[1]GİP VERİLERİ'!$B:$B,A63,'[1]GİP VERİLERİ'!$M:$M,"40X000000104782K",'[1]GİP VERİLERİ'!$G:$G,"SELL")</f>
        <v/>
      </c>
      <c r="X63" s="34">
        <f>SUMIFS('[1]GİP VERİLERİ'!$C:$C,'[1]GİP VERİLERİ'!$B:$B,A63,'[1]GİP VERİLERİ'!$M:$M,"40X000000104782K",'[1]GİP VERİLERİ'!$G:$G,"BUY")</f>
        <v/>
      </c>
      <c r="Y63" s="34">
        <f>IFERROR(AA63/X63,0)</f>
        <v/>
      </c>
      <c r="Z63" s="34">
        <f>IF(Y63=0,0,F63-Y63)</f>
        <v/>
      </c>
      <c r="AA63" s="34">
        <f>SUMIFS('[1]GİP VERİLERİ'!$O:$O,'[1]GİP VERİLERİ'!$B:$B,A63,'[1]GİP VERİLERİ'!$M:$M,"40X000000104782K",'[1]GİP VERİLERİ'!$G:$G,"BUY")</f>
        <v/>
      </c>
      <c r="AB63" s="34" t="n">
        <v>0</v>
      </c>
      <c r="AC63" s="34" t="n">
        <v>0</v>
      </c>
      <c r="AD63" s="34">
        <f>IF(AB63&gt;AC63*1.05,AB63-AC63*1.05,IF(AB63&lt;AC63*0.95,AC63*0.95-AB63,0))</f>
        <v/>
      </c>
      <c r="AE63" s="34">
        <f>MAX(F63,G63,750)*0.05*AD63</f>
        <v/>
      </c>
      <c r="AF63" s="34" t="n">
        <v>0</v>
      </c>
      <c r="AG63" s="34">
        <f>IF(AB63&gt;AF63*1.05,AB63-AF63*1.05,IF(AB63&lt;AF63*0.95,AF63*0.95-AB63,0))</f>
        <v/>
      </c>
      <c r="AH63" s="34">
        <f>MAX(I63,J63,750)*0.05*AG63</f>
        <v/>
      </c>
      <c r="AI63" t="n">
        <v>9.19</v>
      </c>
      <c r="AJ63" t="n">
        <v>10</v>
      </c>
      <c r="AK63" s="34">
        <f>IF(AI63&gt;AJ63*1.05,AI63-AJ63*1.05,IF(AI63&lt;AJ63*0.95,AJ63*0.95-AI63,0))</f>
        <v/>
      </c>
      <c r="AL63" s="34">
        <f>MAX(F63,G63,750)*0.05*AK63</f>
        <v/>
      </c>
      <c r="AM63" s="39" t="n">
        <v>9</v>
      </c>
      <c r="AN63" s="34">
        <f>IF(AI63&gt;AM63*1.05,AI63-AM63*1.05,IF(AI63&lt;AM63*0.95,AM63*0.95-AI63,0))</f>
        <v/>
      </c>
      <c r="AO63" s="34">
        <f>MAX(F63,G63,750)*0.05*AN63</f>
        <v/>
      </c>
      <c r="AP63" s="34" t="n">
        <v>12.61</v>
      </c>
      <c r="AQ63" s="34" t="n">
        <v>15.5</v>
      </c>
      <c r="AR63" s="34">
        <f>IF(AP63&gt;AQ63*1.05,AP63-AQ63*1.05,IF(AP63&lt;AQ63*0.95,AQ63*0.95-AP63,0))</f>
        <v/>
      </c>
      <c r="AS63" s="34">
        <f>MAX(F63:G63,750)*0.05*AR63</f>
        <v/>
      </c>
      <c r="AT63" t="n">
        <v>12.5</v>
      </c>
      <c r="AU63" s="34">
        <f>IF(AP63&gt;AT63*1.05,AP63-AT63*1.05,IF(AP63&lt;AT63*0.95,AT63*0.95-AP63,0))</f>
        <v/>
      </c>
      <c r="AV63" s="34">
        <f>MAX(F63:G63,750)*0.05*AU63</f>
        <v/>
      </c>
      <c r="AW63" s="34">
        <f>AC63+AJ63+AQ63</f>
        <v/>
      </c>
      <c r="AX63" s="34">
        <f>AF63+AM63+AT63</f>
        <v/>
      </c>
      <c r="AY63" s="34">
        <f>AB63+AI63+AP63</f>
        <v/>
      </c>
      <c r="AZ63" s="34" t="n">
        <v>0</v>
      </c>
      <c r="BA63" s="34">
        <f>AD63+AK63+AR63</f>
        <v/>
      </c>
      <c r="BB63" s="34">
        <f>MAX(F63:G63,750)*0.05*BA63</f>
        <v/>
      </c>
      <c r="BC63" s="34">
        <f>AG63+AN63+AU63</f>
        <v/>
      </c>
      <c r="BD63" s="34">
        <f>MAX(F63:G63,750)*0.05*BC63</f>
        <v/>
      </c>
      <c r="BE63" s="34">
        <f>F63*AY63</f>
        <v/>
      </c>
      <c r="BF63" s="34">
        <f>K63-M63</f>
        <v/>
      </c>
      <c r="BG63" s="34">
        <f>P63-S63</f>
        <v/>
      </c>
      <c r="BH63" s="34">
        <f>W63-AA63</f>
        <v/>
      </c>
      <c r="BI63" s="34">
        <f>BF63+BG63+BL63-BN63</f>
        <v/>
      </c>
      <c r="BJ63" s="34">
        <f>ABS(BK63)</f>
        <v/>
      </c>
      <c r="BK63" s="34">
        <f>AY63-(J63-L63+N63-Q63)</f>
        <v/>
      </c>
      <c r="BL63" s="34">
        <f>IF(AND(BK63&gt;0,MIN($F63:$G63)&lt;150,$E63="Enerji Açığı"),-100*BK63*1.03,IF(AND(BK63&gt;0,MIN($F63:$G63)&lt;150,$E63="Enerji Fazlası"),-100*BK63*1.06,IF(AND(BK63&gt;0,MIN($F63:$G63)&gt;=150,$E63="Enerji Açığı"),BK63*MIN($F63:$G63)*0.97,IF(AND(BK63&gt;0,MIN($F63:$G63)&gt;=150,$E63="Enerji Fazlası"),BK63*MIN($F63:$G63)*0.94,IF(AND(BK63&lt;0,MAX($F63:$G63)=4500,$E63="Enerji Açığı"),4500*1.05*1.06*BK63,IF(AND(BK63&lt;0,MAX($F63:$G63)=4500,$E63="Enerji Fazlası"),4500*1.05*1.03*BK63,IF(AND(BK63&lt;0,$E63="Enerji Açığı"),MAX($F63,$G63,150)*BK63*1.06,IF(AND(BK63&lt;0,$E63="Enerji Fazlası"),MAX($F63,$G63,150)*BK63*1.03,IF(AND(BK63&lt;0,$E63="Dengede"),MAX($F63:$G63,150)*1.03*BK63,MIN($F63:$G63)*0.97*BK63)))))))))</f>
        <v/>
      </c>
      <c r="BM63" s="34">
        <f>BE63-BI63-BN63</f>
        <v/>
      </c>
      <c r="BN63" s="34">
        <f>BB63</f>
        <v/>
      </c>
      <c r="BO63" s="34">
        <f>BE63-BI63</f>
        <v/>
      </c>
      <c r="BP63" s="34">
        <f>IF(AY63=0,0,BO63/AY63)</f>
        <v/>
      </c>
      <c r="BQ63" s="34">
        <f>MAX((AY63+MAX((-J63+L63-N63+Q63),0)),(MAX((J63-L63+N63-Q63),0)))</f>
        <v/>
      </c>
      <c r="BR63" s="82">
        <f>IFERROR(ABS(BK63/BQ63),0)</f>
        <v/>
      </c>
      <c r="BS63" s="34">
        <f>IF(BR63&lt;=0.1,0,BK63/BR63*(BR63-0.1))</f>
        <v/>
      </c>
      <c r="BT63" s="34">
        <f>IF((BS63)&lt;0,MAX(F63:G63)*(BS63)*1.03,MIN(F63:G63)*(BS63)*0.97)</f>
        <v/>
      </c>
      <c r="BU63" s="34">
        <f>IF(BR63&gt;0.1,1,0)</f>
        <v/>
      </c>
      <c r="BV63" s="34">
        <f>BF63+BG63+BH63+BY63-CA63</f>
        <v/>
      </c>
      <c r="BW63" s="34">
        <f>ABS(BX63)</f>
        <v/>
      </c>
      <c r="BX63" s="34">
        <f>AY63-(J63-L63+N63-Q63+T63-X63)</f>
        <v/>
      </c>
      <c r="BY63" s="34">
        <f>IF(AND(BX63&gt;0,MIN($F63:$G63)&lt;150,$E63="Enerji Açığı"),-100*BX63*1.03,IF(AND(BX63&gt;0,MIN($F63:$G63)&lt;150,$E63="Enerji Fazlası"),-100*BX63*1.06,IF(AND(BX63&gt;0,MIN($F63:$G63)&gt;=150,$E63="Enerji Açığı"),BX63*MIN($F63:$G63)*0.97,IF(AND(BX63&gt;0,MIN($F63:$G63)&gt;=150,$E63="Enerji Fazlası"),BX63*MIN($F63:$G63)*0.94,IF(AND(BX63&lt;0,MAX($F63:$G63)=4500,$E63="Enerji Açığı"),4500*1.05*1.06*BX63,IF(AND(BX63&lt;0,MAX($F63:$G63)=4500,$E63="Enerji Fazlası"),4500*1.05*1.03*BX63,IF(AND(BX63&lt;0,$E63="Enerji Açığı"),MAX($F63,$G63,150)*BX63*1.06,IF(AND(BX63&lt;0,$E63="Enerji Fazlası"),MAX($F63,$G63,150)*BX63*1.03,IF(AND(BX63&lt;0,$E63="Dengede"),MAX($F63:$G63,150)*1.03*BX63,MIN($F63:$G63)*0.97*BX63)))))))))</f>
        <v/>
      </c>
      <c r="BZ63" s="34">
        <f>BE63-BV63-CA63</f>
        <v/>
      </c>
      <c r="CA63" s="34">
        <f>BD63</f>
        <v/>
      </c>
      <c r="CB63" s="33">
        <f>BE63-BV63</f>
        <v/>
      </c>
      <c r="CC63" s="34">
        <f>IF(AY63=0,0,CB63/AY63)</f>
        <v/>
      </c>
      <c r="CD63" s="34">
        <f>MAX((AY63+MAX((-J63+L63-N63+Q63-T63+X63),0)),(MAX((J63-L63+N63-Q63+T63-X63),0)))</f>
        <v/>
      </c>
      <c r="CE63" s="82">
        <f>IFERROR(ABS(BX63/CD63),0)</f>
        <v/>
      </c>
      <c r="CF63" s="34">
        <f>IF(CE63&lt;=0.1,0,BX63/CE63*(CE63-0.1))</f>
        <v/>
      </c>
      <c r="CG63" s="34">
        <f>IF((CF63)&lt;0,MAX(F63:G63)*(CF63)*1.03,MIN(F63:G63)*(CF63)*0.97)</f>
        <v/>
      </c>
      <c r="CH63" s="34">
        <f>IF(CE63&gt;0.1,1,0)</f>
        <v/>
      </c>
      <c r="CI63" s="34">
        <f>(F63*BX63)-BY63</f>
        <v/>
      </c>
      <c r="CJ63" s="34">
        <f>IF(AY63=0,0,CI63/AY63)</f>
        <v/>
      </c>
    </row>
    <row r="64">
      <c r="A64" s="29" t="n">
        <v>46206.54166666666</v>
      </c>
      <c r="B64" s="29" t="inlineStr">
        <is>
          <t>13:00</t>
        </is>
      </c>
      <c r="C64" s="35">
        <f>INT(A64)</f>
        <v/>
      </c>
      <c r="D64" s="36">
        <f>MONTH(A64)</f>
        <v/>
      </c>
      <c r="E64" s="147">
        <f>[1]FİYATLAR!G63</f>
        <v/>
      </c>
      <c r="F64" s="30" t="n">
        <v>1897.17</v>
      </c>
      <c r="G64" s="30" t="n">
        <v>499.99</v>
      </c>
      <c r="H64" s="30" t="n">
        <v>40.72</v>
      </c>
      <c r="I64" s="30" t="n">
        <v>1682.15</v>
      </c>
      <c r="J64" s="119" t="n">
        <v>0</v>
      </c>
      <c r="K64" s="34">
        <f>F64*J64</f>
        <v/>
      </c>
      <c r="L64" s="119" t="n">
        <v>0</v>
      </c>
      <c r="M64" s="34">
        <f>L64*F64</f>
        <v/>
      </c>
      <c r="N64" s="119" t="n">
        <v>25.5</v>
      </c>
      <c r="O64" s="34">
        <f>F64</f>
        <v/>
      </c>
      <c r="P64" s="34">
        <f>N64*O64</f>
        <v/>
      </c>
      <c r="Q64" s="119" t="n">
        <v>0</v>
      </c>
      <c r="R64" s="34">
        <f>F64</f>
        <v/>
      </c>
      <c r="S64" s="34">
        <f>R64*Q64</f>
        <v/>
      </c>
      <c r="T64" s="34">
        <f>SUMIFS('[1]GİP VERİLERİ'!$C:$C,'[1]GİP VERİLERİ'!$B:$B,A64,'[1]GİP VERİLERİ'!$M:$M,"40X000000104782K",'[1]GİP VERİLERİ'!$G:$G,"SELL")</f>
        <v/>
      </c>
      <c r="U64" s="34">
        <f>IFERROR(W64/T64,0)</f>
        <v/>
      </c>
      <c r="V64" s="34">
        <f>IF(U64=0,0,U64-F64)</f>
        <v/>
      </c>
      <c r="W64" s="34">
        <f>SUMIFS('[1]GİP VERİLERİ'!$O:$O,'[1]GİP VERİLERİ'!$B:$B,A64,'[1]GİP VERİLERİ'!$M:$M,"40X000000104782K",'[1]GİP VERİLERİ'!$G:$G,"SELL")</f>
        <v/>
      </c>
      <c r="X64" s="34">
        <f>SUMIFS('[1]GİP VERİLERİ'!$C:$C,'[1]GİP VERİLERİ'!$B:$B,A64,'[1]GİP VERİLERİ'!$M:$M,"40X000000104782K",'[1]GİP VERİLERİ'!$G:$G,"BUY")</f>
        <v/>
      </c>
      <c r="Y64" s="34">
        <f>IFERROR(AA64/X64,0)</f>
        <v/>
      </c>
      <c r="Z64" s="34">
        <f>IF(Y64=0,0,F64-Y64)</f>
        <v/>
      </c>
      <c r="AA64" s="34">
        <f>SUMIFS('[1]GİP VERİLERİ'!$O:$O,'[1]GİP VERİLERİ'!$B:$B,A64,'[1]GİP VERİLERİ'!$M:$M,"40X000000104782K",'[1]GİP VERİLERİ'!$G:$G,"BUY")</f>
        <v/>
      </c>
      <c r="AB64" s="34" t="n">
        <v>0</v>
      </c>
      <c r="AC64" s="34" t="n">
        <v>0</v>
      </c>
      <c r="AD64" s="34">
        <f>IF(AB64&gt;AC64*1.05,AB64-AC64*1.05,IF(AB64&lt;AC64*0.95,AC64*0.95-AB64,0))</f>
        <v/>
      </c>
      <c r="AE64" s="34">
        <f>MAX(F64,G64,750)*0.05*AD64</f>
        <v/>
      </c>
      <c r="AF64" s="34" t="n">
        <v>0</v>
      </c>
      <c r="AG64" s="34">
        <f>IF(AB64&gt;AF64*1.05,AB64-AF64*1.05,IF(AB64&lt;AF64*0.95,AF64*0.95-AB64,0))</f>
        <v/>
      </c>
      <c r="AH64" s="34">
        <f>MAX(I64,J64,750)*0.05*AG64</f>
        <v/>
      </c>
      <c r="AI64" t="n">
        <v>11.21</v>
      </c>
      <c r="AJ64" t="n">
        <v>10</v>
      </c>
      <c r="AK64" s="34">
        <f>IF(AI64&gt;AJ64*1.05,AI64-AJ64*1.05,IF(AI64&lt;AJ64*0.95,AJ64*0.95-AI64,0))</f>
        <v/>
      </c>
      <c r="AL64" s="34">
        <f>MAX(F64,G64,750)*0.05*AK64</f>
        <v/>
      </c>
      <c r="AM64" s="39" t="n">
        <v>10</v>
      </c>
      <c r="AN64" s="34">
        <f>IF(AI64&gt;AM64*1.05,AI64-AM64*1.05,IF(AI64&lt;AM64*0.95,AM64*0.95-AI64,0))</f>
        <v/>
      </c>
      <c r="AO64" s="34">
        <f>MAX(F64,G64,750)*0.05*AN64</f>
        <v/>
      </c>
      <c r="AP64" s="34" t="n">
        <v>14.64</v>
      </c>
      <c r="AQ64" s="34" t="n">
        <v>15.5</v>
      </c>
      <c r="AR64" s="34">
        <f>IF(AP64&gt;AQ64*1.05,AP64-AQ64*1.05,IF(AP64&lt;AQ64*0.95,AQ64*0.95-AP64,0))</f>
        <v/>
      </c>
      <c r="AS64" s="34">
        <f>MAX(F64:G64,750)*0.05*AR64</f>
        <v/>
      </c>
      <c r="AT64" t="n">
        <v>15.5</v>
      </c>
      <c r="AU64" s="34">
        <f>IF(AP64&gt;AT64*1.05,AP64-AT64*1.05,IF(AP64&lt;AT64*0.95,AT64*0.95-AP64,0))</f>
        <v/>
      </c>
      <c r="AV64" s="34">
        <f>MAX(F64:G64,750)*0.05*AU64</f>
        <v/>
      </c>
      <c r="AW64" s="34">
        <f>AC64+AJ64+AQ64</f>
        <v/>
      </c>
      <c r="AX64" s="34">
        <f>AF64+AM64+AT64</f>
        <v/>
      </c>
      <c r="AY64" s="34">
        <f>AB64+AI64+AP64</f>
        <v/>
      </c>
      <c r="AZ64" s="34" t="n">
        <v>0</v>
      </c>
      <c r="BA64" s="34">
        <f>AD64+AK64+AR64</f>
        <v/>
      </c>
      <c r="BB64" s="34">
        <f>MAX(F64:G64,750)*0.05*BA64</f>
        <v/>
      </c>
      <c r="BC64" s="34">
        <f>AG64+AN64+AU64</f>
        <v/>
      </c>
      <c r="BD64" s="34">
        <f>MAX(F64:G64,750)*0.05*BC64</f>
        <v/>
      </c>
      <c r="BE64" s="34">
        <f>F64*AY64</f>
        <v/>
      </c>
      <c r="BF64" s="34">
        <f>K64-M64</f>
        <v/>
      </c>
      <c r="BG64" s="34">
        <f>P64-S64</f>
        <v/>
      </c>
      <c r="BH64" s="34">
        <f>W64-AA64</f>
        <v/>
      </c>
      <c r="BI64" s="34">
        <f>BF64+BG64+BL64-BN64</f>
        <v/>
      </c>
      <c r="BJ64" s="34">
        <f>ABS(BK64)</f>
        <v/>
      </c>
      <c r="BK64" s="34">
        <f>AY64-(J64-L64+N64-Q64)</f>
        <v/>
      </c>
      <c r="BL64" s="34">
        <f>IF(AND(BK64&gt;0,MIN($F64:$G64)&lt;150,$E64="Enerji Açığı"),-100*BK64*1.03,IF(AND(BK64&gt;0,MIN($F64:$G64)&lt;150,$E64="Enerji Fazlası"),-100*BK64*1.06,IF(AND(BK64&gt;0,MIN($F64:$G64)&gt;=150,$E64="Enerji Açığı"),BK64*MIN($F64:$G64)*0.97,IF(AND(BK64&gt;0,MIN($F64:$G64)&gt;=150,$E64="Enerji Fazlası"),BK64*MIN($F64:$G64)*0.94,IF(AND(BK64&lt;0,MAX($F64:$G64)=4500,$E64="Enerji Açığı"),4500*1.05*1.06*BK64,IF(AND(BK64&lt;0,MAX($F64:$G64)=4500,$E64="Enerji Fazlası"),4500*1.05*1.03*BK64,IF(AND(BK64&lt;0,$E64="Enerji Açığı"),MAX($F64,$G64,150)*BK64*1.06,IF(AND(BK64&lt;0,$E64="Enerji Fazlası"),MAX($F64,$G64,150)*BK64*1.03,IF(AND(BK64&lt;0,$E64="Dengede"),MAX($F64:$G64,150)*1.03*BK64,MIN($F64:$G64)*0.97*BK64)))))))))</f>
        <v/>
      </c>
      <c r="BM64" s="34">
        <f>BE64-BI64-BN64</f>
        <v/>
      </c>
      <c r="BN64" s="34">
        <f>BB64</f>
        <v/>
      </c>
      <c r="BO64" s="34">
        <f>BE64-BI64</f>
        <v/>
      </c>
      <c r="BP64" s="34">
        <f>IF(AY64=0,0,BO64/AY64)</f>
        <v/>
      </c>
      <c r="BQ64" s="34">
        <f>MAX((AY64+MAX((-J64+L64-N64+Q64),0)),(MAX((J64-L64+N64-Q64),0)))</f>
        <v/>
      </c>
      <c r="BR64" s="82">
        <f>IFERROR(ABS(BK64/BQ64),0)</f>
        <v/>
      </c>
      <c r="BS64" s="34">
        <f>IF(BR64&lt;=0.1,0,BK64/BR64*(BR64-0.1))</f>
        <v/>
      </c>
      <c r="BT64" s="34">
        <f>IF((BS64)&lt;0,MAX(F64:G64)*(BS64)*1.03,MIN(F64:G64)*(BS64)*0.97)</f>
        <v/>
      </c>
      <c r="BU64" s="34">
        <f>IF(BR64&gt;0.1,1,0)</f>
        <v/>
      </c>
      <c r="BV64" s="34">
        <f>BF64+BG64+BH64+BY64-CA64</f>
        <v/>
      </c>
      <c r="BW64" s="34">
        <f>ABS(BX64)</f>
        <v/>
      </c>
      <c r="BX64" s="34">
        <f>AY64-(J64-L64+N64-Q64+T64-X64)</f>
        <v/>
      </c>
      <c r="BY64" s="34">
        <f>IF(AND(BX64&gt;0,MIN($F64:$G64)&lt;150,$E64="Enerji Açığı"),-100*BX64*1.03,IF(AND(BX64&gt;0,MIN($F64:$G64)&lt;150,$E64="Enerji Fazlası"),-100*BX64*1.06,IF(AND(BX64&gt;0,MIN($F64:$G64)&gt;=150,$E64="Enerji Açığı"),BX64*MIN($F64:$G64)*0.97,IF(AND(BX64&gt;0,MIN($F64:$G64)&gt;=150,$E64="Enerji Fazlası"),BX64*MIN($F64:$G64)*0.94,IF(AND(BX64&lt;0,MAX($F64:$G64)=4500,$E64="Enerji Açığı"),4500*1.05*1.06*BX64,IF(AND(BX64&lt;0,MAX($F64:$G64)=4500,$E64="Enerji Fazlası"),4500*1.05*1.03*BX64,IF(AND(BX64&lt;0,$E64="Enerji Açığı"),MAX($F64,$G64,150)*BX64*1.06,IF(AND(BX64&lt;0,$E64="Enerji Fazlası"),MAX($F64,$G64,150)*BX64*1.03,IF(AND(BX64&lt;0,$E64="Dengede"),MAX($F64:$G64,150)*1.03*BX64,MIN($F64:$G64)*0.97*BX64)))))))))</f>
        <v/>
      </c>
      <c r="BZ64" s="34">
        <f>BE64-BV64-CA64</f>
        <v/>
      </c>
      <c r="CA64" s="34">
        <f>BD64</f>
        <v/>
      </c>
      <c r="CB64" s="33">
        <f>BE64-BV64</f>
        <v/>
      </c>
      <c r="CC64" s="34">
        <f>IF(AY64=0,0,CB64/AY64)</f>
        <v/>
      </c>
      <c r="CD64" s="34">
        <f>MAX((AY64+MAX((-J64+L64-N64+Q64-T64+X64),0)),(MAX((J64-L64+N64-Q64+T64-X64),0)))</f>
        <v/>
      </c>
      <c r="CE64" s="82">
        <f>IFERROR(ABS(BX64/CD64),0)</f>
        <v/>
      </c>
      <c r="CF64" s="34">
        <f>IF(CE64&lt;=0.1,0,BX64/CE64*(CE64-0.1))</f>
        <v/>
      </c>
      <c r="CG64" s="34">
        <f>IF((CF64)&lt;0,MAX(F64:G64)*(CF64)*1.03,MIN(F64:G64)*(CF64)*0.97)</f>
        <v/>
      </c>
      <c r="CH64" s="34">
        <f>IF(CE64&gt;0.1,1,0)</f>
        <v/>
      </c>
      <c r="CI64" s="34">
        <f>(F64*BX64)-BY64</f>
        <v/>
      </c>
      <c r="CJ64" s="34">
        <f>IF(AY64=0,0,CI64/AY64)</f>
        <v/>
      </c>
    </row>
    <row r="65">
      <c r="A65" s="29" t="n">
        <v>46206.58333333334</v>
      </c>
      <c r="B65" s="29" t="inlineStr">
        <is>
          <t>14:00</t>
        </is>
      </c>
      <c r="C65" s="35">
        <f>INT(A65)</f>
        <v/>
      </c>
      <c r="D65" s="36">
        <f>MONTH(A65)</f>
        <v/>
      </c>
      <c r="E65" s="147">
        <f>[1]FİYATLAR!G64</f>
        <v/>
      </c>
      <c r="F65" s="30" t="n">
        <v>3549.05</v>
      </c>
      <c r="G65" s="30" t="n">
        <v>3549.05</v>
      </c>
      <c r="H65" s="30" t="n">
        <v>76.18000000000001</v>
      </c>
      <c r="I65" s="30" t="n">
        <v>3358.12</v>
      </c>
      <c r="J65" s="119" t="n">
        <v>0</v>
      </c>
      <c r="K65" s="34">
        <f>F65*J65</f>
        <v/>
      </c>
      <c r="L65" s="119" t="n">
        <v>0</v>
      </c>
      <c r="M65" s="34">
        <f>L65*F65</f>
        <v/>
      </c>
      <c r="N65" s="119" t="n">
        <v>25.5</v>
      </c>
      <c r="O65" s="34">
        <f>F65</f>
        <v/>
      </c>
      <c r="P65" s="34">
        <f>N65*O65</f>
        <v/>
      </c>
      <c r="Q65" s="119" t="n">
        <v>0</v>
      </c>
      <c r="R65" s="34">
        <f>F65</f>
        <v/>
      </c>
      <c r="S65" s="34">
        <f>R65*Q65</f>
        <v/>
      </c>
      <c r="T65" s="34">
        <f>SUMIFS('[1]GİP VERİLERİ'!$C:$C,'[1]GİP VERİLERİ'!$B:$B,A65,'[1]GİP VERİLERİ'!$M:$M,"40X000000104782K",'[1]GİP VERİLERİ'!$G:$G,"SELL")</f>
        <v/>
      </c>
      <c r="U65" s="34">
        <f>IFERROR(W65/T65,0)</f>
        <v/>
      </c>
      <c r="V65" s="34">
        <f>IF(U65=0,0,U65-F65)</f>
        <v/>
      </c>
      <c r="W65" s="34">
        <f>SUMIFS('[1]GİP VERİLERİ'!$O:$O,'[1]GİP VERİLERİ'!$B:$B,A65,'[1]GİP VERİLERİ'!$M:$M,"40X000000104782K",'[1]GİP VERİLERİ'!$G:$G,"SELL")</f>
        <v/>
      </c>
      <c r="X65" s="34">
        <f>SUMIFS('[1]GİP VERİLERİ'!$C:$C,'[1]GİP VERİLERİ'!$B:$B,A65,'[1]GİP VERİLERİ'!$M:$M,"40X000000104782K",'[1]GİP VERİLERİ'!$G:$G,"BUY")</f>
        <v/>
      </c>
      <c r="Y65" s="34">
        <f>IFERROR(AA65/X65,0)</f>
        <v/>
      </c>
      <c r="Z65" s="34">
        <f>IF(Y65=0,0,F65-Y65)</f>
        <v/>
      </c>
      <c r="AA65" s="34">
        <f>SUMIFS('[1]GİP VERİLERİ'!$O:$O,'[1]GİP VERİLERİ'!$B:$B,A65,'[1]GİP VERİLERİ'!$M:$M,"40X000000104782K",'[1]GİP VERİLERİ'!$G:$G,"BUY")</f>
        <v/>
      </c>
      <c r="AB65" s="34" t="n">
        <v>0</v>
      </c>
      <c r="AC65" s="34" t="n">
        <v>0</v>
      </c>
      <c r="AD65" s="34">
        <f>IF(AB65&gt;AC65*1.05,AB65-AC65*1.05,IF(AB65&lt;AC65*0.95,AC65*0.95-AB65,0))</f>
        <v/>
      </c>
      <c r="AE65" s="34">
        <f>MAX(F65,G65,750)*0.05*AD65</f>
        <v/>
      </c>
      <c r="AF65" s="34" t="n">
        <v>0</v>
      </c>
      <c r="AG65" s="34">
        <f>IF(AB65&gt;AF65*1.05,AB65-AF65*1.05,IF(AB65&lt;AF65*0.95,AF65*0.95-AB65,0))</f>
        <v/>
      </c>
      <c r="AH65" s="34">
        <f>MAX(I65,J65,750)*0.05*AG65</f>
        <v/>
      </c>
      <c r="AI65" t="n">
        <v>10.64</v>
      </c>
      <c r="AJ65" t="n">
        <v>10</v>
      </c>
      <c r="AK65" s="34">
        <f>IF(AI65&gt;AJ65*1.05,AI65-AJ65*1.05,IF(AI65&lt;AJ65*0.95,AJ65*0.95-AI65,0))</f>
        <v/>
      </c>
      <c r="AL65" s="34">
        <f>MAX(F65,G65,750)*0.05*AK65</f>
        <v/>
      </c>
      <c r="AM65" s="39" t="n">
        <v>10</v>
      </c>
      <c r="AN65" s="34">
        <f>IF(AI65&gt;AM65*1.05,AI65-AM65*1.05,IF(AI65&lt;AM65*0.95,AM65*0.95-AI65,0))</f>
        <v/>
      </c>
      <c r="AO65" s="34">
        <f>MAX(F65,G65,750)*0.05*AN65</f>
        <v/>
      </c>
      <c r="AP65" s="34" t="n">
        <v>14.99</v>
      </c>
      <c r="AQ65" s="34" t="n">
        <v>15.5</v>
      </c>
      <c r="AR65" s="34">
        <f>IF(AP65&gt;AQ65*1.05,AP65-AQ65*1.05,IF(AP65&lt;AQ65*0.95,AQ65*0.95-AP65,0))</f>
        <v/>
      </c>
      <c r="AS65" s="34">
        <f>MAX(F65:G65,750)*0.05*AR65</f>
        <v/>
      </c>
      <c r="AT65" t="n">
        <v>15.5</v>
      </c>
      <c r="AU65" s="34">
        <f>IF(AP65&gt;AT65*1.05,AP65-AT65*1.05,IF(AP65&lt;AT65*0.95,AT65*0.95-AP65,0))</f>
        <v/>
      </c>
      <c r="AV65" s="34">
        <f>MAX(F65:G65,750)*0.05*AU65</f>
        <v/>
      </c>
      <c r="AW65" s="34">
        <f>AC65+AJ65+AQ65</f>
        <v/>
      </c>
      <c r="AX65" s="34">
        <f>AF65+AM65+AT65</f>
        <v/>
      </c>
      <c r="AY65" s="34">
        <f>AB65+AI65+AP65</f>
        <v/>
      </c>
      <c r="AZ65" s="34" t="n">
        <v>0</v>
      </c>
      <c r="BA65" s="34">
        <f>AD65+AK65+AR65</f>
        <v/>
      </c>
      <c r="BB65" s="34">
        <f>MAX(F65:G65,750)*0.05*BA65</f>
        <v/>
      </c>
      <c r="BC65" s="34">
        <f>AG65+AN65+AU65</f>
        <v/>
      </c>
      <c r="BD65" s="34">
        <f>MAX(F65:G65,750)*0.05*BC65</f>
        <v/>
      </c>
      <c r="BE65" s="34">
        <f>F65*AY65</f>
        <v/>
      </c>
      <c r="BF65" s="34">
        <f>K65-M65</f>
        <v/>
      </c>
      <c r="BG65" s="34">
        <f>P65-S65</f>
        <v/>
      </c>
      <c r="BH65" s="34">
        <f>W65-AA65</f>
        <v/>
      </c>
      <c r="BI65" s="34">
        <f>BF65+BG65+BL65-BN65</f>
        <v/>
      </c>
      <c r="BJ65" s="34">
        <f>ABS(BK65)</f>
        <v/>
      </c>
      <c r="BK65" s="34">
        <f>AY65-(J65-L65+N65-Q65)</f>
        <v/>
      </c>
      <c r="BL65" s="34">
        <f>IF(AND(BK65&gt;0,MIN($F65:$G65)&lt;150,$E65="Enerji Açığı"),-100*BK65*1.03,IF(AND(BK65&gt;0,MIN($F65:$G65)&lt;150,$E65="Enerji Fazlası"),-100*BK65*1.06,IF(AND(BK65&gt;0,MIN($F65:$G65)&gt;=150,$E65="Enerji Açığı"),BK65*MIN($F65:$G65)*0.97,IF(AND(BK65&gt;0,MIN($F65:$G65)&gt;=150,$E65="Enerji Fazlası"),BK65*MIN($F65:$G65)*0.94,IF(AND(BK65&lt;0,MAX($F65:$G65)=4500,$E65="Enerji Açığı"),4500*1.05*1.06*BK65,IF(AND(BK65&lt;0,MAX($F65:$G65)=4500,$E65="Enerji Fazlası"),4500*1.05*1.03*BK65,IF(AND(BK65&lt;0,$E65="Enerji Açığı"),MAX($F65,$G65,150)*BK65*1.06,IF(AND(BK65&lt;0,$E65="Enerji Fazlası"),MAX($F65,$G65,150)*BK65*1.03,IF(AND(BK65&lt;0,$E65="Dengede"),MAX($F65:$G65,150)*1.03*BK65,MIN($F65:$G65)*0.97*BK65)))))))))</f>
        <v/>
      </c>
      <c r="BM65" s="34">
        <f>BE65-BI65-BN65</f>
        <v/>
      </c>
      <c r="BN65" s="34">
        <f>BB65</f>
        <v/>
      </c>
      <c r="BO65" s="34">
        <f>BE65-BI65</f>
        <v/>
      </c>
      <c r="BP65" s="34">
        <f>IF(AY65=0,0,BO65/AY65)</f>
        <v/>
      </c>
      <c r="BQ65" s="34">
        <f>MAX((AY65+MAX((-J65+L65-N65+Q65),0)),(MAX((J65-L65+N65-Q65),0)))</f>
        <v/>
      </c>
      <c r="BR65" s="82">
        <f>IFERROR(ABS(BK65/BQ65),0)</f>
        <v/>
      </c>
      <c r="BS65" s="34">
        <f>IF(BR65&lt;=0.1,0,BK65/BR65*(BR65-0.1))</f>
        <v/>
      </c>
      <c r="BT65" s="34">
        <f>IF((BS65)&lt;0,MAX(F65:G65)*(BS65)*1.03,MIN(F65:G65)*(BS65)*0.97)</f>
        <v/>
      </c>
      <c r="BU65" s="34">
        <f>IF(BR65&gt;0.1,1,0)</f>
        <v/>
      </c>
      <c r="BV65" s="34">
        <f>BF65+BG65+BH65+BY65-CA65</f>
        <v/>
      </c>
      <c r="BW65" s="34">
        <f>ABS(BX65)</f>
        <v/>
      </c>
      <c r="BX65" s="34">
        <f>AY65-(J65-L65+N65-Q65+T65-X65)</f>
        <v/>
      </c>
      <c r="BY65" s="34">
        <f>IF(AND(BX65&gt;0,MIN($F65:$G65)&lt;150,$E65="Enerji Açığı"),-100*BX65*1.03,IF(AND(BX65&gt;0,MIN($F65:$G65)&lt;150,$E65="Enerji Fazlası"),-100*BX65*1.06,IF(AND(BX65&gt;0,MIN($F65:$G65)&gt;=150,$E65="Enerji Açığı"),BX65*MIN($F65:$G65)*0.97,IF(AND(BX65&gt;0,MIN($F65:$G65)&gt;=150,$E65="Enerji Fazlası"),BX65*MIN($F65:$G65)*0.94,IF(AND(BX65&lt;0,MAX($F65:$G65)=4500,$E65="Enerji Açığı"),4500*1.05*1.06*BX65,IF(AND(BX65&lt;0,MAX($F65:$G65)=4500,$E65="Enerji Fazlası"),4500*1.05*1.03*BX65,IF(AND(BX65&lt;0,$E65="Enerji Açığı"),MAX($F65,$G65,150)*BX65*1.06,IF(AND(BX65&lt;0,$E65="Enerji Fazlası"),MAX($F65,$G65,150)*BX65*1.03,IF(AND(BX65&lt;0,$E65="Dengede"),MAX($F65:$G65,150)*1.03*BX65,MIN($F65:$G65)*0.97*BX65)))))))))</f>
        <v/>
      </c>
      <c r="BZ65" s="34">
        <f>BE65-BV65-CA65</f>
        <v/>
      </c>
      <c r="CA65" s="34">
        <f>BD65</f>
        <v/>
      </c>
      <c r="CB65" s="33">
        <f>BE65-BV65</f>
        <v/>
      </c>
      <c r="CC65" s="34">
        <f>IF(AY65=0,0,CB65/AY65)</f>
        <v/>
      </c>
      <c r="CD65" s="34">
        <f>MAX((AY65+MAX((-J65+L65-N65+Q65-T65+X65),0)),(MAX((J65-L65+N65-Q65+T65-X65),0)))</f>
        <v/>
      </c>
      <c r="CE65" s="82">
        <f>IFERROR(ABS(BX65/CD65),0)</f>
        <v/>
      </c>
      <c r="CF65" s="34">
        <f>IF(CE65&lt;=0.1,0,BX65/CE65*(CE65-0.1))</f>
        <v/>
      </c>
      <c r="CG65" s="34">
        <f>IF((CF65)&lt;0,MAX(F65:G65)*(CF65)*1.03,MIN(F65:G65)*(CF65)*0.97)</f>
        <v/>
      </c>
      <c r="CH65" s="34">
        <f>IF(CE65&gt;0.1,1,0)</f>
        <v/>
      </c>
      <c r="CI65" s="34">
        <f>(F65*BX65)-BY65</f>
        <v/>
      </c>
      <c r="CJ65" s="34">
        <f>IF(AY65=0,0,CI65/AY65)</f>
        <v/>
      </c>
    </row>
    <row r="66">
      <c r="A66" s="29" t="n">
        <v>46206.625</v>
      </c>
      <c r="B66" s="29" t="inlineStr">
        <is>
          <t>15:00</t>
        </is>
      </c>
      <c r="C66" s="35">
        <f>INT(A66)</f>
        <v/>
      </c>
      <c r="D66" s="36">
        <f>MONTH(A66)</f>
        <v/>
      </c>
      <c r="E66" s="147">
        <f>[1]FİYATLAR!G65</f>
        <v/>
      </c>
      <c r="F66" s="30" t="n">
        <v>3499.99</v>
      </c>
      <c r="G66" s="30" t="n">
        <v>4000</v>
      </c>
      <c r="H66" s="30" t="n">
        <v>75.13</v>
      </c>
      <c r="I66" s="30" t="n">
        <v>3136.37</v>
      </c>
      <c r="J66" s="119" t="n">
        <v>0</v>
      </c>
      <c r="K66" s="34">
        <f>F66*J66</f>
        <v/>
      </c>
      <c r="L66" s="119" t="n">
        <v>0</v>
      </c>
      <c r="M66" s="34">
        <f>L66*F66</f>
        <v/>
      </c>
      <c r="N66" s="119" t="n">
        <v>25.3</v>
      </c>
      <c r="O66" s="34">
        <f>F66</f>
        <v/>
      </c>
      <c r="P66" s="34">
        <f>N66*O66</f>
        <v/>
      </c>
      <c r="Q66" s="119" t="n">
        <v>0</v>
      </c>
      <c r="R66" s="34">
        <f>F66</f>
        <v/>
      </c>
      <c r="S66" s="34">
        <f>R66*Q66</f>
        <v/>
      </c>
      <c r="T66" s="34">
        <f>SUMIFS('[1]GİP VERİLERİ'!$C:$C,'[1]GİP VERİLERİ'!$B:$B,A66,'[1]GİP VERİLERİ'!$M:$M,"40X000000104782K",'[1]GİP VERİLERİ'!$G:$G,"SELL")</f>
        <v/>
      </c>
      <c r="U66" s="34">
        <f>IFERROR(W66/T66,0)</f>
        <v/>
      </c>
      <c r="V66" s="34">
        <f>IF(U66=0,0,U66-F66)</f>
        <v/>
      </c>
      <c r="W66" s="34">
        <f>SUMIFS('[1]GİP VERİLERİ'!$O:$O,'[1]GİP VERİLERİ'!$B:$B,A66,'[1]GİP VERİLERİ'!$M:$M,"40X000000104782K",'[1]GİP VERİLERİ'!$G:$G,"SELL")</f>
        <v/>
      </c>
      <c r="X66" s="34">
        <f>SUMIFS('[1]GİP VERİLERİ'!$C:$C,'[1]GİP VERİLERİ'!$B:$B,A66,'[1]GİP VERİLERİ'!$M:$M,"40X000000104782K",'[1]GİP VERİLERİ'!$G:$G,"BUY")</f>
        <v/>
      </c>
      <c r="Y66" s="34">
        <f>IFERROR(AA66/X66,0)</f>
        <v/>
      </c>
      <c r="Z66" s="34">
        <f>IF(Y66=0,0,F66-Y66)</f>
        <v/>
      </c>
      <c r="AA66" s="34">
        <f>SUMIFS('[1]GİP VERİLERİ'!$O:$O,'[1]GİP VERİLERİ'!$B:$B,A66,'[1]GİP VERİLERİ'!$M:$M,"40X000000104782K",'[1]GİP VERİLERİ'!$G:$G,"BUY")</f>
        <v/>
      </c>
      <c r="AB66" s="34" t="n">
        <v>0</v>
      </c>
      <c r="AC66" s="34" t="n">
        <v>0</v>
      </c>
      <c r="AD66" s="34">
        <f>IF(AB66&gt;AC66*1.05,AB66-AC66*1.05,IF(AB66&lt;AC66*0.95,AC66*0.95-AB66,0))</f>
        <v/>
      </c>
      <c r="AE66" s="34">
        <f>MAX(F66,G66,750)*0.05*AD66</f>
        <v/>
      </c>
      <c r="AF66" s="34" t="n">
        <v>0</v>
      </c>
      <c r="AG66" s="34">
        <f>IF(AB66&gt;AF66*1.05,AB66-AF66*1.05,IF(AB66&lt;AF66*0.95,AF66*0.95-AB66,0))</f>
        <v/>
      </c>
      <c r="AH66" s="34">
        <f>MAX(I66,J66,750)*0.05*AG66</f>
        <v/>
      </c>
      <c r="AI66" t="n">
        <v>10.2</v>
      </c>
      <c r="AJ66" t="n">
        <v>10</v>
      </c>
      <c r="AK66" s="34">
        <f>IF(AI66&gt;AJ66*1.05,AI66-AJ66*1.05,IF(AI66&lt;AJ66*0.95,AJ66*0.95-AI66,0))</f>
        <v/>
      </c>
      <c r="AL66" s="34">
        <f>MAX(F66,G66,750)*0.05*AK66</f>
        <v/>
      </c>
      <c r="AM66" s="39" t="n">
        <v>10</v>
      </c>
      <c r="AN66" s="34">
        <f>IF(AI66&gt;AM66*1.05,AI66-AM66*1.05,IF(AI66&lt;AM66*0.95,AM66*0.95-AI66,0))</f>
        <v/>
      </c>
      <c r="AO66" s="34">
        <f>MAX(F66,G66,750)*0.05*AN66</f>
        <v/>
      </c>
      <c r="AP66" s="34" t="n">
        <v>15.62</v>
      </c>
      <c r="AQ66" s="34" t="n">
        <v>15.3</v>
      </c>
      <c r="AR66" s="34">
        <f>IF(AP66&gt;AQ66*1.05,AP66-AQ66*1.05,IF(AP66&lt;AQ66*0.95,AQ66*0.95-AP66,0))</f>
        <v/>
      </c>
      <c r="AS66" s="34">
        <f>MAX(F66:G66,750)*0.05*AR66</f>
        <v/>
      </c>
      <c r="AT66" t="n">
        <v>15.3</v>
      </c>
      <c r="AU66" s="34">
        <f>IF(AP66&gt;AT66*1.05,AP66-AT66*1.05,IF(AP66&lt;AT66*0.95,AT66*0.95-AP66,0))</f>
        <v/>
      </c>
      <c r="AV66" s="34">
        <f>MAX(F66:G66,750)*0.05*AU66</f>
        <v/>
      </c>
      <c r="AW66" s="34">
        <f>AC66+AJ66+AQ66</f>
        <v/>
      </c>
      <c r="AX66" s="34">
        <f>AF66+AM66+AT66</f>
        <v/>
      </c>
      <c r="AY66" s="34">
        <f>AB66+AI66+AP66</f>
        <v/>
      </c>
      <c r="AZ66" s="34" t="n">
        <v>0</v>
      </c>
      <c r="BA66" s="34">
        <f>AD66+AK66+AR66</f>
        <v/>
      </c>
      <c r="BB66" s="34">
        <f>MAX(F66:G66,750)*0.05*BA66</f>
        <v/>
      </c>
      <c r="BC66" s="34">
        <f>AG66+AN66+AU66</f>
        <v/>
      </c>
      <c r="BD66" s="34">
        <f>MAX(F66:G66,750)*0.05*BC66</f>
        <v/>
      </c>
      <c r="BE66" s="34">
        <f>F66*AY66</f>
        <v/>
      </c>
      <c r="BF66" s="34">
        <f>K66-M66</f>
        <v/>
      </c>
      <c r="BG66" s="34">
        <f>P66-S66</f>
        <v/>
      </c>
      <c r="BH66" s="34">
        <f>W66-AA66</f>
        <v/>
      </c>
      <c r="BI66" s="34">
        <f>BF66+BG66+BL66-BN66</f>
        <v/>
      </c>
      <c r="BJ66" s="34">
        <f>ABS(BK66)</f>
        <v/>
      </c>
      <c r="BK66" s="34">
        <f>AY66-(J66-L66+N66-Q66)</f>
        <v/>
      </c>
      <c r="BL66" s="34">
        <f>IF(AND(BK66&gt;0,MIN($F66:$G66)&lt;150,$E66="Enerji Açığı"),-100*BK66*1.03,IF(AND(BK66&gt;0,MIN($F66:$G66)&lt;150,$E66="Enerji Fazlası"),-100*BK66*1.06,IF(AND(BK66&gt;0,MIN($F66:$G66)&gt;=150,$E66="Enerji Açığı"),BK66*MIN($F66:$G66)*0.97,IF(AND(BK66&gt;0,MIN($F66:$G66)&gt;=150,$E66="Enerji Fazlası"),BK66*MIN($F66:$G66)*0.94,IF(AND(BK66&lt;0,MAX($F66:$G66)=4500,$E66="Enerji Açığı"),4500*1.05*1.06*BK66,IF(AND(BK66&lt;0,MAX($F66:$G66)=4500,$E66="Enerji Fazlası"),4500*1.05*1.03*BK66,IF(AND(BK66&lt;0,$E66="Enerji Açığı"),MAX($F66,$G66,150)*BK66*1.06,IF(AND(BK66&lt;0,$E66="Enerji Fazlası"),MAX($F66,$G66,150)*BK66*1.03,IF(AND(BK66&lt;0,$E66="Dengede"),MAX($F66:$G66,150)*1.03*BK66,MIN($F66:$G66)*0.97*BK66)))))))))</f>
        <v/>
      </c>
      <c r="BM66" s="34">
        <f>BE66-BI66-BN66</f>
        <v/>
      </c>
      <c r="BN66" s="34">
        <f>BB66</f>
        <v/>
      </c>
      <c r="BO66" s="34">
        <f>BE66-BI66</f>
        <v/>
      </c>
      <c r="BP66" s="34">
        <f>IF(AY66=0,0,BO66/AY66)</f>
        <v/>
      </c>
      <c r="BQ66" s="34">
        <f>MAX((AY66+MAX((-J66+L66-N66+Q66),0)),(MAX((J66-L66+N66-Q66),0)))</f>
        <v/>
      </c>
      <c r="BR66" s="82">
        <f>IFERROR(ABS(BK66/BQ66),0)</f>
        <v/>
      </c>
      <c r="BS66" s="34">
        <f>IF(BR66&lt;=0.1,0,BK66/BR66*(BR66-0.1))</f>
        <v/>
      </c>
      <c r="BT66" s="34">
        <f>IF((BS66)&lt;0,MAX(F66:G66)*(BS66)*1.03,MIN(F66:G66)*(BS66)*0.97)</f>
        <v/>
      </c>
      <c r="BU66" s="34">
        <f>IF(BR66&gt;0.1,1,0)</f>
        <v/>
      </c>
      <c r="BV66" s="34">
        <f>BF66+BG66+BH66+BY66-CA66</f>
        <v/>
      </c>
      <c r="BW66" s="34">
        <f>ABS(BX66)</f>
        <v/>
      </c>
      <c r="BX66" s="34">
        <f>AY66-(J66-L66+N66-Q66+T66-X66)</f>
        <v/>
      </c>
      <c r="BY66" s="34">
        <f>IF(AND(BX66&gt;0,MIN($F66:$G66)&lt;150,$E66="Enerji Açığı"),-100*BX66*1.03,IF(AND(BX66&gt;0,MIN($F66:$G66)&lt;150,$E66="Enerji Fazlası"),-100*BX66*1.06,IF(AND(BX66&gt;0,MIN($F66:$G66)&gt;=150,$E66="Enerji Açığı"),BX66*MIN($F66:$G66)*0.97,IF(AND(BX66&gt;0,MIN($F66:$G66)&gt;=150,$E66="Enerji Fazlası"),BX66*MIN($F66:$G66)*0.94,IF(AND(BX66&lt;0,MAX($F66:$G66)=4500,$E66="Enerji Açığı"),4500*1.05*1.06*BX66,IF(AND(BX66&lt;0,MAX($F66:$G66)=4500,$E66="Enerji Fazlası"),4500*1.05*1.03*BX66,IF(AND(BX66&lt;0,$E66="Enerji Açığı"),MAX($F66,$G66,150)*BX66*1.06,IF(AND(BX66&lt;0,$E66="Enerji Fazlası"),MAX($F66,$G66,150)*BX66*1.03,IF(AND(BX66&lt;0,$E66="Dengede"),MAX($F66:$G66,150)*1.03*BX66,MIN($F66:$G66)*0.97*BX66)))))))))</f>
        <v/>
      </c>
      <c r="BZ66" s="34">
        <f>BE66-BV66-CA66</f>
        <v/>
      </c>
      <c r="CA66" s="34">
        <f>BD66</f>
        <v/>
      </c>
      <c r="CB66" s="33">
        <f>BE66-BV66</f>
        <v/>
      </c>
      <c r="CC66" s="34">
        <f>IF(AY66=0,0,CB66/AY66)</f>
        <v/>
      </c>
      <c r="CD66" s="34">
        <f>MAX((AY66+MAX((-J66+L66-N66+Q66-T66+X66),0)),(MAX((J66-L66+N66-Q66+T66-X66),0)))</f>
        <v/>
      </c>
      <c r="CE66" s="82">
        <f>IFERROR(ABS(BX66/CD66),0)</f>
        <v/>
      </c>
      <c r="CF66" s="34">
        <f>IF(CE66&lt;=0.1,0,BX66/CE66*(CE66-0.1))</f>
        <v/>
      </c>
      <c r="CG66" s="34">
        <f>IF((CF66)&lt;0,MAX(F66:G66)*(CF66)*1.03,MIN(F66:G66)*(CF66)*0.97)</f>
        <v/>
      </c>
      <c r="CH66" s="34">
        <f>IF(CE66&gt;0.1,1,0)</f>
        <v/>
      </c>
      <c r="CI66" s="34">
        <f>(F66*BX66)-BY66</f>
        <v/>
      </c>
      <c r="CJ66" s="34">
        <f>IF(AY66=0,0,CI66/AY66)</f>
        <v/>
      </c>
    </row>
    <row r="67">
      <c r="A67" s="29" t="n">
        <v>46206.66666666666</v>
      </c>
      <c r="B67" s="29" t="inlineStr">
        <is>
          <t>16:00</t>
        </is>
      </c>
      <c r="C67" s="35">
        <f>INT(A67)</f>
        <v/>
      </c>
      <c r="D67" s="36">
        <f>MONTH(A67)</f>
        <v/>
      </c>
      <c r="E67" s="147">
        <f>[1]FİYATLAR!G66</f>
        <v/>
      </c>
      <c r="F67" s="30" t="n">
        <v>3000.01</v>
      </c>
      <c r="G67" s="30" t="n">
        <v>4050</v>
      </c>
      <c r="H67" s="30" t="n">
        <v>64.40000000000001</v>
      </c>
      <c r="I67" s="30" t="n">
        <v>2771.93</v>
      </c>
      <c r="J67" s="119" t="n">
        <v>0</v>
      </c>
      <c r="K67" s="34">
        <f>F67*J67</f>
        <v/>
      </c>
      <c r="L67" s="119" t="n">
        <v>0</v>
      </c>
      <c r="M67" s="34">
        <f>L67*F67</f>
        <v/>
      </c>
      <c r="N67" s="119" t="n">
        <v>25</v>
      </c>
      <c r="O67" s="34">
        <f>F67</f>
        <v/>
      </c>
      <c r="P67" s="34">
        <f>N67*O67</f>
        <v/>
      </c>
      <c r="Q67" s="119" t="n">
        <v>0</v>
      </c>
      <c r="R67" s="34">
        <f>F67</f>
        <v/>
      </c>
      <c r="S67" s="34">
        <f>R67*Q67</f>
        <v/>
      </c>
      <c r="T67" s="34">
        <f>SUMIFS('[1]GİP VERİLERİ'!$C:$C,'[1]GİP VERİLERİ'!$B:$B,A67,'[1]GİP VERİLERİ'!$M:$M,"40X000000104782K",'[1]GİP VERİLERİ'!$G:$G,"SELL")</f>
        <v/>
      </c>
      <c r="U67" s="34">
        <f>IFERROR(W67/T67,0)</f>
        <v/>
      </c>
      <c r="V67" s="34">
        <f>IF(U67=0,0,U67-F67)</f>
        <v/>
      </c>
      <c r="W67" s="34">
        <f>SUMIFS('[1]GİP VERİLERİ'!$O:$O,'[1]GİP VERİLERİ'!$B:$B,A67,'[1]GİP VERİLERİ'!$M:$M,"40X000000104782K",'[1]GİP VERİLERİ'!$G:$G,"SELL")</f>
        <v/>
      </c>
      <c r="X67" s="34">
        <f>SUMIFS('[1]GİP VERİLERİ'!$C:$C,'[1]GİP VERİLERİ'!$B:$B,A67,'[1]GİP VERİLERİ'!$M:$M,"40X000000104782K",'[1]GİP VERİLERİ'!$G:$G,"BUY")</f>
        <v/>
      </c>
      <c r="Y67" s="34">
        <f>IFERROR(AA67/X67,0)</f>
        <v/>
      </c>
      <c r="Z67" s="34">
        <f>IF(Y67=0,0,F67-Y67)</f>
        <v/>
      </c>
      <c r="AA67" s="34">
        <f>SUMIFS('[1]GİP VERİLERİ'!$O:$O,'[1]GİP VERİLERİ'!$B:$B,A67,'[1]GİP VERİLERİ'!$M:$M,"40X000000104782K",'[1]GİP VERİLERİ'!$G:$G,"BUY")</f>
        <v/>
      </c>
      <c r="AB67" s="34" t="n">
        <v>0</v>
      </c>
      <c r="AC67" s="34" t="n">
        <v>0</v>
      </c>
      <c r="AD67" s="34">
        <f>IF(AB67&gt;AC67*1.05,AB67-AC67*1.05,IF(AB67&lt;AC67*0.95,AC67*0.95-AB67,0))</f>
        <v/>
      </c>
      <c r="AE67" s="34">
        <f>MAX(F67,G67,750)*0.05*AD67</f>
        <v/>
      </c>
      <c r="AF67" s="34" t="n">
        <v>0</v>
      </c>
      <c r="AG67" s="34">
        <f>IF(AB67&gt;AF67*1.05,AB67-AF67*1.05,IF(AB67&lt;AF67*0.95,AF67*0.95-AB67,0))</f>
        <v/>
      </c>
      <c r="AH67" s="34">
        <f>MAX(I67,J67,750)*0.05*AG67</f>
        <v/>
      </c>
      <c r="AI67" t="n">
        <v>10.18</v>
      </c>
      <c r="AJ67" t="n">
        <v>10</v>
      </c>
      <c r="AK67" s="34">
        <f>IF(AI67&gt;AJ67*1.05,AI67-AJ67*1.05,IF(AI67&lt;AJ67*0.95,AJ67*0.95-AI67,0))</f>
        <v/>
      </c>
      <c r="AL67" s="34">
        <f>MAX(F67,G67,750)*0.05*AK67</f>
        <v/>
      </c>
      <c r="AM67" s="39" t="n">
        <v>10</v>
      </c>
      <c r="AN67" s="34">
        <f>IF(AI67&gt;AM67*1.05,AI67-AM67*1.05,IF(AI67&lt;AM67*0.95,AM67*0.95-AI67,0))</f>
        <v/>
      </c>
      <c r="AO67" s="34">
        <f>MAX(F67,G67,750)*0.05*AN67</f>
        <v/>
      </c>
      <c r="AP67" s="34" t="n">
        <v>15.04</v>
      </c>
      <c r="AQ67" s="34" t="n">
        <v>15</v>
      </c>
      <c r="AR67" s="34">
        <f>IF(AP67&gt;AQ67*1.05,AP67-AQ67*1.05,IF(AP67&lt;AQ67*0.95,AQ67*0.95-AP67,0))</f>
        <v/>
      </c>
      <c r="AS67" s="34">
        <f>MAX(F67:G67,750)*0.05*AR67</f>
        <v/>
      </c>
      <c r="AT67" t="n">
        <v>15</v>
      </c>
      <c r="AU67" s="34">
        <f>IF(AP67&gt;AT67*1.05,AP67-AT67*1.05,IF(AP67&lt;AT67*0.95,AT67*0.95-AP67,0))</f>
        <v/>
      </c>
      <c r="AV67" s="34">
        <f>MAX(F67:G67,750)*0.05*AU67</f>
        <v/>
      </c>
      <c r="AW67" s="34">
        <f>AC67+AJ67+AQ67</f>
        <v/>
      </c>
      <c r="AX67" s="34">
        <f>AF67+AM67+AT67</f>
        <v/>
      </c>
      <c r="AY67" s="34">
        <f>AB67+AI67+AP67</f>
        <v/>
      </c>
      <c r="AZ67" s="34" t="n">
        <v>0</v>
      </c>
      <c r="BA67" s="34">
        <f>AD67+AK67+AR67</f>
        <v/>
      </c>
      <c r="BB67" s="34">
        <f>MAX(F67:G67,750)*0.05*BA67</f>
        <v/>
      </c>
      <c r="BC67" s="34">
        <f>AG67+AN67+AU67</f>
        <v/>
      </c>
      <c r="BD67" s="34">
        <f>MAX(F67:G67,750)*0.05*BC67</f>
        <v/>
      </c>
      <c r="BE67" s="34">
        <f>F67*AY67</f>
        <v/>
      </c>
      <c r="BF67" s="34">
        <f>K67-M67</f>
        <v/>
      </c>
      <c r="BG67" s="34">
        <f>P67-S67</f>
        <v/>
      </c>
      <c r="BH67" s="34">
        <f>W67-AA67</f>
        <v/>
      </c>
      <c r="BI67" s="34">
        <f>BF67+BG67+BL67-BN67</f>
        <v/>
      </c>
      <c r="BJ67" s="34">
        <f>ABS(BK67)</f>
        <v/>
      </c>
      <c r="BK67" s="34">
        <f>AY67-(J67-L67+N67-Q67)</f>
        <v/>
      </c>
      <c r="BL67" s="34">
        <f>IF(AND(BK67&gt;0,MIN($F67:$G67)&lt;150,$E67="Enerji Açığı"),-100*BK67*1.03,IF(AND(BK67&gt;0,MIN($F67:$G67)&lt;150,$E67="Enerji Fazlası"),-100*BK67*1.06,IF(AND(BK67&gt;0,MIN($F67:$G67)&gt;=150,$E67="Enerji Açığı"),BK67*MIN($F67:$G67)*0.97,IF(AND(BK67&gt;0,MIN($F67:$G67)&gt;=150,$E67="Enerji Fazlası"),BK67*MIN($F67:$G67)*0.94,IF(AND(BK67&lt;0,MAX($F67:$G67)=4500,$E67="Enerji Açığı"),4500*1.05*1.06*BK67,IF(AND(BK67&lt;0,MAX($F67:$G67)=4500,$E67="Enerji Fazlası"),4500*1.05*1.03*BK67,IF(AND(BK67&lt;0,$E67="Enerji Açığı"),MAX($F67,$G67,150)*BK67*1.06,IF(AND(BK67&lt;0,$E67="Enerji Fazlası"),MAX($F67,$G67,150)*BK67*1.03,IF(AND(BK67&lt;0,$E67="Dengede"),MAX($F67:$G67,150)*1.03*BK67,MIN($F67:$G67)*0.97*BK67)))))))))</f>
        <v/>
      </c>
      <c r="BM67" s="34">
        <f>BE67-BI67-BN67</f>
        <v/>
      </c>
      <c r="BN67" s="34">
        <f>BB67</f>
        <v/>
      </c>
      <c r="BO67" s="34">
        <f>BE67-BI67</f>
        <v/>
      </c>
      <c r="BP67" s="34">
        <f>IF(AY67=0,0,BO67/AY67)</f>
        <v/>
      </c>
      <c r="BQ67" s="34">
        <f>MAX((AY67+MAX((-J67+L67-N67+Q67),0)),(MAX((J67-L67+N67-Q67),0)))</f>
        <v/>
      </c>
      <c r="BR67" s="82">
        <f>IFERROR(ABS(BK67/BQ67),0)</f>
        <v/>
      </c>
      <c r="BS67" s="34">
        <f>IF(BR67&lt;=0.1,0,BK67/BR67*(BR67-0.1))</f>
        <v/>
      </c>
      <c r="BT67" s="34">
        <f>IF((BS67)&lt;0,MAX(F67:G67)*(BS67)*1.03,MIN(F67:G67)*(BS67)*0.97)</f>
        <v/>
      </c>
      <c r="BU67" s="34">
        <f>IF(BR67&gt;0.1,1,0)</f>
        <v/>
      </c>
      <c r="BV67" s="34">
        <f>BF67+BG67+BH67+BY67-CA67</f>
        <v/>
      </c>
      <c r="BW67" s="34">
        <f>ABS(BX67)</f>
        <v/>
      </c>
      <c r="BX67" s="34">
        <f>AY67-(J67-L67+N67-Q67+T67-X67)</f>
        <v/>
      </c>
      <c r="BY67" s="34">
        <f>IF(AND(BX67&gt;0,MIN($F67:$G67)&lt;150,$E67="Enerji Açığı"),-100*BX67*1.03,IF(AND(BX67&gt;0,MIN($F67:$G67)&lt;150,$E67="Enerji Fazlası"),-100*BX67*1.06,IF(AND(BX67&gt;0,MIN($F67:$G67)&gt;=150,$E67="Enerji Açığı"),BX67*MIN($F67:$G67)*0.97,IF(AND(BX67&gt;0,MIN($F67:$G67)&gt;=150,$E67="Enerji Fazlası"),BX67*MIN($F67:$G67)*0.94,IF(AND(BX67&lt;0,MAX($F67:$G67)=4500,$E67="Enerji Açığı"),4500*1.05*1.06*BX67,IF(AND(BX67&lt;0,MAX($F67:$G67)=4500,$E67="Enerji Fazlası"),4500*1.05*1.03*BX67,IF(AND(BX67&lt;0,$E67="Enerji Açığı"),MAX($F67,$G67,150)*BX67*1.06,IF(AND(BX67&lt;0,$E67="Enerji Fazlası"),MAX($F67,$G67,150)*BX67*1.03,IF(AND(BX67&lt;0,$E67="Dengede"),MAX($F67:$G67,150)*1.03*BX67,MIN($F67:$G67)*0.97*BX67)))))))))</f>
        <v/>
      </c>
      <c r="BZ67" s="34">
        <f>BE67-BV67-CA67</f>
        <v/>
      </c>
      <c r="CA67" s="34">
        <f>BD67</f>
        <v/>
      </c>
      <c r="CB67" s="33">
        <f>BE67-BV67</f>
        <v/>
      </c>
      <c r="CC67" s="34">
        <f>IF(AY67=0,0,CB67/AY67)</f>
        <v/>
      </c>
      <c r="CD67" s="34">
        <f>MAX((AY67+MAX((-J67+L67-N67+Q67-T67+X67),0)),(MAX((J67-L67+N67-Q67+T67-X67),0)))</f>
        <v/>
      </c>
      <c r="CE67" s="82">
        <f>IFERROR(ABS(BX67/CD67),0)</f>
        <v/>
      </c>
      <c r="CF67" s="34">
        <f>IF(CE67&lt;=0.1,0,BX67/CE67*(CE67-0.1))</f>
        <v/>
      </c>
      <c r="CG67" s="34">
        <f>IF((CF67)&lt;0,MAX(F67:G67)*(CF67)*1.03,MIN(F67:G67)*(CF67)*0.97)</f>
        <v/>
      </c>
      <c r="CH67" s="34">
        <f>IF(CE67&gt;0.1,1,0)</f>
        <v/>
      </c>
      <c r="CI67" s="34">
        <f>(F67*BX67)-BY67</f>
        <v/>
      </c>
      <c r="CJ67" s="34">
        <f>IF(AY67=0,0,CI67/AY67)</f>
        <v/>
      </c>
    </row>
    <row r="68">
      <c r="A68" s="29" t="n">
        <v>46206.70833333334</v>
      </c>
      <c r="B68" s="29" t="inlineStr">
        <is>
          <t>17:00</t>
        </is>
      </c>
      <c r="C68" s="35">
        <f>INT(A68)</f>
        <v/>
      </c>
      <c r="D68" s="36">
        <f>MONTH(A68)</f>
        <v/>
      </c>
      <c r="E68" s="147">
        <f>[1]FİYATLAR!G67</f>
        <v/>
      </c>
      <c r="F68" s="30" t="n">
        <v>3804.29</v>
      </c>
      <c r="G68" s="30" t="n">
        <v>4099</v>
      </c>
      <c r="H68" s="30" t="n">
        <v>81.66</v>
      </c>
      <c r="I68" s="30" t="n">
        <v>3846.62</v>
      </c>
      <c r="J68" s="119" t="n">
        <v>0</v>
      </c>
      <c r="K68" s="34">
        <f>F68*J68</f>
        <v/>
      </c>
      <c r="L68" s="119" t="n">
        <v>0</v>
      </c>
      <c r="M68" s="34">
        <f>L68*F68</f>
        <v/>
      </c>
      <c r="N68" s="119" t="n">
        <v>24.5</v>
      </c>
      <c r="O68" s="34">
        <f>F68</f>
        <v/>
      </c>
      <c r="P68" s="34">
        <f>N68*O68</f>
        <v/>
      </c>
      <c r="Q68" s="119" t="n">
        <v>0</v>
      </c>
      <c r="R68" s="34">
        <f>F68</f>
        <v/>
      </c>
      <c r="S68" s="34">
        <f>R68*Q68</f>
        <v/>
      </c>
      <c r="T68" s="34">
        <f>SUMIFS('[1]GİP VERİLERİ'!$C:$C,'[1]GİP VERİLERİ'!$B:$B,A68,'[1]GİP VERİLERİ'!$M:$M,"40X000000104782K",'[1]GİP VERİLERİ'!$G:$G,"SELL")</f>
        <v/>
      </c>
      <c r="U68" s="34">
        <f>IFERROR(W68/T68,0)</f>
        <v/>
      </c>
      <c r="V68" s="34">
        <f>IF(U68=0,0,U68-F68)</f>
        <v/>
      </c>
      <c r="W68" s="34">
        <f>SUMIFS('[1]GİP VERİLERİ'!$O:$O,'[1]GİP VERİLERİ'!$B:$B,A68,'[1]GİP VERİLERİ'!$M:$M,"40X000000104782K",'[1]GİP VERİLERİ'!$G:$G,"SELL")</f>
        <v/>
      </c>
      <c r="X68" s="34">
        <f>SUMIFS('[1]GİP VERİLERİ'!$C:$C,'[1]GİP VERİLERİ'!$B:$B,A68,'[1]GİP VERİLERİ'!$M:$M,"40X000000104782K",'[1]GİP VERİLERİ'!$G:$G,"BUY")</f>
        <v/>
      </c>
      <c r="Y68" s="34">
        <f>IFERROR(AA68/X68,0)</f>
        <v/>
      </c>
      <c r="Z68" s="34">
        <f>IF(Y68=0,0,F68-Y68)</f>
        <v/>
      </c>
      <c r="AA68" s="34">
        <f>SUMIFS('[1]GİP VERİLERİ'!$O:$O,'[1]GİP VERİLERİ'!$B:$B,A68,'[1]GİP VERİLERİ'!$M:$M,"40X000000104782K",'[1]GİP VERİLERİ'!$G:$G,"BUY")</f>
        <v/>
      </c>
      <c r="AB68" s="34" t="n">
        <v>0</v>
      </c>
      <c r="AC68" s="34" t="n">
        <v>0</v>
      </c>
      <c r="AD68" s="34">
        <f>IF(AB68&gt;AC68*1.05,AB68-AC68*1.05,IF(AB68&lt;AC68*0.95,AC68*0.95-AB68,0))</f>
        <v/>
      </c>
      <c r="AE68" s="34">
        <f>MAX(F68,G68,750)*0.05*AD68</f>
        <v/>
      </c>
      <c r="AF68" s="34" t="n">
        <v>0</v>
      </c>
      <c r="AG68" s="34">
        <f>IF(AB68&gt;AF68*1.05,AB68-AF68*1.05,IF(AB68&lt;AF68*0.95,AF68*0.95-AB68,0))</f>
        <v/>
      </c>
      <c r="AH68" s="34">
        <f>MAX(I68,J68,750)*0.05*AG68</f>
        <v/>
      </c>
      <c r="AI68" t="n">
        <v>10.2</v>
      </c>
      <c r="AJ68" t="n">
        <v>10</v>
      </c>
      <c r="AK68" s="34">
        <f>IF(AI68&gt;AJ68*1.05,AI68-AJ68*1.05,IF(AI68&lt;AJ68*0.95,AJ68*0.95-AI68,0))</f>
        <v/>
      </c>
      <c r="AL68" s="34">
        <f>MAX(F68,G68,750)*0.05*AK68</f>
        <v/>
      </c>
      <c r="AM68" s="39" t="n">
        <v>10</v>
      </c>
      <c r="AN68" s="34">
        <f>IF(AI68&gt;AM68*1.05,AI68-AM68*1.05,IF(AI68&lt;AM68*0.95,AM68*0.95-AI68,0))</f>
        <v/>
      </c>
      <c r="AO68" s="34">
        <f>MAX(F68,G68,750)*0.05*AN68</f>
        <v/>
      </c>
      <c r="AP68" s="34" t="n">
        <v>14.67</v>
      </c>
      <c r="AQ68" s="34" t="n">
        <v>14.5</v>
      </c>
      <c r="AR68" s="34">
        <f>IF(AP68&gt;AQ68*1.05,AP68-AQ68*1.05,IF(AP68&lt;AQ68*0.95,AQ68*0.95-AP68,0))</f>
        <v/>
      </c>
      <c r="AS68" s="34">
        <f>MAX(F68:G68,750)*0.05*AR68</f>
        <v/>
      </c>
      <c r="AT68" t="n">
        <v>14.5</v>
      </c>
      <c r="AU68" s="34">
        <f>IF(AP68&gt;AT68*1.05,AP68-AT68*1.05,IF(AP68&lt;AT68*0.95,AT68*0.95-AP68,0))</f>
        <v/>
      </c>
      <c r="AV68" s="34">
        <f>MAX(F68:G68,750)*0.05*AU68</f>
        <v/>
      </c>
      <c r="AW68" s="34">
        <f>AC68+AJ68+AQ68</f>
        <v/>
      </c>
      <c r="AX68" s="34">
        <f>AF68+AM68+AT68</f>
        <v/>
      </c>
      <c r="AY68" s="34">
        <f>AB68+AI68+AP68</f>
        <v/>
      </c>
      <c r="AZ68" s="34" t="n">
        <v>0</v>
      </c>
      <c r="BA68" s="34">
        <f>AD68+AK68+AR68</f>
        <v/>
      </c>
      <c r="BB68" s="34">
        <f>MAX(F68:G68,750)*0.05*BA68</f>
        <v/>
      </c>
      <c r="BC68" s="34">
        <f>AG68+AN68+AU68</f>
        <v/>
      </c>
      <c r="BD68" s="34">
        <f>MAX(F68:G68,750)*0.05*BC68</f>
        <v/>
      </c>
      <c r="BE68" s="34">
        <f>F68*AY68</f>
        <v/>
      </c>
      <c r="BF68" s="34">
        <f>K68-M68</f>
        <v/>
      </c>
      <c r="BG68" s="34">
        <f>P68-S68</f>
        <v/>
      </c>
      <c r="BH68" s="34">
        <f>W68-AA68</f>
        <v/>
      </c>
      <c r="BI68" s="34">
        <f>BF68+BG68+BL68-BN68</f>
        <v/>
      </c>
      <c r="BJ68" s="34">
        <f>ABS(BK68)</f>
        <v/>
      </c>
      <c r="BK68" s="34">
        <f>AY68-(J68-L68+N68-Q68)</f>
        <v/>
      </c>
      <c r="BL68" s="34">
        <f>IF(AND(BK68&gt;0,MIN($F68:$G68)&lt;150,$E68="Enerji Açığı"),-100*BK68*1.03,IF(AND(BK68&gt;0,MIN($F68:$G68)&lt;150,$E68="Enerji Fazlası"),-100*BK68*1.06,IF(AND(BK68&gt;0,MIN($F68:$G68)&gt;=150,$E68="Enerji Açığı"),BK68*MIN($F68:$G68)*0.97,IF(AND(BK68&gt;0,MIN($F68:$G68)&gt;=150,$E68="Enerji Fazlası"),BK68*MIN($F68:$G68)*0.94,IF(AND(BK68&lt;0,MAX($F68:$G68)=4500,$E68="Enerji Açığı"),4500*1.05*1.06*BK68,IF(AND(BK68&lt;0,MAX($F68:$G68)=4500,$E68="Enerji Fazlası"),4500*1.05*1.03*BK68,IF(AND(BK68&lt;0,$E68="Enerji Açığı"),MAX($F68,$G68,150)*BK68*1.06,IF(AND(BK68&lt;0,$E68="Enerji Fazlası"),MAX($F68,$G68,150)*BK68*1.03,IF(AND(BK68&lt;0,$E68="Dengede"),MAX($F68:$G68,150)*1.03*BK68,MIN($F68:$G68)*0.97*BK68)))))))))</f>
        <v/>
      </c>
      <c r="BM68" s="34">
        <f>BE68-BI68-BN68</f>
        <v/>
      </c>
      <c r="BN68" s="34">
        <f>BB68</f>
        <v/>
      </c>
      <c r="BO68" s="34">
        <f>BE68-BI68</f>
        <v/>
      </c>
      <c r="BP68" s="34">
        <f>IF(AY68=0,0,BO68/AY68)</f>
        <v/>
      </c>
      <c r="BQ68" s="34">
        <f>MAX((AY68+MAX((-J68+L68-N68+Q68),0)),(MAX((J68-L68+N68-Q68),0)))</f>
        <v/>
      </c>
      <c r="BR68" s="82">
        <f>IFERROR(ABS(BK68/BQ68),0)</f>
        <v/>
      </c>
      <c r="BS68" s="34">
        <f>IF(BR68&lt;=0.1,0,BK68/BR68*(BR68-0.1))</f>
        <v/>
      </c>
      <c r="BT68" s="34">
        <f>IF((BS68)&lt;0,MAX(F68:G68)*(BS68)*1.03,MIN(F68:G68)*(BS68)*0.97)</f>
        <v/>
      </c>
      <c r="BU68" s="34">
        <f>IF(BR68&gt;0.1,1,0)</f>
        <v/>
      </c>
      <c r="BV68" s="34">
        <f>BF68+BG68+BH68+BY68-CA68</f>
        <v/>
      </c>
      <c r="BW68" s="34">
        <f>ABS(BX68)</f>
        <v/>
      </c>
      <c r="BX68" s="34">
        <f>AY68-(J68-L68+N68-Q68+T68-X68)</f>
        <v/>
      </c>
      <c r="BY68" s="34">
        <f>IF(AND(BX68&gt;0,MIN($F68:$G68)&lt;150,$E68="Enerji Açığı"),-100*BX68*1.03,IF(AND(BX68&gt;0,MIN($F68:$G68)&lt;150,$E68="Enerji Fazlası"),-100*BX68*1.06,IF(AND(BX68&gt;0,MIN($F68:$G68)&gt;=150,$E68="Enerji Açığı"),BX68*MIN($F68:$G68)*0.97,IF(AND(BX68&gt;0,MIN($F68:$G68)&gt;=150,$E68="Enerji Fazlası"),BX68*MIN($F68:$G68)*0.94,IF(AND(BX68&lt;0,MAX($F68:$G68)=4500,$E68="Enerji Açığı"),4500*1.05*1.06*BX68,IF(AND(BX68&lt;0,MAX($F68:$G68)=4500,$E68="Enerji Fazlası"),4500*1.05*1.03*BX68,IF(AND(BX68&lt;0,$E68="Enerji Açığı"),MAX($F68,$G68,150)*BX68*1.06,IF(AND(BX68&lt;0,$E68="Enerji Fazlası"),MAX($F68,$G68,150)*BX68*1.03,IF(AND(BX68&lt;0,$E68="Dengede"),MAX($F68:$G68,150)*1.03*BX68,MIN($F68:$G68)*0.97*BX68)))))))))</f>
        <v/>
      </c>
      <c r="BZ68" s="34">
        <f>BE68-BV68-CA68</f>
        <v/>
      </c>
      <c r="CA68" s="34">
        <f>BD68</f>
        <v/>
      </c>
      <c r="CB68" s="33">
        <f>BE68-BV68</f>
        <v/>
      </c>
      <c r="CC68" s="34">
        <f>IF(AY68=0,0,CB68/AY68)</f>
        <v/>
      </c>
      <c r="CD68" s="34">
        <f>MAX((AY68+MAX((-J68+L68-N68+Q68-T68+X68),0)),(MAX((J68-L68+N68-Q68+T68-X68),0)))</f>
        <v/>
      </c>
      <c r="CE68" s="82">
        <f>IFERROR(ABS(BX68/CD68),0)</f>
        <v/>
      </c>
      <c r="CF68" s="34">
        <f>IF(CE68&lt;=0.1,0,BX68/CE68*(CE68-0.1))</f>
        <v/>
      </c>
      <c r="CG68" s="34">
        <f>IF((CF68)&lt;0,MAX(F68:G68)*(CF68)*1.03,MIN(F68:G68)*(CF68)*0.97)</f>
        <v/>
      </c>
      <c r="CH68" s="34">
        <f>IF(CE68&gt;0.1,1,0)</f>
        <v/>
      </c>
      <c r="CI68" s="34">
        <f>(F68*BX68)-BY68</f>
        <v/>
      </c>
      <c r="CJ68" s="34">
        <f>IF(AY68=0,0,CI68/AY68)</f>
        <v/>
      </c>
    </row>
    <row r="69">
      <c r="A69" s="29" t="n">
        <v>46206.75</v>
      </c>
      <c r="B69" s="29" t="inlineStr">
        <is>
          <t>18:00</t>
        </is>
      </c>
      <c r="C69" s="35">
        <f>INT(A69)</f>
        <v/>
      </c>
      <c r="D69" s="36">
        <f>MONTH(A69)</f>
        <v/>
      </c>
      <c r="E69" s="147">
        <f>[1]FİYATLAR!G68</f>
        <v/>
      </c>
      <c r="F69" s="30" t="n">
        <v>3389.89</v>
      </c>
      <c r="G69" s="30" t="n">
        <v>4050</v>
      </c>
      <c r="H69" s="30" t="n">
        <v>72.77</v>
      </c>
      <c r="I69" s="30" t="n">
        <v>3485.24</v>
      </c>
      <c r="J69" s="119" t="n">
        <v>0</v>
      </c>
      <c r="K69" s="34">
        <f>F69*J69</f>
        <v/>
      </c>
      <c r="L69" s="119" t="n">
        <v>0</v>
      </c>
      <c r="M69" s="34">
        <f>L69*F69</f>
        <v/>
      </c>
      <c r="N69" s="119" t="n">
        <v>23.3</v>
      </c>
      <c r="O69" s="34">
        <f>F69</f>
        <v/>
      </c>
      <c r="P69" s="34">
        <f>N69*O69</f>
        <v/>
      </c>
      <c r="Q69" s="119" t="n">
        <v>0</v>
      </c>
      <c r="R69" s="34">
        <f>F69</f>
        <v/>
      </c>
      <c r="S69" s="34">
        <f>R69*Q69</f>
        <v/>
      </c>
      <c r="T69" s="34">
        <f>SUMIFS('[1]GİP VERİLERİ'!$C:$C,'[1]GİP VERİLERİ'!$B:$B,A69,'[1]GİP VERİLERİ'!$M:$M,"40X000000104782K",'[1]GİP VERİLERİ'!$G:$G,"SELL")</f>
        <v/>
      </c>
      <c r="U69" s="34">
        <f>IFERROR(W69/T69,0)</f>
        <v/>
      </c>
      <c r="V69" s="34">
        <f>IF(U69=0,0,U69-F69)</f>
        <v/>
      </c>
      <c r="W69" s="34">
        <f>SUMIFS('[1]GİP VERİLERİ'!$O:$O,'[1]GİP VERİLERİ'!$B:$B,A69,'[1]GİP VERİLERİ'!$M:$M,"40X000000104782K",'[1]GİP VERİLERİ'!$G:$G,"SELL")</f>
        <v/>
      </c>
      <c r="X69" s="34">
        <f>SUMIFS('[1]GİP VERİLERİ'!$C:$C,'[1]GİP VERİLERİ'!$B:$B,A69,'[1]GİP VERİLERİ'!$M:$M,"40X000000104782K",'[1]GİP VERİLERİ'!$G:$G,"BUY")</f>
        <v/>
      </c>
      <c r="Y69" s="34">
        <f>IFERROR(AA69/X69,0)</f>
        <v/>
      </c>
      <c r="Z69" s="34">
        <f>IF(Y69=0,0,F69-Y69)</f>
        <v/>
      </c>
      <c r="AA69" s="34">
        <f>SUMIFS('[1]GİP VERİLERİ'!$O:$O,'[1]GİP VERİLERİ'!$B:$B,A69,'[1]GİP VERİLERİ'!$M:$M,"40X000000104782K",'[1]GİP VERİLERİ'!$G:$G,"BUY")</f>
        <v/>
      </c>
      <c r="AB69" s="34" t="n">
        <v>0</v>
      </c>
      <c r="AC69" s="34" t="n">
        <v>0</v>
      </c>
      <c r="AD69" s="34">
        <f>IF(AB69&gt;AC69*1.05,AB69-AC69*1.05,IF(AB69&lt;AC69*0.95,AC69*0.95-AB69,0))</f>
        <v/>
      </c>
      <c r="AE69" s="34">
        <f>MAX(F69,G69,750)*0.05*AD69</f>
        <v/>
      </c>
      <c r="AF69" s="34" t="n">
        <v>0</v>
      </c>
      <c r="AG69" s="34">
        <f>IF(AB69&gt;AF69*1.05,AB69-AF69*1.05,IF(AB69&lt;AF69*0.95,AF69*0.95-AB69,0))</f>
        <v/>
      </c>
      <c r="AH69" s="34">
        <f>MAX(I69,J69,750)*0.05*AG69</f>
        <v/>
      </c>
      <c r="AI69" t="n">
        <v>8.41</v>
      </c>
      <c r="AJ69" t="n">
        <v>10</v>
      </c>
      <c r="AK69" s="34">
        <f>IF(AI69&gt;AJ69*1.05,AI69-AJ69*1.05,IF(AI69&lt;AJ69*0.95,AJ69*0.95-AI69,0))</f>
        <v/>
      </c>
      <c r="AL69" s="34">
        <f>MAX(F69,G69,750)*0.05*AK69</f>
        <v/>
      </c>
      <c r="AM69" s="39" t="n">
        <v>8</v>
      </c>
      <c r="AN69" s="34">
        <f>IF(AI69&gt;AM69*1.05,AI69-AM69*1.05,IF(AI69&lt;AM69*0.95,AM69*0.95-AI69,0))</f>
        <v/>
      </c>
      <c r="AO69" s="34">
        <f>MAX(F69,G69,750)*0.05*AN69</f>
        <v/>
      </c>
      <c r="AP69" s="34" t="n">
        <v>13.78</v>
      </c>
      <c r="AQ69" s="34" t="n">
        <v>13.3</v>
      </c>
      <c r="AR69" s="34">
        <f>IF(AP69&gt;AQ69*1.05,AP69-AQ69*1.05,IF(AP69&lt;AQ69*0.95,AQ69*0.95-AP69,0))</f>
        <v/>
      </c>
      <c r="AS69" s="34">
        <f>MAX(F69:G69,750)*0.05*AR69</f>
        <v/>
      </c>
      <c r="AT69" t="n">
        <v>13.3</v>
      </c>
      <c r="AU69" s="34">
        <f>IF(AP69&gt;AT69*1.05,AP69-AT69*1.05,IF(AP69&lt;AT69*0.95,AT69*0.95-AP69,0))</f>
        <v/>
      </c>
      <c r="AV69" s="34">
        <f>MAX(F69:G69,750)*0.05*AU69</f>
        <v/>
      </c>
      <c r="AW69" s="34">
        <f>AC69+AJ69+AQ69</f>
        <v/>
      </c>
      <c r="AX69" s="34">
        <f>AF69+AM69+AT69</f>
        <v/>
      </c>
      <c r="AY69" s="34">
        <f>AB69+AI69+AP69</f>
        <v/>
      </c>
      <c r="AZ69" s="34" t="n">
        <v>0</v>
      </c>
      <c r="BA69" s="34">
        <f>AD69+AK69+AR69</f>
        <v/>
      </c>
      <c r="BB69" s="34">
        <f>MAX(F69:G69,750)*0.05*BA69</f>
        <v/>
      </c>
      <c r="BC69" s="34">
        <f>AG69+AN69+AU69</f>
        <v/>
      </c>
      <c r="BD69" s="34">
        <f>MAX(F69:G69,750)*0.05*BC69</f>
        <v/>
      </c>
      <c r="BE69" s="34">
        <f>F69*AY69</f>
        <v/>
      </c>
      <c r="BF69" s="34">
        <f>K69-M69</f>
        <v/>
      </c>
      <c r="BG69" s="34">
        <f>P69-S69</f>
        <v/>
      </c>
      <c r="BH69" s="34">
        <f>W69-AA69</f>
        <v/>
      </c>
      <c r="BI69" s="34">
        <f>BF69+BG69+BL69-BN69</f>
        <v/>
      </c>
      <c r="BJ69" s="34">
        <f>ABS(BK69)</f>
        <v/>
      </c>
      <c r="BK69" s="34">
        <f>AY69-(J69-L69+N69-Q69)</f>
        <v/>
      </c>
      <c r="BL69" s="34">
        <f>IF(AND(BK69&gt;0,MIN($F69:$G69)&lt;150,$E69="Enerji Açığı"),-100*BK69*1.03,IF(AND(BK69&gt;0,MIN($F69:$G69)&lt;150,$E69="Enerji Fazlası"),-100*BK69*1.06,IF(AND(BK69&gt;0,MIN($F69:$G69)&gt;=150,$E69="Enerji Açığı"),BK69*MIN($F69:$G69)*0.97,IF(AND(BK69&gt;0,MIN($F69:$G69)&gt;=150,$E69="Enerji Fazlası"),BK69*MIN($F69:$G69)*0.94,IF(AND(BK69&lt;0,MAX($F69:$G69)=4500,$E69="Enerji Açığı"),4500*1.05*1.06*BK69,IF(AND(BK69&lt;0,MAX($F69:$G69)=4500,$E69="Enerji Fazlası"),4500*1.05*1.03*BK69,IF(AND(BK69&lt;0,$E69="Enerji Açığı"),MAX($F69,$G69,150)*BK69*1.06,IF(AND(BK69&lt;0,$E69="Enerji Fazlası"),MAX($F69,$G69,150)*BK69*1.03,IF(AND(BK69&lt;0,$E69="Dengede"),MAX($F69:$G69,150)*1.03*BK69,MIN($F69:$G69)*0.97*BK69)))))))))</f>
        <v/>
      </c>
      <c r="BM69" s="34">
        <f>BE69-BI69-BN69</f>
        <v/>
      </c>
      <c r="BN69" s="34">
        <f>BB69</f>
        <v/>
      </c>
      <c r="BO69" s="34">
        <f>BE69-BI69</f>
        <v/>
      </c>
      <c r="BP69" s="34">
        <f>IF(AY69=0,0,BO69/AY69)</f>
        <v/>
      </c>
      <c r="BQ69" s="34">
        <f>MAX((AY69+MAX((-J69+L69-N69+Q69),0)),(MAX((J69-L69+N69-Q69),0)))</f>
        <v/>
      </c>
      <c r="BR69" s="82">
        <f>IFERROR(ABS(BK69/BQ69),0)</f>
        <v/>
      </c>
      <c r="BS69" s="34">
        <f>IF(BR69&lt;=0.1,0,BK69/BR69*(BR69-0.1))</f>
        <v/>
      </c>
      <c r="BT69" s="34">
        <f>IF((BS69)&lt;0,MAX(F69:G69)*(BS69)*1.03,MIN(F69:G69)*(BS69)*0.97)</f>
        <v/>
      </c>
      <c r="BU69" s="34">
        <f>IF(BR69&gt;0.1,1,0)</f>
        <v/>
      </c>
      <c r="BV69" s="34">
        <f>BF69+BG69+BH69+BY69-CA69</f>
        <v/>
      </c>
      <c r="BW69" s="34">
        <f>ABS(BX69)</f>
        <v/>
      </c>
      <c r="BX69" s="34">
        <f>AY69-(J69-L69+N69-Q69+T69-X69)</f>
        <v/>
      </c>
      <c r="BY69" s="34">
        <f>IF(AND(BX69&gt;0,MIN($F69:$G69)&lt;150,$E69="Enerji Açığı"),-100*BX69*1.03,IF(AND(BX69&gt;0,MIN($F69:$G69)&lt;150,$E69="Enerji Fazlası"),-100*BX69*1.06,IF(AND(BX69&gt;0,MIN($F69:$G69)&gt;=150,$E69="Enerji Açığı"),BX69*MIN($F69:$G69)*0.97,IF(AND(BX69&gt;0,MIN($F69:$G69)&gt;=150,$E69="Enerji Fazlası"),BX69*MIN($F69:$G69)*0.94,IF(AND(BX69&lt;0,MAX($F69:$G69)=4500,$E69="Enerji Açığı"),4500*1.05*1.06*BX69,IF(AND(BX69&lt;0,MAX($F69:$G69)=4500,$E69="Enerji Fazlası"),4500*1.05*1.03*BX69,IF(AND(BX69&lt;0,$E69="Enerji Açığı"),MAX($F69,$G69,150)*BX69*1.06,IF(AND(BX69&lt;0,$E69="Enerji Fazlası"),MAX($F69,$G69,150)*BX69*1.03,IF(AND(BX69&lt;0,$E69="Dengede"),MAX($F69:$G69,150)*1.03*BX69,MIN($F69:$G69)*0.97*BX69)))))))))</f>
        <v/>
      </c>
      <c r="BZ69" s="34">
        <f>BE69-BV69-CA69</f>
        <v/>
      </c>
      <c r="CA69" s="34">
        <f>BD69</f>
        <v/>
      </c>
      <c r="CB69" s="33">
        <f>BE69-BV69</f>
        <v/>
      </c>
      <c r="CC69" s="34">
        <f>IF(AY69=0,0,CB69/AY69)</f>
        <v/>
      </c>
      <c r="CD69" s="34">
        <f>MAX((AY69+MAX((-J69+L69-N69+Q69-T69+X69),0)),(MAX((J69-L69+N69-Q69+T69-X69),0)))</f>
        <v/>
      </c>
      <c r="CE69" s="82">
        <f>IFERROR(ABS(BX69/CD69),0)</f>
        <v/>
      </c>
      <c r="CF69" s="34">
        <f>IF(CE69&lt;=0.1,0,BX69/CE69*(CE69-0.1))</f>
        <v/>
      </c>
      <c r="CG69" s="34">
        <f>IF((CF69)&lt;0,MAX(F69:G69)*(CF69)*1.03,MIN(F69:G69)*(CF69)*0.97)</f>
        <v/>
      </c>
      <c r="CH69" s="34">
        <f>IF(CE69&gt;0.1,1,0)</f>
        <v/>
      </c>
      <c r="CI69" s="34">
        <f>(F69*BX69)-BY69</f>
        <v/>
      </c>
      <c r="CJ69" s="34">
        <f>IF(AY69=0,0,CI69/AY69)</f>
        <v/>
      </c>
    </row>
    <row r="70">
      <c r="A70" s="29" t="n">
        <v>46206.79166666666</v>
      </c>
      <c r="B70" s="29" t="inlineStr">
        <is>
          <t>19:00</t>
        </is>
      </c>
      <c r="C70" s="35">
        <f>INT(A70)</f>
        <v/>
      </c>
      <c r="D70" s="36">
        <f>MONTH(A70)</f>
        <v/>
      </c>
      <c r="E70" s="147">
        <f>[1]FİYATLAR!G69</f>
        <v/>
      </c>
      <c r="F70" s="30" t="n">
        <v>3852.62</v>
      </c>
      <c r="G70" s="30" t="n">
        <v>4300</v>
      </c>
      <c r="H70" s="30" t="n">
        <v>82.7</v>
      </c>
      <c r="I70" s="30" t="n">
        <v>3838.23</v>
      </c>
      <c r="J70" s="119" t="n">
        <v>0</v>
      </c>
      <c r="K70" s="34">
        <f>F70*J70</f>
        <v/>
      </c>
      <c r="L70" s="119" t="n">
        <v>0</v>
      </c>
      <c r="M70" s="34">
        <f>L70*F70</f>
        <v/>
      </c>
      <c r="N70" s="119" t="n">
        <v>23.2</v>
      </c>
      <c r="O70" s="34">
        <f>F70</f>
        <v/>
      </c>
      <c r="P70" s="34">
        <f>N70*O70</f>
        <v/>
      </c>
      <c r="Q70" s="119" t="n">
        <v>0</v>
      </c>
      <c r="R70" s="34">
        <f>F70</f>
        <v/>
      </c>
      <c r="S70" s="34">
        <f>R70*Q70</f>
        <v/>
      </c>
      <c r="T70" s="34">
        <f>SUMIFS('[1]GİP VERİLERİ'!$C:$C,'[1]GİP VERİLERİ'!$B:$B,A70,'[1]GİP VERİLERİ'!$M:$M,"40X000000104782K",'[1]GİP VERİLERİ'!$G:$G,"SELL")</f>
        <v/>
      </c>
      <c r="U70" s="34">
        <f>IFERROR(W70/T70,0)</f>
        <v/>
      </c>
      <c r="V70" s="34">
        <f>IF(U70=0,0,U70-F70)</f>
        <v/>
      </c>
      <c r="W70" s="34">
        <f>SUMIFS('[1]GİP VERİLERİ'!$O:$O,'[1]GİP VERİLERİ'!$B:$B,A70,'[1]GİP VERİLERİ'!$M:$M,"40X000000104782K",'[1]GİP VERİLERİ'!$G:$G,"SELL")</f>
        <v/>
      </c>
      <c r="X70" s="34">
        <f>SUMIFS('[1]GİP VERİLERİ'!$C:$C,'[1]GİP VERİLERİ'!$B:$B,A70,'[1]GİP VERİLERİ'!$M:$M,"40X000000104782K",'[1]GİP VERİLERİ'!$G:$G,"BUY")</f>
        <v/>
      </c>
      <c r="Y70" s="34">
        <f>IFERROR(AA70/X70,0)</f>
        <v/>
      </c>
      <c r="Z70" s="34">
        <f>IF(Y70=0,0,F70-Y70)</f>
        <v/>
      </c>
      <c r="AA70" s="34">
        <f>SUMIFS('[1]GİP VERİLERİ'!$O:$O,'[1]GİP VERİLERİ'!$B:$B,A70,'[1]GİP VERİLERİ'!$M:$M,"40X000000104782K",'[1]GİP VERİLERİ'!$G:$G,"BUY")</f>
        <v/>
      </c>
      <c r="AB70" s="34" t="n">
        <v>0</v>
      </c>
      <c r="AC70" s="34" t="n">
        <v>0</v>
      </c>
      <c r="AD70" s="34">
        <f>IF(AB70&gt;AC70*1.05,AB70-AC70*1.05,IF(AB70&lt;AC70*0.95,AC70*0.95-AB70,0))</f>
        <v/>
      </c>
      <c r="AE70" s="34">
        <f>MAX(F70,G70,750)*0.05*AD70</f>
        <v/>
      </c>
      <c r="AF70" s="34" t="n">
        <v>0</v>
      </c>
      <c r="AG70" s="34">
        <f>IF(AB70&gt;AF70*1.05,AB70-AF70*1.05,IF(AB70&lt;AF70*0.95,AF70*0.95-AB70,0))</f>
        <v/>
      </c>
      <c r="AH70" s="34">
        <f>MAX(I70,J70,750)*0.05*AG70</f>
        <v/>
      </c>
      <c r="AI70" t="n">
        <v>10.01</v>
      </c>
      <c r="AJ70" t="n">
        <v>10</v>
      </c>
      <c r="AK70" s="34">
        <f>IF(AI70&gt;AJ70*1.05,AI70-AJ70*1.05,IF(AI70&lt;AJ70*0.95,AJ70*0.95-AI70,0))</f>
        <v/>
      </c>
      <c r="AL70" s="34">
        <f>MAX(F70,G70,750)*0.05*AK70</f>
        <v/>
      </c>
      <c r="AM70" s="39" t="n">
        <v>10</v>
      </c>
      <c r="AN70" s="34">
        <f>IF(AI70&gt;AM70*1.05,AI70-AM70*1.05,IF(AI70&lt;AM70*0.95,AM70*0.95-AI70,0))</f>
        <v/>
      </c>
      <c r="AO70" s="34">
        <f>MAX(F70,G70,750)*0.05*AN70</f>
        <v/>
      </c>
      <c r="AP70" s="34" t="n">
        <v>13.35</v>
      </c>
      <c r="AQ70" s="34" t="n">
        <v>13.2</v>
      </c>
      <c r="AR70" s="34">
        <f>IF(AP70&gt;AQ70*1.05,AP70-AQ70*1.05,IF(AP70&lt;AQ70*0.95,AQ70*0.95-AP70,0))</f>
        <v/>
      </c>
      <c r="AS70" s="34">
        <f>MAX(F70:G70,750)*0.05*AR70</f>
        <v/>
      </c>
      <c r="AT70" t="n">
        <v>13.2</v>
      </c>
      <c r="AU70" s="34">
        <f>IF(AP70&gt;AT70*1.05,AP70-AT70*1.05,IF(AP70&lt;AT70*0.95,AT70*0.95-AP70,0))</f>
        <v/>
      </c>
      <c r="AV70" s="34">
        <f>MAX(F70:G70,750)*0.05*AU70</f>
        <v/>
      </c>
      <c r="AW70" s="34">
        <f>AC70+AJ70+AQ70</f>
        <v/>
      </c>
      <c r="AX70" s="34">
        <f>AF70+AM70+AT70</f>
        <v/>
      </c>
      <c r="AY70" s="34">
        <f>AB70+AI70+AP70</f>
        <v/>
      </c>
      <c r="AZ70" s="34" t="n">
        <v>0</v>
      </c>
      <c r="BA70" s="34">
        <f>AD70+AK70+AR70</f>
        <v/>
      </c>
      <c r="BB70" s="34">
        <f>MAX(F70:G70,750)*0.05*BA70</f>
        <v/>
      </c>
      <c r="BC70" s="34">
        <f>AG70+AN70+AU70</f>
        <v/>
      </c>
      <c r="BD70" s="34">
        <f>MAX(F70:G70,750)*0.05*BC70</f>
        <v/>
      </c>
      <c r="BE70" s="34">
        <f>F70*AY70</f>
        <v/>
      </c>
      <c r="BF70" s="34">
        <f>K70-M70</f>
        <v/>
      </c>
      <c r="BG70" s="34">
        <f>P70-S70</f>
        <v/>
      </c>
      <c r="BH70" s="34">
        <f>W70-AA70</f>
        <v/>
      </c>
      <c r="BI70" s="34">
        <f>BF70+BG70+BL70-BN70</f>
        <v/>
      </c>
      <c r="BJ70" s="34">
        <f>ABS(BK70)</f>
        <v/>
      </c>
      <c r="BK70" s="34">
        <f>AY70-(J70-L70+N70-Q70)</f>
        <v/>
      </c>
      <c r="BL70" s="34">
        <f>IF(AND(BK70&gt;0,MIN($F70:$G70)&lt;150,$E70="Enerji Açığı"),-100*BK70*1.03,IF(AND(BK70&gt;0,MIN($F70:$G70)&lt;150,$E70="Enerji Fazlası"),-100*BK70*1.06,IF(AND(BK70&gt;0,MIN($F70:$G70)&gt;=150,$E70="Enerji Açığı"),BK70*MIN($F70:$G70)*0.97,IF(AND(BK70&gt;0,MIN($F70:$G70)&gt;=150,$E70="Enerji Fazlası"),BK70*MIN($F70:$G70)*0.94,IF(AND(BK70&lt;0,MAX($F70:$G70)=4500,$E70="Enerji Açığı"),4500*1.05*1.06*BK70,IF(AND(BK70&lt;0,MAX($F70:$G70)=4500,$E70="Enerji Fazlası"),4500*1.05*1.03*BK70,IF(AND(BK70&lt;0,$E70="Enerji Açığı"),MAX($F70,$G70,150)*BK70*1.06,IF(AND(BK70&lt;0,$E70="Enerji Fazlası"),MAX($F70,$G70,150)*BK70*1.03,IF(AND(BK70&lt;0,$E70="Dengede"),MAX($F70:$G70,150)*1.03*BK70,MIN($F70:$G70)*0.97*BK70)))))))))</f>
        <v/>
      </c>
      <c r="BM70" s="34">
        <f>BE70-BI70-BN70</f>
        <v/>
      </c>
      <c r="BN70" s="34">
        <f>BB70</f>
        <v/>
      </c>
      <c r="BO70" s="34">
        <f>BE70-BI70</f>
        <v/>
      </c>
      <c r="BP70" s="34">
        <f>IF(AY70=0,0,BO70/AY70)</f>
        <v/>
      </c>
      <c r="BQ70" s="34">
        <f>MAX((AY70+MAX((-J70+L70-N70+Q70),0)),(MAX((J70-L70+N70-Q70),0)))</f>
        <v/>
      </c>
      <c r="BR70" s="82">
        <f>IFERROR(ABS(BK70/BQ70),0)</f>
        <v/>
      </c>
      <c r="BS70" s="34">
        <f>IF(BR70&lt;=0.1,0,BK70/BR70*(BR70-0.1))</f>
        <v/>
      </c>
      <c r="BT70" s="34">
        <f>IF((BS70)&lt;0,MAX(F70:G70)*(BS70)*1.03,MIN(F70:G70)*(BS70)*0.97)</f>
        <v/>
      </c>
      <c r="BU70" s="34">
        <f>IF(BR70&gt;0.1,1,0)</f>
        <v/>
      </c>
      <c r="BV70" s="34">
        <f>BF70+BG70+BH70+BY70-CA70</f>
        <v/>
      </c>
      <c r="BW70" s="34">
        <f>ABS(BX70)</f>
        <v/>
      </c>
      <c r="BX70" s="34">
        <f>AY70-(J70-L70+N70-Q70+T70-X70)</f>
        <v/>
      </c>
      <c r="BY70" s="34">
        <f>IF(AND(BX70&gt;0,MIN($F70:$G70)&lt;150,$E70="Enerji Açığı"),-100*BX70*1.03,IF(AND(BX70&gt;0,MIN($F70:$G70)&lt;150,$E70="Enerji Fazlası"),-100*BX70*1.06,IF(AND(BX70&gt;0,MIN($F70:$G70)&gt;=150,$E70="Enerji Açığı"),BX70*MIN($F70:$G70)*0.97,IF(AND(BX70&gt;0,MIN($F70:$G70)&gt;=150,$E70="Enerji Fazlası"),BX70*MIN($F70:$G70)*0.94,IF(AND(BX70&lt;0,MAX($F70:$G70)=4500,$E70="Enerji Açığı"),4500*1.05*1.06*BX70,IF(AND(BX70&lt;0,MAX($F70:$G70)=4500,$E70="Enerji Fazlası"),4500*1.05*1.03*BX70,IF(AND(BX70&lt;0,$E70="Enerji Açığı"),MAX($F70,$G70,150)*BX70*1.06,IF(AND(BX70&lt;0,$E70="Enerji Fazlası"),MAX($F70,$G70,150)*BX70*1.03,IF(AND(BX70&lt;0,$E70="Dengede"),MAX($F70:$G70,150)*1.03*BX70,MIN($F70:$G70)*0.97*BX70)))))))))</f>
        <v/>
      </c>
      <c r="BZ70" s="34">
        <f>BE70-BV70-CA70</f>
        <v/>
      </c>
      <c r="CA70" s="34">
        <f>BD70</f>
        <v/>
      </c>
      <c r="CB70" s="33">
        <f>BE70-BV70</f>
        <v/>
      </c>
      <c r="CC70" s="34">
        <f>IF(AY70=0,0,CB70/AY70)</f>
        <v/>
      </c>
      <c r="CD70" s="34">
        <f>MAX((AY70+MAX((-J70+L70-N70+Q70-T70+X70),0)),(MAX((J70-L70+N70-Q70+T70-X70),0)))</f>
        <v/>
      </c>
      <c r="CE70" s="82">
        <f>IFERROR(ABS(BX70/CD70),0)</f>
        <v/>
      </c>
      <c r="CF70" s="34">
        <f>IF(CE70&lt;=0.1,0,BX70/CE70*(CE70-0.1))</f>
        <v/>
      </c>
      <c r="CG70" s="34">
        <f>IF((CF70)&lt;0,MAX(F70:G70)*(CF70)*1.03,MIN(F70:G70)*(CF70)*0.97)</f>
        <v/>
      </c>
      <c r="CH70" s="34">
        <f>IF(CE70&gt;0.1,1,0)</f>
        <v/>
      </c>
      <c r="CI70" s="34">
        <f>(F70*BX70)-BY70</f>
        <v/>
      </c>
      <c r="CJ70" s="34">
        <f>IF(AY70=0,0,CI70/AY70)</f>
        <v/>
      </c>
    </row>
    <row r="71">
      <c r="A71" s="29" t="n">
        <v>46206.83333333334</v>
      </c>
      <c r="B71" s="29" t="inlineStr">
        <is>
          <t>20:00</t>
        </is>
      </c>
      <c r="C71" s="35">
        <f>INT(A71)</f>
        <v/>
      </c>
      <c r="D71" s="36">
        <f>MONTH(A71)</f>
        <v/>
      </c>
      <c r="E71" s="147">
        <f>[1]FİYATLAR!G70</f>
        <v/>
      </c>
      <c r="F71" s="30" t="n">
        <v>4235.01</v>
      </c>
      <c r="G71" s="30" t="n">
        <v>4320</v>
      </c>
      <c r="H71" s="30" t="n">
        <v>90.91</v>
      </c>
      <c r="I71" s="30" t="n">
        <v>4343.86</v>
      </c>
      <c r="J71" s="119" t="n">
        <v>0</v>
      </c>
      <c r="K71" s="34">
        <f>F71*J71</f>
        <v/>
      </c>
      <c r="L71" s="119" t="n">
        <v>0</v>
      </c>
      <c r="M71" s="34">
        <f>L71*F71</f>
        <v/>
      </c>
      <c r="N71" s="119" t="n">
        <v>23</v>
      </c>
      <c r="O71" s="34">
        <f>F71</f>
        <v/>
      </c>
      <c r="P71" s="34">
        <f>N71*O71</f>
        <v/>
      </c>
      <c r="Q71" s="119" t="n">
        <v>0</v>
      </c>
      <c r="R71" s="34">
        <f>F71</f>
        <v/>
      </c>
      <c r="S71" s="34">
        <f>R71*Q71</f>
        <v/>
      </c>
      <c r="T71" s="34">
        <f>SUMIFS('[1]GİP VERİLERİ'!$C:$C,'[1]GİP VERİLERİ'!$B:$B,A71,'[1]GİP VERİLERİ'!$M:$M,"40X000000104782K",'[1]GİP VERİLERİ'!$G:$G,"SELL")</f>
        <v/>
      </c>
      <c r="U71" s="34">
        <f>IFERROR(W71/T71,0)</f>
        <v/>
      </c>
      <c r="V71" s="34">
        <f>IF(U71=0,0,U71-F71)</f>
        <v/>
      </c>
      <c r="W71" s="34">
        <f>SUMIFS('[1]GİP VERİLERİ'!$O:$O,'[1]GİP VERİLERİ'!$B:$B,A71,'[1]GİP VERİLERİ'!$M:$M,"40X000000104782K",'[1]GİP VERİLERİ'!$G:$G,"SELL")</f>
        <v/>
      </c>
      <c r="X71" s="34">
        <f>SUMIFS('[1]GİP VERİLERİ'!$C:$C,'[1]GİP VERİLERİ'!$B:$B,A71,'[1]GİP VERİLERİ'!$M:$M,"40X000000104782K",'[1]GİP VERİLERİ'!$G:$G,"BUY")</f>
        <v/>
      </c>
      <c r="Y71" s="34">
        <f>IFERROR(AA71/X71,0)</f>
        <v/>
      </c>
      <c r="Z71" s="34">
        <f>IF(Y71=0,0,F71-Y71)</f>
        <v/>
      </c>
      <c r="AA71" s="34">
        <f>SUMIFS('[1]GİP VERİLERİ'!$O:$O,'[1]GİP VERİLERİ'!$B:$B,A71,'[1]GİP VERİLERİ'!$M:$M,"40X000000104782K",'[1]GİP VERİLERİ'!$G:$G,"BUY")</f>
        <v/>
      </c>
      <c r="AB71" s="34" t="n">
        <v>0</v>
      </c>
      <c r="AC71" s="34" t="n">
        <v>0</v>
      </c>
      <c r="AD71" s="34">
        <f>IF(AB71&gt;AC71*1.05,AB71-AC71*1.05,IF(AB71&lt;AC71*0.95,AC71*0.95-AB71,0))</f>
        <v/>
      </c>
      <c r="AE71" s="34">
        <f>MAX(F71,G71,750)*0.05*AD71</f>
        <v/>
      </c>
      <c r="AF71" s="34" t="n">
        <v>0</v>
      </c>
      <c r="AG71" s="34">
        <f>IF(AB71&gt;AF71*1.05,AB71-AF71*1.05,IF(AB71&lt;AF71*0.95,AF71*0.95-AB71,0))</f>
        <v/>
      </c>
      <c r="AH71" s="34">
        <f>MAX(I71,J71,750)*0.05*AG71</f>
        <v/>
      </c>
      <c r="AI71" t="n">
        <v>10.17</v>
      </c>
      <c r="AJ71" t="n">
        <v>10</v>
      </c>
      <c r="AK71" s="34">
        <f>IF(AI71&gt;AJ71*1.05,AI71-AJ71*1.05,IF(AI71&lt;AJ71*0.95,AJ71*0.95-AI71,0))</f>
        <v/>
      </c>
      <c r="AL71" s="34">
        <f>MAX(F71,G71,750)*0.05*AK71</f>
        <v/>
      </c>
      <c r="AM71" s="39" t="n">
        <v>10</v>
      </c>
      <c r="AN71" s="34">
        <f>IF(AI71&gt;AM71*1.05,AI71-AM71*1.05,IF(AI71&lt;AM71*0.95,AM71*0.95-AI71,0))</f>
        <v/>
      </c>
      <c r="AO71" s="34">
        <f>MAX(F71,G71,750)*0.05*AN71</f>
        <v/>
      </c>
      <c r="AP71" s="34" t="n">
        <v>13.17</v>
      </c>
      <c r="AQ71" s="34" t="n">
        <v>13</v>
      </c>
      <c r="AR71" s="34">
        <f>IF(AP71&gt;AQ71*1.05,AP71-AQ71*1.05,IF(AP71&lt;AQ71*0.95,AQ71*0.95-AP71,0))</f>
        <v/>
      </c>
      <c r="AS71" s="34">
        <f>MAX(F71:G71,750)*0.05*AR71</f>
        <v/>
      </c>
      <c r="AT71" t="n">
        <v>13</v>
      </c>
      <c r="AU71" s="34">
        <f>IF(AP71&gt;AT71*1.05,AP71-AT71*1.05,IF(AP71&lt;AT71*0.95,AT71*0.95-AP71,0))</f>
        <v/>
      </c>
      <c r="AV71" s="34">
        <f>MAX(F71:G71,750)*0.05*AU71</f>
        <v/>
      </c>
      <c r="AW71" s="34">
        <f>AC71+AJ71+AQ71</f>
        <v/>
      </c>
      <c r="AX71" s="34">
        <f>AF71+AM71+AT71</f>
        <v/>
      </c>
      <c r="AY71" s="34">
        <f>AB71+AI71+AP71</f>
        <v/>
      </c>
      <c r="AZ71" s="34" t="n">
        <v>0</v>
      </c>
      <c r="BA71" s="34">
        <f>AD71+AK71+AR71</f>
        <v/>
      </c>
      <c r="BB71" s="34">
        <f>MAX(F71:G71,750)*0.05*BA71</f>
        <v/>
      </c>
      <c r="BC71" s="34">
        <f>AG71+AN71+AU71</f>
        <v/>
      </c>
      <c r="BD71" s="34">
        <f>MAX(F71:G71,750)*0.05*BC71</f>
        <v/>
      </c>
      <c r="BE71" s="34">
        <f>F71*AY71</f>
        <v/>
      </c>
      <c r="BF71" s="34">
        <f>K71-M71</f>
        <v/>
      </c>
      <c r="BG71" s="34">
        <f>P71-S71</f>
        <v/>
      </c>
      <c r="BH71" s="34">
        <f>W71-AA71</f>
        <v/>
      </c>
      <c r="BI71" s="34">
        <f>BF71+BG71+BL71-BN71</f>
        <v/>
      </c>
      <c r="BJ71" s="34">
        <f>ABS(BK71)</f>
        <v/>
      </c>
      <c r="BK71" s="34">
        <f>AY71-(J71-L71+N71-Q71)</f>
        <v/>
      </c>
      <c r="BL71" s="34">
        <f>IF(AND(BK71&gt;0,MIN($F71:$G71)&lt;150,$E71="Enerji Açığı"),-100*BK71*1.03,IF(AND(BK71&gt;0,MIN($F71:$G71)&lt;150,$E71="Enerji Fazlası"),-100*BK71*1.06,IF(AND(BK71&gt;0,MIN($F71:$G71)&gt;=150,$E71="Enerji Açığı"),BK71*MIN($F71:$G71)*0.97,IF(AND(BK71&gt;0,MIN($F71:$G71)&gt;=150,$E71="Enerji Fazlası"),BK71*MIN($F71:$G71)*0.94,IF(AND(BK71&lt;0,MAX($F71:$G71)=4500,$E71="Enerji Açığı"),4500*1.05*1.06*BK71,IF(AND(BK71&lt;0,MAX($F71:$G71)=4500,$E71="Enerji Fazlası"),4500*1.05*1.03*BK71,IF(AND(BK71&lt;0,$E71="Enerji Açığı"),MAX($F71,$G71,150)*BK71*1.06,IF(AND(BK71&lt;0,$E71="Enerji Fazlası"),MAX($F71,$G71,150)*BK71*1.03,IF(AND(BK71&lt;0,$E71="Dengede"),MAX($F71:$G71,150)*1.03*BK71,MIN($F71:$G71)*0.97*BK71)))))))))</f>
        <v/>
      </c>
      <c r="BM71" s="34">
        <f>BE71-BI71-BN71</f>
        <v/>
      </c>
      <c r="BN71" s="34">
        <f>BB71</f>
        <v/>
      </c>
      <c r="BO71" s="34">
        <f>BE71-BI71</f>
        <v/>
      </c>
      <c r="BP71" s="34">
        <f>IF(AY71=0,0,BO71/AY71)</f>
        <v/>
      </c>
      <c r="BQ71" s="34">
        <f>MAX((AY71+MAX((-J71+L71-N71+Q71),0)),(MAX((J71-L71+N71-Q71),0)))</f>
        <v/>
      </c>
      <c r="BR71" s="82">
        <f>IFERROR(ABS(BK71/BQ71),0)</f>
        <v/>
      </c>
      <c r="BS71" s="34">
        <f>IF(BR71&lt;=0.1,0,BK71/BR71*(BR71-0.1))</f>
        <v/>
      </c>
      <c r="BT71" s="34">
        <f>IF((BS71)&lt;0,MAX(F71:G71)*(BS71)*1.03,MIN(F71:G71)*(BS71)*0.97)</f>
        <v/>
      </c>
      <c r="BU71" s="34">
        <f>IF(BR71&gt;0.1,1,0)</f>
        <v/>
      </c>
      <c r="BV71" s="34">
        <f>BF71+BG71+BH71+BY71-CA71</f>
        <v/>
      </c>
      <c r="BW71" s="34">
        <f>ABS(BX71)</f>
        <v/>
      </c>
      <c r="BX71" s="34">
        <f>AY71-(J71-L71+N71-Q71+T71-X71)</f>
        <v/>
      </c>
      <c r="BY71" s="34">
        <f>IF(AND(BX71&gt;0,MIN($F71:$G71)&lt;150,$E71="Enerji Açığı"),-100*BX71*1.03,IF(AND(BX71&gt;0,MIN($F71:$G71)&lt;150,$E71="Enerji Fazlası"),-100*BX71*1.06,IF(AND(BX71&gt;0,MIN($F71:$G71)&gt;=150,$E71="Enerji Açığı"),BX71*MIN($F71:$G71)*0.97,IF(AND(BX71&gt;0,MIN($F71:$G71)&gt;=150,$E71="Enerji Fazlası"),BX71*MIN($F71:$G71)*0.94,IF(AND(BX71&lt;0,MAX($F71:$G71)=4500,$E71="Enerji Açığı"),4500*1.05*1.06*BX71,IF(AND(BX71&lt;0,MAX($F71:$G71)=4500,$E71="Enerji Fazlası"),4500*1.05*1.03*BX71,IF(AND(BX71&lt;0,$E71="Enerji Açığı"),MAX($F71,$G71,150)*BX71*1.06,IF(AND(BX71&lt;0,$E71="Enerji Fazlası"),MAX($F71,$G71,150)*BX71*1.03,IF(AND(BX71&lt;0,$E71="Dengede"),MAX($F71:$G71,150)*1.03*BX71,MIN($F71:$G71)*0.97*BX71)))))))))</f>
        <v/>
      </c>
      <c r="BZ71" s="34">
        <f>BE71-BV71-CA71</f>
        <v/>
      </c>
      <c r="CA71" s="34">
        <f>BD71</f>
        <v/>
      </c>
      <c r="CB71" s="33">
        <f>BE71-BV71</f>
        <v/>
      </c>
      <c r="CC71" s="34">
        <f>IF(AY71=0,0,CB71/AY71)</f>
        <v/>
      </c>
      <c r="CD71" s="34">
        <f>MAX((AY71+MAX((-J71+L71-N71+Q71-T71+X71),0)),(MAX((J71-L71+N71-Q71+T71-X71),0)))</f>
        <v/>
      </c>
      <c r="CE71" s="82">
        <f>IFERROR(ABS(BX71/CD71),0)</f>
        <v/>
      </c>
      <c r="CF71" s="34">
        <f>IF(CE71&lt;=0.1,0,BX71/CE71*(CE71-0.1))</f>
        <v/>
      </c>
      <c r="CG71" s="34">
        <f>IF((CF71)&lt;0,MAX(F71:G71)*(CF71)*1.03,MIN(F71:G71)*(CF71)*0.97)</f>
        <v/>
      </c>
      <c r="CH71" s="34">
        <f>IF(CE71&gt;0.1,1,0)</f>
        <v/>
      </c>
      <c r="CI71" s="34">
        <f>(F71*BX71)-BY71</f>
        <v/>
      </c>
      <c r="CJ71" s="34">
        <f>IF(AY71=0,0,CI71/AY71)</f>
        <v/>
      </c>
    </row>
    <row r="72">
      <c r="A72" s="29" t="n">
        <v>46206.875</v>
      </c>
      <c r="B72" s="29" t="inlineStr">
        <is>
          <t>21:00</t>
        </is>
      </c>
      <c r="C72" s="35">
        <f>INT(A72)</f>
        <v/>
      </c>
      <c r="D72" s="36">
        <f>MONTH(A72)</f>
        <v/>
      </c>
      <c r="E72" s="147">
        <f>[1]FİYATLAR!G71</f>
        <v/>
      </c>
      <c r="F72" s="30" t="n">
        <v>4200</v>
      </c>
      <c r="G72" s="30" t="n">
        <v>4320</v>
      </c>
      <c r="H72" s="30" t="n">
        <v>90.15000000000001</v>
      </c>
      <c r="I72" s="30" t="n">
        <v>4299.01</v>
      </c>
      <c r="J72" s="119" t="n">
        <v>0</v>
      </c>
      <c r="K72" s="34">
        <f>F72*J72</f>
        <v/>
      </c>
      <c r="L72" s="119" t="n">
        <v>0</v>
      </c>
      <c r="M72" s="34">
        <f>L72*F72</f>
        <v/>
      </c>
      <c r="N72" s="119" t="n">
        <v>21</v>
      </c>
      <c r="O72" s="34">
        <f>F72</f>
        <v/>
      </c>
      <c r="P72" s="34">
        <f>N72*O72</f>
        <v/>
      </c>
      <c r="Q72" s="119" t="n">
        <v>0</v>
      </c>
      <c r="R72" s="34">
        <f>F72</f>
        <v/>
      </c>
      <c r="S72" s="34">
        <f>R72*Q72</f>
        <v/>
      </c>
      <c r="T72" s="34">
        <f>SUMIFS('[1]GİP VERİLERİ'!$C:$C,'[1]GİP VERİLERİ'!$B:$B,A72,'[1]GİP VERİLERİ'!$M:$M,"40X000000104782K",'[1]GİP VERİLERİ'!$G:$G,"SELL")</f>
        <v/>
      </c>
      <c r="U72" s="34">
        <f>IFERROR(W72/T72,0)</f>
        <v/>
      </c>
      <c r="V72" s="34">
        <f>IF(U72=0,0,U72-F72)</f>
        <v/>
      </c>
      <c r="W72" s="34">
        <f>SUMIFS('[1]GİP VERİLERİ'!$O:$O,'[1]GİP VERİLERİ'!$B:$B,A72,'[1]GİP VERİLERİ'!$M:$M,"40X000000104782K",'[1]GİP VERİLERİ'!$G:$G,"SELL")</f>
        <v/>
      </c>
      <c r="X72" s="34">
        <f>SUMIFS('[1]GİP VERİLERİ'!$C:$C,'[1]GİP VERİLERİ'!$B:$B,A72,'[1]GİP VERİLERİ'!$M:$M,"40X000000104782K",'[1]GİP VERİLERİ'!$G:$G,"BUY")</f>
        <v/>
      </c>
      <c r="Y72" s="34">
        <f>IFERROR(AA72/X72,0)</f>
        <v/>
      </c>
      <c r="Z72" s="34">
        <f>IF(Y72=0,0,F72-Y72)</f>
        <v/>
      </c>
      <c r="AA72" s="34">
        <f>SUMIFS('[1]GİP VERİLERİ'!$O:$O,'[1]GİP VERİLERİ'!$B:$B,A72,'[1]GİP VERİLERİ'!$M:$M,"40X000000104782K",'[1]GİP VERİLERİ'!$G:$G,"BUY")</f>
        <v/>
      </c>
      <c r="AB72" s="34" t="n">
        <v>0</v>
      </c>
      <c r="AC72" s="34" t="n">
        <v>0</v>
      </c>
      <c r="AD72" s="34">
        <f>IF(AB72&gt;AC72*1.05,AB72-AC72*1.05,IF(AB72&lt;AC72*0.95,AC72*0.95-AB72,0))</f>
        <v/>
      </c>
      <c r="AE72" s="34">
        <f>MAX(F72,G72,750)*0.05*AD72</f>
        <v/>
      </c>
      <c r="AF72" s="34" t="n">
        <v>0</v>
      </c>
      <c r="AG72" s="34">
        <f>IF(AB72&gt;AF72*1.05,AB72-AF72*1.05,IF(AB72&lt;AF72*0.95,AF72*0.95-AB72,0))</f>
        <v/>
      </c>
      <c r="AH72" s="34">
        <f>MAX(I72,J72,750)*0.05*AG72</f>
        <v/>
      </c>
      <c r="AI72" t="n">
        <v>10.13</v>
      </c>
      <c r="AJ72" t="n">
        <v>10</v>
      </c>
      <c r="AK72" s="34">
        <f>IF(AI72&gt;AJ72*1.05,AI72-AJ72*1.05,IF(AI72&lt;AJ72*0.95,AJ72*0.95-AI72,0))</f>
        <v/>
      </c>
      <c r="AL72" s="34">
        <f>MAX(F72,G72,750)*0.05*AK72</f>
        <v/>
      </c>
      <c r="AM72" s="39" t="n">
        <v>10</v>
      </c>
      <c r="AN72" s="34">
        <f>IF(AI72&gt;AM72*1.05,AI72-AM72*1.05,IF(AI72&lt;AM72*0.95,AM72*0.95-AI72,0))</f>
        <v/>
      </c>
      <c r="AO72" s="34">
        <f>MAX(F72,G72,750)*0.05*AN72</f>
        <v/>
      </c>
      <c r="AP72" s="34" t="n">
        <v>11.57</v>
      </c>
      <c r="AQ72" s="34" t="n">
        <v>11</v>
      </c>
      <c r="AR72" s="34">
        <f>IF(AP72&gt;AQ72*1.05,AP72-AQ72*1.05,IF(AP72&lt;AQ72*0.95,AQ72*0.95-AP72,0))</f>
        <v/>
      </c>
      <c r="AS72" s="34">
        <f>MAX(F72:G72,750)*0.05*AR72</f>
        <v/>
      </c>
      <c r="AT72" t="n">
        <v>11</v>
      </c>
      <c r="AU72" s="34">
        <f>IF(AP72&gt;AT72*1.05,AP72-AT72*1.05,IF(AP72&lt;AT72*0.95,AT72*0.95-AP72,0))</f>
        <v/>
      </c>
      <c r="AV72" s="34">
        <f>MAX(F72:G72,750)*0.05*AU72</f>
        <v/>
      </c>
      <c r="AW72" s="34">
        <f>AC72+AJ72+AQ72</f>
        <v/>
      </c>
      <c r="AX72" s="34">
        <f>AF72+AM72+AT72</f>
        <v/>
      </c>
      <c r="AY72" s="34">
        <f>AB72+AI72+AP72</f>
        <v/>
      </c>
      <c r="AZ72" s="34" t="n">
        <v>0</v>
      </c>
      <c r="BA72" s="34">
        <f>AD72+AK72+AR72</f>
        <v/>
      </c>
      <c r="BB72" s="34">
        <f>MAX(F72:G72,750)*0.05*BA72</f>
        <v/>
      </c>
      <c r="BC72" s="34">
        <f>AG72+AN72+AU72</f>
        <v/>
      </c>
      <c r="BD72" s="34">
        <f>MAX(F72:G72,750)*0.05*BC72</f>
        <v/>
      </c>
      <c r="BE72" s="34">
        <f>F72*AY72</f>
        <v/>
      </c>
      <c r="BF72" s="34">
        <f>K72-M72</f>
        <v/>
      </c>
      <c r="BG72" s="34">
        <f>P72-S72</f>
        <v/>
      </c>
      <c r="BH72" s="34">
        <f>W72-AA72</f>
        <v/>
      </c>
      <c r="BI72" s="34">
        <f>BF72+BG72+BL72-BN72</f>
        <v/>
      </c>
      <c r="BJ72" s="34">
        <f>ABS(BK72)</f>
        <v/>
      </c>
      <c r="BK72" s="34">
        <f>AY72-(J72-L72+N72-Q72)</f>
        <v/>
      </c>
      <c r="BL72" s="34">
        <f>IF(AND(BK72&gt;0,MIN($F72:$G72)&lt;150,$E72="Enerji Açığı"),-100*BK72*1.03,IF(AND(BK72&gt;0,MIN($F72:$G72)&lt;150,$E72="Enerji Fazlası"),-100*BK72*1.06,IF(AND(BK72&gt;0,MIN($F72:$G72)&gt;=150,$E72="Enerji Açığı"),BK72*MIN($F72:$G72)*0.97,IF(AND(BK72&gt;0,MIN($F72:$G72)&gt;=150,$E72="Enerji Fazlası"),BK72*MIN($F72:$G72)*0.94,IF(AND(BK72&lt;0,MAX($F72:$G72)=4500,$E72="Enerji Açığı"),4500*1.05*1.06*BK72,IF(AND(BK72&lt;0,MAX($F72:$G72)=4500,$E72="Enerji Fazlası"),4500*1.05*1.03*BK72,IF(AND(BK72&lt;0,$E72="Enerji Açığı"),MAX($F72,$G72,150)*BK72*1.06,IF(AND(BK72&lt;0,$E72="Enerji Fazlası"),MAX($F72,$G72,150)*BK72*1.03,IF(AND(BK72&lt;0,$E72="Dengede"),MAX($F72:$G72,150)*1.03*BK72,MIN($F72:$G72)*0.97*BK72)))))))))</f>
        <v/>
      </c>
      <c r="BM72" s="34">
        <f>BE72-BI72-BN72</f>
        <v/>
      </c>
      <c r="BN72" s="34">
        <f>BB72</f>
        <v/>
      </c>
      <c r="BO72" s="34">
        <f>BE72-BI72</f>
        <v/>
      </c>
      <c r="BP72" s="34">
        <f>IF(AY72=0,0,BO72/AY72)</f>
        <v/>
      </c>
      <c r="BQ72" s="34">
        <f>MAX((AY72+MAX((-J72+L72-N72+Q72),0)),(MAX((J72-L72+N72-Q72),0)))</f>
        <v/>
      </c>
      <c r="BR72" s="82">
        <f>IFERROR(ABS(BK72/BQ72),0)</f>
        <v/>
      </c>
      <c r="BS72" s="34">
        <f>IF(BR72&lt;=0.1,0,BK72/BR72*(BR72-0.1))</f>
        <v/>
      </c>
      <c r="BT72" s="34">
        <f>IF((BS72)&lt;0,MAX(F72:G72)*(BS72)*1.03,MIN(F72:G72)*(BS72)*0.97)</f>
        <v/>
      </c>
      <c r="BU72" s="34">
        <f>IF(BR72&gt;0.1,1,0)</f>
        <v/>
      </c>
      <c r="BV72" s="34">
        <f>BF72+BG72+BH72+BY72-CA72</f>
        <v/>
      </c>
      <c r="BW72" s="34">
        <f>ABS(BX72)</f>
        <v/>
      </c>
      <c r="BX72" s="34">
        <f>AY72-(J72-L72+N72-Q72+T72-X72)</f>
        <v/>
      </c>
      <c r="BY72" s="34">
        <f>IF(AND(BX72&gt;0,MIN($F72:$G72)&lt;150,$E72="Enerji Açığı"),-100*BX72*1.03,IF(AND(BX72&gt;0,MIN($F72:$G72)&lt;150,$E72="Enerji Fazlası"),-100*BX72*1.06,IF(AND(BX72&gt;0,MIN($F72:$G72)&gt;=150,$E72="Enerji Açığı"),BX72*MIN($F72:$G72)*0.97,IF(AND(BX72&gt;0,MIN($F72:$G72)&gt;=150,$E72="Enerji Fazlası"),BX72*MIN($F72:$G72)*0.94,IF(AND(BX72&lt;0,MAX($F72:$G72)=4500,$E72="Enerji Açığı"),4500*1.05*1.06*BX72,IF(AND(BX72&lt;0,MAX($F72:$G72)=4500,$E72="Enerji Fazlası"),4500*1.05*1.03*BX72,IF(AND(BX72&lt;0,$E72="Enerji Açığı"),MAX($F72,$G72,150)*BX72*1.06,IF(AND(BX72&lt;0,$E72="Enerji Fazlası"),MAX($F72,$G72,150)*BX72*1.03,IF(AND(BX72&lt;0,$E72="Dengede"),MAX($F72:$G72,150)*1.03*BX72,MIN($F72:$G72)*0.97*BX72)))))))))</f>
        <v/>
      </c>
      <c r="BZ72" s="34">
        <f>BE72-BV72-CA72</f>
        <v/>
      </c>
      <c r="CA72" s="34">
        <f>BD72</f>
        <v/>
      </c>
      <c r="CB72" s="33">
        <f>BE72-BV72</f>
        <v/>
      </c>
      <c r="CC72" s="34">
        <f>IF(AY72=0,0,CB72/AY72)</f>
        <v/>
      </c>
      <c r="CD72" s="34">
        <f>MAX((AY72+MAX((-J72+L72-N72+Q72-T72+X72),0)),(MAX((J72-L72+N72-Q72+T72-X72),0)))</f>
        <v/>
      </c>
      <c r="CE72" s="82">
        <f>IFERROR(ABS(BX72/CD72),0)</f>
        <v/>
      </c>
      <c r="CF72" s="34">
        <f>IF(CE72&lt;=0.1,0,BX72/CE72*(CE72-0.1))</f>
        <v/>
      </c>
      <c r="CG72" s="34">
        <f>IF((CF72)&lt;0,MAX(F72:G72)*(CF72)*1.03,MIN(F72:G72)*(CF72)*0.97)</f>
        <v/>
      </c>
      <c r="CH72" s="34">
        <f>IF(CE72&gt;0.1,1,0)</f>
        <v/>
      </c>
      <c r="CI72" s="34">
        <f>(F72*BX72)-BY72</f>
        <v/>
      </c>
      <c r="CJ72" s="34">
        <f>IF(AY72=0,0,CI72/AY72)</f>
        <v/>
      </c>
    </row>
    <row r="73">
      <c r="A73" s="29" t="n">
        <v>46206.91666666666</v>
      </c>
      <c r="B73" s="29" t="inlineStr">
        <is>
          <t>22:00</t>
        </is>
      </c>
      <c r="C73" s="35">
        <f>INT(A73)</f>
        <v/>
      </c>
      <c r="D73" s="36">
        <f>MONTH(A73)</f>
        <v/>
      </c>
      <c r="E73" s="147">
        <f>[1]FİYATLAR!G72</f>
        <v/>
      </c>
      <c r="F73" s="30" t="n">
        <v>3488.19</v>
      </c>
      <c r="G73" s="30" t="n">
        <v>4250</v>
      </c>
      <c r="H73" s="30" t="n">
        <v>74.88</v>
      </c>
      <c r="I73" s="30" t="n">
        <v>3703.99</v>
      </c>
      <c r="J73" s="119" t="n">
        <v>0</v>
      </c>
      <c r="K73" s="34">
        <f>F73*J73</f>
        <v/>
      </c>
      <c r="L73" s="119" t="n">
        <v>0</v>
      </c>
      <c r="M73" s="34">
        <f>L73*F73</f>
        <v/>
      </c>
      <c r="N73" s="119" t="n">
        <v>21</v>
      </c>
      <c r="O73" s="34">
        <f>F73</f>
        <v/>
      </c>
      <c r="P73" s="34">
        <f>N73*O73</f>
        <v/>
      </c>
      <c r="Q73" s="119" t="n">
        <v>0</v>
      </c>
      <c r="R73" s="34">
        <f>F73</f>
        <v/>
      </c>
      <c r="S73" s="34">
        <f>R73*Q73</f>
        <v/>
      </c>
      <c r="T73" s="34">
        <f>SUMIFS('[1]GİP VERİLERİ'!$C:$C,'[1]GİP VERİLERİ'!$B:$B,A73,'[1]GİP VERİLERİ'!$M:$M,"40X000000104782K",'[1]GİP VERİLERİ'!$G:$G,"SELL")</f>
        <v/>
      </c>
      <c r="U73" s="34">
        <f>IFERROR(W73/T73,0)</f>
        <v/>
      </c>
      <c r="V73" s="34">
        <f>IF(U73=0,0,U73-F73)</f>
        <v/>
      </c>
      <c r="W73" s="34">
        <f>SUMIFS('[1]GİP VERİLERİ'!$O:$O,'[1]GİP VERİLERİ'!$B:$B,A73,'[1]GİP VERİLERİ'!$M:$M,"40X000000104782K",'[1]GİP VERİLERİ'!$G:$G,"SELL")</f>
        <v/>
      </c>
      <c r="X73" s="34">
        <f>SUMIFS('[1]GİP VERİLERİ'!$C:$C,'[1]GİP VERİLERİ'!$B:$B,A73,'[1]GİP VERİLERİ'!$M:$M,"40X000000104782K",'[1]GİP VERİLERİ'!$G:$G,"BUY")</f>
        <v/>
      </c>
      <c r="Y73" s="34">
        <f>IFERROR(AA73/X73,0)</f>
        <v/>
      </c>
      <c r="Z73" s="34">
        <f>IF(Y73=0,0,F73-Y73)</f>
        <v/>
      </c>
      <c r="AA73" s="34">
        <f>SUMIFS('[1]GİP VERİLERİ'!$O:$O,'[1]GİP VERİLERİ'!$B:$B,A73,'[1]GİP VERİLERİ'!$M:$M,"40X000000104782K",'[1]GİP VERİLERİ'!$G:$G,"BUY")</f>
        <v/>
      </c>
      <c r="AB73" s="34" t="n">
        <v>0</v>
      </c>
      <c r="AC73" s="34" t="n">
        <v>0</v>
      </c>
      <c r="AD73" s="34">
        <f>IF(AB73&gt;AC73*1.05,AB73-AC73*1.05,IF(AB73&lt;AC73*0.95,AC73*0.95-AB73,0))</f>
        <v/>
      </c>
      <c r="AE73" s="34">
        <f>MAX(F73,G73,750)*0.05*AD73</f>
        <v/>
      </c>
      <c r="AF73" s="34" t="n">
        <v>0</v>
      </c>
      <c r="AG73" s="34">
        <f>IF(AB73&gt;AF73*1.05,AB73-AF73*1.05,IF(AB73&lt;AF73*0.95,AF73*0.95-AB73,0))</f>
        <v/>
      </c>
      <c r="AH73" s="34">
        <f>MAX(I73,J73,750)*0.05*AG73</f>
        <v/>
      </c>
      <c r="AI73" t="n">
        <v>10.12</v>
      </c>
      <c r="AJ73" t="n">
        <v>10</v>
      </c>
      <c r="AK73" s="34">
        <f>IF(AI73&gt;AJ73*1.05,AI73-AJ73*1.05,IF(AI73&lt;AJ73*0.95,AJ73*0.95-AI73,0))</f>
        <v/>
      </c>
      <c r="AL73" s="34">
        <f>MAX(F73,G73,750)*0.05*AK73</f>
        <v/>
      </c>
      <c r="AM73" s="39" t="n">
        <v>10</v>
      </c>
      <c r="AN73" s="34">
        <f>IF(AI73&gt;AM73*1.05,AI73-AM73*1.05,IF(AI73&lt;AM73*0.95,AM73*0.95-AI73,0))</f>
        <v/>
      </c>
      <c r="AO73" s="34">
        <f>MAX(F73,G73,750)*0.05*AN73</f>
        <v/>
      </c>
      <c r="AP73" s="34" t="n">
        <v>11.08</v>
      </c>
      <c r="AQ73" s="34" t="n">
        <v>11</v>
      </c>
      <c r="AR73" s="34">
        <f>IF(AP73&gt;AQ73*1.05,AP73-AQ73*1.05,IF(AP73&lt;AQ73*0.95,AQ73*0.95-AP73,0))</f>
        <v/>
      </c>
      <c r="AS73" s="34">
        <f>MAX(F73:G73,750)*0.05*AR73</f>
        <v/>
      </c>
      <c r="AT73" t="n">
        <v>11</v>
      </c>
      <c r="AU73" s="34">
        <f>IF(AP73&gt;AT73*1.05,AP73-AT73*1.05,IF(AP73&lt;AT73*0.95,AT73*0.95-AP73,0))</f>
        <v/>
      </c>
      <c r="AV73" s="34">
        <f>MAX(F73:G73,750)*0.05*AU73</f>
        <v/>
      </c>
      <c r="AW73" s="34">
        <f>AC73+AJ73+AQ73</f>
        <v/>
      </c>
      <c r="AX73" s="34">
        <f>AF73+AM73+AT73</f>
        <v/>
      </c>
      <c r="AY73" s="34">
        <f>AB73+AI73+AP73</f>
        <v/>
      </c>
      <c r="AZ73" s="34" t="n">
        <v>0</v>
      </c>
      <c r="BA73" s="34">
        <f>AD73+AK73+AR73</f>
        <v/>
      </c>
      <c r="BB73" s="34">
        <f>MAX(F73:G73,750)*0.05*BA73</f>
        <v/>
      </c>
      <c r="BC73" s="34">
        <f>AG73+AN73+AU73</f>
        <v/>
      </c>
      <c r="BD73" s="34">
        <f>MAX(F73:G73,750)*0.05*BC73</f>
        <v/>
      </c>
      <c r="BE73" s="34">
        <f>F73*AY73</f>
        <v/>
      </c>
      <c r="BF73" s="34">
        <f>K73-M73</f>
        <v/>
      </c>
      <c r="BG73" s="34">
        <f>P73-S73</f>
        <v/>
      </c>
      <c r="BH73" s="34">
        <f>W73-AA73</f>
        <v/>
      </c>
      <c r="BI73" s="34">
        <f>BF73+BG73+BL73-BN73</f>
        <v/>
      </c>
      <c r="BJ73" s="34">
        <f>ABS(BK73)</f>
        <v/>
      </c>
      <c r="BK73" s="34">
        <f>AY73-(J73-L73+N73-Q73)</f>
        <v/>
      </c>
      <c r="BL73" s="34">
        <f>IF(AND(BK73&gt;0,MIN($F73:$G73)&lt;150,$E73="Enerji Açığı"),-100*BK73*1.03,IF(AND(BK73&gt;0,MIN($F73:$G73)&lt;150,$E73="Enerji Fazlası"),-100*BK73*1.06,IF(AND(BK73&gt;0,MIN($F73:$G73)&gt;=150,$E73="Enerji Açığı"),BK73*MIN($F73:$G73)*0.97,IF(AND(BK73&gt;0,MIN($F73:$G73)&gt;=150,$E73="Enerji Fazlası"),BK73*MIN($F73:$G73)*0.94,IF(AND(BK73&lt;0,MAX($F73:$G73)=4500,$E73="Enerji Açığı"),4500*1.05*1.06*BK73,IF(AND(BK73&lt;0,MAX($F73:$G73)=4500,$E73="Enerji Fazlası"),4500*1.05*1.03*BK73,IF(AND(BK73&lt;0,$E73="Enerji Açığı"),MAX($F73,$G73,150)*BK73*1.06,IF(AND(BK73&lt;0,$E73="Enerji Fazlası"),MAX($F73,$G73,150)*BK73*1.03,IF(AND(BK73&lt;0,$E73="Dengede"),MAX($F73:$G73,150)*1.03*BK73,MIN($F73:$G73)*0.97*BK73)))))))))</f>
        <v/>
      </c>
      <c r="BM73" s="34">
        <f>BE73-BI73-BN73</f>
        <v/>
      </c>
      <c r="BN73" s="34">
        <f>BB73</f>
        <v/>
      </c>
      <c r="BO73" s="34">
        <f>BE73-BI73</f>
        <v/>
      </c>
      <c r="BP73" s="34">
        <f>IF(AY73=0,0,BO73/AY73)</f>
        <v/>
      </c>
      <c r="BQ73" s="34">
        <f>MAX((AY73+MAX((-J73+L73-N73+Q73),0)),(MAX((J73-L73+N73-Q73),0)))</f>
        <v/>
      </c>
      <c r="BR73" s="82">
        <f>IFERROR(ABS(BK73/BQ73),0)</f>
        <v/>
      </c>
      <c r="BS73" s="34">
        <f>IF(BR73&lt;=0.1,0,BK73/BR73*(BR73-0.1))</f>
        <v/>
      </c>
      <c r="BT73" s="34">
        <f>IF((BS73)&lt;0,MAX(F73:G73)*(BS73)*1.03,MIN(F73:G73)*(BS73)*0.97)</f>
        <v/>
      </c>
      <c r="BU73" s="34">
        <f>IF(BR73&gt;0.1,1,0)</f>
        <v/>
      </c>
      <c r="BV73" s="34">
        <f>BF73+BG73+BH73+BY73-CA73</f>
        <v/>
      </c>
      <c r="BW73" s="34">
        <f>ABS(BX73)</f>
        <v/>
      </c>
      <c r="BX73" s="34">
        <f>AY73-(J73-L73+N73-Q73+T73-X73)</f>
        <v/>
      </c>
      <c r="BY73" s="34">
        <f>IF(AND(BX73&gt;0,MIN($F73:$G73)&lt;150,$E73="Enerji Açığı"),-100*BX73*1.03,IF(AND(BX73&gt;0,MIN($F73:$G73)&lt;150,$E73="Enerji Fazlası"),-100*BX73*1.06,IF(AND(BX73&gt;0,MIN($F73:$G73)&gt;=150,$E73="Enerji Açığı"),BX73*MIN($F73:$G73)*0.97,IF(AND(BX73&gt;0,MIN($F73:$G73)&gt;=150,$E73="Enerji Fazlası"),BX73*MIN($F73:$G73)*0.94,IF(AND(BX73&lt;0,MAX($F73:$G73)=4500,$E73="Enerji Açığı"),4500*1.05*1.06*BX73,IF(AND(BX73&lt;0,MAX($F73:$G73)=4500,$E73="Enerji Fazlası"),4500*1.05*1.03*BX73,IF(AND(BX73&lt;0,$E73="Enerji Açığı"),MAX($F73,$G73,150)*BX73*1.06,IF(AND(BX73&lt;0,$E73="Enerji Fazlası"),MAX($F73,$G73,150)*BX73*1.03,IF(AND(BX73&lt;0,$E73="Dengede"),MAX($F73:$G73,150)*1.03*BX73,MIN($F73:$G73)*0.97*BX73)))))))))</f>
        <v/>
      </c>
      <c r="BZ73" s="34">
        <f>BE73-BV73-CA73</f>
        <v/>
      </c>
      <c r="CA73" s="34">
        <f>BD73</f>
        <v/>
      </c>
      <c r="CB73" s="33">
        <f>BE73-BV73</f>
        <v/>
      </c>
      <c r="CC73" s="34">
        <f>IF(AY73=0,0,CB73/AY73)</f>
        <v/>
      </c>
      <c r="CD73" s="34">
        <f>MAX((AY73+MAX((-J73+L73-N73+Q73-T73+X73),0)),(MAX((J73-L73+N73-Q73+T73-X73),0)))</f>
        <v/>
      </c>
      <c r="CE73" s="82">
        <f>IFERROR(ABS(BX73/CD73),0)</f>
        <v/>
      </c>
      <c r="CF73" s="34">
        <f>IF(CE73&lt;=0.1,0,BX73/CE73*(CE73-0.1))</f>
        <v/>
      </c>
      <c r="CG73" s="34">
        <f>IF((CF73)&lt;0,MAX(F73:G73)*(CF73)*1.03,MIN(F73:G73)*(CF73)*0.97)</f>
        <v/>
      </c>
      <c r="CH73" s="34">
        <f>IF(CE73&gt;0.1,1,0)</f>
        <v/>
      </c>
      <c r="CI73" s="34">
        <f>(F73*BX73)-BY73</f>
        <v/>
      </c>
      <c r="CJ73" s="34">
        <f>IF(AY73=0,0,CI73/AY73)</f>
        <v/>
      </c>
    </row>
    <row r="74">
      <c r="A74" s="29" t="n">
        <v>46206.95833333334</v>
      </c>
      <c r="B74" s="29" t="inlineStr">
        <is>
          <t>23:00</t>
        </is>
      </c>
      <c r="C74" s="35">
        <f>INT(A74)</f>
        <v/>
      </c>
      <c r="D74" s="36">
        <f>MONTH(A74)</f>
        <v/>
      </c>
      <c r="E74" s="147">
        <f>[1]FİYATLAR!G73</f>
        <v/>
      </c>
      <c r="F74" s="30" t="n">
        <v>2924.18</v>
      </c>
      <c r="G74" s="30" t="n">
        <v>2934.18</v>
      </c>
      <c r="H74" s="30" t="n">
        <v>62.77</v>
      </c>
      <c r="I74" s="30" t="n">
        <v>3257.28</v>
      </c>
      <c r="J74" s="119" t="n">
        <v>0</v>
      </c>
      <c r="K74" s="34">
        <f>F74*J74</f>
        <v/>
      </c>
      <c r="L74" s="119" t="n">
        <v>0</v>
      </c>
      <c r="M74" s="34">
        <f>L74*F74</f>
        <v/>
      </c>
      <c r="N74" s="119" t="n">
        <v>21</v>
      </c>
      <c r="O74" s="34">
        <f>F74</f>
        <v/>
      </c>
      <c r="P74" s="34">
        <f>N74*O74</f>
        <v/>
      </c>
      <c r="Q74" s="119" t="n">
        <v>0</v>
      </c>
      <c r="R74" s="34">
        <f>F74</f>
        <v/>
      </c>
      <c r="S74" s="34">
        <f>R74*Q74</f>
        <v/>
      </c>
      <c r="T74" s="34">
        <f>SUMIFS('[1]GİP VERİLERİ'!$C:$C,'[1]GİP VERİLERİ'!$B:$B,A74,'[1]GİP VERİLERİ'!$M:$M,"40X000000104782K",'[1]GİP VERİLERİ'!$G:$G,"SELL")</f>
        <v/>
      </c>
      <c r="U74" s="34">
        <f>IFERROR(W74/T74,0)</f>
        <v/>
      </c>
      <c r="V74" s="34">
        <f>IF(U74=0,0,U74-F74)</f>
        <v/>
      </c>
      <c r="W74" s="34">
        <f>SUMIFS('[1]GİP VERİLERİ'!$O:$O,'[1]GİP VERİLERİ'!$B:$B,A74,'[1]GİP VERİLERİ'!$M:$M,"40X000000104782K",'[1]GİP VERİLERİ'!$G:$G,"SELL")</f>
        <v/>
      </c>
      <c r="X74" s="34">
        <f>SUMIFS('[1]GİP VERİLERİ'!$C:$C,'[1]GİP VERİLERİ'!$B:$B,A74,'[1]GİP VERİLERİ'!$M:$M,"40X000000104782K",'[1]GİP VERİLERİ'!$G:$G,"BUY")</f>
        <v/>
      </c>
      <c r="Y74" s="34">
        <f>IFERROR(AA74/X74,0)</f>
        <v/>
      </c>
      <c r="Z74" s="34">
        <f>IF(Y74=0,0,F74-Y74)</f>
        <v/>
      </c>
      <c r="AA74" s="34">
        <f>SUMIFS('[1]GİP VERİLERİ'!$O:$O,'[1]GİP VERİLERİ'!$B:$B,A74,'[1]GİP VERİLERİ'!$M:$M,"40X000000104782K",'[1]GİP VERİLERİ'!$G:$G,"BUY")</f>
        <v/>
      </c>
      <c r="AB74" s="34" t="n">
        <v>0</v>
      </c>
      <c r="AC74" s="34" t="n">
        <v>0</v>
      </c>
      <c r="AD74" s="34">
        <f>IF(AB74&gt;AC74*1.05,AB74-AC74*1.05,IF(AB74&lt;AC74*0.95,AC74*0.95-AB74,0))</f>
        <v/>
      </c>
      <c r="AE74" s="34">
        <f>MAX(F74,G74,750)*0.05*AD74</f>
        <v/>
      </c>
      <c r="AF74" s="34" t="n">
        <v>0</v>
      </c>
      <c r="AG74" s="34">
        <f>IF(AB74&gt;AF74*1.05,AB74-AF74*1.05,IF(AB74&lt;AF74*0.95,AF74*0.95-AB74,0))</f>
        <v/>
      </c>
      <c r="AH74" s="34">
        <f>MAX(I74,J74,750)*0.05*AG74</f>
        <v/>
      </c>
      <c r="AI74" t="n">
        <v>10.17</v>
      </c>
      <c r="AJ74" t="n">
        <v>10</v>
      </c>
      <c r="AK74" s="34">
        <f>IF(AI74&gt;AJ74*1.05,AI74-AJ74*1.05,IF(AI74&lt;AJ74*0.95,AJ74*0.95-AI74,0))</f>
        <v/>
      </c>
      <c r="AL74" s="34">
        <f>MAX(F74,G74,750)*0.05*AK74</f>
        <v/>
      </c>
      <c r="AM74" s="39" t="n">
        <v>10</v>
      </c>
      <c r="AN74" s="34">
        <f>IF(AI74&gt;AM74*1.05,AI74-AM74*1.05,IF(AI74&lt;AM74*0.95,AM74*0.95-AI74,0))</f>
        <v/>
      </c>
      <c r="AO74" s="34">
        <f>MAX(F74,G74,750)*0.05*AN74</f>
        <v/>
      </c>
      <c r="AP74" s="34" t="n">
        <v>12.07</v>
      </c>
      <c r="AQ74" s="34" t="n">
        <v>11</v>
      </c>
      <c r="AR74" s="34">
        <f>IF(AP74&gt;AQ74*1.05,AP74-AQ74*1.05,IF(AP74&lt;AQ74*0.95,AQ74*0.95-AP74,0))</f>
        <v/>
      </c>
      <c r="AS74" s="34">
        <f>MAX(F74:G74,750)*0.05*AR74</f>
        <v/>
      </c>
      <c r="AT74" t="n">
        <v>12</v>
      </c>
      <c r="AU74" s="34">
        <f>IF(AP74&gt;AT74*1.05,AP74-AT74*1.05,IF(AP74&lt;AT74*0.95,AT74*0.95-AP74,0))</f>
        <v/>
      </c>
      <c r="AV74" s="34">
        <f>MAX(F74:G74,750)*0.05*AU74</f>
        <v/>
      </c>
      <c r="AW74" s="34">
        <f>AC74+AJ74+AQ74</f>
        <v/>
      </c>
      <c r="AX74" s="34">
        <f>AF74+AM74+AT74</f>
        <v/>
      </c>
      <c r="AY74" s="34">
        <f>AB74+AI74+AP74</f>
        <v/>
      </c>
      <c r="AZ74" s="34" t="n">
        <v>0</v>
      </c>
      <c r="BA74" s="34">
        <f>AD74+AK74+AR74</f>
        <v/>
      </c>
      <c r="BB74" s="34">
        <f>MAX(F74:G74,750)*0.05*BA74</f>
        <v/>
      </c>
      <c r="BC74" s="34">
        <f>AG74+AN74+AU74</f>
        <v/>
      </c>
      <c r="BD74" s="34">
        <f>MAX(F74:G74,750)*0.05*BC74</f>
        <v/>
      </c>
      <c r="BE74" s="34">
        <f>F74*AY74</f>
        <v/>
      </c>
      <c r="BF74" s="34">
        <f>K74-M74</f>
        <v/>
      </c>
      <c r="BG74" s="34">
        <f>P74-S74</f>
        <v/>
      </c>
      <c r="BH74" s="34">
        <f>W74-AA74</f>
        <v/>
      </c>
      <c r="BI74" s="34">
        <f>BF74+BG74+BL74-BN74</f>
        <v/>
      </c>
      <c r="BJ74" s="34">
        <f>ABS(BK74)</f>
        <v/>
      </c>
      <c r="BK74" s="34">
        <f>AY74-(J74-L74+N74-Q74)</f>
        <v/>
      </c>
      <c r="BL74" s="34">
        <f>IF(AND(BK74&gt;0,MIN($F74:$G74)&lt;150,$E74="Enerji Açığı"),-100*BK74*1.03,IF(AND(BK74&gt;0,MIN($F74:$G74)&lt;150,$E74="Enerji Fazlası"),-100*BK74*1.06,IF(AND(BK74&gt;0,MIN($F74:$G74)&gt;=150,$E74="Enerji Açığı"),BK74*MIN($F74:$G74)*0.97,IF(AND(BK74&gt;0,MIN($F74:$G74)&gt;=150,$E74="Enerji Fazlası"),BK74*MIN($F74:$G74)*0.94,IF(AND(BK74&lt;0,MAX($F74:$G74)=4500,$E74="Enerji Açığı"),4500*1.05*1.06*BK74,IF(AND(BK74&lt;0,MAX($F74:$G74)=4500,$E74="Enerji Fazlası"),4500*1.05*1.03*BK74,IF(AND(BK74&lt;0,$E74="Enerji Açığı"),MAX($F74,$G74,150)*BK74*1.06,IF(AND(BK74&lt;0,$E74="Enerji Fazlası"),MAX($F74,$G74,150)*BK74*1.03,IF(AND(BK74&lt;0,$E74="Dengede"),MAX($F74:$G74,150)*1.03*BK74,MIN($F74:$G74)*0.97*BK74)))))))))</f>
        <v/>
      </c>
      <c r="BM74" s="34">
        <f>BE74-BI74-BN74</f>
        <v/>
      </c>
      <c r="BN74" s="34">
        <f>BB74</f>
        <v/>
      </c>
      <c r="BO74" s="34">
        <f>BE74-BI74</f>
        <v/>
      </c>
      <c r="BP74" s="34">
        <f>IF(AY74=0,0,BO74/AY74)</f>
        <v/>
      </c>
      <c r="BQ74" s="34">
        <f>MAX((AY74+MAX((-J74+L74-N74+Q74),0)),(MAX((J74-L74+N74-Q74),0)))</f>
        <v/>
      </c>
      <c r="BR74" s="82">
        <f>IFERROR(ABS(BK74/BQ74),0)</f>
        <v/>
      </c>
      <c r="BS74" s="34">
        <f>IF(BR74&lt;=0.1,0,BK74/BR74*(BR74-0.1))</f>
        <v/>
      </c>
      <c r="BT74" s="34">
        <f>IF((BS74)&lt;0,MAX(F74:G74)*(BS74)*1.03,MIN(F74:G74)*(BS74)*0.97)</f>
        <v/>
      </c>
      <c r="BU74" s="34">
        <f>IF(BR74&gt;0.1,1,0)</f>
        <v/>
      </c>
      <c r="BV74" s="34">
        <f>BF74+BG74+BH74+BY74-CA74</f>
        <v/>
      </c>
      <c r="BW74" s="34">
        <f>ABS(BX74)</f>
        <v/>
      </c>
      <c r="BX74" s="34">
        <f>AY74-(J74-L74+N74-Q74+T74-X74)</f>
        <v/>
      </c>
      <c r="BY74" s="34">
        <f>IF(AND(BX74&gt;0,MIN($F74:$G74)&lt;150,$E74="Enerji Açığı"),-100*BX74*1.03,IF(AND(BX74&gt;0,MIN($F74:$G74)&lt;150,$E74="Enerji Fazlası"),-100*BX74*1.06,IF(AND(BX74&gt;0,MIN($F74:$G74)&gt;=150,$E74="Enerji Açığı"),BX74*MIN($F74:$G74)*0.97,IF(AND(BX74&gt;0,MIN($F74:$G74)&gt;=150,$E74="Enerji Fazlası"),BX74*MIN($F74:$G74)*0.94,IF(AND(BX74&lt;0,MAX($F74:$G74)=4500,$E74="Enerji Açığı"),4500*1.05*1.06*BX74,IF(AND(BX74&lt;0,MAX($F74:$G74)=4500,$E74="Enerji Fazlası"),4500*1.05*1.03*BX74,IF(AND(BX74&lt;0,$E74="Enerji Açığı"),MAX($F74,$G74,150)*BX74*1.06,IF(AND(BX74&lt;0,$E74="Enerji Fazlası"),MAX($F74,$G74,150)*BX74*1.03,IF(AND(BX74&lt;0,$E74="Dengede"),MAX($F74:$G74,150)*1.03*BX74,MIN($F74:$G74)*0.97*BX74)))))))))</f>
        <v/>
      </c>
      <c r="BZ74" s="34">
        <f>BE74-BV74-CA74</f>
        <v/>
      </c>
      <c r="CA74" s="34">
        <f>BD74</f>
        <v/>
      </c>
      <c r="CB74" s="33">
        <f>BE74-BV74</f>
        <v/>
      </c>
      <c r="CC74" s="34">
        <f>IF(AY74=0,0,CB74/AY74)</f>
        <v/>
      </c>
      <c r="CD74" s="34">
        <f>MAX((AY74+MAX((-J74+L74-N74+Q74-T74+X74),0)),(MAX((J74-L74+N74-Q74+T74-X74),0)))</f>
        <v/>
      </c>
      <c r="CE74" s="82">
        <f>IFERROR(ABS(BX74/CD74),0)</f>
        <v/>
      </c>
      <c r="CF74" s="34">
        <f>IF(CE74&lt;=0.1,0,BX74/CE74*(CE74-0.1))</f>
        <v/>
      </c>
      <c r="CG74" s="34">
        <f>IF((CF74)&lt;0,MAX(F74:G74)*(CF74)*1.03,MIN(F74:G74)*(CF74)*0.97)</f>
        <v/>
      </c>
      <c r="CH74" s="34">
        <f>IF(CE74&gt;0.1,1,0)</f>
        <v/>
      </c>
      <c r="CI74" s="34">
        <f>(F74*BX74)-BY74</f>
        <v/>
      </c>
      <c r="CJ74" s="34">
        <f>IF(AY74=0,0,CI74/AY74)</f>
        <v/>
      </c>
    </row>
    <row r="75">
      <c r="A75" s="29" t="n">
        <v>46207</v>
      </c>
      <c r="B75" s="29" t="inlineStr">
        <is>
          <t>00:00</t>
        </is>
      </c>
      <c r="C75" s="35">
        <f>INT(A75)</f>
        <v/>
      </c>
      <c r="D75" s="36">
        <f>MONTH(A75)</f>
        <v/>
      </c>
      <c r="E75" s="147">
        <f>[1]FİYATLAR!G74</f>
        <v/>
      </c>
      <c r="F75" s="30" t="n">
        <v>3400</v>
      </c>
      <c r="G75" s="30" t="n">
        <v>3699</v>
      </c>
      <c r="H75" s="30" t="n">
        <v>72.95</v>
      </c>
      <c r="I75" s="30" t="n">
        <v>3633.88</v>
      </c>
      <c r="J75" s="119" t="n">
        <v>0</v>
      </c>
      <c r="K75" s="34">
        <f>F75*J75</f>
        <v/>
      </c>
      <c r="L75" s="119" t="n">
        <v>0</v>
      </c>
      <c r="M75" s="34">
        <f>L75*F75</f>
        <v/>
      </c>
      <c r="N75" s="119" t="n">
        <v>19</v>
      </c>
      <c r="O75" s="34">
        <f>F75</f>
        <v/>
      </c>
      <c r="P75" s="34">
        <f>N75*O75</f>
        <v/>
      </c>
      <c r="Q75" s="117" t="n">
        <v>0</v>
      </c>
      <c r="R75" s="34">
        <f>F75</f>
        <v/>
      </c>
      <c r="S75" s="34">
        <f>R75*Q75</f>
        <v/>
      </c>
      <c r="T75" s="34">
        <f>SUMIFS('[1]GİP VERİLERİ'!$C:$C,'[1]GİP VERİLERİ'!$B:$B,A75,'[1]GİP VERİLERİ'!$M:$M,"40X000000104782K",'[1]GİP VERİLERİ'!$G:$G,"SELL")</f>
        <v/>
      </c>
      <c r="U75" s="34">
        <f>IFERROR(W75/T75,0)</f>
        <v/>
      </c>
      <c r="V75" s="34">
        <f>IF(U75=0,0,U75-F75)</f>
        <v/>
      </c>
      <c r="W75" s="34">
        <f>SUMIFS('[1]GİP VERİLERİ'!$O:$O,'[1]GİP VERİLERİ'!$B:$B,A75,'[1]GİP VERİLERİ'!$M:$M,"40X000000104782K",'[1]GİP VERİLERİ'!$G:$G,"SELL")</f>
        <v/>
      </c>
      <c r="X75" s="34">
        <f>SUMIFS('[1]GİP VERİLERİ'!$C:$C,'[1]GİP VERİLERİ'!$B:$B,A75,'[1]GİP VERİLERİ'!$M:$M,"40X000000104782K",'[1]GİP VERİLERİ'!$G:$G,"BUY")</f>
        <v/>
      </c>
      <c r="Y75" s="34">
        <f>IFERROR(AA75/X75,0)</f>
        <v/>
      </c>
      <c r="Z75" s="34">
        <f>IF(Y75=0,0,F75-Y75)</f>
        <v/>
      </c>
      <c r="AA75" s="34">
        <f>SUMIFS('[1]GİP VERİLERİ'!$O:$O,'[1]GİP VERİLERİ'!$B:$B,A75,'[1]GİP VERİLERİ'!$M:$M,"40X000000104782K",'[1]GİP VERİLERİ'!$G:$G,"BUY")</f>
        <v/>
      </c>
      <c r="AB75" s="34" t="n">
        <v>0</v>
      </c>
      <c r="AC75" s="34" t="n">
        <v>0</v>
      </c>
      <c r="AD75" s="34">
        <f>IF(AB75&gt;AC75*1.05,AB75-AC75*1.05,IF(AB75&lt;AC75*0.95,AC75*0.95-AB75,0))</f>
        <v/>
      </c>
      <c r="AE75" s="34">
        <f>MAX(F75,G75,750)*0.05*AD75</f>
        <v/>
      </c>
      <c r="AF75" s="34" t="n">
        <v>0</v>
      </c>
      <c r="AG75" s="34">
        <f>IF(AB75&gt;AF75*1.05,AB75-AF75*1.05,IF(AB75&lt;AF75*0.95,AF75*0.95-AB75,0))</f>
        <v/>
      </c>
      <c r="AH75" s="34">
        <f>MAX(I75,J75,750)*0.05*AG75</f>
        <v/>
      </c>
      <c r="AI75" t="n">
        <v>10.2</v>
      </c>
      <c r="AJ75" t="n">
        <v>8</v>
      </c>
      <c r="AK75" s="34">
        <f>IF(AI75&gt;AJ75*1.05,AI75-AJ75*1.05,IF(AI75&lt;AJ75*0.95,AJ75*0.95-AI75,0))</f>
        <v/>
      </c>
      <c r="AL75" s="34">
        <f>MAX(F75,G75,750)*0.05*AK75</f>
        <v/>
      </c>
      <c r="AM75" s="39" t="n">
        <v>10</v>
      </c>
      <c r="AN75" s="34">
        <f>IF(AI75&gt;AM75*1.05,AI75-AM75*1.05,IF(AI75&lt;AM75*0.95,AM75*0.95-AI75,0))</f>
        <v/>
      </c>
      <c r="AO75" s="34">
        <f>MAX(F75,G75,750)*0.05*AN75</f>
        <v/>
      </c>
      <c r="AP75" s="34" t="n">
        <v>12.17</v>
      </c>
      <c r="AQ75" s="34" t="n">
        <v>11</v>
      </c>
      <c r="AR75" s="34">
        <f>IF(AP75&gt;AQ75*1.05,AP75-AQ75*1.05,IF(AP75&lt;AQ75*0.95,AQ75*0.95-AP75,0))</f>
        <v/>
      </c>
      <c r="AS75" s="34">
        <f>MAX(F75:G75,750)*0.05*AR75</f>
        <v/>
      </c>
      <c r="AT75" t="n">
        <v>12</v>
      </c>
      <c r="AU75" s="34">
        <f>IF(AP75&gt;AT75*1.05,AP75-AT75*1.05,IF(AP75&lt;AT75*0.95,AT75*0.95-AP75,0))</f>
        <v/>
      </c>
      <c r="AV75" s="34">
        <f>MAX(F75:G75,750)*0.05*AU75</f>
        <v/>
      </c>
      <c r="AW75" s="34">
        <f>AC75+AJ75+AQ75</f>
        <v/>
      </c>
      <c r="AX75" s="34">
        <f>AF75+AM75+AT75</f>
        <v/>
      </c>
      <c r="AY75" s="34">
        <f>AB75+AI75+AP75</f>
        <v/>
      </c>
      <c r="AZ75" s="34" t="n">
        <v>0</v>
      </c>
      <c r="BA75" s="34">
        <f>AD75+AK75+AR75</f>
        <v/>
      </c>
      <c r="BB75" s="34">
        <f>MAX(F75:G75,750)*0.05*BA75</f>
        <v/>
      </c>
      <c r="BC75" s="34">
        <f>AG75+AN75+AU75</f>
        <v/>
      </c>
      <c r="BD75" s="34">
        <f>MAX(F75:G75,750)*0.05*BC75</f>
        <v/>
      </c>
      <c r="BE75" s="34">
        <f>F75*AY75</f>
        <v/>
      </c>
      <c r="BF75" s="34">
        <f>K75-M75</f>
        <v/>
      </c>
      <c r="BG75" s="34">
        <f>P75-S75</f>
        <v/>
      </c>
      <c r="BH75" s="34">
        <f>W75-AA75</f>
        <v/>
      </c>
      <c r="BI75" s="34">
        <f>BF75+BG75+BL75-BN75</f>
        <v/>
      </c>
      <c r="BJ75" s="34">
        <f>ABS(BK75)</f>
        <v/>
      </c>
      <c r="BK75" s="34">
        <f>AY75-(J75-L75+N75-Q75)</f>
        <v/>
      </c>
      <c r="BL75" s="34">
        <f>IF(AND(BK75&gt;0,MIN($F75:$G75)&lt;150,$E75="Enerji Açığı"),-100*BK75*1.03,IF(AND(BK75&gt;0,MIN($F75:$G75)&lt;150,$E75="Enerji Fazlası"),-100*BK75*1.06,IF(AND(BK75&gt;0,MIN($F75:$G75)&gt;=150,$E75="Enerji Açığı"),BK75*MIN($F75:$G75)*0.97,IF(AND(BK75&gt;0,MIN($F75:$G75)&gt;=150,$E75="Enerji Fazlası"),BK75*MIN($F75:$G75)*0.94,IF(AND(BK75&lt;0,MAX($F75:$G75)=4500,$E75="Enerji Açığı"),4500*1.05*1.06*BK75,IF(AND(BK75&lt;0,MAX($F75:$G75)=4500,$E75="Enerji Fazlası"),4500*1.05*1.03*BK75,IF(AND(BK75&lt;0,$E75="Enerji Açığı"),MAX($F75,$G75,150)*BK75*1.06,IF(AND(BK75&lt;0,$E75="Enerji Fazlası"),MAX($F75,$G75,150)*BK75*1.03,IF(AND(BK75&lt;0,$E75="Dengede"),MAX($F75:$G75,150)*1.03*BK75,MIN($F75:$G75)*0.97*BK75)))))))))</f>
        <v/>
      </c>
      <c r="BM75" s="34">
        <f>BE75-BI75-BN75</f>
        <v/>
      </c>
      <c r="BN75" s="34">
        <f>BB75</f>
        <v/>
      </c>
      <c r="BO75" s="34">
        <f>BE75-BI75</f>
        <v/>
      </c>
      <c r="BP75" s="34">
        <f>IF(AY75=0,0,BO75/AY75)</f>
        <v/>
      </c>
      <c r="BQ75" s="34">
        <f>MAX((AY75+MAX((-J75+L75-N75+Q75),0)),(MAX((J75-L75+N75-Q75),0)))</f>
        <v/>
      </c>
      <c r="BR75" s="82">
        <f>IFERROR(ABS(BK75/BQ75),0)</f>
        <v/>
      </c>
      <c r="BS75" s="34">
        <f>IF(BR75&lt;=0.1,0,BK75/BR75*(BR75-0.1))</f>
        <v/>
      </c>
      <c r="BT75" s="34">
        <f>IF((BS75)&lt;0,MAX(F75:G75)*(BS75)*1.03,MIN(F75:G75)*(BS75)*0.97)</f>
        <v/>
      </c>
      <c r="BU75" s="34">
        <f>IF(BR75&gt;0.1,1,0)</f>
        <v/>
      </c>
      <c r="BV75" s="34">
        <f>BF75+BG75+BH75+BY75-CA75</f>
        <v/>
      </c>
      <c r="BW75" s="34">
        <f>ABS(BX75)</f>
        <v/>
      </c>
      <c r="BX75" s="34">
        <f>AY75-(J75-L75+N75-Q75+T75-X75)</f>
        <v/>
      </c>
      <c r="BY75" s="34">
        <f>IF(AND(BX75&gt;0,MIN($F75:$G75)&lt;150,$E75="Enerji Açığı"),-100*BX75*1.03,IF(AND(BX75&gt;0,MIN($F75:$G75)&lt;150,$E75="Enerji Fazlası"),-100*BX75*1.06,IF(AND(BX75&gt;0,MIN($F75:$G75)&gt;=150,$E75="Enerji Açığı"),BX75*MIN($F75:$G75)*0.97,IF(AND(BX75&gt;0,MIN($F75:$G75)&gt;=150,$E75="Enerji Fazlası"),BX75*MIN($F75:$G75)*0.94,IF(AND(BX75&lt;0,MAX($F75:$G75)=4500,$E75="Enerji Açığı"),4500*1.05*1.06*BX75,IF(AND(BX75&lt;0,MAX($F75:$G75)=4500,$E75="Enerji Fazlası"),4500*1.05*1.03*BX75,IF(AND(BX75&lt;0,$E75="Enerji Açığı"),MAX($F75,$G75,150)*BX75*1.06,IF(AND(BX75&lt;0,$E75="Enerji Fazlası"),MAX($F75,$G75,150)*BX75*1.03,IF(AND(BX75&lt;0,$E75="Dengede"),MAX($F75:$G75,150)*1.03*BX75,MIN($F75:$G75)*0.97*BX75)))))))))</f>
        <v/>
      </c>
      <c r="BZ75" s="34">
        <f>BE75-BV75-CA75</f>
        <v/>
      </c>
      <c r="CA75" s="34">
        <f>BD75</f>
        <v/>
      </c>
      <c r="CB75" s="33">
        <f>BE75-BV75</f>
        <v/>
      </c>
      <c r="CC75" s="34">
        <f>IF(AY75=0,0,CB75/AY75)</f>
        <v/>
      </c>
      <c r="CD75" s="34">
        <f>MAX((AY75+MAX((-J75+L75-N75+Q75-T75+X75),0)),(MAX((J75-L75+N75-Q75+T75-X75),0)))</f>
        <v/>
      </c>
      <c r="CE75" s="82">
        <f>IFERROR(ABS(BX75/CD75),0)</f>
        <v/>
      </c>
      <c r="CF75" s="34">
        <f>IF(CE75&lt;=0.1,0,BX75/CE75*(CE75-0.1))</f>
        <v/>
      </c>
      <c r="CG75" s="34">
        <f>IF((CF75)&lt;0,MAX(F75:G75)*(CF75)*1.03,MIN(F75:G75)*(CF75)*0.97)</f>
        <v/>
      </c>
      <c r="CH75" s="34">
        <f>IF(CE75&gt;0.1,1,0)</f>
        <v/>
      </c>
      <c r="CI75" s="34">
        <f>(F75*BX75)-BY75</f>
        <v/>
      </c>
      <c r="CJ75" s="34">
        <f>IF(AY75=0,0,CI75/AY75)</f>
        <v/>
      </c>
    </row>
    <row r="76">
      <c r="A76" s="29" t="n">
        <v>46207.04166666666</v>
      </c>
      <c r="B76" s="29" t="inlineStr">
        <is>
          <t>01:00</t>
        </is>
      </c>
      <c r="C76" s="35">
        <f>INT(A76)</f>
        <v/>
      </c>
      <c r="D76" s="36">
        <f>MONTH(A76)</f>
        <v/>
      </c>
      <c r="E76" s="147">
        <f>[1]FİYATLAR!G75</f>
        <v/>
      </c>
      <c r="F76" s="30" t="n">
        <v>3677.01</v>
      </c>
      <c r="G76" s="30" t="n">
        <v>3699</v>
      </c>
      <c r="H76" s="30" t="n">
        <v>78.89</v>
      </c>
      <c r="I76" s="30" t="n">
        <v>4004.84</v>
      </c>
      <c r="J76" s="119" t="n">
        <v>0</v>
      </c>
      <c r="K76" s="34">
        <f>F76*J76</f>
        <v/>
      </c>
      <c r="L76" s="119" t="n">
        <v>0</v>
      </c>
      <c r="M76" s="34">
        <f>L76*F76</f>
        <v/>
      </c>
      <c r="N76" s="119" t="n">
        <v>19</v>
      </c>
      <c r="O76" s="34">
        <f>F76</f>
        <v/>
      </c>
      <c r="P76" s="34">
        <f>N76*O76</f>
        <v/>
      </c>
      <c r="Q76" s="117" t="n">
        <v>0</v>
      </c>
      <c r="R76" s="34">
        <f>F76</f>
        <v/>
      </c>
      <c r="S76" s="34">
        <f>R76*Q76</f>
        <v/>
      </c>
      <c r="T76" s="34">
        <f>SUMIFS('[1]GİP VERİLERİ'!$C:$C,'[1]GİP VERİLERİ'!$B:$B,A76,'[1]GİP VERİLERİ'!$M:$M,"40X000000104782K",'[1]GİP VERİLERİ'!$G:$G,"SELL")</f>
        <v/>
      </c>
      <c r="U76" s="34">
        <f>IFERROR(W76/T76,0)</f>
        <v/>
      </c>
      <c r="V76" s="34">
        <f>IF(U76=0,0,U76-F76)</f>
        <v/>
      </c>
      <c r="W76" s="34">
        <f>SUMIFS('[1]GİP VERİLERİ'!$O:$O,'[1]GİP VERİLERİ'!$B:$B,A76,'[1]GİP VERİLERİ'!$M:$M,"40X000000104782K",'[1]GİP VERİLERİ'!$G:$G,"SELL")</f>
        <v/>
      </c>
      <c r="X76" s="34">
        <f>SUMIFS('[1]GİP VERİLERİ'!$C:$C,'[1]GİP VERİLERİ'!$B:$B,A76,'[1]GİP VERİLERİ'!$M:$M,"40X000000104782K",'[1]GİP VERİLERİ'!$G:$G,"BUY")</f>
        <v/>
      </c>
      <c r="Y76" s="34">
        <f>IFERROR(AA76/X76,0)</f>
        <v/>
      </c>
      <c r="Z76" s="34">
        <f>IF(Y76=0,0,F76-Y76)</f>
        <v/>
      </c>
      <c r="AA76" s="34">
        <f>SUMIFS('[1]GİP VERİLERİ'!$O:$O,'[1]GİP VERİLERİ'!$B:$B,A76,'[1]GİP VERİLERİ'!$M:$M,"40X000000104782K",'[1]GİP VERİLERİ'!$G:$G,"BUY")</f>
        <v/>
      </c>
      <c r="AB76" s="34" t="n">
        <v>0</v>
      </c>
      <c r="AC76" s="34" t="n">
        <v>0</v>
      </c>
      <c r="AD76" s="34">
        <f>IF(AB76&gt;AC76*1.05,AB76-AC76*1.05,IF(AB76&lt;AC76*0.95,AC76*0.95-AB76,0))</f>
        <v/>
      </c>
      <c r="AE76" s="34">
        <f>MAX(F76,G76,750)*0.05*AD76</f>
        <v/>
      </c>
      <c r="AF76" s="34" t="n">
        <v>0</v>
      </c>
      <c r="AG76" s="34">
        <f>IF(AB76&gt;AF76*1.05,AB76-AF76*1.05,IF(AB76&lt;AF76*0.95,AF76*0.95-AB76,0))</f>
        <v/>
      </c>
      <c r="AH76" s="34">
        <f>MAX(I76,J76,750)*0.05*AG76</f>
        <v/>
      </c>
      <c r="AI76" t="n">
        <v>10.16</v>
      </c>
      <c r="AJ76" t="n">
        <v>8</v>
      </c>
      <c r="AK76" s="34">
        <f>IF(AI76&gt;AJ76*1.05,AI76-AJ76*1.05,IF(AI76&lt;AJ76*0.95,AJ76*0.95-AI76,0))</f>
        <v/>
      </c>
      <c r="AL76" s="34">
        <f>MAX(F76,G76,750)*0.05*AK76</f>
        <v/>
      </c>
      <c r="AM76" s="39" t="n">
        <v>10</v>
      </c>
      <c r="AN76" s="34">
        <f>IF(AI76&gt;AM76*1.05,AI76-AM76*1.05,IF(AI76&lt;AM76*0.95,AM76*0.95-AI76,0))</f>
        <v/>
      </c>
      <c r="AO76" s="34">
        <f>MAX(F76,G76,750)*0.05*AN76</f>
        <v/>
      </c>
      <c r="AP76" s="34" t="n">
        <v>13.13</v>
      </c>
      <c r="AQ76" s="34" t="n">
        <v>11</v>
      </c>
      <c r="AR76" s="34">
        <f>IF(AP76&gt;AQ76*1.05,AP76-AQ76*1.05,IF(AP76&lt;AQ76*0.95,AQ76*0.95-AP76,0))</f>
        <v/>
      </c>
      <c r="AS76" s="34">
        <f>MAX(F76:G76,750)*0.05*AR76</f>
        <v/>
      </c>
      <c r="AT76" t="n">
        <v>13</v>
      </c>
      <c r="AU76" s="34">
        <f>IF(AP76&gt;AT76*1.05,AP76-AT76*1.05,IF(AP76&lt;AT76*0.95,AT76*0.95-AP76,0))</f>
        <v/>
      </c>
      <c r="AV76" s="34">
        <f>MAX(F76:G76,750)*0.05*AU76</f>
        <v/>
      </c>
      <c r="AW76" s="34">
        <f>AC76+AJ76+AQ76</f>
        <v/>
      </c>
      <c r="AX76" s="34">
        <f>AF76+AM76+AT76</f>
        <v/>
      </c>
      <c r="AY76" s="34">
        <f>AB76+AI76+AP76</f>
        <v/>
      </c>
      <c r="AZ76" s="34" t="n">
        <v>0</v>
      </c>
      <c r="BA76" s="34">
        <f>AD76+AK76+AR76</f>
        <v/>
      </c>
      <c r="BB76" s="34">
        <f>MAX(F76:G76,750)*0.05*BA76</f>
        <v/>
      </c>
      <c r="BC76" s="34">
        <f>AG76+AN76+AU76</f>
        <v/>
      </c>
      <c r="BD76" s="34">
        <f>MAX(F76:G76,750)*0.05*BC76</f>
        <v/>
      </c>
      <c r="BE76" s="34">
        <f>F76*AY76</f>
        <v/>
      </c>
      <c r="BF76" s="34">
        <f>K76-M76</f>
        <v/>
      </c>
      <c r="BG76" s="34">
        <f>P76-S76</f>
        <v/>
      </c>
      <c r="BH76" s="34">
        <f>W76-AA76</f>
        <v/>
      </c>
      <c r="BI76" s="34">
        <f>BF76+BG76+BL76-BN76</f>
        <v/>
      </c>
      <c r="BJ76" s="34">
        <f>ABS(BK76)</f>
        <v/>
      </c>
      <c r="BK76" s="34">
        <f>AY76-(J76-L76+N76-Q76)</f>
        <v/>
      </c>
      <c r="BL76" s="34">
        <f>IF(AND(BK76&gt;0,MIN($F76:$G76)&lt;150,$E76="Enerji Açığı"),-100*BK76*1.03,IF(AND(BK76&gt;0,MIN($F76:$G76)&lt;150,$E76="Enerji Fazlası"),-100*BK76*1.06,IF(AND(BK76&gt;0,MIN($F76:$G76)&gt;=150,$E76="Enerji Açığı"),BK76*MIN($F76:$G76)*0.97,IF(AND(BK76&gt;0,MIN($F76:$G76)&gt;=150,$E76="Enerji Fazlası"),BK76*MIN($F76:$G76)*0.94,IF(AND(BK76&lt;0,MAX($F76:$G76)=4500,$E76="Enerji Açığı"),4500*1.05*1.06*BK76,IF(AND(BK76&lt;0,MAX($F76:$G76)=4500,$E76="Enerji Fazlası"),4500*1.05*1.03*BK76,IF(AND(BK76&lt;0,$E76="Enerji Açığı"),MAX($F76,$G76,150)*BK76*1.06,IF(AND(BK76&lt;0,$E76="Enerji Fazlası"),MAX($F76,$G76,150)*BK76*1.03,IF(AND(BK76&lt;0,$E76="Dengede"),MAX($F76:$G76,150)*1.03*BK76,MIN($F76:$G76)*0.97*BK76)))))))))</f>
        <v/>
      </c>
      <c r="BM76" s="34">
        <f>BE76-BI76-BN76</f>
        <v/>
      </c>
      <c r="BN76" s="34">
        <f>BB76</f>
        <v/>
      </c>
      <c r="BO76" s="34">
        <f>BE76-BI76</f>
        <v/>
      </c>
      <c r="BP76" s="34">
        <f>IF(AY76=0,0,BO76/AY76)</f>
        <v/>
      </c>
      <c r="BQ76" s="34">
        <f>MAX((AY76+MAX((-J76+L76-N76+Q76),0)),(MAX((J76-L76+N76-Q76),0)))</f>
        <v/>
      </c>
      <c r="BR76" s="82">
        <f>IFERROR(ABS(BK76/BQ76),0)</f>
        <v/>
      </c>
      <c r="BS76" s="34">
        <f>IF(BR76&lt;=0.1,0,BK76/BR76*(BR76-0.1))</f>
        <v/>
      </c>
      <c r="BT76" s="34">
        <f>IF((BS76)&lt;0,MAX(F76:G76)*(BS76)*1.03,MIN(F76:G76)*(BS76)*0.97)</f>
        <v/>
      </c>
      <c r="BU76" s="34">
        <f>IF(BR76&gt;0.1,1,0)</f>
        <v/>
      </c>
      <c r="BV76" s="34">
        <f>BF76+BG76+BH76+BY76-CA76</f>
        <v/>
      </c>
      <c r="BW76" s="34">
        <f>ABS(BX76)</f>
        <v/>
      </c>
      <c r="BX76" s="34">
        <f>AY76-(J76-L76+N76-Q76+T76-X76)</f>
        <v/>
      </c>
      <c r="BY76" s="34">
        <f>IF(AND(BX76&gt;0,MIN($F76:$G76)&lt;150,$E76="Enerji Açığı"),-100*BX76*1.03,IF(AND(BX76&gt;0,MIN($F76:$G76)&lt;150,$E76="Enerji Fazlası"),-100*BX76*1.06,IF(AND(BX76&gt;0,MIN($F76:$G76)&gt;=150,$E76="Enerji Açığı"),BX76*MIN($F76:$G76)*0.97,IF(AND(BX76&gt;0,MIN($F76:$G76)&gt;=150,$E76="Enerji Fazlası"),BX76*MIN($F76:$G76)*0.94,IF(AND(BX76&lt;0,MAX($F76:$G76)=4500,$E76="Enerji Açığı"),4500*1.05*1.06*BX76,IF(AND(BX76&lt;0,MAX($F76:$G76)=4500,$E76="Enerji Fazlası"),4500*1.05*1.03*BX76,IF(AND(BX76&lt;0,$E76="Enerji Açığı"),MAX($F76,$G76,150)*BX76*1.06,IF(AND(BX76&lt;0,$E76="Enerji Fazlası"),MAX($F76,$G76,150)*BX76*1.03,IF(AND(BX76&lt;0,$E76="Dengede"),MAX($F76:$G76,150)*1.03*BX76,MIN($F76:$G76)*0.97*BX76)))))))))</f>
        <v/>
      </c>
      <c r="BZ76" s="34">
        <f>BE76-BV76-CA76</f>
        <v/>
      </c>
      <c r="CA76" s="34">
        <f>BD76</f>
        <v/>
      </c>
      <c r="CB76" s="33">
        <f>BE76-BV76</f>
        <v/>
      </c>
      <c r="CC76" s="34">
        <f>IF(AY76=0,0,CB76/AY76)</f>
        <v/>
      </c>
      <c r="CD76" s="34">
        <f>MAX((AY76+MAX((-J76+L76-N76+Q76-T76+X76),0)),(MAX((J76-L76+N76-Q76+T76-X76),0)))</f>
        <v/>
      </c>
      <c r="CE76" s="82">
        <f>IFERROR(ABS(BX76/CD76),0)</f>
        <v/>
      </c>
      <c r="CF76" s="34">
        <f>IF(CE76&lt;=0.1,0,BX76/CE76*(CE76-0.1))</f>
        <v/>
      </c>
      <c r="CG76" s="34">
        <f>IF((CF76)&lt;0,MAX(F76:G76)*(CF76)*1.03,MIN(F76:G76)*(CF76)*0.97)</f>
        <v/>
      </c>
      <c r="CH76" s="34">
        <f>IF(CE76&gt;0.1,1,0)</f>
        <v/>
      </c>
      <c r="CI76" s="34">
        <f>(F76*BX76)-BY76</f>
        <v/>
      </c>
      <c r="CJ76" s="34">
        <f>IF(AY76=0,0,CI76/AY76)</f>
        <v/>
      </c>
    </row>
    <row r="77">
      <c r="A77" s="29" t="n">
        <v>46207.08333333334</v>
      </c>
      <c r="B77" s="29" t="inlineStr">
        <is>
          <t>02:00</t>
        </is>
      </c>
      <c r="C77" s="35">
        <f>INT(A77)</f>
        <v/>
      </c>
      <c r="D77" s="36">
        <f>MONTH(A77)</f>
        <v/>
      </c>
      <c r="E77" s="147">
        <f>[1]FİYATLAR!G76</f>
        <v/>
      </c>
      <c r="F77" s="30" t="n">
        <v>3400.01</v>
      </c>
      <c r="G77" s="30" t="n">
        <v>3699</v>
      </c>
      <c r="H77" s="30" t="n">
        <v>72.95</v>
      </c>
      <c r="I77" s="30" t="n">
        <v>3754.47</v>
      </c>
      <c r="J77" s="119" t="n">
        <v>0</v>
      </c>
      <c r="K77" s="34">
        <f>F77*J77</f>
        <v/>
      </c>
      <c r="L77" s="119" t="n">
        <v>0</v>
      </c>
      <c r="M77" s="34">
        <f>L77*F77</f>
        <v/>
      </c>
      <c r="N77" s="119" t="n">
        <v>19</v>
      </c>
      <c r="O77" s="34">
        <f>F77</f>
        <v/>
      </c>
      <c r="P77" s="34">
        <f>N77*O77</f>
        <v/>
      </c>
      <c r="Q77" s="117" t="n">
        <v>0</v>
      </c>
      <c r="R77" s="34">
        <f>F77</f>
        <v/>
      </c>
      <c r="S77" s="34">
        <f>R77*Q77</f>
        <v/>
      </c>
      <c r="T77" s="34">
        <f>SUMIFS('[1]GİP VERİLERİ'!$C:$C,'[1]GİP VERİLERİ'!$B:$B,A77,'[1]GİP VERİLERİ'!$M:$M,"40X000000104782K",'[1]GİP VERİLERİ'!$G:$G,"SELL")</f>
        <v/>
      </c>
      <c r="U77" s="34">
        <f>IFERROR(W77/T77,0)</f>
        <v/>
      </c>
      <c r="V77" s="34">
        <f>IF(U77=0,0,U77-F77)</f>
        <v/>
      </c>
      <c r="W77" s="34">
        <f>SUMIFS('[1]GİP VERİLERİ'!$O:$O,'[1]GİP VERİLERİ'!$B:$B,A77,'[1]GİP VERİLERİ'!$M:$M,"40X000000104782K",'[1]GİP VERİLERİ'!$G:$G,"SELL")</f>
        <v/>
      </c>
      <c r="X77" s="34">
        <f>SUMIFS('[1]GİP VERİLERİ'!$C:$C,'[1]GİP VERİLERİ'!$B:$B,A77,'[1]GİP VERİLERİ'!$M:$M,"40X000000104782K",'[1]GİP VERİLERİ'!$G:$G,"BUY")</f>
        <v/>
      </c>
      <c r="Y77" s="34">
        <f>IFERROR(AA77/X77,0)</f>
        <v/>
      </c>
      <c r="Z77" s="34">
        <f>IF(Y77=0,0,F77-Y77)</f>
        <v/>
      </c>
      <c r="AA77" s="34">
        <f>SUMIFS('[1]GİP VERİLERİ'!$O:$O,'[1]GİP VERİLERİ'!$B:$B,A77,'[1]GİP VERİLERİ'!$M:$M,"40X000000104782K",'[1]GİP VERİLERİ'!$G:$G,"BUY")</f>
        <v/>
      </c>
      <c r="AB77" s="34" t="n">
        <v>0</v>
      </c>
      <c r="AC77" s="34" t="n">
        <v>0</v>
      </c>
      <c r="AD77" s="34">
        <f>IF(AB77&gt;AC77*1.05,AB77-AC77*1.05,IF(AB77&lt;AC77*0.95,AC77*0.95-AB77,0))</f>
        <v/>
      </c>
      <c r="AE77" s="34">
        <f>MAX(F77,G77,750)*0.05*AD77</f>
        <v/>
      </c>
      <c r="AF77" s="34" t="n">
        <v>0</v>
      </c>
      <c r="AG77" s="34">
        <f>IF(AB77&gt;AF77*1.05,AB77-AF77*1.05,IF(AB77&lt;AF77*0.95,AF77*0.95-AB77,0))</f>
        <v/>
      </c>
      <c r="AH77" s="34">
        <f>MAX(I77,J77,750)*0.05*AG77</f>
        <v/>
      </c>
      <c r="AI77" t="n">
        <v>10.3</v>
      </c>
      <c r="AJ77" t="n">
        <v>8</v>
      </c>
      <c r="AK77" s="34">
        <f>IF(AI77&gt;AJ77*1.05,AI77-AJ77*1.05,IF(AI77&lt;AJ77*0.95,AJ77*0.95-AI77,0))</f>
        <v/>
      </c>
      <c r="AL77" s="34">
        <f>MAX(F77,G77,750)*0.05*AK77</f>
        <v/>
      </c>
      <c r="AM77" s="39" t="n">
        <v>10</v>
      </c>
      <c r="AN77" s="34">
        <f>IF(AI77&gt;AM77*1.05,AI77-AM77*1.05,IF(AI77&lt;AM77*0.95,AM77*0.95-AI77,0))</f>
        <v/>
      </c>
      <c r="AO77" s="34">
        <f>MAX(F77,G77,750)*0.05*AN77</f>
        <v/>
      </c>
      <c r="AP77" s="34" t="n">
        <v>13.14</v>
      </c>
      <c r="AQ77" s="34" t="n">
        <v>11</v>
      </c>
      <c r="AR77" s="34">
        <f>IF(AP77&gt;AQ77*1.05,AP77-AQ77*1.05,IF(AP77&lt;AQ77*0.95,AQ77*0.95-AP77,0))</f>
        <v/>
      </c>
      <c r="AS77" s="34">
        <f>MAX(F77:G77,750)*0.05*AR77</f>
        <v/>
      </c>
      <c r="AT77" t="n">
        <v>13</v>
      </c>
      <c r="AU77" s="34">
        <f>IF(AP77&gt;AT77*1.05,AP77-AT77*1.05,IF(AP77&lt;AT77*0.95,AT77*0.95-AP77,0))</f>
        <v/>
      </c>
      <c r="AV77" s="34">
        <f>MAX(F77:G77,750)*0.05*AU77</f>
        <v/>
      </c>
      <c r="AW77" s="34">
        <f>AC77+AJ77+AQ77</f>
        <v/>
      </c>
      <c r="AX77" s="34">
        <f>AF77+AM77+AT77</f>
        <v/>
      </c>
      <c r="AY77" s="34">
        <f>AB77+AI77+AP77</f>
        <v/>
      </c>
      <c r="AZ77" s="34" t="n">
        <v>0</v>
      </c>
      <c r="BA77" s="34">
        <f>AD77+AK77+AR77</f>
        <v/>
      </c>
      <c r="BB77" s="34">
        <f>MAX(F77:G77,750)*0.05*BA77</f>
        <v/>
      </c>
      <c r="BC77" s="34">
        <f>AG77+AN77+AU77</f>
        <v/>
      </c>
      <c r="BD77" s="34">
        <f>MAX(F77:G77,750)*0.05*BC77</f>
        <v/>
      </c>
      <c r="BE77" s="34">
        <f>F77*AY77</f>
        <v/>
      </c>
      <c r="BF77" s="34">
        <f>K77-M77</f>
        <v/>
      </c>
      <c r="BG77" s="34">
        <f>P77-S77</f>
        <v/>
      </c>
      <c r="BH77" s="34">
        <f>W77-AA77</f>
        <v/>
      </c>
      <c r="BI77" s="34">
        <f>BF77+BG77+BL77-BN77</f>
        <v/>
      </c>
      <c r="BJ77" s="34">
        <f>ABS(BK77)</f>
        <v/>
      </c>
      <c r="BK77" s="34">
        <f>AY77-(J77-L77+N77-Q77)</f>
        <v/>
      </c>
      <c r="BL77" s="34">
        <f>IF(AND(BK77&gt;0,MIN($F77:$G77)&lt;150,$E77="Enerji Açığı"),-100*BK77*1.03,IF(AND(BK77&gt;0,MIN($F77:$G77)&lt;150,$E77="Enerji Fazlası"),-100*BK77*1.06,IF(AND(BK77&gt;0,MIN($F77:$G77)&gt;=150,$E77="Enerji Açığı"),BK77*MIN($F77:$G77)*0.97,IF(AND(BK77&gt;0,MIN($F77:$G77)&gt;=150,$E77="Enerji Fazlası"),BK77*MIN($F77:$G77)*0.94,IF(AND(BK77&lt;0,MAX($F77:$G77)=4500,$E77="Enerji Açığı"),4500*1.05*1.06*BK77,IF(AND(BK77&lt;0,MAX($F77:$G77)=4500,$E77="Enerji Fazlası"),4500*1.05*1.03*BK77,IF(AND(BK77&lt;0,$E77="Enerji Açığı"),MAX($F77,$G77,150)*BK77*1.06,IF(AND(BK77&lt;0,$E77="Enerji Fazlası"),MAX($F77,$G77,150)*BK77*1.03,IF(AND(BK77&lt;0,$E77="Dengede"),MAX($F77:$G77,150)*1.03*BK77,MIN($F77:$G77)*0.97*BK77)))))))))</f>
        <v/>
      </c>
      <c r="BM77" s="34">
        <f>BE77-BI77-BN77</f>
        <v/>
      </c>
      <c r="BN77" s="34">
        <f>BB77</f>
        <v/>
      </c>
      <c r="BO77" s="34">
        <f>BE77-BI77</f>
        <v/>
      </c>
      <c r="BP77" s="34">
        <f>IF(AY77=0,0,BO77/AY77)</f>
        <v/>
      </c>
      <c r="BQ77" s="34">
        <f>MAX((AY77+MAX((-J77+L77-N77+Q77),0)),(MAX((J77-L77+N77-Q77),0)))</f>
        <v/>
      </c>
      <c r="BR77" s="82">
        <f>IFERROR(ABS(BK77/BQ77),0)</f>
        <v/>
      </c>
      <c r="BS77" s="34">
        <f>IF(BR77&lt;=0.1,0,BK77/BR77*(BR77-0.1))</f>
        <v/>
      </c>
      <c r="BT77" s="34">
        <f>IF((BS77)&lt;0,MAX(F77:G77)*(BS77)*1.03,MIN(F77:G77)*(BS77)*0.97)</f>
        <v/>
      </c>
      <c r="BU77" s="34">
        <f>IF(BR77&gt;0.1,1,0)</f>
        <v/>
      </c>
      <c r="BV77" s="34">
        <f>BF77+BG77+BH77+BY77-CA77</f>
        <v/>
      </c>
      <c r="BW77" s="34">
        <f>ABS(BX77)</f>
        <v/>
      </c>
      <c r="BX77" s="34">
        <f>AY77-(J77-L77+N77-Q77+T77-X77)</f>
        <v/>
      </c>
      <c r="BY77" s="34">
        <f>IF(AND(BX77&gt;0,MIN($F77:$G77)&lt;150,$E77="Enerji Açığı"),-100*BX77*1.03,IF(AND(BX77&gt;0,MIN($F77:$G77)&lt;150,$E77="Enerji Fazlası"),-100*BX77*1.06,IF(AND(BX77&gt;0,MIN($F77:$G77)&gt;=150,$E77="Enerji Açığı"),BX77*MIN($F77:$G77)*0.97,IF(AND(BX77&gt;0,MIN($F77:$G77)&gt;=150,$E77="Enerji Fazlası"),BX77*MIN($F77:$G77)*0.94,IF(AND(BX77&lt;0,MAX($F77:$G77)=4500,$E77="Enerji Açığı"),4500*1.05*1.06*BX77,IF(AND(BX77&lt;0,MAX($F77:$G77)=4500,$E77="Enerji Fazlası"),4500*1.05*1.03*BX77,IF(AND(BX77&lt;0,$E77="Enerji Açığı"),MAX($F77,$G77,150)*BX77*1.06,IF(AND(BX77&lt;0,$E77="Enerji Fazlası"),MAX($F77,$G77,150)*BX77*1.03,IF(AND(BX77&lt;0,$E77="Dengede"),MAX($F77:$G77,150)*1.03*BX77,MIN($F77:$G77)*0.97*BX77)))))))))</f>
        <v/>
      </c>
      <c r="BZ77" s="34">
        <f>BE77-BV77-CA77</f>
        <v/>
      </c>
      <c r="CA77" s="34">
        <f>BD77</f>
        <v/>
      </c>
      <c r="CB77" s="33">
        <f>BE77-BV77</f>
        <v/>
      </c>
      <c r="CC77" s="34">
        <f>IF(AY77=0,0,CB77/AY77)</f>
        <v/>
      </c>
      <c r="CD77" s="34">
        <f>MAX((AY77+MAX((-J77+L77-N77+Q77-T77+X77),0)),(MAX((J77-L77+N77-Q77+T77-X77),0)))</f>
        <v/>
      </c>
      <c r="CE77" s="82">
        <f>IFERROR(ABS(BX77/CD77),0)</f>
        <v/>
      </c>
      <c r="CF77" s="34">
        <f>IF(CE77&lt;=0.1,0,BX77/CE77*(CE77-0.1))</f>
        <v/>
      </c>
      <c r="CG77" s="34">
        <f>IF((CF77)&lt;0,MAX(F77:G77)*(CF77)*1.03,MIN(F77:G77)*(CF77)*0.97)</f>
        <v/>
      </c>
      <c r="CH77" s="34">
        <f>IF(CE77&gt;0.1,1,0)</f>
        <v/>
      </c>
      <c r="CI77" s="34">
        <f>(F77*BX77)-BY77</f>
        <v/>
      </c>
      <c r="CJ77" s="34">
        <f>IF(AY77=0,0,CI77/AY77)</f>
        <v/>
      </c>
    </row>
    <row r="78">
      <c r="A78" s="29" t="n">
        <v>46207.125</v>
      </c>
      <c r="B78" s="29" t="inlineStr">
        <is>
          <t>03:00</t>
        </is>
      </c>
      <c r="C78" s="35">
        <f>INT(A78)</f>
        <v/>
      </c>
      <c r="D78" s="36">
        <f>MONTH(A78)</f>
        <v/>
      </c>
      <c r="E78" s="147">
        <f>[1]FİYATLAR!G77</f>
        <v/>
      </c>
      <c r="F78" s="30" t="n">
        <v>3658</v>
      </c>
      <c r="G78" s="30" t="n">
        <v>2723.66</v>
      </c>
      <c r="H78" s="30" t="n">
        <v>78.48</v>
      </c>
      <c r="I78" s="30" t="n">
        <v>3758</v>
      </c>
      <c r="J78" s="119" t="n">
        <v>0</v>
      </c>
      <c r="K78" s="34">
        <f>F78*J78</f>
        <v/>
      </c>
      <c r="L78" s="119" t="n">
        <v>0</v>
      </c>
      <c r="M78" s="34">
        <f>L78*F78</f>
        <v/>
      </c>
      <c r="N78" s="119" t="n">
        <v>19</v>
      </c>
      <c r="O78" s="34">
        <f>F78</f>
        <v/>
      </c>
      <c r="P78" s="34">
        <f>N78*O78</f>
        <v/>
      </c>
      <c r="Q78" s="117" t="n">
        <v>0</v>
      </c>
      <c r="R78" s="34">
        <f>F78</f>
        <v/>
      </c>
      <c r="S78" s="34">
        <f>R78*Q78</f>
        <v/>
      </c>
      <c r="T78" s="34">
        <f>SUMIFS('[1]GİP VERİLERİ'!$C:$C,'[1]GİP VERİLERİ'!$B:$B,A78,'[1]GİP VERİLERİ'!$M:$M,"40X000000104782K",'[1]GİP VERİLERİ'!$G:$G,"SELL")</f>
        <v/>
      </c>
      <c r="U78" s="34">
        <f>IFERROR(W78/T78,0)</f>
        <v/>
      </c>
      <c r="V78" s="34">
        <f>IF(U78=0,0,U78-F78)</f>
        <v/>
      </c>
      <c r="W78" s="34">
        <f>SUMIFS('[1]GİP VERİLERİ'!$O:$O,'[1]GİP VERİLERİ'!$B:$B,A78,'[1]GİP VERİLERİ'!$M:$M,"40X000000104782K",'[1]GİP VERİLERİ'!$G:$G,"SELL")</f>
        <v/>
      </c>
      <c r="X78" s="34">
        <f>SUMIFS('[1]GİP VERİLERİ'!$C:$C,'[1]GİP VERİLERİ'!$B:$B,A78,'[1]GİP VERİLERİ'!$M:$M,"40X000000104782K",'[1]GİP VERİLERİ'!$G:$G,"BUY")</f>
        <v/>
      </c>
      <c r="Y78" s="34">
        <f>IFERROR(AA78/X78,0)</f>
        <v/>
      </c>
      <c r="Z78" s="34">
        <f>IF(Y78=0,0,F78-Y78)</f>
        <v/>
      </c>
      <c r="AA78" s="34">
        <f>SUMIFS('[1]GİP VERİLERİ'!$O:$O,'[1]GİP VERİLERİ'!$B:$B,A78,'[1]GİP VERİLERİ'!$M:$M,"40X000000104782K",'[1]GİP VERİLERİ'!$G:$G,"BUY")</f>
        <v/>
      </c>
      <c r="AB78" s="34" t="n">
        <v>0</v>
      </c>
      <c r="AC78" s="34" t="n">
        <v>0</v>
      </c>
      <c r="AD78" s="34">
        <f>IF(AB78&gt;AC78*1.05,AB78-AC78*1.05,IF(AB78&lt;AC78*0.95,AC78*0.95-AB78,0))</f>
        <v/>
      </c>
      <c r="AE78" s="34">
        <f>MAX(F78,G78,750)*0.05*AD78</f>
        <v/>
      </c>
      <c r="AF78" s="34" t="n">
        <v>0</v>
      </c>
      <c r="AG78" s="34">
        <f>IF(AB78&gt;AF78*1.05,AB78-AF78*1.05,IF(AB78&lt;AF78*0.95,AF78*0.95-AB78,0))</f>
        <v/>
      </c>
      <c r="AH78" s="34">
        <f>MAX(I78,J78,750)*0.05*AG78</f>
        <v/>
      </c>
      <c r="AI78" t="n">
        <v>11.2</v>
      </c>
      <c r="AJ78" t="n">
        <v>8</v>
      </c>
      <c r="AK78" s="34">
        <f>IF(AI78&gt;AJ78*1.05,AI78-AJ78*1.05,IF(AI78&lt;AJ78*0.95,AJ78*0.95-AI78,0))</f>
        <v/>
      </c>
      <c r="AL78" s="34">
        <f>MAX(F78,G78,750)*0.05*AK78</f>
        <v/>
      </c>
      <c r="AM78" s="39" t="n">
        <v>11</v>
      </c>
      <c r="AN78" s="34">
        <f>IF(AI78&gt;AM78*1.05,AI78-AM78*1.05,IF(AI78&lt;AM78*0.95,AM78*0.95-AI78,0))</f>
        <v/>
      </c>
      <c r="AO78" s="34">
        <f>MAX(F78,G78,750)*0.05*AN78</f>
        <v/>
      </c>
      <c r="AP78" s="34" t="n">
        <v>14.17</v>
      </c>
      <c r="AQ78" s="34" t="n">
        <v>11</v>
      </c>
      <c r="AR78" s="34">
        <f>IF(AP78&gt;AQ78*1.05,AP78-AQ78*1.05,IF(AP78&lt;AQ78*0.95,AQ78*0.95-AP78,0))</f>
        <v/>
      </c>
      <c r="AS78" s="34">
        <f>MAX(F78:G78,750)*0.05*AR78</f>
        <v/>
      </c>
      <c r="AT78" t="n">
        <v>14</v>
      </c>
      <c r="AU78" s="34">
        <f>IF(AP78&gt;AT78*1.05,AP78-AT78*1.05,IF(AP78&lt;AT78*0.95,AT78*0.95-AP78,0))</f>
        <v/>
      </c>
      <c r="AV78" s="34">
        <f>MAX(F78:G78,750)*0.05*AU78</f>
        <v/>
      </c>
      <c r="AW78" s="34">
        <f>AC78+AJ78+AQ78</f>
        <v/>
      </c>
      <c r="AX78" s="34">
        <f>AF78+AM78+AT78</f>
        <v/>
      </c>
      <c r="AY78" s="34">
        <f>AB78+AI78+AP78</f>
        <v/>
      </c>
      <c r="AZ78" s="34" t="n">
        <v>0</v>
      </c>
      <c r="BA78" s="34">
        <f>AD78+AK78+AR78</f>
        <v/>
      </c>
      <c r="BB78" s="34">
        <f>MAX(F78:G78,750)*0.05*BA78</f>
        <v/>
      </c>
      <c r="BC78" s="34">
        <f>AG78+AN78+AU78</f>
        <v/>
      </c>
      <c r="BD78" s="34">
        <f>MAX(F78:G78,750)*0.05*BC78</f>
        <v/>
      </c>
      <c r="BE78" s="34">
        <f>F78*AY78</f>
        <v/>
      </c>
      <c r="BF78" s="34">
        <f>K78-M78</f>
        <v/>
      </c>
      <c r="BG78" s="34">
        <f>P78-S78</f>
        <v/>
      </c>
      <c r="BH78" s="34">
        <f>W78-AA78</f>
        <v/>
      </c>
      <c r="BI78" s="34">
        <f>BF78+BG78+BL78-BN78</f>
        <v/>
      </c>
      <c r="BJ78" s="34">
        <f>ABS(BK78)</f>
        <v/>
      </c>
      <c r="BK78" s="34">
        <f>AY78-(J78-L78+N78-Q78)</f>
        <v/>
      </c>
      <c r="BL78" s="34">
        <f>IF(AND(BK78&gt;0,MIN($F78:$G78)&lt;150,$E78="Enerji Açığı"),-100*BK78*1.03,IF(AND(BK78&gt;0,MIN($F78:$G78)&lt;150,$E78="Enerji Fazlası"),-100*BK78*1.06,IF(AND(BK78&gt;0,MIN($F78:$G78)&gt;=150,$E78="Enerji Açığı"),BK78*MIN($F78:$G78)*0.97,IF(AND(BK78&gt;0,MIN($F78:$G78)&gt;=150,$E78="Enerji Fazlası"),BK78*MIN($F78:$G78)*0.94,IF(AND(BK78&lt;0,MAX($F78:$G78)=4500,$E78="Enerji Açığı"),4500*1.05*1.06*BK78,IF(AND(BK78&lt;0,MAX($F78:$G78)=4500,$E78="Enerji Fazlası"),4500*1.05*1.03*BK78,IF(AND(BK78&lt;0,$E78="Enerji Açığı"),MAX($F78,$G78,150)*BK78*1.06,IF(AND(BK78&lt;0,$E78="Enerji Fazlası"),MAX($F78,$G78,150)*BK78*1.03,IF(AND(BK78&lt;0,$E78="Dengede"),MAX($F78:$G78,150)*1.03*BK78,MIN($F78:$G78)*0.97*BK78)))))))))</f>
        <v/>
      </c>
      <c r="BM78" s="34">
        <f>BE78-BI78-BN78</f>
        <v/>
      </c>
      <c r="BN78" s="34">
        <f>BB78</f>
        <v/>
      </c>
      <c r="BO78" s="34">
        <f>BE78-BI78</f>
        <v/>
      </c>
      <c r="BP78" s="34">
        <f>IF(AY78=0,0,BO78/AY78)</f>
        <v/>
      </c>
      <c r="BQ78" s="34">
        <f>MAX((AY78+MAX((-J78+L78-N78+Q78),0)),(MAX((J78-L78+N78-Q78),0)))</f>
        <v/>
      </c>
      <c r="BR78" s="82">
        <f>IFERROR(ABS(BK78/BQ78),0)</f>
        <v/>
      </c>
      <c r="BS78" s="34">
        <f>IF(BR78&lt;=0.1,0,BK78/BR78*(BR78-0.1))</f>
        <v/>
      </c>
      <c r="BT78" s="34">
        <f>IF((BS78)&lt;0,MAX(F78:G78)*(BS78)*1.03,MIN(F78:G78)*(BS78)*0.97)</f>
        <v/>
      </c>
      <c r="BU78" s="34">
        <f>IF(BR78&gt;0.1,1,0)</f>
        <v/>
      </c>
      <c r="BV78" s="34">
        <f>BF78+BG78+BH78+BY78-CA78</f>
        <v/>
      </c>
      <c r="BW78" s="34">
        <f>ABS(BX78)</f>
        <v/>
      </c>
      <c r="BX78" s="34">
        <f>AY78-(J78-L78+N78-Q78+T78-X78)</f>
        <v/>
      </c>
      <c r="BY78" s="34">
        <f>IF(AND(BX78&gt;0,MIN($F78:$G78)&lt;150,$E78="Enerji Açığı"),-100*BX78*1.03,IF(AND(BX78&gt;0,MIN($F78:$G78)&lt;150,$E78="Enerji Fazlası"),-100*BX78*1.06,IF(AND(BX78&gt;0,MIN($F78:$G78)&gt;=150,$E78="Enerji Açığı"),BX78*MIN($F78:$G78)*0.97,IF(AND(BX78&gt;0,MIN($F78:$G78)&gt;=150,$E78="Enerji Fazlası"),BX78*MIN($F78:$G78)*0.94,IF(AND(BX78&lt;0,MAX($F78:$G78)=4500,$E78="Enerji Açığı"),4500*1.05*1.06*BX78,IF(AND(BX78&lt;0,MAX($F78:$G78)=4500,$E78="Enerji Fazlası"),4500*1.05*1.03*BX78,IF(AND(BX78&lt;0,$E78="Enerji Açığı"),MAX($F78,$G78,150)*BX78*1.06,IF(AND(BX78&lt;0,$E78="Enerji Fazlası"),MAX($F78,$G78,150)*BX78*1.03,IF(AND(BX78&lt;0,$E78="Dengede"),MAX($F78:$G78,150)*1.03*BX78,MIN($F78:$G78)*0.97*BX78)))))))))</f>
        <v/>
      </c>
      <c r="BZ78" s="34">
        <f>BE78-BV78-CA78</f>
        <v/>
      </c>
      <c r="CA78" s="34">
        <f>BD78</f>
        <v/>
      </c>
      <c r="CB78" s="33">
        <f>BE78-BV78</f>
        <v/>
      </c>
      <c r="CC78" s="34">
        <f>IF(AY78=0,0,CB78/AY78)</f>
        <v/>
      </c>
      <c r="CD78" s="34">
        <f>MAX((AY78+MAX((-J78+L78-N78+Q78-T78+X78),0)),(MAX((J78-L78+N78-Q78+T78-X78),0)))</f>
        <v/>
      </c>
      <c r="CE78" s="82">
        <f>IFERROR(ABS(BX78/CD78),0)</f>
        <v/>
      </c>
      <c r="CF78" s="34">
        <f>IF(CE78&lt;=0.1,0,BX78/CE78*(CE78-0.1))</f>
        <v/>
      </c>
      <c r="CG78" s="34">
        <f>IF((CF78)&lt;0,MAX(F78:G78)*(CF78)*1.03,MIN(F78:G78)*(CF78)*0.97)</f>
        <v/>
      </c>
      <c r="CH78" s="34">
        <f>IF(CE78&gt;0.1,1,0)</f>
        <v/>
      </c>
      <c r="CI78" s="34">
        <f>(F78*BX78)-BY78</f>
        <v/>
      </c>
      <c r="CJ78" s="34">
        <f>IF(AY78=0,0,CI78/AY78)</f>
        <v/>
      </c>
    </row>
    <row r="79">
      <c r="A79" s="29" t="n">
        <v>46207.16666666666</v>
      </c>
      <c r="B79" s="29" t="inlineStr">
        <is>
          <t>04:00</t>
        </is>
      </c>
      <c r="C79" s="35">
        <f>INT(A79)</f>
        <v/>
      </c>
      <c r="D79" s="36">
        <f>MONTH(A79)</f>
        <v/>
      </c>
      <c r="E79" s="147">
        <f>[1]FİYATLAR!G78</f>
        <v/>
      </c>
      <c r="F79" s="30" t="n">
        <v>3677.01</v>
      </c>
      <c r="G79" s="30" t="n">
        <v>2241</v>
      </c>
      <c r="H79" s="30" t="n">
        <v>78.89</v>
      </c>
      <c r="I79" s="30" t="n">
        <v>3799.56</v>
      </c>
      <c r="J79" s="119" t="n">
        <v>0</v>
      </c>
      <c r="K79" s="34">
        <f>F79*J79</f>
        <v/>
      </c>
      <c r="L79" s="119" t="n">
        <v>0</v>
      </c>
      <c r="M79" s="34">
        <f>L79*F79</f>
        <v/>
      </c>
      <c r="N79" s="119" t="n">
        <v>19</v>
      </c>
      <c r="O79" s="34">
        <f>F79</f>
        <v/>
      </c>
      <c r="P79" s="34">
        <f>N79*O79</f>
        <v/>
      </c>
      <c r="Q79" s="117" t="n">
        <v>0</v>
      </c>
      <c r="R79" s="34">
        <f>F79</f>
        <v/>
      </c>
      <c r="S79" s="34">
        <f>R79*Q79</f>
        <v/>
      </c>
      <c r="T79" s="34">
        <f>SUMIFS('[1]GİP VERİLERİ'!$C:$C,'[1]GİP VERİLERİ'!$B:$B,A79,'[1]GİP VERİLERİ'!$M:$M,"40X000000104782K",'[1]GİP VERİLERİ'!$G:$G,"SELL")</f>
        <v/>
      </c>
      <c r="U79" s="34">
        <f>IFERROR(W79/T79,0)</f>
        <v/>
      </c>
      <c r="V79" s="34">
        <f>IF(U79=0,0,U79-F79)</f>
        <v/>
      </c>
      <c r="W79" s="34">
        <f>SUMIFS('[1]GİP VERİLERİ'!$O:$O,'[1]GİP VERİLERİ'!$B:$B,A79,'[1]GİP VERİLERİ'!$M:$M,"40X000000104782K",'[1]GİP VERİLERİ'!$G:$G,"SELL")</f>
        <v/>
      </c>
      <c r="X79" s="34">
        <f>SUMIFS('[1]GİP VERİLERİ'!$C:$C,'[1]GİP VERİLERİ'!$B:$B,A79,'[1]GİP VERİLERİ'!$M:$M,"40X000000104782K",'[1]GİP VERİLERİ'!$G:$G,"BUY")</f>
        <v/>
      </c>
      <c r="Y79" s="34">
        <f>IFERROR(AA79/X79,0)</f>
        <v/>
      </c>
      <c r="Z79" s="34">
        <f>IF(Y79=0,0,F79-Y79)</f>
        <v/>
      </c>
      <c r="AA79" s="34">
        <f>SUMIFS('[1]GİP VERİLERİ'!$O:$O,'[1]GİP VERİLERİ'!$B:$B,A79,'[1]GİP VERİLERİ'!$M:$M,"40X000000104782K",'[1]GİP VERİLERİ'!$G:$G,"BUY")</f>
        <v/>
      </c>
      <c r="AB79" s="34" t="n">
        <v>0</v>
      </c>
      <c r="AC79" s="34" t="n">
        <v>0</v>
      </c>
      <c r="AD79" s="34">
        <f>IF(AB79&gt;AC79*1.05,AB79-AC79*1.05,IF(AB79&lt;AC79*0.95,AC79*0.95-AB79,0))</f>
        <v/>
      </c>
      <c r="AE79" s="34">
        <f>MAX(F79,G79,750)*0.05*AD79</f>
        <v/>
      </c>
      <c r="AF79" s="34" t="n">
        <v>0</v>
      </c>
      <c r="AG79" s="34">
        <f>IF(AB79&gt;AF79*1.05,AB79-AF79*1.05,IF(AB79&lt;AF79*0.95,AF79*0.95-AB79,0))</f>
        <v/>
      </c>
      <c r="AH79" s="34">
        <f>MAX(I79,J79,750)*0.05*AG79</f>
        <v/>
      </c>
      <c r="AI79" t="n">
        <v>10.1</v>
      </c>
      <c r="AJ79" t="n">
        <v>8</v>
      </c>
      <c r="AK79" s="34">
        <f>IF(AI79&gt;AJ79*1.05,AI79-AJ79*1.05,IF(AI79&lt;AJ79*0.95,AJ79*0.95-AI79,0))</f>
        <v/>
      </c>
      <c r="AL79" s="34">
        <f>MAX(F79,G79,750)*0.05*AK79</f>
        <v/>
      </c>
      <c r="AM79" s="39" t="n">
        <v>9</v>
      </c>
      <c r="AN79" s="34">
        <f>IF(AI79&gt;AM79*1.05,AI79-AM79*1.05,IF(AI79&lt;AM79*0.95,AM79*0.95-AI79,0))</f>
        <v/>
      </c>
      <c r="AO79" s="34">
        <f>MAX(F79,G79,750)*0.05*AN79</f>
        <v/>
      </c>
      <c r="AP79" s="34" t="n">
        <v>14.14</v>
      </c>
      <c r="AQ79" s="34" t="n">
        <v>11</v>
      </c>
      <c r="AR79" s="34">
        <f>IF(AP79&gt;AQ79*1.05,AP79-AQ79*1.05,IF(AP79&lt;AQ79*0.95,AQ79*0.95-AP79,0))</f>
        <v/>
      </c>
      <c r="AS79" s="34">
        <f>MAX(F79:G79,750)*0.05*AR79</f>
        <v/>
      </c>
      <c r="AT79" t="n">
        <v>14</v>
      </c>
      <c r="AU79" s="34">
        <f>IF(AP79&gt;AT79*1.05,AP79-AT79*1.05,IF(AP79&lt;AT79*0.95,AT79*0.95-AP79,0))</f>
        <v/>
      </c>
      <c r="AV79" s="34">
        <f>MAX(F79:G79,750)*0.05*AU79</f>
        <v/>
      </c>
      <c r="AW79" s="34">
        <f>AC79+AJ79+AQ79</f>
        <v/>
      </c>
      <c r="AX79" s="34">
        <f>AF79+AM79+AT79</f>
        <v/>
      </c>
      <c r="AY79" s="34">
        <f>AB79+AI79+AP79</f>
        <v/>
      </c>
      <c r="AZ79" s="34" t="n">
        <v>0</v>
      </c>
      <c r="BA79" s="34">
        <f>AD79+AK79+AR79</f>
        <v/>
      </c>
      <c r="BB79" s="34">
        <f>MAX(F79:G79,750)*0.05*BA79</f>
        <v/>
      </c>
      <c r="BC79" s="34">
        <f>AG79+AN79+AU79</f>
        <v/>
      </c>
      <c r="BD79" s="34">
        <f>MAX(F79:G79,750)*0.05*BC79</f>
        <v/>
      </c>
      <c r="BE79" s="34">
        <f>F79*AY79</f>
        <v/>
      </c>
      <c r="BF79" s="34">
        <f>K79-M79</f>
        <v/>
      </c>
      <c r="BG79" s="34">
        <f>P79-S79</f>
        <v/>
      </c>
      <c r="BH79" s="34">
        <f>W79-AA79</f>
        <v/>
      </c>
      <c r="BI79" s="34">
        <f>BF79+BG79+BL79-BN79</f>
        <v/>
      </c>
      <c r="BJ79" s="34">
        <f>ABS(BK79)</f>
        <v/>
      </c>
      <c r="BK79" s="34">
        <f>AY79-(J79-L79+N79-Q79)</f>
        <v/>
      </c>
      <c r="BL79" s="34">
        <f>IF(AND(BK79&gt;0,MIN($F79:$G79)&lt;150,$E79="Enerji Açığı"),-100*BK79*1.03,IF(AND(BK79&gt;0,MIN($F79:$G79)&lt;150,$E79="Enerji Fazlası"),-100*BK79*1.06,IF(AND(BK79&gt;0,MIN($F79:$G79)&gt;=150,$E79="Enerji Açığı"),BK79*MIN($F79:$G79)*0.97,IF(AND(BK79&gt;0,MIN($F79:$G79)&gt;=150,$E79="Enerji Fazlası"),BK79*MIN($F79:$G79)*0.94,IF(AND(BK79&lt;0,MAX($F79:$G79)=4500,$E79="Enerji Açığı"),4500*1.05*1.06*BK79,IF(AND(BK79&lt;0,MAX($F79:$G79)=4500,$E79="Enerji Fazlası"),4500*1.05*1.03*BK79,IF(AND(BK79&lt;0,$E79="Enerji Açığı"),MAX($F79,$G79,150)*BK79*1.06,IF(AND(BK79&lt;0,$E79="Enerji Fazlası"),MAX($F79,$G79,150)*BK79*1.03,IF(AND(BK79&lt;0,$E79="Dengede"),MAX($F79:$G79,150)*1.03*BK79,MIN($F79:$G79)*0.97*BK79)))))))))</f>
        <v/>
      </c>
      <c r="BM79" s="34">
        <f>BE79-BI79-BN79</f>
        <v/>
      </c>
      <c r="BN79" s="34">
        <f>BB79</f>
        <v/>
      </c>
      <c r="BO79" s="34">
        <f>BE79-BI79</f>
        <v/>
      </c>
      <c r="BP79" s="34">
        <f>IF(AY79=0,0,BO79/AY79)</f>
        <v/>
      </c>
      <c r="BQ79" s="34">
        <f>MAX((AY79+MAX((-J79+L79-N79+Q79),0)),(MAX((J79-L79+N79-Q79),0)))</f>
        <v/>
      </c>
      <c r="BR79" s="82">
        <f>IFERROR(ABS(BK79/BQ79),0)</f>
        <v/>
      </c>
      <c r="BS79" s="34">
        <f>IF(BR79&lt;=0.1,0,BK79/BR79*(BR79-0.1))</f>
        <v/>
      </c>
      <c r="BT79" s="34">
        <f>IF((BS79)&lt;0,MAX(F79:G79)*(BS79)*1.03,MIN(F79:G79)*(BS79)*0.97)</f>
        <v/>
      </c>
      <c r="BU79" s="34">
        <f>IF(BR79&gt;0.1,1,0)</f>
        <v/>
      </c>
      <c r="BV79" s="34">
        <f>BF79+BG79+BH79+BY79-CA79</f>
        <v/>
      </c>
      <c r="BW79" s="34">
        <f>ABS(BX79)</f>
        <v/>
      </c>
      <c r="BX79" s="34">
        <f>AY79-(J79-L79+N79-Q79+T79-X79)</f>
        <v/>
      </c>
      <c r="BY79" s="34">
        <f>IF(AND(BX79&gt;0,MIN($F79:$G79)&lt;150,$E79="Enerji Açığı"),-100*BX79*1.03,IF(AND(BX79&gt;0,MIN($F79:$G79)&lt;150,$E79="Enerji Fazlası"),-100*BX79*1.06,IF(AND(BX79&gt;0,MIN($F79:$G79)&gt;=150,$E79="Enerji Açığı"),BX79*MIN($F79:$G79)*0.97,IF(AND(BX79&gt;0,MIN($F79:$G79)&gt;=150,$E79="Enerji Fazlası"),BX79*MIN($F79:$G79)*0.94,IF(AND(BX79&lt;0,MAX($F79:$G79)=4500,$E79="Enerji Açığı"),4500*1.05*1.06*BX79,IF(AND(BX79&lt;0,MAX($F79:$G79)=4500,$E79="Enerji Fazlası"),4500*1.05*1.03*BX79,IF(AND(BX79&lt;0,$E79="Enerji Açığı"),MAX($F79,$G79,150)*BX79*1.06,IF(AND(BX79&lt;0,$E79="Enerji Fazlası"),MAX($F79,$G79,150)*BX79*1.03,IF(AND(BX79&lt;0,$E79="Dengede"),MAX($F79:$G79,150)*1.03*BX79,MIN($F79:$G79)*0.97*BX79)))))))))</f>
        <v/>
      </c>
      <c r="BZ79" s="34">
        <f>BE79-BV79-CA79</f>
        <v/>
      </c>
      <c r="CA79" s="34">
        <f>BD79</f>
        <v/>
      </c>
      <c r="CB79" s="33">
        <f>BE79-BV79</f>
        <v/>
      </c>
      <c r="CC79" s="34">
        <f>IF(AY79=0,0,CB79/AY79)</f>
        <v/>
      </c>
      <c r="CD79" s="34">
        <f>MAX((AY79+MAX((-J79+L79-N79+Q79-T79+X79),0)),(MAX((J79-L79+N79-Q79+T79-X79),0)))</f>
        <v/>
      </c>
      <c r="CE79" s="82">
        <f>IFERROR(ABS(BX79/CD79),0)</f>
        <v/>
      </c>
      <c r="CF79" s="34">
        <f>IF(CE79&lt;=0.1,0,BX79/CE79*(CE79-0.1))</f>
        <v/>
      </c>
      <c r="CG79" s="34">
        <f>IF((CF79)&lt;0,MAX(F79:G79)*(CF79)*1.03,MIN(F79:G79)*(CF79)*0.97)</f>
        <v/>
      </c>
      <c r="CH79" s="34">
        <f>IF(CE79&gt;0.1,1,0)</f>
        <v/>
      </c>
      <c r="CI79" s="34">
        <f>(F79*BX79)-BY79</f>
        <v/>
      </c>
      <c r="CJ79" s="34">
        <f>IF(AY79=0,0,CI79/AY79)</f>
        <v/>
      </c>
    </row>
    <row r="80">
      <c r="A80" s="29" t="n">
        <v>46207.20833333334</v>
      </c>
      <c r="B80" s="29" t="inlineStr">
        <is>
          <t>05:00</t>
        </is>
      </c>
      <c r="C80" s="35">
        <f>INT(A80)</f>
        <v/>
      </c>
      <c r="D80" s="36">
        <f>MONTH(A80)</f>
        <v/>
      </c>
      <c r="E80" s="147">
        <f>[1]FİYATLAR!G79</f>
        <v/>
      </c>
      <c r="F80" s="30" t="n">
        <v>3389.89</v>
      </c>
      <c r="G80" s="30" t="n">
        <v>1389.89</v>
      </c>
      <c r="H80" s="30" t="n">
        <v>72.73</v>
      </c>
      <c r="I80" s="30" t="n">
        <v>3638.63</v>
      </c>
      <c r="J80" s="119" t="n">
        <v>0</v>
      </c>
      <c r="K80" s="34">
        <f>F80*J80</f>
        <v/>
      </c>
      <c r="L80" s="119" t="n">
        <v>0</v>
      </c>
      <c r="M80" s="34">
        <f>L80*F80</f>
        <v/>
      </c>
      <c r="N80" s="119" t="n">
        <v>19</v>
      </c>
      <c r="O80" s="34">
        <f>F80</f>
        <v/>
      </c>
      <c r="P80" s="34">
        <f>N80*O80</f>
        <v/>
      </c>
      <c r="Q80" s="117" t="n">
        <v>0</v>
      </c>
      <c r="R80" s="34">
        <f>F80</f>
        <v/>
      </c>
      <c r="S80" s="34">
        <f>R80*Q80</f>
        <v/>
      </c>
      <c r="T80" s="34">
        <f>SUMIFS('[1]GİP VERİLERİ'!$C:$C,'[1]GİP VERİLERİ'!$B:$B,A80,'[1]GİP VERİLERİ'!$M:$M,"40X000000104782K",'[1]GİP VERİLERİ'!$G:$G,"SELL")</f>
        <v/>
      </c>
      <c r="U80" s="34">
        <f>IFERROR(W80/T80,0)</f>
        <v/>
      </c>
      <c r="V80" s="34">
        <f>IF(U80=0,0,U80-F80)</f>
        <v/>
      </c>
      <c r="W80" s="34">
        <f>SUMIFS('[1]GİP VERİLERİ'!$O:$O,'[1]GİP VERİLERİ'!$B:$B,A80,'[1]GİP VERİLERİ'!$M:$M,"40X000000104782K",'[1]GİP VERİLERİ'!$G:$G,"SELL")</f>
        <v/>
      </c>
      <c r="X80" s="34">
        <f>SUMIFS('[1]GİP VERİLERİ'!$C:$C,'[1]GİP VERİLERİ'!$B:$B,A80,'[1]GİP VERİLERİ'!$M:$M,"40X000000104782K",'[1]GİP VERİLERİ'!$G:$G,"BUY")</f>
        <v/>
      </c>
      <c r="Y80" s="34">
        <f>IFERROR(AA80/X80,0)</f>
        <v/>
      </c>
      <c r="Z80" s="34">
        <f>IF(Y80=0,0,F80-Y80)</f>
        <v/>
      </c>
      <c r="AA80" s="34">
        <f>SUMIFS('[1]GİP VERİLERİ'!$O:$O,'[1]GİP VERİLERİ'!$B:$B,A80,'[1]GİP VERİLERİ'!$M:$M,"40X000000104782K",'[1]GİP VERİLERİ'!$G:$G,"BUY")</f>
        <v/>
      </c>
      <c r="AB80" s="34" t="n">
        <v>0</v>
      </c>
      <c r="AC80" s="34" t="n">
        <v>0</v>
      </c>
      <c r="AD80" s="34">
        <f>IF(AB80&gt;AC80*1.05,AB80-AC80*1.05,IF(AB80&lt;AC80*0.95,AC80*0.95-AB80,0))</f>
        <v/>
      </c>
      <c r="AE80" s="34">
        <f>MAX(F80,G80,750)*0.05*AD80</f>
        <v/>
      </c>
      <c r="AF80" s="34" t="n">
        <v>0</v>
      </c>
      <c r="AG80" s="34">
        <f>IF(AB80&gt;AF80*1.05,AB80-AF80*1.05,IF(AB80&lt;AF80*0.95,AF80*0.95-AB80,0))</f>
        <v/>
      </c>
      <c r="AH80" s="34">
        <f>MAX(I80,J80,750)*0.05*AG80</f>
        <v/>
      </c>
      <c r="AI80" t="n">
        <v>10.76</v>
      </c>
      <c r="AJ80" t="n">
        <v>8</v>
      </c>
      <c r="AK80" s="34">
        <f>IF(AI80&gt;AJ80*1.05,AI80-AJ80*1.05,IF(AI80&lt;AJ80*0.95,AJ80*0.95-AI80,0))</f>
        <v/>
      </c>
      <c r="AL80" s="34">
        <f>MAX(F80,G80,750)*0.05*AK80</f>
        <v/>
      </c>
      <c r="AM80" s="39" t="n">
        <v>10</v>
      </c>
      <c r="AN80" s="34">
        <f>IF(AI80&gt;AM80*1.05,AI80-AM80*1.05,IF(AI80&lt;AM80*0.95,AM80*0.95-AI80,0))</f>
        <v/>
      </c>
      <c r="AO80" s="34">
        <f>MAX(F80,G80,750)*0.05*AN80</f>
        <v/>
      </c>
      <c r="AP80" s="34" t="n">
        <v>10.51</v>
      </c>
      <c r="AQ80" s="34" t="n">
        <v>11</v>
      </c>
      <c r="AR80" s="34">
        <f>IF(AP80&gt;AQ80*1.05,AP80-AQ80*1.05,IF(AP80&lt;AQ80*0.95,AQ80*0.95-AP80,0))</f>
        <v/>
      </c>
      <c r="AS80" s="34">
        <f>MAX(F80:G80,750)*0.05*AR80</f>
        <v/>
      </c>
      <c r="AT80" t="n">
        <v>14</v>
      </c>
      <c r="AU80" s="34">
        <f>IF(AP80&gt;AT80*1.05,AP80-AT80*1.05,IF(AP80&lt;AT80*0.95,AT80*0.95-AP80,0))</f>
        <v/>
      </c>
      <c r="AV80" s="34">
        <f>MAX(F80:G80,750)*0.05*AU80</f>
        <v/>
      </c>
      <c r="AW80" s="34">
        <f>AC80+AJ80+AQ80</f>
        <v/>
      </c>
      <c r="AX80" s="34">
        <f>AF80+AM80+AT80</f>
        <v/>
      </c>
      <c r="AY80" s="34">
        <f>AB80+AI80+AP80</f>
        <v/>
      </c>
      <c r="AZ80" s="34" t="n">
        <v>0</v>
      </c>
      <c r="BA80" s="34">
        <f>AD80+AK80+AR80</f>
        <v/>
      </c>
      <c r="BB80" s="34">
        <f>MAX(F80:G80,750)*0.05*BA80</f>
        <v/>
      </c>
      <c r="BC80" s="34">
        <f>AG80+AN80+AU80</f>
        <v/>
      </c>
      <c r="BD80" s="34">
        <f>MAX(F80:G80,750)*0.05*BC80</f>
        <v/>
      </c>
      <c r="BE80" s="34">
        <f>F80*AY80</f>
        <v/>
      </c>
      <c r="BF80" s="34">
        <f>K80-M80</f>
        <v/>
      </c>
      <c r="BG80" s="34">
        <f>P80-S80</f>
        <v/>
      </c>
      <c r="BH80" s="34">
        <f>W80-AA80</f>
        <v/>
      </c>
      <c r="BI80" s="34">
        <f>BF80+BG80+BL80-BN80</f>
        <v/>
      </c>
      <c r="BJ80" s="34">
        <f>ABS(BK80)</f>
        <v/>
      </c>
      <c r="BK80" s="34">
        <f>AY80-(J80-L80+N80-Q80)</f>
        <v/>
      </c>
      <c r="BL80" s="34">
        <f>IF(AND(BK80&gt;0,MIN($F80:$G80)&lt;150,$E80="Enerji Açığı"),-100*BK80*1.03,IF(AND(BK80&gt;0,MIN($F80:$G80)&lt;150,$E80="Enerji Fazlası"),-100*BK80*1.06,IF(AND(BK80&gt;0,MIN($F80:$G80)&gt;=150,$E80="Enerji Açığı"),BK80*MIN($F80:$G80)*0.97,IF(AND(BK80&gt;0,MIN($F80:$G80)&gt;=150,$E80="Enerji Fazlası"),BK80*MIN($F80:$G80)*0.94,IF(AND(BK80&lt;0,MAX($F80:$G80)=4500,$E80="Enerji Açığı"),4500*1.05*1.06*BK80,IF(AND(BK80&lt;0,MAX($F80:$G80)=4500,$E80="Enerji Fazlası"),4500*1.05*1.03*BK80,IF(AND(BK80&lt;0,$E80="Enerji Açığı"),MAX($F80,$G80,150)*BK80*1.06,IF(AND(BK80&lt;0,$E80="Enerji Fazlası"),MAX($F80,$G80,150)*BK80*1.03,IF(AND(BK80&lt;0,$E80="Dengede"),MAX($F80:$G80,150)*1.03*BK80,MIN($F80:$G80)*0.97*BK80)))))))))</f>
        <v/>
      </c>
      <c r="BM80" s="34">
        <f>BE80-BI80-BN80</f>
        <v/>
      </c>
      <c r="BN80" s="34">
        <f>BB80</f>
        <v/>
      </c>
      <c r="BO80" s="34">
        <f>BE80-BI80</f>
        <v/>
      </c>
      <c r="BP80" s="34">
        <f>IF(AY80=0,0,BO80/AY80)</f>
        <v/>
      </c>
      <c r="BQ80" s="34">
        <f>MAX((AY80+MAX((-J80+L80-N80+Q80),0)),(MAX((J80-L80+N80-Q80),0)))</f>
        <v/>
      </c>
      <c r="BR80" s="82">
        <f>IFERROR(ABS(BK80/BQ80),0)</f>
        <v/>
      </c>
      <c r="BS80" s="34">
        <f>IF(BR80&lt;=0.1,0,BK80/BR80*(BR80-0.1))</f>
        <v/>
      </c>
      <c r="BT80" s="34">
        <f>IF((BS80)&lt;0,MAX(F80:G80)*(BS80)*1.03,MIN(F80:G80)*(BS80)*0.97)</f>
        <v/>
      </c>
      <c r="BU80" s="34">
        <f>IF(BR80&gt;0.1,1,0)</f>
        <v/>
      </c>
      <c r="BV80" s="34">
        <f>BF80+BG80+BH80+BY80-CA80</f>
        <v/>
      </c>
      <c r="BW80" s="34">
        <f>ABS(BX80)</f>
        <v/>
      </c>
      <c r="BX80" s="34">
        <f>AY80-(J80-L80+N80-Q80+T80-X80)</f>
        <v/>
      </c>
      <c r="BY80" s="34">
        <f>IF(AND(BX80&gt;0,MIN($F80:$G80)&lt;150,$E80="Enerji Açığı"),-100*BX80*1.03,IF(AND(BX80&gt;0,MIN($F80:$G80)&lt;150,$E80="Enerji Fazlası"),-100*BX80*1.06,IF(AND(BX80&gt;0,MIN($F80:$G80)&gt;=150,$E80="Enerji Açığı"),BX80*MIN($F80:$G80)*0.97,IF(AND(BX80&gt;0,MIN($F80:$G80)&gt;=150,$E80="Enerji Fazlası"),BX80*MIN($F80:$G80)*0.94,IF(AND(BX80&lt;0,MAX($F80:$G80)=4500,$E80="Enerji Açığı"),4500*1.05*1.06*BX80,IF(AND(BX80&lt;0,MAX($F80:$G80)=4500,$E80="Enerji Fazlası"),4500*1.05*1.03*BX80,IF(AND(BX80&lt;0,$E80="Enerji Açığı"),MAX($F80,$G80,150)*BX80*1.06,IF(AND(BX80&lt;0,$E80="Enerji Fazlası"),MAX($F80,$G80,150)*BX80*1.03,IF(AND(BX80&lt;0,$E80="Dengede"),MAX($F80:$G80,150)*1.03*BX80,MIN($F80:$G80)*0.97*BX80)))))))))</f>
        <v/>
      </c>
      <c r="BZ80" s="34">
        <f>BE80-BV80-CA80</f>
        <v/>
      </c>
      <c r="CA80" s="34">
        <f>BD80</f>
        <v/>
      </c>
      <c r="CB80" s="33">
        <f>BE80-BV80</f>
        <v/>
      </c>
      <c r="CC80" s="34">
        <f>IF(AY80=0,0,CB80/AY80)</f>
        <v/>
      </c>
      <c r="CD80" s="34">
        <f>MAX((AY80+MAX((-J80+L80-N80+Q80-T80+X80),0)),(MAX((J80-L80+N80-Q80+T80-X80),0)))</f>
        <v/>
      </c>
      <c r="CE80" s="82">
        <f>IFERROR(ABS(BX80/CD80),0)</f>
        <v/>
      </c>
      <c r="CF80" s="34">
        <f>IF(CE80&lt;=0.1,0,BX80/CE80*(CE80-0.1))</f>
        <v/>
      </c>
      <c r="CG80" s="34">
        <f>IF((CF80)&lt;0,MAX(F80:G80)*(CF80)*1.03,MIN(F80:G80)*(CF80)*0.97)</f>
        <v/>
      </c>
      <c r="CH80" s="34">
        <f>IF(CE80&gt;0.1,1,0)</f>
        <v/>
      </c>
      <c r="CI80" s="34">
        <f>(F80*BX80)-BY80</f>
        <v/>
      </c>
      <c r="CJ80" s="34">
        <f>IF(AY80=0,0,CI80/AY80)</f>
        <v/>
      </c>
    </row>
    <row r="81">
      <c r="A81" s="29" t="n">
        <v>46207.25</v>
      </c>
      <c r="B81" s="29" t="inlineStr">
        <is>
          <t>06:00</t>
        </is>
      </c>
      <c r="C81" s="35">
        <f>INT(A81)</f>
        <v/>
      </c>
      <c r="D81" s="36">
        <f>MONTH(A81)</f>
        <v/>
      </c>
      <c r="E81" s="147">
        <f>[1]FİYATLAR!G80</f>
        <v/>
      </c>
      <c r="F81" s="30" t="n">
        <v>2538</v>
      </c>
      <c r="G81" s="30" t="n">
        <v>600</v>
      </c>
      <c r="H81" s="30" t="n">
        <v>54.45</v>
      </c>
      <c r="I81" s="30" t="n">
        <v>2647.38</v>
      </c>
      <c r="J81" s="119" t="n">
        <v>0</v>
      </c>
      <c r="K81" s="34">
        <f>F81*J81</f>
        <v/>
      </c>
      <c r="L81" s="119" t="n">
        <v>0</v>
      </c>
      <c r="M81" s="34">
        <f>L81*F81</f>
        <v/>
      </c>
      <c r="N81" s="119" t="n">
        <v>22.2</v>
      </c>
      <c r="O81" s="34">
        <f>F81</f>
        <v/>
      </c>
      <c r="P81" s="34">
        <f>N81*O81</f>
        <v/>
      </c>
      <c r="Q81" s="117" t="n">
        <v>0</v>
      </c>
      <c r="R81" s="34">
        <f>F81</f>
        <v/>
      </c>
      <c r="S81" s="34">
        <f>R81*Q81</f>
        <v/>
      </c>
      <c r="T81" s="34">
        <f>SUMIFS('[1]GİP VERİLERİ'!$C:$C,'[1]GİP VERİLERİ'!$B:$B,A81,'[1]GİP VERİLERİ'!$M:$M,"40X000000104782K",'[1]GİP VERİLERİ'!$G:$G,"SELL")</f>
        <v/>
      </c>
      <c r="U81" s="34">
        <f>IFERROR(W81/T81,0)</f>
        <v/>
      </c>
      <c r="V81" s="34">
        <f>IF(U81=0,0,U81-F81)</f>
        <v/>
      </c>
      <c r="W81" s="34">
        <f>SUMIFS('[1]GİP VERİLERİ'!$O:$O,'[1]GİP VERİLERİ'!$B:$B,A81,'[1]GİP VERİLERİ'!$M:$M,"40X000000104782K",'[1]GİP VERİLERİ'!$G:$G,"SELL")</f>
        <v/>
      </c>
      <c r="X81" s="34">
        <f>SUMIFS('[1]GİP VERİLERİ'!$C:$C,'[1]GİP VERİLERİ'!$B:$B,A81,'[1]GİP VERİLERİ'!$M:$M,"40X000000104782K",'[1]GİP VERİLERİ'!$G:$G,"BUY")</f>
        <v/>
      </c>
      <c r="Y81" s="34">
        <f>IFERROR(AA81/X81,0)</f>
        <v/>
      </c>
      <c r="Z81" s="34">
        <f>IF(Y81=0,0,F81-Y81)</f>
        <v/>
      </c>
      <c r="AA81" s="34">
        <f>SUMIFS('[1]GİP VERİLERİ'!$O:$O,'[1]GİP VERİLERİ'!$B:$B,A81,'[1]GİP VERİLERİ'!$M:$M,"40X000000104782K",'[1]GİP VERİLERİ'!$G:$G,"BUY")</f>
        <v/>
      </c>
      <c r="AB81" s="34" t="n">
        <v>0</v>
      </c>
      <c r="AC81" s="34" t="n">
        <v>0</v>
      </c>
      <c r="AD81" s="34">
        <f>IF(AB81&gt;AC81*1.05,AB81-AC81*1.05,IF(AB81&lt;AC81*0.95,AC81*0.95-AB81,0))</f>
        <v/>
      </c>
      <c r="AE81" s="34">
        <f>MAX(F81,G81,750)*0.05*AD81</f>
        <v/>
      </c>
      <c r="AF81" s="34" t="n">
        <v>0</v>
      </c>
      <c r="AG81" s="34">
        <f>IF(AB81&gt;AF81*1.05,AB81-AF81*1.05,IF(AB81&lt;AF81*0.95,AF81*0.95-AB81,0))</f>
        <v/>
      </c>
      <c r="AH81" s="34">
        <f>MAX(I81,J81,750)*0.05*AG81</f>
        <v/>
      </c>
      <c r="AI81" t="n">
        <v>8.390000000000001</v>
      </c>
      <c r="AJ81" t="n">
        <v>9</v>
      </c>
      <c r="AK81" s="34">
        <f>IF(AI81&gt;AJ81*1.05,AI81-AJ81*1.05,IF(AI81&lt;AJ81*0.95,AJ81*0.95-AI81,0))</f>
        <v/>
      </c>
      <c r="AL81" s="34">
        <f>MAX(F81,G81,750)*0.05*AK81</f>
        <v/>
      </c>
      <c r="AM81" s="39" t="n">
        <v>9</v>
      </c>
      <c r="AN81" s="34">
        <f>IF(AI81&gt;AM81*1.05,AI81-AM81*1.05,IF(AI81&lt;AM81*0.95,AM81*0.95-AI81,0))</f>
        <v/>
      </c>
      <c r="AO81" s="34">
        <f>MAX(F81,G81,750)*0.05*AN81</f>
        <v/>
      </c>
      <c r="AP81" s="34" t="n">
        <v>15.18</v>
      </c>
      <c r="AQ81" s="34" t="n">
        <v>13.2</v>
      </c>
      <c r="AR81" s="34">
        <f>IF(AP81&gt;AQ81*1.05,AP81-AQ81*1.05,IF(AP81&lt;AQ81*0.95,AQ81*0.95-AP81,0))</f>
        <v/>
      </c>
      <c r="AS81" s="34">
        <f>MAX(F81:G81,750)*0.05*AR81</f>
        <v/>
      </c>
      <c r="AT81" t="n">
        <v>14</v>
      </c>
      <c r="AU81" s="34">
        <f>IF(AP81&gt;AT81*1.05,AP81-AT81*1.05,IF(AP81&lt;AT81*0.95,AT81*0.95-AP81,0))</f>
        <v/>
      </c>
      <c r="AV81" s="34">
        <f>MAX(F81:G81,750)*0.05*AU81</f>
        <v/>
      </c>
      <c r="AW81" s="34">
        <f>AC81+AJ81+AQ81</f>
        <v/>
      </c>
      <c r="AX81" s="34">
        <f>AF81+AM81+AT81</f>
        <v/>
      </c>
      <c r="AY81" s="34">
        <f>AB81+AI81+AP81</f>
        <v/>
      </c>
      <c r="AZ81" s="34" t="n">
        <v>0</v>
      </c>
      <c r="BA81" s="34">
        <f>AD81+AK81+AR81</f>
        <v/>
      </c>
      <c r="BB81" s="34">
        <f>MAX(F81:G81,750)*0.05*BA81</f>
        <v/>
      </c>
      <c r="BC81" s="34">
        <f>AG81+AN81+AU81</f>
        <v/>
      </c>
      <c r="BD81" s="34">
        <f>MAX(F81:G81,750)*0.05*BC81</f>
        <v/>
      </c>
      <c r="BE81" s="34">
        <f>F81*AY81</f>
        <v/>
      </c>
      <c r="BF81" s="34">
        <f>K81-M81</f>
        <v/>
      </c>
      <c r="BG81" s="34">
        <f>P81-S81</f>
        <v/>
      </c>
      <c r="BH81" s="34">
        <f>W81-AA81</f>
        <v/>
      </c>
      <c r="BI81" s="34">
        <f>BF81+BG81+BL81-BN81</f>
        <v/>
      </c>
      <c r="BJ81" s="34">
        <f>ABS(BK81)</f>
        <v/>
      </c>
      <c r="BK81" s="34">
        <f>AY81-(J81-L81+N81-Q81)</f>
        <v/>
      </c>
      <c r="BL81" s="34">
        <f>IF(AND(BK81&gt;0,MIN($F81:$G81)&lt;150,$E81="Enerji Açığı"),-100*BK81*1.03,IF(AND(BK81&gt;0,MIN($F81:$G81)&lt;150,$E81="Enerji Fazlası"),-100*BK81*1.06,IF(AND(BK81&gt;0,MIN($F81:$G81)&gt;=150,$E81="Enerji Açığı"),BK81*MIN($F81:$G81)*0.97,IF(AND(BK81&gt;0,MIN($F81:$G81)&gt;=150,$E81="Enerji Fazlası"),BK81*MIN($F81:$G81)*0.94,IF(AND(BK81&lt;0,MAX($F81:$G81)=4500,$E81="Enerji Açığı"),4500*1.05*1.06*BK81,IF(AND(BK81&lt;0,MAX($F81:$G81)=4500,$E81="Enerji Fazlası"),4500*1.05*1.03*BK81,IF(AND(BK81&lt;0,$E81="Enerji Açığı"),MAX($F81,$G81,150)*BK81*1.06,IF(AND(BK81&lt;0,$E81="Enerji Fazlası"),MAX($F81,$G81,150)*BK81*1.03,IF(AND(BK81&lt;0,$E81="Dengede"),MAX($F81:$G81,150)*1.03*BK81,MIN($F81:$G81)*0.97*BK81)))))))))</f>
        <v/>
      </c>
      <c r="BM81" s="34">
        <f>BE81-BI81-BN81</f>
        <v/>
      </c>
      <c r="BN81" s="34">
        <f>BB81</f>
        <v/>
      </c>
      <c r="BO81" s="34">
        <f>BE81-BI81</f>
        <v/>
      </c>
      <c r="BP81" s="34">
        <f>IF(AY81=0,0,BO81/AY81)</f>
        <v/>
      </c>
      <c r="BQ81" s="34">
        <f>MAX((AY81+MAX((-J81+L81-N81+Q81),0)),(MAX((J81-L81+N81-Q81),0)))</f>
        <v/>
      </c>
      <c r="BR81" s="82">
        <f>IFERROR(ABS(BK81/BQ81),0)</f>
        <v/>
      </c>
      <c r="BS81" s="34">
        <f>IF(BR81&lt;=0.1,0,BK81/BR81*(BR81-0.1))</f>
        <v/>
      </c>
      <c r="BT81" s="34">
        <f>IF((BS81)&lt;0,MAX(F81:G81)*(BS81)*1.03,MIN(F81:G81)*(BS81)*0.97)</f>
        <v/>
      </c>
      <c r="BU81" s="34">
        <f>IF(BR81&gt;0.1,1,0)</f>
        <v/>
      </c>
      <c r="BV81" s="34">
        <f>BF81+BG81+BH81+BY81-CA81</f>
        <v/>
      </c>
      <c r="BW81" s="34">
        <f>ABS(BX81)</f>
        <v/>
      </c>
      <c r="BX81" s="34">
        <f>AY81-(J81-L81+N81-Q81+T81-X81)</f>
        <v/>
      </c>
      <c r="BY81" s="34">
        <f>IF(AND(BX81&gt;0,MIN($F81:$G81)&lt;150,$E81="Enerji Açığı"),-100*BX81*1.03,IF(AND(BX81&gt;0,MIN($F81:$G81)&lt;150,$E81="Enerji Fazlası"),-100*BX81*1.06,IF(AND(BX81&gt;0,MIN($F81:$G81)&gt;=150,$E81="Enerji Açığı"),BX81*MIN($F81:$G81)*0.97,IF(AND(BX81&gt;0,MIN($F81:$G81)&gt;=150,$E81="Enerji Fazlası"),BX81*MIN($F81:$G81)*0.94,IF(AND(BX81&lt;0,MAX($F81:$G81)=4500,$E81="Enerji Açığı"),4500*1.05*1.06*BX81,IF(AND(BX81&lt;0,MAX($F81:$G81)=4500,$E81="Enerji Fazlası"),4500*1.05*1.03*BX81,IF(AND(BX81&lt;0,$E81="Enerji Açığı"),MAX($F81,$G81,150)*BX81*1.06,IF(AND(BX81&lt;0,$E81="Enerji Fazlası"),MAX($F81,$G81,150)*BX81*1.03,IF(AND(BX81&lt;0,$E81="Dengede"),MAX($F81:$G81,150)*1.03*BX81,MIN($F81:$G81)*0.97*BX81)))))))))</f>
        <v/>
      </c>
      <c r="BZ81" s="34">
        <f>BE81-BV81-CA81</f>
        <v/>
      </c>
      <c r="CA81" s="34">
        <f>BD81</f>
        <v/>
      </c>
      <c r="CB81" s="33">
        <f>BE81-BV81</f>
        <v/>
      </c>
      <c r="CC81" s="34">
        <f>IF(AY81=0,0,CB81/AY81)</f>
        <v/>
      </c>
      <c r="CD81" s="34">
        <f>MAX((AY81+MAX((-J81+L81-N81+Q81-T81+X81),0)),(MAX((J81-L81+N81-Q81+T81-X81),0)))</f>
        <v/>
      </c>
      <c r="CE81" s="82">
        <f>IFERROR(ABS(BX81/CD81),0)</f>
        <v/>
      </c>
      <c r="CF81" s="34">
        <f>IF(CE81&lt;=0.1,0,BX81/CE81*(CE81-0.1))</f>
        <v/>
      </c>
      <c r="CG81" s="34">
        <f>IF((CF81)&lt;0,MAX(F81:G81)*(CF81)*1.03,MIN(F81:G81)*(CF81)*0.97)</f>
        <v/>
      </c>
      <c r="CH81" s="34">
        <f>IF(CE81&gt;0.1,1,0)</f>
        <v/>
      </c>
      <c r="CI81" s="34">
        <f>(F81*BX81)-BY81</f>
        <v/>
      </c>
      <c r="CJ81" s="34">
        <f>IF(AY81=0,0,CI81/AY81)</f>
        <v/>
      </c>
    </row>
    <row r="82">
      <c r="A82" s="29" t="n">
        <v>46207.29166666666</v>
      </c>
      <c r="B82" s="29" t="inlineStr">
        <is>
          <t>07:00</t>
        </is>
      </c>
      <c r="C82" s="35">
        <f>INT(A82)</f>
        <v/>
      </c>
      <c r="D82" s="36">
        <f>MONTH(A82)</f>
        <v/>
      </c>
      <c r="E82" s="147">
        <f>[1]FİYATLAR!G81</f>
        <v/>
      </c>
      <c r="F82" s="30" t="n">
        <v>1500</v>
      </c>
      <c r="G82" s="30" t="n">
        <v>2500</v>
      </c>
      <c r="H82" s="30" t="n">
        <v>32.18</v>
      </c>
      <c r="I82" s="30" t="n">
        <v>1590.72</v>
      </c>
      <c r="J82" s="119" t="n">
        <v>0</v>
      </c>
      <c r="K82" s="34">
        <f>F82*J82</f>
        <v/>
      </c>
      <c r="L82" s="119" t="n">
        <v>0</v>
      </c>
      <c r="M82" s="34">
        <f>L82*F82</f>
        <v/>
      </c>
      <c r="N82" s="119" t="n">
        <v>22.5</v>
      </c>
      <c r="O82" s="34">
        <f>F82</f>
        <v/>
      </c>
      <c r="P82" s="34">
        <f>N82*O82</f>
        <v/>
      </c>
      <c r="Q82" s="117" t="n">
        <v>0</v>
      </c>
      <c r="R82" s="34">
        <f>F82</f>
        <v/>
      </c>
      <c r="S82" s="34">
        <f>R82*Q82</f>
        <v/>
      </c>
      <c r="T82" s="34">
        <f>SUMIFS('[1]GİP VERİLERİ'!$C:$C,'[1]GİP VERİLERİ'!$B:$B,A82,'[1]GİP VERİLERİ'!$M:$M,"40X000000104782K",'[1]GİP VERİLERİ'!$G:$G,"SELL")</f>
        <v/>
      </c>
      <c r="U82" s="34">
        <f>IFERROR(W82/T82,0)</f>
        <v/>
      </c>
      <c r="V82" s="34">
        <f>IF(U82=0,0,U82-F82)</f>
        <v/>
      </c>
      <c r="W82" s="34">
        <f>SUMIFS('[1]GİP VERİLERİ'!$O:$O,'[1]GİP VERİLERİ'!$B:$B,A82,'[1]GİP VERİLERİ'!$M:$M,"40X000000104782K",'[1]GİP VERİLERİ'!$G:$G,"SELL")</f>
        <v/>
      </c>
      <c r="X82" s="34">
        <f>SUMIFS('[1]GİP VERİLERİ'!$C:$C,'[1]GİP VERİLERİ'!$B:$B,A82,'[1]GİP VERİLERİ'!$M:$M,"40X000000104782K",'[1]GİP VERİLERİ'!$G:$G,"BUY")</f>
        <v/>
      </c>
      <c r="Y82" s="34">
        <f>IFERROR(AA82/X82,0)</f>
        <v/>
      </c>
      <c r="Z82" s="34">
        <f>IF(Y82=0,0,F82-Y82)</f>
        <v/>
      </c>
      <c r="AA82" s="34">
        <f>SUMIFS('[1]GİP VERİLERİ'!$O:$O,'[1]GİP VERİLERİ'!$B:$B,A82,'[1]GİP VERİLERİ'!$M:$M,"40X000000104782K",'[1]GİP VERİLERİ'!$G:$G,"BUY")</f>
        <v/>
      </c>
      <c r="AB82" s="34" t="n">
        <v>0</v>
      </c>
      <c r="AC82" s="34" t="n">
        <v>0</v>
      </c>
      <c r="AD82" s="34">
        <f>IF(AB82&gt;AC82*1.05,AB82-AC82*1.05,IF(AB82&lt;AC82*0.95,AC82*0.95-AB82,0))</f>
        <v/>
      </c>
      <c r="AE82" s="34">
        <f>MAX(F82,G82,750)*0.05*AD82</f>
        <v/>
      </c>
      <c r="AF82" s="34" t="n">
        <v>0</v>
      </c>
      <c r="AG82" s="34">
        <f>IF(AB82&gt;AF82*1.05,AB82-AF82*1.05,IF(AB82&lt;AF82*0.95,AF82*0.95-AB82,0))</f>
        <v/>
      </c>
      <c r="AH82" s="34">
        <f>MAX(I82,J82,750)*0.05*AG82</f>
        <v/>
      </c>
      <c r="AI82" t="n">
        <v>9.23</v>
      </c>
      <c r="AJ82" t="n">
        <v>9</v>
      </c>
      <c r="AK82" s="34">
        <f>IF(AI82&gt;AJ82*1.05,AI82-AJ82*1.05,IF(AI82&lt;AJ82*0.95,AJ82*0.95-AI82,0))</f>
        <v/>
      </c>
      <c r="AL82" s="34">
        <f>MAX(F82,G82,750)*0.05*AK82</f>
        <v/>
      </c>
      <c r="AM82" s="39" t="n">
        <v>9</v>
      </c>
      <c r="AN82" s="34">
        <f>IF(AI82&gt;AM82*1.05,AI82-AM82*1.05,IF(AI82&lt;AM82*0.95,AM82*0.95-AI82,0))</f>
        <v/>
      </c>
      <c r="AO82" s="34">
        <f>MAX(F82,G82,750)*0.05*AN82</f>
        <v/>
      </c>
      <c r="AP82" s="34" t="n">
        <v>13.59</v>
      </c>
      <c r="AQ82" s="34" t="n">
        <v>13.5</v>
      </c>
      <c r="AR82" s="34">
        <f>IF(AP82&gt;AQ82*1.05,AP82-AQ82*1.05,IF(AP82&lt;AQ82*0.95,AQ82*0.95-AP82,0))</f>
        <v/>
      </c>
      <c r="AS82" s="34">
        <f>MAX(F82:G82,750)*0.05*AR82</f>
        <v/>
      </c>
      <c r="AT82" t="n">
        <v>13.5</v>
      </c>
      <c r="AU82" s="34">
        <f>IF(AP82&gt;AT82*1.05,AP82-AT82*1.05,IF(AP82&lt;AT82*0.95,AT82*0.95-AP82,0))</f>
        <v/>
      </c>
      <c r="AV82" s="34">
        <f>MAX(F82:G82,750)*0.05*AU82</f>
        <v/>
      </c>
      <c r="AW82" s="34">
        <f>AC82+AJ82+AQ82</f>
        <v/>
      </c>
      <c r="AX82" s="34">
        <f>AF82+AM82+AT82</f>
        <v/>
      </c>
      <c r="AY82" s="34">
        <f>AB82+AI82+AP82</f>
        <v/>
      </c>
      <c r="AZ82" s="34" t="n">
        <v>0</v>
      </c>
      <c r="BA82" s="34">
        <f>AD82+AK82+AR82</f>
        <v/>
      </c>
      <c r="BB82" s="34">
        <f>MAX(F82:G82,750)*0.05*BA82</f>
        <v/>
      </c>
      <c r="BC82" s="34">
        <f>AG82+AN82+AU82</f>
        <v/>
      </c>
      <c r="BD82" s="34">
        <f>MAX(F82:G82,750)*0.05*BC82</f>
        <v/>
      </c>
      <c r="BE82" s="34">
        <f>F82*AY82</f>
        <v/>
      </c>
      <c r="BF82" s="34">
        <f>K82-M82</f>
        <v/>
      </c>
      <c r="BG82" s="34">
        <f>P82-S82</f>
        <v/>
      </c>
      <c r="BH82" s="34">
        <f>W82-AA82</f>
        <v/>
      </c>
      <c r="BI82" s="34">
        <f>BF82+BG82+BL82-BN82</f>
        <v/>
      </c>
      <c r="BJ82" s="34">
        <f>ABS(BK82)</f>
        <v/>
      </c>
      <c r="BK82" s="34">
        <f>AY82-(J82-L82+N82-Q82)</f>
        <v/>
      </c>
      <c r="BL82" s="34">
        <f>IF(AND(BK82&gt;0,MIN($F82:$G82)&lt;150,$E82="Enerji Açığı"),-100*BK82*1.03,IF(AND(BK82&gt;0,MIN($F82:$G82)&lt;150,$E82="Enerji Fazlası"),-100*BK82*1.06,IF(AND(BK82&gt;0,MIN($F82:$G82)&gt;=150,$E82="Enerji Açığı"),BK82*MIN($F82:$G82)*0.97,IF(AND(BK82&gt;0,MIN($F82:$G82)&gt;=150,$E82="Enerji Fazlası"),BK82*MIN($F82:$G82)*0.94,IF(AND(BK82&lt;0,MAX($F82:$G82)=4500,$E82="Enerji Açığı"),4500*1.05*1.06*BK82,IF(AND(BK82&lt;0,MAX($F82:$G82)=4500,$E82="Enerji Fazlası"),4500*1.05*1.03*BK82,IF(AND(BK82&lt;0,$E82="Enerji Açığı"),MAX($F82,$G82,150)*BK82*1.06,IF(AND(BK82&lt;0,$E82="Enerji Fazlası"),MAX($F82,$G82,150)*BK82*1.03,IF(AND(BK82&lt;0,$E82="Dengede"),MAX($F82:$G82,150)*1.03*BK82,MIN($F82:$G82)*0.97*BK82)))))))))</f>
        <v/>
      </c>
      <c r="BM82" s="34">
        <f>BE82-BI82-BN82</f>
        <v/>
      </c>
      <c r="BN82" s="34">
        <f>BB82</f>
        <v/>
      </c>
      <c r="BO82" s="34">
        <f>BE82-BI82</f>
        <v/>
      </c>
      <c r="BP82" s="34">
        <f>IF(AY82=0,0,BO82/AY82)</f>
        <v/>
      </c>
      <c r="BQ82" s="34">
        <f>MAX((AY82+MAX((-J82+L82-N82+Q82),0)),(MAX((J82-L82+N82-Q82),0)))</f>
        <v/>
      </c>
      <c r="BR82" s="82">
        <f>IFERROR(ABS(BK82/BQ82),0)</f>
        <v/>
      </c>
      <c r="BS82" s="34">
        <f>IF(BR82&lt;=0.1,0,BK82/BR82*(BR82-0.1))</f>
        <v/>
      </c>
      <c r="BT82" s="34">
        <f>IF((BS82)&lt;0,MAX(F82:G82)*(BS82)*1.03,MIN(F82:G82)*(BS82)*0.97)</f>
        <v/>
      </c>
      <c r="BU82" s="34">
        <f>IF(BR82&gt;0.1,1,0)</f>
        <v/>
      </c>
      <c r="BV82" s="34">
        <f>BF82+BG82+BH82+BY82-CA82</f>
        <v/>
      </c>
      <c r="BW82" s="34">
        <f>ABS(BX82)</f>
        <v/>
      </c>
      <c r="BX82" s="34">
        <f>AY82-(J82-L82+N82-Q82+T82-X82)</f>
        <v/>
      </c>
      <c r="BY82" s="34">
        <f>IF(AND(BX82&gt;0,MIN($F82:$G82)&lt;150,$E82="Enerji Açığı"),-100*BX82*1.03,IF(AND(BX82&gt;0,MIN($F82:$G82)&lt;150,$E82="Enerji Fazlası"),-100*BX82*1.06,IF(AND(BX82&gt;0,MIN($F82:$G82)&gt;=150,$E82="Enerji Açığı"),BX82*MIN($F82:$G82)*0.97,IF(AND(BX82&gt;0,MIN($F82:$G82)&gt;=150,$E82="Enerji Fazlası"),BX82*MIN($F82:$G82)*0.94,IF(AND(BX82&lt;0,MAX($F82:$G82)=4500,$E82="Enerji Açığı"),4500*1.05*1.06*BX82,IF(AND(BX82&lt;0,MAX($F82:$G82)=4500,$E82="Enerji Fazlası"),4500*1.05*1.03*BX82,IF(AND(BX82&lt;0,$E82="Enerji Açığı"),MAX($F82,$G82,150)*BX82*1.06,IF(AND(BX82&lt;0,$E82="Enerji Fazlası"),MAX($F82,$G82,150)*BX82*1.03,IF(AND(BX82&lt;0,$E82="Dengede"),MAX($F82:$G82,150)*1.03*BX82,MIN($F82:$G82)*0.97*BX82)))))))))</f>
        <v/>
      </c>
      <c r="BZ82" s="34">
        <f>BE82-BV82-CA82</f>
        <v/>
      </c>
      <c r="CA82" s="34">
        <f>BD82</f>
        <v/>
      </c>
      <c r="CB82" s="33">
        <f>BE82-BV82</f>
        <v/>
      </c>
      <c r="CC82" s="34">
        <f>IF(AY82=0,0,CB82/AY82)</f>
        <v/>
      </c>
      <c r="CD82" s="34">
        <f>MAX((AY82+MAX((-J82+L82-N82+Q82-T82+X82),0)),(MAX((J82-L82+N82-Q82+T82-X82),0)))</f>
        <v/>
      </c>
      <c r="CE82" s="82">
        <f>IFERROR(ABS(BX82/CD82),0)</f>
        <v/>
      </c>
      <c r="CF82" s="34">
        <f>IF(CE82&lt;=0.1,0,BX82/CE82*(CE82-0.1))</f>
        <v/>
      </c>
      <c r="CG82" s="34">
        <f>IF((CF82)&lt;0,MAX(F82:G82)*(CF82)*1.03,MIN(F82:G82)*(CF82)*0.97)</f>
        <v/>
      </c>
      <c r="CH82" s="34">
        <f>IF(CE82&gt;0.1,1,0)</f>
        <v/>
      </c>
      <c r="CI82" s="34">
        <f>(F82*BX82)-BY82</f>
        <v/>
      </c>
      <c r="CJ82" s="34">
        <f>IF(AY82=0,0,CI82/AY82)</f>
        <v/>
      </c>
    </row>
    <row r="83">
      <c r="A83" s="29" t="n">
        <v>46207.33333333334</v>
      </c>
      <c r="B83" s="29" t="inlineStr">
        <is>
          <t>08:00</t>
        </is>
      </c>
      <c r="C83" s="35">
        <f>INT(A83)</f>
        <v/>
      </c>
      <c r="D83" s="36">
        <f>MONTH(A83)</f>
        <v/>
      </c>
      <c r="E83" s="147">
        <f>[1]FİYATLAR!G82</f>
        <v/>
      </c>
      <c r="F83" s="30" t="n">
        <v>1850</v>
      </c>
      <c r="G83" s="30" t="n">
        <v>2277</v>
      </c>
      <c r="H83" s="30" t="n">
        <v>39.69</v>
      </c>
      <c r="I83" s="30" t="n">
        <v>2266.68</v>
      </c>
      <c r="J83" s="119" t="n">
        <v>0</v>
      </c>
      <c r="K83" s="34">
        <f>F83*J83</f>
        <v/>
      </c>
      <c r="L83" s="119" t="n">
        <v>0</v>
      </c>
      <c r="M83" s="34">
        <f>L83*F83</f>
        <v/>
      </c>
      <c r="N83" s="119" t="n">
        <v>24</v>
      </c>
      <c r="O83" s="34">
        <f>F83</f>
        <v/>
      </c>
      <c r="P83" s="34">
        <f>N83*O83</f>
        <v/>
      </c>
      <c r="Q83" s="117" t="n">
        <v>0</v>
      </c>
      <c r="R83" s="34">
        <f>F83</f>
        <v/>
      </c>
      <c r="S83" s="34">
        <f>R83*Q83</f>
        <v/>
      </c>
      <c r="T83" s="34">
        <f>SUMIFS('[1]GİP VERİLERİ'!$C:$C,'[1]GİP VERİLERİ'!$B:$B,A83,'[1]GİP VERİLERİ'!$M:$M,"40X000000104782K",'[1]GİP VERİLERİ'!$G:$G,"SELL")</f>
        <v/>
      </c>
      <c r="U83" s="34">
        <f>IFERROR(W83/T83,0)</f>
        <v/>
      </c>
      <c r="V83" s="34">
        <f>IF(U83=0,0,U83-F83)</f>
        <v/>
      </c>
      <c r="W83" s="34">
        <f>SUMIFS('[1]GİP VERİLERİ'!$O:$O,'[1]GİP VERİLERİ'!$B:$B,A83,'[1]GİP VERİLERİ'!$M:$M,"40X000000104782K",'[1]GİP VERİLERİ'!$G:$G,"SELL")</f>
        <v/>
      </c>
      <c r="X83" s="34">
        <f>SUMIFS('[1]GİP VERİLERİ'!$C:$C,'[1]GİP VERİLERİ'!$B:$B,A83,'[1]GİP VERİLERİ'!$M:$M,"40X000000104782K",'[1]GİP VERİLERİ'!$G:$G,"BUY")</f>
        <v/>
      </c>
      <c r="Y83" s="34">
        <f>IFERROR(AA83/X83,0)</f>
        <v/>
      </c>
      <c r="Z83" s="34">
        <f>IF(Y83=0,0,F83-Y83)</f>
        <v/>
      </c>
      <c r="AA83" s="34">
        <f>SUMIFS('[1]GİP VERİLERİ'!$O:$O,'[1]GİP VERİLERİ'!$B:$B,A83,'[1]GİP VERİLERİ'!$M:$M,"40X000000104782K",'[1]GİP VERİLERİ'!$G:$G,"BUY")</f>
        <v/>
      </c>
      <c r="AB83" s="34" t="n">
        <v>0</v>
      </c>
      <c r="AC83" s="34" t="n">
        <v>0</v>
      </c>
      <c r="AD83" s="34">
        <f>IF(AB83&gt;AC83*1.05,AB83-AC83*1.05,IF(AB83&lt;AC83*0.95,AC83*0.95-AB83,0))</f>
        <v/>
      </c>
      <c r="AE83" s="34">
        <f>MAX(F83,G83,750)*0.05*AD83</f>
        <v/>
      </c>
      <c r="AF83" s="34" t="n">
        <v>0</v>
      </c>
      <c r="AG83" s="34">
        <f>IF(AB83&gt;AF83*1.05,AB83-AF83*1.05,IF(AB83&lt;AF83*0.95,AF83*0.95-AB83,0))</f>
        <v/>
      </c>
      <c r="AH83" s="34">
        <f>MAX(I83,J83,750)*0.05*AG83</f>
        <v/>
      </c>
      <c r="AI83" t="n">
        <v>10.09</v>
      </c>
      <c r="AJ83" t="n">
        <v>9</v>
      </c>
      <c r="AK83" s="34">
        <f>IF(AI83&gt;AJ83*1.05,AI83-AJ83*1.05,IF(AI83&lt;AJ83*0.95,AJ83*0.95-AI83,0))</f>
        <v/>
      </c>
      <c r="AL83" s="34">
        <f>MAX(F83,G83,750)*0.05*AK83</f>
        <v/>
      </c>
      <c r="AM83" s="39" t="n">
        <v>9</v>
      </c>
      <c r="AN83" s="34">
        <f>IF(AI83&gt;AM83*1.05,AI83-AM83*1.05,IF(AI83&lt;AM83*0.95,AM83*0.95-AI83,0))</f>
        <v/>
      </c>
      <c r="AO83" s="34">
        <f>MAX(F83,G83,750)*0.05*AN83</f>
        <v/>
      </c>
      <c r="AP83" s="34" t="n">
        <v>15.26</v>
      </c>
      <c r="AQ83" s="34" t="n">
        <v>15</v>
      </c>
      <c r="AR83" s="34">
        <f>IF(AP83&gt;AQ83*1.05,AP83-AQ83*1.05,IF(AP83&lt;AQ83*0.95,AQ83*0.95-AP83,0))</f>
        <v/>
      </c>
      <c r="AS83" s="34">
        <f>MAX(F83:G83,750)*0.05*AR83</f>
        <v/>
      </c>
      <c r="AT83" t="n">
        <v>15</v>
      </c>
      <c r="AU83" s="34">
        <f>IF(AP83&gt;AT83*1.05,AP83-AT83*1.05,IF(AP83&lt;AT83*0.95,AT83*0.95-AP83,0))</f>
        <v/>
      </c>
      <c r="AV83" s="34">
        <f>MAX(F83:G83,750)*0.05*AU83</f>
        <v/>
      </c>
      <c r="AW83" s="34">
        <f>AC83+AJ83+AQ83</f>
        <v/>
      </c>
      <c r="AX83" s="34">
        <f>AF83+AM83+AT83</f>
        <v/>
      </c>
      <c r="AY83" s="34">
        <f>AB83+AI83+AP83</f>
        <v/>
      </c>
      <c r="AZ83" s="34" t="n">
        <v>0</v>
      </c>
      <c r="BA83" s="34">
        <f>AD83+AK83+AR83</f>
        <v/>
      </c>
      <c r="BB83" s="34">
        <f>MAX(F83:G83,750)*0.05*BA83</f>
        <v/>
      </c>
      <c r="BC83" s="34">
        <f>AG83+AN83+AU83</f>
        <v/>
      </c>
      <c r="BD83" s="34">
        <f>MAX(F83:G83,750)*0.05*BC83</f>
        <v/>
      </c>
      <c r="BE83" s="34">
        <f>F83*AY83</f>
        <v/>
      </c>
      <c r="BF83" s="34">
        <f>K83-M83</f>
        <v/>
      </c>
      <c r="BG83" s="34">
        <f>P83-S83</f>
        <v/>
      </c>
      <c r="BH83" s="34">
        <f>W83-AA83</f>
        <v/>
      </c>
      <c r="BI83" s="34">
        <f>BF83+BG83+BL83-BN83</f>
        <v/>
      </c>
      <c r="BJ83" s="34">
        <f>ABS(BK83)</f>
        <v/>
      </c>
      <c r="BK83" s="34">
        <f>AY83-(J83-L83+N83-Q83)</f>
        <v/>
      </c>
      <c r="BL83" s="34">
        <f>IF(AND(BK83&gt;0,MIN($F83:$G83)&lt;150,$E83="Enerji Açığı"),-100*BK83*1.03,IF(AND(BK83&gt;0,MIN($F83:$G83)&lt;150,$E83="Enerji Fazlası"),-100*BK83*1.06,IF(AND(BK83&gt;0,MIN($F83:$G83)&gt;=150,$E83="Enerji Açığı"),BK83*MIN($F83:$G83)*0.97,IF(AND(BK83&gt;0,MIN($F83:$G83)&gt;=150,$E83="Enerji Fazlası"),BK83*MIN($F83:$G83)*0.94,IF(AND(BK83&lt;0,MAX($F83:$G83)=4500,$E83="Enerji Açığı"),4500*1.05*1.06*BK83,IF(AND(BK83&lt;0,MAX($F83:$G83)=4500,$E83="Enerji Fazlası"),4500*1.05*1.03*BK83,IF(AND(BK83&lt;0,$E83="Enerji Açığı"),MAX($F83,$G83,150)*BK83*1.06,IF(AND(BK83&lt;0,$E83="Enerji Fazlası"),MAX($F83,$G83,150)*BK83*1.03,IF(AND(BK83&lt;0,$E83="Dengede"),MAX($F83:$G83,150)*1.03*BK83,MIN($F83:$G83)*0.97*BK83)))))))))</f>
        <v/>
      </c>
      <c r="BM83" s="34">
        <f>BE83-BI83-BN83</f>
        <v/>
      </c>
      <c r="BN83" s="34">
        <f>BB83</f>
        <v/>
      </c>
      <c r="BO83" s="34">
        <f>BE83-BI83</f>
        <v/>
      </c>
      <c r="BP83" s="34">
        <f>IF(AY83=0,0,BO83/AY83)</f>
        <v/>
      </c>
      <c r="BQ83" s="34">
        <f>MAX((AY83+MAX((-J83+L83-N83+Q83),0)),(MAX((J83-L83+N83-Q83),0)))</f>
        <v/>
      </c>
      <c r="BR83" s="82">
        <f>IFERROR(ABS(BK83/BQ83),0)</f>
        <v/>
      </c>
      <c r="BS83" s="34">
        <f>IF(BR83&lt;=0.1,0,BK83/BR83*(BR83-0.1))</f>
        <v/>
      </c>
      <c r="BT83" s="34">
        <f>IF((BS83)&lt;0,MAX(F83:G83)*(BS83)*1.03,MIN(F83:G83)*(BS83)*0.97)</f>
        <v/>
      </c>
      <c r="BU83" s="34">
        <f>IF(BR83&gt;0.1,1,0)</f>
        <v/>
      </c>
      <c r="BV83" s="34">
        <f>BF83+BG83+BH83+BY83-CA83</f>
        <v/>
      </c>
      <c r="BW83" s="34">
        <f>ABS(BX83)</f>
        <v/>
      </c>
      <c r="BX83" s="34">
        <f>AY83-(J83-L83+N83-Q83+T83-X83)</f>
        <v/>
      </c>
      <c r="BY83" s="34">
        <f>IF(AND(BX83&gt;0,MIN($F83:$G83)&lt;150,$E83="Enerji Açığı"),-100*BX83*1.03,IF(AND(BX83&gt;0,MIN($F83:$G83)&lt;150,$E83="Enerji Fazlası"),-100*BX83*1.06,IF(AND(BX83&gt;0,MIN($F83:$G83)&gt;=150,$E83="Enerji Açığı"),BX83*MIN($F83:$G83)*0.97,IF(AND(BX83&gt;0,MIN($F83:$G83)&gt;=150,$E83="Enerji Fazlası"),BX83*MIN($F83:$G83)*0.94,IF(AND(BX83&lt;0,MAX($F83:$G83)=4500,$E83="Enerji Açığı"),4500*1.05*1.06*BX83,IF(AND(BX83&lt;0,MAX($F83:$G83)=4500,$E83="Enerji Fazlası"),4500*1.05*1.03*BX83,IF(AND(BX83&lt;0,$E83="Enerji Açığı"),MAX($F83,$G83,150)*BX83*1.06,IF(AND(BX83&lt;0,$E83="Enerji Fazlası"),MAX($F83,$G83,150)*BX83*1.03,IF(AND(BX83&lt;0,$E83="Dengede"),MAX($F83:$G83,150)*1.03*BX83,MIN($F83:$G83)*0.97*BX83)))))))))</f>
        <v/>
      </c>
      <c r="BZ83" s="34">
        <f>BE83-BV83-CA83</f>
        <v/>
      </c>
      <c r="CA83" s="34">
        <f>BD83</f>
        <v/>
      </c>
      <c r="CB83" s="33">
        <f>BE83-BV83</f>
        <v/>
      </c>
      <c r="CC83" s="34">
        <f>IF(AY83=0,0,CB83/AY83)</f>
        <v/>
      </c>
      <c r="CD83" s="34">
        <f>MAX((AY83+MAX((-J83+L83-N83+Q83-T83+X83),0)),(MAX((J83-L83+N83-Q83+T83-X83),0)))</f>
        <v/>
      </c>
      <c r="CE83" s="82">
        <f>IFERROR(ABS(BX83/CD83),0)</f>
        <v/>
      </c>
      <c r="CF83" s="34">
        <f>IF(CE83&lt;=0.1,0,BX83/CE83*(CE83-0.1))</f>
        <v/>
      </c>
      <c r="CG83" s="34">
        <f>IF((CF83)&lt;0,MAX(F83:G83)*(CF83)*1.03,MIN(F83:G83)*(CF83)*0.97)</f>
        <v/>
      </c>
      <c r="CH83" s="34">
        <f>IF(CE83&gt;0.1,1,0)</f>
        <v/>
      </c>
      <c r="CI83" s="34">
        <f>(F83*BX83)-BY83</f>
        <v/>
      </c>
      <c r="CJ83" s="34">
        <f>IF(AY83=0,0,CI83/AY83)</f>
        <v/>
      </c>
    </row>
    <row r="84">
      <c r="A84" s="29" t="n">
        <v>46207.375</v>
      </c>
      <c r="B84" s="29" t="inlineStr">
        <is>
          <t>09:00</t>
        </is>
      </c>
      <c r="C84" s="35">
        <f>INT(A84)</f>
        <v/>
      </c>
      <c r="D84" s="36">
        <f>MONTH(A84)</f>
        <v/>
      </c>
      <c r="E84" s="147">
        <f>[1]FİYATLAR!G83</f>
        <v/>
      </c>
      <c r="F84" s="30" t="n">
        <v>1764.01</v>
      </c>
      <c r="G84" s="30" t="n">
        <v>2500.01</v>
      </c>
      <c r="H84" s="30" t="n">
        <v>37.85</v>
      </c>
      <c r="I84" s="30" t="n">
        <v>2315.19</v>
      </c>
      <c r="J84" s="119" t="n">
        <v>0</v>
      </c>
      <c r="K84" s="34">
        <f>F84*J84</f>
        <v/>
      </c>
      <c r="L84" s="119" t="n">
        <v>0</v>
      </c>
      <c r="M84" s="34">
        <f>L84*F84</f>
        <v/>
      </c>
      <c r="N84" s="119" t="n">
        <v>24</v>
      </c>
      <c r="O84" s="34">
        <f>F84</f>
        <v/>
      </c>
      <c r="P84" s="34">
        <f>N84*O84</f>
        <v/>
      </c>
      <c r="Q84" s="117" t="n">
        <v>0</v>
      </c>
      <c r="R84" s="34">
        <f>F84</f>
        <v/>
      </c>
      <c r="S84" s="34">
        <f>R84*Q84</f>
        <v/>
      </c>
      <c r="T84" s="34">
        <f>SUMIFS('[1]GİP VERİLERİ'!$C:$C,'[1]GİP VERİLERİ'!$B:$B,A84,'[1]GİP VERİLERİ'!$M:$M,"40X000000104782K",'[1]GİP VERİLERİ'!$G:$G,"SELL")</f>
        <v/>
      </c>
      <c r="U84" s="34">
        <f>IFERROR(W84/T84,0)</f>
        <v/>
      </c>
      <c r="V84" s="34">
        <f>IF(U84=0,0,U84-F84)</f>
        <v/>
      </c>
      <c r="W84" s="34">
        <f>SUMIFS('[1]GİP VERİLERİ'!$O:$O,'[1]GİP VERİLERİ'!$B:$B,A84,'[1]GİP VERİLERİ'!$M:$M,"40X000000104782K",'[1]GİP VERİLERİ'!$G:$G,"SELL")</f>
        <v/>
      </c>
      <c r="X84" s="34">
        <f>SUMIFS('[1]GİP VERİLERİ'!$C:$C,'[1]GİP VERİLERİ'!$B:$B,A84,'[1]GİP VERİLERİ'!$M:$M,"40X000000104782K",'[1]GİP VERİLERİ'!$G:$G,"BUY")</f>
        <v/>
      </c>
      <c r="Y84" s="34">
        <f>IFERROR(AA84/X84,0)</f>
        <v/>
      </c>
      <c r="Z84" s="34">
        <f>IF(Y84=0,0,F84-Y84)</f>
        <v/>
      </c>
      <c r="AA84" s="34">
        <f>SUMIFS('[1]GİP VERİLERİ'!$O:$O,'[1]GİP VERİLERİ'!$B:$B,A84,'[1]GİP VERİLERİ'!$M:$M,"40X000000104782K",'[1]GİP VERİLERİ'!$G:$G,"BUY")</f>
        <v/>
      </c>
      <c r="AB84" s="34" t="n">
        <v>0</v>
      </c>
      <c r="AC84" s="34" t="n">
        <v>0</v>
      </c>
      <c r="AD84" s="34">
        <f>IF(AB84&gt;AC84*1.05,AB84-AC84*1.05,IF(AB84&lt;AC84*0.95,AC84*0.95-AB84,0))</f>
        <v/>
      </c>
      <c r="AE84" s="34">
        <f>MAX(F84,G84,750)*0.05*AD84</f>
        <v/>
      </c>
      <c r="AF84" s="34" t="n">
        <v>0</v>
      </c>
      <c r="AG84" s="34">
        <f>IF(AB84&gt;AF84*1.05,AB84-AF84*1.05,IF(AB84&lt;AF84*0.95,AF84*0.95-AB84,0))</f>
        <v/>
      </c>
      <c r="AH84" s="34">
        <f>MAX(I84,J84,750)*0.05*AG84</f>
        <v/>
      </c>
      <c r="AI84" t="n">
        <v>9.289999999999999</v>
      </c>
      <c r="AJ84" t="n">
        <v>9</v>
      </c>
      <c r="AK84" s="34">
        <f>IF(AI84&gt;AJ84*1.05,AI84-AJ84*1.05,IF(AI84&lt;AJ84*0.95,AJ84*0.95-AI84,0))</f>
        <v/>
      </c>
      <c r="AL84" s="34">
        <f>MAX(F84,G84,750)*0.05*AK84</f>
        <v/>
      </c>
      <c r="AM84" s="39" t="n">
        <v>9</v>
      </c>
      <c r="AN84" s="34">
        <f>IF(AI84&gt;AM84*1.05,AI84-AM84*1.05,IF(AI84&lt;AM84*0.95,AM84*0.95-AI84,0))</f>
        <v/>
      </c>
      <c r="AO84" s="34">
        <f>MAX(F84,G84,750)*0.05*AN84</f>
        <v/>
      </c>
      <c r="AP84" s="34" t="n">
        <v>15.16</v>
      </c>
      <c r="AQ84" s="34" t="n">
        <v>15</v>
      </c>
      <c r="AR84" s="34">
        <f>IF(AP84&gt;AQ84*1.05,AP84-AQ84*1.05,IF(AP84&lt;AQ84*0.95,AQ84*0.95-AP84,0))</f>
        <v/>
      </c>
      <c r="AS84" s="34">
        <f>MAX(F84:G84,750)*0.05*AR84</f>
        <v/>
      </c>
      <c r="AT84" t="n">
        <v>15</v>
      </c>
      <c r="AU84" s="34">
        <f>IF(AP84&gt;AT84*1.05,AP84-AT84*1.05,IF(AP84&lt;AT84*0.95,AT84*0.95-AP84,0))</f>
        <v/>
      </c>
      <c r="AV84" s="34">
        <f>MAX(F84:G84,750)*0.05*AU84</f>
        <v/>
      </c>
      <c r="AW84" s="34">
        <f>AC84+AJ84+AQ84</f>
        <v/>
      </c>
      <c r="AX84" s="34">
        <f>AF84+AM84+AT84</f>
        <v/>
      </c>
      <c r="AY84" s="34">
        <f>AB84+AI84+AP84</f>
        <v/>
      </c>
      <c r="AZ84" s="34" t="n">
        <v>0</v>
      </c>
      <c r="BA84" s="34">
        <f>AD84+AK84+AR84</f>
        <v/>
      </c>
      <c r="BB84" s="34">
        <f>MAX(F84:G84,750)*0.05*BA84</f>
        <v/>
      </c>
      <c r="BC84" s="34">
        <f>AG84+AN84+AU84</f>
        <v/>
      </c>
      <c r="BD84" s="34">
        <f>MAX(F84:G84,750)*0.05*BC84</f>
        <v/>
      </c>
      <c r="BE84" s="34">
        <f>F84*AY84</f>
        <v/>
      </c>
      <c r="BF84" s="34">
        <f>K84-M84</f>
        <v/>
      </c>
      <c r="BG84" s="34">
        <f>P84-S84</f>
        <v/>
      </c>
      <c r="BH84" s="34">
        <f>W84-AA84</f>
        <v/>
      </c>
      <c r="BI84" s="34">
        <f>BF84+BG84+BL84-BN84</f>
        <v/>
      </c>
      <c r="BJ84" s="34">
        <f>ABS(BK84)</f>
        <v/>
      </c>
      <c r="BK84" s="34">
        <f>AY84-(J84-L84+N84-Q84)</f>
        <v/>
      </c>
      <c r="BL84" s="34">
        <f>IF(AND(BK84&gt;0,MIN($F84:$G84)&lt;150,$E84="Enerji Açığı"),-100*BK84*1.03,IF(AND(BK84&gt;0,MIN($F84:$G84)&lt;150,$E84="Enerji Fazlası"),-100*BK84*1.06,IF(AND(BK84&gt;0,MIN($F84:$G84)&gt;=150,$E84="Enerji Açığı"),BK84*MIN($F84:$G84)*0.97,IF(AND(BK84&gt;0,MIN($F84:$G84)&gt;=150,$E84="Enerji Fazlası"),BK84*MIN($F84:$G84)*0.94,IF(AND(BK84&lt;0,MAX($F84:$G84)=4500,$E84="Enerji Açığı"),4500*1.05*1.06*BK84,IF(AND(BK84&lt;0,MAX($F84:$G84)=4500,$E84="Enerji Fazlası"),4500*1.05*1.03*BK84,IF(AND(BK84&lt;0,$E84="Enerji Açığı"),MAX($F84,$G84,150)*BK84*1.06,IF(AND(BK84&lt;0,$E84="Enerji Fazlası"),MAX($F84,$G84,150)*BK84*1.03,IF(AND(BK84&lt;0,$E84="Dengede"),MAX($F84:$G84,150)*1.03*BK84,MIN($F84:$G84)*0.97*BK84)))))))))</f>
        <v/>
      </c>
      <c r="BM84" s="34">
        <f>BE84-BI84-BN84</f>
        <v/>
      </c>
      <c r="BN84" s="34">
        <f>BB84</f>
        <v/>
      </c>
      <c r="BO84" s="34">
        <f>BE84-BI84</f>
        <v/>
      </c>
      <c r="BP84" s="34">
        <f>IF(AY84=0,0,BO84/AY84)</f>
        <v/>
      </c>
      <c r="BQ84" s="34">
        <f>MAX((AY84+MAX((-J84+L84-N84+Q84),0)),(MAX((J84-L84+N84-Q84),0)))</f>
        <v/>
      </c>
      <c r="BR84" s="82">
        <f>IFERROR(ABS(BK84/BQ84),0)</f>
        <v/>
      </c>
      <c r="BS84" s="34">
        <f>IF(BR84&lt;=0.1,0,BK84/BR84*(BR84-0.1))</f>
        <v/>
      </c>
      <c r="BT84" s="34">
        <f>IF((BS84)&lt;0,MAX(F84:G84)*(BS84)*1.03,MIN(F84:G84)*(BS84)*0.97)</f>
        <v/>
      </c>
      <c r="BU84" s="34">
        <f>IF(BR84&gt;0.1,1,0)</f>
        <v/>
      </c>
      <c r="BV84" s="34">
        <f>BF84+BG84+BH84+BY84-CA84</f>
        <v/>
      </c>
      <c r="BW84" s="34">
        <f>ABS(BX84)</f>
        <v/>
      </c>
      <c r="BX84" s="34">
        <f>AY84-(J84-L84+N84-Q84+T84-X84)</f>
        <v/>
      </c>
      <c r="BY84" s="34">
        <f>IF(AND(BX84&gt;0,MIN($F84:$G84)&lt;150,$E84="Enerji Açığı"),-100*BX84*1.03,IF(AND(BX84&gt;0,MIN($F84:$G84)&lt;150,$E84="Enerji Fazlası"),-100*BX84*1.06,IF(AND(BX84&gt;0,MIN($F84:$G84)&gt;=150,$E84="Enerji Açığı"),BX84*MIN($F84:$G84)*0.97,IF(AND(BX84&gt;0,MIN($F84:$G84)&gt;=150,$E84="Enerji Fazlası"),BX84*MIN($F84:$G84)*0.94,IF(AND(BX84&lt;0,MAX($F84:$G84)=4500,$E84="Enerji Açığı"),4500*1.05*1.06*BX84,IF(AND(BX84&lt;0,MAX($F84:$G84)=4500,$E84="Enerji Fazlası"),4500*1.05*1.03*BX84,IF(AND(BX84&lt;0,$E84="Enerji Açığı"),MAX($F84,$G84,150)*BX84*1.06,IF(AND(BX84&lt;0,$E84="Enerji Fazlası"),MAX($F84,$G84,150)*BX84*1.03,IF(AND(BX84&lt;0,$E84="Dengede"),MAX($F84:$G84,150)*1.03*BX84,MIN($F84:$G84)*0.97*BX84)))))))))</f>
        <v/>
      </c>
      <c r="BZ84" s="34">
        <f>BE84-BV84-CA84</f>
        <v/>
      </c>
      <c r="CA84" s="34">
        <f>BD84</f>
        <v/>
      </c>
      <c r="CB84" s="33">
        <f>BE84-BV84</f>
        <v/>
      </c>
      <c r="CC84" s="34">
        <f>IF(AY84=0,0,CB84/AY84)</f>
        <v/>
      </c>
      <c r="CD84" s="34">
        <f>MAX((AY84+MAX((-J84+L84-N84+Q84-T84+X84),0)),(MAX((J84-L84+N84-Q84+T84-X84),0)))</f>
        <v/>
      </c>
      <c r="CE84" s="82">
        <f>IFERROR(ABS(BX84/CD84),0)</f>
        <v/>
      </c>
      <c r="CF84" s="34">
        <f>IF(CE84&lt;=0.1,0,BX84/CE84*(CE84-0.1))</f>
        <v/>
      </c>
      <c r="CG84" s="34">
        <f>IF((CF84)&lt;0,MAX(F84:G84)*(CF84)*1.03,MIN(F84:G84)*(CF84)*0.97)</f>
        <v/>
      </c>
      <c r="CH84" s="34">
        <f>IF(CE84&gt;0.1,1,0)</f>
        <v/>
      </c>
      <c r="CI84" s="34">
        <f>(F84*BX84)-BY84</f>
        <v/>
      </c>
      <c r="CJ84" s="34">
        <f>IF(AY84=0,0,CI84/AY84)</f>
        <v/>
      </c>
    </row>
    <row r="85">
      <c r="A85" s="29" t="n">
        <v>46207.41666666666</v>
      </c>
      <c r="B85" s="29" t="inlineStr">
        <is>
          <t>10:00</t>
        </is>
      </c>
      <c r="C85" s="35">
        <f>INT(A85)</f>
        <v/>
      </c>
      <c r="D85" s="36">
        <f>MONTH(A85)</f>
        <v/>
      </c>
      <c r="E85" s="147">
        <f>[1]FİYATLAR!G84</f>
        <v/>
      </c>
      <c r="F85" s="30" t="n">
        <v>1499.97</v>
      </c>
      <c r="G85" s="30" t="n">
        <v>2235.63</v>
      </c>
      <c r="H85" s="30" t="n">
        <v>32.18</v>
      </c>
      <c r="I85" s="30" t="n">
        <v>1467.09</v>
      </c>
      <c r="J85" s="119" t="n">
        <v>0</v>
      </c>
      <c r="K85" s="34">
        <f>F85*J85</f>
        <v/>
      </c>
      <c r="L85" s="119" t="n">
        <v>0</v>
      </c>
      <c r="M85" s="34">
        <f>L85*F85</f>
        <v/>
      </c>
      <c r="N85" s="119" t="n">
        <v>25.3</v>
      </c>
      <c r="O85" s="34">
        <f>F85</f>
        <v/>
      </c>
      <c r="P85" s="34">
        <f>N85*O85</f>
        <v/>
      </c>
      <c r="Q85" s="117" t="n">
        <v>0</v>
      </c>
      <c r="R85" s="34">
        <f>F85</f>
        <v/>
      </c>
      <c r="S85" s="34">
        <f>R85*Q85</f>
        <v/>
      </c>
      <c r="T85" s="34">
        <f>SUMIFS('[1]GİP VERİLERİ'!$C:$C,'[1]GİP VERİLERİ'!$B:$B,A85,'[1]GİP VERİLERİ'!$M:$M,"40X000000104782K",'[1]GİP VERİLERİ'!$G:$G,"SELL")</f>
        <v/>
      </c>
      <c r="U85" s="34">
        <f>IFERROR(W85/T85,0)</f>
        <v/>
      </c>
      <c r="V85" s="34">
        <f>IF(U85=0,0,U85-F85)</f>
        <v/>
      </c>
      <c r="W85" s="34">
        <f>SUMIFS('[1]GİP VERİLERİ'!$O:$O,'[1]GİP VERİLERİ'!$B:$B,A85,'[1]GİP VERİLERİ'!$M:$M,"40X000000104782K",'[1]GİP VERİLERİ'!$G:$G,"SELL")</f>
        <v/>
      </c>
      <c r="X85" s="34">
        <f>SUMIFS('[1]GİP VERİLERİ'!$C:$C,'[1]GİP VERİLERİ'!$B:$B,A85,'[1]GİP VERİLERİ'!$M:$M,"40X000000104782K",'[1]GİP VERİLERİ'!$G:$G,"BUY")</f>
        <v/>
      </c>
      <c r="Y85" s="34">
        <f>IFERROR(AA85/X85,0)</f>
        <v/>
      </c>
      <c r="Z85" s="34">
        <f>IF(Y85=0,0,F85-Y85)</f>
        <v/>
      </c>
      <c r="AA85" s="34">
        <f>SUMIFS('[1]GİP VERİLERİ'!$O:$O,'[1]GİP VERİLERİ'!$B:$B,A85,'[1]GİP VERİLERİ'!$M:$M,"40X000000104782K",'[1]GİP VERİLERİ'!$G:$G,"BUY")</f>
        <v/>
      </c>
      <c r="AB85" s="34" t="n">
        <v>0</v>
      </c>
      <c r="AC85" s="34" t="n">
        <v>0</v>
      </c>
      <c r="AD85" s="34">
        <f>IF(AB85&gt;AC85*1.05,AB85-AC85*1.05,IF(AB85&lt;AC85*0.95,AC85*0.95-AB85,0))</f>
        <v/>
      </c>
      <c r="AE85" s="34">
        <f>MAX(F85,G85,750)*0.05*AD85</f>
        <v/>
      </c>
      <c r="AF85" s="34" t="n">
        <v>0</v>
      </c>
      <c r="AG85" s="34">
        <f>IF(AB85&gt;AF85*1.05,AB85-AF85*1.05,IF(AB85&lt;AF85*0.95,AF85*0.95-AB85,0))</f>
        <v/>
      </c>
      <c r="AH85" s="34">
        <f>MAX(I85,J85,750)*0.05*AG85</f>
        <v/>
      </c>
      <c r="AI85" t="n">
        <v>10.21</v>
      </c>
      <c r="AJ85" t="n">
        <v>10</v>
      </c>
      <c r="AK85" s="34">
        <f>IF(AI85&gt;AJ85*1.05,AI85-AJ85*1.05,IF(AI85&lt;AJ85*0.95,AJ85*0.95-AI85,0))</f>
        <v/>
      </c>
      <c r="AL85" s="34">
        <f>MAX(F85,G85,750)*0.05*AK85</f>
        <v/>
      </c>
      <c r="AM85" s="39" t="n">
        <v>10</v>
      </c>
      <c r="AN85" s="34">
        <f>IF(AI85&gt;AM85*1.05,AI85-AM85*1.05,IF(AI85&lt;AM85*0.95,AM85*0.95-AI85,0))</f>
        <v/>
      </c>
      <c r="AO85" s="34">
        <f>MAX(F85,G85,750)*0.05*AN85</f>
        <v/>
      </c>
      <c r="AP85" s="34" t="n">
        <v>15.37</v>
      </c>
      <c r="AQ85" s="34" t="n">
        <v>15.3</v>
      </c>
      <c r="AR85" s="34">
        <f>IF(AP85&gt;AQ85*1.05,AP85-AQ85*1.05,IF(AP85&lt;AQ85*0.95,AQ85*0.95-AP85,0))</f>
        <v/>
      </c>
      <c r="AS85" s="34">
        <f>MAX(F85:G85,750)*0.05*AR85</f>
        <v/>
      </c>
      <c r="AT85" t="n">
        <v>15.3</v>
      </c>
      <c r="AU85" s="34">
        <f>IF(AP85&gt;AT85*1.05,AP85-AT85*1.05,IF(AP85&lt;AT85*0.95,AT85*0.95-AP85,0))</f>
        <v/>
      </c>
      <c r="AV85" s="34">
        <f>MAX(F85:G85,750)*0.05*AU85</f>
        <v/>
      </c>
      <c r="AW85" s="34">
        <f>AC85+AJ85+AQ85</f>
        <v/>
      </c>
      <c r="AX85" s="34">
        <f>AF85+AM85+AT85</f>
        <v/>
      </c>
      <c r="AY85" s="34">
        <f>AB85+AI85+AP85</f>
        <v/>
      </c>
      <c r="AZ85" s="34" t="n">
        <v>0</v>
      </c>
      <c r="BA85" s="34">
        <f>AD85+AK85+AR85</f>
        <v/>
      </c>
      <c r="BB85" s="34">
        <f>MAX(F85:G85,750)*0.05*BA85</f>
        <v/>
      </c>
      <c r="BC85" s="34">
        <f>AG85+AN85+AU85</f>
        <v/>
      </c>
      <c r="BD85" s="34">
        <f>MAX(F85:G85,750)*0.05*BC85</f>
        <v/>
      </c>
      <c r="BE85" s="34">
        <f>F85*AY85</f>
        <v/>
      </c>
      <c r="BF85" s="34">
        <f>K85-M85</f>
        <v/>
      </c>
      <c r="BG85" s="34">
        <f>P85-S85</f>
        <v/>
      </c>
      <c r="BH85" s="34">
        <f>W85-AA85</f>
        <v/>
      </c>
      <c r="BI85" s="34">
        <f>BF85+BG85+BL85-BN85</f>
        <v/>
      </c>
      <c r="BJ85" s="34">
        <f>ABS(BK85)</f>
        <v/>
      </c>
      <c r="BK85" s="34">
        <f>AY85-(J85-L85+N85-Q85)</f>
        <v/>
      </c>
      <c r="BL85" s="34">
        <f>IF(AND(BK85&gt;0,MIN($F85:$G85)&lt;150,$E85="Enerji Açığı"),-100*BK85*1.03,IF(AND(BK85&gt;0,MIN($F85:$G85)&lt;150,$E85="Enerji Fazlası"),-100*BK85*1.06,IF(AND(BK85&gt;0,MIN($F85:$G85)&gt;=150,$E85="Enerji Açığı"),BK85*MIN($F85:$G85)*0.97,IF(AND(BK85&gt;0,MIN($F85:$G85)&gt;=150,$E85="Enerji Fazlası"),BK85*MIN($F85:$G85)*0.94,IF(AND(BK85&lt;0,MAX($F85:$G85)=4500,$E85="Enerji Açığı"),4500*1.05*1.06*BK85,IF(AND(BK85&lt;0,MAX($F85:$G85)=4500,$E85="Enerji Fazlası"),4500*1.05*1.03*BK85,IF(AND(BK85&lt;0,$E85="Enerji Açığı"),MAX($F85,$G85,150)*BK85*1.06,IF(AND(BK85&lt;0,$E85="Enerji Fazlası"),MAX($F85,$G85,150)*BK85*1.03,IF(AND(BK85&lt;0,$E85="Dengede"),MAX($F85:$G85,150)*1.03*BK85,MIN($F85:$G85)*0.97*BK85)))))))))</f>
        <v/>
      </c>
      <c r="BM85" s="34">
        <f>BE85-BI85-BN85</f>
        <v/>
      </c>
      <c r="BN85" s="34">
        <f>BB85</f>
        <v/>
      </c>
      <c r="BO85" s="34">
        <f>BE85-BI85</f>
        <v/>
      </c>
      <c r="BP85" s="34">
        <f>IF(AY85=0,0,BO85/AY85)</f>
        <v/>
      </c>
      <c r="BQ85" s="34">
        <f>MAX((AY85+MAX((-J85+L85-N85+Q85),0)),(MAX((J85-L85+N85-Q85),0)))</f>
        <v/>
      </c>
      <c r="BR85" s="82">
        <f>IFERROR(ABS(BK85/BQ85),0)</f>
        <v/>
      </c>
      <c r="BS85" s="34">
        <f>IF(BR85&lt;=0.1,0,BK85/BR85*(BR85-0.1))</f>
        <v/>
      </c>
      <c r="BT85" s="34">
        <f>IF((BS85)&lt;0,MAX(F85:G85)*(BS85)*1.03,MIN(F85:G85)*(BS85)*0.97)</f>
        <v/>
      </c>
      <c r="BU85" s="34">
        <f>IF(BR85&gt;0.1,1,0)</f>
        <v/>
      </c>
      <c r="BV85" s="34">
        <f>BF85+BG85+BH85+BY85-CA85</f>
        <v/>
      </c>
      <c r="BW85" s="34">
        <f>ABS(BX85)</f>
        <v/>
      </c>
      <c r="BX85" s="34">
        <f>AY85-(J85-L85+N85-Q85+T85-X85)</f>
        <v/>
      </c>
      <c r="BY85" s="34">
        <f>IF(AND(BX85&gt;0,MIN($F85:$G85)&lt;150,$E85="Enerji Açığı"),-100*BX85*1.03,IF(AND(BX85&gt;0,MIN($F85:$G85)&lt;150,$E85="Enerji Fazlası"),-100*BX85*1.06,IF(AND(BX85&gt;0,MIN($F85:$G85)&gt;=150,$E85="Enerji Açığı"),BX85*MIN($F85:$G85)*0.97,IF(AND(BX85&gt;0,MIN($F85:$G85)&gt;=150,$E85="Enerji Fazlası"),BX85*MIN($F85:$G85)*0.94,IF(AND(BX85&lt;0,MAX($F85:$G85)=4500,$E85="Enerji Açığı"),4500*1.05*1.06*BX85,IF(AND(BX85&lt;0,MAX($F85:$G85)=4500,$E85="Enerji Fazlası"),4500*1.05*1.03*BX85,IF(AND(BX85&lt;0,$E85="Enerji Açığı"),MAX($F85,$G85,150)*BX85*1.06,IF(AND(BX85&lt;0,$E85="Enerji Fazlası"),MAX($F85,$G85,150)*BX85*1.03,IF(AND(BX85&lt;0,$E85="Dengede"),MAX($F85:$G85,150)*1.03*BX85,MIN($F85:$G85)*0.97*BX85)))))))))</f>
        <v/>
      </c>
      <c r="BZ85" s="34">
        <f>BE85-BV85-CA85</f>
        <v/>
      </c>
      <c r="CA85" s="34">
        <f>BD85</f>
        <v/>
      </c>
      <c r="CB85" s="33">
        <f>BE85-BV85</f>
        <v/>
      </c>
      <c r="CC85" s="34">
        <f>IF(AY85=0,0,CB85/AY85)</f>
        <v/>
      </c>
      <c r="CD85" s="34">
        <f>MAX((AY85+MAX((-J85+L85-N85+Q85-T85+X85),0)),(MAX((J85-L85+N85-Q85+T85-X85),0)))</f>
        <v/>
      </c>
      <c r="CE85" s="82">
        <f>IFERROR(ABS(BX85/CD85),0)</f>
        <v/>
      </c>
      <c r="CF85" s="34">
        <f>IF(CE85&lt;=0.1,0,BX85/CE85*(CE85-0.1))</f>
        <v/>
      </c>
      <c r="CG85" s="34">
        <f>IF((CF85)&lt;0,MAX(F85:G85)*(CF85)*1.03,MIN(F85:G85)*(CF85)*0.97)</f>
        <v/>
      </c>
      <c r="CH85" s="34">
        <f>IF(CE85&gt;0.1,1,0)</f>
        <v/>
      </c>
      <c r="CI85" s="34">
        <f>(F85*BX85)-BY85</f>
        <v/>
      </c>
      <c r="CJ85" s="34">
        <f>IF(AY85=0,0,CI85/AY85)</f>
        <v/>
      </c>
    </row>
    <row r="86">
      <c r="A86" s="29" t="n">
        <v>46207.45833333334</v>
      </c>
      <c r="B86" s="29" t="inlineStr">
        <is>
          <t>11:00</t>
        </is>
      </c>
      <c r="C86" s="35">
        <f>INT(A86)</f>
        <v/>
      </c>
      <c r="D86" s="36">
        <f>MONTH(A86)</f>
        <v/>
      </c>
      <c r="E86" s="147">
        <f>[1]FİYATLAR!G85</f>
        <v/>
      </c>
      <c r="F86" s="30" t="n">
        <v>1499.97</v>
      </c>
      <c r="G86" s="30" t="n">
        <v>2750</v>
      </c>
      <c r="H86" s="30" t="n">
        <v>32.18</v>
      </c>
      <c r="I86" s="30" t="n">
        <v>1768</v>
      </c>
      <c r="J86" s="119" t="n">
        <v>0</v>
      </c>
      <c r="K86" s="34">
        <f>F86*J86</f>
        <v/>
      </c>
      <c r="L86" s="119" t="n">
        <v>0</v>
      </c>
      <c r="M86" s="34">
        <f>L86*F86</f>
        <v/>
      </c>
      <c r="N86" s="119" t="n">
        <v>25.3</v>
      </c>
      <c r="O86" s="34">
        <f>F86</f>
        <v/>
      </c>
      <c r="P86" s="34">
        <f>N86*O86</f>
        <v/>
      </c>
      <c r="Q86" s="117" t="n">
        <v>0</v>
      </c>
      <c r="R86" s="34">
        <f>F86</f>
        <v/>
      </c>
      <c r="S86" s="34">
        <f>R86*Q86</f>
        <v/>
      </c>
      <c r="T86" s="34">
        <f>SUMIFS('[1]GİP VERİLERİ'!$C:$C,'[1]GİP VERİLERİ'!$B:$B,A86,'[1]GİP VERİLERİ'!$M:$M,"40X000000104782K",'[1]GİP VERİLERİ'!$G:$G,"SELL")</f>
        <v/>
      </c>
      <c r="U86" s="34">
        <f>IFERROR(W86/T86,0)</f>
        <v/>
      </c>
      <c r="V86" s="34">
        <f>IF(U86=0,0,U86-F86)</f>
        <v/>
      </c>
      <c r="W86" s="34">
        <f>SUMIFS('[1]GİP VERİLERİ'!$O:$O,'[1]GİP VERİLERİ'!$B:$B,A86,'[1]GİP VERİLERİ'!$M:$M,"40X000000104782K",'[1]GİP VERİLERİ'!$G:$G,"SELL")</f>
        <v/>
      </c>
      <c r="X86" s="34">
        <f>SUMIFS('[1]GİP VERİLERİ'!$C:$C,'[1]GİP VERİLERİ'!$B:$B,A86,'[1]GİP VERİLERİ'!$M:$M,"40X000000104782K",'[1]GİP VERİLERİ'!$G:$G,"BUY")</f>
        <v/>
      </c>
      <c r="Y86" s="34">
        <f>IFERROR(AA86/X86,0)</f>
        <v/>
      </c>
      <c r="Z86" s="34">
        <f>IF(Y86=0,0,F86-Y86)</f>
        <v/>
      </c>
      <c r="AA86" s="34">
        <f>SUMIFS('[1]GİP VERİLERİ'!$O:$O,'[1]GİP VERİLERİ'!$B:$B,A86,'[1]GİP VERİLERİ'!$M:$M,"40X000000104782K",'[1]GİP VERİLERİ'!$G:$G,"BUY")</f>
        <v/>
      </c>
      <c r="AB86" s="34" t="n">
        <v>0</v>
      </c>
      <c r="AC86" s="34" t="n">
        <v>0</v>
      </c>
      <c r="AD86" s="34">
        <f>IF(AB86&gt;AC86*1.05,AB86-AC86*1.05,IF(AB86&lt;AC86*0.95,AC86*0.95-AB86,0))</f>
        <v/>
      </c>
      <c r="AE86" s="34">
        <f>MAX(F86,G86,750)*0.05*AD86</f>
        <v/>
      </c>
      <c r="AF86" s="34" t="n">
        <v>0</v>
      </c>
      <c r="AG86" s="34">
        <f>IF(AB86&gt;AF86*1.05,AB86-AF86*1.05,IF(AB86&lt;AF86*0.95,AF86*0.95-AB86,0))</f>
        <v/>
      </c>
      <c r="AH86" s="34">
        <f>MAX(I86,J86,750)*0.05*AG86</f>
        <v/>
      </c>
      <c r="AI86" t="n">
        <v>10.25</v>
      </c>
      <c r="AJ86" t="n">
        <v>10</v>
      </c>
      <c r="AK86" s="34">
        <f>IF(AI86&gt;AJ86*1.05,AI86-AJ86*1.05,IF(AI86&lt;AJ86*0.95,AJ86*0.95-AI86,0))</f>
        <v/>
      </c>
      <c r="AL86" s="34">
        <f>MAX(F86,G86,750)*0.05*AK86</f>
        <v/>
      </c>
      <c r="AM86" s="39" t="n">
        <v>10</v>
      </c>
      <c r="AN86" s="34">
        <f>IF(AI86&gt;AM86*1.05,AI86-AM86*1.05,IF(AI86&lt;AM86*0.95,AM86*0.95-AI86,0))</f>
        <v/>
      </c>
      <c r="AO86" s="34">
        <f>MAX(F86,G86,750)*0.05*AN86</f>
        <v/>
      </c>
      <c r="AP86" s="34" t="n">
        <v>15.4</v>
      </c>
      <c r="AQ86" s="34" t="n">
        <v>15.3</v>
      </c>
      <c r="AR86" s="34">
        <f>IF(AP86&gt;AQ86*1.05,AP86-AQ86*1.05,IF(AP86&lt;AQ86*0.95,AQ86*0.95-AP86,0))</f>
        <v/>
      </c>
      <c r="AS86" s="34">
        <f>MAX(F86:G86,750)*0.05*AR86</f>
        <v/>
      </c>
      <c r="AT86" t="n">
        <v>15.3</v>
      </c>
      <c r="AU86" s="34">
        <f>IF(AP86&gt;AT86*1.05,AP86-AT86*1.05,IF(AP86&lt;AT86*0.95,AT86*0.95-AP86,0))</f>
        <v/>
      </c>
      <c r="AV86" s="34">
        <f>MAX(F86:G86,750)*0.05*AU86</f>
        <v/>
      </c>
      <c r="AW86" s="34">
        <f>AC86+AJ86+AQ86</f>
        <v/>
      </c>
      <c r="AX86" s="34">
        <f>AF86+AM86+AT86</f>
        <v/>
      </c>
      <c r="AY86" s="34">
        <f>AB86+AI86+AP86</f>
        <v/>
      </c>
      <c r="AZ86" s="34" t="n">
        <v>0</v>
      </c>
      <c r="BA86" s="34">
        <f>AD86+AK86+AR86</f>
        <v/>
      </c>
      <c r="BB86" s="34">
        <f>MAX(F86:G86,750)*0.05*BA86</f>
        <v/>
      </c>
      <c r="BC86" s="34">
        <f>AG86+AN86+AU86</f>
        <v/>
      </c>
      <c r="BD86" s="34">
        <f>MAX(F86:G86,750)*0.05*BC86</f>
        <v/>
      </c>
      <c r="BE86" s="34">
        <f>F86*AY86</f>
        <v/>
      </c>
      <c r="BF86" s="34">
        <f>K86-M86</f>
        <v/>
      </c>
      <c r="BG86" s="34">
        <f>P86-S86</f>
        <v/>
      </c>
      <c r="BH86" s="34">
        <f>W86-AA86</f>
        <v/>
      </c>
      <c r="BI86" s="34">
        <f>BF86+BG86+BL86-BN86</f>
        <v/>
      </c>
      <c r="BJ86" s="34">
        <f>ABS(BK86)</f>
        <v/>
      </c>
      <c r="BK86" s="34">
        <f>AY86-(J86-L86+N86-Q86)</f>
        <v/>
      </c>
      <c r="BL86" s="34">
        <f>IF(AND(BK86&gt;0,MIN($F86:$G86)&lt;150,$E86="Enerji Açığı"),-100*BK86*1.03,IF(AND(BK86&gt;0,MIN($F86:$G86)&lt;150,$E86="Enerji Fazlası"),-100*BK86*1.06,IF(AND(BK86&gt;0,MIN($F86:$G86)&gt;=150,$E86="Enerji Açığı"),BK86*MIN($F86:$G86)*0.97,IF(AND(BK86&gt;0,MIN($F86:$G86)&gt;=150,$E86="Enerji Fazlası"),BK86*MIN($F86:$G86)*0.94,IF(AND(BK86&lt;0,MAX($F86:$G86)=4500,$E86="Enerji Açığı"),4500*1.05*1.06*BK86,IF(AND(BK86&lt;0,MAX($F86:$G86)=4500,$E86="Enerji Fazlası"),4500*1.05*1.03*BK86,IF(AND(BK86&lt;0,$E86="Enerji Açığı"),MAX($F86,$G86,150)*BK86*1.06,IF(AND(BK86&lt;0,$E86="Enerji Fazlası"),MAX($F86,$G86,150)*BK86*1.03,IF(AND(BK86&lt;0,$E86="Dengede"),MAX($F86:$G86,150)*1.03*BK86,MIN($F86:$G86)*0.97*BK86)))))))))</f>
        <v/>
      </c>
      <c r="BM86" s="34">
        <f>BE86-BI86-BN86</f>
        <v/>
      </c>
      <c r="BN86" s="34">
        <f>BB86</f>
        <v/>
      </c>
      <c r="BO86" s="34">
        <f>BE86-BI86</f>
        <v/>
      </c>
      <c r="BP86" s="34">
        <f>IF(AY86=0,0,BO86/AY86)</f>
        <v/>
      </c>
      <c r="BQ86" s="34">
        <f>MAX((AY86+MAX((-J86+L86-N86+Q86),0)),(MAX((J86-L86+N86-Q86),0)))</f>
        <v/>
      </c>
      <c r="BR86" s="82">
        <f>IFERROR(ABS(BK86/BQ86),0)</f>
        <v/>
      </c>
      <c r="BS86" s="34">
        <f>IF(BR86&lt;=0.1,0,BK86/BR86*(BR86-0.1))</f>
        <v/>
      </c>
      <c r="BT86" s="34">
        <f>IF((BS86)&lt;0,MAX(F86:G86)*(BS86)*1.03,MIN(F86:G86)*(BS86)*0.97)</f>
        <v/>
      </c>
      <c r="BU86" s="34">
        <f>IF(BR86&gt;0.1,1,0)</f>
        <v/>
      </c>
      <c r="BV86" s="34">
        <f>BF86+BG86+BH86+BY86-CA86</f>
        <v/>
      </c>
      <c r="BW86" s="34">
        <f>ABS(BX86)</f>
        <v/>
      </c>
      <c r="BX86" s="34">
        <f>AY86-(J86-L86+N86-Q86+T86-X86)</f>
        <v/>
      </c>
      <c r="BY86" s="34">
        <f>IF(AND(BX86&gt;0,MIN($F86:$G86)&lt;150,$E86="Enerji Açığı"),-100*BX86*1.03,IF(AND(BX86&gt;0,MIN($F86:$G86)&lt;150,$E86="Enerji Fazlası"),-100*BX86*1.06,IF(AND(BX86&gt;0,MIN($F86:$G86)&gt;=150,$E86="Enerji Açığı"),BX86*MIN($F86:$G86)*0.97,IF(AND(BX86&gt;0,MIN($F86:$G86)&gt;=150,$E86="Enerji Fazlası"),BX86*MIN($F86:$G86)*0.94,IF(AND(BX86&lt;0,MAX($F86:$G86)=4500,$E86="Enerji Açığı"),4500*1.05*1.06*BX86,IF(AND(BX86&lt;0,MAX($F86:$G86)=4500,$E86="Enerji Fazlası"),4500*1.05*1.03*BX86,IF(AND(BX86&lt;0,$E86="Enerji Açığı"),MAX($F86,$G86,150)*BX86*1.06,IF(AND(BX86&lt;0,$E86="Enerji Fazlası"),MAX($F86,$G86,150)*BX86*1.03,IF(AND(BX86&lt;0,$E86="Dengede"),MAX($F86:$G86,150)*1.03*BX86,MIN($F86:$G86)*0.97*BX86)))))))))</f>
        <v/>
      </c>
      <c r="BZ86" s="34">
        <f>BE86-BV86-CA86</f>
        <v/>
      </c>
      <c r="CA86" s="34">
        <f>BD86</f>
        <v/>
      </c>
      <c r="CB86" s="33">
        <f>BE86-BV86</f>
        <v/>
      </c>
      <c r="CC86" s="34">
        <f>IF(AY86=0,0,CB86/AY86)</f>
        <v/>
      </c>
      <c r="CD86" s="34">
        <f>MAX((AY86+MAX((-J86+L86-N86+Q86-T86+X86),0)),(MAX((J86-L86+N86-Q86+T86-X86),0)))</f>
        <v/>
      </c>
      <c r="CE86" s="82">
        <f>IFERROR(ABS(BX86/CD86),0)</f>
        <v/>
      </c>
      <c r="CF86" s="34">
        <f>IF(CE86&lt;=0.1,0,BX86/CE86*(CE86-0.1))</f>
        <v/>
      </c>
      <c r="CG86" s="34">
        <f>IF((CF86)&lt;0,MAX(F86:G86)*(CF86)*1.03,MIN(F86:G86)*(CF86)*0.97)</f>
        <v/>
      </c>
      <c r="CH86" s="34">
        <f>IF(CE86&gt;0.1,1,0)</f>
        <v/>
      </c>
      <c r="CI86" s="34">
        <f>(F86*BX86)-BY86</f>
        <v/>
      </c>
      <c r="CJ86" s="34">
        <f>IF(AY86=0,0,CI86/AY86)</f>
        <v/>
      </c>
    </row>
    <row r="87">
      <c r="A87" s="29" t="n">
        <v>46207.5</v>
      </c>
      <c r="B87" s="29" t="inlineStr">
        <is>
          <t>12:00</t>
        </is>
      </c>
      <c r="C87" s="35">
        <f>INT(A87)</f>
        <v/>
      </c>
      <c r="D87" s="36">
        <f>MONTH(A87)</f>
        <v/>
      </c>
      <c r="E87" s="147">
        <f>[1]FİYATLAR!G86</f>
        <v/>
      </c>
      <c r="F87" s="30" t="n">
        <v>700.01</v>
      </c>
      <c r="G87" s="30" t="n">
        <v>2235.63</v>
      </c>
      <c r="H87" s="30" t="n">
        <v>15.02</v>
      </c>
      <c r="I87" s="30" t="n">
        <v>1307.05</v>
      </c>
      <c r="J87" s="119" t="n">
        <v>0</v>
      </c>
      <c r="K87" s="34">
        <f>F87*J87</f>
        <v/>
      </c>
      <c r="L87" s="119" t="n">
        <v>0</v>
      </c>
      <c r="M87" s="34">
        <f>L87*F87</f>
        <v/>
      </c>
      <c r="N87" s="119" t="n">
        <v>25.5</v>
      </c>
      <c r="O87" s="34">
        <f>F87</f>
        <v/>
      </c>
      <c r="P87" s="34">
        <f>N87*O87</f>
        <v/>
      </c>
      <c r="Q87" s="117" t="n">
        <v>0</v>
      </c>
      <c r="R87" s="34">
        <f>F87</f>
        <v/>
      </c>
      <c r="S87" s="34">
        <f>R87*Q87</f>
        <v/>
      </c>
      <c r="T87" s="34">
        <f>SUMIFS('[1]GİP VERİLERİ'!$C:$C,'[1]GİP VERİLERİ'!$B:$B,A87,'[1]GİP VERİLERİ'!$M:$M,"40X000000104782K",'[1]GİP VERİLERİ'!$G:$G,"SELL")</f>
        <v/>
      </c>
      <c r="U87" s="34">
        <f>IFERROR(W87/T87,0)</f>
        <v/>
      </c>
      <c r="V87" s="34">
        <f>IF(U87=0,0,U87-F87)</f>
        <v/>
      </c>
      <c r="W87" s="34">
        <f>SUMIFS('[1]GİP VERİLERİ'!$O:$O,'[1]GİP VERİLERİ'!$B:$B,A87,'[1]GİP VERİLERİ'!$M:$M,"40X000000104782K",'[1]GİP VERİLERİ'!$G:$G,"SELL")</f>
        <v/>
      </c>
      <c r="X87" s="34">
        <f>SUMIFS('[1]GİP VERİLERİ'!$C:$C,'[1]GİP VERİLERİ'!$B:$B,A87,'[1]GİP VERİLERİ'!$M:$M,"40X000000104782K",'[1]GİP VERİLERİ'!$G:$G,"BUY")</f>
        <v/>
      </c>
      <c r="Y87" s="34">
        <f>IFERROR(AA87/X87,0)</f>
        <v/>
      </c>
      <c r="Z87" s="34">
        <f>IF(Y87=0,0,F87-Y87)</f>
        <v/>
      </c>
      <c r="AA87" s="34">
        <f>SUMIFS('[1]GİP VERİLERİ'!$O:$O,'[1]GİP VERİLERİ'!$B:$B,A87,'[1]GİP VERİLERİ'!$M:$M,"40X000000104782K",'[1]GİP VERİLERİ'!$G:$G,"BUY")</f>
        <v/>
      </c>
      <c r="AB87" s="34" t="n">
        <v>0</v>
      </c>
      <c r="AC87" s="34" t="n">
        <v>0</v>
      </c>
      <c r="AD87" s="34">
        <f>IF(AB87&gt;AC87*1.05,AB87-AC87*1.05,IF(AB87&lt;AC87*0.95,AC87*0.95-AB87,0))</f>
        <v/>
      </c>
      <c r="AE87" s="34">
        <f>MAX(F87,G87,750)*0.05*AD87</f>
        <v/>
      </c>
      <c r="AF87" s="34" t="n">
        <v>0</v>
      </c>
      <c r="AG87" s="34">
        <f>IF(AB87&gt;AF87*1.05,AB87-AF87*1.05,IF(AB87&lt;AF87*0.95,AF87*0.95-AB87,0))</f>
        <v/>
      </c>
      <c r="AH87" s="34">
        <f>MAX(I87,J87,750)*0.05*AG87</f>
        <v/>
      </c>
      <c r="AI87" t="n">
        <v>10.22</v>
      </c>
      <c r="AJ87" t="n">
        <v>10</v>
      </c>
      <c r="AK87" s="34">
        <f>IF(AI87&gt;AJ87*1.05,AI87-AJ87*1.05,IF(AI87&lt;AJ87*0.95,AJ87*0.95-AI87,0))</f>
        <v/>
      </c>
      <c r="AL87" s="34">
        <f>MAX(F87,G87,750)*0.05*AK87</f>
        <v/>
      </c>
      <c r="AM87" s="39" t="n">
        <v>10</v>
      </c>
      <c r="AN87" s="34">
        <f>IF(AI87&gt;AM87*1.05,AI87-AM87*1.05,IF(AI87&lt;AM87*0.95,AM87*0.95-AI87,0))</f>
        <v/>
      </c>
      <c r="AO87" s="34">
        <f>MAX(F87,G87,750)*0.05*AN87</f>
        <v/>
      </c>
      <c r="AP87" s="34" t="n">
        <v>15.56</v>
      </c>
      <c r="AQ87" s="34" t="n">
        <v>15.5</v>
      </c>
      <c r="AR87" s="34">
        <f>IF(AP87&gt;AQ87*1.05,AP87-AQ87*1.05,IF(AP87&lt;AQ87*0.95,AQ87*0.95-AP87,0))</f>
        <v/>
      </c>
      <c r="AS87" s="34">
        <f>MAX(F87:G87,750)*0.05*AR87</f>
        <v/>
      </c>
      <c r="AT87" t="n">
        <v>15.5</v>
      </c>
      <c r="AU87" s="34">
        <f>IF(AP87&gt;AT87*1.05,AP87-AT87*1.05,IF(AP87&lt;AT87*0.95,AT87*0.95-AP87,0))</f>
        <v/>
      </c>
      <c r="AV87" s="34">
        <f>MAX(F87:G87,750)*0.05*AU87</f>
        <v/>
      </c>
      <c r="AW87" s="34">
        <f>AC87+AJ87+AQ87</f>
        <v/>
      </c>
      <c r="AX87" s="34">
        <f>AF87+AM87+AT87</f>
        <v/>
      </c>
      <c r="AY87" s="34">
        <f>AB87+AI87+AP87</f>
        <v/>
      </c>
      <c r="AZ87" s="34" t="n">
        <v>0</v>
      </c>
      <c r="BA87" s="34">
        <f>AD87+AK87+AR87</f>
        <v/>
      </c>
      <c r="BB87" s="34">
        <f>MAX(F87:G87,750)*0.05*BA87</f>
        <v/>
      </c>
      <c r="BC87" s="34">
        <f>AG87+AN87+AU87</f>
        <v/>
      </c>
      <c r="BD87" s="34">
        <f>MAX(F87:G87,750)*0.05*BC87</f>
        <v/>
      </c>
      <c r="BE87" s="34">
        <f>F87*AY87</f>
        <v/>
      </c>
      <c r="BF87" s="34">
        <f>K87-M87</f>
        <v/>
      </c>
      <c r="BG87" s="34">
        <f>P87-S87</f>
        <v/>
      </c>
      <c r="BH87" s="34">
        <f>W87-AA87</f>
        <v/>
      </c>
      <c r="BI87" s="34">
        <f>BF87+BG87+BL87-BN87</f>
        <v/>
      </c>
      <c r="BJ87" s="34">
        <f>ABS(BK87)</f>
        <v/>
      </c>
      <c r="BK87" s="34">
        <f>AY87-(J87-L87+N87-Q87)</f>
        <v/>
      </c>
      <c r="BL87" s="34">
        <f>IF(AND(BK87&gt;0,MIN($F87:$G87)&lt;150,$E87="Enerji Açığı"),-100*BK87*1.03,IF(AND(BK87&gt;0,MIN($F87:$G87)&lt;150,$E87="Enerji Fazlası"),-100*BK87*1.06,IF(AND(BK87&gt;0,MIN($F87:$G87)&gt;=150,$E87="Enerji Açığı"),BK87*MIN($F87:$G87)*0.97,IF(AND(BK87&gt;0,MIN($F87:$G87)&gt;=150,$E87="Enerji Fazlası"),BK87*MIN($F87:$G87)*0.94,IF(AND(BK87&lt;0,MAX($F87:$G87)=4500,$E87="Enerji Açığı"),4500*1.05*1.06*BK87,IF(AND(BK87&lt;0,MAX($F87:$G87)=4500,$E87="Enerji Fazlası"),4500*1.05*1.03*BK87,IF(AND(BK87&lt;0,$E87="Enerji Açığı"),MAX($F87,$G87,150)*BK87*1.06,IF(AND(BK87&lt;0,$E87="Enerji Fazlası"),MAX($F87,$G87,150)*BK87*1.03,IF(AND(BK87&lt;0,$E87="Dengede"),MAX($F87:$G87,150)*1.03*BK87,MIN($F87:$G87)*0.97*BK87)))))))))</f>
        <v/>
      </c>
      <c r="BM87" s="34">
        <f>BE87-BI87-BN87</f>
        <v/>
      </c>
      <c r="BN87" s="34">
        <f>BB87</f>
        <v/>
      </c>
      <c r="BO87" s="34">
        <f>BE87-BI87</f>
        <v/>
      </c>
      <c r="BP87" s="34">
        <f>IF(AY87=0,0,BO87/AY87)</f>
        <v/>
      </c>
      <c r="BQ87" s="34">
        <f>MAX((AY87+MAX((-J87+L87-N87+Q87),0)),(MAX((J87-L87+N87-Q87),0)))</f>
        <v/>
      </c>
      <c r="BR87" s="82">
        <f>IFERROR(ABS(BK87/BQ87),0)</f>
        <v/>
      </c>
      <c r="BS87" s="34">
        <f>IF(BR87&lt;=0.1,0,BK87/BR87*(BR87-0.1))</f>
        <v/>
      </c>
      <c r="BT87" s="34">
        <f>IF((BS87)&lt;0,MAX(F87:G87)*(BS87)*1.03,MIN(F87:G87)*(BS87)*0.97)</f>
        <v/>
      </c>
      <c r="BU87" s="34">
        <f>IF(BR87&gt;0.1,1,0)</f>
        <v/>
      </c>
      <c r="BV87" s="34">
        <f>BF87+BG87+BH87+BY87-CA87</f>
        <v/>
      </c>
      <c r="BW87" s="34">
        <f>ABS(BX87)</f>
        <v/>
      </c>
      <c r="BX87" s="34">
        <f>AY87-(J87-L87+N87-Q87+T87-X87)</f>
        <v/>
      </c>
      <c r="BY87" s="34">
        <f>IF(AND(BX87&gt;0,MIN($F87:$G87)&lt;150,$E87="Enerji Açığı"),-100*BX87*1.03,IF(AND(BX87&gt;0,MIN($F87:$G87)&lt;150,$E87="Enerji Fazlası"),-100*BX87*1.06,IF(AND(BX87&gt;0,MIN($F87:$G87)&gt;=150,$E87="Enerji Açığı"),BX87*MIN($F87:$G87)*0.97,IF(AND(BX87&gt;0,MIN($F87:$G87)&gt;=150,$E87="Enerji Fazlası"),BX87*MIN($F87:$G87)*0.94,IF(AND(BX87&lt;0,MAX($F87:$G87)=4500,$E87="Enerji Açığı"),4500*1.05*1.06*BX87,IF(AND(BX87&lt;0,MAX($F87:$G87)=4500,$E87="Enerji Fazlası"),4500*1.05*1.03*BX87,IF(AND(BX87&lt;0,$E87="Enerji Açığı"),MAX($F87,$G87,150)*BX87*1.06,IF(AND(BX87&lt;0,$E87="Enerji Fazlası"),MAX($F87,$G87,150)*BX87*1.03,IF(AND(BX87&lt;0,$E87="Dengede"),MAX($F87:$G87,150)*1.03*BX87,MIN($F87:$G87)*0.97*BX87)))))))))</f>
        <v/>
      </c>
      <c r="BZ87" s="34">
        <f>BE87-BV87-CA87</f>
        <v/>
      </c>
      <c r="CA87" s="34">
        <f>BD87</f>
        <v/>
      </c>
      <c r="CB87" s="33">
        <f>BE87-BV87</f>
        <v/>
      </c>
      <c r="CC87" s="34">
        <f>IF(AY87=0,0,CB87/AY87)</f>
        <v/>
      </c>
      <c r="CD87" s="34">
        <f>MAX((AY87+MAX((-J87+L87-N87+Q87-T87+X87),0)),(MAX((J87-L87+N87-Q87+T87-X87),0)))</f>
        <v/>
      </c>
      <c r="CE87" s="82">
        <f>IFERROR(ABS(BX87/CD87),0)</f>
        <v/>
      </c>
      <c r="CF87" s="34">
        <f>IF(CE87&lt;=0.1,0,BX87/CE87*(CE87-0.1))</f>
        <v/>
      </c>
      <c r="CG87" s="34">
        <f>IF((CF87)&lt;0,MAX(F87:G87)*(CF87)*1.03,MIN(F87:G87)*(CF87)*0.97)</f>
        <v/>
      </c>
      <c r="CH87" s="34">
        <f>IF(CE87&gt;0.1,1,0)</f>
        <v/>
      </c>
      <c r="CI87" s="34">
        <f>(F87*BX87)-BY87</f>
        <v/>
      </c>
      <c r="CJ87" s="34">
        <f>IF(AY87=0,0,CI87/AY87)</f>
        <v/>
      </c>
    </row>
    <row r="88">
      <c r="A88" s="29" t="n">
        <v>46207.54166666666</v>
      </c>
      <c r="B88" s="29" t="inlineStr">
        <is>
          <t>13:00</t>
        </is>
      </c>
      <c r="C88" s="35">
        <f>INT(A88)</f>
        <v/>
      </c>
      <c r="D88" s="36">
        <f>MONTH(A88)</f>
        <v/>
      </c>
      <c r="E88" s="147">
        <f>[1]FİYATLAR!G87</f>
        <v/>
      </c>
      <c r="F88" s="30" t="n">
        <v>1499.97</v>
      </c>
      <c r="G88" s="30" t="n">
        <v>2500</v>
      </c>
      <c r="H88" s="30" t="n">
        <v>32.18</v>
      </c>
      <c r="I88" s="30" t="n">
        <v>2125.33</v>
      </c>
      <c r="J88" s="119" t="n">
        <v>0</v>
      </c>
      <c r="K88" s="34">
        <f>F88*J88</f>
        <v/>
      </c>
      <c r="L88" s="119" t="n">
        <v>0</v>
      </c>
      <c r="M88" s="34">
        <f>L88*F88</f>
        <v/>
      </c>
      <c r="N88" s="119" t="n">
        <v>25.5</v>
      </c>
      <c r="O88" s="34">
        <f>F88</f>
        <v/>
      </c>
      <c r="P88" s="34">
        <f>N88*O88</f>
        <v/>
      </c>
      <c r="Q88" s="117" t="n">
        <v>0</v>
      </c>
      <c r="R88" s="34">
        <f>F88</f>
        <v/>
      </c>
      <c r="S88" s="34">
        <f>R88*Q88</f>
        <v/>
      </c>
      <c r="T88" s="34">
        <f>SUMIFS('[1]GİP VERİLERİ'!$C:$C,'[1]GİP VERİLERİ'!$B:$B,A88,'[1]GİP VERİLERİ'!$M:$M,"40X000000104782K",'[1]GİP VERİLERİ'!$G:$G,"SELL")</f>
        <v/>
      </c>
      <c r="U88" s="34">
        <f>IFERROR(W88/T88,0)</f>
        <v/>
      </c>
      <c r="V88" s="34">
        <f>IF(U88=0,0,U88-F88)</f>
        <v/>
      </c>
      <c r="W88" s="34">
        <f>SUMIFS('[1]GİP VERİLERİ'!$O:$O,'[1]GİP VERİLERİ'!$B:$B,A88,'[1]GİP VERİLERİ'!$M:$M,"40X000000104782K",'[1]GİP VERİLERİ'!$G:$G,"SELL")</f>
        <v/>
      </c>
      <c r="X88" s="34">
        <f>SUMIFS('[1]GİP VERİLERİ'!$C:$C,'[1]GİP VERİLERİ'!$B:$B,A88,'[1]GİP VERİLERİ'!$M:$M,"40X000000104782K",'[1]GİP VERİLERİ'!$G:$G,"BUY")</f>
        <v/>
      </c>
      <c r="Y88" s="34">
        <f>IFERROR(AA88/X88,0)</f>
        <v/>
      </c>
      <c r="Z88" s="34">
        <f>IF(Y88=0,0,F88-Y88)</f>
        <v/>
      </c>
      <c r="AA88" s="34">
        <f>SUMIFS('[1]GİP VERİLERİ'!$O:$O,'[1]GİP VERİLERİ'!$B:$B,A88,'[1]GİP VERİLERİ'!$M:$M,"40X000000104782K",'[1]GİP VERİLERİ'!$G:$G,"BUY")</f>
        <v/>
      </c>
      <c r="AB88" s="34" t="n">
        <v>0</v>
      </c>
      <c r="AC88" s="34" t="n">
        <v>0</v>
      </c>
      <c r="AD88" s="34">
        <f>IF(AB88&gt;AC88*1.05,AB88-AC88*1.05,IF(AB88&lt;AC88*0.95,AC88*0.95-AB88,0))</f>
        <v/>
      </c>
      <c r="AE88" s="34">
        <f>MAX(F88,G88,750)*0.05*AD88</f>
        <v/>
      </c>
      <c r="AF88" s="34" t="n">
        <v>0</v>
      </c>
      <c r="AG88" s="34">
        <f>IF(AB88&gt;AF88*1.05,AB88-AF88*1.05,IF(AB88&lt;AF88*0.95,AF88*0.95-AB88,0))</f>
        <v/>
      </c>
      <c r="AH88" s="34">
        <f>MAX(I88,J88,750)*0.05*AG88</f>
        <v/>
      </c>
      <c r="AI88" t="n">
        <v>11.1</v>
      </c>
      <c r="AJ88" t="n">
        <v>10</v>
      </c>
      <c r="AK88" s="34">
        <f>IF(AI88&gt;AJ88*1.05,AI88-AJ88*1.05,IF(AI88&lt;AJ88*0.95,AJ88*0.95-AI88,0))</f>
        <v/>
      </c>
      <c r="AL88" s="34">
        <f>MAX(F88,G88,750)*0.05*AK88</f>
        <v/>
      </c>
      <c r="AM88" s="39" t="n">
        <v>11</v>
      </c>
      <c r="AN88" s="34">
        <f>IF(AI88&gt;AM88*1.05,AI88-AM88*1.05,IF(AI88&lt;AM88*0.95,AM88*0.95-AI88,0))</f>
        <v/>
      </c>
      <c r="AO88" s="34">
        <f>MAX(F88,G88,750)*0.05*AN88</f>
        <v/>
      </c>
      <c r="AP88" s="34" t="n">
        <v>15.56</v>
      </c>
      <c r="AQ88" s="34" t="n">
        <v>15.5</v>
      </c>
      <c r="AR88" s="34">
        <f>IF(AP88&gt;AQ88*1.05,AP88-AQ88*1.05,IF(AP88&lt;AQ88*0.95,AQ88*0.95-AP88,0))</f>
        <v/>
      </c>
      <c r="AS88" s="34">
        <f>MAX(F88:G88,750)*0.05*AR88</f>
        <v/>
      </c>
      <c r="AT88" t="n">
        <v>15.5</v>
      </c>
      <c r="AU88" s="34">
        <f>IF(AP88&gt;AT88*1.05,AP88-AT88*1.05,IF(AP88&lt;AT88*0.95,AT88*0.95-AP88,0))</f>
        <v/>
      </c>
      <c r="AV88" s="34">
        <f>MAX(F88:G88,750)*0.05*AU88</f>
        <v/>
      </c>
      <c r="AW88" s="34">
        <f>AC88+AJ88+AQ88</f>
        <v/>
      </c>
      <c r="AX88" s="34">
        <f>AF88+AM88+AT88</f>
        <v/>
      </c>
      <c r="AY88" s="34">
        <f>AB88+AI88+AP88</f>
        <v/>
      </c>
      <c r="AZ88" s="34" t="n">
        <v>0</v>
      </c>
      <c r="BA88" s="34">
        <f>AD88+AK88+AR88</f>
        <v/>
      </c>
      <c r="BB88" s="34">
        <f>MAX(F88:G88,750)*0.05*BA88</f>
        <v/>
      </c>
      <c r="BC88" s="34">
        <f>AG88+AN88+AU88</f>
        <v/>
      </c>
      <c r="BD88" s="34">
        <f>MAX(F88:G88,750)*0.05*BC88</f>
        <v/>
      </c>
      <c r="BE88" s="34">
        <f>F88*AY88</f>
        <v/>
      </c>
      <c r="BF88" s="34">
        <f>K88-M88</f>
        <v/>
      </c>
      <c r="BG88" s="34">
        <f>P88-S88</f>
        <v/>
      </c>
      <c r="BH88" s="34">
        <f>W88-AA88</f>
        <v/>
      </c>
      <c r="BI88" s="34">
        <f>BF88+BG88+BL88-BN88</f>
        <v/>
      </c>
      <c r="BJ88" s="34">
        <f>ABS(BK88)</f>
        <v/>
      </c>
      <c r="BK88" s="34">
        <f>AY88-(J88-L88+N88-Q88)</f>
        <v/>
      </c>
      <c r="BL88" s="34">
        <f>IF(AND(BK88&gt;0,MIN($F88:$G88)&lt;150,$E88="Enerji Açığı"),-100*BK88*1.03,IF(AND(BK88&gt;0,MIN($F88:$G88)&lt;150,$E88="Enerji Fazlası"),-100*BK88*1.06,IF(AND(BK88&gt;0,MIN($F88:$G88)&gt;=150,$E88="Enerji Açığı"),BK88*MIN($F88:$G88)*0.97,IF(AND(BK88&gt;0,MIN($F88:$G88)&gt;=150,$E88="Enerji Fazlası"),BK88*MIN($F88:$G88)*0.94,IF(AND(BK88&lt;0,MAX($F88:$G88)=4500,$E88="Enerji Açığı"),4500*1.05*1.06*BK88,IF(AND(BK88&lt;0,MAX($F88:$G88)=4500,$E88="Enerji Fazlası"),4500*1.05*1.03*BK88,IF(AND(BK88&lt;0,$E88="Enerji Açığı"),MAX($F88,$G88,150)*BK88*1.06,IF(AND(BK88&lt;0,$E88="Enerji Fazlası"),MAX($F88,$G88,150)*BK88*1.03,IF(AND(BK88&lt;0,$E88="Dengede"),MAX($F88:$G88,150)*1.03*BK88,MIN($F88:$G88)*0.97*BK88)))))))))</f>
        <v/>
      </c>
      <c r="BM88" s="34">
        <f>BE88-BI88-BN88</f>
        <v/>
      </c>
      <c r="BN88" s="34">
        <f>BB88</f>
        <v/>
      </c>
      <c r="BO88" s="34">
        <f>BE88-BI88</f>
        <v/>
      </c>
      <c r="BP88" s="34">
        <f>IF(AY88=0,0,BO88/AY88)</f>
        <v/>
      </c>
      <c r="BQ88" s="34">
        <f>MAX((AY88+MAX((-J88+L88-N88+Q88),0)),(MAX((J88-L88+N88-Q88),0)))</f>
        <v/>
      </c>
      <c r="BR88" s="82">
        <f>IFERROR(ABS(BK88/BQ88),0)</f>
        <v/>
      </c>
      <c r="BS88" s="34">
        <f>IF(BR88&lt;=0.1,0,BK88/BR88*(BR88-0.1))</f>
        <v/>
      </c>
      <c r="BT88" s="34">
        <f>IF((BS88)&lt;0,MAX(F88:G88)*(BS88)*1.03,MIN(F88:G88)*(BS88)*0.97)</f>
        <v/>
      </c>
      <c r="BU88" s="34">
        <f>IF(BR88&gt;0.1,1,0)</f>
        <v/>
      </c>
      <c r="BV88" s="34">
        <f>BF88+BG88+BH88+BY88-CA88</f>
        <v/>
      </c>
      <c r="BW88" s="34">
        <f>ABS(BX88)</f>
        <v/>
      </c>
      <c r="BX88" s="34">
        <f>AY88-(J88-L88+N88-Q88+T88-X88)</f>
        <v/>
      </c>
      <c r="BY88" s="34">
        <f>IF(AND(BX88&gt;0,MIN($F88:$G88)&lt;150,$E88="Enerji Açığı"),-100*BX88*1.03,IF(AND(BX88&gt;0,MIN($F88:$G88)&lt;150,$E88="Enerji Fazlası"),-100*BX88*1.06,IF(AND(BX88&gt;0,MIN($F88:$G88)&gt;=150,$E88="Enerji Açığı"),BX88*MIN($F88:$G88)*0.97,IF(AND(BX88&gt;0,MIN($F88:$G88)&gt;=150,$E88="Enerji Fazlası"),BX88*MIN($F88:$G88)*0.94,IF(AND(BX88&lt;0,MAX($F88:$G88)=4500,$E88="Enerji Açığı"),4500*1.05*1.06*BX88,IF(AND(BX88&lt;0,MAX($F88:$G88)=4500,$E88="Enerji Fazlası"),4500*1.05*1.03*BX88,IF(AND(BX88&lt;0,$E88="Enerji Açığı"),MAX($F88,$G88,150)*BX88*1.06,IF(AND(BX88&lt;0,$E88="Enerji Fazlası"),MAX($F88,$G88,150)*BX88*1.03,IF(AND(BX88&lt;0,$E88="Dengede"),MAX($F88:$G88,150)*1.03*BX88,MIN($F88:$G88)*0.97*BX88)))))))))</f>
        <v/>
      </c>
      <c r="BZ88" s="34">
        <f>BE88-BV88-CA88</f>
        <v/>
      </c>
      <c r="CA88" s="34">
        <f>BD88</f>
        <v/>
      </c>
      <c r="CB88" s="33">
        <f>BE88-BV88</f>
        <v/>
      </c>
      <c r="CC88" s="34">
        <f>IF(AY88=0,0,CB88/AY88)</f>
        <v/>
      </c>
      <c r="CD88" s="34">
        <f>MAX((AY88+MAX((-J88+L88-N88+Q88-T88+X88),0)),(MAX((J88-L88+N88-Q88+T88-X88),0)))</f>
        <v/>
      </c>
      <c r="CE88" s="82">
        <f>IFERROR(ABS(BX88/CD88),0)</f>
        <v/>
      </c>
      <c r="CF88" s="34">
        <f>IF(CE88&lt;=0.1,0,BX88/CE88*(CE88-0.1))</f>
        <v/>
      </c>
      <c r="CG88" s="34">
        <f>IF((CF88)&lt;0,MAX(F88:G88)*(CF88)*1.03,MIN(F88:G88)*(CF88)*0.97)</f>
        <v/>
      </c>
      <c r="CH88" s="34">
        <f>IF(CE88&gt;0.1,1,0)</f>
        <v/>
      </c>
      <c r="CI88" s="34">
        <f>(F88*BX88)-BY88</f>
        <v/>
      </c>
      <c r="CJ88" s="34">
        <f>IF(AY88=0,0,CI88/AY88)</f>
        <v/>
      </c>
    </row>
    <row r="89">
      <c r="A89" s="29" t="n">
        <v>46207.58333333334</v>
      </c>
      <c r="B89" s="29" t="inlineStr">
        <is>
          <t>14:00</t>
        </is>
      </c>
      <c r="C89" s="35">
        <f>INT(A89)</f>
        <v/>
      </c>
      <c r="D89" s="36">
        <f>MONTH(A89)</f>
        <v/>
      </c>
      <c r="E89" s="147">
        <f>[1]FİYATLAR!G88</f>
        <v/>
      </c>
      <c r="F89" s="30" t="n">
        <v>1696.72</v>
      </c>
      <c r="G89" s="30" t="n">
        <v>3000</v>
      </c>
      <c r="H89" s="30" t="n">
        <v>36.4</v>
      </c>
      <c r="I89" s="30" t="n">
        <v>2506.55</v>
      </c>
      <c r="J89" s="119" t="n">
        <v>0</v>
      </c>
      <c r="K89" s="34">
        <f>F89*J89</f>
        <v/>
      </c>
      <c r="L89" s="119" t="n">
        <v>0</v>
      </c>
      <c r="M89" s="34">
        <f>L89*F89</f>
        <v/>
      </c>
      <c r="N89" s="119" t="n">
        <v>25.5</v>
      </c>
      <c r="O89" s="34">
        <f>F89</f>
        <v/>
      </c>
      <c r="P89" s="34">
        <f>N89*O89</f>
        <v/>
      </c>
      <c r="Q89" s="117" t="n">
        <v>0</v>
      </c>
      <c r="R89" s="34">
        <f>F89</f>
        <v/>
      </c>
      <c r="S89" s="34">
        <f>R89*Q89</f>
        <v/>
      </c>
      <c r="T89" s="34">
        <f>SUMIFS('[1]GİP VERİLERİ'!$C:$C,'[1]GİP VERİLERİ'!$B:$B,A89,'[1]GİP VERİLERİ'!$M:$M,"40X000000104782K",'[1]GİP VERİLERİ'!$G:$G,"SELL")</f>
        <v/>
      </c>
      <c r="U89" s="34">
        <f>IFERROR(W89/T89,0)</f>
        <v/>
      </c>
      <c r="V89" s="34">
        <f>IF(U89=0,0,U89-F89)</f>
        <v/>
      </c>
      <c r="W89" s="34">
        <f>SUMIFS('[1]GİP VERİLERİ'!$O:$O,'[1]GİP VERİLERİ'!$B:$B,A89,'[1]GİP VERİLERİ'!$M:$M,"40X000000104782K",'[1]GİP VERİLERİ'!$G:$G,"SELL")</f>
        <v/>
      </c>
      <c r="X89" s="34">
        <f>SUMIFS('[1]GİP VERİLERİ'!$C:$C,'[1]GİP VERİLERİ'!$B:$B,A89,'[1]GİP VERİLERİ'!$M:$M,"40X000000104782K",'[1]GİP VERİLERİ'!$G:$G,"BUY")</f>
        <v/>
      </c>
      <c r="Y89" s="34">
        <f>IFERROR(AA89/X89,0)</f>
        <v/>
      </c>
      <c r="Z89" s="34">
        <f>IF(Y89=0,0,F89-Y89)</f>
        <v/>
      </c>
      <c r="AA89" s="34">
        <f>SUMIFS('[1]GİP VERİLERİ'!$O:$O,'[1]GİP VERİLERİ'!$B:$B,A89,'[1]GİP VERİLERİ'!$M:$M,"40X000000104782K",'[1]GİP VERİLERİ'!$G:$G,"BUY")</f>
        <v/>
      </c>
      <c r="AB89" s="34" t="n">
        <v>0</v>
      </c>
      <c r="AC89" s="34" t="n">
        <v>0</v>
      </c>
      <c r="AD89" s="34">
        <f>IF(AB89&gt;AC89*1.05,AB89-AC89*1.05,IF(AB89&lt;AC89*0.95,AC89*0.95-AB89,0))</f>
        <v/>
      </c>
      <c r="AE89" s="34">
        <f>MAX(F89,G89,750)*0.05*AD89</f>
        <v/>
      </c>
      <c r="AF89" s="34" t="n">
        <v>0</v>
      </c>
      <c r="AG89" s="34">
        <f>IF(AB89&gt;AF89*1.05,AB89-AF89*1.05,IF(AB89&lt;AF89*0.95,AF89*0.95-AB89,0))</f>
        <v/>
      </c>
      <c r="AH89" s="34">
        <f>MAX(I89,J89,750)*0.05*AG89</f>
        <v/>
      </c>
      <c r="AI89" t="n">
        <v>10.16</v>
      </c>
      <c r="AJ89" t="n">
        <v>10</v>
      </c>
      <c r="AK89" s="34">
        <f>IF(AI89&gt;AJ89*1.05,AI89-AJ89*1.05,IF(AI89&lt;AJ89*0.95,AJ89*0.95-AI89,0))</f>
        <v/>
      </c>
      <c r="AL89" s="34">
        <f>MAX(F89,G89,750)*0.05*AK89</f>
        <v/>
      </c>
      <c r="AM89" s="39" t="n">
        <v>10</v>
      </c>
      <c r="AN89" s="34">
        <f>IF(AI89&gt;AM89*1.05,AI89-AM89*1.05,IF(AI89&lt;AM89*0.95,AM89*0.95-AI89,0))</f>
        <v/>
      </c>
      <c r="AO89" s="34">
        <f>MAX(F89,G89,750)*0.05*AN89</f>
        <v/>
      </c>
      <c r="AP89" s="34" t="n">
        <v>15.57</v>
      </c>
      <c r="AQ89" s="34" t="n">
        <v>15.5</v>
      </c>
      <c r="AR89" s="34">
        <f>IF(AP89&gt;AQ89*1.05,AP89-AQ89*1.05,IF(AP89&lt;AQ89*0.95,AQ89*0.95-AP89,0))</f>
        <v/>
      </c>
      <c r="AS89" s="34">
        <f>MAX(F89:G89,750)*0.05*AR89</f>
        <v/>
      </c>
      <c r="AT89" t="n">
        <v>15.5</v>
      </c>
      <c r="AU89" s="34">
        <f>IF(AP89&gt;AT89*1.05,AP89-AT89*1.05,IF(AP89&lt;AT89*0.95,AT89*0.95-AP89,0))</f>
        <v/>
      </c>
      <c r="AV89" s="34">
        <f>MAX(F89:G89,750)*0.05*AU89</f>
        <v/>
      </c>
      <c r="AW89" s="34">
        <f>AC89+AJ89+AQ89</f>
        <v/>
      </c>
      <c r="AX89" s="34">
        <f>AF89+AM89+AT89</f>
        <v/>
      </c>
      <c r="AY89" s="34">
        <f>AB89+AI89+AP89</f>
        <v/>
      </c>
      <c r="AZ89" s="34" t="n">
        <v>0</v>
      </c>
      <c r="BA89" s="34">
        <f>AD89+AK89+AR89</f>
        <v/>
      </c>
      <c r="BB89" s="34">
        <f>MAX(F89:G89,750)*0.05*BA89</f>
        <v/>
      </c>
      <c r="BC89" s="34">
        <f>AG89+AN89+AU89</f>
        <v/>
      </c>
      <c r="BD89" s="34">
        <f>MAX(F89:G89,750)*0.05*BC89</f>
        <v/>
      </c>
      <c r="BE89" s="34">
        <f>F89*AY89</f>
        <v/>
      </c>
      <c r="BF89" s="34">
        <f>K89-M89</f>
        <v/>
      </c>
      <c r="BG89" s="34">
        <f>P89-S89</f>
        <v/>
      </c>
      <c r="BH89" s="34">
        <f>W89-AA89</f>
        <v/>
      </c>
      <c r="BI89" s="34">
        <f>BF89+BG89+BL89-BN89</f>
        <v/>
      </c>
      <c r="BJ89" s="34">
        <f>ABS(BK89)</f>
        <v/>
      </c>
      <c r="BK89" s="34">
        <f>AY89-(J89-L89+N89-Q89)</f>
        <v/>
      </c>
      <c r="BL89" s="34">
        <f>IF(AND(BK89&gt;0,MIN($F89:$G89)&lt;150,$E89="Enerji Açığı"),-100*BK89*1.03,IF(AND(BK89&gt;0,MIN($F89:$G89)&lt;150,$E89="Enerji Fazlası"),-100*BK89*1.06,IF(AND(BK89&gt;0,MIN($F89:$G89)&gt;=150,$E89="Enerji Açığı"),BK89*MIN($F89:$G89)*0.97,IF(AND(BK89&gt;0,MIN($F89:$G89)&gt;=150,$E89="Enerji Fazlası"),BK89*MIN($F89:$G89)*0.94,IF(AND(BK89&lt;0,MAX($F89:$G89)=4500,$E89="Enerji Açığı"),4500*1.05*1.06*BK89,IF(AND(BK89&lt;0,MAX($F89:$G89)=4500,$E89="Enerji Fazlası"),4500*1.05*1.03*BK89,IF(AND(BK89&lt;0,$E89="Enerji Açığı"),MAX($F89,$G89,150)*BK89*1.06,IF(AND(BK89&lt;0,$E89="Enerji Fazlası"),MAX($F89,$G89,150)*BK89*1.03,IF(AND(BK89&lt;0,$E89="Dengede"),MAX($F89:$G89,150)*1.03*BK89,MIN($F89:$G89)*0.97*BK89)))))))))</f>
        <v/>
      </c>
      <c r="BM89" s="34">
        <f>BE89-BI89-BN89</f>
        <v/>
      </c>
      <c r="BN89" s="34">
        <f>BB89</f>
        <v/>
      </c>
      <c r="BO89" s="34">
        <f>BE89-BI89</f>
        <v/>
      </c>
      <c r="BP89" s="34">
        <f>IF(AY89=0,0,BO89/AY89)</f>
        <v/>
      </c>
      <c r="BQ89" s="34">
        <f>MAX((AY89+MAX((-J89+L89-N89+Q89),0)),(MAX((J89-L89+N89-Q89),0)))</f>
        <v/>
      </c>
      <c r="BR89" s="82">
        <f>IFERROR(ABS(BK89/BQ89),0)</f>
        <v/>
      </c>
      <c r="BS89" s="34">
        <f>IF(BR89&lt;=0.1,0,BK89/BR89*(BR89-0.1))</f>
        <v/>
      </c>
      <c r="BT89" s="34">
        <f>IF((BS89)&lt;0,MAX(F89:G89)*(BS89)*1.03,MIN(F89:G89)*(BS89)*0.97)</f>
        <v/>
      </c>
      <c r="BU89" s="34">
        <f>IF(BR89&gt;0.1,1,0)</f>
        <v/>
      </c>
      <c r="BV89" s="34">
        <f>BF89+BG89+BH89+BY89-CA89</f>
        <v/>
      </c>
      <c r="BW89" s="34">
        <f>ABS(BX89)</f>
        <v/>
      </c>
      <c r="BX89" s="34">
        <f>AY89-(J89-L89+N89-Q89+T89-X89)</f>
        <v/>
      </c>
      <c r="BY89" s="34">
        <f>IF(AND(BX89&gt;0,MIN($F89:$G89)&lt;150,$E89="Enerji Açığı"),-100*BX89*1.03,IF(AND(BX89&gt;0,MIN($F89:$G89)&lt;150,$E89="Enerji Fazlası"),-100*BX89*1.06,IF(AND(BX89&gt;0,MIN($F89:$G89)&gt;=150,$E89="Enerji Açığı"),BX89*MIN($F89:$G89)*0.97,IF(AND(BX89&gt;0,MIN($F89:$G89)&gt;=150,$E89="Enerji Fazlası"),BX89*MIN($F89:$G89)*0.94,IF(AND(BX89&lt;0,MAX($F89:$G89)=4500,$E89="Enerji Açığı"),4500*1.05*1.06*BX89,IF(AND(BX89&lt;0,MAX($F89:$G89)=4500,$E89="Enerji Fazlası"),4500*1.05*1.03*BX89,IF(AND(BX89&lt;0,$E89="Enerji Açığı"),MAX($F89,$G89,150)*BX89*1.06,IF(AND(BX89&lt;0,$E89="Enerji Fazlası"),MAX($F89,$G89,150)*BX89*1.03,IF(AND(BX89&lt;0,$E89="Dengede"),MAX($F89:$G89,150)*1.03*BX89,MIN($F89:$G89)*0.97*BX89)))))))))</f>
        <v/>
      </c>
      <c r="BZ89" s="34">
        <f>BE89-BV89-CA89</f>
        <v/>
      </c>
      <c r="CA89" s="34">
        <f>BD89</f>
        <v/>
      </c>
      <c r="CB89" s="33">
        <f>BE89-BV89</f>
        <v/>
      </c>
      <c r="CC89" s="34">
        <f>IF(AY89=0,0,CB89/AY89)</f>
        <v/>
      </c>
      <c r="CD89" s="34">
        <f>MAX((AY89+MAX((-J89+L89-N89+Q89-T89+X89),0)),(MAX((J89-L89+N89-Q89+T89-X89),0)))</f>
        <v/>
      </c>
      <c r="CE89" s="82">
        <f>IFERROR(ABS(BX89/CD89),0)</f>
        <v/>
      </c>
      <c r="CF89" s="34">
        <f>IF(CE89&lt;=0.1,0,BX89/CE89*(CE89-0.1))</f>
        <v/>
      </c>
      <c r="CG89" s="34">
        <f>IF((CF89)&lt;0,MAX(F89:G89)*(CF89)*1.03,MIN(F89:G89)*(CF89)*0.97)</f>
        <v/>
      </c>
      <c r="CH89" s="34">
        <f>IF(CE89&gt;0.1,1,0)</f>
        <v/>
      </c>
      <c r="CI89" s="34">
        <f>(F89*BX89)-BY89</f>
        <v/>
      </c>
      <c r="CJ89" s="34">
        <f>IF(AY89=0,0,CI89/AY89)</f>
        <v/>
      </c>
    </row>
    <row r="90">
      <c r="A90" s="29" t="n">
        <v>46207.625</v>
      </c>
      <c r="B90" s="29" t="inlineStr">
        <is>
          <t>15:00</t>
        </is>
      </c>
      <c r="C90" s="35">
        <f>INT(A90)</f>
        <v/>
      </c>
      <c r="D90" s="36">
        <f>MONTH(A90)</f>
        <v/>
      </c>
      <c r="E90" s="147">
        <f>[1]FİYATLAR!G89</f>
        <v/>
      </c>
      <c r="F90" s="30" t="n">
        <v>1691.9</v>
      </c>
      <c r="G90" s="30" t="n">
        <v>2750</v>
      </c>
      <c r="H90" s="30" t="n">
        <v>36.3</v>
      </c>
      <c r="I90" s="30" t="n">
        <v>2667.68</v>
      </c>
      <c r="J90" s="119" t="n">
        <v>0</v>
      </c>
      <c r="K90" s="34">
        <f>F90*J90</f>
        <v/>
      </c>
      <c r="L90" s="119" t="n">
        <v>0</v>
      </c>
      <c r="M90" s="34">
        <f>L90*F90</f>
        <v/>
      </c>
      <c r="N90" s="119" t="n">
        <v>25.3</v>
      </c>
      <c r="O90" s="34">
        <f>F90</f>
        <v/>
      </c>
      <c r="P90" s="34">
        <f>N90*O90</f>
        <v/>
      </c>
      <c r="Q90" s="117" t="n">
        <v>0</v>
      </c>
      <c r="R90" s="34">
        <f>F90</f>
        <v/>
      </c>
      <c r="S90" s="34">
        <f>R90*Q90</f>
        <v/>
      </c>
      <c r="T90" s="34">
        <f>SUMIFS('[1]GİP VERİLERİ'!$C:$C,'[1]GİP VERİLERİ'!$B:$B,A90,'[1]GİP VERİLERİ'!$M:$M,"40X000000104782K",'[1]GİP VERİLERİ'!$G:$G,"SELL")</f>
        <v/>
      </c>
      <c r="U90" s="34">
        <f>IFERROR(W90/T90,0)</f>
        <v/>
      </c>
      <c r="V90" s="34">
        <f>IF(U90=0,0,U90-F90)</f>
        <v/>
      </c>
      <c r="W90" s="34">
        <f>SUMIFS('[1]GİP VERİLERİ'!$O:$O,'[1]GİP VERİLERİ'!$B:$B,A90,'[1]GİP VERİLERİ'!$M:$M,"40X000000104782K",'[1]GİP VERİLERİ'!$G:$G,"SELL")</f>
        <v/>
      </c>
      <c r="X90" s="34">
        <f>SUMIFS('[1]GİP VERİLERİ'!$C:$C,'[1]GİP VERİLERİ'!$B:$B,A90,'[1]GİP VERİLERİ'!$M:$M,"40X000000104782K",'[1]GİP VERİLERİ'!$G:$G,"BUY")</f>
        <v/>
      </c>
      <c r="Y90" s="34">
        <f>IFERROR(AA90/X90,0)</f>
        <v/>
      </c>
      <c r="Z90" s="34">
        <f>IF(Y90=0,0,F90-Y90)</f>
        <v/>
      </c>
      <c r="AA90" s="34">
        <f>SUMIFS('[1]GİP VERİLERİ'!$O:$O,'[1]GİP VERİLERİ'!$B:$B,A90,'[1]GİP VERİLERİ'!$M:$M,"40X000000104782K",'[1]GİP VERİLERİ'!$G:$G,"BUY")</f>
        <v/>
      </c>
      <c r="AB90" s="34" t="n">
        <v>0</v>
      </c>
      <c r="AC90" s="34" t="n">
        <v>0</v>
      </c>
      <c r="AD90" s="34">
        <f>IF(AB90&gt;AC90*1.05,AB90-AC90*1.05,IF(AB90&lt;AC90*0.95,AC90*0.95-AB90,0))</f>
        <v/>
      </c>
      <c r="AE90" s="34">
        <f>MAX(F90,G90,750)*0.05*AD90</f>
        <v/>
      </c>
      <c r="AF90" s="34" t="n">
        <v>0</v>
      </c>
      <c r="AG90" s="34">
        <f>IF(AB90&gt;AF90*1.05,AB90-AF90*1.05,IF(AB90&lt;AF90*0.95,AF90*0.95-AB90,0))</f>
        <v/>
      </c>
      <c r="AH90" s="34">
        <f>MAX(I90,J90,750)*0.05*AG90</f>
        <v/>
      </c>
      <c r="AI90" t="n">
        <v>10.23</v>
      </c>
      <c r="AJ90" t="n">
        <v>10</v>
      </c>
      <c r="AK90" s="34">
        <f>IF(AI90&gt;AJ90*1.05,AI90-AJ90*1.05,IF(AI90&lt;AJ90*0.95,AJ90*0.95-AI90,0))</f>
        <v/>
      </c>
      <c r="AL90" s="34">
        <f>MAX(F90,G90,750)*0.05*AK90</f>
        <v/>
      </c>
      <c r="AM90" s="39" t="n">
        <v>10</v>
      </c>
      <c r="AN90" s="34">
        <f>IF(AI90&gt;AM90*1.05,AI90-AM90*1.05,IF(AI90&lt;AM90*0.95,AM90*0.95-AI90,0))</f>
        <v/>
      </c>
      <c r="AO90" s="34">
        <f>MAX(F90,G90,750)*0.05*AN90</f>
        <v/>
      </c>
      <c r="AP90" s="34" t="n">
        <v>15.34</v>
      </c>
      <c r="AQ90" s="34" t="n">
        <v>15.3</v>
      </c>
      <c r="AR90" s="34">
        <f>IF(AP90&gt;AQ90*1.05,AP90-AQ90*1.05,IF(AP90&lt;AQ90*0.95,AQ90*0.95-AP90,0))</f>
        <v/>
      </c>
      <c r="AS90" s="34">
        <f>MAX(F90:G90,750)*0.05*AR90</f>
        <v/>
      </c>
      <c r="AT90" t="n">
        <v>15.3</v>
      </c>
      <c r="AU90" s="34">
        <f>IF(AP90&gt;AT90*1.05,AP90-AT90*1.05,IF(AP90&lt;AT90*0.95,AT90*0.95-AP90,0))</f>
        <v/>
      </c>
      <c r="AV90" s="34">
        <f>MAX(F90:G90,750)*0.05*AU90</f>
        <v/>
      </c>
      <c r="AW90" s="34">
        <f>AC90+AJ90+AQ90</f>
        <v/>
      </c>
      <c r="AX90" s="34">
        <f>AF90+AM90+AT90</f>
        <v/>
      </c>
      <c r="AY90" s="34">
        <f>AB90+AI90+AP90</f>
        <v/>
      </c>
      <c r="AZ90" s="34" t="n">
        <v>0</v>
      </c>
      <c r="BA90" s="34">
        <f>AD90+AK90+AR90</f>
        <v/>
      </c>
      <c r="BB90" s="34">
        <f>MAX(F90:G90,750)*0.05*BA90</f>
        <v/>
      </c>
      <c r="BC90" s="34">
        <f>AG90+AN90+AU90</f>
        <v/>
      </c>
      <c r="BD90" s="34">
        <f>MAX(F90:G90,750)*0.05*BC90</f>
        <v/>
      </c>
      <c r="BE90" s="34">
        <f>F90*AY90</f>
        <v/>
      </c>
      <c r="BF90" s="34">
        <f>K90-M90</f>
        <v/>
      </c>
      <c r="BG90" s="34">
        <f>P90-S90</f>
        <v/>
      </c>
      <c r="BH90" s="34">
        <f>W90-AA90</f>
        <v/>
      </c>
      <c r="BI90" s="34">
        <f>BF90+BG90+BL90-BN90</f>
        <v/>
      </c>
      <c r="BJ90" s="34">
        <f>ABS(BK90)</f>
        <v/>
      </c>
      <c r="BK90" s="34">
        <f>AY90-(J90-L90+N90-Q90)</f>
        <v/>
      </c>
      <c r="BL90" s="34">
        <f>IF(AND(BK90&gt;0,MIN($F90:$G90)&lt;150,$E90="Enerji Açığı"),-100*BK90*1.03,IF(AND(BK90&gt;0,MIN($F90:$G90)&lt;150,$E90="Enerji Fazlası"),-100*BK90*1.06,IF(AND(BK90&gt;0,MIN($F90:$G90)&gt;=150,$E90="Enerji Açığı"),BK90*MIN($F90:$G90)*0.97,IF(AND(BK90&gt;0,MIN($F90:$G90)&gt;=150,$E90="Enerji Fazlası"),BK90*MIN($F90:$G90)*0.94,IF(AND(BK90&lt;0,MAX($F90:$G90)=4500,$E90="Enerji Açığı"),4500*1.05*1.06*BK90,IF(AND(BK90&lt;0,MAX($F90:$G90)=4500,$E90="Enerji Fazlası"),4500*1.05*1.03*BK90,IF(AND(BK90&lt;0,$E90="Enerji Açığı"),MAX($F90,$G90,150)*BK90*1.06,IF(AND(BK90&lt;0,$E90="Enerji Fazlası"),MAX($F90,$G90,150)*BK90*1.03,IF(AND(BK90&lt;0,$E90="Dengede"),MAX($F90:$G90,150)*1.03*BK90,MIN($F90:$G90)*0.97*BK90)))))))))</f>
        <v/>
      </c>
      <c r="BM90" s="34">
        <f>BE90-BI90-BN90</f>
        <v/>
      </c>
      <c r="BN90" s="34">
        <f>BB90</f>
        <v/>
      </c>
      <c r="BO90" s="34">
        <f>BE90-BI90</f>
        <v/>
      </c>
      <c r="BP90" s="34">
        <f>IF(AY90=0,0,BO90/AY90)</f>
        <v/>
      </c>
      <c r="BQ90" s="34">
        <f>MAX((AY90+MAX((-J90+L90-N90+Q90),0)),(MAX((J90-L90+N90-Q90),0)))</f>
        <v/>
      </c>
      <c r="BR90" s="82">
        <f>IFERROR(ABS(BK90/BQ90),0)</f>
        <v/>
      </c>
      <c r="BS90" s="34">
        <f>IF(BR90&lt;=0.1,0,BK90/BR90*(BR90-0.1))</f>
        <v/>
      </c>
      <c r="BT90" s="34">
        <f>IF((BS90)&lt;0,MAX(F90:G90)*(BS90)*1.03,MIN(F90:G90)*(BS90)*0.97)</f>
        <v/>
      </c>
      <c r="BU90" s="34">
        <f>IF(BR90&gt;0.1,1,0)</f>
        <v/>
      </c>
      <c r="BV90" s="34">
        <f>BF90+BG90+BH90+BY90-CA90</f>
        <v/>
      </c>
      <c r="BW90" s="34">
        <f>ABS(BX90)</f>
        <v/>
      </c>
      <c r="BX90" s="34">
        <f>AY90-(J90-L90+N90-Q90+T90-X90)</f>
        <v/>
      </c>
      <c r="BY90" s="34">
        <f>IF(AND(BX90&gt;0,MIN($F90:$G90)&lt;150,$E90="Enerji Açığı"),-100*BX90*1.03,IF(AND(BX90&gt;0,MIN($F90:$G90)&lt;150,$E90="Enerji Fazlası"),-100*BX90*1.06,IF(AND(BX90&gt;0,MIN($F90:$G90)&gt;=150,$E90="Enerji Açığı"),BX90*MIN($F90:$G90)*0.97,IF(AND(BX90&gt;0,MIN($F90:$G90)&gt;=150,$E90="Enerji Fazlası"),BX90*MIN($F90:$G90)*0.94,IF(AND(BX90&lt;0,MAX($F90:$G90)=4500,$E90="Enerji Açığı"),4500*1.05*1.06*BX90,IF(AND(BX90&lt;0,MAX($F90:$G90)=4500,$E90="Enerji Fazlası"),4500*1.05*1.03*BX90,IF(AND(BX90&lt;0,$E90="Enerji Açığı"),MAX($F90,$G90,150)*BX90*1.06,IF(AND(BX90&lt;0,$E90="Enerji Fazlası"),MAX($F90,$G90,150)*BX90*1.03,IF(AND(BX90&lt;0,$E90="Dengede"),MAX($F90:$G90,150)*1.03*BX90,MIN($F90:$G90)*0.97*BX90)))))))))</f>
        <v/>
      </c>
      <c r="BZ90" s="34">
        <f>BE90-BV90-CA90</f>
        <v/>
      </c>
      <c r="CA90" s="34">
        <f>BD90</f>
        <v/>
      </c>
      <c r="CB90" s="33">
        <f>BE90-BV90</f>
        <v/>
      </c>
      <c r="CC90" s="34">
        <f>IF(AY90=0,0,CB90/AY90)</f>
        <v/>
      </c>
      <c r="CD90" s="34">
        <f>MAX((AY90+MAX((-J90+L90-N90+Q90-T90+X90),0)),(MAX((J90-L90+N90-Q90+T90-X90),0)))</f>
        <v/>
      </c>
      <c r="CE90" s="82">
        <f>IFERROR(ABS(BX90/CD90),0)</f>
        <v/>
      </c>
      <c r="CF90" s="34">
        <f>IF(CE90&lt;=0.1,0,BX90/CE90*(CE90-0.1))</f>
        <v/>
      </c>
      <c r="CG90" s="34">
        <f>IF((CF90)&lt;0,MAX(F90:G90)*(CF90)*1.03,MIN(F90:G90)*(CF90)*0.97)</f>
        <v/>
      </c>
      <c r="CH90" s="34">
        <f>IF(CE90&gt;0.1,1,0)</f>
        <v/>
      </c>
      <c r="CI90" s="34">
        <f>(F90*BX90)-BY90</f>
        <v/>
      </c>
      <c r="CJ90" s="34">
        <f>IF(AY90=0,0,CI90/AY90)</f>
        <v/>
      </c>
    </row>
    <row r="91">
      <c r="A91" s="29" t="n">
        <v>46207.66666666666</v>
      </c>
      <c r="B91" s="29" t="inlineStr">
        <is>
          <t>16:00</t>
        </is>
      </c>
      <c r="C91" s="35">
        <f>INT(A91)</f>
        <v/>
      </c>
      <c r="D91" s="36">
        <f>MONTH(A91)</f>
        <v/>
      </c>
      <c r="E91" s="147">
        <f>[1]FİYATLAR!G90</f>
        <v/>
      </c>
      <c r="F91" s="30" t="n">
        <v>1499.97</v>
      </c>
      <c r="G91" s="30" t="n">
        <v>2032.39</v>
      </c>
      <c r="H91" s="30" t="n">
        <v>32.18</v>
      </c>
      <c r="I91" s="30" t="n">
        <v>2467.92</v>
      </c>
      <c r="J91" s="119" t="n">
        <v>0</v>
      </c>
      <c r="K91" s="34">
        <f>F91*J91</f>
        <v/>
      </c>
      <c r="L91" s="119" t="n">
        <v>0</v>
      </c>
      <c r="M91" s="34">
        <f>L91*F91</f>
        <v/>
      </c>
      <c r="N91" s="119" t="n">
        <v>25</v>
      </c>
      <c r="O91" s="34">
        <f>F91</f>
        <v/>
      </c>
      <c r="P91" s="34">
        <f>N91*O91</f>
        <v/>
      </c>
      <c r="Q91" s="117" t="n">
        <v>0</v>
      </c>
      <c r="R91" s="34">
        <f>F91</f>
        <v/>
      </c>
      <c r="S91" s="34">
        <f>R91*Q91</f>
        <v/>
      </c>
      <c r="T91" s="34">
        <f>SUMIFS('[1]GİP VERİLERİ'!$C:$C,'[1]GİP VERİLERİ'!$B:$B,A91,'[1]GİP VERİLERİ'!$M:$M,"40X000000104782K",'[1]GİP VERİLERİ'!$G:$G,"SELL")</f>
        <v/>
      </c>
      <c r="U91" s="34">
        <f>IFERROR(W91/T91,0)</f>
        <v/>
      </c>
      <c r="V91" s="34">
        <f>IF(U91=0,0,U91-F91)</f>
        <v/>
      </c>
      <c r="W91" s="34">
        <f>SUMIFS('[1]GİP VERİLERİ'!$O:$O,'[1]GİP VERİLERİ'!$B:$B,A91,'[1]GİP VERİLERİ'!$M:$M,"40X000000104782K",'[1]GİP VERİLERİ'!$G:$G,"SELL")</f>
        <v/>
      </c>
      <c r="X91" s="34">
        <f>SUMIFS('[1]GİP VERİLERİ'!$C:$C,'[1]GİP VERİLERİ'!$B:$B,A91,'[1]GİP VERİLERİ'!$M:$M,"40X000000104782K",'[1]GİP VERİLERİ'!$G:$G,"BUY")</f>
        <v/>
      </c>
      <c r="Y91" s="34">
        <f>IFERROR(AA91/X91,0)</f>
        <v/>
      </c>
      <c r="Z91" s="34">
        <f>IF(Y91=0,0,F91-Y91)</f>
        <v/>
      </c>
      <c r="AA91" s="34">
        <f>SUMIFS('[1]GİP VERİLERİ'!$O:$O,'[1]GİP VERİLERİ'!$B:$B,A91,'[1]GİP VERİLERİ'!$M:$M,"40X000000104782K",'[1]GİP VERİLERİ'!$G:$G,"BUY")</f>
        <v/>
      </c>
      <c r="AB91" s="34" t="n">
        <v>0</v>
      </c>
      <c r="AC91" s="34" t="n">
        <v>0</v>
      </c>
      <c r="AD91" s="34">
        <f>IF(AB91&gt;AC91*1.05,AB91-AC91*1.05,IF(AB91&lt;AC91*0.95,AC91*0.95-AB91,0))</f>
        <v/>
      </c>
      <c r="AE91" s="34">
        <f>MAX(F91,G91,750)*0.05*AD91</f>
        <v/>
      </c>
      <c r="AF91" s="34" t="n">
        <v>0</v>
      </c>
      <c r="AG91" s="34">
        <f>IF(AB91&gt;AF91*1.05,AB91-AF91*1.05,IF(AB91&lt;AF91*0.95,AF91*0.95-AB91,0))</f>
        <v/>
      </c>
      <c r="AH91" s="34">
        <f>MAX(I91,J91,750)*0.05*AG91</f>
        <v/>
      </c>
      <c r="AI91" t="n">
        <v>10.14</v>
      </c>
      <c r="AJ91" t="n">
        <v>10</v>
      </c>
      <c r="AK91" s="34">
        <f>IF(AI91&gt;AJ91*1.05,AI91-AJ91*1.05,IF(AI91&lt;AJ91*0.95,AJ91*0.95-AI91,0))</f>
        <v/>
      </c>
      <c r="AL91" s="34">
        <f>MAX(F91,G91,750)*0.05*AK91</f>
        <v/>
      </c>
      <c r="AM91" s="39" t="n">
        <v>10</v>
      </c>
      <c r="AN91" s="34">
        <f>IF(AI91&gt;AM91*1.05,AI91-AM91*1.05,IF(AI91&lt;AM91*0.95,AM91*0.95-AI91,0))</f>
        <v/>
      </c>
      <c r="AO91" s="34">
        <f>MAX(F91,G91,750)*0.05*AN91</f>
        <v/>
      </c>
      <c r="AP91" s="34" t="n">
        <v>14.96</v>
      </c>
      <c r="AQ91" s="34" t="n">
        <v>15</v>
      </c>
      <c r="AR91" s="34">
        <f>IF(AP91&gt;AQ91*1.05,AP91-AQ91*1.05,IF(AP91&lt;AQ91*0.95,AQ91*0.95-AP91,0))</f>
        <v/>
      </c>
      <c r="AS91" s="34">
        <f>MAX(F91:G91,750)*0.05*AR91</f>
        <v/>
      </c>
      <c r="AT91" t="n">
        <v>15</v>
      </c>
      <c r="AU91" s="34">
        <f>IF(AP91&gt;AT91*1.05,AP91-AT91*1.05,IF(AP91&lt;AT91*0.95,AT91*0.95-AP91,0))</f>
        <v/>
      </c>
      <c r="AV91" s="34">
        <f>MAX(F91:G91,750)*0.05*AU91</f>
        <v/>
      </c>
      <c r="AW91" s="34">
        <f>AC91+AJ91+AQ91</f>
        <v/>
      </c>
      <c r="AX91" s="34">
        <f>AF91+AM91+AT91</f>
        <v/>
      </c>
      <c r="AY91" s="34">
        <f>AB91+AI91+AP91</f>
        <v/>
      </c>
      <c r="AZ91" s="34" t="n">
        <v>0</v>
      </c>
      <c r="BA91" s="34">
        <f>AD91+AK91+AR91</f>
        <v/>
      </c>
      <c r="BB91" s="34">
        <f>MAX(F91:G91,750)*0.05*BA91</f>
        <v/>
      </c>
      <c r="BC91" s="34">
        <f>AG91+AN91+AU91</f>
        <v/>
      </c>
      <c r="BD91" s="34">
        <f>MAX(F91:G91,750)*0.05*BC91</f>
        <v/>
      </c>
      <c r="BE91" s="34">
        <f>F91*AY91</f>
        <v/>
      </c>
      <c r="BF91" s="34">
        <f>K91-M91</f>
        <v/>
      </c>
      <c r="BG91" s="34">
        <f>P91-S91</f>
        <v/>
      </c>
      <c r="BH91" s="34">
        <f>W91-AA91</f>
        <v/>
      </c>
      <c r="BI91" s="34">
        <f>BF91+BG91+BL91-BN91</f>
        <v/>
      </c>
      <c r="BJ91" s="34">
        <f>ABS(BK91)</f>
        <v/>
      </c>
      <c r="BK91" s="34">
        <f>AY91-(J91-L91+N91-Q91)</f>
        <v/>
      </c>
      <c r="BL91" s="34">
        <f>IF(AND(BK91&gt;0,MIN($F91:$G91)&lt;150,$E91="Enerji Açığı"),-100*BK91*1.03,IF(AND(BK91&gt;0,MIN($F91:$G91)&lt;150,$E91="Enerji Fazlası"),-100*BK91*1.06,IF(AND(BK91&gt;0,MIN($F91:$G91)&gt;=150,$E91="Enerji Açığı"),BK91*MIN($F91:$G91)*0.97,IF(AND(BK91&gt;0,MIN($F91:$G91)&gt;=150,$E91="Enerji Fazlası"),BK91*MIN($F91:$G91)*0.94,IF(AND(BK91&lt;0,MAX($F91:$G91)=4500,$E91="Enerji Açığı"),4500*1.05*1.06*BK91,IF(AND(BK91&lt;0,MAX($F91:$G91)=4500,$E91="Enerji Fazlası"),4500*1.05*1.03*BK91,IF(AND(BK91&lt;0,$E91="Enerji Açığı"),MAX($F91,$G91,150)*BK91*1.06,IF(AND(BK91&lt;0,$E91="Enerji Fazlası"),MAX($F91,$G91,150)*BK91*1.03,IF(AND(BK91&lt;0,$E91="Dengede"),MAX($F91:$G91,150)*1.03*BK91,MIN($F91:$G91)*0.97*BK91)))))))))</f>
        <v/>
      </c>
      <c r="BM91" s="34">
        <f>BE91-BI91-BN91</f>
        <v/>
      </c>
      <c r="BN91" s="34">
        <f>BB91</f>
        <v/>
      </c>
      <c r="BO91" s="34">
        <f>BE91-BI91</f>
        <v/>
      </c>
      <c r="BP91" s="34">
        <f>IF(AY91=0,0,BO91/AY91)</f>
        <v/>
      </c>
      <c r="BQ91" s="34">
        <f>MAX((AY91+MAX((-J91+L91-N91+Q91),0)),(MAX((J91-L91+N91-Q91),0)))</f>
        <v/>
      </c>
      <c r="BR91" s="82">
        <f>IFERROR(ABS(BK91/BQ91),0)</f>
        <v/>
      </c>
      <c r="BS91" s="34">
        <f>IF(BR91&lt;=0.1,0,BK91/BR91*(BR91-0.1))</f>
        <v/>
      </c>
      <c r="BT91" s="34">
        <f>IF((BS91)&lt;0,MAX(F91:G91)*(BS91)*1.03,MIN(F91:G91)*(BS91)*0.97)</f>
        <v/>
      </c>
      <c r="BU91" s="34">
        <f>IF(BR91&gt;0.1,1,0)</f>
        <v/>
      </c>
      <c r="BV91" s="34">
        <f>BF91+BG91+BH91+BY91-CA91</f>
        <v/>
      </c>
      <c r="BW91" s="34">
        <f>ABS(BX91)</f>
        <v/>
      </c>
      <c r="BX91" s="34">
        <f>AY91-(J91-L91+N91-Q91+T91-X91)</f>
        <v/>
      </c>
      <c r="BY91" s="34">
        <f>IF(AND(BX91&gt;0,MIN($F91:$G91)&lt;150,$E91="Enerji Açığı"),-100*BX91*1.03,IF(AND(BX91&gt;0,MIN($F91:$G91)&lt;150,$E91="Enerji Fazlası"),-100*BX91*1.06,IF(AND(BX91&gt;0,MIN($F91:$G91)&gt;=150,$E91="Enerji Açığı"),BX91*MIN($F91:$G91)*0.97,IF(AND(BX91&gt;0,MIN($F91:$G91)&gt;=150,$E91="Enerji Fazlası"),BX91*MIN($F91:$G91)*0.94,IF(AND(BX91&lt;0,MAX($F91:$G91)=4500,$E91="Enerji Açığı"),4500*1.05*1.06*BX91,IF(AND(BX91&lt;0,MAX($F91:$G91)=4500,$E91="Enerji Fazlası"),4500*1.05*1.03*BX91,IF(AND(BX91&lt;0,$E91="Enerji Açığı"),MAX($F91,$G91,150)*BX91*1.06,IF(AND(BX91&lt;0,$E91="Enerji Fazlası"),MAX($F91,$G91,150)*BX91*1.03,IF(AND(BX91&lt;0,$E91="Dengede"),MAX($F91:$G91,150)*1.03*BX91,MIN($F91:$G91)*0.97*BX91)))))))))</f>
        <v/>
      </c>
      <c r="BZ91" s="34">
        <f>BE91-BV91-CA91</f>
        <v/>
      </c>
      <c r="CA91" s="34">
        <f>BD91</f>
        <v/>
      </c>
      <c r="CB91" s="33">
        <f>BE91-BV91</f>
        <v/>
      </c>
      <c r="CC91" s="34">
        <f>IF(AY91=0,0,CB91/AY91)</f>
        <v/>
      </c>
      <c r="CD91" s="34">
        <f>MAX((AY91+MAX((-J91+L91-N91+Q91-T91+X91),0)),(MAX((J91-L91+N91-Q91+T91-X91),0)))</f>
        <v/>
      </c>
      <c r="CE91" s="82">
        <f>IFERROR(ABS(BX91/CD91),0)</f>
        <v/>
      </c>
      <c r="CF91" s="34">
        <f>IF(CE91&lt;=0.1,0,BX91/CE91*(CE91-0.1))</f>
        <v/>
      </c>
      <c r="CG91" s="34">
        <f>IF((CF91)&lt;0,MAX(F91:G91)*(CF91)*1.03,MIN(F91:G91)*(CF91)*0.97)</f>
        <v/>
      </c>
      <c r="CH91" s="34">
        <f>IF(CE91&gt;0.1,1,0)</f>
        <v/>
      </c>
      <c r="CI91" s="34">
        <f>(F91*BX91)-BY91</f>
        <v/>
      </c>
      <c r="CJ91" s="34">
        <f>IF(AY91=0,0,CI91/AY91)</f>
        <v/>
      </c>
    </row>
    <row r="92">
      <c r="A92" s="29" t="n">
        <v>46207.70833333334</v>
      </c>
      <c r="B92" s="29" t="inlineStr">
        <is>
          <t>17:00</t>
        </is>
      </c>
      <c r="C92" s="35">
        <f>INT(A92)</f>
        <v/>
      </c>
      <c r="D92" s="36">
        <f>MONTH(A92)</f>
        <v/>
      </c>
      <c r="E92" s="147">
        <f>[1]FİYATLAR!G91</f>
        <v/>
      </c>
      <c r="F92" s="30" t="n">
        <v>1499.99</v>
      </c>
      <c r="G92" s="30" t="n">
        <v>1874.99</v>
      </c>
      <c r="H92" s="30" t="n">
        <v>32.18</v>
      </c>
      <c r="I92" s="30" t="n">
        <v>2548.17</v>
      </c>
      <c r="J92" s="119" t="n">
        <v>0</v>
      </c>
      <c r="K92" s="34">
        <f>F92*J92</f>
        <v/>
      </c>
      <c r="L92" s="119" t="n">
        <v>0</v>
      </c>
      <c r="M92" s="34">
        <f>L92*F92</f>
        <v/>
      </c>
      <c r="N92" s="119" t="n">
        <v>24.5</v>
      </c>
      <c r="O92" s="34">
        <f>F92</f>
        <v/>
      </c>
      <c r="P92" s="34">
        <f>N92*O92</f>
        <v/>
      </c>
      <c r="Q92" s="117" t="n">
        <v>0</v>
      </c>
      <c r="R92" s="34">
        <f>F92</f>
        <v/>
      </c>
      <c r="S92" s="34">
        <f>R92*Q92</f>
        <v/>
      </c>
      <c r="T92" s="34">
        <f>SUMIFS('[1]GİP VERİLERİ'!$C:$C,'[1]GİP VERİLERİ'!$B:$B,A92,'[1]GİP VERİLERİ'!$M:$M,"40X000000104782K",'[1]GİP VERİLERİ'!$G:$G,"SELL")</f>
        <v/>
      </c>
      <c r="U92" s="34">
        <f>IFERROR(W92/T92,0)</f>
        <v/>
      </c>
      <c r="V92" s="34">
        <f>IF(U92=0,0,U92-F92)</f>
        <v/>
      </c>
      <c r="W92" s="34">
        <f>SUMIFS('[1]GİP VERİLERİ'!$O:$O,'[1]GİP VERİLERİ'!$B:$B,A92,'[1]GİP VERİLERİ'!$M:$M,"40X000000104782K",'[1]GİP VERİLERİ'!$G:$G,"SELL")</f>
        <v/>
      </c>
      <c r="X92" s="34">
        <f>SUMIFS('[1]GİP VERİLERİ'!$C:$C,'[1]GİP VERİLERİ'!$B:$B,A92,'[1]GİP VERİLERİ'!$M:$M,"40X000000104782K",'[1]GİP VERİLERİ'!$G:$G,"BUY")</f>
        <v/>
      </c>
      <c r="Y92" s="34">
        <f>IFERROR(AA92/X92,0)</f>
        <v/>
      </c>
      <c r="Z92" s="34">
        <f>IF(Y92=0,0,F92-Y92)</f>
        <v/>
      </c>
      <c r="AA92" s="34">
        <f>SUMIFS('[1]GİP VERİLERİ'!$O:$O,'[1]GİP VERİLERİ'!$B:$B,A92,'[1]GİP VERİLERİ'!$M:$M,"40X000000104782K",'[1]GİP VERİLERİ'!$G:$G,"BUY")</f>
        <v/>
      </c>
      <c r="AB92" s="34" t="n">
        <v>0</v>
      </c>
      <c r="AC92" s="34" t="n">
        <v>0</v>
      </c>
      <c r="AD92" s="34">
        <f>IF(AB92&gt;AC92*1.05,AB92-AC92*1.05,IF(AB92&lt;AC92*0.95,AC92*0.95-AB92,0))</f>
        <v/>
      </c>
      <c r="AE92" s="34">
        <f>MAX(F92,G92,750)*0.05*AD92</f>
        <v/>
      </c>
      <c r="AF92" s="34" t="n">
        <v>0</v>
      </c>
      <c r="AG92" s="34">
        <f>IF(AB92&gt;AF92*1.05,AB92-AF92*1.05,IF(AB92&lt;AF92*0.95,AF92*0.95-AB92,0))</f>
        <v/>
      </c>
      <c r="AH92" s="34">
        <f>MAX(I92,J92,750)*0.05*AG92</f>
        <v/>
      </c>
      <c r="AI92" t="n">
        <v>10.1</v>
      </c>
      <c r="AJ92" t="n">
        <v>10</v>
      </c>
      <c r="AK92" s="34">
        <f>IF(AI92&gt;AJ92*1.05,AI92-AJ92*1.05,IF(AI92&lt;AJ92*0.95,AJ92*0.95-AI92,0))</f>
        <v/>
      </c>
      <c r="AL92" s="34">
        <f>MAX(F92,G92,750)*0.05*AK92</f>
        <v/>
      </c>
      <c r="AM92" s="39" t="n">
        <v>10</v>
      </c>
      <c r="AN92" s="34">
        <f>IF(AI92&gt;AM92*1.05,AI92-AM92*1.05,IF(AI92&lt;AM92*0.95,AM92*0.95-AI92,0))</f>
        <v/>
      </c>
      <c r="AO92" s="34">
        <f>MAX(F92,G92,750)*0.05*AN92</f>
        <v/>
      </c>
      <c r="AP92" s="34" t="n">
        <v>14.6</v>
      </c>
      <c r="AQ92" s="34" t="n">
        <v>14.5</v>
      </c>
      <c r="AR92" s="34">
        <f>IF(AP92&gt;AQ92*1.05,AP92-AQ92*1.05,IF(AP92&lt;AQ92*0.95,AQ92*0.95-AP92,0))</f>
        <v/>
      </c>
      <c r="AS92" s="34">
        <f>MAX(F92:G92,750)*0.05*AR92</f>
        <v/>
      </c>
      <c r="AT92" t="n">
        <v>14.5</v>
      </c>
      <c r="AU92" s="34">
        <f>IF(AP92&gt;AT92*1.05,AP92-AT92*1.05,IF(AP92&lt;AT92*0.95,AT92*0.95-AP92,0))</f>
        <v/>
      </c>
      <c r="AV92" s="34">
        <f>MAX(F92:G92,750)*0.05*AU92</f>
        <v/>
      </c>
      <c r="AW92" s="34">
        <f>AC92+AJ92+AQ92</f>
        <v/>
      </c>
      <c r="AX92" s="34">
        <f>AF92+AM92+AT92</f>
        <v/>
      </c>
      <c r="AY92" s="34">
        <f>AB92+AI92+AP92</f>
        <v/>
      </c>
      <c r="AZ92" s="34" t="n">
        <v>0</v>
      </c>
      <c r="BA92" s="34">
        <f>AD92+AK92+AR92</f>
        <v/>
      </c>
      <c r="BB92" s="34">
        <f>MAX(F92:G92,750)*0.05*BA92</f>
        <v/>
      </c>
      <c r="BC92" s="34">
        <f>AG92+AN92+AU92</f>
        <v/>
      </c>
      <c r="BD92" s="34">
        <f>MAX(F92:G92,750)*0.05*BC92</f>
        <v/>
      </c>
      <c r="BE92" s="34">
        <f>F92*AY92</f>
        <v/>
      </c>
      <c r="BF92" s="34">
        <f>K92-M92</f>
        <v/>
      </c>
      <c r="BG92" s="34">
        <f>P92-S92</f>
        <v/>
      </c>
      <c r="BH92" s="34">
        <f>W92-AA92</f>
        <v/>
      </c>
      <c r="BI92" s="34">
        <f>BF92+BG92+BL92-BN92</f>
        <v/>
      </c>
      <c r="BJ92" s="34">
        <f>ABS(BK92)</f>
        <v/>
      </c>
      <c r="BK92" s="34">
        <f>AY92-(J92-L92+N92-Q92)</f>
        <v/>
      </c>
      <c r="BL92" s="34">
        <f>IF(AND(BK92&gt;0,MIN($F92:$G92)&lt;150,$E92="Enerji Açığı"),-100*BK92*1.03,IF(AND(BK92&gt;0,MIN($F92:$G92)&lt;150,$E92="Enerji Fazlası"),-100*BK92*1.06,IF(AND(BK92&gt;0,MIN($F92:$G92)&gt;=150,$E92="Enerji Açığı"),BK92*MIN($F92:$G92)*0.97,IF(AND(BK92&gt;0,MIN($F92:$G92)&gt;=150,$E92="Enerji Fazlası"),BK92*MIN($F92:$G92)*0.94,IF(AND(BK92&lt;0,MAX($F92:$G92)=4500,$E92="Enerji Açığı"),4500*1.05*1.06*BK92,IF(AND(BK92&lt;0,MAX($F92:$G92)=4500,$E92="Enerji Fazlası"),4500*1.05*1.03*BK92,IF(AND(BK92&lt;0,$E92="Enerji Açığı"),MAX($F92,$G92,150)*BK92*1.06,IF(AND(BK92&lt;0,$E92="Enerji Fazlası"),MAX($F92,$G92,150)*BK92*1.03,IF(AND(BK92&lt;0,$E92="Dengede"),MAX($F92:$G92,150)*1.03*BK92,MIN($F92:$G92)*0.97*BK92)))))))))</f>
        <v/>
      </c>
      <c r="BM92" s="34">
        <f>BE92-BI92-BN92</f>
        <v/>
      </c>
      <c r="BN92" s="34">
        <f>BB92</f>
        <v/>
      </c>
      <c r="BO92" s="34">
        <f>BE92-BI92</f>
        <v/>
      </c>
      <c r="BP92" s="34">
        <f>IF(AY92=0,0,BO92/AY92)</f>
        <v/>
      </c>
      <c r="BQ92" s="34">
        <f>MAX((AY92+MAX((-J92+L92-N92+Q92),0)),(MAX((J92-L92+N92-Q92),0)))</f>
        <v/>
      </c>
      <c r="BR92" s="82">
        <f>IFERROR(ABS(BK92/BQ92),0)</f>
        <v/>
      </c>
      <c r="BS92" s="34">
        <f>IF(BR92&lt;=0.1,0,BK92/BR92*(BR92-0.1))</f>
        <v/>
      </c>
      <c r="BT92" s="34">
        <f>IF((BS92)&lt;0,MAX(F92:G92)*(BS92)*1.03,MIN(F92:G92)*(BS92)*0.97)</f>
        <v/>
      </c>
      <c r="BU92" s="34">
        <f>IF(BR92&gt;0.1,1,0)</f>
        <v/>
      </c>
      <c r="BV92" s="34">
        <f>BF92+BG92+BH92+BY92-CA92</f>
        <v/>
      </c>
      <c r="BW92" s="34">
        <f>ABS(BX92)</f>
        <v/>
      </c>
      <c r="BX92" s="34">
        <f>AY92-(J92-L92+N92-Q92+T92-X92)</f>
        <v/>
      </c>
      <c r="BY92" s="34">
        <f>IF(AND(BX92&gt;0,MIN($F92:$G92)&lt;150,$E92="Enerji Açığı"),-100*BX92*1.03,IF(AND(BX92&gt;0,MIN($F92:$G92)&lt;150,$E92="Enerji Fazlası"),-100*BX92*1.06,IF(AND(BX92&gt;0,MIN($F92:$G92)&gt;=150,$E92="Enerji Açığı"),BX92*MIN($F92:$G92)*0.97,IF(AND(BX92&gt;0,MIN($F92:$G92)&gt;=150,$E92="Enerji Fazlası"),BX92*MIN($F92:$G92)*0.94,IF(AND(BX92&lt;0,MAX($F92:$G92)=4500,$E92="Enerji Açığı"),4500*1.05*1.06*BX92,IF(AND(BX92&lt;0,MAX($F92:$G92)=4500,$E92="Enerji Fazlası"),4500*1.05*1.03*BX92,IF(AND(BX92&lt;0,$E92="Enerji Açığı"),MAX($F92,$G92,150)*BX92*1.06,IF(AND(BX92&lt;0,$E92="Enerji Fazlası"),MAX($F92,$G92,150)*BX92*1.03,IF(AND(BX92&lt;0,$E92="Dengede"),MAX($F92:$G92,150)*1.03*BX92,MIN($F92:$G92)*0.97*BX92)))))))))</f>
        <v/>
      </c>
      <c r="BZ92" s="34">
        <f>BE92-BV92-CA92</f>
        <v/>
      </c>
      <c r="CA92" s="34">
        <f>BD92</f>
        <v/>
      </c>
      <c r="CB92" s="33">
        <f>BE92-BV92</f>
        <v/>
      </c>
      <c r="CC92" s="34">
        <f>IF(AY92=0,0,CB92/AY92)</f>
        <v/>
      </c>
      <c r="CD92" s="34">
        <f>MAX((AY92+MAX((-J92+L92-N92+Q92-T92+X92),0)),(MAX((J92-L92+N92-Q92+T92-X92),0)))</f>
        <v/>
      </c>
      <c r="CE92" s="82">
        <f>IFERROR(ABS(BX92/CD92),0)</f>
        <v/>
      </c>
      <c r="CF92" s="34">
        <f>IF(CE92&lt;=0.1,0,BX92/CE92*(CE92-0.1))</f>
        <v/>
      </c>
      <c r="CG92" s="34">
        <f>IF((CF92)&lt;0,MAX(F92:G92)*(CF92)*1.03,MIN(F92:G92)*(CF92)*0.97)</f>
        <v/>
      </c>
      <c r="CH92" s="34">
        <f>IF(CE92&gt;0.1,1,0)</f>
        <v/>
      </c>
      <c r="CI92" s="34">
        <f>(F92*BX92)-BY92</f>
        <v/>
      </c>
      <c r="CJ92" s="34">
        <f>IF(AY92=0,0,CI92/AY92)</f>
        <v/>
      </c>
    </row>
    <row r="93">
      <c r="A93" s="29" t="n">
        <v>46207.75</v>
      </c>
      <c r="B93" s="29" t="inlineStr">
        <is>
          <t>18:00</t>
        </is>
      </c>
      <c r="C93" s="35">
        <f>INT(A93)</f>
        <v/>
      </c>
      <c r="D93" s="36">
        <f>MONTH(A93)</f>
        <v/>
      </c>
      <c r="E93" s="147">
        <f>[1]FİYATLAR!G92</f>
        <v/>
      </c>
      <c r="F93" s="30" t="n">
        <v>1499.98</v>
      </c>
      <c r="G93" s="30" t="n">
        <v>3000</v>
      </c>
      <c r="H93" s="30" t="n">
        <v>32.18</v>
      </c>
      <c r="I93" s="30" t="n">
        <v>2562.17</v>
      </c>
      <c r="J93" s="119" t="n">
        <v>0</v>
      </c>
      <c r="K93" s="34">
        <f>F93*J93</f>
        <v/>
      </c>
      <c r="L93" s="119" t="n">
        <v>0</v>
      </c>
      <c r="M93" s="34">
        <f>L93*F93</f>
        <v/>
      </c>
      <c r="N93" s="119" t="n">
        <v>23.3</v>
      </c>
      <c r="O93" s="34">
        <f>F93</f>
        <v/>
      </c>
      <c r="P93" s="34">
        <f>N93*O93</f>
        <v/>
      </c>
      <c r="Q93" s="117" t="n">
        <v>0</v>
      </c>
      <c r="R93" s="34">
        <f>F93</f>
        <v/>
      </c>
      <c r="S93" s="34">
        <f>R93*Q93</f>
        <v/>
      </c>
      <c r="T93" s="34">
        <f>SUMIFS('[1]GİP VERİLERİ'!$C:$C,'[1]GİP VERİLERİ'!$B:$B,A93,'[1]GİP VERİLERİ'!$M:$M,"40X000000104782K",'[1]GİP VERİLERİ'!$G:$G,"SELL")</f>
        <v/>
      </c>
      <c r="U93" s="34">
        <f>IFERROR(W93/T93,0)</f>
        <v/>
      </c>
      <c r="V93" s="34">
        <f>IF(U93=0,0,U93-F93)</f>
        <v/>
      </c>
      <c r="W93" s="34">
        <f>SUMIFS('[1]GİP VERİLERİ'!$O:$O,'[1]GİP VERİLERİ'!$B:$B,A93,'[1]GİP VERİLERİ'!$M:$M,"40X000000104782K",'[1]GİP VERİLERİ'!$G:$G,"SELL")</f>
        <v/>
      </c>
      <c r="X93" s="34">
        <f>SUMIFS('[1]GİP VERİLERİ'!$C:$C,'[1]GİP VERİLERİ'!$B:$B,A93,'[1]GİP VERİLERİ'!$M:$M,"40X000000104782K",'[1]GİP VERİLERİ'!$G:$G,"BUY")</f>
        <v/>
      </c>
      <c r="Y93" s="34">
        <f>IFERROR(AA93/X93,0)</f>
        <v/>
      </c>
      <c r="Z93" s="34">
        <f>IF(Y93=0,0,F93-Y93)</f>
        <v/>
      </c>
      <c r="AA93" s="34">
        <f>SUMIFS('[1]GİP VERİLERİ'!$O:$O,'[1]GİP VERİLERİ'!$B:$B,A93,'[1]GİP VERİLERİ'!$M:$M,"40X000000104782K",'[1]GİP VERİLERİ'!$G:$G,"BUY")</f>
        <v/>
      </c>
      <c r="AB93" s="34" t="n">
        <v>0</v>
      </c>
      <c r="AC93" s="34" t="n">
        <v>0</v>
      </c>
      <c r="AD93" s="34">
        <f>IF(AB93&gt;AC93*1.05,AB93-AC93*1.05,IF(AB93&lt;AC93*0.95,AC93*0.95-AB93,0))</f>
        <v/>
      </c>
      <c r="AE93" s="34">
        <f>MAX(F93,G93,750)*0.05*AD93</f>
        <v/>
      </c>
      <c r="AF93" s="34" t="n">
        <v>0</v>
      </c>
      <c r="AG93" s="34">
        <f>IF(AB93&gt;AF93*1.05,AB93-AF93*1.05,IF(AB93&lt;AF93*0.95,AF93*0.95-AB93,0))</f>
        <v/>
      </c>
      <c r="AH93" s="34">
        <f>MAX(I93,J93,750)*0.05*AG93</f>
        <v/>
      </c>
      <c r="AI93" t="n">
        <v>10.09</v>
      </c>
      <c r="AJ93" t="n">
        <v>10</v>
      </c>
      <c r="AK93" s="34">
        <f>IF(AI93&gt;AJ93*1.05,AI93-AJ93*1.05,IF(AI93&lt;AJ93*0.95,AJ93*0.95-AI93,0))</f>
        <v/>
      </c>
      <c r="AL93" s="34">
        <f>MAX(F93,G93,750)*0.05*AK93</f>
        <v/>
      </c>
      <c r="AM93" s="39" t="n">
        <v>10</v>
      </c>
      <c r="AN93" s="34">
        <f>IF(AI93&gt;AM93*1.05,AI93-AM93*1.05,IF(AI93&lt;AM93*0.95,AM93*0.95-AI93,0))</f>
        <v/>
      </c>
      <c r="AO93" s="34">
        <f>MAX(F93,G93,750)*0.05*AN93</f>
        <v/>
      </c>
      <c r="AP93" s="34" t="n">
        <v>13.07</v>
      </c>
      <c r="AQ93" s="34" t="n">
        <v>13.3</v>
      </c>
      <c r="AR93" s="34">
        <f>IF(AP93&gt;AQ93*1.05,AP93-AQ93*1.05,IF(AP93&lt;AQ93*0.95,AQ93*0.95-AP93,0))</f>
        <v/>
      </c>
      <c r="AS93" s="34">
        <f>MAX(F93:G93,750)*0.05*AR93</f>
        <v/>
      </c>
      <c r="AT93" t="n">
        <v>13.3</v>
      </c>
      <c r="AU93" s="34">
        <f>IF(AP93&gt;AT93*1.05,AP93-AT93*1.05,IF(AP93&lt;AT93*0.95,AT93*0.95-AP93,0))</f>
        <v/>
      </c>
      <c r="AV93" s="34">
        <f>MAX(F93:G93,750)*0.05*AU93</f>
        <v/>
      </c>
      <c r="AW93" s="34">
        <f>AC93+AJ93+AQ93</f>
        <v/>
      </c>
      <c r="AX93" s="34">
        <f>AF93+AM93+AT93</f>
        <v/>
      </c>
      <c r="AY93" s="34">
        <f>AB93+AI93+AP93</f>
        <v/>
      </c>
      <c r="AZ93" s="34" t="n">
        <v>0</v>
      </c>
      <c r="BA93" s="34">
        <f>AD93+AK93+AR93</f>
        <v/>
      </c>
      <c r="BB93" s="34">
        <f>MAX(F93:G93,750)*0.05*BA93</f>
        <v/>
      </c>
      <c r="BC93" s="34">
        <f>AG93+AN93+AU93</f>
        <v/>
      </c>
      <c r="BD93" s="34">
        <f>MAX(F93:G93,750)*0.05*BC93</f>
        <v/>
      </c>
      <c r="BE93" s="34">
        <f>F93*AY93</f>
        <v/>
      </c>
      <c r="BF93" s="34">
        <f>K93-M93</f>
        <v/>
      </c>
      <c r="BG93" s="34">
        <f>P93-S93</f>
        <v/>
      </c>
      <c r="BH93" s="34">
        <f>W93-AA93</f>
        <v/>
      </c>
      <c r="BI93" s="34">
        <f>BF93+BG93+BL93-BN93</f>
        <v/>
      </c>
      <c r="BJ93" s="34">
        <f>ABS(BK93)</f>
        <v/>
      </c>
      <c r="BK93" s="34">
        <f>AY93-(J93-L93+N93-Q93)</f>
        <v/>
      </c>
      <c r="BL93" s="34">
        <f>IF(AND(BK93&gt;0,MIN($F93:$G93)&lt;150,$E93="Enerji Açığı"),-100*BK93*1.03,IF(AND(BK93&gt;0,MIN($F93:$G93)&lt;150,$E93="Enerji Fazlası"),-100*BK93*1.06,IF(AND(BK93&gt;0,MIN($F93:$G93)&gt;=150,$E93="Enerji Açığı"),BK93*MIN($F93:$G93)*0.97,IF(AND(BK93&gt;0,MIN($F93:$G93)&gt;=150,$E93="Enerji Fazlası"),BK93*MIN($F93:$G93)*0.94,IF(AND(BK93&lt;0,MAX($F93:$G93)=4500,$E93="Enerji Açığı"),4500*1.05*1.06*BK93,IF(AND(BK93&lt;0,MAX($F93:$G93)=4500,$E93="Enerji Fazlası"),4500*1.05*1.03*BK93,IF(AND(BK93&lt;0,$E93="Enerji Açığı"),MAX($F93,$G93,150)*BK93*1.06,IF(AND(BK93&lt;0,$E93="Enerji Fazlası"),MAX($F93,$G93,150)*BK93*1.03,IF(AND(BK93&lt;0,$E93="Dengede"),MAX($F93:$G93,150)*1.03*BK93,MIN($F93:$G93)*0.97*BK93)))))))))</f>
        <v/>
      </c>
      <c r="BM93" s="34">
        <f>BE93-BI93-BN93</f>
        <v/>
      </c>
      <c r="BN93" s="34">
        <f>BB93</f>
        <v/>
      </c>
      <c r="BO93" s="34">
        <f>BE93-BI93</f>
        <v/>
      </c>
      <c r="BP93" s="34">
        <f>IF(AY93=0,0,BO93/AY93)</f>
        <v/>
      </c>
      <c r="BQ93" s="34">
        <f>MAX((AY93+MAX((-J93+L93-N93+Q93),0)),(MAX((J93-L93+N93-Q93),0)))</f>
        <v/>
      </c>
      <c r="BR93" s="82">
        <f>IFERROR(ABS(BK93/BQ93),0)</f>
        <v/>
      </c>
      <c r="BS93" s="34">
        <f>IF(BR93&lt;=0.1,0,BK93/BR93*(BR93-0.1))</f>
        <v/>
      </c>
      <c r="BT93" s="34">
        <f>IF((BS93)&lt;0,MAX(F93:G93)*(BS93)*1.03,MIN(F93:G93)*(BS93)*0.97)</f>
        <v/>
      </c>
      <c r="BU93" s="34">
        <f>IF(BR93&gt;0.1,1,0)</f>
        <v/>
      </c>
      <c r="BV93" s="34">
        <f>BF93+BG93+BH93+BY93-CA93</f>
        <v/>
      </c>
      <c r="BW93" s="34">
        <f>ABS(BX93)</f>
        <v/>
      </c>
      <c r="BX93" s="34">
        <f>AY93-(J93-L93+N93-Q93+T93-X93)</f>
        <v/>
      </c>
      <c r="BY93" s="34">
        <f>IF(AND(BX93&gt;0,MIN($F93:$G93)&lt;150,$E93="Enerji Açığı"),-100*BX93*1.03,IF(AND(BX93&gt;0,MIN($F93:$G93)&lt;150,$E93="Enerji Fazlası"),-100*BX93*1.06,IF(AND(BX93&gt;0,MIN($F93:$G93)&gt;=150,$E93="Enerji Açığı"),BX93*MIN($F93:$G93)*0.97,IF(AND(BX93&gt;0,MIN($F93:$G93)&gt;=150,$E93="Enerji Fazlası"),BX93*MIN($F93:$G93)*0.94,IF(AND(BX93&lt;0,MAX($F93:$G93)=4500,$E93="Enerji Açığı"),4500*1.05*1.06*BX93,IF(AND(BX93&lt;0,MAX($F93:$G93)=4500,$E93="Enerji Fazlası"),4500*1.05*1.03*BX93,IF(AND(BX93&lt;0,$E93="Enerji Açığı"),MAX($F93,$G93,150)*BX93*1.06,IF(AND(BX93&lt;0,$E93="Enerji Fazlası"),MAX($F93,$G93,150)*BX93*1.03,IF(AND(BX93&lt;0,$E93="Dengede"),MAX($F93:$G93,150)*1.03*BX93,MIN($F93:$G93)*0.97*BX93)))))))))</f>
        <v/>
      </c>
      <c r="BZ93" s="34">
        <f>BE93-BV93-CA93</f>
        <v/>
      </c>
      <c r="CA93" s="34">
        <f>BD93</f>
        <v/>
      </c>
      <c r="CB93" s="33">
        <f>BE93-BV93</f>
        <v/>
      </c>
      <c r="CC93" s="34">
        <f>IF(AY93=0,0,CB93/AY93)</f>
        <v/>
      </c>
      <c r="CD93" s="34">
        <f>MAX((AY93+MAX((-J93+L93-N93+Q93-T93+X93),0)),(MAX((J93-L93+N93-Q93+T93-X93),0)))</f>
        <v/>
      </c>
      <c r="CE93" s="82">
        <f>IFERROR(ABS(BX93/CD93),0)</f>
        <v/>
      </c>
      <c r="CF93" s="34">
        <f>IF(CE93&lt;=0.1,0,BX93/CE93*(CE93-0.1))</f>
        <v/>
      </c>
      <c r="CG93" s="34">
        <f>IF((CF93)&lt;0,MAX(F93:G93)*(CF93)*1.03,MIN(F93:G93)*(CF93)*0.97)</f>
        <v/>
      </c>
      <c r="CH93" s="34">
        <f>IF(CE93&gt;0.1,1,0)</f>
        <v/>
      </c>
      <c r="CI93" s="34">
        <f>(F93*BX93)-BY93</f>
        <v/>
      </c>
      <c r="CJ93" s="34">
        <f>IF(AY93=0,0,CI93/AY93)</f>
        <v/>
      </c>
    </row>
    <row r="94">
      <c r="A94" s="29" t="n">
        <v>46207.79166666666</v>
      </c>
      <c r="B94" s="29" t="inlineStr">
        <is>
          <t>19:00</t>
        </is>
      </c>
      <c r="C94" s="35">
        <f>INT(A94)</f>
        <v/>
      </c>
      <c r="D94" s="36">
        <f>MONTH(A94)</f>
        <v/>
      </c>
      <c r="E94" s="147">
        <f>[1]FİYATLAR!G93</f>
        <v/>
      </c>
      <c r="F94" s="30" t="n">
        <v>3000</v>
      </c>
      <c r="G94" s="30" t="n">
        <v>4050</v>
      </c>
      <c r="H94" s="30" t="n">
        <v>64.37</v>
      </c>
      <c r="I94" s="30" t="n">
        <v>3897.53</v>
      </c>
      <c r="J94" s="119" t="n">
        <v>0</v>
      </c>
      <c r="K94" s="34">
        <f>F94*J94</f>
        <v/>
      </c>
      <c r="L94" s="119" t="n">
        <v>0</v>
      </c>
      <c r="M94" s="34">
        <f>L94*F94</f>
        <v/>
      </c>
      <c r="N94" s="119" t="n">
        <v>23.2</v>
      </c>
      <c r="O94" s="34">
        <f>F94</f>
        <v/>
      </c>
      <c r="P94" s="34">
        <f>N94*O94</f>
        <v/>
      </c>
      <c r="Q94" s="117" t="n">
        <v>0</v>
      </c>
      <c r="R94" s="34">
        <f>F94</f>
        <v/>
      </c>
      <c r="S94" s="34">
        <f>R94*Q94</f>
        <v/>
      </c>
      <c r="T94" s="34">
        <f>SUMIFS('[1]GİP VERİLERİ'!$C:$C,'[1]GİP VERİLERİ'!$B:$B,A94,'[1]GİP VERİLERİ'!$M:$M,"40X000000104782K",'[1]GİP VERİLERİ'!$G:$G,"SELL")</f>
        <v/>
      </c>
      <c r="U94" s="34">
        <f>IFERROR(W94/T94,0)</f>
        <v/>
      </c>
      <c r="V94" s="34">
        <f>IF(U94=0,0,U94-F94)</f>
        <v/>
      </c>
      <c r="W94" s="34">
        <f>SUMIFS('[1]GİP VERİLERİ'!$O:$O,'[1]GİP VERİLERİ'!$B:$B,A94,'[1]GİP VERİLERİ'!$M:$M,"40X000000104782K",'[1]GİP VERİLERİ'!$G:$G,"SELL")</f>
        <v/>
      </c>
      <c r="X94" s="34">
        <f>SUMIFS('[1]GİP VERİLERİ'!$C:$C,'[1]GİP VERİLERİ'!$B:$B,A94,'[1]GİP VERİLERİ'!$M:$M,"40X000000104782K",'[1]GİP VERİLERİ'!$G:$G,"BUY")</f>
        <v/>
      </c>
      <c r="Y94" s="34">
        <f>IFERROR(AA94/X94,0)</f>
        <v/>
      </c>
      <c r="Z94" s="34">
        <f>IF(Y94=0,0,F94-Y94)</f>
        <v/>
      </c>
      <c r="AA94" s="34">
        <f>SUMIFS('[1]GİP VERİLERİ'!$O:$O,'[1]GİP VERİLERİ'!$B:$B,A94,'[1]GİP VERİLERİ'!$M:$M,"40X000000104782K",'[1]GİP VERİLERİ'!$G:$G,"BUY")</f>
        <v/>
      </c>
      <c r="AB94" s="34" t="n">
        <v>0</v>
      </c>
      <c r="AC94" s="34" t="n">
        <v>0</v>
      </c>
      <c r="AD94" s="34">
        <f>IF(AB94&gt;AC94*1.05,AB94-AC94*1.05,IF(AB94&lt;AC94*0.95,AC94*0.95-AB94,0))</f>
        <v/>
      </c>
      <c r="AE94" s="34">
        <f>MAX(F94,G94,750)*0.05*AD94</f>
        <v/>
      </c>
      <c r="AF94" s="34" t="n">
        <v>0</v>
      </c>
      <c r="AG94" s="34">
        <f>IF(AB94&gt;AF94*1.05,AB94-AF94*1.05,IF(AB94&lt;AF94*0.95,AF94*0.95-AB94,0))</f>
        <v/>
      </c>
      <c r="AH94" s="34">
        <f>MAX(I94,J94,750)*0.05*AG94</f>
        <v/>
      </c>
      <c r="AI94" t="n">
        <v>8.27</v>
      </c>
      <c r="AJ94" t="n">
        <v>10</v>
      </c>
      <c r="AK94" s="34">
        <f>IF(AI94&gt;AJ94*1.05,AI94-AJ94*1.05,IF(AI94&lt;AJ94*0.95,AJ94*0.95-AI94,0))</f>
        <v/>
      </c>
      <c r="AL94" s="34">
        <f>MAX(F94,G94,750)*0.05*AK94</f>
        <v/>
      </c>
      <c r="AM94" s="39" t="n">
        <v>10</v>
      </c>
      <c r="AN94" s="34">
        <f>IF(AI94&gt;AM94*1.05,AI94-AM94*1.05,IF(AI94&lt;AM94*0.95,AM94*0.95-AI94,0))</f>
        <v/>
      </c>
      <c r="AO94" s="34">
        <f>MAX(F94,G94,750)*0.05*AN94</f>
        <v/>
      </c>
      <c r="AP94" s="34" t="n">
        <v>13.06</v>
      </c>
      <c r="AQ94" s="34" t="n">
        <v>13.2</v>
      </c>
      <c r="AR94" s="34">
        <f>IF(AP94&gt;AQ94*1.05,AP94-AQ94*1.05,IF(AP94&lt;AQ94*0.95,AQ94*0.95-AP94,0))</f>
        <v/>
      </c>
      <c r="AS94" s="34">
        <f>MAX(F94:G94,750)*0.05*AR94</f>
        <v/>
      </c>
      <c r="AT94" t="n">
        <v>13.2</v>
      </c>
      <c r="AU94" s="34">
        <f>IF(AP94&gt;AT94*1.05,AP94-AT94*1.05,IF(AP94&lt;AT94*0.95,AT94*0.95-AP94,0))</f>
        <v/>
      </c>
      <c r="AV94" s="34">
        <f>MAX(F94:G94,750)*0.05*AU94</f>
        <v/>
      </c>
      <c r="AW94" s="34">
        <f>AC94+AJ94+AQ94</f>
        <v/>
      </c>
      <c r="AX94" s="34">
        <f>AF94+AM94+AT94</f>
        <v/>
      </c>
      <c r="AY94" s="34">
        <f>AB94+AI94+AP94</f>
        <v/>
      </c>
      <c r="AZ94" s="34" t="n">
        <v>0</v>
      </c>
      <c r="BA94" s="34">
        <f>AD94+AK94+AR94</f>
        <v/>
      </c>
      <c r="BB94" s="34">
        <f>MAX(F94:G94,750)*0.05*BA94</f>
        <v/>
      </c>
      <c r="BC94" s="34">
        <f>AG94+AN94+AU94</f>
        <v/>
      </c>
      <c r="BD94" s="34">
        <f>MAX(F94:G94,750)*0.05*BC94</f>
        <v/>
      </c>
      <c r="BE94" s="34">
        <f>F94*AY94</f>
        <v/>
      </c>
      <c r="BF94" s="34">
        <f>K94-M94</f>
        <v/>
      </c>
      <c r="BG94" s="34">
        <f>P94-S94</f>
        <v/>
      </c>
      <c r="BH94" s="34">
        <f>W94-AA94</f>
        <v/>
      </c>
      <c r="BI94" s="34">
        <f>BF94+BG94+BL94-BN94</f>
        <v/>
      </c>
      <c r="BJ94" s="34">
        <f>ABS(BK94)</f>
        <v/>
      </c>
      <c r="BK94" s="34">
        <f>AY94-(J94-L94+N94-Q94)</f>
        <v/>
      </c>
      <c r="BL94" s="34">
        <f>IF(AND(BK94&gt;0,MIN($F94:$G94)&lt;150,$E94="Enerji Açığı"),-100*BK94*1.03,IF(AND(BK94&gt;0,MIN($F94:$G94)&lt;150,$E94="Enerji Fazlası"),-100*BK94*1.06,IF(AND(BK94&gt;0,MIN($F94:$G94)&gt;=150,$E94="Enerji Açığı"),BK94*MIN($F94:$G94)*0.97,IF(AND(BK94&gt;0,MIN($F94:$G94)&gt;=150,$E94="Enerji Fazlası"),BK94*MIN($F94:$G94)*0.94,IF(AND(BK94&lt;0,MAX($F94:$G94)=4500,$E94="Enerji Açığı"),4500*1.05*1.06*BK94,IF(AND(BK94&lt;0,MAX($F94:$G94)=4500,$E94="Enerji Fazlası"),4500*1.05*1.03*BK94,IF(AND(BK94&lt;0,$E94="Enerji Açığı"),MAX($F94,$G94,150)*BK94*1.06,IF(AND(BK94&lt;0,$E94="Enerji Fazlası"),MAX($F94,$G94,150)*BK94*1.03,IF(AND(BK94&lt;0,$E94="Dengede"),MAX($F94:$G94,150)*1.03*BK94,MIN($F94:$G94)*0.97*BK94)))))))))</f>
        <v/>
      </c>
      <c r="BM94" s="34">
        <f>BE94-BI94-BN94</f>
        <v/>
      </c>
      <c r="BN94" s="34">
        <f>BB94</f>
        <v/>
      </c>
      <c r="BO94" s="34">
        <f>BE94-BI94</f>
        <v/>
      </c>
      <c r="BP94" s="34">
        <f>IF(AY94=0,0,BO94/AY94)</f>
        <v/>
      </c>
      <c r="BQ94" s="34">
        <f>MAX((AY94+MAX((-J94+L94-N94+Q94),0)),(MAX((J94-L94+N94-Q94),0)))</f>
        <v/>
      </c>
      <c r="BR94" s="82">
        <f>IFERROR(ABS(BK94/BQ94),0)</f>
        <v/>
      </c>
      <c r="BS94" s="34">
        <f>IF(BR94&lt;=0.1,0,BK94/BR94*(BR94-0.1))</f>
        <v/>
      </c>
      <c r="BT94" s="34">
        <f>IF((BS94)&lt;0,MAX(F94:G94)*(BS94)*1.03,MIN(F94:G94)*(BS94)*0.97)</f>
        <v/>
      </c>
      <c r="BU94" s="34">
        <f>IF(BR94&gt;0.1,1,0)</f>
        <v/>
      </c>
      <c r="BV94" s="34">
        <f>BF94+BG94+BH94+BY94-CA94</f>
        <v/>
      </c>
      <c r="BW94" s="34">
        <f>ABS(BX94)</f>
        <v/>
      </c>
      <c r="BX94" s="34">
        <f>AY94-(J94-L94+N94-Q94+T94-X94)</f>
        <v/>
      </c>
      <c r="BY94" s="34">
        <f>IF(AND(BX94&gt;0,MIN($F94:$G94)&lt;150,$E94="Enerji Açığı"),-100*BX94*1.03,IF(AND(BX94&gt;0,MIN($F94:$G94)&lt;150,$E94="Enerji Fazlası"),-100*BX94*1.06,IF(AND(BX94&gt;0,MIN($F94:$G94)&gt;=150,$E94="Enerji Açığı"),BX94*MIN($F94:$G94)*0.97,IF(AND(BX94&gt;0,MIN($F94:$G94)&gt;=150,$E94="Enerji Fazlası"),BX94*MIN($F94:$G94)*0.94,IF(AND(BX94&lt;0,MAX($F94:$G94)=4500,$E94="Enerji Açığı"),4500*1.05*1.06*BX94,IF(AND(BX94&lt;0,MAX($F94:$G94)=4500,$E94="Enerji Fazlası"),4500*1.05*1.03*BX94,IF(AND(BX94&lt;0,$E94="Enerji Açığı"),MAX($F94,$G94,150)*BX94*1.06,IF(AND(BX94&lt;0,$E94="Enerji Fazlası"),MAX($F94,$G94,150)*BX94*1.03,IF(AND(BX94&lt;0,$E94="Dengede"),MAX($F94:$G94,150)*1.03*BX94,MIN($F94:$G94)*0.97*BX94)))))))))</f>
        <v/>
      </c>
      <c r="BZ94" s="34">
        <f>BE94-BV94-CA94</f>
        <v/>
      </c>
      <c r="CA94" s="34">
        <f>BD94</f>
        <v/>
      </c>
      <c r="CB94" s="33">
        <f>BE94-BV94</f>
        <v/>
      </c>
      <c r="CC94" s="34">
        <f>IF(AY94=0,0,CB94/AY94)</f>
        <v/>
      </c>
      <c r="CD94" s="34">
        <f>MAX((AY94+MAX((-J94+L94-N94+Q94-T94+X94),0)),(MAX((J94-L94+N94-Q94+T94-X94),0)))</f>
        <v/>
      </c>
      <c r="CE94" s="82">
        <f>IFERROR(ABS(BX94/CD94),0)</f>
        <v/>
      </c>
      <c r="CF94" s="34">
        <f>IF(CE94&lt;=0.1,0,BX94/CE94*(CE94-0.1))</f>
        <v/>
      </c>
      <c r="CG94" s="34">
        <f>IF((CF94)&lt;0,MAX(F94:G94)*(CF94)*1.03,MIN(F94:G94)*(CF94)*0.97)</f>
        <v/>
      </c>
      <c r="CH94" s="34">
        <f>IF(CE94&gt;0.1,1,0)</f>
        <v/>
      </c>
      <c r="CI94" s="34">
        <f>(F94*BX94)-BY94</f>
        <v/>
      </c>
      <c r="CJ94" s="34">
        <f>IF(AY94=0,0,CI94/AY94)</f>
        <v/>
      </c>
    </row>
    <row r="95">
      <c r="A95" s="29" t="n">
        <v>46207.83333333334</v>
      </c>
      <c r="B95" s="29" t="inlineStr">
        <is>
          <t>20:00</t>
        </is>
      </c>
      <c r="C95" s="35">
        <f>INT(A95)</f>
        <v/>
      </c>
      <c r="D95" s="36">
        <f>MONTH(A95)</f>
        <v/>
      </c>
      <c r="E95" s="147">
        <f>[1]FİYATLAR!G94</f>
        <v/>
      </c>
      <c r="F95" s="30" t="n">
        <v>4045.41</v>
      </c>
      <c r="G95" s="30" t="n">
        <v>4377</v>
      </c>
      <c r="H95" s="30" t="n">
        <v>86.8</v>
      </c>
      <c r="I95" s="30" t="n">
        <v>4432.59</v>
      </c>
      <c r="J95" s="119" t="n">
        <v>0</v>
      </c>
      <c r="K95" s="34">
        <f>F95*J95</f>
        <v/>
      </c>
      <c r="L95" s="119" t="n">
        <v>0</v>
      </c>
      <c r="M95" s="34">
        <f>L95*F95</f>
        <v/>
      </c>
      <c r="N95" s="119" t="n">
        <v>23</v>
      </c>
      <c r="O95" s="34">
        <f>F95</f>
        <v/>
      </c>
      <c r="P95" s="34">
        <f>N95*O95</f>
        <v/>
      </c>
      <c r="Q95" s="117" t="n">
        <v>0</v>
      </c>
      <c r="R95" s="34">
        <f>F95</f>
        <v/>
      </c>
      <c r="S95" s="34">
        <f>R95*Q95</f>
        <v/>
      </c>
      <c r="T95" s="34">
        <f>SUMIFS('[1]GİP VERİLERİ'!$C:$C,'[1]GİP VERİLERİ'!$B:$B,A95,'[1]GİP VERİLERİ'!$M:$M,"40X000000104782K",'[1]GİP VERİLERİ'!$G:$G,"SELL")</f>
        <v/>
      </c>
      <c r="U95" s="34">
        <f>IFERROR(W95/T95,0)</f>
        <v/>
      </c>
      <c r="V95" s="34">
        <f>IF(U95=0,0,U95-F95)</f>
        <v/>
      </c>
      <c r="W95" s="34">
        <f>SUMIFS('[1]GİP VERİLERİ'!$O:$O,'[1]GİP VERİLERİ'!$B:$B,A95,'[1]GİP VERİLERİ'!$M:$M,"40X000000104782K",'[1]GİP VERİLERİ'!$G:$G,"SELL")</f>
        <v/>
      </c>
      <c r="X95" s="34">
        <f>SUMIFS('[1]GİP VERİLERİ'!$C:$C,'[1]GİP VERİLERİ'!$B:$B,A95,'[1]GİP VERİLERİ'!$M:$M,"40X000000104782K",'[1]GİP VERİLERİ'!$G:$G,"BUY")</f>
        <v/>
      </c>
      <c r="Y95" s="34">
        <f>IFERROR(AA95/X95,0)</f>
        <v/>
      </c>
      <c r="Z95" s="34">
        <f>IF(Y95=0,0,F95-Y95)</f>
        <v/>
      </c>
      <c r="AA95" s="34">
        <f>SUMIFS('[1]GİP VERİLERİ'!$O:$O,'[1]GİP VERİLERİ'!$B:$B,A95,'[1]GİP VERİLERİ'!$M:$M,"40X000000104782K",'[1]GİP VERİLERİ'!$G:$G,"BUY")</f>
        <v/>
      </c>
      <c r="AB95" s="34" t="n">
        <v>0</v>
      </c>
      <c r="AC95" s="34" t="n">
        <v>0</v>
      </c>
      <c r="AD95" s="34">
        <f>IF(AB95&gt;AC95*1.05,AB95-AC95*1.05,IF(AB95&lt;AC95*0.95,AC95*0.95-AB95,0))</f>
        <v/>
      </c>
      <c r="AE95" s="34">
        <f>MAX(F95,G95,750)*0.05*AD95</f>
        <v/>
      </c>
      <c r="AF95" s="34" t="n">
        <v>0</v>
      </c>
      <c r="AG95" s="34">
        <f>IF(AB95&gt;AF95*1.05,AB95-AF95*1.05,IF(AB95&lt;AF95*0.95,AF95*0.95-AB95,0))</f>
        <v/>
      </c>
      <c r="AH95" s="34">
        <f>MAX(I95,J95,750)*0.05*AG95</f>
        <v/>
      </c>
      <c r="AI95" t="n">
        <v>10</v>
      </c>
      <c r="AJ95" t="n">
        <v>10</v>
      </c>
      <c r="AK95" s="34">
        <f>IF(AI95&gt;AJ95*1.05,AI95-AJ95*1.05,IF(AI95&lt;AJ95*0.95,AJ95*0.95-AI95,0))</f>
        <v/>
      </c>
      <c r="AL95" s="34">
        <f>MAX(F95,G95,750)*0.05*AK95</f>
        <v/>
      </c>
      <c r="AM95" s="39" t="n">
        <v>10</v>
      </c>
      <c r="AN95" s="34">
        <f>IF(AI95&gt;AM95*1.05,AI95-AM95*1.05,IF(AI95&lt;AM95*0.95,AM95*0.95-AI95,0))</f>
        <v/>
      </c>
      <c r="AO95" s="34">
        <f>MAX(F95,G95,750)*0.05*AN95</f>
        <v/>
      </c>
      <c r="AP95" s="34" t="n">
        <v>13.08</v>
      </c>
      <c r="AQ95" s="34" t="n">
        <v>13</v>
      </c>
      <c r="AR95" s="34">
        <f>IF(AP95&gt;AQ95*1.05,AP95-AQ95*1.05,IF(AP95&lt;AQ95*0.95,AQ95*0.95-AP95,0))</f>
        <v/>
      </c>
      <c r="AS95" s="34">
        <f>MAX(F95:G95,750)*0.05*AR95</f>
        <v/>
      </c>
      <c r="AT95" t="n">
        <v>13</v>
      </c>
      <c r="AU95" s="34">
        <f>IF(AP95&gt;AT95*1.05,AP95-AT95*1.05,IF(AP95&lt;AT95*0.95,AT95*0.95-AP95,0))</f>
        <v/>
      </c>
      <c r="AV95" s="34">
        <f>MAX(F95:G95,750)*0.05*AU95</f>
        <v/>
      </c>
      <c r="AW95" s="34">
        <f>AC95+AJ95+AQ95</f>
        <v/>
      </c>
      <c r="AX95" s="34">
        <f>AF95+AM95+AT95</f>
        <v/>
      </c>
      <c r="AY95" s="34">
        <f>AB95+AI95+AP95</f>
        <v/>
      </c>
      <c r="AZ95" s="34" t="n">
        <v>0</v>
      </c>
      <c r="BA95" s="34">
        <f>AD95+AK95+AR95</f>
        <v/>
      </c>
      <c r="BB95" s="34">
        <f>MAX(F95:G95,750)*0.05*BA95</f>
        <v/>
      </c>
      <c r="BC95" s="34">
        <f>AG95+AN95+AU95</f>
        <v/>
      </c>
      <c r="BD95" s="34">
        <f>MAX(F95:G95,750)*0.05*BC95</f>
        <v/>
      </c>
      <c r="BE95" s="34">
        <f>F95*AY95</f>
        <v/>
      </c>
      <c r="BF95" s="34">
        <f>K95-M95</f>
        <v/>
      </c>
      <c r="BG95" s="34">
        <f>P95-S95</f>
        <v/>
      </c>
      <c r="BH95" s="34">
        <f>W95-AA95</f>
        <v/>
      </c>
      <c r="BI95" s="34">
        <f>BF95+BG95+BL95-BN95</f>
        <v/>
      </c>
      <c r="BJ95" s="34">
        <f>ABS(BK95)</f>
        <v/>
      </c>
      <c r="BK95" s="34">
        <f>AY95-(J95-L95+N95-Q95)</f>
        <v/>
      </c>
      <c r="BL95" s="34">
        <f>IF(AND(BK95&gt;0,MIN($F95:$G95)&lt;150,$E95="Enerji Açığı"),-100*BK95*1.03,IF(AND(BK95&gt;0,MIN($F95:$G95)&lt;150,$E95="Enerji Fazlası"),-100*BK95*1.06,IF(AND(BK95&gt;0,MIN($F95:$G95)&gt;=150,$E95="Enerji Açığı"),BK95*MIN($F95:$G95)*0.97,IF(AND(BK95&gt;0,MIN($F95:$G95)&gt;=150,$E95="Enerji Fazlası"),BK95*MIN($F95:$G95)*0.94,IF(AND(BK95&lt;0,MAX($F95:$G95)=4500,$E95="Enerji Açığı"),4500*1.05*1.06*BK95,IF(AND(BK95&lt;0,MAX($F95:$G95)=4500,$E95="Enerji Fazlası"),4500*1.05*1.03*BK95,IF(AND(BK95&lt;0,$E95="Enerji Açığı"),MAX($F95,$G95,150)*BK95*1.06,IF(AND(BK95&lt;0,$E95="Enerji Fazlası"),MAX($F95,$G95,150)*BK95*1.03,IF(AND(BK95&lt;0,$E95="Dengede"),MAX($F95:$G95,150)*1.03*BK95,MIN($F95:$G95)*0.97*BK95)))))))))</f>
        <v/>
      </c>
      <c r="BM95" s="34">
        <f>BE95-BI95-BN95</f>
        <v/>
      </c>
      <c r="BN95" s="34">
        <f>BB95</f>
        <v/>
      </c>
      <c r="BO95" s="34">
        <f>BE95-BI95</f>
        <v/>
      </c>
      <c r="BP95" s="34">
        <f>IF(AY95=0,0,BO95/AY95)</f>
        <v/>
      </c>
      <c r="BQ95" s="34">
        <f>MAX((AY95+MAX((-J95+L95-N95+Q95),0)),(MAX((J95-L95+N95-Q95),0)))</f>
        <v/>
      </c>
      <c r="BR95" s="82">
        <f>IFERROR(ABS(BK95/BQ95),0)</f>
        <v/>
      </c>
      <c r="BS95" s="34">
        <f>IF(BR95&lt;=0.1,0,BK95/BR95*(BR95-0.1))</f>
        <v/>
      </c>
      <c r="BT95" s="34">
        <f>IF((BS95)&lt;0,MAX(F95:G95)*(BS95)*1.03,MIN(F95:G95)*(BS95)*0.97)</f>
        <v/>
      </c>
      <c r="BU95" s="34">
        <f>IF(BR95&gt;0.1,1,0)</f>
        <v/>
      </c>
      <c r="BV95" s="34">
        <f>BF95+BG95+BH95+BY95-CA95</f>
        <v/>
      </c>
      <c r="BW95" s="34">
        <f>ABS(BX95)</f>
        <v/>
      </c>
      <c r="BX95" s="34">
        <f>AY95-(J95-L95+N95-Q95+T95-X95)</f>
        <v/>
      </c>
      <c r="BY95" s="34">
        <f>IF(AND(BX95&gt;0,MIN($F95:$G95)&lt;150,$E95="Enerji Açığı"),-100*BX95*1.03,IF(AND(BX95&gt;0,MIN($F95:$G95)&lt;150,$E95="Enerji Fazlası"),-100*BX95*1.06,IF(AND(BX95&gt;0,MIN($F95:$G95)&gt;=150,$E95="Enerji Açığı"),BX95*MIN($F95:$G95)*0.97,IF(AND(BX95&gt;0,MIN($F95:$G95)&gt;=150,$E95="Enerji Fazlası"),BX95*MIN($F95:$G95)*0.94,IF(AND(BX95&lt;0,MAX($F95:$G95)=4500,$E95="Enerji Açığı"),4500*1.05*1.06*BX95,IF(AND(BX95&lt;0,MAX($F95:$G95)=4500,$E95="Enerji Fazlası"),4500*1.05*1.03*BX95,IF(AND(BX95&lt;0,$E95="Enerji Açığı"),MAX($F95,$G95,150)*BX95*1.06,IF(AND(BX95&lt;0,$E95="Enerji Fazlası"),MAX($F95,$G95,150)*BX95*1.03,IF(AND(BX95&lt;0,$E95="Dengede"),MAX($F95:$G95,150)*1.03*BX95,MIN($F95:$G95)*0.97*BX95)))))))))</f>
        <v/>
      </c>
      <c r="BZ95" s="34">
        <f>BE95-BV95-CA95</f>
        <v/>
      </c>
      <c r="CA95" s="34">
        <f>BD95</f>
        <v/>
      </c>
      <c r="CB95" s="33">
        <f>BE95-BV95</f>
        <v/>
      </c>
      <c r="CC95" s="34">
        <f>IF(AY95=0,0,CB95/AY95)</f>
        <v/>
      </c>
      <c r="CD95" s="34">
        <f>MAX((AY95+MAX((-J95+L95-N95+Q95-T95+X95),0)),(MAX((J95-L95+N95-Q95+T95-X95),0)))</f>
        <v/>
      </c>
      <c r="CE95" s="82">
        <f>IFERROR(ABS(BX95/CD95),0)</f>
        <v/>
      </c>
      <c r="CF95" s="34">
        <f>IF(CE95&lt;=0.1,0,BX95/CE95*(CE95-0.1))</f>
        <v/>
      </c>
      <c r="CG95" s="34">
        <f>IF((CF95)&lt;0,MAX(F95:G95)*(CF95)*1.03,MIN(F95:G95)*(CF95)*0.97)</f>
        <v/>
      </c>
      <c r="CH95" s="34">
        <f>IF(CE95&gt;0.1,1,0)</f>
        <v/>
      </c>
      <c r="CI95" s="34">
        <f>(F95*BX95)-BY95</f>
        <v/>
      </c>
      <c r="CJ95" s="34">
        <f>IF(AY95=0,0,CI95/AY95)</f>
        <v/>
      </c>
    </row>
    <row r="96">
      <c r="A96" s="29" t="n">
        <v>46207.875</v>
      </c>
      <c r="B96" s="29" t="inlineStr">
        <is>
          <t>21:00</t>
        </is>
      </c>
      <c r="C96" s="35">
        <f>INT(A96)</f>
        <v/>
      </c>
      <c r="D96" s="36">
        <f>MONTH(A96)</f>
        <v/>
      </c>
      <c r="E96" s="147">
        <f>[1]FİYATLAR!G95</f>
        <v/>
      </c>
      <c r="F96" s="30" t="n">
        <v>4030.12</v>
      </c>
      <c r="G96" s="30" t="n">
        <v>4377</v>
      </c>
      <c r="H96" s="30" t="n">
        <v>86.47</v>
      </c>
      <c r="I96" s="30" t="n">
        <v>4451.17</v>
      </c>
      <c r="J96" s="119" t="n">
        <v>0</v>
      </c>
      <c r="K96" s="34">
        <f>F96*J96</f>
        <v/>
      </c>
      <c r="L96" s="119" t="n">
        <v>0</v>
      </c>
      <c r="M96" s="34">
        <f>L96*F96</f>
        <v/>
      </c>
      <c r="N96" s="119" t="n">
        <v>21</v>
      </c>
      <c r="O96" s="34">
        <f>F96</f>
        <v/>
      </c>
      <c r="P96" s="34">
        <f>N96*O96</f>
        <v/>
      </c>
      <c r="Q96" s="117" t="n">
        <v>0</v>
      </c>
      <c r="R96" s="34">
        <f>F96</f>
        <v/>
      </c>
      <c r="S96" s="34">
        <f>R96*Q96</f>
        <v/>
      </c>
      <c r="T96" s="34">
        <f>SUMIFS('[1]GİP VERİLERİ'!$C:$C,'[1]GİP VERİLERİ'!$B:$B,A96,'[1]GİP VERİLERİ'!$M:$M,"40X000000104782K",'[1]GİP VERİLERİ'!$G:$G,"SELL")</f>
        <v/>
      </c>
      <c r="U96" s="34">
        <f>IFERROR(W96/T96,0)</f>
        <v/>
      </c>
      <c r="V96" s="34">
        <f>IF(U96=0,0,U96-F96)</f>
        <v/>
      </c>
      <c r="W96" s="34">
        <f>SUMIFS('[1]GİP VERİLERİ'!$O:$O,'[1]GİP VERİLERİ'!$B:$B,A96,'[1]GİP VERİLERİ'!$M:$M,"40X000000104782K",'[1]GİP VERİLERİ'!$G:$G,"SELL")</f>
        <v/>
      </c>
      <c r="X96" s="34">
        <f>SUMIFS('[1]GİP VERİLERİ'!$C:$C,'[1]GİP VERİLERİ'!$B:$B,A96,'[1]GİP VERİLERİ'!$M:$M,"40X000000104782K",'[1]GİP VERİLERİ'!$G:$G,"BUY")</f>
        <v/>
      </c>
      <c r="Y96" s="34">
        <f>IFERROR(AA96/X96,0)</f>
        <v/>
      </c>
      <c r="Z96" s="34">
        <f>IF(Y96=0,0,F96-Y96)</f>
        <v/>
      </c>
      <c r="AA96" s="34">
        <f>SUMIFS('[1]GİP VERİLERİ'!$O:$O,'[1]GİP VERİLERİ'!$B:$B,A96,'[1]GİP VERİLERİ'!$M:$M,"40X000000104782K",'[1]GİP VERİLERİ'!$G:$G,"BUY")</f>
        <v/>
      </c>
      <c r="AB96" s="34" t="n">
        <v>0</v>
      </c>
      <c r="AC96" s="34" t="n">
        <v>0</v>
      </c>
      <c r="AD96" s="34">
        <f>IF(AB96&gt;AC96*1.05,AB96-AC96*1.05,IF(AB96&lt;AC96*0.95,AC96*0.95-AB96,0))</f>
        <v/>
      </c>
      <c r="AE96" s="34">
        <f>MAX(F96,G96,750)*0.05*AD96</f>
        <v/>
      </c>
      <c r="AF96" s="34" t="n">
        <v>0</v>
      </c>
      <c r="AG96" s="34">
        <f>IF(AB96&gt;AF96*1.05,AB96-AF96*1.05,IF(AB96&lt;AF96*0.95,AF96*0.95-AB96,0))</f>
        <v/>
      </c>
      <c r="AH96" s="34">
        <f>MAX(I96,J96,750)*0.05*AG96</f>
        <v/>
      </c>
      <c r="AI96" t="n">
        <v>10.12</v>
      </c>
      <c r="AJ96" t="n">
        <v>10</v>
      </c>
      <c r="AK96" s="34">
        <f>IF(AI96&gt;AJ96*1.05,AI96-AJ96*1.05,IF(AI96&lt;AJ96*0.95,AJ96*0.95-AI96,0))</f>
        <v/>
      </c>
      <c r="AL96" s="34">
        <f>MAX(F96,G96,750)*0.05*AK96</f>
        <v/>
      </c>
      <c r="AM96" s="39" t="n">
        <v>10</v>
      </c>
      <c r="AN96" s="34">
        <f>IF(AI96&gt;AM96*1.05,AI96-AM96*1.05,IF(AI96&lt;AM96*0.95,AM96*0.95-AI96,0))</f>
        <v/>
      </c>
      <c r="AO96" s="34">
        <f>MAX(F96,G96,750)*0.05*AN96</f>
        <v/>
      </c>
      <c r="AP96" s="34" t="n">
        <v>11.09</v>
      </c>
      <c r="AQ96" s="34" t="n">
        <v>11</v>
      </c>
      <c r="AR96" s="34">
        <f>IF(AP96&gt;AQ96*1.05,AP96-AQ96*1.05,IF(AP96&lt;AQ96*0.95,AQ96*0.95-AP96,0))</f>
        <v/>
      </c>
      <c r="AS96" s="34">
        <f>MAX(F96:G96,750)*0.05*AR96</f>
        <v/>
      </c>
      <c r="AT96" t="n">
        <v>11</v>
      </c>
      <c r="AU96" s="34">
        <f>IF(AP96&gt;AT96*1.05,AP96-AT96*1.05,IF(AP96&lt;AT96*0.95,AT96*0.95-AP96,0))</f>
        <v/>
      </c>
      <c r="AV96" s="34">
        <f>MAX(F96:G96,750)*0.05*AU96</f>
        <v/>
      </c>
      <c r="AW96" s="34">
        <f>AC96+AJ96+AQ96</f>
        <v/>
      </c>
      <c r="AX96" s="34">
        <f>AF96+AM96+AT96</f>
        <v/>
      </c>
      <c r="AY96" s="34">
        <f>AB96+AI96+AP96</f>
        <v/>
      </c>
      <c r="AZ96" s="34" t="n">
        <v>0</v>
      </c>
      <c r="BA96" s="34">
        <f>AD96+AK96+AR96</f>
        <v/>
      </c>
      <c r="BB96" s="34">
        <f>MAX(F96:G96,750)*0.05*BA96</f>
        <v/>
      </c>
      <c r="BC96" s="34">
        <f>AG96+AN96+AU96</f>
        <v/>
      </c>
      <c r="BD96" s="34">
        <f>MAX(F96:G96,750)*0.05*BC96</f>
        <v/>
      </c>
      <c r="BE96" s="34">
        <f>F96*AY96</f>
        <v/>
      </c>
      <c r="BF96" s="34">
        <f>K96-M96</f>
        <v/>
      </c>
      <c r="BG96" s="34">
        <f>P96-S96</f>
        <v/>
      </c>
      <c r="BH96" s="34">
        <f>W96-AA96</f>
        <v/>
      </c>
      <c r="BI96" s="34">
        <f>BF96+BG96+BL96-BN96</f>
        <v/>
      </c>
      <c r="BJ96" s="34">
        <f>ABS(BK96)</f>
        <v/>
      </c>
      <c r="BK96" s="34">
        <f>AY96-(J96-L96+N96-Q96)</f>
        <v/>
      </c>
      <c r="BL96" s="34">
        <f>IF(AND(BK96&gt;0,MIN($F96:$G96)&lt;150,$E96="Enerji Açığı"),-100*BK96*1.03,IF(AND(BK96&gt;0,MIN($F96:$G96)&lt;150,$E96="Enerji Fazlası"),-100*BK96*1.06,IF(AND(BK96&gt;0,MIN($F96:$G96)&gt;=150,$E96="Enerji Açığı"),BK96*MIN($F96:$G96)*0.97,IF(AND(BK96&gt;0,MIN($F96:$G96)&gt;=150,$E96="Enerji Fazlası"),BK96*MIN($F96:$G96)*0.94,IF(AND(BK96&lt;0,MAX($F96:$G96)=4500,$E96="Enerji Açığı"),4500*1.05*1.06*BK96,IF(AND(BK96&lt;0,MAX($F96:$G96)=4500,$E96="Enerji Fazlası"),4500*1.05*1.03*BK96,IF(AND(BK96&lt;0,$E96="Enerji Açığı"),MAX($F96,$G96,150)*BK96*1.06,IF(AND(BK96&lt;0,$E96="Enerji Fazlası"),MAX($F96,$G96,150)*BK96*1.03,IF(AND(BK96&lt;0,$E96="Dengede"),MAX($F96:$G96,150)*1.03*BK96,MIN($F96:$G96)*0.97*BK96)))))))))</f>
        <v/>
      </c>
      <c r="BM96" s="34">
        <f>BE96-BI96-BN96</f>
        <v/>
      </c>
      <c r="BN96" s="34">
        <f>BB96</f>
        <v/>
      </c>
      <c r="BO96" s="34">
        <f>BE96-BI96</f>
        <v/>
      </c>
      <c r="BP96" s="34">
        <f>IF(AY96=0,0,BO96/AY96)</f>
        <v/>
      </c>
      <c r="BQ96" s="34">
        <f>MAX((AY96+MAX((-J96+L96-N96+Q96),0)),(MAX((J96-L96+N96-Q96),0)))</f>
        <v/>
      </c>
      <c r="BR96" s="82">
        <f>IFERROR(ABS(BK96/BQ96),0)</f>
        <v/>
      </c>
      <c r="BS96" s="34">
        <f>IF(BR96&lt;=0.1,0,BK96/BR96*(BR96-0.1))</f>
        <v/>
      </c>
      <c r="BT96" s="34">
        <f>IF((BS96)&lt;0,MAX(F96:G96)*(BS96)*1.03,MIN(F96:G96)*(BS96)*0.97)</f>
        <v/>
      </c>
      <c r="BU96" s="34">
        <f>IF(BR96&gt;0.1,1,0)</f>
        <v/>
      </c>
      <c r="BV96" s="34">
        <f>BF96+BG96+BH96+BY96-CA96</f>
        <v/>
      </c>
      <c r="BW96" s="34">
        <f>ABS(BX96)</f>
        <v/>
      </c>
      <c r="BX96" s="34">
        <f>AY96-(J96-L96+N96-Q96+T96-X96)</f>
        <v/>
      </c>
      <c r="BY96" s="34">
        <f>IF(AND(BX96&gt;0,MIN($F96:$G96)&lt;150,$E96="Enerji Açığı"),-100*BX96*1.03,IF(AND(BX96&gt;0,MIN($F96:$G96)&lt;150,$E96="Enerji Fazlası"),-100*BX96*1.06,IF(AND(BX96&gt;0,MIN($F96:$G96)&gt;=150,$E96="Enerji Açığı"),BX96*MIN($F96:$G96)*0.97,IF(AND(BX96&gt;0,MIN($F96:$G96)&gt;=150,$E96="Enerji Fazlası"),BX96*MIN($F96:$G96)*0.94,IF(AND(BX96&lt;0,MAX($F96:$G96)=4500,$E96="Enerji Açığı"),4500*1.05*1.06*BX96,IF(AND(BX96&lt;0,MAX($F96:$G96)=4500,$E96="Enerji Fazlası"),4500*1.05*1.03*BX96,IF(AND(BX96&lt;0,$E96="Enerji Açığı"),MAX($F96,$G96,150)*BX96*1.06,IF(AND(BX96&lt;0,$E96="Enerji Fazlası"),MAX($F96,$G96,150)*BX96*1.03,IF(AND(BX96&lt;0,$E96="Dengede"),MAX($F96:$G96,150)*1.03*BX96,MIN($F96:$G96)*0.97*BX96)))))))))</f>
        <v/>
      </c>
      <c r="BZ96" s="34">
        <f>BE96-BV96-CA96</f>
        <v/>
      </c>
      <c r="CA96" s="34">
        <f>BD96</f>
        <v/>
      </c>
      <c r="CB96" s="33">
        <f>BE96-BV96</f>
        <v/>
      </c>
      <c r="CC96" s="34">
        <f>IF(AY96=0,0,CB96/AY96)</f>
        <v/>
      </c>
      <c r="CD96" s="34">
        <f>MAX((AY96+MAX((-J96+L96-N96+Q96-T96+X96),0)),(MAX((J96-L96+N96-Q96+T96-X96),0)))</f>
        <v/>
      </c>
      <c r="CE96" s="82">
        <f>IFERROR(ABS(BX96/CD96),0)</f>
        <v/>
      </c>
      <c r="CF96" s="34">
        <f>IF(CE96&lt;=0.1,0,BX96/CE96*(CE96-0.1))</f>
        <v/>
      </c>
      <c r="CG96" s="34">
        <f>IF((CF96)&lt;0,MAX(F96:G96)*(CF96)*1.03,MIN(F96:G96)*(CF96)*0.97)</f>
        <v/>
      </c>
      <c r="CH96" s="34">
        <f>IF(CE96&gt;0.1,1,0)</f>
        <v/>
      </c>
      <c r="CI96" s="34">
        <f>(F96*BX96)-BY96</f>
        <v/>
      </c>
      <c r="CJ96" s="34">
        <f>IF(AY96=0,0,CI96/AY96)</f>
        <v/>
      </c>
    </row>
    <row r="97">
      <c r="A97" s="29" t="n">
        <v>46207.91666666666</v>
      </c>
      <c r="B97" s="29" t="inlineStr">
        <is>
          <t>22:00</t>
        </is>
      </c>
      <c r="C97" s="35">
        <f>INT(A97)</f>
        <v/>
      </c>
      <c r="D97" s="36">
        <f>MONTH(A97)</f>
        <v/>
      </c>
      <c r="E97" s="147">
        <f>[1]FİYATLAR!G96</f>
        <v/>
      </c>
      <c r="F97" s="30" t="n">
        <v>3400.01</v>
      </c>
      <c r="G97" s="30" t="n">
        <v>4100</v>
      </c>
      <c r="H97" s="30" t="n">
        <v>72.95</v>
      </c>
      <c r="I97" s="30" t="n">
        <v>3947.39</v>
      </c>
      <c r="J97" s="119" t="n">
        <v>0</v>
      </c>
      <c r="K97" s="34">
        <f>F97*J97</f>
        <v/>
      </c>
      <c r="L97" s="119" t="n">
        <v>0</v>
      </c>
      <c r="M97" s="34">
        <f>L97*F97</f>
        <v/>
      </c>
      <c r="N97" s="119" t="n">
        <v>20</v>
      </c>
      <c r="O97" s="34">
        <f>F97</f>
        <v/>
      </c>
      <c r="P97" s="34">
        <f>N97*O97</f>
        <v/>
      </c>
      <c r="Q97" s="117" t="n">
        <v>0</v>
      </c>
      <c r="R97" s="34">
        <f>F97</f>
        <v/>
      </c>
      <c r="S97" s="34">
        <f>R97*Q97</f>
        <v/>
      </c>
      <c r="T97" s="34">
        <f>SUMIFS('[1]GİP VERİLERİ'!$C:$C,'[1]GİP VERİLERİ'!$B:$B,A97,'[1]GİP VERİLERİ'!$M:$M,"40X000000104782K",'[1]GİP VERİLERİ'!$G:$G,"SELL")</f>
        <v/>
      </c>
      <c r="U97" s="34">
        <f>IFERROR(W97/T97,0)</f>
        <v/>
      </c>
      <c r="V97" s="34">
        <f>IF(U97=0,0,U97-F97)</f>
        <v/>
      </c>
      <c r="W97" s="34">
        <f>SUMIFS('[1]GİP VERİLERİ'!$O:$O,'[1]GİP VERİLERİ'!$B:$B,A97,'[1]GİP VERİLERİ'!$M:$M,"40X000000104782K",'[1]GİP VERİLERİ'!$G:$G,"SELL")</f>
        <v/>
      </c>
      <c r="X97" s="34">
        <f>SUMIFS('[1]GİP VERİLERİ'!$C:$C,'[1]GİP VERİLERİ'!$B:$B,A97,'[1]GİP VERİLERİ'!$M:$M,"40X000000104782K",'[1]GİP VERİLERİ'!$G:$G,"BUY")</f>
        <v/>
      </c>
      <c r="Y97" s="34">
        <f>IFERROR(AA97/X97,0)</f>
        <v/>
      </c>
      <c r="Z97" s="34">
        <f>IF(Y97=0,0,F97-Y97)</f>
        <v/>
      </c>
      <c r="AA97" s="34">
        <f>SUMIFS('[1]GİP VERİLERİ'!$O:$O,'[1]GİP VERİLERİ'!$B:$B,A97,'[1]GİP VERİLERİ'!$M:$M,"40X000000104782K",'[1]GİP VERİLERİ'!$G:$G,"BUY")</f>
        <v/>
      </c>
      <c r="AB97" s="34" t="n">
        <v>0</v>
      </c>
      <c r="AC97" s="34" t="n">
        <v>0</v>
      </c>
      <c r="AD97" s="34">
        <f>IF(AB97&gt;AC97*1.05,AB97-AC97*1.05,IF(AB97&lt;AC97*0.95,AC97*0.95-AB97,0))</f>
        <v/>
      </c>
      <c r="AE97" s="34">
        <f>MAX(F97,G97,750)*0.05*AD97</f>
        <v/>
      </c>
      <c r="AF97" s="34" t="n">
        <v>0</v>
      </c>
      <c r="AG97" s="34">
        <f>IF(AB97&gt;AF97*1.05,AB97-AF97*1.05,IF(AB97&lt;AF97*0.95,AF97*0.95-AB97,0))</f>
        <v/>
      </c>
      <c r="AH97" s="34">
        <f>MAX(I97,J97,750)*0.05*AG97</f>
        <v/>
      </c>
      <c r="AI97" t="n">
        <v>8.19</v>
      </c>
      <c r="AJ97" t="n">
        <v>9</v>
      </c>
      <c r="AK97" s="34">
        <f>IF(AI97&gt;AJ97*1.05,AI97-AJ97*1.05,IF(AI97&lt;AJ97*0.95,AJ97*0.95-AI97,0))</f>
        <v/>
      </c>
      <c r="AL97" s="34">
        <f>MAX(F97,G97,750)*0.05*AK97</f>
        <v/>
      </c>
      <c r="AM97" s="39" t="n">
        <v>8</v>
      </c>
      <c r="AN97" s="34">
        <f>IF(AI97&gt;AM97*1.05,AI97-AM97*1.05,IF(AI97&lt;AM97*0.95,AM97*0.95-AI97,0))</f>
        <v/>
      </c>
      <c r="AO97" s="34">
        <f>MAX(F97,G97,750)*0.05*AN97</f>
        <v/>
      </c>
      <c r="AP97" s="34" t="n">
        <v>11.08</v>
      </c>
      <c r="AQ97" s="34" t="n">
        <v>11</v>
      </c>
      <c r="AR97" s="34">
        <f>IF(AP97&gt;AQ97*1.05,AP97-AQ97*1.05,IF(AP97&lt;AQ97*0.95,AQ97*0.95-AP97,0))</f>
        <v/>
      </c>
      <c r="AS97" s="34">
        <f>MAX(F97:G97,750)*0.05*AR97</f>
        <v/>
      </c>
      <c r="AT97" t="n">
        <v>11</v>
      </c>
      <c r="AU97" s="34">
        <f>IF(AP97&gt;AT97*1.05,AP97-AT97*1.05,IF(AP97&lt;AT97*0.95,AT97*0.95-AP97,0))</f>
        <v/>
      </c>
      <c r="AV97" s="34">
        <f>MAX(F97:G97,750)*0.05*AU97</f>
        <v/>
      </c>
      <c r="AW97" s="34">
        <f>AC97+AJ97+AQ97</f>
        <v/>
      </c>
      <c r="AX97" s="34">
        <f>AF97+AM97+AT97</f>
        <v/>
      </c>
      <c r="AY97" s="34">
        <f>AB97+AI97+AP97</f>
        <v/>
      </c>
      <c r="AZ97" s="34" t="n">
        <v>0</v>
      </c>
      <c r="BA97" s="34">
        <f>AD97+AK97+AR97</f>
        <v/>
      </c>
      <c r="BB97" s="34">
        <f>MAX(F97:G97,750)*0.05*BA97</f>
        <v/>
      </c>
      <c r="BC97" s="34">
        <f>AG97+AN97+AU97</f>
        <v/>
      </c>
      <c r="BD97" s="34">
        <f>MAX(F97:G97,750)*0.05*BC97</f>
        <v/>
      </c>
      <c r="BE97" s="34">
        <f>F97*AY97</f>
        <v/>
      </c>
      <c r="BF97" s="34">
        <f>K97-M97</f>
        <v/>
      </c>
      <c r="BG97" s="34">
        <f>P97-S97</f>
        <v/>
      </c>
      <c r="BH97" s="34">
        <f>W97-AA97</f>
        <v/>
      </c>
      <c r="BI97" s="34">
        <f>BF97+BG97+BL97-BN97</f>
        <v/>
      </c>
      <c r="BJ97" s="34">
        <f>ABS(BK97)</f>
        <v/>
      </c>
      <c r="BK97" s="34">
        <f>AY97-(J97-L97+N97-Q97)</f>
        <v/>
      </c>
      <c r="BL97" s="34">
        <f>IF(AND(BK97&gt;0,MIN($F97:$G97)&lt;150,$E97="Enerji Açığı"),-100*BK97*1.03,IF(AND(BK97&gt;0,MIN($F97:$G97)&lt;150,$E97="Enerji Fazlası"),-100*BK97*1.06,IF(AND(BK97&gt;0,MIN($F97:$G97)&gt;=150,$E97="Enerji Açığı"),BK97*MIN($F97:$G97)*0.97,IF(AND(BK97&gt;0,MIN($F97:$G97)&gt;=150,$E97="Enerji Fazlası"),BK97*MIN($F97:$G97)*0.94,IF(AND(BK97&lt;0,MAX($F97:$G97)=4500,$E97="Enerji Açığı"),4500*1.05*1.06*BK97,IF(AND(BK97&lt;0,MAX($F97:$G97)=4500,$E97="Enerji Fazlası"),4500*1.05*1.03*BK97,IF(AND(BK97&lt;0,$E97="Enerji Açığı"),MAX($F97,$G97,150)*BK97*1.06,IF(AND(BK97&lt;0,$E97="Enerji Fazlası"),MAX($F97,$G97,150)*BK97*1.03,IF(AND(BK97&lt;0,$E97="Dengede"),MAX($F97:$G97,150)*1.03*BK97,MIN($F97:$G97)*0.97*BK97)))))))))</f>
        <v/>
      </c>
      <c r="BM97" s="34">
        <f>BE97-BI97-BN97</f>
        <v/>
      </c>
      <c r="BN97" s="34">
        <f>BB97</f>
        <v/>
      </c>
      <c r="BO97" s="34">
        <f>BE97-BI97</f>
        <v/>
      </c>
      <c r="BP97" s="34">
        <f>IF(AY97=0,0,BO97/AY97)</f>
        <v/>
      </c>
      <c r="BQ97" s="34">
        <f>MAX((AY97+MAX((-J97+L97-N97+Q97),0)),(MAX((J97-L97+N97-Q97),0)))</f>
        <v/>
      </c>
      <c r="BR97" s="82">
        <f>IFERROR(ABS(BK97/BQ97),0)</f>
        <v/>
      </c>
      <c r="BS97" s="34">
        <f>IF(BR97&lt;=0.1,0,BK97/BR97*(BR97-0.1))</f>
        <v/>
      </c>
      <c r="BT97" s="34">
        <f>IF((BS97)&lt;0,MAX(F97:G97)*(BS97)*1.03,MIN(F97:G97)*(BS97)*0.97)</f>
        <v/>
      </c>
      <c r="BU97" s="34">
        <f>IF(BR97&gt;0.1,1,0)</f>
        <v/>
      </c>
      <c r="BV97" s="34">
        <f>BF97+BG97+BH97+BY97-CA97</f>
        <v/>
      </c>
      <c r="BW97" s="34">
        <f>ABS(BX97)</f>
        <v/>
      </c>
      <c r="BX97" s="34">
        <f>AY97-(J97-L97+N97-Q97+T97-X97)</f>
        <v/>
      </c>
      <c r="BY97" s="34">
        <f>IF(AND(BX97&gt;0,MIN($F97:$G97)&lt;150,$E97="Enerji Açığı"),-100*BX97*1.03,IF(AND(BX97&gt;0,MIN($F97:$G97)&lt;150,$E97="Enerji Fazlası"),-100*BX97*1.06,IF(AND(BX97&gt;0,MIN($F97:$G97)&gt;=150,$E97="Enerji Açığı"),BX97*MIN($F97:$G97)*0.97,IF(AND(BX97&gt;0,MIN($F97:$G97)&gt;=150,$E97="Enerji Fazlası"),BX97*MIN($F97:$G97)*0.94,IF(AND(BX97&lt;0,MAX($F97:$G97)=4500,$E97="Enerji Açığı"),4500*1.05*1.06*BX97,IF(AND(BX97&lt;0,MAX($F97:$G97)=4500,$E97="Enerji Fazlası"),4500*1.05*1.03*BX97,IF(AND(BX97&lt;0,$E97="Enerji Açığı"),MAX($F97,$G97,150)*BX97*1.06,IF(AND(BX97&lt;0,$E97="Enerji Fazlası"),MAX($F97,$G97,150)*BX97*1.03,IF(AND(BX97&lt;0,$E97="Dengede"),MAX($F97:$G97,150)*1.03*BX97,MIN($F97:$G97)*0.97*BX97)))))))))</f>
        <v/>
      </c>
      <c r="BZ97" s="34">
        <f>BE97-BV97-CA97</f>
        <v/>
      </c>
      <c r="CA97" s="34">
        <f>BD97</f>
        <v/>
      </c>
      <c r="CB97" s="33">
        <f>BE97-BV97</f>
        <v/>
      </c>
      <c r="CC97" s="34">
        <f>IF(AY97=0,0,CB97/AY97)</f>
        <v/>
      </c>
      <c r="CD97" s="34">
        <f>MAX((AY97+MAX((-J97+L97-N97+Q97-T97+X97),0)),(MAX((J97-L97+N97-Q97+T97-X97),0)))</f>
        <v/>
      </c>
      <c r="CE97" s="82">
        <f>IFERROR(ABS(BX97/CD97),0)</f>
        <v/>
      </c>
      <c r="CF97" s="34">
        <f>IF(CE97&lt;=0.1,0,BX97/CE97*(CE97-0.1))</f>
        <v/>
      </c>
      <c r="CG97" s="34">
        <f>IF((CF97)&lt;0,MAX(F97:G97)*(CF97)*1.03,MIN(F97:G97)*(CF97)*0.97)</f>
        <v/>
      </c>
      <c r="CH97" s="34">
        <f>IF(CE97&gt;0.1,1,0)</f>
        <v/>
      </c>
      <c r="CI97" s="34">
        <f>(F97*BX97)-BY97</f>
        <v/>
      </c>
      <c r="CJ97" s="34">
        <f>IF(AY97=0,0,CI97/AY97)</f>
        <v/>
      </c>
    </row>
    <row r="98">
      <c r="A98" s="29" t="n">
        <v>46207.95833333334</v>
      </c>
      <c r="B98" s="29" t="inlineStr">
        <is>
          <t>23:00</t>
        </is>
      </c>
      <c r="C98" s="35">
        <f>INT(A98)</f>
        <v/>
      </c>
      <c r="D98" s="36">
        <f>MONTH(A98)</f>
        <v/>
      </c>
      <c r="E98" s="147">
        <f>[1]FİYATLAR!G97</f>
        <v/>
      </c>
      <c r="F98" s="30" t="n">
        <v>2099.99</v>
      </c>
      <c r="G98" s="30" t="n">
        <v>4048</v>
      </c>
      <c r="H98" s="30" t="n">
        <v>45.06</v>
      </c>
      <c r="I98" s="30" t="n">
        <v>2719.6</v>
      </c>
      <c r="J98" s="119" t="n">
        <v>0</v>
      </c>
      <c r="K98" s="34">
        <f>F98*J98</f>
        <v/>
      </c>
      <c r="L98" s="119" t="n">
        <v>0</v>
      </c>
      <c r="M98" s="34">
        <f>L98*F98</f>
        <v/>
      </c>
      <c r="N98" s="119" t="n">
        <v>20</v>
      </c>
      <c r="O98" s="34">
        <f>F98</f>
        <v/>
      </c>
      <c r="P98" s="34">
        <f>N98*O98</f>
        <v/>
      </c>
      <c r="Q98" s="117" t="n">
        <v>0</v>
      </c>
      <c r="R98" s="34">
        <f>F98</f>
        <v/>
      </c>
      <c r="S98" s="34">
        <f>R98*Q98</f>
        <v/>
      </c>
      <c r="T98" s="34">
        <f>SUMIFS('[1]GİP VERİLERİ'!$C:$C,'[1]GİP VERİLERİ'!$B:$B,A98,'[1]GİP VERİLERİ'!$M:$M,"40X000000104782K",'[1]GİP VERİLERİ'!$G:$G,"SELL")</f>
        <v/>
      </c>
      <c r="U98" s="34">
        <f>IFERROR(W98/T98,0)</f>
        <v/>
      </c>
      <c r="V98" s="34">
        <f>IF(U98=0,0,U98-F98)</f>
        <v/>
      </c>
      <c r="W98" s="34">
        <f>SUMIFS('[1]GİP VERİLERİ'!$O:$O,'[1]GİP VERİLERİ'!$B:$B,A98,'[1]GİP VERİLERİ'!$M:$M,"40X000000104782K",'[1]GİP VERİLERİ'!$G:$G,"SELL")</f>
        <v/>
      </c>
      <c r="X98" s="34">
        <f>SUMIFS('[1]GİP VERİLERİ'!$C:$C,'[1]GİP VERİLERİ'!$B:$B,A98,'[1]GİP VERİLERİ'!$M:$M,"40X000000104782K",'[1]GİP VERİLERİ'!$G:$G,"BUY")</f>
        <v/>
      </c>
      <c r="Y98" s="34">
        <f>IFERROR(AA98/X98,0)</f>
        <v/>
      </c>
      <c r="Z98" s="34">
        <f>IF(Y98=0,0,F98-Y98)</f>
        <v/>
      </c>
      <c r="AA98" s="34">
        <f>SUMIFS('[1]GİP VERİLERİ'!$O:$O,'[1]GİP VERİLERİ'!$B:$B,A98,'[1]GİP VERİLERİ'!$M:$M,"40X000000104782K",'[1]GİP VERİLERİ'!$G:$G,"BUY")</f>
        <v/>
      </c>
      <c r="AB98" s="34" t="n">
        <v>0</v>
      </c>
      <c r="AC98" s="34" t="n">
        <v>0</v>
      </c>
      <c r="AD98" s="34">
        <f>IF(AB98&gt;AC98*1.05,AB98-AC98*1.05,IF(AB98&lt;AC98*0.95,AC98*0.95-AB98,0))</f>
        <v/>
      </c>
      <c r="AE98" s="34">
        <f>MAX(F98,G98,750)*0.05*AD98</f>
        <v/>
      </c>
      <c r="AF98" s="34" t="n">
        <v>0</v>
      </c>
      <c r="AG98" s="34">
        <f>IF(AB98&gt;AF98*1.05,AB98-AF98*1.05,IF(AB98&lt;AF98*0.95,AF98*0.95-AB98,0))</f>
        <v/>
      </c>
      <c r="AH98" s="34">
        <f>MAX(I98,J98,750)*0.05*AG98</f>
        <v/>
      </c>
      <c r="AI98" t="n">
        <v>9</v>
      </c>
      <c r="AJ98" t="n">
        <v>9</v>
      </c>
      <c r="AK98" s="34">
        <f>IF(AI98&gt;AJ98*1.05,AI98-AJ98*1.05,IF(AI98&lt;AJ98*0.95,AJ98*0.95-AI98,0))</f>
        <v/>
      </c>
      <c r="AL98" s="34">
        <f>MAX(F98,G98,750)*0.05*AK98</f>
        <v/>
      </c>
      <c r="AM98" s="39" t="n">
        <v>9</v>
      </c>
      <c r="AN98" s="34">
        <f>IF(AI98&gt;AM98*1.05,AI98-AM98*1.05,IF(AI98&lt;AM98*0.95,AM98*0.95-AI98,0))</f>
        <v/>
      </c>
      <c r="AO98" s="34">
        <f>MAX(F98,G98,750)*0.05*AN98</f>
        <v/>
      </c>
      <c r="AP98" s="34" t="n">
        <v>11.09</v>
      </c>
      <c r="AQ98" s="34" t="n">
        <v>11</v>
      </c>
      <c r="AR98" s="34">
        <f>IF(AP98&gt;AQ98*1.05,AP98-AQ98*1.05,IF(AP98&lt;AQ98*0.95,AQ98*0.95-AP98,0))</f>
        <v/>
      </c>
      <c r="AS98" s="34">
        <f>MAX(F98:G98,750)*0.05*AR98</f>
        <v/>
      </c>
      <c r="AT98" t="n">
        <v>11</v>
      </c>
      <c r="AU98" s="34">
        <f>IF(AP98&gt;AT98*1.05,AP98-AT98*1.05,IF(AP98&lt;AT98*0.95,AT98*0.95-AP98,0))</f>
        <v/>
      </c>
      <c r="AV98" s="34">
        <f>MAX(F98:G98,750)*0.05*AU98</f>
        <v/>
      </c>
      <c r="AW98" s="34">
        <f>AC98+AJ98+AQ98</f>
        <v/>
      </c>
      <c r="AX98" s="34">
        <f>AF98+AM98+AT98</f>
        <v/>
      </c>
      <c r="AY98" s="34">
        <f>AB98+AI98+AP98</f>
        <v/>
      </c>
      <c r="AZ98" s="34" t="n">
        <v>0</v>
      </c>
      <c r="BA98" s="34">
        <f>AD98+AK98+AR98</f>
        <v/>
      </c>
      <c r="BB98" s="34">
        <f>MAX(F98:G98,750)*0.05*BA98</f>
        <v/>
      </c>
      <c r="BC98" s="34">
        <f>AG98+AN98+AU98</f>
        <v/>
      </c>
      <c r="BD98" s="34">
        <f>MAX(F98:G98,750)*0.05*BC98</f>
        <v/>
      </c>
      <c r="BE98" s="34">
        <f>F98*AY98</f>
        <v/>
      </c>
      <c r="BF98" s="34">
        <f>K98-M98</f>
        <v/>
      </c>
      <c r="BG98" s="34">
        <f>P98-S98</f>
        <v/>
      </c>
      <c r="BH98" s="34">
        <f>W98-AA98</f>
        <v/>
      </c>
      <c r="BI98" s="34">
        <f>BF98+BG98+BL98-BN98</f>
        <v/>
      </c>
      <c r="BJ98" s="34">
        <f>ABS(BK98)</f>
        <v/>
      </c>
      <c r="BK98" s="34">
        <f>AY98-(J98-L98+N98-Q98)</f>
        <v/>
      </c>
      <c r="BL98" s="34">
        <f>IF(AND(BK98&gt;0,MIN($F98:$G98)&lt;150,$E98="Enerji Açığı"),-100*BK98*1.03,IF(AND(BK98&gt;0,MIN($F98:$G98)&lt;150,$E98="Enerji Fazlası"),-100*BK98*1.06,IF(AND(BK98&gt;0,MIN($F98:$G98)&gt;=150,$E98="Enerji Açığı"),BK98*MIN($F98:$G98)*0.97,IF(AND(BK98&gt;0,MIN($F98:$G98)&gt;=150,$E98="Enerji Fazlası"),BK98*MIN($F98:$G98)*0.94,IF(AND(BK98&lt;0,MAX($F98:$G98)=4500,$E98="Enerji Açığı"),4500*1.05*1.06*BK98,IF(AND(BK98&lt;0,MAX($F98:$G98)=4500,$E98="Enerji Fazlası"),4500*1.05*1.03*BK98,IF(AND(BK98&lt;0,$E98="Enerji Açığı"),MAX($F98,$G98,150)*BK98*1.06,IF(AND(BK98&lt;0,$E98="Enerji Fazlası"),MAX($F98,$G98,150)*BK98*1.03,IF(AND(BK98&lt;0,$E98="Dengede"),MAX($F98:$G98,150)*1.03*BK98,MIN($F98:$G98)*0.97*BK98)))))))))</f>
        <v/>
      </c>
      <c r="BM98" s="34">
        <f>BE98-BI98-BN98</f>
        <v/>
      </c>
      <c r="BN98" s="34">
        <f>BB98</f>
        <v/>
      </c>
      <c r="BO98" s="34">
        <f>BE98-BI98</f>
        <v/>
      </c>
      <c r="BP98" s="34">
        <f>IF(AY98=0,0,BO98/AY98)</f>
        <v/>
      </c>
      <c r="BQ98" s="34">
        <f>MAX((AY98+MAX((-J98+L98-N98+Q98),0)),(MAX((J98-L98+N98-Q98),0)))</f>
        <v/>
      </c>
      <c r="BR98" s="82">
        <f>IFERROR(ABS(BK98/BQ98),0)</f>
        <v/>
      </c>
      <c r="BS98" s="34">
        <f>IF(BR98&lt;=0.1,0,BK98/BR98*(BR98-0.1))</f>
        <v/>
      </c>
      <c r="BT98" s="34">
        <f>IF((BS98)&lt;0,MAX(F98:G98)*(BS98)*1.03,MIN(F98:G98)*(BS98)*0.97)</f>
        <v/>
      </c>
      <c r="BU98" s="34">
        <f>IF(BR98&gt;0.1,1,0)</f>
        <v/>
      </c>
      <c r="BV98" s="34">
        <f>BF98+BG98+BH98+BY98-CA98</f>
        <v/>
      </c>
      <c r="BW98" s="34">
        <f>ABS(BX98)</f>
        <v/>
      </c>
      <c r="BX98" s="34">
        <f>AY98-(J98-L98+N98-Q98+T98-X98)</f>
        <v/>
      </c>
      <c r="BY98" s="34">
        <f>IF(AND(BX98&gt;0,MIN($F98:$G98)&lt;150,$E98="Enerji Açığı"),-100*BX98*1.03,IF(AND(BX98&gt;0,MIN($F98:$G98)&lt;150,$E98="Enerji Fazlası"),-100*BX98*1.06,IF(AND(BX98&gt;0,MIN($F98:$G98)&gt;=150,$E98="Enerji Açığı"),BX98*MIN($F98:$G98)*0.97,IF(AND(BX98&gt;0,MIN($F98:$G98)&gt;=150,$E98="Enerji Fazlası"),BX98*MIN($F98:$G98)*0.94,IF(AND(BX98&lt;0,MAX($F98:$G98)=4500,$E98="Enerji Açığı"),4500*1.05*1.06*BX98,IF(AND(BX98&lt;0,MAX($F98:$G98)=4500,$E98="Enerji Fazlası"),4500*1.05*1.03*BX98,IF(AND(BX98&lt;0,$E98="Enerji Açığı"),MAX($F98,$G98,150)*BX98*1.06,IF(AND(BX98&lt;0,$E98="Enerji Fazlası"),MAX($F98,$G98,150)*BX98*1.03,IF(AND(BX98&lt;0,$E98="Dengede"),MAX($F98:$G98,150)*1.03*BX98,MIN($F98:$G98)*0.97*BX98)))))))))</f>
        <v/>
      </c>
      <c r="BZ98" s="34">
        <f>BE98-BV98-CA98</f>
        <v/>
      </c>
      <c r="CA98" s="34">
        <f>BD98</f>
        <v/>
      </c>
      <c r="CB98" s="33">
        <f>BE98-BV98</f>
        <v/>
      </c>
      <c r="CC98" s="34">
        <f>IF(AY98=0,0,CB98/AY98)</f>
        <v/>
      </c>
      <c r="CD98" s="34">
        <f>MAX((AY98+MAX((-J98+L98-N98+Q98-T98+X98),0)),(MAX((J98-L98+N98-Q98+T98-X98),0)))</f>
        <v/>
      </c>
      <c r="CE98" s="82">
        <f>IFERROR(ABS(BX98/CD98),0)</f>
        <v/>
      </c>
      <c r="CF98" s="34">
        <f>IF(CE98&lt;=0.1,0,BX98/CE98*(CE98-0.1))</f>
        <v/>
      </c>
      <c r="CG98" s="34">
        <f>IF((CF98)&lt;0,MAX(F98:G98)*(CF98)*1.03,MIN(F98:G98)*(CF98)*0.97)</f>
        <v/>
      </c>
      <c r="CH98" s="34">
        <f>IF(CE98&gt;0.1,1,0)</f>
        <v/>
      </c>
      <c r="CI98" s="34">
        <f>(F98*BX98)-BY98</f>
        <v/>
      </c>
      <c r="CJ98" s="34">
        <f>IF(AY98=0,0,CI98/AY98)</f>
        <v/>
      </c>
    </row>
    <row r="99">
      <c r="A99" s="29" t="n">
        <v>46208</v>
      </c>
      <c r="B99" s="29" t="inlineStr">
        <is>
          <t>00:00</t>
        </is>
      </c>
      <c r="C99" s="35">
        <f>INT(A99)</f>
        <v/>
      </c>
      <c r="D99" s="36">
        <f>MONTH(A99)</f>
        <v/>
      </c>
      <c r="E99" s="147">
        <f>[1]FİYATLAR!G98</f>
        <v/>
      </c>
      <c r="F99" s="30" t="n">
        <v>3400.01</v>
      </c>
      <c r="G99" s="30" t="n">
        <v>3400</v>
      </c>
      <c r="H99" s="30" t="n">
        <v>72.91</v>
      </c>
      <c r="I99" s="30" t="n">
        <v>3247.82</v>
      </c>
      <c r="J99" s="119" t="n">
        <v>0</v>
      </c>
      <c r="K99" s="34">
        <f>F99*J99</f>
        <v/>
      </c>
      <c r="L99" s="119" t="n">
        <v>0</v>
      </c>
      <c r="M99" s="34">
        <f>L99*F99</f>
        <v/>
      </c>
      <c r="N99" s="119" t="n">
        <v>21</v>
      </c>
      <c r="O99" s="34">
        <f>F99</f>
        <v/>
      </c>
      <c r="P99" s="34">
        <f>N99*O99</f>
        <v/>
      </c>
      <c r="Q99" s="117" t="n">
        <v>0</v>
      </c>
      <c r="R99" s="34">
        <f>F99</f>
        <v/>
      </c>
      <c r="S99" s="34">
        <f>R99*Q99</f>
        <v/>
      </c>
      <c r="T99" s="34">
        <f>SUMIFS('[1]GİP VERİLERİ'!$C:$C,'[1]GİP VERİLERİ'!$B:$B,A99,'[1]GİP VERİLERİ'!$M:$M,"40X000000104782K",'[1]GİP VERİLERİ'!$G:$G,"SELL")</f>
        <v/>
      </c>
      <c r="U99" s="34">
        <f>IFERROR(W99/T99,0)</f>
        <v/>
      </c>
      <c r="V99" s="34">
        <f>IF(U99=0,0,U99-F99)</f>
        <v/>
      </c>
      <c r="W99" s="34">
        <f>SUMIFS('[1]GİP VERİLERİ'!$O:$O,'[1]GİP VERİLERİ'!$B:$B,A99,'[1]GİP VERİLERİ'!$M:$M,"40X000000104782K",'[1]GİP VERİLERİ'!$G:$G,"SELL")</f>
        <v/>
      </c>
      <c r="X99" s="34">
        <f>SUMIFS('[1]GİP VERİLERİ'!$C:$C,'[1]GİP VERİLERİ'!$B:$B,A99,'[1]GİP VERİLERİ'!$M:$M,"40X000000104782K",'[1]GİP VERİLERİ'!$G:$G,"BUY")</f>
        <v/>
      </c>
      <c r="Y99" s="34">
        <f>IFERROR(AA99/X99,0)</f>
        <v/>
      </c>
      <c r="Z99" s="34">
        <f>IF(Y99=0,0,F99-Y99)</f>
        <v/>
      </c>
      <c r="AA99" s="34">
        <f>SUMIFS('[1]GİP VERİLERİ'!$O:$O,'[1]GİP VERİLERİ'!$B:$B,A99,'[1]GİP VERİLERİ'!$M:$M,"40X000000104782K",'[1]GİP VERİLERİ'!$G:$G,"BUY")</f>
        <v/>
      </c>
      <c r="AB99" s="34" t="n">
        <v>0</v>
      </c>
      <c r="AC99" s="34" t="n">
        <v>0</v>
      </c>
      <c r="AD99" s="34">
        <f>IF(AB99&gt;AC99*1.05,AB99-AC99*1.05,IF(AB99&lt;AC99*0.95,AC99*0.95-AB99,0))</f>
        <v/>
      </c>
      <c r="AE99" s="34">
        <f>MAX(F99,G99,750)*0.05*AD99</f>
        <v/>
      </c>
      <c r="AF99" s="34" t="n">
        <v>0</v>
      </c>
      <c r="AG99" s="34">
        <f>IF(AB99&gt;AF99*1.05,AB99-AF99*1.05,IF(AB99&lt;AF99*0.95,AF99*0.95-AB99,0))</f>
        <v/>
      </c>
      <c r="AH99" s="34">
        <f>MAX(I99,J99,750)*0.05*AG99</f>
        <v/>
      </c>
      <c r="AI99" t="n">
        <v>9.140000000000001</v>
      </c>
      <c r="AJ99" t="n">
        <v>9</v>
      </c>
      <c r="AK99" s="34">
        <f>IF(AI99&gt;AJ99*1.05,AI99-AJ99*1.05,IF(AI99&lt;AJ99*0.95,AJ99*0.95-AI99,0))</f>
        <v/>
      </c>
      <c r="AL99" s="34">
        <f>MAX(F99,G99,750)*0.05*AK99</f>
        <v/>
      </c>
      <c r="AM99" s="39" t="n">
        <v>9</v>
      </c>
      <c r="AN99" s="34">
        <f>IF(AI99&gt;AM99*1.05,AI99-AM99*1.05,IF(AI99&lt;AM99*0.95,AM99*0.95-AI99,0))</f>
        <v/>
      </c>
      <c r="AO99" s="34">
        <f>MAX(F99,G99,750)*0.05*AN99</f>
        <v/>
      </c>
      <c r="AP99" s="34" t="n">
        <v>12.1</v>
      </c>
      <c r="AQ99" s="34" t="n">
        <v>12</v>
      </c>
      <c r="AR99" s="34">
        <f>IF(AP99&gt;AQ99*1.05,AP99-AQ99*1.05,IF(AP99&lt;AQ99*0.95,AQ99*0.95-AP99,0))</f>
        <v/>
      </c>
      <c r="AS99" s="34">
        <f>MAX(F99:G99,750)*0.05*AR99</f>
        <v/>
      </c>
      <c r="AT99" t="n">
        <v>12</v>
      </c>
      <c r="AU99" s="34">
        <f>IF(AP99&gt;AT99*1.05,AP99-AT99*1.05,IF(AP99&lt;AT99*0.95,AT99*0.95-AP99,0))</f>
        <v/>
      </c>
      <c r="AV99" s="34">
        <f>MAX(F99:G99,750)*0.05*AU99</f>
        <v/>
      </c>
      <c r="AW99" s="34">
        <f>AC99+AJ99+AQ99</f>
        <v/>
      </c>
      <c r="AX99" s="34">
        <f>AF99+AM99+AT99</f>
        <v/>
      </c>
      <c r="AY99" s="34">
        <f>AB99+AI99+AP99</f>
        <v/>
      </c>
      <c r="AZ99" s="34" t="n">
        <v>0</v>
      </c>
      <c r="BA99" s="34">
        <f>AD99+AK99+AR99</f>
        <v/>
      </c>
      <c r="BB99" s="34">
        <f>MAX(F99:G99,750)*0.05*BA99</f>
        <v/>
      </c>
      <c r="BC99" s="34">
        <f>AG99+AN99+AU99</f>
        <v/>
      </c>
      <c r="BD99" s="34">
        <f>MAX(F99:G99,750)*0.05*BC99</f>
        <v/>
      </c>
      <c r="BE99" s="34">
        <f>F99*AY99</f>
        <v/>
      </c>
      <c r="BF99" s="34">
        <f>K99-M99</f>
        <v/>
      </c>
      <c r="BG99" s="34">
        <f>P99-S99</f>
        <v/>
      </c>
      <c r="BH99" s="34">
        <f>W99-AA99</f>
        <v/>
      </c>
      <c r="BI99" s="34">
        <f>BF99+BG99+BL99-BN99</f>
        <v/>
      </c>
      <c r="BJ99" s="34">
        <f>ABS(BK99)</f>
        <v/>
      </c>
      <c r="BK99" s="34">
        <f>AY99-(J99-L99+N99-Q99)</f>
        <v/>
      </c>
      <c r="BL99" s="34">
        <f>IF(AND(BK99&gt;0,MIN($F99:$G99)&lt;150,$E99="Enerji Açığı"),-100*BK99*1.03,IF(AND(BK99&gt;0,MIN($F99:$G99)&lt;150,$E99="Enerji Fazlası"),-100*BK99*1.06,IF(AND(BK99&gt;0,MIN($F99:$G99)&gt;=150,$E99="Enerji Açığı"),BK99*MIN($F99:$G99)*0.97,IF(AND(BK99&gt;0,MIN($F99:$G99)&gt;=150,$E99="Enerji Fazlası"),BK99*MIN($F99:$G99)*0.94,IF(AND(BK99&lt;0,MAX($F99:$G99)=4500,$E99="Enerji Açığı"),4500*1.05*1.06*BK99,IF(AND(BK99&lt;0,MAX($F99:$G99)=4500,$E99="Enerji Fazlası"),4500*1.05*1.03*BK99,IF(AND(BK99&lt;0,$E99="Enerji Açığı"),MAX($F99,$G99,150)*BK99*1.06,IF(AND(BK99&lt;0,$E99="Enerji Fazlası"),MAX($F99,$G99,150)*BK99*1.03,IF(AND(BK99&lt;0,$E99="Dengede"),MAX($F99:$G99,150)*1.03*BK99,MIN($F99:$G99)*0.97*BK99)))))))))</f>
        <v/>
      </c>
      <c r="BM99" s="34">
        <f>BE99-BI99-BN99</f>
        <v/>
      </c>
      <c r="BN99" s="34">
        <f>BB99</f>
        <v/>
      </c>
      <c r="BO99" s="34">
        <f>BE99-BI99</f>
        <v/>
      </c>
      <c r="BP99" s="34">
        <f>IF(AY99=0,0,BO99/AY99)</f>
        <v/>
      </c>
      <c r="BQ99" s="34">
        <f>MAX((AY99+MAX((-J99+L99-N99+Q99),0)),(MAX((J99-L99+N99-Q99),0)))</f>
        <v/>
      </c>
      <c r="BR99" s="82">
        <f>IFERROR(ABS(BK99/BQ99),0)</f>
        <v/>
      </c>
      <c r="BS99" s="34">
        <f>IF(BR99&lt;=0.1,0,BK99/BR99*(BR99-0.1))</f>
        <v/>
      </c>
      <c r="BT99" s="34">
        <f>IF((BS99)&lt;0,MAX(F99:G99)*(BS99)*1.03,MIN(F99:G99)*(BS99)*0.97)</f>
        <v/>
      </c>
      <c r="BU99" s="34">
        <f>IF(BR99&gt;0.1,1,0)</f>
        <v/>
      </c>
      <c r="BV99" s="34">
        <f>BF99+BG99+BH99+BY99-CA99</f>
        <v/>
      </c>
      <c r="BW99" s="34">
        <f>ABS(BX99)</f>
        <v/>
      </c>
      <c r="BX99" s="34">
        <f>AY99-(J99-L99+N99-Q99+T99-X99)</f>
        <v/>
      </c>
      <c r="BY99" s="34">
        <f>IF(AND(BX99&gt;0,MIN($F99:$G99)&lt;150,$E99="Enerji Açığı"),-100*BX99*1.03,IF(AND(BX99&gt;0,MIN($F99:$G99)&lt;150,$E99="Enerji Fazlası"),-100*BX99*1.06,IF(AND(BX99&gt;0,MIN($F99:$G99)&gt;=150,$E99="Enerji Açığı"),BX99*MIN($F99:$G99)*0.97,IF(AND(BX99&gt;0,MIN($F99:$G99)&gt;=150,$E99="Enerji Fazlası"),BX99*MIN($F99:$G99)*0.94,IF(AND(BX99&lt;0,MAX($F99:$G99)=4500,$E99="Enerji Açığı"),4500*1.05*1.06*BX99,IF(AND(BX99&lt;0,MAX($F99:$G99)=4500,$E99="Enerji Fazlası"),4500*1.05*1.03*BX99,IF(AND(BX99&lt;0,$E99="Enerji Açığı"),MAX($F99,$G99,150)*BX99*1.06,IF(AND(BX99&lt;0,$E99="Enerji Fazlası"),MAX($F99,$G99,150)*BX99*1.03,IF(AND(BX99&lt;0,$E99="Dengede"),MAX($F99:$G99,150)*1.03*BX99,MIN($F99:$G99)*0.97*BX99)))))))))</f>
        <v/>
      </c>
      <c r="BZ99" s="34">
        <f>BE99-BV99-CA99</f>
        <v/>
      </c>
      <c r="CA99" s="34">
        <f>BD99</f>
        <v/>
      </c>
      <c r="CB99" s="33">
        <f>BE99-BV99</f>
        <v/>
      </c>
      <c r="CC99" s="34">
        <f>IF(AY99=0,0,CB99/AY99)</f>
        <v/>
      </c>
      <c r="CD99" s="34">
        <f>MAX((AY99+MAX((-J99+L99-N99+Q99-T99+X99),0)),(MAX((J99-L99+N99-Q99+T99-X99),0)))</f>
        <v/>
      </c>
      <c r="CE99" s="82">
        <f>IFERROR(ABS(BX99/CD99),0)</f>
        <v/>
      </c>
      <c r="CF99" s="34">
        <f>IF(CE99&lt;=0.1,0,BX99/CE99*(CE99-0.1))</f>
        <v/>
      </c>
      <c r="CG99" s="34">
        <f>IF((CF99)&lt;0,MAX(F99:G99)*(CF99)*1.03,MIN(F99:G99)*(CF99)*0.97)</f>
        <v/>
      </c>
      <c r="CH99" s="34">
        <f>IF(CE99&gt;0.1,1,0)</f>
        <v/>
      </c>
      <c r="CI99" s="34">
        <f>(F99*BX99)-BY99</f>
        <v/>
      </c>
      <c r="CJ99" s="34">
        <f>IF(AY99=0,0,CI99/AY99)</f>
        <v/>
      </c>
    </row>
    <row r="100">
      <c r="A100" s="29" t="n">
        <v>46208.04166666666</v>
      </c>
      <c r="B100" s="29" t="inlineStr">
        <is>
          <t>01:00</t>
        </is>
      </c>
      <c r="C100" s="35">
        <f>INT(A100)</f>
        <v/>
      </c>
      <c r="D100" s="36">
        <f>MONTH(A100)</f>
        <v/>
      </c>
      <c r="E100" s="147">
        <f>[1]FİYATLAR!G99</f>
        <v/>
      </c>
      <c r="F100" s="30" t="n">
        <v>2874.99</v>
      </c>
      <c r="G100" s="30" t="n">
        <v>800</v>
      </c>
      <c r="H100" s="30" t="n">
        <v>61.65</v>
      </c>
      <c r="I100" s="30" t="n">
        <v>2784.13</v>
      </c>
      <c r="J100" s="119" t="n">
        <v>0</v>
      </c>
      <c r="K100" s="34">
        <f>F100*J100</f>
        <v/>
      </c>
      <c r="L100" s="119" t="n">
        <v>0</v>
      </c>
      <c r="M100" s="34">
        <f>L100*F100</f>
        <v/>
      </c>
      <c r="N100" s="119" t="n">
        <v>21</v>
      </c>
      <c r="O100" s="34">
        <f>F100</f>
        <v/>
      </c>
      <c r="P100" s="34">
        <f>N100*O100</f>
        <v/>
      </c>
      <c r="Q100" s="117" t="n">
        <v>0</v>
      </c>
      <c r="R100" s="34">
        <f>F100</f>
        <v/>
      </c>
      <c r="S100" s="34">
        <f>R100*Q100</f>
        <v/>
      </c>
      <c r="T100" s="34">
        <f>SUMIFS('[1]GİP VERİLERİ'!$C:$C,'[1]GİP VERİLERİ'!$B:$B,A100,'[1]GİP VERİLERİ'!$M:$M,"40X000000104782K",'[1]GİP VERİLERİ'!$G:$G,"SELL")</f>
        <v/>
      </c>
      <c r="U100" s="34">
        <f>IFERROR(W100/T100,0)</f>
        <v/>
      </c>
      <c r="V100" s="34">
        <f>IF(U100=0,0,U100-F100)</f>
        <v/>
      </c>
      <c r="W100" s="34">
        <f>SUMIFS('[1]GİP VERİLERİ'!$O:$O,'[1]GİP VERİLERİ'!$B:$B,A100,'[1]GİP VERİLERİ'!$M:$M,"40X000000104782K",'[1]GİP VERİLERİ'!$G:$G,"SELL")</f>
        <v/>
      </c>
      <c r="X100" s="34">
        <f>SUMIFS('[1]GİP VERİLERİ'!$C:$C,'[1]GİP VERİLERİ'!$B:$B,A100,'[1]GİP VERİLERİ'!$M:$M,"40X000000104782K",'[1]GİP VERİLERİ'!$G:$G,"BUY")</f>
        <v/>
      </c>
      <c r="Y100" s="34">
        <f>IFERROR(AA100/X100,0)</f>
        <v/>
      </c>
      <c r="Z100" s="34">
        <f>IF(Y100=0,0,F100-Y100)</f>
        <v/>
      </c>
      <c r="AA100" s="34">
        <f>SUMIFS('[1]GİP VERİLERİ'!$O:$O,'[1]GİP VERİLERİ'!$B:$B,A100,'[1]GİP VERİLERİ'!$M:$M,"40X000000104782K",'[1]GİP VERİLERİ'!$G:$G,"BUY")</f>
        <v/>
      </c>
      <c r="AB100" s="34" t="n">
        <v>0</v>
      </c>
      <c r="AC100" s="34" t="n">
        <v>0</v>
      </c>
      <c r="AD100" s="34">
        <f>IF(AB100&gt;AC100*1.05,AB100-AC100*1.05,IF(AB100&lt;AC100*0.95,AC100*0.95-AB100,0))</f>
        <v/>
      </c>
      <c r="AE100" s="34">
        <f>MAX(F100,G100,750)*0.05*AD100</f>
        <v/>
      </c>
      <c r="AF100" s="34" t="n">
        <v>0</v>
      </c>
      <c r="AG100" s="34">
        <f>IF(AB100&gt;AF100*1.05,AB100-AF100*1.05,IF(AB100&lt;AF100*0.95,AF100*0.95-AB100,0))</f>
        <v/>
      </c>
      <c r="AH100" s="34">
        <f>MAX(I100,J100,750)*0.05*AG100</f>
        <v/>
      </c>
      <c r="AI100" t="n">
        <v>8.24</v>
      </c>
      <c r="AJ100" t="n">
        <v>9</v>
      </c>
      <c r="AK100" s="34">
        <f>IF(AI100&gt;AJ100*1.05,AI100-AJ100*1.05,IF(AI100&lt;AJ100*0.95,AJ100*0.95-AI100,0))</f>
        <v/>
      </c>
      <c r="AL100" s="34">
        <f>MAX(F100,G100,750)*0.05*AK100</f>
        <v/>
      </c>
      <c r="AM100" s="39" t="n">
        <v>8</v>
      </c>
      <c r="AN100" s="34">
        <f>IF(AI100&gt;AM100*1.05,AI100-AM100*1.05,IF(AI100&lt;AM100*0.95,AM100*0.95-AI100,0))</f>
        <v/>
      </c>
      <c r="AO100" s="34">
        <f>MAX(F100,G100,750)*0.05*AN100</f>
        <v/>
      </c>
      <c r="AP100" s="34" t="n">
        <v>12.11</v>
      </c>
      <c r="AQ100" s="34" t="n">
        <v>12</v>
      </c>
      <c r="AR100" s="34">
        <f>IF(AP100&gt;AQ100*1.05,AP100-AQ100*1.05,IF(AP100&lt;AQ100*0.95,AQ100*0.95-AP100,0))</f>
        <v/>
      </c>
      <c r="AS100" s="34">
        <f>MAX(F100:G100,750)*0.05*AR100</f>
        <v/>
      </c>
      <c r="AT100" t="n">
        <v>12</v>
      </c>
      <c r="AU100" s="34">
        <f>IF(AP100&gt;AT100*1.05,AP100-AT100*1.05,IF(AP100&lt;AT100*0.95,AT100*0.95-AP100,0))</f>
        <v/>
      </c>
      <c r="AV100" s="34">
        <f>MAX(F100:G100,750)*0.05*AU100</f>
        <v/>
      </c>
      <c r="AW100" s="34">
        <f>AC100+AJ100+AQ100</f>
        <v/>
      </c>
      <c r="AX100" s="34">
        <f>AF100+AM100+AT100</f>
        <v/>
      </c>
      <c r="AY100" s="34">
        <f>AB100+AI100+AP100</f>
        <v/>
      </c>
      <c r="AZ100" s="34" t="n">
        <v>0</v>
      </c>
      <c r="BA100" s="34">
        <f>AD100+AK100+AR100</f>
        <v/>
      </c>
      <c r="BB100" s="34">
        <f>MAX(F100:G100,750)*0.05*BA100</f>
        <v/>
      </c>
      <c r="BC100" s="34">
        <f>AG100+AN100+AU100</f>
        <v/>
      </c>
      <c r="BD100" s="34">
        <f>MAX(F100:G100,750)*0.05*BC100</f>
        <v/>
      </c>
      <c r="BE100" s="34">
        <f>F100*AY100</f>
        <v/>
      </c>
      <c r="BF100" s="34">
        <f>K100-M100</f>
        <v/>
      </c>
      <c r="BG100" s="34">
        <f>P100-S100</f>
        <v/>
      </c>
      <c r="BH100" s="34">
        <f>W100-AA100</f>
        <v/>
      </c>
      <c r="BI100" s="34">
        <f>BF100+BG100+BL100-BN100</f>
        <v/>
      </c>
      <c r="BJ100" s="34">
        <f>ABS(BK100)</f>
        <v/>
      </c>
      <c r="BK100" s="34">
        <f>AY100-(J100-L100+N100-Q100)</f>
        <v/>
      </c>
      <c r="BL100" s="34">
        <f>IF(AND(BK100&gt;0,MIN($F100:$G100)&lt;150,$E100="Enerji Açığı"),-100*BK100*1.03,IF(AND(BK100&gt;0,MIN($F100:$G100)&lt;150,$E100="Enerji Fazlası"),-100*BK100*1.06,IF(AND(BK100&gt;0,MIN($F100:$G100)&gt;=150,$E100="Enerji Açığı"),BK100*MIN($F100:$G100)*0.97,IF(AND(BK100&gt;0,MIN($F100:$G100)&gt;=150,$E100="Enerji Fazlası"),BK100*MIN($F100:$G100)*0.94,IF(AND(BK100&lt;0,MAX($F100:$G100)=4500,$E100="Enerji Açığı"),4500*1.05*1.06*BK100,IF(AND(BK100&lt;0,MAX($F100:$G100)=4500,$E100="Enerji Fazlası"),4500*1.05*1.03*BK100,IF(AND(BK100&lt;0,$E100="Enerji Açığı"),MAX($F100,$G100,150)*BK100*1.06,IF(AND(BK100&lt;0,$E100="Enerji Fazlası"),MAX($F100,$G100,150)*BK100*1.03,IF(AND(BK100&lt;0,$E100="Dengede"),MAX($F100:$G100,150)*1.03*BK100,MIN($F100:$G100)*0.97*BK100)))))))))</f>
        <v/>
      </c>
      <c r="BM100" s="34">
        <f>BE100-BI100-BN100</f>
        <v/>
      </c>
      <c r="BN100" s="34">
        <f>BB100</f>
        <v/>
      </c>
      <c r="BO100" s="34">
        <f>BE100-BI100</f>
        <v/>
      </c>
      <c r="BP100" s="34">
        <f>IF(AY100=0,0,BO100/AY100)</f>
        <v/>
      </c>
      <c r="BQ100" s="34">
        <f>MAX((AY100+MAX((-J100+L100-N100+Q100),0)),(MAX((J100-L100+N100-Q100),0)))</f>
        <v/>
      </c>
      <c r="BR100" s="82">
        <f>IFERROR(ABS(BK100/BQ100),0)</f>
        <v/>
      </c>
      <c r="BS100" s="34">
        <f>IF(BR100&lt;=0.1,0,BK100/BR100*(BR100-0.1))</f>
        <v/>
      </c>
      <c r="BT100" s="34">
        <f>IF((BS100)&lt;0,MAX(F100:G100)*(BS100)*1.03,MIN(F100:G100)*(BS100)*0.97)</f>
        <v/>
      </c>
      <c r="BU100" s="34">
        <f>IF(BR100&gt;0.1,1,0)</f>
        <v/>
      </c>
      <c r="BV100" s="34">
        <f>BF100+BG100+BH100+BY100-CA100</f>
        <v/>
      </c>
      <c r="BW100" s="34">
        <f>ABS(BX100)</f>
        <v/>
      </c>
      <c r="BX100" s="34">
        <f>AY100-(J100-L100+N100-Q100+T100-X100)</f>
        <v/>
      </c>
      <c r="BY100" s="34">
        <f>IF(AND(BX100&gt;0,MIN($F100:$G100)&lt;150,$E100="Enerji Açığı"),-100*BX100*1.03,IF(AND(BX100&gt;0,MIN($F100:$G100)&lt;150,$E100="Enerji Fazlası"),-100*BX100*1.06,IF(AND(BX100&gt;0,MIN($F100:$G100)&gt;=150,$E100="Enerji Açığı"),BX100*MIN($F100:$G100)*0.97,IF(AND(BX100&gt;0,MIN($F100:$G100)&gt;=150,$E100="Enerji Fazlası"),BX100*MIN($F100:$G100)*0.94,IF(AND(BX100&lt;0,MAX($F100:$G100)=4500,$E100="Enerji Açığı"),4500*1.05*1.06*BX100,IF(AND(BX100&lt;0,MAX($F100:$G100)=4500,$E100="Enerji Fazlası"),4500*1.05*1.03*BX100,IF(AND(BX100&lt;0,$E100="Enerji Açığı"),MAX($F100,$G100,150)*BX100*1.06,IF(AND(BX100&lt;0,$E100="Enerji Fazlası"),MAX($F100,$G100,150)*BX100*1.03,IF(AND(BX100&lt;0,$E100="Dengede"),MAX($F100:$G100,150)*1.03*BX100,MIN($F100:$G100)*0.97*BX100)))))))))</f>
        <v/>
      </c>
      <c r="BZ100" s="34">
        <f>BE100-BV100-CA100</f>
        <v/>
      </c>
      <c r="CA100" s="34">
        <f>BD100</f>
        <v/>
      </c>
      <c r="CB100" s="33">
        <f>BE100-BV100</f>
        <v/>
      </c>
      <c r="CC100" s="34">
        <f>IF(AY100=0,0,CB100/AY100)</f>
        <v/>
      </c>
      <c r="CD100" s="34">
        <f>MAX((AY100+MAX((-J100+L100-N100+Q100-T100+X100),0)),(MAX((J100-L100+N100-Q100+T100-X100),0)))</f>
        <v/>
      </c>
      <c r="CE100" s="82">
        <f>IFERROR(ABS(BX100/CD100),0)</f>
        <v/>
      </c>
      <c r="CF100" s="34">
        <f>IF(CE100&lt;=0.1,0,BX100/CE100*(CE100-0.1))</f>
        <v/>
      </c>
      <c r="CG100" s="34">
        <f>IF((CF100)&lt;0,MAX(F100:G100)*(CF100)*1.03,MIN(F100:G100)*(CF100)*0.97)</f>
        <v/>
      </c>
      <c r="CH100" s="34">
        <f>IF(CE100&gt;0.1,1,0)</f>
        <v/>
      </c>
      <c r="CI100" s="34">
        <f>(F100*BX100)-BY100</f>
        <v/>
      </c>
      <c r="CJ100" s="34">
        <f>IF(AY100=0,0,CI100/AY100)</f>
        <v/>
      </c>
    </row>
    <row r="101">
      <c r="A101" s="29" t="n">
        <v>46208.08333333334</v>
      </c>
      <c r="B101" s="29" t="inlineStr">
        <is>
          <t>02:00</t>
        </is>
      </c>
      <c r="C101" s="35">
        <f>INT(A101)</f>
        <v/>
      </c>
      <c r="D101" s="36">
        <f>MONTH(A101)</f>
        <v/>
      </c>
      <c r="E101" s="147">
        <f>[1]FİYATLAR!G100</f>
        <v/>
      </c>
      <c r="F101" s="30" t="n">
        <v>1900</v>
      </c>
      <c r="G101" s="30" t="n">
        <v>600</v>
      </c>
      <c r="H101" s="30" t="n">
        <v>40.74</v>
      </c>
      <c r="I101" s="30" t="n">
        <v>1721.41</v>
      </c>
      <c r="J101" s="119" t="n">
        <v>0</v>
      </c>
      <c r="K101" s="34">
        <f>F101*J101</f>
        <v/>
      </c>
      <c r="L101" s="119" t="n">
        <v>0</v>
      </c>
      <c r="M101" s="34">
        <f>L101*F101</f>
        <v/>
      </c>
      <c r="N101" s="119" t="n">
        <v>21</v>
      </c>
      <c r="O101" s="34">
        <f>F101</f>
        <v/>
      </c>
      <c r="P101" s="34">
        <f>N101*O101</f>
        <v/>
      </c>
      <c r="Q101" s="117" t="n">
        <v>0</v>
      </c>
      <c r="R101" s="34">
        <f>F101</f>
        <v/>
      </c>
      <c r="S101" s="34">
        <f>R101*Q101</f>
        <v/>
      </c>
      <c r="T101" s="34">
        <f>SUMIFS('[1]GİP VERİLERİ'!$C:$C,'[1]GİP VERİLERİ'!$B:$B,A101,'[1]GİP VERİLERİ'!$M:$M,"40X000000104782K",'[1]GİP VERİLERİ'!$G:$G,"SELL")</f>
        <v/>
      </c>
      <c r="U101" s="34">
        <f>IFERROR(W101/T101,0)</f>
        <v/>
      </c>
      <c r="V101" s="34">
        <f>IF(U101=0,0,U101-F101)</f>
        <v/>
      </c>
      <c r="W101" s="34">
        <f>SUMIFS('[1]GİP VERİLERİ'!$O:$O,'[1]GİP VERİLERİ'!$B:$B,A101,'[1]GİP VERİLERİ'!$M:$M,"40X000000104782K",'[1]GİP VERİLERİ'!$G:$G,"SELL")</f>
        <v/>
      </c>
      <c r="X101" s="34">
        <f>SUMIFS('[1]GİP VERİLERİ'!$C:$C,'[1]GİP VERİLERİ'!$B:$B,A101,'[1]GİP VERİLERİ'!$M:$M,"40X000000104782K",'[1]GİP VERİLERİ'!$G:$G,"BUY")</f>
        <v/>
      </c>
      <c r="Y101" s="34">
        <f>IFERROR(AA101/X101,0)</f>
        <v/>
      </c>
      <c r="Z101" s="34">
        <f>IF(Y101=0,0,F101-Y101)</f>
        <v/>
      </c>
      <c r="AA101" s="34">
        <f>SUMIFS('[1]GİP VERİLERİ'!$O:$O,'[1]GİP VERİLERİ'!$B:$B,A101,'[1]GİP VERİLERİ'!$M:$M,"40X000000104782K",'[1]GİP VERİLERİ'!$G:$G,"BUY")</f>
        <v/>
      </c>
      <c r="AB101" s="34" t="n">
        <v>0</v>
      </c>
      <c r="AC101" s="34" t="n">
        <v>0</v>
      </c>
      <c r="AD101" s="34">
        <f>IF(AB101&gt;AC101*1.05,AB101-AC101*1.05,IF(AB101&lt;AC101*0.95,AC101*0.95-AB101,0))</f>
        <v/>
      </c>
      <c r="AE101" s="34">
        <f>MAX(F101,G101,750)*0.05*AD101</f>
        <v/>
      </c>
      <c r="AF101" s="34" t="n">
        <v>0</v>
      </c>
      <c r="AG101" s="34">
        <f>IF(AB101&gt;AF101*1.05,AB101-AF101*1.05,IF(AB101&lt;AF101*0.95,AF101*0.95-AB101,0))</f>
        <v/>
      </c>
      <c r="AH101" s="34">
        <f>MAX(I101,J101,750)*0.05*AG101</f>
        <v/>
      </c>
      <c r="AI101" t="n">
        <v>8.26</v>
      </c>
      <c r="AJ101" t="n">
        <v>9</v>
      </c>
      <c r="AK101" s="34">
        <f>IF(AI101&gt;AJ101*1.05,AI101-AJ101*1.05,IF(AI101&lt;AJ101*0.95,AJ101*0.95-AI101,0))</f>
        <v/>
      </c>
      <c r="AL101" s="34">
        <f>MAX(F101,G101,750)*0.05*AK101</f>
        <v/>
      </c>
      <c r="AM101" s="39" t="n">
        <v>8</v>
      </c>
      <c r="AN101" s="34">
        <f>IF(AI101&gt;AM101*1.05,AI101-AM101*1.05,IF(AI101&lt;AM101*0.95,AM101*0.95-AI101,0))</f>
        <v/>
      </c>
      <c r="AO101" s="34">
        <f>MAX(F101,G101,750)*0.05*AN101</f>
        <v/>
      </c>
      <c r="AP101" s="34" t="n">
        <v>12.05</v>
      </c>
      <c r="AQ101" s="34" t="n">
        <v>12</v>
      </c>
      <c r="AR101" s="34">
        <f>IF(AP101&gt;AQ101*1.05,AP101-AQ101*1.05,IF(AP101&lt;AQ101*0.95,AQ101*0.95-AP101,0))</f>
        <v/>
      </c>
      <c r="AS101" s="34">
        <f>MAX(F101:G101,750)*0.05*AR101</f>
        <v/>
      </c>
      <c r="AT101" t="n">
        <v>12</v>
      </c>
      <c r="AU101" s="34">
        <f>IF(AP101&gt;AT101*1.05,AP101-AT101*1.05,IF(AP101&lt;AT101*0.95,AT101*0.95-AP101,0))</f>
        <v/>
      </c>
      <c r="AV101" s="34">
        <f>MAX(F101:G101,750)*0.05*AU101</f>
        <v/>
      </c>
      <c r="AW101" s="34">
        <f>AC101+AJ101+AQ101</f>
        <v/>
      </c>
      <c r="AX101" s="34">
        <f>AF101+AM101+AT101</f>
        <v/>
      </c>
      <c r="AY101" s="34">
        <f>AB101+AI101+AP101</f>
        <v/>
      </c>
      <c r="AZ101" s="34" t="n">
        <v>0</v>
      </c>
      <c r="BA101" s="34">
        <f>AD101+AK101+AR101</f>
        <v/>
      </c>
      <c r="BB101" s="34">
        <f>MAX(F101:G101,750)*0.05*BA101</f>
        <v/>
      </c>
      <c r="BC101" s="34">
        <f>AG101+AN101+AU101</f>
        <v/>
      </c>
      <c r="BD101" s="34">
        <f>MAX(F101:G101,750)*0.05*BC101</f>
        <v/>
      </c>
      <c r="BE101" s="34">
        <f>F101*AY101</f>
        <v/>
      </c>
      <c r="BF101" s="34">
        <f>K101-M101</f>
        <v/>
      </c>
      <c r="BG101" s="34">
        <f>P101-S101</f>
        <v/>
      </c>
      <c r="BH101" s="34">
        <f>W101-AA101</f>
        <v/>
      </c>
      <c r="BI101" s="34">
        <f>BF101+BG101+BL101-BN101</f>
        <v/>
      </c>
      <c r="BJ101" s="34">
        <f>ABS(BK101)</f>
        <v/>
      </c>
      <c r="BK101" s="34">
        <f>AY101-(J101-L101+N101-Q101)</f>
        <v/>
      </c>
      <c r="BL101" s="34">
        <f>IF(AND(BK101&gt;0,MIN($F101:$G101)&lt;150,$E101="Enerji Açığı"),-100*BK101*1.03,IF(AND(BK101&gt;0,MIN($F101:$G101)&lt;150,$E101="Enerji Fazlası"),-100*BK101*1.06,IF(AND(BK101&gt;0,MIN($F101:$G101)&gt;=150,$E101="Enerji Açığı"),BK101*MIN($F101:$G101)*0.97,IF(AND(BK101&gt;0,MIN($F101:$G101)&gt;=150,$E101="Enerji Fazlası"),BK101*MIN($F101:$G101)*0.94,IF(AND(BK101&lt;0,MAX($F101:$G101)=4500,$E101="Enerji Açığı"),4500*1.05*1.06*BK101,IF(AND(BK101&lt;0,MAX($F101:$G101)=4500,$E101="Enerji Fazlası"),4500*1.05*1.03*BK101,IF(AND(BK101&lt;0,$E101="Enerji Açığı"),MAX($F101,$G101,150)*BK101*1.06,IF(AND(BK101&lt;0,$E101="Enerji Fazlası"),MAX($F101,$G101,150)*BK101*1.03,IF(AND(BK101&lt;0,$E101="Dengede"),MAX($F101:$G101,150)*1.03*BK101,MIN($F101:$G101)*0.97*BK101)))))))))</f>
        <v/>
      </c>
      <c r="BM101" s="34">
        <f>BE101-BI101-BN101</f>
        <v/>
      </c>
      <c r="BN101" s="34">
        <f>BB101</f>
        <v/>
      </c>
      <c r="BO101" s="34">
        <f>BE101-BI101</f>
        <v/>
      </c>
      <c r="BP101" s="34">
        <f>IF(AY101=0,0,BO101/AY101)</f>
        <v/>
      </c>
      <c r="BQ101" s="34">
        <f>MAX((AY101+MAX((-J101+L101-N101+Q101),0)),(MAX((J101-L101+N101-Q101),0)))</f>
        <v/>
      </c>
      <c r="BR101" s="82">
        <f>IFERROR(ABS(BK101/BQ101),0)</f>
        <v/>
      </c>
      <c r="BS101" s="34">
        <f>IF(BR101&lt;=0.1,0,BK101/BR101*(BR101-0.1))</f>
        <v/>
      </c>
      <c r="BT101" s="34">
        <f>IF((BS101)&lt;0,MAX(F101:G101)*(BS101)*1.03,MIN(F101:G101)*(BS101)*0.97)</f>
        <v/>
      </c>
      <c r="BU101" s="34">
        <f>IF(BR101&gt;0.1,1,0)</f>
        <v/>
      </c>
      <c r="BV101" s="34">
        <f>BF101+BG101+BH101+BY101-CA101</f>
        <v/>
      </c>
      <c r="BW101" s="34">
        <f>ABS(BX101)</f>
        <v/>
      </c>
      <c r="BX101" s="34">
        <f>AY101-(J101-L101+N101-Q101+T101-X101)</f>
        <v/>
      </c>
      <c r="BY101" s="34">
        <f>IF(AND(BX101&gt;0,MIN($F101:$G101)&lt;150,$E101="Enerji Açığı"),-100*BX101*1.03,IF(AND(BX101&gt;0,MIN($F101:$G101)&lt;150,$E101="Enerji Fazlası"),-100*BX101*1.06,IF(AND(BX101&gt;0,MIN($F101:$G101)&gt;=150,$E101="Enerji Açığı"),BX101*MIN($F101:$G101)*0.97,IF(AND(BX101&gt;0,MIN($F101:$G101)&gt;=150,$E101="Enerji Fazlası"),BX101*MIN($F101:$G101)*0.94,IF(AND(BX101&lt;0,MAX($F101:$G101)=4500,$E101="Enerji Açığı"),4500*1.05*1.06*BX101,IF(AND(BX101&lt;0,MAX($F101:$G101)=4500,$E101="Enerji Fazlası"),4500*1.05*1.03*BX101,IF(AND(BX101&lt;0,$E101="Enerji Açığı"),MAX($F101,$G101,150)*BX101*1.06,IF(AND(BX101&lt;0,$E101="Enerji Fazlası"),MAX($F101,$G101,150)*BX101*1.03,IF(AND(BX101&lt;0,$E101="Dengede"),MAX($F101:$G101,150)*1.03*BX101,MIN($F101:$G101)*0.97*BX101)))))))))</f>
        <v/>
      </c>
      <c r="BZ101" s="34">
        <f>BE101-BV101-CA101</f>
        <v/>
      </c>
      <c r="CA101" s="34">
        <f>BD101</f>
        <v/>
      </c>
      <c r="CB101" s="33">
        <f>BE101-BV101</f>
        <v/>
      </c>
      <c r="CC101" s="34">
        <f>IF(AY101=0,0,CB101/AY101)</f>
        <v/>
      </c>
      <c r="CD101" s="34">
        <f>MAX((AY101+MAX((-J101+L101-N101+Q101-T101+X101),0)),(MAX((J101-L101+N101-Q101+T101-X101),0)))</f>
        <v/>
      </c>
      <c r="CE101" s="82">
        <f>IFERROR(ABS(BX101/CD101),0)</f>
        <v/>
      </c>
      <c r="CF101" s="34">
        <f>IF(CE101&lt;=0.1,0,BX101/CE101*(CE101-0.1))</f>
        <v/>
      </c>
      <c r="CG101" s="34">
        <f>IF((CF101)&lt;0,MAX(F101:G101)*(CF101)*1.03,MIN(F101:G101)*(CF101)*0.97)</f>
        <v/>
      </c>
      <c r="CH101" s="34">
        <f>IF(CE101&gt;0.1,1,0)</f>
        <v/>
      </c>
      <c r="CI101" s="34">
        <f>(F101*BX101)-BY101</f>
        <v/>
      </c>
      <c r="CJ101" s="34">
        <f>IF(AY101=0,0,CI101/AY101)</f>
        <v/>
      </c>
    </row>
    <row r="102">
      <c r="A102" s="29" t="n">
        <v>46208.125</v>
      </c>
      <c r="B102" s="29" t="inlineStr">
        <is>
          <t>03:00</t>
        </is>
      </c>
      <c r="C102" s="35">
        <f>INT(A102)</f>
        <v/>
      </c>
      <c r="D102" s="36">
        <f>MONTH(A102)</f>
        <v/>
      </c>
      <c r="E102" s="147">
        <f>[1]FİYATLAR!G101</f>
        <v/>
      </c>
      <c r="F102" s="30" t="n">
        <v>2425.09</v>
      </c>
      <c r="G102" s="30" t="n">
        <v>500</v>
      </c>
      <c r="H102" s="30" t="n">
        <v>52</v>
      </c>
      <c r="I102" s="30" t="n">
        <v>2203.76</v>
      </c>
      <c r="J102" s="119" t="n">
        <v>0</v>
      </c>
      <c r="K102" s="34">
        <f>F102*J102</f>
        <v/>
      </c>
      <c r="L102" s="119" t="n">
        <v>0</v>
      </c>
      <c r="M102" s="34">
        <f>L102*F102</f>
        <v/>
      </c>
      <c r="N102" s="119" t="n">
        <v>20</v>
      </c>
      <c r="O102" s="34">
        <f>F102</f>
        <v/>
      </c>
      <c r="P102" s="34">
        <f>N102*O102</f>
        <v/>
      </c>
      <c r="Q102" s="117" t="n">
        <v>0</v>
      </c>
      <c r="R102" s="34">
        <f>F102</f>
        <v/>
      </c>
      <c r="S102" s="34">
        <f>R102*Q102</f>
        <v/>
      </c>
      <c r="T102" s="34">
        <f>SUMIFS('[1]GİP VERİLERİ'!$C:$C,'[1]GİP VERİLERİ'!$B:$B,A102,'[1]GİP VERİLERİ'!$M:$M,"40X000000104782K",'[1]GİP VERİLERİ'!$G:$G,"SELL")</f>
        <v/>
      </c>
      <c r="U102" s="34">
        <f>IFERROR(W102/T102,0)</f>
        <v/>
      </c>
      <c r="V102" s="34">
        <f>IF(U102=0,0,U102-F102)</f>
        <v/>
      </c>
      <c r="W102" s="34">
        <f>SUMIFS('[1]GİP VERİLERİ'!$O:$O,'[1]GİP VERİLERİ'!$B:$B,A102,'[1]GİP VERİLERİ'!$M:$M,"40X000000104782K",'[1]GİP VERİLERİ'!$G:$G,"SELL")</f>
        <v/>
      </c>
      <c r="X102" s="34">
        <f>SUMIFS('[1]GİP VERİLERİ'!$C:$C,'[1]GİP VERİLERİ'!$B:$B,A102,'[1]GİP VERİLERİ'!$M:$M,"40X000000104782K",'[1]GİP VERİLERİ'!$G:$G,"BUY")</f>
        <v/>
      </c>
      <c r="Y102" s="34">
        <f>IFERROR(AA102/X102,0)</f>
        <v/>
      </c>
      <c r="Z102" s="34">
        <f>IF(Y102=0,0,F102-Y102)</f>
        <v/>
      </c>
      <c r="AA102" s="34">
        <f>SUMIFS('[1]GİP VERİLERİ'!$O:$O,'[1]GİP VERİLERİ'!$B:$B,A102,'[1]GİP VERİLERİ'!$M:$M,"40X000000104782K",'[1]GİP VERİLERİ'!$G:$G,"BUY")</f>
        <v/>
      </c>
      <c r="AB102" s="34" t="n">
        <v>0</v>
      </c>
      <c r="AC102" s="34" t="n">
        <v>0</v>
      </c>
      <c r="AD102" s="34">
        <f>IF(AB102&gt;AC102*1.05,AB102-AC102*1.05,IF(AB102&lt;AC102*0.95,AC102*0.95-AB102,0))</f>
        <v/>
      </c>
      <c r="AE102" s="34">
        <f>MAX(F102,G102,750)*0.05*AD102</f>
        <v/>
      </c>
      <c r="AF102" s="34" t="n">
        <v>0</v>
      </c>
      <c r="AG102" s="34">
        <f>IF(AB102&gt;AF102*1.05,AB102-AF102*1.05,IF(AB102&lt;AF102*0.95,AF102*0.95-AB102,0))</f>
        <v/>
      </c>
      <c r="AH102" s="34">
        <f>MAX(I102,J102,750)*0.05*AG102</f>
        <v/>
      </c>
      <c r="AI102" t="n">
        <v>9.24</v>
      </c>
      <c r="AJ102" t="n">
        <v>9</v>
      </c>
      <c r="AK102" s="34">
        <f>IF(AI102&gt;AJ102*1.05,AI102-AJ102*1.05,IF(AI102&lt;AJ102*0.95,AJ102*0.95-AI102,0))</f>
        <v/>
      </c>
      <c r="AL102" s="34">
        <f>MAX(F102,G102,750)*0.05*AK102</f>
        <v/>
      </c>
      <c r="AM102" s="39" t="n">
        <v>9</v>
      </c>
      <c r="AN102" s="34">
        <f>IF(AI102&gt;AM102*1.05,AI102-AM102*1.05,IF(AI102&lt;AM102*0.95,AM102*0.95-AI102,0))</f>
        <v/>
      </c>
      <c r="AO102" s="34">
        <f>MAX(F102,G102,750)*0.05*AN102</f>
        <v/>
      </c>
      <c r="AP102" s="34" t="n">
        <v>12.09</v>
      </c>
      <c r="AQ102" s="34" t="n">
        <v>11</v>
      </c>
      <c r="AR102" s="34">
        <f>IF(AP102&gt;AQ102*1.05,AP102-AQ102*1.05,IF(AP102&lt;AQ102*0.95,AQ102*0.95-AP102,0))</f>
        <v/>
      </c>
      <c r="AS102" s="34">
        <f>MAX(F102:G102,750)*0.05*AR102</f>
        <v/>
      </c>
      <c r="AT102" t="n">
        <v>12</v>
      </c>
      <c r="AU102" s="34">
        <f>IF(AP102&gt;AT102*1.05,AP102-AT102*1.05,IF(AP102&lt;AT102*0.95,AT102*0.95-AP102,0))</f>
        <v/>
      </c>
      <c r="AV102" s="34">
        <f>MAX(F102:G102,750)*0.05*AU102</f>
        <v/>
      </c>
      <c r="AW102" s="34">
        <f>AC102+AJ102+AQ102</f>
        <v/>
      </c>
      <c r="AX102" s="34">
        <f>AF102+AM102+AT102</f>
        <v/>
      </c>
      <c r="AY102" s="34">
        <f>AB102+AI102+AP102</f>
        <v/>
      </c>
      <c r="AZ102" s="34" t="n">
        <v>0</v>
      </c>
      <c r="BA102" s="34">
        <f>AD102+AK102+AR102</f>
        <v/>
      </c>
      <c r="BB102" s="34">
        <f>MAX(F102:G102,750)*0.05*BA102</f>
        <v/>
      </c>
      <c r="BC102" s="34">
        <f>AG102+AN102+AU102</f>
        <v/>
      </c>
      <c r="BD102" s="34">
        <f>MAX(F102:G102,750)*0.05*BC102</f>
        <v/>
      </c>
      <c r="BE102" s="34">
        <f>F102*AY102</f>
        <v/>
      </c>
      <c r="BF102" s="34">
        <f>K102-M102</f>
        <v/>
      </c>
      <c r="BG102" s="34">
        <f>P102-S102</f>
        <v/>
      </c>
      <c r="BH102" s="34">
        <f>W102-AA102</f>
        <v/>
      </c>
      <c r="BI102" s="34">
        <f>BF102+BG102+BL102-BN102</f>
        <v/>
      </c>
      <c r="BJ102" s="34">
        <f>ABS(BK102)</f>
        <v/>
      </c>
      <c r="BK102" s="34">
        <f>AY102-(J102-L102+N102-Q102)</f>
        <v/>
      </c>
      <c r="BL102" s="34">
        <f>IF(AND(BK102&gt;0,MIN($F102:$G102)&lt;150,$E102="Enerji Açığı"),-100*BK102*1.03,IF(AND(BK102&gt;0,MIN($F102:$G102)&lt;150,$E102="Enerji Fazlası"),-100*BK102*1.06,IF(AND(BK102&gt;0,MIN($F102:$G102)&gt;=150,$E102="Enerji Açığı"),BK102*MIN($F102:$G102)*0.97,IF(AND(BK102&gt;0,MIN($F102:$G102)&gt;=150,$E102="Enerji Fazlası"),BK102*MIN($F102:$G102)*0.94,IF(AND(BK102&lt;0,MAX($F102:$G102)=4500,$E102="Enerji Açığı"),4500*1.05*1.06*BK102,IF(AND(BK102&lt;0,MAX($F102:$G102)=4500,$E102="Enerji Fazlası"),4500*1.05*1.03*BK102,IF(AND(BK102&lt;0,$E102="Enerji Açığı"),MAX($F102,$G102,150)*BK102*1.06,IF(AND(BK102&lt;0,$E102="Enerji Fazlası"),MAX($F102,$G102,150)*BK102*1.03,IF(AND(BK102&lt;0,$E102="Dengede"),MAX($F102:$G102,150)*1.03*BK102,MIN($F102:$G102)*0.97*BK102)))))))))</f>
        <v/>
      </c>
      <c r="BM102" s="34">
        <f>BE102-BI102-BN102</f>
        <v/>
      </c>
      <c r="BN102" s="34">
        <f>BB102</f>
        <v/>
      </c>
      <c r="BO102" s="34">
        <f>BE102-BI102</f>
        <v/>
      </c>
      <c r="BP102" s="34">
        <f>IF(AY102=0,0,BO102/AY102)</f>
        <v/>
      </c>
      <c r="BQ102" s="34">
        <f>MAX((AY102+MAX((-J102+L102-N102+Q102),0)),(MAX((J102-L102+N102-Q102),0)))</f>
        <v/>
      </c>
      <c r="BR102" s="82">
        <f>IFERROR(ABS(BK102/BQ102),0)</f>
        <v/>
      </c>
      <c r="BS102" s="34">
        <f>IF(BR102&lt;=0.1,0,BK102/BR102*(BR102-0.1))</f>
        <v/>
      </c>
      <c r="BT102" s="34">
        <f>IF((BS102)&lt;0,MAX(F102:G102)*(BS102)*1.03,MIN(F102:G102)*(BS102)*0.97)</f>
        <v/>
      </c>
      <c r="BU102" s="34">
        <f>IF(BR102&gt;0.1,1,0)</f>
        <v/>
      </c>
      <c r="BV102" s="34">
        <f>BF102+BG102+BH102+BY102-CA102</f>
        <v/>
      </c>
      <c r="BW102" s="34">
        <f>ABS(BX102)</f>
        <v/>
      </c>
      <c r="BX102" s="34">
        <f>AY102-(J102-L102+N102-Q102+T102-X102)</f>
        <v/>
      </c>
      <c r="BY102" s="34">
        <f>IF(AND(BX102&gt;0,MIN($F102:$G102)&lt;150,$E102="Enerji Açığı"),-100*BX102*1.03,IF(AND(BX102&gt;0,MIN($F102:$G102)&lt;150,$E102="Enerji Fazlası"),-100*BX102*1.06,IF(AND(BX102&gt;0,MIN($F102:$G102)&gt;=150,$E102="Enerji Açığı"),BX102*MIN($F102:$G102)*0.97,IF(AND(BX102&gt;0,MIN($F102:$G102)&gt;=150,$E102="Enerji Fazlası"),BX102*MIN($F102:$G102)*0.94,IF(AND(BX102&lt;0,MAX($F102:$G102)=4500,$E102="Enerji Açığı"),4500*1.05*1.06*BX102,IF(AND(BX102&lt;0,MAX($F102:$G102)=4500,$E102="Enerji Fazlası"),4500*1.05*1.03*BX102,IF(AND(BX102&lt;0,$E102="Enerji Açığı"),MAX($F102,$G102,150)*BX102*1.06,IF(AND(BX102&lt;0,$E102="Enerji Fazlası"),MAX($F102,$G102,150)*BX102*1.03,IF(AND(BX102&lt;0,$E102="Dengede"),MAX($F102:$G102,150)*1.03*BX102,MIN($F102:$G102)*0.97*BX102)))))))))</f>
        <v/>
      </c>
      <c r="BZ102" s="34">
        <f>BE102-BV102-CA102</f>
        <v/>
      </c>
      <c r="CA102" s="34">
        <f>BD102</f>
        <v/>
      </c>
      <c r="CB102" s="33">
        <f>BE102-BV102</f>
        <v/>
      </c>
      <c r="CC102" s="34">
        <f>IF(AY102=0,0,CB102/AY102)</f>
        <v/>
      </c>
      <c r="CD102" s="34">
        <f>MAX((AY102+MAX((-J102+L102-N102+Q102-T102+X102),0)),(MAX((J102-L102+N102-Q102+T102-X102),0)))</f>
        <v/>
      </c>
      <c r="CE102" s="82">
        <f>IFERROR(ABS(BX102/CD102),0)</f>
        <v/>
      </c>
      <c r="CF102" s="34">
        <f>IF(CE102&lt;=0.1,0,BX102/CE102*(CE102-0.1))</f>
        <v/>
      </c>
      <c r="CG102" s="34">
        <f>IF((CF102)&lt;0,MAX(F102:G102)*(CF102)*1.03,MIN(F102:G102)*(CF102)*0.97)</f>
        <v/>
      </c>
      <c r="CH102" s="34">
        <f>IF(CE102&gt;0.1,1,0)</f>
        <v/>
      </c>
      <c r="CI102" s="34">
        <f>(F102*BX102)-BY102</f>
        <v/>
      </c>
      <c r="CJ102" s="34">
        <f>IF(AY102=0,0,CI102/AY102)</f>
        <v/>
      </c>
    </row>
    <row r="103">
      <c r="A103" s="29" t="n">
        <v>46208.16666666666</v>
      </c>
      <c r="B103" s="29" t="inlineStr">
        <is>
          <t>04:00</t>
        </is>
      </c>
      <c r="C103" s="35">
        <f>INT(A103)</f>
        <v/>
      </c>
      <c r="D103" s="36">
        <f>MONTH(A103)</f>
        <v/>
      </c>
      <c r="E103" s="147">
        <f>[1]FİYATLAR!G102</f>
        <v/>
      </c>
      <c r="F103" s="30" t="n">
        <v>1708.64</v>
      </c>
      <c r="G103" s="30" t="n">
        <v>500</v>
      </c>
      <c r="H103" s="30" t="n">
        <v>36.64</v>
      </c>
      <c r="I103" s="30" t="n">
        <v>1446.73</v>
      </c>
      <c r="J103" s="119" t="n">
        <v>0</v>
      </c>
      <c r="K103" s="34">
        <f>F103*J103</f>
        <v/>
      </c>
      <c r="L103" s="119" t="n">
        <v>0</v>
      </c>
      <c r="M103" s="34">
        <f>L103*F103</f>
        <v/>
      </c>
      <c r="N103" s="119" t="n">
        <v>20</v>
      </c>
      <c r="O103" s="34">
        <f>F103</f>
        <v/>
      </c>
      <c r="P103" s="34">
        <f>N103*O103</f>
        <v/>
      </c>
      <c r="Q103" s="117" t="n">
        <v>0</v>
      </c>
      <c r="R103" s="34">
        <f>F103</f>
        <v/>
      </c>
      <c r="S103" s="34">
        <f>R103*Q103</f>
        <v/>
      </c>
      <c r="T103" s="34">
        <f>SUMIFS('[1]GİP VERİLERİ'!$C:$C,'[1]GİP VERİLERİ'!$B:$B,A103,'[1]GİP VERİLERİ'!$M:$M,"40X000000104782K",'[1]GİP VERİLERİ'!$G:$G,"SELL")</f>
        <v/>
      </c>
      <c r="U103" s="34">
        <f>IFERROR(W103/T103,0)</f>
        <v/>
      </c>
      <c r="V103" s="34">
        <f>IF(U103=0,0,U103-F103)</f>
        <v/>
      </c>
      <c r="W103" s="34">
        <f>SUMIFS('[1]GİP VERİLERİ'!$O:$O,'[1]GİP VERİLERİ'!$B:$B,A103,'[1]GİP VERİLERİ'!$M:$M,"40X000000104782K",'[1]GİP VERİLERİ'!$G:$G,"SELL")</f>
        <v/>
      </c>
      <c r="X103" s="34">
        <f>SUMIFS('[1]GİP VERİLERİ'!$C:$C,'[1]GİP VERİLERİ'!$B:$B,A103,'[1]GİP VERİLERİ'!$M:$M,"40X000000104782K",'[1]GİP VERİLERİ'!$G:$G,"BUY")</f>
        <v/>
      </c>
      <c r="Y103" s="34">
        <f>IFERROR(AA103/X103,0)</f>
        <v/>
      </c>
      <c r="Z103" s="34">
        <f>IF(Y103=0,0,F103-Y103)</f>
        <v/>
      </c>
      <c r="AA103" s="34">
        <f>SUMIFS('[1]GİP VERİLERİ'!$O:$O,'[1]GİP VERİLERİ'!$B:$B,A103,'[1]GİP VERİLERİ'!$M:$M,"40X000000104782K",'[1]GİP VERİLERİ'!$G:$G,"BUY")</f>
        <v/>
      </c>
      <c r="AB103" s="34" t="n">
        <v>0</v>
      </c>
      <c r="AC103" s="34" t="n">
        <v>0</v>
      </c>
      <c r="AD103" s="34">
        <f>IF(AB103&gt;AC103*1.05,AB103-AC103*1.05,IF(AB103&lt;AC103*0.95,AC103*0.95-AB103,0))</f>
        <v/>
      </c>
      <c r="AE103" s="34">
        <f>MAX(F103,G103,750)*0.05*AD103</f>
        <v/>
      </c>
      <c r="AF103" s="34" t="n">
        <v>0</v>
      </c>
      <c r="AG103" s="34">
        <f>IF(AB103&gt;AF103*1.05,AB103-AF103*1.05,IF(AB103&lt;AF103*0.95,AF103*0.95-AB103,0))</f>
        <v/>
      </c>
      <c r="AH103" s="34">
        <f>MAX(I103,J103,750)*0.05*AG103</f>
        <v/>
      </c>
      <c r="AI103" t="n">
        <v>11.14</v>
      </c>
      <c r="AJ103" t="n">
        <v>9</v>
      </c>
      <c r="AK103" s="34">
        <f>IF(AI103&gt;AJ103*1.05,AI103-AJ103*1.05,IF(AI103&lt;AJ103*0.95,AJ103*0.95-AI103,0))</f>
        <v/>
      </c>
      <c r="AL103" s="34">
        <f>MAX(F103,G103,750)*0.05*AK103</f>
        <v/>
      </c>
      <c r="AM103" s="39" t="n">
        <v>10</v>
      </c>
      <c r="AN103" s="34">
        <f>IF(AI103&gt;AM103*1.05,AI103-AM103*1.05,IF(AI103&lt;AM103*0.95,AM103*0.95-AI103,0))</f>
        <v/>
      </c>
      <c r="AO103" s="34">
        <f>MAX(F103,G103,750)*0.05*AN103</f>
        <v/>
      </c>
      <c r="AP103" s="34" t="n">
        <v>14.19</v>
      </c>
      <c r="AQ103" s="34" t="n">
        <v>11</v>
      </c>
      <c r="AR103" s="34">
        <f>IF(AP103&gt;AQ103*1.05,AP103-AQ103*1.05,IF(AP103&lt;AQ103*0.95,AQ103*0.95-AP103,0))</f>
        <v/>
      </c>
      <c r="AS103" s="34">
        <f>MAX(F103:G103,750)*0.05*AR103</f>
        <v/>
      </c>
      <c r="AT103" t="n">
        <v>14</v>
      </c>
      <c r="AU103" s="34">
        <f>IF(AP103&gt;AT103*1.05,AP103-AT103*1.05,IF(AP103&lt;AT103*0.95,AT103*0.95-AP103,0))</f>
        <v/>
      </c>
      <c r="AV103" s="34">
        <f>MAX(F103:G103,750)*0.05*AU103</f>
        <v/>
      </c>
      <c r="AW103" s="34">
        <f>AC103+AJ103+AQ103</f>
        <v/>
      </c>
      <c r="AX103" s="34">
        <f>AF103+AM103+AT103</f>
        <v/>
      </c>
      <c r="AY103" s="34">
        <f>AB103+AI103+AP103</f>
        <v/>
      </c>
      <c r="AZ103" s="34" t="n">
        <v>0</v>
      </c>
      <c r="BA103" s="34">
        <f>AD103+AK103+AR103</f>
        <v/>
      </c>
      <c r="BB103" s="34">
        <f>MAX(F103:G103,750)*0.05*BA103</f>
        <v/>
      </c>
      <c r="BC103" s="34">
        <f>AG103+AN103+AU103</f>
        <v/>
      </c>
      <c r="BD103" s="34">
        <f>MAX(F103:G103,750)*0.05*BC103</f>
        <v/>
      </c>
      <c r="BE103" s="34">
        <f>F103*AY103</f>
        <v/>
      </c>
      <c r="BF103" s="34">
        <f>K103-M103</f>
        <v/>
      </c>
      <c r="BG103" s="34">
        <f>P103-S103</f>
        <v/>
      </c>
      <c r="BH103" s="34">
        <f>W103-AA103</f>
        <v/>
      </c>
      <c r="BI103" s="34">
        <f>BF103+BG103+BL103-BN103</f>
        <v/>
      </c>
      <c r="BJ103" s="34">
        <f>ABS(BK103)</f>
        <v/>
      </c>
      <c r="BK103" s="34">
        <f>AY103-(J103-L103+N103-Q103)</f>
        <v/>
      </c>
      <c r="BL103" s="34">
        <f>IF(AND(BK103&gt;0,MIN($F103:$G103)&lt;150,$E103="Enerji Açığı"),-100*BK103*1.03,IF(AND(BK103&gt;0,MIN($F103:$G103)&lt;150,$E103="Enerji Fazlası"),-100*BK103*1.06,IF(AND(BK103&gt;0,MIN($F103:$G103)&gt;=150,$E103="Enerji Açığı"),BK103*MIN($F103:$G103)*0.97,IF(AND(BK103&gt;0,MIN($F103:$G103)&gt;=150,$E103="Enerji Fazlası"),BK103*MIN($F103:$G103)*0.94,IF(AND(BK103&lt;0,MAX($F103:$G103)=4500,$E103="Enerji Açığı"),4500*1.05*1.06*BK103,IF(AND(BK103&lt;0,MAX($F103:$G103)=4500,$E103="Enerji Fazlası"),4500*1.05*1.03*BK103,IF(AND(BK103&lt;0,$E103="Enerji Açığı"),MAX($F103,$G103,150)*BK103*1.06,IF(AND(BK103&lt;0,$E103="Enerji Fazlası"),MAX($F103,$G103,150)*BK103*1.03,IF(AND(BK103&lt;0,$E103="Dengede"),MAX($F103:$G103,150)*1.03*BK103,MIN($F103:$G103)*0.97*BK103)))))))))</f>
        <v/>
      </c>
      <c r="BM103" s="34">
        <f>BE103-BI103-BN103</f>
        <v/>
      </c>
      <c r="BN103" s="34">
        <f>BB103</f>
        <v/>
      </c>
      <c r="BO103" s="34">
        <f>BE103-BI103</f>
        <v/>
      </c>
      <c r="BP103" s="34">
        <f>IF(AY103=0,0,BO103/AY103)</f>
        <v/>
      </c>
      <c r="BQ103" s="34">
        <f>MAX((AY103+MAX((-J103+L103-N103+Q103),0)),(MAX((J103-L103+N103-Q103),0)))</f>
        <v/>
      </c>
      <c r="BR103" s="82">
        <f>IFERROR(ABS(BK103/BQ103),0)</f>
        <v/>
      </c>
      <c r="BS103" s="34">
        <f>IF(BR103&lt;=0.1,0,BK103/BR103*(BR103-0.1))</f>
        <v/>
      </c>
      <c r="BT103" s="34">
        <f>IF((BS103)&lt;0,MAX(F103:G103)*(BS103)*1.03,MIN(F103:G103)*(BS103)*0.97)</f>
        <v/>
      </c>
      <c r="BU103" s="34">
        <f>IF(BR103&gt;0.1,1,0)</f>
        <v/>
      </c>
      <c r="BV103" s="34">
        <f>BF103+BG103+BH103+BY103-CA103</f>
        <v/>
      </c>
      <c r="BW103" s="34">
        <f>ABS(BX103)</f>
        <v/>
      </c>
      <c r="BX103" s="34">
        <f>AY103-(J103-L103+N103-Q103+T103-X103)</f>
        <v/>
      </c>
      <c r="BY103" s="34">
        <f>IF(AND(BX103&gt;0,MIN($F103:$G103)&lt;150,$E103="Enerji Açığı"),-100*BX103*1.03,IF(AND(BX103&gt;0,MIN($F103:$G103)&lt;150,$E103="Enerji Fazlası"),-100*BX103*1.06,IF(AND(BX103&gt;0,MIN($F103:$G103)&gt;=150,$E103="Enerji Açığı"),BX103*MIN($F103:$G103)*0.97,IF(AND(BX103&gt;0,MIN($F103:$G103)&gt;=150,$E103="Enerji Fazlası"),BX103*MIN($F103:$G103)*0.94,IF(AND(BX103&lt;0,MAX($F103:$G103)=4500,$E103="Enerji Açığı"),4500*1.05*1.06*BX103,IF(AND(BX103&lt;0,MAX($F103:$G103)=4500,$E103="Enerji Fazlası"),4500*1.05*1.03*BX103,IF(AND(BX103&lt;0,$E103="Enerji Açığı"),MAX($F103,$G103,150)*BX103*1.06,IF(AND(BX103&lt;0,$E103="Enerji Fazlası"),MAX($F103,$G103,150)*BX103*1.03,IF(AND(BX103&lt;0,$E103="Dengede"),MAX($F103:$G103,150)*1.03*BX103,MIN($F103:$G103)*0.97*BX103)))))))))</f>
        <v/>
      </c>
      <c r="BZ103" s="34">
        <f>BE103-BV103-CA103</f>
        <v/>
      </c>
      <c r="CA103" s="34">
        <f>BD103</f>
        <v/>
      </c>
      <c r="CB103" s="33">
        <f>BE103-BV103</f>
        <v/>
      </c>
      <c r="CC103" s="34">
        <f>IF(AY103=0,0,CB103/AY103)</f>
        <v/>
      </c>
      <c r="CD103" s="34">
        <f>MAX((AY103+MAX((-J103+L103-N103+Q103-T103+X103),0)),(MAX((J103-L103+N103-Q103+T103-X103),0)))</f>
        <v/>
      </c>
      <c r="CE103" s="82">
        <f>IFERROR(ABS(BX103/CD103),0)</f>
        <v/>
      </c>
      <c r="CF103" s="34">
        <f>IF(CE103&lt;=0.1,0,BX103/CE103*(CE103-0.1))</f>
        <v/>
      </c>
      <c r="CG103" s="34">
        <f>IF((CF103)&lt;0,MAX(F103:G103)*(CF103)*1.03,MIN(F103:G103)*(CF103)*0.97)</f>
        <v/>
      </c>
      <c r="CH103" s="34">
        <f>IF(CE103&gt;0.1,1,0)</f>
        <v/>
      </c>
      <c r="CI103" s="34">
        <f>(F103*BX103)-BY103</f>
        <v/>
      </c>
      <c r="CJ103" s="34">
        <f>IF(AY103=0,0,CI103/AY103)</f>
        <v/>
      </c>
    </row>
    <row r="104">
      <c r="A104" s="29" t="n">
        <v>46208.20833333334</v>
      </c>
      <c r="B104" s="29" t="inlineStr">
        <is>
          <t>05:00</t>
        </is>
      </c>
      <c r="C104" s="35">
        <f>INT(A104)</f>
        <v/>
      </c>
      <c r="D104" s="36">
        <f>MONTH(A104)</f>
        <v/>
      </c>
      <c r="E104" s="147">
        <f>[1]FİYATLAR!G103</f>
        <v/>
      </c>
      <c r="F104" s="30" t="n">
        <v>1499.97</v>
      </c>
      <c r="G104" s="30" t="n">
        <v>499.99</v>
      </c>
      <c r="H104" s="30" t="n">
        <v>32.16</v>
      </c>
      <c r="I104" s="30" t="n">
        <v>1066.97</v>
      </c>
      <c r="J104" s="119" t="n">
        <v>0</v>
      </c>
      <c r="K104" s="34">
        <f>F104*J104</f>
        <v/>
      </c>
      <c r="L104" s="119" t="n">
        <v>0</v>
      </c>
      <c r="M104" s="34">
        <f>L104*F104</f>
        <v/>
      </c>
      <c r="N104" s="119" t="n">
        <v>20</v>
      </c>
      <c r="O104" s="34">
        <f>F104</f>
        <v/>
      </c>
      <c r="P104" s="34">
        <f>N104*O104</f>
        <v/>
      </c>
      <c r="Q104" s="117" t="n">
        <v>0</v>
      </c>
      <c r="R104" s="34">
        <f>F104</f>
        <v/>
      </c>
      <c r="S104" s="34">
        <f>R104*Q104</f>
        <v/>
      </c>
      <c r="T104" s="34">
        <f>SUMIFS('[1]GİP VERİLERİ'!$C:$C,'[1]GİP VERİLERİ'!$B:$B,A104,'[1]GİP VERİLERİ'!$M:$M,"40X000000104782K",'[1]GİP VERİLERİ'!$G:$G,"SELL")</f>
        <v/>
      </c>
      <c r="U104" s="34">
        <f>IFERROR(W104/T104,0)</f>
        <v/>
      </c>
      <c r="V104" s="34">
        <f>IF(U104=0,0,U104-F104)</f>
        <v/>
      </c>
      <c r="W104" s="34">
        <f>SUMIFS('[1]GİP VERİLERİ'!$O:$O,'[1]GİP VERİLERİ'!$B:$B,A104,'[1]GİP VERİLERİ'!$M:$M,"40X000000104782K",'[1]GİP VERİLERİ'!$G:$G,"SELL")</f>
        <v/>
      </c>
      <c r="X104" s="34">
        <f>SUMIFS('[1]GİP VERİLERİ'!$C:$C,'[1]GİP VERİLERİ'!$B:$B,A104,'[1]GİP VERİLERİ'!$M:$M,"40X000000104782K",'[1]GİP VERİLERİ'!$G:$G,"BUY")</f>
        <v/>
      </c>
      <c r="Y104" s="34">
        <f>IFERROR(AA104/X104,0)</f>
        <v/>
      </c>
      <c r="Z104" s="34">
        <f>IF(Y104=0,0,F104-Y104)</f>
        <v/>
      </c>
      <c r="AA104" s="34">
        <f>SUMIFS('[1]GİP VERİLERİ'!$O:$O,'[1]GİP VERİLERİ'!$B:$B,A104,'[1]GİP VERİLERİ'!$M:$M,"40X000000104782K",'[1]GİP VERİLERİ'!$G:$G,"BUY")</f>
        <v/>
      </c>
      <c r="AB104" s="34" t="n">
        <v>0</v>
      </c>
      <c r="AC104" s="34" t="n">
        <v>0</v>
      </c>
      <c r="AD104" s="34">
        <f>IF(AB104&gt;AC104*1.05,AB104-AC104*1.05,IF(AB104&lt;AC104*0.95,AC104*0.95-AB104,0))</f>
        <v/>
      </c>
      <c r="AE104" s="34">
        <f>MAX(F104,G104,750)*0.05*AD104</f>
        <v/>
      </c>
      <c r="AF104" s="34" t="n">
        <v>0</v>
      </c>
      <c r="AG104" s="34">
        <f>IF(AB104&gt;AF104*1.05,AB104-AF104*1.05,IF(AB104&lt;AF104*0.95,AF104*0.95-AB104,0))</f>
        <v/>
      </c>
      <c r="AH104" s="34">
        <f>MAX(I104,J104,750)*0.05*AG104</f>
        <v/>
      </c>
      <c r="AI104" t="n">
        <v>12.45</v>
      </c>
      <c r="AJ104" t="n">
        <v>9</v>
      </c>
      <c r="AK104" s="34">
        <f>IF(AI104&gt;AJ104*1.05,AI104-AJ104*1.05,IF(AI104&lt;AJ104*0.95,AJ104*0.95-AI104,0))</f>
        <v/>
      </c>
      <c r="AL104" s="34">
        <f>MAX(F104,G104,750)*0.05*AK104</f>
        <v/>
      </c>
      <c r="AM104" s="39" t="n">
        <v>10</v>
      </c>
      <c r="AN104" s="34">
        <f>IF(AI104&gt;AM104*1.05,AI104-AM104*1.05,IF(AI104&lt;AM104*0.95,AM104*0.95-AI104,0))</f>
        <v/>
      </c>
      <c r="AO104" s="34">
        <f>MAX(F104,G104,750)*0.05*AN104</f>
        <v/>
      </c>
      <c r="AP104" s="34" t="n">
        <v>15.17</v>
      </c>
      <c r="AQ104" s="34" t="n">
        <v>11</v>
      </c>
      <c r="AR104" s="34">
        <f>IF(AP104&gt;AQ104*1.05,AP104-AQ104*1.05,IF(AP104&lt;AQ104*0.95,AQ104*0.95-AP104,0))</f>
        <v/>
      </c>
      <c r="AS104" s="34">
        <f>MAX(F104:G104,750)*0.05*AR104</f>
        <v/>
      </c>
      <c r="AT104" t="n">
        <v>15</v>
      </c>
      <c r="AU104" s="34">
        <f>IF(AP104&gt;AT104*1.05,AP104-AT104*1.05,IF(AP104&lt;AT104*0.95,AT104*0.95-AP104,0))</f>
        <v/>
      </c>
      <c r="AV104" s="34">
        <f>MAX(F104:G104,750)*0.05*AU104</f>
        <v/>
      </c>
      <c r="AW104" s="34">
        <f>AC104+AJ104+AQ104</f>
        <v/>
      </c>
      <c r="AX104" s="34">
        <f>AF104+AM104+AT104</f>
        <v/>
      </c>
      <c r="AY104" s="34">
        <f>AB104+AI104+AP104</f>
        <v/>
      </c>
      <c r="AZ104" s="34" t="n">
        <v>0</v>
      </c>
      <c r="BA104" s="34">
        <f>AD104+AK104+AR104</f>
        <v/>
      </c>
      <c r="BB104" s="34">
        <f>MAX(F104:G104,750)*0.05*BA104</f>
        <v/>
      </c>
      <c r="BC104" s="34">
        <f>AG104+AN104+AU104</f>
        <v/>
      </c>
      <c r="BD104" s="34">
        <f>MAX(F104:G104,750)*0.05*BC104</f>
        <v/>
      </c>
      <c r="BE104" s="34">
        <f>F104*AY104</f>
        <v/>
      </c>
      <c r="BF104" s="34">
        <f>K104-M104</f>
        <v/>
      </c>
      <c r="BG104" s="34">
        <f>P104-S104</f>
        <v/>
      </c>
      <c r="BH104" s="34">
        <f>W104-AA104</f>
        <v/>
      </c>
      <c r="BI104" s="34">
        <f>BF104+BG104+BL104-BN104</f>
        <v/>
      </c>
      <c r="BJ104" s="34">
        <f>ABS(BK104)</f>
        <v/>
      </c>
      <c r="BK104" s="34">
        <f>AY104-(J104-L104+N104-Q104)</f>
        <v/>
      </c>
      <c r="BL104" s="34">
        <f>IF(AND(BK104&gt;0,MIN($F104:$G104)&lt;150,$E104="Enerji Açığı"),-100*BK104*1.03,IF(AND(BK104&gt;0,MIN($F104:$G104)&lt;150,$E104="Enerji Fazlası"),-100*BK104*1.06,IF(AND(BK104&gt;0,MIN($F104:$G104)&gt;=150,$E104="Enerji Açığı"),BK104*MIN($F104:$G104)*0.97,IF(AND(BK104&gt;0,MIN($F104:$G104)&gt;=150,$E104="Enerji Fazlası"),BK104*MIN($F104:$G104)*0.94,IF(AND(BK104&lt;0,MAX($F104:$G104)=4500,$E104="Enerji Açığı"),4500*1.05*1.06*BK104,IF(AND(BK104&lt;0,MAX($F104:$G104)=4500,$E104="Enerji Fazlası"),4500*1.05*1.03*BK104,IF(AND(BK104&lt;0,$E104="Enerji Açığı"),MAX($F104,$G104,150)*BK104*1.06,IF(AND(BK104&lt;0,$E104="Enerji Fazlası"),MAX($F104,$G104,150)*BK104*1.03,IF(AND(BK104&lt;0,$E104="Dengede"),MAX($F104:$G104,150)*1.03*BK104,MIN($F104:$G104)*0.97*BK104)))))))))</f>
        <v/>
      </c>
      <c r="BM104" s="34">
        <f>BE104-BI104-BN104</f>
        <v/>
      </c>
      <c r="BN104" s="34">
        <f>BB104</f>
        <v/>
      </c>
      <c r="BO104" s="34">
        <f>BE104-BI104</f>
        <v/>
      </c>
      <c r="BP104" s="34">
        <f>IF(AY104=0,0,BO104/AY104)</f>
        <v/>
      </c>
      <c r="BQ104" s="34">
        <f>MAX((AY104+MAX((-J104+L104-N104+Q104),0)),(MAX((J104-L104+N104-Q104),0)))</f>
        <v/>
      </c>
      <c r="BR104" s="82">
        <f>IFERROR(ABS(BK104/BQ104),0)</f>
        <v/>
      </c>
      <c r="BS104" s="34">
        <f>IF(BR104&lt;=0.1,0,BK104/BR104*(BR104-0.1))</f>
        <v/>
      </c>
      <c r="BT104" s="34">
        <f>IF((BS104)&lt;0,MAX(F104:G104)*(BS104)*1.03,MIN(F104:G104)*(BS104)*0.97)</f>
        <v/>
      </c>
      <c r="BU104" s="34">
        <f>IF(BR104&gt;0.1,1,0)</f>
        <v/>
      </c>
      <c r="BV104" s="34">
        <f>BF104+BG104+BH104+BY104-CA104</f>
        <v/>
      </c>
      <c r="BW104" s="34">
        <f>ABS(BX104)</f>
        <v/>
      </c>
      <c r="BX104" s="34">
        <f>AY104-(J104-L104+N104-Q104+T104-X104)</f>
        <v/>
      </c>
      <c r="BY104" s="34">
        <f>IF(AND(BX104&gt;0,MIN($F104:$G104)&lt;150,$E104="Enerji Açığı"),-100*BX104*1.03,IF(AND(BX104&gt;0,MIN($F104:$G104)&lt;150,$E104="Enerji Fazlası"),-100*BX104*1.06,IF(AND(BX104&gt;0,MIN($F104:$G104)&gt;=150,$E104="Enerji Açığı"),BX104*MIN($F104:$G104)*0.97,IF(AND(BX104&gt;0,MIN($F104:$G104)&gt;=150,$E104="Enerji Fazlası"),BX104*MIN($F104:$G104)*0.94,IF(AND(BX104&lt;0,MAX($F104:$G104)=4500,$E104="Enerji Açığı"),4500*1.05*1.06*BX104,IF(AND(BX104&lt;0,MAX($F104:$G104)=4500,$E104="Enerji Fazlası"),4500*1.05*1.03*BX104,IF(AND(BX104&lt;0,$E104="Enerji Açığı"),MAX($F104,$G104,150)*BX104*1.06,IF(AND(BX104&lt;0,$E104="Enerji Fazlası"),MAX($F104,$G104,150)*BX104*1.03,IF(AND(BX104&lt;0,$E104="Dengede"),MAX($F104:$G104,150)*1.03*BX104,MIN($F104:$G104)*0.97*BX104)))))))))</f>
        <v/>
      </c>
      <c r="BZ104" s="34">
        <f>BE104-BV104-CA104</f>
        <v/>
      </c>
      <c r="CA104" s="34">
        <f>BD104</f>
        <v/>
      </c>
      <c r="CB104" s="33">
        <f>BE104-BV104</f>
        <v/>
      </c>
      <c r="CC104" s="34">
        <f>IF(AY104=0,0,CB104/AY104)</f>
        <v/>
      </c>
      <c r="CD104" s="34">
        <f>MAX((AY104+MAX((-J104+L104-N104+Q104-T104+X104),0)),(MAX((J104-L104+N104-Q104+T104-X104),0)))</f>
        <v/>
      </c>
      <c r="CE104" s="82">
        <f>IFERROR(ABS(BX104/CD104),0)</f>
        <v/>
      </c>
      <c r="CF104" s="34">
        <f>IF(CE104&lt;=0.1,0,BX104/CE104*(CE104-0.1))</f>
        <v/>
      </c>
      <c r="CG104" s="34">
        <f>IF((CF104)&lt;0,MAX(F104:G104)*(CF104)*1.03,MIN(F104:G104)*(CF104)*0.97)</f>
        <v/>
      </c>
      <c r="CH104" s="34">
        <f>IF(CE104&gt;0.1,1,0)</f>
        <v/>
      </c>
      <c r="CI104" s="34">
        <f>(F104*BX104)-BY104</f>
        <v/>
      </c>
      <c r="CJ104" s="34">
        <f>IF(AY104=0,0,CI104/AY104)</f>
        <v/>
      </c>
    </row>
    <row r="105">
      <c r="A105" s="29" t="n">
        <v>46208.25</v>
      </c>
      <c r="B105" s="29" t="inlineStr">
        <is>
          <t>06:00</t>
        </is>
      </c>
      <c r="C105" s="35">
        <f>INT(A105)</f>
        <v/>
      </c>
      <c r="D105" s="36">
        <f>MONTH(A105)</f>
        <v/>
      </c>
      <c r="E105" s="147">
        <f>[1]FİYATLAR!G104</f>
        <v/>
      </c>
      <c r="F105" s="30" t="n">
        <v>2000</v>
      </c>
      <c r="G105" s="30" t="n">
        <v>1400</v>
      </c>
      <c r="H105" s="30" t="n">
        <v>42.89</v>
      </c>
      <c r="I105" s="30" t="n">
        <v>1755.67</v>
      </c>
      <c r="J105" s="119" t="n">
        <v>0</v>
      </c>
      <c r="K105" s="34">
        <f>F105*J105</f>
        <v/>
      </c>
      <c r="L105" s="119" t="n">
        <v>0</v>
      </c>
      <c r="M105" s="34">
        <f>L105*F105</f>
        <v/>
      </c>
      <c r="N105" s="119" t="n">
        <v>22.2</v>
      </c>
      <c r="O105" s="34">
        <f>F105</f>
        <v/>
      </c>
      <c r="P105" s="34">
        <f>N105*O105</f>
        <v/>
      </c>
      <c r="Q105" s="117" t="n">
        <v>0</v>
      </c>
      <c r="R105" s="34">
        <f>F105</f>
        <v/>
      </c>
      <c r="S105" s="34">
        <f>R105*Q105</f>
        <v/>
      </c>
      <c r="T105" s="34">
        <f>SUMIFS('[1]GİP VERİLERİ'!$C:$C,'[1]GİP VERİLERİ'!$B:$B,A105,'[1]GİP VERİLERİ'!$M:$M,"40X000000104782K",'[1]GİP VERİLERİ'!$G:$G,"SELL")</f>
        <v/>
      </c>
      <c r="U105" s="34">
        <f>IFERROR(W105/T105,0)</f>
        <v/>
      </c>
      <c r="V105" s="34">
        <f>IF(U105=0,0,U105-F105)</f>
        <v/>
      </c>
      <c r="W105" s="34">
        <f>SUMIFS('[1]GİP VERİLERİ'!$O:$O,'[1]GİP VERİLERİ'!$B:$B,A105,'[1]GİP VERİLERİ'!$M:$M,"40X000000104782K",'[1]GİP VERİLERİ'!$G:$G,"SELL")</f>
        <v/>
      </c>
      <c r="X105" s="34">
        <f>SUMIFS('[1]GİP VERİLERİ'!$C:$C,'[1]GİP VERİLERİ'!$B:$B,A105,'[1]GİP VERİLERİ'!$M:$M,"40X000000104782K",'[1]GİP VERİLERİ'!$G:$G,"BUY")</f>
        <v/>
      </c>
      <c r="Y105" s="34">
        <f>IFERROR(AA105/X105,0)</f>
        <v/>
      </c>
      <c r="Z105" s="34">
        <f>IF(Y105=0,0,F105-Y105)</f>
        <v/>
      </c>
      <c r="AA105" s="34">
        <f>SUMIFS('[1]GİP VERİLERİ'!$O:$O,'[1]GİP VERİLERİ'!$B:$B,A105,'[1]GİP VERİLERİ'!$M:$M,"40X000000104782K",'[1]GİP VERİLERİ'!$G:$G,"BUY")</f>
        <v/>
      </c>
      <c r="AB105" s="34" t="n">
        <v>0</v>
      </c>
      <c r="AC105" s="34" t="n">
        <v>0</v>
      </c>
      <c r="AD105" s="34">
        <f>IF(AB105&gt;AC105*1.05,AB105-AC105*1.05,IF(AB105&lt;AC105*0.95,AC105*0.95-AB105,0))</f>
        <v/>
      </c>
      <c r="AE105" s="34">
        <f>MAX(F105,G105,750)*0.05*AD105</f>
        <v/>
      </c>
      <c r="AF105" s="34" t="n">
        <v>0</v>
      </c>
      <c r="AG105" s="34">
        <f>IF(AB105&gt;AF105*1.05,AB105-AF105*1.05,IF(AB105&lt;AF105*0.95,AF105*0.95-AB105,0))</f>
        <v/>
      </c>
      <c r="AH105" s="34">
        <f>MAX(I105,J105,750)*0.05*AG105</f>
        <v/>
      </c>
      <c r="AI105" t="n">
        <v>12.41</v>
      </c>
      <c r="AJ105" t="n">
        <v>9</v>
      </c>
      <c r="AK105" s="34">
        <f>IF(AI105&gt;AJ105*1.05,AI105-AJ105*1.05,IF(AI105&lt;AJ105*0.95,AJ105*0.95-AI105,0))</f>
        <v/>
      </c>
      <c r="AL105" s="34">
        <f>MAX(F105,G105,750)*0.05*AK105</f>
        <v/>
      </c>
      <c r="AM105" s="39" t="n">
        <v>12</v>
      </c>
      <c r="AN105" s="34">
        <f>IF(AI105&gt;AM105*1.05,AI105-AM105*1.05,IF(AI105&lt;AM105*0.95,AM105*0.95-AI105,0))</f>
        <v/>
      </c>
      <c r="AO105" s="34">
        <f>MAX(F105,G105,750)*0.05*AN105</f>
        <v/>
      </c>
      <c r="AP105" s="34" t="n">
        <v>16.07</v>
      </c>
      <c r="AQ105" s="34" t="n">
        <v>13.2</v>
      </c>
      <c r="AR105" s="34">
        <f>IF(AP105&gt;AQ105*1.05,AP105-AQ105*1.05,IF(AP105&lt;AQ105*0.95,AQ105*0.95-AP105,0))</f>
        <v/>
      </c>
      <c r="AS105" s="34">
        <f>MAX(F105:G105,750)*0.05*AR105</f>
        <v/>
      </c>
      <c r="AT105" t="n">
        <v>16</v>
      </c>
      <c r="AU105" s="34">
        <f>IF(AP105&gt;AT105*1.05,AP105-AT105*1.05,IF(AP105&lt;AT105*0.95,AT105*0.95-AP105,0))</f>
        <v/>
      </c>
      <c r="AV105" s="34">
        <f>MAX(F105:G105,750)*0.05*AU105</f>
        <v/>
      </c>
      <c r="AW105" s="34">
        <f>AC105+AJ105+AQ105</f>
        <v/>
      </c>
      <c r="AX105" s="34">
        <f>AF105+AM105+AT105</f>
        <v/>
      </c>
      <c r="AY105" s="34">
        <f>AB105+AI105+AP105</f>
        <v/>
      </c>
      <c r="AZ105" s="34" t="n">
        <v>0</v>
      </c>
      <c r="BA105" s="34">
        <f>AD105+AK105+AR105</f>
        <v/>
      </c>
      <c r="BB105" s="34">
        <f>MAX(F105:G105,750)*0.05*BA105</f>
        <v/>
      </c>
      <c r="BC105" s="34">
        <f>AG105+AN105+AU105</f>
        <v/>
      </c>
      <c r="BD105" s="34">
        <f>MAX(F105:G105,750)*0.05*BC105</f>
        <v/>
      </c>
      <c r="BE105" s="34">
        <f>F105*AY105</f>
        <v/>
      </c>
      <c r="BF105" s="34">
        <f>K105-M105</f>
        <v/>
      </c>
      <c r="BG105" s="34">
        <f>P105-S105</f>
        <v/>
      </c>
      <c r="BH105" s="34">
        <f>W105-AA105</f>
        <v/>
      </c>
      <c r="BI105" s="34">
        <f>BF105+BG105+BL105-BN105</f>
        <v/>
      </c>
      <c r="BJ105" s="34">
        <f>ABS(BK105)</f>
        <v/>
      </c>
      <c r="BK105" s="34">
        <f>AY105-(J105-L105+N105-Q105)</f>
        <v/>
      </c>
      <c r="BL105" s="34">
        <f>IF(AND(BK105&gt;0,MIN($F105:$G105)&lt;150,$E105="Enerji Açığı"),-100*BK105*1.03,IF(AND(BK105&gt;0,MIN($F105:$G105)&lt;150,$E105="Enerji Fazlası"),-100*BK105*1.06,IF(AND(BK105&gt;0,MIN($F105:$G105)&gt;=150,$E105="Enerji Açığı"),BK105*MIN($F105:$G105)*0.97,IF(AND(BK105&gt;0,MIN($F105:$G105)&gt;=150,$E105="Enerji Fazlası"),BK105*MIN($F105:$G105)*0.94,IF(AND(BK105&lt;0,MAX($F105:$G105)=4500,$E105="Enerji Açığı"),4500*1.05*1.06*BK105,IF(AND(BK105&lt;0,MAX($F105:$G105)=4500,$E105="Enerji Fazlası"),4500*1.05*1.03*BK105,IF(AND(BK105&lt;0,$E105="Enerji Açığı"),MAX($F105,$G105,150)*BK105*1.06,IF(AND(BK105&lt;0,$E105="Enerji Fazlası"),MAX($F105,$G105,150)*BK105*1.03,IF(AND(BK105&lt;0,$E105="Dengede"),MAX($F105:$G105,150)*1.03*BK105,MIN($F105:$G105)*0.97*BK105)))))))))</f>
        <v/>
      </c>
      <c r="BM105" s="34">
        <f>BE105-BI105-BN105</f>
        <v/>
      </c>
      <c r="BN105" s="34">
        <f>BB105</f>
        <v/>
      </c>
      <c r="BO105" s="34">
        <f>BE105-BI105</f>
        <v/>
      </c>
      <c r="BP105" s="34">
        <f>IF(AY105=0,0,BO105/AY105)</f>
        <v/>
      </c>
      <c r="BQ105" s="34">
        <f>MAX((AY105+MAX((-J105+L105-N105+Q105),0)),(MAX((J105-L105+N105-Q105),0)))</f>
        <v/>
      </c>
      <c r="BR105" s="82">
        <f>IFERROR(ABS(BK105/BQ105),0)</f>
        <v/>
      </c>
      <c r="BS105" s="34">
        <f>IF(BR105&lt;=0.1,0,BK105/BR105*(BR105-0.1))</f>
        <v/>
      </c>
      <c r="BT105" s="34">
        <f>IF((BS105)&lt;0,MAX(F105:G105)*(BS105)*1.03,MIN(F105:G105)*(BS105)*0.97)</f>
        <v/>
      </c>
      <c r="BU105" s="34">
        <f>IF(BR105&gt;0.1,1,0)</f>
        <v/>
      </c>
      <c r="BV105" s="34">
        <f>BF105+BG105+BH105+BY105-CA105</f>
        <v/>
      </c>
      <c r="BW105" s="34">
        <f>ABS(BX105)</f>
        <v/>
      </c>
      <c r="BX105" s="34">
        <f>AY105-(J105-L105+N105-Q105+T105-X105)</f>
        <v/>
      </c>
      <c r="BY105" s="34">
        <f>IF(AND(BX105&gt;0,MIN($F105:$G105)&lt;150,$E105="Enerji Açığı"),-100*BX105*1.03,IF(AND(BX105&gt;0,MIN($F105:$G105)&lt;150,$E105="Enerji Fazlası"),-100*BX105*1.06,IF(AND(BX105&gt;0,MIN($F105:$G105)&gt;=150,$E105="Enerji Açığı"),BX105*MIN($F105:$G105)*0.97,IF(AND(BX105&gt;0,MIN($F105:$G105)&gt;=150,$E105="Enerji Fazlası"),BX105*MIN($F105:$G105)*0.94,IF(AND(BX105&lt;0,MAX($F105:$G105)=4500,$E105="Enerji Açığı"),4500*1.05*1.06*BX105,IF(AND(BX105&lt;0,MAX($F105:$G105)=4500,$E105="Enerji Fazlası"),4500*1.05*1.03*BX105,IF(AND(BX105&lt;0,$E105="Enerji Açığı"),MAX($F105,$G105,150)*BX105*1.06,IF(AND(BX105&lt;0,$E105="Enerji Fazlası"),MAX($F105,$G105,150)*BX105*1.03,IF(AND(BX105&lt;0,$E105="Dengede"),MAX($F105:$G105,150)*1.03*BX105,MIN($F105:$G105)*0.97*BX105)))))))))</f>
        <v/>
      </c>
      <c r="BZ105" s="34">
        <f>BE105-BV105-CA105</f>
        <v/>
      </c>
      <c r="CA105" s="34">
        <f>BD105</f>
        <v/>
      </c>
      <c r="CB105" s="33">
        <f>BE105-BV105</f>
        <v/>
      </c>
      <c r="CC105" s="34">
        <f>IF(AY105=0,0,CB105/AY105)</f>
        <v/>
      </c>
      <c r="CD105" s="34">
        <f>MAX((AY105+MAX((-J105+L105-N105+Q105-T105+X105),0)),(MAX((J105-L105+N105-Q105+T105-X105),0)))</f>
        <v/>
      </c>
      <c r="CE105" s="82">
        <f>IFERROR(ABS(BX105/CD105),0)</f>
        <v/>
      </c>
      <c r="CF105" s="34">
        <f>IF(CE105&lt;=0.1,0,BX105/CE105*(CE105-0.1))</f>
        <v/>
      </c>
      <c r="CG105" s="34">
        <f>IF((CF105)&lt;0,MAX(F105:G105)*(CF105)*1.03,MIN(F105:G105)*(CF105)*0.97)</f>
        <v/>
      </c>
      <c r="CH105" s="34">
        <f>IF(CE105&gt;0.1,1,0)</f>
        <v/>
      </c>
      <c r="CI105" s="34">
        <f>(F105*BX105)-BY105</f>
        <v/>
      </c>
      <c r="CJ105" s="34">
        <f>IF(AY105=0,0,CI105/AY105)</f>
        <v/>
      </c>
    </row>
    <row r="106">
      <c r="A106" s="29" t="n">
        <v>46208.29166666666</v>
      </c>
      <c r="B106" s="29" t="inlineStr">
        <is>
          <t>07:00</t>
        </is>
      </c>
      <c r="C106" s="35">
        <f>INT(A106)</f>
        <v/>
      </c>
      <c r="D106" s="36">
        <f>MONTH(A106)</f>
        <v/>
      </c>
      <c r="E106" s="147">
        <f>[1]FİYATLAR!G105</f>
        <v/>
      </c>
      <c r="F106" s="30" t="n">
        <v>303.99</v>
      </c>
      <c r="G106" s="30" t="n">
        <v>928.99</v>
      </c>
      <c r="H106" s="30" t="n">
        <v>6.52</v>
      </c>
      <c r="I106" s="30" t="n">
        <v>314.22</v>
      </c>
      <c r="J106" s="119" t="n">
        <v>0</v>
      </c>
      <c r="K106" s="34">
        <f>F106*J106</f>
        <v/>
      </c>
      <c r="L106" s="119" t="n">
        <v>0</v>
      </c>
      <c r="M106" s="34">
        <f>L106*F106</f>
        <v/>
      </c>
      <c r="N106" s="119" t="n">
        <v>22.5</v>
      </c>
      <c r="O106" s="34">
        <f>F106</f>
        <v/>
      </c>
      <c r="P106" s="34">
        <f>N106*O106</f>
        <v/>
      </c>
      <c r="Q106" s="117" t="n">
        <v>0</v>
      </c>
      <c r="R106" s="34">
        <f>F106</f>
        <v/>
      </c>
      <c r="S106" s="34">
        <f>R106*Q106</f>
        <v/>
      </c>
      <c r="T106" s="34">
        <f>SUMIFS('[1]GİP VERİLERİ'!$C:$C,'[1]GİP VERİLERİ'!$B:$B,A106,'[1]GİP VERİLERİ'!$M:$M,"40X000000104782K",'[1]GİP VERİLERİ'!$G:$G,"SELL")</f>
        <v/>
      </c>
      <c r="U106" s="34">
        <f>IFERROR(W106/T106,0)</f>
        <v/>
      </c>
      <c r="V106" s="34">
        <f>IF(U106=0,0,U106-F106)</f>
        <v/>
      </c>
      <c r="W106" s="34">
        <f>SUMIFS('[1]GİP VERİLERİ'!$O:$O,'[1]GİP VERİLERİ'!$B:$B,A106,'[1]GİP VERİLERİ'!$M:$M,"40X000000104782K",'[1]GİP VERİLERİ'!$G:$G,"SELL")</f>
        <v/>
      </c>
      <c r="X106" s="34">
        <f>SUMIFS('[1]GİP VERİLERİ'!$C:$C,'[1]GİP VERİLERİ'!$B:$B,A106,'[1]GİP VERİLERİ'!$M:$M,"40X000000104782K",'[1]GİP VERİLERİ'!$G:$G,"BUY")</f>
        <v/>
      </c>
      <c r="Y106" s="34">
        <f>IFERROR(AA106/X106,0)</f>
        <v/>
      </c>
      <c r="Z106" s="34">
        <f>IF(Y106=0,0,F106-Y106)</f>
        <v/>
      </c>
      <c r="AA106" s="34">
        <f>SUMIFS('[1]GİP VERİLERİ'!$O:$O,'[1]GİP VERİLERİ'!$B:$B,A106,'[1]GİP VERİLERİ'!$M:$M,"40X000000104782K",'[1]GİP VERİLERİ'!$G:$G,"BUY")</f>
        <v/>
      </c>
      <c r="AB106" s="34" t="n">
        <v>0</v>
      </c>
      <c r="AC106" s="34" t="n">
        <v>0</v>
      </c>
      <c r="AD106" s="34">
        <f>IF(AB106&gt;AC106*1.05,AB106-AC106*1.05,IF(AB106&lt;AC106*0.95,AC106*0.95-AB106,0))</f>
        <v/>
      </c>
      <c r="AE106" s="34">
        <f>MAX(F106,G106,750)*0.05*AD106</f>
        <v/>
      </c>
      <c r="AF106" s="34" t="n">
        <v>0</v>
      </c>
      <c r="AG106" s="34">
        <f>IF(AB106&gt;AF106*1.05,AB106-AF106*1.05,IF(AB106&lt;AF106*0.95,AF106*0.95-AB106,0))</f>
        <v/>
      </c>
      <c r="AH106" s="34">
        <f>MAX(I106,J106,750)*0.05*AG106</f>
        <v/>
      </c>
      <c r="AI106" t="n">
        <v>10.54</v>
      </c>
      <c r="AJ106" t="n">
        <v>9</v>
      </c>
      <c r="AK106" s="34">
        <f>IF(AI106&gt;AJ106*1.05,AI106-AJ106*1.05,IF(AI106&lt;AJ106*0.95,AJ106*0.95-AI106,0))</f>
        <v/>
      </c>
      <c r="AL106" s="34">
        <f>MAX(F106,G106,750)*0.05*AK106</f>
        <v/>
      </c>
      <c r="AM106" s="39" t="n">
        <v>9</v>
      </c>
      <c r="AN106" s="34">
        <f>IF(AI106&gt;AM106*1.05,AI106-AM106*1.05,IF(AI106&lt;AM106*0.95,AM106*0.95-AI106,0))</f>
        <v/>
      </c>
      <c r="AO106" s="34">
        <f>MAX(F106,G106,750)*0.05*AN106</f>
        <v/>
      </c>
      <c r="AP106" s="34" t="n">
        <v>13.26</v>
      </c>
      <c r="AQ106" s="34" t="n">
        <v>13.5</v>
      </c>
      <c r="AR106" s="34">
        <f>IF(AP106&gt;AQ106*1.05,AP106-AQ106*1.05,IF(AP106&lt;AQ106*0.95,AQ106*0.95-AP106,0))</f>
        <v/>
      </c>
      <c r="AS106" s="34">
        <f>MAX(F106:G106,750)*0.05*AR106</f>
        <v/>
      </c>
      <c r="AT106" t="n">
        <v>13.5</v>
      </c>
      <c r="AU106" s="34">
        <f>IF(AP106&gt;AT106*1.05,AP106-AT106*1.05,IF(AP106&lt;AT106*0.95,AT106*0.95-AP106,0))</f>
        <v/>
      </c>
      <c r="AV106" s="34">
        <f>MAX(F106:G106,750)*0.05*AU106</f>
        <v/>
      </c>
      <c r="AW106" s="34">
        <f>AC106+AJ106+AQ106</f>
        <v/>
      </c>
      <c r="AX106" s="34">
        <f>AF106+AM106+AT106</f>
        <v/>
      </c>
      <c r="AY106" s="34">
        <f>AB106+AI106+AP106</f>
        <v/>
      </c>
      <c r="AZ106" s="34" t="n">
        <v>0</v>
      </c>
      <c r="BA106" s="34">
        <f>AD106+AK106+AR106</f>
        <v/>
      </c>
      <c r="BB106" s="34">
        <f>MAX(F106:G106,750)*0.05*BA106</f>
        <v/>
      </c>
      <c r="BC106" s="34">
        <f>AG106+AN106+AU106</f>
        <v/>
      </c>
      <c r="BD106" s="34">
        <f>MAX(F106:G106,750)*0.05*BC106</f>
        <v/>
      </c>
      <c r="BE106" s="34">
        <f>F106*AY106</f>
        <v/>
      </c>
      <c r="BF106" s="34">
        <f>K106-M106</f>
        <v/>
      </c>
      <c r="BG106" s="34">
        <f>P106-S106</f>
        <v/>
      </c>
      <c r="BH106" s="34">
        <f>W106-AA106</f>
        <v/>
      </c>
      <c r="BI106" s="34">
        <f>BF106+BG106+BL106-BN106</f>
        <v/>
      </c>
      <c r="BJ106" s="34">
        <f>ABS(BK106)</f>
        <v/>
      </c>
      <c r="BK106" s="34">
        <f>AY106-(J106-L106+N106-Q106)</f>
        <v/>
      </c>
      <c r="BL106" s="34">
        <f>IF(AND(BK106&gt;0,MIN($F106:$G106)&lt;150,$E106="Enerji Açığı"),-100*BK106*1.03,IF(AND(BK106&gt;0,MIN($F106:$G106)&lt;150,$E106="Enerji Fazlası"),-100*BK106*1.06,IF(AND(BK106&gt;0,MIN($F106:$G106)&gt;=150,$E106="Enerji Açığı"),BK106*MIN($F106:$G106)*0.97,IF(AND(BK106&gt;0,MIN($F106:$G106)&gt;=150,$E106="Enerji Fazlası"),BK106*MIN($F106:$G106)*0.94,IF(AND(BK106&lt;0,MAX($F106:$G106)=4500,$E106="Enerji Açığı"),4500*1.05*1.06*BK106,IF(AND(BK106&lt;0,MAX($F106:$G106)=4500,$E106="Enerji Fazlası"),4500*1.05*1.03*BK106,IF(AND(BK106&lt;0,$E106="Enerji Açığı"),MAX($F106,$G106,150)*BK106*1.06,IF(AND(BK106&lt;0,$E106="Enerji Fazlası"),MAX($F106,$G106,150)*BK106*1.03,IF(AND(BK106&lt;0,$E106="Dengede"),MAX($F106:$G106,150)*1.03*BK106,MIN($F106:$G106)*0.97*BK106)))))))))</f>
        <v/>
      </c>
      <c r="BM106" s="34">
        <f>BE106-BI106-BN106</f>
        <v/>
      </c>
      <c r="BN106" s="34">
        <f>BB106</f>
        <v/>
      </c>
      <c r="BO106" s="34">
        <f>BE106-BI106</f>
        <v/>
      </c>
      <c r="BP106" s="34">
        <f>IF(AY106=0,0,BO106/AY106)</f>
        <v/>
      </c>
      <c r="BQ106" s="34">
        <f>MAX((AY106+MAX((-J106+L106-N106+Q106),0)),(MAX((J106-L106+N106-Q106),0)))</f>
        <v/>
      </c>
      <c r="BR106" s="82">
        <f>IFERROR(ABS(BK106/BQ106),0)</f>
        <v/>
      </c>
      <c r="BS106" s="34">
        <f>IF(BR106&lt;=0.1,0,BK106/BR106*(BR106-0.1))</f>
        <v/>
      </c>
      <c r="BT106" s="34">
        <f>IF((BS106)&lt;0,MAX(F106:G106)*(BS106)*1.03,MIN(F106:G106)*(BS106)*0.97)</f>
        <v/>
      </c>
      <c r="BU106" s="34">
        <f>IF(BR106&gt;0.1,1,0)</f>
        <v/>
      </c>
      <c r="BV106" s="34">
        <f>BF106+BG106+BH106+BY106-CA106</f>
        <v/>
      </c>
      <c r="BW106" s="34">
        <f>ABS(BX106)</f>
        <v/>
      </c>
      <c r="BX106" s="34">
        <f>AY106-(J106-L106+N106-Q106+T106-X106)</f>
        <v/>
      </c>
      <c r="BY106" s="34">
        <f>IF(AND(BX106&gt;0,MIN($F106:$G106)&lt;150,$E106="Enerji Açığı"),-100*BX106*1.03,IF(AND(BX106&gt;0,MIN($F106:$G106)&lt;150,$E106="Enerji Fazlası"),-100*BX106*1.06,IF(AND(BX106&gt;0,MIN($F106:$G106)&gt;=150,$E106="Enerji Açığı"),BX106*MIN($F106:$G106)*0.97,IF(AND(BX106&gt;0,MIN($F106:$G106)&gt;=150,$E106="Enerji Fazlası"),BX106*MIN($F106:$G106)*0.94,IF(AND(BX106&lt;0,MAX($F106:$G106)=4500,$E106="Enerji Açığı"),4500*1.05*1.06*BX106,IF(AND(BX106&lt;0,MAX($F106:$G106)=4500,$E106="Enerji Fazlası"),4500*1.05*1.03*BX106,IF(AND(BX106&lt;0,$E106="Enerji Açığı"),MAX($F106,$G106,150)*BX106*1.06,IF(AND(BX106&lt;0,$E106="Enerji Fazlası"),MAX($F106,$G106,150)*BX106*1.03,IF(AND(BX106&lt;0,$E106="Dengede"),MAX($F106:$G106,150)*1.03*BX106,MIN($F106:$G106)*0.97*BX106)))))))))</f>
        <v/>
      </c>
      <c r="BZ106" s="34">
        <f>BE106-BV106-CA106</f>
        <v/>
      </c>
      <c r="CA106" s="34">
        <f>BD106</f>
        <v/>
      </c>
      <c r="CB106" s="33">
        <f>BE106-BV106</f>
        <v/>
      </c>
      <c r="CC106" s="34">
        <f>IF(AY106=0,0,CB106/AY106)</f>
        <v/>
      </c>
      <c r="CD106" s="34">
        <f>MAX((AY106+MAX((-J106+L106-N106+Q106-T106+X106),0)),(MAX((J106-L106+N106-Q106+T106-X106),0)))</f>
        <v/>
      </c>
      <c r="CE106" s="82">
        <f>IFERROR(ABS(BX106/CD106),0)</f>
        <v/>
      </c>
      <c r="CF106" s="34">
        <f>IF(CE106&lt;=0.1,0,BX106/CE106*(CE106-0.1))</f>
        <v/>
      </c>
      <c r="CG106" s="34">
        <f>IF((CF106)&lt;0,MAX(F106:G106)*(CF106)*1.03,MIN(F106:G106)*(CF106)*0.97)</f>
        <v/>
      </c>
      <c r="CH106" s="34">
        <f>IF(CE106&gt;0.1,1,0)</f>
        <v/>
      </c>
      <c r="CI106" s="34">
        <f>(F106*BX106)-BY106</f>
        <v/>
      </c>
      <c r="CJ106" s="34">
        <f>IF(AY106=0,0,CI106/AY106)</f>
        <v/>
      </c>
    </row>
    <row r="107">
      <c r="A107" s="29" t="n">
        <v>46208.33333333334</v>
      </c>
      <c r="B107" s="29" t="inlineStr">
        <is>
          <t>08:00</t>
        </is>
      </c>
      <c r="C107" s="35">
        <f>INT(A107)</f>
        <v/>
      </c>
      <c r="D107" s="36">
        <f>MONTH(A107)</f>
        <v/>
      </c>
      <c r="E107" s="147">
        <f>[1]FİYATLAR!G106</f>
        <v/>
      </c>
      <c r="F107" s="30" t="n">
        <v>174.99</v>
      </c>
      <c r="G107" s="30" t="n">
        <v>1</v>
      </c>
      <c r="H107" s="30" t="n">
        <v>3.75</v>
      </c>
      <c r="I107" s="30" t="n">
        <v>186.2</v>
      </c>
      <c r="J107" s="119" t="n">
        <v>0</v>
      </c>
      <c r="K107" s="34">
        <f>F107*J107</f>
        <v/>
      </c>
      <c r="L107" s="119" t="n">
        <v>24</v>
      </c>
      <c r="M107" s="34">
        <f>L107*F107</f>
        <v/>
      </c>
      <c r="N107" s="119" t="n">
        <v>24</v>
      </c>
      <c r="O107" s="34">
        <f>F107</f>
        <v/>
      </c>
      <c r="P107" s="34">
        <f>N107*O107</f>
        <v/>
      </c>
      <c r="Q107" s="117" t="n">
        <v>0</v>
      </c>
      <c r="R107" s="34">
        <f>F107</f>
        <v/>
      </c>
      <c r="S107" s="34">
        <f>R107*Q107</f>
        <v/>
      </c>
      <c r="T107" s="34">
        <f>SUMIFS('[1]GİP VERİLERİ'!$C:$C,'[1]GİP VERİLERİ'!$B:$B,A107,'[1]GİP VERİLERİ'!$M:$M,"40X000000104782K",'[1]GİP VERİLERİ'!$G:$G,"SELL")</f>
        <v/>
      </c>
      <c r="U107" s="34">
        <f>IFERROR(W107/T107,0)</f>
        <v/>
      </c>
      <c r="V107" s="34">
        <f>IF(U107=0,0,U107-F107)</f>
        <v/>
      </c>
      <c r="W107" s="34">
        <f>SUMIFS('[1]GİP VERİLERİ'!$O:$O,'[1]GİP VERİLERİ'!$B:$B,A107,'[1]GİP VERİLERİ'!$M:$M,"40X000000104782K",'[1]GİP VERİLERİ'!$G:$G,"SELL")</f>
        <v/>
      </c>
      <c r="X107" s="34">
        <f>SUMIFS('[1]GİP VERİLERİ'!$C:$C,'[1]GİP VERİLERİ'!$B:$B,A107,'[1]GİP VERİLERİ'!$M:$M,"40X000000104782K",'[1]GİP VERİLERİ'!$G:$G,"BUY")</f>
        <v/>
      </c>
      <c r="Y107" s="34">
        <f>IFERROR(AA107/X107,0)</f>
        <v/>
      </c>
      <c r="Z107" s="34">
        <f>IF(Y107=0,0,F107-Y107)</f>
        <v/>
      </c>
      <c r="AA107" s="34">
        <f>SUMIFS('[1]GİP VERİLERİ'!$O:$O,'[1]GİP VERİLERİ'!$B:$B,A107,'[1]GİP VERİLERİ'!$M:$M,"40X000000104782K",'[1]GİP VERİLERİ'!$G:$G,"BUY")</f>
        <v/>
      </c>
      <c r="AB107" s="34" t="n">
        <v>0</v>
      </c>
      <c r="AC107" s="34" t="n">
        <v>0</v>
      </c>
      <c r="AD107" s="34">
        <f>IF(AB107&gt;AC107*1.05,AB107-AC107*1.05,IF(AB107&lt;AC107*0.95,AC107*0.95-AB107,0))</f>
        <v/>
      </c>
      <c r="AE107" s="34">
        <f>MAX(F107,G107,750)*0.05*AD107</f>
        <v/>
      </c>
      <c r="AF107" s="34" t="n">
        <v>0</v>
      </c>
      <c r="AG107" s="34">
        <f>IF(AB107&gt;AF107*1.05,AB107-AF107*1.05,IF(AB107&lt;AF107*0.95,AF107*0.95-AB107,0))</f>
        <v/>
      </c>
      <c r="AH107" s="34">
        <f>MAX(I107,J107,750)*0.05*AG107</f>
        <v/>
      </c>
      <c r="AI107" t="n">
        <v>0</v>
      </c>
      <c r="AJ107" t="n">
        <v>0</v>
      </c>
      <c r="AK107" s="34">
        <f>IF(AI107&gt;AJ107*1.05,AI107-AJ107*1.05,IF(AI107&lt;AJ107*0.95,AJ107*0.95-AI107,0))</f>
        <v/>
      </c>
      <c r="AL107" s="34">
        <f>MAX(F107,G107,750)*0.05*AK107</f>
        <v/>
      </c>
      <c r="AM107" s="39" t="n">
        <v>0</v>
      </c>
      <c r="AN107" s="34">
        <f>IF(AI107&gt;AM107*1.05,AI107-AM107*1.05,IF(AI107&lt;AM107*0.95,AM107*0.95-AI107,0))</f>
        <v/>
      </c>
      <c r="AO107" s="34">
        <f>MAX(F107,G107,750)*0.05*AN107</f>
        <v/>
      </c>
      <c r="AP107" s="34" t="n">
        <v>0</v>
      </c>
      <c r="AQ107" s="34" t="n">
        <v>0</v>
      </c>
      <c r="AR107" s="34">
        <f>IF(AP107&gt;AQ107*1.05,AP107-AQ107*1.05,IF(AP107&lt;AQ107*0.95,AQ107*0.95-AP107,0))</f>
        <v/>
      </c>
      <c r="AS107" s="34">
        <f>MAX(F107:G107,750)*0.05*AR107</f>
        <v/>
      </c>
      <c r="AT107" t="n">
        <v>0</v>
      </c>
      <c r="AU107" s="34">
        <f>IF(AP107&gt;AT107*1.05,AP107-AT107*1.05,IF(AP107&lt;AT107*0.95,AT107*0.95-AP107,0))</f>
        <v/>
      </c>
      <c r="AV107" s="34">
        <f>MAX(F107:G107,750)*0.05*AU107</f>
        <v/>
      </c>
      <c r="AW107" s="34">
        <f>AC107+AJ107+AQ107</f>
        <v/>
      </c>
      <c r="AX107" s="34">
        <f>AF107+AM107+AT107</f>
        <v/>
      </c>
      <c r="AY107" s="34">
        <f>AB107+AI107+AP107</f>
        <v/>
      </c>
      <c r="AZ107" s="34" t="n">
        <v>0</v>
      </c>
      <c r="BA107" s="34">
        <f>AD107+AK107+AR107</f>
        <v/>
      </c>
      <c r="BB107" s="34">
        <f>MAX(F107:G107,750)*0.05*BA107</f>
        <v/>
      </c>
      <c r="BC107" s="34">
        <f>AG107+AN107+AU107</f>
        <v/>
      </c>
      <c r="BD107" s="34">
        <f>MAX(F107:G107,750)*0.05*BC107</f>
        <v/>
      </c>
      <c r="BE107" s="34">
        <f>F107*AY107</f>
        <v/>
      </c>
      <c r="BF107" s="34">
        <f>K107-M107</f>
        <v/>
      </c>
      <c r="BG107" s="34">
        <f>P107-S107</f>
        <v/>
      </c>
      <c r="BH107" s="34">
        <f>W107-AA107</f>
        <v/>
      </c>
      <c r="BI107" s="34">
        <f>BF107+BG107+BL107-BN107</f>
        <v/>
      </c>
      <c r="BJ107" s="34">
        <f>ABS(BK107)</f>
        <v/>
      </c>
      <c r="BK107" s="34">
        <f>AY107-(J107-L107+N107-Q107)</f>
        <v/>
      </c>
      <c r="BL107" s="34">
        <f>IF(AND(BK107&gt;0,MIN($F107:$G107)&lt;150,$E107="Enerji Açığı"),-100*BK107*1.03,IF(AND(BK107&gt;0,MIN($F107:$G107)&lt;150,$E107="Enerji Fazlası"),-100*BK107*1.06,IF(AND(BK107&gt;0,MIN($F107:$G107)&gt;=150,$E107="Enerji Açığı"),BK107*MIN($F107:$G107)*0.97,IF(AND(BK107&gt;0,MIN($F107:$G107)&gt;=150,$E107="Enerji Fazlası"),BK107*MIN($F107:$G107)*0.94,IF(AND(BK107&lt;0,MAX($F107:$G107)=4500,$E107="Enerji Açığı"),4500*1.05*1.06*BK107,IF(AND(BK107&lt;0,MAX($F107:$G107)=4500,$E107="Enerji Fazlası"),4500*1.05*1.03*BK107,IF(AND(BK107&lt;0,$E107="Enerji Açığı"),MAX($F107,$G107,150)*BK107*1.06,IF(AND(BK107&lt;0,$E107="Enerji Fazlası"),MAX($F107,$G107,150)*BK107*1.03,IF(AND(BK107&lt;0,$E107="Dengede"),MAX($F107:$G107,150)*1.03*BK107,MIN($F107:$G107)*0.97*BK107)))))))))</f>
        <v/>
      </c>
      <c r="BM107" s="34">
        <f>BE107-BI107-BN107</f>
        <v/>
      </c>
      <c r="BN107" s="34">
        <f>BB107</f>
        <v/>
      </c>
      <c r="BO107" s="34">
        <f>BE107-BI107</f>
        <v/>
      </c>
      <c r="BP107" s="34">
        <f>IF(AY107=0,0,BO107/AY107)</f>
        <v/>
      </c>
      <c r="BQ107" s="34">
        <f>MAX((AY107+MAX((-J107+L107-N107+Q107),0)),(MAX((J107-L107+N107-Q107),0)))</f>
        <v/>
      </c>
      <c r="BR107" s="82">
        <f>IFERROR(ABS(BK107/BQ107),0)</f>
        <v/>
      </c>
      <c r="BS107" s="34">
        <f>IF(BR107&lt;=0.1,0,BK107/BR107*(BR107-0.1))</f>
        <v/>
      </c>
      <c r="BT107" s="34">
        <f>IF((BS107)&lt;0,MAX(F107:G107)*(BS107)*1.03,MIN(F107:G107)*(BS107)*0.97)</f>
        <v/>
      </c>
      <c r="BU107" s="34">
        <f>IF(BR107&gt;0.1,1,0)</f>
        <v/>
      </c>
      <c r="BV107" s="34">
        <f>BF107+BG107+BH107+BY107-CA107</f>
        <v/>
      </c>
      <c r="BW107" s="34">
        <f>ABS(BX107)</f>
        <v/>
      </c>
      <c r="BX107" s="34">
        <f>AY107-(J107-L107+N107-Q107+T107-X107)</f>
        <v/>
      </c>
      <c r="BY107" s="34">
        <f>IF(AND(BX107&gt;0,MIN($F107:$G107)&lt;150,$E107="Enerji Açığı"),-100*BX107*1.03,IF(AND(BX107&gt;0,MIN($F107:$G107)&lt;150,$E107="Enerji Fazlası"),-100*BX107*1.06,IF(AND(BX107&gt;0,MIN($F107:$G107)&gt;=150,$E107="Enerji Açığı"),BX107*MIN($F107:$G107)*0.97,IF(AND(BX107&gt;0,MIN($F107:$G107)&gt;=150,$E107="Enerji Fazlası"),BX107*MIN($F107:$G107)*0.94,IF(AND(BX107&lt;0,MAX($F107:$G107)=4500,$E107="Enerji Açığı"),4500*1.05*1.06*BX107,IF(AND(BX107&lt;0,MAX($F107:$G107)=4500,$E107="Enerji Fazlası"),4500*1.05*1.03*BX107,IF(AND(BX107&lt;0,$E107="Enerji Açığı"),MAX($F107,$G107,150)*BX107*1.06,IF(AND(BX107&lt;0,$E107="Enerji Fazlası"),MAX($F107,$G107,150)*BX107*1.03,IF(AND(BX107&lt;0,$E107="Dengede"),MAX($F107:$G107,150)*1.03*BX107,MIN($F107:$G107)*0.97*BX107)))))))))</f>
        <v/>
      </c>
      <c r="BZ107" s="34">
        <f>BE107-BV107-CA107</f>
        <v/>
      </c>
      <c r="CA107" s="34">
        <f>BD107</f>
        <v/>
      </c>
      <c r="CB107" s="33">
        <f>BE107-BV107</f>
        <v/>
      </c>
      <c r="CC107" s="34">
        <f>IF(AY107=0,0,CB107/AY107)</f>
        <v/>
      </c>
      <c r="CD107" s="34">
        <f>MAX((AY107+MAX((-J107+L107-N107+Q107-T107+X107),0)),(MAX((J107-L107+N107-Q107+T107-X107),0)))</f>
        <v/>
      </c>
      <c r="CE107" s="82">
        <f>IFERROR(ABS(BX107/CD107),0)</f>
        <v/>
      </c>
      <c r="CF107" s="34">
        <f>IF(CE107&lt;=0.1,0,BX107/CE107*(CE107-0.1))</f>
        <v/>
      </c>
      <c r="CG107" s="34">
        <f>IF((CF107)&lt;0,MAX(F107:G107)*(CF107)*1.03,MIN(F107:G107)*(CF107)*0.97)</f>
        <v/>
      </c>
      <c r="CH107" s="34">
        <f>IF(CE107&gt;0.1,1,0)</f>
        <v/>
      </c>
      <c r="CI107" s="34">
        <f>(F107*BX107)-BY107</f>
        <v/>
      </c>
      <c r="CJ107" s="34">
        <f>IF(AY107=0,0,CI107/AY107)</f>
        <v/>
      </c>
    </row>
    <row r="108">
      <c r="A108" s="29" t="n">
        <v>46208.375</v>
      </c>
      <c r="B108" s="29" t="inlineStr">
        <is>
          <t>09:00</t>
        </is>
      </c>
      <c r="C108" s="35">
        <f>INT(A108)</f>
        <v/>
      </c>
      <c r="D108" s="36">
        <f>MONTH(A108)</f>
        <v/>
      </c>
      <c r="E108" s="147">
        <f>[1]FİYATLAR!G107</f>
        <v/>
      </c>
      <c r="F108" s="30" t="n">
        <v>170.01</v>
      </c>
      <c r="G108" s="30" t="n">
        <v>0</v>
      </c>
      <c r="H108" s="30" t="n">
        <v>3.65</v>
      </c>
      <c r="I108" s="30" t="n">
        <v>99.93000000000001</v>
      </c>
      <c r="J108" s="119" t="n">
        <v>0</v>
      </c>
      <c r="K108" s="34">
        <f>F108*J108</f>
        <v/>
      </c>
      <c r="L108" s="119" t="n">
        <v>25</v>
      </c>
      <c r="M108" s="34">
        <f>L108*F108</f>
        <v/>
      </c>
      <c r="N108" s="119" t="n">
        <v>25</v>
      </c>
      <c r="O108" s="34">
        <f>F108</f>
        <v/>
      </c>
      <c r="P108" s="34">
        <f>N108*O108</f>
        <v/>
      </c>
      <c r="Q108" s="117" t="n">
        <v>0</v>
      </c>
      <c r="R108" s="34">
        <f>F108</f>
        <v/>
      </c>
      <c r="S108" s="34">
        <f>R108*Q108</f>
        <v/>
      </c>
      <c r="T108" s="34">
        <f>SUMIFS('[1]GİP VERİLERİ'!$C:$C,'[1]GİP VERİLERİ'!$B:$B,A108,'[1]GİP VERİLERİ'!$M:$M,"40X000000104782K",'[1]GİP VERİLERİ'!$G:$G,"SELL")</f>
        <v/>
      </c>
      <c r="U108" s="34">
        <f>IFERROR(W108/T108,0)</f>
        <v/>
      </c>
      <c r="V108" s="34">
        <f>IF(U108=0,0,U108-F108)</f>
        <v/>
      </c>
      <c r="W108" s="34">
        <f>SUMIFS('[1]GİP VERİLERİ'!$O:$O,'[1]GİP VERİLERİ'!$B:$B,A108,'[1]GİP VERİLERİ'!$M:$M,"40X000000104782K",'[1]GİP VERİLERİ'!$G:$G,"SELL")</f>
        <v/>
      </c>
      <c r="X108" s="34">
        <f>SUMIFS('[1]GİP VERİLERİ'!$C:$C,'[1]GİP VERİLERİ'!$B:$B,A108,'[1]GİP VERİLERİ'!$M:$M,"40X000000104782K",'[1]GİP VERİLERİ'!$G:$G,"BUY")</f>
        <v/>
      </c>
      <c r="Y108" s="34">
        <f>IFERROR(AA108/X108,0)</f>
        <v/>
      </c>
      <c r="Z108" s="34">
        <f>IF(Y108=0,0,F108-Y108)</f>
        <v/>
      </c>
      <c r="AA108" s="34">
        <f>SUMIFS('[1]GİP VERİLERİ'!$O:$O,'[1]GİP VERİLERİ'!$B:$B,A108,'[1]GİP VERİLERİ'!$M:$M,"40X000000104782K",'[1]GİP VERİLERİ'!$G:$G,"BUY")</f>
        <v/>
      </c>
      <c r="AB108" s="34" t="n">
        <v>0</v>
      </c>
      <c r="AC108" s="34" t="n">
        <v>0</v>
      </c>
      <c r="AD108" s="34">
        <f>IF(AB108&gt;AC108*1.05,AB108-AC108*1.05,IF(AB108&lt;AC108*0.95,AC108*0.95-AB108,0))</f>
        <v/>
      </c>
      <c r="AE108" s="34">
        <f>MAX(F108,G108,750)*0.05*AD108</f>
        <v/>
      </c>
      <c r="AF108" s="34" t="n">
        <v>0</v>
      </c>
      <c r="AG108" s="34">
        <f>IF(AB108&gt;AF108*1.05,AB108-AF108*1.05,IF(AB108&lt;AF108*0.95,AF108*0.95-AB108,0))</f>
        <v/>
      </c>
      <c r="AH108" s="34">
        <f>MAX(I108,J108,750)*0.05*AG108</f>
        <v/>
      </c>
      <c r="AI108" t="n">
        <v>0</v>
      </c>
      <c r="AJ108" t="n">
        <v>0</v>
      </c>
      <c r="AK108" s="34">
        <f>IF(AI108&gt;AJ108*1.05,AI108-AJ108*1.05,IF(AI108&lt;AJ108*0.95,AJ108*0.95-AI108,0))</f>
        <v/>
      </c>
      <c r="AL108" s="34">
        <f>MAX(F108,G108,750)*0.05*AK108</f>
        <v/>
      </c>
      <c r="AM108" s="39" t="n">
        <v>0</v>
      </c>
      <c r="AN108" s="34">
        <f>IF(AI108&gt;AM108*1.05,AI108-AM108*1.05,IF(AI108&lt;AM108*0.95,AM108*0.95-AI108,0))</f>
        <v/>
      </c>
      <c r="AO108" s="34">
        <f>MAX(F108,G108,750)*0.05*AN108</f>
        <v/>
      </c>
      <c r="AP108" s="34" t="n">
        <v>0</v>
      </c>
      <c r="AQ108" s="34" t="n">
        <v>0</v>
      </c>
      <c r="AR108" s="34">
        <f>IF(AP108&gt;AQ108*1.05,AP108-AQ108*1.05,IF(AP108&lt;AQ108*0.95,AQ108*0.95-AP108,0))</f>
        <v/>
      </c>
      <c r="AS108" s="34">
        <f>MAX(F108:G108,750)*0.05*AR108</f>
        <v/>
      </c>
      <c r="AT108" t="n">
        <v>0</v>
      </c>
      <c r="AU108" s="34">
        <f>IF(AP108&gt;AT108*1.05,AP108-AT108*1.05,IF(AP108&lt;AT108*0.95,AT108*0.95-AP108,0))</f>
        <v/>
      </c>
      <c r="AV108" s="34">
        <f>MAX(F108:G108,750)*0.05*AU108</f>
        <v/>
      </c>
      <c r="AW108" s="34">
        <f>AC108+AJ108+AQ108</f>
        <v/>
      </c>
      <c r="AX108" s="34">
        <f>AF108+AM108+AT108</f>
        <v/>
      </c>
      <c r="AY108" s="34">
        <f>AB108+AI108+AP108</f>
        <v/>
      </c>
      <c r="AZ108" s="34" t="n">
        <v>0</v>
      </c>
      <c r="BA108" s="34">
        <f>AD108+AK108+AR108</f>
        <v/>
      </c>
      <c r="BB108" s="34">
        <f>MAX(F108:G108,750)*0.05*BA108</f>
        <v/>
      </c>
      <c r="BC108" s="34">
        <f>AG108+AN108+AU108</f>
        <v/>
      </c>
      <c r="BD108" s="34">
        <f>MAX(F108:G108,750)*0.05*BC108</f>
        <v/>
      </c>
      <c r="BE108" s="34">
        <f>F108*AY108</f>
        <v/>
      </c>
      <c r="BF108" s="34">
        <f>K108-M108</f>
        <v/>
      </c>
      <c r="BG108" s="34">
        <f>P108-S108</f>
        <v/>
      </c>
      <c r="BH108" s="34">
        <f>W108-AA108</f>
        <v/>
      </c>
      <c r="BI108" s="34">
        <f>BF108+BG108+BL108-BN108</f>
        <v/>
      </c>
      <c r="BJ108" s="34">
        <f>ABS(BK108)</f>
        <v/>
      </c>
      <c r="BK108" s="34">
        <f>AY108-(J108-L108+N108-Q108)</f>
        <v/>
      </c>
      <c r="BL108" s="34">
        <f>IF(AND(BK108&gt;0,MIN($F108:$G108)&lt;150,$E108="Enerji Açığı"),-100*BK108*1.03,IF(AND(BK108&gt;0,MIN($F108:$G108)&lt;150,$E108="Enerji Fazlası"),-100*BK108*1.06,IF(AND(BK108&gt;0,MIN($F108:$G108)&gt;=150,$E108="Enerji Açığı"),BK108*MIN($F108:$G108)*0.97,IF(AND(BK108&gt;0,MIN($F108:$G108)&gt;=150,$E108="Enerji Fazlası"),BK108*MIN($F108:$G108)*0.94,IF(AND(BK108&lt;0,MAX($F108:$G108)=4500,$E108="Enerji Açığı"),4500*1.05*1.06*BK108,IF(AND(BK108&lt;0,MAX($F108:$G108)=4500,$E108="Enerji Fazlası"),4500*1.05*1.03*BK108,IF(AND(BK108&lt;0,$E108="Enerji Açığı"),MAX($F108,$G108,150)*BK108*1.06,IF(AND(BK108&lt;0,$E108="Enerji Fazlası"),MAX($F108,$G108,150)*BK108*1.03,IF(AND(BK108&lt;0,$E108="Dengede"),MAX($F108:$G108,150)*1.03*BK108,MIN($F108:$G108)*0.97*BK108)))))))))</f>
        <v/>
      </c>
      <c r="BM108" s="34">
        <f>BE108-BI108-BN108</f>
        <v/>
      </c>
      <c r="BN108" s="34">
        <f>BB108</f>
        <v/>
      </c>
      <c r="BO108" s="34">
        <f>BE108-BI108</f>
        <v/>
      </c>
      <c r="BP108" s="34">
        <f>IF(AY108=0,0,BO108/AY108)</f>
        <v/>
      </c>
      <c r="BQ108" s="34">
        <f>MAX((AY108+MAX((-J108+L108-N108+Q108),0)),(MAX((J108-L108+N108-Q108),0)))</f>
        <v/>
      </c>
      <c r="BR108" s="82">
        <f>IFERROR(ABS(BK108/BQ108),0)</f>
        <v/>
      </c>
      <c r="BS108" s="34">
        <f>IF(BR108&lt;=0.1,0,BK108/BR108*(BR108-0.1))</f>
        <v/>
      </c>
      <c r="BT108" s="34">
        <f>IF((BS108)&lt;0,MAX(F108:G108)*(BS108)*1.03,MIN(F108:G108)*(BS108)*0.97)</f>
        <v/>
      </c>
      <c r="BU108" s="34">
        <f>IF(BR108&gt;0.1,1,0)</f>
        <v/>
      </c>
      <c r="BV108" s="34">
        <f>BF108+BG108+BH108+BY108-CA108</f>
        <v/>
      </c>
      <c r="BW108" s="34">
        <f>ABS(BX108)</f>
        <v/>
      </c>
      <c r="BX108" s="34">
        <f>AY108-(J108-L108+N108-Q108+T108-X108)</f>
        <v/>
      </c>
      <c r="BY108" s="34">
        <f>IF(AND(BX108&gt;0,MIN($F108:$G108)&lt;150,$E108="Enerji Açığı"),-100*BX108*1.03,IF(AND(BX108&gt;0,MIN($F108:$G108)&lt;150,$E108="Enerji Fazlası"),-100*BX108*1.06,IF(AND(BX108&gt;0,MIN($F108:$G108)&gt;=150,$E108="Enerji Açığı"),BX108*MIN($F108:$G108)*0.97,IF(AND(BX108&gt;0,MIN($F108:$G108)&gt;=150,$E108="Enerji Fazlası"),BX108*MIN($F108:$G108)*0.94,IF(AND(BX108&lt;0,MAX($F108:$G108)=4500,$E108="Enerji Açığı"),4500*1.05*1.06*BX108,IF(AND(BX108&lt;0,MAX($F108:$G108)=4500,$E108="Enerji Fazlası"),4500*1.05*1.03*BX108,IF(AND(BX108&lt;0,$E108="Enerji Açığı"),MAX($F108,$G108,150)*BX108*1.06,IF(AND(BX108&lt;0,$E108="Enerji Fazlası"),MAX($F108,$G108,150)*BX108*1.03,IF(AND(BX108&lt;0,$E108="Dengede"),MAX($F108:$G108,150)*1.03*BX108,MIN($F108:$G108)*0.97*BX108)))))))))</f>
        <v/>
      </c>
      <c r="BZ108" s="34">
        <f>BE108-BV108-CA108</f>
        <v/>
      </c>
      <c r="CA108" s="34">
        <f>BD108</f>
        <v/>
      </c>
      <c r="CB108" s="33">
        <f>BE108-BV108</f>
        <v/>
      </c>
      <c r="CC108" s="34">
        <f>IF(AY108=0,0,CB108/AY108)</f>
        <v/>
      </c>
      <c r="CD108" s="34">
        <f>MAX((AY108+MAX((-J108+L108-N108+Q108-T108+X108),0)),(MAX((J108-L108+N108-Q108+T108-X108),0)))</f>
        <v/>
      </c>
      <c r="CE108" s="82">
        <f>IFERROR(ABS(BX108/CD108),0)</f>
        <v/>
      </c>
      <c r="CF108" s="34">
        <f>IF(CE108&lt;=0.1,0,BX108/CE108*(CE108-0.1))</f>
        <v/>
      </c>
      <c r="CG108" s="34">
        <f>IF((CF108)&lt;0,MAX(F108:G108)*(CF108)*1.03,MIN(F108:G108)*(CF108)*0.97)</f>
        <v/>
      </c>
      <c r="CH108" s="34">
        <f>IF(CE108&gt;0.1,1,0)</f>
        <v/>
      </c>
      <c r="CI108" s="34">
        <f>(F108*BX108)-BY108</f>
        <v/>
      </c>
      <c r="CJ108" s="34">
        <f>IF(AY108=0,0,CI108/AY108)</f>
        <v/>
      </c>
    </row>
    <row r="109">
      <c r="A109" s="29" t="n">
        <v>46208.41666666666</v>
      </c>
      <c r="B109" s="29" t="inlineStr">
        <is>
          <t>10:00</t>
        </is>
      </c>
      <c r="C109" s="35">
        <f>INT(A109)</f>
        <v/>
      </c>
      <c r="D109" s="36">
        <f>MONTH(A109)</f>
        <v/>
      </c>
      <c r="E109" s="147">
        <f>[1]FİYATLAR!G108</f>
        <v/>
      </c>
      <c r="F109" s="30" t="n">
        <v>169.98</v>
      </c>
      <c r="G109" s="30" t="n">
        <v>0</v>
      </c>
      <c r="H109" s="30" t="n">
        <v>3.65</v>
      </c>
      <c r="I109" s="30" t="n">
        <v>94.42</v>
      </c>
      <c r="J109" s="119" t="n">
        <v>0</v>
      </c>
      <c r="K109" s="34">
        <f>F109*J109</f>
        <v/>
      </c>
      <c r="L109" s="119" t="n">
        <v>25.3</v>
      </c>
      <c r="M109" s="34">
        <f>L109*F109</f>
        <v/>
      </c>
      <c r="N109" s="119" t="n">
        <v>25.3</v>
      </c>
      <c r="O109" s="34">
        <f>F109</f>
        <v/>
      </c>
      <c r="P109" s="34">
        <f>N109*O109</f>
        <v/>
      </c>
      <c r="Q109" s="117" t="n">
        <v>0</v>
      </c>
      <c r="R109" s="34">
        <f>F109</f>
        <v/>
      </c>
      <c r="S109" s="34">
        <f>R109*Q109</f>
        <v/>
      </c>
      <c r="T109" s="34">
        <f>SUMIFS('[1]GİP VERİLERİ'!$C:$C,'[1]GİP VERİLERİ'!$B:$B,A109,'[1]GİP VERİLERİ'!$M:$M,"40X000000104782K",'[1]GİP VERİLERİ'!$G:$G,"SELL")</f>
        <v/>
      </c>
      <c r="U109" s="34">
        <f>IFERROR(W109/T109,0)</f>
        <v/>
      </c>
      <c r="V109" s="34">
        <f>IF(U109=0,0,U109-F109)</f>
        <v/>
      </c>
      <c r="W109" s="34">
        <f>SUMIFS('[1]GİP VERİLERİ'!$O:$O,'[1]GİP VERİLERİ'!$B:$B,A109,'[1]GİP VERİLERİ'!$M:$M,"40X000000104782K",'[1]GİP VERİLERİ'!$G:$G,"SELL")</f>
        <v/>
      </c>
      <c r="X109" s="34">
        <f>SUMIFS('[1]GİP VERİLERİ'!$C:$C,'[1]GİP VERİLERİ'!$B:$B,A109,'[1]GİP VERİLERİ'!$M:$M,"40X000000104782K",'[1]GİP VERİLERİ'!$G:$G,"BUY")</f>
        <v/>
      </c>
      <c r="Y109" s="34">
        <f>IFERROR(AA109/X109,0)</f>
        <v/>
      </c>
      <c r="Z109" s="34">
        <f>IF(Y109=0,0,F109-Y109)</f>
        <v/>
      </c>
      <c r="AA109" s="34">
        <f>SUMIFS('[1]GİP VERİLERİ'!$O:$O,'[1]GİP VERİLERİ'!$B:$B,A109,'[1]GİP VERİLERİ'!$M:$M,"40X000000104782K",'[1]GİP VERİLERİ'!$G:$G,"BUY")</f>
        <v/>
      </c>
      <c r="AB109" s="34" t="n">
        <v>0</v>
      </c>
      <c r="AC109" s="34" t="n">
        <v>0</v>
      </c>
      <c r="AD109" s="34">
        <f>IF(AB109&gt;AC109*1.05,AB109-AC109*1.05,IF(AB109&lt;AC109*0.95,AC109*0.95-AB109,0))</f>
        <v/>
      </c>
      <c r="AE109" s="34">
        <f>MAX(F109,G109,750)*0.05*AD109</f>
        <v/>
      </c>
      <c r="AF109" s="34" t="n">
        <v>0</v>
      </c>
      <c r="AG109" s="34">
        <f>IF(AB109&gt;AF109*1.05,AB109-AF109*1.05,IF(AB109&lt;AF109*0.95,AF109*0.95-AB109,0))</f>
        <v/>
      </c>
      <c r="AH109" s="34">
        <f>MAX(I109,J109,750)*0.05*AG109</f>
        <v/>
      </c>
      <c r="AI109" t="n">
        <v>0</v>
      </c>
      <c r="AJ109" t="n">
        <v>0</v>
      </c>
      <c r="AK109" s="34">
        <f>IF(AI109&gt;AJ109*1.05,AI109-AJ109*1.05,IF(AI109&lt;AJ109*0.95,AJ109*0.95-AI109,0))</f>
        <v/>
      </c>
      <c r="AL109" s="34">
        <f>MAX(F109,G109,750)*0.05*AK109</f>
        <v/>
      </c>
      <c r="AM109" s="39" t="n">
        <v>0</v>
      </c>
      <c r="AN109" s="34">
        <f>IF(AI109&gt;AM109*1.05,AI109-AM109*1.05,IF(AI109&lt;AM109*0.95,AM109*0.95-AI109,0))</f>
        <v/>
      </c>
      <c r="AO109" s="34">
        <f>MAX(F109,G109,750)*0.05*AN109</f>
        <v/>
      </c>
      <c r="AP109" s="34" t="n">
        <v>0</v>
      </c>
      <c r="AQ109" s="34" t="n">
        <v>0</v>
      </c>
      <c r="AR109" s="34">
        <f>IF(AP109&gt;AQ109*1.05,AP109-AQ109*1.05,IF(AP109&lt;AQ109*0.95,AQ109*0.95-AP109,0))</f>
        <v/>
      </c>
      <c r="AS109" s="34">
        <f>MAX(F109:G109,750)*0.05*AR109</f>
        <v/>
      </c>
      <c r="AT109" t="n">
        <v>0</v>
      </c>
      <c r="AU109" s="34">
        <f>IF(AP109&gt;AT109*1.05,AP109-AT109*1.05,IF(AP109&lt;AT109*0.95,AT109*0.95-AP109,0))</f>
        <v/>
      </c>
      <c r="AV109" s="34">
        <f>MAX(F109:G109,750)*0.05*AU109</f>
        <v/>
      </c>
      <c r="AW109" s="34">
        <f>AC109+AJ109+AQ109</f>
        <v/>
      </c>
      <c r="AX109" s="34">
        <f>AF109+AM109+AT109</f>
        <v/>
      </c>
      <c r="AY109" s="34">
        <f>AB109+AI109+AP109</f>
        <v/>
      </c>
      <c r="AZ109" s="34" t="n">
        <v>0</v>
      </c>
      <c r="BA109" s="34">
        <f>AD109+AK109+AR109</f>
        <v/>
      </c>
      <c r="BB109" s="34">
        <f>MAX(F109:G109,750)*0.05*BA109</f>
        <v/>
      </c>
      <c r="BC109" s="34">
        <f>AG109+AN109+AU109</f>
        <v/>
      </c>
      <c r="BD109" s="34">
        <f>MAX(F109:G109,750)*0.05*BC109</f>
        <v/>
      </c>
      <c r="BE109" s="34">
        <f>F109*AY109</f>
        <v/>
      </c>
      <c r="BF109" s="34">
        <f>K109-M109</f>
        <v/>
      </c>
      <c r="BG109" s="34">
        <f>P109-S109</f>
        <v/>
      </c>
      <c r="BH109" s="34">
        <f>W109-AA109</f>
        <v/>
      </c>
      <c r="BI109" s="34">
        <f>BF109+BG109+BL109-BN109</f>
        <v/>
      </c>
      <c r="BJ109" s="34">
        <f>ABS(BK109)</f>
        <v/>
      </c>
      <c r="BK109" s="34">
        <f>AY109-(J109-L109+N109-Q109)</f>
        <v/>
      </c>
      <c r="BL109" s="34">
        <f>IF(AND(BK109&gt;0,MIN($F109:$G109)&lt;150,$E109="Enerji Açığı"),-100*BK109*1.03,IF(AND(BK109&gt;0,MIN($F109:$G109)&lt;150,$E109="Enerji Fazlası"),-100*BK109*1.06,IF(AND(BK109&gt;0,MIN($F109:$G109)&gt;=150,$E109="Enerji Açığı"),BK109*MIN($F109:$G109)*0.97,IF(AND(BK109&gt;0,MIN($F109:$G109)&gt;=150,$E109="Enerji Fazlası"),BK109*MIN($F109:$G109)*0.94,IF(AND(BK109&lt;0,MAX($F109:$G109)=4500,$E109="Enerji Açığı"),4500*1.05*1.06*BK109,IF(AND(BK109&lt;0,MAX($F109:$G109)=4500,$E109="Enerji Fazlası"),4500*1.05*1.03*BK109,IF(AND(BK109&lt;0,$E109="Enerji Açığı"),MAX($F109,$G109,150)*BK109*1.06,IF(AND(BK109&lt;0,$E109="Enerji Fazlası"),MAX($F109,$G109,150)*BK109*1.03,IF(AND(BK109&lt;0,$E109="Dengede"),MAX($F109:$G109,150)*1.03*BK109,MIN($F109:$G109)*0.97*BK109)))))))))</f>
        <v/>
      </c>
      <c r="BM109" s="34">
        <f>BE109-BI109-BN109</f>
        <v/>
      </c>
      <c r="BN109" s="34">
        <f>BB109</f>
        <v/>
      </c>
      <c r="BO109" s="34">
        <f>BE109-BI109</f>
        <v/>
      </c>
      <c r="BP109" s="34">
        <f>IF(AY109=0,0,BO109/AY109)</f>
        <v/>
      </c>
      <c r="BQ109" s="34">
        <f>MAX((AY109+MAX((-J109+L109-N109+Q109),0)),(MAX((J109-L109+N109-Q109),0)))</f>
        <v/>
      </c>
      <c r="BR109" s="82">
        <f>IFERROR(ABS(BK109/BQ109),0)</f>
        <v/>
      </c>
      <c r="BS109" s="34">
        <f>IF(BR109&lt;=0.1,0,BK109/BR109*(BR109-0.1))</f>
        <v/>
      </c>
      <c r="BT109" s="34">
        <f>IF((BS109)&lt;0,MAX(F109:G109)*(BS109)*1.03,MIN(F109:G109)*(BS109)*0.97)</f>
        <v/>
      </c>
      <c r="BU109" s="34">
        <f>IF(BR109&gt;0.1,1,0)</f>
        <v/>
      </c>
      <c r="BV109" s="34">
        <f>BF109+BG109+BH109+BY109-CA109</f>
        <v/>
      </c>
      <c r="BW109" s="34">
        <f>ABS(BX109)</f>
        <v/>
      </c>
      <c r="BX109" s="34">
        <f>AY109-(J109-L109+N109-Q109+T109-X109)</f>
        <v/>
      </c>
      <c r="BY109" s="34">
        <f>IF(AND(BX109&gt;0,MIN($F109:$G109)&lt;150,$E109="Enerji Açığı"),-100*BX109*1.03,IF(AND(BX109&gt;0,MIN($F109:$G109)&lt;150,$E109="Enerji Fazlası"),-100*BX109*1.06,IF(AND(BX109&gt;0,MIN($F109:$G109)&gt;=150,$E109="Enerji Açığı"),BX109*MIN($F109:$G109)*0.97,IF(AND(BX109&gt;0,MIN($F109:$G109)&gt;=150,$E109="Enerji Fazlası"),BX109*MIN($F109:$G109)*0.94,IF(AND(BX109&lt;0,MAX($F109:$G109)=4500,$E109="Enerji Açığı"),4500*1.05*1.06*BX109,IF(AND(BX109&lt;0,MAX($F109:$G109)=4500,$E109="Enerji Fazlası"),4500*1.05*1.03*BX109,IF(AND(BX109&lt;0,$E109="Enerji Açığı"),MAX($F109,$G109,150)*BX109*1.06,IF(AND(BX109&lt;0,$E109="Enerji Fazlası"),MAX($F109,$G109,150)*BX109*1.03,IF(AND(BX109&lt;0,$E109="Dengede"),MAX($F109:$G109,150)*1.03*BX109,MIN($F109:$G109)*0.97*BX109)))))))))</f>
        <v/>
      </c>
      <c r="BZ109" s="34">
        <f>BE109-BV109-CA109</f>
        <v/>
      </c>
      <c r="CA109" s="34">
        <f>BD109</f>
        <v/>
      </c>
      <c r="CB109" s="33">
        <f>BE109-BV109</f>
        <v/>
      </c>
      <c r="CC109" s="34">
        <f>IF(AY109=0,0,CB109/AY109)</f>
        <v/>
      </c>
      <c r="CD109" s="34">
        <f>MAX((AY109+MAX((-J109+L109-N109+Q109-T109+X109),0)),(MAX((J109-L109+N109-Q109+T109-X109),0)))</f>
        <v/>
      </c>
      <c r="CE109" s="82">
        <f>IFERROR(ABS(BX109/CD109),0)</f>
        <v/>
      </c>
      <c r="CF109" s="34">
        <f>IF(CE109&lt;=0.1,0,BX109/CE109*(CE109-0.1))</f>
        <v/>
      </c>
      <c r="CG109" s="34">
        <f>IF((CF109)&lt;0,MAX(F109:G109)*(CF109)*1.03,MIN(F109:G109)*(CF109)*0.97)</f>
        <v/>
      </c>
      <c r="CH109" s="34">
        <f>IF(CE109&gt;0.1,1,0)</f>
        <v/>
      </c>
      <c r="CI109" s="34">
        <f>(F109*BX109)-BY109</f>
        <v/>
      </c>
      <c r="CJ109" s="34">
        <f>IF(AY109=0,0,CI109/AY109)</f>
        <v/>
      </c>
    </row>
    <row r="110">
      <c r="A110" s="29" t="n">
        <v>46208.45833333334</v>
      </c>
      <c r="B110" s="29" t="inlineStr">
        <is>
          <t>11:00</t>
        </is>
      </c>
      <c r="C110" s="35">
        <f>INT(A110)</f>
        <v/>
      </c>
      <c r="D110" s="36">
        <f>MONTH(A110)</f>
        <v/>
      </c>
      <c r="E110" s="147">
        <f>[1]FİYATLAR!G109</f>
        <v/>
      </c>
      <c r="F110" s="30" t="n">
        <v>169.99</v>
      </c>
      <c r="G110" s="30" t="n">
        <v>0</v>
      </c>
      <c r="H110" s="30" t="n">
        <v>3.65</v>
      </c>
      <c r="I110" s="30" t="n">
        <v>66.95999999999999</v>
      </c>
      <c r="J110" s="119" t="n">
        <v>0</v>
      </c>
      <c r="K110" s="34">
        <f>F110*J110</f>
        <v/>
      </c>
      <c r="L110" s="119" t="n">
        <v>25.3</v>
      </c>
      <c r="M110" s="34">
        <f>L110*F110</f>
        <v/>
      </c>
      <c r="N110" s="119" t="n">
        <v>25.3</v>
      </c>
      <c r="O110" s="34">
        <f>F110</f>
        <v/>
      </c>
      <c r="P110" s="34">
        <f>N110*O110</f>
        <v/>
      </c>
      <c r="Q110" s="117" t="n">
        <v>0</v>
      </c>
      <c r="R110" s="34">
        <f>F110</f>
        <v/>
      </c>
      <c r="S110" s="34">
        <f>R110*Q110</f>
        <v/>
      </c>
      <c r="T110" s="34">
        <f>SUMIFS('[1]GİP VERİLERİ'!$C:$C,'[1]GİP VERİLERİ'!$B:$B,A110,'[1]GİP VERİLERİ'!$M:$M,"40X000000104782K",'[1]GİP VERİLERİ'!$G:$G,"SELL")</f>
        <v/>
      </c>
      <c r="U110" s="34">
        <f>IFERROR(W110/T110,0)</f>
        <v/>
      </c>
      <c r="V110" s="34">
        <f>IF(U110=0,0,U110-F110)</f>
        <v/>
      </c>
      <c r="W110" s="34">
        <f>SUMIFS('[1]GİP VERİLERİ'!$O:$O,'[1]GİP VERİLERİ'!$B:$B,A110,'[1]GİP VERİLERİ'!$M:$M,"40X000000104782K",'[1]GİP VERİLERİ'!$G:$G,"SELL")</f>
        <v/>
      </c>
      <c r="X110" s="34">
        <f>SUMIFS('[1]GİP VERİLERİ'!$C:$C,'[1]GİP VERİLERİ'!$B:$B,A110,'[1]GİP VERİLERİ'!$M:$M,"40X000000104782K",'[1]GİP VERİLERİ'!$G:$G,"BUY")</f>
        <v/>
      </c>
      <c r="Y110" s="34">
        <f>IFERROR(AA110/X110,0)</f>
        <v/>
      </c>
      <c r="Z110" s="34">
        <f>IF(Y110=0,0,F110-Y110)</f>
        <v/>
      </c>
      <c r="AA110" s="34">
        <f>SUMIFS('[1]GİP VERİLERİ'!$O:$O,'[1]GİP VERİLERİ'!$B:$B,A110,'[1]GİP VERİLERİ'!$M:$M,"40X000000104782K",'[1]GİP VERİLERİ'!$G:$G,"BUY")</f>
        <v/>
      </c>
      <c r="AB110" s="34" t="n">
        <v>0</v>
      </c>
      <c r="AC110" s="34" t="n">
        <v>0</v>
      </c>
      <c r="AD110" s="34">
        <f>IF(AB110&gt;AC110*1.05,AB110-AC110*1.05,IF(AB110&lt;AC110*0.95,AC110*0.95-AB110,0))</f>
        <v/>
      </c>
      <c r="AE110" s="34">
        <f>MAX(F110,G110,750)*0.05*AD110</f>
        <v/>
      </c>
      <c r="AF110" s="34" t="n">
        <v>0</v>
      </c>
      <c r="AG110" s="34">
        <f>IF(AB110&gt;AF110*1.05,AB110-AF110*1.05,IF(AB110&lt;AF110*0.95,AF110*0.95-AB110,0))</f>
        <v/>
      </c>
      <c r="AH110" s="34">
        <f>MAX(I110,J110,750)*0.05*AG110</f>
        <v/>
      </c>
      <c r="AI110" t="n">
        <v>0</v>
      </c>
      <c r="AJ110" t="n">
        <v>0</v>
      </c>
      <c r="AK110" s="34">
        <f>IF(AI110&gt;AJ110*1.05,AI110-AJ110*1.05,IF(AI110&lt;AJ110*0.95,AJ110*0.95-AI110,0))</f>
        <v/>
      </c>
      <c r="AL110" s="34">
        <f>MAX(F110,G110,750)*0.05*AK110</f>
        <v/>
      </c>
      <c r="AM110" s="39" t="n">
        <v>0</v>
      </c>
      <c r="AN110" s="34">
        <f>IF(AI110&gt;AM110*1.05,AI110-AM110*1.05,IF(AI110&lt;AM110*0.95,AM110*0.95-AI110,0))</f>
        <v/>
      </c>
      <c r="AO110" s="34">
        <f>MAX(F110,G110,750)*0.05*AN110</f>
        <v/>
      </c>
      <c r="AP110" s="34" t="n">
        <v>0</v>
      </c>
      <c r="AQ110" s="34" t="n">
        <v>0</v>
      </c>
      <c r="AR110" s="34">
        <f>IF(AP110&gt;AQ110*1.05,AP110-AQ110*1.05,IF(AP110&lt;AQ110*0.95,AQ110*0.95-AP110,0))</f>
        <v/>
      </c>
      <c r="AS110" s="34">
        <f>MAX(F110:G110,750)*0.05*AR110</f>
        <v/>
      </c>
      <c r="AT110" t="n">
        <v>0</v>
      </c>
      <c r="AU110" s="34">
        <f>IF(AP110&gt;AT110*1.05,AP110-AT110*1.05,IF(AP110&lt;AT110*0.95,AT110*0.95-AP110,0))</f>
        <v/>
      </c>
      <c r="AV110" s="34">
        <f>MAX(F110:G110,750)*0.05*AU110</f>
        <v/>
      </c>
      <c r="AW110" s="34">
        <f>AC110+AJ110+AQ110</f>
        <v/>
      </c>
      <c r="AX110" s="34">
        <f>AF110+AM110+AT110</f>
        <v/>
      </c>
      <c r="AY110" s="34">
        <f>AB110+AI110+AP110</f>
        <v/>
      </c>
      <c r="AZ110" s="34" t="n">
        <v>0</v>
      </c>
      <c r="BA110" s="34">
        <f>AD110+AK110+AR110</f>
        <v/>
      </c>
      <c r="BB110" s="34">
        <f>MAX(F110:G110,750)*0.05*BA110</f>
        <v/>
      </c>
      <c r="BC110" s="34">
        <f>AG110+AN110+AU110</f>
        <v/>
      </c>
      <c r="BD110" s="34">
        <f>MAX(F110:G110,750)*0.05*BC110</f>
        <v/>
      </c>
      <c r="BE110" s="34">
        <f>F110*AY110</f>
        <v/>
      </c>
      <c r="BF110" s="34">
        <f>K110-M110</f>
        <v/>
      </c>
      <c r="BG110" s="34">
        <f>P110-S110</f>
        <v/>
      </c>
      <c r="BH110" s="34">
        <f>W110-AA110</f>
        <v/>
      </c>
      <c r="BI110" s="34">
        <f>BF110+BG110+BL110-BN110</f>
        <v/>
      </c>
      <c r="BJ110" s="34">
        <f>ABS(BK110)</f>
        <v/>
      </c>
      <c r="BK110" s="34">
        <f>AY110-(J110-L110+N110-Q110)</f>
        <v/>
      </c>
      <c r="BL110" s="34">
        <f>IF(AND(BK110&gt;0,MIN($F110:$G110)&lt;150,$E110="Enerji Açığı"),-100*BK110*1.03,IF(AND(BK110&gt;0,MIN($F110:$G110)&lt;150,$E110="Enerji Fazlası"),-100*BK110*1.06,IF(AND(BK110&gt;0,MIN($F110:$G110)&gt;=150,$E110="Enerji Açığı"),BK110*MIN($F110:$G110)*0.97,IF(AND(BK110&gt;0,MIN($F110:$G110)&gt;=150,$E110="Enerji Fazlası"),BK110*MIN($F110:$G110)*0.94,IF(AND(BK110&lt;0,MAX($F110:$G110)=4500,$E110="Enerji Açığı"),4500*1.05*1.06*BK110,IF(AND(BK110&lt;0,MAX($F110:$G110)=4500,$E110="Enerji Fazlası"),4500*1.05*1.03*BK110,IF(AND(BK110&lt;0,$E110="Enerji Açığı"),MAX($F110,$G110,150)*BK110*1.06,IF(AND(BK110&lt;0,$E110="Enerji Fazlası"),MAX($F110,$G110,150)*BK110*1.03,IF(AND(BK110&lt;0,$E110="Dengede"),MAX($F110:$G110,150)*1.03*BK110,MIN($F110:$G110)*0.97*BK110)))))))))</f>
        <v/>
      </c>
      <c r="BM110" s="34">
        <f>BE110-BI110-BN110</f>
        <v/>
      </c>
      <c r="BN110" s="34">
        <f>BB110</f>
        <v/>
      </c>
      <c r="BO110" s="34">
        <f>BE110-BI110</f>
        <v/>
      </c>
      <c r="BP110" s="34">
        <f>IF(AY110=0,0,BO110/AY110)</f>
        <v/>
      </c>
      <c r="BQ110" s="34">
        <f>MAX((AY110+MAX((-J110+L110-N110+Q110),0)),(MAX((J110-L110+N110-Q110),0)))</f>
        <v/>
      </c>
      <c r="BR110" s="82">
        <f>IFERROR(ABS(BK110/BQ110),0)</f>
        <v/>
      </c>
      <c r="BS110" s="34">
        <f>IF(BR110&lt;=0.1,0,BK110/BR110*(BR110-0.1))</f>
        <v/>
      </c>
      <c r="BT110" s="34">
        <f>IF((BS110)&lt;0,MAX(F110:G110)*(BS110)*1.03,MIN(F110:G110)*(BS110)*0.97)</f>
        <v/>
      </c>
      <c r="BU110" s="34">
        <f>IF(BR110&gt;0.1,1,0)</f>
        <v/>
      </c>
      <c r="BV110" s="34">
        <f>BF110+BG110+BH110+BY110-CA110</f>
        <v/>
      </c>
      <c r="BW110" s="34">
        <f>ABS(BX110)</f>
        <v/>
      </c>
      <c r="BX110" s="34">
        <f>AY110-(J110-L110+N110-Q110+T110-X110)</f>
        <v/>
      </c>
      <c r="BY110" s="34">
        <f>IF(AND(BX110&gt;0,MIN($F110:$G110)&lt;150,$E110="Enerji Açığı"),-100*BX110*1.03,IF(AND(BX110&gt;0,MIN($F110:$G110)&lt;150,$E110="Enerji Fazlası"),-100*BX110*1.06,IF(AND(BX110&gt;0,MIN($F110:$G110)&gt;=150,$E110="Enerji Açığı"),BX110*MIN($F110:$G110)*0.97,IF(AND(BX110&gt;0,MIN($F110:$G110)&gt;=150,$E110="Enerji Fazlası"),BX110*MIN($F110:$G110)*0.94,IF(AND(BX110&lt;0,MAX($F110:$G110)=4500,$E110="Enerji Açığı"),4500*1.05*1.06*BX110,IF(AND(BX110&lt;0,MAX($F110:$G110)=4500,$E110="Enerji Fazlası"),4500*1.05*1.03*BX110,IF(AND(BX110&lt;0,$E110="Enerji Açığı"),MAX($F110,$G110,150)*BX110*1.06,IF(AND(BX110&lt;0,$E110="Enerji Fazlası"),MAX($F110,$G110,150)*BX110*1.03,IF(AND(BX110&lt;0,$E110="Dengede"),MAX($F110:$G110,150)*1.03*BX110,MIN($F110:$G110)*0.97*BX110)))))))))</f>
        <v/>
      </c>
      <c r="BZ110" s="34">
        <f>BE110-BV110-CA110</f>
        <v/>
      </c>
      <c r="CA110" s="34">
        <f>BD110</f>
        <v/>
      </c>
      <c r="CB110" s="33">
        <f>BE110-BV110</f>
        <v/>
      </c>
      <c r="CC110" s="34">
        <f>IF(AY110=0,0,CB110/AY110)</f>
        <v/>
      </c>
      <c r="CD110" s="34">
        <f>MAX((AY110+MAX((-J110+L110-N110+Q110-T110+X110),0)),(MAX((J110-L110+N110-Q110+T110-X110),0)))</f>
        <v/>
      </c>
      <c r="CE110" s="82">
        <f>IFERROR(ABS(BX110/CD110),0)</f>
        <v/>
      </c>
      <c r="CF110" s="34">
        <f>IF(CE110&lt;=0.1,0,BX110/CE110*(CE110-0.1))</f>
        <v/>
      </c>
      <c r="CG110" s="34">
        <f>IF((CF110)&lt;0,MAX(F110:G110)*(CF110)*1.03,MIN(F110:G110)*(CF110)*0.97)</f>
        <v/>
      </c>
      <c r="CH110" s="34">
        <f>IF(CE110&gt;0.1,1,0)</f>
        <v/>
      </c>
      <c r="CI110" s="34">
        <f>(F110*BX110)-BY110</f>
        <v/>
      </c>
      <c r="CJ110" s="34">
        <f>IF(AY110=0,0,CI110/AY110)</f>
        <v/>
      </c>
    </row>
    <row r="111">
      <c r="A111" s="29" t="n">
        <v>46208.5</v>
      </c>
      <c r="B111" s="29" t="inlineStr">
        <is>
          <t>12:00</t>
        </is>
      </c>
      <c r="C111" s="35">
        <f>INT(A111)</f>
        <v/>
      </c>
      <c r="D111" s="36">
        <f>MONTH(A111)</f>
        <v/>
      </c>
      <c r="E111" s="147">
        <f>[1]FİYATLAR!G110</f>
        <v/>
      </c>
      <c r="F111" s="30" t="n">
        <v>170</v>
      </c>
      <c r="G111" s="30" t="n">
        <v>10</v>
      </c>
      <c r="H111" s="30" t="n">
        <v>3.65</v>
      </c>
      <c r="I111" s="30" t="n">
        <v>79.19</v>
      </c>
      <c r="J111" s="119" t="n">
        <v>0</v>
      </c>
      <c r="K111" s="34">
        <f>F111*J111</f>
        <v/>
      </c>
      <c r="L111" s="119" t="n">
        <v>18.5</v>
      </c>
      <c r="M111" s="34">
        <f>L111*F111</f>
        <v/>
      </c>
      <c r="N111" s="119" t="n">
        <v>18.5</v>
      </c>
      <c r="O111" s="34">
        <f>F111</f>
        <v/>
      </c>
      <c r="P111" s="34">
        <f>N111*O111</f>
        <v/>
      </c>
      <c r="Q111" s="117" t="n">
        <v>0</v>
      </c>
      <c r="R111" s="34">
        <f>F111</f>
        <v/>
      </c>
      <c r="S111" s="34">
        <f>R111*Q111</f>
        <v/>
      </c>
      <c r="T111" s="34">
        <f>SUMIFS('[1]GİP VERİLERİ'!$C:$C,'[1]GİP VERİLERİ'!$B:$B,A111,'[1]GİP VERİLERİ'!$M:$M,"40X000000104782K",'[1]GİP VERİLERİ'!$G:$G,"SELL")</f>
        <v/>
      </c>
      <c r="U111" s="34">
        <f>IFERROR(W111/T111,0)</f>
        <v/>
      </c>
      <c r="V111" s="34">
        <f>IF(U111=0,0,U111-F111)</f>
        <v/>
      </c>
      <c r="W111" s="34">
        <f>SUMIFS('[1]GİP VERİLERİ'!$O:$O,'[1]GİP VERİLERİ'!$B:$B,A111,'[1]GİP VERİLERİ'!$M:$M,"40X000000104782K",'[1]GİP VERİLERİ'!$G:$G,"SELL")</f>
        <v/>
      </c>
      <c r="X111" s="34">
        <f>SUMIFS('[1]GİP VERİLERİ'!$C:$C,'[1]GİP VERİLERİ'!$B:$B,A111,'[1]GİP VERİLERİ'!$M:$M,"40X000000104782K",'[1]GİP VERİLERİ'!$G:$G,"BUY")</f>
        <v/>
      </c>
      <c r="Y111" s="34">
        <f>IFERROR(AA111/X111,0)</f>
        <v/>
      </c>
      <c r="Z111" s="34">
        <f>IF(Y111=0,0,F111-Y111)</f>
        <v/>
      </c>
      <c r="AA111" s="34">
        <f>SUMIFS('[1]GİP VERİLERİ'!$O:$O,'[1]GİP VERİLERİ'!$B:$B,A111,'[1]GİP VERİLERİ'!$M:$M,"40X000000104782K",'[1]GİP VERİLERİ'!$G:$G,"BUY")</f>
        <v/>
      </c>
      <c r="AB111" s="34" t="n">
        <v>0</v>
      </c>
      <c r="AC111" s="34" t="n">
        <v>0</v>
      </c>
      <c r="AD111" s="34">
        <f>IF(AB111&gt;AC111*1.05,AB111-AC111*1.05,IF(AB111&lt;AC111*0.95,AC111*0.95-AB111,0))</f>
        <v/>
      </c>
      <c r="AE111" s="34">
        <f>MAX(F111,G111,750)*0.05*AD111</f>
        <v/>
      </c>
      <c r="AF111" s="34" t="n">
        <v>0</v>
      </c>
      <c r="AG111" s="34">
        <f>IF(AB111&gt;AF111*1.05,AB111-AF111*1.05,IF(AB111&lt;AF111*0.95,AF111*0.95-AB111,0))</f>
        <v/>
      </c>
      <c r="AH111" s="34">
        <f>MAX(I111,J111,750)*0.05*AG111</f>
        <v/>
      </c>
      <c r="AI111" t="n">
        <v>0</v>
      </c>
      <c r="AJ111" t="n">
        <v>0</v>
      </c>
      <c r="AK111" s="34">
        <f>IF(AI111&gt;AJ111*1.05,AI111-AJ111*1.05,IF(AI111&lt;AJ111*0.95,AJ111*0.95-AI111,0))</f>
        <v/>
      </c>
      <c r="AL111" s="34">
        <f>MAX(F111,G111,750)*0.05*AK111</f>
        <v/>
      </c>
      <c r="AM111" s="39" t="n">
        <v>0</v>
      </c>
      <c r="AN111" s="34">
        <f>IF(AI111&gt;AM111*1.05,AI111-AM111*1.05,IF(AI111&lt;AM111*0.95,AM111*0.95-AI111,0))</f>
        <v/>
      </c>
      <c r="AO111" s="34">
        <f>MAX(F111,G111,750)*0.05*AN111</f>
        <v/>
      </c>
      <c r="AP111" s="34" t="n">
        <v>0</v>
      </c>
      <c r="AQ111" s="34" t="n">
        <v>0</v>
      </c>
      <c r="AR111" s="34">
        <f>IF(AP111&gt;AQ111*1.05,AP111-AQ111*1.05,IF(AP111&lt;AQ111*0.95,AQ111*0.95-AP111,0))</f>
        <v/>
      </c>
      <c r="AS111" s="34">
        <f>MAX(F111:G111,750)*0.05*AR111</f>
        <v/>
      </c>
      <c r="AT111" t="n">
        <v>0</v>
      </c>
      <c r="AU111" s="34">
        <f>IF(AP111&gt;AT111*1.05,AP111-AT111*1.05,IF(AP111&lt;AT111*0.95,AT111*0.95-AP111,0))</f>
        <v/>
      </c>
      <c r="AV111" s="34">
        <f>MAX(F111:G111,750)*0.05*AU111</f>
        <v/>
      </c>
      <c r="AW111" s="34">
        <f>AC111+AJ111+AQ111</f>
        <v/>
      </c>
      <c r="AX111" s="34">
        <f>AF111+AM111+AT111</f>
        <v/>
      </c>
      <c r="AY111" s="34">
        <f>AB111+AI111+AP111</f>
        <v/>
      </c>
      <c r="AZ111" s="34" t="n">
        <v>0</v>
      </c>
      <c r="BA111" s="34">
        <f>AD111+AK111+AR111</f>
        <v/>
      </c>
      <c r="BB111" s="34">
        <f>MAX(F111:G111,750)*0.05*BA111</f>
        <v/>
      </c>
      <c r="BC111" s="34">
        <f>AG111+AN111+AU111</f>
        <v/>
      </c>
      <c r="BD111" s="34">
        <f>MAX(F111:G111,750)*0.05*BC111</f>
        <v/>
      </c>
      <c r="BE111" s="34">
        <f>F111*AY111</f>
        <v/>
      </c>
      <c r="BF111" s="34">
        <f>K111-M111</f>
        <v/>
      </c>
      <c r="BG111" s="34">
        <f>P111-S111</f>
        <v/>
      </c>
      <c r="BH111" s="34">
        <f>W111-AA111</f>
        <v/>
      </c>
      <c r="BI111" s="34">
        <f>BF111+BG111+BL111-BN111</f>
        <v/>
      </c>
      <c r="BJ111" s="34">
        <f>ABS(BK111)</f>
        <v/>
      </c>
      <c r="BK111" s="34">
        <f>AY111-(J111-L111+N111-Q111)</f>
        <v/>
      </c>
      <c r="BL111" s="34">
        <f>IF(AND(BK111&gt;0,MIN($F111:$G111)&lt;150,$E111="Enerji Açığı"),-100*BK111*1.03,IF(AND(BK111&gt;0,MIN($F111:$G111)&lt;150,$E111="Enerji Fazlası"),-100*BK111*1.06,IF(AND(BK111&gt;0,MIN($F111:$G111)&gt;=150,$E111="Enerji Açığı"),BK111*MIN($F111:$G111)*0.97,IF(AND(BK111&gt;0,MIN($F111:$G111)&gt;=150,$E111="Enerji Fazlası"),BK111*MIN($F111:$G111)*0.94,IF(AND(BK111&lt;0,MAX($F111:$G111)=4500,$E111="Enerji Açığı"),4500*1.05*1.06*BK111,IF(AND(BK111&lt;0,MAX($F111:$G111)=4500,$E111="Enerji Fazlası"),4500*1.05*1.03*BK111,IF(AND(BK111&lt;0,$E111="Enerji Açığı"),MAX($F111,$G111,150)*BK111*1.06,IF(AND(BK111&lt;0,$E111="Enerji Fazlası"),MAX($F111,$G111,150)*BK111*1.03,IF(AND(BK111&lt;0,$E111="Dengede"),MAX($F111:$G111,150)*1.03*BK111,MIN($F111:$G111)*0.97*BK111)))))))))</f>
        <v/>
      </c>
      <c r="BM111" s="34">
        <f>BE111-BI111-BN111</f>
        <v/>
      </c>
      <c r="BN111" s="34">
        <f>BB111</f>
        <v/>
      </c>
      <c r="BO111" s="34">
        <f>BE111-BI111</f>
        <v/>
      </c>
      <c r="BP111" s="34">
        <f>IF(AY111=0,0,BO111/AY111)</f>
        <v/>
      </c>
      <c r="BQ111" s="34">
        <f>MAX((AY111+MAX((-J111+L111-N111+Q111),0)),(MAX((J111-L111+N111-Q111),0)))</f>
        <v/>
      </c>
      <c r="BR111" s="82">
        <f>IFERROR(ABS(BK111/BQ111),0)</f>
        <v/>
      </c>
      <c r="BS111" s="34">
        <f>IF(BR111&lt;=0.1,0,BK111/BR111*(BR111-0.1))</f>
        <v/>
      </c>
      <c r="BT111" s="34">
        <f>IF((BS111)&lt;0,MAX(F111:G111)*(BS111)*1.03,MIN(F111:G111)*(BS111)*0.97)</f>
        <v/>
      </c>
      <c r="BU111" s="34">
        <f>IF(BR111&gt;0.1,1,0)</f>
        <v/>
      </c>
      <c r="BV111" s="34">
        <f>BF111+BG111+BH111+BY111-CA111</f>
        <v/>
      </c>
      <c r="BW111" s="34">
        <f>ABS(BX111)</f>
        <v/>
      </c>
      <c r="BX111" s="34">
        <f>AY111-(J111-L111+N111-Q111+T111-X111)</f>
        <v/>
      </c>
      <c r="BY111" s="34">
        <f>IF(AND(BX111&gt;0,MIN($F111:$G111)&lt;150,$E111="Enerji Açığı"),-100*BX111*1.03,IF(AND(BX111&gt;0,MIN($F111:$G111)&lt;150,$E111="Enerji Fazlası"),-100*BX111*1.06,IF(AND(BX111&gt;0,MIN($F111:$G111)&gt;=150,$E111="Enerji Açığı"),BX111*MIN($F111:$G111)*0.97,IF(AND(BX111&gt;0,MIN($F111:$G111)&gt;=150,$E111="Enerji Fazlası"),BX111*MIN($F111:$G111)*0.94,IF(AND(BX111&lt;0,MAX($F111:$G111)=4500,$E111="Enerji Açığı"),4500*1.05*1.06*BX111,IF(AND(BX111&lt;0,MAX($F111:$G111)=4500,$E111="Enerji Fazlası"),4500*1.05*1.03*BX111,IF(AND(BX111&lt;0,$E111="Enerji Açığı"),MAX($F111,$G111,150)*BX111*1.06,IF(AND(BX111&lt;0,$E111="Enerji Fazlası"),MAX($F111,$G111,150)*BX111*1.03,IF(AND(BX111&lt;0,$E111="Dengede"),MAX($F111:$G111,150)*1.03*BX111,MIN($F111:$G111)*0.97*BX111)))))))))</f>
        <v/>
      </c>
      <c r="BZ111" s="34">
        <f>BE111-BV111-CA111</f>
        <v/>
      </c>
      <c r="CA111" s="34">
        <f>BD111</f>
        <v/>
      </c>
      <c r="CB111" s="33">
        <f>BE111-BV111</f>
        <v/>
      </c>
      <c r="CC111" s="34">
        <f>IF(AY111=0,0,CB111/AY111)</f>
        <v/>
      </c>
      <c r="CD111" s="34">
        <f>MAX((AY111+MAX((-J111+L111-N111+Q111-T111+X111),0)),(MAX((J111-L111+N111-Q111+T111-X111),0)))</f>
        <v/>
      </c>
      <c r="CE111" s="82">
        <f>IFERROR(ABS(BX111/CD111),0)</f>
        <v/>
      </c>
      <c r="CF111" s="34">
        <f>IF(CE111&lt;=0.1,0,BX111/CE111*(CE111-0.1))</f>
        <v/>
      </c>
      <c r="CG111" s="34">
        <f>IF((CF111)&lt;0,MAX(F111:G111)*(CF111)*1.03,MIN(F111:G111)*(CF111)*0.97)</f>
        <v/>
      </c>
      <c r="CH111" s="34">
        <f>IF(CE111&gt;0.1,1,0)</f>
        <v/>
      </c>
      <c r="CI111" s="34">
        <f>(F111*BX111)-BY111</f>
        <v/>
      </c>
      <c r="CJ111" s="34">
        <f>IF(AY111=0,0,CI111/AY111)</f>
        <v/>
      </c>
    </row>
    <row r="112">
      <c r="A112" s="29" t="n">
        <v>46208.54166666666</v>
      </c>
      <c r="B112" s="29" t="inlineStr">
        <is>
          <t>13:00</t>
        </is>
      </c>
      <c r="C112" s="35">
        <f>INT(A112)</f>
        <v/>
      </c>
      <c r="D112" s="36">
        <f>MONTH(A112)</f>
        <v/>
      </c>
      <c r="E112" s="147">
        <f>[1]FİYATLAR!G111</f>
        <v/>
      </c>
      <c r="F112" s="30" t="n">
        <v>171.01</v>
      </c>
      <c r="G112" s="30" t="n">
        <v>5</v>
      </c>
      <c r="H112" s="30" t="n">
        <v>3.67</v>
      </c>
      <c r="I112" s="30" t="n">
        <v>80.48</v>
      </c>
      <c r="J112" s="119" t="n">
        <v>0</v>
      </c>
      <c r="K112" s="34">
        <f>F112*J112</f>
        <v/>
      </c>
      <c r="L112" s="119" t="n">
        <v>25.5</v>
      </c>
      <c r="M112" s="34">
        <f>L112*F112</f>
        <v/>
      </c>
      <c r="N112" s="119" t="n">
        <v>25.5</v>
      </c>
      <c r="O112" s="34">
        <f>F112</f>
        <v/>
      </c>
      <c r="P112" s="34">
        <f>N112*O112</f>
        <v/>
      </c>
      <c r="Q112" s="117" t="n">
        <v>0</v>
      </c>
      <c r="R112" s="34">
        <f>F112</f>
        <v/>
      </c>
      <c r="S112" s="34">
        <f>R112*Q112</f>
        <v/>
      </c>
      <c r="T112" s="34">
        <f>SUMIFS('[1]GİP VERİLERİ'!$C:$C,'[1]GİP VERİLERİ'!$B:$B,A112,'[1]GİP VERİLERİ'!$M:$M,"40X000000104782K",'[1]GİP VERİLERİ'!$G:$G,"SELL")</f>
        <v/>
      </c>
      <c r="U112" s="34">
        <f>IFERROR(W112/T112,0)</f>
        <v/>
      </c>
      <c r="V112" s="34">
        <f>IF(U112=0,0,U112-F112)</f>
        <v/>
      </c>
      <c r="W112" s="34">
        <f>SUMIFS('[1]GİP VERİLERİ'!$O:$O,'[1]GİP VERİLERİ'!$B:$B,A112,'[1]GİP VERİLERİ'!$M:$M,"40X000000104782K",'[1]GİP VERİLERİ'!$G:$G,"SELL")</f>
        <v/>
      </c>
      <c r="X112" s="34">
        <f>SUMIFS('[1]GİP VERİLERİ'!$C:$C,'[1]GİP VERİLERİ'!$B:$B,A112,'[1]GİP VERİLERİ'!$M:$M,"40X000000104782K",'[1]GİP VERİLERİ'!$G:$G,"BUY")</f>
        <v/>
      </c>
      <c r="Y112" s="34">
        <f>IFERROR(AA112/X112,0)</f>
        <v/>
      </c>
      <c r="Z112" s="34">
        <f>IF(Y112=0,0,F112-Y112)</f>
        <v/>
      </c>
      <c r="AA112" s="34">
        <f>SUMIFS('[1]GİP VERİLERİ'!$O:$O,'[1]GİP VERİLERİ'!$B:$B,A112,'[1]GİP VERİLERİ'!$M:$M,"40X000000104782K",'[1]GİP VERİLERİ'!$G:$G,"BUY")</f>
        <v/>
      </c>
      <c r="AB112" s="34" t="n">
        <v>0</v>
      </c>
      <c r="AC112" s="34" t="n">
        <v>0</v>
      </c>
      <c r="AD112" s="34">
        <f>IF(AB112&gt;AC112*1.05,AB112-AC112*1.05,IF(AB112&lt;AC112*0.95,AC112*0.95-AB112,0))</f>
        <v/>
      </c>
      <c r="AE112" s="34">
        <f>MAX(F112,G112,750)*0.05*AD112</f>
        <v/>
      </c>
      <c r="AF112" s="34" t="n">
        <v>0</v>
      </c>
      <c r="AG112" s="34">
        <f>IF(AB112&gt;AF112*1.05,AB112-AF112*1.05,IF(AB112&lt;AF112*0.95,AF112*0.95-AB112,0))</f>
        <v/>
      </c>
      <c r="AH112" s="34">
        <f>MAX(I112,J112,750)*0.05*AG112</f>
        <v/>
      </c>
      <c r="AI112" t="n">
        <v>0</v>
      </c>
      <c r="AJ112" t="n">
        <v>0</v>
      </c>
      <c r="AK112" s="34">
        <f>IF(AI112&gt;AJ112*1.05,AI112-AJ112*1.05,IF(AI112&lt;AJ112*0.95,AJ112*0.95-AI112,0))</f>
        <v/>
      </c>
      <c r="AL112" s="34">
        <f>MAX(F112,G112,750)*0.05*AK112</f>
        <v/>
      </c>
      <c r="AM112" s="39" t="n">
        <v>0</v>
      </c>
      <c r="AN112" s="34">
        <f>IF(AI112&gt;AM112*1.05,AI112-AM112*1.05,IF(AI112&lt;AM112*0.95,AM112*0.95-AI112,0))</f>
        <v/>
      </c>
      <c r="AO112" s="34">
        <f>MAX(F112,G112,750)*0.05*AN112</f>
        <v/>
      </c>
      <c r="AP112" s="34" t="n">
        <v>0</v>
      </c>
      <c r="AQ112" s="34" t="n">
        <v>0</v>
      </c>
      <c r="AR112" s="34">
        <f>IF(AP112&gt;AQ112*1.05,AP112-AQ112*1.05,IF(AP112&lt;AQ112*0.95,AQ112*0.95-AP112,0))</f>
        <v/>
      </c>
      <c r="AS112" s="34">
        <f>MAX(F112:G112,750)*0.05*AR112</f>
        <v/>
      </c>
      <c r="AT112" t="n">
        <v>0</v>
      </c>
      <c r="AU112" s="34">
        <f>IF(AP112&gt;AT112*1.05,AP112-AT112*1.05,IF(AP112&lt;AT112*0.95,AT112*0.95-AP112,0))</f>
        <v/>
      </c>
      <c r="AV112" s="34">
        <f>MAX(F112:G112,750)*0.05*AU112</f>
        <v/>
      </c>
      <c r="AW112" s="34">
        <f>AC112+AJ112+AQ112</f>
        <v/>
      </c>
      <c r="AX112" s="34">
        <f>AF112+AM112+AT112</f>
        <v/>
      </c>
      <c r="AY112" s="34">
        <f>AB112+AI112+AP112</f>
        <v/>
      </c>
      <c r="AZ112" s="34" t="n">
        <v>0</v>
      </c>
      <c r="BA112" s="34">
        <f>AD112+AK112+AR112</f>
        <v/>
      </c>
      <c r="BB112" s="34">
        <f>MAX(F112:G112,750)*0.05*BA112</f>
        <v/>
      </c>
      <c r="BC112" s="34">
        <f>AG112+AN112+AU112</f>
        <v/>
      </c>
      <c r="BD112" s="34">
        <f>MAX(F112:G112,750)*0.05*BC112</f>
        <v/>
      </c>
      <c r="BE112" s="34">
        <f>F112*AY112</f>
        <v/>
      </c>
      <c r="BF112" s="34">
        <f>K112-M112</f>
        <v/>
      </c>
      <c r="BG112" s="34">
        <f>P112-S112</f>
        <v/>
      </c>
      <c r="BH112" s="34">
        <f>W112-AA112</f>
        <v/>
      </c>
      <c r="BI112" s="34">
        <f>BF112+BG112+BL112-BN112</f>
        <v/>
      </c>
      <c r="BJ112" s="34">
        <f>ABS(BK112)</f>
        <v/>
      </c>
      <c r="BK112" s="34">
        <f>AY112-(J112-L112+N112-Q112)</f>
        <v/>
      </c>
      <c r="BL112" s="34">
        <f>IF(AND(BK112&gt;0,MIN($F112:$G112)&lt;150,$E112="Enerji Açığı"),-100*BK112*1.03,IF(AND(BK112&gt;0,MIN($F112:$G112)&lt;150,$E112="Enerji Fazlası"),-100*BK112*1.06,IF(AND(BK112&gt;0,MIN($F112:$G112)&gt;=150,$E112="Enerji Açığı"),BK112*MIN($F112:$G112)*0.97,IF(AND(BK112&gt;0,MIN($F112:$G112)&gt;=150,$E112="Enerji Fazlası"),BK112*MIN($F112:$G112)*0.94,IF(AND(BK112&lt;0,MAX($F112:$G112)=4500,$E112="Enerji Açığı"),4500*1.05*1.06*BK112,IF(AND(BK112&lt;0,MAX($F112:$G112)=4500,$E112="Enerji Fazlası"),4500*1.05*1.03*BK112,IF(AND(BK112&lt;0,$E112="Enerji Açığı"),MAX($F112,$G112,150)*BK112*1.06,IF(AND(BK112&lt;0,$E112="Enerji Fazlası"),MAX($F112,$G112,150)*BK112*1.03,IF(AND(BK112&lt;0,$E112="Dengede"),MAX($F112:$G112,150)*1.03*BK112,MIN($F112:$G112)*0.97*BK112)))))))))</f>
        <v/>
      </c>
      <c r="BM112" s="34">
        <f>BE112-BI112-BN112</f>
        <v/>
      </c>
      <c r="BN112" s="34">
        <f>BB112</f>
        <v/>
      </c>
      <c r="BO112" s="34">
        <f>BE112-BI112</f>
        <v/>
      </c>
      <c r="BP112" s="34">
        <f>IF(AY112=0,0,BO112/AY112)</f>
        <v/>
      </c>
      <c r="BQ112" s="34">
        <f>MAX((AY112+MAX((-J112+L112-N112+Q112),0)),(MAX((J112-L112+N112-Q112),0)))</f>
        <v/>
      </c>
      <c r="BR112" s="82">
        <f>IFERROR(ABS(BK112/BQ112),0)</f>
        <v/>
      </c>
      <c r="BS112" s="34">
        <f>IF(BR112&lt;=0.1,0,BK112/BR112*(BR112-0.1))</f>
        <v/>
      </c>
      <c r="BT112" s="34">
        <f>IF((BS112)&lt;0,MAX(F112:G112)*(BS112)*1.03,MIN(F112:G112)*(BS112)*0.97)</f>
        <v/>
      </c>
      <c r="BU112" s="34">
        <f>IF(BR112&gt;0.1,1,0)</f>
        <v/>
      </c>
      <c r="BV112" s="34">
        <f>BF112+BG112+BH112+BY112-CA112</f>
        <v/>
      </c>
      <c r="BW112" s="34">
        <f>ABS(BX112)</f>
        <v/>
      </c>
      <c r="BX112" s="34">
        <f>AY112-(J112-L112+N112-Q112+T112-X112)</f>
        <v/>
      </c>
      <c r="BY112" s="34">
        <f>IF(AND(BX112&gt;0,MIN($F112:$G112)&lt;150,$E112="Enerji Açığı"),-100*BX112*1.03,IF(AND(BX112&gt;0,MIN($F112:$G112)&lt;150,$E112="Enerji Fazlası"),-100*BX112*1.06,IF(AND(BX112&gt;0,MIN($F112:$G112)&gt;=150,$E112="Enerji Açığı"),BX112*MIN($F112:$G112)*0.97,IF(AND(BX112&gt;0,MIN($F112:$G112)&gt;=150,$E112="Enerji Fazlası"),BX112*MIN($F112:$G112)*0.94,IF(AND(BX112&lt;0,MAX($F112:$G112)=4500,$E112="Enerji Açığı"),4500*1.05*1.06*BX112,IF(AND(BX112&lt;0,MAX($F112:$G112)=4500,$E112="Enerji Fazlası"),4500*1.05*1.03*BX112,IF(AND(BX112&lt;0,$E112="Enerji Açığı"),MAX($F112,$G112,150)*BX112*1.06,IF(AND(BX112&lt;0,$E112="Enerji Fazlası"),MAX($F112,$G112,150)*BX112*1.03,IF(AND(BX112&lt;0,$E112="Dengede"),MAX($F112:$G112,150)*1.03*BX112,MIN($F112:$G112)*0.97*BX112)))))))))</f>
        <v/>
      </c>
      <c r="BZ112" s="34">
        <f>BE112-BV112-CA112</f>
        <v/>
      </c>
      <c r="CA112" s="34">
        <f>BD112</f>
        <v/>
      </c>
      <c r="CB112" s="33">
        <f>BE112-BV112</f>
        <v/>
      </c>
      <c r="CC112" s="34">
        <f>IF(AY112=0,0,CB112/AY112)</f>
        <v/>
      </c>
      <c r="CD112" s="34">
        <f>MAX((AY112+MAX((-J112+L112-N112+Q112-T112+X112),0)),(MAX((J112-L112+N112-Q112+T112-X112),0)))</f>
        <v/>
      </c>
      <c r="CE112" s="82">
        <f>IFERROR(ABS(BX112/CD112),0)</f>
        <v/>
      </c>
      <c r="CF112" s="34">
        <f>IF(CE112&lt;=0.1,0,BX112/CE112*(CE112-0.1))</f>
        <v/>
      </c>
      <c r="CG112" s="34">
        <f>IF((CF112)&lt;0,MAX(F112:G112)*(CF112)*1.03,MIN(F112:G112)*(CF112)*0.97)</f>
        <v/>
      </c>
      <c r="CH112" s="34">
        <f>IF(CE112&gt;0.1,1,0)</f>
        <v/>
      </c>
      <c r="CI112" s="34">
        <f>(F112*BX112)-BY112</f>
        <v/>
      </c>
      <c r="CJ112" s="34">
        <f>IF(AY112=0,0,CI112/AY112)</f>
        <v/>
      </c>
    </row>
    <row r="113">
      <c r="A113" s="29" t="n">
        <v>46208.58333333334</v>
      </c>
      <c r="B113" s="29" t="inlineStr">
        <is>
          <t>14:00</t>
        </is>
      </c>
      <c r="C113" s="35">
        <f>INT(A113)</f>
        <v/>
      </c>
      <c r="D113" s="36">
        <f>MONTH(A113)</f>
        <v/>
      </c>
      <c r="E113" s="147">
        <f>[1]FİYATLAR!G112</f>
        <v/>
      </c>
      <c r="F113" s="30" t="n">
        <v>196.01</v>
      </c>
      <c r="G113" s="30" t="n">
        <v>0</v>
      </c>
      <c r="H113" s="30" t="n">
        <v>4.2</v>
      </c>
      <c r="I113" s="30" t="n">
        <v>92.45999999999999</v>
      </c>
      <c r="J113" s="119" t="n">
        <v>0</v>
      </c>
      <c r="K113" s="34">
        <f>F113*J113</f>
        <v/>
      </c>
      <c r="L113" s="119" t="n">
        <v>25.5</v>
      </c>
      <c r="M113" s="34">
        <f>L113*F113</f>
        <v/>
      </c>
      <c r="N113" s="119" t="n">
        <v>25.5</v>
      </c>
      <c r="O113" s="34">
        <f>F113</f>
        <v/>
      </c>
      <c r="P113" s="34">
        <f>N113*O113</f>
        <v/>
      </c>
      <c r="Q113" s="117" t="n">
        <v>0</v>
      </c>
      <c r="R113" s="34">
        <f>F113</f>
        <v/>
      </c>
      <c r="S113" s="34">
        <f>R113*Q113</f>
        <v/>
      </c>
      <c r="T113" s="34">
        <f>SUMIFS('[1]GİP VERİLERİ'!$C:$C,'[1]GİP VERİLERİ'!$B:$B,A113,'[1]GİP VERİLERİ'!$M:$M,"40X000000104782K",'[1]GİP VERİLERİ'!$G:$G,"SELL")</f>
        <v/>
      </c>
      <c r="U113" s="34">
        <f>IFERROR(W113/T113,0)</f>
        <v/>
      </c>
      <c r="V113" s="34">
        <f>IF(U113=0,0,U113-F113)</f>
        <v/>
      </c>
      <c r="W113" s="34">
        <f>SUMIFS('[1]GİP VERİLERİ'!$O:$O,'[1]GİP VERİLERİ'!$B:$B,A113,'[1]GİP VERİLERİ'!$M:$M,"40X000000104782K",'[1]GİP VERİLERİ'!$G:$G,"SELL")</f>
        <v/>
      </c>
      <c r="X113" s="34">
        <f>SUMIFS('[1]GİP VERİLERİ'!$C:$C,'[1]GİP VERİLERİ'!$B:$B,A113,'[1]GİP VERİLERİ'!$M:$M,"40X000000104782K",'[1]GİP VERİLERİ'!$G:$G,"BUY")</f>
        <v/>
      </c>
      <c r="Y113" s="34">
        <f>IFERROR(AA113/X113,0)</f>
        <v/>
      </c>
      <c r="Z113" s="34">
        <f>IF(Y113=0,0,F113-Y113)</f>
        <v/>
      </c>
      <c r="AA113" s="34">
        <f>SUMIFS('[1]GİP VERİLERİ'!$O:$O,'[1]GİP VERİLERİ'!$B:$B,A113,'[1]GİP VERİLERİ'!$M:$M,"40X000000104782K",'[1]GİP VERİLERİ'!$G:$G,"BUY")</f>
        <v/>
      </c>
      <c r="AB113" s="34" t="n">
        <v>0</v>
      </c>
      <c r="AC113" s="34" t="n">
        <v>0</v>
      </c>
      <c r="AD113" s="34">
        <f>IF(AB113&gt;AC113*1.05,AB113-AC113*1.05,IF(AB113&lt;AC113*0.95,AC113*0.95-AB113,0))</f>
        <v/>
      </c>
      <c r="AE113" s="34">
        <f>MAX(F113,G113,750)*0.05*AD113</f>
        <v/>
      </c>
      <c r="AF113" s="34" t="n">
        <v>0</v>
      </c>
      <c r="AG113" s="34">
        <f>IF(AB113&gt;AF113*1.05,AB113-AF113*1.05,IF(AB113&lt;AF113*0.95,AF113*0.95-AB113,0))</f>
        <v/>
      </c>
      <c r="AH113" s="34">
        <f>MAX(I113,J113,750)*0.05*AG113</f>
        <v/>
      </c>
      <c r="AI113" t="n">
        <v>0</v>
      </c>
      <c r="AJ113" t="n">
        <v>0</v>
      </c>
      <c r="AK113" s="34">
        <f>IF(AI113&gt;AJ113*1.05,AI113-AJ113*1.05,IF(AI113&lt;AJ113*0.95,AJ113*0.95-AI113,0))</f>
        <v/>
      </c>
      <c r="AL113" s="34">
        <f>MAX(F113,G113,750)*0.05*AK113</f>
        <v/>
      </c>
      <c r="AM113" s="39" t="n">
        <v>0</v>
      </c>
      <c r="AN113" s="34">
        <f>IF(AI113&gt;AM113*1.05,AI113-AM113*1.05,IF(AI113&lt;AM113*0.95,AM113*0.95-AI113,0))</f>
        <v/>
      </c>
      <c r="AO113" s="34">
        <f>MAX(F113,G113,750)*0.05*AN113</f>
        <v/>
      </c>
      <c r="AP113" s="34" t="n">
        <v>0</v>
      </c>
      <c r="AQ113" s="34" t="n">
        <v>0</v>
      </c>
      <c r="AR113" s="34">
        <f>IF(AP113&gt;AQ113*1.05,AP113-AQ113*1.05,IF(AP113&lt;AQ113*0.95,AQ113*0.95-AP113,0))</f>
        <v/>
      </c>
      <c r="AS113" s="34">
        <f>MAX(F113:G113,750)*0.05*AR113</f>
        <v/>
      </c>
      <c r="AT113" t="n">
        <v>0</v>
      </c>
      <c r="AU113" s="34">
        <f>IF(AP113&gt;AT113*1.05,AP113-AT113*1.05,IF(AP113&lt;AT113*0.95,AT113*0.95-AP113,0))</f>
        <v/>
      </c>
      <c r="AV113" s="34">
        <f>MAX(F113:G113,750)*0.05*AU113</f>
        <v/>
      </c>
      <c r="AW113" s="34">
        <f>AC113+AJ113+AQ113</f>
        <v/>
      </c>
      <c r="AX113" s="34">
        <f>AF113+AM113+AT113</f>
        <v/>
      </c>
      <c r="AY113" s="34">
        <f>AB113+AI113+AP113</f>
        <v/>
      </c>
      <c r="AZ113" s="34" t="n">
        <v>0</v>
      </c>
      <c r="BA113" s="34">
        <f>AD113+AK113+AR113</f>
        <v/>
      </c>
      <c r="BB113" s="34">
        <f>MAX(F113:G113,750)*0.05*BA113</f>
        <v/>
      </c>
      <c r="BC113" s="34">
        <f>AG113+AN113+AU113</f>
        <v/>
      </c>
      <c r="BD113" s="34">
        <f>MAX(F113:G113,750)*0.05*BC113</f>
        <v/>
      </c>
      <c r="BE113" s="34">
        <f>F113*AY113</f>
        <v/>
      </c>
      <c r="BF113" s="34">
        <f>K113-M113</f>
        <v/>
      </c>
      <c r="BG113" s="34">
        <f>P113-S113</f>
        <v/>
      </c>
      <c r="BH113" s="34">
        <f>W113-AA113</f>
        <v/>
      </c>
      <c r="BI113" s="34">
        <f>BF113+BG113+BL113-BN113</f>
        <v/>
      </c>
      <c r="BJ113" s="34">
        <f>ABS(BK113)</f>
        <v/>
      </c>
      <c r="BK113" s="34">
        <f>AY113-(J113-L113+N113-Q113)</f>
        <v/>
      </c>
      <c r="BL113" s="34">
        <f>IF(AND(BK113&gt;0,MIN($F113:$G113)&lt;150,$E113="Enerji Açığı"),-100*BK113*1.03,IF(AND(BK113&gt;0,MIN($F113:$G113)&lt;150,$E113="Enerji Fazlası"),-100*BK113*1.06,IF(AND(BK113&gt;0,MIN($F113:$G113)&gt;=150,$E113="Enerji Açığı"),BK113*MIN($F113:$G113)*0.97,IF(AND(BK113&gt;0,MIN($F113:$G113)&gt;=150,$E113="Enerji Fazlası"),BK113*MIN($F113:$G113)*0.94,IF(AND(BK113&lt;0,MAX($F113:$G113)=4500,$E113="Enerji Açığı"),4500*1.05*1.06*BK113,IF(AND(BK113&lt;0,MAX($F113:$G113)=4500,$E113="Enerji Fazlası"),4500*1.05*1.03*BK113,IF(AND(BK113&lt;0,$E113="Enerji Açığı"),MAX($F113,$G113,150)*BK113*1.06,IF(AND(BK113&lt;0,$E113="Enerji Fazlası"),MAX($F113,$G113,150)*BK113*1.03,IF(AND(BK113&lt;0,$E113="Dengede"),MAX($F113:$G113,150)*1.03*BK113,MIN($F113:$G113)*0.97*BK113)))))))))</f>
        <v/>
      </c>
      <c r="BM113" s="34">
        <f>BE113-BI113-BN113</f>
        <v/>
      </c>
      <c r="BN113" s="34">
        <f>BB113</f>
        <v/>
      </c>
      <c r="BO113" s="34">
        <f>BE113-BI113</f>
        <v/>
      </c>
      <c r="BP113" s="34">
        <f>IF(AY113=0,0,BO113/AY113)</f>
        <v/>
      </c>
      <c r="BQ113" s="34">
        <f>MAX((AY113+MAX((-J113+L113-N113+Q113),0)),(MAX((J113-L113+N113-Q113),0)))</f>
        <v/>
      </c>
      <c r="BR113" s="82">
        <f>IFERROR(ABS(BK113/BQ113),0)</f>
        <v/>
      </c>
      <c r="BS113" s="34">
        <f>IF(BR113&lt;=0.1,0,BK113/BR113*(BR113-0.1))</f>
        <v/>
      </c>
      <c r="BT113" s="34">
        <f>IF((BS113)&lt;0,MAX(F113:G113)*(BS113)*1.03,MIN(F113:G113)*(BS113)*0.97)</f>
        <v/>
      </c>
      <c r="BU113" s="34">
        <f>IF(BR113&gt;0.1,1,0)</f>
        <v/>
      </c>
      <c r="BV113" s="34">
        <f>BF113+BG113+BH113+BY113-CA113</f>
        <v/>
      </c>
      <c r="BW113" s="34">
        <f>ABS(BX113)</f>
        <v/>
      </c>
      <c r="BX113" s="34">
        <f>AY113-(J113-L113+N113-Q113+T113-X113)</f>
        <v/>
      </c>
      <c r="BY113" s="34">
        <f>IF(AND(BX113&gt;0,MIN($F113:$G113)&lt;150,$E113="Enerji Açığı"),-100*BX113*1.03,IF(AND(BX113&gt;0,MIN($F113:$G113)&lt;150,$E113="Enerji Fazlası"),-100*BX113*1.06,IF(AND(BX113&gt;0,MIN($F113:$G113)&gt;=150,$E113="Enerji Açığı"),BX113*MIN($F113:$G113)*0.97,IF(AND(BX113&gt;0,MIN($F113:$G113)&gt;=150,$E113="Enerji Fazlası"),BX113*MIN($F113:$G113)*0.94,IF(AND(BX113&lt;0,MAX($F113:$G113)=4500,$E113="Enerji Açığı"),4500*1.05*1.06*BX113,IF(AND(BX113&lt;0,MAX($F113:$G113)=4500,$E113="Enerji Fazlası"),4500*1.05*1.03*BX113,IF(AND(BX113&lt;0,$E113="Enerji Açığı"),MAX($F113,$G113,150)*BX113*1.06,IF(AND(BX113&lt;0,$E113="Enerji Fazlası"),MAX($F113,$G113,150)*BX113*1.03,IF(AND(BX113&lt;0,$E113="Dengede"),MAX($F113:$G113,150)*1.03*BX113,MIN($F113:$G113)*0.97*BX113)))))))))</f>
        <v/>
      </c>
      <c r="BZ113" s="34">
        <f>BE113-BV113-CA113</f>
        <v/>
      </c>
      <c r="CA113" s="34">
        <f>BD113</f>
        <v/>
      </c>
      <c r="CB113" s="33">
        <f>BE113-BV113</f>
        <v/>
      </c>
      <c r="CC113" s="34">
        <f>IF(AY113=0,0,CB113/AY113)</f>
        <v/>
      </c>
      <c r="CD113" s="34">
        <f>MAX((AY113+MAX((-J113+L113-N113+Q113-T113+X113),0)),(MAX((J113-L113+N113-Q113+T113-X113),0)))</f>
        <v/>
      </c>
      <c r="CE113" s="82">
        <f>IFERROR(ABS(BX113/CD113),0)</f>
        <v/>
      </c>
      <c r="CF113" s="34">
        <f>IF(CE113&lt;=0.1,0,BX113/CE113*(CE113-0.1))</f>
        <v/>
      </c>
      <c r="CG113" s="34">
        <f>IF((CF113)&lt;0,MAX(F113:G113)*(CF113)*1.03,MIN(F113:G113)*(CF113)*0.97)</f>
        <v/>
      </c>
      <c r="CH113" s="34">
        <f>IF(CE113&gt;0.1,1,0)</f>
        <v/>
      </c>
      <c r="CI113" s="34">
        <f>(F113*BX113)-BY113</f>
        <v/>
      </c>
      <c r="CJ113" s="34">
        <f>IF(AY113=0,0,CI113/AY113)</f>
        <v/>
      </c>
    </row>
    <row r="114">
      <c r="A114" s="29" t="n">
        <v>46208.625</v>
      </c>
      <c r="B114" s="29" t="inlineStr">
        <is>
          <t>15:00</t>
        </is>
      </c>
      <c r="C114" s="35">
        <f>INT(A114)</f>
        <v/>
      </c>
      <c r="D114" s="36">
        <f>MONTH(A114)</f>
        <v/>
      </c>
      <c r="E114" s="147">
        <f>[1]FİYATLAR!G113</f>
        <v/>
      </c>
      <c r="F114" s="30" t="n">
        <v>200</v>
      </c>
      <c r="G114" s="30" t="n">
        <v>0</v>
      </c>
      <c r="H114" s="30" t="n">
        <v>4.29</v>
      </c>
      <c r="I114" s="30" t="n">
        <v>141.22</v>
      </c>
      <c r="J114" s="119" t="n">
        <v>0</v>
      </c>
      <c r="K114" s="34">
        <f>F114*J114</f>
        <v/>
      </c>
      <c r="L114" s="119" t="n">
        <v>25.3</v>
      </c>
      <c r="M114" s="34">
        <f>L114*F114</f>
        <v/>
      </c>
      <c r="N114" s="119" t="n">
        <v>25.3</v>
      </c>
      <c r="O114" s="34">
        <f>F114</f>
        <v/>
      </c>
      <c r="P114" s="34">
        <f>N114*O114</f>
        <v/>
      </c>
      <c r="Q114" s="117" t="n">
        <v>0</v>
      </c>
      <c r="R114" s="34">
        <f>F114</f>
        <v/>
      </c>
      <c r="S114" s="34">
        <f>R114*Q114</f>
        <v/>
      </c>
      <c r="T114" s="34">
        <f>SUMIFS('[1]GİP VERİLERİ'!$C:$C,'[1]GİP VERİLERİ'!$B:$B,A114,'[1]GİP VERİLERİ'!$M:$M,"40X000000104782K",'[1]GİP VERİLERİ'!$G:$G,"SELL")</f>
        <v/>
      </c>
      <c r="U114" s="34">
        <f>IFERROR(W114/T114,0)</f>
        <v/>
      </c>
      <c r="V114" s="34">
        <f>IF(U114=0,0,U114-F114)</f>
        <v/>
      </c>
      <c r="W114" s="34">
        <f>SUMIFS('[1]GİP VERİLERİ'!$O:$O,'[1]GİP VERİLERİ'!$B:$B,A114,'[1]GİP VERİLERİ'!$M:$M,"40X000000104782K",'[1]GİP VERİLERİ'!$G:$G,"SELL")</f>
        <v/>
      </c>
      <c r="X114" s="34">
        <f>SUMIFS('[1]GİP VERİLERİ'!$C:$C,'[1]GİP VERİLERİ'!$B:$B,A114,'[1]GİP VERİLERİ'!$M:$M,"40X000000104782K",'[1]GİP VERİLERİ'!$G:$G,"BUY")</f>
        <v/>
      </c>
      <c r="Y114" s="34">
        <f>IFERROR(AA114/X114,0)</f>
        <v/>
      </c>
      <c r="Z114" s="34">
        <f>IF(Y114=0,0,F114-Y114)</f>
        <v/>
      </c>
      <c r="AA114" s="34">
        <f>SUMIFS('[1]GİP VERİLERİ'!$O:$O,'[1]GİP VERİLERİ'!$B:$B,A114,'[1]GİP VERİLERİ'!$M:$M,"40X000000104782K",'[1]GİP VERİLERİ'!$G:$G,"BUY")</f>
        <v/>
      </c>
      <c r="AB114" s="34" t="n">
        <v>0</v>
      </c>
      <c r="AC114" s="34" t="n">
        <v>0</v>
      </c>
      <c r="AD114" s="34">
        <f>IF(AB114&gt;AC114*1.05,AB114-AC114*1.05,IF(AB114&lt;AC114*0.95,AC114*0.95-AB114,0))</f>
        <v/>
      </c>
      <c r="AE114" s="34">
        <f>MAX(F114,G114,750)*0.05*AD114</f>
        <v/>
      </c>
      <c r="AF114" s="34" t="n">
        <v>0</v>
      </c>
      <c r="AG114" s="34">
        <f>IF(AB114&gt;AF114*1.05,AB114-AF114*1.05,IF(AB114&lt;AF114*0.95,AF114*0.95-AB114,0))</f>
        <v/>
      </c>
      <c r="AH114" s="34">
        <f>MAX(I114,J114,750)*0.05*AG114</f>
        <v/>
      </c>
      <c r="AI114" t="n">
        <v>0</v>
      </c>
      <c r="AJ114" t="n">
        <v>0</v>
      </c>
      <c r="AK114" s="34">
        <f>IF(AI114&gt;AJ114*1.05,AI114-AJ114*1.05,IF(AI114&lt;AJ114*0.95,AJ114*0.95-AI114,0))</f>
        <v/>
      </c>
      <c r="AL114" s="34">
        <f>MAX(F114,G114,750)*0.05*AK114</f>
        <v/>
      </c>
      <c r="AM114" s="39" t="n">
        <v>0</v>
      </c>
      <c r="AN114" s="34">
        <f>IF(AI114&gt;AM114*1.05,AI114-AM114*1.05,IF(AI114&lt;AM114*0.95,AM114*0.95-AI114,0))</f>
        <v/>
      </c>
      <c r="AO114" s="34">
        <f>MAX(F114,G114,750)*0.05*AN114</f>
        <v/>
      </c>
      <c r="AP114" s="34" t="n">
        <v>0</v>
      </c>
      <c r="AQ114" s="34" t="n">
        <v>0</v>
      </c>
      <c r="AR114" s="34">
        <f>IF(AP114&gt;AQ114*1.05,AP114-AQ114*1.05,IF(AP114&lt;AQ114*0.95,AQ114*0.95-AP114,0))</f>
        <v/>
      </c>
      <c r="AS114" s="34">
        <f>MAX(F114:G114,750)*0.05*AR114</f>
        <v/>
      </c>
      <c r="AT114" t="n">
        <v>0</v>
      </c>
      <c r="AU114" s="34">
        <f>IF(AP114&gt;AT114*1.05,AP114-AT114*1.05,IF(AP114&lt;AT114*0.95,AT114*0.95-AP114,0))</f>
        <v/>
      </c>
      <c r="AV114" s="34">
        <f>MAX(F114:G114,750)*0.05*AU114</f>
        <v/>
      </c>
      <c r="AW114" s="34">
        <f>AC114+AJ114+AQ114</f>
        <v/>
      </c>
      <c r="AX114" s="34">
        <f>AF114+AM114+AT114</f>
        <v/>
      </c>
      <c r="AY114" s="34">
        <f>AB114+AI114+AP114</f>
        <v/>
      </c>
      <c r="AZ114" s="34" t="n">
        <v>0</v>
      </c>
      <c r="BA114" s="34">
        <f>AD114+AK114+AR114</f>
        <v/>
      </c>
      <c r="BB114" s="34">
        <f>MAX(F114:G114,750)*0.05*BA114</f>
        <v/>
      </c>
      <c r="BC114" s="34">
        <f>AG114+AN114+AU114</f>
        <v/>
      </c>
      <c r="BD114" s="34">
        <f>MAX(F114:G114,750)*0.05*BC114</f>
        <v/>
      </c>
      <c r="BE114" s="34">
        <f>F114*AY114</f>
        <v/>
      </c>
      <c r="BF114" s="34">
        <f>K114-M114</f>
        <v/>
      </c>
      <c r="BG114" s="34">
        <f>P114-S114</f>
        <v/>
      </c>
      <c r="BH114" s="34">
        <f>W114-AA114</f>
        <v/>
      </c>
      <c r="BI114" s="34">
        <f>BF114+BG114+BL114-BN114</f>
        <v/>
      </c>
      <c r="BJ114" s="34">
        <f>ABS(BK114)</f>
        <v/>
      </c>
      <c r="BK114" s="34">
        <f>AY114-(J114-L114+N114-Q114)</f>
        <v/>
      </c>
      <c r="BL114" s="34">
        <f>IF(AND(BK114&gt;0,MIN($F114:$G114)&lt;150,$E114="Enerji Açığı"),-100*BK114*1.03,IF(AND(BK114&gt;0,MIN($F114:$G114)&lt;150,$E114="Enerji Fazlası"),-100*BK114*1.06,IF(AND(BK114&gt;0,MIN($F114:$G114)&gt;=150,$E114="Enerji Açığı"),BK114*MIN($F114:$G114)*0.97,IF(AND(BK114&gt;0,MIN($F114:$G114)&gt;=150,$E114="Enerji Fazlası"),BK114*MIN($F114:$G114)*0.94,IF(AND(BK114&lt;0,MAX($F114:$G114)=4500,$E114="Enerji Açığı"),4500*1.05*1.06*BK114,IF(AND(BK114&lt;0,MAX($F114:$G114)=4500,$E114="Enerji Fazlası"),4500*1.05*1.03*BK114,IF(AND(BK114&lt;0,$E114="Enerji Açığı"),MAX($F114,$G114,150)*BK114*1.06,IF(AND(BK114&lt;0,$E114="Enerji Fazlası"),MAX($F114,$G114,150)*BK114*1.03,IF(AND(BK114&lt;0,$E114="Dengede"),MAX($F114:$G114,150)*1.03*BK114,MIN($F114:$G114)*0.97*BK114)))))))))</f>
        <v/>
      </c>
      <c r="BM114" s="34">
        <f>BE114-BI114-BN114</f>
        <v/>
      </c>
      <c r="BN114" s="34">
        <f>BB114</f>
        <v/>
      </c>
      <c r="BO114" s="34">
        <f>BE114-BI114</f>
        <v/>
      </c>
      <c r="BP114" s="34">
        <f>IF(AY114=0,0,BO114/AY114)</f>
        <v/>
      </c>
      <c r="BQ114" s="34">
        <f>MAX((AY114+MAX((-J114+L114-N114+Q114),0)),(MAX((J114-L114+N114-Q114),0)))</f>
        <v/>
      </c>
      <c r="BR114" s="82">
        <f>IFERROR(ABS(BK114/BQ114),0)</f>
        <v/>
      </c>
      <c r="BS114" s="34">
        <f>IF(BR114&lt;=0.1,0,BK114/BR114*(BR114-0.1))</f>
        <v/>
      </c>
      <c r="BT114" s="34">
        <f>IF((BS114)&lt;0,MAX(F114:G114)*(BS114)*1.03,MIN(F114:G114)*(BS114)*0.97)</f>
        <v/>
      </c>
      <c r="BU114" s="34">
        <f>IF(BR114&gt;0.1,1,0)</f>
        <v/>
      </c>
      <c r="BV114" s="34">
        <f>BF114+BG114+BH114+BY114-CA114</f>
        <v/>
      </c>
      <c r="BW114" s="34">
        <f>ABS(BX114)</f>
        <v/>
      </c>
      <c r="BX114" s="34">
        <f>AY114-(J114-L114+N114-Q114+T114-X114)</f>
        <v/>
      </c>
      <c r="BY114" s="34">
        <f>IF(AND(BX114&gt;0,MIN($F114:$G114)&lt;150,$E114="Enerji Açığı"),-100*BX114*1.03,IF(AND(BX114&gt;0,MIN($F114:$G114)&lt;150,$E114="Enerji Fazlası"),-100*BX114*1.06,IF(AND(BX114&gt;0,MIN($F114:$G114)&gt;=150,$E114="Enerji Açığı"),BX114*MIN($F114:$G114)*0.97,IF(AND(BX114&gt;0,MIN($F114:$G114)&gt;=150,$E114="Enerji Fazlası"),BX114*MIN($F114:$G114)*0.94,IF(AND(BX114&lt;0,MAX($F114:$G114)=4500,$E114="Enerji Açığı"),4500*1.05*1.06*BX114,IF(AND(BX114&lt;0,MAX($F114:$G114)=4500,$E114="Enerji Fazlası"),4500*1.05*1.03*BX114,IF(AND(BX114&lt;0,$E114="Enerji Açığı"),MAX($F114,$G114,150)*BX114*1.06,IF(AND(BX114&lt;0,$E114="Enerji Fazlası"),MAX($F114,$G114,150)*BX114*1.03,IF(AND(BX114&lt;0,$E114="Dengede"),MAX($F114:$G114,150)*1.03*BX114,MIN($F114:$G114)*0.97*BX114)))))))))</f>
        <v/>
      </c>
      <c r="BZ114" s="34">
        <f>BE114-BV114-CA114</f>
        <v/>
      </c>
      <c r="CA114" s="34">
        <f>BD114</f>
        <v/>
      </c>
      <c r="CB114" s="33">
        <f>BE114-BV114</f>
        <v/>
      </c>
      <c r="CC114" s="34">
        <f>IF(AY114=0,0,CB114/AY114)</f>
        <v/>
      </c>
      <c r="CD114" s="34">
        <f>MAX((AY114+MAX((-J114+L114-N114+Q114-T114+X114),0)),(MAX((J114-L114+N114-Q114+T114-X114),0)))</f>
        <v/>
      </c>
      <c r="CE114" s="82">
        <f>IFERROR(ABS(BX114/CD114),0)</f>
        <v/>
      </c>
      <c r="CF114" s="34">
        <f>IF(CE114&lt;=0.1,0,BX114/CE114*(CE114-0.1))</f>
        <v/>
      </c>
      <c r="CG114" s="34">
        <f>IF((CF114)&lt;0,MAX(F114:G114)*(CF114)*1.03,MIN(F114:G114)*(CF114)*0.97)</f>
        <v/>
      </c>
      <c r="CH114" s="34">
        <f>IF(CE114&gt;0.1,1,0)</f>
        <v/>
      </c>
      <c r="CI114" s="34">
        <f>(F114*BX114)-BY114</f>
        <v/>
      </c>
      <c r="CJ114" s="34">
        <f>IF(AY114=0,0,CI114/AY114)</f>
        <v/>
      </c>
    </row>
    <row r="115">
      <c r="A115" s="29" t="n">
        <v>46208.66666666666</v>
      </c>
      <c r="B115" s="29" t="inlineStr">
        <is>
          <t>16:00</t>
        </is>
      </c>
      <c r="C115" s="35">
        <f>INT(A115)</f>
        <v/>
      </c>
      <c r="D115" s="36">
        <f>MONTH(A115)</f>
        <v/>
      </c>
      <c r="E115" s="147">
        <f>[1]FİYATLAR!G114</f>
        <v/>
      </c>
      <c r="F115" s="30" t="n">
        <v>449.99</v>
      </c>
      <c r="G115" s="30" t="n">
        <v>0</v>
      </c>
      <c r="H115" s="30" t="n">
        <v>9.65</v>
      </c>
      <c r="I115" s="30" t="n">
        <v>312.13</v>
      </c>
      <c r="J115" s="119" t="n">
        <v>0</v>
      </c>
      <c r="K115" s="34">
        <f>F115*J115</f>
        <v/>
      </c>
      <c r="L115" s="119" t="n">
        <v>0</v>
      </c>
      <c r="M115" s="34">
        <f>L115*F115</f>
        <v/>
      </c>
      <c r="N115" s="119" t="n">
        <v>25</v>
      </c>
      <c r="O115" s="34">
        <f>F115</f>
        <v/>
      </c>
      <c r="P115" s="34">
        <f>N115*O115</f>
        <v/>
      </c>
      <c r="Q115" s="117" t="n">
        <v>0</v>
      </c>
      <c r="R115" s="34">
        <f>F115</f>
        <v/>
      </c>
      <c r="S115" s="34">
        <f>R115*Q115</f>
        <v/>
      </c>
      <c r="T115" s="34">
        <f>SUMIFS('[1]GİP VERİLERİ'!$C:$C,'[1]GİP VERİLERİ'!$B:$B,A115,'[1]GİP VERİLERİ'!$M:$M,"40X000000104782K",'[1]GİP VERİLERİ'!$G:$G,"SELL")</f>
        <v/>
      </c>
      <c r="U115" s="34">
        <f>IFERROR(W115/T115,0)</f>
        <v/>
      </c>
      <c r="V115" s="34">
        <f>IF(U115=0,0,U115-F115)</f>
        <v/>
      </c>
      <c r="W115" s="34">
        <f>SUMIFS('[1]GİP VERİLERİ'!$O:$O,'[1]GİP VERİLERİ'!$B:$B,A115,'[1]GİP VERİLERİ'!$M:$M,"40X000000104782K",'[1]GİP VERİLERİ'!$G:$G,"SELL")</f>
        <v/>
      </c>
      <c r="X115" s="34">
        <f>SUMIFS('[1]GİP VERİLERİ'!$C:$C,'[1]GİP VERİLERİ'!$B:$B,A115,'[1]GİP VERİLERİ'!$M:$M,"40X000000104782K",'[1]GİP VERİLERİ'!$G:$G,"BUY")</f>
        <v/>
      </c>
      <c r="Y115" s="34">
        <f>IFERROR(AA115/X115,0)</f>
        <v/>
      </c>
      <c r="Z115" s="34">
        <f>IF(Y115=0,0,F115-Y115)</f>
        <v/>
      </c>
      <c r="AA115" s="34">
        <f>SUMIFS('[1]GİP VERİLERİ'!$O:$O,'[1]GİP VERİLERİ'!$B:$B,A115,'[1]GİP VERİLERİ'!$M:$M,"40X000000104782K",'[1]GİP VERİLERİ'!$G:$G,"BUY")</f>
        <v/>
      </c>
      <c r="AB115" s="34" t="n">
        <v>0</v>
      </c>
      <c r="AC115" s="34" t="n">
        <v>0</v>
      </c>
      <c r="AD115" s="34">
        <f>IF(AB115&gt;AC115*1.05,AB115-AC115*1.05,IF(AB115&lt;AC115*0.95,AC115*0.95-AB115,0))</f>
        <v/>
      </c>
      <c r="AE115" s="34">
        <f>MAX(F115,G115,750)*0.05*AD115</f>
        <v/>
      </c>
      <c r="AF115" s="34" t="n">
        <v>0</v>
      </c>
      <c r="AG115" s="34">
        <f>IF(AB115&gt;AF115*1.05,AB115-AF115*1.05,IF(AB115&lt;AF115*0.95,AF115*0.95-AB115,0))</f>
        <v/>
      </c>
      <c r="AH115" s="34">
        <f>MAX(I115,J115,750)*0.05*AG115</f>
        <v/>
      </c>
      <c r="AI115" t="n">
        <v>9.6</v>
      </c>
      <c r="AJ115" t="n">
        <v>10</v>
      </c>
      <c r="AK115" s="34">
        <f>IF(AI115&gt;AJ115*1.05,AI115-AJ115*1.05,IF(AI115&lt;AJ115*0.95,AJ115*0.95-AI115,0))</f>
        <v/>
      </c>
      <c r="AL115" s="34">
        <f>MAX(F115,G115,750)*0.05*AK115</f>
        <v/>
      </c>
      <c r="AM115" s="39" t="n">
        <v>10</v>
      </c>
      <c r="AN115" s="34">
        <f>IF(AI115&gt;AM115*1.05,AI115-AM115*1.05,IF(AI115&lt;AM115*0.95,AM115*0.95-AI115,0))</f>
        <v/>
      </c>
      <c r="AO115" s="34">
        <f>MAX(F115,G115,750)*0.05*AN115</f>
        <v/>
      </c>
      <c r="AP115" s="34" t="n">
        <v>14.95</v>
      </c>
      <c r="AQ115" s="34" t="n">
        <v>15</v>
      </c>
      <c r="AR115" s="34">
        <f>IF(AP115&gt;AQ115*1.05,AP115-AQ115*1.05,IF(AP115&lt;AQ115*0.95,AQ115*0.95-AP115,0))</f>
        <v/>
      </c>
      <c r="AS115" s="34">
        <f>MAX(F115:G115,750)*0.05*AR115</f>
        <v/>
      </c>
      <c r="AT115" t="n">
        <v>15</v>
      </c>
      <c r="AU115" s="34">
        <f>IF(AP115&gt;AT115*1.05,AP115-AT115*1.05,IF(AP115&lt;AT115*0.95,AT115*0.95-AP115,0))</f>
        <v/>
      </c>
      <c r="AV115" s="34">
        <f>MAX(F115:G115,750)*0.05*AU115</f>
        <v/>
      </c>
      <c r="AW115" s="34">
        <f>AC115+AJ115+AQ115</f>
        <v/>
      </c>
      <c r="AX115" s="34">
        <f>AF115+AM115+AT115</f>
        <v/>
      </c>
      <c r="AY115" s="34">
        <f>AB115+AI115+AP115</f>
        <v/>
      </c>
      <c r="AZ115" s="34" t="n">
        <v>0</v>
      </c>
      <c r="BA115" s="34">
        <f>AD115+AK115+AR115</f>
        <v/>
      </c>
      <c r="BB115" s="34">
        <f>MAX(F115:G115,750)*0.05*BA115</f>
        <v/>
      </c>
      <c r="BC115" s="34">
        <f>AG115+AN115+AU115</f>
        <v/>
      </c>
      <c r="BD115" s="34">
        <f>MAX(F115:G115,750)*0.05*BC115</f>
        <v/>
      </c>
      <c r="BE115" s="34">
        <f>F115*AY115</f>
        <v/>
      </c>
      <c r="BF115" s="34">
        <f>K115-M115</f>
        <v/>
      </c>
      <c r="BG115" s="34">
        <f>P115-S115</f>
        <v/>
      </c>
      <c r="BH115" s="34">
        <f>W115-AA115</f>
        <v/>
      </c>
      <c r="BI115" s="34">
        <f>BF115+BG115+BL115-BN115</f>
        <v/>
      </c>
      <c r="BJ115" s="34">
        <f>ABS(BK115)</f>
        <v/>
      </c>
      <c r="BK115" s="34">
        <f>AY115-(J115-L115+N115-Q115)</f>
        <v/>
      </c>
      <c r="BL115" s="34">
        <f>IF(AND(BK115&gt;0,MIN($F115:$G115)&lt;150,$E115="Enerji Açığı"),-100*BK115*1.03,IF(AND(BK115&gt;0,MIN($F115:$G115)&lt;150,$E115="Enerji Fazlası"),-100*BK115*1.06,IF(AND(BK115&gt;0,MIN($F115:$G115)&gt;=150,$E115="Enerji Açığı"),BK115*MIN($F115:$G115)*0.97,IF(AND(BK115&gt;0,MIN($F115:$G115)&gt;=150,$E115="Enerji Fazlası"),BK115*MIN($F115:$G115)*0.94,IF(AND(BK115&lt;0,MAX($F115:$G115)=4500,$E115="Enerji Açığı"),4500*1.05*1.06*BK115,IF(AND(BK115&lt;0,MAX($F115:$G115)=4500,$E115="Enerji Fazlası"),4500*1.05*1.03*BK115,IF(AND(BK115&lt;0,$E115="Enerji Açığı"),MAX($F115,$G115,150)*BK115*1.06,IF(AND(BK115&lt;0,$E115="Enerji Fazlası"),MAX($F115,$G115,150)*BK115*1.03,IF(AND(BK115&lt;0,$E115="Dengede"),MAX($F115:$G115,150)*1.03*BK115,MIN($F115:$G115)*0.97*BK115)))))))))</f>
        <v/>
      </c>
      <c r="BM115" s="34">
        <f>BE115-BI115-BN115</f>
        <v/>
      </c>
      <c r="BN115" s="34">
        <f>BB115</f>
        <v/>
      </c>
      <c r="BO115" s="34">
        <f>BE115-BI115</f>
        <v/>
      </c>
      <c r="BP115" s="34">
        <f>IF(AY115=0,0,BO115/AY115)</f>
        <v/>
      </c>
      <c r="BQ115" s="34">
        <f>MAX((AY115+MAX((-J115+L115-N115+Q115),0)),(MAX((J115-L115+N115-Q115),0)))</f>
        <v/>
      </c>
      <c r="BR115" s="82">
        <f>IFERROR(ABS(BK115/BQ115),0)</f>
        <v/>
      </c>
      <c r="BS115" s="34">
        <f>IF(BR115&lt;=0.1,0,BK115/BR115*(BR115-0.1))</f>
        <v/>
      </c>
      <c r="BT115" s="34">
        <f>IF((BS115)&lt;0,MAX(F115:G115)*(BS115)*1.03,MIN(F115:G115)*(BS115)*0.97)</f>
        <v/>
      </c>
      <c r="BU115" s="34">
        <f>IF(BR115&gt;0.1,1,0)</f>
        <v/>
      </c>
      <c r="BV115" s="34">
        <f>BF115+BG115+BH115+BY115-CA115</f>
        <v/>
      </c>
      <c r="BW115" s="34">
        <f>ABS(BX115)</f>
        <v/>
      </c>
      <c r="BX115" s="34">
        <f>AY115-(J115-L115+N115-Q115+T115-X115)</f>
        <v/>
      </c>
      <c r="BY115" s="34">
        <f>IF(AND(BX115&gt;0,MIN($F115:$G115)&lt;150,$E115="Enerji Açığı"),-100*BX115*1.03,IF(AND(BX115&gt;0,MIN($F115:$G115)&lt;150,$E115="Enerji Fazlası"),-100*BX115*1.06,IF(AND(BX115&gt;0,MIN($F115:$G115)&gt;=150,$E115="Enerji Açığı"),BX115*MIN($F115:$G115)*0.97,IF(AND(BX115&gt;0,MIN($F115:$G115)&gt;=150,$E115="Enerji Fazlası"),BX115*MIN($F115:$G115)*0.94,IF(AND(BX115&lt;0,MAX($F115:$G115)=4500,$E115="Enerji Açığı"),4500*1.05*1.06*BX115,IF(AND(BX115&lt;0,MAX($F115:$G115)=4500,$E115="Enerji Fazlası"),4500*1.05*1.03*BX115,IF(AND(BX115&lt;0,$E115="Enerji Açığı"),MAX($F115,$G115,150)*BX115*1.06,IF(AND(BX115&lt;0,$E115="Enerji Fazlası"),MAX($F115,$G115,150)*BX115*1.03,IF(AND(BX115&lt;0,$E115="Dengede"),MAX($F115:$G115,150)*1.03*BX115,MIN($F115:$G115)*0.97*BX115)))))))))</f>
        <v/>
      </c>
      <c r="BZ115" s="34">
        <f>BE115-BV115-CA115</f>
        <v/>
      </c>
      <c r="CA115" s="34">
        <f>BD115</f>
        <v/>
      </c>
      <c r="CB115" s="33">
        <f>BE115-BV115</f>
        <v/>
      </c>
      <c r="CC115" s="34">
        <f>IF(AY115=0,0,CB115/AY115)</f>
        <v/>
      </c>
      <c r="CD115" s="34">
        <f>MAX((AY115+MAX((-J115+L115-N115+Q115-T115+X115),0)),(MAX((J115-L115+N115-Q115+T115-X115),0)))</f>
        <v/>
      </c>
      <c r="CE115" s="82">
        <f>IFERROR(ABS(BX115/CD115),0)</f>
        <v/>
      </c>
      <c r="CF115" s="34">
        <f>IF(CE115&lt;=0.1,0,BX115/CE115*(CE115-0.1))</f>
        <v/>
      </c>
      <c r="CG115" s="34">
        <f>IF((CF115)&lt;0,MAX(F115:G115)*(CF115)*1.03,MIN(F115:G115)*(CF115)*0.97)</f>
        <v/>
      </c>
      <c r="CH115" s="34">
        <f>IF(CE115&gt;0.1,1,0)</f>
        <v/>
      </c>
      <c r="CI115" s="34">
        <f>(F115*BX115)-BY115</f>
        <v/>
      </c>
      <c r="CJ115" s="34">
        <f>IF(AY115=0,0,CI115/AY115)</f>
        <v/>
      </c>
    </row>
    <row r="116">
      <c r="A116" s="29" t="n">
        <v>46208.70833333334</v>
      </c>
      <c r="B116" s="29" t="inlineStr">
        <is>
          <t>17:00</t>
        </is>
      </c>
      <c r="C116" s="35">
        <f>INT(A116)</f>
        <v/>
      </c>
      <c r="D116" s="36">
        <f>MONTH(A116)</f>
        <v/>
      </c>
      <c r="E116" s="147">
        <f>[1]FİYATLAR!G115</f>
        <v/>
      </c>
      <c r="F116" s="30" t="n">
        <v>920</v>
      </c>
      <c r="G116" s="30" t="n">
        <v>920</v>
      </c>
      <c r="H116" s="30" t="n">
        <v>19.73</v>
      </c>
      <c r="I116" s="30" t="n">
        <v>710.15</v>
      </c>
      <c r="J116" s="119" t="n">
        <v>0</v>
      </c>
      <c r="K116" s="34">
        <f>F116*J116</f>
        <v/>
      </c>
      <c r="L116" s="119" t="n">
        <v>0</v>
      </c>
      <c r="M116" s="34">
        <f>L116*F116</f>
        <v/>
      </c>
      <c r="N116" s="119" t="n">
        <v>23.5</v>
      </c>
      <c r="O116" s="34">
        <f>F116</f>
        <v/>
      </c>
      <c r="P116" s="34">
        <f>N116*O116</f>
        <v/>
      </c>
      <c r="Q116" s="117" t="n">
        <v>0</v>
      </c>
      <c r="R116" s="34">
        <f>F116</f>
        <v/>
      </c>
      <c r="S116" s="34">
        <f>R116*Q116</f>
        <v/>
      </c>
      <c r="T116" s="34">
        <f>SUMIFS('[1]GİP VERİLERİ'!$C:$C,'[1]GİP VERİLERİ'!$B:$B,A116,'[1]GİP VERİLERİ'!$M:$M,"40X000000104782K",'[1]GİP VERİLERİ'!$G:$G,"SELL")</f>
        <v/>
      </c>
      <c r="U116" s="34">
        <f>IFERROR(W116/T116,0)</f>
        <v/>
      </c>
      <c r="V116" s="34">
        <f>IF(U116=0,0,U116-F116)</f>
        <v/>
      </c>
      <c r="W116" s="34">
        <f>SUMIFS('[1]GİP VERİLERİ'!$O:$O,'[1]GİP VERİLERİ'!$B:$B,A116,'[1]GİP VERİLERİ'!$M:$M,"40X000000104782K",'[1]GİP VERİLERİ'!$G:$G,"SELL")</f>
        <v/>
      </c>
      <c r="X116" s="34">
        <f>SUMIFS('[1]GİP VERİLERİ'!$C:$C,'[1]GİP VERİLERİ'!$B:$B,A116,'[1]GİP VERİLERİ'!$M:$M,"40X000000104782K",'[1]GİP VERİLERİ'!$G:$G,"BUY")</f>
        <v/>
      </c>
      <c r="Y116" s="34">
        <f>IFERROR(AA116/X116,0)</f>
        <v/>
      </c>
      <c r="Z116" s="34">
        <f>IF(Y116=0,0,F116-Y116)</f>
        <v/>
      </c>
      <c r="AA116" s="34">
        <f>SUMIFS('[1]GİP VERİLERİ'!$O:$O,'[1]GİP VERİLERİ'!$B:$B,A116,'[1]GİP VERİLERİ'!$M:$M,"40X000000104782K",'[1]GİP VERİLERİ'!$G:$G,"BUY")</f>
        <v/>
      </c>
      <c r="AB116" s="34" t="n">
        <v>0</v>
      </c>
      <c r="AC116" s="34" t="n">
        <v>0</v>
      </c>
      <c r="AD116" s="34">
        <f>IF(AB116&gt;AC116*1.05,AB116-AC116*1.05,IF(AB116&lt;AC116*0.95,AC116*0.95-AB116,0))</f>
        <v/>
      </c>
      <c r="AE116" s="34">
        <f>MAX(F116,G116,750)*0.05*AD116</f>
        <v/>
      </c>
      <c r="AF116" s="34" t="n">
        <v>0</v>
      </c>
      <c r="AG116" s="34">
        <f>IF(AB116&gt;AF116*1.05,AB116-AF116*1.05,IF(AB116&lt;AF116*0.95,AF116*0.95-AB116,0))</f>
        <v/>
      </c>
      <c r="AH116" s="34">
        <f>MAX(I116,J116,750)*0.05*AG116</f>
        <v/>
      </c>
      <c r="AI116" t="n">
        <v>10.95</v>
      </c>
      <c r="AJ116" t="n">
        <v>9</v>
      </c>
      <c r="AK116" s="34">
        <f>IF(AI116&gt;AJ116*1.05,AI116-AJ116*1.05,IF(AI116&lt;AJ116*0.95,AJ116*0.95-AI116,0))</f>
        <v/>
      </c>
      <c r="AL116" s="34">
        <f>MAX(F116,G116,750)*0.05*AK116</f>
        <v/>
      </c>
      <c r="AM116" s="39" t="n">
        <v>9</v>
      </c>
      <c r="AN116" s="34">
        <f>IF(AI116&gt;AM116*1.05,AI116-AM116*1.05,IF(AI116&lt;AM116*0.95,AM116*0.95-AI116,0))</f>
        <v/>
      </c>
      <c r="AO116" s="34">
        <f>MAX(F116,G116,750)*0.05*AN116</f>
        <v/>
      </c>
      <c r="AP116" s="34" t="n">
        <v>12.87</v>
      </c>
      <c r="AQ116" s="34" t="n">
        <v>14.5</v>
      </c>
      <c r="AR116" s="34">
        <f>IF(AP116&gt;AQ116*1.05,AP116-AQ116*1.05,IF(AP116&lt;AQ116*0.95,AQ116*0.95-AP116,0))</f>
        <v/>
      </c>
      <c r="AS116" s="34">
        <f>MAX(F116:G116,750)*0.05*AR116</f>
        <v/>
      </c>
      <c r="AT116" t="n">
        <v>14.5</v>
      </c>
      <c r="AU116" s="34">
        <f>IF(AP116&gt;AT116*1.05,AP116-AT116*1.05,IF(AP116&lt;AT116*0.95,AT116*0.95-AP116,0))</f>
        <v/>
      </c>
      <c r="AV116" s="34">
        <f>MAX(F116:G116,750)*0.05*AU116</f>
        <v/>
      </c>
      <c r="AW116" s="34">
        <f>AC116+AJ116+AQ116</f>
        <v/>
      </c>
      <c r="AX116" s="34">
        <f>AF116+AM116+AT116</f>
        <v/>
      </c>
      <c r="AY116" s="34">
        <f>AB116+AI116+AP116</f>
        <v/>
      </c>
      <c r="AZ116" s="34" t="n">
        <v>0</v>
      </c>
      <c r="BA116" s="34">
        <f>AD116+AK116+AR116</f>
        <v/>
      </c>
      <c r="BB116" s="34">
        <f>MAX(F116:G116,750)*0.05*BA116</f>
        <v/>
      </c>
      <c r="BC116" s="34">
        <f>AG116+AN116+AU116</f>
        <v/>
      </c>
      <c r="BD116" s="34">
        <f>MAX(F116:G116,750)*0.05*BC116</f>
        <v/>
      </c>
      <c r="BE116" s="34">
        <f>F116*AY116</f>
        <v/>
      </c>
      <c r="BF116" s="34">
        <f>K116-M116</f>
        <v/>
      </c>
      <c r="BG116" s="34">
        <f>P116-S116</f>
        <v/>
      </c>
      <c r="BH116" s="34">
        <f>W116-AA116</f>
        <v/>
      </c>
      <c r="BI116" s="34">
        <f>BF116+BG116+BL116-BN116</f>
        <v/>
      </c>
      <c r="BJ116" s="34">
        <f>ABS(BK116)</f>
        <v/>
      </c>
      <c r="BK116" s="34">
        <f>AY116-(J116-L116+N116-Q116)</f>
        <v/>
      </c>
      <c r="BL116" s="34">
        <f>IF(AND(BK116&gt;0,MIN($F116:$G116)&lt;150,$E116="Enerji Açığı"),-100*BK116*1.03,IF(AND(BK116&gt;0,MIN($F116:$G116)&lt;150,$E116="Enerji Fazlası"),-100*BK116*1.06,IF(AND(BK116&gt;0,MIN($F116:$G116)&gt;=150,$E116="Enerji Açığı"),BK116*MIN($F116:$G116)*0.97,IF(AND(BK116&gt;0,MIN($F116:$G116)&gt;=150,$E116="Enerji Fazlası"),BK116*MIN($F116:$G116)*0.94,IF(AND(BK116&lt;0,MAX($F116:$G116)=4500,$E116="Enerji Açığı"),4500*1.05*1.06*BK116,IF(AND(BK116&lt;0,MAX($F116:$G116)=4500,$E116="Enerji Fazlası"),4500*1.05*1.03*BK116,IF(AND(BK116&lt;0,$E116="Enerji Açığı"),MAX($F116,$G116,150)*BK116*1.06,IF(AND(BK116&lt;0,$E116="Enerji Fazlası"),MAX($F116,$G116,150)*BK116*1.03,IF(AND(BK116&lt;0,$E116="Dengede"),MAX($F116:$G116,150)*1.03*BK116,MIN($F116:$G116)*0.97*BK116)))))))))</f>
        <v/>
      </c>
      <c r="BM116" s="34">
        <f>BE116-BI116-BN116</f>
        <v/>
      </c>
      <c r="BN116" s="34">
        <f>BB116</f>
        <v/>
      </c>
      <c r="BO116" s="34">
        <f>BE116-BI116</f>
        <v/>
      </c>
      <c r="BP116" s="34">
        <f>IF(AY116=0,0,BO116/AY116)</f>
        <v/>
      </c>
      <c r="BQ116" s="34">
        <f>MAX((AY116+MAX((-J116+L116-N116+Q116),0)),(MAX((J116-L116+N116-Q116),0)))</f>
        <v/>
      </c>
      <c r="BR116" s="82">
        <f>IFERROR(ABS(BK116/BQ116),0)</f>
        <v/>
      </c>
      <c r="BS116" s="34">
        <f>IF(BR116&lt;=0.1,0,BK116/BR116*(BR116-0.1))</f>
        <v/>
      </c>
      <c r="BT116" s="34">
        <f>IF((BS116)&lt;0,MAX(F116:G116)*(BS116)*1.03,MIN(F116:G116)*(BS116)*0.97)</f>
        <v/>
      </c>
      <c r="BU116" s="34">
        <f>IF(BR116&gt;0.1,1,0)</f>
        <v/>
      </c>
      <c r="BV116" s="34">
        <f>BF116+BG116+BH116+BY116-CA116</f>
        <v/>
      </c>
      <c r="BW116" s="34">
        <f>ABS(BX116)</f>
        <v/>
      </c>
      <c r="BX116" s="34">
        <f>AY116-(J116-L116+N116-Q116+T116-X116)</f>
        <v/>
      </c>
      <c r="BY116" s="34">
        <f>IF(AND(BX116&gt;0,MIN($F116:$G116)&lt;150,$E116="Enerji Açığı"),-100*BX116*1.03,IF(AND(BX116&gt;0,MIN($F116:$G116)&lt;150,$E116="Enerji Fazlası"),-100*BX116*1.06,IF(AND(BX116&gt;0,MIN($F116:$G116)&gt;=150,$E116="Enerji Açığı"),BX116*MIN($F116:$G116)*0.97,IF(AND(BX116&gt;0,MIN($F116:$G116)&gt;=150,$E116="Enerji Fazlası"),BX116*MIN($F116:$G116)*0.94,IF(AND(BX116&lt;0,MAX($F116:$G116)=4500,$E116="Enerji Açığı"),4500*1.05*1.06*BX116,IF(AND(BX116&lt;0,MAX($F116:$G116)=4500,$E116="Enerji Fazlası"),4500*1.05*1.03*BX116,IF(AND(BX116&lt;0,$E116="Enerji Açığı"),MAX($F116,$G116,150)*BX116*1.06,IF(AND(BX116&lt;0,$E116="Enerji Fazlası"),MAX($F116,$G116,150)*BX116*1.03,IF(AND(BX116&lt;0,$E116="Dengede"),MAX($F116:$G116,150)*1.03*BX116,MIN($F116:$G116)*0.97*BX116)))))))))</f>
        <v/>
      </c>
      <c r="BZ116" s="34">
        <f>BE116-BV116-CA116</f>
        <v/>
      </c>
      <c r="CA116" s="34">
        <f>BD116</f>
        <v/>
      </c>
      <c r="CB116" s="33">
        <f>BE116-BV116</f>
        <v/>
      </c>
      <c r="CC116" s="34">
        <f>IF(AY116=0,0,CB116/AY116)</f>
        <v/>
      </c>
      <c r="CD116" s="34">
        <f>MAX((AY116+MAX((-J116+L116-N116+Q116-T116+X116),0)),(MAX((J116-L116+N116-Q116+T116-X116),0)))</f>
        <v/>
      </c>
      <c r="CE116" s="82">
        <f>IFERROR(ABS(BX116/CD116),0)</f>
        <v/>
      </c>
      <c r="CF116" s="34">
        <f>IF(CE116&lt;=0.1,0,BX116/CE116*(CE116-0.1))</f>
        <v/>
      </c>
      <c r="CG116" s="34">
        <f>IF((CF116)&lt;0,MAX(F116:G116)*(CF116)*1.03,MIN(F116:G116)*(CF116)*0.97)</f>
        <v/>
      </c>
      <c r="CH116" s="34">
        <f>IF(CE116&gt;0.1,1,0)</f>
        <v/>
      </c>
      <c r="CI116" s="34">
        <f>(F116*BX116)-BY116</f>
        <v/>
      </c>
      <c r="CJ116" s="34">
        <f>IF(AY116=0,0,CI116/AY116)</f>
        <v/>
      </c>
    </row>
    <row r="117">
      <c r="A117" s="29" t="n">
        <v>46208.75</v>
      </c>
      <c r="B117" s="29" t="inlineStr">
        <is>
          <t>18:00</t>
        </is>
      </c>
      <c r="C117" s="35">
        <f>INT(A117)</f>
        <v/>
      </c>
      <c r="D117" s="36">
        <f>MONTH(A117)</f>
        <v/>
      </c>
      <c r="E117" s="147">
        <f>[1]FİYATLAR!G116</f>
        <v/>
      </c>
      <c r="F117" s="30" t="n">
        <v>1587.23</v>
      </c>
      <c r="G117" s="30" t="n">
        <v>600</v>
      </c>
      <c r="H117" s="30" t="n">
        <v>34.04</v>
      </c>
      <c r="I117" s="30" t="n">
        <v>1794.57</v>
      </c>
      <c r="J117" s="119" t="n">
        <v>0</v>
      </c>
      <c r="K117" s="34">
        <f>F117*J117</f>
        <v/>
      </c>
      <c r="L117" s="119" t="n">
        <v>0</v>
      </c>
      <c r="M117" s="34">
        <f>L117*F117</f>
        <v/>
      </c>
      <c r="N117" s="119" t="n">
        <v>22.3</v>
      </c>
      <c r="O117" s="34">
        <f>F117</f>
        <v/>
      </c>
      <c r="P117" s="34">
        <f>N117*O117</f>
        <v/>
      </c>
      <c r="Q117" s="117" t="n">
        <v>0</v>
      </c>
      <c r="R117" s="34">
        <f>F117</f>
        <v/>
      </c>
      <c r="S117" s="34">
        <f>R117*Q117</f>
        <v/>
      </c>
      <c r="T117" s="34">
        <f>SUMIFS('[1]GİP VERİLERİ'!$C:$C,'[1]GİP VERİLERİ'!$B:$B,A117,'[1]GİP VERİLERİ'!$M:$M,"40X000000104782K",'[1]GİP VERİLERİ'!$G:$G,"SELL")</f>
        <v/>
      </c>
      <c r="U117" s="34">
        <f>IFERROR(W117/T117,0)</f>
        <v/>
      </c>
      <c r="V117" s="34">
        <f>IF(U117=0,0,U117-F117)</f>
        <v/>
      </c>
      <c r="W117" s="34">
        <f>SUMIFS('[1]GİP VERİLERİ'!$O:$O,'[1]GİP VERİLERİ'!$B:$B,A117,'[1]GİP VERİLERİ'!$M:$M,"40X000000104782K",'[1]GİP VERİLERİ'!$G:$G,"SELL")</f>
        <v/>
      </c>
      <c r="X117" s="34">
        <f>SUMIFS('[1]GİP VERİLERİ'!$C:$C,'[1]GİP VERİLERİ'!$B:$B,A117,'[1]GİP VERİLERİ'!$M:$M,"40X000000104782K",'[1]GİP VERİLERİ'!$G:$G,"BUY")</f>
        <v/>
      </c>
      <c r="Y117" s="34">
        <f>IFERROR(AA117/X117,0)</f>
        <v/>
      </c>
      <c r="Z117" s="34">
        <f>IF(Y117=0,0,F117-Y117)</f>
        <v/>
      </c>
      <c r="AA117" s="34">
        <f>SUMIFS('[1]GİP VERİLERİ'!$O:$O,'[1]GİP VERİLERİ'!$B:$B,A117,'[1]GİP VERİLERİ'!$M:$M,"40X000000104782K",'[1]GİP VERİLERİ'!$G:$G,"BUY")</f>
        <v/>
      </c>
      <c r="AB117" s="34" t="n">
        <v>0</v>
      </c>
      <c r="AC117" s="34" t="n">
        <v>0</v>
      </c>
      <c r="AD117" s="34">
        <f>IF(AB117&gt;AC117*1.05,AB117-AC117*1.05,IF(AB117&lt;AC117*0.95,AC117*0.95-AB117,0))</f>
        <v/>
      </c>
      <c r="AE117" s="34">
        <f>MAX(F117,G117,750)*0.05*AD117</f>
        <v/>
      </c>
      <c r="AF117" s="34" t="n">
        <v>0</v>
      </c>
      <c r="AG117" s="34">
        <f>IF(AB117&gt;AF117*1.05,AB117-AF117*1.05,IF(AB117&lt;AF117*0.95,AF117*0.95-AB117,0))</f>
        <v/>
      </c>
      <c r="AH117" s="34">
        <f>MAX(I117,J117,750)*0.05*AG117</f>
        <v/>
      </c>
      <c r="AI117" t="n">
        <v>11.82</v>
      </c>
      <c r="AJ117" t="n">
        <v>9</v>
      </c>
      <c r="AK117" s="34">
        <f>IF(AI117&gt;AJ117*1.05,AI117-AJ117*1.05,IF(AI117&lt;AJ117*0.95,AJ117*0.95-AI117,0))</f>
        <v/>
      </c>
      <c r="AL117" s="34">
        <f>MAX(F117,G117,750)*0.05*AK117</f>
        <v/>
      </c>
      <c r="AM117" s="39" t="n">
        <v>9</v>
      </c>
      <c r="AN117" s="34">
        <f>IF(AI117&gt;AM117*1.05,AI117-AM117*1.05,IF(AI117&lt;AM117*0.95,AM117*0.95-AI117,0))</f>
        <v/>
      </c>
      <c r="AO117" s="34">
        <f>MAX(F117,G117,750)*0.05*AN117</f>
        <v/>
      </c>
      <c r="AP117" s="34" t="n">
        <v>10.75</v>
      </c>
      <c r="AQ117" s="34" t="n">
        <v>13.3</v>
      </c>
      <c r="AR117" s="34">
        <f>IF(AP117&gt;AQ117*1.05,AP117-AQ117*1.05,IF(AP117&lt;AQ117*0.95,AQ117*0.95-AP117,0))</f>
        <v/>
      </c>
      <c r="AS117" s="34">
        <f>MAX(F117:G117,750)*0.05*AR117</f>
        <v/>
      </c>
      <c r="AT117" t="n">
        <v>13.3</v>
      </c>
      <c r="AU117" s="34">
        <f>IF(AP117&gt;AT117*1.05,AP117-AT117*1.05,IF(AP117&lt;AT117*0.95,AT117*0.95-AP117,0))</f>
        <v/>
      </c>
      <c r="AV117" s="34">
        <f>MAX(F117:G117,750)*0.05*AU117</f>
        <v/>
      </c>
      <c r="AW117" s="34">
        <f>AC117+AJ117+AQ117</f>
        <v/>
      </c>
      <c r="AX117" s="34">
        <f>AF117+AM117+AT117</f>
        <v/>
      </c>
      <c r="AY117" s="34">
        <f>AB117+AI117+AP117</f>
        <v/>
      </c>
      <c r="AZ117" s="34" t="n">
        <v>0</v>
      </c>
      <c r="BA117" s="34">
        <f>AD117+AK117+AR117</f>
        <v/>
      </c>
      <c r="BB117" s="34">
        <f>MAX(F117:G117,750)*0.05*BA117</f>
        <v/>
      </c>
      <c r="BC117" s="34">
        <f>AG117+AN117+AU117</f>
        <v/>
      </c>
      <c r="BD117" s="34">
        <f>MAX(F117:G117,750)*0.05*BC117</f>
        <v/>
      </c>
      <c r="BE117" s="34">
        <f>F117*AY117</f>
        <v/>
      </c>
      <c r="BF117" s="34">
        <f>K117-M117</f>
        <v/>
      </c>
      <c r="BG117" s="34">
        <f>P117-S117</f>
        <v/>
      </c>
      <c r="BH117" s="34">
        <f>W117-AA117</f>
        <v/>
      </c>
      <c r="BI117" s="34">
        <f>BF117+BG117+BL117-BN117</f>
        <v/>
      </c>
      <c r="BJ117" s="34">
        <f>ABS(BK117)</f>
        <v/>
      </c>
      <c r="BK117" s="34">
        <f>AY117-(J117-L117+N117-Q117)</f>
        <v/>
      </c>
      <c r="BL117" s="34">
        <f>IF(AND(BK117&gt;0,MIN($F117:$G117)&lt;150,$E117="Enerji Açığı"),-100*BK117*1.03,IF(AND(BK117&gt;0,MIN($F117:$G117)&lt;150,$E117="Enerji Fazlası"),-100*BK117*1.06,IF(AND(BK117&gt;0,MIN($F117:$G117)&gt;=150,$E117="Enerji Açığı"),BK117*MIN($F117:$G117)*0.97,IF(AND(BK117&gt;0,MIN($F117:$G117)&gt;=150,$E117="Enerji Fazlası"),BK117*MIN($F117:$G117)*0.94,IF(AND(BK117&lt;0,MAX($F117:$G117)=4500,$E117="Enerji Açığı"),4500*1.05*1.06*BK117,IF(AND(BK117&lt;0,MAX($F117:$G117)=4500,$E117="Enerji Fazlası"),4500*1.05*1.03*BK117,IF(AND(BK117&lt;0,$E117="Enerji Açığı"),MAX($F117,$G117,150)*BK117*1.06,IF(AND(BK117&lt;0,$E117="Enerji Fazlası"),MAX($F117,$G117,150)*BK117*1.03,IF(AND(BK117&lt;0,$E117="Dengede"),MAX($F117:$G117,150)*1.03*BK117,MIN($F117:$G117)*0.97*BK117)))))))))</f>
        <v/>
      </c>
      <c r="BM117" s="34">
        <f>BE117-BI117-BN117</f>
        <v/>
      </c>
      <c r="BN117" s="34">
        <f>BB117</f>
        <v/>
      </c>
      <c r="BO117" s="34">
        <f>BE117-BI117</f>
        <v/>
      </c>
      <c r="BP117" s="34">
        <f>IF(AY117=0,0,BO117/AY117)</f>
        <v/>
      </c>
      <c r="BQ117" s="34">
        <f>MAX((AY117+MAX((-J117+L117-N117+Q117),0)),(MAX((J117-L117+N117-Q117),0)))</f>
        <v/>
      </c>
      <c r="BR117" s="82">
        <f>IFERROR(ABS(BK117/BQ117),0)</f>
        <v/>
      </c>
      <c r="BS117" s="34">
        <f>IF(BR117&lt;=0.1,0,BK117/BR117*(BR117-0.1))</f>
        <v/>
      </c>
      <c r="BT117" s="34">
        <f>IF((BS117)&lt;0,MAX(F117:G117)*(BS117)*1.03,MIN(F117:G117)*(BS117)*0.97)</f>
        <v/>
      </c>
      <c r="BU117" s="34">
        <f>IF(BR117&gt;0.1,1,0)</f>
        <v/>
      </c>
      <c r="BV117" s="34">
        <f>BF117+BG117+BH117+BY117-CA117</f>
        <v/>
      </c>
      <c r="BW117" s="34">
        <f>ABS(BX117)</f>
        <v/>
      </c>
      <c r="BX117" s="34">
        <f>AY117-(J117-L117+N117-Q117+T117-X117)</f>
        <v/>
      </c>
      <c r="BY117" s="34">
        <f>IF(AND(BX117&gt;0,MIN($F117:$G117)&lt;150,$E117="Enerji Açığı"),-100*BX117*1.03,IF(AND(BX117&gt;0,MIN($F117:$G117)&lt;150,$E117="Enerji Fazlası"),-100*BX117*1.06,IF(AND(BX117&gt;0,MIN($F117:$G117)&gt;=150,$E117="Enerji Açığı"),BX117*MIN($F117:$G117)*0.97,IF(AND(BX117&gt;0,MIN($F117:$G117)&gt;=150,$E117="Enerji Fazlası"),BX117*MIN($F117:$G117)*0.94,IF(AND(BX117&lt;0,MAX($F117:$G117)=4500,$E117="Enerji Açığı"),4500*1.05*1.06*BX117,IF(AND(BX117&lt;0,MAX($F117:$G117)=4500,$E117="Enerji Fazlası"),4500*1.05*1.03*BX117,IF(AND(BX117&lt;0,$E117="Enerji Açığı"),MAX($F117,$G117,150)*BX117*1.06,IF(AND(BX117&lt;0,$E117="Enerji Fazlası"),MAX($F117,$G117,150)*BX117*1.03,IF(AND(BX117&lt;0,$E117="Dengede"),MAX($F117:$G117,150)*1.03*BX117,MIN($F117:$G117)*0.97*BX117)))))))))</f>
        <v/>
      </c>
      <c r="BZ117" s="34">
        <f>BE117-BV117-CA117</f>
        <v/>
      </c>
      <c r="CA117" s="34">
        <f>BD117</f>
        <v/>
      </c>
      <c r="CB117" s="33">
        <f>BE117-BV117</f>
        <v/>
      </c>
      <c r="CC117" s="34">
        <f>IF(AY117=0,0,CB117/AY117)</f>
        <v/>
      </c>
      <c r="CD117" s="34">
        <f>MAX((AY117+MAX((-J117+L117-N117+Q117-T117+X117),0)),(MAX((J117-L117+N117-Q117+T117-X117),0)))</f>
        <v/>
      </c>
      <c r="CE117" s="82">
        <f>IFERROR(ABS(BX117/CD117),0)</f>
        <v/>
      </c>
      <c r="CF117" s="34">
        <f>IF(CE117&lt;=0.1,0,BX117/CE117*(CE117-0.1))</f>
        <v/>
      </c>
      <c r="CG117" s="34">
        <f>IF((CF117)&lt;0,MAX(F117:G117)*(CF117)*1.03,MIN(F117:G117)*(CF117)*0.97)</f>
        <v/>
      </c>
      <c r="CH117" s="34">
        <f>IF(CE117&gt;0.1,1,0)</f>
        <v/>
      </c>
      <c r="CI117" s="34">
        <f>(F117*BX117)-BY117</f>
        <v/>
      </c>
      <c r="CJ117" s="34">
        <f>IF(AY117=0,0,CI117/AY117)</f>
        <v/>
      </c>
    </row>
    <row r="118">
      <c r="A118" s="29" t="n">
        <v>46208.79166666666</v>
      </c>
      <c r="B118" s="29" t="inlineStr">
        <is>
          <t>19:00</t>
        </is>
      </c>
      <c r="C118" s="35">
        <f>INT(A118)</f>
        <v/>
      </c>
      <c r="D118" s="36">
        <f>MONTH(A118)</f>
        <v/>
      </c>
      <c r="E118" s="147">
        <f>[1]FİYATLAR!G117</f>
        <v/>
      </c>
      <c r="F118" s="30" t="n">
        <v>1899.99</v>
      </c>
      <c r="G118" s="30" t="n">
        <v>1899.99</v>
      </c>
      <c r="H118" s="30" t="n">
        <v>40.74</v>
      </c>
      <c r="I118" s="30" t="n">
        <v>2020.35</v>
      </c>
      <c r="J118" s="119" t="n">
        <v>0</v>
      </c>
      <c r="K118" s="34">
        <f>F118*J118</f>
        <v/>
      </c>
      <c r="L118" s="119" t="n">
        <v>0</v>
      </c>
      <c r="M118" s="34">
        <f>L118*F118</f>
        <v/>
      </c>
      <c r="N118" s="119" t="n">
        <v>23.2</v>
      </c>
      <c r="O118" s="34">
        <f>F118</f>
        <v/>
      </c>
      <c r="P118" s="34">
        <f>N118*O118</f>
        <v/>
      </c>
      <c r="Q118" s="117" t="n">
        <v>0</v>
      </c>
      <c r="R118" s="34">
        <f>F118</f>
        <v/>
      </c>
      <c r="S118" s="34">
        <f>R118*Q118</f>
        <v/>
      </c>
      <c r="T118" s="34">
        <f>SUMIFS('[1]GİP VERİLERİ'!$C:$C,'[1]GİP VERİLERİ'!$B:$B,A118,'[1]GİP VERİLERİ'!$M:$M,"40X000000104782K",'[1]GİP VERİLERİ'!$G:$G,"SELL")</f>
        <v/>
      </c>
      <c r="U118" s="34">
        <f>IFERROR(W118/T118,0)</f>
        <v/>
      </c>
      <c r="V118" s="34">
        <f>IF(U118=0,0,U118-F118)</f>
        <v/>
      </c>
      <c r="W118" s="34">
        <f>SUMIFS('[1]GİP VERİLERİ'!$O:$O,'[1]GİP VERİLERİ'!$B:$B,A118,'[1]GİP VERİLERİ'!$M:$M,"40X000000104782K",'[1]GİP VERİLERİ'!$G:$G,"SELL")</f>
        <v/>
      </c>
      <c r="X118" s="34">
        <f>SUMIFS('[1]GİP VERİLERİ'!$C:$C,'[1]GİP VERİLERİ'!$B:$B,A118,'[1]GİP VERİLERİ'!$M:$M,"40X000000104782K",'[1]GİP VERİLERİ'!$G:$G,"BUY")</f>
        <v/>
      </c>
      <c r="Y118" s="34">
        <f>IFERROR(AA118/X118,0)</f>
        <v/>
      </c>
      <c r="Z118" s="34">
        <f>IF(Y118=0,0,F118-Y118)</f>
        <v/>
      </c>
      <c r="AA118" s="34">
        <f>SUMIFS('[1]GİP VERİLERİ'!$O:$O,'[1]GİP VERİLERİ'!$B:$B,A118,'[1]GİP VERİLERİ'!$M:$M,"40X000000104782K",'[1]GİP VERİLERİ'!$G:$G,"BUY")</f>
        <v/>
      </c>
      <c r="AB118" s="34" t="n">
        <v>0</v>
      </c>
      <c r="AC118" s="34" t="n">
        <v>0</v>
      </c>
      <c r="AD118" s="34">
        <f>IF(AB118&gt;AC118*1.05,AB118-AC118*1.05,IF(AB118&lt;AC118*0.95,AC118*0.95-AB118,0))</f>
        <v/>
      </c>
      <c r="AE118" s="34">
        <f>MAX(F118,G118,750)*0.05*AD118</f>
        <v/>
      </c>
      <c r="AF118" s="34" t="n">
        <v>0</v>
      </c>
      <c r="AG118" s="34">
        <f>IF(AB118&gt;AF118*1.05,AB118-AF118*1.05,IF(AB118&lt;AF118*0.95,AF118*0.95-AB118,0))</f>
        <v/>
      </c>
      <c r="AH118" s="34">
        <f>MAX(I118,J118,750)*0.05*AG118</f>
        <v/>
      </c>
      <c r="AI118" t="n">
        <v>11.36</v>
      </c>
      <c r="AJ118" t="n">
        <v>10</v>
      </c>
      <c r="AK118" s="34">
        <f>IF(AI118&gt;AJ118*1.05,AI118-AJ118*1.05,IF(AI118&lt;AJ118*0.95,AJ118*0.95-AI118,0))</f>
        <v/>
      </c>
      <c r="AL118" s="34">
        <f>MAX(F118,G118,750)*0.05*AK118</f>
        <v/>
      </c>
      <c r="AM118" s="39" t="n">
        <v>10</v>
      </c>
      <c r="AN118" s="34">
        <f>IF(AI118&gt;AM118*1.05,AI118-AM118*1.05,IF(AI118&lt;AM118*0.95,AM118*0.95-AI118,0))</f>
        <v/>
      </c>
      <c r="AO118" s="34">
        <f>MAX(F118,G118,750)*0.05*AN118</f>
        <v/>
      </c>
      <c r="AP118" s="34" t="n">
        <v>11.47</v>
      </c>
      <c r="AQ118" s="34" t="n">
        <v>13.2</v>
      </c>
      <c r="AR118" s="34">
        <f>IF(AP118&gt;AQ118*1.05,AP118-AQ118*1.05,IF(AP118&lt;AQ118*0.95,AQ118*0.95-AP118,0))</f>
        <v/>
      </c>
      <c r="AS118" s="34">
        <f>MAX(F118:G118,750)*0.05*AR118</f>
        <v/>
      </c>
      <c r="AT118" t="n">
        <v>13.2</v>
      </c>
      <c r="AU118" s="34">
        <f>IF(AP118&gt;AT118*1.05,AP118-AT118*1.05,IF(AP118&lt;AT118*0.95,AT118*0.95-AP118,0))</f>
        <v/>
      </c>
      <c r="AV118" s="34">
        <f>MAX(F118:G118,750)*0.05*AU118</f>
        <v/>
      </c>
      <c r="AW118" s="34">
        <f>AC118+AJ118+AQ118</f>
        <v/>
      </c>
      <c r="AX118" s="34">
        <f>AF118+AM118+AT118</f>
        <v/>
      </c>
      <c r="AY118" s="34">
        <f>AB118+AI118+AP118</f>
        <v/>
      </c>
      <c r="AZ118" s="34" t="n">
        <v>0</v>
      </c>
      <c r="BA118" s="34">
        <f>AD118+AK118+AR118</f>
        <v/>
      </c>
      <c r="BB118" s="34">
        <f>MAX(F118:G118,750)*0.05*BA118</f>
        <v/>
      </c>
      <c r="BC118" s="34">
        <f>AG118+AN118+AU118</f>
        <v/>
      </c>
      <c r="BD118" s="34">
        <f>MAX(F118:G118,750)*0.05*BC118</f>
        <v/>
      </c>
      <c r="BE118" s="34">
        <f>F118*AY118</f>
        <v/>
      </c>
      <c r="BF118" s="34">
        <f>K118-M118</f>
        <v/>
      </c>
      <c r="BG118" s="34">
        <f>P118-S118</f>
        <v/>
      </c>
      <c r="BH118" s="34">
        <f>W118-AA118</f>
        <v/>
      </c>
      <c r="BI118" s="34">
        <f>BF118+BG118+BL118-BN118</f>
        <v/>
      </c>
      <c r="BJ118" s="34">
        <f>ABS(BK118)</f>
        <v/>
      </c>
      <c r="BK118" s="34">
        <f>AY118-(J118-L118+N118-Q118)</f>
        <v/>
      </c>
      <c r="BL118" s="34">
        <f>IF(AND(BK118&gt;0,MIN($F118:$G118)&lt;150,$E118="Enerji Açığı"),-100*BK118*1.03,IF(AND(BK118&gt;0,MIN($F118:$G118)&lt;150,$E118="Enerji Fazlası"),-100*BK118*1.06,IF(AND(BK118&gt;0,MIN($F118:$G118)&gt;=150,$E118="Enerji Açığı"),BK118*MIN($F118:$G118)*0.97,IF(AND(BK118&gt;0,MIN($F118:$G118)&gt;=150,$E118="Enerji Fazlası"),BK118*MIN($F118:$G118)*0.94,IF(AND(BK118&lt;0,MAX($F118:$G118)=4500,$E118="Enerji Açığı"),4500*1.05*1.06*BK118,IF(AND(BK118&lt;0,MAX($F118:$G118)=4500,$E118="Enerji Fazlası"),4500*1.05*1.03*BK118,IF(AND(BK118&lt;0,$E118="Enerji Açığı"),MAX($F118,$G118,150)*BK118*1.06,IF(AND(BK118&lt;0,$E118="Enerji Fazlası"),MAX($F118,$G118,150)*BK118*1.03,IF(AND(BK118&lt;0,$E118="Dengede"),MAX($F118:$G118,150)*1.03*BK118,MIN($F118:$G118)*0.97*BK118)))))))))</f>
        <v/>
      </c>
      <c r="BM118" s="34">
        <f>BE118-BI118-BN118</f>
        <v/>
      </c>
      <c r="BN118" s="34">
        <f>BB118</f>
        <v/>
      </c>
      <c r="BO118" s="34">
        <f>BE118-BI118</f>
        <v/>
      </c>
      <c r="BP118" s="34">
        <f>IF(AY118=0,0,BO118/AY118)</f>
        <v/>
      </c>
      <c r="BQ118" s="34">
        <f>MAX((AY118+MAX((-J118+L118-N118+Q118),0)),(MAX((J118-L118+N118-Q118),0)))</f>
        <v/>
      </c>
      <c r="BR118" s="82">
        <f>IFERROR(ABS(BK118/BQ118),0)</f>
        <v/>
      </c>
      <c r="BS118" s="34">
        <f>IF(BR118&lt;=0.1,0,BK118/BR118*(BR118-0.1))</f>
        <v/>
      </c>
      <c r="BT118" s="34">
        <f>IF((BS118)&lt;0,MAX(F118:G118)*(BS118)*1.03,MIN(F118:G118)*(BS118)*0.97)</f>
        <v/>
      </c>
      <c r="BU118" s="34">
        <f>IF(BR118&gt;0.1,1,0)</f>
        <v/>
      </c>
      <c r="BV118" s="34">
        <f>BF118+BG118+BH118+BY118-CA118</f>
        <v/>
      </c>
      <c r="BW118" s="34">
        <f>ABS(BX118)</f>
        <v/>
      </c>
      <c r="BX118" s="34">
        <f>AY118-(J118-L118+N118-Q118+T118-X118)</f>
        <v/>
      </c>
      <c r="BY118" s="34">
        <f>IF(AND(BX118&gt;0,MIN($F118:$G118)&lt;150,$E118="Enerji Açığı"),-100*BX118*1.03,IF(AND(BX118&gt;0,MIN($F118:$G118)&lt;150,$E118="Enerji Fazlası"),-100*BX118*1.06,IF(AND(BX118&gt;0,MIN($F118:$G118)&gt;=150,$E118="Enerji Açığı"),BX118*MIN($F118:$G118)*0.97,IF(AND(BX118&gt;0,MIN($F118:$G118)&gt;=150,$E118="Enerji Fazlası"),BX118*MIN($F118:$G118)*0.94,IF(AND(BX118&lt;0,MAX($F118:$G118)=4500,$E118="Enerji Açığı"),4500*1.05*1.06*BX118,IF(AND(BX118&lt;0,MAX($F118:$G118)=4500,$E118="Enerji Fazlası"),4500*1.05*1.03*BX118,IF(AND(BX118&lt;0,$E118="Enerji Açığı"),MAX($F118,$G118,150)*BX118*1.06,IF(AND(BX118&lt;0,$E118="Enerji Fazlası"),MAX($F118,$G118,150)*BX118*1.03,IF(AND(BX118&lt;0,$E118="Dengede"),MAX($F118:$G118,150)*1.03*BX118,MIN($F118:$G118)*0.97*BX118)))))))))</f>
        <v/>
      </c>
      <c r="BZ118" s="34">
        <f>BE118-BV118-CA118</f>
        <v/>
      </c>
      <c r="CA118" s="34">
        <f>BD118</f>
        <v/>
      </c>
      <c r="CB118" s="33">
        <f>BE118-BV118</f>
        <v/>
      </c>
      <c r="CC118" s="34">
        <f>IF(AY118=0,0,CB118/AY118)</f>
        <v/>
      </c>
      <c r="CD118" s="34">
        <f>MAX((AY118+MAX((-J118+L118-N118+Q118-T118+X118),0)),(MAX((J118-L118+N118-Q118+T118-X118),0)))</f>
        <v/>
      </c>
      <c r="CE118" s="82">
        <f>IFERROR(ABS(BX118/CD118),0)</f>
        <v/>
      </c>
      <c r="CF118" s="34">
        <f>IF(CE118&lt;=0.1,0,BX118/CE118*(CE118-0.1))</f>
        <v/>
      </c>
      <c r="CG118" s="34">
        <f>IF((CF118)&lt;0,MAX(F118:G118)*(CF118)*1.03,MIN(F118:G118)*(CF118)*0.97)</f>
        <v/>
      </c>
      <c r="CH118" s="34">
        <f>IF(CE118&gt;0.1,1,0)</f>
        <v/>
      </c>
      <c r="CI118" s="34">
        <f>(F118*BX118)-BY118</f>
        <v/>
      </c>
      <c r="CJ118" s="34">
        <f>IF(AY118=0,0,CI118/AY118)</f>
        <v/>
      </c>
    </row>
    <row r="119">
      <c r="A119" s="29" t="n">
        <v>46208.83333333334</v>
      </c>
      <c r="B119" s="29" t="inlineStr">
        <is>
          <t>20:00</t>
        </is>
      </c>
      <c r="C119" s="35">
        <f>INT(A119)</f>
        <v/>
      </c>
      <c r="D119" s="36">
        <f>MONTH(A119)</f>
        <v/>
      </c>
      <c r="E119" s="147">
        <f>[1]FİYATLAR!G118</f>
        <v/>
      </c>
      <c r="F119" s="30" t="n">
        <v>3023.6</v>
      </c>
      <c r="G119" s="30" t="n">
        <v>3500</v>
      </c>
      <c r="H119" s="30" t="n">
        <v>64.84</v>
      </c>
      <c r="I119" s="30" t="n">
        <v>3040.29</v>
      </c>
      <c r="J119" s="119" t="n">
        <v>0</v>
      </c>
      <c r="K119" s="34">
        <f>F119*J119</f>
        <v/>
      </c>
      <c r="L119" s="119" t="n">
        <v>0</v>
      </c>
      <c r="M119" s="34">
        <f>L119*F119</f>
        <v/>
      </c>
      <c r="N119" s="119" t="n">
        <v>23</v>
      </c>
      <c r="O119" s="34">
        <f>F119</f>
        <v/>
      </c>
      <c r="P119" s="34">
        <f>N119*O119</f>
        <v/>
      </c>
      <c r="Q119" s="117" t="n">
        <v>0</v>
      </c>
      <c r="R119" s="34">
        <f>F119</f>
        <v/>
      </c>
      <c r="S119" s="34">
        <f>R119*Q119</f>
        <v/>
      </c>
      <c r="T119" s="34">
        <f>SUMIFS('[1]GİP VERİLERİ'!$C:$C,'[1]GİP VERİLERİ'!$B:$B,A119,'[1]GİP VERİLERİ'!$M:$M,"40X000000104782K",'[1]GİP VERİLERİ'!$G:$G,"SELL")</f>
        <v/>
      </c>
      <c r="U119" s="34">
        <f>IFERROR(W119/T119,0)</f>
        <v/>
      </c>
      <c r="V119" s="34">
        <f>IF(U119=0,0,U119-F119)</f>
        <v/>
      </c>
      <c r="W119" s="34">
        <f>SUMIFS('[1]GİP VERİLERİ'!$O:$O,'[1]GİP VERİLERİ'!$B:$B,A119,'[1]GİP VERİLERİ'!$M:$M,"40X000000104782K",'[1]GİP VERİLERİ'!$G:$G,"SELL")</f>
        <v/>
      </c>
      <c r="X119" s="34">
        <f>SUMIFS('[1]GİP VERİLERİ'!$C:$C,'[1]GİP VERİLERİ'!$B:$B,A119,'[1]GİP VERİLERİ'!$M:$M,"40X000000104782K",'[1]GİP VERİLERİ'!$G:$G,"BUY")</f>
        <v/>
      </c>
      <c r="Y119" s="34">
        <f>IFERROR(AA119/X119,0)</f>
        <v/>
      </c>
      <c r="Z119" s="34">
        <f>IF(Y119=0,0,F119-Y119)</f>
        <v/>
      </c>
      <c r="AA119" s="34">
        <f>SUMIFS('[1]GİP VERİLERİ'!$O:$O,'[1]GİP VERİLERİ'!$B:$B,A119,'[1]GİP VERİLERİ'!$M:$M,"40X000000104782K",'[1]GİP VERİLERİ'!$G:$G,"BUY")</f>
        <v/>
      </c>
      <c r="AB119" s="34" t="n">
        <v>0</v>
      </c>
      <c r="AC119" s="34" t="n">
        <v>0</v>
      </c>
      <c r="AD119" s="34">
        <f>IF(AB119&gt;AC119*1.05,AB119-AC119*1.05,IF(AB119&lt;AC119*0.95,AC119*0.95-AB119,0))</f>
        <v/>
      </c>
      <c r="AE119" s="34">
        <f>MAX(F119,G119,750)*0.05*AD119</f>
        <v/>
      </c>
      <c r="AF119" s="34" t="n">
        <v>0</v>
      </c>
      <c r="AG119" s="34">
        <f>IF(AB119&gt;AF119*1.05,AB119-AF119*1.05,IF(AB119&lt;AF119*0.95,AF119*0.95-AB119,0))</f>
        <v/>
      </c>
      <c r="AH119" s="34">
        <f>MAX(I119,J119,750)*0.05*AG119</f>
        <v/>
      </c>
      <c r="AI119" t="n">
        <v>11.6</v>
      </c>
      <c r="AJ119" t="n">
        <v>10</v>
      </c>
      <c r="AK119" s="34">
        <f>IF(AI119&gt;AJ119*1.05,AI119-AJ119*1.05,IF(AI119&lt;AJ119*0.95,AJ119*0.95-AI119,0))</f>
        <v/>
      </c>
      <c r="AL119" s="34">
        <f>MAX(F119,G119,750)*0.05*AK119</f>
        <v/>
      </c>
      <c r="AM119" s="39" t="n">
        <v>10</v>
      </c>
      <c r="AN119" s="34">
        <f>IF(AI119&gt;AM119*1.05,AI119-AM119*1.05,IF(AI119&lt;AM119*0.95,AM119*0.95-AI119,0))</f>
        <v/>
      </c>
      <c r="AO119" s="34">
        <f>MAX(F119,G119,750)*0.05*AN119</f>
        <v/>
      </c>
      <c r="AP119" s="34" t="n">
        <v>11.51</v>
      </c>
      <c r="AQ119" s="34" t="n">
        <v>13</v>
      </c>
      <c r="AR119" s="34">
        <f>IF(AP119&gt;AQ119*1.05,AP119-AQ119*1.05,IF(AP119&lt;AQ119*0.95,AQ119*0.95-AP119,0))</f>
        <v/>
      </c>
      <c r="AS119" s="34">
        <f>MAX(F119:G119,750)*0.05*AR119</f>
        <v/>
      </c>
      <c r="AT119" t="n">
        <v>13</v>
      </c>
      <c r="AU119" s="34">
        <f>IF(AP119&gt;AT119*1.05,AP119-AT119*1.05,IF(AP119&lt;AT119*0.95,AT119*0.95-AP119,0))</f>
        <v/>
      </c>
      <c r="AV119" s="34">
        <f>MAX(F119:G119,750)*0.05*AU119</f>
        <v/>
      </c>
      <c r="AW119" s="34">
        <f>AC119+AJ119+AQ119</f>
        <v/>
      </c>
      <c r="AX119" s="34">
        <f>AF119+AM119+AT119</f>
        <v/>
      </c>
      <c r="AY119" s="34">
        <f>AB119+AI119+AP119</f>
        <v/>
      </c>
      <c r="AZ119" s="34" t="n">
        <v>0</v>
      </c>
      <c r="BA119" s="34">
        <f>AD119+AK119+AR119</f>
        <v/>
      </c>
      <c r="BB119" s="34">
        <f>MAX(F119:G119,750)*0.05*BA119</f>
        <v/>
      </c>
      <c r="BC119" s="34">
        <f>AG119+AN119+AU119</f>
        <v/>
      </c>
      <c r="BD119" s="34">
        <f>MAX(F119:G119,750)*0.05*BC119</f>
        <v/>
      </c>
      <c r="BE119" s="34">
        <f>F119*AY119</f>
        <v/>
      </c>
      <c r="BF119" s="34">
        <f>K119-M119</f>
        <v/>
      </c>
      <c r="BG119" s="34">
        <f>P119-S119</f>
        <v/>
      </c>
      <c r="BH119" s="34">
        <f>W119-AA119</f>
        <v/>
      </c>
      <c r="BI119" s="34">
        <f>BF119+BG119+BL119-BN119</f>
        <v/>
      </c>
      <c r="BJ119" s="34">
        <f>ABS(BK119)</f>
        <v/>
      </c>
      <c r="BK119" s="34">
        <f>AY119-(J119-L119+N119-Q119)</f>
        <v/>
      </c>
      <c r="BL119" s="34">
        <f>IF(AND(BK119&gt;0,MIN($F119:$G119)&lt;150,$E119="Enerji Açığı"),-100*BK119*1.03,IF(AND(BK119&gt;0,MIN($F119:$G119)&lt;150,$E119="Enerji Fazlası"),-100*BK119*1.06,IF(AND(BK119&gt;0,MIN($F119:$G119)&gt;=150,$E119="Enerji Açığı"),BK119*MIN($F119:$G119)*0.97,IF(AND(BK119&gt;0,MIN($F119:$G119)&gt;=150,$E119="Enerji Fazlası"),BK119*MIN($F119:$G119)*0.94,IF(AND(BK119&lt;0,MAX($F119:$G119)=4500,$E119="Enerji Açığı"),4500*1.05*1.06*BK119,IF(AND(BK119&lt;0,MAX($F119:$G119)=4500,$E119="Enerji Fazlası"),4500*1.05*1.03*BK119,IF(AND(BK119&lt;0,$E119="Enerji Açığı"),MAX($F119,$G119,150)*BK119*1.06,IF(AND(BK119&lt;0,$E119="Enerji Fazlası"),MAX($F119,$G119,150)*BK119*1.03,IF(AND(BK119&lt;0,$E119="Dengede"),MAX($F119:$G119,150)*1.03*BK119,MIN($F119:$G119)*0.97*BK119)))))))))</f>
        <v/>
      </c>
      <c r="BM119" s="34">
        <f>BE119-BI119-BN119</f>
        <v/>
      </c>
      <c r="BN119" s="34">
        <f>BB119</f>
        <v/>
      </c>
      <c r="BO119" s="34">
        <f>BE119-BI119</f>
        <v/>
      </c>
      <c r="BP119" s="34">
        <f>IF(AY119=0,0,BO119/AY119)</f>
        <v/>
      </c>
      <c r="BQ119" s="34">
        <f>MAX((AY119+MAX((-J119+L119-N119+Q119),0)),(MAX((J119-L119+N119-Q119),0)))</f>
        <v/>
      </c>
      <c r="BR119" s="82">
        <f>IFERROR(ABS(BK119/BQ119),0)</f>
        <v/>
      </c>
      <c r="BS119" s="34">
        <f>IF(BR119&lt;=0.1,0,BK119/BR119*(BR119-0.1))</f>
        <v/>
      </c>
      <c r="BT119" s="34">
        <f>IF((BS119)&lt;0,MAX(F119:G119)*(BS119)*1.03,MIN(F119:G119)*(BS119)*0.97)</f>
        <v/>
      </c>
      <c r="BU119" s="34">
        <f>IF(BR119&gt;0.1,1,0)</f>
        <v/>
      </c>
      <c r="BV119" s="34">
        <f>BF119+BG119+BH119+BY119-CA119</f>
        <v/>
      </c>
      <c r="BW119" s="34">
        <f>ABS(BX119)</f>
        <v/>
      </c>
      <c r="BX119" s="34">
        <f>AY119-(J119-L119+N119-Q119+T119-X119)</f>
        <v/>
      </c>
      <c r="BY119" s="34">
        <f>IF(AND(BX119&gt;0,MIN($F119:$G119)&lt;150,$E119="Enerji Açığı"),-100*BX119*1.03,IF(AND(BX119&gt;0,MIN($F119:$G119)&lt;150,$E119="Enerji Fazlası"),-100*BX119*1.06,IF(AND(BX119&gt;0,MIN($F119:$G119)&gt;=150,$E119="Enerji Açığı"),BX119*MIN($F119:$G119)*0.97,IF(AND(BX119&gt;0,MIN($F119:$G119)&gt;=150,$E119="Enerji Fazlası"),BX119*MIN($F119:$G119)*0.94,IF(AND(BX119&lt;0,MAX($F119:$G119)=4500,$E119="Enerji Açığı"),4500*1.05*1.06*BX119,IF(AND(BX119&lt;0,MAX($F119:$G119)=4500,$E119="Enerji Fazlası"),4500*1.05*1.03*BX119,IF(AND(BX119&lt;0,$E119="Enerji Açığı"),MAX($F119,$G119,150)*BX119*1.06,IF(AND(BX119&lt;0,$E119="Enerji Fazlası"),MAX($F119,$G119,150)*BX119*1.03,IF(AND(BX119&lt;0,$E119="Dengede"),MAX($F119:$G119,150)*1.03*BX119,MIN($F119:$G119)*0.97*BX119)))))))))</f>
        <v/>
      </c>
      <c r="BZ119" s="34">
        <f>BE119-BV119-CA119</f>
        <v/>
      </c>
      <c r="CA119" s="34">
        <f>BD119</f>
        <v/>
      </c>
      <c r="CB119" s="33">
        <f>BE119-BV119</f>
        <v/>
      </c>
      <c r="CC119" s="34">
        <f>IF(AY119=0,0,CB119/AY119)</f>
        <v/>
      </c>
      <c r="CD119" s="34">
        <f>MAX((AY119+MAX((-J119+L119-N119+Q119-T119+X119),0)),(MAX((J119-L119+N119-Q119+T119-X119),0)))</f>
        <v/>
      </c>
      <c r="CE119" s="82">
        <f>IFERROR(ABS(BX119/CD119),0)</f>
        <v/>
      </c>
      <c r="CF119" s="34">
        <f>IF(CE119&lt;=0.1,0,BX119/CE119*(CE119-0.1))</f>
        <v/>
      </c>
      <c r="CG119" s="34">
        <f>IF((CF119)&lt;0,MAX(F119:G119)*(CF119)*1.03,MIN(F119:G119)*(CF119)*0.97)</f>
        <v/>
      </c>
      <c r="CH119" s="34">
        <f>IF(CE119&gt;0.1,1,0)</f>
        <v/>
      </c>
      <c r="CI119" s="34">
        <f>(F119*BX119)-BY119</f>
        <v/>
      </c>
      <c r="CJ119" s="34">
        <f>IF(AY119=0,0,CI119/AY119)</f>
        <v/>
      </c>
    </row>
    <row r="120">
      <c r="A120" s="29" t="n">
        <v>46208.875</v>
      </c>
      <c r="B120" s="29" t="inlineStr">
        <is>
          <t>21:00</t>
        </is>
      </c>
      <c r="C120" s="35">
        <f>INT(A120)</f>
        <v/>
      </c>
      <c r="D120" s="36">
        <f>MONTH(A120)</f>
        <v/>
      </c>
      <c r="E120" s="147">
        <f>[1]FİYATLAR!G119</f>
        <v/>
      </c>
      <c r="F120" s="30" t="n">
        <v>3500.01</v>
      </c>
      <c r="G120" s="30" t="n">
        <v>4049</v>
      </c>
      <c r="H120" s="30" t="n">
        <v>75.05</v>
      </c>
      <c r="I120" s="30" t="n">
        <v>3597.78</v>
      </c>
      <c r="J120" s="119" t="n">
        <v>0</v>
      </c>
      <c r="K120" s="34">
        <f>F120*J120</f>
        <v/>
      </c>
      <c r="L120" s="119" t="n">
        <v>0</v>
      </c>
      <c r="M120" s="34">
        <f>L120*F120</f>
        <v/>
      </c>
      <c r="N120" s="119" t="n">
        <v>21</v>
      </c>
      <c r="O120" s="34">
        <f>F120</f>
        <v/>
      </c>
      <c r="P120" s="34">
        <f>N120*O120</f>
        <v/>
      </c>
      <c r="Q120" s="117" t="n">
        <v>0</v>
      </c>
      <c r="R120" s="34">
        <f>F120</f>
        <v/>
      </c>
      <c r="S120" s="34">
        <f>R120*Q120</f>
        <v/>
      </c>
      <c r="T120" s="34">
        <f>SUMIFS('[1]GİP VERİLERİ'!$C:$C,'[1]GİP VERİLERİ'!$B:$B,A120,'[1]GİP VERİLERİ'!$M:$M,"40X000000104782K",'[1]GİP VERİLERİ'!$G:$G,"SELL")</f>
        <v/>
      </c>
      <c r="U120" s="34">
        <f>IFERROR(W120/T120,0)</f>
        <v/>
      </c>
      <c r="V120" s="34">
        <f>IF(U120=0,0,U120-F120)</f>
        <v/>
      </c>
      <c r="W120" s="34">
        <f>SUMIFS('[1]GİP VERİLERİ'!$O:$O,'[1]GİP VERİLERİ'!$B:$B,A120,'[1]GİP VERİLERİ'!$M:$M,"40X000000104782K",'[1]GİP VERİLERİ'!$G:$G,"SELL")</f>
        <v/>
      </c>
      <c r="X120" s="34">
        <f>SUMIFS('[1]GİP VERİLERİ'!$C:$C,'[1]GİP VERİLERİ'!$B:$B,A120,'[1]GİP VERİLERİ'!$M:$M,"40X000000104782K",'[1]GİP VERİLERİ'!$G:$G,"BUY")</f>
        <v/>
      </c>
      <c r="Y120" s="34">
        <f>IFERROR(AA120/X120,0)</f>
        <v/>
      </c>
      <c r="Z120" s="34">
        <f>IF(Y120=0,0,F120-Y120)</f>
        <v/>
      </c>
      <c r="AA120" s="34">
        <f>SUMIFS('[1]GİP VERİLERİ'!$O:$O,'[1]GİP VERİLERİ'!$B:$B,A120,'[1]GİP VERİLERİ'!$M:$M,"40X000000104782K",'[1]GİP VERİLERİ'!$G:$G,"BUY")</f>
        <v/>
      </c>
      <c r="AB120" s="34" t="n">
        <v>0</v>
      </c>
      <c r="AC120" s="34" t="n">
        <v>0</v>
      </c>
      <c r="AD120" s="34">
        <f>IF(AB120&gt;AC120*1.05,AB120-AC120*1.05,IF(AB120&lt;AC120*0.95,AC120*0.95-AB120,0))</f>
        <v/>
      </c>
      <c r="AE120" s="34">
        <f>MAX(F120,G120,750)*0.05*AD120</f>
        <v/>
      </c>
      <c r="AF120" s="34" t="n">
        <v>0</v>
      </c>
      <c r="AG120" s="34">
        <f>IF(AB120&gt;AF120*1.05,AB120-AF120*1.05,IF(AB120&lt;AF120*0.95,AF120*0.95-AB120,0))</f>
        <v/>
      </c>
      <c r="AH120" s="34">
        <f>MAX(I120,J120,750)*0.05*AG120</f>
        <v/>
      </c>
      <c r="AI120" t="n">
        <v>10.16</v>
      </c>
      <c r="AJ120" t="n">
        <v>10</v>
      </c>
      <c r="AK120" s="34">
        <f>IF(AI120&gt;AJ120*1.05,AI120-AJ120*1.05,IF(AI120&lt;AJ120*0.95,AJ120*0.95-AI120,0))</f>
        <v/>
      </c>
      <c r="AL120" s="34">
        <f>MAX(F120,G120,750)*0.05*AK120</f>
        <v/>
      </c>
      <c r="AM120" s="39" t="n">
        <v>10</v>
      </c>
      <c r="AN120" s="34">
        <f>IF(AI120&gt;AM120*1.05,AI120-AM120*1.05,IF(AI120&lt;AM120*0.95,AM120*0.95-AI120,0))</f>
        <v/>
      </c>
      <c r="AO120" s="34">
        <f>MAX(F120,G120,750)*0.05*AN120</f>
        <v/>
      </c>
      <c r="AP120" s="34" t="n">
        <v>11.16</v>
      </c>
      <c r="AQ120" s="34" t="n">
        <v>11</v>
      </c>
      <c r="AR120" s="34">
        <f>IF(AP120&gt;AQ120*1.05,AP120-AQ120*1.05,IF(AP120&lt;AQ120*0.95,AQ120*0.95-AP120,0))</f>
        <v/>
      </c>
      <c r="AS120" s="34">
        <f>MAX(F120:G120,750)*0.05*AR120</f>
        <v/>
      </c>
      <c r="AT120" t="n">
        <v>11</v>
      </c>
      <c r="AU120" s="34">
        <f>IF(AP120&gt;AT120*1.05,AP120-AT120*1.05,IF(AP120&lt;AT120*0.95,AT120*0.95-AP120,0))</f>
        <v/>
      </c>
      <c r="AV120" s="34">
        <f>MAX(F120:G120,750)*0.05*AU120</f>
        <v/>
      </c>
      <c r="AW120" s="34">
        <f>AC120+AJ120+AQ120</f>
        <v/>
      </c>
      <c r="AX120" s="34">
        <f>AF120+AM120+AT120</f>
        <v/>
      </c>
      <c r="AY120" s="34">
        <f>AB120+AI120+AP120</f>
        <v/>
      </c>
      <c r="AZ120" s="34" t="n">
        <v>0</v>
      </c>
      <c r="BA120" s="34">
        <f>AD120+AK120+AR120</f>
        <v/>
      </c>
      <c r="BB120" s="34">
        <f>MAX(F120:G120,750)*0.05*BA120</f>
        <v/>
      </c>
      <c r="BC120" s="34">
        <f>AG120+AN120+AU120</f>
        <v/>
      </c>
      <c r="BD120" s="34">
        <f>MAX(F120:G120,750)*0.05*BC120</f>
        <v/>
      </c>
      <c r="BE120" s="34">
        <f>F120*AY120</f>
        <v/>
      </c>
      <c r="BF120" s="34">
        <f>K120-M120</f>
        <v/>
      </c>
      <c r="BG120" s="34">
        <f>P120-S120</f>
        <v/>
      </c>
      <c r="BH120" s="34">
        <f>W120-AA120</f>
        <v/>
      </c>
      <c r="BI120" s="34">
        <f>BF120+BG120+BL120-BN120</f>
        <v/>
      </c>
      <c r="BJ120" s="34">
        <f>ABS(BK120)</f>
        <v/>
      </c>
      <c r="BK120" s="34">
        <f>AY120-(J120-L120+N120-Q120)</f>
        <v/>
      </c>
      <c r="BL120" s="34">
        <f>IF(AND(BK120&gt;0,MIN($F120:$G120)&lt;150,$E120="Enerji Açığı"),-100*BK120*1.03,IF(AND(BK120&gt;0,MIN($F120:$G120)&lt;150,$E120="Enerji Fazlası"),-100*BK120*1.06,IF(AND(BK120&gt;0,MIN($F120:$G120)&gt;=150,$E120="Enerji Açığı"),BK120*MIN($F120:$G120)*0.97,IF(AND(BK120&gt;0,MIN($F120:$G120)&gt;=150,$E120="Enerji Fazlası"),BK120*MIN($F120:$G120)*0.94,IF(AND(BK120&lt;0,MAX($F120:$G120)=4500,$E120="Enerji Açığı"),4500*1.05*1.06*BK120,IF(AND(BK120&lt;0,MAX($F120:$G120)=4500,$E120="Enerji Fazlası"),4500*1.05*1.03*BK120,IF(AND(BK120&lt;0,$E120="Enerji Açığı"),MAX($F120,$G120,150)*BK120*1.06,IF(AND(BK120&lt;0,$E120="Enerji Fazlası"),MAX($F120,$G120,150)*BK120*1.03,IF(AND(BK120&lt;0,$E120="Dengede"),MAX($F120:$G120,150)*1.03*BK120,MIN($F120:$G120)*0.97*BK120)))))))))</f>
        <v/>
      </c>
      <c r="BM120" s="34">
        <f>BE120-BI120-BN120</f>
        <v/>
      </c>
      <c r="BN120" s="34">
        <f>BB120</f>
        <v/>
      </c>
      <c r="BO120" s="34">
        <f>BE120-BI120</f>
        <v/>
      </c>
      <c r="BP120" s="34">
        <f>IF(AY120=0,0,BO120/AY120)</f>
        <v/>
      </c>
      <c r="BQ120" s="34">
        <f>MAX((AY120+MAX((-J120+L120-N120+Q120),0)),(MAX((J120-L120+N120-Q120),0)))</f>
        <v/>
      </c>
      <c r="BR120" s="82">
        <f>IFERROR(ABS(BK120/BQ120),0)</f>
        <v/>
      </c>
      <c r="BS120" s="34">
        <f>IF(BR120&lt;=0.1,0,BK120/BR120*(BR120-0.1))</f>
        <v/>
      </c>
      <c r="BT120" s="34">
        <f>IF((BS120)&lt;0,MAX(F120:G120)*(BS120)*1.03,MIN(F120:G120)*(BS120)*0.97)</f>
        <v/>
      </c>
      <c r="BU120" s="34">
        <f>IF(BR120&gt;0.1,1,0)</f>
        <v/>
      </c>
      <c r="BV120" s="34">
        <f>BF120+BG120+BH120+BY120-CA120</f>
        <v/>
      </c>
      <c r="BW120" s="34">
        <f>ABS(BX120)</f>
        <v/>
      </c>
      <c r="BX120" s="34">
        <f>AY120-(J120-L120+N120-Q120+T120-X120)</f>
        <v/>
      </c>
      <c r="BY120" s="34">
        <f>IF(AND(BX120&gt;0,MIN($F120:$G120)&lt;150,$E120="Enerji Açığı"),-100*BX120*1.03,IF(AND(BX120&gt;0,MIN($F120:$G120)&lt;150,$E120="Enerji Fazlası"),-100*BX120*1.06,IF(AND(BX120&gt;0,MIN($F120:$G120)&gt;=150,$E120="Enerji Açığı"),BX120*MIN($F120:$G120)*0.97,IF(AND(BX120&gt;0,MIN($F120:$G120)&gt;=150,$E120="Enerji Fazlası"),BX120*MIN($F120:$G120)*0.94,IF(AND(BX120&lt;0,MAX($F120:$G120)=4500,$E120="Enerji Açığı"),4500*1.05*1.06*BX120,IF(AND(BX120&lt;0,MAX($F120:$G120)=4500,$E120="Enerji Fazlası"),4500*1.05*1.03*BX120,IF(AND(BX120&lt;0,$E120="Enerji Açığı"),MAX($F120,$G120,150)*BX120*1.06,IF(AND(BX120&lt;0,$E120="Enerji Fazlası"),MAX($F120,$G120,150)*BX120*1.03,IF(AND(BX120&lt;0,$E120="Dengede"),MAX($F120:$G120,150)*1.03*BX120,MIN($F120:$G120)*0.97*BX120)))))))))</f>
        <v/>
      </c>
      <c r="BZ120" s="34">
        <f>BE120-BV120-CA120</f>
        <v/>
      </c>
      <c r="CA120" s="34">
        <f>BD120</f>
        <v/>
      </c>
      <c r="CB120" s="33">
        <f>BE120-BV120</f>
        <v/>
      </c>
      <c r="CC120" s="34">
        <f>IF(AY120=0,0,CB120/AY120)</f>
        <v/>
      </c>
      <c r="CD120" s="34">
        <f>MAX((AY120+MAX((-J120+L120-N120+Q120-T120+X120),0)),(MAX((J120-L120+N120-Q120+T120-X120),0)))</f>
        <v/>
      </c>
      <c r="CE120" s="82">
        <f>IFERROR(ABS(BX120/CD120),0)</f>
        <v/>
      </c>
      <c r="CF120" s="34">
        <f>IF(CE120&lt;=0.1,0,BX120/CE120*(CE120-0.1))</f>
        <v/>
      </c>
      <c r="CG120" s="34">
        <f>IF((CF120)&lt;0,MAX(F120:G120)*(CF120)*1.03,MIN(F120:G120)*(CF120)*0.97)</f>
        <v/>
      </c>
      <c r="CH120" s="34">
        <f>IF(CE120&gt;0.1,1,0)</f>
        <v/>
      </c>
      <c r="CI120" s="34">
        <f>(F120*BX120)-BY120</f>
        <v/>
      </c>
      <c r="CJ120" s="34">
        <f>IF(AY120=0,0,CI120/AY120)</f>
        <v/>
      </c>
    </row>
    <row r="121">
      <c r="A121" s="29" t="n">
        <v>46208.91666666666</v>
      </c>
      <c r="B121" s="29" t="inlineStr">
        <is>
          <t>22:00</t>
        </is>
      </c>
      <c r="C121" s="35">
        <f>INT(A121)</f>
        <v/>
      </c>
      <c r="D121" s="36">
        <f>MONTH(A121)</f>
        <v/>
      </c>
      <c r="E121" s="147">
        <f>[1]FİYATLAR!G120</f>
        <v/>
      </c>
      <c r="F121" s="30" t="n">
        <v>3000</v>
      </c>
      <c r="G121" s="30" t="n">
        <v>3644</v>
      </c>
      <c r="H121" s="30" t="n">
        <v>64.33</v>
      </c>
      <c r="I121" s="30" t="n">
        <v>2903.53</v>
      </c>
      <c r="J121" s="119" t="n">
        <v>0</v>
      </c>
      <c r="K121" s="34">
        <f>F121*J121</f>
        <v/>
      </c>
      <c r="L121" s="119" t="n">
        <v>0</v>
      </c>
      <c r="M121" s="34">
        <f>L121*F121</f>
        <v/>
      </c>
      <c r="N121" s="119" t="n">
        <v>21</v>
      </c>
      <c r="O121" s="34">
        <f>F121</f>
        <v/>
      </c>
      <c r="P121" s="34">
        <f>N121*O121</f>
        <v/>
      </c>
      <c r="Q121" s="117" t="n">
        <v>0</v>
      </c>
      <c r="R121" s="34">
        <f>F121</f>
        <v/>
      </c>
      <c r="S121" s="34">
        <f>R121*Q121</f>
        <v/>
      </c>
      <c r="T121" s="34">
        <f>SUMIFS('[1]GİP VERİLERİ'!$C:$C,'[1]GİP VERİLERİ'!$B:$B,A121,'[1]GİP VERİLERİ'!$M:$M,"40X000000104782K",'[1]GİP VERİLERİ'!$G:$G,"SELL")</f>
        <v/>
      </c>
      <c r="U121" s="34">
        <f>IFERROR(W121/T121,0)</f>
        <v/>
      </c>
      <c r="V121" s="34">
        <f>IF(U121=0,0,U121-F121)</f>
        <v/>
      </c>
      <c r="W121" s="34">
        <f>SUMIFS('[1]GİP VERİLERİ'!$O:$O,'[1]GİP VERİLERİ'!$B:$B,A121,'[1]GİP VERİLERİ'!$M:$M,"40X000000104782K",'[1]GİP VERİLERİ'!$G:$G,"SELL")</f>
        <v/>
      </c>
      <c r="X121" s="34">
        <f>SUMIFS('[1]GİP VERİLERİ'!$C:$C,'[1]GİP VERİLERİ'!$B:$B,A121,'[1]GİP VERİLERİ'!$M:$M,"40X000000104782K",'[1]GİP VERİLERİ'!$G:$G,"BUY")</f>
        <v/>
      </c>
      <c r="Y121" s="34">
        <f>IFERROR(AA121/X121,0)</f>
        <v/>
      </c>
      <c r="Z121" s="34">
        <f>IF(Y121=0,0,F121-Y121)</f>
        <v/>
      </c>
      <c r="AA121" s="34">
        <f>SUMIFS('[1]GİP VERİLERİ'!$O:$O,'[1]GİP VERİLERİ'!$B:$B,A121,'[1]GİP VERİLERİ'!$M:$M,"40X000000104782K",'[1]GİP VERİLERİ'!$G:$G,"BUY")</f>
        <v/>
      </c>
      <c r="AB121" s="34" t="n">
        <v>0</v>
      </c>
      <c r="AC121" s="34" t="n">
        <v>0</v>
      </c>
      <c r="AD121" s="34">
        <f>IF(AB121&gt;AC121*1.05,AB121-AC121*1.05,IF(AB121&lt;AC121*0.95,AC121*0.95-AB121,0))</f>
        <v/>
      </c>
      <c r="AE121" s="34">
        <f>MAX(F121,G121,750)*0.05*AD121</f>
        <v/>
      </c>
      <c r="AF121" s="34" t="n">
        <v>0</v>
      </c>
      <c r="AG121" s="34">
        <f>IF(AB121&gt;AF121*1.05,AB121-AF121*1.05,IF(AB121&lt;AF121*0.95,AF121*0.95-AB121,0))</f>
        <v/>
      </c>
      <c r="AH121" s="34">
        <f>MAX(I121,J121,750)*0.05*AG121</f>
        <v/>
      </c>
      <c r="AI121" t="n">
        <v>10.09</v>
      </c>
      <c r="AJ121" t="n">
        <v>10</v>
      </c>
      <c r="AK121" s="34">
        <f>IF(AI121&gt;AJ121*1.05,AI121-AJ121*1.05,IF(AI121&lt;AJ121*0.95,AJ121*0.95-AI121,0))</f>
        <v/>
      </c>
      <c r="AL121" s="34">
        <f>MAX(F121,G121,750)*0.05*AK121</f>
        <v/>
      </c>
      <c r="AM121" s="39" t="n">
        <v>10</v>
      </c>
      <c r="AN121" s="34">
        <f>IF(AI121&gt;AM121*1.05,AI121-AM121*1.05,IF(AI121&lt;AM121*0.95,AM121*0.95-AI121,0))</f>
        <v/>
      </c>
      <c r="AO121" s="34">
        <f>MAX(F121,G121,750)*0.05*AN121</f>
        <v/>
      </c>
      <c r="AP121" s="34" t="n">
        <v>11.95</v>
      </c>
      <c r="AQ121" s="34" t="n">
        <v>11</v>
      </c>
      <c r="AR121" s="34">
        <f>IF(AP121&gt;AQ121*1.05,AP121-AQ121*1.05,IF(AP121&lt;AQ121*0.95,AQ121*0.95-AP121,0))</f>
        <v/>
      </c>
      <c r="AS121" s="34">
        <f>MAX(F121:G121,750)*0.05*AR121</f>
        <v/>
      </c>
      <c r="AT121" t="n">
        <v>12</v>
      </c>
      <c r="AU121" s="34">
        <f>IF(AP121&gt;AT121*1.05,AP121-AT121*1.05,IF(AP121&lt;AT121*0.95,AT121*0.95-AP121,0))</f>
        <v/>
      </c>
      <c r="AV121" s="34">
        <f>MAX(F121:G121,750)*0.05*AU121</f>
        <v/>
      </c>
      <c r="AW121" s="34">
        <f>AC121+AJ121+AQ121</f>
        <v/>
      </c>
      <c r="AX121" s="34">
        <f>AF121+AM121+AT121</f>
        <v/>
      </c>
      <c r="AY121" s="34">
        <f>AB121+AI121+AP121</f>
        <v/>
      </c>
      <c r="AZ121" s="34" t="n">
        <v>0</v>
      </c>
      <c r="BA121" s="34">
        <f>AD121+AK121+AR121</f>
        <v/>
      </c>
      <c r="BB121" s="34">
        <f>MAX(F121:G121,750)*0.05*BA121</f>
        <v/>
      </c>
      <c r="BC121" s="34">
        <f>AG121+AN121+AU121</f>
        <v/>
      </c>
      <c r="BD121" s="34">
        <f>MAX(F121:G121,750)*0.05*BC121</f>
        <v/>
      </c>
      <c r="BE121" s="34">
        <f>F121*AY121</f>
        <v/>
      </c>
      <c r="BF121" s="34">
        <f>K121-M121</f>
        <v/>
      </c>
      <c r="BG121" s="34">
        <f>P121-S121</f>
        <v/>
      </c>
      <c r="BH121" s="34">
        <f>W121-AA121</f>
        <v/>
      </c>
      <c r="BI121" s="34">
        <f>BF121+BG121+BL121-BN121</f>
        <v/>
      </c>
      <c r="BJ121" s="34">
        <f>ABS(BK121)</f>
        <v/>
      </c>
      <c r="BK121" s="34">
        <f>AY121-(J121-L121+N121-Q121)</f>
        <v/>
      </c>
      <c r="BL121" s="34">
        <f>IF(AND(BK121&gt;0,MIN($F121:$G121)&lt;150,$E121="Enerji Açığı"),-100*BK121*1.03,IF(AND(BK121&gt;0,MIN($F121:$G121)&lt;150,$E121="Enerji Fazlası"),-100*BK121*1.06,IF(AND(BK121&gt;0,MIN($F121:$G121)&gt;=150,$E121="Enerji Açığı"),BK121*MIN($F121:$G121)*0.97,IF(AND(BK121&gt;0,MIN($F121:$G121)&gt;=150,$E121="Enerji Fazlası"),BK121*MIN($F121:$G121)*0.94,IF(AND(BK121&lt;0,MAX($F121:$G121)=4500,$E121="Enerji Açığı"),4500*1.05*1.06*BK121,IF(AND(BK121&lt;0,MAX($F121:$G121)=4500,$E121="Enerji Fazlası"),4500*1.05*1.03*BK121,IF(AND(BK121&lt;0,$E121="Enerji Açığı"),MAX($F121,$G121,150)*BK121*1.06,IF(AND(BK121&lt;0,$E121="Enerji Fazlası"),MAX($F121,$G121,150)*BK121*1.03,IF(AND(BK121&lt;0,$E121="Dengede"),MAX($F121:$G121,150)*1.03*BK121,MIN($F121:$G121)*0.97*BK121)))))))))</f>
        <v/>
      </c>
      <c r="BM121" s="34">
        <f>BE121-BI121-BN121</f>
        <v/>
      </c>
      <c r="BN121" s="34">
        <f>BB121</f>
        <v/>
      </c>
      <c r="BO121" s="34">
        <f>BE121-BI121</f>
        <v/>
      </c>
      <c r="BP121" s="34">
        <f>IF(AY121=0,0,BO121/AY121)</f>
        <v/>
      </c>
      <c r="BQ121" s="34">
        <f>MAX((AY121+MAX((-J121+L121-N121+Q121),0)),(MAX((J121-L121+N121-Q121),0)))</f>
        <v/>
      </c>
      <c r="BR121" s="82">
        <f>IFERROR(ABS(BK121/BQ121),0)</f>
        <v/>
      </c>
      <c r="BS121" s="34">
        <f>IF(BR121&lt;=0.1,0,BK121/BR121*(BR121-0.1))</f>
        <v/>
      </c>
      <c r="BT121" s="34">
        <f>IF((BS121)&lt;0,MAX(F121:G121)*(BS121)*1.03,MIN(F121:G121)*(BS121)*0.97)</f>
        <v/>
      </c>
      <c r="BU121" s="34">
        <f>IF(BR121&gt;0.1,1,0)</f>
        <v/>
      </c>
      <c r="BV121" s="34">
        <f>BF121+BG121+BH121+BY121-CA121</f>
        <v/>
      </c>
      <c r="BW121" s="34">
        <f>ABS(BX121)</f>
        <v/>
      </c>
      <c r="BX121" s="34">
        <f>AY121-(J121-L121+N121-Q121+T121-X121)</f>
        <v/>
      </c>
      <c r="BY121" s="34">
        <f>IF(AND(BX121&gt;0,MIN($F121:$G121)&lt;150,$E121="Enerji Açığı"),-100*BX121*1.03,IF(AND(BX121&gt;0,MIN($F121:$G121)&lt;150,$E121="Enerji Fazlası"),-100*BX121*1.06,IF(AND(BX121&gt;0,MIN($F121:$G121)&gt;=150,$E121="Enerji Açığı"),BX121*MIN($F121:$G121)*0.97,IF(AND(BX121&gt;0,MIN($F121:$G121)&gt;=150,$E121="Enerji Fazlası"),BX121*MIN($F121:$G121)*0.94,IF(AND(BX121&lt;0,MAX($F121:$G121)=4500,$E121="Enerji Açığı"),4500*1.05*1.06*BX121,IF(AND(BX121&lt;0,MAX($F121:$G121)=4500,$E121="Enerji Fazlası"),4500*1.05*1.03*BX121,IF(AND(BX121&lt;0,$E121="Enerji Açığı"),MAX($F121,$G121,150)*BX121*1.06,IF(AND(BX121&lt;0,$E121="Enerji Fazlası"),MAX($F121,$G121,150)*BX121*1.03,IF(AND(BX121&lt;0,$E121="Dengede"),MAX($F121:$G121,150)*1.03*BX121,MIN($F121:$G121)*0.97*BX121)))))))))</f>
        <v/>
      </c>
      <c r="BZ121" s="34">
        <f>BE121-BV121-CA121</f>
        <v/>
      </c>
      <c r="CA121" s="34">
        <f>BD121</f>
        <v/>
      </c>
      <c r="CB121" s="33">
        <f>BE121-BV121</f>
        <v/>
      </c>
      <c r="CC121" s="34">
        <f>IF(AY121=0,0,CB121/AY121)</f>
        <v/>
      </c>
      <c r="CD121" s="34">
        <f>MAX((AY121+MAX((-J121+L121-N121+Q121-T121+X121),0)),(MAX((J121-L121+N121-Q121+T121-X121),0)))</f>
        <v/>
      </c>
      <c r="CE121" s="82">
        <f>IFERROR(ABS(BX121/CD121),0)</f>
        <v/>
      </c>
      <c r="CF121" s="34">
        <f>IF(CE121&lt;=0.1,0,BX121/CE121*(CE121-0.1))</f>
        <v/>
      </c>
      <c r="CG121" s="34">
        <f>IF((CF121)&lt;0,MAX(F121:G121)*(CF121)*1.03,MIN(F121:G121)*(CF121)*0.97)</f>
        <v/>
      </c>
      <c r="CH121" s="34">
        <f>IF(CE121&gt;0.1,1,0)</f>
        <v/>
      </c>
      <c r="CI121" s="34">
        <f>(F121*BX121)-BY121</f>
        <v/>
      </c>
      <c r="CJ121" s="34">
        <f>IF(AY121=0,0,CI121/AY121)</f>
        <v/>
      </c>
    </row>
    <row r="122">
      <c r="A122" s="29" t="n">
        <v>46208.95833333334</v>
      </c>
      <c r="B122" s="29" t="inlineStr">
        <is>
          <t>23:00</t>
        </is>
      </c>
      <c r="C122" s="35">
        <f>INT(A122)</f>
        <v/>
      </c>
      <c r="D122" s="36">
        <f>MONTH(A122)</f>
        <v/>
      </c>
      <c r="E122" s="147">
        <f>[1]FİYATLAR!G121</f>
        <v/>
      </c>
      <c r="F122" s="30" t="n">
        <v>2425.1</v>
      </c>
      <c r="G122" s="30" t="n">
        <v>698</v>
      </c>
      <c r="H122" s="30" t="n">
        <v>52</v>
      </c>
      <c r="I122" s="30" t="n">
        <v>2114.14</v>
      </c>
      <c r="J122" s="119" t="n">
        <v>0</v>
      </c>
      <c r="K122" s="34">
        <f>F122*J122</f>
        <v/>
      </c>
      <c r="L122" s="119" t="n">
        <v>0</v>
      </c>
      <c r="M122" s="34">
        <f>L122*F122</f>
        <v/>
      </c>
      <c r="N122" s="119" t="n">
        <v>20</v>
      </c>
      <c r="O122" s="34">
        <f>F122</f>
        <v/>
      </c>
      <c r="P122" s="34">
        <f>N122*O122</f>
        <v/>
      </c>
      <c r="Q122" s="117" t="n">
        <v>0</v>
      </c>
      <c r="R122" s="34">
        <f>F122</f>
        <v/>
      </c>
      <c r="S122" s="34">
        <f>R122*Q122</f>
        <v/>
      </c>
      <c r="T122" s="34">
        <f>SUMIFS('[1]GİP VERİLERİ'!$C:$C,'[1]GİP VERİLERİ'!$B:$B,A122,'[1]GİP VERİLERİ'!$M:$M,"40X000000104782K",'[1]GİP VERİLERİ'!$G:$G,"SELL")</f>
        <v/>
      </c>
      <c r="U122" s="34">
        <f>IFERROR(W122/T122,0)</f>
        <v/>
      </c>
      <c r="V122" s="34">
        <f>IF(U122=0,0,U122-F122)</f>
        <v/>
      </c>
      <c r="W122" s="34" t="n">
        <v>13887.3</v>
      </c>
      <c r="X122" s="34">
        <f>SUMIFS('[1]GİP VERİLERİ'!$C:$C,'[1]GİP VERİLERİ'!$B:$B,A122,'[1]GİP VERİLERİ'!$M:$M,"40X000000104782K",'[1]GİP VERİLERİ'!$G:$G,"BUY")</f>
        <v/>
      </c>
      <c r="Y122" s="34">
        <f>IFERROR(AA122/X122,0)</f>
        <v/>
      </c>
      <c r="Z122" s="34">
        <f>IF(Y122=0,0,F122-Y122)</f>
        <v/>
      </c>
      <c r="AA122" s="34">
        <f>SUMIFS('[1]GİP VERİLERİ'!$O:$O,'[1]GİP VERİLERİ'!$B:$B,A122,'[1]GİP VERİLERİ'!$M:$M,"40X000000104782K",'[1]GİP VERİLERİ'!$G:$G,"BUY")</f>
        <v/>
      </c>
      <c r="AB122" s="34" t="n">
        <v>0</v>
      </c>
      <c r="AC122" s="34" t="n">
        <v>0</v>
      </c>
      <c r="AD122" s="34">
        <f>IF(AB122&gt;AC122*1.05,AB122-AC122*1.05,IF(AB122&lt;AC122*0.95,AC122*0.95-AB122,0))</f>
        <v/>
      </c>
      <c r="AE122" s="34">
        <f>MAX(F122,G122,750)*0.05*AD122</f>
        <v/>
      </c>
      <c r="AF122" s="34" t="n">
        <v>0</v>
      </c>
      <c r="AG122" s="34">
        <f>IF(AB122&gt;AF122*1.05,AB122-AF122*1.05,IF(AB122&lt;AF122*0.95,AF122*0.95-AB122,0))</f>
        <v/>
      </c>
      <c r="AH122" s="34">
        <f>MAX(I122,J122,750)*0.05*AG122</f>
        <v/>
      </c>
      <c r="AI122" t="n">
        <v>9.109999999999999</v>
      </c>
      <c r="AJ122" t="n">
        <v>9</v>
      </c>
      <c r="AK122" s="34">
        <f>IF(AI122&gt;AJ122*1.05,AI122-AJ122*1.05,IF(AI122&lt;AJ122*0.95,AJ122*0.95-AI122,0))</f>
        <v/>
      </c>
      <c r="AL122" s="34">
        <f>MAX(F122,G122,750)*0.05*AK122</f>
        <v/>
      </c>
      <c r="AM122" s="39" t="n">
        <v>9</v>
      </c>
      <c r="AN122" s="34">
        <f>IF(AI122&gt;AM122*1.05,AI122-AM122*1.05,IF(AI122&lt;AM122*0.95,AM122*0.95-AI122,0))</f>
        <v/>
      </c>
      <c r="AO122" s="34">
        <f>MAX(F122,G122,750)*0.05*AN122</f>
        <v/>
      </c>
      <c r="AP122" s="34" t="n">
        <v>11.11</v>
      </c>
      <c r="AQ122" s="34" t="n">
        <v>11</v>
      </c>
      <c r="AR122" s="34">
        <f>IF(AP122&gt;AQ122*1.05,AP122-AQ122*1.05,IF(AP122&lt;AQ122*0.95,AQ122*0.95-AP122,0))</f>
        <v/>
      </c>
      <c r="AS122" s="34">
        <f>MAX(F122:G122,750)*0.05*AR122</f>
        <v/>
      </c>
      <c r="AT122" t="n">
        <v>11</v>
      </c>
      <c r="AU122" s="34">
        <f>IF(AP122&gt;AT122*1.05,AP122-AT122*1.05,IF(AP122&lt;AT122*0.95,AT122*0.95-AP122,0))</f>
        <v/>
      </c>
      <c r="AV122" s="34">
        <f>MAX(F122:G122,750)*0.05*AU122</f>
        <v/>
      </c>
      <c r="AW122" s="34">
        <f>AC122+AJ122+AQ122</f>
        <v/>
      </c>
      <c r="AX122" s="34">
        <f>AF122+AM122+AT122</f>
        <v/>
      </c>
      <c r="AY122" s="34">
        <f>AB122+AI122+AP122</f>
        <v/>
      </c>
      <c r="AZ122" s="34" t="n">
        <v>0</v>
      </c>
      <c r="BA122" s="34">
        <f>AD122+AK122+AR122</f>
        <v/>
      </c>
      <c r="BB122" s="34">
        <f>MAX(F122:G122,750)*0.05*BA122</f>
        <v/>
      </c>
      <c r="BC122" s="34">
        <f>AG122+AN122+AU122</f>
        <v/>
      </c>
      <c r="BD122" s="34">
        <f>MAX(F122:G122,750)*0.05*BC122</f>
        <v/>
      </c>
      <c r="BE122" s="34">
        <f>F122*AY122</f>
        <v/>
      </c>
      <c r="BF122" s="34">
        <f>K122-M122</f>
        <v/>
      </c>
      <c r="BG122" s="34">
        <f>P122-S122</f>
        <v/>
      </c>
      <c r="BH122" s="34">
        <f>W122-AA122</f>
        <v/>
      </c>
      <c r="BI122" s="34">
        <f>BF122+BG122+BL122-BN122</f>
        <v/>
      </c>
      <c r="BJ122" s="34">
        <f>ABS(BK122)</f>
        <v/>
      </c>
      <c r="BK122" s="34">
        <f>AY122-(J122-L122+N122-Q122)</f>
        <v/>
      </c>
      <c r="BL122" s="34">
        <f>IF(AND(BK122&gt;0,MIN($F122:$G122)&lt;150,$E122="Enerji Açığı"),-100*BK122*1.03,IF(AND(BK122&gt;0,MIN($F122:$G122)&lt;150,$E122="Enerji Fazlası"),-100*BK122*1.06,IF(AND(BK122&gt;0,MIN($F122:$G122)&gt;=150,$E122="Enerji Açığı"),BK122*MIN($F122:$G122)*0.97,IF(AND(BK122&gt;0,MIN($F122:$G122)&gt;=150,$E122="Enerji Fazlası"),BK122*MIN($F122:$G122)*0.94,IF(AND(BK122&lt;0,MAX($F122:$G122)=4500,$E122="Enerji Açığı"),4500*1.05*1.06*BK122,IF(AND(BK122&lt;0,MAX($F122:$G122)=4500,$E122="Enerji Fazlası"),4500*1.05*1.03*BK122,IF(AND(BK122&lt;0,$E122="Enerji Açığı"),MAX($F122,$G122,150)*BK122*1.06,IF(AND(BK122&lt;0,$E122="Enerji Fazlası"),MAX($F122,$G122,150)*BK122*1.03,IF(AND(BK122&lt;0,$E122="Dengede"),MAX($F122:$G122,150)*1.03*BK122,MIN($F122:$G122)*0.97*BK122)))))))))</f>
        <v/>
      </c>
      <c r="BM122" s="34">
        <f>BE122-BI122-BN122</f>
        <v/>
      </c>
      <c r="BN122" s="34">
        <f>BB122</f>
        <v/>
      </c>
      <c r="BO122" s="34">
        <f>BE122-BI122</f>
        <v/>
      </c>
      <c r="BP122" s="34">
        <f>IF(AY122=0,0,BO122/AY122)</f>
        <v/>
      </c>
      <c r="BQ122" s="34">
        <f>MAX((AY122+MAX((-J122+L122-N122+Q122),0)),(MAX((J122-L122+N122-Q122),0)))</f>
        <v/>
      </c>
      <c r="BR122" s="82">
        <f>IFERROR(ABS(BK122/BQ122),0)</f>
        <v/>
      </c>
      <c r="BS122" s="34">
        <f>IF(BR122&lt;=0.1,0,BK122/BR122*(BR122-0.1))</f>
        <v/>
      </c>
      <c r="BT122" s="34">
        <f>IF((BS122)&lt;0,MAX(F122:G122)*(BS122)*1.03,MIN(F122:G122)*(BS122)*0.97)</f>
        <v/>
      </c>
      <c r="BU122" s="34">
        <f>IF(BR122&gt;0.1,1,0)</f>
        <v/>
      </c>
      <c r="BV122" s="34">
        <f>BF122+BG122+BH122+BY122-CA122</f>
        <v/>
      </c>
      <c r="BW122" s="34">
        <f>ABS(BX122)</f>
        <v/>
      </c>
      <c r="BX122" s="34">
        <f>AY122-(J122-L122+N122-Q122+T122-X122)</f>
        <v/>
      </c>
      <c r="BY122" s="34">
        <f>IF(AND(BX122&gt;0,MIN($F122:$G122)&lt;150,$E122="Enerji Açığı"),-100*BX122*1.03,IF(AND(BX122&gt;0,MIN($F122:$G122)&lt;150,$E122="Enerji Fazlası"),-100*BX122*1.06,IF(AND(BX122&gt;0,MIN($F122:$G122)&gt;=150,$E122="Enerji Açığı"),BX122*MIN($F122:$G122)*0.97,IF(AND(BX122&gt;0,MIN($F122:$G122)&gt;=150,$E122="Enerji Fazlası"),BX122*MIN($F122:$G122)*0.94,IF(AND(BX122&lt;0,MAX($F122:$G122)=4500,$E122="Enerji Açığı"),4500*1.05*1.06*BX122,IF(AND(BX122&lt;0,MAX($F122:$G122)=4500,$E122="Enerji Fazlası"),4500*1.05*1.03*BX122,IF(AND(BX122&lt;0,$E122="Enerji Açığı"),MAX($F122,$G122,150)*BX122*1.06,IF(AND(BX122&lt;0,$E122="Enerji Fazlası"),MAX($F122,$G122,150)*BX122*1.03,IF(AND(BX122&lt;0,$E122="Dengede"),MAX($F122:$G122,150)*1.03*BX122,MIN($F122:$G122)*0.97*BX122)))))))))</f>
        <v/>
      </c>
      <c r="BZ122" s="34">
        <f>BE122-BV122-CA122</f>
        <v/>
      </c>
      <c r="CA122" s="34">
        <f>BD122</f>
        <v/>
      </c>
      <c r="CB122" s="33">
        <f>BE122-BV122</f>
        <v/>
      </c>
      <c r="CC122" s="34">
        <f>IF(AY122=0,0,CB122/AY122)</f>
        <v/>
      </c>
      <c r="CD122" s="34">
        <f>MAX((AY122+MAX((-J122+L122-N122+Q122-T122+X122),0)),(MAX((J122-L122+N122-Q122+T122-X122),0)))</f>
        <v/>
      </c>
      <c r="CE122" s="82">
        <f>IFERROR(ABS(BX122/CD122),0)</f>
        <v/>
      </c>
      <c r="CF122" s="34">
        <f>IF(CE122&lt;=0.1,0,BX122/CE122*(CE122-0.1))</f>
        <v/>
      </c>
      <c r="CG122" s="34">
        <f>IF((CF122)&lt;0,MAX(F122:G122)*(CF122)*1.03,MIN(F122:G122)*(CF122)*0.97)</f>
        <v/>
      </c>
      <c r="CH122" s="34">
        <f>IF(CE122&gt;0.1,1,0)</f>
        <v/>
      </c>
      <c r="CI122" s="34">
        <f>(F122*BX122)-BY122</f>
        <v/>
      </c>
      <c r="CJ122" s="34">
        <f>IF(AY122=0,0,CI122/AY122)</f>
        <v/>
      </c>
    </row>
    <row r="123">
      <c r="A123" s="29" t="n">
        <v>46209</v>
      </c>
      <c r="B123" s="29" t="inlineStr">
        <is>
          <t>00:00</t>
        </is>
      </c>
      <c r="C123" s="35">
        <f>INT(A123)</f>
        <v/>
      </c>
      <c r="D123" s="36">
        <f>MONTH(A123)</f>
        <v/>
      </c>
      <c r="E123" s="147">
        <f>[1]FİYATLAR!G122</f>
        <v/>
      </c>
      <c r="F123" s="30" t="n">
        <v>2560.29</v>
      </c>
      <c r="G123" s="30" t="n">
        <v>500</v>
      </c>
      <c r="H123" s="30" t="n">
        <v>54.9</v>
      </c>
      <c r="I123" s="30" t="n">
        <v>2727.15</v>
      </c>
      <c r="J123" s="119" t="n">
        <v>0</v>
      </c>
      <c r="K123" s="34">
        <f>F123*J123</f>
        <v/>
      </c>
      <c r="L123" s="119" t="n">
        <v>0</v>
      </c>
      <c r="M123" s="34">
        <f>L123*F123</f>
        <v/>
      </c>
      <c r="N123" s="119" t="n">
        <v>21</v>
      </c>
      <c r="O123" s="34">
        <f>F123</f>
        <v/>
      </c>
      <c r="P123" s="34">
        <f>N123*O123</f>
        <v/>
      </c>
      <c r="Q123" s="117" t="n">
        <v>0</v>
      </c>
      <c r="R123" s="34">
        <f>F123</f>
        <v/>
      </c>
      <c r="S123" s="34">
        <f>R123*Q123</f>
        <v/>
      </c>
      <c r="T123" s="34">
        <f>SUMIFS('[1]GİP VERİLERİ'!$C:$C,'[1]GİP VERİLERİ'!$B:$B,A123,'[1]GİP VERİLERİ'!$M:$M,"40X000000104782K",'[1]GİP VERİLERİ'!$G:$G,"SELL")</f>
        <v/>
      </c>
      <c r="U123" s="34">
        <f>IFERROR(W123/T123,0)</f>
        <v/>
      </c>
      <c r="V123" s="34">
        <f>IF(U123=0,0,U123-F123)</f>
        <v/>
      </c>
      <c r="W123" s="34">
        <f>SUMIFS('[1]GİP VERİLERİ'!$O:$O,'[1]GİP VERİLERİ'!$B:$B,A123,'[1]GİP VERİLERİ'!$M:$M,"40X000000104782K",'[1]GİP VERİLERİ'!$G:$G,"SELL")</f>
        <v/>
      </c>
      <c r="X123" s="34">
        <f>SUMIFS('[1]GİP VERİLERİ'!$C:$C,'[1]GİP VERİLERİ'!$B:$B,A123,'[1]GİP VERİLERİ'!$M:$M,"40X000000104782K",'[1]GİP VERİLERİ'!$G:$G,"BUY")</f>
        <v/>
      </c>
      <c r="Y123" s="34">
        <f>IFERROR(AA123/X123,0)</f>
        <v/>
      </c>
      <c r="Z123" s="34">
        <f>IF(Y123=0,0,F123-Y123)</f>
        <v/>
      </c>
      <c r="AA123" s="34">
        <f>SUMIFS('[1]GİP VERİLERİ'!$O:$O,'[1]GİP VERİLERİ'!$B:$B,A123,'[1]GİP VERİLERİ'!$M:$M,"40X000000104782K",'[1]GİP VERİLERİ'!$G:$G,"BUY")</f>
        <v/>
      </c>
      <c r="AB123" s="34" t="n">
        <v>0</v>
      </c>
      <c r="AC123" s="34" t="n">
        <v>0</v>
      </c>
      <c r="AD123" s="34">
        <f>IF(AB123&gt;AC123*1.05,AB123-AC123*1.05,IF(AB123&lt;AC123*0.95,AC123*0.95-AB123,0))</f>
        <v/>
      </c>
      <c r="AE123" s="34">
        <f>MAX(F123,G123,750)*0.05*AD123</f>
        <v/>
      </c>
      <c r="AF123" s="34" t="n">
        <v>0</v>
      </c>
      <c r="AG123" s="34">
        <f>IF(AB123&gt;AF123*1.05,AB123-AF123*1.05,IF(AB123&lt;AF123*0.95,AF123*0.95-AB123,0))</f>
        <v/>
      </c>
      <c r="AH123" s="34">
        <f>MAX(I123,J123,750)*0.05*AG123</f>
        <v/>
      </c>
      <c r="AI123" t="n">
        <v>9.109999999999999</v>
      </c>
      <c r="AJ123" t="n">
        <v>9</v>
      </c>
      <c r="AK123" s="34">
        <f>IF(AI123&gt;AJ123*1.05,AI123-AJ123*1.05,IF(AI123&lt;AJ123*0.95,AJ123*0.95-AI123,0))</f>
        <v/>
      </c>
      <c r="AL123" s="34">
        <f>MAX(F123,G123,750)*0.05*AK123</f>
        <v/>
      </c>
      <c r="AM123" s="39" t="n">
        <v>9</v>
      </c>
      <c r="AN123" s="34">
        <f>IF(AI123&gt;AM123*1.05,AI123-AM123*1.05,IF(AI123&lt;AM123*0.95,AM123*0.95-AI123,0))</f>
        <v/>
      </c>
      <c r="AO123" s="34">
        <f>MAX(F123,G123,750)*0.05*AN123</f>
        <v/>
      </c>
      <c r="AP123" s="34" t="n">
        <v>12.14</v>
      </c>
      <c r="AQ123" s="34" t="n">
        <v>12</v>
      </c>
      <c r="AR123" s="34">
        <f>IF(AP123&gt;AQ123*1.05,AP123-AQ123*1.05,IF(AP123&lt;AQ123*0.95,AQ123*0.95-AP123,0))</f>
        <v/>
      </c>
      <c r="AS123" s="34">
        <f>MAX(F123:G123,750)*0.05*AR123</f>
        <v/>
      </c>
      <c r="AT123" t="n">
        <v>12</v>
      </c>
      <c r="AU123" s="34">
        <f>IF(AP123&gt;AT123*1.05,AP123-AT123*1.05,IF(AP123&lt;AT123*0.95,AT123*0.95-AP123,0))</f>
        <v/>
      </c>
      <c r="AV123" s="34">
        <f>MAX(F123:G123,750)*0.05*AU123</f>
        <v/>
      </c>
      <c r="AW123" s="34">
        <f>AC123+AJ123+AQ123</f>
        <v/>
      </c>
      <c r="AX123" s="34">
        <f>AF123+AM123+AT123</f>
        <v/>
      </c>
      <c r="AY123" s="34">
        <f>AB123+AI123+AP123</f>
        <v/>
      </c>
      <c r="AZ123" s="34" t="n">
        <v>0</v>
      </c>
      <c r="BA123" s="34">
        <f>AD123+AK123+AR123</f>
        <v/>
      </c>
      <c r="BB123" s="34">
        <f>MAX(F123:G123,750)*0.05*BA123</f>
        <v/>
      </c>
      <c r="BC123" s="34">
        <f>AG123+AN123+AU123</f>
        <v/>
      </c>
      <c r="BD123" s="34">
        <f>MAX(F123:G123,750)*0.05*BC123</f>
        <v/>
      </c>
      <c r="BE123" s="34">
        <f>F123*AY123</f>
        <v/>
      </c>
      <c r="BF123" s="34">
        <f>K123-M123</f>
        <v/>
      </c>
      <c r="BG123" s="34">
        <f>P123-S123</f>
        <v/>
      </c>
      <c r="BH123" s="34">
        <f>W123-AA123</f>
        <v/>
      </c>
      <c r="BI123" s="34">
        <f>BF123+BG123+BL123-BN123</f>
        <v/>
      </c>
      <c r="BJ123" s="34">
        <f>ABS(BK123)</f>
        <v/>
      </c>
      <c r="BK123" s="34">
        <f>AY123-(J123-L123+N123-Q123)</f>
        <v/>
      </c>
      <c r="BL123" s="34">
        <f>IF(AND(BK123&gt;0,MIN($F123:$G123)&lt;150,$E123="Enerji Açığı"),-100*BK123*1.03,IF(AND(BK123&gt;0,MIN($F123:$G123)&lt;150,$E123="Enerji Fazlası"),-100*BK123*1.06,IF(AND(BK123&gt;0,MIN($F123:$G123)&gt;=150,$E123="Enerji Açığı"),BK123*MIN($F123:$G123)*0.97,IF(AND(BK123&gt;0,MIN($F123:$G123)&gt;=150,$E123="Enerji Fazlası"),BK123*MIN($F123:$G123)*0.94,IF(AND(BK123&lt;0,MAX($F123:$G123)=4500,$E123="Enerji Açığı"),4500*1.05*1.06*BK123,IF(AND(BK123&lt;0,MAX($F123:$G123)=4500,$E123="Enerji Fazlası"),4500*1.05*1.03*BK123,IF(AND(BK123&lt;0,$E123="Enerji Açığı"),MAX($F123,$G123,150)*BK123*1.06,IF(AND(BK123&lt;0,$E123="Enerji Fazlası"),MAX($F123,$G123,150)*BK123*1.03,IF(AND(BK123&lt;0,$E123="Dengede"),MAX($F123:$G123,150)*1.03*BK123,MIN($F123:$G123)*0.97*BK123)))))))))</f>
        <v/>
      </c>
      <c r="BM123" s="34">
        <f>BE123-BI123-BN123</f>
        <v/>
      </c>
      <c r="BN123" s="34">
        <f>BB123</f>
        <v/>
      </c>
      <c r="BO123" s="34">
        <f>BE123-BI123</f>
        <v/>
      </c>
      <c r="BP123" s="34">
        <f>IF(AY123=0,0,BO123/AY123)</f>
        <v/>
      </c>
      <c r="BQ123" s="34">
        <f>MAX((AY123+MAX((-J123+L123-N123+Q123),0)),(MAX((J123-L123+N123-Q123),0)))</f>
        <v/>
      </c>
      <c r="BR123" s="82">
        <f>IFERROR(ABS(BK123/BQ123),0)</f>
        <v/>
      </c>
      <c r="BS123" s="34">
        <f>IF(BR123&lt;=0.1,0,BK123/BR123*(BR123-0.1))</f>
        <v/>
      </c>
      <c r="BT123" s="34">
        <f>IF((BS123)&lt;0,MAX(F123:G123)*(BS123)*1.03,MIN(F123:G123)*(BS123)*0.97)</f>
        <v/>
      </c>
      <c r="BU123" s="34">
        <f>IF(BR123&gt;0.1,1,0)</f>
        <v/>
      </c>
      <c r="BV123" s="34">
        <f>BF123+BG123+BH123+BY123-CA123</f>
        <v/>
      </c>
      <c r="BW123" s="34">
        <f>ABS(BX123)</f>
        <v/>
      </c>
      <c r="BX123" s="34">
        <f>AY123-(J123-L123+N123-Q123+T123-X123)</f>
        <v/>
      </c>
      <c r="BY123" s="34">
        <f>IF(AND(BX123&gt;0,MIN($F123:$G123)&lt;150,$E123="Enerji Açığı"),-100*BX123*1.03,IF(AND(BX123&gt;0,MIN($F123:$G123)&lt;150,$E123="Enerji Fazlası"),-100*BX123*1.06,IF(AND(BX123&gt;0,MIN($F123:$G123)&gt;=150,$E123="Enerji Açığı"),BX123*MIN($F123:$G123)*0.97,IF(AND(BX123&gt;0,MIN($F123:$G123)&gt;=150,$E123="Enerji Fazlası"),BX123*MIN($F123:$G123)*0.94,IF(AND(BX123&lt;0,MAX($F123:$G123)=4500,$E123="Enerji Açığı"),4500*1.05*1.06*BX123,IF(AND(BX123&lt;0,MAX($F123:$G123)=4500,$E123="Enerji Fazlası"),4500*1.05*1.03*BX123,IF(AND(BX123&lt;0,$E123="Enerji Açığı"),MAX($F123,$G123,150)*BX123*1.06,IF(AND(BX123&lt;0,$E123="Enerji Fazlası"),MAX($F123,$G123,150)*BX123*1.03,IF(AND(BX123&lt;0,$E123="Dengede"),MAX($F123:$G123,150)*1.03*BX123,MIN($F123:$G123)*0.97*BX123)))))))))</f>
        <v/>
      </c>
      <c r="BZ123" s="34">
        <f>BE123-BV123-CA123</f>
        <v/>
      </c>
      <c r="CA123" s="34">
        <f>BD123</f>
        <v/>
      </c>
      <c r="CB123" s="33">
        <f>BE123-BV123</f>
        <v/>
      </c>
      <c r="CC123" s="34">
        <f>IF(AY123=0,0,CB123/AY123)</f>
        <v/>
      </c>
      <c r="CD123" s="34">
        <f>MAX((AY123+MAX((-J123+L123-N123+Q123-T123+X123),0)),(MAX((J123-L123+N123-Q123+T123-X123),0)))</f>
        <v/>
      </c>
      <c r="CE123" s="82">
        <f>IFERROR(ABS(BX123/CD123),0)</f>
        <v/>
      </c>
      <c r="CF123" s="34">
        <f>IF(CE123&lt;=0.1,0,BX123/CE123*(CE123-0.1))</f>
        <v/>
      </c>
      <c r="CG123" s="34">
        <f>IF((CF123)&lt;0,MAX(F123:G123)*(CF123)*1.03,MIN(F123:G123)*(CF123)*0.97)</f>
        <v/>
      </c>
      <c r="CH123" s="34">
        <f>IF(CE123&gt;0.1,1,0)</f>
        <v/>
      </c>
      <c r="CI123" s="34">
        <f>(F123*BX123)-BY123</f>
        <v/>
      </c>
      <c r="CJ123" s="34">
        <f>IF(AY123=0,0,CI123/AY123)</f>
        <v/>
      </c>
    </row>
    <row r="124">
      <c r="A124" s="29" t="n">
        <v>46209.04166666666</v>
      </c>
      <c r="B124" s="29" t="inlineStr">
        <is>
          <t>01:00</t>
        </is>
      </c>
      <c r="C124" s="35">
        <f>INT(A124)</f>
        <v/>
      </c>
      <c r="D124" s="36">
        <f>MONTH(A124)</f>
        <v/>
      </c>
      <c r="E124" s="147">
        <f>[1]FİYATLAR!G123</f>
        <v/>
      </c>
      <c r="F124" s="30" t="n">
        <v>2050</v>
      </c>
      <c r="G124" s="30" t="n">
        <v>500</v>
      </c>
      <c r="H124" s="30" t="n">
        <v>43.96</v>
      </c>
      <c r="I124" s="30" t="n">
        <v>1821.59</v>
      </c>
      <c r="J124" s="119" t="n">
        <v>0</v>
      </c>
      <c r="K124" s="34">
        <f>F124*J124</f>
        <v/>
      </c>
      <c r="L124" s="119" t="n">
        <v>0</v>
      </c>
      <c r="M124" s="34">
        <f>L124*F124</f>
        <v/>
      </c>
      <c r="N124" s="119" t="n">
        <v>21</v>
      </c>
      <c r="O124" s="34">
        <f>F124</f>
        <v/>
      </c>
      <c r="P124" s="34">
        <f>N124*O124</f>
        <v/>
      </c>
      <c r="Q124" s="117" t="n">
        <v>0</v>
      </c>
      <c r="R124" s="34">
        <f>F124</f>
        <v/>
      </c>
      <c r="S124" s="34">
        <f>R124*Q124</f>
        <v/>
      </c>
      <c r="T124" s="34">
        <f>SUMIFS('[1]GİP VERİLERİ'!$C:$C,'[1]GİP VERİLERİ'!$B:$B,A124,'[1]GİP VERİLERİ'!$M:$M,"40X000000104782K",'[1]GİP VERİLERİ'!$G:$G,"SELL")</f>
        <v/>
      </c>
      <c r="U124" s="34">
        <f>IFERROR(W124/T124,0)</f>
        <v/>
      </c>
      <c r="V124" s="34">
        <f>IF(U124=0,0,U124-F124)</f>
        <v/>
      </c>
      <c r="W124" s="34">
        <f>SUMIFS('[1]GİP VERİLERİ'!$O:$O,'[1]GİP VERİLERİ'!$B:$B,A124,'[1]GİP VERİLERİ'!$M:$M,"40X000000104782K",'[1]GİP VERİLERİ'!$G:$G,"SELL")</f>
        <v/>
      </c>
      <c r="X124" s="34">
        <f>SUMIFS('[1]GİP VERİLERİ'!$C:$C,'[1]GİP VERİLERİ'!$B:$B,A124,'[1]GİP VERİLERİ'!$M:$M,"40X000000104782K",'[1]GİP VERİLERİ'!$G:$G,"BUY")</f>
        <v/>
      </c>
      <c r="Y124" s="34">
        <f>IFERROR(AA124/X124,0)</f>
        <v/>
      </c>
      <c r="Z124" s="34">
        <f>IF(Y124=0,0,F124-Y124)</f>
        <v/>
      </c>
      <c r="AA124" s="34">
        <f>SUMIFS('[1]GİP VERİLERİ'!$O:$O,'[1]GİP VERİLERİ'!$B:$B,A124,'[1]GİP VERİLERİ'!$M:$M,"40X000000104782K",'[1]GİP VERİLERİ'!$G:$G,"BUY")</f>
        <v/>
      </c>
      <c r="AB124" s="34" t="n">
        <v>0</v>
      </c>
      <c r="AC124" s="34" t="n">
        <v>0</v>
      </c>
      <c r="AD124" s="34">
        <f>IF(AB124&gt;AC124*1.05,AB124-AC124*1.05,IF(AB124&lt;AC124*0.95,AC124*0.95-AB124,0))</f>
        <v/>
      </c>
      <c r="AE124" s="34">
        <f>MAX(F124,G124,750)*0.05*AD124</f>
        <v/>
      </c>
      <c r="AF124" s="34" t="n">
        <v>0</v>
      </c>
      <c r="AG124" s="34">
        <f>IF(AB124&gt;AF124*1.05,AB124-AF124*1.05,IF(AB124&lt;AF124*0.95,AF124*0.95-AB124,0))</f>
        <v/>
      </c>
      <c r="AH124" s="34">
        <f>MAX(I124,J124,750)*0.05*AG124</f>
        <v/>
      </c>
      <c r="AI124" t="n">
        <v>9.17</v>
      </c>
      <c r="AJ124" t="n">
        <v>9</v>
      </c>
      <c r="AK124" s="34">
        <f>IF(AI124&gt;AJ124*1.05,AI124-AJ124*1.05,IF(AI124&lt;AJ124*0.95,AJ124*0.95-AI124,0))</f>
        <v/>
      </c>
      <c r="AL124" s="34">
        <f>MAX(F124,G124,750)*0.05*AK124</f>
        <v/>
      </c>
      <c r="AM124" s="39" t="n">
        <v>9</v>
      </c>
      <c r="AN124" s="34">
        <f>IF(AI124&gt;AM124*1.05,AI124-AM124*1.05,IF(AI124&lt;AM124*0.95,AM124*0.95-AI124,0))</f>
        <v/>
      </c>
      <c r="AO124" s="34">
        <f>MAX(F124,G124,750)*0.05*AN124</f>
        <v/>
      </c>
      <c r="AP124" s="34" t="n">
        <v>12.19</v>
      </c>
      <c r="AQ124" s="34" t="n">
        <v>12</v>
      </c>
      <c r="AR124" s="34">
        <f>IF(AP124&gt;AQ124*1.05,AP124-AQ124*1.05,IF(AP124&lt;AQ124*0.95,AQ124*0.95-AP124,0))</f>
        <v/>
      </c>
      <c r="AS124" s="34">
        <f>MAX(F124:G124,750)*0.05*AR124</f>
        <v/>
      </c>
      <c r="AT124" t="n">
        <v>12</v>
      </c>
      <c r="AU124" s="34">
        <f>IF(AP124&gt;AT124*1.05,AP124-AT124*1.05,IF(AP124&lt;AT124*0.95,AT124*0.95-AP124,0))</f>
        <v/>
      </c>
      <c r="AV124" s="34">
        <f>MAX(F124:G124,750)*0.05*AU124</f>
        <v/>
      </c>
      <c r="AW124" s="34">
        <f>AC124+AJ124+AQ124</f>
        <v/>
      </c>
      <c r="AX124" s="34">
        <f>AF124+AM124+AT124</f>
        <v/>
      </c>
      <c r="AY124" s="34">
        <f>AB124+AI124+AP124</f>
        <v/>
      </c>
      <c r="AZ124" s="34" t="n">
        <v>0</v>
      </c>
      <c r="BA124" s="34">
        <f>AD124+AK124+AR124</f>
        <v/>
      </c>
      <c r="BB124" s="34">
        <f>MAX(F124:G124,750)*0.05*BA124</f>
        <v/>
      </c>
      <c r="BC124" s="34">
        <f>AG124+AN124+AU124</f>
        <v/>
      </c>
      <c r="BD124" s="34">
        <f>MAX(F124:G124,750)*0.05*BC124</f>
        <v/>
      </c>
      <c r="BE124" s="34">
        <f>F124*AY124</f>
        <v/>
      </c>
      <c r="BF124" s="34">
        <f>K124-M124</f>
        <v/>
      </c>
      <c r="BG124" s="34">
        <f>P124-S124</f>
        <v/>
      </c>
      <c r="BH124" s="34">
        <f>W124-AA124</f>
        <v/>
      </c>
      <c r="BI124" s="34">
        <f>BF124+BG124+BL124-BN124</f>
        <v/>
      </c>
      <c r="BJ124" s="34">
        <f>ABS(BK124)</f>
        <v/>
      </c>
      <c r="BK124" s="34">
        <f>AY124-(J124-L124+N124-Q124)</f>
        <v/>
      </c>
      <c r="BL124" s="34">
        <f>IF(AND(BK124&gt;0,MIN($F124:$G124)&lt;150,$E124="Enerji Açığı"),-100*BK124*1.03,IF(AND(BK124&gt;0,MIN($F124:$G124)&lt;150,$E124="Enerji Fazlası"),-100*BK124*1.06,IF(AND(BK124&gt;0,MIN($F124:$G124)&gt;=150,$E124="Enerji Açığı"),BK124*MIN($F124:$G124)*0.97,IF(AND(BK124&gt;0,MIN($F124:$G124)&gt;=150,$E124="Enerji Fazlası"),BK124*MIN($F124:$G124)*0.94,IF(AND(BK124&lt;0,MAX($F124:$G124)=4500,$E124="Enerji Açığı"),4500*1.05*1.06*BK124,IF(AND(BK124&lt;0,MAX($F124:$G124)=4500,$E124="Enerji Fazlası"),4500*1.05*1.03*BK124,IF(AND(BK124&lt;0,$E124="Enerji Açığı"),MAX($F124,$G124,150)*BK124*1.06,IF(AND(BK124&lt;0,$E124="Enerji Fazlası"),MAX($F124,$G124,150)*BK124*1.03,IF(AND(BK124&lt;0,$E124="Dengede"),MAX($F124:$G124,150)*1.03*BK124,MIN($F124:$G124)*0.97*BK124)))))))))</f>
        <v/>
      </c>
      <c r="BM124" s="34">
        <f>BE124-BI124-BN124</f>
        <v/>
      </c>
      <c r="BN124" s="34">
        <f>BB124</f>
        <v/>
      </c>
      <c r="BO124" s="34">
        <f>BE124-BI124</f>
        <v/>
      </c>
      <c r="BP124" s="34">
        <f>IF(AY124=0,0,BO124/AY124)</f>
        <v/>
      </c>
      <c r="BQ124" s="34">
        <f>MAX((AY124+MAX((-J124+L124-N124+Q124),0)),(MAX((J124-L124+N124-Q124),0)))</f>
        <v/>
      </c>
      <c r="BR124" s="82">
        <f>IFERROR(ABS(BK124/BQ124),0)</f>
        <v/>
      </c>
      <c r="BS124" s="34">
        <f>IF(BR124&lt;=0.1,0,BK124/BR124*(BR124-0.1))</f>
        <v/>
      </c>
      <c r="BT124" s="34">
        <f>IF((BS124)&lt;0,MAX(F124:G124)*(BS124)*1.03,MIN(F124:G124)*(BS124)*0.97)</f>
        <v/>
      </c>
      <c r="BU124" s="34">
        <f>IF(BR124&gt;0.1,1,0)</f>
        <v/>
      </c>
      <c r="BV124" s="34">
        <f>BF124+BG124+BH124+BY124-CA124</f>
        <v/>
      </c>
      <c r="BW124" s="34">
        <f>ABS(BX124)</f>
        <v/>
      </c>
      <c r="BX124" s="34">
        <f>AY124-(J124-L124+N124-Q124+T124-X124)</f>
        <v/>
      </c>
      <c r="BY124" s="34">
        <f>IF(AND(BX124&gt;0,MIN($F124:$G124)&lt;150,$E124="Enerji Açığı"),-100*BX124*1.03,IF(AND(BX124&gt;0,MIN($F124:$G124)&lt;150,$E124="Enerji Fazlası"),-100*BX124*1.06,IF(AND(BX124&gt;0,MIN($F124:$G124)&gt;=150,$E124="Enerji Açığı"),BX124*MIN($F124:$G124)*0.97,IF(AND(BX124&gt;0,MIN($F124:$G124)&gt;=150,$E124="Enerji Fazlası"),BX124*MIN($F124:$G124)*0.94,IF(AND(BX124&lt;0,MAX($F124:$G124)=4500,$E124="Enerji Açığı"),4500*1.05*1.06*BX124,IF(AND(BX124&lt;0,MAX($F124:$G124)=4500,$E124="Enerji Fazlası"),4500*1.05*1.03*BX124,IF(AND(BX124&lt;0,$E124="Enerji Açığı"),MAX($F124,$G124,150)*BX124*1.06,IF(AND(BX124&lt;0,$E124="Enerji Fazlası"),MAX($F124,$G124,150)*BX124*1.03,IF(AND(BX124&lt;0,$E124="Dengede"),MAX($F124:$G124,150)*1.03*BX124,MIN($F124:$G124)*0.97*BX124)))))))))</f>
        <v/>
      </c>
      <c r="BZ124" s="34">
        <f>BE124-BV124-CA124</f>
        <v/>
      </c>
      <c r="CA124" s="34">
        <f>BD124</f>
        <v/>
      </c>
      <c r="CB124" s="33">
        <f>BE124-BV124</f>
        <v/>
      </c>
      <c r="CC124" s="34">
        <f>IF(AY124=0,0,CB124/AY124)</f>
        <v/>
      </c>
      <c r="CD124" s="34">
        <f>MAX((AY124+MAX((-J124+L124-N124+Q124-T124+X124),0)),(MAX((J124-L124+N124-Q124+T124-X124),0)))</f>
        <v/>
      </c>
      <c r="CE124" s="82">
        <f>IFERROR(ABS(BX124/CD124),0)</f>
        <v/>
      </c>
      <c r="CF124" s="34">
        <f>IF(CE124&lt;=0.1,0,BX124/CE124*(CE124-0.1))</f>
        <v/>
      </c>
      <c r="CG124" s="34">
        <f>IF((CF124)&lt;0,MAX(F124:G124)*(CF124)*1.03,MIN(F124:G124)*(CF124)*0.97)</f>
        <v/>
      </c>
      <c r="CH124" s="34">
        <f>IF(CE124&gt;0.1,1,0)</f>
        <v/>
      </c>
      <c r="CI124" s="34">
        <f>(F124*BX124)-BY124</f>
        <v/>
      </c>
      <c r="CJ124" s="34">
        <f>IF(AY124=0,0,CI124/AY124)</f>
        <v/>
      </c>
    </row>
    <row r="125">
      <c r="A125" s="29" t="n">
        <v>46209.08333333334</v>
      </c>
      <c r="B125" s="29" t="inlineStr">
        <is>
          <t>02:00</t>
        </is>
      </c>
      <c r="C125" s="35">
        <f>INT(A125)</f>
        <v/>
      </c>
      <c r="D125" s="36">
        <f>MONTH(A125)</f>
        <v/>
      </c>
      <c r="E125" s="147">
        <f>[1]FİYATLAR!G124</f>
        <v/>
      </c>
      <c r="F125" s="30" t="n">
        <v>1899.99</v>
      </c>
      <c r="G125" s="30" t="n">
        <v>500</v>
      </c>
      <c r="H125" s="30" t="n">
        <v>40.74</v>
      </c>
      <c r="I125" s="30" t="n">
        <v>1555.38</v>
      </c>
      <c r="J125" s="119" t="n">
        <v>0</v>
      </c>
      <c r="K125" s="34">
        <f>F125*J125</f>
        <v/>
      </c>
      <c r="L125" s="119" t="n">
        <v>0</v>
      </c>
      <c r="M125" s="34">
        <f>L125*F125</f>
        <v/>
      </c>
      <c r="N125" s="119" t="n">
        <v>21</v>
      </c>
      <c r="O125" s="34">
        <f>F125</f>
        <v/>
      </c>
      <c r="P125" s="34">
        <f>N125*O125</f>
        <v/>
      </c>
      <c r="Q125" s="117" t="n">
        <v>0</v>
      </c>
      <c r="R125" s="34">
        <f>F125</f>
        <v/>
      </c>
      <c r="S125" s="34">
        <f>R125*Q125</f>
        <v/>
      </c>
      <c r="T125" s="34">
        <f>SUMIFS('[1]GİP VERİLERİ'!$C:$C,'[1]GİP VERİLERİ'!$B:$B,A125,'[1]GİP VERİLERİ'!$M:$M,"40X000000104782K",'[1]GİP VERİLERİ'!$G:$G,"SELL")</f>
        <v/>
      </c>
      <c r="U125" s="34">
        <f>IFERROR(W125/T125,0)</f>
        <v/>
      </c>
      <c r="V125" s="34">
        <f>IF(U125=0,0,U125-F125)</f>
        <v/>
      </c>
      <c r="W125" s="34">
        <f>SUMIFS('[1]GİP VERİLERİ'!$O:$O,'[1]GİP VERİLERİ'!$B:$B,A125,'[1]GİP VERİLERİ'!$M:$M,"40X000000104782K",'[1]GİP VERİLERİ'!$G:$G,"SELL")</f>
        <v/>
      </c>
      <c r="X125" s="34">
        <f>SUMIFS('[1]GİP VERİLERİ'!$C:$C,'[1]GİP VERİLERİ'!$B:$B,A125,'[1]GİP VERİLERİ'!$M:$M,"40X000000104782K",'[1]GİP VERİLERİ'!$G:$G,"BUY")</f>
        <v/>
      </c>
      <c r="Y125" s="34">
        <f>IFERROR(AA125/X125,0)</f>
        <v/>
      </c>
      <c r="Z125" s="34">
        <f>IF(Y125=0,0,F125-Y125)</f>
        <v/>
      </c>
      <c r="AA125" s="34">
        <f>SUMIFS('[1]GİP VERİLERİ'!$O:$O,'[1]GİP VERİLERİ'!$B:$B,A125,'[1]GİP VERİLERİ'!$M:$M,"40X000000104782K",'[1]GİP VERİLERİ'!$G:$G,"BUY")</f>
        <v/>
      </c>
      <c r="AB125" s="34" t="n">
        <v>0</v>
      </c>
      <c r="AC125" s="34" t="n">
        <v>0</v>
      </c>
      <c r="AD125" s="34">
        <f>IF(AB125&gt;AC125*1.05,AB125-AC125*1.05,IF(AB125&lt;AC125*0.95,AC125*0.95-AB125,0))</f>
        <v/>
      </c>
      <c r="AE125" s="34">
        <f>MAX(F125,G125,750)*0.05*AD125</f>
        <v/>
      </c>
      <c r="AF125" s="34" t="n">
        <v>0</v>
      </c>
      <c r="AG125" s="34">
        <f>IF(AB125&gt;AF125*1.05,AB125-AF125*1.05,IF(AB125&lt;AF125*0.95,AF125*0.95-AB125,0))</f>
        <v/>
      </c>
      <c r="AH125" s="34">
        <f>MAX(I125,J125,750)*0.05*AG125</f>
        <v/>
      </c>
      <c r="AI125" t="n">
        <v>9.140000000000001</v>
      </c>
      <c r="AJ125" t="n">
        <v>9</v>
      </c>
      <c r="AK125" s="34">
        <f>IF(AI125&gt;AJ125*1.05,AI125-AJ125*1.05,IF(AI125&lt;AJ125*0.95,AJ125*0.95-AI125,0))</f>
        <v/>
      </c>
      <c r="AL125" s="34">
        <f>MAX(F125,G125,750)*0.05*AK125</f>
        <v/>
      </c>
      <c r="AM125" s="39" t="n">
        <v>9</v>
      </c>
      <c r="AN125" s="34">
        <f>IF(AI125&gt;AM125*1.05,AI125-AM125*1.05,IF(AI125&lt;AM125*0.95,AM125*0.95-AI125,0))</f>
        <v/>
      </c>
      <c r="AO125" s="34">
        <f>MAX(F125,G125,750)*0.05*AN125</f>
        <v/>
      </c>
      <c r="AP125" s="34" t="n">
        <v>12.16</v>
      </c>
      <c r="AQ125" s="34" t="n">
        <v>12</v>
      </c>
      <c r="AR125" s="34">
        <f>IF(AP125&gt;AQ125*1.05,AP125-AQ125*1.05,IF(AP125&lt;AQ125*0.95,AQ125*0.95-AP125,0))</f>
        <v/>
      </c>
      <c r="AS125" s="34">
        <f>MAX(F125:G125,750)*0.05*AR125</f>
        <v/>
      </c>
      <c r="AT125" t="n">
        <v>12</v>
      </c>
      <c r="AU125" s="34">
        <f>IF(AP125&gt;AT125*1.05,AP125-AT125*1.05,IF(AP125&lt;AT125*0.95,AT125*0.95-AP125,0))</f>
        <v/>
      </c>
      <c r="AV125" s="34">
        <f>MAX(F125:G125,750)*0.05*AU125</f>
        <v/>
      </c>
      <c r="AW125" s="34">
        <f>AC125+AJ125+AQ125</f>
        <v/>
      </c>
      <c r="AX125" s="34">
        <f>AF125+AM125+AT125</f>
        <v/>
      </c>
      <c r="AY125" s="34">
        <f>AB125+AI125+AP125</f>
        <v/>
      </c>
      <c r="AZ125" s="34" t="n">
        <v>0</v>
      </c>
      <c r="BA125" s="34">
        <f>AD125+AK125+AR125</f>
        <v/>
      </c>
      <c r="BB125" s="34">
        <f>MAX(F125:G125,750)*0.05*BA125</f>
        <v/>
      </c>
      <c r="BC125" s="34">
        <f>AG125+AN125+AU125</f>
        <v/>
      </c>
      <c r="BD125" s="34">
        <f>MAX(F125:G125,750)*0.05*BC125</f>
        <v/>
      </c>
      <c r="BE125" s="34">
        <f>F125*AY125</f>
        <v/>
      </c>
      <c r="BF125" s="34">
        <f>K125-M125</f>
        <v/>
      </c>
      <c r="BG125" s="34">
        <f>P125-S125</f>
        <v/>
      </c>
      <c r="BH125" s="34">
        <f>W125-AA125</f>
        <v/>
      </c>
      <c r="BI125" s="34">
        <f>BF125+BG125+BL125-BN125</f>
        <v/>
      </c>
      <c r="BJ125" s="34">
        <f>ABS(BK125)</f>
        <v/>
      </c>
      <c r="BK125" s="34">
        <f>AY125-(J125-L125+N125-Q125)</f>
        <v/>
      </c>
      <c r="BL125" s="34">
        <f>IF(AND(BK125&gt;0,MIN($F125:$G125)&lt;150,$E125="Enerji Açığı"),-100*BK125*1.03,IF(AND(BK125&gt;0,MIN($F125:$G125)&lt;150,$E125="Enerji Fazlası"),-100*BK125*1.06,IF(AND(BK125&gt;0,MIN($F125:$G125)&gt;=150,$E125="Enerji Açığı"),BK125*MIN($F125:$G125)*0.97,IF(AND(BK125&gt;0,MIN($F125:$G125)&gt;=150,$E125="Enerji Fazlası"),BK125*MIN($F125:$G125)*0.94,IF(AND(BK125&lt;0,MAX($F125:$G125)=4500,$E125="Enerji Açığı"),4500*1.05*1.06*BK125,IF(AND(BK125&lt;0,MAX($F125:$G125)=4500,$E125="Enerji Fazlası"),4500*1.05*1.03*BK125,IF(AND(BK125&lt;0,$E125="Enerji Açığı"),MAX($F125,$G125,150)*BK125*1.06,IF(AND(BK125&lt;0,$E125="Enerji Fazlası"),MAX($F125,$G125,150)*BK125*1.03,IF(AND(BK125&lt;0,$E125="Dengede"),MAX($F125:$G125,150)*1.03*BK125,MIN($F125:$G125)*0.97*BK125)))))))))</f>
        <v/>
      </c>
      <c r="BM125" s="34">
        <f>BE125-BI125-BN125</f>
        <v/>
      </c>
      <c r="BN125" s="34">
        <f>BB125</f>
        <v/>
      </c>
      <c r="BO125" s="34">
        <f>BE125-BI125</f>
        <v/>
      </c>
      <c r="BP125" s="34">
        <f>IF(AY125=0,0,BO125/AY125)</f>
        <v/>
      </c>
      <c r="BQ125" s="34">
        <f>MAX((AY125+MAX((-J125+L125-N125+Q125),0)),(MAX((J125-L125+N125-Q125),0)))</f>
        <v/>
      </c>
      <c r="BR125" s="82">
        <f>IFERROR(ABS(BK125/BQ125),0)</f>
        <v/>
      </c>
      <c r="BS125" s="34">
        <f>IF(BR125&lt;=0.1,0,BK125/BR125*(BR125-0.1))</f>
        <v/>
      </c>
      <c r="BT125" s="34">
        <f>IF((BS125)&lt;0,MAX(F125:G125)*(BS125)*1.03,MIN(F125:G125)*(BS125)*0.97)</f>
        <v/>
      </c>
      <c r="BU125" s="34">
        <f>IF(BR125&gt;0.1,1,0)</f>
        <v/>
      </c>
      <c r="BV125" s="34">
        <f>BF125+BG125+BH125+BY125-CA125</f>
        <v/>
      </c>
      <c r="BW125" s="34">
        <f>ABS(BX125)</f>
        <v/>
      </c>
      <c r="BX125" s="34">
        <f>AY125-(J125-L125+N125-Q125+T125-X125)</f>
        <v/>
      </c>
      <c r="BY125" s="34">
        <f>IF(AND(BX125&gt;0,MIN($F125:$G125)&lt;150,$E125="Enerji Açığı"),-100*BX125*1.03,IF(AND(BX125&gt;0,MIN($F125:$G125)&lt;150,$E125="Enerji Fazlası"),-100*BX125*1.06,IF(AND(BX125&gt;0,MIN($F125:$G125)&gt;=150,$E125="Enerji Açığı"),BX125*MIN($F125:$G125)*0.97,IF(AND(BX125&gt;0,MIN($F125:$G125)&gt;=150,$E125="Enerji Fazlası"),BX125*MIN($F125:$G125)*0.94,IF(AND(BX125&lt;0,MAX($F125:$G125)=4500,$E125="Enerji Açığı"),4500*1.05*1.06*BX125,IF(AND(BX125&lt;0,MAX($F125:$G125)=4500,$E125="Enerji Fazlası"),4500*1.05*1.03*BX125,IF(AND(BX125&lt;0,$E125="Enerji Açığı"),MAX($F125,$G125,150)*BX125*1.06,IF(AND(BX125&lt;0,$E125="Enerji Fazlası"),MAX($F125,$G125,150)*BX125*1.03,IF(AND(BX125&lt;0,$E125="Dengede"),MAX($F125:$G125,150)*1.03*BX125,MIN($F125:$G125)*0.97*BX125)))))))))</f>
        <v/>
      </c>
      <c r="BZ125" s="34">
        <f>BE125-BV125-CA125</f>
        <v/>
      </c>
      <c r="CA125" s="34">
        <f>BD125</f>
        <v/>
      </c>
      <c r="CB125" s="33">
        <f>BE125-BV125</f>
        <v/>
      </c>
      <c r="CC125" s="34">
        <f>IF(AY125=0,0,CB125/AY125)</f>
        <v/>
      </c>
      <c r="CD125" s="34">
        <f>MAX((AY125+MAX((-J125+L125-N125+Q125-T125+X125),0)),(MAX((J125-L125+N125-Q125+T125-X125),0)))</f>
        <v/>
      </c>
      <c r="CE125" s="82">
        <f>IFERROR(ABS(BX125/CD125),0)</f>
        <v/>
      </c>
      <c r="CF125" s="34">
        <f>IF(CE125&lt;=0.1,0,BX125/CE125*(CE125-0.1))</f>
        <v/>
      </c>
      <c r="CG125" s="34">
        <f>IF((CF125)&lt;0,MAX(F125:G125)*(CF125)*1.03,MIN(F125:G125)*(CF125)*0.97)</f>
        <v/>
      </c>
      <c r="CH125" s="34">
        <f>IF(CE125&gt;0.1,1,0)</f>
        <v/>
      </c>
      <c r="CI125" s="34">
        <f>(F125*BX125)-BY125</f>
        <v/>
      </c>
      <c r="CJ125" s="34">
        <f>IF(AY125=0,0,CI125/AY125)</f>
        <v/>
      </c>
    </row>
    <row r="126">
      <c r="A126" s="29" t="n">
        <v>46209.125</v>
      </c>
      <c r="B126" s="29" t="inlineStr">
        <is>
          <t>03:00</t>
        </is>
      </c>
      <c r="C126" s="35">
        <f>INT(A126)</f>
        <v/>
      </c>
      <c r="D126" s="36">
        <f>MONTH(A126)</f>
        <v/>
      </c>
      <c r="E126" s="147">
        <f>[1]FİYATLAR!G125</f>
        <v/>
      </c>
      <c r="F126" s="30" t="n">
        <v>1750</v>
      </c>
      <c r="G126" s="30" t="n">
        <v>500</v>
      </c>
      <c r="H126" s="30" t="n">
        <v>37.53</v>
      </c>
      <c r="I126" s="30" t="n">
        <v>1608.9</v>
      </c>
      <c r="J126" s="119" t="n">
        <v>0</v>
      </c>
      <c r="K126" s="34">
        <f>F126*J126</f>
        <v/>
      </c>
      <c r="L126" s="119" t="n">
        <v>0</v>
      </c>
      <c r="M126" s="34">
        <f>L126*F126</f>
        <v/>
      </c>
      <c r="N126" s="119" t="n">
        <v>20</v>
      </c>
      <c r="O126" s="34">
        <f>F126</f>
        <v/>
      </c>
      <c r="P126" s="34">
        <f>N126*O126</f>
        <v/>
      </c>
      <c r="Q126" s="117" t="n">
        <v>0</v>
      </c>
      <c r="R126" s="34">
        <f>F126</f>
        <v/>
      </c>
      <c r="S126" s="34">
        <f>R126*Q126</f>
        <v/>
      </c>
      <c r="T126" s="34">
        <f>SUMIFS('[1]GİP VERİLERİ'!$C:$C,'[1]GİP VERİLERİ'!$B:$B,A126,'[1]GİP VERİLERİ'!$M:$M,"40X000000104782K",'[1]GİP VERİLERİ'!$G:$G,"SELL")</f>
        <v/>
      </c>
      <c r="U126" s="34">
        <f>IFERROR(W126/T126,0)</f>
        <v/>
      </c>
      <c r="V126" s="34">
        <f>IF(U126=0,0,U126-F126)</f>
        <v/>
      </c>
      <c r="W126" s="34">
        <f>SUMIFS('[1]GİP VERİLERİ'!$O:$O,'[1]GİP VERİLERİ'!$B:$B,A126,'[1]GİP VERİLERİ'!$M:$M,"40X000000104782K",'[1]GİP VERİLERİ'!$G:$G,"SELL")</f>
        <v/>
      </c>
      <c r="X126" s="34">
        <f>SUMIFS('[1]GİP VERİLERİ'!$C:$C,'[1]GİP VERİLERİ'!$B:$B,A126,'[1]GİP VERİLERİ'!$M:$M,"40X000000104782K",'[1]GİP VERİLERİ'!$G:$G,"BUY")</f>
        <v/>
      </c>
      <c r="Y126" s="34">
        <f>IFERROR(AA126/X126,0)</f>
        <v/>
      </c>
      <c r="Z126" s="34">
        <f>IF(Y126=0,0,F126-Y126)</f>
        <v/>
      </c>
      <c r="AA126" s="34">
        <f>SUMIFS('[1]GİP VERİLERİ'!$O:$O,'[1]GİP VERİLERİ'!$B:$B,A126,'[1]GİP VERİLERİ'!$M:$M,"40X000000104782K",'[1]GİP VERİLERİ'!$G:$G,"BUY")</f>
        <v/>
      </c>
      <c r="AB126" s="34" t="n">
        <v>0</v>
      </c>
      <c r="AC126" s="34" t="n">
        <v>0</v>
      </c>
      <c r="AD126" s="34">
        <f>IF(AB126&gt;AC126*1.05,AB126-AC126*1.05,IF(AB126&lt;AC126*0.95,AC126*0.95-AB126,0))</f>
        <v/>
      </c>
      <c r="AE126" s="34">
        <f>MAX(F126,G126,750)*0.05*AD126</f>
        <v/>
      </c>
      <c r="AF126" s="34" t="n">
        <v>0</v>
      </c>
      <c r="AG126" s="34">
        <f>IF(AB126&gt;AF126*1.05,AB126-AF126*1.05,IF(AB126&lt;AF126*0.95,AF126*0.95-AB126,0))</f>
        <v/>
      </c>
      <c r="AH126" s="34">
        <f>MAX(I126,J126,750)*0.05*AG126</f>
        <v/>
      </c>
      <c r="AI126" t="n">
        <v>8.09</v>
      </c>
      <c r="AJ126" t="n">
        <v>9</v>
      </c>
      <c r="AK126" s="34">
        <f>IF(AI126&gt;AJ126*1.05,AI126-AJ126*1.05,IF(AI126&lt;AJ126*0.95,AJ126*0.95-AI126,0))</f>
        <v/>
      </c>
      <c r="AL126" s="34">
        <f>MAX(F126,G126,750)*0.05*AK126</f>
        <v/>
      </c>
      <c r="AM126" s="39" t="n">
        <v>9</v>
      </c>
      <c r="AN126" s="34">
        <f>IF(AI126&gt;AM126*1.05,AI126-AM126*1.05,IF(AI126&lt;AM126*0.95,AM126*0.95-AI126,0))</f>
        <v/>
      </c>
      <c r="AO126" s="34">
        <f>MAX(F126,G126,750)*0.05*AN126</f>
        <v/>
      </c>
      <c r="AP126" s="34" t="n">
        <v>12.15</v>
      </c>
      <c r="AQ126" s="34" t="n">
        <v>11</v>
      </c>
      <c r="AR126" s="34">
        <f>IF(AP126&gt;AQ126*1.05,AP126-AQ126*1.05,IF(AP126&lt;AQ126*0.95,AQ126*0.95-AP126,0))</f>
        <v/>
      </c>
      <c r="AS126" s="34">
        <f>MAX(F126:G126,750)*0.05*AR126</f>
        <v/>
      </c>
      <c r="AT126" t="n">
        <v>11</v>
      </c>
      <c r="AU126" s="34">
        <f>IF(AP126&gt;AT126*1.05,AP126-AT126*1.05,IF(AP126&lt;AT126*0.95,AT126*0.95-AP126,0))</f>
        <v/>
      </c>
      <c r="AV126" s="34">
        <f>MAX(F126:G126,750)*0.05*AU126</f>
        <v/>
      </c>
      <c r="AW126" s="34">
        <f>AC126+AJ126+AQ126</f>
        <v/>
      </c>
      <c r="AX126" s="34">
        <f>AF126+AM126+AT126</f>
        <v/>
      </c>
      <c r="AY126" s="34">
        <f>AB126+AI126+AP126</f>
        <v/>
      </c>
      <c r="AZ126" s="34" t="n">
        <v>0</v>
      </c>
      <c r="BA126" s="34">
        <f>AD126+AK126+AR126</f>
        <v/>
      </c>
      <c r="BB126" s="34">
        <f>MAX(F126:G126,750)*0.05*BA126</f>
        <v/>
      </c>
      <c r="BC126" s="34">
        <f>AG126+AN126+AU126</f>
        <v/>
      </c>
      <c r="BD126" s="34">
        <f>MAX(F126:G126,750)*0.05*BC126</f>
        <v/>
      </c>
      <c r="BE126" s="34">
        <f>F126*AY126</f>
        <v/>
      </c>
      <c r="BF126" s="34">
        <f>K126-M126</f>
        <v/>
      </c>
      <c r="BG126" s="34">
        <f>P126-S126</f>
        <v/>
      </c>
      <c r="BH126" s="34">
        <f>W126-AA126</f>
        <v/>
      </c>
      <c r="BI126" s="34">
        <f>BF126+BG126+BL126-BN126</f>
        <v/>
      </c>
      <c r="BJ126" s="34">
        <f>ABS(BK126)</f>
        <v/>
      </c>
      <c r="BK126" s="34">
        <f>AY126-(J126-L126+N126-Q126)</f>
        <v/>
      </c>
      <c r="BL126" s="34">
        <f>IF(AND(BK126&gt;0,MIN($F126:$G126)&lt;150,$E126="Enerji Açığı"),-100*BK126*1.03,IF(AND(BK126&gt;0,MIN($F126:$G126)&lt;150,$E126="Enerji Fazlası"),-100*BK126*1.06,IF(AND(BK126&gt;0,MIN($F126:$G126)&gt;=150,$E126="Enerji Açığı"),BK126*MIN($F126:$G126)*0.97,IF(AND(BK126&gt;0,MIN($F126:$G126)&gt;=150,$E126="Enerji Fazlası"),BK126*MIN($F126:$G126)*0.94,IF(AND(BK126&lt;0,MAX($F126:$G126)=4500,$E126="Enerji Açığı"),4500*1.05*1.06*BK126,IF(AND(BK126&lt;0,MAX($F126:$G126)=4500,$E126="Enerji Fazlası"),4500*1.05*1.03*BK126,IF(AND(BK126&lt;0,$E126="Enerji Açığı"),MAX($F126,$G126,150)*BK126*1.06,IF(AND(BK126&lt;0,$E126="Enerji Fazlası"),MAX($F126,$G126,150)*BK126*1.03,IF(AND(BK126&lt;0,$E126="Dengede"),MAX($F126:$G126,150)*1.03*BK126,MIN($F126:$G126)*0.97*BK126)))))))))</f>
        <v/>
      </c>
      <c r="BM126" s="34">
        <f>BE126-BI126-BN126</f>
        <v/>
      </c>
      <c r="BN126" s="34">
        <f>BB126</f>
        <v/>
      </c>
      <c r="BO126" s="34">
        <f>BE126-BI126</f>
        <v/>
      </c>
      <c r="BP126" s="34">
        <f>IF(AY126=0,0,BO126/AY126)</f>
        <v/>
      </c>
      <c r="BQ126" s="34">
        <f>MAX((AY126+MAX((-J126+L126-N126+Q126),0)),(MAX((J126-L126+N126-Q126),0)))</f>
        <v/>
      </c>
      <c r="BR126" s="82">
        <f>IFERROR(ABS(BK126/BQ126),0)</f>
        <v/>
      </c>
      <c r="BS126" s="34">
        <f>IF(BR126&lt;=0.1,0,BK126/BR126*(BR126-0.1))</f>
        <v/>
      </c>
      <c r="BT126" s="34">
        <f>IF((BS126)&lt;0,MAX(F126:G126)*(BS126)*1.03,MIN(F126:G126)*(BS126)*0.97)</f>
        <v/>
      </c>
      <c r="BU126" s="34">
        <f>IF(BR126&gt;0.1,1,0)</f>
        <v/>
      </c>
      <c r="BV126" s="34">
        <f>BF126+BG126+BH126+BY126-CA126</f>
        <v/>
      </c>
      <c r="BW126" s="34">
        <f>ABS(BX126)</f>
        <v/>
      </c>
      <c r="BX126" s="34">
        <f>AY126-(J126-L126+N126-Q126+T126-X126)</f>
        <v/>
      </c>
      <c r="BY126" s="34">
        <f>IF(AND(BX126&gt;0,MIN($F126:$G126)&lt;150,$E126="Enerji Açığı"),-100*BX126*1.03,IF(AND(BX126&gt;0,MIN($F126:$G126)&lt;150,$E126="Enerji Fazlası"),-100*BX126*1.06,IF(AND(BX126&gt;0,MIN($F126:$G126)&gt;=150,$E126="Enerji Açığı"),BX126*MIN($F126:$G126)*0.97,IF(AND(BX126&gt;0,MIN($F126:$G126)&gt;=150,$E126="Enerji Fazlası"),BX126*MIN($F126:$G126)*0.94,IF(AND(BX126&lt;0,MAX($F126:$G126)=4500,$E126="Enerji Açığı"),4500*1.05*1.06*BX126,IF(AND(BX126&lt;0,MAX($F126:$G126)=4500,$E126="Enerji Fazlası"),4500*1.05*1.03*BX126,IF(AND(BX126&lt;0,$E126="Enerji Açığı"),MAX($F126,$G126,150)*BX126*1.06,IF(AND(BX126&lt;0,$E126="Enerji Fazlası"),MAX($F126,$G126,150)*BX126*1.03,IF(AND(BX126&lt;0,$E126="Dengede"),MAX($F126:$G126,150)*1.03*BX126,MIN($F126:$G126)*0.97*BX126)))))))))</f>
        <v/>
      </c>
      <c r="BZ126" s="34">
        <f>BE126-BV126-CA126</f>
        <v/>
      </c>
      <c r="CA126" s="34">
        <f>BD126</f>
        <v/>
      </c>
      <c r="CB126" s="33">
        <f>BE126-BV126</f>
        <v/>
      </c>
      <c r="CC126" s="34">
        <f>IF(AY126=0,0,CB126/AY126)</f>
        <v/>
      </c>
      <c r="CD126" s="34">
        <f>MAX((AY126+MAX((-J126+L126-N126+Q126-T126+X126),0)),(MAX((J126-L126+N126-Q126+T126-X126),0)))</f>
        <v/>
      </c>
      <c r="CE126" s="82">
        <f>IFERROR(ABS(BX126/CD126),0)</f>
        <v/>
      </c>
      <c r="CF126" s="34">
        <f>IF(CE126&lt;=0.1,0,BX126/CE126*(CE126-0.1))</f>
        <v/>
      </c>
      <c r="CG126" s="34">
        <f>IF((CF126)&lt;0,MAX(F126:G126)*(CF126)*1.03,MIN(F126:G126)*(CF126)*0.97)</f>
        <v/>
      </c>
      <c r="CH126" s="34">
        <f>IF(CE126&gt;0.1,1,0)</f>
        <v/>
      </c>
      <c r="CI126" s="34">
        <f>(F126*BX126)-BY126</f>
        <v/>
      </c>
      <c r="CJ126" s="34">
        <f>IF(AY126=0,0,CI126/AY126)</f>
        <v/>
      </c>
    </row>
    <row r="127">
      <c r="A127" s="29" t="n">
        <v>46209.16666666666</v>
      </c>
      <c r="B127" s="29" t="inlineStr">
        <is>
          <t>04:00</t>
        </is>
      </c>
      <c r="C127" s="35">
        <f>INT(A127)</f>
        <v/>
      </c>
      <c r="D127" s="36">
        <f>MONTH(A127)</f>
        <v/>
      </c>
      <c r="E127" s="147">
        <f>[1]FİYATLAR!G126</f>
        <v/>
      </c>
      <c r="F127" s="30" t="n">
        <v>2425.1</v>
      </c>
      <c r="G127" s="30" t="n">
        <v>500</v>
      </c>
      <c r="H127" s="30" t="n">
        <v>52</v>
      </c>
      <c r="I127" s="30" t="n">
        <v>2103.14</v>
      </c>
      <c r="J127" s="119" t="n">
        <v>0</v>
      </c>
      <c r="K127" s="34">
        <f>F127*J127</f>
        <v/>
      </c>
      <c r="L127" s="119" t="n">
        <v>0</v>
      </c>
      <c r="M127" s="34">
        <f>L127*F127</f>
        <v/>
      </c>
      <c r="N127" s="119" t="n">
        <v>20</v>
      </c>
      <c r="O127" s="34">
        <f>F127</f>
        <v/>
      </c>
      <c r="P127" s="34">
        <f>N127*O127</f>
        <v/>
      </c>
      <c r="Q127" s="117" t="n">
        <v>0</v>
      </c>
      <c r="R127" s="34">
        <f>F127</f>
        <v/>
      </c>
      <c r="S127" s="34">
        <f>R127*Q127</f>
        <v/>
      </c>
      <c r="T127" s="34">
        <f>SUMIFS('[1]GİP VERİLERİ'!$C:$C,'[1]GİP VERİLERİ'!$B:$B,A127,'[1]GİP VERİLERİ'!$M:$M,"40X000000104782K",'[1]GİP VERİLERİ'!$G:$G,"SELL")</f>
        <v/>
      </c>
      <c r="U127" s="34">
        <f>IFERROR(W127/T127,0)</f>
        <v/>
      </c>
      <c r="V127" s="34">
        <f>IF(U127=0,0,U127-F127)</f>
        <v/>
      </c>
      <c r="W127" s="34">
        <f>SUMIFS('[1]GİP VERİLERİ'!$O:$O,'[1]GİP VERİLERİ'!$B:$B,A127,'[1]GİP VERİLERİ'!$M:$M,"40X000000104782K",'[1]GİP VERİLERİ'!$G:$G,"SELL")</f>
        <v/>
      </c>
      <c r="X127" s="34">
        <f>SUMIFS('[1]GİP VERİLERİ'!$C:$C,'[1]GİP VERİLERİ'!$B:$B,A127,'[1]GİP VERİLERİ'!$M:$M,"40X000000104782K",'[1]GİP VERİLERİ'!$G:$G,"BUY")</f>
        <v/>
      </c>
      <c r="Y127" s="34">
        <f>IFERROR(AA127/X127,0)</f>
        <v/>
      </c>
      <c r="Z127" s="34">
        <f>IF(Y127=0,0,F127-Y127)</f>
        <v/>
      </c>
      <c r="AA127" s="34">
        <f>SUMIFS('[1]GİP VERİLERİ'!$O:$O,'[1]GİP VERİLERİ'!$B:$B,A127,'[1]GİP VERİLERİ'!$M:$M,"40X000000104782K",'[1]GİP VERİLERİ'!$G:$G,"BUY")</f>
        <v/>
      </c>
      <c r="AB127" s="34" t="n">
        <v>0</v>
      </c>
      <c r="AC127" s="34" t="n">
        <v>0</v>
      </c>
      <c r="AD127" s="34">
        <f>IF(AB127&gt;AC127*1.05,AB127-AC127*1.05,IF(AB127&lt;AC127*0.95,AC127*0.95-AB127,0))</f>
        <v/>
      </c>
      <c r="AE127" s="34">
        <f>MAX(F127,G127,750)*0.05*AD127</f>
        <v/>
      </c>
      <c r="AF127" s="34" t="n">
        <v>0</v>
      </c>
      <c r="AG127" s="34">
        <f>IF(AB127&gt;AF127*1.05,AB127-AF127*1.05,IF(AB127&lt;AF127*0.95,AF127*0.95-AB127,0))</f>
        <v/>
      </c>
      <c r="AH127" s="34">
        <f>MAX(I127,J127,750)*0.05*AG127</f>
        <v/>
      </c>
      <c r="AI127" t="n">
        <v>9.06</v>
      </c>
      <c r="AJ127" t="n">
        <v>9</v>
      </c>
      <c r="AK127" s="34">
        <f>IF(AI127&gt;AJ127*1.05,AI127-AJ127*1.05,IF(AI127&lt;AJ127*0.95,AJ127*0.95-AI127,0))</f>
        <v/>
      </c>
      <c r="AL127" s="34">
        <f>MAX(F127,G127,750)*0.05*AK127</f>
        <v/>
      </c>
      <c r="AM127" s="39" t="n">
        <v>9</v>
      </c>
      <c r="AN127" s="34">
        <f>IF(AI127&gt;AM127*1.05,AI127-AM127*1.05,IF(AI127&lt;AM127*0.95,AM127*0.95-AI127,0))</f>
        <v/>
      </c>
      <c r="AO127" s="34">
        <f>MAX(F127,G127,750)*0.05*AN127</f>
        <v/>
      </c>
      <c r="AP127" s="34" t="n">
        <v>11.18</v>
      </c>
      <c r="AQ127" s="34" t="n">
        <v>11</v>
      </c>
      <c r="AR127" s="34">
        <f>IF(AP127&gt;AQ127*1.05,AP127-AQ127*1.05,IF(AP127&lt;AQ127*0.95,AQ127*0.95-AP127,0))</f>
        <v/>
      </c>
      <c r="AS127" s="34">
        <f>MAX(F127:G127,750)*0.05*AR127</f>
        <v/>
      </c>
      <c r="AT127" t="n">
        <v>11</v>
      </c>
      <c r="AU127" s="34">
        <f>IF(AP127&gt;AT127*1.05,AP127-AT127*1.05,IF(AP127&lt;AT127*0.95,AT127*0.95-AP127,0))</f>
        <v/>
      </c>
      <c r="AV127" s="34">
        <f>MAX(F127:G127,750)*0.05*AU127</f>
        <v/>
      </c>
      <c r="AW127" s="34">
        <f>AC127+AJ127+AQ127</f>
        <v/>
      </c>
      <c r="AX127" s="34">
        <f>AF127+AM127+AT127</f>
        <v/>
      </c>
      <c r="AY127" s="34">
        <f>AB127+AI127+AP127</f>
        <v/>
      </c>
      <c r="AZ127" s="34" t="n">
        <v>0</v>
      </c>
      <c r="BA127" s="34">
        <f>AD127+AK127+AR127</f>
        <v/>
      </c>
      <c r="BB127" s="34">
        <f>MAX(F127:G127,750)*0.05*BA127</f>
        <v/>
      </c>
      <c r="BC127" s="34">
        <f>AG127+AN127+AU127</f>
        <v/>
      </c>
      <c r="BD127" s="34">
        <f>MAX(F127:G127,750)*0.05*BC127</f>
        <v/>
      </c>
      <c r="BE127" s="34">
        <f>F127*AY127</f>
        <v/>
      </c>
      <c r="BF127" s="34">
        <f>K127-M127</f>
        <v/>
      </c>
      <c r="BG127" s="34">
        <f>P127-S127</f>
        <v/>
      </c>
      <c r="BH127" s="34">
        <f>W127-AA127</f>
        <v/>
      </c>
      <c r="BI127" s="34">
        <f>BF127+BG127+BL127-BN127</f>
        <v/>
      </c>
      <c r="BJ127" s="34">
        <f>ABS(BK127)</f>
        <v/>
      </c>
      <c r="BK127" s="34">
        <f>AY127-(J127-L127+N127-Q127)</f>
        <v/>
      </c>
      <c r="BL127" s="34">
        <f>IF(AND(BK127&gt;0,MIN($F127:$G127)&lt;150,$E127="Enerji Açığı"),-100*BK127*1.03,IF(AND(BK127&gt;0,MIN($F127:$G127)&lt;150,$E127="Enerji Fazlası"),-100*BK127*1.06,IF(AND(BK127&gt;0,MIN($F127:$G127)&gt;=150,$E127="Enerji Açığı"),BK127*MIN($F127:$G127)*0.97,IF(AND(BK127&gt;0,MIN($F127:$G127)&gt;=150,$E127="Enerji Fazlası"),BK127*MIN($F127:$G127)*0.94,IF(AND(BK127&lt;0,MAX($F127:$G127)=4500,$E127="Enerji Açığı"),4500*1.05*1.06*BK127,IF(AND(BK127&lt;0,MAX($F127:$G127)=4500,$E127="Enerji Fazlası"),4500*1.05*1.03*BK127,IF(AND(BK127&lt;0,$E127="Enerji Açığı"),MAX($F127,$G127,150)*BK127*1.06,IF(AND(BK127&lt;0,$E127="Enerji Fazlası"),MAX($F127,$G127,150)*BK127*1.03,IF(AND(BK127&lt;0,$E127="Dengede"),MAX($F127:$G127,150)*1.03*BK127,MIN($F127:$G127)*0.97*BK127)))))))))</f>
        <v/>
      </c>
      <c r="BM127" s="34">
        <f>BE127-BI127-BN127</f>
        <v/>
      </c>
      <c r="BN127" s="34">
        <f>BB127</f>
        <v/>
      </c>
      <c r="BO127" s="34">
        <f>BE127-BI127</f>
        <v/>
      </c>
      <c r="BP127" s="34">
        <f>IF(AY127=0,0,BO127/AY127)</f>
        <v/>
      </c>
      <c r="BQ127" s="34">
        <f>MAX((AY127+MAX((-J127+L127-N127+Q127),0)),(MAX((J127-L127+N127-Q127),0)))</f>
        <v/>
      </c>
      <c r="BR127" s="82">
        <f>IFERROR(ABS(BK127/BQ127),0)</f>
        <v/>
      </c>
      <c r="BS127" s="34">
        <f>IF(BR127&lt;=0.1,0,BK127/BR127*(BR127-0.1))</f>
        <v/>
      </c>
      <c r="BT127" s="34">
        <f>IF((BS127)&lt;0,MAX(F127:G127)*(BS127)*1.03,MIN(F127:G127)*(BS127)*0.97)</f>
        <v/>
      </c>
      <c r="BU127" s="34">
        <f>IF(BR127&gt;0.1,1,0)</f>
        <v/>
      </c>
      <c r="BV127" s="34">
        <f>BF127+BG127+BH127+BY127-CA127</f>
        <v/>
      </c>
      <c r="BW127" s="34">
        <f>ABS(BX127)</f>
        <v/>
      </c>
      <c r="BX127" s="34">
        <f>AY127-(J127-L127+N127-Q127+T127-X127)</f>
        <v/>
      </c>
      <c r="BY127" s="34">
        <f>IF(AND(BX127&gt;0,MIN($F127:$G127)&lt;150,$E127="Enerji Açığı"),-100*BX127*1.03,IF(AND(BX127&gt;0,MIN($F127:$G127)&lt;150,$E127="Enerji Fazlası"),-100*BX127*1.06,IF(AND(BX127&gt;0,MIN($F127:$G127)&gt;=150,$E127="Enerji Açığı"),BX127*MIN($F127:$G127)*0.97,IF(AND(BX127&gt;0,MIN($F127:$G127)&gt;=150,$E127="Enerji Fazlası"),BX127*MIN($F127:$G127)*0.94,IF(AND(BX127&lt;0,MAX($F127:$G127)=4500,$E127="Enerji Açığı"),4500*1.05*1.06*BX127,IF(AND(BX127&lt;0,MAX($F127:$G127)=4500,$E127="Enerji Fazlası"),4500*1.05*1.03*BX127,IF(AND(BX127&lt;0,$E127="Enerji Açığı"),MAX($F127,$G127,150)*BX127*1.06,IF(AND(BX127&lt;0,$E127="Enerji Fazlası"),MAX($F127,$G127,150)*BX127*1.03,IF(AND(BX127&lt;0,$E127="Dengede"),MAX($F127:$G127,150)*1.03*BX127,MIN($F127:$G127)*0.97*BX127)))))))))</f>
        <v/>
      </c>
      <c r="BZ127" s="34">
        <f>BE127-BV127-CA127</f>
        <v/>
      </c>
      <c r="CA127" s="34">
        <f>BD127</f>
        <v/>
      </c>
      <c r="CB127" s="33">
        <f>BE127-BV127</f>
        <v/>
      </c>
      <c r="CC127" s="34">
        <f>IF(AY127=0,0,CB127/AY127)</f>
        <v/>
      </c>
      <c r="CD127" s="34">
        <f>MAX((AY127+MAX((-J127+L127-N127+Q127-T127+X127),0)),(MAX((J127-L127+N127-Q127+T127-X127),0)))</f>
        <v/>
      </c>
      <c r="CE127" s="82">
        <f>IFERROR(ABS(BX127/CD127),0)</f>
        <v/>
      </c>
      <c r="CF127" s="34">
        <f>IF(CE127&lt;=0.1,0,BX127/CE127*(CE127-0.1))</f>
        <v/>
      </c>
      <c r="CG127" s="34">
        <f>IF((CF127)&lt;0,MAX(F127:G127)*(CF127)*1.03,MIN(F127:G127)*(CF127)*0.97)</f>
        <v/>
      </c>
      <c r="CH127" s="34">
        <f>IF(CE127&gt;0.1,1,0)</f>
        <v/>
      </c>
      <c r="CI127" s="34">
        <f>(F127*BX127)-BY127</f>
        <v/>
      </c>
      <c r="CJ127" s="34">
        <f>IF(AY127=0,0,CI127/AY127)</f>
        <v/>
      </c>
    </row>
    <row r="128">
      <c r="A128" s="29" t="n">
        <v>46209.20833333334</v>
      </c>
      <c r="B128" s="29" t="inlineStr">
        <is>
          <t>05:00</t>
        </is>
      </c>
      <c r="C128" s="35">
        <f>INT(A128)</f>
        <v/>
      </c>
      <c r="D128" s="36">
        <f>MONTH(A128)</f>
        <v/>
      </c>
      <c r="E128" s="147">
        <f>[1]FİYATLAR!G127</f>
        <v/>
      </c>
      <c r="F128" s="30" t="n">
        <v>1500</v>
      </c>
      <c r="G128" s="30" t="n">
        <v>487</v>
      </c>
      <c r="H128" s="30" t="n">
        <v>32.17</v>
      </c>
      <c r="I128" s="30" t="n">
        <v>1268.64</v>
      </c>
      <c r="J128" s="119" t="n">
        <v>0</v>
      </c>
      <c r="K128" s="34">
        <f>F128*J128</f>
        <v/>
      </c>
      <c r="L128" s="119" t="n">
        <v>0</v>
      </c>
      <c r="M128" s="34">
        <f>L128*F128</f>
        <v/>
      </c>
      <c r="N128" s="119" t="n">
        <v>20</v>
      </c>
      <c r="O128" s="34">
        <f>F128</f>
        <v/>
      </c>
      <c r="P128" s="34">
        <f>N128*O128</f>
        <v/>
      </c>
      <c r="Q128" s="117" t="n">
        <v>0</v>
      </c>
      <c r="R128" s="34">
        <f>F128</f>
        <v/>
      </c>
      <c r="S128" s="34">
        <f>R128*Q128</f>
        <v/>
      </c>
      <c r="T128" s="34">
        <f>SUMIFS('[1]GİP VERİLERİ'!$C:$C,'[1]GİP VERİLERİ'!$B:$B,A128,'[1]GİP VERİLERİ'!$M:$M,"40X000000104782K",'[1]GİP VERİLERİ'!$G:$G,"SELL")</f>
        <v/>
      </c>
      <c r="U128" s="34">
        <f>IFERROR(W128/T128,0)</f>
        <v/>
      </c>
      <c r="V128" s="34">
        <f>IF(U128=0,0,U128-F128)</f>
        <v/>
      </c>
      <c r="W128" s="34">
        <f>SUMIFS('[1]GİP VERİLERİ'!$O:$O,'[1]GİP VERİLERİ'!$B:$B,A128,'[1]GİP VERİLERİ'!$M:$M,"40X000000104782K",'[1]GİP VERİLERİ'!$G:$G,"SELL")</f>
        <v/>
      </c>
      <c r="X128" s="34">
        <f>SUMIFS('[1]GİP VERİLERİ'!$C:$C,'[1]GİP VERİLERİ'!$B:$B,A128,'[1]GİP VERİLERİ'!$M:$M,"40X000000104782K",'[1]GİP VERİLERİ'!$G:$G,"BUY")</f>
        <v/>
      </c>
      <c r="Y128" s="34">
        <f>IFERROR(AA128/X128,0)</f>
        <v/>
      </c>
      <c r="Z128" s="34">
        <f>IF(Y128=0,0,F128-Y128)</f>
        <v/>
      </c>
      <c r="AA128" s="34">
        <f>SUMIFS('[1]GİP VERİLERİ'!$O:$O,'[1]GİP VERİLERİ'!$B:$B,A128,'[1]GİP VERİLERİ'!$M:$M,"40X000000104782K",'[1]GİP VERİLERİ'!$G:$G,"BUY")</f>
        <v/>
      </c>
      <c r="AB128" s="34" t="n">
        <v>0</v>
      </c>
      <c r="AC128" s="34" t="n">
        <v>0</v>
      </c>
      <c r="AD128" s="34">
        <f>IF(AB128&gt;AC128*1.05,AB128-AC128*1.05,IF(AB128&lt;AC128*0.95,AC128*0.95-AB128,0))</f>
        <v/>
      </c>
      <c r="AE128" s="34">
        <f>MAX(F128,G128,750)*0.05*AD128</f>
        <v/>
      </c>
      <c r="AF128" s="34" t="n">
        <v>0</v>
      </c>
      <c r="AG128" s="34">
        <f>IF(AB128&gt;AF128*1.05,AB128-AF128*1.05,IF(AB128&lt;AF128*0.95,AF128*0.95-AB128,0))</f>
        <v/>
      </c>
      <c r="AH128" s="34">
        <f>MAX(I128,J128,750)*0.05*AG128</f>
        <v/>
      </c>
      <c r="AI128" t="n">
        <v>9.039999999999999</v>
      </c>
      <c r="AJ128" t="n">
        <v>9</v>
      </c>
      <c r="AK128" s="34">
        <f>IF(AI128&gt;AJ128*1.05,AI128-AJ128*1.05,IF(AI128&lt;AJ128*0.95,AJ128*0.95-AI128,0))</f>
        <v/>
      </c>
      <c r="AL128" s="34">
        <f>MAX(F128,G128,750)*0.05*AK128</f>
        <v/>
      </c>
      <c r="AM128" s="39" t="n">
        <v>9</v>
      </c>
      <c r="AN128" s="34">
        <f>IF(AI128&gt;AM128*1.05,AI128-AM128*1.05,IF(AI128&lt;AM128*0.95,AM128*0.95-AI128,0))</f>
        <v/>
      </c>
      <c r="AO128" s="34">
        <f>MAX(F128,G128,750)*0.05*AN128</f>
        <v/>
      </c>
      <c r="AP128" s="34" t="n">
        <v>11.1</v>
      </c>
      <c r="AQ128" s="34" t="n">
        <v>11</v>
      </c>
      <c r="AR128" s="34">
        <f>IF(AP128&gt;AQ128*1.05,AP128-AQ128*1.05,IF(AP128&lt;AQ128*0.95,AQ128*0.95-AP128,0))</f>
        <v/>
      </c>
      <c r="AS128" s="34">
        <f>MAX(F128:G128,750)*0.05*AR128</f>
        <v/>
      </c>
      <c r="AT128" t="n">
        <v>11</v>
      </c>
      <c r="AU128" s="34">
        <f>IF(AP128&gt;AT128*1.05,AP128-AT128*1.05,IF(AP128&lt;AT128*0.95,AT128*0.95-AP128,0))</f>
        <v/>
      </c>
      <c r="AV128" s="34">
        <f>MAX(F128:G128,750)*0.05*AU128</f>
        <v/>
      </c>
      <c r="AW128" s="34">
        <f>AC128+AJ128+AQ128</f>
        <v/>
      </c>
      <c r="AX128" s="34">
        <f>AF128+AM128+AT128</f>
        <v/>
      </c>
      <c r="AY128" s="34">
        <f>AB128+AI128+AP128</f>
        <v/>
      </c>
      <c r="AZ128" s="34" t="n">
        <v>0</v>
      </c>
      <c r="BA128" s="34">
        <f>AD128+AK128+AR128</f>
        <v/>
      </c>
      <c r="BB128" s="34">
        <f>MAX(F128:G128,750)*0.05*BA128</f>
        <v/>
      </c>
      <c r="BC128" s="34">
        <f>AG128+AN128+AU128</f>
        <v/>
      </c>
      <c r="BD128" s="34">
        <f>MAX(F128:G128,750)*0.05*BC128</f>
        <v/>
      </c>
      <c r="BE128" s="34">
        <f>F128*AY128</f>
        <v/>
      </c>
      <c r="BF128" s="34">
        <f>K128-M128</f>
        <v/>
      </c>
      <c r="BG128" s="34">
        <f>P128-S128</f>
        <v/>
      </c>
      <c r="BH128" s="34">
        <f>W128-AA128</f>
        <v/>
      </c>
      <c r="BI128" s="34">
        <f>BF128+BG128+BL128-BN128</f>
        <v/>
      </c>
      <c r="BJ128" s="34">
        <f>ABS(BK128)</f>
        <v/>
      </c>
      <c r="BK128" s="34">
        <f>AY128-(J128-L128+N128-Q128)</f>
        <v/>
      </c>
      <c r="BL128" s="34">
        <f>IF(AND(BK128&gt;0,MIN($F128:$G128)&lt;150,$E128="Enerji Açığı"),-100*BK128*1.03,IF(AND(BK128&gt;0,MIN($F128:$G128)&lt;150,$E128="Enerji Fazlası"),-100*BK128*1.06,IF(AND(BK128&gt;0,MIN($F128:$G128)&gt;=150,$E128="Enerji Açığı"),BK128*MIN($F128:$G128)*0.97,IF(AND(BK128&gt;0,MIN($F128:$G128)&gt;=150,$E128="Enerji Fazlası"),BK128*MIN($F128:$G128)*0.94,IF(AND(BK128&lt;0,MAX($F128:$G128)=4500,$E128="Enerji Açığı"),4500*1.05*1.06*BK128,IF(AND(BK128&lt;0,MAX($F128:$G128)=4500,$E128="Enerji Fazlası"),4500*1.05*1.03*BK128,IF(AND(BK128&lt;0,$E128="Enerji Açığı"),MAX($F128,$G128,150)*BK128*1.06,IF(AND(BK128&lt;0,$E128="Enerji Fazlası"),MAX($F128,$G128,150)*BK128*1.03,IF(AND(BK128&lt;0,$E128="Dengede"),MAX($F128:$G128,150)*1.03*BK128,MIN($F128:$G128)*0.97*BK128)))))))))</f>
        <v/>
      </c>
      <c r="BM128" s="34">
        <f>BE128-BI128-BN128</f>
        <v/>
      </c>
      <c r="BN128" s="34">
        <f>BB128</f>
        <v/>
      </c>
      <c r="BO128" s="34">
        <f>BE128-BI128</f>
        <v/>
      </c>
      <c r="BP128" s="34">
        <f>IF(AY128=0,0,BO128/AY128)</f>
        <v/>
      </c>
      <c r="BQ128" s="34">
        <f>MAX((AY128+MAX((-J128+L128-N128+Q128),0)),(MAX((J128-L128+N128-Q128),0)))</f>
        <v/>
      </c>
      <c r="BR128" s="82">
        <f>IFERROR(ABS(BK128/BQ128),0)</f>
        <v/>
      </c>
      <c r="BS128" s="34">
        <f>IF(BR128&lt;=0.1,0,BK128/BR128*(BR128-0.1))</f>
        <v/>
      </c>
      <c r="BT128" s="34">
        <f>IF((BS128)&lt;0,MAX(F128:G128)*(BS128)*1.03,MIN(F128:G128)*(BS128)*0.97)</f>
        <v/>
      </c>
      <c r="BU128" s="34">
        <f>IF(BR128&gt;0.1,1,0)</f>
        <v/>
      </c>
      <c r="BV128" s="34">
        <f>BF128+BG128+BH128+BY128-CA128</f>
        <v/>
      </c>
      <c r="BW128" s="34">
        <f>ABS(BX128)</f>
        <v/>
      </c>
      <c r="BX128" s="34">
        <f>AY128-(J128-L128+N128-Q128+T128-X128)</f>
        <v/>
      </c>
      <c r="BY128" s="34">
        <f>IF(AND(BX128&gt;0,MIN($F128:$G128)&lt;150,$E128="Enerji Açığı"),-100*BX128*1.03,IF(AND(BX128&gt;0,MIN($F128:$G128)&lt;150,$E128="Enerji Fazlası"),-100*BX128*1.06,IF(AND(BX128&gt;0,MIN($F128:$G128)&gt;=150,$E128="Enerji Açığı"),BX128*MIN($F128:$G128)*0.97,IF(AND(BX128&gt;0,MIN($F128:$G128)&gt;=150,$E128="Enerji Fazlası"),BX128*MIN($F128:$G128)*0.94,IF(AND(BX128&lt;0,MAX($F128:$G128)=4500,$E128="Enerji Açığı"),4500*1.05*1.06*BX128,IF(AND(BX128&lt;0,MAX($F128:$G128)=4500,$E128="Enerji Fazlası"),4500*1.05*1.03*BX128,IF(AND(BX128&lt;0,$E128="Enerji Açığı"),MAX($F128,$G128,150)*BX128*1.06,IF(AND(BX128&lt;0,$E128="Enerji Fazlası"),MAX($F128,$G128,150)*BX128*1.03,IF(AND(BX128&lt;0,$E128="Dengede"),MAX($F128:$G128,150)*1.03*BX128,MIN($F128:$G128)*0.97*BX128)))))))))</f>
        <v/>
      </c>
      <c r="BZ128" s="34">
        <f>BE128-BV128-CA128</f>
        <v/>
      </c>
      <c r="CA128" s="34">
        <f>BD128</f>
        <v/>
      </c>
      <c r="CB128" s="33">
        <f>BE128-BV128</f>
        <v/>
      </c>
      <c r="CC128" s="34">
        <f>IF(AY128=0,0,CB128/AY128)</f>
        <v/>
      </c>
      <c r="CD128" s="34">
        <f>MAX((AY128+MAX((-J128+L128-N128+Q128-T128+X128),0)),(MAX((J128-L128+N128-Q128+T128-X128),0)))</f>
        <v/>
      </c>
      <c r="CE128" s="82">
        <f>IFERROR(ABS(BX128/CD128),0)</f>
        <v/>
      </c>
      <c r="CF128" s="34">
        <f>IF(CE128&lt;=0.1,0,BX128/CE128*(CE128-0.1))</f>
        <v/>
      </c>
      <c r="CG128" s="34">
        <f>IF((CF128)&lt;0,MAX(F128:G128)*(CF128)*1.03,MIN(F128:G128)*(CF128)*0.97)</f>
        <v/>
      </c>
      <c r="CH128" s="34">
        <f>IF(CE128&gt;0.1,1,0)</f>
        <v/>
      </c>
      <c r="CI128" s="34">
        <f>(F128*BX128)-BY128</f>
        <v/>
      </c>
      <c r="CJ128" s="34">
        <f>IF(AY128=0,0,CI128/AY128)</f>
        <v/>
      </c>
    </row>
    <row r="129">
      <c r="A129" s="29" t="n">
        <v>46209.25</v>
      </c>
      <c r="B129" s="29" t="inlineStr">
        <is>
          <t>06:00</t>
        </is>
      </c>
      <c r="C129" s="35">
        <f>INT(A129)</f>
        <v/>
      </c>
      <c r="D129" s="36">
        <f>MONTH(A129)</f>
        <v/>
      </c>
      <c r="E129" s="147">
        <f>[1]FİYATLAR!G128</f>
        <v/>
      </c>
      <c r="F129" s="30" t="n">
        <v>1500</v>
      </c>
      <c r="G129" s="30" t="n">
        <v>200</v>
      </c>
      <c r="H129" s="30" t="n">
        <v>32.17</v>
      </c>
      <c r="I129" s="30" t="n">
        <v>1319.74</v>
      </c>
      <c r="J129" s="119" t="n">
        <v>0</v>
      </c>
      <c r="K129" s="34">
        <f>F129*J129</f>
        <v/>
      </c>
      <c r="L129" s="119" t="n">
        <v>0</v>
      </c>
      <c r="M129" s="34">
        <f>L129*F129</f>
        <v/>
      </c>
      <c r="N129" s="119" t="n">
        <v>22.2</v>
      </c>
      <c r="O129" s="34">
        <f>F129</f>
        <v/>
      </c>
      <c r="P129" s="34">
        <f>N129*O129</f>
        <v/>
      </c>
      <c r="Q129" s="117" t="n">
        <v>0</v>
      </c>
      <c r="R129" s="34">
        <f>F129</f>
        <v/>
      </c>
      <c r="S129" s="34">
        <f>R129*Q129</f>
        <v/>
      </c>
      <c r="T129" s="34">
        <f>SUMIFS('[1]GİP VERİLERİ'!$C:$C,'[1]GİP VERİLERİ'!$B:$B,A129,'[1]GİP VERİLERİ'!$M:$M,"40X000000104782K",'[1]GİP VERİLERİ'!$G:$G,"SELL")</f>
        <v/>
      </c>
      <c r="U129" s="34">
        <f>IFERROR(W129/T129,0)</f>
        <v/>
      </c>
      <c r="V129" s="34">
        <f>IF(U129=0,0,U129-F129)</f>
        <v/>
      </c>
      <c r="W129" s="34">
        <f>SUMIFS('[1]GİP VERİLERİ'!$O:$O,'[1]GİP VERİLERİ'!$B:$B,A129,'[1]GİP VERİLERİ'!$M:$M,"40X000000104782K",'[1]GİP VERİLERİ'!$G:$G,"SELL")</f>
        <v/>
      </c>
      <c r="X129" s="34">
        <f>SUMIFS('[1]GİP VERİLERİ'!$C:$C,'[1]GİP VERİLERİ'!$B:$B,A129,'[1]GİP VERİLERİ'!$M:$M,"40X000000104782K",'[1]GİP VERİLERİ'!$G:$G,"BUY")</f>
        <v/>
      </c>
      <c r="Y129" s="34">
        <f>IFERROR(AA129/X129,0)</f>
        <v/>
      </c>
      <c r="Z129" s="34">
        <f>IF(Y129=0,0,F129-Y129)</f>
        <v/>
      </c>
      <c r="AA129" s="34">
        <f>SUMIFS('[1]GİP VERİLERİ'!$O:$O,'[1]GİP VERİLERİ'!$B:$B,A129,'[1]GİP VERİLERİ'!$M:$M,"40X000000104782K",'[1]GİP VERİLERİ'!$G:$G,"BUY")</f>
        <v/>
      </c>
      <c r="AB129" s="34" t="n">
        <v>0</v>
      </c>
      <c r="AC129" s="34" t="n">
        <v>0</v>
      </c>
      <c r="AD129" s="34">
        <f>IF(AB129&gt;AC129*1.05,AB129-AC129*1.05,IF(AB129&lt;AC129*0.95,AC129*0.95-AB129,0))</f>
        <v/>
      </c>
      <c r="AE129" s="34">
        <f>MAX(F129,G129,750)*0.05*AD129</f>
        <v/>
      </c>
      <c r="AF129" s="34" t="n">
        <v>0</v>
      </c>
      <c r="AG129" s="34">
        <f>IF(AB129&gt;AF129*1.05,AB129-AF129*1.05,IF(AB129&lt;AF129*0.95,AF129*0.95-AB129,0))</f>
        <v/>
      </c>
      <c r="AH129" s="34">
        <f>MAX(I129,J129,750)*0.05*AG129</f>
        <v/>
      </c>
      <c r="AI129" t="n">
        <v>10.31</v>
      </c>
      <c r="AJ129" t="n">
        <v>9</v>
      </c>
      <c r="AK129" s="34">
        <f>IF(AI129&gt;AJ129*1.05,AI129-AJ129*1.05,IF(AI129&lt;AJ129*0.95,AJ129*0.95-AI129,0))</f>
        <v/>
      </c>
      <c r="AL129" s="34">
        <f>MAX(F129,G129,750)*0.05*AK129</f>
        <v/>
      </c>
      <c r="AM129" s="39" t="n">
        <v>9</v>
      </c>
      <c r="AN129" s="34">
        <f>IF(AI129&gt;AM129*1.05,AI129-AM129*1.05,IF(AI129&lt;AM129*0.95,AM129*0.95-AI129,0))</f>
        <v/>
      </c>
      <c r="AO129" s="34">
        <f>MAX(F129,G129,750)*0.05*AN129</f>
        <v/>
      </c>
      <c r="AP129" s="34" t="n">
        <v>12.17</v>
      </c>
      <c r="AQ129" s="34" t="n">
        <v>13.2</v>
      </c>
      <c r="AR129" s="34">
        <f>IF(AP129&gt;AQ129*1.05,AP129-AQ129*1.05,IF(AP129&lt;AQ129*0.95,AQ129*0.95-AP129,0))</f>
        <v/>
      </c>
      <c r="AS129" s="34">
        <f>MAX(F129:G129,750)*0.05*AR129</f>
        <v/>
      </c>
      <c r="AT129" t="n">
        <v>13.2</v>
      </c>
      <c r="AU129" s="34">
        <f>IF(AP129&gt;AT129*1.05,AP129-AT129*1.05,IF(AP129&lt;AT129*0.95,AT129*0.95-AP129,0))</f>
        <v/>
      </c>
      <c r="AV129" s="34">
        <f>MAX(F129:G129,750)*0.05*AU129</f>
        <v/>
      </c>
      <c r="AW129" s="34">
        <f>AC129+AJ129+AQ129</f>
        <v/>
      </c>
      <c r="AX129" s="34">
        <f>AF129+AM129+AT129</f>
        <v/>
      </c>
      <c r="AY129" s="34">
        <f>AB129+AI129+AP129</f>
        <v/>
      </c>
      <c r="AZ129" s="34" t="n">
        <v>0</v>
      </c>
      <c r="BA129" s="34">
        <f>AD129+AK129+AR129</f>
        <v/>
      </c>
      <c r="BB129" s="34">
        <f>MAX(F129:G129,750)*0.05*BA129</f>
        <v/>
      </c>
      <c r="BC129" s="34">
        <f>AG129+AN129+AU129</f>
        <v/>
      </c>
      <c r="BD129" s="34">
        <f>MAX(F129:G129,750)*0.05*BC129</f>
        <v/>
      </c>
      <c r="BE129" s="34">
        <f>F129*AY129</f>
        <v/>
      </c>
      <c r="BF129" s="34">
        <f>K129-M129</f>
        <v/>
      </c>
      <c r="BG129" s="34">
        <f>P129-S129</f>
        <v/>
      </c>
      <c r="BH129" s="34">
        <f>W129-AA129</f>
        <v/>
      </c>
      <c r="BI129" s="34">
        <f>BF129+BG129+BL129-BN129</f>
        <v/>
      </c>
      <c r="BJ129" s="34">
        <f>ABS(BK129)</f>
        <v/>
      </c>
      <c r="BK129" s="34">
        <f>AY129-(J129-L129+N129-Q129)</f>
        <v/>
      </c>
      <c r="BL129" s="34">
        <f>IF(AND(BK129&gt;0,MIN($F129:$G129)&lt;150,$E129="Enerji Açığı"),-100*BK129*1.03,IF(AND(BK129&gt;0,MIN($F129:$G129)&lt;150,$E129="Enerji Fazlası"),-100*BK129*1.06,IF(AND(BK129&gt;0,MIN($F129:$G129)&gt;=150,$E129="Enerji Açığı"),BK129*MIN($F129:$G129)*0.97,IF(AND(BK129&gt;0,MIN($F129:$G129)&gt;=150,$E129="Enerji Fazlası"),BK129*MIN($F129:$G129)*0.94,IF(AND(BK129&lt;0,MAX($F129:$G129)=4500,$E129="Enerji Açığı"),4500*1.05*1.06*BK129,IF(AND(BK129&lt;0,MAX($F129:$G129)=4500,$E129="Enerji Fazlası"),4500*1.05*1.03*BK129,IF(AND(BK129&lt;0,$E129="Enerji Açığı"),MAX($F129,$G129,150)*BK129*1.06,IF(AND(BK129&lt;0,$E129="Enerji Fazlası"),MAX($F129,$G129,150)*BK129*1.03,IF(AND(BK129&lt;0,$E129="Dengede"),MAX($F129:$G129,150)*1.03*BK129,MIN($F129:$G129)*0.97*BK129)))))))))</f>
        <v/>
      </c>
      <c r="BM129" s="34">
        <f>BE129-BI129-BN129</f>
        <v/>
      </c>
      <c r="BN129" s="34">
        <f>BB129</f>
        <v/>
      </c>
      <c r="BO129" s="34">
        <f>BE129-BI129</f>
        <v/>
      </c>
      <c r="BP129" s="34">
        <f>IF(AY129=0,0,BO129/AY129)</f>
        <v/>
      </c>
      <c r="BQ129" s="34">
        <f>MAX((AY129+MAX((-J129+L129-N129+Q129),0)),(MAX((J129-L129+N129-Q129),0)))</f>
        <v/>
      </c>
      <c r="BR129" s="82">
        <f>IFERROR(ABS(BK129/BQ129),0)</f>
        <v/>
      </c>
      <c r="BS129" s="34">
        <f>IF(BR129&lt;=0.1,0,BK129/BR129*(BR129-0.1))</f>
        <v/>
      </c>
      <c r="BT129" s="34">
        <f>IF((BS129)&lt;0,MAX(F129:G129)*(BS129)*1.03,MIN(F129:G129)*(BS129)*0.97)</f>
        <v/>
      </c>
      <c r="BU129" s="34">
        <f>IF(BR129&gt;0.1,1,0)</f>
        <v/>
      </c>
      <c r="BV129" s="34">
        <f>BF129+BG129+BH129+BY129-CA129</f>
        <v/>
      </c>
      <c r="BW129" s="34">
        <f>ABS(BX129)</f>
        <v/>
      </c>
      <c r="BX129" s="34">
        <f>AY129-(J129-L129+N129-Q129+T129-X129)</f>
        <v/>
      </c>
      <c r="BY129" s="34">
        <f>IF(AND(BX129&gt;0,MIN($F129:$G129)&lt;150,$E129="Enerji Açığı"),-100*BX129*1.03,IF(AND(BX129&gt;0,MIN($F129:$G129)&lt;150,$E129="Enerji Fazlası"),-100*BX129*1.06,IF(AND(BX129&gt;0,MIN($F129:$G129)&gt;=150,$E129="Enerji Açığı"),BX129*MIN($F129:$G129)*0.97,IF(AND(BX129&gt;0,MIN($F129:$G129)&gt;=150,$E129="Enerji Fazlası"),BX129*MIN($F129:$G129)*0.94,IF(AND(BX129&lt;0,MAX($F129:$G129)=4500,$E129="Enerji Açığı"),4500*1.05*1.06*BX129,IF(AND(BX129&lt;0,MAX($F129:$G129)=4500,$E129="Enerji Fazlası"),4500*1.05*1.03*BX129,IF(AND(BX129&lt;0,$E129="Enerji Açığı"),MAX($F129,$G129,150)*BX129*1.06,IF(AND(BX129&lt;0,$E129="Enerji Fazlası"),MAX($F129,$G129,150)*BX129*1.03,IF(AND(BX129&lt;0,$E129="Dengede"),MAX($F129:$G129,150)*1.03*BX129,MIN($F129:$G129)*0.97*BX129)))))))))</f>
        <v/>
      </c>
      <c r="BZ129" s="34">
        <f>BE129-BV129-CA129</f>
        <v/>
      </c>
      <c r="CA129" s="34">
        <f>BD129</f>
        <v/>
      </c>
      <c r="CB129" s="33">
        <f>BE129-BV129</f>
        <v/>
      </c>
      <c r="CC129" s="34">
        <f>IF(AY129=0,0,CB129/AY129)</f>
        <v/>
      </c>
      <c r="CD129" s="34">
        <f>MAX((AY129+MAX((-J129+L129-N129+Q129-T129+X129),0)),(MAX((J129-L129+N129-Q129+T129-X129),0)))</f>
        <v/>
      </c>
      <c r="CE129" s="82">
        <f>IFERROR(ABS(BX129/CD129),0)</f>
        <v/>
      </c>
      <c r="CF129" s="34">
        <f>IF(CE129&lt;=0.1,0,BX129/CE129*(CE129-0.1))</f>
        <v/>
      </c>
      <c r="CG129" s="34">
        <f>IF((CF129)&lt;0,MAX(F129:G129)*(CF129)*1.03,MIN(F129:G129)*(CF129)*0.97)</f>
        <v/>
      </c>
      <c r="CH129" s="34">
        <f>IF(CE129&gt;0.1,1,0)</f>
        <v/>
      </c>
      <c r="CI129" s="34">
        <f>(F129*BX129)-BY129</f>
        <v/>
      </c>
      <c r="CJ129" s="34">
        <f>IF(AY129=0,0,CI129/AY129)</f>
        <v/>
      </c>
    </row>
    <row r="130">
      <c r="A130" s="29" t="n">
        <v>46209.29166666666</v>
      </c>
      <c r="B130" s="29" t="inlineStr">
        <is>
          <t>07:00</t>
        </is>
      </c>
      <c r="C130" s="35">
        <f>INT(A130)</f>
        <v/>
      </c>
      <c r="D130" s="36">
        <f>MONTH(A130)</f>
        <v/>
      </c>
      <c r="E130" s="147">
        <f>[1]FİYATLAR!G129</f>
        <v/>
      </c>
      <c r="F130" s="30" t="n">
        <v>800</v>
      </c>
      <c r="G130" s="30" t="n">
        <v>200</v>
      </c>
      <c r="H130" s="30" t="n">
        <v>17.15</v>
      </c>
      <c r="I130" s="30" t="n">
        <v>545.35</v>
      </c>
      <c r="J130" s="119" t="n">
        <v>0</v>
      </c>
      <c r="K130" s="34">
        <f>F130*J130</f>
        <v/>
      </c>
      <c r="L130" s="119" t="n">
        <v>0</v>
      </c>
      <c r="M130" s="34">
        <f>L130*F130</f>
        <v/>
      </c>
      <c r="N130" s="119" t="n">
        <v>22.5</v>
      </c>
      <c r="O130" s="34">
        <f>F130</f>
        <v/>
      </c>
      <c r="P130" s="34">
        <f>N130*O130</f>
        <v/>
      </c>
      <c r="Q130" s="117" t="n">
        <v>0</v>
      </c>
      <c r="R130" s="34">
        <f>F130</f>
        <v/>
      </c>
      <c r="S130" s="34">
        <f>R130*Q130</f>
        <v/>
      </c>
      <c r="T130" s="34">
        <f>SUMIFS('[1]GİP VERİLERİ'!$C:$C,'[1]GİP VERİLERİ'!$B:$B,A130,'[1]GİP VERİLERİ'!$M:$M,"40X000000104782K",'[1]GİP VERİLERİ'!$G:$G,"SELL")</f>
        <v/>
      </c>
      <c r="U130" s="34">
        <f>IFERROR(W130/T130,0)</f>
        <v/>
      </c>
      <c r="V130" s="34">
        <f>IF(U130=0,0,U130-F130)</f>
        <v/>
      </c>
      <c r="W130" s="34">
        <f>SUMIFS('[1]GİP VERİLERİ'!$O:$O,'[1]GİP VERİLERİ'!$B:$B,A130,'[1]GİP VERİLERİ'!$M:$M,"40X000000104782K",'[1]GİP VERİLERİ'!$G:$G,"SELL")</f>
        <v/>
      </c>
      <c r="X130" s="34">
        <f>SUMIFS('[1]GİP VERİLERİ'!$C:$C,'[1]GİP VERİLERİ'!$B:$B,A130,'[1]GİP VERİLERİ'!$M:$M,"40X000000104782K",'[1]GİP VERİLERİ'!$G:$G,"BUY")</f>
        <v/>
      </c>
      <c r="Y130" s="34">
        <f>IFERROR(AA130/X130,0)</f>
        <v/>
      </c>
      <c r="Z130" s="34">
        <f>IF(Y130=0,0,F130-Y130)</f>
        <v/>
      </c>
      <c r="AA130" s="34">
        <f>SUMIFS('[1]GİP VERİLERİ'!$O:$O,'[1]GİP VERİLERİ'!$B:$B,A130,'[1]GİP VERİLERİ'!$M:$M,"40X000000104782K",'[1]GİP VERİLERİ'!$G:$G,"BUY")</f>
        <v/>
      </c>
      <c r="AB130" s="34" t="n">
        <v>0</v>
      </c>
      <c r="AC130" s="34" t="n">
        <v>0</v>
      </c>
      <c r="AD130" s="34">
        <f>IF(AB130&gt;AC130*1.05,AB130-AC130*1.05,IF(AB130&lt;AC130*0.95,AC130*0.95-AB130,0))</f>
        <v/>
      </c>
      <c r="AE130" s="34">
        <f>MAX(F130,G130,750)*0.05*AD130</f>
        <v/>
      </c>
      <c r="AF130" s="34" t="n">
        <v>0</v>
      </c>
      <c r="AG130" s="34">
        <f>IF(AB130&gt;AF130*1.05,AB130-AF130*1.05,IF(AB130&lt;AF130*0.95,AF130*0.95-AB130,0))</f>
        <v/>
      </c>
      <c r="AH130" s="34">
        <f>MAX(I130,J130,750)*0.05*AG130</f>
        <v/>
      </c>
      <c r="AI130" t="n">
        <v>9.68</v>
      </c>
      <c r="AJ130" t="n">
        <v>9</v>
      </c>
      <c r="AK130" s="34">
        <f>IF(AI130&gt;AJ130*1.05,AI130-AJ130*1.05,IF(AI130&lt;AJ130*0.95,AJ130*0.95-AI130,0))</f>
        <v/>
      </c>
      <c r="AL130" s="34">
        <f>MAX(F130,G130,750)*0.05*AK130</f>
        <v/>
      </c>
      <c r="AM130" s="39" t="n">
        <v>9</v>
      </c>
      <c r="AN130" s="34">
        <f>IF(AI130&gt;AM130*1.05,AI130-AM130*1.05,IF(AI130&lt;AM130*0.95,AM130*0.95-AI130,0))</f>
        <v/>
      </c>
      <c r="AO130" s="34">
        <f>MAX(F130,G130,750)*0.05*AN130</f>
        <v/>
      </c>
      <c r="AP130" s="34" t="n">
        <v>13.22</v>
      </c>
      <c r="AQ130" s="34" t="n">
        <v>13.5</v>
      </c>
      <c r="AR130" s="34">
        <f>IF(AP130&gt;AQ130*1.05,AP130-AQ130*1.05,IF(AP130&lt;AQ130*0.95,AQ130*0.95-AP130,0))</f>
        <v/>
      </c>
      <c r="AS130" s="34">
        <f>MAX(F130:G130,750)*0.05*AR130</f>
        <v/>
      </c>
      <c r="AT130" t="n">
        <v>13.5</v>
      </c>
      <c r="AU130" s="34">
        <f>IF(AP130&gt;AT130*1.05,AP130-AT130*1.05,IF(AP130&lt;AT130*0.95,AT130*0.95-AP130,0))</f>
        <v/>
      </c>
      <c r="AV130" s="34">
        <f>MAX(F130:G130,750)*0.05*AU130</f>
        <v/>
      </c>
      <c r="AW130" s="34">
        <f>AC130+AJ130+AQ130</f>
        <v/>
      </c>
      <c r="AX130" s="34">
        <f>AF130+AM130+AT130</f>
        <v/>
      </c>
      <c r="AY130" s="34">
        <f>AB130+AI130+AP130</f>
        <v/>
      </c>
      <c r="AZ130" s="34" t="n">
        <v>0</v>
      </c>
      <c r="BA130" s="34">
        <f>AD130+AK130+AR130</f>
        <v/>
      </c>
      <c r="BB130" s="34">
        <f>MAX(F130:G130,750)*0.05*BA130</f>
        <v/>
      </c>
      <c r="BC130" s="34">
        <f>AG130+AN130+AU130</f>
        <v/>
      </c>
      <c r="BD130" s="34">
        <f>MAX(F130:G130,750)*0.05*BC130</f>
        <v/>
      </c>
      <c r="BE130" s="34">
        <f>F130*AY130</f>
        <v/>
      </c>
      <c r="BF130" s="34">
        <f>K130-M130</f>
        <v/>
      </c>
      <c r="BG130" s="34">
        <f>P130-S130</f>
        <v/>
      </c>
      <c r="BH130" s="34">
        <f>W130-AA130</f>
        <v/>
      </c>
      <c r="BI130" s="34">
        <f>BF130+BG130+BL130-BN130</f>
        <v/>
      </c>
      <c r="BJ130" s="34">
        <f>ABS(BK130)</f>
        <v/>
      </c>
      <c r="BK130" s="34">
        <f>AY130-(J130-L130+N130-Q130)</f>
        <v/>
      </c>
      <c r="BL130" s="34">
        <f>IF(AND(BK130&gt;0,MIN($F130:$G130)&lt;150,$E130="Enerji Açığı"),-100*BK130*1.03,IF(AND(BK130&gt;0,MIN($F130:$G130)&lt;150,$E130="Enerji Fazlası"),-100*BK130*1.06,IF(AND(BK130&gt;0,MIN($F130:$G130)&gt;=150,$E130="Enerji Açığı"),BK130*MIN($F130:$G130)*0.97,IF(AND(BK130&gt;0,MIN($F130:$G130)&gt;=150,$E130="Enerji Fazlası"),BK130*MIN($F130:$G130)*0.94,IF(AND(BK130&lt;0,MAX($F130:$G130)=4500,$E130="Enerji Açığı"),4500*1.05*1.06*BK130,IF(AND(BK130&lt;0,MAX($F130:$G130)=4500,$E130="Enerji Fazlası"),4500*1.05*1.03*BK130,IF(AND(BK130&lt;0,$E130="Enerji Açığı"),MAX($F130,$G130,150)*BK130*1.06,IF(AND(BK130&lt;0,$E130="Enerji Fazlası"),MAX($F130,$G130,150)*BK130*1.03,IF(AND(BK130&lt;0,$E130="Dengede"),MAX($F130:$G130,150)*1.03*BK130,MIN($F130:$G130)*0.97*BK130)))))))))</f>
        <v/>
      </c>
      <c r="BM130" s="34">
        <f>BE130-BI130-BN130</f>
        <v/>
      </c>
      <c r="BN130" s="34">
        <f>BB130</f>
        <v/>
      </c>
      <c r="BO130" s="34">
        <f>BE130-BI130</f>
        <v/>
      </c>
      <c r="BP130" s="34">
        <f>IF(AY130=0,0,BO130/AY130)</f>
        <v/>
      </c>
      <c r="BQ130" s="34">
        <f>MAX((AY130+MAX((-J130+L130-N130+Q130),0)),(MAX((J130-L130+N130-Q130),0)))</f>
        <v/>
      </c>
      <c r="BR130" s="82">
        <f>IFERROR(ABS(BK130/BQ130),0)</f>
        <v/>
      </c>
      <c r="BS130" s="34">
        <f>IF(BR130&lt;=0.1,0,BK130/BR130*(BR130-0.1))</f>
        <v/>
      </c>
      <c r="BT130" s="34">
        <f>IF((BS130)&lt;0,MAX(F130:G130)*(BS130)*1.03,MIN(F130:G130)*(BS130)*0.97)</f>
        <v/>
      </c>
      <c r="BU130" s="34">
        <f>IF(BR130&gt;0.1,1,0)</f>
        <v/>
      </c>
      <c r="BV130" s="34">
        <f>BF130+BG130+BH130+BY130-CA130</f>
        <v/>
      </c>
      <c r="BW130" s="34">
        <f>ABS(BX130)</f>
        <v/>
      </c>
      <c r="BX130" s="34">
        <f>AY130-(J130-L130+N130-Q130+T130-X130)</f>
        <v/>
      </c>
      <c r="BY130" s="34">
        <f>IF(AND(BX130&gt;0,MIN($F130:$G130)&lt;150,$E130="Enerji Açığı"),-100*BX130*1.03,IF(AND(BX130&gt;0,MIN($F130:$G130)&lt;150,$E130="Enerji Fazlası"),-100*BX130*1.06,IF(AND(BX130&gt;0,MIN($F130:$G130)&gt;=150,$E130="Enerji Açığı"),BX130*MIN($F130:$G130)*0.97,IF(AND(BX130&gt;0,MIN($F130:$G130)&gt;=150,$E130="Enerji Fazlası"),BX130*MIN($F130:$G130)*0.94,IF(AND(BX130&lt;0,MAX($F130:$G130)=4500,$E130="Enerji Açığı"),4500*1.05*1.06*BX130,IF(AND(BX130&lt;0,MAX($F130:$G130)=4500,$E130="Enerji Fazlası"),4500*1.05*1.03*BX130,IF(AND(BX130&lt;0,$E130="Enerji Açığı"),MAX($F130,$G130,150)*BX130*1.06,IF(AND(BX130&lt;0,$E130="Enerji Fazlası"),MAX($F130,$G130,150)*BX130*1.03,IF(AND(BX130&lt;0,$E130="Dengede"),MAX($F130:$G130,150)*1.03*BX130,MIN($F130:$G130)*0.97*BX130)))))))))</f>
        <v/>
      </c>
      <c r="BZ130" s="34">
        <f>BE130-BV130-CA130</f>
        <v/>
      </c>
      <c r="CA130" s="34">
        <f>BD130</f>
        <v/>
      </c>
      <c r="CB130" s="33">
        <f>BE130-BV130</f>
        <v/>
      </c>
      <c r="CC130" s="34">
        <f>IF(AY130=0,0,CB130/AY130)</f>
        <v/>
      </c>
      <c r="CD130" s="34">
        <f>MAX((AY130+MAX((-J130+L130-N130+Q130-T130+X130),0)),(MAX((J130-L130+N130-Q130+T130-X130),0)))</f>
        <v/>
      </c>
      <c r="CE130" s="82">
        <f>IFERROR(ABS(BX130/CD130),0)</f>
        <v/>
      </c>
      <c r="CF130" s="34">
        <f>IF(CE130&lt;=0.1,0,BX130/CE130*(CE130-0.1))</f>
        <v/>
      </c>
      <c r="CG130" s="34">
        <f>IF((CF130)&lt;0,MAX(F130:G130)*(CF130)*1.03,MIN(F130:G130)*(CF130)*0.97)</f>
        <v/>
      </c>
      <c r="CH130" s="34">
        <f>IF(CE130&gt;0.1,1,0)</f>
        <v/>
      </c>
      <c r="CI130" s="34">
        <f>(F130*BX130)-BY130</f>
        <v/>
      </c>
      <c r="CJ130" s="34">
        <f>IF(AY130=0,0,CI130/AY130)</f>
        <v/>
      </c>
    </row>
    <row r="131">
      <c r="A131" s="29" t="n">
        <v>46209.33333333334</v>
      </c>
      <c r="B131" s="29" t="inlineStr">
        <is>
          <t>08:00</t>
        </is>
      </c>
      <c r="C131" s="35">
        <f>INT(A131)</f>
        <v/>
      </c>
      <c r="D131" s="36">
        <f>MONTH(A131)</f>
        <v/>
      </c>
      <c r="E131" s="147">
        <f>[1]FİYATLAR!G130</f>
        <v/>
      </c>
      <c r="F131" s="30" t="n">
        <v>2999</v>
      </c>
      <c r="G131" s="30" t="n">
        <v>1499</v>
      </c>
      <c r="H131" s="30" t="n">
        <v>64.31</v>
      </c>
      <c r="I131" s="30" t="n">
        <v>2703.57</v>
      </c>
      <c r="J131" s="119" t="n">
        <v>0</v>
      </c>
      <c r="K131" s="34">
        <f>F131*J131</f>
        <v/>
      </c>
      <c r="L131" s="119" t="n">
        <v>0</v>
      </c>
      <c r="M131" s="34">
        <f>L131*F131</f>
        <v/>
      </c>
      <c r="N131" s="119" t="n">
        <v>24</v>
      </c>
      <c r="O131" s="34">
        <f>F131</f>
        <v/>
      </c>
      <c r="P131" s="34">
        <f>N131*O131</f>
        <v/>
      </c>
      <c r="Q131" s="117" t="n">
        <v>0</v>
      </c>
      <c r="R131" s="34">
        <f>F131</f>
        <v/>
      </c>
      <c r="S131" s="34">
        <f>R131*Q131</f>
        <v/>
      </c>
      <c r="T131" s="34">
        <f>SUMIFS('[1]GİP VERİLERİ'!$C:$C,'[1]GİP VERİLERİ'!$B:$B,A131,'[1]GİP VERİLERİ'!$M:$M,"40X000000104782K",'[1]GİP VERİLERİ'!$G:$G,"SELL")</f>
        <v/>
      </c>
      <c r="U131" s="34">
        <f>IFERROR(W131/T131,0)</f>
        <v/>
      </c>
      <c r="V131" s="34">
        <f>IF(U131=0,0,U131-F131)</f>
        <v/>
      </c>
      <c r="W131" s="34">
        <f>SUMIFS('[1]GİP VERİLERİ'!$O:$O,'[1]GİP VERİLERİ'!$B:$B,A131,'[1]GİP VERİLERİ'!$M:$M,"40X000000104782K",'[1]GİP VERİLERİ'!$G:$G,"SELL")</f>
        <v/>
      </c>
      <c r="X131" s="34">
        <f>SUMIFS('[1]GİP VERİLERİ'!$C:$C,'[1]GİP VERİLERİ'!$B:$B,A131,'[1]GİP VERİLERİ'!$M:$M,"40X000000104782K",'[1]GİP VERİLERİ'!$G:$G,"BUY")</f>
        <v/>
      </c>
      <c r="Y131" s="34">
        <f>IFERROR(AA131/X131,0)</f>
        <v/>
      </c>
      <c r="Z131" s="34">
        <f>IF(Y131=0,0,F131-Y131)</f>
        <v/>
      </c>
      <c r="AA131" s="34">
        <f>SUMIFS('[1]GİP VERİLERİ'!$O:$O,'[1]GİP VERİLERİ'!$B:$B,A131,'[1]GİP VERİLERİ'!$M:$M,"40X000000104782K",'[1]GİP VERİLERİ'!$G:$G,"BUY")</f>
        <v/>
      </c>
      <c r="AB131" s="34" t="n">
        <v>0</v>
      </c>
      <c r="AC131" s="34" t="n">
        <v>0</v>
      </c>
      <c r="AD131" s="34">
        <f>IF(AB131&gt;AC131*1.05,AB131-AC131*1.05,IF(AB131&lt;AC131*0.95,AC131*0.95-AB131,0))</f>
        <v/>
      </c>
      <c r="AE131" s="34">
        <f>MAX(F131,G131,750)*0.05*AD131</f>
        <v/>
      </c>
      <c r="AF131" s="34" t="n">
        <v>0</v>
      </c>
      <c r="AG131" s="34">
        <f>IF(AB131&gt;AF131*1.05,AB131-AF131*1.05,IF(AB131&lt;AF131*0.95,AF131*0.95-AB131,0))</f>
        <v/>
      </c>
      <c r="AH131" s="34">
        <f>MAX(I131,J131,750)*0.05*AG131</f>
        <v/>
      </c>
      <c r="AI131" t="n">
        <v>10.11</v>
      </c>
      <c r="AJ131" t="n">
        <v>9</v>
      </c>
      <c r="AK131" s="34">
        <f>IF(AI131&gt;AJ131*1.05,AI131-AJ131*1.05,IF(AI131&lt;AJ131*0.95,AJ131*0.95-AI131,0))</f>
        <v/>
      </c>
      <c r="AL131" s="34">
        <f>MAX(F131,G131,750)*0.05*AK131</f>
        <v/>
      </c>
      <c r="AM131" s="39" t="n">
        <v>9</v>
      </c>
      <c r="AN131" s="34">
        <f>IF(AI131&gt;AM131*1.05,AI131-AM131*1.05,IF(AI131&lt;AM131*0.95,AM131*0.95-AI131,0))</f>
        <v/>
      </c>
      <c r="AO131" s="34">
        <f>MAX(F131,G131,750)*0.05*AN131</f>
        <v/>
      </c>
      <c r="AP131" s="34" t="n">
        <v>14.02</v>
      </c>
      <c r="AQ131" s="34" t="n">
        <v>15</v>
      </c>
      <c r="AR131" s="34">
        <f>IF(AP131&gt;AQ131*1.05,AP131-AQ131*1.05,IF(AP131&lt;AQ131*0.95,AQ131*0.95-AP131,0))</f>
        <v/>
      </c>
      <c r="AS131" s="34">
        <f>MAX(F131:G131,750)*0.05*AR131</f>
        <v/>
      </c>
      <c r="AT131" t="n">
        <v>15</v>
      </c>
      <c r="AU131" s="34">
        <f>IF(AP131&gt;AT131*1.05,AP131-AT131*1.05,IF(AP131&lt;AT131*0.95,AT131*0.95-AP131,0))</f>
        <v/>
      </c>
      <c r="AV131" s="34">
        <f>MAX(F131:G131,750)*0.05*AU131</f>
        <v/>
      </c>
      <c r="AW131" s="34">
        <f>AC131+AJ131+AQ131</f>
        <v/>
      </c>
      <c r="AX131" s="34">
        <f>AF131+AM131+AT131</f>
        <v/>
      </c>
      <c r="AY131" s="34">
        <f>AB131+AI131+AP131</f>
        <v/>
      </c>
      <c r="AZ131" s="34" t="n">
        <v>0</v>
      </c>
      <c r="BA131" s="34">
        <f>AD131+AK131+AR131</f>
        <v/>
      </c>
      <c r="BB131" s="34">
        <f>MAX(F131:G131,750)*0.05*BA131</f>
        <v/>
      </c>
      <c r="BC131" s="34">
        <f>AG131+AN131+AU131</f>
        <v/>
      </c>
      <c r="BD131" s="34">
        <f>MAX(F131:G131,750)*0.05*BC131</f>
        <v/>
      </c>
      <c r="BE131" s="34">
        <f>F131*AY131</f>
        <v/>
      </c>
      <c r="BF131" s="34">
        <f>K131-M131</f>
        <v/>
      </c>
      <c r="BG131" s="34">
        <f>P131-S131</f>
        <v/>
      </c>
      <c r="BH131" s="34">
        <f>W131-AA131</f>
        <v/>
      </c>
      <c r="BI131" s="34">
        <f>BF131+BG131+BL131-BN131</f>
        <v/>
      </c>
      <c r="BJ131" s="34">
        <f>ABS(BK131)</f>
        <v/>
      </c>
      <c r="BK131" s="34">
        <f>AY131-(J131-L131+N131-Q131)</f>
        <v/>
      </c>
      <c r="BL131" s="34">
        <f>IF(AND(BK131&gt;0,MIN($F131:$G131)&lt;150,$E131="Enerji Açığı"),-100*BK131*1.03,IF(AND(BK131&gt;0,MIN($F131:$G131)&lt;150,$E131="Enerji Fazlası"),-100*BK131*1.06,IF(AND(BK131&gt;0,MIN($F131:$G131)&gt;=150,$E131="Enerji Açığı"),BK131*MIN($F131:$G131)*0.97,IF(AND(BK131&gt;0,MIN($F131:$G131)&gt;=150,$E131="Enerji Fazlası"),BK131*MIN($F131:$G131)*0.94,IF(AND(BK131&lt;0,MAX($F131:$G131)=4500,$E131="Enerji Açığı"),4500*1.05*1.06*BK131,IF(AND(BK131&lt;0,MAX($F131:$G131)=4500,$E131="Enerji Fazlası"),4500*1.05*1.03*BK131,IF(AND(BK131&lt;0,$E131="Enerji Açığı"),MAX($F131,$G131,150)*BK131*1.06,IF(AND(BK131&lt;0,$E131="Enerji Fazlası"),MAX($F131,$G131,150)*BK131*1.03,IF(AND(BK131&lt;0,$E131="Dengede"),MAX($F131:$G131,150)*1.03*BK131,MIN($F131:$G131)*0.97*BK131)))))))))</f>
        <v/>
      </c>
      <c r="BM131" s="34">
        <f>BE131-BI131-BN131</f>
        <v/>
      </c>
      <c r="BN131" s="34">
        <f>BB131</f>
        <v/>
      </c>
      <c r="BO131" s="34">
        <f>BE131-BI131</f>
        <v/>
      </c>
      <c r="BP131" s="34">
        <f>IF(AY131=0,0,BO131/AY131)</f>
        <v/>
      </c>
      <c r="BQ131" s="34">
        <f>MAX((AY131+MAX((-J131+L131-N131+Q131),0)),(MAX((J131-L131+N131-Q131),0)))</f>
        <v/>
      </c>
      <c r="BR131" s="82">
        <f>IFERROR(ABS(BK131/BQ131),0)</f>
        <v/>
      </c>
      <c r="BS131" s="34">
        <f>IF(BR131&lt;=0.1,0,BK131/BR131*(BR131-0.1))</f>
        <v/>
      </c>
      <c r="BT131" s="34">
        <f>IF((BS131)&lt;0,MAX(F131:G131)*(BS131)*1.03,MIN(F131:G131)*(BS131)*0.97)</f>
        <v/>
      </c>
      <c r="BU131" s="34">
        <f>IF(BR131&gt;0.1,1,0)</f>
        <v/>
      </c>
      <c r="BV131" s="34">
        <f>BF131+BG131+BH131+BY131-CA131</f>
        <v/>
      </c>
      <c r="BW131" s="34">
        <f>ABS(BX131)</f>
        <v/>
      </c>
      <c r="BX131" s="34">
        <f>AY131-(J131-L131+N131-Q131+T131-X131)</f>
        <v/>
      </c>
      <c r="BY131" s="34">
        <f>IF(AND(BX131&gt;0,MIN($F131:$G131)&lt;150,$E131="Enerji Açığı"),-100*BX131*1.03,IF(AND(BX131&gt;0,MIN($F131:$G131)&lt;150,$E131="Enerji Fazlası"),-100*BX131*1.06,IF(AND(BX131&gt;0,MIN($F131:$G131)&gt;=150,$E131="Enerji Açığı"),BX131*MIN($F131:$G131)*0.97,IF(AND(BX131&gt;0,MIN($F131:$G131)&gt;=150,$E131="Enerji Fazlası"),BX131*MIN($F131:$G131)*0.94,IF(AND(BX131&lt;0,MAX($F131:$G131)=4500,$E131="Enerji Açığı"),4500*1.05*1.06*BX131,IF(AND(BX131&lt;0,MAX($F131:$G131)=4500,$E131="Enerji Fazlası"),4500*1.05*1.03*BX131,IF(AND(BX131&lt;0,$E131="Enerji Açığı"),MAX($F131,$G131,150)*BX131*1.06,IF(AND(BX131&lt;0,$E131="Enerji Fazlası"),MAX($F131,$G131,150)*BX131*1.03,IF(AND(BX131&lt;0,$E131="Dengede"),MAX($F131:$G131,150)*1.03*BX131,MIN($F131:$G131)*0.97*BX131)))))))))</f>
        <v/>
      </c>
      <c r="BZ131" s="34">
        <f>BE131-BV131-CA131</f>
        <v/>
      </c>
      <c r="CA131" s="34">
        <f>BD131</f>
        <v/>
      </c>
      <c r="CB131" s="33">
        <f>BE131-BV131</f>
        <v/>
      </c>
      <c r="CC131" s="34">
        <f>IF(AY131=0,0,CB131/AY131)</f>
        <v/>
      </c>
      <c r="CD131" s="34">
        <f>MAX((AY131+MAX((-J131+L131-N131+Q131-T131+X131),0)),(MAX((J131-L131+N131-Q131+T131-X131),0)))</f>
        <v/>
      </c>
      <c r="CE131" s="82">
        <f>IFERROR(ABS(BX131/CD131),0)</f>
        <v/>
      </c>
      <c r="CF131" s="34">
        <f>IF(CE131&lt;=0.1,0,BX131/CE131*(CE131-0.1))</f>
        <v/>
      </c>
      <c r="CG131" s="34">
        <f>IF((CF131)&lt;0,MAX(F131:G131)*(CF131)*1.03,MIN(F131:G131)*(CF131)*0.97)</f>
        <v/>
      </c>
      <c r="CH131" s="34">
        <f>IF(CE131&gt;0.1,1,0)</f>
        <v/>
      </c>
      <c r="CI131" s="34">
        <f>(F131*BX131)-BY131</f>
        <v/>
      </c>
      <c r="CJ131" s="34">
        <f>IF(AY131=0,0,CI131/AY131)</f>
        <v/>
      </c>
    </row>
    <row r="132">
      <c r="A132" s="29" t="n">
        <v>46209.375</v>
      </c>
      <c r="B132" s="29" t="inlineStr">
        <is>
          <t>09:00</t>
        </is>
      </c>
      <c r="C132" s="35">
        <f>INT(A132)</f>
        <v/>
      </c>
      <c r="D132" s="36">
        <f>MONTH(A132)</f>
        <v/>
      </c>
      <c r="E132" s="147">
        <f>[1]FİYATLAR!G131</f>
        <v/>
      </c>
      <c r="F132" s="30" t="n">
        <v>2425.1</v>
      </c>
      <c r="G132" s="30" t="n">
        <v>500</v>
      </c>
      <c r="H132" s="30" t="n">
        <v>52</v>
      </c>
      <c r="I132" s="30" t="n">
        <v>2164.78</v>
      </c>
      <c r="J132" s="119" t="n">
        <v>0</v>
      </c>
      <c r="K132" s="34">
        <f>F132*J132</f>
        <v/>
      </c>
      <c r="L132" s="119" t="n">
        <v>0</v>
      </c>
      <c r="M132" s="34">
        <f>L132*F132</f>
        <v/>
      </c>
      <c r="N132" s="119" t="n">
        <v>25</v>
      </c>
      <c r="O132" s="34">
        <f>F132</f>
        <v/>
      </c>
      <c r="P132" s="34">
        <f>N132*O132</f>
        <v/>
      </c>
      <c r="Q132" s="117" t="n">
        <v>0</v>
      </c>
      <c r="R132" s="34">
        <f>F132</f>
        <v/>
      </c>
      <c r="S132" s="34">
        <f>R132*Q132</f>
        <v/>
      </c>
      <c r="T132" s="34">
        <f>SUMIFS('[1]GİP VERİLERİ'!$C:$C,'[1]GİP VERİLERİ'!$B:$B,A132,'[1]GİP VERİLERİ'!$M:$M,"40X000000104782K",'[1]GİP VERİLERİ'!$G:$G,"SELL")</f>
        <v/>
      </c>
      <c r="U132" s="34">
        <f>IFERROR(W132/T132,0)</f>
        <v/>
      </c>
      <c r="V132" s="34">
        <f>IF(U132=0,0,U132-F132)</f>
        <v/>
      </c>
      <c r="W132" s="34">
        <f>SUMIFS('[1]GİP VERİLERİ'!$O:$O,'[1]GİP VERİLERİ'!$B:$B,A132,'[1]GİP VERİLERİ'!$M:$M,"40X000000104782K",'[1]GİP VERİLERİ'!$G:$G,"SELL")</f>
        <v/>
      </c>
      <c r="X132" s="34">
        <f>SUMIFS('[1]GİP VERİLERİ'!$C:$C,'[1]GİP VERİLERİ'!$B:$B,A132,'[1]GİP VERİLERİ'!$M:$M,"40X000000104782K",'[1]GİP VERİLERİ'!$G:$G,"BUY")</f>
        <v/>
      </c>
      <c r="Y132" s="34">
        <f>IFERROR(AA132/X132,0)</f>
        <v/>
      </c>
      <c r="Z132" s="34">
        <f>IF(Y132=0,0,F132-Y132)</f>
        <v/>
      </c>
      <c r="AA132" s="34">
        <f>SUMIFS('[1]GİP VERİLERİ'!$O:$O,'[1]GİP VERİLERİ'!$B:$B,A132,'[1]GİP VERİLERİ'!$M:$M,"40X000000104782K",'[1]GİP VERİLERİ'!$G:$G,"BUY")</f>
        <v/>
      </c>
      <c r="AB132" s="34" t="n">
        <v>0</v>
      </c>
      <c r="AC132" s="34" t="n">
        <v>0</v>
      </c>
      <c r="AD132" s="34">
        <f>IF(AB132&gt;AC132*1.05,AB132-AC132*1.05,IF(AB132&lt;AC132*0.95,AC132*0.95-AB132,0))</f>
        <v/>
      </c>
      <c r="AE132" s="34">
        <f>MAX(F132,G132,750)*0.05*AD132</f>
        <v/>
      </c>
      <c r="AF132" s="34" t="n">
        <v>0</v>
      </c>
      <c r="AG132" s="34">
        <f>IF(AB132&gt;AF132*1.05,AB132-AF132*1.05,IF(AB132&lt;AF132*0.95,AF132*0.95-AB132,0))</f>
        <v/>
      </c>
      <c r="AH132" s="34">
        <f>MAX(I132,J132,750)*0.05*AG132</f>
        <v/>
      </c>
      <c r="AI132" t="n">
        <v>10.61</v>
      </c>
      <c r="AJ132" t="n">
        <v>10</v>
      </c>
      <c r="AK132" s="34">
        <f>IF(AI132&gt;AJ132*1.05,AI132-AJ132*1.05,IF(AI132&lt;AJ132*0.95,AJ132*0.95-AI132,0))</f>
        <v/>
      </c>
      <c r="AL132" s="34">
        <f>MAX(F132,G132,750)*0.05*AK132</f>
        <v/>
      </c>
      <c r="AM132" s="39" t="n">
        <v>10</v>
      </c>
      <c r="AN132" s="34">
        <f>IF(AI132&gt;AM132*1.05,AI132-AM132*1.05,IF(AI132&lt;AM132*0.95,AM132*0.95-AI132,0))</f>
        <v/>
      </c>
      <c r="AO132" s="34">
        <f>MAX(F132,G132,750)*0.05*AN132</f>
        <v/>
      </c>
      <c r="AP132" s="34" t="n">
        <v>14.52</v>
      </c>
      <c r="AQ132" s="34" t="n">
        <v>15</v>
      </c>
      <c r="AR132" s="34">
        <f>IF(AP132&gt;AQ132*1.05,AP132-AQ132*1.05,IF(AP132&lt;AQ132*0.95,AQ132*0.95-AP132,0))</f>
        <v/>
      </c>
      <c r="AS132" s="34">
        <f>MAX(F132:G132,750)*0.05*AR132</f>
        <v/>
      </c>
      <c r="AT132" t="n">
        <v>15</v>
      </c>
      <c r="AU132" s="34">
        <f>IF(AP132&gt;AT132*1.05,AP132-AT132*1.05,IF(AP132&lt;AT132*0.95,AT132*0.95-AP132,0))</f>
        <v/>
      </c>
      <c r="AV132" s="34">
        <f>MAX(F132:G132,750)*0.05*AU132</f>
        <v/>
      </c>
      <c r="AW132" s="34">
        <f>AC132+AJ132+AQ132</f>
        <v/>
      </c>
      <c r="AX132" s="34">
        <f>AF132+AM132+AT132</f>
        <v/>
      </c>
      <c r="AY132" s="34">
        <f>AB132+AI132+AP132</f>
        <v/>
      </c>
      <c r="AZ132" s="34" t="n">
        <v>0</v>
      </c>
      <c r="BA132" s="34">
        <f>AD132+AK132+AR132</f>
        <v/>
      </c>
      <c r="BB132" s="34">
        <f>MAX(F132:G132,750)*0.05*BA132</f>
        <v/>
      </c>
      <c r="BC132" s="34">
        <f>AG132+AN132+AU132</f>
        <v/>
      </c>
      <c r="BD132" s="34">
        <f>MAX(F132:G132,750)*0.05*BC132</f>
        <v/>
      </c>
      <c r="BE132" s="34">
        <f>F132*AY132</f>
        <v/>
      </c>
      <c r="BF132" s="34">
        <f>K132-M132</f>
        <v/>
      </c>
      <c r="BG132" s="34">
        <f>P132-S132</f>
        <v/>
      </c>
      <c r="BH132" s="34">
        <f>W132-AA132</f>
        <v/>
      </c>
      <c r="BI132" s="34">
        <f>BF132+BG132+BL132-BN132</f>
        <v/>
      </c>
      <c r="BJ132" s="34">
        <f>ABS(BK132)</f>
        <v/>
      </c>
      <c r="BK132" s="34">
        <f>AY132-(J132-L132+N132-Q132)</f>
        <v/>
      </c>
      <c r="BL132" s="34">
        <f>IF(AND(BK132&gt;0,MIN($F132:$G132)&lt;150,$E132="Enerji Açığı"),-100*BK132*1.03,IF(AND(BK132&gt;0,MIN($F132:$G132)&lt;150,$E132="Enerji Fazlası"),-100*BK132*1.06,IF(AND(BK132&gt;0,MIN($F132:$G132)&gt;=150,$E132="Enerji Açığı"),BK132*MIN($F132:$G132)*0.97,IF(AND(BK132&gt;0,MIN($F132:$G132)&gt;=150,$E132="Enerji Fazlası"),BK132*MIN($F132:$G132)*0.94,IF(AND(BK132&lt;0,MAX($F132:$G132)=4500,$E132="Enerji Açığı"),4500*1.05*1.06*BK132,IF(AND(BK132&lt;0,MAX($F132:$G132)=4500,$E132="Enerji Fazlası"),4500*1.05*1.03*BK132,IF(AND(BK132&lt;0,$E132="Enerji Açığı"),MAX($F132,$G132,150)*BK132*1.06,IF(AND(BK132&lt;0,$E132="Enerji Fazlası"),MAX($F132,$G132,150)*BK132*1.03,IF(AND(BK132&lt;0,$E132="Dengede"),MAX($F132:$G132,150)*1.03*BK132,MIN($F132:$G132)*0.97*BK132)))))))))</f>
        <v/>
      </c>
      <c r="BM132" s="34">
        <f>BE132-BI132-BN132</f>
        <v/>
      </c>
      <c r="BN132" s="34">
        <f>BB132</f>
        <v/>
      </c>
      <c r="BO132" s="34">
        <f>BE132-BI132</f>
        <v/>
      </c>
      <c r="BP132" s="34">
        <f>IF(AY132=0,0,BO132/AY132)</f>
        <v/>
      </c>
      <c r="BQ132" s="34">
        <f>MAX((AY132+MAX((-J132+L132-N132+Q132),0)),(MAX((J132-L132+N132-Q132),0)))</f>
        <v/>
      </c>
      <c r="BR132" s="82">
        <f>IFERROR(ABS(BK132/BQ132),0)</f>
        <v/>
      </c>
      <c r="BS132" s="34">
        <f>IF(BR132&lt;=0.1,0,BK132/BR132*(BR132-0.1))</f>
        <v/>
      </c>
      <c r="BT132" s="34">
        <f>IF((BS132)&lt;0,MAX(F132:G132)*(BS132)*1.03,MIN(F132:G132)*(BS132)*0.97)</f>
        <v/>
      </c>
      <c r="BU132" s="34">
        <f>IF(BR132&gt;0.1,1,0)</f>
        <v/>
      </c>
      <c r="BV132" s="34">
        <f>BF132+BG132+BH132+BY132-CA132</f>
        <v/>
      </c>
      <c r="BW132" s="34">
        <f>ABS(BX132)</f>
        <v/>
      </c>
      <c r="BX132" s="34">
        <f>AY132-(J132-L132+N132-Q132+T132-X132)</f>
        <v/>
      </c>
      <c r="BY132" s="34">
        <f>IF(AND(BX132&gt;0,MIN($F132:$G132)&lt;150,$E132="Enerji Açığı"),-100*BX132*1.03,IF(AND(BX132&gt;0,MIN($F132:$G132)&lt;150,$E132="Enerji Fazlası"),-100*BX132*1.06,IF(AND(BX132&gt;0,MIN($F132:$G132)&gt;=150,$E132="Enerji Açığı"),BX132*MIN($F132:$G132)*0.97,IF(AND(BX132&gt;0,MIN($F132:$G132)&gt;=150,$E132="Enerji Fazlası"),BX132*MIN($F132:$G132)*0.94,IF(AND(BX132&lt;0,MAX($F132:$G132)=4500,$E132="Enerji Açığı"),4500*1.05*1.06*BX132,IF(AND(BX132&lt;0,MAX($F132:$G132)=4500,$E132="Enerji Fazlası"),4500*1.05*1.03*BX132,IF(AND(BX132&lt;0,$E132="Enerji Açığı"),MAX($F132,$G132,150)*BX132*1.06,IF(AND(BX132&lt;0,$E132="Enerji Fazlası"),MAX($F132,$G132,150)*BX132*1.03,IF(AND(BX132&lt;0,$E132="Dengede"),MAX($F132:$G132,150)*1.03*BX132,MIN($F132:$G132)*0.97*BX132)))))))))</f>
        <v/>
      </c>
      <c r="BZ132" s="34">
        <f>BE132-BV132-CA132</f>
        <v/>
      </c>
      <c r="CA132" s="34">
        <f>BD132</f>
        <v/>
      </c>
      <c r="CB132" s="33">
        <f>BE132-BV132</f>
        <v/>
      </c>
      <c r="CC132" s="34">
        <f>IF(AY132=0,0,CB132/AY132)</f>
        <v/>
      </c>
      <c r="CD132" s="34">
        <f>MAX((AY132+MAX((-J132+L132-N132+Q132-T132+X132),0)),(MAX((J132-L132+N132-Q132+T132-X132),0)))</f>
        <v/>
      </c>
      <c r="CE132" s="82">
        <f>IFERROR(ABS(BX132/CD132),0)</f>
        <v/>
      </c>
      <c r="CF132" s="34">
        <f>IF(CE132&lt;=0.1,0,BX132/CE132*(CE132-0.1))</f>
        <v/>
      </c>
      <c r="CG132" s="34">
        <f>IF((CF132)&lt;0,MAX(F132:G132)*(CF132)*1.03,MIN(F132:G132)*(CF132)*0.97)</f>
        <v/>
      </c>
      <c r="CH132" s="34">
        <f>IF(CE132&gt;0.1,1,0)</f>
        <v/>
      </c>
      <c r="CI132" s="34">
        <f>(F132*BX132)-BY132</f>
        <v/>
      </c>
      <c r="CJ132" s="34">
        <f>IF(AY132=0,0,CI132/AY132)</f>
        <v/>
      </c>
    </row>
    <row r="133">
      <c r="A133" s="29" t="n">
        <v>46209.41666666666</v>
      </c>
      <c r="B133" s="29" t="inlineStr">
        <is>
          <t>10:00</t>
        </is>
      </c>
      <c r="C133" s="35">
        <f>INT(A133)</f>
        <v/>
      </c>
      <c r="D133" s="36">
        <f>MONTH(A133)</f>
        <v/>
      </c>
      <c r="E133" s="147">
        <f>[1]FİYATLAR!G132</f>
        <v/>
      </c>
      <c r="F133" s="30" t="n">
        <v>1499.99</v>
      </c>
      <c r="G133" s="30" t="n">
        <v>390</v>
      </c>
      <c r="H133" s="30" t="n">
        <v>32.17</v>
      </c>
      <c r="I133" s="30" t="n">
        <v>1880.99</v>
      </c>
      <c r="J133" s="119" t="n">
        <v>0</v>
      </c>
      <c r="K133" s="34">
        <f>F133*J133</f>
        <v/>
      </c>
      <c r="L133" s="119" t="n">
        <v>0</v>
      </c>
      <c r="M133" s="34">
        <f>L133*F133</f>
        <v/>
      </c>
      <c r="N133" s="119" t="n">
        <v>25.3</v>
      </c>
      <c r="O133" s="34">
        <f>F133</f>
        <v/>
      </c>
      <c r="P133" s="34">
        <f>N133*O133</f>
        <v/>
      </c>
      <c r="Q133" s="117" t="n">
        <v>0</v>
      </c>
      <c r="R133" s="34">
        <f>F133</f>
        <v/>
      </c>
      <c r="S133" s="34">
        <f>R133*Q133</f>
        <v/>
      </c>
      <c r="T133" s="34">
        <f>SUMIFS('[1]GİP VERİLERİ'!$C:$C,'[1]GİP VERİLERİ'!$B:$B,A133,'[1]GİP VERİLERİ'!$M:$M,"40X000000104782K",'[1]GİP VERİLERİ'!$G:$G,"SELL")</f>
        <v/>
      </c>
      <c r="U133" s="34">
        <f>IFERROR(W133/T133,0)</f>
        <v/>
      </c>
      <c r="V133" s="34">
        <f>IF(U133=0,0,U133-F133)</f>
        <v/>
      </c>
      <c r="W133" s="34">
        <f>SUMIFS('[1]GİP VERİLERİ'!$O:$O,'[1]GİP VERİLERİ'!$B:$B,A133,'[1]GİP VERİLERİ'!$M:$M,"40X000000104782K",'[1]GİP VERİLERİ'!$G:$G,"SELL")</f>
        <v/>
      </c>
      <c r="X133" s="34">
        <f>SUMIFS('[1]GİP VERİLERİ'!$C:$C,'[1]GİP VERİLERİ'!$B:$B,A133,'[1]GİP VERİLERİ'!$M:$M,"40X000000104782K",'[1]GİP VERİLERİ'!$G:$G,"BUY")</f>
        <v/>
      </c>
      <c r="Y133" s="34">
        <f>IFERROR(AA133/X133,0)</f>
        <v/>
      </c>
      <c r="Z133" s="34">
        <f>IF(Y133=0,0,F133-Y133)</f>
        <v/>
      </c>
      <c r="AA133" s="34">
        <f>SUMIFS('[1]GİP VERİLERİ'!$O:$O,'[1]GİP VERİLERİ'!$B:$B,A133,'[1]GİP VERİLERİ'!$M:$M,"40X000000104782K",'[1]GİP VERİLERİ'!$G:$G,"BUY")</f>
        <v/>
      </c>
      <c r="AB133" s="34" t="n">
        <v>0</v>
      </c>
      <c r="AC133" s="34" t="n">
        <v>0</v>
      </c>
      <c r="AD133" s="34">
        <f>IF(AB133&gt;AC133*1.05,AB133-AC133*1.05,IF(AB133&lt;AC133*0.95,AC133*0.95-AB133,0))</f>
        <v/>
      </c>
      <c r="AE133" s="34">
        <f>MAX(F133,G133,750)*0.05*AD133</f>
        <v/>
      </c>
      <c r="AF133" s="34" t="n">
        <v>0</v>
      </c>
      <c r="AG133" s="34">
        <f>IF(AB133&gt;AF133*1.05,AB133-AF133*1.05,IF(AB133&lt;AF133*0.95,AF133*0.95-AB133,0))</f>
        <v/>
      </c>
      <c r="AH133" s="34">
        <f>MAX(I133,J133,750)*0.05*AG133</f>
        <v/>
      </c>
      <c r="AI133" t="n">
        <v>10.21</v>
      </c>
      <c r="AJ133" t="n">
        <v>10</v>
      </c>
      <c r="AK133" s="34">
        <f>IF(AI133&gt;AJ133*1.05,AI133-AJ133*1.05,IF(AI133&lt;AJ133*0.95,AJ133*0.95-AI133,0))</f>
        <v/>
      </c>
      <c r="AL133" s="34">
        <f>MAX(F133,G133,750)*0.05*AK133</f>
        <v/>
      </c>
      <c r="AM133" s="39" t="n">
        <v>10</v>
      </c>
      <c r="AN133" s="34">
        <f>IF(AI133&gt;AM133*1.05,AI133-AM133*1.05,IF(AI133&lt;AM133*0.95,AM133*0.95-AI133,0))</f>
        <v/>
      </c>
      <c r="AO133" s="34">
        <f>MAX(F133,G133,750)*0.05*AN133</f>
        <v/>
      </c>
      <c r="AP133" s="34" t="n">
        <v>15.13</v>
      </c>
      <c r="AQ133" s="34" t="n">
        <v>15.3</v>
      </c>
      <c r="AR133" s="34">
        <f>IF(AP133&gt;AQ133*1.05,AP133-AQ133*1.05,IF(AP133&lt;AQ133*0.95,AQ133*0.95-AP133,0))</f>
        <v/>
      </c>
      <c r="AS133" s="34">
        <f>MAX(F133:G133,750)*0.05*AR133</f>
        <v/>
      </c>
      <c r="AT133" t="n">
        <v>15.3</v>
      </c>
      <c r="AU133" s="34">
        <f>IF(AP133&gt;AT133*1.05,AP133-AT133*1.05,IF(AP133&lt;AT133*0.95,AT133*0.95-AP133,0))</f>
        <v/>
      </c>
      <c r="AV133" s="34">
        <f>MAX(F133:G133,750)*0.05*AU133</f>
        <v/>
      </c>
      <c r="AW133" s="34">
        <f>AC133+AJ133+AQ133</f>
        <v/>
      </c>
      <c r="AX133" s="34">
        <f>AF133+AM133+AT133</f>
        <v/>
      </c>
      <c r="AY133" s="34">
        <f>AB133+AI133+AP133</f>
        <v/>
      </c>
      <c r="AZ133" s="34" t="n">
        <v>0</v>
      </c>
      <c r="BA133" s="34">
        <f>AD133+AK133+AR133</f>
        <v/>
      </c>
      <c r="BB133" s="34">
        <f>MAX(F133:G133,750)*0.05*BA133</f>
        <v/>
      </c>
      <c r="BC133" s="34">
        <f>AG133+AN133+AU133</f>
        <v/>
      </c>
      <c r="BD133" s="34">
        <f>MAX(F133:G133,750)*0.05*BC133</f>
        <v/>
      </c>
      <c r="BE133" s="34">
        <f>F133*AY133</f>
        <v/>
      </c>
      <c r="BF133" s="34">
        <f>K133-M133</f>
        <v/>
      </c>
      <c r="BG133" s="34">
        <f>P133-S133</f>
        <v/>
      </c>
      <c r="BH133" s="34">
        <f>W133-AA133</f>
        <v/>
      </c>
      <c r="BI133" s="34">
        <f>BF133+BG133+BL133-BN133</f>
        <v/>
      </c>
      <c r="BJ133" s="34">
        <f>ABS(BK133)</f>
        <v/>
      </c>
      <c r="BK133" s="34">
        <f>AY133-(J133-L133+N133-Q133)</f>
        <v/>
      </c>
      <c r="BL133" s="34">
        <f>IF(AND(BK133&gt;0,MIN($F133:$G133)&lt;150,$E133="Enerji Açığı"),-100*BK133*1.03,IF(AND(BK133&gt;0,MIN($F133:$G133)&lt;150,$E133="Enerji Fazlası"),-100*BK133*1.06,IF(AND(BK133&gt;0,MIN($F133:$G133)&gt;=150,$E133="Enerji Açığı"),BK133*MIN($F133:$G133)*0.97,IF(AND(BK133&gt;0,MIN($F133:$G133)&gt;=150,$E133="Enerji Fazlası"),BK133*MIN($F133:$G133)*0.94,IF(AND(BK133&lt;0,MAX($F133:$G133)=4500,$E133="Enerji Açığı"),4500*1.05*1.06*BK133,IF(AND(BK133&lt;0,MAX($F133:$G133)=4500,$E133="Enerji Fazlası"),4500*1.05*1.03*BK133,IF(AND(BK133&lt;0,$E133="Enerji Açığı"),MAX($F133,$G133,150)*BK133*1.06,IF(AND(BK133&lt;0,$E133="Enerji Fazlası"),MAX($F133,$G133,150)*BK133*1.03,IF(AND(BK133&lt;0,$E133="Dengede"),MAX($F133:$G133,150)*1.03*BK133,MIN($F133:$G133)*0.97*BK133)))))))))</f>
        <v/>
      </c>
      <c r="BM133" s="34">
        <f>BE133-BI133-BN133</f>
        <v/>
      </c>
      <c r="BN133" s="34">
        <f>BB133</f>
        <v/>
      </c>
      <c r="BO133" s="34">
        <f>BE133-BI133</f>
        <v/>
      </c>
      <c r="BP133" s="34">
        <f>IF(AY133=0,0,BO133/AY133)</f>
        <v/>
      </c>
      <c r="BQ133" s="34">
        <f>MAX((AY133+MAX((-J133+L133-N133+Q133),0)),(MAX((J133-L133+N133-Q133),0)))</f>
        <v/>
      </c>
      <c r="BR133" s="82">
        <f>IFERROR(ABS(BK133/BQ133),0)</f>
        <v/>
      </c>
      <c r="BS133" s="34">
        <f>IF(BR133&lt;=0.1,0,BK133/BR133*(BR133-0.1))</f>
        <v/>
      </c>
      <c r="BT133" s="34">
        <f>IF((BS133)&lt;0,MAX(F133:G133)*(BS133)*1.03,MIN(F133:G133)*(BS133)*0.97)</f>
        <v/>
      </c>
      <c r="BU133" s="34">
        <f>IF(BR133&gt;0.1,1,0)</f>
        <v/>
      </c>
      <c r="BV133" s="34">
        <f>BF133+BG133+BH133+BY133-CA133</f>
        <v/>
      </c>
      <c r="BW133" s="34">
        <f>ABS(BX133)</f>
        <v/>
      </c>
      <c r="BX133" s="34">
        <f>AY133-(J133-L133+N133-Q133+T133-X133)</f>
        <v/>
      </c>
      <c r="BY133" s="34">
        <f>IF(AND(BX133&gt;0,MIN($F133:$G133)&lt;150,$E133="Enerji Açığı"),-100*BX133*1.03,IF(AND(BX133&gt;0,MIN($F133:$G133)&lt;150,$E133="Enerji Fazlası"),-100*BX133*1.06,IF(AND(BX133&gt;0,MIN($F133:$G133)&gt;=150,$E133="Enerji Açığı"),BX133*MIN($F133:$G133)*0.97,IF(AND(BX133&gt;0,MIN($F133:$G133)&gt;=150,$E133="Enerji Fazlası"),BX133*MIN($F133:$G133)*0.94,IF(AND(BX133&lt;0,MAX($F133:$G133)=4500,$E133="Enerji Açığı"),4500*1.05*1.06*BX133,IF(AND(BX133&lt;0,MAX($F133:$G133)=4500,$E133="Enerji Fazlası"),4500*1.05*1.03*BX133,IF(AND(BX133&lt;0,$E133="Enerji Açığı"),MAX($F133,$G133,150)*BX133*1.06,IF(AND(BX133&lt;0,$E133="Enerji Fazlası"),MAX($F133,$G133,150)*BX133*1.03,IF(AND(BX133&lt;0,$E133="Dengede"),MAX($F133:$G133,150)*1.03*BX133,MIN($F133:$G133)*0.97*BX133)))))))))</f>
        <v/>
      </c>
      <c r="BZ133" s="34">
        <f>BE133-BV133-CA133</f>
        <v/>
      </c>
      <c r="CA133" s="34">
        <f>BD133</f>
        <v/>
      </c>
      <c r="CB133" s="33">
        <f>BE133-BV133</f>
        <v/>
      </c>
      <c r="CC133" s="34">
        <f>IF(AY133=0,0,CB133/AY133)</f>
        <v/>
      </c>
      <c r="CD133" s="34">
        <f>MAX((AY133+MAX((-J133+L133-N133+Q133-T133+X133),0)),(MAX((J133-L133+N133-Q133+T133-X133),0)))</f>
        <v/>
      </c>
      <c r="CE133" s="82">
        <f>IFERROR(ABS(BX133/CD133),0)</f>
        <v/>
      </c>
      <c r="CF133" s="34">
        <f>IF(CE133&lt;=0.1,0,BX133/CE133*(CE133-0.1))</f>
        <v/>
      </c>
      <c r="CG133" s="34">
        <f>IF((CF133)&lt;0,MAX(F133:G133)*(CF133)*1.03,MIN(F133:G133)*(CF133)*0.97)</f>
        <v/>
      </c>
      <c r="CH133" s="34">
        <f>IF(CE133&gt;0.1,1,0)</f>
        <v/>
      </c>
      <c r="CI133" s="34">
        <f>(F133*BX133)-BY133</f>
        <v/>
      </c>
      <c r="CJ133" s="34">
        <f>IF(AY133=0,0,CI133/AY133)</f>
        <v/>
      </c>
    </row>
    <row r="134">
      <c r="A134" s="29" t="n">
        <v>46209.45833333334</v>
      </c>
      <c r="B134" s="29" t="inlineStr">
        <is>
          <t>11:00</t>
        </is>
      </c>
      <c r="C134" s="35">
        <f>INT(A134)</f>
        <v/>
      </c>
      <c r="D134" s="36">
        <f>MONTH(A134)</f>
        <v/>
      </c>
      <c r="E134" s="147">
        <f>[1]FİYATLAR!G133</f>
        <v/>
      </c>
      <c r="F134" s="30" t="n">
        <v>1499.99</v>
      </c>
      <c r="G134" s="30" t="n">
        <v>400</v>
      </c>
      <c r="H134" s="30" t="n">
        <v>32.17</v>
      </c>
      <c r="I134" s="30" t="n">
        <v>1674.11</v>
      </c>
      <c r="J134" s="119" t="n">
        <v>0</v>
      </c>
      <c r="K134" s="34">
        <f>F134*J134</f>
        <v/>
      </c>
      <c r="L134" s="119" t="n">
        <v>0</v>
      </c>
      <c r="M134" s="34">
        <f>L134*F134</f>
        <v/>
      </c>
      <c r="N134" s="119" t="n">
        <v>25.3</v>
      </c>
      <c r="O134" s="34">
        <f>F134</f>
        <v/>
      </c>
      <c r="P134" s="34">
        <f>N134*O134</f>
        <v/>
      </c>
      <c r="Q134" s="117" t="n">
        <v>0</v>
      </c>
      <c r="R134" s="34">
        <f>F134</f>
        <v/>
      </c>
      <c r="S134" s="34">
        <f>R134*Q134</f>
        <v/>
      </c>
      <c r="T134" s="34">
        <f>SUMIFS('[1]GİP VERİLERİ'!$C:$C,'[1]GİP VERİLERİ'!$B:$B,A134,'[1]GİP VERİLERİ'!$M:$M,"40X000000104782K",'[1]GİP VERİLERİ'!$G:$G,"SELL")</f>
        <v/>
      </c>
      <c r="U134" s="34">
        <f>IFERROR(W134/T134,0)</f>
        <v/>
      </c>
      <c r="V134" s="34">
        <f>IF(U134=0,0,U134-F134)</f>
        <v/>
      </c>
      <c r="W134" s="34">
        <f>SUMIFS('[1]GİP VERİLERİ'!$O:$O,'[1]GİP VERİLERİ'!$B:$B,A134,'[1]GİP VERİLERİ'!$M:$M,"40X000000104782K",'[1]GİP VERİLERİ'!$G:$G,"SELL")</f>
        <v/>
      </c>
      <c r="X134" s="34">
        <f>SUMIFS('[1]GİP VERİLERİ'!$C:$C,'[1]GİP VERİLERİ'!$B:$B,A134,'[1]GİP VERİLERİ'!$M:$M,"40X000000104782K",'[1]GİP VERİLERİ'!$G:$G,"BUY")</f>
        <v/>
      </c>
      <c r="Y134" s="34">
        <f>IFERROR(AA134/X134,0)</f>
        <v/>
      </c>
      <c r="Z134" s="34">
        <f>IF(Y134=0,0,F134-Y134)</f>
        <v/>
      </c>
      <c r="AA134" s="34">
        <f>SUMIFS('[1]GİP VERİLERİ'!$O:$O,'[1]GİP VERİLERİ'!$B:$B,A134,'[1]GİP VERİLERİ'!$M:$M,"40X000000104782K",'[1]GİP VERİLERİ'!$G:$G,"BUY")</f>
        <v/>
      </c>
      <c r="AB134" s="34" t="n">
        <v>0</v>
      </c>
      <c r="AC134" s="34" t="n">
        <v>0</v>
      </c>
      <c r="AD134" s="34">
        <f>IF(AB134&gt;AC134*1.05,AB134-AC134*1.05,IF(AB134&lt;AC134*0.95,AC134*0.95-AB134,0))</f>
        <v/>
      </c>
      <c r="AE134" s="34">
        <f>MAX(F134,G134,750)*0.05*AD134</f>
        <v/>
      </c>
      <c r="AF134" s="34" t="n">
        <v>0</v>
      </c>
      <c r="AG134" s="34">
        <f>IF(AB134&gt;AF134*1.05,AB134-AF134*1.05,IF(AB134&lt;AF134*0.95,AF134*0.95-AB134,0))</f>
        <v/>
      </c>
      <c r="AH134" s="34">
        <f>MAX(I134,J134,750)*0.05*AG134</f>
        <v/>
      </c>
      <c r="AI134" t="n">
        <v>10.63</v>
      </c>
      <c r="AJ134" t="n">
        <v>10</v>
      </c>
      <c r="AK134" s="34">
        <f>IF(AI134&gt;AJ134*1.05,AI134-AJ134*1.05,IF(AI134&lt;AJ134*0.95,AJ134*0.95-AI134,0))</f>
        <v/>
      </c>
      <c r="AL134" s="34">
        <f>MAX(F134,G134,750)*0.05*AK134</f>
        <v/>
      </c>
      <c r="AM134" s="39" t="n">
        <v>10</v>
      </c>
      <c r="AN134" s="34">
        <f>IF(AI134&gt;AM134*1.05,AI134-AM134*1.05,IF(AI134&lt;AM134*0.95,AM134*0.95-AI134,0))</f>
        <v/>
      </c>
      <c r="AO134" s="34">
        <f>MAX(F134,G134,750)*0.05*AN134</f>
        <v/>
      </c>
      <c r="AP134" s="34" t="n">
        <v>14.29</v>
      </c>
      <c r="AQ134" s="34" t="n">
        <v>15.3</v>
      </c>
      <c r="AR134" s="34">
        <f>IF(AP134&gt;AQ134*1.05,AP134-AQ134*1.05,IF(AP134&lt;AQ134*0.95,AQ134*0.95-AP134,0))</f>
        <v/>
      </c>
      <c r="AS134" s="34">
        <f>MAX(F134:G134,750)*0.05*AR134</f>
        <v/>
      </c>
      <c r="AT134" t="n">
        <v>15.3</v>
      </c>
      <c r="AU134" s="34">
        <f>IF(AP134&gt;AT134*1.05,AP134-AT134*1.05,IF(AP134&lt;AT134*0.95,AT134*0.95-AP134,0))</f>
        <v/>
      </c>
      <c r="AV134" s="34">
        <f>MAX(F134:G134,750)*0.05*AU134</f>
        <v/>
      </c>
      <c r="AW134" s="34">
        <f>AC134+AJ134+AQ134</f>
        <v/>
      </c>
      <c r="AX134" s="34">
        <f>AF134+AM134+AT134</f>
        <v/>
      </c>
      <c r="AY134" s="34">
        <f>AB134+AI134+AP134</f>
        <v/>
      </c>
      <c r="AZ134" s="34" t="n">
        <v>0</v>
      </c>
      <c r="BA134" s="34">
        <f>AD134+AK134+AR134</f>
        <v/>
      </c>
      <c r="BB134" s="34">
        <f>MAX(F134:G134,750)*0.05*BA134</f>
        <v/>
      </c>
      <c r="BC134" s="34">
        <f>AG134+AN134+AU134</f>
        <v/>
      </c>
      <c r="BD134" s="34">
        <f>MAX(F134:G134,750)*0.05*BC134</f>
        <v/>
      </c>
      <c r="BE134" s="34">
        <f>F134*AY134</f>
        <v/>
      </c>
      <c r="BF134" s="34">
        <f>K134-M134</f>
        <v/>
      </c>
      <c r="BG134" s="34">
        <f>P134-S134</f>
        <v/>
      </c>
      <c r="BH134" s="34">
        <f>W134-AA134</f>
        <v/>
      </c>
      <c r="BI134" s="34">
        <f>BF134+BG134+BL134-BN134</f>
        <v/>
      </c>
      <c r="BJ134" s="34">
        <f>ABS(BK134)</f>
        <v/>
      </c>
      <c r="BK134" s="34">
        <f>AY134-(J134-L134+N134-Q134)</f>
        <v/>
      </c>
      <c r="BL134" s="34">
        <f>IF(AND(BK134&gt;0,MIN($F134:$G134)&lt;150,$E134="Enerji Açığı"),-100*BK134*1.03,IF(AND(BK134&gt;0,MIN($F134:$G134)&lt;150,$E134="Enerji Fazlası"),-100*BK134*1.06,IF(AND(BK134&gt;0,MIN($F134:$G134)&gt;=150,$E134="Enerji Açığı"),BK134*MIN($F134:$G134)*0.97,IF(AND(BK134&gt;0,MIN($F134:$G134)&gt;=150,$E134="Enerji Fazlası"),BK134*MIN($F134:$G134)*0.94,IF(AND(BK134&lt;0,MAX($F134:$G134)=4500,$E134="Enerji Açığı"),4500*1.05*1.06*BK134,IF(AND(BK134&lt;0,MAX($F134:$G134)=4500,$E134="Enerji Fazlası"),4500*1.05*1.03*BK134,IF(AND(BK134&lt;0,$E134="Enerji Açığı"),MAX($F134,$G134,150)*BK134*1.06,IF(AND(BK134&lt;0,$E134="Enerji Fazlası"),MAX($F134,$G134,150)*BK134*1.03,IF(AND(BK134&lt;0,$E134="Dengede"),MAX($F134:$G134,150)*1.03*BK134,MIN($F134:$G134)*0.97*BK134)))))))))</f>
        <v/>
      </c>
      <c r="BM134" s="34">
        <f>BE134-BI134-BN134</f>
        <v/>
      </c>
      <c r="BN134" s="34">
        <f>BB134</f>
        <v/>
      </c>
      <c r="BO134" s="34">
        <f>BE134-BI134</f>
        <v/>
      </c>
      <c r="BP134" s="34">
        <f>IF(AY134=0,0,BO134/AY134)</f>
        <v/>
      </c>
      <c r="BQ134" s="34">
        <f>MAX((AY134+MAX((-J134+L134-N134+Q134),0)),(MAX((J134-L134+N134-Q134),0)))</f>
        <v/>
      </c>
      <c r="BR134" s="82">
        <f>IFERROR(ABS(BK134/BQ134),0)</f>
        <v/>
      </c>
      <c r="BS134" s="34">
        <f>IF(BR134&lt;=0.1,0,BK134/BR134*(BR134-0.1))</f>
        <v/>
      </c>
      <c r="BT134" s="34">
        <f>IF((BS134)&lt;0,MAX(F134:G134)*(BS134)*1.03,MIN(F134:G134)*(BS134)*0.97)</f>
        <v/>
      </c>
      <c r="BU134" s="34">
        <f>IF(BR134&gt;0.1,1,0)</f>
        <v/>
      </c>
      <c r="BV134" s="34">
        <f>BF134+BG134+BH134+BY134-CA134</f>
        <v/>
      </c>
      <c r="BW134" s="34">
        <f>ABS(BX134)</f>
        <v/>
      </c>
      <c r="BX134" s="34">
        <f>AY134-(J134-L134+N134-Q134+T134-X134)</f>
        <v/>
      </c>
      <c r="BY134" s="34">
        <f>IF(AND(BX134&gt;0,MIN($F134:$G134)&lt;150,$E134="Enerji Açığı"),-100*BX134*1.03,IF(AND(BX134&gt;0,MIN($F134:$G134)&lt;150,$E134="Enerji Fazlası"),-100*BX134*1.06,IF(AND(BX134&gt;0,MIN($F134:$G134)&gt;=150,$E134="Enerji Açığı"),BX134*MIN($F134:$G134)*0.97,IF(AND(BX134&gt;0,MIN($F134:$G134)&gt;=150,$E134="Enerji Fazlası"),BX134*MIN($F134:$G134)*0.94,IF(AND(BX134&lt;0,MAX($F134:$G134)=4500,$E134="Enerji Açığı"),4500*1.05*1.06*BX134,IF(AND(BX134&lt;0,MAX($F134:$G134)=4500,$E134="Enerji Fazlası"),4500*1.05*1.03*BX134,IF(AND(BX134&lt;0,$E134="Enerji Açığı"),MAX($F134,$G134,150)*BX134*1.06,IF(AND(BX134&lt;0,$E134="Enerji Fazlası"),MAX($F134,$G134,150)*BX134*1.03,IF(AND(BX134&lt;0,$E134="Dengede"),MAX($F134:$G134,150)*1.03*BX134,MIN($F134:$G134)*0.97*BX134)))))))))</f>
        <v/>
      </c>
      <c r="BZ134" s="34">
        <f>BE134-BV134-CA134</f>
        <v/>
      </c>
      <c r="CA134" s="34">
        <f>BD134</f>
        <v/>
      </c>
      <c r="CB134" s="33">
        <f>BE134-BV134</f>
        <v/>
      </c>
      <c r="CC134" s="34">
        <f>IF(AY134=0,0,CB134/AY134)</f>
        <v/>
      </c>
      <c r="CD134" s="34">
        <f>MAX((AY134+MAX((-J134+L134-N134+Q134-T134+X134),0)),(MAX((J134-L134+N134-Q134+T134-X134),0)))</f>
        <v/>
      </c>
      <c r="CE134" s="82">
        <f>IFERROR(ABS(BX134/CD134),0)</f>
        <v/>
      </c>
      <c r="CF134" s="34">
        <f>IF(CE134&lt;=0.1,0,BX134/CE134*(CE134-0.1))</f>
        <v/>
      </c>
      <c r="CG134" s="34">
        <f>IF((CF134)&lt;0,MAX(F134:G134)*(CF134)*1.03,MIN(F134:G134)*(CF134)*0.97)</f>
        <v/>
      </c>
      <c r="CH134" s="34">
        <f>IF(CE134&gt;0.1,1,0)</f>
        <v/>
      </c>
      <c r="CI134" s="34">
        <f>(F134*BX134)-BY134</f>
        <v/>
      </c>
      <c r="CJ134" s="34">
        <f>IF(AY134=0,0,CI134/AY134)</f>
        <v/>
      </c>
    </row>
    <row r="135">
      <c r="A135" s="29" t="n">
        <v>46209.5</v>
      </c>
      <c r="B135" s="29" t="inlineStr">
        <is>
          <t>12:00</t>
        </is>
      </c>
      <c r="C135" s="35">
        <f>INT(A135)</f>
        <v/>
      </c>
      <c r="D135" s="36">
        <f>MONTH(A135)</f>
        <v/>
      </c>
      <c r="E135" s="147">
        <f>[1]FİYATLAR!G134</f>
        <v/>
      </c>
      <c r="F135" s="30" t="n">
        <v>600.01</v>
      </c>
      <c r="G135" s="30" t="n">
        <v>180</v>
      </c>
      <c r="H135" s="30" t="n">
        <v>12.87</v>
      </c>
      <c r="I135" s="30" t="n">
        <v>756.17</v>
      </c>
      <c r="J135" s="119" t="n">
        <v>0</v>
      </c>
      <c r="K135" s="34">
        <f>F135*J135</f>
        <v/>
      </c>
      <c r="L135" s="119" t="n">
        <v>0</v>
      </c>
      <c r="M135" s="34">
        <f>L135*F135</f>
        <v/>
      </c>
      <c r="N135" s="119" t="n">
        <v>24.5</v>
      </c>
      <c r="O135" s="34">
        <f>F135</f>
        <v/>
      </c>
      <c r="P135" s="34">
        <f>N135*O135</f>
        <v/>
      </c>
      <c r="Q135" s="117" t="n">
        <v>0</v>
      </c>
      <c r="R135" s="34">
        <f>F135</f>
        <v/>
      </c>
      <c r="S135" s="34">
        <f>R135*Q135</f>
        <v/>
      </c>
      <c r="T135" s="34">
        <f>SUMIFS('[1]GİP VERİLERİ'!$C:$C,'[1]GİP VERİLERİ'!$B:$B,A135,'[1]GİP VERİLERİ'!$M:$M,"40X000000104782K",'[1]GİP VERİLERİ'!$G:$G,"SELL")</f>
        <v/>
      </c>
      <c r="U135" s="34">
        <f>IFERROR(W135/T135,0)</f>
        <v/>
      </c>
      <c r="V135" s="34">
        <f>IF(U135=0,0,U135-F135)</f>
        <v/>
      </c>
      <c r="W135" s="34">
        <f>SUMIFS('[1]GİP VERİLERİ'!$O:$O,'[1]GİP VERİLERİ'!$B:$B,A135,'[1]GİP VERİLERİ'!$M:$M,"40X000000104782K",'[1]GİP VERİLERİ'!$G:$G,"SELL")</f>
        <v/>
      </c>
      <c r="X135" s="34">
        <f>SUMIFS('[1]GİP VERİLERİ'!$C:$C,'[1]GİP VERİLERİ'!$B:$B,A135,'[1]GİP VERİLERİ'!$M:$M,"40X000000104782K",'[1]GİP VERİLERİ'!$G:$G,"BUY")</f>
        <v/>
      </c>
      <c r="Y135" s="34">
        <f>IFERROR(AA135/X135,0)</f>
        <v/>
      </c>
      <c r="Z135" s="34">
        <f>IF(Y135=0,0,F135-Y135)</f>
        <v/>
      </c>
      <c r="AA135" s="34">
        <f>SUMIFS('[1]GİP VERİLERİ'!$O:$O,'[1]GİP VERİLERİ'!$B:$B,A135,'[1]GİP VERİLERİ'!$M:$M,"40X000000104782K",'[1]GİP VERİLERİ'!$G:$G,"BUY")</f>
        <v/>
      </c>
      <c r="AB135" s="34" t="n">
        <v>0</v>
      </c>
      <c r="AC135" s="34" t="n">
        <v>0</v>
      </c>
      <c r="AD135" s="34">
        <f>IF(AB135&gt;AC135*1.05,AB135-AC135*1.05,IF(AB135&lt;AC135*0.95,AC135*0.95-AB135,0))</f>
        <v/>
      </c>
      <c r="AE135" s="34">
        <f>MAX(F135,G135,750)*0.05*AD135</f>
        <v/>
      </c>
      <c r="AF135" s="34" t="n">
        <v>0</v>
      </c>
      <c r="AG135" s="34">
        <f>IF(AB135&gt;AF135*1.05,AB135-AF135*1.05,IF(AB135&lt;AF135*0.95,AF135*0.95-AB135,0))</f>
        <v/>
      </c>
      <c r="AH135" s="34">
        <f>MAX(I135,J135,750)*0.05*AG135</f>
        <v/>
      </c>
      <c r="AI135" t="n">
        <v>6.86</v>
      </c>
      <c r="AJ135" t="n">
        <v>9</v>
      </c>
      <c r="AK135" s="34">
        <f>IF(AI135&gt;AJ135*1.05,AI135-AJ135*1.05,IF(AI135&lt;AJ135*0.95,AJ135*0.95-AI135,0))</f>
        <v/>
      </c>
      <c r="AL135" s="34">
        <f>MAX(F135,G135,750)*0.05*AK135</f>
        <v/>
      </c>
      <c r="AM135" s="39" t="n">
        <v>6.5</v>
      </c>
      <c r="AN135" s="34">
        <f>IF(AI135&gt;AM135*1.05,AI135-AM135*1.05,IF(AI135&lt;AM135*0.95,AM135*0.95-AI135,0))</f>
        <v/>
      </c>
      <c r="AO135" s="34">
        <f>MAX(F135,G135,750)*0.05*AN135</f>
        <v/>
      </c>
      <c r="AP135" s="34" t="n">
        <v>10.08</v>
      </c>
      <c r="AQ135" s="34" t="n">
        <v>15.5</v>
      </c>
      <c r="AR135" s="34">
        <f>IF(AP135&gt;AQ135*1.05,AP135-AQ135*1.05,IF(AP135&lt;AQ135*0.95,AQ135*0.95-AP135,0))</f>
        <v/>
      </c>
      <c r="AS135" s="34">
        <f>MAX(F135:G135,750)*0.05*AR135</f>
        <v/>
      </c>
      <c r="AT135" t="n">
        <v>10</v>
      </c>
      <c r="AU135" s="34">
        <f>IF(AP135&gt;AT135*1.05,AP135-AT135*1.05,IF(AP135&lt;AT135*0.95,AT135*0.95-AP135,0))</f>
        <v/>
      </c>
      <c r="AV135" s="34">
        <f>MAX(F135:G135,750)*0.05*AU135</f>
        <v/>
      </c>
      <c r="AW135" s="34">
        <f>AC135+AJ135+AQ135</f>
        <v/>
      </c>
      <c r="AX135" s="34">
        <f>AF135+AM135+AT135</f>
        <v/>
      </c>
      <c r="AY135" s="34">
        <f>AB135+AI135+AP135</f>
        <v/>
      </c>
      <c r="AZ135" s="34" t="n">
        <v>0</v>
      </c>
      <c r="BA135" s="34">
        <f>AD135+AK135+AR135</f>
        <v/>
      </c>
      <c r="BB135" s="34">
        <f>MAX(F135:G135,750)*0.05*BA135</f>
        <v/>
      </c>
      <c r="BC135" s="34">
        <f>AG135+AN135+AU135</f>
        <v/>
      </c>
      <c r="BD135" s="34">
        <f>MAX(F135:G135,750)*0.05*BC135</f>
        <v/>
      </c>
      <c r="BE135" s="34">
        <f>F135*AY135</f>
        <v/>
      </c>
      <c r="BF135" s="34">
        <f>K135-M135</f>
        <v/>
      </c>
      <c r="BG135" s="34">
        <f>P135-S135</f>
        <v/>
      </c>
      <c r="BH135" s="34">
        <f>W135-AA135</f>
        <v/>
      </c>
      <c r="BI135" s="34">
        <f>BF135+BG135+BL135-BN135</f>
        <v/>
      </c>
      <c r="BJ135" s="34">
        <f>ABS(BK135)</f>
        <v/>
      </c>
      <c r="BK135" s="34">
        <f>AY135-(J135-L135+N135-Q135)</f>
        <v/>
      </c>
      <c r="BL135" s="34">
        <f>IF(AND(BK135&gt;0,MIN($F135:$G135)&lt;150,$E135="Enerji Açığı"),-100*BK135*1.03,IF(AND(BK135&gt;0,MIN($F135:$G135)&lt;150,$E135="Enerji Fazlası"),-100*BK135*1.06,IF(AND(BK135&gt;0,MIN($F135:$G135)&gt;=150,$E135="Enerji Açığı"),BK135*MIN($F135:$G135)*0.97,IF(AND(BK135&gt;0,MIN($F135:$G135)&gt;=150,$E135="Enerji Fazlası"),BK135*MIN($F135:$G135)*0.94,IF(AND(BK135&lt;0,MAX($F135:$G135)=4500,$E135="Enerji Açığı"),4500*1.05*1.06*BK135,IF(AND(BK135&lt;0,MAX($F135:$G135)=4500,$E135="Enerji Fazlası"),4500*1.05*1.03*BK135,IF(AND(BK135&lt;0,$E135="Enerji Açığı"),MAX($F135,$G135,150)*BK135*1.06,IF(AND(BK135&lt;0,$E135="Enerji Fazlası"),MAX($F135,$G135,150)*BK135*1.03,IF(AND(BK135&lt;0,$E135="Dengede"),MAX($F135:$G135,150)*1.03*BK135,MIN($F135:$G135)*0.97*BK135)))))))))</f>
        <v/>
      </c>
      <c r="BM135" s="34">
        <f>BE135-BI135-BN135</f>
        <v/>
      </c>
      <c r="BN135" s="34">
        <f>BB135</f>
        <v/>
      </c>
      <c r="BO135" s="34">
        <f>BE135-BI135</f>
        <v/>
      </c>
      <c r="BP135" s="34">
        <f>IF(AY135=0,0,BO135/AY135)</f>
        <v/>
      </c>
      <c r="BQ135" s="34">
        <f>MAX((AY135+MAX((-J135+L135-N135+Q135),0)),(MAX((J135-L135+N135-Q135),0)))</f>
        <v/>
      </c>
      <c r="BR135" s="82">
        <f>IFERROR(ABS(BK135/BQ135),0)</f>
        <v/>
      </c>
      <c r="BS135" s="34">
        <f>IF(BR135&lt;=0.1,0,BK135/BR135*(BR135-0.1))</f>
        <v/>
      </c>
      <c r="BT135" s="34">
        <f>IF((BS135)&lt;0,MAX(F135:G135)*(BS135)*1.03,MIN(F135:G135)*(BS135)*0.97)</f>
        <v/>
      </c>
      <c r="BU135" s="34">
        <f>IF(BR135&gt;0.1,1,0)</f>
        <v/>
      </c>
      <c r="BV135" s="34">
        <f>BF135+BG135+BH135+BY135-CA135</f>
        <v/>
      </c>
      <c r="BW135" s="34">
        <f>ABS(BX135)</f>
        <v/>
      </c>
      <c r="BX135" s="34">
        <f>AY135-(J135-L135+N135-Q135+T135-X135)</f>
        <v/>
      </c>
      <c r="BY135" s="34">
        <f>IF(AND(BX135&gt;0,MIN($F135:$G135)&lt;150,$E135="Enerji Açığı"),-100*BX135*1.03,IF(AND(BX135&gt;0,MIN($F135:$G135)&lt;150,$E135="Enerji Fazlası"),-100*BX135*1.06,IF(AND(BX135&gt;0,MIN($F135:$G135)&gt;=150,$E135="Enerji Açığı"),BX135*MIN($F135:$G135)*0.97,IF(AND(BX135&gt;0,MIN($F135:$G135)&gt;=150,$E135="Enerji Fazlası"),BX135*MIN($F135:$G135)*0.94,IF(AND(BX135&lt;0,MAX($F135:$G135)=4500,$E135="Enerji Açığı"),4500*1.05*1.06*BX135,IF(AND(BX135&lt;0,MAX($F135:$G135)=4500,$E135="Enerji Fazlası"),4500*1.05*1.03*BX135,IF(AND(BX135&lt;0,$E135="Enerji Açığı"),MAX($F135,$G135,150)*BX135*1.06,IF(AND(BX135&lt;0,$E135="Enerji Fazlası"),MAX($F135,$G135,150)*BX135*1.03,IF(AND(BX135&lt;0,$E135="Dengede"),MAX($F135:$G135,150)*1.03*BX135,MIN($F135:$G135)*0.97*BX135)))))))))</f>
        <v/>
      </c>
      <c r="BZ135" s="34">
        <f>BE135-BV135-CA135</f>
        <v/>
      </c>
      <c r="CA135" s="34">
        <f>BD135</f>
        <v/>
      </c>
      <c r="CB135" s="33">
        <f>BE135-BV135</f>
        <v/>
      </c>
      <c r="CC135" s="34">
        <f>IF(AY135=0,0,CB135/AY135)</f>
        <v/>
      </c>
      <c r="CD135" s="34">
        <f>MAX((AY135+MAX((-J135+L135-N135+Q135-T135+X135),0)),(MAX((J135-L135+N135-Q135+T135-X135),0)))</f>
        <v/>
      </c>
      <c r="CE135" s="82">
        <f>IFERROR(ABS(BX135/CD135),0)</f>
        <v/>
      </c>
      <c r="CF135" s="34">
        <f>IF(CE135&lt;=0.1,0,BX135/CE135*(CE135-0.1))</f>
        <v/>
      </c>
      <c r="CG135" s="34">
        <f>IF((CF135)&lt;0,MAX(F135:G135)*(CF135)*1.03,MIN(F135:G135)*(CF135)*0.97)</f>
        <v/>
      </c>
      <c r="CH135" s="34">
        <f>IF(CE135&gt;0.1,1,0)</f>
        <v/>
      </c>
      <c r="CI135" s="34">
        <f>(F135*BX135)-BY135</f>
        <v/>
      </c>
      <c r="CJ135" s="34">
        <f>IF(AY135=0,0,CI135/AY135)</f>
        <v/>
      </c>
    </row>
    <row r="136">
      <c r="A136" s="29" t="n">
        <v>46209.54166666666</v>
      </c>
      <c r="B136" s="29" t="inlineStr">
        <is>
          <t>13:00</t>
        </is>
      </c>
      <c r="C136" s="35">
        <f>INT(A136)</f>
        <v/>
      </c>
      <c r="D136" s="36">
        <f>MONTH(A136)</f>
        <v/>
      </c>
      <c r="E136" s="147">
        <f>[1]FİYATLAR!G135</f>
        <v/>
      </c>
      <c r="F136" s="30" t="n">
        <v>1400.01</v>
      </c>
      <c r="G136" s="30" t="n">
        <v>500</v>
      </c>
      <c r="H136" s="30" t="n">
        <v>30.02</v>
      </c>
      <c r="I136" s="30" t="n">
        <v>1341.2</v>
      </c>
      <c r="J136" s="119" t="n">
        <v>0</v>
      </c>
      <c r="K136" s="34">
        <f>F136*J136</f>
        <v/>
      </c>
      <c r="L136" s="119" t="n">
        <v>0</v>
      </c>
      <c r="M136" s="34">
        <f>L136*F136</f>
        <v/>
      </c>
      <c r="N136" s="119" t="n">
        <v>25.5</v>
      </c>
      <c r="O136" s="34">
        <f>F136</f>
        <v/>
      </c>
      <c r="P136" s="34">
        <f>N136*O136</f>
        <v/>
      </c>
      <c r="Q136" s="117" t="n">
        <v>0</v>
      </c>
      <c r="R136" s="34">
        <f>F136</f>
        <v/>
      </c>
      <c r="S136" s="34">
        <f>R136*Q136</f>
        <v/>
      </c>
      <c r="T136" s="34">
        <f>SUMIFS('[1]GİP VERİLERİ'!$C:$C,'[1]GİP VERİLERİ'!$B:$B,A136,'[1]GİP VERİLERİ'!$M:$M,"40X000000104782K",'[1]GİP VERİLERİ'!$G:$G,"SELL")</f>
        <v/>
      </c>
      <c r="U136" s="34">
        <f>IFERROR(W136/T136,0)</f>
        <v/>
      </c>
      <c r="V136" s="34">
        <f>IF(U136=0,0,U136-F136)</f>
        <v/>
      </c>
      <c r="W136" s="34">
        <f>SUMIFS('[1]GİP VERİLERİ'!$O:$O,'[1]GİP VERİLERİ'!$B:$B,A136,'[1]GİP VERİLERİ'!$M:$M,"40X000000104782K",'[1]GİP VERİLERİ'!$G:$G,"SELL")</f>
        <v/>
      </c>
      <c r="X136" s="34">
        <f>SUMIFS('[1]GİP VERİLERİ'!$C:$C,'[1]GİP VERİLERİ'!$B:$B,A136,'[1]GİP VERİLERİ'!$M:$M,"40X000000104782K",'[1]GİP VERİLERİ'!$G:$G,"BUY")</f>
        <v/>
      </c>
      <c r="Y136" s="34">
        <f>IFERROR(AA136/X136,0)</f>
        <v/>
      </c>
      <c r="Z136" s="34">
        <f>IF(Y136=0,0,F136-Y136)</f>
        <v/>
      </c>
      <c r="AA136" s="34">
        <f>SUMIFS('[1]GİP VERİLERİ'!$O:$O,'[1]GİP VERİLERİ'!$B:$B,A136,'[1]GİP VERİLERİ'!$M:$M,"40X000000104782K",'[1]GİP VERİLERİ'!$G:$G,"BUY")</f>
        <v/>
      </c>
      <c r="AB136" s="34" t="n">
        <v>0</v>
      </c>
      <c r="AC136" s="34" t="n">
        <v>0</v>
      </c>
      <c r="AD136" s="34">
        <f>IF(AB136&gt;AC136*1.05,AB136-AC136*1.05,IF(AB136&lt;AC136*0.95,AC136*0.95-AB136,0))</f>
        <v/>
      </c>
      <c r="AE136" s="34">
        <f>MAX(F136,G136,750)*0.05*AD136</f>
        <v/>
      </c>
      <c r="AF136" s="34" t="n">
        <v>0</v>
      </c>
      <c r="AG136" s="34">
        <f>IF(AB136&gt;AF136*1.05,AB136-AF136*1.05,IF(AB136&lt;AF136*0.95,AF136*0.95-AB136,0))</f>
        <v/>
      </c>
      <c r="AH136" s="34">
        <f>MAX(I136,J136,750)*0.05*AG136</f>
        <v/>
      </c>
      <c r="AI136" t="n">
        <v>8.48</v>
      </c>
      <c r="AJ136" t="n">
        <v>10</v>
      </c>
      <c r="AK136" s="34">
        <f>IF(AI136&gt;AJ136*1.05,AI136-AJ136*1.05,IF(AI136&lt;AJ136*0.95,AJ136*0.95-AI136,0))</f>
        <v/>
      </c>
      <c r="AL136" s="34">
        <f>MAX(F136,G136,750)*0.05*AK136</f>
        <v/>
      </c>
      <c r="AM136" s="39" t="n">
        <v>8.5</v>
      </c>
      <c r="AN136" s="34">
        <f>IF(AI136&gt;AM136*1.05,AI136-AM136*1.05,IF(AI136&lt;AM136*0.95,AM136*0.95-AI136,0))</f>
        <v/>
      </c>
      <c r="AO136" s="34">
        <f>MAX(F136,G136,750)*0.05*AN136</f>
        <v/>
      </c>
      <c r="AP136" s="34" t="n">
        <v>13.27</v>
      </c>
      <c r="AQ136" s="34" t="n">
        <v>15.5</v>
      </c>
      <c r="AR136" s="34">
        <f>IF(AP136&gt;AQ136*1.05,AP136-AQ136*1.05,IF(AP136&lt;AQ136*0.95,AQ136*0.95-AP136,0))</f>
        <v/>
      </c>
      <c r="AS136" s="34">
        <f>MAX(F136:G136,750)*0.05*AR136</f>
        <v/>
      </c>
      <c r="AT136" t="n">
        <v>13.5</v>
      </c>
      <c r="AU136" s="34">
        <f>IF(AP136&gt;AT136*1.05,AP136-AT136*1.05,IF(AP136&lt;AT136*0.95,AT136*0.95-AP136,0))</f>
        <v/>
      </c>
      <c r="AV136" s="34">
        <f>MAX(F136:G136,750)*0.05*AU136</f>
        <v/>
      </c>
      <c r="AW136" s="34">
        <f>AC136+AJ136+AQ136</f>
        <v/>
      </c>
      <c r="AX136" s="34">
        <f>AF136+AM136+AT136</f>
        <v/>
      </c>
      <c r="AY136" s="34">
        <f>AB136+AI136+AP136</f>
        <v/>
      </c>
      <c r="AZ136" s="34" t="n">
        <v>0</v>
      </c>
      <c r="BA136" s="34">
        <f>AD136+AK136+AR136</f>
        <v/>
      </c>
      <c r="BB136" s="34">
        <f>MAX(F136:G136,750)*0.05*BA136</f>
        <v/>
      </c>
      <c r="BC136" s="34">
        <f>AG136+AN136+AU136</f>
        <v/>
      </c>
      <c r="BD136" s="34">
        <f>MAX(F136:G136,750)*0.05*BC136</f>
        <v/>
      </c>
      <c r="BE136" s="34">
        <f>F136*AY136</f>
        <v/>
      </c>
      <c r="BF136" s="34">
        <f>K136-M136</f>
        <v/>
      </c>
      <c r="BG136" s="34">
        <f>P136-S136</f>
        <v/>
      </c>
      <c r="BH136" s="34">
        <f>W136-AA136</f>
        <v/>
      </c>
      <c r="BI136" s="34">
        <f>BF136+BG136+BL136-BN136</f>
        <v/>
      </c>
      <c r="BJ136" s="34">
        <f>ABS(BK136)</f>
        <v/>
      </c>
      <c r="BK136" s="34">
        <f>AY136-(J136-L136+N136-Q136)</f>
        <v/>
      </c>
      <c r="BL136" s="34">
        <f>IF(AND(BK136&gt;0,MIN($F136:$G136)&lt;150,$E136="Enerji Açığı"),-100*BK136*1.03,IF(AND(BK136&gt;0,MIN($F136:$G136)&lt;150,$E136="Enerji Fazlası"),-100*BK136*1.06,IF(AND(BK136&gt;0,MIN($F136:$G136)&gt;=150,$E136="Enerji Açığı"),BK136*MIN($F136:$G136)*0.97,IF(AND(BK136&gt;0,MIN($F136:$G136)&gt;=150,$E136="Enerji Fazlası"),BK136*MIN($F136:$G136)*0.94,IF(AND(BK136&lt;0,MAX($F136:$G136)=4500,$E136="Enerji Açığı"),4500*1.05*1.06*BK136,IF(AND(BK136&lt;0,MAX($F136:$G136)=4500,$E136="Enerji Fazlası"),4500*1.05*1.03*BK136,IF(AND(BK136&lt;0,$E136="Enerji Açığı"),MAX($F136,$G136,150)*BK136*1.06,IF(AND(BK136&lt;0,$E136="Enerji Fazlası"),MAX($F136,$G136,150)*BK136*1.03,IF(AND(BK136&lt;0,$E136="Dengede"),MAX($F136:$G136,150)*1.03*BK136,MIN($F136:$G136)*0.97*BK136)))))))))</f>
        <v/>
      </c>
      <c r="BM136" s="34">
        <f>BE136-BI136-BN136</f>
        <v/>
      </c>
      <c r="BN136" s="34">
        <f>BB136</f>
        <v/>
      </c>
      <c r="BO136" s="34">
        <f>BE136-BI136</f>
        <v/>
      </c>
      <c r="BP136" s="34">
        <f>IF(AY136=0,0,BO136/AY136)</f>
        <v/>
      </c>
      <c r="BQ136" s="34">
        <f>MAX((AY136+MAX((-J136+L136-N136+Q136),0)),(MAX((J136-L136+N136-Q136),0)))</f>
        <v/>
      </c>
      <c r="BR136" s="82">
        <f>IFERROR(ABS(BK136/BQ136),0)</f>
        <v/>
      </c>
      <c r="BS136" s="34">
        <f>IF(BR136&lt;=0.1,0,BK136/BR136*(BR136-0.1))</f>
        <v/>
      </c>
      <c r="BT136" s="34">
        <f>IF((BS136)&lt;0,MAX(F136:G136)*(BS136)*1.03,MIN(F136:G136)*(BS136)*0.97)</f>
        <v/>
      </c>
      <c r="BU136" s="34">
        <f>IF(BR136&gt;0.1,1,0)</f>
        <v/>
      </c>
      <c r="BV136" s="34">
        <f>BF136+BG136+BH136+BY136-CA136</f>
        <v/>
      </c>
      <c r="BW136" s="34">
        <f>ABS(BX136)</f>
        <v/>
      </c>
      <c r="BX136" s="34">
        <f>AY136-(J136-L136+N136-Q136+T136-X136)</f>
        <v/>
      </c>
      <c r="BY136" s="34">
        <f>IF(AND(BX136&gt;0,MIN($F136:$G136)&lt;150,$E136="Enerji Açığı"),-100*BX136*1.03,IF(AND(BX136&gt;0,MIN($F136:$G136)&lt;150,$E136="Enerji Fazlası"),-100*BX136*1.06,IF(AND(BX136&gt;0,MIN($F136:$G136)&gt;=150,$E136="Enerji Açığı"),BX136*MIN($F136:$G136)*0.97,IF(AND(BX136&gt;0,MIN($F136:$G136)&gt;=150,$E136="Enerji Fazlası"),BX136*MIN($F136:$G136)*0.94,IF(AND(BX136&lt;0,MAX($F136:$G136)=4500,$E136="Enerji Açığı"),4500*1.05*1.06*BX136,IF(AND(BX136&lt;0,MAX($F136:$G136)=4500,$E136="Enerji Fazlası"),4500*1.05*1.03*BX136,IF(AND(BX136&lt;0,$E136="Enerji Açığı"),MAX($F136,$G136,150)*BX136*1.06,IF(AND(BX136&lt;0,$E136="Enerji Fazlası"),MAX($F136,$G136,150)*BX136*1.03,IF(AND(BX136&lt;0,$E136="Dengede"),MAX($F136:$G136,150)*1.03*BX136,MIN($F136:$G136)*0.97*BX136)))))))))</f>
        <v/>
      </c>
      <c r="BZ136" s="34">
        <f>BE136-BV136-CA136</f>
        <v/>
      </c>
      <c r="CA136" s="34">
        <f>BD136</f>
        <v/>
      </c>
      <c r="CB136" s="33">
        <f>BE136-BV136</f>
        <v/>
      </c>
      <c r="CC136" s="34">
        <f>IF(AY136=0,0,CB136/AY136)</f>
        <v/>
      </c>
      <c r="CD136" s="34">
        <f>MAX((AY136+MAX((-J136+L136-N136+Q136-T136+X136),0)),(MAX((J136-L136+N136-Q136+T136-X136),0)))</f>
        <v/>
      </c>
      <c r="CE136" s="82">
        <f>IFERROR(ABS(BX136/CD136),0)</f>
        <v/>
      </c>
      <c r="CF136" s="34">
        <f>IF(CE136&lt;=0.1,0,BX136/CE136*(CE136-0.1))</f>
        <v/>
      </c>
      <c r="CG136" s="34">
        <f>IF((CF136)&lt;0,MAX(F136:G136)*(CF136)*1.03,MIN(F136:G136)*(CF136)*0.97)</f>
        <v/>
      </c>
      <c r="CH136" s="34">
        <f>IF(CE136&gt;0.1,1,0)</f>
        <v/>
      </c>
      <c r="CI136" s="34">
        <f>(F136*BX136)-BY136</f>
        <v/>
      </c>
      <c r="CJ136" s="34">
        <f>IF(AY136=0,0,CI136/AY136)</f>
        <v/>
      </c>
    </row>
    <row r="137">
      <c r="A137" s="29" t="n">
        <v>46209.58333333334</v>
      </c>
      <c r="B137" s="29" t="inlineStr">
        <is>
          <t>14:00</t>
        </is>
      </c>
      <c r="C137" s="35">
        <f>INT(A137)</f>
        <v/>
      </c>
      <c r="D137" s="36">
        <f>MONTH(A137)</f>
        <v/>
      </c>
      <c r="E137" s="147">
        <f>[1]FİYATLAR!G136</f>
        <v/>
      </c>
      <c r="F137" s="30" t="n">
        <v>2518.75</v>
      </c>
      <c r="G137" s="30" t="n">
        <v>500</v>
      </c>
      <c r="H137" s="30" t="n">
        <v>54.01</v>
      </c>
      <c r="I137" s="30" t="n">
        <v>2234.85</v>
      </c>
      <c r="J137" s="119" t="n">
        <v>0</v>
      </c>
      <c r="K137" s="34">
        <f>F137*J137</f>
        <v/>
      </c>
      <c r="L137" s="119" t="n">
        <v>0</v>
      </c>
      <c r="M137" s="34">
        <f>L137*F137</f>
        <v/>
      </c>
      <c r="N137" s="119" t="n">
        <v>25.5</v>
      </c>
      <c r="O137" s="34">
        <f>F137</f>
        <v/>
      </c>
      <c r="P137" s="34">
        <f>N137*O137</f>
        <v/>
      </c>
      <c r="Q137" s="117" t="n">
        <v>0</v>
      </c>
      <c r="R137" s="34">
        <f>F137</f>
        <v/>
      </c>
      <c r="S137" s="34">
        <f>R137*Q137</f>
        <v/>
      </c>
      <c r="T137" s="34">
        <f>SUMIFS('[1]GİP VERİLERİ'!$C:$C,'[1]GİP VERİLERİ'!$B:$B,A137,'[1]GİP VERİLERİ'!$M:$M,"40X000000104782K",'[1]GİP VERİLERİ'!$G:$G,"SELL")</f>
        <v/>
      </c>
      <c r="U137" s="34">
        <f>IFERROR(W137/T137,0)</f>
        <v/>
      </c>
      <c r="V137" s="34">
        <f>IF(U137=0,0,U137-F137)</f>
        <v/>
      </c>
      <c r="W137" s="34">
        <f>SUMIFS('[1]GİP VERİLERİ'!$O:$O,'[1]GİP VERİLERİ'!$B:$B,A137,'[1]GİP VERİLERİ'!$M:$M,"40X000000104782K",'[1]GİP VERİLERİ'!$G:$G,"SELL")</f>
        <v/>
      </c>
      <c r="X137" s="34">
        <f>SUMIFS('[1]GİP VERİLERİ'!$C:$C,'[1]GİP VERİLERİ'!$B:$B,A137,'[1]GİP VERİLERİ'!$M:$M,"40X000000104782K",'[1]GİP VERİLERİ'!$G:$G,"BUY")</f>
        <v/>
      </c>
      <c r="Y137" s="34">
        <f>IFERROR(AA137/X137,0)</f>
        <v/>
      </c>
      <c r="Z137" s="34">
        <f>IF(Y137=0,0,F137-Y137)</f>
        <v/>
      </c>
      <c r="AA137" s="34">
        <f>SUMIFS('[1]GİP VERİLERİ'!$O:$O,'[1]GİP VERİLERİ'!$B:$B,A137,'[1]GİP VERİLERİ'!$M:$M,"40X000000104782K",'[1]GİP VERİLERİ'!$G:$G,"BUY")</f>
        <v/>
      </c>
      <c r="AB137" s="34" t="n">
        <v>0</v>
      </c>
      <c r="AC137" s="34" t="n">
        <v>0</v>
      </c>
      <c r="AD137" s="34">
        <f>IF(AB137&gt;AC137*1.05,AB137-AC137*1.05,IF(AB137&lt;AC137*0.95,AC137*0.95-AB137,0))</f>
        <v/>
      </c>
      <c r="AE137" s="34">
        <f>MAX(F137,G137,750)*0.05*AD137</f>
        <v/>
      </c>
      <c r="AF137" s="34" t="n">
        <v>0</v>
      </c>
      <c r="AG137" s="34">
        <f>IF(AB137&gt;AF137*1.05,AB137-AF137*1.05,IF(AB137&lt;AF137*0.95,AF137*0.95-AB137,0))</f>
        <v/>
      </c>
      <c r="AH137" s="34">
        <f>MAX(I137,J137,750)*0.05*AG137</f>
        <v/>
      </c>
      <c r="AI137" t="n">
        <v>8.140000000000001</v>
      </c>
      <c r="AJ137" t="n">
        <v>10</v>
      </c>
      <c r="AK137" s="34">
        <f>IF(AI137&gt;AJ137*1.05,AI137-AJ137*1.05,IF(AI137&lt;AJ137*0.95,AJ137*0.95-AI137,0))</f>
        <v/>
      </c>
      <c r="AL137" s="34">
        <f>MAX(F137,G137,750)*0.05*AK137</f>
        <v/>
      </c>
      <c r="AM137" s="39" t="n">
        <v>8</v>
      </c>
      <c r="AN137" s="34">
        <f>IF(AI137&gt;AM137*1.05,AI137-AM137*1.05,IF(AI137&lt;AM137*0.95,AM137*0.95-AI137,0))</f>
        <v/>
      </c>
      <c r="AO137" s="34">
        <f>MAX(F137,G137,750)*0.05*AN137</f>
        <v/>
      </c>
      <c r="AP137" s="34" t="n">
        <v>13.23</v>
      </c>
      <c r="AQ137" s="34" t="n">
        <v>15.5</v>
      </c>
      <c r="AR137" s="34">
        <f>IF(AP137&gt;AQ137*1.05,AP137-AQ137*1.05,IF(AP137&lt;AQ137*0.95,AQ137*0.95-AP137,0))</f>
        <v/>
      </c>
      <c r="AS137" s="34">
        <f>MAX(F137:G137,750)*0.05*AR137</f>
        <v/>
      </c>
      <c r="AT137" t="n">
        <v>13.5</v>
      </c>
      <c r="AU137" s="34">
        <f>IF(AP137&gt;AT137*1.05,AP137-AT137*1.05,IF(AP137&lt;AT137*0.95,AT137*0.95-AP137,0))</f>
        <v/>
      </c>
      <c r="AV137" s="34">
        <f>MAX(F137:G137,750)*0.05*AU137</f>
        <v/>
      </c>
      <c r="AW137" s="34">
        <f>AC137+AJ137+AQ137</f>
        <v/>
      </c>
      <c r="AX137" s="34">
        <f>AF137+AM137+AT137</f>
        <v/>
      </c>
      <c r="AY137" s="34">
        <f>AB137+AI137+AP137</f>
        <v/>
      </c>
      <c r="AZ137" s="34" t="n">
        <v>0</v>
      </c>
      <c r="BA137" s="34">
        <f>AD137+AK137+AR137</f>
        <v/>
      </c>
      <c r="BB137" s="34">
        <f>MAX(F137:G137,750)*0.05*BA137</f>
        <v/>
      </c>
      <c r="BC137" s="34">
        <f>AG137+AN137+AU137</f>
        <v/>
      </c>
      <c r="BD137" s="34">
        <f>MAX(F137:G137,750)*0.05*BC137</f>
        <v/>
      </c>
      <c r="BE137" s="34">
        <f>F137*AY137</f>
        <v/>
      </c>
      <c r="BF137" s="34">
        <f>K137-M137</f>
        <v/>
      </c>
      <c r="BG137" s="34">
        <f>P137-S137</f>
        <v/>
      </c>
      <c r="BH137" s="34">
        <f>W137-AA137</f>
        <v/>
      </c>
      <c r="BI137" s="34">
        <f>BF137+BG137+BL137-BN137</f>
        <v/>
      </c>
      <c r="BJ137" s="34">
        <f>ABS(BK137)</f>
        <v/>
      </c>
      <c r="BK137" s="34">
        <f>AY137-(J137-L137+N137-Q137)</f>
        <v/>
      </c>
      <c r="BL137" s="34">
        <f>IF(AND(BK137&gt;0,MIN($F137:$G137)&lt;150,$E137="Enerji Açığı"),-100*BK137*1.03,IF(AND(BK137&gt;0,MIN($F137:$G137)&lt;150,$E137="Enerji Fazlası"),-100*BK137*1.06,IF(AND(BK137&gt;0,MIN($F137:$G137)&gt;=150,$E137="Enerji Açığı"),BK137*MIN($F137:$G137)*0.97,IF(AND(BK137&gt;0,MIN($F137:$G137)&gt;=150,$E137="Enerji Fazlası"),BK137*MIN($F137:$G137)*0.94,IF(AND(BK137&lt;0,MAX($F137:$G137)=4500,$E137="Enerji Açığı"),4500*1.05*1.06*BK137,IF(AND(BK137&lt;0,MAX($F137:$G137)=4500,$E137="Enerji Fazlası"),4500*1.05*1.03*BK137,IF(AND(BK137&lt;0,$E137="Enerji Açığı"),MAX($F137,$G137,150)*BK137*1.06,IF(AND(BK137&lt;0,$E137="Enerji Fazlası"),MAX($F137,$G137,150)*BK137*1.03,IF(AND(BK137&lt;0,$E137="Dengede"),MAX($F137:$G137,150)*1.03*BK137,MIN($F137:$G137)*0.97*BK137)))))))))</f>
        <v/>
      </c>
      <c r="BM137" s="34">
        <f>BE137-BI137-BN137</f>
        <v/>
      </c>
      <c r="BN137" s="34">
        <f>BB137</f>
        <v/>
      </c>
      <c r="BO137" s="34">
        <f>BE137-BI137</f>
        <v/>
      </c>
      <c r="BP137" s="34">
        <f>IF(AY137=0,0,BO137/AY137)</f>
        <v/>
      </c>
      <c r="BQ137" s="34">
        <f>MAX((AY137+MAX((-J137+L137-N137+Q137),0)),(MAX((J137-L137+N137-Q137),0)))</f>
        <v/>
      </c>
      <c r="BR137" s="82">
        <f>IFERROR(ABS(BK137/BQ137),0)</f>
        <v/>
      </c>
      <c r="BS137" s="34">
        <f>IF(BR137&lt;=0.1,0,BK137/BR137*(BR137-0.1))</f>
        <v/>
      </c>
      <c r="BT137" s="34">
        <f>IF((BS137)&lt;0,MAX(F137:G137)*(BS137)*1.03,MIN(F137:G137)*(BS137)*0.97)</f>
        <v/>
      </c>
      <c r="BU137" s="34">
        <f>IF(BR137&gt;0.1,1,0)</f>
        <v/>
      </c>
      <c r="BV137" s="34">
        <f>BF137+BG137+BH137+BY137-CA137</f>
        <v/>
      </c>
      <c r="BW137" s="34">
        <f>ABS(BX137)</f>
        <v/>
      </c>
      <c r="BX137" s="34">
        <f>AY137-(J137-L137+N137-Q137+T137-X137)</f>
        <v/>
      </c>
      <c r="BY137" s="34">
        <f>IF(AND(BX137&gt;0,MIN($F137:$G137)&lt;150,$E137="Enerji Açığı"),-100*BX137*1.03,IF(AND(BX137&gt;0,MIN($F137:$G137)&lt;150,$E137="Enerji Fazlası"),-100*BX137*1.06,IF(AND(BX137&gt;0,MIN($F137:$G137)&gt;=150,$E137="Enerji Açığı"),BX137*MIN($F137:$G137)*0.97,IF(AND(BX137&gt;0,MIN($F137:$G137)&gt;=150,$E137="Enerji Fazlası"),BX137*MIN($F137:$G137)*0.94,IF(AND(BX137&lt;0,MAX($F137:$G137)=4500,$E137="Enerji Açığı"),4500*1.05*1.06*BX137,IF(AND(BX137&lt;0,MAX($F137:$G137)=4500,$E137="Enerji Fazlası"),4500*1.05*1.03*BX137,IF(AND(BX137&lt;0,$E137="Enerji Açığı"),MAX($F137,$G137,150)*BX137*1.06,IF(AND(BX137&lt;0,$E137="Enerji Fazlası"),MAX($F137,$G137,150)*BX137*1.03,IF(AND(BX137&lt;0,$E137="Dengede"),MAX($F137:$G137,150)*1.03*BX137,MIN($F137:$G137)*0.97*BX137)))))))))</f>
        <v/>
      </c>
      <c r="BZ137" s="34">
        <f>BE137-BV137-CA137</f>
        <v/>
      </c>
      <c r="CA137" s="34">
        <f>BD137</f>
        <v/>
      </c>
      <c r="CB137" s="33">
        <f>BE137-BV137</f>
        <v/>
      </c>
      <c r="CC137" s="34">
        <f>IF(AY137=0,0,CB137/AY137)</f>
        <v/>
      </c>
      <c r="CD137" s="34">
        <f>MAX((AY137+MAX((-J137+L137-N137+Q137-T137+X137),0)),(MAX((J137-L137+N137-Q137+T137-X137),0)))</f>
        <v/>
      </c>
      <c r="CE137" s="82">
        <f>IFERROR(ABS(BX137/CD137),0)</f>
        <v/>
      </c>
      <c r="CF137" s="34">
        <f>IF(CE137&lt;=0.1,0,BX137/CE137*(CE137-0.1))</f>
        <v/>
      </c>
      <c r="CG137" s="34">
        <f>IF((CF137)&lt;0,MAX(F137:G137)*(CF137)*1.03,MIN(F137:G137)*(CF137)*0.97)</f>
        <v/>
      </c>
      <c r="CH137" s="34">
        <f>IF(CE137&gt;0.1,1,0)</f>
        <v/>
      </c>
      <c r="CI137" s="34">
        <f>(F137*BX137)-BY137</f>
        <v/>
      </c>
      <c r="CJ137" s="34">
        <f>IF(AY137=0,0,CI137/AY137)</f>
        <v/>
      </c>
    </row>
    <row r="138">
      <c r="A138" s="29" t="n">
        <v>46209.625</v>
      </c>
      <c r="B138" s="29" t="inlineStr">
        <is>
          <t>15:00</t>
        </is>
      </c>
      <c r="C138" s="35">
        <f>INT(A138)</f>
        <v/>
      </c>
      <c r="D138" s="36">
        <f>MONTH(A138)</f>
        <v/>
      </c>
      <c r="E138" s="147">
        <f>[1]FİYATLAR!G137</f>
        <v/>
      </c>
      <c r="F138" s="30" t="n">
        <v>2397.18</v>
      </c>
      <c r="G138" s="30" t="n">
        <v>3600</v>
      </c>
      <c r="H138" s="30" t="n">
        <v>51.4</v>
      </c>
      <c r="I138" s="30" t="n">
        <v>2118.35</v>
      </c>
      <c r="J138" s="119" t="n">
        <v>0</v>
      </c>
      <c r="K138" s="34">
        <f>F138*J138</f>
        <v/>
      </c>
      <c r="L138" s="119" t="n">
        <v>0</v>
      </c>
      <c r="M138" s="34">
        <f>L138*F138</f>
        <v/>
      </c>
      <c r="N138" s="119" t="n">
        <v>25.3</v>
      </c>
      <c r="O138" s="34">
        <f>F138</f>
        <v/>
      </c>
      <c r="P138" s="34">
        <f>N138*O138</f>
        <v/>
      </c>
      <c r="Q138" s="117" t="n">
        <v>0</v>
      </c>
      <c r="R138" s="34">
        <f>F138</f>
        <v/>
      </c>
      <c r="S138" s="34">
        <f>R138*Q138</f>
        <v/>
      </c>
      <c r="T138" s="34">
        <f>SUMIFS('[1]GİP VERİLERİ'!$C:$C,'[1]GİP VERİLERİ'!$B:$B,A138,'[1]GİP VERİLERİ'!$M:$M,"40X000000104782K",'[1]GİP VERİLERİ'!$G:$G,"SELL")</f>
        <v/>
      </c>
      <c r="U138" s="34">
        <f>IFERROR(W138/T138,0)</f>
        <v/>
      </c>
      <c r="V138" s="34">
        <f>IF(U138=0,0,U138-F138)</f>
        <v/>
      </c>
      <c r="W138" s="34">
        <f>SUMIFS('[1]GİP VERİLERİ'!$O:$O,'[1]GİP VERİLERİ'!$B:$B,A138,'[1]GİP VERİLERİ'!$M:$M,"40X000000104782K",'[1]GİP VERİLERİ'!$G:$G,"SELL")</f>
        <v/>
      </c>
      <c r="X138" s="34">
        <f>SUMIFS('[1]GİP VERİLERİ'!$C:$C,'[1]GİP VERİLERİ'!$B:$B,A138,'[1]GİP VERİLERİ'!$M:$M,"40X000000104782K",'[1]GİP VERİLERİ'!$G:$G,"BUY")</f>
        <v/>
      </c>
      <c r="Y138" s="34">
        <f>IFERROR(AA138/X138,0)</f>
        <v/>
      </c>
      <c r="Z138" s="34">
        <f>IF(Y138=0,0,F138-Y138)</f>
        <v/>
      </c>
      <c r="AA138" s="34">
        <f>SUMIFS('[1]GİP VERİLERİ'!$O:$O,'[1]GİP VERİLERİ'!$B:$B,A138,'[1]GİP VERİLERİ'!$M:$M,"40X000000104782K",'[1]GİP VERİLERİ'!$G:$G,"BUY")</f>
        <v/>
      </c>
      <c r="AB138" s="34" t="n">
        <v>0</v>
      </c>
      <c r="AC138" s="34" t="n">
        <v>0</v>
      </c>
      <c r="AD138" s="34">
        <f>IF(AB138&gt;AC138*1.05,AB138-AC138*1.05,IF(AB138&lt;AC138*0.95,AC138*0.95-AB138,0))</f>
        <v/>
      </c>
      <c r="AE138" s="34">
        <f>MAX(F138,G138,750)*0.05*AD138</f>
        <v/>
      </c>
      <c r="AF138" s="34" t="n">
        <v>0</v>
      </c>
      <c r="AG138" s="34">
        <f>IF(AB138&gt;AF138*1.05,AB138-AF138*1.05,IF(AB138&lt;AF138*0.95,AF138*0.95-AB138,0))</f>
        <v/>
      </c>
      <c r="AH138" s="34">
        <f>MAX(I138,J138,750)*0.05*AG138</f>
        <v/>
      </c>
      <c r="AI138" t="n">
        <v>7.37</v>
      </c>
      <c r="AJ138" t="n">
        <v>10</v>
      </c>
      <c r="AK138" s="34">
        <f>IF(AI138&gt;AJ138*1.05,AI138-AJ138*1.05,IF(AI138&lt;AJ138*0.95,AJ138*0.95-AI138,0))</f>
        <v/>
      </c>
      <c r="AL138" s="34">
        <f>MAX(F138,G138,750)*0.05*AK138</f>
        <v/>
      </c>
      <c r="AM138" s="39" t="n">
        <v>7</v>
      </c>
      <c r="AN138" s="34">
        <f>IF(AI138&gt;AM138*1.05,AI138-AM138*1.05,IF(AI138&lt;AM138*0.95,AM138*0.95-AI138,0))</f>
        <v/>
      </c>
      <c r="AO138" s="34">
        <f>MAX(F138,G138,750)*0.05*AN138</f>
        <v/>
      </c>
      <c r="AP138" s="34" t="n">
        <v>8.76</v>
      </c>
      <c r="AQ138" s="34" t="n">
        <v>15.3</v>
      </c>
      <c r="AR138" s="34">
        <f>IF(AP138&gt;AQ138*1.05,AP138-AQ138*1.05,IF(AP138&lt;AQ138*0.95,AQ138*0.95-AP138,0))</f>
        <v/>
      </c>
      <c r="AS138" s="34">
        <f>MAX(F138:G138,750)*0.05*AR138</f>
        <v/>
      </c>
      <c r="AT138" t="n">
        <v>9</v>
      </c>
      <c r="AU138" s="34">
        <f>IF(AP138&gt;AT138*1.05,AP138-AT138*1.05,IF(AP138&lt;AT138*0.95,AT138*0.95-AP138,0))</f>
        <v/>
      </c>
      <c r="AV138" s="34">
        <f>MAX(F138:G138,750)*0.05*AU138</f>
        <v/>
      </c>
      <c r="AW138" s="34">
        <f>AC138+AJ138+AQ138</f>
        <v/>
      </c>
      <c r="AX138" s="34">
        <f>AF138+AM138+AT138</f>
        <v/>
      </c>
      <c r="AY138" s="34">
        <f>AB138+AI138+AP138</f>
        <v/>
      </c>
      <c r="AZ138" s="34" t="n">
        <v>0</v>
      </c>
      <c r="BA138" s="34">
        <f>AD138+AK138+AR138</f>
        <v/>
      </c>
      <c r="BB138" s="34">
        <f>MAX(F138:G138,750)*0.05*BA138</f>
        <v/>
      </c>
      <c r="BC138" s="34">
        <f>AG138+AN138+AU138</f>
        <v/>
      </c>
      <c r="BD138" s="34">
        <f>MAX(F138:G138,750)*0.05*BC138</f>
        <v/>
      </c>
      <c r="BE138" s="34">
        <f>F138*AY138</f>
        <v/>
      </c>
      <c r="BF138" s="34">
        <f>K138-M138</f>
        <v/>
      </c>
      <c r="BG138" s="34">
        <f>P138-S138</f>
        <v/>
      </c>
      <c r="BH138" s="34">
        <f>W138-AA138</f>
        <v/>
      </c>
      <c r="BI138" s="34">
        <f>BF138+BG138+BL138-BN138</f>
        <v/>
      </c>
      <c r="BJ138" s="34">
        <f>ABS(BK138)</f>
        <v/>
      </c>
      <c r="BK138" s="34">
        <f>AY138-(J138-L138+N138-Q138)</f>
        <v/>
      </c>
      <c r="BL138" s="34">
        <f>IF(AND(BK138&gt;0,MIN($F138:$G138)&lt;150,$E138="Enerji Açığı"),-100*BK138*1.03,IF(AND(BK138&gt;0,MIN($F138:$G138)&lt;150,$E138="Enerji Fazlası"),-100*BK138*1.06,IF(AND(BK138&gt;0,MIN($F138:$G138)&gt;=150,$E138="Enerji Açığı"),BK138*MIN($F138:$G138)*0.97,IF(AND(BK138&gt;0,MIN($F138:$G138)&gt;=150,$E138="Enerji Fazlası"),BK138*MIN($F138:$G138)*0.94,IF(AND(BK138&lt;0,MAX($F138:$G138)=4500,$E138="Enerji Açığı"),4500*1.05*1.06*BK138,IF(AND(BK138&lt;0,MAX($F138:$G138)=4500,$E138="Enerji Fazlası"),4500*1.05*1.03*BK138,IF(AND(BK138&lt;0,$E138="Enerji Açığı"),MAX($F138,$G138,150)*BK138*1.06,IF(AND(BK138&lt;0,$E138="Enerji Fazlası"),MAX($F138,$G138,150)*BK138*1.03,IF(AND(BK138&lt;0,$E138="Dengede"),MAX($F138:$G138,150)*1.03*BK138,MIN($F138:$G138)*0.97*BK138)))))))))</f>
        <v/>
      </c>
      <c r="BM138" s="34">
        <f>BE138-BI138-BN138</f>
        <v/>
      </c>
      <c r="BN138" s="34">
        <f>BB138</f>
        <v/>
      </c>
      <c r="BO138" s="34">
        <f>BE138-BI138</f>
        <v/>
      </c>
      <c r="BP138" s="34">
        <f>IF(AY138=0,0,BO138/AY138)</f>
        <v/>
      </c>
      <c r="BQ138" s="34">
        <f>MAX((AY138+MAX((-J138+L138-N138+Q138),0)),(MAX((J138-L138+N138-Q138),0)))</f>
        <v/>
      </c>
      <c r="BR138" s="82">
        <f>IFERROR(ABS(BK138/BQ138),0)</f>
        <v/>
      </c>
      <c r="BS138" s="34">
        <f>IF(BR138&lt;=0.1,0,BK138/BR138*(BR138-0.1))</f>
        <v/>
      </c>
      <c r="BT138" s="34">
        <f>IF((BS138)&lt;0,MAX(F138:G138)*(BS138)*1.03,MIN(F138:G138)*(BS138)*0.97)</f>
        <v/>
      </c>
      <c r="BU138" s="34">
        <f>IF(BR138&gt;0.1,1,0)</f>
        <v/>
      </c>
      <c r="BV138" s="34">
        <f>BF138+BG138+BH138+BY138-CA138</f>
        <v/>
      </c>
      <c r="BW138" s="34">
        <f>ABS(BX138)</f>
        <v/>
      </c>
      <c r="BX138" s="34">
        <f>AY138-(J138-L138+N138-Q138+T138-X138)</f>
        <v/>
      </c>
      <c r="BY138" s="34">
        <f>IF(AND(BX138&gt;0,MIN($F138:$G138)&lt;150,$E138="Enerji Açığı"),-100*BX138*1.03,IF(AND(BX138&gt;0,MIN($F138:$G138)&lt;150,$E138="Enerji Fazlası"),-100*BX138*1.06,IF(AND(BX138&gt;0,MIN($F138:$G138)&gt;=150,$E138="Enerji Açığı"),BX138*MIN($F138:$G138)*0.97,IF(AND(BX138&gt;0,MIN($F138:$G138)&gt;=150,$E138="Enerji Fazlası"),BX138*MIN($F138:$G138)*0.94,IF(AND(BX138&lt;0,MAX($F138:$G138)=4500,$E138="Enerji Açığı"),4500*1.05*1.06*BX138,IF(AND(BX138&lt;0,MAX($F138:$G138)=4500,$E138="Enerji Fazlası"),4500*1.05*1.03*BX138,IF(AND(BX138&lt;0,$E138="Enerji Açığı"),MAX($F138,$G138,150)*BX138*1.06,IF(AND(BX138&lt;0,$E138="Enerji Fazlası"),MAX($F138,$G138,150)*BX138*1.03,IF(AND(BX138&lt;0,$E138="Dengede"),MAX($F138:$G138,150)*1.03*BX138,MIN($F138:$G138)*0.97*BX138)))))))))</f>
        <v/>
      </c>
      <c r="BZ138" s="34">
        <f>BE138-BV138-CA138</f>
        <v/>
      </c>
      <c r="CA138" s="34">
        <f>BD138</f>
        <v/>
      </c>
      <c r="CB138" s="33">
        <f>BE138-BV138</f>
        <v/>
      </c>
      <c r="CC138" s="34">
        <f>IF(AY138=0,0,CB138/AY138)</f>
        <v/>
      </c>
      <c r="CD138" s="34">
        <f>MAX((AY138+MAX((-J138+L138-N138+Q138-T138+X138),0)),(MAX((J138-L138+N138-Q138+T138-X138),0)))</f>
        <v/>
      </c>
      <c r="CE138" s="82">
        <f>IFERROR(ABS(BX138/CD138),0)</f>
        <v/>
      </c>
      <c r="CF138" s="34">
        <f>IF(CE138&lt;=0.1,0,BX138/CE138*(CE138-0.1))</f>
        <v/>
      </c>
      <c r="CG138" s="34">
        <f>IF((CF138)&lt;0,MAX(F138:G138)*(CF138)*1.03,MIN(F138:G138)*(CF138)*0.97)</f>
        <v/>
      </c>
      <c r="CH138" s="34">
        <f>IF(CE138&gt;0.1,1,0)</f>
        <v/>
      </c>
      <c r="CI138" s="34">
        <f>(F138*BX138)-BY138</f>
        <v/>
      </c>
      <c r="CJ138" s="34">
        <f>IF(AY138=0,0,CI138/AY138)</f>
        <v/>
      </c>
    </row>
    <row r="139">
      <c r="A139" s="29" t="n">
        <v>46209.66666666666</v>
      </c>
      <c r="B139" s="29" t="inlineStr">
        <is>
          <t>16:00</t>
        </is>
      </c>
      <c r="C139" s="35">
        <f>INT(A139)</f>
        <v/>
      </c>
      <c r="D139" s="36">
        <f>MONTH(A139)</f>
        <v/>
      </c>
      <c r="E139" s="147">
        <f>[1]FİYATLAR!G138</f>
        <v/>
      </c>
      <c r="F139" s="30" t="n">
        <v>2099.99</v>
      </c>
      <c r="G139" s="30" t="n">
        <v>500</v>
      </c>
      <c r="H139" s="30" t="n">
        <v>45.03</v>
      </c>
      <c r="I139" s="30" t="n">
        <v>1877.54</v>
      </c>
      <c r="J139" s="119" t="n">
        <v>0</v>
      </c>
      <c r="K139" s="34">
        <f>F139*J139</f>
        <v/>
      </c>
      <c r="L139" s="119" t="n">
        <v>0</v>
      </c>
      <c r="M139" s="34">
        <f>L139*F139</f>
        <v/>
      </c>
      <c r="N139" s="119" t="n">
        <v>24</v>
      </c>
      <c r="O139" s="34">
        <f>F139</f>
        <v/>
      </c>
      <c r="P139" s="34">
        <f>N139*O139</f>
        <v/>
      </c>
      <c r="Q139" s="117" t="n">
        <v>0</v>
      </c>
      <c r="R139" s="34">
        <f>F139</f>
        <v/>
      </c>
      <c r="S139" s="34">
        <f>R139*Q139</f>
        <v/>
      </c>
      <c r="T139" s="34">
        <f>SUMIFS('[1]GİP VERİLERİ'!$C:$C,'[1]GİP VERİLERİ'!$B:$B,A139,'[1]GİP VERİLERİ'!$M:$M,"40X000000104782K",'[1]GİP VERİLERİ'!$G:$G,"SELL")</f>
        <v/>
      </c>
      <c r="U139" s="34">
        <f>IFERROR(W139/T139,0)</f>
        <v/>
      </c>
      <c r="V139" s="34">
        <f>IF(U139=0,0,U139-F139)</f>
        <v/>
      </c>
      <c r="W139" s="34">
        <f>SUMIFS('[1]GİP VERİLERİ'!$O:$O,'[1]GİP VERİLERİ'!$B:$B,A139,'[1]GİP VERİLERİ'!$M:$M,"40X000000104782K",'[1]GİP VERİLERİ'!$G:$G,"SELL")</f>
        <v/>
      </c>
      <c r="X139" s="34">
        <f>SUMIFS('[1]GİP VERİLERİ'!$C:$C,'[1]GİP VERİLERİ'!$B:$B,A139,'[1]GİP VERİLERİ'!$M:$M,"40X000000104782K",'[1]GİP VERİLERİ'!$G:$G,"BUY")</f>
        <v/>
      </c>
      <c r="Y139" s="34">
        <f>IFERROR(AA139/X139,0)</f>
        <v/>
      </c>
      <c r="Z139" s="34">
        <f>IF(Y139=0,0,F139-Y139)</f>
        <v/>
      </c>
      <c r="AA139" s="34">
        <f>SUMIFS('[1]GİP VERİLERİ'!$O:$O,'[1]GİP VERİLERİ'!$B:$B,A139,'[1]GİP VERİLERİ'!$M:$M,"40X000000104782K",'[1]GİP VERİLERİ'!$G:$G,"BUY")</f>
        <v/>
      </c>
      <c r="AB139" s="34" t="n">
        <v>0</v>
      </c>
      <c r="AC139" s="34" t="n">
        <v>0</v>
      </c>
      <c r="AD139" s="34">
        <f>IF(AB139&gt;AC139*1.05,AB139-AC139*1.05,IF(AB139&lt;AC139*0.95,AC139*0.95-AB139,0))</f>
        <v/>
      </c>
      <c r="AE139" s="34">
        <f>MAX(F139,G139,750)*0.05*AD139</f>
        <v/>
      </c>
      <c r="AF139" s="34" t="n">
        <v>0</v>
      </c>
      <c r="AG139" s="34">
        <f>IF(AB139&gt;AF139*1.05,AB139-AF139*1.05,IF(AB139&lt;AF139*0.95,AF139*0.95-AB139,0))</f>
        <v/>
      </c>
      <c r="AH139" s="34">
        <f>MAX(I139,J139,750)*0.05*AG139</f>
        <v/>
      </c>
      <c r="AI139" t="n">
        <v>5.23</v>
      </c>
      <c r="AJ139" t="n">
        <v>10</v>
      </c>
      <c r="AK139" s="34">
        <f>IF(AI139&gt;AJ139*1.05,AI139-AJ139*1.05,IF(AI139&lt;AJ139*0.95,AJ139*0.95-AI139,0))</f>
        <v/>
      </c>
      <c r="AL139" s="34">
        <f>MAX(F139,G139,750)*0.05*AK139</f>
        <v/>
      </c>
      <c r="AM139" s="39" t="n">
        <v>5</v>
      </c>
      <c r="AN139" s="34">
        <f>IF(AI139&gt;AM139*1.05,AI139-AM139*1.05,IF(AI139&lt;AM139*0.95,AM139*0.95-AI139,0))</f>
        <v/>
      </c>
      <c r="AO139" s="34">
        <f>MAX(F139,G139,750)*0.05*AN139</f>
        <v/>
      </c>
      <c r="AP139" s="34" t="n">
        <v>8.890000000000001</v>
      </c>
      <c r="AQ139" s="34" t="n">
        <v>14</v>
      </c>
      <c r="AR139" s="34">
        <f>IF(AP139&gt;AQ139*1.05,AP139-AQ139*1.05,IF(AP139&lt;AQ139*0.95,AQ139*0.95-AP139,0))</f>
        <v/>
      </c>
      <c r="AS139" s="34">
        <f>MAX(F139:G139,750)*0.05*AR139</f>
        <v/>
      </c>
      <c r="AT139" t="n">
        <v>9</v>
      </c>
      <c r="AU139" s="34">
        <f>IF(AP139&gt;AT139*1.05,AP139-AT139*1.05,IF(AP139&lt;AT139*0.95,AT139*0.95-AP139,0))</f>
        <v/>
      </c>
      <c r="AV139" s="34">
        <f>MAX(F139:G139,750)*0.05*AU139</f>
        <v/>
      </c>
      <c r="AW139" s="34">
        <f>AC139+AJ139+AQ139</f>
        <v/>
      </c>
      <c r="AX139" s="34">
        <f>AF139+AM139+AT139</f>
        <v/>
      </c>
      <c r="AY139" s="34">
        <f>AB139+AI139+AP139</f>
        <v/>
      </c>
      <c r="AZ139" s="34" t="n">
        <v>0</v>
      </c>
      <c r="BA139" s="34">
        <f>AD139+AK139+AR139</f>
        <v/>
      </c>
      <c r="BB139" s="34">
        <f>MAX(F139:G139,750)*0.05*BA139</f>
        <v/>
      </c>
      <c r="BC139" s="34">
        <f>AG139+AN139+AU139</f>
        <v/>
      </c>
      <c r="BD139" s="34">
        <f>MAX(F139:G139,750)*0.05*BC139</f>
        <v/>
      </c>
      <c r="BE139" s="34">
        <f>F139*AY139</f>
        <v/>
      </c>
      <c r="BF139" s="34">
        <f>K139-M139</f>
        <v/>
      </c>
      <c r="BG139" s="34">
        <f>P139-S139</f>
        <v/>
      </c>
      <c r="BH139" s="34">
        <f>W139-AA139</f>
        <v/>
      </c>
      <c r="BI139" s="34">
        <f>BF139+BG139+BL139-BN139</f>
        <v/>
      </c>
      <c r="BJ139" s="34">
        <f>ABS(BK139)</f>
        <v/>
      </c>
      <c r="BK139" s="34">
        <f>AY139-(J139-L139+N139-Q139)</f>
        <v/>
      </c>
      <c r="BL139" s="34">
        <f>IF(AND(BK139&gt;0,MIN($F139:$G139)&lt;150,$E139="Enerji Açığı"),-100*BK139*1.03,IF(AND(BK139&gt;0,MIN($F139:$G139)&lt;150,$E139="Enerji Fazlası"),-100*BK139*1.06,IF(AND(BK139&gt;0,MIN($F139:$G139)&gt;=150,$E139="Enerji Açığı"),BK139*MIN($F139:$G139)*0.97,IF(AND(BK139&gt;0,MIN($F139:$G139)&gt;=150,$E139="Enerji Fazlası"),BK139*MIN($F139:$G139)*0.94,IF(AND(BK139&lt;0,MAX($F139:$G139)=4500,$E139="Enerji Açığı"),4500*1.05*1.06*BK139,IF(AND(BK139&lt;0,MAX($F139:$G139)=4500,$E139="Enerji Fazlası"),4500*1.05*1.03*BK139,IF(AND(BK139&lt;0,$E139="Enerji Açığı"),MAX($F139,$G139,150)*BK139*1.06,IF(AND(BK139&lt;0,$E139="Enerji Fazlası"),MAX($F139,$G139,150)*BK139*1.03,IF(AND(BK139&lt;0,$E139="Dengede"),MAX($F139:$G139,150)*1.03*BK139,MIN($F139:$G139)*0.97*BK139)))))))))</f>
        <v/>
      </c>
      <c r="BM139" s="34">
        <f>BE139-BI139-BN139</f>
        <v/>
      </c>
      <c r="BN139" s="34">
        <f>BB139</f>
        <v/>
      </c>
      <c r="BO139" s="34">
        <f>BE139-BI139</f>
        <v/>
      </c>
      <c r="BP139" s="34">
        <f>IF(AY139=0,0,BO139/AY139)</f>
        <v/>
      </c>
      <c r="BQ139" s="34">
        <f>MAX((AY139+MAX((-J139+L139-N139+Q139),0)),(MAX((J139-L139+N139-Q139),0)))</f>
        <v/>
      </c>
      <c r="BR139" s="82">
        <f>IFERROR(ABS(BK139/BQ139),0)</f>
        <v/>
      </c>
      <c r="BS139" s="34">
        <f>IF(BR139&lt;=0.1,0,BK139/BR139*(BR139-0.1))</f>
        <v/>
      </c>
      <c r="BT139" s="34">
        <f>IF((BS139)&lt;0,MAX(F139:G139)*(BS139)*1.03,MIN(F139:G139)*(BS139)*0.97)</f>
        <v/>
      </c>
      <c r="BU139" s="34">
        <f>IF(BR139&gt;0.1,1,0)</f>
        <v/>
      </c>
      <c r="BV139" s="34">
        <f>BF139+BG139+BH139+BY139-CA139</f>
        <v/>
      </c>
      <c r="BW139" s="34">
        <f>ABS(BX139)</f>
        <v/>
      </c>
      <c r="BX139" s="34">
        <f>AY139-(J139-L139+N139-Q139+T139-X139)</f>
        <v/>
      </c>
      <c r="BY139" s="34">
        <f>IF(AND(BX139&gt;0,MIN($F139:$G139)&lt;150,$E139="Enerji Açığı"),-100*BX139*1.03,IF(AND(BX139&gt;0,MIN($F139:$G139)&lt;150,$E139="Enerji Fazlası"),-100*BX139*1.06,IF(AND(BX139&gt;0,MIN($F139:$G139)&gt;=150,$E139="Enerji Açığı"),BX139*MIN($F139:$G139)*0.97,IF(AND(BX139&gt;0,MIN($F139:$G139)&gt;=150,$E139="Enerji Fazlası"),BX139*MIN($F139:$G139)*0.94,IF(AND(BX139&lt;0,MAX($F139:$G139)=4500,$E139="Enerji Açığı"),4500*1.05*1.06*BX139,IF(AND(BX139&lt;0,MAX($F139:$G139)=4500,$E139="Enerji Fazlası"),4500*1.05*1.03*BX139,IF(AND(BX139&lt;0,$E139="Enerji Açığı"),MAX($F139,$G139,150)*BX139*1.06,IF(AND(BX139&lt;0,$E139="Enerji Fazlası"),MAX($F139,$G139,150)*BX139*1.03,IF(AND(BX139&lt;0,$E139="Dengede"),MAX($F139:$G139,150)*1.03*BX139,MIN($F139:$G139)*0.97*BX139)))))))))</f>
        <v/>
      </c>
      <c r="BZ139" s="34">
        <f>BE139-BV139-CA139</f>
        <v/>
      </c>
      <c r="CA139" s="34">
        <f>BD139</f>
        <v/>
      </c>
      <c r="CB139" s="33">
        <f>BE139-BV139</f>
        <v/>
      </c>
      <c r="CC139" s="34">
        <f>IF(AY139=0,0,CB139/AY139)</f>
        <v/>
      </c>
      <c r="CD139" s="34">
        <f>MAX((AY139+MAX((-J139+L139-N139+Q139-T139+X139),0)),(MAX((J139-L139+N139-Q139+T139-X139),0)))</f>
        <v/>
      </c>
      <c r="CE139" s="82">
        <f>IFERROR(ABS(BX139/CD139),0)</f>
        <v/>
      </c>
      <c r="CF139" s="34">
        <f>IF(CE139&lt;=0.1,0,BX139/CE139*(CE139-0.1))</f>
        <v/>
      </c>
      <c r="CG139" s="34">
        <f>IF((CF139)&lt;0,MAX(F139:G139)*(CF139)*1.03,MIN(F139:G139)*(CF139)*0.97)</f>
        <v/>
      </c>
      <c r="CH139" s="34">
        <f>IF(CE139&gt;0.1,1,0)</f>
        <v/>
      </c>
      <c r="CI139" s="34">
        <f>(F139*BX139)-BY139</f>
        <v/>
      </c>
      <c r="CJ139" s="34">
        <f>IF(AY139=0,0,CI139/AY139)</f>
        <v/>
      </c>
    </row>
    <row r="140">
      <c r="A140" s="29" t="n">
        <v>46209.70833333334</v>
      </c>
      <c r="B140" s="29" t="inlineStr">
        <is>
          <t>17:00</t>
        </is>
      </c>
      <c r="C140" s="35">
        <f>INT(A140)</f>
        <v/>
      </c>
      <c r="D140" s="36">
        <f>MONTH(A140)</f>
        <v/>
      </c>
      <c r="E140" s="147">
        <f>[1]FİYATLAR!G139</f>
        <v/>
      </c>
      <c r="F140" s="30" t="n">
        <v>2799.01</v>
      </c>
      <c r="G140" s="30" t="n">
        <v>500</v>
      </c>
      <c r="H140" s="30" t="n">
        <v>60.02</v>
      </c>
      <c r="I140" s="30" t="n">
        <v>2780.13</v>
      </c>
      <c r="J140" s="119" t="n">
        <v>0</v>
      </c>
      <c r="K140" s="34">
        <f>F140*J140</f>
        <v/>
      </c>
      <c r="L140" s="119" t="n">
        <v>0</v>
      </c>
      <c r="M140" s="34">
        <f>L140*F140</f>
        <v/>
      </c>
      <c r="N140" s="119" t="n">
        <v>22.5</v>
      </c>
      <c r="O140" s="34">
        <f>F140</f>
        <v/>
      </c>
      <c r="P140" s="34">
        <f>N140*O140</f>
        <v/>
      </c>
      <c r="Q140" s="117" t="n">
        <v>0</v>
      </c>
      <c r="R140" s="34">
        <f>F140</f>
        <v/>
      </c>
      <c r="S140" s="34">
        <f>R140*Q140</f>
        <v/>
      </c>
      <c r="T140" s="34">
        <f>SUMIFS('[1]GİP VERİLERİ'!$C:$C,'[1]GİP VERİLERİ'!$B:$B,A140,'[1]GİP VERİLERİ'!$M:$M,"40X000000104782K",'[1]GİP VERİLERİ'!$G:$G,"SELL")</f>
        <v/>
      </c>
      <c r="U140" s="34">
        <f>IFERROR(W140/T140,0)</f>
        <v/>
      </c>
      <c r="V140" s="34">
        <f>IF(U140=0,0,U140-F140)</f>
        <v/>
      </c>
      <c r="W140" s="34">
        <f>SUMIFS('[1]GİP VERİLERİ'!$O:$O,'[1]GİP VERİLERİ'!$B:$B,A140,'[1]GİP VERİLERİ'!$M:$M,"40X000000104782K",'[1]GİP VERİLERİ'!$G:$G,"SELL")</f>
        <v/>
      </c>
      <c r="X140" s="34">
        <f>SUMIFS('[1]GİP VERİLERİ'!$C:$C,'[1]GİP VERİLERİ'!$B:$B,A140,'[1]GİP VERİLERİ'!$M:$M,"40X000000104782K",'[1]GİP VERİLERİ'!$G:$G,"BUY")</f>
        <v/>
      </c>
      <c r="Y140" s="34">
        <f>IFERROR(AA140/X140,0)</f>
        <v/>
      </c>
      <c r="Z140" s="34">
        <f>IF(Y140=0,0,F140-Y140)</f>
        <v/>
      </c>
      <c r="AA140" s="34">
        <f>SUMIFS('[1]GİP VERİLERİ'!$O:$O,'[1]GİP VERİLERİ'!$B:$B,A140,'[1]GİP VERİLERİ'!$M:$M,"40X000000104782K",'[1]GİP VERİLERİ'!$G:$G,"BUY")</f>
        <v/>
      </c>
      <c r="AB140" s="34" t="n">
        <v>0</v>
      </c>
      <c r="AC140" s="34" t="n">
        <v>0</v>
      </c>
      <c r="AD140" s="34">
        <f>IF(AB140&gt;AC140*1.05,AB140-AC140*1.05,IF(AB140&lt;AC140*0.95,AC140*0.95-AB140,0))</f>
        <v/>
      </c>
      <c r="AE140" s="34">
        <f>MAX(F140,G140,750)*0.05*AD140</f>
        <v/>
      </c>
      <c r="AF140" s="34" t="n">
        <v>0</v>
      </c>
      <c r="AG140" s="34">
        <f>IF(AB140&gt;AF140*1.05,AB140-AF140*1.05,IF(AB140&lt;AF140*0.95,AF140*0.95-AB140,0))</f>
        <v/>
      </c>
      <c r="AH140" s="34">
        <f>MAX(I140,J140,750)*0.05*AG140</f>
        <v/>
      </c>
      <c r="AI140" t="n">
        <v>8.98</v>
      </c>
      <c r="AJ140" t="n">
        <v>9</v>
      </c>
      <c r="AK140" s="34">
        <f>IF(AI140&gt;AJ140*1.05,AI140-AJ140*1.05,IF(AI140&lt;AJ140*0.95,AJ140*0.95-AI140,0))</f>
        <v/>
      </c>
      <c r="AL140" s="34">
        <f>MAX(F140,G140,750)*0.05*AK140</f>
        <v/>
      </c>
      <c r="AM140" s="39" t="n">
        <v>9</v>
      </c>
      <c r="AN140" s="34">
        <f>IF(AI140&gt;AM140*1.05,AI140-AM140*1.05,IF(AI140&lt;AM140*0.95,AM140*0.95-AI140,0))</f>
        <v/>
      </c>
      <c r="AO140" s="34">
        <f>MAX(F140,G140,750)*0.05*AN140</f>
        <v/>
      </c>
      <c r="AP140" s="34" t="n">
        <v>13.05</v>
      </c>
      <c r="AQ140" s="34" t="n">
        <v>13.5</v>
      </c>
      <c r="AR140" s="34">
        <f>IF(AP140&gt;AQ140*1.05,AP140-AQ140*1.05,IF(AP140&lt;AQ140*0.95,AQ140*0.95-AP140,0))</f>
        <v/>
      </c>
      <c r="AS140" s="34">
        <f>MAX(F140:G140,750)*0.05*AR140</f>
        <v/>
      </c>
      <c r="AT140" t="n">
        <v>13.5</v>
      </c>
      <c r="AU140" s="34">
        <f>IF(AP140&gt;AT140*1.05,AP140-AT140*1.05,IF(AP140&lt;AT140*0.95,AT140*0.95-AP140,0))</f>
        <v/>
      </c>
      <c r="AV140" s="34">
        <f>MAX(F140:G140,750)*0.05*AU140</f>
        <v/>
      </c>
      <c r="AW140" s="34">
        <f>AC140+AJ140+AQ140</f>
        <v/>
      </c>
      <c r="AX140" s="34">
        <f>AF140+AM140+AT140</f>
        <v/>
      </c>
      <c r="AY140" s="34">
        <f>AB140+AI140+AP140</f>
        <v/>
      </c>
      <c r="AZ140" s="34" t="n">
        <v>0</v>
      </c>
      <c r="BA140" s="34">
        <f>AD140+AK140+AR140</f>
        <v/>
      </c>
      <c r="BB140" s="34">
        <f>MAX(F140:G140,750)*0.05*BA140</f>
        <v/>
      </c>
      <c r="BC140" s="34">
        <f>AG140+AN140+AU140</f>
        <v/>
      </c>
      <c r="BD140" s="34">
        <f>MAX(F140:G140,750)*0.05*BC140</f>
        <v/>
      </c>
      <c r="BE140" s="34">
        <f>F140*AY140</f>
        <v/>
      </c>
      <c r="BF140" s="34">
        <f>K140-M140</f>
        <v/>
      </c>
      <c r="BG140" s="34">
        <f>P140-S140</f>
        <v/>
      </c>
      <c r="BH140" s="34">
        <f>W140-AA140</f>
        <v/>
      </c>
      <c r="BI140" s="34">
        <f>BF140+BG140+BL140-BN140</f>
        <v/>
      </c>
      <c r="BJ140" s="34">
        <f>ABS(BK140)</f>
        <v/>
      </c>
      <c r="BK140" s="34">
        <f>AY140-(J140-L140+N140-Q140)</f>
        <v/>
      </c>
      <c r="BL140" s="34">
        <f>IF(AND(BK140&gt;0,MIN($F140:$G140)&lt;150,$E140="Enerji Açığı"),-100*BK140*1.03,IF(AND(BK140&gt;0,MIN($F140:$G140)&lt;150,$E140="Enerji Fazlası"),-100*BK140*1.06,IF(AND(BK140&gt;0,MIN($F140:$G140)&gt;=150,$E140="Enerji Açığı"),BK140*MIN($F140:$G140)*0.97,IF(AND(BK140&gt;0,MIN($F140:$G140)&gt;=150,$E140="Enerji Fazlası"),BK140*MIN($F140:$G140)*0.94,IF(AND(BK140&lt;0,MAX($F140:$G140)=4500,$E140="Enerji Açığı"),4500*1.05*1.06*BK140,IF(AND(BK140&lt;0,MAX($F140:$G140)=4500,$E140="Enerji Fazlası"),4500*1.05*1.03*BK140,IF(AND(BK140&lt;0,$E140="Enerji Açığı"),MAX($F140,$G140,150)*BK140*1.06,IF(AND(BK140&lt;0,$E140="Enerji Fazlası"),MAX($F140,$G140,150)*BK140*1.03,IF(AND(BK140&lt;0,$E140="Dengede"),MAX($F140:$G140,150)*1.03*BK140,MIN($F140:$G140)*0.97*BK140)))))))))</f>
        <v/>
      </c>
      <c r="BM140" s="34">
        <f>BE140-BI140-BN140</f>
        <v/>
      </c>
      <c r="BN140" s="34">
        <f>BB140</f>
        <v/>
      </c>
      <c r="BO140" s="34">
        <f>BE140-BI140</f>
        <v/>
      </c>
      <c r="BP140" s="34">
        <f>IF(AY140=0,0,BO140/AY140)</f>
        <v/>
      </c>
      <c r="BQ140" s="34">
        <f>MAX((AY140+MAX((-J140+L140-N140+Q140),0)),(MAX((J140-L140+N140-Q140),0)))</f>
        <v/>
      </c>
      <c r="BR140" s="82">
        <f>IFERROR(ABS(BK140/BQ140),0)</f>
        <v/>
      </c>
      <c r="BS140" s="34">
        <f>IF(BR140&lt;=0.1,0,BK140/BR140*(BR140-0.1))</f>
        <v/>
      </c>
      <c r="BT140" s="34">
        <f>IF((BS140)&lt;0,MAX(F140:G140)*(BS140)*1.03,MIN(F140:G140)*(BS140)*0.97)</f>
        <v/>
      </c>
      <c r="BU140" s="34">
        <f>IF(BR140&gt;0.1,1,0)</f>
        <v/>
      </c>
      <c r="BV140" s="34">
        <f>BF140+BG140+BH140+BY140-CA140</f>
        <v/>
      </c>
      <c r="BW140" s="34">
        <f>ABS(BX140)</f>
        <v/>
      </c>
      <c r="BX140" s="34">
        <f>AY140-(J140-L140+N140-Q140+T140-X140)</f>
        <v/>
      </c>
      <c r="BY140" s="34">
        <f>IF(AND(BX140&gt;0,MIN($F140:$G140)&lt;150,$E140="Enerji Açığı"),-100*BX140*1.03,IF(AND(BX140&gt;0,MIN($F140:$G140)&lt;150,$E140="Enerji Fazlası"),-100*BX140*1.06,IF(AND(BX140&gt;0,MIN($F140:$G140)&gt;=150,$E140="Enerji Açığı"),BX140*MIN($F140:$G140)*0.97,IF(AND(BX140&gt;0,MIN($F140:$G140)&gt;=150,$E140="Enerji Fazlası"),BX140*MIN($F140:$G140)*0.94,IF(AND(BX140&lt;0,MAX($F140:$G140)=4500,$E140="Enerji Açığı"),4500*1.05*1.06*BX140,IF(AND(BX140&lt;0,MAX($F140:$G140)=4500,$E140="Enerji Fazlası"),4500*1.05*1.03*BX140,IF(AND(BX140&lt;0,$E140="Enerji Açığı"),MAX($F140,$G140,150)*BX140*1.06,IF(AND(BX140&lt;0,$E140="Enerji Fazlası"),MAX($F140,$G140,150)*BX140*1.03,IF(AND(BX140&lt;0,$E140="Dengede"),MAX($F140:$G140,150)*1.03*BX140,MIN($F140:$G140)*0.97*BX140)))))))))</f>
        <v/>
      </c>
      <c r="BZ140" s="34">
        <f>BE140-BV140-CA140</f>
        <v/>
      </c>
      <c r="CA140" s="34">
        <f>BD140</f>
        <v/>
      </c>
      <c r="CB140" s="33">
        <f>BE140-BV140</f>
        <v/>
      </c>
      <c r="CC140" s="34">
        <f>IF(AY140=0,0,CB140/AY140)</f>
        <v/>
      </c>
      <c r="CD140" s="34">
        <f>MAX((AY140+MAX((-J140+L140-N140+Q140-T140+X140),0)),(MAX((J140-L140+N140-Q140+T140-X140),0)))</f>
        <v/>
      </c>
      <c r="CE140" s="82">
        <f>IFERROR(ABS(BX140/CD140),0)</f>
        <v/>
      </c>
      <c r="CF140" s="34">
        <f>IF(CE140&lt;=0.1,0,BX140/CE140*(CE140-0.1))</f>
        <v/>
      </c>
      <c r="CG140" s="34">
        <f>IF((CF140)&lt;0,MAX(F140:G140)*(CF140)*1.03,MIN(F140:G140)*(CF140)*0.97)</f>
        <v/>
      </c>
      <c r="CH140" s="34">
        <f>IF(CE140&gt;0.1,1,0)</f>
        <v/>
      </c>
      <c r="CI140" s="34">
        <f>(F140*BX140)-BY140</f>
        <v/>
      </c>
      <c r="CJ140" s="34">
        <f>IF(AY140=0,0,CI140/AY140)</f>
        <v/>
      </c>
    </row>
    <row r="141">
      <c r="A141" s="29" t="n">
        <v>46209.75</v>
      </c>
      <c r="B141" s="29" t="inlineStr">
        <is>
          <t>18:00</t>
        </is>
      </c>
      <c r="C141" s="35">
        <f>INT(A141)</f>
        <v/>
      </c>
      <c r="D141" s="36">
        <f>MONTH(A141)</f>
        <v/>
      </c>
      <c r="E141" s="147">
        <f>[1]FİYATLAR!G140</f>
        <v/>
      </c>
      <c r="F141" s="30" t="n">
        <v>2176.69</v>
      </c>
      <c r="G141" s="30" t="n">
        <v>3784</v>
      </c>
      <c r="H141" s="30" t="n">
        <v>46.68</v>
      </c>
      <c r="I141" s="30" t="n">
        <v>2198.22</v>
      </c>
      <c r="J141" s="119" t="n">
        <v>0</v>
      </c>
      <c r="K141" s="34">
        <f>F141*J141</f>
        <v/>
      </c>
      <c r="L141" s="119" t="n">
        <v>0</v>
      </c>
      <c r="M141" s="34">
        <f>L141*F141</f>
        <v/>
      </c>
      <c r="N141" s="119" t="n">
        <v>22.3</v>
      </c>
      <c r="O141" s="34">
        <f>F141</f>
        <v/>
      </c>
      <c r="P141" s="34">
        <f>N141*O141</f>
        <v/>
      </c>
      <c r="Q141" s="117" t="n">
        <v>0</v>
      </c>
      <c r="R141" s="34">
        <f>F141</f>
        <v/>
      </c>
      <c r="S141" s="34">
        <f>R141*Q141</f>
        <v/>
      </c>
      <c r="T141" s="34">
        <f>SUMIFS('[1]GİP VERİLERİ'!$C:$C,'[1]GİP VERİLERİ'!$B:$B,A141,'[1]GİP VERİLERİ'!$M:$M,"40X000000104782K",'[1]GİP VERİLERİ'!$G:$G,"SELL")</f>
        <v/>
      </c>
      <c r="U141" s="34">
        <f>IFERROR(W141/T141,0)</f>
        <v/>
      </c>
      <c r="V141" s="34">
        <f>IF(U141=0,0,U141-F141)</f>
        <v/>
      </c>
      <c r="W141" s="34">
        <f>SUMIFS('[1]GİP VERİLERİ'!$O:$O,'[1]GİP VERİLERİ'!$B:$B,A141,'[1]GİP VERİLERİ'!$M:$M,"40X000000104782K",'[1]GİP VERİLERİ'!$G:$G,"SELL")</f>
        <v/>
      </c>
      <c r="X141" s="34">
        <f>SUMIFS('[1]GİP VERİLERİ'!$C:$C,'[1]GİP VERİLERİ'!$B:$B,A141,'[1]GİP VERİLERİ'!$M:$M,"40X000000104782K",'[1]GİP VERİLERİ'!$G:$G,"BUY")</f>
        <v/>
      </c>
      <c r="Y141" s="34">
        <f>IFERROR(AA141/X141,0)</f>
        <v/>
      </c>
      <c r="Z141" s="34">
        <f>IF(Y141=0,0,F141-Y141)</f>
        <v/>
      </c>
      <c r="AA141" s="34">
        <f>SUMIFS('[1]GİP VERİLERİ'!$O:$O,'[1]GİP VERİLERİ'!$B:$B,A141,'[1]GİP VERİLERİ'!$M:$M,"40X000000104782K",'[1]GİP VERİLERİ'!$G:$G,"BUY")</f>
        <v/>
      </c>
      <c r="AB141" s="34" t="n">
        <v>0</v>
      </c>
      <c r="AC141" s="34" t="n">
        <v>0</v>
      </c>
      <c r="AD141" s="34">
        <f>IF(AB141&gt;AC141*1.05,AB141-AC141*1.05,IF(AB141&lt;AC141*0.95,AC141*0.95-AB141,0))</f>
        <v/>
      </c>
      <c r="AE141" s="34">
        <f>MAX(F141,G141,750)*0.05*AD141</f>
        <v/>
      </c>
      <c r="AF141" s="34" t="n">
        <v>0</v>
      </c>
      <c r="AG141" s="34">
        <f>IF(AB141&gt;AF141*1.05,AB141-AF141*1.05,IF(AB141&lt;AF141*0.95,AF141*0.95-AB141,0))</f>
        <v/>
      </c>
      <c r="AH141" s="34">
        <f>MAX(I141,J141,750)*0.05*AG141</f>
        <v/>
      </c>
      <c r="AI141" t="n">
        <v>9.01</v>
      </c>
      <c r="AJ141" t="n">
        <v>9</v>
      </c>
      <c r="AK141" s="34">
        <f>IF(AI141&gt;AJ141*1.05,AI141-AJ141*1.05,IF(AI141&lt;AJ141*0.95,AJ141*0.95-AI141,0))</f>
        <v/>
      </c>
      <c r="AL141" s="34">
        <f>MAX(F141,G141,750)*0.05*AK141</f>
        <v/>
      </c>
      <c r="AM141" s="39" t="n">
        <v>7</v>
      </c>
      <c r="AN141" s="34">
        <f>IF(AI141&gt;AM141*1.05,AI141-AM141*1.05,IF(AI141&lt;AM141*0.95,AM141*0.95-AI141,0))</f>
        <v/>
      </c>
      <c r="AO141" s="34">
        <f>MAX(F141,G141,750)*0.05*AN141</f>
        <v/>
      </c>
      <c r="AP141" s="34" t="n">
        <v>9.07</v>
      </c>
      <c r="AQ141" s="34" t="n">
        <v>13.3</v>
      </c>
      <c r="AR141" s="34">
        <f>IF(AP141&gt;AQ141*1.05,AP141-AQ141*1.05,IF(AP141&lt;AQ141*0.95,AQ141*0.95-AP141,0))</f>
        <v/>
      </c>
      <c r="AS141" s="34">
        <f>MAX(F141:G141,750)*0.05*AR141</f>
        <v/>
      </c>
      <c r="AT141" t="n">
        <v>9</v>
      </c>
      <c r="AU141" s="34">
        <f>IF(AP141&gt;AT141*1.05,AP141-AT141*1.05,IF(AP141&lt;AT141*0.95,AT141*0.95-AP141,0))</f>
        <v/>
      </c>
      <c r="AV141" s="34">
        <f>MAX(F141:G141,750)*0.05*AU141</f>
        <v/>
      </c>
      <c r="AW141" s="34">
        <f>AC141+AJ141+AQ141</f>
        <v/>
      </c>
      <c r="AX141" s="34">
        <f>AF141+AM141+AT141</f>
        <v/>
      </c>
      <c r="AY141" s="34">
        <f>AB141+AI141+AP141</f>
        <v/>
      </c>
      <c r="AZ141" s="34" t="n">
        <v>0</v>
      </c>
      <c r="BA141" s="34">
        <f>AD141+AK141+AR141</f>
        <v/>
      </c>
      <c r="BB141" s="34">
        <f>MAX(F141:G141,750)*0.05*BA141</f>
        <v/>
      </c>
      <c r="BC141" s="34">
        <f>AG141+AN141+AU141</f>
        <v/>
      </c>
      <c r="BD141" s="34">
        <f>MAX(F141:G141,750)*0.05*BC141</f>
        <v/>
      </c>
      <c r="BE141" s="34">
        <f>F141*AY141</f>
        <v/>
      </c>
      <c r="BF141" s="34">
        <f>K141-M141</f>
        <v/>
      </c>
      <c r="BG141" s="34">
        <f>P141-S141</f>
        <v/>
      </c>
      <c r="BH141" s="34">
        <f>W141-AA141</f>
        <v/>
      </c>
      <c r="BI141" s="34">
        <f>BF141+BG141+BL141-BN141</f>
        <v/>
      </c>
      <c r="BJ141" s="34">
        <f>ABS(BK141)</f>
        <v/>
      </c>
      <c r="BK141" s="34">
        <f>AY141-(J141-L141+N141-Q141)</f>
        <v/>
      </c>
      <c r="BL141" s="34">
        <f>IF(AND(BK141&gt;0,MIN($F141:$G141)&lt;150,$E141="Enerji Açığı"),-100*BK141*1.03,IF(AND(BK141&gt;0,MIN($F141:$G141)&lt;150,$E141="Enerji Fazlası"),-100*BK141*1.06,IF(AND(BK141&gt;0,MIN($F141:$G141)&gt;=150,$E141="Enerji Açığı"),BK141*MIN($F141:$G141)*0.97,IF(AND(BK141&gt;0,MIN($F141:$G141)&gt;=150,$E141="Enerji Fazlası"),BK141*MIN($F141:$G141)*0.94,IF(AND(BK141&lt;0,MAX($F141:$G141)=4500,$E141="Enerji Açığı"),4500*1.05*1.06*BK141,IF(AND(BK141&lt;0,MAX($F141:$G141)=4500,$E141="Enerji Fazlası"),4500*1.05*1.03*BK141,IF(AND(BK141&lt;0,$E141="Enerji Açığı"),MAX($F141,$G141,150)*BK141*1.06,IF(AND(BK141&lt;0,$E141="Enerji Fazlası"),MAX($F141,$G141,150)*BK141*1.03,IF(AND(BK141&lt;0,$E141="Dengede"),MAX($F141:$G141,150)*1.03*BK141,MIN($F141:$G141)*0.97*BK141)))))))))</f>
        <v/>
      </c>
      <c r="BM141" s="34">
        <f>BE141-BI141-BN141</f>
        <v/>
      </c>
      <c r="BN141" s="34">
        <f>BB141</f>
        <v/>
      </c>
      <c r="BO141" s="34">
        <f>BE141-BI141</f>
        <v/>
      </c>
      <c r="BP141" s="34">
        <f>IF(AY141=0,0,BO141/AY141)</f>
        <v/>
      </c>
      <c r="BQ141" s="34">
        <f>MAX((AY141+MAX((-J141+L141-N141+Q141),0)),(MAX((J141-L141+N141-Q141),0)))</f>
        <v/>
      </c>
      <c r="BR141" s="82">
        <f>IFERROR(ABS(BK141/BQ141),0)</f>
        <v/>
      </c>
      <c r="BS141" s="34">
        <f>IF(BR141&lt;=0.1,0,BK141/BR141*(BR141-0.1))</f>
        <v/>
      </c>
      <c r="BT141" s="34">
        <f>IF((BS141)&lt;0,MAX(F141:G141)*(BS141)*1.03,MIN(F141:G141)*(BS141)*0.97)</f>
        <v/>
      </c>
      <c r="BU141" s="34">
        <f>IF(BR141&gt;0.1,1,0)</f>
        <v/>
      </c>
      <c r="BV141" s="34">
        <f>BF141+BG141+BH141+BY141-CA141</f>
        <v/>
      </c>
      <c r="BW141" s="34">
        <f>ABS(BX141)</f>
        <v/>
      </c>
      <c r="BX141" s="34">
        <f>AY141-(J141-L141+N141-Q141+T141-X141)</f>
        <v/>
      </c>
      <c r="BY141" s="34">
        <f>IF(AND(BX141&gt;0,MIN($F141:$G141)&lt;150,$E141="Enerji Açığı"),-100*BX141*1.03,IF(AND(BX141&gt;0,MIN($F141:$G141)&lt;150,$E141="Enerji Fazlası"),-100*BX141*1.06,IF(AND(BX141&gt;0,MIN($F141:$G141)&gt;=150,$E141="Enerji Açığı"),BX141*MIN($F141:$G141)*0.97,IF(AND(BX141&gt;0,MIN($F141:$G141)&gt;=150,$E141="Enerji Fazlası"),BX141*MIN($F141:$G141)*0.94,IF(AND(BX141&lt;0,MAX($F141:$G141)=4500,$E141="Enerji Açığı"),4500*1.05*1.06*BX141,IF(AND(BX141&lt;0,MAX($F141:$G141)=4500,$E141="Enerji Fazlası"),4500*1.05*1.03*BX141,IF(AND(BX141&lt;0,$E141="Enerji Açığı"),MAX($F141,$G141,150)*BX141*1.06,IF(AND(BX141&lt;0,$E141="Enerji Fazlası"),MAX($F141,$G141,150)*BX141*1.03,IF(AND(BX141&lt;0,$E141="Dengede"),MAX($F141:$G141,150)*1.03*BX141,MIN($F141:$G141)*0.97*BX141)))))))))</f>
        <v/>
      </c>
      <c r="BZ141" s="34">
        <f>BE141-BV141-CA141</f>
        <v/>
      </c>
      <c r="CA141" s="34">
        <f>BD141</f>
        <v/>
      </c>
      <c r="CB141" s="33">
        <f>BE141-BV141</f>
        <v/>
      </c>
      <c r="CC141" s="34">
        <f>IF(AY141=0,0,CB141/AY141)</f>
        <v/>
      </c>
      <c r="CD141" s="34">
        <f>MAX((AY141+MAX((-J141+L141-N141+Q141-T141+X141),0)),(MAX((J141-L141+N141-Q141+T141-X141),0)))</f>
        <v/>
      </c>
      <c r="CE141" s="82">
        <f>IFERROR(ABS(BX141/CD141),0)</f>
        <v/>
      </c>
      <c r="CF141" s="34">
        <f>IF(CE141&lt;=0.1,0,BX141/CE141*(CE141-0.1))</f>
        <v/>
      </c>
      <c r="CG141" s="34">
        <f>IF((CF141)&lt;0,MAX(F141:G141)*(CF141)*1.03,MIN(F141:G141)*(CF141)*0.97)</f>
        <v/>
      </c>
      <c r="CH141" s="34">
        <f>IF(CE141&gt;0.1,1,0)</f>
        <v/>
      </c>
      <c r="CI141" s="34">
        <f>(F141*BX141)-BY141</f>
        <v/>
      </c>
      <c r="CJ141" s="34">
        <f>IF(AY141=0,0,CI141/AY141)</f>
        <v/>
      </c>
    </row>
    <row r="142">
      <c r="A142" s="29" t="n">
        <v>46209.79166666666</v>
      </c>
      <c r="B142" s="29" t="inlineStr">
        <is>
          <t>19:00</t>
        </is>
      </c>
      <c r="C142" s="35">
        <f>INT(A142)</f>
        <v/>
      </c>
      <c r="D142" s="36">
        <f>MONTH(A142)</f>
        <v/>
      </c>
      <c r="E142" s="147">
        <f>[1]FİYATLAR!G141</f>
        <v/>
      </c>
      <c r="F142" s="30" t="n">
        <v>3499.99</v>
      </c>
      <c r="G142" s="30" t="n">
        <v>4100</v>
      </c>
      <c r="H142" s="30" t="n">
        <v>75.05</v>
      </c>
      <c r="I142" s="30" t="n">
        <v>3082.64</v>
      </c>
      <c r="J142" s="119" t="n">
        <v>0</v>
      </c>
      <c r="K142" s="34">
        <f>F142*J142</f>
        <v/>
      </c>
      <c r="L142" s="119" t="n">
        <v>0</v>
      </c>
      <c r="M142" s="34">
        <f>L142*F142</f>
        <v/>
      </c>
      <c r="N142" s="119" t="n">
        <v>23.2</v>
      </c>
      <c r="O142" s="34">
        <f>F142</f>
        <v/>
      </c>
      <c r="P142" s="34">
        <f>N142*O142</f>
        <v/>
      </c>
      <c r="Q142" s="117" t="n">
        <v>0</v>
      </c>
      <c r="R142" s="34">
        <f>F142</f>
        <v/>
      </c>
      <c r="S142" s="34">
        <f>R142*Q142</f>
        <v/>
      </c>
      <c r="T142" s="34">
        <f>SUMIFS('[1]GİP VERİLERİ'!$C:$C,'[1]GİP VERİLERİ'!$B:$B,A142,'[1]GİP VERİLERİ'!$M:$M,"40X000000104782K",'[1]GİP VERİLERİ'!$G:$G,"SELL")</f>
        <v/>
      </c>
      <c r="U142" s="34">
        <f>IFERROR(W142/T142,0)</f>
        <v/>
      </c>
      <c r="V142" s="34">
        <f>IF(U142=0,0,U142-F142)</f>
        <v/>
      </c>
      <c r="W142" s="34">
        <f>SUMIFS('[1]GİP VERİLERİ'!$O:$O,'[1]GİP VERİLERİ'!$B:$B,A142,'[1]GİP VERİLERİ'!$M:$M,"40X000000104782K",'[1]GİP VERİLERİ'!$G:$G,"SELL")</f>
        <v/>
      </c>
      <c r="X142" s="34">
        <f>SUMIFS('[1]GİP VERİLERİ'!$C:$C,'[1]GİP VERİLERİ'!$B:$B,A142,'[1]GİP VERİLERİ'!$M:$M,"40X000000104782K",'[1]GİP VERİLERİ'!$G:$G,"BUY")</f>
        <v/>
      </c>
      <c r="Y142" s="34">
        <f>IFERROR(AA142/X142,0)</f>
        <v/>
      </c>
      <c r="Z142" s="34">
        <f>IF(Y142=0,0,F142-Y142)</f>
        <v/>
      </c>
      <c r="AA142" s="34">
        <f>SUMIFS('[1]GİP VERİLERİ'!$O:$O,'[1]GİP VERİLERİ'!$B:$B,A142,'[1]GİP VERİLERİ'!$M:$M,"40X000000104782K",'[1]GİP VERİLERİ'!$G:$G,"BUY")</f>
        <v/>
      </c>
      <c r="AB142" s="34" t="n">
        <v>0</v>
      </c>
      <c r="AC142" s="34" t="n">
        <v>0</v>
      </c>
      <c r="AD142" s="34">
        <f>IF(AB142&gt;AC142*1.05,AB142-AC142*1.05,IF(AB142&lt;AC142*0.95,AC142*0.95-AB142,0))</f>
        <v/>
      </c>
      <c r="AE142" s="34">
        <f>MAX(F142,G142,750)*0.05*AD142</f>
        <v/>
      </c>
      <c r="AF142" s="34" t="n">
        <v>0</v>
      </c>
      <c r="AG142" s="34">
        <f>IF(AB142&gt;AF142*1.05,AB142-AF142*1.05,IF(AB142&lt;AF142*0.95,AF142*0.95-AB142,0))</f>
        <v/>
      </c>
      <c r="AH142" s="34">
        <f>MAX(I142,J142,750)*0.05*AG142</f>
        <v/>
      </c>
      <c r="AI142" t="n">
        <v>6.14</v>
      </c>
      <c r="AJ142" t="n">
        <v>10</v>
      </c>
      <c r="AK142" s="34">
        <f>IF(AI142&gt;AJ142*1.05,AI142-AJ142*1.05,IF(AI142&lt;AJ142*0.95,AJ142*0.95-AI142,0))</f>
        <v/>
      </c>
      <c r="AL142" s="34">
        <f>MAX(F142,G142,750)*0.05*AK142</f>
        <v/>
      </c>
      <c r="AM142" s="39" t="n">
        <v>6</v>
      </c>
      <c r="AN142" s="34">
        <f>IF(AI142&gt;AM142*1.05,AI142-AM142*1.05,IF(AI142&lt;AM142*0.95,AM142*0.95-AI142,0))</f>
        <v/>
      </c>
      <c r="AO142" s="34">
        <f>MAX(F142,G142,750)*0.05*AN142</f>
        <v/>
      </c>
      <c r="AP142" s="34" t="n">
        <v>9.1</v>
      </c>
      <c r="AQ142" s="34" t="n">
        <v>13.2</v>
      </c>
      <c r="AR142" s="34">
        <f>IF(AP142&gt;AQ142*1.05,AP142-AQ142*1.05,IF(AP142&lt;AQ142*0.95,AQ142*0.95-AP142,0))</f>
        <v/>
      </c>
      <c r="AS142" s="34">
        <f>MAX(F142:G142,750)*0.05*AR142</f>
        <v/>
      </c>
      <c r="AT142" t="n">
        <v>9</v>
      </c>
      <c r="AU142" s="34">
        <f>IF(AP142&gt;AT142*1.05,AP142-AT142*1.05,IF(AP142&lt;AT142*0.95,AT142*0.95-AP142,0))</f>
        <v/>
      </c>
      <c r="AV142" s="34">
        <f>MAX(F142:G142,750)*0.05*AU142</f>
        <v/>
      </c>
      <c r="AW142" s="34">
        <f>AC142+AJ142+AQ142</f>
        <v/>
      </c>
      <c r="AX142" s="34">
        <f>AF142+AM142+AT142</f>
        <v/>
      </c>
      <c r="AY142" s="34">
        <f>AB142+AI142+AP142</f>
        <v/>
      </c>
      <c r="AZ142" s="34" t="n">
        <v>0</v>
      </c>
      <c r="BA142" s="34">
        <f>AD142+AK142+AR142</f>
        <v/>
      </c>
      <c r="BB142" s="34">
        <f>MAX(F142:G142,750)*0.05*BA142</f>
        <v/>
      </c>
      <c r="BC142" s="34">
        <f>AG142+AN142+AU142</f>
        <v/>
      </c>
      <c r="BD142" s="34">
        <f>MAX(F142:G142,750)*0.05*BC142</f>
        <v/>
      </c>
      <c r="BE142" s="34">
        <f>F142*AY142</f>
        <v/>
      </c>
      <c r="BF142" s="34">
        <f>K142-M142</f>
        <v/>
      </c>
      <c r="BG142" s="34">
        <f>P142-S142</f>
        <v/>
      </c>
      <c r="BH142" s="34">
        <f>W142-AA142</f>
        <v/>
      </c>
      <c r="BI142" s="34">
        <f>BF142+BG142+BL142-BN142</f>
        <v/>
      </c>
      <c r="BJ142" s="34">
        <f>ABS(BK142)</f>
        <v/>
      </c>
      <c r="BK142" s="34">
        <f>AY142-(J142-L142+N142-Q142)</f>
        <v/>
      </c>
      <c r="BL142" s="34">
        <f>IF(AND(BK142&gt;0,MIN($F142:$G142)&lt;150,$E142="Enerji Açığı"),-100*BK142*1.03,IF(AND(BK142&gt;0,MIN($F142:$G142)&lt;150,$E142="Enerji Fazlası"),-100*BK142*1.06,IF(AND(BK142&gt;0,MIN($F142:$G142)&gt;=150,$E142="Enerji Açığı"),BK142*MIN($F142:$G142)*0.97,IF(AND(BK142&gt;0,MIN($F142:$G142)&gt;=150,$E142="Enerji Fazlası"),BK142*MIN($F142:$G142)*0.94,IF(AND(BK142&lt;0,MAX($F142:$G142)=4500,$E142="Enerji Açığı"),4500*1.05*1.06*BK142,IF(AND(BK142&lt;0,MAX($F142:$G142)=4500,$E142="Enerji Fazlası"),4500*1.05*1.03*BK142,IF(AND(BK142&lt;0,$E142="Enerji Açığı"),MAX($F142,$G142,150)*BK142*1.06,IF(AND(BK142&lt;0,$E142="Enerji Fazlası"),MAX($F142,$G142,150)*BK142*1.03,IF(AND(BK142&lt;0,$E142="Dengede"),MAX($F142:$G142,150)*1.03*BK142,MIN($F142:$G142)*0.97*BK142)))))))))</f>
        <v/>
      </c>
      <c r="BM142" s="34">
        <f>BE142-BI142-BN142</f>
        <v/>
      </c>
      <c r="BN142" s="34">
        <f>BB142</f>
        <v/>
      </c>
      <c r="BO142" s="34">
        <f>BE142-BI142</f>
        <v/>
      </c>
      <c r="BP142" s="34">
        <f>IF(AY142=0,0,BO142/AY142)</f>
        <v/>
      </c>
      <c r="BQ142" s="34">
        <f>MAX((AY142+MAX((-J142+L142-N142+Q142),0)),(MAX((J142-L142+N142-Q142),0)))</f>
        <v/>
      </c>
      <c r="BR142" s="82">
        <f>IFERROR(ABS(BK142/BQ142),0)</f>
        <v/>
      </c>
      <c r="BS142" s="34">
        <f>IF(BR142&lt;=0.1,0,BK142/BR142*(BR142-0.1))</f>
        <v/>
      </c>
      <c r="BT142" s="34">
        <f>IF((BS142)&lt;0,MAX(F142:G142)*(BS142)*1.03,MIN(F142:G142)*(BS142)*0.97)</f>
        <v/>
      </c>
      <c r="BU142" s="34">
        <f>IF(BR142&gt;0.1,1,0)</f>
        <v/>
      </c>
      <c r="BV142" s="34">
        <f>BF142+BG142+BH142+BY142-CA142</f>
        <v/>
      </c>
      <c r="BW142" s="34">
        <f>ABS(BX142)</f>
        <v/>
      </c>
      <c r="BX142" s="34">
        <f>AY142-(J142-L142+N142-Q142+T142-X142)</f>
        <v/>
      </c>
      <c r="BY142" s="34">
        <f>IF(AND(BX142&gt;0,MIN($F142:$G142)&lt;150,$E142="Enerji Açığı"),-100*BX142*1.03,IF(AND(BX142&gt;0,MIN($F142:$G142)&lt;150,$E142="Enerji Fazlası"),-100*BX142*1.06,IF(AND(BX142&gt;0,MIN($F142:$G142)&gt;=150,$E142="Enerji Açığı"),BX142*MIN($F142:$G142)*0.97,IF(AND(BX142&gt;0,MIN($F142:$G142)&gt;=150,$E142="Enerji Fazlası"),BX142*MIN($F142:$G142)*0.94,IF(AND(BX142&lt;0,MAX($F142:$G142)=4500,$E142="Enerji Açığı"),4500*1.05*1.06*BX142,IF(AND(BX142&lt;0,MAX($F142:$G142)=4500,$E142="Enerji Fazlası"),4500*1.05*1.03*BX142,IF(AND(BX142&lt;0,$E142="Enerji Açığı"),MAX($F142,$G142,150)*BX142*1.06,IF(AND(BX142&lt;0,$E142="Enerji Fazlası"),MAX($F142,$G142,150)*BX142*1.03,IF(AND(BX142&lt;0,$E142="Dengede"),MAX($F142:$G142,150)*1.03*BX142,MIN($F142:$G142)*0.97*BX142)))))))))</f>
        <v/>
      </c>
      <c r="BZ142" s="34">
        <f>BE142-BV142-CA142</f>
        <v/>
      </c>
      <c r="CA142" s="34">
        <f>BD142</f>
        <v/>
      </c>
      <c r="CB142" s="33">
        <f>BE142-BV142</f>
        <v/>
      </c>
      <c r="CC142" s="34">
        <f>IF(AY142=0,0,CB142/AY142)</f>
        <v/>
      </c>
      <c r="CD142" s="34">
        <f>MAX((AY142+MAX((-J142+L142-N142+Q142-T142+X142),0)),(MAX((J142-L142+N142-Q142+T142-X142),0)))</f>
        <v/>
      </c>
      <c r="CE142" s="82">
        <f>IFERROR(ABS(BX142/CD142),0)</f>
        <v/>
      </c>
      <c r="CF142" s="34">
        <f>IF(CE142&lt;=0.1,0,BX142/CE142*(CE142-0.1))</f>
        <v/>
      </c>
      <c r="CG142" s="34">
        <f>IF((CF142)&lt;0,MAX(F142:G142)*(CF142)*1.03,MIN(F142:G142)*(CF142)*0.97)</f>
        <v/>
      </c>
      <c r="CH142" s="34">
        <f>IF(CE142&gt;0.1,1,0)</f>
        <v/>
      </c>
      <c r="CI142" s="34">
        <f>(F142*BX142)-BY142</f>
        <v/>
      </c>
      <c r="CJ142" s="34">
        <f>IF(AY142=0,0,CI142/AY142)</f>
        <v/>
      </c>
    </row>
    <row r="143">
      <c r="A143" s="29" t="n">
        <v>46209.83333333334</v>
      </c>
      <c r="B143" s="29" t="inlineStr">
        <is>
          <t>20:00</t>
        </is>
      </c>
      <c r="C143" s="35">
        <f>INT(A143)</f>
        <v/>
      </c>
      <c r="D143" s="36">
        <f>MONTH(A143)</f>
        <v/>
      </c>
      <c r="E143" s="147">
        <f>[1]FİYATLAR!G142</f>
        <v/>
      </c>
      <c r="F143" s="30" t="n">
        <v>4235</v>
      </c>
      <c r="G143" s="30" t="n">
        <v>4235</v>
      </c>
      <c r="H143" s="30" t="n">
        <v>90.81</v>
      </c>
      <c r="I143" s="30" t="n">
        <v>4110.49</v>
      </c>
      <c r="J143" s="119" t="n">
        <v>0</v>
      </c>
      <c r="K143" s="34">
        <f>F143*J143</f>
        <v/>
      </c>
      <c r="L143" s="119" t="n">
        <v>0</v>
      </c>
      <c r="M143" s="34">
        <f>L143*F143</f>
        <v/>
      </c>
      <c r="N143" s="119" t="n">
        <v>23</v>
      </c>
      <c r="O143" s="34">
        <f>F143</f>
        <v/>
      </c>
      <c r="P143" s="34">
        <f>N143*O143</f>
        <v/>
      </c>
      <c r="Q143" s="117" t="n">
        <v>0</v>
      </c>
      <c r="R143" s="34">
        <f>F143</f>
        <v/>
      </c>
      <c r="S143" s="34">
        <f>R143*Q143</f>
        <v/>
      </c>
      <c r="T143" s="34">
        <f>SUMIFS('[1]GİP VERİLERİ'!$C:$C,'[1]GİP VERİLERİ'!$B:$B,A143,'[1]GİP VERİLERİ'!$M:$M,"40X000000104782K",'[1]GİP VERİLERİ'!$G:$G,"SELL")</f>
        <v/>
      </c>
      <c r="U143" s="34">
        <f>IFERROR(W143/T143,0)</f>
        <v/>
      </c>
      <c r="V143" s="34">
        <f>IF(U143=0,0,U143-F143)</f>
        <v/>
      </c>
      <c r="W143" s="34">
        <f>SUMIFS('[1]GİP VERİLERİ'!$O:$O,'[1]GİP VERİLERİ'!$B:$B,A143,'[1]GİP VERİLERİ'!$M:$M,"40X000000104782K",'[1]GİP VERİLERİ'!$G:$G,"SELL")</f>
        <v/>
      </c>
      <c r="X143" s="34">
        <f>SUMIFS('[1]GİP VERİLERİ'!$C:$C,'[1]GİP VERİLERİ'!$B:$B,A143,'[1]GİP VERİLERİ'!$M:$M,"40X000000104782K",'[1]GİP VERİLERİ'!$G:$G,"BUY")</f>
        <v/>
      </c>
      <c r="Y143" s="34">
        <f>IFERROR(AA143/X143,0)</f>
        <v/>
      </c>
      <c r="Z143" s="34">
        <f>IF(Y143=0,0,F143-Y143)</f>
        <v/>
      </c>
      <c r="AA143" s="34">
        <f>SUMIFS('[1]GİP VERİLERİ'!$O:$O,'[1]GİP VERİLERİ'!$B:$B,A143,'[1]GİP VERİLERİ'!$M:$M,"40X000000104782K",'[1]GİP VERİLERİ'!$G:$G,"BUY")</f>
        <v/>
      </c>
      <c r="AB143" s="34" t="n">
        <v>0</v>
      </c>
      <c r="AC143" s="34" t="n">
        <v>0</v>
      </c>
      <c r="AD143" s="34">
        <f>IF(AB143&gt;AC143*1.05,AB143-AC143*1.05,IF(AB143&lt;AC143*0.95,AC143*0.95-AB143,0))</f>
        <v/>
      </c>
      <c r="AE143" s="34">
        <f>MAX(F143,G143,750)*0.05*AD143</f>
        <v/>
      </c>
      <c r="AF143" s="34" t="n">
        <v>0</v>
      </c>
      <c r="AG143" s="34">
        <f>IF(AB143&gt;AF143*1.05,AB143-AF143*1.05,IF(AB143&lt;AF143*0.95,AF143*0.95-AB143,0))</f>
        <v/>
      </c>
      <c r="AH143" s="34">
        <f>MAX(I143,J143,750)*0.05*AG143</f>
        <v/>
      </c>
      <c r="AI143" t="n">
        <v>6.04</v>
      </c>
      <c r="AJ143" t="n">
        <v>10</v>
      </c>
      <c r="AK143" s="34">
        <f>IF(AI143&gt;AJ143*1.05,AI143-AJ143*1.05,IF(AI143&lt;AJ143*0.95,AJ143*0.95-AI143,0))</f>
        <v/>
      </c>
      <c r="AL143" s="34">
        <f>MAX(F143,G143,750)*0.05*AK143</f>
        <v/>
      </c>
      <c r="AM143" s="39" t="n">
        <v>9</v>
      </c>
      <c r="AN143" s="34">
        <f>IF(AI143&gt;AM143*1.05,AI143-AM143*1.05,IF(AI143&lt;AM143*0.95,AM143*0.95-AI143,0))</f>
        <v/>
      </c>
      <c r="AO143" s="34">
        <f>MAX(F143,G143,750)*0.05*AN143</f>
        <v/>
      </c>
      <c r="AP143" s="34" t="n">
        <v>15.87</v>
      </c>
      <c r="AQ143" s="34" t="n">
        <v>13</v>
      </c>
      <c r="AR143" s="34">
        <f>IF(AP143&gt;AQ143*1.05,AP143-AQ143*1.05,IF(AP143&lt;AQ143*0.95,AQ143*0.95-AP143,0))</f>
        <v/>
      </c>
      <c r="AS143" s="34">
        <f>MAX(F143:G143,750)*0.05*AR143</f>
        <v/>
      </c>
      <c r="AT143" t="n">
        <v>13</v>
      </c>
      <c r="AU143" s="34">
        <f>IF(AP143&gt;AT143*1.05,AP143-AT143*1.05,IF(AP143&lt;AT143*0.95,AT143*0.95-AP143,0))</f>
        <v/>
      </c>
      <c r="AV143" s="34">
        <f>MAX(F143:G143,750)*0.05*AU143</f>
        <v/>
      </c>
      <c r="AW143" s="34">
        <f>AC143+AJ143+AQ143</f>
        <v/>
      </c>
      <c r="AX143" s="34">
        <f>AF143+AM143+AT143</f>
        <v/>
      </c>
      <c r="AY143" s="34">
        <f>AB143+AI143+AP143</f>
        <v/>
      </c>
      <c r="AZ143" s="34" t="n">
        <v>0</v>
      </c>
      <c r="BA143" s="34">
        <f>AD143+AK143+AR143</f>
        <v/>
      </c>
      <c r="BB143" s="34">
        <f>MAX(F143:G143,750)*0.05*BA143</f>
        <v/>
      </c>
      <c r="BC143" s="34">
        <f>AG143+AN143+AU143</f>
        <v/>
      </c>
      <c r="BD143" s="34">
        <f>MAX(F143:G143,750)*0.05*BC143</f>
        <v/>
      </c>
      <c r="BE143" s="34">
        <f>F143*AY143</f>
        <v/>
      </c>
      <c r="BF143" s="34">
        <f>K143-M143</f>
        <v/>
      </c>
      <c r="BG143" s="34">
        <f>P143-S143</f>
        <v/>
      </c>
      <c r="BH143" s="34">
        <f>W143-AA143</f>
        <v/>
      </c>
      <c r="BI143" s="34">
        <f>BF143+BG143+BL143-BN143</f>
        <v/>
      </c>
      <c r="BJ143" s="34">
        <f>ABS(BK143)</f>
        <v/>
      </c>
      <c r="BK143" s="34">
        <f>AY143-(J143-L143+N143-Q143)</f>
        <v/>
      </c>
      <c r="BL143" s="34">
        <f>IF(AND(BK143&gt;0,MIN($F143:$G143)&lt;150,$E143="Enerji Açığı"),-100*BK143*1.03,IF(AND(BK143&gt;0,MIN($F143:$G143)&lt;150,$E143="Enerji Fazlası"),-100*BK143*1.06,IF(AND(BK143&gt;0,MIN($F143:$G143)&gt;=150,$E143="Enerji Açığı"),BK143*MIN($F143:$G143)*0.97,IF(AND(BK143&gt;0,MIN($F143:$G143)&gt;=150,$E143="Enerji Fazlası"),BK143*MIN($F143:$G143)*0.94,IF(AND(BK143&lt;0,MAX($F143:$G143)=4500,$E143="Enerji Açığı"),4500*1.05*1.06*BK143,IF(AND(BK143&lt;0,MAX($F143:$G143)=4500,$E143="Enerji Fazlası"),4500*1.05*1.03*BK143,IF(AND(BK143&lt;0,$E143="Enerji Açığı"),MAX($F143,$G143,150)*BK143*1.06,IF(AND(BK143&lt;0,$E143="Enerji Fazlası"),MAX($F143,$G143,150)*BK143*1.03,IF(AND(BK143&lt;0,$E143="Dengede"),MAX($F143:$G143,150)*1.03*BK143,MIN($F143:$G143)*0.97*BK143)))))))))</f>
        <v/>
      </c>
      <c r="BM143" s="34">
        <f>BE143-BI143-BN143</f>
        <v/>
      </c>
      <c r="BN143" s="34">
        <f>BB143</f>
        <v/>
      </c>
      <c r="BO143" s="34">
        <f>BE143-BI143</f>
        <v/>
      </c>
      <c r="BP143" s="34">
        <f>IF(AY143=0,0,BO143/AY143)</f>
        <v/>
      </c>
      <c r="BQ143" s="34">
        <f>MAX((AY143+MAX((-J143+L143-N143+Q143),0)),(MAX((J143-L143+N143-Q143),0)))</f>
        <v/>
      </c>
      <c r="BR143" s="82">
        <f>IFERROR(ABS(BK143/BQ143),0)</f>
        <v/>
      </c>
      <c r="BS143" s="34">
        <f>IF(BR143&lt;=0.1,0,BK143/BR143*(BR143-0.1))</f>
        <v/>
      </c>
      <c r="BT143" s="34">
        <f>IF((BS143)&lt;0,MAX(F143:G143)*(BS143)*1.03,MIN(F143:G143)*(BS143)*0.97)</f>
        <v/>
      </c>
      <c r="BU143" s="34">
        <f>IF(BR143&gt;0.1,1,0)</f>
        <v/>
      </c>
      <c r="BV143" s="34">
        <f>BF143+BG143+BH143+BY143-CA143</f>
        <v/>
      </c>
      <c r="BW143" s="34">
        <f>ABS(BX143)</f>
        <v/>
      </c>
      <c r="BX143" s="34">
        <f>AY143-(J143-L143+N143-Q143+T143-X143)</f>
        <v/>
      </c>
      <c r="BY143" s="34">
        <f>IF(AND(BX143&gt;0,MIN($F143:$G143)&lt;150,$E143="Enerji Açığı"),-100*BX143*1.03,IF(AND(BX143&gt;0,MIN($F143:$G143)&lt;150,$E143="Enerji Fazlası"),-100*BX143*1.06,IF(AND(BX143&gt;0,MIN($F143:$G143)&gt;=150,$E143="Enerji Açığı"),BX143*MIN($F143:$G143)*0.97,IF(AND(BX143&gt;0,MIN($F143:$G143)&gt;=150,$E143="Enerji Fazlası"),BX143*MIN($F143:$G143)*0.94,IF(AND(BX143&lt;0,MAX($F143:$G143)=4500,$E143="Enerji Açığı"),4500*1.05*1.06*BX143,IF(AND(BX143&lt;0,MAX($F143:$G143)=4500,$E143="Enerji Fazlası"),4500*1.05*1.03*BX143,IF(AND(BX143&lt;0,$E143="Enerji Açığı"),MAX($F143,$G143,150)*BX143*1.06,IF(AND(BX143&lt;0,$E143="Enerji Fazlası"),MAX($F143,$G143,150)*BX143*1.03,IF(AND(BX143&lt;0,$E143="Dengede"),MAX($F143:$G143,150)*1.03*BX143,MIN($F143:$G143)*0.97*BX143)))))))))</f>
        <v/>
      </c>
      <c r="BZ143" s="34">
        <f>BE143-BV143-CA143</f>
        <v/>
      </c>
      <c r="CA143" s="34">
        <f>BD143</f>
        <v/>
      </c>
      <c r="CB143" s="33">
        <f>BE143-BV143</f>
        <v/>
      </c>
      <c r="CC143" s="34">
        <f>IF(AY143=0,0,CB143/AY143)</f>
        <v/>
      </c>
      <c r="CD143" s="34">
        <f>MAX((AY143+MAX((-J143+L143-N143+Q143-T143+X143),0)),(MAX((J143-L143+N143-Q143+T143-X143),0)))</f>
        <v/>
      </c>
      <c r="CE143" s="82">
        <f>IFERROR(ABS(BX143/CD143),0)</f>
        <v/>
      </c>
      <c r="CF143" s="34">
        <f>IF(CE143&lt;=0.1,0,BX143/CE143*(CE143-0.1))</f>
        <v/>
      </c>
      <c r="CG143" s="34">
        <f>IF((CF143)&lt;0,MAX(F143:G143)*(CF143)*1.03,MIN(F143:G143)*(CF143)*0.97)</f>
        <v/>
      </c>
      <c r="CH143" s="34">
        <f>IF(CE143&gt;0.1,1,0)</f>
        <v/>
      </c>
      <c r="CI143" s="34">
        <f>(F143*BX143)-BY143</f>
        <v/>
      </c>
      <c r="CJ143" s="34">
        <f>IF(AY143=0,0,CI143/AY143)</f>
        <v/>
      </c>
    </row>
    <row r="144">
      <c r="A144" s="29" t="n">
        <v>46209.875</v>
      </c>
      <c r="B144" s="29" t="inlineStr">
        <is>
          <t>21:00</t>
        </is>
      </c>
      <c r="C144" s="35">
        <f>INT(A144)</f>
        <v/>
      </c>
      <c r="D144" s="36">
        <f>MONTH(A144)</f>
        <v/>
      </c>
      <c r="E144" s="147">
        <f>[1]FİYATLAR!G143</f>
        <v/>
      </c>
      <c r="F144" s="30" t="n">
        <v>4400</v>
      </c>
      <c r="G144" s="30" t="n">
        <v>4399.9</v>
      </c>
      <c r="H144" s="30" t="n">
        <v>94.34999999999999</v>
      </c>
      <c r="I144" s="30" t="n">
        <v>4416.59</v>
      </c>
      <c r="J144" s="119" t="n">
        <v>0</v>
      </c>
      <c r="K144" s="34">
        <f>F144*J144</f>
        <v/>
      </c>
      <c r="L144" s="119" t="n">
        <v>0</v>
      </c>
      <c r="M144" s="34">
        <f>L144*F144</f>
        <v/>
      </c>
      <c r="N144" s="119" t="n">
        <v>20</v>
      </c>
      <c r="O144" s="34">
        <f>F144</f>
        <v/>
      </c>
      <c r="P144" s="34">
        <f>N144*O144</f>
        <v/>
      </c>
      <c r="Q144" s="117" t="n">
        <v>0</v>
      </c>
      <c r="R144" s="34">
        <f>F144</f>
        <v/>
      </c>
      <c r="S144" s="34">
        <f>R144*Q144</f>
        <v/>
      </c>
      <c r="T144" s="34">
        <f>SUMIFS('[1]GİP VERİLERİ'!$C:$C,'[1]GİP VERİLERİ'!$B:$B,A144,'[1]GİP VERİLERİ'!$M:$M,"40X000000104782K",'[1]GİP VERİLERİ'!$G:$G,"SELL")</f>
        <v/>
      </c>
      <c r="U144" s="34">
        <f>IFERROR(W144/T144,0)</f>
        <v/>
      </c>
      <c r="V144" s="34">
        <f>IF(U144=0,0,U144-F144)</f>
        <v/>
      </c>
      <c r="W144" s="34">
        <f>SUMIFS('[1]GİP VERİLERİ'!$O:$O,'[1]GİP VERİLERİ'!$B:$B,A144,'[1]GİP VERİLERİ'!$M:$M,"40X000000104782K",'[1]GİP VERİLERİ'!$G:$G,"SELL")</f>
        <v/>
      </c>
      <c r="X144" s="34">
        <f>SUMIFS('[1]GİP VERİLERİ'!$C:$C,'[1]GİP VERİLERİ'!$B:$B,A144,'[1]GİP VERİLERİ'!$M:$M,"40X000000104782K",'[1]GİP VERİLERİ'!$G:$G,"BUY")</f>
        <v/>
      </c>
      <c r="Y144" s="34">
        <f>IFERROR(AA144/X144,0)</f>
        <v/>
      </c>
      <c r="Z144" s="34">
        <f>IF(Y144=0,0,F144-Y144)</f>
        <v/>
      </c>
      <c r="AA144" s="34">
        <f>SUMIFS('[1]GİP VERİLERİ'!$O:$O,'[1]GİP VERİLERİ'!$B:$B,A144,'[1]GİP VERİLERİ'!$M:$M,"40X000000104782K",'[1]GİP VERİLERİ'!$G:$G,"BUY")</f>
        <v/>
      </c>
      <c r="AB144" s="34" t="n">
        <v>0</v>
      </c>
      <c r="AC144" s="34" t="n">
        <v>0</v>
      </c>
      <c r="AD144" s="34">
        <f>IF(AB144&gt;AC144*1.05,AB144-AC144*1.05,IF(AB144&lt;AC144*0.95,AC144*0.95-AB144,0))</f>
        <v/>
      </c>
      <c r="AE144" s="34">
        <f>MAX(F144,G144,750)*0.05*AD144</f>
        <v/>
      </c>
      <c r="AF144" s="34" t="n">
        <v>0</v>
      </c>
      <c r="AG144" s="34">
        <f>IF(AB144&gt;AF144*1.05,AB144-AF144*1.05,IF(AB144&lt;AF144*0.95,AF144*0.95-AB144,0))</f>
        <v/>
      </c>
      <c r="AH144" s="34">
        <f>MAX(I144,J144,750)*0.05*AG144</f>
        <v/>
      </c>
      <c r="AI144" t="n">
        <v>8.039999999999999</v>
      </c>
      <c r="AJ144" t="n">
        <v>9</v>
      </c>
      <c r="AK144" s="34">
        <f>IF(AI144&gt;AJ144*1.05,AI144-AJ144*1.05,IF(AI144&lt;AJ144*0.95,AJ144*0.95-AI144,0))</f>
        <v/>
      </c>
      <c r="AL144" s="34">
        <f>MAX(F144,G144,750)*0.05*AK144</f>
        <v/>
      </c>
      <c r="AM144" s="39" t="n">
        <v>9</v>
      </c>
      <c r="AN144" s="34">
        <f>IF(AI144&gt;AM144*1.05,AI144-AM144*1.05,IF(AI144&lt;AM144*0.95,AM144*0.95-AI144,0))</f>
        <v/>
      </c>
      <c r="AO144" s="34">
        <f>MAX(F144,G144,750)*0.05*AN144</f>
        <v/>
      </c>
      <c r="AP144" s="34" t="n">
        <v>13.2</v>
      </c>
      <c r="AQ144" s="34" t="n">
        <v>11</v>
      </c>
      <c r="AR144" s="34">
        <f>IF(AP144&gt;AQ144*1.05,AP144-AQ144*1.05,IF(AP144&lt;AQ144*0.95,AQ144*0.95-AP144,0))</f>
        <v/>
      </c>
      <c r="AS144" s="34">
        <f>MAX(F144:G144,750)*0.05*AR144</f>
        <v/>
      </c>
      <c r="AT144" t="n">
        <v>12</v>
      </c>
      <c r="AU144" s="34">
        <f>IF(AP144&gt;AT144*1.05,AP144-AT144*1.05,IF(AP144&lt;AT144*0.95,AT144*0.95-AP144,0))</f>
        <v/>
      </c>
      <c r="AV144" s="34">
        <f>MAX(F144:G144,750)*0.05*AU144</f>
        <v/>
      </c>
      <c r="AW144" s="34">
        <f>AC144+AJ144+AQ144</f>
        <v/>
      </c>
      <c r="AX144" s="34">
        <f>AF144+AM144+AT144</f>
        <v/>
      </c>
      <c r="AY144" s="34">
        <f>AB144+AI144+AP144</f>
        <v/>
      </c>
      <c r="AZ144" s="34" t="n">
        <v>0</v>
      </c>
      <c r="BA144" s="34">
        <f>AD144+AK144+AR144</f>
        <v/>
      </c>
      <c r="BB144" s="34">
        <f>MAX(F144:G144,750)*0.05*BA144</f>
        <v/>
      </c>
      <c r="BC144" s="34">
        <f>AG144+AN144+AU144</f>
        <v/>
      </c>
      <c r="BD144" s="34">
        <f>MAX(F144:G144,750)*0.05*BC144</f>
        <v/>
      </c>
      <c r="BE144" s="34">
        <f>F144*AY144</f>
        <v/>
      </c>
      <c r="BF144" s="34">
        <f>K144-M144</f>
        <v/>
      </c>
      <c r="BG144" s="34">
        <f>P144-S144</f>
        <v/>
      </c>
      <c r="BH144" s="34">
        <f>W144-AA144</f>
        <v/>
      </c>
      <c r="BI144" s="34">
        <f>BF144+BG144+BL144-BN144</f>
        <v/>
      </c>
      <c r="BJ144" s="34">
        <f>ABS(BK144)</f>
        <v/>
      </c>
      <c r="BK144" s="34">
        <f>AY144-(J144-L144+N144-Q144)</f>
        <v/>
      </c>
      <c r="BL144" s="34">
        <f>IF(AND(BK144&gt;0,MIN($F144:$G144)&lt;150,$E144="Enerji Açığı"),-100*BK144*1.03,IF(AND(BK144&gt;0,MIN($F144:$G144)&lt;150,$E144="Enerji Fazlası"),-100*BK144*1.06,IF(AND(BK144&gt;0,MIN($F144:$G144)&gt;=150,$E144="Enerji Açığı"),BK144*MIN($F144:$G144)*0.97,IF(AND(BK144&gt;0,MIN($F144:$G144)&gt;=150,$E144="Enerji Fazlası"),BK144*MIN($F144:$G144)*0.94,IF(AND(BK144&lt;0,MAX($F144:$G144)=4500,$E144="Enerji Açığı"),4500*1.05*1.06*BK144,IF(AND(BK144&lt;0,MAX($F144:$G144)=4500,$E144="Enerji Fazlası"),4500*1.05*1.03*BK144,IF(AND(BK144&lt;0,$E144="Enerji Açığı"),MAX($F144,$G144,150)*BK144*1.06,IF(AND(BK144&lt;0,$E144="Enerji Fazlası"),MAX($F144,$G144,150)*BK144*1.03,IF(AND(BK144&lt;0,$E144="Dengede"),MAX($F144:$G144,150)*1.03*BK144,MIN($F144:$G144)*0.97*BK144)))))))))</f>
        <v/>
      </c>
      <c r="BM144" s="34">
        <f>BE144-BI144-BN144</f>
        <v/>
      </c>
      <c r="BN144" s="34">
        <f>BB144</f>
        <v/>
      </c>
      <c r="BO144" s="34">
        <f>BE144-BI144</f>
        <v/>
      </c>
      <c r="BP144" s="34">
        <f>IF(AY144=0,0,BO144/AY144)</f>
        <v/>
      </c>
      <c r="BQ144" s="34">
        <f>MAX((AY144+MAX((-J144+L144-N144+Q144),0)),(MAX((J144-L144+N144-Q144),0)))</f>
        <v/>
      </c>
      <c r="BR144" s="82">
        <f>IFERROR(ABS(BK144/BQ144),0)</f>
        <v/>
      </c>
      <c r="BS144" s="34">
        <f>IF(BR144&lt;=0.1,0,BK144/BR144*(BR144-0.1))</f>
        <v/>
      </c>
      <c r="BT144" s="34">
        <f>IF((BS144)&lt;0,MAX(F144:G144)*(BS144)*1.03,MIN(F144:G144)*(BS144)*0.97)</f>
        <v/>
      </c>
      <c r="BU144" s="34">
        <f>IF(BR144&gt;0.1,1,0)</f>
        <v/>
      </c>
      <c r="BV144" s="34">
        <f>BF144+BG144+BH144+BY144-CA144</f>
        <v/>
      </c>
      <c r="BW144" s="34">
        <f>ABS(BX144)</f>
        <v/>
      </c>
      <c r="BX144" s="34">
        <f>AY144-(J144-L144+N144-Q144+T144-X144)</f>
        <v/>
      </c>
      <c r="BY144" s="34">
        <f>IF(AND(BX144&gt;0,MIN($F144:$G144)&lt;150,$E144="Enerji Açığı"),-100*BX144*1.03,IF(AND(BX144&gt;0,MIN($F144:$G144)&lt;150,$E144="Enerji Fazlası"),-100*BX144*1.06,IF(AND(BX144&gt;0,MIN($F144:$G144)&gt;=150,$E144="Enerji Açığı"),BX144*MIN($F144:$G144)*0.97,IF(AND(BX144&gt;0,MIN($F144:$G144)&gt;=150,$E144="Enerji Fazlası"),BX144*MIN($F144:$G144)*0.94,IF(AND(BX144&lt;0,MAX($F144:$G144)=4500,$E144="Enerji Açığı"),4500*1.05*1.06*BX144,IF(AND(BX144&lt;0,MAX($F144:$G144)=4500,$E144="Enerji Fazlası"),4500*1.05*1.03*BX144,IF(AND(BX144&lt;0,$E144="Enerji Açığı"),MAX($F144,$G144,150)*BX144*1.06,IF(AND(BX144&lt;0,$E144="Enerji Fazlası"),MAX($F144,$G144,150)*BX144*1.03,IF(AND(BX144&lt;0,$E144="Dengede"),MAX($F144:$G144,150)*1.03*BX144,MIN($F144:$G144)*0.97*BX144)))))))))</f>
        <v/>
      </c>
      <c r="BZ144" s="34">
        <f>BE144-BV144-CA144</f>
        <v/>
      </c>
      <c r="CA144" s="34">
        <f>BD144</f>
        <v/>
      </c>
      <c r="CB144" s="33">
        <f>BE144-BV144</f>
        <v/>
      </c>
      <c r="CC144" s="34">
        <f>IF(AY144=0,0,CB144/AY144)</f>
        <v/>
      </c>
      <c r="CD144" s="34">
        <f>MAX((AY144+MAX((-J144+L144-N144+Q144-T144+X144),0)),(MAX((J144-L144+N144-Q144+T144-X144),0)))</f>
        <v/>
      </c>
      <c r="CE144" s="82">
        <f>IFERROR(ABS(BX144/CD144),0)</f>
        <v/>
      </c>
      <c r="CF144" s="34">
        <f>IF(CE144&lt;=0.1,0,BX144/CE144*(CE144-0.1))</f>
        <v/>
      </c>
      <c r="CG144" s="34">
        <f>IF((CF144)&lt;0,MAX(F144:G144)*(CF144)*1.03,MIN(F144:G144)*(CF144)*0.97)</f>
        <v/>
      </c>
      <c r="CH144" s="34">
        <f>IF(CE144&gt;0.1,1,0)</f>
        <v/>
      </c>
      <c r="CI144" s="34">
        <f>(F144*BX144)-BY144</f>
        <v/>
      </c>
      <c r="CJ144" s="34">
        <f>IF(AY144=0,0,CI144/AY144)</f>
        <v/>
      </c>
    </row>
    <row r="145">
      <c r="A145" s="29" t="n">
        <v>46209.91666666666</v>
      </c>
      <c r="B145" s="29" t="inlineStr">
        <is>
          <t>22:00</t>
        </is>
      </c>
      <c r="C145" s="35">
        <f>INT(A145)</f>
        <v/>
      </c>
      <c r="D145" s="36">
        <f>MONTH(A145)</f>
        <v/>
      </c>
      <c r="E145" s="147">
        <f>[1]FİYATLAR!G144</f>
        <v/>
      </c>
      <c r="F145" s="30" t="n">
        <v>3499</v>
      </c>
      <c r="G145" s="30" t="n">
        <v>2501</v>
      </c>
      <c r="H145" s="30" t="n">
        <v>75.03</v>
      </c>
      <c r="I145" s="30" t="n">
        <v>3763.01</v>
      </c>
      <c r="J145" s="119" t="n">
        <v>0</v>
      </c>
      <c r="K145" s="34">
        <f>F145*J145</f>
        <v/>
      </c>
      <c r="L145" s="119" t="n">
        <v>0</v>
      </c>
      <c r="M145" s="34">
        <f>L145*F145</f>
        <v/>
      </c>
      <c r="N145" s="119" t="n">
        <v>20</v>
      </c>
      <c r="O145" s="34">
        <f>F145</f>
        <v/>
      </c>
      <c r="P145" s="34">
        <f>N145*O145</f>
        <v/>
      </c>
      <c r="Q145" s="117" t="n">
        <v>0</v>
      </c>
      <c r="R145" s="34">
        <f>F145</f>
        <v/>
      </c>
      <c r="S145" s="34">
        <f>R145*Q145</f>
        <v/>
      </c>
      <c r="T145" s="34">
        <f>SUMIFS('[1]GİP VERİLERİ'!$C:$C,'[1]GİP VERİLERİ'!$B:$B,A145,'[1]GİP VERİLERİ'!$M:$M,"40X000000104782K",'[1]GİP VERİLERİ'!$G:$G,"SELL")</f>
        <v/>
      </c>
      <c r="U145" s="34">
        <f>IFERROR(W145/T145,0)</f>
        <v/>
      </c>
      <c r="V145" s="34">
        <f>IF(U145=0,0,U145-F145)</f>
        <v/>
      </c>
      <c r="W145" s="34">
        <f>SUMIFS('[1]GİP VERİLERİ'!$O:$O,'[1]GİP VERİLERİ'!$B:$B,A145,'[1]GİP VERİLERİ'!$M:$M,"40X000000104782K",'[1]GİP VERİLERİ'!$G:$G,"SELL")</f>
        <v/>
      </c>
      <c r="X145" s="34">
        <f>SUMIFS('[1]GİP VERİLERİ'!$C:$C,'[1]GİP VERİLERİ'!$B:$B,A145,'[1]GİP VERİLERİ'!$M:$M,"40X000000104782K",'[1]GİP VERİLERİ'!$G:$G,"BUY")</f>
        <v/>
      </c>
      <c r="Y145" s="34">
        <f>IFERROR(AA145/X145,0)</f>
        <v/>
      </c>
      <c r="Z145" s="34">
        <f>IF(Y145=0,0,F145-Y145)</f>
        <v/>
      </c>
      <c r="AA145" s="34">
        <f>SUMIFS('[1]GİP VERİLERİ'!$O:$O,'[1]GİP VERİLERİ'!$B:$B,A145,'[1]GİP VERİLERİ'!$M:$M,"40X000000104782K",'[1]GİP VERİLERİ'!$G:$G,"BUY")</f>
        <v/>
      </c>
      <c r="AB145" s="34" t="n">
        <v>0</v>
      </c>
      <c r="AC145" s="34" t="n">
        <v>0</v>
      </c>
      <c r="AD145" s="34">
        <f>IF(AB145&gt;AC145*1.05,AB145-AC145*1.05,IF(AB145&lt;AC145*0.95,AC145*0.95-AB145,0))</f>
        <v/>
      </c>
      <c r="AE145" s="34">
        <f>MAX(F145,G145,750)*0.05*AD145</f>
        <v/>
      </c>
      <c r="AF145" s="34" t="n">
        <v>0</v>
      </c>
      <c r="AG145" s="34">
        <f>IF(AB145&gt;AF145*1.05,AB145-AF145*1.05,IF(AB145&lt;AF145*0.95,AF145*0.95-AB145,0))</f>
        <v/>
      </c>
      <c r="AH145" s="34">
        <f>MAX(I145,J145,750)*0.05*AG145</f>
        <v/>
      </c>
      <c r="AI145" t="n">
        <v>8.19</v>
      </c>
      <c r="AJ145" t="n">
        <v>9</v>
      </c>
      <c r="AK145" s="34">
        <f>IF(AI145&gt;AJ145*1.05,AI145-AJ145*1.05,IF(AI145&lt;AJ145*0.95,AJ145*0.95-AI145,0))</f>
        <v/>
      </c>
      <c r="AL145" s="34">
        <f>MAX(F145,G145,750)*0.05*AK145</f>
        <v/>
      </c>
      <c r="AM145" s="39" t="n">
        <v>8</v>
      </c>
      <c r="AN145" s="34">
        <f>IF(AI145&gt;AM145*1.05,AI145-AM145*1.05,IF(AI145&lt;AM145*0.95,AM145*0.95-AI145,0))</f>
        <v/>
      </c>
      <c r="AO145" s="34">
        <f>MAX(F145,G145,750)*0.05*AN145</f>
        <v/>
      </c>
      <c r="AP145" s="34" t="n">
        <v>11.18</v>
      </c>
      <c r="AQ145" s="34" t="n">
        <v>11</v>
      </c>
      <c r="AR145" s="34">
        <f>IF(AP145&gt;AQ145*1.05,AP145-AQ145*1.05,IF(AP145&lt;AQ145*0.95,AQ145*0.95-AP145,0))</f>
        <v/>
      </c>
      <c r="AS145" s="34">
        <f>MAX(F145:G145,750)*0.05*AR145</f>
        <v/>
      </c>
      <c r="AT145" t="n">
        <v>11</v>
      </c>
      <c r="AU145" s="34">
        <f>IF(AP145&gt;AT145*1.05,AP145-AT145*1.05,IF(AP145&lt;AT145*0.95,AT145*0.95-AP145,0))</f>
        <v/>
      </c>
      <c r="AV145" s="34">
        <f>MAX(F145:G145,750)*0.05*AU145</f>
        <v/>
      </c>
      <c r="AW145" s="34">
        <f>AC145+AJ145+AQ145</f>
        <v/>
      </c>
      <c r="AX145" s="34">
        <f>AF145+AM145+AT145</f>
        <v/>
      </c>
      <c r="AY145" s="34">
        <f>AB145+AI145+AP145</f>
        <v/>
      </c>
      <c r="AZ145" s="34" t="n">
        <v>0</v>
      </c>
      <c r="BA145" s="34">
        <f>AD145+AK145+AR145</f>
        <v/>
      </c>
      <c r="BB145" s="34">
        <f>MAX(F145:G145,750)*0.05*BA145</f>
        <v/>
      </c>
      <c r="BC145" s="34">
        <f>AG145+AN145+AU145</f>
        <v/>
      </c>
      <c r="BD145" s="34">
        <f>MAX(F145:G145,750)*0.05*BC145</f>
        <v/>
      </c>
      <c r="BE145" s="34">
        <f>F145*AY145</f>
        <v/>
      </c>
      <c r="BF145" s="34">
        <f>K145-M145</f>
        <v/>
      </c>
      <c r="BG145" s="34">
        <f>P145-S145</f>
        <v/>
      </c>
      <c r="BH145" s="34">
        <f>W145-AA145</f>
        <v/>
      </c>
      <c r="BI145" s="34">
        <f>BF145+BG145+BL145-BN145</f>
        <v/>
      </c>
      <c r="BJ145" s="34">
        <f>ABS(BK145)</f>
        <v/>
      </c>
      <c r="BK145" s="34">
        <f>AY145-(J145-L145+N145-Q145)</f>
        <v/>
      </c>
      <c r="BL145" s="34">
        <f>IF(AND(BK145&gt;0,MIN($F145:$G145)&lt;150,$E145="Enerji Açığı"),-100*BK145*1.03,IF(AND(BK145&gt;0,MIN($F145:$G145)&lt;150,$E145="Enerji Fazlası"),-100*BK145*1.06,IF(AND(BK145&gt;0,MIN($F145:$G145)&gt;=150,$E145="Enerji Açığı"),BK145*MIN($F145:$G145)*0.97,IF(AND(BK145&gt;0,MIN($F145:$G145)&gt;=150,$E145="Enerji Fazlası"),BK145*MIN($F145:$G145)*0.94,IF(AND(BK145&lt;0,MAX($F145:$G145)=4500,$E145="Enerji Açığı"),4500*1.05*1.06*BK145,IF(AND(BK145&lt;0,MAX($F145:$G145)=4500,$E145="Enerji Fazlası"),4500*1.05*1.03*BK145,IF(AND(BK145&lt;0,$E145="Enerji Açığı"),MAX($F145,$G145,150)*BK145*1.06,IF(AND(BK145&lt;0,$E145="Enerji Fazlası"),MAX($F145,$G145,150)*BK145*1.03,IF(AND(BK145&lt;0,$E145="Dengede"),MAX($F145:$G145,150)*1.03*BK145,MIN($F145:$G145)*0.97*BK145)))))))))</f>
        <v/>
      </c>
      <c r="BM145" s="34">
        <f>BE145-BI145-BN145</f>
        <v/>
      </c>
      <c r="BN145" s="34">
        <f>BB145</f>
        <v/>
      </c>
      <c r="BO145" s="34">
        <f>BE145-BI145</f>
        <v/>
      </c>
      <c r="BP145" s="34">
        <f>IF(AY145=0,0,BO145/AY145)</f>
        <v/>
      </c>
      <c r="BQ145" s="34">
        <f>MAX((AY145+MAX((-J145+L145-N145+Q145),0)),(MAX((J145-L145+N145-Q145),0)))</f>
        <v/>
      </c>
      <c r="BR145" s="82">
        <f>IFERROR(ABS(BK145/BQ145),0)</f>
        <v/>
      </c>
      <c r="BS145" s="34">
        <f>IF(BR145&lt;=0.1,0,BK145/BR145*(BR145-0.1))</f>
        <v/>
      </c>
      <c r="BT145" s="34">
        <f>IF((BS145)&lt;0,MAX(F145:G145)*(BS145)*1.03,MIN(F145:G145)*(BS145)*0.97)</f>
        <v/>
      </c>
      <c r="BU145" s="34">
        <f>IF(BR145&gt;0.1,1,0)</f>
        <v/>
      </c>
      <c r="BV145" s="34">
        <f>BF145+BG145+BH145+BY145-CA145</f>
        <v/>
      </c>
      <c r="BW145" s="34">
        <f>ABS(BX145)</f>
        <v/>
      </c>
      <c r="BX145" s="34">
        <f>AY145-(J145-L145+N145-Q145+T145-X145)</f>
        <v/>
      </c>
      <c r="BY145" s="34">
        <f>IF(AND(BX145&gt;0,MIN($F145:$G145)&lt;150,$E145="Enerji Açığı"),-100*BX145*1.03,IF(AND(BX145&gt;0,MIN($F145:$G145)&lt;150,$E145="Enerji Fazlası"),-100*BX145*1.06,IF(AND(BX145&gt;0,MIN($F145:$G145)&gt;=150,$E145="Enerji Açığı"),BX145*MIN($F145:$G145)*0.97,IF(AND(BX145&gt;0,MIN($F145:$G145)&gt;=150,$E145="Enerji Fazlası"),BX145*MIN($F145:$G145)*0.94,IF(AND(BX145&lt;0,MAX($F145:$G145)=4500,$E145="Enerji Açığı"),4500*1.05*1.06*BX145,IF(AND(BX145&lt;0,MAX($F145:$G145)=4500,$E145="Enerji Fazlası"),4500*1.05*1.03*BX145,IF(AND(BX145&lt;0,$E145="Enerji Açığı"),MAX($F145,$G145,150)*BX145*1.06,IF(AND(BX145&lt;0,$E145="Enerji Fazlası"),MAX($F145,$G145,150)*BX145*1.03,IF(AND(BX145&lt;0,$E145="Dengede"),MAX($F145:$G145,150)*1.03*BX145,MIN($F145:$G145)*0.97*BX145)))))))))</f>
        <v/>
      </c>
      <c r="BZ145" s="34">
        <f>BE145-BV145-CA145</f>
        <v/>
      </c>
      <c r="CA145" s="34">
        <f>BD145</f>
        <v/>
      </c>
      <c r="CB145" s="33">
        <f>BE145-BV145</f>
        <v/>
      </c>
      <c r="CC145" s="34">
        <f>IF(AY145=0,0,CB145/AY145)</f>
        <v/>
      </c>
      <c r="CD145" s="34">
        <f>MAX((AY145+MAX((-J145+L145-N145+Q145-T145+X145),0)),(MAX((J145-L145+N145-Q145+T145-X145),0)))</f>
        <v/>
      </c>
      <c r="CE145" s="82">
        <f>IFERROR(ABS(BX145/CD145),0)</f>
        <v/>
      </c>
      <c r="CF145" s="34">
        <f>IF(CE145&lt;=0.1,0,BX145/CE145*(CE145-0.1))</f>
        <v/>
      </c>
      <c r="CG145" s="34">
        <f>IF((CF145)&lt;0,MAX(F145:G145)*(CF145)*1.03,MIN(F145:G145)*(CF145)*0.97)</f>
        <v/>
      </c>
      <c r="CH145" s="34">
        <f>IF(CE145&gt;0.1,1,0)</f>
        <v/>
      </c>
      <c r="CI145" s="34">
        <f>(F145*BX145)-BY145</f>
        <v/>
      </c>
      <c r="CJ145" s="34">
        <f>IF(AY145=0,0,CI145/AY145)</f>
        <v/>
      </c>
    </row>
    <row r="146">
      <c r="A146" s="29" t="n">
        <v>46209.95833333334</v>
      </c>
      <c r="B146" s="29" t="inlineStr">
        <is>
          <t>23:00</t>
        </is>
      </c>
      <c r="C146" s="35">
        <f>INT(A146)</f>
        <v/>
      </c>
      <c r="D146" s="36">
        <f>MONTH(A146)</f>
        <v/>
      </c>
      <c r="E146" s="147">
        <f>[1]FİYATLAR!G145</f>
        <v/>
      </c>
      <c r="F146" s="30" t="n">
        <v>2537.99</v>
      </c>
      <c r="G146" s="30" t="n">
        <v>500</v>
      </c>
      <c r="H146" s="30" t="n">
        <v>54.42</v>
      </c>
      <c r="I146" s="30" t="n">
        <v>2647.51</v>
      </c>
      <c r="J146" s="119" t="n">
        <v>0</v>
      </c>
      <c r="K146" s="34">
        <f>F146*J146</f>
        <v/>
      </c>
      <c r="L146" s="119" t="n">
        <v>0</v>
      </c>
      <c r="M146" s="34">
        <f>L146*F146</f>
        <v/>
      </c>
      <c r="N146" s="119" t="n">
        <v>20</v>
      </c>
      <c r="O146" s="34">
        <f>F146</f>
        <v/>
      </c>
      <c r="P146" s="34">
        <f>N146*O146</f>
        <v/>
      </c>
      <c r="Q146" s="117" t="n">
        <v>0</v>
      </c>
      <c r="R146" s="34">
        <f>F146</f>
        <v/>
      </c>
      <c r="S146" s="34">
        <f>R146*Q146</f>
        <v/>
      </c>
      <c r="T146" s="34">
        <f>SUMIFS('[1]GİP VERİLERİ'!$C:$C,'[1]GİP VERİLERİ'!$B:$B,A146,'[1]GİP VERİLERİ'!$M:$M,"40X000000104782K",'[1]GİP VERİLERİ'!$G:$G,"SELL")</f>
        <v/>
      </c>
      <c r="U146" s="34">
        <f>IFERROR(W146/T146,0)</f>
        <v/>
      </c>
      <c r="V146" s="34">
        <f>IF(U146=0,0,U146-F146)</f>
        <v/>
      </c>
      <c r="W146" s="34">
        <f>SUMIFS('[1]GİP VERİLERİ'!$O:$O,'[1]GİP VERİLERİ'!$B:$B,A146,'[1]GİP VERİLERİ'!$M:$M,"40X000000104782K",'[1]GİP VERİLERİ'!$G:$G,"SELL")</f>
        <v/>
      </c>
      <c r="X146" s="34">
        <f>SUMIFS('[1]GİP VERİLERİ'!$C:$C,'[1]GİP VERİLERİ'!$B:$B,A146,'[1]GİP VERİLERİ'!$M:$M,"40X000000104782K",'[1]GİP VERİLERİ'!$G:$G,"BUY")</f>
        <v/>
      </c>
      <c r="Y146" s="34">
        <f>IFERROR(AA146/X146,0)</f>
        <v/>
      </c>
      <c r="Z146" s="34">
        <f>IF(Y146=0,0,F146-Y146)</f>
        <v/>
      </c>
      <c r="AA146" s="34">
        <f>SUMIFS('[1]GİP VERİLERİ'!$O:$O,'[1]GİP VERİLERİ'!$B:$B,A146,'[1]GİP VERİLERİ'!$M:$M,"40X000000104782K",'[1]GİP VERİLERİ'!$G:$G,"BUY")</f>
        <v/>
      </c>
      <c r="AB146" s="34" t="n">
        <v>0</v>
      </c>
      <c r="AC146" s="34" t="n">
        <v>0</v>
      </c>
      <c r="AD146" s="34">
        <f>IF(AB146&gt;AC146*1.05,AB146-AC146*1.05,IF(AB146&lt;AC146*0.95,AC146*0.95-AB146,0))</f>
        <v/>
      </c>
      <c r="AE146" s="34">
        <f>MAX(F146,G146,750)*0.05*AD146</f>
        <v/>
      </c>
      <c r="AF146" s="34" t="n">
        <v>0</v>
      </c>
      <c r="AG146" s="34">
        <f>IF(AB146&gt;AF146*1.05,AB146-AF146*1.05,IF(AB146&lt;AF146*0.95,AF146*0.95-AB146,0))</f>
        <v/>
      </c>
      <c r="AH146" s="34">
        <f>MAX(I146,J146,750)*0.05*AG146</f>
        <v/>
      </c>
      <c r="AI146" t="n">
        <v>8.75</v>
      </c>
      <c r="AJ146" t="n">
        <v>9</v>
      </c>
      <c r="AK146" s="34">
        <f>IF(AI146&gt;AJ146*1.05,AI146-AJ146*1.05,IF(AI146&lt;AJ146*0.95,AJ146*0.95-AI146,0))</f>
        <v/>
      </c>
      <c r="AL146" s="34">
        <f>MAX(F146,G146,750)*0.05*AK146</f>
        <v/>
      </c>
      <c r="AM146" s="39" t="n">
        <v>9</v>
      </c>
      <c r="AN146" s="34">
        <f>IF(AI146&gt;AM146*1.05,AI146-AM146*1.05,IF(AI146&lt;AM146*0.95,AM146*0.95-AI146,0))</f>
        <v/>
      </c>
      <c r="AO146" s="34">
        <f>MAX(F146,G146,750)*0.05*AN146</f>
        <v/>
      </c>
      <c r="AP146" s="34" t="n">
        <v>11.22</v>
      </c>
      <c r="AQ146" s="34" t="n">
        <v>11</v>
      </c>
      <c r="AR146" s="34">
        <f>IF(AP146&gt;AQ146*1.05,AP146-AQ146*1.05,IF(AP146&lt;AQ146*0.95,AQ146*0.95-AP146,0))</f>
        <v/>
      </c>
      <c r="AS146" s="34">
        <f>MAX(F146:G146,750)*0.05*AR146</f>
        <v/>
      </c>
      <c r="AT146" t="n">
        <v>11</v>
      </c>
      <c r="AU146" s="34">
        <f>IF(AP146&gt;AT146*1.05,AP146-AT146*1.05,IF(AP146&lt;AT146*0.95,AT146*0.95-AP146,0))</f>
        <v/>
      </c>
      <c r="AV146" s="34">
        <f>MAX(F146:G146,750)*0.05*AU146</f>
        <v/>
      </c>
      <c r="AW146" s="34">
        <f>AC146+AJ146+AQ146</f>
        <v/>
      </c>
      <c r="AX146" s="34">
        <f>AF146+AM146+AT146</f>
        <v/>
      </c>
      <c r="AY146" s="34">
        <f>AB146+AI146+AP146</f>
        <v/>
      </c>
      <c r="AZ146" s="34" t="n">
        <v>0</v>
      </c>
      <c r="BA146" s="34">
        <f>AD146+AK146+AR146</f>
        <v/>
      </c>
      <c r="BB146" s="34">
        <f>MAX(F146:G146,750)*0.05*BA146</f>
        <v/>
      </c>
      <c r="BC146" s="34">
        <f>AG146+AN146+AU146</f>
        <v/>
      </c>
      <c r="BD146" s="34">
        <f>MAX(F146:G146,750)*0.05*BC146</f>
        <v/>
      </c>
      <c r="BE146" s="34">
        <f>F146*AY146</f>
        <v/>
      </c>
      <c r="BF146" s="34">
        <f>K146-M146</f>
        <v/>
      </c>
      <c r="BG146" s="34">
        <f>P146-S146</f>
        <v/>
      </c>
      <c r="BH146" s="34">
        <f>W146-AA146</f>
        <v/>
      </c>
      <c r="BI146" s="34">
        <f>BF146+BG146+BL146-BN146</f>
        <v/>
      </c>
      <c r="BJ146" s="34">
        <f>ABS(BK146)</f>
        <v/>
      </c>
      <c r="BK146" s="34">
        <f>AY146-(J146-L146+N146-Q146)</f>
        <v/>
      </c>
      <c r="BL146" s="34">
        <f>IF(AND(BK146&gt;0,MIN($F146:$G146)&lt;150,$E146="Enerji Açığı"),-100*BK146*1.03,IF(AND(BK146&gt;0,MIN($F146:$G146)&lt;150,$E146="Enerji Fazlası"),-100*BK146*1.06,IF(AND(BK146&gt;0,MIN($F146:$G146)&gt;=150,$E146="Enerji Açığı"),BK146*MIN($F146:$G146)*0.97,IF(AND(BK146&gt;0,MIN($F146:$G146)&gt;=150,$E146="Enerji Fazlası"),BK146*MIN($F146:$G146)*0.94,IF(AND(BK146&lt;0,MAX($F146:$G146)=4500,$E146="Enerji Açığı"),4500*1.05*1.06*BK146,IF(AND(BK146&lt;0,MAX($F146:$G146)=4500,$E146="Enerji Fazlası"),4500*1.05*1.03*BK146,IF(AND(BK146&lt;0,$E146="Enerji Açığı"),MAX($F146,$G146,150)*BK146*1.06,IF(AND(BK146&lt;0,$E146="Enerji Fazlası"),MAX($F146,$G146,150)*BK146*1.03,IF(AND(BK146&lt;0,$E146="Dengede"),MAX($F146:$G146,150)*1.03*BK146,MIN($F146:$G146)*0.97*BK146)))))))))</f>
        <v/>
      </c>
      <c r="BM146" s="34">
        <f>BE146-BI146-BN146</f>
        <v/>
      </c>
      <c r="BN146" s="34">
        <f>BB146</f>
        <v/>
      </c>
      <c r="BO146" s="34">
        <f>BE146-BI146</f>
        <v/>
      </c>
      <c r="BP146" s="34">
        <f>IF(AY146=0,0,BO146/AY146)</f>
        <v/>
      </c>
      <c r="BQ146" s="34">
        <f>MAX((AY146+MAX((-J146+L146-N146+Q146),0)),(MAX((J146-L146+N146-Q146),0)))</f>
        <v/>
      </c>
      <c r="BR146" s="82">
        <f>IFERROR(ABS(BK146/BQ146),0)</f>
        <v/>
      </c>
      <c r="BS146" s="34">
        <f>IF(BR146&lt;=0.1,0,BK146/BR146*(BR146-0.1))</f>
        <v/>
      </c>
      <c r="BT146" s="34">
        <f>IF((BS146)&lt;0,MAX(F146:G146)*(BS146)*1.03,MIN(F146:G146)*(BS146)*0.97)</f>
        <v/>
      </c>
      <c r="BU146" s="34">
        <f>IF(BR146&gt;0.1,1,0)</f>
        <v/>
      </c>
      <c r="BV146" s="34">
        <f>BF146+BG146+BH146+BY146-CA146</f>
        <v/>
      </c>
      <c r="BW146" s="34">
        <f>ABS(BX146)</f>
        <v/>
      </c>
      <c r="BX146" s="34">
        <f>AY146-(J146-L146+N146-Q146+T146-X146)</f>
        <v/>
      </c>
      <c r="BY146" s="34">
        <f>IF(AND(BX146&gt;0,MIN($F146:$G146)&lt;150,$E146="Enerji Açığı"),-100*BX146*1.03,IF(AND(BX146&gt;0,MIN($F146:$G146)&lt;150,$E146="Enerji Fazlası"),-100*BX146*1.06,IF(AND(BX146&gt;0,MIN($F146:$G146)&gt;=150,$E146="Enerji Açığı"),BX146*MIN($F146:$G146)*0.97,IF(AND(BX146&gt;0,MIN($F146:$G146)&gt;=150,$E146="Enerji Fazlası"),BX146*MIN($F146:$G146)*0.94,IF(AND(BX146&lt;0,MAX($F146:$G146)=4500,$E146="Enerji Açığı"),4500*1.05*1.06*BX146,IF(AND(BX146&lt;0,MAX($F146:$G146)=4500,$E146="Enerji Fazlası"),4500*1.05*1.03*BX146,IF(AND(BX146&lt;0,$E146="Enerji Açığı"),MAX($F146,$G146,150)*BX146*1.06,IF(AND(BX146&lt;0,$E146="Enerji Fazlası"),MAX($F146,$G146,150)*BX146*1.03,IF(AND(BX146&lt;0,$E146="Dengede"),MAX($F146:$G146,150)*1.03*BX146,MIN($F146:$G146)*0.97*BX146)))))))))</f>
        <v/>
      </c>
      <c r="BZ146" s="34">
        <f>BE146-BV146-CA146</f>
        <v/>
      </c>
      <c r="CA146" s="34">
        <f>BD146</f>
        <v/>
      </c>
      <c r="CB146" s="33">
        <f>BE146-BV146</f>
        <v/>
      </c>
      <c r="CC146" s="34">
        <f>IF(AY146=0,0,CB146/AY146)</f>
        <v/>
      </c>
      <c r="CD146" s="34">
        <f>MAX((AY146+MAX((-J146+L146-N146+Q146-T146+X146),0)),(MAX((J146-L146+N146-Q146+T146-X146),0)))</f>
        <v/>
      </c>
      <c r="CE146" s="82">
        <f>IFERROR(ABS(BX146/CD146),0)</f>
        <v/>
      </c>
      <c r="CF146" s="34">
        <f>IF(CE146&lt;=0.1,0,BX146/CE146*(CE146-0.1))</f>
        <v/>
      </c>
      <c r="CG146" s="34">
        <f>IF((CF146)&lt;0,MAX(F146:G146)*(CF146)*1.03,MIN(F146:G146)*(CF146)*0.97)</f>
        <v/>
      </c>
      <c r="CH146" s="34">
        <f>IF(CE146&gt;0.1,1,0)</f>
        <v/>
      </c>
      <c r="CI146" s="34">
        <f>(F146*BX146)-BY146</f>
        <v/>
      </c>
      <c r="CJ146" s="34">
        <f>IF(AY146=0,0,CI146/AY146)</f>
        <v/>
      </c>
    </row>
    <row r="147">
      <c r="A147" s="29" t="n">
        <v>46210</v>
      </c>
      <c r="B147" s="29" t="inlineStr">
        <is>
          <t>00:00</t>
        </is>
      </c>
      <c r="C147" s="35">
        <f>INT(A147)</f>
        <v/>
      </c>
      <c r="D147" s="36">
        <f>MONTH(A147)</f>
        <v/>
      </c>
      <c r="E147" s="147">
        <f>[1]FİYATLAR!G146</f>
        <v/>
      </c>
      <c r="F147" s="30" t="n">
        <v>3400.01</v>
      </c>
      <c r="G147" s="30" t="n">
        <v>500</v>
      </c>
      <c r="H147" s="30" t="n">
        <v>72.91</v>
      </c>
      <c r="I147" s="30" t="n">
        <v>3238.47</v>
      </c>
      <c r="J147" s="119" t="n">
        <v>0</v>
      </c>
      <c r="K147" s="34">
        <f>F147*J147</f>
        <v/>
      </c>
      <c r="L147" s="119" t="n">
        <v>0</v>
      </c>
      <c r="M147" s="34">
        <f>L147*F147</f>
        <v/>
      </c>
      <c r="N147" s="119" t="n">
        <v>19</v>
      </c>
      <c r="O147" s="34">
        <f>F147</f>
        <v/>
      </c>
      <c r="P147" s="34">
        <f>N147*O147</f>
        <v/>
      </c>
      <c r="Q147" s="117" t="n">
        <v>0</v>
      </c>
      <c r="R147" s="34">
        <f>F147</f>
        <v/>
      </c>
      <c r="S147" s="34">
        <f>R147*Q147</f>
        <v/>
      </c>
      <c r="T147" s="34">
        <f>SUMIFS('[1]GİP VERİLERİ'!$C:$C,'[1]GİP VERİLERİ'!$B:$B,A147,'[1]GİP VERİLERİ'!$M:$M,"40X000000104782K",'[1]GİP VERİLERİ'!$G:$G,"SELL")</f>
        <v/>
      </c>
      <c r="U147" s="34">
        <f>IFERROR(W147/T147,0)</f>
        <v/>
      </c>
      <c r="V147" s="34">
        <f>IF(U147=0,0,U147-F147)</f>
        <v/>
      </c>
      <c r="W147" s="34">
        <f>SUMIFS('[1]GİP VERİLERİ'!$O:$O,'[1]GİP VERİLERİ'!$B:$B,A147,'[1]GİP VERİLERİ'!$M:$M,"40X000000104782K",'[1]GİP VERİLERİ'!$G:$G,"SELL")</f>
        <v/>
      </c>
      <c r="X147" s="34">
        <f>SUMIFS('[1]GİP VERİLERİ'!$C:$C,'[1]GİP VERİLERİ'!$B:$B,A147,'[1]GİP VERİLERİ'!$M:$M,"40X000000104782K",'[1]GİP VERİLERİ'!$G:$G,"BUY")</f>
        <v/>
      </c>
      <c r="Y147" s="34">
        <f>IFERROR(AA147/X147,0)</f>
        <v/>
      </c>
      <c r="Z147" s="34">
        <f>IF(Y147=0,0,F147-Y147)</f>
        <v/>
      </c>
      <c r="AA147" s="34">
        <f>SUMIFS('[1]GİP VERİLERİ'!$O:$O,'[1]GİP VERİLERİ'!$B:$B,A147,'[1]GİP VERİLERİ'!$M:$M,"40X000000104782K",'[1]GİP VERİLERİ'!$G:$G,"BUY")</f>
        <v/>
      </c>
      <c r="AB147" s="34" t="n">
        <v>0</v>
      </c>
      <c r="AC147" s="34" t="n">
        <v>0</v>
      </c>
      <c r="AD147" s="34">
        <f>IF(AB147&gt;AC147*1.05,AB147-AC147*1.05,IF(AB147&lt;AC147*0.95,AC147*0.95-AB147,0))</f>
        <v/>
      </c>
      <c r="AE147" s="34">
        <f>MAX(F147,G147,750)*0.05*AD147</f>
        <v/>
      </c>
      <c r="AF147" s="34" t="n">
        <v>0</v>
      </c>
      <c r="AG147" s="34">
        <f>IF(AB147&gt;AF147*1.05,AB147-AF147*1.05,IF(AB147&lt;AF147*0.95,AF147*0.95-AB147,0))</f>
        <v/>
      </c>
      <c r="AH147" s="34">
        <f>MAX(I147,J147,750)*0.05*AG147</f>
        <v/>
      </c>
      <c r="AI147" t="n">
        <v>9.119999999999999</v>
      </c>
      <c r="AJ147" t="n">
        <v>8</v>
      </c>
      <c r="AK147" s="34">
        <f>IF(AI147&gt;AJ147*1.05,AI147-AJ147*1.05,IF(AI147&lt;AJ147*0.95,AJ147*0.95-AI147,0))</f>
        <v/>
      </c>
      <c r="AL147" s="34">
        <f>MAX(F147,G147,750)*0.05*AK147</f>
        <v/>
      </c>
      <c r="AM147" s="39" t="n">
        <v>9</v>
      </c>
      <c r="AN147" s="34">
        <f>IF(AI147&gt;AM147*1.05,AI147-AM147*1.05,IF(AI147&lt;AM147*0.95,AM147*0.95-AI147,0))</f>
        <v/>
      </c>
      <c r="AO147" s="34">
        <f>MAX(F147,G147,750)*0.05*AN147</f>
        <v/>
      </c>
      <c r="AP147" s="34" t="n">
        <v>11.26</v>
      </c>
      <c r="AQ147" s="34" t="n">
        <v>11</v>
      </c>
      <c r="AR147" s="34">
        <f>IF(AP147&gt;AQ147*1.05,AP147-AQ147*1.05,IF(AP147&lt;AQ147*0.95,AQ147*0.95-AP147,0))</f>
        <v/>
      </c>
      <c r="AS147" s="34">
        <f>MAX(F147:G147,750)*0.05*AR147</f>
        <v/>
      </c>
      <c r="AT147" t="n">
        <v>11</v>
      </c>
      <c r="AU147" s="34">
        <f>IF(AP147&gt;AT147*1.05,AP147-AT147*1.05,IF(AP147&lt;AT147*0.95,AT147*0.95-AP147,0))</f>
        <v/>
      </c>
      <c r="AV147" s="34">
        <f>MAX(F147:G147,750)*0.05*AU147</f>
        <v/>
      </c>
      <c r="AW147" s="34">
        <f>AC147+AJ147+AQ147</f>
        <v/>
      </c>
      <c r="AX147" s="34">
        <f>AF147+AM147+AT147</f>
        <v/>
      </c>
      <c r="AY147" s="34">
        <f>AB147+AI147+AP147</f>
        <v/>
      </c>
      <c r="AZ147" s="34" t="n">
        <v>0</v>
      </c>
      <c r="BA147" s="34">
        <f>AD147+AK147+AR147</f>
        <v/>
      </c>
      <c r="BB147" s="34">
        <f>MAX(F147:G147,750)*0.05*BA147</f>
        <v/>
      </c>
      <c r="BC147" s="34">
        <f>AG147+AN147+AU147</f>
        <v/>
      </c>
      <c r="BD147" s="34">
        <f>MAX(F147:G147,750)*0.05*BC147</f>
        <v/>
      </c>
      <c r="BE147" s="34">
        <f>F147*AY147</f>
        <v/>
      </c>
      <c r="BF147" s="34">
        <f>K147-M147</f>
        <v/>
      </c>
      <c r="BG147" s="34">
        <f>P147-S147</f>
        <v/>
      </c>
      <c r="BH147" s="34">
        <f>W147-AA147</f>
        <v/>
      </c>
      <c r="BI147" s="34">
        <f>BF147+BG147+BL147-BN147</f>
        <v/>
      </c>
      <c r="BJ147" s="34">
        <f>ABS(BK147)</f>
        <v/>
      </c>
      <c r="BK147" s="34">
        <f>AY147-(J147-L147+N147-Q147)</f>
        <v/>
      </c>
      <c r="BL147" s="34">
        <f>IF(AND(BK147&gt;0,MIN($F147:$G147)&lt;150,$E147="Enerji Açığı"),-100*BK147*1.03,IF(AND(BK147&gt;0,MIN($F147:$G147)&lt;150,$E147="Enerji Fazlası"),-100*BK147*1.06,IF(AND(BK147&gt;0,MIN($F147:$G147)&gt;=150,$E147="Enerji Açığı"),BK147*MIN($F147:$G147)*0.97,IF(AND(BK147&gt;0,MIN($F147:$G147)&gt;=150,$E147="Enerji Fazlası"),BK147*MIN($F147:$G147)*0.94,IF(AND(BK147&lt;0,MAX($F147:$G147)=4500,$E147="Enerji Açığı"),4500*1.05*1.06*BK147,IF(AND(BK147&lt;0,MAX($F147:$G147)=4500,$E147="Enerji Fazlası"),4500*1.05*1.03*BK147,IF(AND(BK147&lt;0,$E147="Enerji Açığı"),MAX($F147,$G147,150)*BK147*1.06,IF(AND(BK147&lt;0,$E147="Enerji Fazlası"),MAX($F147,$G147,150)*BK147*1.03,IF(AND(BK147&lt;0,$E147="Dengede"),MAX($F147:$G147,150)*1.03*BK147,MIN($F147:$G147)*0.97*BK147)))))))))</f>
        <v/>
      </c>
      <c r="BM147" s="34">
        <f>BE147-BI147-BN147</f>
        <v/>
      </c>
      <c r="BN147" s="34">
        <f>BB147</f>
        <v/>
      </c>
      <c r="BO147" s="34">
        <f>BE147-BI147</f>
        <v/>
      </c>
      <c r="BP147" s="34">
        <f>IF(AY147=0,0,BO147/AY147)</f>
        <v/>
      </c>
      <c r="BQ147" s="34">
        <f>MAX((AY147+MAX((-J147+L147-N147+Q147),0)),(MAX((J147-L147+N147-Q147),0)))</f>
        <v/>
      </c>
      <c r="BR147" s="82">
        <f>IFERROR(ABS(BK147/BQ147),0)</f>
        <v/>
      </c>
      <c r="BS147" s="34">
        <f>IF(BR147&lt;=0.1,0,BK147/BR147*(BR147-0.1))</f>
        <v/>
      </c>
      <c r="BT147" s="34">
        <f>IF((BS147)&lt;0,MAX(F147:G147)*(BS147)*1.03,MIN(F147:G147)*(BS147)*0.97)</f>
        <v/>
      </c>
      <c r="BU147" s="34">
        <f>IF(BR147&gt;0.1,1,0)</f>
        <v/>
      </c>
      <c r="BV147" s="34">
        <f>BF147+BG147+BH147+BY147-CA147</f>
        <v/>
      </c>
      <c r="BW147" s="34">
        <f>ABS(BX147)</f>
        <v/>
      </c>
      <c r="BX147" s="34">
        <f>AY147-(J147-L147+N147-Q147+T147-X147)</f>
        <v/>
      </c>
      <c r="BY147" s="34">
        <f>IF(AND(BX147&gt;0,MIN($F147:$G147)&lt;150,$E147="Enerji Açığı"),-100*BX147*1.03,IF(AND(BX147&gt;0,MIN($F147:$G147)&lt;150,$E147="Enerji Fazlası"),-100*BX147*1.06,IF(AND(BX147&gt;0,MIN($F147:$G147)&gt;=150,$E147="Enerji Açığı"),BX147*MIN($F147:$G147)*0.97,IF(AND(BX147&gt;0,MIN($F147:$G147)&gt;=150,$E147="Enerji Fazlası"),BX147*MIN($F147:$G147)*0.94,IF(AND(BX147&lt;0,MAX($F147:$G147)=4500,$E147="Enerji Açığı"),4500*1.05*1.06*BX147,IF(AND(BX147&lt;0,MAX($F147:$G147)=4500,$E147="Enerji Fazlası"),4500*1.05*1.03*BX147,IF(AND(BX147&lt;0,$E147="Enerji Açığı"),MAX($F147,$G147,150)*BX147*1.06,IF(AND(BX147&lt;0,$E147="Enerji Fazlası"),MAX($F147,$G147,150)*BX147*1.03,IF(AND(BX147&lt;0,$E147="Dengede"),MAX($F147:$G147,150)*1.03*BX147,MIN($F147:$G147)*0.97*BX147)))))))))</f>
        <v/>
      </c>
      <c r="BZ147" s="34">
        <f>BE147-BV147-CA147</f>
        <v/>
      </c>
      <c r="CA147" s="34">
        <f>BD147</f>
        <v/>
      </c>
      <c r="CB147" s="33">
        <f>BE147-BV147</f>
        <v/>
      </c>
      <c r="CC147" s="34">
        <f>IF(AY147=0,0,CB147/AY147)</f>
        <v/>
      </c>
      <c r="CD147" s="34">
        <f>MAX((AY147+MAX((-J147+L147-N147+Q147-T147+X147),0)),(MAX((J147-L147+N147-Q147+T147-X147),0)))</f>
        <v/>
      </c>
      <c r="CE147" s="82">
        <f>IFERROR(ABS(BX147/CD147),0)</f>
        <v/>
      </c>
      <c r="CF147" s="34">
        <f>IF(CE147&lt;=0.1,0,BX147/CE147*(CE147-0.1))</f>
        <v/>
      </c>
      <c r="CG147" s="34">
        <f>IF((CF147)&lt;0,MAX(F147:G147)*(CF147)*1.03,MIN(F147:G147)*(CF147)*0.97)</f>
        <v/>
      </c>
      <c r="CH147" s="34">
        <f>IF(CE147&gt;0.1,1,0)</f>
        <v/>
      </c>
      <c r="CI147" s="34">
        <f>(F147*BX147)-BY147</f>
        <v/>
      </c>
      <c r="CJ147" s="34">
        <f>IF(AY147=0,0,CI147/AY147)</f>
        <v/>
      </c>
    </row>
    <row r="148">
      <c r="A148" s="29" t="n">
        <v>46210.04166666666</v>
      </c>
      <c r="B148" s="29" t="inlineStr">
        <is>
          <t>01:00</t>
        </is>
      </c>
      <c r="C148" s="35">
        <f>INT(A148)</f>
        <v/>
      </c>
      <c r="D148" s="36">
        <f>MONTH(A148)</f>
        <v/>
      </c>
      <c r="E148" s="147">
        <f>[1]FİYATLAR!G147</f>
        <v/>
      </c>
      <c r="F148" s="30" t="n">
        <v>3499.99</v>
      </c>
      <c r="G148" s="30" t="n">
        <v>500</v>
      </c>
      <c r="H148" s="30" t="n">
        <v>75.05</v>
      </c>
      <c r="I148" s="30" t="n">
        <v>3057.6</v>
      </c>
      <c r="J148" s="119" t="n">
        <v>0</v>
      </c>
      <c r="K148" s="34">
        <f>F148*J148</f>
        <v/>
      </c>
      <c r="L148" s="119" t="n">
        <v>0</v>
      </c>
      <c r="M148" s="34">
        <f>L148*F148</f>
        <v/>
      </c>
      <c r="N148" s="119" t="n">
        <v>19</v>
      </c>
      <c r="O148" s="34">
        <f>F148</f>
        <v/>
      </c>
      <c r="P148" s="34">
        <f>N148*O148</f>
        <v/>
      </c>
      <c r="Q148" s="117" t="n">
        <v>0</v>
      </c>
      <c r="R148" s="34">
        <f>F148</f>
        <v/>
      </c>
      <c r="S148" s="34">
        <f>R148*Q148</f>
        <v/>
      </c>
      <c r="T148" s="34">
        <f>SUMIFS('[1]GİP VERİLERİ'!$C:$C,'[1]GİP VERİLERİ'!$B:$B,A148,'[1]GİP VERİLERİ'!$M:$M,"40X000000104782K",'[1]GİP VERİLERİ'!$G:$G,"SELL")</f>
        <v/>
      </c>
      <c r="U148" s="34">
        <f>IFERROR(W148/T148,0)</f>
        <v/>
      </c>
      <c r="V148" s="34">
        <f>IF(U148=0,0,U148-F148)</f>
        <v/>
      </c>
      <c r="W148" s="34">
        <f>SUMIFS('[1]GİP VERİLERİ'!$O:$O,'[1]GİP VERİLERİ'!$B:$B,A148,'[1]GİP VERİLERİ'!$M:$M,"40X000000104782K",'[1]GİP VERİLERİ'!$G:$G,"SELL")</f>
        <v/>
      </c>
      <c r="X148" s="34">
        <f>SUMIFS('[1]GİP VERİLERİ'!$C:$C,'[1]GİP VERİLERİ'!$B:$B,A148,'[1]GİP VERİLERİ'!$M:$M,"40X000000104782K",'[1]GİP VERİLERİ'!$G:$G,"BUY")</f>
        <v/>
      </c>
      <c r="Y148" s="34">
        <f>IFERROR(AA148/X148,0)</f>
        <v/>
      </c>
      <c r="Z148" s="34">
        <f>IF(Y148=0,0,F148-Y148)</f>
        <v/>
      </c>
      <c r="AA148" s="34">
        <f>SUMIFS('[1]GİP VERİLERİ'!$O:$O,'[1]GİP VERİLERİ'!$B:$B,A148,'[1]GİP VERİLERİ'!$M:$M,"40X000000104782K",'[1]GİP VERİLERİ'!$G:$G,"BUY")</f>
        <v/>
      </c>
      <c r="AB148" s="34" t="n">
        <v>0</v>
      </c>
      <c r="AC148" s="34" t="n">
        <v>0</v>
      </c>
      <c r="AD148" s="34">
        <f>IF(AB148&gt;AC148*1.05,AB148-AC148*1.05,IF(AB148&lt;AC148*0.95,AC148*0.95-AB148,0))</f>
        <v/>
      </c>
      <c r="AE148" s="34">
        <f>MAX(F148,G148,750)*0.05*AD148</f>
        <v/>
      </c>
      <c r="AF148" s="34" t="n">
        <v>0</v>
      </c>
      <c r="AG148" s="34">
        <f>IF(AB148&gt;AF148*1.05,AB148-AF148*1.05,IF(AB148&lt;AF148*0.95,AF148*0.95-AB148,0))</f>
        <v/>
      </c>
      <c r="AH148" s="34">
        <f>MAX(I148,J148,750)*0.05*AG148</f>
        <v/>
      </c>
      <c r="AI148" t="n">
        <v>8.199999999999999</v>
      </c>
      <c r="AJ148" t="n">
        <v>8</v>
      </c>
      <c r="AK148" s="34">
        <f>IF(AI148&gt;AJ148*1.05,AI148-AJ148*1.05,IF(AI148&lt;AJ148*0.95,AJ148*0.95-AI148,0))</f>
        <v/>
      </c>
      <c r="AL148" s="34">
        <f>MAX(F148,G148,750)*0.05*AK148</f>
        <v/>
      </c>
      <c r="AM148" s="39" t="n">
        <v>8</v>
      </c>
      <c r="AN148" s="34">
        <f>IF(AI148&gt;AM148*1.05,AI148-AM148*1.05,IF(AI148&lt;AM148*0.95,AM148*0.95-AI148,0))</f>
        <v/>
      </c>
      <c r="AO148" s="34">
        <f>MAX(F148,G148,750)*0.05*AN148</f>
        <v/>
      </c>
      <c r="AP148" s="34" t="n">
        <v>11.31</v>
      </c>
      <c r="AQ148" s="34" t="n">
        <v>11</v>
      </c>
      <c r="AR148" s="34">
        <f>IF(AP148&gt;AQ148*1.05,AP148-AQ148*1.05,IF(AP148&lt;AQ148*0.95,AQ148*0.95-AP148,0))</f>
        <v/>
      </c>
      <c r="AS148" s="34">
        <f>MAX(F148:G148,750)*0.05*AR148</f>
        <v/>
      </c>
      <c r="AT148" t="n">
        <v>11</v>
      </c>
      <c r="AU148" s="34">
        <f>IF(AP148&gt;AT148*1.05,AP148-AT148*1.05,IF(AP148&lt;AT148*0.95,AT148*0.95-AP148,0))</f>
        <v/>
      </c>
      <c r="AV148" s="34">
        <f>MAX(F148:G148,750)*0.05*AU148</f>
        <v/>
      </c>
      <c r="AW148" s="34">
        <f>AC148+AJ148+AQ148</f>
        <v/>
      </c>
      <c r="AX148" s="34">
        <f>AF148+AM148+AT148</f>
        <v/>
      </c>
      <c r="AY148" s="34">
        <f>AB148+AI148+AP148</f>
        <v/>
      </c>
      <c r="AZ148" s="34" t="n">
        <v>0</v>
      </c>
      <c r="BA148" s="34">
        <f>AD148+AK148+AR148</f>
        <v/>
      </c>
      <c r="BB148" s="34">
        <f>MAX(F148:G148,750)*0.05*BA148</f>
        <v/>
      </c>
      <c r="BC148" s="34">
        <f>AG148+AN148+AU148</f>
        <v/>
      </c>
      <c r="BD148" s="34">
        <f>MAX(F148:G148,750)*0.05*BC148</f>
        <v/>
      </c>
      <c r="BE148" s="34">
        <f>F148*AY148</f>
        <v/>
      </c>
      <c r="BF148" s="34">
        <f>K148-M148</f>
        <v/>
      </c>
      <c r="BG148" s="34">
        <f>P148-S148</f>
        <v/>
      </c>
      <c r="BH148" s="34">
        <f>W148-AA148</f>
        <v/>
      </c>
      <c r="BI148" s="34">
        <f>BF148+BG148+BL148-BN148</f>
        <v/>
      </c>
      <c r="BJ148" s="34">
        <f>ABS(BK148)</f>
        <v/>
      </c>
      <c r="BK148" s="34">
        <f>AY148-(J148-L148+N148-Q148)</f>
        <v/>
      </c>
      <c r="BL148" s="34">
        <f>IF(AND(BK148&gt;0,MIN($F148:$G148)&lt;150,$E148="Enerji Açığı"),-100*BK148*1.03,IF(AND(BK148&gt;0,MIN($F148:$G148)&lt;150,$E148="Enerji Fazlası"),-100*BK148*1.06,IF(AND(BK148&gt;0,MIN($F148:$G148)&gt;=150,$E148="Enerji Açığı"),BK148*MIN($F148:$G148)*0.97,IF(AND(BK148&gt;0,MIN($F148:$G148)&gt;=150,$E148="Enerji Fazlası"),BK148*MIN($F148:$G148)*0.94,IF(AND(BK148&lt;0,MAX($F148:$G148)=4500,$E148="Enerji Açığı"),4500*1.05*1.06*BK148,IF(AND(BK148&lt;0,MAX($F148:$G148)=4500,$E148="Enerji Fazlası"),4500*1.05*1.03*BK148,IF(AND(BK148&lt;0,$E148="Enerji Açığı"),MAX($F148,$G148,150)*BK148*1.06,IF(AND(BK148&lt;0,$E148="Enerji Fazlası"),MAX($F148,$G148,150)*BK148*1.03,IF(AND(BK148&lt;0,$E148="Dengede"),MAX($F148:$G148,150)*1.03*BK148,MIN($F148:$G148)*0.97*BK148)))))))))</f>
        <v/>
      </c>
      <c r="BM148" s="34">
        <f>BE148-BI148-BN148</f>
        <v/>
      </c>
      <c r="BN148" s="34">
        <f>BB148</f>
        <v/>
      </c>
      <c r="BO148" s="34">
        <f>BE148-BI148</f>
        <v/>
      </c>
      <c r="BP148" s="34">
        <f>IF(AY148=0,0,BO148/AY148)</f>
        <v/>
      </c>
      <c r="BQ148" s="34">
        <f>MAX((AY148+MAX((-J148+L148-N148+Q148),0)),(MAX((J148-L148+N148-Q148),0)))</f>
        <v/>
      </c>
      <c r="BR148" s="82">
        <f>IFERROR(ABS(BK148/BQ148),0)</f>
        <v/>
      </c>
      <c r="BS148" s="34">
        <f>IF(BR148&lt;=0.1,0,BK148/BR148*(BR148-0.1))</f>
        <v/>
      </c>
      <c r="BT148" s="34">
        <f>IF((BS148)&lt;0,MAX(F148:G148)*(BS148)*1.03,MIN(F148:G148)*(BS148)*0.97)</f>
        <v/>
      </c>
      <c r="BU148" s="34">
        <f>IF(BR148&gt;0.1,1,0)</f>
        <v/>
      </c>
      <c r="BV148" s="34">
        <f>BF148+BG148+BH148+BY148-CA148</f>
        <v/>
      </c>
      <c r="BW148" s="34">
        <f>ABS(BX148)</f>
        <v/>
      </c>
      <c r="BX148" s="34">
        <f>AY148-(J148-L148+N148-Q148+T148-X148)</f>
        <v/>
      </c>
      <c r="BY148" s="34">
        <f>IF(AND(BX148&gt;0,MIN($F148:$G148)&lt;150,$E148="Enerji Açığı"),-100*BX148*1.03,IF(AND(BX148&gt;0,MIN($F148:$G148)&lt;150,$E148="Enerji Fazlası"),-100*BX148*1.06,IF(AND(BX148&gt;0,MIN($F148:$G148)&gt;=150,$E148="Enerji Açığı"),BX148*MIN($F148:$G148)*0.97,IF(AND(BX148&gt;0,MIN($F148:$G148)&gt;=150,$E148="Enerji Fazlası"),BX148*MIN($F148:$G148)*0.94,IF(AND(BX148&lt;0,MAX($F148:$G148)=4500,$E148="Enerji Açığı"),4500*1.05*1.06*BX148,IF(AND(BX148&lt;0,MAX($F148:$G148)=4500,$E148="Enerji Fazlası"),4500*1.05*1.03*BX148,IF(AND(BX148&lt;0,$E148="Enerji Açığı"),MAX($F148,$G148,150)*BX148*1.06,IF(AND(BX148&lt;0,$E148="Enerji Fazlası"),MAX($F148,$G148,150)*BX148*1.03,IF(AND(BX148&lt;0,$E148="Dengede"),MAX($F148:$G148,150)*1.03*BX148,MIN($F148:$G148)*0.97*BX148)))))))))</f>
        <v/>
      </c>
      <c r="BZ148" s="34">
        <f>BE148-BV148-CA148</f>
        <v/>
      </c>
      <c r="CA148" s="34">
        <f>BD148</f>
        <v/>
      </c>
      <c r="CB148" s="33">
        <f>BE148-BV148</f>
        <v/>
      </c>
      <c r="CC148" s="34">
        <f>IF(AY148=0,0,CB148/AY148)</f>
        <v/>
      </c>
      <c r="CD148" s="34">
        <f>MAX((AY148+MAX((-J148+L148-N148+Q148-T148+X148),0)),(MAX((J148-L148+N148-Q148+T148-X148),0)))</f>
        <v/>
      </c>
      <c r="CE148" s="82">
        <f>IFERROR(ABS(BX148/CD148),0)</f>
        <v/>
      </c>
      <c r="CF148" s="34">
        <f>IF(CE148&lt;=0.1,0,BX148/CE148*(CE148-0.1))</f>
        <v/>
      </c>
      <c r="CG148" s="34">
        <f>IF((CF148)&lt;0,MAX(F148:G148)*(CF148)*1.03,MIN(F148:G148)*(CF148)*0.97)</f>
        <v/>
      </c>
      <c r="CH148" s="34">
        <f>IF(CE148&gt;0.1,1,0)</f>
        <v/>
      </c>
      <c r="CI148" s="34">
        <f>(F148*BX148)-BY148</f>
        <v/>
      </c>
      <c r="CJ148" s="34">
        <f>IF(AY148=0,0,CI148/AY148)</f>
        <v/>
      </c>
    </row>
    <row r="149">
      <c r="A149" s="29" t="n">
        <v>46210.08333333334</v>
      </c>
      <c r="B149" s="29" t="inlineStr">
        <is>
          <t>02:00</t>
        </is>
      </c>
      <c r="C149" s="35">
        <f>INT(A149)</f>
        <v/>
      </c>
      <c r="D149" s="36">
        <f>MONTH(A149)</f>
        <v/>
      </c>
      <c r="E149" s="147">
        <f>[1]FİYATLAR!G148</f>
        <v/>
      </c>
      <c r="F149" s="30" t="n">
        <v>3499</v>
      </c>
      <c r="G149" s="30" t="n">
        <v>1000</v>
      </c>
      <c r="H149" s="30" t="n">
        <v>75.03</v>
      </c>
      <c r="I149" s="30" t="n">
        <v>2836.72</v>
      </c>
      <c r="J149" s="119" t="n">
        <v>0</v>
      </c>
      <c r="K149" s="34">
        <f>F149*J149</f>
        <v/>
      </c>
      <c r="L149" s="119" t="n">
        <v>0</v>
      </c>
      <c r="M149" s="34">
        <f>L149*F149</f>
        <v/>
      </c>
      <c r="N149" s="119" t="n">
        <v>19</v>
      </c>
      <c r="O149" s="34">
        <f>F149</f>
        <v/>
      </c>
      <c r="P149" s="34">
        <f>N149*O149</f>
        <v/>
      </c>
      <c r="Q149" s="117" t="n">
        <v>0</v>
      </c>
      <c r="R149" s="34">
        <f>F149</f>
        <v/>
      </c>
      <c r="S149" s="34">
        <f>R149*Q149</f>
        <v/>
      </c>
      <c r="T149" s="34">
        <f>SUMIFS('[1]GİP VERİLERİ'!$C:$C,'[1]GİP VERİLERİ'!$B:$B,A149,'[1]GİP VERİLERİ'!$M:$M,"40X000000104782K",'[1]GİP VERİLERİ'!$G:$G,"SELL")</f>
        <v/>
      </c>
      <c r="U149" s="34">
        <f>IFERROR(W149/T149,0)</f>
        <v/>
      </c>
      <c r="V149" s="34">
        <f>IF(U149=0,0,U149-F149)</f>
        <v/>
      </c>
      <c r="W149" s="34">
        <f>SUMIFS('[1]GİP VERİLERİ'!$O:$O,'[1]GİP VERİLERİ'!$B:$B,A149,'[1]GİP VERİLERİ'!$M:$M,"40X000000104782K",'[1]GİP VERİLERİ'!$G:$G,"SELL")</f>
        <v/>
      </c>
      <c r="X149" s="34">
        <f>SUMIFS('[1]GİP VERİLERİ'!$C:$C,'[1]GİP VERİLERİ'!$B:$B,A149,'[1]GİP VERİLERİ'!$M:$M,"40X000000104782K",'[1]GİP VERİLERİ'!$G:$G,"BUY")</f>
        <v/>
      </c>
      <c r="Y149" s="34">
        <f>IFERROR(AA149/X149,0)</f>
        <v/>
      </c>
      <c r="Z149" s="34">
        <f>IF(Y149=0,0,F149-Y149)</f>
        <v/>
      </c>
      <c r="AA149" s="34">
        <f>SUMIFS('[1]GİP VERİLERİ'!$O:$O,'[1]GİP VERİLERİ'!$B:$B,A149,'[1]GİP VERİLERİ'!$M:$M,"40X000000104782K",'[1]GİP VERİLERİ'!$G:$G,"BUY")</f>
        <v/>
      </c>
      <c r="AB149" s="34" t="n">
        <v>0</v>
      </c>
      <c r="AC149" s="34" t="n">
        <v>0</v>
      </c>
      <c r="AD149" s="34">
        <f>IF(AB149&gt;AC149*1.05,AB149-AC149*1.05,IF(AB149&lt;AC149*0.95,AC149*0.95-AB149,0))</f>
        <v/>
      </c>
      <c r="AE149" s="34">
        <f>MAX(F149,G149,750)*0.05*AD149</f>
        <v/>
      </c>
      <c r="AF149" s="34" t="n">
        <v>0</v>
      </c>
      <c r="AG149" s="34">
        <f>IF(AB149&gt;AF149*1.05,AB149-AF149*1.05,IF(AB149&lt;AF149*0.95,AF149*0.95-AB149,0))</f>
        <v/>
      </c>
      <c r="AH149" s="34">
        <f>MAX(I149,J149,750)*0.05*AG149</f>
        <v/>
      </c>
      <c r="AI149" t="n">
        <v>8.109999999999999</v>
      </c>
      <c r="AJ149" t="n">
        <v>8</v>
      </c>
      <c r="AK149" s="34">
        <f>IF(AI149&gt;AJ149*1.05,AI149-AJ149*1.05,IF(AI149&lt;AJ149*0.95,AJ149*0.95-AI149,0))</f>
        <v/>
      </c>
      <c r="AL149" s="34">
        <f>MAX(F149,G149,750)*0.05*AK149</f>
        <v/>
      </c>
      <c r="AM149" s="39" t="n">
        <v>8</v>
      </c>
      <c r="AN149" s="34">
        <f>IF(AI149&gt;AM149*1.05,AI149-AM149*1.05,IF(AI149&lt;AM149*0.95,AM149*0.95-AI149,0))</f>
        <v/>
      </c>
      <c r="AO149" s="34">
        <f>MAX(F149,G149,750)*0.05*AN149</f>
        <v/>
      </c>
      <c r="AP149" s="34" t="n">
        <v>11.38</v>
      </c>
      <c r="AQ149" s="34" t="n">
        <v>11</v>
      </c>
      <c r="AR149" s="34">
        <f>IF(AP149&gt;AQ149*1.05,AP149-AQ149*1.05,IF(AP149&lt;AQ149*0.95,AQ149*0.95-AP149,0))</f>
        <v/>
      </c>
      <c r="AS149" s="34">
        <f>MAX(F149:G149,750)*0.05*AR149</f>
        <v/>
      </c>
      <c r="AT149" t="n">
        <v>11</v>
      </c>
      <c r="AU149" s="34">
        <f>IF(AP149&gt;AT149*1.05,AP149-AT149*1.05,IF(AP149&lt;AT149*0.95,AT149*0.95-AP149,0))</f>
        <v/>
      </c>
      <c r="AV149" s="34">
        <f>MAX(F149:G149,750)*0.05*AU149</f>
        <v/>
      </c>
      <c r="AW149" s="34">
        <f>AC149+AJ149+AQ149</f>
        <v/>
      </c>
      <c r="AX149" s="34">
        <f>AF149+AM149+AT149</f>
        <v/>
      </c>
      <c r="AY149" s="34">
        <f>AB149+AI149+AP149</f>
        <v/>
      </c>
      <c r="AZ149" s="34" t="n">
        <v>0</v>
      </c>
      <c r="BA149" s="34">
        <f>AD149+AK149+AR149</f>
        <v/>
      </c>
      <c r="BB149" s="34">
        <f>MAX(F149:G149,750)*0.05*BA149</f>
        <v/>
      </c>
      <c r="BC149" s="34">
        <f>AG149+AN149+AU149</f>
        <v/>
      </c>
      <c r="BD149" s="34">
        <f>MAX(F149:G149,750)*0.05*BC149</f>
        <v/>
      </c>
      <c r="BE149" s="34">
        <f>F149*AY149</f>
        <v/>
      </c>
      <c r="BF149" s="34">
        <f>K149-M149</f>
        <v/>
      </c>
      <c r="BG149" s="34">
        <f>P149-S149</f>
        <v/>
      </c>
      <c r="BH149" s="34">
        <f>W149-AA149</f>
        <v/>
      </c>
      <c r="BI149" s="34">
        <f>BF149+BG149+BL149-BN149</f>
        <v/>
      </c>
      <c r="BJ149" s="34">
        <f>ABS(BK149)</f>
        <v/>
      </c>
      <c r="BK149" s="34">
        <f>AY149-(J149-L149+N149-Q149)</f>
        <v/>
      </c>
      <c r="BL149" s="34">
        <f>IF(AND(BK149&gt;0,MIN($F149:$G149)&lt;150,$E149="Enerji Açığı"),-100*BK149*1.03,IF(AND(BK149&gt;0,MIN($F149:$G149)&lt;150,$E149="Enerji Fazlası"),-100*BK149*1.06,IF(AND(BK149&gt;0,MIN($F149:$G149)&gt;=150,$E149="Enerji Açığı"),BK149*MIN($F149:$G149)*0.97,IF(AND(BK149&gt;0,MIN($F149:$G149)&gt;=150,$E149="Enerji Fazlası"),BK149*MIN($F149:$G149)*0.94,IF(AND(BK149&lt;0,MAX($F149:$G149)=4500,$E149="Enerji Açığı"),4500*1.05*1.06*BK149,IF(AND(BK149&lt;0,MAX($F149:$G149)=4500,$E149="Enerji Fazlası"),4500*1.05*1.03*BK149,IF(AND(BK149&lt;0,$E149="Enerji Açığı"),MAX($F149,$G149,150)*BK149*1.06,IF(AND(BK149&lt;0,$E149="Enerji Fazlası"),MAX($F149,$G149,150)*BK149*1.03,IF(AND(BK149&lt;0,$E149="Dengede"),MAX($F149:$G149,150)*1.03*BK149,MIN($F149:$G149)*0.97*BK149)))))))))</f>
        <v/>
      </c>
      <c r="BM149" s="34">
        <f>BE149-BI149-BN149</f>
        <v/>
      </c>
      <c r="BN149" s="34">
        <f>BB149</f>
        <v/>
      </c>
      <c r="BO149" s="34">
        <f>BE149-BI149</f>
        <v/>
      </c>
      <c r="BP149" s="34">
        <f>IF(AY149=0,0,BO149/AY149)</f>
        <v/>
      </c>
      <c r="BQ149" s="34">
        <f>MAX((AY149+MAX((-J149+L149-N149+Q149),0)),(MAX((J149-L149+N149-Q149),0)))</f>
        <v/>
      </c>
      <c r="BR149" s="82">
        <f>IFERROR(ABS(BK149/BQ149),0)</f>
        <v/>
      </c>
      <c r="BS149" s="34">
        <f>IF(BR149&lt;=0.1,0,BK149/BR149*(BR149-0.1))</f>
        <v/>
      </c>
      <c r="BT149" s="34">
        <f>IF((BS149)&lt;0,MAX(F149:G149)*(BS149)*1.03,MIN(F149:G149)*(BS149)*0.97)</f>
        <v/>
      </c>
      <c r="BU149" s="34">
        <f>IF(BR149&gt;0.1,1,0)</f>
        <v/>
      </c>
      <c r="BV149" s="34">
        <f>BF149+BG149+BH149+BY149-CA149</f>
        <v/>
      </c>
      <c r="BW149" s="34">
        <f>ABS(BX149)</f>
        <v/>
      </c>
      <c r="BX149" s="34">
        <f>AY149-(J149-L149+N149-Q149+T149-X149)</f>
        <v/>
      </c>
      <c r="BY149" s="34">
        <f>IF(AND(BX149&gt;0,MIN($F149:$G149)&lt;150,$E149="Enerji Açığı"),-100*BX149*1.03,IF(AND(BX149&gt;0,MIN($F149:$G149)&lt;150,$E149="Enerji Fazlası"),-100*BX149*1.06,IF(AND(BX149&gt;0,MIN($F149:$G149)&gt;=150,$E149="Enerji Açığı"),BX149*MIN($F149:$G149)*0.97,IF(AND(BX149&gt;0,MIN($F149:$G149)&gt;=150,$E149="Enerji Fazlası"),BX149*MIN($F149:$G149)*0.94,IF(AND(BX149&lt;0,MAX($F149:$G149)=4500,$E149="Enerji Açığı"),4500*1.05*1.06*BX149,IF(AND(BX149&lt;0,MAX($F149:$G149)=4500,$E149="Enerji Fazlası"),4500*1.05*1.03*BX149,IF(AND(BX149&lt;0,$E149="Enerji Açığı"),MAX($F149,$G149,150)*BX149*1.06,IF(AND(BX149&lt;0,$E149="Enerji Fazlası"),MAX($F149,$G149,150)*BX149*1.03,IF(AND(BX149&lt;0,$E149="Dengede"),MAX($F149:$G149,150)*1.03*BX149,MIN($F149:$G149)*0.97*BX149)))))))))</f>
        <v/>
      </c>
      <c r="BZ149" s="34">
        <f>BE149-BV149-CA149</f>
        <v/>
      </c>
      <c r="CA149" s="34">
        <f>BD149</f>
        <v/>
      </c>
      <c r="CB149" s="33">
        <f>BE149-BV149</f>
        <v/>
      </c>
      <c r="CC149" s="34">
        <f>IF(AY149=0,0,CB149/AY149)</f>
        <v/>
      </c>
      <c r="CD149" s="34">
        <f>MAX((AY149+MAX((-J149+L149-N149+Q149-T149+X149),0)),(MAX((J149-L149+N149-Q149+T149-X149),0)))</f>
        <v/>
      </c>
      <c r="CE149" s="82">
        <f>IFERROR(ABS(BX149/CD149),0)</f>
        <v/>
      </c>
      <c r="CF149" s="34">
        <f>IF(CE149&lt;=0.1,0,BX149/CE149*(CE149-0.1))</f>
        <v/>
      </c>
      <c r="CG149" s="34">
        <f>IF((CF149)&lt;0,MAX(F149:G149)*(CF149)*1.03,MIN(F149:G149)*(CF149)*0.97)</f>
        <v/>
      </c>
      <c r="CH149" s="34">
        <f>IF(CE149&gt;0.1,1,0)</f>
        <v/>
      </c>
      <c r="CI149" s="34">
        <f>(F149*BX149)-BY149</f>
        <v/>
      </c>
      <c r="CJ149" s="34">
        <f>IF(AY149=0,0,CI149/AY149)</f>
        <v/>
      </c>
    </row>
    <row r="150">
      <c r="A150" s="29" t="n">
        <v>46210.125</v>
      </c>
      <c r="B150" s="29" t="inlineStr">
        <is>
          <t>03:00</t>
        </is>
      </c>
      <c r="C150" s="35">
        <f>INT(A150)</f>
        <v/>
      </c>
      <c r="D150" s="36">
        <f>MONTH(A150)</f>
        <v/>
      </c>
      <c r="E150" s="147">
        <f>[1]FİYATLAR!G149</f>
        <v/>
      </c>
      <c r="F150" s="30" t="n">
        <v>3579.7</v>
      </c>
      <c r="G150" s="30" t="n">
        <v>1000</v>
      </c>
      <c r="H150" s="30" t="n">
        <v>76.76000000000001</v>
      </c>
      <c r="I150" s="30" t="n">
        <v>2506.59</v>
      </c>
      <c r="J150" s="119" t="n">
        <v>0</v>
      </c>
      <c r="K150" s="34">
        <f>F150*J150</f>
        <v/>
      </c>
      <c r="L150" s="119" t="n">
        <v>0</v>
      </c>
      <c r="M150" s="34">
        <f>L150*F150</f>
        <v/>
      </c>
      <c r="N150" s="119" t="n">
        <v>19</v>
      </c>
      <c r="O150" s="34">
        <f>F150</f>
        <v/>
      </c>
      <c r="P150" s="34">
        <f>N150*O150</f>
        <v/>
      </c>
      <c r="Q150" s="117" t="n">
        <v>0</v>
      </c>
      <c r="R150" s="34">
        <f>F150</f>
        <v/>
      </c>
      <c r="S150" s="34">
        <f>R150*Q150</f>
        <v/>
      </c>
      <c r="T150" s="34">
        <f>SUMIFS('[1]GİP VERİLERİ'!$C:$C,'[1]GİP VERİLERİ'!$B:$B,A150,'[1]GİP VERİLERİ'!$M:$M,"40X000000104782K",'[1]GİP VERİLERİ'!$G:$G,"SELL")</f>
        <v/>
      </c>
      <c r="U150" s="34">
        <f>IFERROR(W150/T150,0)</f>
        <v/>
      </c>
      <c r="V150" s="34">
        <f>IF(U150=0,0,U150-F150)</f>
        <v/>
      </c>
      <c r="W150" s="34">
        <f>SUMIFS('[1]GİP VERİLERİ'!$O:$O,'[1]GİP VERİLERİ'!$B:$B,A150,'[1]GİP VERİLERİ'!$M:$M,"40X000000104782K",'[1]GİP VERİLERİ'!$G:$G,"SELL")</f>
        <v/>
      </c>
      <c r="X150" s="34">
        <f>SUMIFS('[1]GİP VERİLERİ'!$C:$C,'[1]GİP VERİLERİ'!$B:$B,A150,'[1]GİP VERİLERİ'!$M:$M,"40X000000104782K",'[1]GİP VERİLERİ'!$G:$G,"BUY")</f>
        <v/>
      </c>
      <c r="Y150" s="34">
        <f>IFERROR(AA150/X150,0)</f>
        <v/>
      </c>
      <c r="Z150" s="34">
        <f>IF(Y150=0,0,F150-Y150)</f>
        <v/>
      </c>
      <c r="AA150" s="34">
        <f>SUMIFS('[1]GİP VERİLERİ'!$O:$O,'[1]GİP VERİLERİ'!$B:$B,A150,'[1]GİP VERİLERİ'!$M:$M,"40X000000104782K",'[1]GİP VERİLERİ'!$G:$G,"BUY")</f>
        <v/>
      </c>
      <c r="AB150" s="34" t="n">
        <v>0</v>
      </c>
      <c r="AC150" s="34" t="n">
        <v>0</v>
      </c>
      <c r="AD150" s="34">
        <f>IF(AB150&gt;AC150*1.05,AB150-AC150*1.05,IF(AB150&lt;AC150*0.95,AC150*0.95-AB150,0))</f>
        <v/>
      </c>
      <c r="AE150" s="34">
        <f>MAX(F150,G150,750)*0.05*AD150</f>
        <v/>
      </c>
      <c r="AF150" s="34" t="n">
        <v>0</v>
      </c>
      <c r="AG150" s="34">
        <f>IF(AB150&gt;AF150*1.05,AB150-AF150*1.05,IF(AB150&lt;AF150*0.95,AF150*0.95-AB150,0))</f>
        <v/>
      </c>
      <c r="AH150" s="34">
        <f>MAX(I150,J150,750)*0.05*AG150</f>
        <v/>
      </c>
      <c r="AI150" t="n">
        <v>8.109999999999999</v>
      </c>
      <c r="AJ150" t="n">
        <v>8</v>
      </c>
      <c r="AK150" s="34">
        <f>IF(AI150&gt;AJ150*1.05,AI150-AJ150*1.05,IF(AI150&lt;AJ150*0.95,AJ150*0.95-AI150,0))</f>
        <v/>
      </c>
      <c r="AL150" s="34">
        <f>MAX(F150,G150,750)*0.05*AK150</f>
        <v/>
      </c>
      <c r="AM150" s="39" t="n">
        <v>8</v>
      </c>
      <c r="AN150" s="34">
        <f>IF(AI150&gt;AM150*1.05,AI150-AM150*1.05,IF(AI150&lt;AM150*0.95,AM150*0.95-AI150,0))</f>
        <v/>
      </c>
      <c r="AO150" s="34">
        <f>MAX(F150,G150,750)*0.05*AN150</f>
        <v/>
      </c>
      <c r="AP150" s="34" t="n">
        <v>12.21</v>
      </c>
      <c r="AQ150" s="34" t="n">
        <v>11</v>
      </c>
      <c r="AR150" s="34">
        <f>IF(AP150&gt;AQ150*1.05,AP150-AQ150*1.05,IF(AP150&lt;AQ150*0.95,AQ150*0.95-AP150,0))</f>
        <v/>
      </c>
      <c r="AS150" s="34">
        <f>MAX(F150:G150,750)*0.05*AR150</f>
        <v/>
      </c>
      <c r="AT150" t="n">
        <v>12</v>
      </c>
      <c r="AU150" s="34">
        <f>IF(AP150&gt;AT150*1.05,AP150-AT150*1.05,IF(AP150&lt;AT150*0.95,AT150*0.95-AP150,0))</f>
        <v/>
      </c>
      <c r="AV150" s="34">
        <f>MAX(F150:G150,750)*0.05*AU150</f>
        <v/>
      </c>
      <c r="AW150" s="34">
        <f>AC150+AJ150+AQ150</f>
        <v/>
      </c>
      <c r="AX150" s="34">
        <f>AF150+AM150+AT150</f>
        <v/>
      </c>
      <c r="AY150" s="34">
        <f>AB150+AI150+AP150</f>
        <v/>
      </c>
      <c r="AZ150" s="34" t="n">
        <v>0</v>
      </c>
      <c r="BA150" s="34">
        <f>AD150+AK150+AR150</f>
        <v/>
      </c>
      <c r="BB150" s="34">
        <f>MAX(F150:G150,750)*0.05*BA150</f>
        <v/>
      </c>
      <c r="BC150" s="34">
        <f>AG150+AN150+AU150</f>
        <v/>
      </c>
      <c r="BD150" s="34">
        <f>MAX(F150:G150,750)*0.05*BC150</f>
        <v/>
      </c>
      <c r="BE150" s="34">
        <f>F150*AY150</f>
        <v/>
      </c>
      <c r="BF150" s="34">
        <f>K150-M150</f>
        <v/>
      </c>
      <c r="BG150" s="34">
        <f>P150-S150</f>
        <v/>
      </c>
      <c r="BH150" s="34">
        <f>W150-AA150</f>
        <v/>
      </c>
      <c r="BI150" s="34">
        <f>BF150+BG150+BL150-BN150</f>
        <v/>
      </c>
      <c r="BJ150" s="34">
        <f>ABS(BK150)</f>
        <v/>
      </c>
      <c r="BK150" s="34">
        <f>AY150-(J150-L150+N150-Q150)</f>
        <v/>
      </c>
      <c r="BL150" s="34">
        <f>IF(AND(BK150&gt;0,MIN($F150:$G150)&lt;150,$E150="Enerji Açığı"),-100*BK150*1.03,IF(AND(BK150&gt;0,MIN($F150:$G150)&lt;150,$E150="Enerji Fazlası"),-100*BK150*1.06,IF(AND(BK150&gt;0,MIN($F150:$G150)&gt;=150,$E150="Enerji Açığı"),BK150*MIN($F150:$G150)*0.97,IF(AND(BK150&gt;0,MIN($F150:$G150)&gt;=150,$E150="Enerji Fazlası"),BK150*MIN($F150:$G150)*0.94,IF(AND(BK150&lt;0,MAX($F150:$G150)=4500,$E150="Enerji Açığı"),4500*1.05*1.06*BK150,IF(AND(BK150&lt;0,MAX($F150:$G150)=4500,$E150="Enerji Fazlası"),4500*1.05*1.03*BK150,IF(AND(BK150&lt;0,$E150="Enerji Açığı"),MAX($F150,$G150,150)*BK150*1.06,IF(AND(BK150&lt;0,$E150="Enerji Fazlası"),MAX($F150,$G150,150)*BK150*1.03,IF(AND(BK150&lt;0,$E150="Dengede"),MAX($F150:$G150,150)*1.03*BK150,MIN($F150:$G150)*0.97*BK150)))))))))</f>
        <v/>
      </c>
      <c r="BM150" s="34">
        <f>BE150-BI150-BN150</f>
        <v/>
      </c>
      <c r="BN150" s="34">
        <f>BB150</f>
        <v/>
      </c>
      <c r="BO150" s="34">
        <f>BE150-BI150</f>
        <v/>
      </c>
      <c r="BP150" s="34">
        <f>IF(AY150=0,0,BO150/AY150)</f>
        <v/>
      </c>
      <c r="BQ150" s="34">
        <f>MAX((AY150+MAX((-J150+L150-N150+Q150),0)),(MAX((J150-L150+N150-Q150),0)))</f>
        <v/>
      </c>
      <c r="BR150" s="82">
        <f>IFERROR(ABS(BK150/BQ150),0)</f>
        <v/>
      </c>
      <c r="BS150" s="34">
        <f>IF(BR150&lt;=0.1,0,BK150/BR150*(BR150-0.1))</f>
        <v/>
      </c>
      <c r="BT150" s="34">
        <f>IF((BS150)&lt;0,MAX(F150:G150)*(BS150)*1.03,MIN(F150:G150)*(BS150)*0.97)</f>
        <v/>
      </c>
      <c r="BU150" s="34">
        <f>IF(BR150&gt;0.1,1,0)</f>
        <v/>
      </c>
      <c r="BV150" s="34">
        <f>BF150+BG150+BH150+BY150-CA150</f>
        <v/>
      </c>
      <c r="BW150" s="34">
        <f>ABS(BX150)</f>
        <v/>
      </c>
      <c r="BX150" s="34">
        <f>AY150-(J150-L150+N150-Q150+T150-X150)</f>
        <v/>
      </c>
      <c r="BY150" s="34">
        <f>IF(AND(BX150&gt;0,MIN($F150:$G150)&lt;150,$E150="Enerji Açığı"),-100*BX150*1.03,IF(AND(BX150&gt;0,MIN($F150:$G150)&lt;150,$E150="Enerji Fazlası"),-100*BX150*1.06,IF(AND(BX150&gt;0,MIN($F150:$G150)&gt;=150,$E150="Enerji Açığı"),BX150*MIN($F150:$G150)*0.97,IF(AND(BX150&gt;0,MIN($F150:$G150)&gt;=150,$E150="Enerji Fazlası"),BX150*MIN($F150:$G150)*0.94,IF(AND(BX150&lt;0,MAX($F150:$G150)=4500,$E150="Enerji Açığı"),4500*1.05*1.06*BX150,IF(AND(BX150&lt;0,MAX($F150:$G150)=4500,$E150="Enerji Fazlası"),4500*1.05*1.03*BX150,IF(AND(BX150&lt;0,$E150="Enerji Açığı"),MAX($F150,$G150,150)*BX150*1.06,IF(AND(BX150&lt;0,$E150="Enerji Fazlası"),MAX($F150,$G150,150)*BX150*1.03,IF(AND(BX150&lt;0,$E150="Dengede"),MAX($F150:$G150,150)*1.03*BX150,MIN($F150:$G150)*0.97*BX150)))))))))</f>
        <v/>
      </c>
      <c r="BZ150" s="34">
        <f>BE150-BV150-CA150</f>
        <v/>
      </c>
      <c r="CA150" s="34">
        <f>BD150</f>
        <v/>
      </c>
      <c r="CB150" s="33">
        <f>BE150-BV150</f>
        <v/>
      </c>
      <c r="CC150" s="34">
        <f>IF(AY150=0,0,CB150/AY150)</f>
        <v/>
      </c>
      <c r="CD150" s="34">
        <f>MAX((AY150+MAX((-J150+L150-N150+Q150-T150+X150),0)),(MAX((J150-L150+N150-Q150+T150-X150),0)))</f>
        <v/>
      </c>
      <c r="CE150" s="82">
        <f>IFERROR(ABS(BX150/CD150),0)</f>
        <v/>
      </c>
      <c r="CF150" s="34">
        <f>IF(CE150&lt;=0.1,0,BX150/CE150*(CE150-0.1))</f>
        <v/>
      </c>
      <c r="CG150" s="34">
        <f>IF((CF150)&lt;0,MAX(F150:G150)*(CF150)*1.03,MIN(F150:G150)*(CF150)*0.97)</f>
        <v/>
      </c>
      <c r="CH150" s="34">
        <f>IF(CE150&gt;0.1,1,0)</f>
        <v/>
      </c>
      <c r="CI150" s="34">
        <f>(F150*BX150)-BY150</f>
        <v/>
      </c>
      <c r="CJ150" s="34">
        <f>IF(AY150=0,0,CI150/AY150)</f>
        <v/>
      </c>
    </row>
    <row r="151">
      <c r="A151" s="29" t="n">
        <v>46210.16666666666</v>
      </c>
      <c r="B151" s="29" t="inlineStr">
        <is>
          <t>04:00</t>
        </is>
      </c>
      <c r="C151" s="35">
        <f>INT(A151)</f>
        <v/>
      </c>
      <c r="D151" s="36">
        <f>MONTH(A151)</f>
        <v/>
      </c>
      <c r="E151" s="147">
        <f>[1]FİYATLAR!G150</f>
        <v/>
      </c>
      <c r="F151" s="30" t="n">
        <v>3400</v>
      </c>
      <c r="G151" s="30" t="n">
        <v>1450</v>
      </c>
      <c r="H151" s="30" t="n">
        <v>72.91</v>
      </c>
      <c r="I151" s="30" t="n">
        <v>2227.77</v>
      </c>
      <c r="J151" s="119" t="n">
        <v>0</v>
      </c>
      <c r="K151" s="34">
        <f>F151*J151</f>
        <v/>
      </c>
      <c r="L151" s="119" t="n">
        <v>0</v>
      </c>
      <c r="M151" s="34">
        <f>L151*F151</f>
        <v/>
      </c>
      <c r="N151" s="119" t="n">
        <v>19</v>
      </c>
      <c r="O151" s="34">
        <f>F151</f>
        <v/>
      </c>
      <c r="P151" s="34">
        <f>N151*O151</f>
        <v/>
      </c>
      <c r="Q151" s="117" t="n">
        <v>0</v>
      </c>
      <c r="R151" s="34">
        <f>F151</f>
        <v/>
      </c>
      <c r="S151" s="34">
        <f>R151*Q151</f>
        <v/>
      </c>
      <c r="T151" s="34">
        <f>SUMIFS('[1]GİP VERİLERİ'!$C:$C,'[1]GİP VERİLERİ'!$B:$B,A151,'[1]GİP VERİLERİ'!$M:$M,"40X000000104782K",'[1]GİP VERİLERİ'!$G:$G,"SELL")</f>
        <v/>
      </c>
      <c r="U151" s="34">
        <f>IFERROR(W151/T151,0)</f>
        <v/>
      </c>
      <c r="V151" s="34">
        <f>IF(U151=0,0,U151-F151)</f>
        <v/>
      </c>
      <c r="W151" s="34">
        <f>SUMIFS('[1]GİP VERİLERİ'!$O:$O,'[1]GİP VERİLERİ'!$B:$B,A151,'[1]GİP VERİLERİ'!$M:$M,"40X000000104782K",'[1]GİP VERİLERİ'!$G:$G,"SELL")</f>
        <v/>
      </c>
      <c r="X151" s="34">
        <f>SUMIFS('[1]GİP VERİLERİ'!$C:$C,'[1]GİP VERİLERİ'!$B:$B,A151,'[1]GİP VERİLERİ'!$M:$M,"40X000000104782K",'[1]GİP VERİLERİ'!$G:$G,"BUY")</f>
        <v/>
      </c>
      <c r="Y151" s="34">
        <f>IFERROR(AA151/X151,0)</f>
        <v/>
      </c>
      <c r="Z151" s="34">
        <f>IF(Y151=0,0,F151-Y151)</f>
        <v/>
      </c>
      <c r="AA151" s="34">
        <f>SUMIFS('[1]GİP VERİLERİ'!$O:$O,'[1]GİP VERİLERİ'!$B:$B,A151,'[1]GİP VERİLERİ'!$M:$M,"40X000000104782K",'[1]GİP VERİLERİ'!$G:$G,"BUY")</f>
        <v/>
      </c>
      <c r="AB151" s="34" t="n">
        <v>0</v>
      </c>
      <c r="AC151" s="34" t="n">
        <v>0</v>
      </c>
      <c r="AD151" s="34">
        <f>IF(AB151&gt;AC151*1.05,AB151-AC151*1.05,IF(AB151&lt;AC151*0.95,AC151*0.95-AB151,0))</f>
        <v/>
      </c>
      <c r="AE151" s="34">
        <f>MAX(F151,G151,750)*0.05*AD151</f>
        <v/>
      </c>
      <c r="AF151" s="34" t="n">
        <v>0</v>
      </c>
      <c r="AG151" s="34">
        <f>IF(AB151&gt;AF151*1.05,AB151-AF151*1.05,IF(AB151&lt;AF151*0.95,AF151*0.95-AB151,0))</f>
        <v/>
      </c>
      <c r="AH151" s="34">
        <f>MAX(I151,J151,750)*0.05*AG151</f>
        <v/>
      </c>
      <c r="AI151" t="n">
        <v>8.140000000000001</v>
      </c>
      <c r="AJ151" t="n">
        <v>8</v>
      </c>
      <c r="AK151" s="34">
        <f>IF(AI151&gt;AJ151*1.05,AI151-AJ151*1.05,IF(AI151&lt;AJ151*0.95,AJ151*0.95-AI151,0))</f>
        <v/>
      </c>
      <c r="AL151" s="34">
        <f>MAX(F151,G151,750)*0.05*AK151</f>
        <v/>
      </c>
      <c r="AM151" s="39" t="n">
        <v>8</v>
      </c>
      <c r="AN151" s="34">
        <f>IF(AI151&gt;AM151*1.05,AI151-AM151*1.05,IF(AI151&lt;AM151*0.95,AM151*0.95-AI151,0))</f>
        <v/>
      </c>
      <c r="AO151" s="34">
        <f>MAX(F151,G151,750)*0.05*AN151</f>
        <v/>
      </c>
      <c r="AP151" s="34" t="n">
        <v>11.42</v>
      </c>
      <c r="AQ151" s="34" t="n">
        <v>11</v>
      </c>
      <c r="AR151" s="34">
        <f>IF(AP151&gt;AQ151*1.05,AP151-AQ151*1.05,IF(AP151&lt;AQ151*0.95,AQ151*0.95-AP151,0))</f>
        <v/>
      </c>
      <c r="AS151" s="34">
        <f>MAX(F151:G151,750)*0.05*AR151</f>
        <v/>
      </c>
      <c r="AT151" t="n">
        <v>11</v>
      </c>
      <c r="AU151" s="34">
        <f>IF(AP151&gt;AT151*1.05,AP151-AT151*1.05,IF(AP151&lt;AT151*0.95,AT151*0.95-AP151,0))</f>
        <v/>
      </c>
      <c r="AV151" s="34">
        <f>MAX(F151:G151,750)*0.05*AU151</f>
        <v/>
      </c>
      <c r="AW151" s="34">
        <f>AC151+AJ151+AQ151</f>
        <v/>
      </c>
      <c r="AX151" s="34">
        <f>AF151+AM151+AT151</f>
        <v/>
      </c>
      <c r="AY151" s="34">
        <f>AB151+AI151+AP151</f>
        <v/>
      </c>
      <c r="AZ151" s="34" t="n">
        <v>0</v>
      </c>
      <c r="BA151" s="34">
        <f>AD151+AK151+AR151</f>
        <v/>
      </c>
      <c r="BB151" s="34">
        <f>MAX(F151:G151,750)*0.05*BA151</f>
        <v/>
      </c>
      <c r="BC151" s="34">
        <f>AG151+AN151+AU151</f>
        <v/>
      </c>
      <c r="BD151" s="34">
        <f>MAX(F151:G151,750)*0.05*BC151</f>
        <v/>
      </c>
      <c r="BE151" s="34">
        <f>F151*AY151</f>
        <v/>
      </c>
      <c r="BF151" s="34">
        <f>K151-M151</f>
        <v/>
      </c>
      <c r="BG151" s="34">
        <f>P151-S151</f>
        <v/>
      </c>
      <c r="BH151" s="34">
        <f>W151-AA151</f>
        <v/>
      </c>
      <c r="BI151" s="34">
        <f>BF151+BG151+BL151-BN151</f>
        <v/>
      </c>
      <c r="BJ151" s="34">
        <f>ABS(BK151)</f>
        <v/>
      </c>
      <c r="BK151" s="34">
        <f>AY151-(J151-L151+N151-Q151)</f>
        <v/>
      </c>
      <c r="BL151" s="34">
        <f>IF(AND(BK151&gt;0,MIN($F151:$G151)&lt;150,$E151="Enerji Açığı"),-100*BK151*1.03,IF(AND(BK151&gt;0,MIN($F151:$G151)&lt;150,$E151="Enerji Fazlası"),-100*BK151*1.06,IF(AND(BK151&gt;0,MIN($F151:$G151)&gt;=150,$E151="Enerji Açığı"),BK151*MIN($F151:$G151)*0.97,IF(AND(BK151&gt;0,MIN($F151:$G151)&gt;=150,$E151="Enerji Fazlası"),BK151*MIN($F151:$G151)*0.94,IF(AND(BK151&lt;0,MAX($F151:$G151)=4500,$E151="Enerji Açığı"),4500*1.05*1.06*BK151,IF(AND(BK151&lt;0,MAX($F151:$G151)=4500,$E151="Enerji Fazlası"),4500*1.05*1.03*BK151,IF(AND(BK151&lt;0,$E151="Enerji Açığı"),MAX($F151,$G151,150)*BK151*1.06,IF(AND(BK151&lt;0,$E151="Enerji Fazlası"),MAX($F151,$G151,150)*BK151*1.03,IF(AND(BK151&lt;0,$E151="Dengede"),MAX($F151:$G151,150)*1.03*BK151,MIN($F151:$G151)*0.97*BK151)))))))))</f>
        <v/>
      </c>
      <c r="BM151" s="34">
        <f>BE151-BI151-BN151</f>
        <v/>
      </c>
      <c r="BN151" s="34">
        <f>BB151</f>
        <v/>
      </c>
      <c r="BO151" s="34">
        <f>BE151-BI151</f>
        <v/>
      </c>
      <c r="BP151" s="34">
        <f>IF(AY151=0,0,BO151/AY151)</f>
        <v/>
      </c>
      <c r="BQ151" s="34">
        <f>MAX((AY151+MAX((-J151+L151-N151+Q151),0)),(MAX((J151-L151+N151-Q151),0)))</f>
        <v/>
      </c>
      <c r="BR151" s="82">
        <f>IFERROR(ABS(BK151/BQ151),0)</f>
        <v/>
      </c>
      <c r="BS151" s="34">
        <f>IF(BR151&lt;=0.1,0,BK151/BR151*(BR151-0.1))</f>
        <v/>
      </c>
      <c r="BT151" s="34">
        <f>IF((BS151)&lt;0,MAX(F151:G151)*(BS151)*1.03,MIN(F151:G151)*(BS151)*0.97)</f>
        <v/>
      </c>
      <c r="BU151" s="34">
        <f>IF(BR151&gt;0.1,1,0)</f>
        <v/>
      </c>
      <c r="BV151" s="34">
        <f>BF151+BG151+BH151+BY151-CA151</f>
        <v/>
      </c>
      <c r="BW151" s="34">
        <f>ABS(BX151)</f>
        <v/>
      </c>
      <c r="BX151" s="34">
        <f>AY151-(J151-L151+N151-Q151+T151-X151)</f>
        <v/>
      </c>
      <c r="BY151" s="34">
        <f>IF(AND(BX151&gt;0,MIN($F151:$G151)&lt;150,$E151="Enerji Açığı"),-100*BX151*1.03,IF(AND(BX151&gt;0,MIN($F151:$G151)&lt;150,$E151="Enerji Fazlası"),-100*BX151*1.06,IF(AND(BX151&gt;0,MIN($F151:$G151)&gt;=150,$E151="Enerji Açığı"),BX151*MIN($F151:$G151)*0.97,IF(AND(BX151&gt;0,MIN($F151:$G151)&gt;=150,$E151="Enerji Fazlası"),BX151*MIN($F151:$G151)*0.94,IF(AND(BX151&lt;0,MAX($F151:$G151)=4500,$E151="Enerji Açığı"),4500*1.05*1.06*BX151,IF(AND(BX151&lt;0,MAX($F151:$G151)=4500,$E151="Enerji Fazlası"),4500*1.05*1.03*BX151,IF(AND(BX151&lt;0,$E151="Enerji Açığı"),MAX($F151,$G151,150)*BX151*1.06,IF(AND(BX151&lt;0,$E151="Enerji Fazlası"),MAX($F151,$G151,150)*BX151*1.03,IF(AND(BX151&lt;0,$E151="Dengede"),MAX($F151:$G151,150)*1.03*BX151,MIN($F151:$G151)*0.97*BX151)))))))))</f>
        <v/>
      </c>
      <c r="BZ151" s="34">
        <f>BE151-BV151-CA151</f>
        <v/>
      </c>
      <c r="CA151" s="34">
        <f>BD151</f>
        <v/>
      </c>
      <c r="CB151" s="33">
        <f>BE151-BV151</f>
        <v/>
      </c>
      <c r="CC151" s="34">
        <f>IF(AY151=0,0,CB151/AY151)</f>
        <v/>
      </c>
      <c r="CD151" s="34">
        <f>MAX((AY151+MAX((-J151+L151-N151+Q151-T151+X151),0)),(MAX((J151-L151+N151-Q151+T151-X151),0)))</f>
        <v/>
      </c>
      <c r="CE151" s="82">
        <f>IFERROR(ABS(BX151/CD151),0)</f>
        <v/>
      </c>
      <c r="CF151" s="34">
        <f>IF(CE151&lt;=0.1,0,BX151/CE151*(CE151-0.1))</f>
        <v/>
      </c>
      <c r="CG151" s="34">
        <f>IF((CF151)&lt;0,MAX(F151:G151)*(CF151)*1.03,MIN(F151:G151)*(CF151)*0.97)</f>
        <v/>
      </c>
      <c r="CH151" s="34">
        <f>IF(CE151&gt;0.1,1,0)</f>
        <v/>
      </c>
      <c r="CI151" s="34">
        <f>(F151*BX151)-BY151</f>
        <v/>
      </c>
      <c r="CJ151" s="34">
        <f>IF(AY151=0,0,CI151/AY151)</f>
        <v/>
      </c>
    </row>
    <row r="152">
      <c r="A152" s="29" t="n">
        <v>46210.20833333334</v>
      </c>
      <c r="B152" s="29" t="inlineStr">
        <is>
          <t>05:00</t>
        </is>
      </c>
      <c r="C152" s="35">
        <f>INT(A152)</f>
        <v/>
      </c>
      <c r="D152" s="36">
        <f>MONTH(A152)</f>
        <v/>
      </c>
      <c r="E152" s="147">
        <f>[1]FİYATLAR!G151</f>
        <v/>
      </c>
      <c r="F152" s="30" t="n">
        <v>2865.59</v>
      </c>
      <c r="G152" s="30" t="n">
        <v>500</v>
      </c>
      <c r="H152" s="30" t="n">
        <v>61.45</v>
      </c>
      <c r="I152" s="30" t="n">
        <v>1700.67</v>
      </c>
      <c r="J152" s="119" t="n">
        <v>0</v>
      </c>
      <c r="K152" s="34">
        <f>F152*J152</f>
        <v/>
      </c>
      <c r="L152" s="119" t="n">
        <v>0</v>
      </c>
      <c r="M152" s="34">
        <f>L152*F152</f>
        <v/>
      </c>
      <c r="N152" s="119" t="n">
        <v>19</v>
      </c>
      <c r="O152" s="34">
        <f>F152</f>
        <v/>
      </c>
      <c r="P152" s="34">
        <f>N152*O152</f>
        <v/>
      </c>
      <c r="Q152" s="117" t="n">
        <v>0</v>
      </c>
      <c r="R152" s="34">
        <f>F152</f>
        <v/>
      </c>
      <c r="S152" s="34">
        <f>R152*Q152</f>
        <v/>
      </c>
      <c r="T152" s="34">
        <f>SUMIFS('[1]GİP VERİLERİ'!$C:$C,'[1]GİP VERİLERİ'!$B:$B,A152,'[1]GİP VERİLERİ'!$M:$M,"40X000000104782K",'[1]GİP VERİLERİ'!$G:$G,"SELL")</f>
        <v/>
      </c>
      <c r="U152" s="34">
        <f>IFERROR(W152/T152,0)</f>
        <v/>
      </c>
      <c r="V152" s="34">
        <f>IF(U152=0,0,U152-F152)</f>
        <v/>
      </c>
      <c r="W152" s="34">
        <f>SUMIFS('[1]GİP VERİLERİ'!$O:$O,'[1]GİP VERİLERİ'!$B:$B,A152,'[1]GİP VERİLERİ'!$M:$M,"40X000000104782K",'[1]GİP VERİLERİ'!$G:$G,"SELL")</f>
        <v/>
      </c>
      <c r="X152" s="34">
        <f>SUMIFS('[1]GİP VERİLERİ'!$C:$C,'[1]GİP VERİLERİ'!$B:$B,A152,'[1]GİP VERİLERİ'!$M:$M,"40X000000104782K",'[1]GİP VERİLERİ'!$G:$G,"BUY")</f>
        <v/>
      </c>
      <c r="Y152" s="34">
        <f>IFERROR(AA152/X152,0)</f>
        <v/>
      </c>
      <c r="Z152" s="34">
        <f>IF(Y152=0,0,F152-Y152)</f>
        <v/>
      </c>
      <c r="AA152" s="34">
        <f>SUMIFS('[1]GİP VERİLERİ'!$O:$O,'[1]GİP VERİLERİ'!$B:$B,A152,'[1]GİP VERİLERİ'!$M:$M,"40X000000104782K",'[1]GİP VERİLERİ'!$G:$G,"BUY")</f>
        <v/>
      </c>
      <c r="AB152" s="34" t="n">
        <v>0</v>
      </c>
      <c r="AC152" s="34" t="n">
        <v>0</v>
      </c>
      <c r="AD152" s="34">
        <f>IF(AB152&gt;AC152*1.05,AB152-AC152*1.05,IF(AB152&lt;AC152*0.95,AC152*0.95-AB152,0))</f>
        <v/>
      </c>
      <c r="AE152" s="34">
        <f>MAX(F152,G152,750)*0.05*AD152</f>
        <v/>
      </c>
      <c r="AF152" s="34" t="n">
        <v>0</v>
      </c>
      <c r="AG152" s="34">
        <f>IF(AB152&gt;AF152*1.05,AB152-AF152*1.05,IF(AB152&lt;AF152*0.95,AF152*0.95-AB152,0))</f>
        <v/>
      </c>
      <c r="AH152" s="34">
        <f>MAX(I152,J152,750)*0.05*AG152</f>
        <v/>
      </c>
      <c r="AI152" t="n">
        <v>8.16</v>
      </c>
      <c r="AJ152" t="n">
        <v>8</v>
      </c>
      <c r="AK152" s="34">
        <f>IF(AI152&gt;AJ152*1.05,AI152-AJ152*1.05,IF(AI152&lt;AJ152*0.95,AJ152*0.95-AI152,0))</f>
        <v/>
      </c>
      <c r="AL152" s="34">
        <f>MAX(F152,G152,750)*0.05*AK152</f>
        <v/>
      </c>
      <c r="AM152" s="39" t="n">
        <v>8</v>
      </c>
      <c r="AN152" s="34">
        <f>IF(AI152&gt;AM152*1.05,AI152-AM152*1.05,IF(AI152&lt;AM152*0.95,AM152*0.95-AI152,0))</f>
        <v/>
      </c>
      <c r="AO152" s="34">
        <f>MAX(F152,G152,750)*0.05*AN152</f>
        <v/>
      </c>
      <c r="AP152" s="34" t="n">
        <v>12.27</v>
      </c>
      <c r="AQ152" s="34" t="n">
        <v>11</v>
      </c>
      <c r="AR152" s="34">
        <f>IF(AP152&gt;AQ152*1.05,AP152-AQ152*1.05,IF(AP152&lt;AQ152*0.95,AQ152*0.95-AP152,0))</f>
        <v/>
      </c>
      <c r="AS152" s="34">
        <f>MAX(F152:G152,750)*0.05*AR152</f>
        <v/>
      </c>
      <c r="AT152" t="n">
        <v>12</v>
      </c>
      <c r="AU152" s="34">
        <f>IF(AP152&gt;AT152*1.05,AP152-AT152*1.05,IF(AP152&lt;AT152*0.95,AT152*0.95-AP152,0))</f>
        <v/>
      </c>
      <c r="AV152" s="34">
        <f>MAX(F152:G152,750)*0.05*AU152</f>
        <v/>
      </c>
      <c r="AW152" s="34">
        <f>AC152+AJ152+AQ152</f>
        <v/>
      </c>
      <c r="AX152" s="34">
        <f>AF152+AM152+AT152</f>
        <v/>
      </c>
      <c r="AY152" s="34">
        <f>AB152+AI152+AP152</f>
        <v/>
      </c>
      <c r="AZ152" s="34" t="n">
        <v>0</v>
      </c>
      <c r="BA152" s="34">
        <f>AD152+AK152+AR152</f>
        <v/>
      </c>
      <c r="BB152" s="34">
        <f>MAX(F152:G152,750)*0.05*BA152</f>
        <v/>
      </c>
      <c r="BC152" s="34">
        <f>AG152+AN152+AU152</f>
        <v/>
      </c>
      <c r="BD152" s="34">
        <f>MAX(F152:G152,750)*0.05*BC152</f>
        <v/>
      </c>
      <c r="BE152" s="34">
        <f>F152*AY152</f>
        <v/>
      </c>
      <c r="BF152" s="34">
        <f>K152-M152</f>
        <v/>
      </c>
      <c r="BG152" s="34">
        <f>P152-S152</f>
        <v/>
      </c>
      <c r="BH152" s="34">
        <f>W152-AA152</f>
        <v/>
      </c>
      <c r="BI152" s="34">
        <f>BF152+BG152+BL152-BN152</f>
        <v/>
      </c>
      <c r="BJ152" s="34">
        <f>ABS(BK152)</f>
        <v/>
      </c>
      <c r="BK152" s="34">
        <f>AY152-(J152-L152+N152-Q152)</f>
        <v/>
      </c>
      <c r="BL152" s="34">
        <f>IF(AND(BK152&gt;0,MIN($F152:$G152)&lt;150,$E152="Enerji Açığı"),-100*BK152*1.03,IF(AND(BK152&gt;0,MIN($F152:$G152)&lt;150,$E152="Enerji Fazlası"),-100*BK152*1.06,IF(AND(BK152&gt;0,MIN($F152:$G152)&gt;=150,$E152="Enerji Açığı"),BK152*MIN($F152:$G152)*0.97,IF(AND(BK152&gt;0,MIN($F152:$G152)&gt;=150,$E152="Enerji Fazlası"),BK152*MIN($F152:$G152)*0.94,IF(AND(BK152&lt;0,MAX($F152:$G152)=4500,$E152="Enerji Açığı"),4500*1.05*1.06*BK152,IF(AND(BK152&lt;0,MAX($F152:$G152)=4500,$E152="Enerji Fazlası"),4500*1.05*1.03*BK152,IF(AND(BK152&lt;0,$E152="Enerji Açığı"),MAX($F152,$G152,150)*BK152*1.06,IF(AND(BK152&lt;0,$E152="Enerji Fazlası"),MAX($F152,$G152,150)*BK152*1.03,IF(AND(BK152&lt;0,$E152="Dengede"),MAX($F152:$G152,150)*1.03*BK152,MIN($F152:$G152)*0.97*BK152)))))))))</f>
        <v/>
      </c>
      <c r="BM152" s="34">
        <f>BE152-BI152-BN152</f>
        <v/>
      </c>
      <c r="BN152" s="34">
        <f>BB152</f>
        <v/>
      </c>
      <c r="BO152" s="34">
        <f>BE152-BI152</f>
        <v/>
      </c>
      <c r="BP152" s="34">
        <f>IF(AY152=0,0,BO152/AY152)</f>
        <v/>
      </c>
      <c r="BQ152" s="34">
        <f>MAX((AY152+MAX((-J152+L152-N152+Q152),0)),(MAX((J152-L152+N152-Q152),0)))</f>
        <v/>
      </c>
      <c r="BR152" s="82">
        <f>IFERROR(ABS(BK152/BQ152),0)</f>
        <v/>
      </c>
      <c r="BS152" s="34">
        <f>IF(BR152&lt;=0.1,0,BK152/BR152*(BR152-0.1))</f>
        <v/>
      </c>
      <c r="BT152" s="34">
        <f>IF((BS152)&lt;0,MAX(F152:G152)*(BS152)*1.03,MIN(F152:G152)*(BS152)*0.97)</f>
        <v/>
      </c>
      <c r="BU152" s="34">
        <f>IF(BR152&gt;0.1,1,0)</f>
        <v/>
      </c>
      <c r="BV152" s="34">
        <f>BF152+BG152+BH152+BY152-CA152</f>
        <v/>
      </c>
      <c r="BW152" s="34">
        <f>ABS(BX152)</f>
        <v/>
      </c>
      <c r="BX152" s="34">
        <f>AY152-(J152-L152+N152-Q152+T152-X152)</f>
        <v/>
      </c>
      <c r="BY152" s="34">
        <f>IF(AND(BX152&gt;0,MIN($F152:$G152)&lt;150,$E152="Enerji Açığı"),-100*BX152*1.03,IF(AND(BX152&gt;0,MIN($F152:$G152)&lt;150,$E152="Enerji Fazlası"),-100*BX152*1.06,IF(AND(BX152&gt;0,MIN($F152:$G152)&gt;=150,$E152="Enerji Açığı"),BX152*MIN($F152:$G152)*0.97,IF(AND(BX152&gt;0,MIN($F152:$G152)&gt;=150,$E152="Enerji Fazlası"),BX152*MIN($F152:$G152)*0.94,IF(AND(BX152&lt;0,MAX($F152:$G152)=4500,$E152="Enerji Açığı"),4500*1.05*1.06*BX152,IF(AND(BX152&lt;0,MAX($F152:$G152)=4500,$E152="Enerji Fazlası"),4500*1.05*1.03*BX152,IF(AND(BX152&lt;0,$E152="Enerji Açığı"),MAX($F152,$G152,150)*BX152*1.06,IF(AND(BX152&lt;0,$E152="Enerji Fazlası"),MAX($F152,$G152,150)*BX152*1.03,IF(AND(BX152&lt;0,$E152="Dengede"),MAX($F152:$G152,150)*1.03*BX152,MIN($F152:$G152)*0.97*BX152)))))))))</f>
        <v/>
      </c>
      <c r="BZ152" s="34">
        <f>BE152-BV152-CA152</f>
        <v/>
      </c>
      <c r="CA152" s="34">
        <f>BD152</f>
        <v/>
      </c>
      <c r="CB152" s="33">
        <f>BE152-BV152</f>
        <v/>
      </c>
      <c r="CC152" s="34">
        <f>IF(AY152=0,0,CB152/AY152)</f>
        <v/>
      </c>
      <c r="CD152" s="34">
        <f>MAX((AY152+MAX((-J152+L152-N152+Q152-T152+X152),0)),(MAX((J152-L152+N152-Q152+T152-X152),0)))</f>
        <v/>
      </c>
      <c r="CE152" s="82">
        <f>IFERROR(ABS(BX152/CD152),0)</f>
        <v/>
      </c>
      <c r="CF152" s="34">
        <f>IF(CE152&lt;=0.1,0,BX152/CE152*(CE152-0.1))</f>
        <v/>
      </c>
      <c r="CG152" s="34">
        <f>IF((CF152)&lt;0,MAX(F152:G152)*(CF152)*1.03,MIN(F152:G152)*(CF152)*0.97)</f>
        <v/>
      </c>
      <c r="CH152" s="34">
        <f>IF(CE152&gt;0.1,1,0)</f>
        <v/>
      </c>
      <c r="CI152" s="34">
        <f>(F152*BX152)-BY152</f>
        <v/>
      </c>
      <c r="CJ152" s="34">
        <f>IF(AY152=0,0,CI152/AY152)</f>
        <v/>
      </c>
    </row>
    <row r="153">
      <c r="A153" s="29" t="n">
        <v>46210.25</v>
      </c>
      <c r="B153" s="29" t="inlineStr">
        <is>
          <t>06:00</t>
        </is>
      </c>
      <c r="C153" s="35">
        <f>INT(A153)</f>
        <v/>
      </c>
      <c r="D153" s="36">
        <f>MONTH(A153)</f>
        <v/>
      </c>
      <c r="E153" s="147">
        <f>[1]FİYATLAR!G152</f>
        <v/>
      </c>
      <c r="F153" s="30" t="n">
        <v>1999.99</v>
      </c>
      <c r="G153" s="30" t="n">
        <v>500</v>
      </c>
      <c r="H153" s="30" t="n">
        <v>42.89</v>
      </c>
      <c r="I153" s="30" t="n">
        <v>1277.72</v>
      </c>
      <c r="J153" s="119" t="n">
        <v>0</v>
      </c>
      <c r="K153" s="34">
        <f>F153*J153</f>
        <v/>
      </c>
      <c r="L153" s="119" t="n">
        <v>0</v>
      </c>
      <c r="M153" s="34">
        <f>L153*F153</f>
        <v/>
      </c>
      <c r="N153" s="119" t="n">
        <v>19.2</v>
      </c>
      <c r="O153" s="34">
        <f>F153</f>
        <v/>
      </c>
      <c r="P153" s="34">
        <f>N153*O153</f>
        <v/>
      </c>
      <c r="Q153" s="117" t="n">
        <v>0</v>
      </c>
      <c r="R153" s="34">
        <f>F153</f>
        <v/>
      </c>
      <c r="S153" s="34">
        <f>R153*Q153</f>
        <v/>
      </c>
      <c r="T153" s="34">
        <f>SUMIFS('[1]GİP VERİLERİ'!$C:$C,'[1]GİP VERİLERİ'!$B:$B,A153,'[1]GİP VERİLERİ'!$M:$M,"40X000000104782K",'[1]GİP VERİLERİ'!$G:$G,"SELL")</f>
        <v/>
      </c>
      <c r="U153" s="34">
        <f>IFERROR(W153/T153,0)</f>
        <v/>
      </c>
      <c r="V153" s="34">
        <f>IF(U153=0,0,U153-F153)</f>
        <v/>
      </c>
      <c r="W153" s="34">
        <f>SUMIFS('[1]GİP VERİLERİ'!$O:$O,'[1]GİP VERİLERİ'!$B:$B,A153,'[1]GİP VERİLERİ'!$M:$M,"40X000000104782K",'[1]GİP VERİLERİ'!$G:$G,"SELL")</f>
        <v/>
      </c>
      <c r="X153" s="34">
        <f>SUMIFS('[1]GİP VERİLERİ'!$C:$C,'[1]GİP VERİLERİ'!$B:$B,A153,'[1]GİP VERİLERİ'!$M:$M,"40X000000104782K",'[1]GİP VERİLERİ'!$G:$G,"BUY")</f>
        <v/>
      </c>
      <c r="Y153" s="34">
        <f>IFERROR(AA153/X153,0)</f>
        <v/>
      </c>
      <c r="Z153" s="34">
        <f>IF(Y153=0,0,F153-Y153)</f>
        <v/>
      </c>
      <c r="AA153" s="34">
        <f>SUMIFS('[1]GİP VERİLERİ'!$O:$O,'[1]GİP VERİLERİ'!$B:$B,A153,'[1]GİP VERİLERİ'!$M:$M,"40X000000104782K",'[1]GİP VERİLERİ'!$G:$G,"BUY")</f>
        <v/>
      </c>
      <c r="AB153" s="34" t="n">
        <v>0</v>
      </c>
      <c r="AC153" s="34" t="n">
        <v>0</v>
      </c>
      <c r="AD153" s="34">
        <f>IF(AB153&gt;AC153*1.05,AB153-AC153*1.05,IF(AB153&lt;AC153*0.95,AC153*0.95-AB153,0))</f>
        <v/>
      </c>
      <c r="AE153" s="34">
        <f>MAX(F153,G153,750)*0.05*AD153</f>
        <v/>
      </c>
      <c r="AF153" s="34" t="n">
        <v>0</v>
      </c>
      <c r="AG153" s="34">
        <f>IF(AB153&gt;AF153*1.05,AB153-AF153*1.05,IF(AB153&lt;AF153*0.95,AF153*0.95-AB153,0))</f>
        <v/>
      </c>
      <c r="AH153" s="34">
        <f>MAX(I153,J153,750)*0.05*AG153</f>
        <v/>
      </c>
      <c r="AI153" t="n">
        <v>9.25</v>
      </c>
      <c r="AJ153" t="n">
        <v>8</v>
      </c>
      <c r="AK153" s="34">
        <f>IF(AI153&gt;AJ153*1.05,AI153-AJ153*1.05,IF(AI153&lt;AJ153*0.95,AJ153*0.95-AI153,0))</f>
        <v/>
      </c>
      <c r="AL153" s="34">
        <f>MAX(F153,G153,750)*0.05*AK153</f>
        <v/>
      </c>
      <c r="AM153" s="39" t="n">
        <v>9</v>
      </c>
      <c r="AN153" s="34">
        <f>IF(AI153&gt;AM153*1.05,AI153-AM153*1.05,IF(AI153&lt;AM153*0.95,AM153*0.95-AI153,0))</f>
        <v/>
      </c>
      <c r="AO153" s="34">
        <f>MAX(F153,G153,750)*0.05*AN153</f>
        <v/>
      </c>
      <c r="AP153" s="34" t="n">
        <v>12.4</v>
      </c>
      <c r="AQ153" s="34" t="n">
        <v>11.2</v>
      </c>
      <c r="AR153" s="34">
        <f>IF(AP153&gt;AQ153*1.05,AP153-AQ153*1.05,IF(AP153&lt;AQ153*0.95,AQ153*0.95-AP153,0))</f>
        <v/>
      </c>
      <c r="AS153" s="34">
        <f>MAX(F153:G153,750)*0.05*AR153</f>
        <v/>
      </c>
      <c r="AT153" t="n">
        <v>12.2</v>
      </c>
      <c r="AU153" s="34">
        <f>IF(AP153&gt;AT153*1.05,AP153-AT153*1.05,IF(AP153&lt;AT153*0.95,AT153*0.95-AP153,0))</f>
        <v/>
      </c>
      <c r="AV153" s="34">
        <f>MAX(F153:G153,750)*0.05*AU153</f>
        <v/>
      </c>
      <c r="AW153" s="34">
        <f>AC153+AJ153+AQ153</f>
        <v/>
      </c>
      <c r="AX153" s="34">
        <f>AF153+AM153+AT153</f>
        <v/>
      </c>
      <c r="AY153" s="34">
        <f>AB153+AI153+AP153</f>
        <v/>
      </c>
      <c r="AZ153" s="34" t="n">
        <v>0</v>
      </c>
      <c r="BA153" s="34">
        <f>AD153+AK153+AR153</f>
        <v/>
      </c>
      <c r="BB153" s="34">
        <f>MAX(F153:G153,750)*0.05*BA153</f>
        <v/>
      </c>
      <c r="BC153" s="34">
        <f>AG153+AN153+AU153</f>
        <v/>
      </c>
      <c r="BD153" s="34">
        <f>MAX(F153:G153,750)*0.05*BC153</f>
        <v/>
      </c>
      <c r="BE153" s="34">
        <f>F153*AY153</f>
        <v/>
      </c>
      <c r="BF153" s="34">
        <f>K153-M153</f>
        <v/>
      </c>
      <c r="BG153" s="34">
        <f>P153-S153</f>
        <v/>
      </c>
      <c r="BH153" s="34">
        <f>W153-AA153</f>
        <v/>
      </c>
      <c r="BI153" s="34">
        <f>BF153+BG153+BL153-BN153</f>
        <v/>
      </c>
      <c r="BJ153" s="34">
        <f>ABS(BK153)</f>
        <v/>
      </c>
      <c r="BK153" s="34">
        <f>AY153-(J153-L153+N153-Q153)</f>
        <v/>
      </c>
      <c r="BL153" s="34">
        <f>IF(AND(BK153&gt;0,MIN($F153:$G153)&lt;150,$E153="Enerji Açığı"),-100*BK153*1.03,IF(AND(BK153&gt;0,MIN($F153:$G153)&lt;150,$E153="Enerji Fazlası"),-100*BK153*1.06,IF(AND(BK153&gt;0,MIN($F153:$G153)&gt;=150,$E153="Enerji Açığı"),BK153*MIN($F153:$G153)*0.97,IF(AND(BK153&gt;0,MIN($F153:$G153)&gt;=150,$E153="Enerji Fazlası"),BK153*MIN($F153:$G153)*0.94,IF(AND(BK153&lt;0,MAX($F153:$G153)=4500,$E153="Enerji Açığı"),4500*1.05*1.06*BK153,IF(AND(BK153&lt;0,MAX($F153:$G153)=4500,$E153="Enerji Fazlası"),4500*1.05*1.03*BK153,IF(AND(BK153&lt;0,$E153="Enerji Açığı"),MAX($F153,$G153,150)*BK153*1.06,IF(AND(BK153&lt;0,$E153="Enerji Fazlası"),MAX($F153,$G153,150)*BK153*1.03,IF(AND(BK153&lt;0,$E153="Dengede"),MAX($F153:$G153,150)*1.03*BK153,MIN($F153:$G153)*0.97*BK153)))))))))</f>
        <v/>
      </c>
      <c r="BM153" s="34">
        <f>BE153-BI153-BN153</f>
        <v/>
      </c>
      <c r="BN153" s="34">
        <f>BB153</f>
        <v/>
      </c>
      <c r="BO153" s="34">
        <f>BE153-BI153</f>
        <v/>
      </c>
      <c r="BP153" s="34">
        <f>IF(AY153=0,0,BO153/AY153)</f>
        <v/>
      </c>
      <c r="BQ153" s="34">
        <f>MAX((AY153+MAX((-J153+L153-N153+Q153),0)),(MAX((J153-L153+N153-Q153),0)))</f>
        <v/>
      </c>
      <c r="BR153" s="82">
        <f>IFERROR(ABS(BK153/BQ153),0)</f>
        <v/>
      </c>
      <c r="BS153" s="34">
        <f>IF(BR153&lt;=0.1,0,BK153/BR153*(BR153-0.1))</f>
        <v/>
      </c>
      <c r="BT153" s="34">
        <f>IF((BS153)&lt;0,MAX(F153:G153)*(BS153)*1.03,MIN(F153:G153)*(BS153)*0.97)</f>
        <v/>
      </c>
      <c r="BU153" s="34">
        <f>IF(BR153&gt;0.1,1,0)</f>
        <v/>
      </c>
      <c r="BV153" s="34">
        <f>BF153+BG153+BH153+BY153-CA153</f>
        <v/>
      </c>
      <c r="BW153" s="34">
        <f>ABS(BX153)</f>
        <v/>
      </c>
      <c r="BX153" s="34">
        <f>AY153-(J153-L153+N153-Q153+T153-X153)</f>
        <v/>
      </c>
      <c r="BY153" s="34">
        <f>IF(AND(BX153&gt;0,MIN($F153:$G153)&lt;150,$E153="Enerji Açığı"),-100*BX153*1.03,IF(AND(BX153&gt;0,MIN($F153:$G153)&lt;150,$E153="Enerji Fazlası"),-100*BX153*1.06,IF(AND(BX153&gt;0,MIN($F153:$G153)&gt;=150,$E153="Enerji Açığı"),BX153*MIN($F153:$G153)*0.97,IF(AND(BX153&gt;0,MIN($F153:$G153)&gt;=150,$E153="Enerji Fazlası"),BX153*MIN($F153:$G153)*0.94,IF(AND(BX153&lt;0,MAX($F153:$G153)=4500,$E153="Enerji Açığı"),4500*1.05*1.06*BX153,IF(AND(BX153&lt;0,MAX($F153:$G153)=4500,$E153="Enerji Fazlası"),4500*1.05*1.03*BX153,IF(AND(BX153&lt;0,$E153="Enerji Açığı"),MAX($F153,$G153,150)*BX153*1.06,IF(AND(BX153&lt;0,$E153="Enerji Fazlası"),MAX($F153,$G153,150)*BX153*1.03,IF(AND(BX153&lt;0,$E153="Dengede"),MAX($F153:$G153,150)*1.03*BX153,MIN($F153:$G153)*0.97*BX153)))))))))</f>
        <v/>
      </c>
      <c r="BZ153" s="34">
        <f>BE153-BV153-CA153</f>
        <v/>
      </c>
      <c r="CA153" s="34">
        <f>BD153</f>
        <v/>
      </c>
      <c r="CB153" s="33">
        <f>BE153-BV153</f>
        <v/>
      </c>
      <c r="CC153" s="34">
        <f>IF(AY153=0,0,CB153/AY153)</f>
        <v/>
      </c>
      <c r="CD153" s="34">
        <f>MAX((AY153+MAX((-J153+L153-N153+Q153-T153+X153),0)),(MAX((J153-L153+N153-Q153+T153-X153),0)))</f>
        <v/>
      </c>
      <c r="CE153" s="82">
        <f>IFERROR(ABS(BX153/CD153),0)</f>
        <v/>
      </c>
      <c r="CF153" s="34">
        <f>IF(CE153&lt;=0.1,0,BX153/CE153*(CE153-0.1))</f>
        <v/>
      </c>
      <c r="CG153" s="34">
        <f>IF((CF153)&lt;0,MAX(F153:G153)*(CF153)*1.03,MIN(F153:G153)*(CF153)*0.97)</f>
        <v/>
      </c>
      <c r="CH153" s="34">
        <f>IF(CE153&gt;0.1,1,0)</f>
        <v/>
      </c>
      <c r="CI153" s="34">
        <f>(F153*BX153)-BY153</f>
        <v/>
      </c>
      <c r="CJ153" s="34">
        <f>IF(AY153=0,0,CI153/AY153)</f>
        <v/>
      </c>
    </row>
    <row r="154">
      <c r="A154" s="29" t="n">
        <v>46210.29166666666</v>
      </c>
      <c r="B154" s="29" t="inlineStr">
        <is>
          <t>07:00</t>
        </is>
      </c>
      <c r="C154" s="35">
        <f>INT(A154)</f>
        <v/>
      </c>
      <c r="D154" s="36">
        <f>MONTH(A154)</f>
        <v/>
      </c>
      <c r="E154" s="147">
        <f>[1]FİYATLAR!G153</f>
        <v/>
      </c>
      <c r="F154" s="30" t="n">
        <v>1275</v>
      </c>
      <c r="G154" s="30" t="n">
        <v>200</v>
      </c>
      <c r="H154" s="30" t="n">
        <v>27.34</v>
      </c>
      <c r="I154" s="30" t="n">
        <v>802.12</v>
      </c>
      <c r="J154" s="119" t="n">
        <v>0</v>
      </c>
      <c r="K154" s="34">
        <f>F154*J154</f>
        <v/>
      </c>
      <c r="L154" s="119" t="n">
        <v>0</v>
      </c>
      <c r="M154" s="34">
        <f>L154*F154</f>
        <v/>
      </c>
      <c r="N154" s="119" t="n">
        <v>19.4</v>
      </c>
      <c r="O154" s="34">
        <f>F154</f>
        <v/>
      </c>
      <c r="P154" s="34">
        <f>N154*O154</f>
        <v/>
      </c>
      <c r="Q154" s="117" t="n">
        <v>0</v>
      </c>
      <c r="R154" s="34">
        <f>F154</f>
        <v/>
      </c>
      <c r="S154" s="34">
        <f>R154*Q154</f>
        <v/>
      </c>
      <c r="T154" s="34">
        <f>SUMIFS('[1]GİP VERİLERİ'!$C:$C,'[1]GİP VERİLERİ'!$B:$B,A154,'[1]GİP VERİLERİ'!$M:$M,"40X000000104782K",'[1]GİP VERİLERİ'!$G:$G,"SELL")</f>
        <v/>
      </c>
      <c r="U154" s="34">
        <f>IFERROR(W154/T154,0)</f>
        <v/>
      </c>
      <c r="V154" s="34">
        <f>IF(U154=0,0,U154-F154)</f>
        <v/>
      </c>
      <c r="W154" s="34">
        <f>SUMIFS('[1]GİP VERİLERİ'!$O:$O,'[1]GİP VERİLERİ'!$B:$B,A154,'[1]GİP VERİLERİ'!$M:$M,"40X000000104782K",'[1]GİP VERİLERİ'!$G:$G,"SELL")</f>
        <v/>
      </c>
      <c r="X154" s="34">
        <f>SUMIFS('[1]GİP VERİLERİ'!$C:$C,'[1]GİP VERİLERİ'!$B:$B,A154,'[1]GİP VERİLERİ'!$M:$M,"40X000000104782K",'[1]GİP VERİLERİ'!$G:$G,"BUY")</f>
        <v/>
      </c>
      <c r="Y154" s="34">
        <f>IFERROR(AA154/X154,0)</f>
        <v/>
      </c>
      <c r="Z154" s="34">
        <f>IF(Y154=0,0,F154-Y154)</f>
        <v/>
      </c>
      <c r="AA154" s="34">
        <f>SUMIFS('[1]GİP VERİLERİ'!$O:$O,'[1]GİP VERİLERİ'!$B:$B,A154,'[1]GİP VERİLERİ'!$M:$M,"40X000000104782K",'[1]GİP VERİLERİ'!$G:$G,"BUY")</f>
        <v/>
      </c>
      <c r="AB154" s="34" t="n">
        <v>0</v>
      </c>
      <c r="AC154" s="34" t="n">
        <v>0</v>
      </c>
      <c r="AD154" s="34">
        <f>IF(AB154&gt;AC154*1.05,AB154-AC154*1.05,IF(AB154&lt;AC154*0.95,AC154*0.95-AB154,0))</f>
        <v/>
      </c>
      <c r="AE154" s="34">
        <f>MAX(F154,G154,750)*0.05*AD154</f>
        <v/>
      </c>
      <c r="AF154" s="34" t="n">
        <v>0</v>
      </c>
      <c r="AG154" s="34">
        <f>IF(AB154&gt;AF154*1.05,AB154-AF154*1.05,IF(AB154&lt;AF154*0.95,AF154*0.95-AB154,0))</f>
        <v/>
      </c>
      <c r="AH154" s="34">
        <f>MAX(I154,J154,750)*0.05*AG154</f>
        <v/>
      </c>
      <c r="AI154" t="n">
        <v>9.18</v>
      </c>
      <c r="AJ154" t="n">
        <v>8</v>
      </c>
      <c r="AK154" s="34">
        <f>IF(AI154&gt;AJ154*1.05,AI154-AJ154*1.05,IF(AI154&lt;AJ154*0.95,AJ154*0.95-AI154,0))</f>
        <v/>
      </c>
      <c r="AL154" s="34">
        <f>MAX(F154,G154,750)*0.05*AK154</f>
        <v/>
      </c>
      <c r="AM154" s="39" t="n">
        <v>9</v>
      </c>
      <c r="AN154" s="34">
        <f>IF(AI154&gt;AM154*1.05,AI154-AM154*1.05,IF(AI154&lt;AM154*0.95,AM154*0.95-AI154,0))</f>
        <v/>
      </c>
      <c r="AO154" s="34">
        <f>MAX(F154,G154,750)*0.05*AN154</f>
        <v/>
      </c>
      <c r="AP154" s="34" t="n">
        <v>12.55</v>
      </c>
      <c r="AQ154" s="34" t="n">
        <v>11.4</v>
      </c>
      <c r="AR154" s="34">
        <f>IF(AP154&gt;AQ154*1.05,AP154-AQ154*1.05,IF(AP154&lt;AQ154*0.95,AQ154*0.95-AP154,0))</f>
        <v/>
      </c>
      <c r="AS154" s="34">
        <f>MAX(F154:G154,750)*0.05*AR154</f>
        <v/>
      </c>
      <c r="AT154" t="n">
        <v>12.4</v>
      </c>
      <c r="AU154" s="34">
        <f>IF(AP154&gt;AT154*1.05,AP154-AT154*1.05,IF(AP154&lt;AT154*0.95,AT154*0.95-AP154,0))</f>
        <v/>
      </c>
      <c r="AV154" s="34">
        <f>MAX(F154:G154,750)*0.05*AU154</f>
        <v/>
      </c>
      <c r="AW154" s="34">
        <f>AC154+AJ154+AQ154</f>
        <v/>
      </c>
      <c r="AX154" s="34">
        <f>AF154+AM154+AT154</f>
        <v/>
      </c>
      <c r="AY154" s="34">
        <f>AB154+AI154+AP154</f>
        <v/>
      </c>
      <c r="AZ154" s="34" t="n">
        <v>0</v>
      </c>
      <c r="BA154" s="34">
        <f>AD154+AK154+AR154</f>
        <v/>
      </c>
      <c r="BB154" s="34">
        <f>MAX(F154:G154,750)*0.05*BA154</f>
        <v/>
      </c>
      <c r="BC154" s="34">
        <f>AG154+AN154+AU154</f>
        <v/>
      </c>
      <c r="BD154" s="34">
        <f>MAX(F154:G154,750)*0.05*BC154</f>
        <v/>
      </c>
      <c r="BE154" s="34">
        <f>F154*AY154</f>
        <v/>
      </c>
      <c r="BF154" s="34">
        <f>K154-M154</f>
        <v/>
      </c>
      <c r="BG154" s="34">
        <f>P154-S154</f>
        <v/>
      </c>
      <c r="BH154" s="34">
        <f>W154-AA154</f>
        <v/>
      </c>
      <c r="BI154" s="34">
        <f>BF154+BG154+BL154-BN154</f>
        <v/>
      </c>
      <c r="BJ154" s="34">
        <f>ABS(BK154)</f>
        <v/>
      </c>
      <c r="BK154" s="34">
        <f>AY154-(J154-L154+N154-Q154)</f>
        <v/>
      </c>
      <c r="BL154" s="34">
        <f>IF(AND(BK154&gt;0,MIN($F154:$G154)&lt;150,$E154="Enerji Açığı"),-100*BK154*1.03,IF(AND(BK154&gt;0,MIN($F154:$G154)&lt;150,$E154="Enerji Fazlası"),-100*BK154*1.06,IF(AND(BK154&gt;0,MIN($F154:$G154)&gt;=150,$E154="Enerji Açığı"),BK154*MIN($F154:$G154)*0.97,IF(AND(BK154&gt;0,MIN($F154:$G154)&gt;=150,$E154="Enerji Fazlası"),BK154*MIN($F154:$G154)*0.94,IF(AND(BK154&lt;0,MAX($F154:$G154)=4500,$E154="Enerji Açığı"),4500*1.05*1.06*BK154,IF(AND(BK154&lt;0,MAX($F154:$G154)=4500,$E154="Enerji Fazlası"),4500*1.05*1.03*BK154,IF(AND(BK154&lt;0,$E154="Enerji Açığı"),MAX($F154,$G154,150)*BK154*1.06,IF(AND(BK154&lt;0,$E154="Enerji Fazlası"),MAX($F154,$G154,150)*BK154*1.03,IF(AND(BK154&lt;0,$E154="Dengede"),MAX($F154:$G154,150)*1.03*BK154,MIN($F154:$G154)*0.97*BK154)))))))))</f>
        <v/>
      </c>
      <c r="BM154" s="34">
        <f>BE154-BI154-BN154</f>
        <v/>
      </c>
      <c r="BN154" s="34">
        <f>BB154</f>
        <v/>
      </c>
      <c r="BO154" s="34">
        <f>BE154-BI154</f>
        <v/>
      </c>
      <c r="BP154" s="34">
        <f>IF(AY154=0,0,BO154/AY154)</f>
        <v/>
      </c>
      <c r="BQ154" s="34">
        <f>MAX((AY154+MAX((-J154+L154-N154+Q154),0)),(MAX((J154-L154+N154-Q154),0)))</f>
        <v/>
      </c>
      <c r="BR154" s="82">
        <f>IFERROR(ABS(BK154/BQ154),0)</f>
        <v/>
      </c>
      <c r="BS154" s="34">
        <f>IF(BR154&lt;=0.1,0,BK154/BR154*(BR154-0.1))</f>
        <v/>
      </c>
      <c r="BT154" s="34">
        <f>IF((BS154)&lt;0,MAX(F154:G154)*(BS154)*1.03,MIN(F154:G154)*(BS154)*0.97)</f>
        <v/>
      </c>
      <c r="BU154" s="34">
        <f>IF(BR154&gt;0.1,1,0)</f>
        <v/>
      </c>
      <c r="BV154" s="34">
        <f>BF154+BG154+BH154+BY154-CA154</f>
        <v/>
      </c>
      <c r="BW154" s="34">
        <f>ABS(BX154)</f>
        <v/>
      </c>
      <c r="BX154" s="34">
        <f>AY154-(J154-L154+N154-Q154+T154-X154)</f>
        <v/>
      </c>
      <c r="BY154" s="34">
        <f>IF(AND(BX154&gt;0,MIN($F154:$G154)&lt;150,$E154="Enerji Açığı"),-100*BX154*1.03,IF(AND(BX154&gt;0,MIN($F154:$G154)&lt;150,$E154="Enerji Fazlası"),-100*BX154*1.06,IF(AND(BX154&gt;0,MIN($F154:$G154)&gt;=150,$E154="Enerji Açığı"),BX154*MIN($F154:$G154)*0.97,IF(AND(BX154&gt;0,MIN($F154:$G154)&gt;=150,$E154="Enerji Fazlası"),BX154*MIN($F154:$G154)*0.94,IF(AND(BX154&lt;0,MAX($F154:$G154)=4500,$E154="Enerji Açığı"),4500*1.05*1.06*BX154,IF(AND(BX154&lt;0,MAX($F154:$G154)=4500,$E154="Enerji Fazlası"),4500*1.05*1.03*BX154,IF(AND(BX154&lt;0,$E154="Enerji Açığı"),MAX($F154,$G154,150)*BX154*1.06,IF(AND(BX154&lt;0,$E154="Enerji Fazlası"),MAX($F154,$G154,150)*BX154*1.03,IF(AND(BX154&lt;0,$E154="Dengede"),MAX($F154:$G154,150)*1.03*BX154,MIN($F154:$G154)*0.97*BX154)))))))))</f>
        <v/>
      </c>
      <c r="BZ154" s="34">
        <f>BE154-BV154-CA154</f>
        <v/>
      </c>
      <c r="CA154" s="34">
        <f>BD154</f>
        <v/>
      </c>
      <c r="CB154" s="33">
        <f>BE154-BV154</f>
        <v/>
      </c>
      <c r="CC154" s="34">
        <f>IF(AY154=0,0,CB154/AY154)</f>
        <v/>
      </c>
      <c r="CD154" s="34">
        <f>MAX((AY154+MAX((-J154+L154-N154+Q154-T154+X154),0)),(MAX((J154-L154+N154-Q154+T154-X154),0)))</f>
        <v/>
      </c>
      <c r="CE154" s="82">
        <f>IFERROR(ABS(BX154/CD154),0)</f>
        <v/>
      </c>
      <c r="CF154" s="34">
        <f>IF(CE154&lt;=0.1,0,BX154/CE154*(CE154-0.1))</f>
        <v/>
      </c>
      <c r="CG154" s="34">
        <f>IF((CF154)&lt;0,MAX(F154:G154)*(CF154)*1.03,MIN(F154:G154)*(CF154)*0.97)</f>
        <v/>
      </c>
      <c r="CH154" s="34">
        <f>IF(CE154&gt;0.1,1,0)</f>
        <v/>
      </c>
      <c r="CI154" s="34">
        <f>(F154*BX154)-BY154</f>
        <v/>
      </c>
      <c r="CJ154" s="34">
        <f>IF(AY154=0,0,CI154/AY154)</f>
        <v/>
      </c>
    </row>
    <row r="155">
      <c r="A155" s="29" t="n">
        <v>46210.33333333334</v>
      </c>
      <c r="B155" s="29" t="inlineStr">
        <is>
          <t>08:00</t>
        </is>
      </c>
      <c r="C155" s="35">
        <f>INT(A155)</f>
        <v/>
      </c>
      <c r="D155" s="36">
        <f>MONTH(A155)</f>
        <v/>
      </c>
      <c r="E155" s="147">
        <f>[1]FİYATLAR!G154</f>
        <v/>
      </c>
      <c r="F155" s="30" t="n">
        <v>2718.55</v>
      </c>
      <c r="G155" s="30" t="n">
        <v>490</v>
      </c>
      <c r="H155" s="30" t="n">
        <v>58.3</v>
      </c>
      <c r="I155" s="30" t="n">
        <v>1872.89</v>
      </c>
      <c r="J155" s="119" t="n">
        <v>0</v>
      </c>
      <c r="K155" s="34">
        <f>F155*J155</f>
        <v/>
      </c>
      <c r="L155" s="119" t="n">
        <v>0</v>
      </c>
      <c r="M155" s="34">
        <f>L155*F155</f>
        <v/>
      </c>
      <c r="N155" s="119" t="n">
        <v>20.8</v>
      </c>
      <c r="O155" s="34">
        <f>F155</f>
        <v/>
      </c>
      <c r="P155" s="34">
        <f>N155*O155</f>
        <v/>
      </c>
      <c r="Q155" s="117" t="n">
        <v>0</v>
      </c>
      <c r="R155" s="34">
        <f>F155</f>
        <v/>
      </c>
      <c r="S155" s="34">
        <f>R155*Q155</f>
        <v/>
      </c>
      <c r="T155" s="34">
        <f>SUMIFS('[1]GİP VERİLERİ'!$C:$C,'[1]GİP VERİLERİ'!$B:$B,A155,'[1]GİP VERİLERİ'!$M:$M,"40X000000104782K",'[1]GİP VERİLERİ'!$G:$G,"SELL")</f>
        <v/>
      </c>
      <c r="U155" s="34">
        <f>IFERROR(W155/T155,0)</f>
        <v/>
      </c>
      <c r="V155" s="34">
        <f>IF(U155=0,0,U155-F155)</f>
        <v/>
      </c>
      <c r="W155" s="34">
        <f>SUMIFS('[1]GİP VERİLERİ'!$O:$O,'[1]GİP VERİLERİ'!$B:$B,A155,'[1]GİP VERİLERİ'!$M:$M,"40X000000104782K",'[1]GİP VERİLERİ'!$G:$G,"SELL")</f>
        <v/>
      </c>
      <c r="X155" s="34">
        <f>SUMIFS('[1]GİP VERİLERİ'!$C:$C,'[1]GİP VERİLERİ'!$B:$B,A155,'[1]GİP VERİLERİ'!$M:$M,"40X000000104782K",'[1]GİP VERİLERİ'!$G:$G,"BUY")</f>
        <v/>
      </c>
      <c r="Y155" s="34">
        <f>IFERROR(AA155/X155,0)</f>
        <v/>
      </c>
      <c r="Z155" s="34">
        <f>IF(Y155=0,0,F155-Y155)</f>
        <v/>
      </c>
      <c r="AA155" s="34">
        <f>SUMIFS('[1]GİP VERİLERİ'!$O:$O,'[1]GİP VERİLERİ'!$B:$B,A155,'[1]GİP VERİLERİ'!$M:$M,"40X000000104782K",'[1]GİP VERİLERİ'!$G:$G,"BUY")</f>
        <v/>
      </c>
      <c r="AB155" s="34" t="n">
        <v>0</v>
      </c>
      <c r="AC155" s="34" t="n">
        <v>0</v>
      </c>
      <c r="AD155" s="34">
        <f>IF(AB155&gt;AC155*1.05,AB155-AC155*1.05,IF(AB155&lt;AC155*0.95,AC155*0.95-AB155,0))</f>
        <v/>
      </c>
      <c r="AE155" s="34">
        <f>MAX(F155,G155,750)*0.05*AD155</f>
        <v/>
      </c>
      <c r="AF155" s="34" t="n">
        <v>0</v>
      </c>
      <c r="AG155" s="34">
        <f>IF(AB155&gt;AF155*1.05,AB155-AF155*1.05,IF(AB155&lt;AF155*0.95,AF155*0.95-AB155,0))</f>
        <v/>
      </c>
      <c r="AH155" s="34">
        <f>MAX(I155,J155,750)*0.05*AG155</f>
        <v/>
      </c>
      <c r="AI155" t="n">
        <v>9.19</v>
      </c>
      <c r="AJ155" t="n">
        <v>8</v>
      </c>
      <c r="AK155" s="34">
        <f>IF(AI155&gt;AJ155*1.05,AI155-AJ155*1.05,IF(AI155&lt;AJ155*0.95,AJ155*0.95-AI155,0))</f>
        <v/>
      </c>
      <c r="AL155" s="34">
        <f>MAX(F155,G155,750)*0.05*AK155</f>
        <v/>
      </c>
      <c r="AM155" s="39" t="n">
        <v>9</v>
      </c>
      <c r="AN155" s="34">
        <f>IF(AI155&gt;AM155*1.05,AI155-AM155*1.05,IF(AI155&lt;AM155*0.95,AM155*0.95-AI155,0))</f>
        <v/>
      </c>
      <c r="AO155" s="34">
        <f>MAX(F155,G155,750)*0.05*AN155</f>
        <v/>
      </c>
      <c r="AP155" s="34" t="n">
        <v>13.84</v>
      </c>
      <c r="AQ155" s="34" t="n">
        <v>12.8</v>
      </c>
      <c r="AR155" s="34">
        <f>IF(AP155&gt;AQ155*1.05,AP155-AQ155*1.05,IF(AP155&lt;AQ155*0.95,AQ155*0.95-AP155,0))</f>
        <v/>
      </c>
      <c r="AS155" s="34">
        <f>MAX(F155:G155,750)*0.05*AR155</f>
        <v/>
      </c>
      <c r="AT155" t="n">
        <v>12.8</v>
      </c>
      <c r="AU155" s="34">
        <f>IF(AP155&gt;AT155*1.05,AP155-AT155*1.05,IF(AP155&lt;AT155*0.95,AT155*0.95-AP155,0))</f>
        <v/>
      </c>
      <c r="AV155" s="34">
        <f>MAX(F155:G155,750)*0.05*AU155</f>
        <v/>
      </c>
      <c r="AW155" s="34">
        <f>AC155+AJ155+AQ155</f>
        <v/>
      </c>
      <c r="AX155" s="34">
        <f>AF155+AM155+AT155</f>
        <v/>
      </c>
      <c r="AY155" s="34">
        <f>AB155+AI155+AP155</f>
        <v/>
      </c>
      <c r="AZ155" s="34" t="n">
        <v>0</v>
      </c>
      <c r="BA155" s="34">
        <f>AD155+AK155+AR155</f>
        <v/>
      </c>
      <c r="BB155" s="34">
        <f>MAX(F155:G155,750)*0.05*BA155</f>
        <v/>
      </c>
      <c r="BC155" s="34">
        <f>AG155+AN155+AU155</f>
        <v/>
      </c>
      <c r="BD155" s="34">
        <f>MAX(F155:G155,750)*0.05*BC155</f>
        <v/>
      </c>
      <c r="BE155" s="34">
        <f>F155*AY155</f>
        <v/>
      </c>
      <c r="BF155" s="34">
        <f>K155-M155</f>
        <v/>
      </c>
      <c r="BG155" s="34">
        <f>P155-S155</f>
        <v/>
      </c>
      <c r="BH155" s="34">
        <f>W155-AA155</f>
        <v/>
      </c>
      <c r="BI155" s="34">
        <f>BF155+BG155+BL155-BN155</f>
        <v/>
      </c>
      <c r="BJ155" s="34">
        <f>ABS(BK155)</f>
        <v/>
      </c>
      <c r="BK155" s="34">
        <f>AY155-(J155-L155+N155-Q155)</f>
        <v/>
      </c>
      <c r="BL155" s="34">
        <f>IF(AND(BK155&gt;0,MIN($F155:$G155)&lt;150,$E155="Enerji Açığı"),-100*BK155*1.03,IF(AND(BK155&gt;0,MIN($F155:$G155)&lt;150,$E155="Enerji Fazlası"),-100*BK155*1.06,IF(AND(BK155&gt;0,MIN($F155:$G155)&gt;=150,$E155="Enerji Açığı"),BK155*MIN($F155:$G155)*0.97,IF(AND(BK155&gt;0,MIN($F155:$G155)&gt;=150,$E155="Enerji Fazlası"),BK155*MIN($F155:$G155)*0.94,IF(AND(BK155&lt;0,MAX($F155:$G155)=4500,$E155="Enerji Açığı"),4500*1.05*1.06*BK155,IF(AND(BK155&lt;0,MAX($F155:$G155)=4500,$E155="Enerji Fazlası"),4500*1.05*1.03*BK155,IF(AND(BK155&lt;0,$E155="Enerji Açığı"),MAX($F155,$G155,150)*BK155*1.06,IF(AND(BK155&lt;0,$E155="Enerji Fazlası"),MAX($F155,$G155,150)*BK155*1.03,IF(AND(BK155&lt;0,$E155="Dengede"),MAX($F155:$G155,150)*1.03*BK155,MIN($F155:$G155)*0.97*BK155)))))))))</f>
        <v/>
      </c>
      <c r="BM155" s="34">
        <f>BE155-BI155-BN155</f>
        <v/>
      </c>
      <c r="BN155" s="34">
        <f>BB155</f>
        <v/>
      </c>
      <c r="BO155" s="34">
        <f>BE155-BI155</f>
        <v/>
      </c>
      <c r="BP155" s="34">
        <f>IF(AY155=0,0,BO155/AY155)</f>
        <v/>
      </c>
      <c r="BQ155" s="34">
        <f>MAX((AY155+MAX((-J155+L155-N155+Q155),0)),(MAX((J155-L155+N155-Q155),0)))</f>
        <v/>
      </c>
      <c r="BR155" s="82">
        <f>IFERROR(ABS(BK155/BQ155),0)</f>
        <v/>
      </c>
      <c r="BS155" s="34">
        <f>IF(BR155&lt;=0.1,0,BK155/BR155*(BR155-0.1))</f>
        <v/>
      </c>
      <c r="BT155" s="34">
        <f>IF((BS155)&lt;0,MAX(F155:G155)*(BS155)*1.03,MIN(F155:G155)*(BS155)*0.97)</f>
        <v/>
      </c>
      <c r="BU155" s="34">
        <f>IF(BR155&gt;0.1,1,0)</f>
        <v/>
      </c>
      <c r="BV155" s="34">
        <f>BF155+BG155+BH155+BY155-CA155</f>
        <v/>
      </c>
      <c r="BW155" s="34">
        <f>ABS(BX155)</f>
        <v/>
      </c>
      <c r="BX155" s="34">
        <f>AY155-(J155-L155+N155-Q155+T155-X155)</f>
        <v/>
      </c>
      <c r="BY155" s="34">
        <f>IF(AND(BX155&gt;0,MIN($F155:$G155)&lt;150,$E155="Enerji Açığı"),-100*BX155*1.03,IF(AND(BX155&gt;0,MIN($F155:$G155)&lt;150,$E155="Enerji Fazlası"),-100*BX155*1.06,IF(AND(BX155&gt;0,MIN($F155:$G155)&gt;=150,$E155="Enerji Açığı"),BX155*MIN($F155:$G155)*0.97,IF(AND(BX155&gt;0,MIN($F155:$G155)&gt;=150,$E155="Enerji Fazlası"),BX155*MIN($F155:$G155)*0.94,IF(AND(BX155&lt;0,MAX($F155:$G155)=4500,$E155="Enerji Açığı"),4500*1.05*1.06*BX155,IF(AND(BX155&lt;0,MAX($F155:$G155)=4500,$E155="Enerji Fazlası"),4500*1.05*1.03*BX155,IF(AND(BX155&lt;0,$E155="Enerji Açığı"),MAX($F155,$G155,150)*BX155*1.06,IF(AND(BX155&lt;0,$E155="Enerji Fazlası"),MAX($F155,$G155,150)*BX155*1.03,IF(AND(BX155&lt;0,$E155="Dengede"),MAX($F155:$G155,150)*1.03*BX155,MIN($F155:$G155)*0.97*BX155)))))))))</f>
        <v/>
      </c>
      <c r="BZ155" s="34">
        <f>BE155-BV155-CA155</f>
        <v/>
      </c>
      <c r="CA155" s="34">
        <f>BD155</f>
        <v/>
      </c>
      <c r="CB155" s="33">
        <f>BE155-BV155</f>
        <v/>
      </c>
      <c r="CC155" s="34">
        <f>IF(AY155=0,0,CB155/AY155)</f>
        <v/>
      </c>
      <c r="CD155" s="34">
        <f>MAX((AY155+MAX((-J155+L155-N155+Q155-T155+X155),0)),(MAX((J155-L155+N155-Q155+T155-X155),0)))</f>
        <v/>
      </c>
      <c r="CE155" s="82">
        <f>IFERROR(ABS(BX155/CD155),0)</f>
        <v/>
      </c>
      <c r="CF155" s="34">
        <f>IF(CE155&lt;=0.1,0,BX155/CE155*(CE155-0.1))</f>
        <v/>
      </c>
      <c r="CG155" s="34">
        <f>IF((CF155)&lt;0,MAX(F155:G155)*(CF155)*1.03,MIN(F155:G155)*(CF155)*0.97)</f>
        <v/>
      </c>
      <c r="CH155" s="34">
        <f>IF(CE155&gt;0.1,1,0)</f>
        <v/>
      </c>
      <c r="CI155" s="34">
        <f>(F155*BX155)-BY155</f>
        <v/>
      </c>
      <c r="CJ155" s="34">
        <f>IF(AY155=0,0,CI155/AY155)</f>
        <v/>
      </c>
    </row>
    <row r="156">
      <c r="A156" s="29" t="n">
        <v>46210.375</v>
      </c>
      <c r="B156" s="29" t="inlineStr">
        <is>
          <t>09:00</t>
        </is>
      </c>
      <c r="C156" s="35">
        <f>INT(A156)</f>
        <v/>
      </c>
      <c r="D156" s="36">
        <f>MONTH(A156)</f>
        <v/>
      </c>
      <c r="E156" s="147">
        <f>[1]FİYATLAR!G155</f>
        <v/>
      </c>
      <c r="F156" s="30" t="n">
        <v>2200.01</v>
      </c>
      <c r="G156" s="30" t="n">
        <v>390</v>
      </c>
      <c r="H156" s="30" t="n">
        <v>47.18</v>
      </c>
      <c r="I156" s="30" t="n">
        <v>1659.94</v>
      </c>
      <c r="J156" s="119" t="n">
        <v>0</v>
      </c>
      <c r="K156" s="34">
        <f>F156*J156</f>
        <v/>
      </c>
      <c r="L156" s="119" t="n">
        <v>0</v>
      </c>
      <c r="M156" s="34">
        <f>L156*F156</f>
        <v/>
      </c>
      <c r="N156" s="119" t="n">
        <v>21</v>
      </c>
      <c r="O156" s="34">
        <f>F156</f>
        <v/>
      </c>
      <c r="P156" s="34">
        <f>N156*O156</f>
        <v/>
      </c>
      <c r="Q156" s="117" t="n">
        <v>0</v>
      </c>
      <c r="R156" s="34">
        <f>F156</f>
        <v/>
      </c>
      <c r="S156" s="34">
        <f>R156*Q156</f>
        <v/>
      </c>
      <c r="T156" s="34">
        <f>SUMIFS('[1]GİP VERİLERİ'!$C:$C,'[1]GİP VERİLERİ'!$B:$B,A156,'[1]GİP VERİLERİ'!$M:$M,"40X000000104782K",'[1]GİP VERİLERİ'!$G:$G,"SELL")</f>
        <v/>
      </c>
      <c r="U156" s="34">
        <f>IFERROR(W156/T156,0)</f>
        <v/>
      </c>
      <c r="V156" s="34">
        <f>IF(U156=0,0,U156-F156)</f>
        <v/>
      </c>
      <c r="W156" s="34">
        <f>SUMIFS('[1]GİP VERİLERİ'!$O:$O,'[1]GİP VERİLERİ'!$B:$B,A156,'[1]GİP VERİLERİ'!$M:$M,"40X000000104782K",'[1]GİP VERİLERİ'!$G:$G,"SELL")</f>
        <v/>
      </c>
      <c r="X156" s="34">
        <f>SUMIFS('[1]GİP VERİLERİ'!$C:$C,'[1]GİP VERİLERİ'!$B:$B,A156,'[1]GİP VERİLERİ'!$M:$M,"40X000000104782K",'[1]GİP VERİLERİ'!$G:$G,"BUY")</f>
        <v/>
      </c>
      <c r="Y156" s="34">
        <f>IFERROR(AA156/X156,0)</f>
        <v/>
      </c>
      <c r="Z156" s="34">
        <f>IF(Y156=0,0,F156-Y156)</f>
        <v/>
      </c>
      <c r="AA156" s="34">
        <f>SUMIFS('[1]GİP VERİLERİ'!$O:$O,'[1]GİP VERİLERİ'!$B:$B,A156,'[1]GİP VERİLERİ'!$M:$M,"40X000000104782K",'[1]GİP VERİLERİ'!$G:$G,"BUY")</f>
        <v/>
      </c>
      <c r="AB156" s="34" t="n">
        <v>0</v>
      </c>
      <c r="AC156" s="34" t="n">
        <v>0</v>
      </c>
      <c r="AD156" s="34">
        <f>IF(AB156&gt;AC156*1.05,AB156-AC156*1.05,IF(AB156&lt;AC156*0.95,AC156*0.95-AB156,0))</f>
        <v/>
      </c>
      <c r="AE156" s="34">
        <f>MAX(F156,G156,750)*0.05*AD156</f>
        <v/>
      </c>
      <c r="AF156" s="34" t="n">
        <v>0</v>
      </c>
      <c r="AG156" s="34">
        <f>IF(AB156&gt;AF156*1.05,AB156-AF156*1.05,IF(AB156&lt;AF156*0.95,AF156*0.95-AB156,0))</f>
        <v/>
      </c>
      <c r="AH156" s="34">
        <f>MAX(I156,J156,750)*0.05*AG156</f>
        <v/>
      </c>
      <c r="AI156" t="n">
        <v>8.289999999999999</v>
      </c>
      <c r="AJ156" t="n">
        <v>8</v>
      </c>
      <c r="AK156" s="34">
        <f>IF(AI156&gt;AJ156*1.05,AI156-AJ156*1.05,IF(AI156&lt;AJ156*0.95,AJ156*0.95-AI156,0))</f>
        <v/>
      </c>
      <c r="AL156" s="34">
        <f>MAX(F156,G156,750)*0.05*AK156</f>
        <v/>
      </c>
      <c r="AM156" s="39" t="n">
        <v>9</v>
      </c>
      <c r="AN156" s="34">
        <f>IF(AI156&gt;AM156*1.05,AI156-AM156*1.05,IF(AI156&lt;AM156*0.95,AM156*0.95-AI156,0))</f>
        <v/>
      </c>
      <c r="AO156" s="34">
        <f>MAX(F156,G156,750)*0.05*AN156</f>
        <v/>
      </c>
      <c r="AP156" s="34" t="n">
        <v>14.72</v>
      </c>
      <c r="AQ156" s="34" t="n">
        <v>13</v>
      </c>
      <c r="AR156" s="34">
        <f>IF(AP156&gt;AQ156*1.05,AP156-AQ156*1.05,IF(AP156&lt;AQ156*0.95,AQ156*0.95-AP156,0))</f>
        <v/>
      </c>
      <c r="AS156" s="34">
        <f>MAX(F156:G156,750)*0.05*AR156</f>
        <v/>
      </c>
      <c r="AT156" t="n">
        <v>14</v>
      </c>
      <c r="AU156" s="34">
        <f>IF(AP156&gt;AT156*1.05,AP156-AT156*1.05,IF(AP156&lt;AT156*0.95,AT156*0.95-AP156,0))</f>
        <v/>
      </c>
      <c r="AV156" s="34">
        <f>MAX(F156:G156,750)*0.05*AU156</f>
        <v/>
      </c>
      <c r="AW156" s="34">
        <f>AC156+AJ156+AQ156</f>
        <v/>
      </c>
      <c r="AX156" s="34">
        <f>AF156+AM156+AT156</f>
        <v/>
      </c>
      <c r="AY156" s="34">
        <f>AB156+AI156+AP156</f>
        <v/>
      </c>
      <c r="AZ156" s="34" t="n">
        <v>0</v>
      </c>
      <c r="BA156" s="34">
        <f>AD156+AK156+AR156</f>
        <v/>
      </c>
      <c r="BB156" s="34">
        <f>MAX(F156:G156,750)*0.05*BA156</f>
        <v/>
      </c>
      <c r="BC156" s="34">
        <f>AG156+AN156+AU156</f>
        <v/>
      </c>
      <c r="BD156" s="34">
        <f>MAX(F156:G156,750)*0.05*BC156</f>
        <v/>
      </c>
      <c r="BE156" s="34">
        <f>F156*AY156</f>
        <v/>
      </c>
      <c r="BF156" s="34">
        <f>K156-M156</f>
        <v/>
      </c>
      <c r="BG156" s="34">
        <f>P156-S156</f>
        <v/>
      </c>
      <c r="BH156" s="34">
        <f>W156-AA156</f>
        <v/>
      </c>
      <c r="BI156" s="34">
        <f>BF156+BG156+BL156-BN156</f>
        <v/>
      </c>
      <c r="BJ156" s="34">
        <f>ABS(BK156)</f>
        <v/>
      </c>
      <c r="BK156" s="34">
        <f>AY156-(J156-L156+N156-Q156)</f>
        <v/>
      </c>
      <c r="BL156" s="34">
        <f>IF(AND(BK156&gt;0,MIN($F156:$G156)&lt;150,$E156="Enerji Açığı"),-100*BK156*1.03,IF(AND(BK156&gt;0,MIN($F156:$G156)&lt;150,$E156="Enerji Fazlası"),-100*BK156*1.06,IF(AND(BK156&gt;0,MIN($F156:$G156)&gt;=150,$E156="Enerji Açığı"),BK156*MIN($F156:$G156)*0.97,IF(AND(BK156&gt;0,MIN($F156:$G156)&gt;=150,$E156="Enerji Fazlası"),BK156*MIN($F156:$G156)*0.94,IF(AND(BK156&lt;0,MAX($F156:$G156)=4500,$E156="Enerji Açığı"),4500*1.05*1.06*BK156,IF(AND(BK156&lt;0,MAX($F156:$G156)=4500,$E156="Enerji Fazlası"),4500*1.05*1.03*BK156,IF(AND(BK156&lt;0,$E156="Enerji Açığı"),MAX($F156,$G156,150)*BK156*1.06,IF(AND(BK156&lt;0,$E156="Enerji Fazlası"),MAX($F156,$G156,150)*BK156*1.03,IF(AND(BK156&lt;0,$E156="Dengede"),MAX($F156:$G156,150)*1.03*BK156,MIN($F156:$G156)*0.97*BK156)))))))))</f>
        <v/>
      </c>
      <c r="BM156" s="34">
        <f>BE156-BI156-BN156</f>
        <v/>
      </c>
      <c r="BN156" s="34">
        <f>BB156</f>
        <v/>
      </c>
      <c r="BO156" s="34">
        <f>BE156-BI156</f>
        <v/>
      </c>
      <c r="BP156" s="34">
        <f>IF(AY156=0,0,BO156/AY156)</f>
        <v/>
      </c>
      <c r="BQ156" s="34">
        <f>MAX((AY156+MAX((-J156+L156-N156+Q156),0)),(MAX((J156-L156+N156-Q156),0)))</f>
        <v/>
      </c>
      <c r="BR156" s="82">
        <f>IFERROR(ABS(BK156/BQ156),0)</f>
        <v/>
      </c>
      <c r="BS156" s="34">
        <f>IF(BR156&lt;=0.1,0,BK156/BR156*(BR156-0.1))</f>
        <v/>
      </c>
      <c r="BT156" s="34">
        <f>IF((BS156)&lt;0,MAX(F156:G156)*(BS156)*1.03,MIN(F156:G156)*(BS156)*0.97)</f>
        <v/>
      </c>
      <c r="BU156" s="34">
        <f>IF(BR156&gt;0.1,1,0)</f>
        <v/>
      </c>
      <c r="BV156" s="34">
        <f>BF156+BG156+BH156+BY156-CA156</f>
        <v/>
      </c>
      <c r="BW156" s="34">
        <f>ABS(BX156)</f>
        <v/>
      </c>
      <c r="BX156" s="34">
        <f>AY156-(J156-L156+N156-Q156+T156-X156)</f>
        <v/>
      </c>
      <c r="BY156" s="34">
        <f>IF(AND(BX156&gt;0,MIN($F156:$G156)&lt;150,$E156="Enerji Açığı"),-100*BX156*1.03,IF(AND(BX156&gt;0,MIN($F156:$G156)&lt;150,$E156="Enerji Fazlası"),-100*BX156*1.06,IF(AND(BX156&gt;0,MIN($F156:$G156)&gt;=150,$E156="Enerji Açığı"),BX156*MIN($F156:$G156)*0.97,IF(AND(BX156&gt;0,MIN($F156:$G156)&gt;=150,$E156="Enerji Fazlası"),BX156*MIN($F156:$G156)*0.94,IF(AND(BX156&lt;0,MAX($F156:$G156)=4500,$E156="Enerji Açığı"),4500*1.05*1.06*BX156,IF(AND(BX156&lt;0,MAX($F156:$G156)=4500,$E156="Enerji Fazlası"),4500*1.05*1.03*BX156,IF(AND(BX156&lt;0,$E156="Enerji Açığı"),MAX($F156,$G156,150)*BX156*1.06,IF(AND(BX156&lt;0,$E156="Enerji Fazlası"),MAX($F156,$G156,150)*BX156*1.03,IF(AND(BX156&lt;0,$E156="Dengede"),MAX($F156:$G156,150)*1.03*BX156,MIN($F156:$G156)*0.97*BX156)))))))))</f>
        <v/>
      </c>
      <c r="BZ156" s="34">
        <f>BE156-BV156-CA156</f>
        <v/>
      </c>
      <c r="CA156" s="34">
        <f>BD156</f>
        <v/>
      </c>
      <c r="CB156" s="33">
        <f>BE156-BV156</f>
        <v/>
      </c>
      <c r="CC156" s="34">
        <f>IF(AY156=0,0,CB156/AY156)</f>
        <v/>
      </c>
      <c r="CD156" s="34">
        <f>MAX((AY156+MAX((-J156+L156-N156+Q156-T156+X156),0)),(MAX((J156-L156+N156-Q156+T156-X156),0)))</f>
        <v/>
      </c>
      <c r="CE156" s="82">
        <f>IFERROR(ABS(BX156/CD156),0)</f>
        <v/>
      </c>
      <c r="CF156" s="34">
        <f>IF(CE156&lt;=0.1,0,BX156/CE156*(CE156-0.1))</f>
        <v/>
      </c>
      <c r="CG156" s="34">
        <f>IF((CF156)&lt;0,MAX(F156:G156)*(CF156)*1.03,MIN(F156:G156)*(CF156)*0.97)</f>
        <v/>
      </c>
      <c r="CH156" s="34">
        <f>IF(CE156&gt;0.1,1,0)</f>
        <v/>
      </c>
      <c r="CI156" s="34">
        <f>(F156*BX156)-BY156</f>
        <v/>
      </c>
      <c r="CJ156" s="34">
        <f>IF(AY156=0,0,CI156/AY156)</f>
        <v/>
      </c>
    </row>
    <row r="157">
      <c r="A157" s="29" t="n">
        <v>46210.41666666666</v>
      </c>
      <c r="B157" s="29" t="inlineStr">
        <is>
          <t>10:00</t>
        </is>
      </c>
      <c r="C157" s="35">
        <f>INT(A157)</f>
        <v/>
      </c>
      <c r="D157" s="36">
        <f>MONTH(A157)</f>
        <v/>
      </c>
      <c r="E157" s="147">
        <f>[1]FİYATLAR!G156</f>
        <v/>
      </c>
      <c r="F157" s="30" t="n">
        <v>1500</v>
      </c>
      <c r="G157" s="30" t="n">
        <v>750</v>
      </c>
      <c r="H157" s="30" t="n">
        <v>32.17</v>
      </c>
      <c r="I157" s="30" t="n">
        <v>1555.05</v>
      </c>
      <c r="J157" s="119" t="n">
        <v>0</v>
      </c>
      <c r="K157" s="34">
        <f>F157*J157</f>
        <v/>
      </c>
      <c r="L157" s="119" t="n">
        <v>0</v>
      </c>
      <c r="M157" s="34">
        <f>L157*F157</f>
        <v/>
      </c>
      <c r="N157" s="119" t="n">
        <v>22.3</v>
      </c>
      <c r="O157" s="34">
        <f>F157</f>
        <v/>
      </c>
      <c r="P157" s="34">
        <f>N157*O157</f>
        <v/>
      </c>
      <c r="Q157" s="117" t="n">
        <v>0</v>
      </c>
      <c r="R157" s="34">
        <f>F157</f>
        <v/>
      </c>
      <c r="S157" s="34">
        <f>R157*Q157</f>
        <v/>
      </c>
      <c r="T157" s="34">
        <f>SUMIFS('[1]GİP VERİLERİ'!$C:$C,'[1]GİP VERİLERİ'!$B:$B,A157,'[1]GİP VERİLERİ'!$M:$M,"40X000000104782K",'[1]GİP VERİLERİ'!$G:$G,"SELL")</f>
        <v/>
      </c>
      <c r="U157" s="34">
        <f>IFERROR(W157/T157,0)</f>
        <v/>
      </c>
      <c r="V157" s="34">
        <f>IF(U157=0,0,U157-F157)</f>
        <v/>
      </c>
      <c r="W157" s="34">
        <f>SUMIFS('[1]GİP VERİLERİ'!$O:$O,'[1]GİP VERİLERİ'!$B:$B,A157,'[1]GİP VERİLERİ'!$M:$M,"40X000000104782K",'[1]GİP VERİLERİ'!$G:$G,"SELL")</f>
        <v/>
      </c>
      <c r="X157" s="34">
        <f>SUMIFS('[1]GİP VERİLERİ'!$C:$C,'[1]GİP VERİLERİ'!$B:$B,A157,'[1]GİP VERİLERİ'!$M:$M,"40X000000104782K",'[1]GİP VERİLERİ'!$G:$G,"BUY")</f>
        <v/>
      </c>
      <c r="Y157" s="34">
        <f>IFERROR(AA157/X157,0)</f>
        <v/>
      </c>
      <c r="Z157" s="34">
        <f>IF(Y157=0,0,F157-Y157)</f>
        <v/>
      </c>
      <c r="AA157" s="34">
        <f>SUMIFS('[1]GİP VERİLERİ'!$O:$O,'[1]GİP VERİLERİ'!$B:$B,A157,'[1]GİP VERİLERİ'!$M:$M,"40X000000104782K",'[1]GİP VERİLERİ'!$G:$G,"BUY")</f>
        <v/>
      </c>
      <c r="AB157" s="34" t="n">
        <v>0</v>
      </c>
      <c r="AC157" s="34" t="n">
        <v>0</v>
      </c>
      <c r="AD157" s="34">
        <f>IF(AB157&gt;AC157*1.05,AB157-AC157*1.05,IF(AB157&lt;AC157*0.95,AC157*0.95-AB157,0))</f>
        <v/>
      </c>
      <c r="AE157" s="34">
        <f>MAX(F157,G157,750)*0.05*AD157</f>
        <v/>
      </c>
      <c r="AF157" s="34" t="n">
        <v>0</v>
      </c>
      <c r="AG157" s="34">
        <f>IF(AB157&gt;AF157*1.05,AB157-AF157*1.05,IF(AB157&lt;AF157*0.95,AF157*0.95-AB157,0))</f>
        <v/>
      </c>
      <c r="AH157" s="34">
        <f>MAX(I157,J157,750)*0.05*AG157</f>
        <v/>
      </c>
      <c r="AI157" t="n">
        <v>10.25</v>
      </c>
      <c r="AJ157" t="n">
        <v>9</v>
      </c>
      <c r="AK157" s="34">
        <f>IF(AI157&gt;AJ157*1.05,AI157-AJ157*1.05,IF(AI157&lt;AJ157*0.95,AJ157*0.95-AI157,0))</f>
        <v/>
      </c>
      <c r="AL157" s="34">
        <f>MAX(F157,G157,750)*0.05*AK157</f>
        <v/>
      </c>
      <c r="AM157" s="39" t="n">
        <v>10</v>
      </c>
      <c r="AN157" s="34">
        <f>IF(AI157&gt;AM157*1.05,AI157-AM157*1.05,IF(AI157&lt;AM157*0.95,AM157*0.95-AI157,0))</f>
        <v/>
      </c>
      <c r="AO157" s="34">
        <f>MAX(F157,G157,750)*0.05*AN157</f>
        <v/>
      </c>
      <c r="AP157" s="34" t="n">
        <v>15.31</v>
      </c>
      <c r="AQ157" s="34" t="n">
        <v>13.3</v>
      </c>
      <c r="AR157" s="34">
        <f>IF(AP157&gt;AQ157*1.05,AP157-AQ157*1.05,IF(AP157&lt;AQ157*0.95,AQ157*0.95-AP157,0))</f>
        <v/>
      </c>
      <c r="AS157" s="34">
        <f>MAX(F157:G157,750)*0.05*AR157</f>
        <v/>
      </c>
      <c r="AT157" t="n">
        <v>15.3</v>
      </c>
      <c r="AU157" s="34">
        <f>IF(AP157&gt;AT157*1.05,AP157-AT157*1.05,IF(AP157&lt;AT157*0.95,AT157*0.95-AP157,0))</f>
        <v/>
      </c>
      <c r="AV157" s="34">
        <f>MAX(F157:G157,750)*0.05*AU157</f>
        <v/>
      </c>
      <c r="AW157" s="34">
        <f>AC157+AJ157+AQ157</f>
        <v/>
      </c>
      <c r="AX157" s="34">
        <f>AF157+AM157+AT157</f>
        <v/>
      </c>
      <c r="AY157" s="34">
        <f>AB157+AI157+AP157</f>
        <v/>
      </c>
      <c r="AZ157" s="34" t="n">
        <v>0</v>
      </c>
      <c r="BA157" s="34">
        <f>AD157+AK157+AR157</f>
        <v/>
      </c>
      <c r="BB157" s="34">
        <f>MAX(F157:G157,750)*0.05*BA157</f>
        <v/>
      </c>
      <c r="BC157" s="34">
        <f>AG157+AN157+AU157</f>
        <v/>
      </c>
      <c r="BD157" s="34">
        <f>MAX(F157:G157,750)*0.05*BC157</f>
        <v/>
      </c>
      <c r="BE157" s="34">
        <f>F157*AY157</f>
        <v/>
      </c>
      <c r="BF157" s="34">
        <f>K157-M157</f>
        <v/>
      </c>
      <c r="BG157" s="34">
        <f>P157-S157</f>
        <v/>
      </c>
      <c r="BH157" s="34">
        <f>W157-AA157</f>
        <v/>
      </c>
      <c r="BI157" s="34">
        <f>BF157+BG157+BL157-BN157</f>
        <v/>
      </c>
      <c r="BJ157" s="34">
        <f>ABS(BK157)</f>
        <v/>
      </c>
      <c r="BK157" s="34">
        <f>AY157-(J157-L157+N157-Q157)</f>
        <v/>
      </c>
      <c r="BL157" s="34">
        <f>IF(AND(BK157&gt;0,MIN($F157:$G157)&lt;150,$E157="Enerji Açığı"),-100*BK157*1.03,IF(AND(BK157&gt;0,MIN($F157:$G157)&lt;150,$E157="Enerji Fazlası"),-100*BK157*1.06,IF(AND(BK157&gt;0,MIN($F157:$G157)&gt;=150,$E157="Enerji Açığı"),BK157*MIN($F157:$G157)*0.97,IF(AND(BK157&gt;0,MIN($F157:$G157)&gt;=150,$E157="Enerji Fazlası"),BK157*MIN($F157:$G157)*0.94,IF(AND(BK157&lt;0,MAX($F157:$G157)=4500,$E157="Enerji Açığı"),4500*1.05*1.06*BK157,IF(AND(BK157&lt;0,MAX($F157:$G157)=4500,$E157="Enerji Fazlası"),4500*1.05*1.03*BK157,IF(AND(BK157&lt;0,$E157="Enerji Açığı"),MAX($F157,$G157,150)*BK157*1.06,IF(AND(BK157&lt;0,$E157="Enerji Fazlası"),MAX($F157,$G157,150)*BK157*1.03,IF(AND(BK157&lt;0,$E157="Dengede"),MAX($F157:$G157,150)*1.03*BK157,MIN($F157:$G157)*0.97*BK157)))))))))</f>
        <v/>
      </c>
      <c r="BM157" s="34">
        <f>BE157-BI157-BN157</f>
        <v/>
      </c>
      <c r="BN157" s="34">
        <f>BB157</f>
        <v/>
      </c>
      <c r="BO157" s="34">
        <f>BE157-BI157</f>
        <v/>
      </c>
      <c r="BP157" s="34">
        <f>IF(AY157=0,0,BO157/AY157)</f>
        <v/>
      </c>
      <c r="BQ157" s="34">
        <f>MAX((AY157+MAX((-J157+L157-N157+Q157),0)),(MAX((J157-L157+N157-Q157),0)))</f>
        <v/>
      </c>
      <c r="BR157" s="82">
        <f>IFERROR(ABS(BK157/BQ157),0)</f>
        <v/>
      </c>
      <c r="BS157" s="34">
        <f>IF(BR157&lt;=0.1,0,BK157/BR157*(BR157-0.1))</f>
        <v/>
      </c>
      <c r="BT157" s="34">
        <f>IF((BS157)&lt;0,MAX(F157:G157)*(BS157)*1.03,MIN(F157:G157)*(BS157)*0.97)</f>
        <v/>
      </c>
      <c r="BU157" s="34">
        <f>IF(BR157&gt;0.1,1,0)</f>
        <v/>
      </c>
      <c r="BV157" s="34">
        <f>BF157+BG157+BH157+BY157-CA157</f>
        <v/>
      </c>
      <c r="BW157" s="34">
        <f>ABS(BX157)</f>
        <v/>
      </c>
      <c r="BX157" s="34">
        <f>AY157-(J157-L157+N157-Q157+T157-X157)</f>
        <v/>
      </c>
      <c r="BY157" s="34">
        <f>IF(AND(BX157&gt;0,MIN($F157:$G157)&lt;150,$E157="Enerji Açığı"),-100*BX157*1.03,IF(AND(BX157&gt;0,MIN($F157:$G157)&lt;150,$E157="Enerji Fazlası"),-100*BX157*1.06,IF(AND(BX157&gt;0,MIN($F157:$G157)&gt;=150,$E157="Enerji Açığı"),BX157*MIN($F157:$G157)*0.97,IF(AND(BX157&gt;0,MIN($F157:$G157)&gt;=150,$E157="Enerji Fazlası"),BX157*MIN($F157:$G157)*0.94,IF(AND(BX157&lt;0,MAX($F157:$G157)=4500,$E157="Enerji Açığı"),4500*1.05*1.06*BX157,IF(AND(BX157&lt;0,MAX($F157:$G157)=4500,$E157="Enerji Fazlası"),4500*1.05*1.03*BX157,IF(AND(BX157&lt;0,$E157="Enerji Açığı"),MAX($F157,$G157,150)*BX157*1.06,IF(AND(BX157&lt;0,$E157="Enerji Fazlası"),MAX($F157,$G157,150)*BX157*1.03,IF(AND(BX157&lt;0,$E157="Dengede"),MAX($F157:$G157,150)*1.03*BX157,MIN($F157:$G157)*0.97*BX157)))))))))</f>
        <v/>
      </c>
      <c r="BZ157" s="34">
        <f>BE157-BV157-CA157</f>
        <v/>
      </c>
      <c r="CA157" s="34">
        <f>BD157</f>
        <v/>
      </c>
      <c r="CB157" s="33">
        <f>BE157-BV157</f>
        <v/>
      </c>
      <c r="CC157" s="34">
        <f>IF(AY157=0,0,CB157/AY157)</f>
        <v/>
      </c>
      <c r="CD157" s="34">
        <f>MAX((AY157+MAX((-J157+L157-N157+Q157-T157+X157),0)),(MAX((J157-L157+N157-Q157+T157-X157),0)))</f>
        <v/>
      </c>
      <c r="CE157" s="82">
        <f>IFERROR(ABS(BX157/CD157),0)</f>
        <v/>
      </c>
      <c r="CF157" s="34">
        <f>IF(CE157&lt;=0.1,0,BX157/CE157*(CE157-0.1))</f>
        <v/>
      </c>
      <c r="CG157" s="34">
        <f>IF((CF157)&lt;0,MAX(F157:G157)*(CF157)*1.03,MIN(F157:G157)*(CF157)*0.97)</f>
        <v/>
      </c>
      <c r="CH157" s="34">
        <f>IF(CE157&gt;0.1,1,0)</f>
        <v/>
      </c>
      <c r="CI157" s="34">
        <f>(F157*BX157)-BY157</f>
        <v/>
      </c>
      <c r="CJ157" s="34">
        <f>IF(AY157=0,0,CI157/AY157)</f>
        <v/>
      </c>
    </row>
    <row r="158">
      <c r="A158" s="29" t="n">
        <v>46210.45833333334</v>
      </c>
      <c r="B158" s="29" t="inlineStr">
        <is>
          <t>11:00</t>
        </is>
      </c>
      <c r="C158" s="35">
        <f>INT(A158)</f>
        <v/>
      </c>
      <c r="D158" s="36">
        <f>MONTH(A158)</f>
        <v/>
      </c>
      <c r="E158" s="147">
        <f>[1]FİYATLAR!G157</f>
        <v/>
      </c>
      <c r="F158" s="30" t="n">
        <v>1807.04</v>
      </c>
      <c r="G158" s="30" t="n">
        <v>900</v>
      </c>
      <c r="H158" s="30" t="n">
        <v>38.75</v>
      </c>
      <c r="I158" s="30" t="n">
        <v>1633.66</v>
      </c>
      <c r="J158" s="119" t="n">
        <v>0</v>
      </c>
      <c r="K158" s="34">
        <f>F158*J158</f>
        <v/>
      </c>
      <c r="L158" s="119" t="n">
        <v>0</v>
      </c>
      <c r="M158" s="34">
        <f>L158*F158</f>
        <v/>
      </c>
      <c r="N158" s="119" t="n">
        <v>22.5</v>
      </c>
      <c r="O158" s="34">
        <f>F158</f>
        <v/>
      </c>
      <c r="P158" s="34">
        <f>N158*O158</f>
        <v/>
      </c>
      <c r="Q158" s="117" t="n">
        <v>0</v>
      </c>
      <c r="R158" s="34">
        <f>F158</f>
        <v/>
      </c>
      <c r="S158" s="34">
        <f>R158*Q158</f>
        <v/>
      </c>
      <c r="T158" s="34">
        <f>SUMIFS('[1]GİP VERİLERİ'!$C:$C,'[1]GİP VERİLERİ'!$B:$B,A158,'[1]GİP VERİLERİ'!$M:$M,"40X000000104782K",'[1]GİP VERİLERİ'!$G:$G,"SELL")</f>
        <v/>
      </c>
      <c r="U158" s="34">
        <f>IFERROR(W158/T158,0)</f>
        <v/>
      </c>
      <c r="V158" s="34">
        <f>IF(U158=0,0,U158-F158)</f>
        <v/>
      </c>
      <c r="W158" s="34">
        <f>SUMIFS('[1]GİP VERİLERİ'!$O:$O,'[1]GİP VERİLERİ'!$B:$B,A158,'[1]GİP VERİLERİ'!$M:$M,"40X000000104782K",'[1]GİP VERİLERİ'!$G:$G,"SELL")</f>
        <v/>
      </c>
      <c r="X158" s="34">
        <f>SUMIFS('[1]GİP VERİLERİ'!$C:$C,'[1]GİP VERİLERİ'!$B:$B,A158,'[1]GİP VERİLERİ'!$M:$M,"40X000000104782K",'[1]GİP VERİLERİ'!$G:$G,"BUY")</f>
        <v/>
      </c>
      <c r="Y158" s="34">
        <f>IFERROR(AA158/X158,0)</f>
        <v/>
      </c>
      <c r="Z158" s="34">
        <f>IF(Y158=0,0,F158-Y158)</f>
        <v/>
      </c>
      <c r="AA158" s="34">
        <f>SUMIFS('[1]GİP VERİLERİ'!$O:$O,'[1]GİP VERİLERİ'!$B:$B,A158,'[1]GİP VERİLERİ'!$M:$M,"40X000000104782K",'[1]GİP VERİLERİ'!$G:$G,"BUY")</f>
        <v/>
      </c>
      <c r="AB158" s="34" t="n">
        <v>0</v>
      </c>
      <c r="AC158" s="34" t="n">
        <v>0</v>
      </c>
      <c r="AD158" s="34">
        <f>IF(AB158&gt;AC158*1.05,AB158-AC158*1.05,IF(AB158&lt;AC158*0.95,AC158*0.95-AB158,0))</f>
        <v/>
      </c>
      <c r="AE158" s="34">
        <f>MAX(F158,G158,750)*0.05*AD158</f>
        <v/>
      </c>
      <c r="AF158" s="34" t="n">
        <v>0</v>
      </c>
      <c r="AG158" s="34">
        <f>IF(AB158&gt;AF158*1.05,AB158-AF158*1.05,IF(AB158&lt;AF158*0.95,AF158*0.95-AB158,0))</f>
        <v/>
      </c>
      <c r="AH158" s="34">
        <f>MAX(I158,J158,750)*0.05*AG158</f>
        <v/>
      </c>
      <c r="AI158" t="n">
        <v>9.140000000000001</v>
      </c>
      <c r="AJ158" t="n">
        <v>9</v>
      </c>
      <c r="AK158" s="34">
        <f>IF(AI158&gt;AJ158*1.05,AI158-AJ158*1.05,IF(AI158&lt;AJ158*0.95,AJ158*0.95-AI158,0))</f>
        <v/>
      </c>
      <c r="AL158" s="34">
        <f>MAX(F158,G158,750)*0.05*AK158</f>
        <v/>
      </c>
      <c r="AM158" s="39" t="n">
        <v>9</v>
      </c>
      <c r="AN158" s="34">
        <f>IF(AI158&gt;AM158*1.05,AI158-AM158*1.05,IF(AI158&lt;AM158*0.95,AM158*0.95-AI158,0))</f>
        <v/>
      </c>
      <c r="AO158" s="34">
        <f>MAX(F158,G158,750)*0.05*AN158</f>
        <v/>
      </c>
      <c r="AP158" s="34" t="n">
        <v>15.6</v>
      </c>
      <c r="AQ158" s="34" t="n">
        <v>13.5</v>
      </c>
      <c r="AR158" s="34">
        <f>IF(AP158&gt;AQ158*1.05,AP158-AQ158*1.05,IF(AP158&lt;AQ158*0.95,AQ158*0.95-AP158,0))</f>
        <v/>
      </c>
      <c r="AS158" s="34">
        <f>MAX(F158:G158,750)*0.05*AR158</f>
        <v/>
      </c>
      <c r="AT158" t="n">
        <v>15.5</v>
      </c>
      <c r="AU158" s="34">
        <f>IF(AP158&gt;AT158*1.05,AP158-AT158*1.05,IF(AP158&lt;AT158*0.95,AT158*0.95-AP158,0))</f>
        <v/>
      </c>
      <c r="AV158" s="34">
        <f>MAX(F158:G158,750)*0.05*AU158</f>
        <v/>
      </c>
      <c r="AW158" s="34">
        <f>AC158+AJ158+AQ158</f>
        <v/>
      </c>
      <c r="AX158" s="34">
        <f>AF158+AM158+AT158</f>
        <v/>
      </c>
      <c r="AY158" s="34">
        <f>AB158+AI158+AP158</f>
        <v/>
      </c>
      <c r="AZ158" s="34" t="n">
        <v>0</v>
      </c>
      <c r="BA158" s="34">
        <f>AD158+AK158+AR158</f>
        <v/>
      </c>
      <c r="BB158" s="34">
        <f>MAX(F158:G158,750)*0.05*BA158</f>
        <v/>
      </c>
      <c r="BC158" s="34">
        <f>AG158+AN158+AU158</f>
        <v/>
      </c>
      <c r="BD158" s="34">
        <f>MAX(F158:G158,750)*0.05*BC158</f>
        <v/>
      </c>
      <c r="BE158" s="34">
        <f>F158*AY158</f>
        <v/>
      </c>
      <c r="BF158" s="34">
        <f>K158-M158</f>
        <v/>
      </c>
      <c r="BG158" s="34">
        <f>P158-S158</f>
        <v/>
      </c>
      <c r="BH158" s="34">
        <f>W158-AA158</f>
        <v/>
      </c>
      <c r="BI158" s="34">
        <f>BF158+BG158+BL158-BN158</f>
        <v/>
      </c>
      <c r="BJ158" s="34">
        <f>ABS(BK158)</f>
        <v/>
      </c>
      <c r="BK158" s="34">
        <f>AY158-(J158-L158+N158-Q158)</f>
        <v/>
      </c>
      <c r="BL158" s="34">
        <f>IF(AND(BK158&gt;0,MIN($F158:$G158)&lt;150,$E158="Enerji Açığı"),-100*BK158*1.03,IF(AND(BK158&gt;0,MIN($F158:$G158)&lt;150,$E158="Enerji Fazlası"),-100*BK158*1.06,IF(AND(BK158&gt;0,MIN($F158:$G158)&gt;=150,$E158="Enerji Açığı"),BK158*MIN($F158:$G158)*0.97,IF(AND(BK158&gt;0,MIN($F158:$G158)&gt;=150,$E158="Enerji Fazlası"),BK158*MIN($F158:$G158)*0.94,IF(AND(BK158&lt;0,MAX($F158:$G158)=4500,$E158="Enerji Açığı"),4500*1.05*1.06*BK158,IF(AND(BK158&lt;0,MAX($F158:$G158)=4500,$E158="Enerji Fazlası"),4500*1.05*1.03*BK158,IF(AND(BK158&lt;0,$E158="Enerji Açığı"),MAX($F158,$G158,150)*BK158*1.06,IF(AND(BK158&lt;0,$E158="Enerji Fazlası"),MAX($F158,$G158,150)*BK158*1.03,IF(AND(BK158&lt;0,$E158="Dengede"),MAX($F158:$G158,150)*1.03*BK158,MIN($F158:$G158)*0.97*BK158)))))))))</f>
        <v/>
      </c>
      <c r="BM158" s="34">
        <f>BE158-BI158-BN158</f>
        <v/>
      </c>
      <c r="BN158" s="34">
        <f>BB158</f>
        <v/>
      </c>
      <c r="BO158" s="34">
        <f>BE158-BI158</f>
        <v/>
      </c>
      <c r="BP158" s="34">
        <f>IF(AY158=0,0,BO158/AY158)</f>
        <v/>
      </c>
      <c r="BQ158" s="34">
        <f>MAX((AY158+MAX((-J158+L158-N158+Q158),0)),(MAX((J158-L158+N158-Q158),0)))</f>
        <v/>
      </c>
      <c r="BR158" s="82">
        <f>IFERROR(ABS(BK158/BQ158),0)</f>
        <v/>
      </c>
      <c r="BS158" s="34">
        <f>IF(BR158&lt;=0.1,0,BK158/BR158*(BR158-0.1))</f>
        <v/>
      </c>
      <c r="BT158" s="34">
        <f>IF((BS158)&lt;0,MAX(F158:G158)*(BS158)*1.03,MIN(F158:G158)*(BS158)*0.97)</f>
        <v/>
      </c>
      <c r="BU158" s="34">
        <f>IF(BR158&gt;0.1,1,0)</f>
        <v/>
      </c>
      <c r="BV158" s="34">
        <f>BF158+BG158+BH158+BY158-CA158</f>
        <v/>
      </c>
      <c r="BW158" s="34">
        <f>ABS(BX158)</f>
        <v/>
      </c>
      <c r="BX158" s="34">
        <f>AY158-(J158-L158+N158-Q158+T158-X158)</f>
        <v/>
      </c>
      <c r="BY158" s="34">
        <f>IF(AND(BX158&gt;0,MIN($F158:$G158)&lt;150,$E158="Enerji Açığı"),-100*BX158*1.03,IF(AND(BX158&gt;0,MIN($F158:$G158)&lt;150,$E158="Enerji Fazlası"),-100*BX158*1.06,IF(AND(BX158&gt;0,MIN($F158:$G158)&gt;=150,$E158="Enerji Açığı"),BX158*MIN($F158:$G158)*0.97,IF(AND(BX158&gt;0,MIN($F158:$G158)&gt;=150,$E158="Enerji Fazlası"),BX158*MIN($F158:$G158)*0.94,IF(AND(BX158&lt;0,MAX($F158:$G158)=4500,$E158="Enerji Açığı"),4500*1.05*1.06*BX158,IF(AND(BX158&lt;0,MAX($F158:$G158)=4500,$E158="Enerji Fazlası"),4500*1.05*1.03*BX158,IF(AND(BX158&lt;0,$E158="Enerji Açığı"),MAX($F158,$G158,150)*BX158*1.06,IF(AND(BX158&lt;0,$E158="Enerji Fazlası"),MAX($F158,$G158,150)*BX158*1.03,IF(AND(BX158&lt;0,$E158="Dengede"),MAX($F158:$G158,150)*1.03*BX158,MIN($F158:$G158)*0.97*BX158)))))))))</f>
        <v/>
      </c>
      <c r="BZ158" s="34">
        <f>BE158-BV158-CA158</f>
        <v/>
      </c>
      <c r="CA158" s="34">
        <f>BD158</f>
        <v/>
      </c>
      <c r="CB158" s="33">
        <f>BE158-BV158</f>
        <v/>
      </c>
      <c r="CC158" s="34">
        <f>IF(AY158=0,0,CB158/AY158)</f>
        <v/>
      </c>
      <c r="CD158" s="34">
        <f>MAX((AY158+MAX((-J158+L158-N158+Q158-T158+X158),0)),(MAX((J158-L158+N158-Q158+T158-X158),0)))</f>
        <v/>
      </c>
      <c r="CE158" s="82">
        <f>IFERROR(ABS(BX158/CD158),0)</f>
        <v/>
      </c>
      <c r="CF158" s="34">
        <f>IF(CE158&lt;=0.1,0,BX158/CE158*(CE158-0.1))</f>
        <v/>
      </c>
      <c r="CG158" s="34">
        <f>IF((CF158)&lt;0,MAX(F158:G158)*(CF158)*1.03,MIN(F158:G158)*(CF158)*0.97)</f>
        <v/>
      </c>
      <c r="CH158" s="34">
        <f>IF(CE158&gt;0.1,1,0)</f>
        <v/>
      </c>
      <c r="CI158" s="34">
        <f>(F158*BX158)-BY158</f>
        <v/>
      </c>
      <c r="CJ158" s="34">
        <f>IF(AY158=0,0,CI158/AY158)</f>
        <v/>
      </c>
    </row>
    <row r="159">
      <c r="A159" s="29" t="n">
        <v>46210.5</v>
      </c>
      <c r="B159" s="29" t="inlineStr">
        <is>
          <t>12:00</t>
        </is>
      </c>
      <c r="C159" s="35">
        <f>INT(A159)</f>
        <v/>
      </c>
      <c r="D159" s="36">
        <f>MONTH(A159)</f>
        <v/>
      </c>
      <c r="E159" s="147">
        <f>[1]FİYATLAR!G158</f>
        <v/>
      </c>
      <c r="F159" s="30" t="n">
        <v>1400</v>
      </c>
      <c r="G159" s="30" t="n">
        <v>780</v>
      </c>
      <c r="H159" s="30" t="n">
        <v>30.02</v>
      </c>
      <c r="I159" s="30" t="n">
        <v>914.59</v>
      </c>
      <c r="J159" s="119" t="n">
        <v>0</v>
      </c>
      <c r="K159" s="34">
        <f>F159*J159</f>
        <v/>
      </c>
      <c r="L159" s="119" t="n">
        <v>0</v>
      </c>
      <c r="M159" s="34">
        <f>L159*F159</f>
        <v/>
      </c>
      <c r="N159" s="119" t="n">
        <v>20.6</v>
      </c>
      <c r="O159" s="34">
        <f>F159</f>
        <v/>
      </c>
      <c r="P159" s="34">
        <f>N159*O159</f>
        <v/>
      </c>
      <c r="Q159" s="117" t="n">
        <v>0</v>
      </c>
      <c r="R159" s="34">
        <f>F159</f>
        <v/>
      </c>
      <c r="S159" s="34">
        <f>R159*Q159</f>
        <v/>
      </c>
      <c r="T159" s="34">
        <f>SUMIFS('[1]GİP VERİLERİ'!$C:$C,'[1]GİP VERİLERİ'!$B:$B,A159,'[1]GİP VERİLERİ'!$M:$M,"40X000000104782K",'[1]GİP VERİLERİ'!$G:$G,"SELL")</f>
        <v/>
      </c>
      <c r="U159" s="34">
        <f>IFERROR(W159/T159,0)</f>
        <v/>
      </c>
      <c r="V159" s="34">
        <f>IF(U159=0,0,U159-F159)</f>
        <v/>
      </c>
      <c r="W159" s="34">
        <f>SUMIFS('[1]GİP VERİLERİ'!$O:$O,'[1]GİP VERİLERİ'!$B:$B,A159,'[1]GİP VERİLERİ'!$M:$M,"40X000000104782K",'[1]GİP VERİLERİ'!$G:$G,"SELL")</f>
        <v/>
      </c>
      <c r="X159" s="34">
        <f>SUMIFS('[1]GİP VERİLERİ'!$C:$C,'[1]GİP VERİLERİ'!$B:$B,A159,'[1]GİP VERİLERİ'!$M:$M,"40X000000104782K",'[1]GİP VERİLERİ'!$G:$G,"BUY")</f>
        <v/>
      </c>
      <c r="Y159" s="34">
        <f>IFERROR(AA159/X159,0)</f>
        <v/>
      </c>
      <c r="Z159" s="34">
        <f>IF(Y159=0,0,F159-Y159)</f>
        <v/>
      </c>
      <c r="AA159" s="34">
        <f>SUMIFS('[1]GİP VERİLERİ'!$O:$O,'[1]GİP VERİLERİ'!$B:$B,A159,'[1]GİP VERİLERİ'!$M:$M,"40X000000104782K",'[1]GİP VERİLERİ'!$G:$G,"BUY")</f>
        <v/>
      </c>
      <c r="AB159" s="34" t="n">
        <v>0</v>
      </c>
      <c r="AC159" s="34" t="n">
        <v>0</v>
      </c>
      <c r="AD159" s="34">
        <f>IF(AB159&gt;AC159*1.05,AB159-AC159*1.05,IF(AB159&lt;AC159*0.95,AC159*0.95-AB159,0))</f>
        <v/>
      </c>
      <c r="AE159" s="34">
        <f>MAX(F159,G159,750)*0.05*AD159</f>
        <v/>
      </c>
      <c r="AF159" s="34" t="n">
        <v>0</v>
      </c>
      <c r="AG159" s="34">
        <f>IF(AB159&gt;AF159*1.05,AB159-AF159*1.05,IF(AB159&lt;AF159*0.95,AF159*0.95-AB159,0))</f>
        <v/>
      </c>
      <c r="AH159" s="34">
        <f>MAX(I159,J159,750)*0.05*AG159</f>
        <v/>
      </c>
      <c r="AI159" t="n">
        <v>11.08</v>
      </c>
      <c r="AJ159" t="n">
        <v>8</v>
      </c>
      <c r="AK159" s="34">
        <f>IF(AI159&gt;AJ159*1.05,AI159-AJ159*1.05,IF(AI159&lt;AJ159*0.95,AJ159*0.95-AI159,0))</f>
        <v/>
      </c>
      <c r="AL159" s="34">
        <f>MAX(F159,G159,750)*0.05*AK159</f>
        <v/>
      </c>
      <c r="AM159" s="39" t="n">
        <v>11</v>
      </c>
      <c r="AN159" s="34">
        <f>IF(AI159&gt;AM159*1.05,AI159-AM159*1.05,IF(AI159&lt;AM159*0.95,AM159*0.95-AI159,0))</f>
        <v/>
      </c>
      <c r="AO159" s="34">
        <f>MAX(F159,G159,750)*0.05*AN159</f>
        <v/>
      </c>
      <c r="AP159" s="34" t="n">
        <v>15.68</v>
      </c>
      <c r="AQ159" s="34" t="n">
        <v>12.6</v>
      </c>
      <c r="AR159" s="34">
        <f>IF(AP159&gt;AQ159*1.05,AP159-AQ159*1.05,IF(AP159&lt;AQ159*0.95,AQ159*0.95-AP159,0))</f>
        <v/>
      </c>
      <c r="AS159" s="34">
        <f>MAX(F159:G159,750)*0.05*AR159</f>
        <v/>
      </c>
      <c r="AT159" t="n">
        <v>15.6</v>
      </c>
      <c r="AU159" s="34">
        <f>IF(AP159&gt;AT159*1.05,AP159-AT159*1.05,IF(AP159&lt;AT159*0.95,AT159*0.95-AP159,0))</f>
        <v/>
      </c>
      <c r="AV159" s="34">
        <f>MAX(F159:G159,750)*0.05*AU159</f>
        <v/>
      </c>
      <c r="AW159" s="34">
        <f>AC159+AJ159+AQ159</f>
        <v/>
      </c>
      <c r="AX159" s="34">
        <f>AF159+AM159+AT159</f>
        <v/>
      </c>
      <c r="AY159" s="34">
        <f>AB159+AI159+AP159</f>
        <v/>
      </c>
      <c r="AZ159" s="34" t="n">
        <v>0</v>
      </c>
      <c r="BA159" s="34">
        <f>AD159+AK159+AR159</f>
        <v/>
      </c>
      <c r="BB159" s="34">
        <f>MAX(F159:G159,750)*0.05*BA159</f>
        <v/>
      </c>
      <c r="BC159" s="34">
        <f>AG159+AN159+AU159</f>
        <v/>
      </c>
      <c r="BD159" s="34">
        <f>MAX(F159:G159,750)*0.05*BC159</f>
        <v/>
      </c>
      <c r="BE159" s="34">
        <f>F159*AY159</f>
        <v/>
      </c>
      <c r="BF159" s="34">
        <f>K159-M159</f>
        <v/>
      </c>
      <c r="BG159" s="34">
        <f>P159-S159</f>
        <v/>
      </c>
      <c r="BH159" s="34">
        <f>W159-AA159</f>
        <v/>
      </c>
      <c r="BI159" s="34">
        <f>BF159+BG159+BL159-BN159</f>
        <v/>
      </c>
      <c r="BJ159" s="34">
        <f>ABS(BK159)</f>
        <v/>
      </c>
      <c r="BK159" s="34">
        <f>AY159-(J159-L159+N159-Q159)</f>
        <v/>
      </c>
      <c r="BL159" s="34">
        <f>IF(AND(BK159&gt;0,MIN($F159:$G159)&lt;150,$E159="Enerji Açığı"),-100*BK159*1.03,IF(AND(BK159&gt;0,MIN($F159:$G159)&lt;150,$E159="Enerji Fazlası"),-100*BK159*1.06,IF(AND(BK159&gt;0,MIN($F159:$G159)&gt;=150,$E159="Enerji Açığı"),BK159*MIN($F159:$G159)*0.97,IF(AND(BK159&gt;0,MIN($F159:$G159)&gt;=150,$E159="Enerji Fazlası"),BK159*MIN($F159:$G159)*0.94,IF(AND(BK159&lt;0,MAX($F159:$G159)=4500,$E159="Enerji Açığı"),4500*1.05*1.06*BK159,IF(AND(BK159&lt;0,MAX($F159:$G159)=4500,$E159="Enerji Fazlası"),4500*1.05*1.03*BK159,IF(AND(BK159&lt;0,$E159="Enerji Açığı"),MAX($F159,$G159,150)*BK159*1.06,IF(AND(BK159&lt;0,$E159="Enerji Fazlası"),MAX($F159,$G159,150)*BK159*1.03,IF(AND(BK159&lt;0,$E159="Dengede"),MAX($F159:$G159,150)*1.03*BK159,MIN($F159:$G159)*0.97*BK159)))))))))</f>
        <v/>
      </c>
      <c r="BM159" s="34">
        <f>BE159-BI159-BN159</f>
        <v/>
      </c>
      <c r="BN159" s="34">
        <f>BB159</f>
        <v/>
      </c>
      <c r="BO159" s="34">
        <f>BE159-BI159</f>
        <v/>
      </c>
      <c r="BP159" s="34">
        <f>IF(AY159=0,0,BO159/AY159)</f>
        <v/>
      </c>
      <c r="BQ159" s="34">
        <f>MAX((AY159+MAX((-J159+L159-N159+Q159),0)),(MAX((J159-L159+N159-Q159),0)))</f>
        <v/>
      </c>
      <c r="BR159" s="82">
        <f>IFERROR(ABS(BK159/BQ159),0)</f>
        <v/>
      </c>
      <c r="BS159" s="34">
        <f>IF(BR159&lt;=0.1,0,BK159/BR159*(BR159-0.1))</f>
        <v/>
      </c>
      <c r="BT159" s="34">
        <f>IF((BS159)&lt;0,MAX(F159:G159)*(BS159)*1.03,MIN(F159:G159)*(BS159)*0.97)</f>
        <v/>
      </c>
      <c r="BU159" s="34">
        <f>IF(BR159&gt;0.1,1,0)</f>
        <v/>
      </c>
      <c r="BV159" s="34">
        <f>BF159+BG159+BH159+BY159-CA159</f>
        <v/>
      </c>
      <c r="BW159" s="34">
        <f>ABS(BX159)</f>
        <v/>
      </c>
      <c r="BX159" s="34">
        <f>AY159-(J159-L159+N159-Q159+T159-X159)</f>
        <v/>
      </c>
      <c r="BY159" s="34">
        <f>IF(AND(BX159&gt;0,MIN($F159:$G159)&lt;150,$E159="Enerji Açığı"),-100*BX159*1.03,IF(AND(BX159&gt;0,MIN($F159:$G159)&lt;150,$E159="Enerji Fazlası"),-100*BX159*1.06,IF(AND(BX159&gt;0,MIN($F159:$G159)&gt;=150,$E159="Enerji Açığı"),BX159*MIN($F159:$G159)*0.97,IF(AND(BX159&gt;0,MIN($F159:$G159)&gt;=150,$E159="Enerji Fazlası"),BX159*MIN($F159:$G159)*0.94,IF(AND(BX159&lt;0,MAX($F159:$G159)=4500,$E159="Enerji Açığı"),4500*1.05*1.06*BX159,IF(AND(BX159&lt;0,MAX($F159:$G159)=4500,$E159="Enerji Fazlası"),4500*1.05*1.03*BX159,IF(AND(BX159&lt;0,$E159="Enerji Açığı"),MAX($F159,$G159,150)*BX159*1.06,IF(AND(BX159&lt;0,$E159="Enerji Fazlası"),MAX($F159,$G159,150)*BX159*1.03,IF(AND(BX159&lt;0,$E159="Dengede"),MAX($F159:$G159,150)*1.03*BX159,MIN($F159:$G159)*0.97*BX159)))))))))</f>
        <v/>
      </c>
      <c r="BZ159" s="34">
        <f>BE159-BV159-CA159</f>
        <v/>
      </c>
      <c r="CA159" s="34">
        <f>BD159</f>
        <v/>
      </c>
      <c r="CB159" s="33">
        <f>BE159-BV159</f>
        <v/>
      </c>
      <c r="CC159" s="34">
        <f>IF(AY159=0,0,CB159/AY159)</f>
        <v/>
      </c>
      <c r="CD159" s="34">
        <f>MAX((AY159+MAX((-J159+L159-N159+Q159-T159+X159),0)),(MAX((J159-L159+N159-Q159+T159-X159),0)))</f>
        <v/>
      </c>
      <c r="CE159" s="82">
        <f>IFERROR(ABS(BX159/CD159),0)</f>
        <v/>
      </c>
      <c r="CF159" s="34">
        <f>IF(CE159&lt;=0.1,0,BX159/CE159*(CE159-0.1))</f>
        <v/>
      </c>
      <c r="CG159" s="34">
        <f>IF((CF159)&lt;0,MAX(F159:G159)*(CF159)*1.03,MIN(F159:G159)*(CF159)*0.97)</f>
        <v/>
      </c>
      <c r="CH159" s="34">
        <f>IF(CE159&gt;0.1,1,0)</f>
        <v/>
      </c>
      <c r="CI159" s="34">
        <f>(F159*BX159)-BY159</f>
        <v/>
      </c>
      <c r="CJ159" s="34">
        <f>IF(AY159=0,0,CI159/AY159)</f>
        <v/>
      </c>
    </row>
    <row r="160">
      <c r="A160" s="29" t="n">
        <v>46210.54166666666</v>
      </c>
      <c r="B160" s="29" t="inlineStr">
        <is>
          <t>13:00</t>
        </is>
      </c>
      <c r="C160" s="35">
        <f>INT(A160)</f>
        <v/>
      </c>
      <c r="D160" s="36">
        <f>MONTH(A160)</f>
        <v/>
      </c>
      <c r="E160" s="147">
        <f>[1]FİYATLAR!G159</f>
        <v/>
      </c>
      <c r="F160" s="30" t="n">
        <v>1999.98</v>
      </c>
      <c r="G160" s="30" t="n">
        <v>1049.98</v>
      </c>
      <c r="H160" s="30" t="n">
        <v>42.89</v>
      </c>
      <c r="I160" s="30" t="n">
        <v>1534.26</v>
      </c>
      <c r="J160" s="119" t="n">
        <v>0</v>
      </c>
      <c r="K160" s="34">
        <f>F160*J160</f>
        <v/>
      </c>
      <c r="L160" s="119" t="n">
        <v>0</v>
      </c>
      <c r="M160" s="34">
        <f>L160*F160</f>
        <v/>
      </c>
      <c r="N160" s="119" t="n">
        <v>22.6</v>
      </c>
      <c r="O160" s="34">
        <f>F160</f>
        <v/>
      </c>
      <c r="P160" s="34">
        <f>N160*O160</f>
        <v/>
      </c>
      <c r="Q160" s="117" t="n">
        <v>0</v>
      </c>
      <c r="R160" s="34">
        <f>F160</f>
        <v/>
      </c>
      <c r="S160" s="34">
        <f>R160*Q160</f>
        <v/>
      </c>
      <c r="T160" s="34">
        <f>SUMIFS('[1]GİP VERİLERİ'!$C:$C,'[1]GİP VERİLERİ'!$B:$B,A160,'[1]GİP VERİLERİ'!$M:$M,"40X000000104782K",'[1]GİP VERİLERİ'!$G:$G,"SELL")</f>
        <v/>
      </c>
      <c r="U160" s="34">
        <f>IFERROR(W160/T160,0)</f>
        <v/>
      </c>
      <c r="V160" s="34">
        <f>IF(U160=0,0,U160-F160)</f>
        <v/>
      </c>
      <c r="W160" s="34">
        <f>SUMIFS('[1]GİP VERİLERİ'!$O:$O,'[1]GİP VERİLERİ'!$B:$B,A160,'[1]GİP VERİLERİ'!$M:$M,"40X000000104782K",'[1]GİP VERİLERİ'!$G:$G,"SELL")</f>
        <v/>
      </c>
      <c r="X160" s="34">
        <f>SUMIFS('[1]GİP VERİLERİ'!$C:$C,'[1]GİP VERİLERİ'!$B:$B,A160,'[1]GİP VERİLERİ'!$M:$M,"40X000000104782K",'[1]GİP VERİLERİ'!$G:$G,"BUY")</f>
        <v/>
      </c>
      <c r="Y160" s="34">
        <f>IFERROR(AA160/X160,0)</f>
        <v/>
      </c>
      <c r="Z160" s="34">
        <f>IF(Y160=0,0,F160-Y160)</f>
        <v/>
      </c>
      <c r="AA160" s="34">
        <f>SUMIFS('[1]GİP VERİLERİ'!$O:$O,'[1]GİP VERİLERİ'!$B:$B,A160,'[1]GİP VERİLERİ'!$M:$M,"40X000000104782K",'[1]GİP VERİLERİ'!$G:$G,"BUY")</f>
        <v/>
      </c>
      <c r="AB160" s="34" t="n">
        <v>0</v>
      </c>
      <c r="AC160" s="34" t="n">
        <v>0</v>
      </c>
      <c r="AD160" s="34">
        <f>IF(AB160&gt;AC160*1.05,AB160-AC160*1.05,IF(AB160&lt;AC160*0.95,AC160*0.95-AB160,0))</f>
        <v/>
      </c>
      <c r="AE160" s="34">
        <f>MAX(F160,G160,750)*0.05*AD160</f>
        <v/>
      </c>
      <c r="AF160" s="34" t="n">
        <v>0</v>
      </c>
      <c r="AG160" s="34">
        <f>IF(AB160&gt;AF160*1.05,AB160-AF160*1.05,IF(AB160&lt;AF160*0.95,AF160*0.95-AB160,0))</f>
        <v/>
      </c>
      <c r="AH160" s="34">
        <f>MAX(I160,J160,750)*0.05*AG160</f>
        <v/>
      </c>
      <c r="AI160" t="n">
        <v>10.13</v>
      </c>
      <c r="AJ160" t="n">
        <v>9</v>
      </c>
      <c r="AK160" s="34">
        <f>IF(AI160&gt;AJ160*1.05,AI160-AJ160*1.05,IF(AI160&lt;AJ160*0.95,AJ160*0.95-AI160,0))</f>
        <v/>
      </c>
      <c r="AL160" s="34">
        <f>MAX(F160,G160,750)*0.05*AK160</f>
        <v/>
      </c>
      <c r="AM160" s="39" t="n">
        <v>10</v>
      </c>
      <c r="AN160" s="34">
        <f>IF(AI160&gt;AM160*1.05,AI160-AM160*1.05,IF(AI160&lt;AM160*0.95,AM160*0.95-AI160,0))</f>
        <v/>
      </c>
      <c r="AO160" s="34">
        <f>MAX(F160,G160,750)*0.05*AN160</f>
        <v/>
      </c>
      <c r="AP160" s="34" t="n">
        <v>16.13</v>
      </c>
      <c r="AQ160" s="34" t="n">
        <v>13.6</v>
      </c>
      <c r="AR160" s="34">
        <f>IF(AP160&gt;AQ160*1.05,AP160-AQ160*1.05,IF(AP160&lt;AQ160*0.95,AQ160*0.95-AP160,0))</f>
        <v/>
      </c>
      <c r="AS160" s="34">
        <f>MAX(F160:G160,750)*0.05*AR160</f>
        <v/>
      </c>
      <c r="AT160" t="n">
        <v>16</v>
      </c>
      <c r="AU160" s="34">
        <f>IF(AP160&gt;AT160*1.05,AP160-AT160*1.05,IF(AP160&lt;AT160*0.95,AT160*0.95-AP160,0))</f>
        <v/>
      </c>
      <c r="AV160" s="34">
        <f>MAX(F160:G160,750)*0.05*AU160</f>
        <v/>
      </c>
      <c r="AW160" s="34">
        <f>AC160+AJ160+AQ160</f>
        <v/>
      </c>
      <c r="AX160" s="34">
        <f>AF160+AM160+AT160</f>
        <v/>
      </c>
      <c r="AY160" s="34">
        <f>AB160+AI160+AP160</f>
        <v/>
      </c>
      <c r="AZ160" s="34" t="n">
        <v>0</v>
      </c>
      <c r="BA160" s="34">
        <f>AD160+AK160+AR160</f>
        <v/>
      </c>
      <c r="BB160" s="34">
        <f>MAX(F160:G160,750)*0.05*BA160</f>
        <v/>
      </c>
      <c r="BC160" s="34">
        <f>AG160+AN160+AU160</f>
        <v/>
      </c>
      <c r="BD160" s="34">
        <f>MAX(F160:G160,750)*0.05*BC160</f>
        <v/>
      </c>
      <c r="BE160" s="34">
        <f>F160*AY160</f>
        <v/>
      </c>
      <c r="BF160" s="34">
        <f>K160-M160</f>
        <v/>
      </c>
      <c r="BG160" s="34">
        <f>P160-S160</f>
        <v/>
      </c>
      <c r="BH160" s="34">
        <f>W160-AA160</f>
        <v/>
      </c>
      <c r="BI160" s="34">
        <f>BF160+BG160+BL160-BN160</f>
        <v/>
      </c>
      <c r="BJ160" s="34">
        <f>ABS(BK160)</f>
        <v/>
      </c>
      <c r="BK160" s="34">
        <f>AY160-(J160-L160+N160-Q160)</f>
        <v/>
      </c>
      <c r="BL160" s="34">
        <f>IF(AND(BK160&gt;0,MIN($F160:$G160)&lt;150,$E160="Enerji Açığı"),-100*BK160*1.03,IF(AND(BK160&gt;0,MIN($F160:$G160)&lt;150,$E160="Enerji Fazlası"),-100*BK160*1.06,IF(AND(BK160&gt;0,MIN($F160:$G160)&gt;=150,$E160="Enerji Açığı"),BK160*MIN($F160:$G160)*0.97,IF(AND(BK160&gt;0,MIN($F160:$G160)&gt;=150,$E160="Enerji Fazlası"),BK160*MIN($F160:$G160)*0.94,IF(AND(BK160&lt;0,MAX($F160:$G160)=4500,$E160="Enerji Açığı"),4500*1.05*1.06*BK160,IF(AND(BK160&lt;0,MAX($F160:$G160)=4500,$E160="Enerji Fazlası"),4500*1.05*1.03*BK160,IF(AND(BK160&lt;0,$E160="Enerji Açığı"),MAX($F160,$G160,150)*BK160*1.06,IF(AND(BK160&lt;0,$E160="Enerji Fazlası"),MAX($F160,$G160,150)*BK160*1.03,IF(AND(BK160&lt;0,$E160="Dengede"),MAX($F160:$G160,150)*1.03*BK160,MIN($F160:$G160)*0.97*BK160)))))))))</f>
        <v/>
      </c>
      <c r="BM160" s="34">
        <f>BE160-BI160-BN160</f>
        <v/>
      </c>
      <c r="BN160" s="34">
        <f>BB160</f>
        <v/>
      </c>
      <c r="BO160" s="34">
        <f>BE160-BI160</f>
        <v/>
      </c>
      <c r="BP160" s="34">
        <f>IF(AY160=0,0,BO160/AY160)</f>
        <v/>
      </c>
      <c r="BQ160" s="34">
        <f>MAX((AY160+MAX((-J160+L160-N160+Q160),0)),(MAX((J160-L160+N160-Q160),0)))</f>
        <v/>
      </c>
      <c r="BR160" s="82">
        <f>IFERROR(ABS(BK160/BQ160),0)</f>
        <v/>
      </c>
      <c r="BS160" s="34">
        <f>IF(BR160&lt;=0.1,0,BK160/BR160*(BR160-0.1))</f>
        <v/>
      </c>
      <c r="BT160" s="34">
        <f>IF((BS160)&lt;0,MAX(F160:G160)*(BS160)*1.03,MIN(F160:G160)*(BS160)*0.97)</f>
        <v/>
      </c>
      <c r="BU160" s="34">
        <f>IF(BR160&gt;0.1,1,0)</f>
        <v/>
      </c>
      <c r="BV160" s="34">
        <f>BF160+BG160+BH160+BY160-CA160</f>
        <v/>
      </c>
      <c r="BW160" s="34">
        <f>ABS(BX160)</f>
        <v/>
      </c>
      <c r="BX160" s="34">
        <f>AY160-(J160-L160+N160-Q160+T160-X160)</f>
        <v/>
      </c>
      <c r="BY160" s="34">
        <f>IF(AND(BX160&gt;0,MIN($F160:$G160)&lt;150,$E160="Enerji Açığı"),-100*BX160*1.03,IF(AND(BX160&gt;0,MIN($F160:$G160)&lt;150,$E160="Enerji Fazlası"),-100*BX160*1.06,IF(AND(BX160&gt;0,MIN($F160:$G160)&gt;=150,$E160="Enerji Açığı"),BX160*MIN($F160:$G160)*0.97,IF(AND(BX160&gt;0,MIN($F160:$G160)&gt;=150,$E160="Enerji Fazlası"),BX160*MIN($F160:$G160)*0.94,IF(AND(BX160&lt;0,MAX($F160:$G160)=4500,$E160="Enerji Açığı"),4500*1.05*1.06*BX160,IF(AND(BX160&lt;0,MAX($F160:$G160)=4500,$E160="Enerji Fazlası"),4500*1.05*1.03*BX160,IF(AND(BX160&lt;0,$E160="Enerji Açığı"),MAX($F160,$G160,150)*BX160*1.06,IF(AND(BX160&lt;0,$E160="Enerji Fazlası"),MAX($F160,$G160,150)*BX160*1.03,IF(AND(BX160&lt;0,$E160="Dengede"),MAX($F160:$G160,150)*1.03*BX160,MIN($F160:$G160)*0.97*BX160)))))))))</f>
        <v/>
      </c>
      <c r="BZ160" s="34">
        <f>BE160-BV160-CA160</f>
        <v/>
      </c>
      <c r="CA160" s="34">
        <f>BD160</f>
        <v/>
      </c>
      <c r="CB160" s="33">
        <f>BE160-BV160</f>
        <v/>
      </c>
      <c r="CC160" s="34">
        <f>IF(AY160=0,0,CB160/AY160)</f>
        <v/>
      </c>
      <c r="CD160" s="34">
        <f>MAX((AY160+MAX((-J160+L160-N160+Q160-T160+X160),0)),(MAX((J160-L160+N160-Q160+T160-X160),0)))</f>
        <v/>
      </c>
      <c r="CE160" s="82">
        <f>IFERROR(ABS(BX160/CD160),0)</f>
        <v/>
      </c>
      <c r="CF160" s="34">
        <f>IF(CE160&lt;=0.1,0,BX160/CE160*(CE160-0.1))</f>
        <v/>
      </c>
      <c r="CG160" s="34">
        <f>IF((CF160)&lt;0,MAX(F160:G160)*(CF160)*1.03,MIN(F160:G160)*(CF160)*0.97)</f>
        <v/>
      </c>
      <c r="CH160" s="34">
        <f>IF(CE160&gt;0.1,1,0)</f>
        <v/>
      </c>
      <c r="CI160" s="34">
        <f>(F160*BX160)-BY160</f>
        <v/>
      </c>
      <c r="CJ160" s="34">
        <f>IF(AY160=0,0,CI160/AY160)</f>
        <v/>
      </c>
    </row>
    <row r="161">
      <c r="A161" s="29" t="n">
        <v>46210.58333333334</v>
      </c>
      <c r="B161" s="29" t="inlineStr">
        <is>
          <t>14:00</t>
        </is>
      </c>
      <c r="C161" s="35">
        <f>INT(A161)</f>
        <v/>
      </c>
      <c r="D161" s="36">
        <f>MONTH(A161)</f>
        <v/>
      </c>
      <c r="E161" s="147">
        <f>[1]FİYATLAR!G160</f>
        <v/>
      </c>
      <c r="F161" s="30" t="n">
        <v>1999.99</v>
      </c>
      <c r="G161" s="30" t="n">
        <v>2500</v>
      </c>
      <c r="H161" s="30" t="n">
        <v>42.89</v>
      </c>
      <c r="I161" s="30" t="n">
        <v>1508.11</v>
      </c>
      <c r="J161" s="119" t="n">
        <v>0</v>
      </c>
      <c r="K161" s="34">
        <f>F161*J161</f>
        <v/>
      </c>
      <c r="L161" s="119" t="n">
        <v>0</v>
      </c>
      <c r="M161" s="34">
        <f>L161*F161</f>
        <v/>
      </c>
      <c r="N161" s="119" t="n">
        <v>22.6</v>
      </c>
      <c r="O161" s="34">
        <f>F161</f>
        <v/>
      </c>
      <c r="P161" s="34">
        <f>N161*O161</f>
        <v/>
      </c>
      <c r="Q161" s="117" t="n">
        <v>0</v>
      </c>
      <c r="R161" s="34">
        <f>F161</f>
        <v/>
      </c>
      <c r="S161" s="34">
        <f>R161*Q161</f>
        <v/>
      </c>
      <c r="T161" s="34">
        <f>SUMIFS('[1]GİP VERİLERİ'!$C:$C,'[1]GİP VERİLERİ'!$B:$B,A161,'[1]GİP VERİLERİ'!$M:$M,"40X000000104782K",'[1]GİP VERİLERİ'!$G:$G,"SELL")</f>
        <v/>
      </c>
      <c r="U161" s="34">
        <f>IFERROR(W161/T161,0)</f>
        <v/>
      </c>
      <c r="V161" s="34">
        <f>IF(U161=0,0,U161-F161)</f>
        <v/>
      </c>
      <c r="W161" s="34">
        <f>SUMIFS('[1]GİP VERİLERİ'!$O:$O,'[1]GİP VERİLERİ'!$B:$B,A161,'[1]GİP VERİLERİ'!$M:$M,"40X000000104782K",'[1]GİP VERİLERİ'!$G:$G,"SELL")</f>
        <v/>
      </c>
      <c r="X161" s="34">
        <f>SUMIFS('[1]GİP VERİLERİ'!$C:$C,'[1]GİP VERİLERİ'!$B:$B,A161,'[1]GİP VERİLERİ'!$M:$M,"40X000000104782K",'[1]GİP VERİLERİ'!$G:$G,"BUY")</f>
        <v/>
      </c>
      <c r="Y161" s="34">
        <f>IFERROR(AA161/X161,0)</f>
        <v/>
      </c>
      <c r="Z161" s="34">
        <f>IF(Y161=0,0,F161-Y161)</f>
        <v/>
      </c>
      <c r="AA161" s="34">
        <f>SUMIFS('[1]GİP VERİLERİ'!$O:$O,'[1]GİP VERİLERİ'!$B:$B,A161,'[1]GİP VERİLERİ'!$M:$M,"40X000000104782K",'[1]GİP VERİLERİ'!$G:$G,"BUY")</f>
        <v/>
      </c>
      <c r="AB161" s="34" t="n">
        <v>0</v>
      </c>
      <c r="AC161" s="34" t="n">
        <v>0</v>
      </c>
      <c r="AD161" s="34">
        <f>IF(AB161&gt;AC161*1.05,AB161-AC161*1.05,IF(AB161&lt;AC161*0.95,AC161*0.95-AB161,0))</f>
        <v/>
      </c>
      <c r="AE161" s="34">
        <f>MAX(F161,G161,750)*0.05*AD161</f>
        <v/>
      </c>
      <c r="AF161" s="34" t="n">
        <v>0</v>
      </c>
      <c r="AG161" s="34">
        <f>IF(AB161&gt;AF161*1.05,AB161-AF161*1.05,IF(AB161&lt;AF161*0.95,AF161*0.95-AB161,0))</f>
        <v/>
      </c>
      <c r="AH161" s="34">
        <f>MAX(I161,J161,750)*0.05*AG161</f>
        <v/>
      </c>
      <c r="AI161" t="n">
        <v>10.99</v>
      </c>
      <c r="AJ161" t="n">
        <v>9</v>
      </c>
      <c r="AK161" s="34">
        <f>IF(AI161&gt;AJ161*1.05,AI161-AJ161*1.05,IF(AI161&lt;AJ161*0.95,AJ161*0.95-AI161,0))</f>
        <v/>
      </c>
      <c r="AL161" s="34">
        <f>MAX(F161,G161,750)*0.05*AK161</f>
        <v/>
      </c>
      <c r="AM161" s="39" t="n">
        <v>10.5</v>
      </c>
      <c r="AN161" s="34">
        <f>IF(AI161&gt;AM161*1.05,AI161-AM161*1.05,IF(AI161&lt;AM161*0.95,AM161*0.95-AI161,0))</f>
        <v/>
      </c>
      <c r="AO161" s="34">
        <f>MAX(F161,G161,750)*0.05*AN161</f>
        <v/>
      </c>
      <c r="AP161" s="34" t="n">
        <v>15.06</v>
      </c>
      <c r="AQ161" s="34" t="n">
        <v>13.6</v>
      </c>
      <c r="AR161" s="34">
        <f>IF(AP161&gt;AQ161*1.05,AP161-AQ161*1.05,IF(AP161&lt;AQ161*0.95,AQ161*0.95-AP161,0))</f>
        <v/>
      </c>
      <c r="AS161" s="34">
        <f>MAX(F161:G161,750)*0.05*AR161</f>
        <v/>
      </c>
      <c r="AT161" t="n">
        <v>15</v>
      </c>
      <c r="AU161" s="34">
        <f>IF(AP161&gt;AT161*1.05,AP161-AT161*1.05,IF(AP161&lt;AT161*0.95,AT161*0.95-AP161,0))</f>
        <v/>
      </c>
      <c r="AV161" s="34">
        <f>MAX(F161:G161,750)*0.05*AU161</f>
        <v/>
      </c>
      <c r="AW161" s="34">
        <f>AC161+AJ161+AQ161</f>
        <v/>
      </c>
      <c r="AX161" s="34">
        <f>AF161+AM161+AT161</f>
        <v/>
      </c>
      <c r="AY161" s="34">
        <f>AB161+AI161+AP161</f>
        <v/>
      </c>
      <c r="AZ161" s="34" t="n">
        <v>0</v>
      </c>
      <c r="BA161" s="34">
        <f>AD161+AK161+AR161</f>
        <v/>
      </c>
      <c r="BB161" s="34">
        <f>MAX(F161:G161,750)*0.05*BA161</f>
        <v/>
      </c>
      <c r="BC161" s="34">
        <f>AG161+AN161+AU161</f>
        <v/>
      </c>
      <c r="BD161" s="34">
        <f>MAX(F161:G161,750)*0.05*BC161</f>
        <v/>
      </c>
      <c r="BE161" s="34">
        <f>F161*AY161</f>
        <v/>
      </c>
      <c r="BF161" s="34">
        <f>K161-M161</f>
        <v/>
      </c>
      <c r="BG161" s="34">
        <f>P161-S161</f>
        <v/>
      </c>
      <c r="BH161" s="34">
        <f>W161-AA161</f>
        <v/>
      </c>
      <c r="BI161" s="34">
        <f>BF161+BG161+BL161-BN161</f>
        <v/>
      </c>
      <c r="BJ161" s="34">
        <f>ABS(BK161)</f>
        <v/>
      </c>
      <c r="BK161" s="34">
        <f>AY161-(J161-L161+N161-Q161)</f>
        <v/>
      </c>
      <c r="BL161" s="34">
        <f>IF(AND(BK161&gt;0,MIN($F161:$G161)&lt;150,$E161="Enerji Açığı"),-100*BK161*1.03,IF(AND(BK161&gt;0,MIN($F161:$G161)&lt;150,$E161="Enerji Fazlası"),-100*BK161*1.06,IF(AND(BK161&gt;0,MIN($F161:$G161)&gt;=150,$E161="Enerji Açığı"),BK161*MIN($F161:$G161)*0.97,IF(AND(BK161&gt;0,MIN($F161:$G161)&gt;=150,$E161="Enerji Fazlası"),BK161*MIN($F161:$G161)*0.94,IF(AND(BK161&lt;0,MAX($F161:$G161)=4500,$E161="Enerji Açığı"),4500*1.05*1.06*BK161,IF(AND(BK161&lt;0,MAX($F161:$G161)=4500,$E161="Enerji Fazlası"),4500*1.05*1.03*BK161,IF(AND(BK161&lt;0,$E161="Enerji Açığı"),MAX($F161,$G161,150)*BK161*1.06,IF(AND(BK161&lt;0,$E161="Enerji Fazlası"),MAX($F161,$G161,150)*BK161*1.03,IF(AND(BK161&lt;0,$E161="Dengede"),MAX($F161:$G161,150)*1.03*BK161,MIN($F161:$G161)*0.97*BK161)))))))))</f>
        <v/>
      </c>
      <c r="BM161" s="34">
        <f>BE161-BI161-BN161</f>
        <v/>
      </c>
      <c r="BN161" s="34">
        <f>BB161</f>
        <v/>
      </c>
      <c r="BO161" s="34">
        <f>BE161-BI161</f>
        <v/>
      </c>
      <c r="BP161" s="34">
        <f>IF(AY161=0,0,BO161/AY161)</f>
        <v/>
      </c>
      <c r="BQ161" s="34">
        <f>MAX((AY161+MAX((-J161+L161-N161+Q161),0)),(MAX((J161-L161+N161-Q161),0)))</f>
        <v/>
      </c>
      <c r="BR161" s="82">
        <f>IFERROR(ABS(BK161/BQ161),0)</f>
        <v/>
      </c>
      <c r="BS161" s="34">
        <f>IF(BR161&lt;=0.1,0,BK161/BR161*(BR161-0.1))</f>
        <v/>
      </c>
      <c r="BT161" s="34">
        <f>IF((BS161)&lt;0,MAX(F161:G161)*(BS161)*1.03,MIN(F161:G161)*(BS161)*0.97)</f>
        <v/>
      </c>
      <c r="BU161" s="34">
        <f>IF(BR161&gt;0.1,1,0)</f>
        <v/>
      </c>
      <c r="BV161" s="34">
        <f>BF161+BG161+BH161+BY161-CA161</f>
        <v/>
      </c>
      <c r="BW161" s="34">
        <f>ABS(BX161)</f>
        <v/>
      </c>
      <c r="BX161" s="34">
        <f>AY161-(J161-L161+N161-Q161+T161-X161)</f>
        <v/>
      </c>
      <c r="BY161" s="34">
        <f>IF(AND(BX161&gt;0,MIN($F161:$G161)&lt;150,$E161="Enerji Açığı"),-100*BX161*1.03,IF(AND(BX161&gt;0,MIN($F161:$G161)&lt;150,$E161="Enerji Fazlası"),-100*BX161*1.06,IF(AND(BX161&gt;0,MIN($F161:$G161)&gt;=150,$E161="Enerji Açığı"),BX161*MIN($F161:$G161)*0.97,IF(AND(BX161&gt;0,MIN($F161:$G161)&gt;=150,$E161="Enerji Fazlası"),BX161*MIN($F161:$G161)*0.94,IF(AND(BX161&lt;0,MAX($F161:$G161)=4500,$E161="Enerji Açığı"),4500*1.05*1.06*BX161,IF(AND(BX161&lt;0,MAX($F161:$G161)=4500,$E161="Enerji Fazlası"),4500*1.05*1.03*BX161,IF(AND(BX161&lt;0,$E161="Enerji Açığı"),MAX($F161,$G161,150)*BX161*1.06,IF(AND(BX161&lt;0,$E161="Enerji Fazlası"),MAX($F161,$G161,150)*BX161*1.03,IF(AND(BX161&lt;0,$E161="Dengede"),MAX($F161:$G161,150)*1.03*BX161,MIN($F161:$G161)*0.97*BX161)))))))))</f>
        <v/>
      </c>
      <c r="BZ161" s="34">
        <f>BE161-BV161-CA161</f>
        <v/>
      </c>
      <c r="CA161" s="34">
        <f>BD161</f>
        <v/>
      </c>
      <c r="CB161" s="33">
        <f>BE161-BV161</f>
        <v/>
      </c>
      <c r="CC161" s="34">
        <f>IF(AY161=0,0,CB161/AY161)</f>
        <v/>
      </c>
      <c r="CD161" s="34">
        <f>MAX((AY161+MAX((-J161+L161-N161+Q161-T161+X161),0)),(MAX((J161-L161+N161-Q161+T161-X161),0)))</f>
        <v/>
      </c>
      <c r="CE161" s="82">
        <f>IFERROR(ABS(BX161/CD161),0)</f>
        <v/>
      </c>
      <c r="CF161" s="34">
        <f>IF(CE161&lt;=0.1,0,BX161/CE161*(CE161-0.1))</f>
        <v/>
      </c>
      <c r="CG161" s="34">
        <f>IF((CF161)&lt;0,MAX(F161:G161)*(CF161)*1.03,MIN(F161:G161)*(CF161)*0.97)</f>
        <v/>
      </c>
      <c r="CH161" s="34">
        <f>IF(CE161&gt;0.1,1,0)</f>
        <v/>
      </c>
      <c r="CI161" s="34">
        <f>(F161*BX161)-BY161</f>
        <v/>
      </c>
      <c r="CJ161" s="34">
        <f>IF(AY161=0,0,CI161/AY161)</f>
        <v/>
      </c>
    </row>
    <row r="162">
      <c r="A162" s="29" t="n">
        <v>46210.625</v>
      </c>
      <c r="B162" s="29" t="inlineStr">
        <is>
          <t>15:00</t>
        </is>
      </c>
      <c r="C162" s="35">
        <f>INT(A162)</f>
        <v/>
      </c>
      <c r="D162" s="36">
        <f>MONTH(A162)</f>
        <v/>
      </c>
      <c r="E162" s="147">
        <f>[1]FİYATLAR!G161</f>
        <v/>
      </c>
      <c r="F162" s="30" t="n">
        <v>1987.57</v>
      </c>
      <c r="G162" s="30" t="n">
        <v>800</v>
      </c>
      <c r="H162" s="30" t="n">
        <v>42.62</v>
      </c>
      <c r="I162" s="30" t="n">
        <v>1455.26</v>
      </c>
      <c r="J162" s="119" t="n">
        <v>0</v>
      </c>
      <c r="K162" s="34">
        <f>F162*J162</f>
        <v/>
      </c>
      <c r="L162" s="119" t="n">
        <v>0</v>
      </c>
      <c r="M162" s="34">
        <f>L162*F162</f>
        <v/>
      </c>
      <c r="N162" s="119" t="n">
        <v>22.3</v>
      </c>
      <c r="O162" s="34">
        <f>F162</f>
        <v/>
      </c>
      <c r="P162" s="34">
        <f>N162*O162</f>
        <v/>
      </c>
      <c r="Q162" s="117" t="n">
        <v>0</v>
      </c>
      <c r="R162" s="34">
        <f>F162</f>
        <v/>
      </c>
      <c r="S162" s="34">
        <f>R162*Q162</f>
        <v/>
      </c>
      <c r="T162" s="34">
        <f>SUMIFS('[1]GİP VERİLERİ'!$C:$C,'[1]GİP VERİLERİ'!$B:$B,A162,'[1]GİP VERİLERİ'!$M:$M,"40X000000104782K",'[1]GİP VERİLERİ'!$G:$G,"SELL")</f>
        <v/>
      </c>
      <c r="U162" s="34">
        <f>IFERROR(W162/T162,0)</f>
        <v/>
      </c>
      <c r="V162" s="34">
        <f>IF(U162=0,0,U162-F162)</f>
        <v/>
      </c>
      <c r="W162" s="34">
        <f>SUMIFS('[1]GİP VERİLERİ'!$O:$O,'[1]GİP VERİLERİ'!$B:$B,A162,'[1]GİP VERİLERİ'!$M:$M,"40X000000104782K",'[1]GİP VERİLERİ'!$G:$G,"SELL")</f>
        <v/>
      </c>
      <c r="X162" s="34">
        <f>SUMIFS('[1]GİP VERİLERİ'!$C:$C,'[1]GİP VERİLERİ'!$B:$B,A162,'[1]GİP VERİLERİ'!$M:$M,"40X000000104782K",'[1]GİP VERİLERİ'!$G:$G,"BUY")</f>
        <v/>
      </c>
      <c r="Y162" s="34">
        <f>IFERROR(AA162/X162,0)</f>
        <v/>
      </c>
      <c r="Z162" s="34">
        <f>IF(Y162=0,0,F162-Y162)</f>
        <v/>
      </c>
      <c r="AA162" s="34">
        <f>SUMIFS('[1]GİP VERİLERİ'!$O:$O,'[1]GİP VERİLERİ'!$B:$B,A162,'[1]GİP VERİLERİ'!$M:$M,"40X000000104782K",'[1]GİP VERİLERİ'!$G:$G,"BUY")</f>
        <v/>
      </c>
      <c r="AB162" s="34" t="n">
        <v>0</v>
      </c>
      <c r="AC162" s="34" t="n">
        <v>0</v>
      </c>
      <c r="AD162" s="34">
        <f>IF(AB162&gt;AC162*1.05,AB162-AC162*1.05,IF(AB162&lt;AC162*0.95,AC162*0.95-AB162,0))</f>
        <v/>
      </c>
      <c r="AE162" s="34">
        <f>MAX(F162,G162,750)*0.05*AD162</f>
        <v/>
      </c>
      <c r="AF162" s="34" t="n">
        <v>0</v>
      </c>
      <c r="AG162" s="34">
        <f>IF(AB162&gt;AF162*1.05,AB162-AF162*1.05,IF(AB162&lt;AF162*0.95,AF162*0.95-AB162,0))</f>
        <v/>
      </c>
      <c r="AH162" s="34">
        <f>MAX(I162,J162,750)*0.05*AG162</f>
        <v/>
      </c>
      <c r="AI162" t="n">
        <v>10.74</v>
      </c>
      <c r="AJ162" t="n">
        <v>9</v>
      </c>
      <c r="AK162" s="34">
        <f>IF(AI162&gt;AJ162*1.05,AI162-AJ162*1.05,IF(AI162&lt;AJ162*0.95,AJ162*0.95-AI162,0))</f>
        <v/>
      </c>
      <c r="AL162" s="34">
        <f>MAX(F162,G162,750)*0.05*AK162</f>
        <v/>
      </c>
      <c r="AM162" s="39" t="n">
        <v>10</v>
      </c>
      <c r="AN162" s="34">
        <f>IF(AI162&gt;AM162*1.05,AI162-AM162*1.05,IF(AI162&lt;AM162*0.95,AM162*0.95-AI162,0))</f>
        <v/>
      </c>
      <c r="AO162" s="34">
        <f>MAX(F162,G162,750)*0.05*AN162</f>
        <v/>
      </c>
      <c r="AP162" s="34" t="n">
        <v>13.47</v>
      </c>
      <c r="AQ162" s="34" t="n">
        <v>13.3</v>
      </c>
      <c r="AR162" s="34">
        <f>IF(AP162&gt;AQ162*1.05,AP162-AQ162*1.05,IF(AP162&lt;AQ162*0.95,AQ162*0.95-AP162,0))</f>
        <v/>
      </c>
      <c r="AS162" s="34">
        <f>MAX(F162:G162,750)*0.05*AR162</f>
        <v/>
      </c>
      <c r="AT162" t="n">
        <v>13.3</v>
      </c>
      <c r="AU162" s="34">
        <f>IF(AP162&gt;AT162*1.05,AP162-AT162*1.05,IF(AP162&lt;AT162*0.95,AT162*0.95-AP162,0))</f>
        <v/>
      </c>
      <c r="AV162" s="34">
        <f>MAX(F162:G162,750)*0.05*AU162</f>
        <v/>
      </c>
      <c r="AW162" s="34">
        <f>AC162+AJ162+AQ162</f>
        <v/>
      </c>
      <c r="AX162" s="34">
        <f>AF162+AM162+AT162</f>
        <v/>
      </c>
      <c r="AY162" s="34">
        <f>AB162+AI162+AP162</f>
        <v/>
      </c>
      <c r="AZ162" s="34" t="n">
        <v>0</v>
      </c>
      <c r="BA162" s="34">
        <f>AD162+AK162+AR162</f>
        <v/>
      </c>
      <c r="BB162" s="34">
        <f>MAX(F162:G162,750)*0.05*BA162</f>
        <v/>
      </c>
      <c r="BC162" s="34">
        <f>AG162+AN162+AU162</f>
        <v/>
      </c>
      <c r="BD162" s="34">
        <f>MAX(F162:G162,750)*0.05*BC162</f>
        <v/>
      </c>
      <c r="BE162" s="34">
        <f>F162*AY162</f>
        <v/>
      </c>
      <c r="BF162" s="34">
        <f>K162-M162</f>
        <v/>
      </c>
      <c r="BG162" s="34">
        <f>P162-S162</f>
        <v/>
      </c>
      <c r="BH162" s="34">
        <f>W162-AA162</f>
        <v/>
      </c>
      <c r="BI162" s="34">
        <f>BF162+BG162+BL162-BN162</f>
        <v/>
      </c>
      <c r="BJ162" s="34">
        <f>ABS(BK162)</f>
        <v/>
      </c>
      <c r="BK162" s="34">
        <f>AY162-(J162-L162+N162-Q162)</f>
        <v/>
      </c>
      <c r="BL162" s="34">
        <f>IF(AND(BK162&gt;0,MIN($F162:$G162)&lt;150,$E162="Enerji Açığı"),-100*BK162*1.03,IF(AND(BK162&gt;0,MIN($F162:$G162)&lt;150,$E162="Enerji Fazlası"),-100*BK162*1.06,IF(AND(BK162&gt;0,MIN($F162:$G162)&gt;=150,$E162="Enerji Açığı"),BK162*MIN($F162:$G162)*0.97,IF(AND(BK162&gt;0,MIN($F162:$G162)&gt;=150,$E162="Enerji Fazlası"),BK162*MIN($F162:$G162)*0.94,IF(AND(BK162&lt;0,MAX($F162:$G162)=4500,$E162="Enerji Açığı"),4500*1.05*1.06*BK162,IF(AND(BK162&lt;0,MAX($F162:$G162)=4500,$E162="Enerji Fazlası"),4500*1.05*1.03*BK162,IF(AND(BK162&lt;0,$E162="Enerji Açığı"),MAX($F162,$G162,150)*BK162*1.06,IF(AND(BK162&lt;0,$E162="Enerji Fazlası"),MAX($F162,$G162,150)*BK162*1.03,IF(AND(BK162&lt;0,$E162="Dengede"),MAX($F162:$G162,150)*1.03*BK162,MIN($F162:$G162)*0.97*BK162)))))))))</f>
        <v/>
      </c>
      <c r="BM162" s="34">
        <f>BE162-BI162-BN162</f>
        <v/>
      </c>
      <c r="BN162" s="34">
        <f>BB162</f>
        <v/>
      </c>
      <c r="BO162" s="34">
        <f>BE162-BI162</f>
        <v/>
      </c>
      <c r="BP162" s="34">
        <f>IF(AY162=0,0,BO162/AY162)</f>
        <v/>
      </c>
      <c r="BQ162" s="34">
        <f>MAX((AY162+MAX((-J162+L162-N162+Q162),0)),(MAX((J162-L162+N162-Q162),0)))</f>
        <v/>
      </c>
      <c r="BR162" s="82">
        <f>IFERROR(ABS(BK162/BQ162),0)</f>
        <v/>
      </c>
      <c r="BS162" s="34">
        <f>IF(BR162&lt;=0.1,0,BK162/BR162*(BR162-0.1))</f>
        <v/>
      </c>
      <c r="BT162" s="34">
        <f>IF((BS162)&lt;0,MAX(F162:G162)*(BS162)*1.03,MIN(F162:G162)*(BS162)*0.97)</f>
        <v/>
      </c>
      <c r="BU162" s="34">
        <f>IF(BR162&gt;0.1,1,0)</f>
        <v/>
      </c>
      <c r="BV162" s="34">
        <f>BF162+BG162+BH162+BY162-CA162</f>
        <v/>
      </c>
      <c r="BW162" s="34">
        <f>ABS(BX162)</f>
        <v/>
      </c>
      <c r="BX162" s="34">
        <f>AY162-(J162-L162+N162-Q162+T162-X162)</f>
        <v/>
      </c>
      <c r="BY162" s="34">
        <f>IF(AND(BX162&gt;0,MIN($F162:$G162)&lt;150,$E162="Enerji Açığı"),-100*BX162*1.03,IF(AND(BX162&gt;0,MIN($F162:$G162)&lt;150,$E162="Enerji Fazlası"),-100*BX162*1.06,IF(AND(BX162&gt;0,MIN($F162:$G162)&gt;=150,$E162="Enerji Açığı"),BX162*MIN($F162:$G162)*0.97,IF(AND(BX162&gt;0,MIN($F162:$G162)&gt;=150,$E162="Enerji Fazlası"),BX162*MIN($F162:$G162)*0.94,IF(AND(BX162&lt;0,MAX($F162:$G162)=4500,$E162="Enerji Açığı"),4500*1.05*1.06*BX162,IF(AND(BX162&lt;0,MAX($F162:$G162)=4500,$E162="Enerji Fazlası"),4500*1.05*1.03*BX162,IF(AND(BX162&lt;0,$E162="Enerji Açığı"),MAX($F162,$G162,150)*BX162*1.06,IF(AND(BX162&lt;0,$E162="Enerji Fazlası"),MAX($F162,$G162,150)*BX162*1.03,IF(AND(BX162&lt;0,$E162="Dengede"),MAX($F162:$G162,150)*1.03*BX162,MIN($F162:$G162)*0.97*BX162)))))))))</f>
        <v/>
      </c>
      <c r="BZ162" s="34">
        <f>BE162-BV162-CA162</f>
        <v/>
      </c>
      <c r="CA162" s="34">
        <f>BD162</f>
        <v/>
      </c>
      <c r="CB162" s="33">
        <f>BE162-BV162</f>
        <v/>
      </c>
      <c r="CC162" s="34">
        <f>IF(AY162=0,0,CB162/AY162)</f>
        <v/>
      </c>
      <c r="CD162" s="34">
        <f>MAX((AY162+MAX((-J162+L162-N162+Q162-T162+X162),0)),(MAX((J162-L162+N162-Q162+T162-X162),0)))</f>
        <v/>
      </c>
      <c r="CE162" s="82">
        <f>IFERROR(ABS(BX162/CD162),0)</f>
        <v/>
      </c>
      <c r="CF162" s="34">
        <f>IF(CE162&lt;=0.1,0,BX162/CE162*(CE162-0.1))</f>
        <v/>
      </c>
      <c r="CG162" s="34">
        <f>IF((CF162)&lt;0,MAX(F162:G162)*(CF162)*1.03,MIN(F162:G162)*(CF162)*0.97)</f>
        <v/>
      </c>
      <c r="CH162" s="34">
        <f>IF(CE162&gt;0.1,1,0)</f>
        <v/>
      </c>
      <c r="CI162" s="34">
        <f>(F162*BX162)-BY162</f>
        <v/>
      </c>
      <c r="CJ162" s="34">
        <f>IF(AY162=0,0,CI162/AY162)</f>
        <v/>
      </c>
    </row>
    <row r="163">
      <c r="A163" s="29" t="n">
        <v>46210.66666666666</v>
      </c>
      <c r="B163" s="29" t="inlineStr">
        <is>
          <t>16:00</t>
        </is>
      </c>
      <c r="C163" s="35">
        <f>INT(A163)</f>
        <v/>
      </c>
      <c r="D163" s="36">
        <f>MONTH(A163)</f>
        <v/>
      </c>
      <c r="E163" s="147">
        <f>[1]FİYATLAR!G162</f>
        <v/>
      </c>
      <c r="F163" s="30" t="n">
        <v>2395.31</v>
      </c>
      <c r="G163" s="30" t="n">
        <v>3500</v>
      </c>
      <c r="H163" s="30" t="n">
        <v>51.36</v>
      </c>
      <c r="I163" s="30" t="n">
        <v>2041.72</v>
      </c>
      <c r="J163" s="119" t="n">
        <v>0</v>
      </c>
      <c r="K163" s="34">
        <f>F163*J163</f>
        <v/>
      </c>
      <c r="L163" s="119" t="n">
        <v>0</v>
      </c>
      <c r="M163" s="34">
        <f>L163*F163</f>
        <v/>
      </c>
      <c r="N163" s="119" t="n">
        <v>20</v>
      </c>
      <c r="O163" s="34">
        <f>F163</f>
        <v/>
      </c>
      <c r="P163" s="34">
        <f>N163*O163</f>
        <v/>
      </c>
      <c r="Q163" s="117" t="n">
        <v>0</v>
      </c>
      <c r="R163" s="34">
        <f>F163</f>
        <v/>
      </c>
      <c r="S163" s="34">
        <f>R163*Q163</f>
        <v/>
      </c>
      <c r="T163" s="34">
        <f>SUMIFS('[1]GİP VERİLERİ'!$C:$C,'[1]GİP VERİLERİ'!$B:$B,A163,'[1]GİP VERİLERİ'!$M:$M,"40X000000104782K",'[1]GİP VERİLERİ'!$G:$G,"SELL")</f>
        <v/>
      </c>
      <c r="U163" s="34">
        <f>IFERROR(W163/T163,0)</f>
        <v/>
      </c>
      <c r="V163" s="34">
        <f>IF(U163=0,0,U163-F163)</f>
        <v/>
      </c>
      <c r="W163" s="34">
        <f>SUMIFS('[1]GİP VERİLERİ'!$O:$O,'[1]GİP VERİLERİ'!$B:$B,A163,'[1]GİP VERİLERİ'!$M:$M,"40X000000104782K",'[1]GİP VERİLERİ'!$G:$G,"SELL")</f>
        <v/>
      </c>
      <c r="X163" s="34">
        <f>SUMIFS('[1]GİP VERİLERİ'!$C:$C,'[1]GİP VERİLERİ'!$B:$B,A163,'[1]GİP VERİLERİ'!$M:$M,"40X000000104782K",'[1]GİP VERİLERİ'!$G:$G,"BUY")</f>
        <v/>
      </c>
      <c r="Y163" s="34">
        <f>IFERROR(AA163/X163,0)</f>
        <v/>
      </c>
      <c r="Z163" s="34">
        <f>IF(Y163=0,0,F163-Y163)</f>
        <v/>
      </c>
      <c r="AA163" s="34">
        <f>SUMIFS('[1]GİP VERİLERİ'!$O:$O,'[1]GİP VERİLERİ'!$B:$B,A163,'[1]GİP VERİLERİ'!$M:$M,"40X000000104782K",'[1]GİP VERİLERİ'!$G:$G,"BUY")</f>
        <v/>
      </c>
      <c r="AB163" s="34" t="n">
        <v>0</v>
      </c>
      <c r="AC163" s="34" t="n">
        <v>0</v>
      </c>
      <c r="AD163" s="34">
        <f>IF(AB163&gt;AC163*1.05,AB163-AC163*1.05,IF(AB163&lt;AC163*0.95,AC163*0.95-AB163,0))</f>
        <v/>
      </c>
      <c r="AE163" s="34">
        <f>MAX(F163,G163,750)*0.05*AD163</f>
        <v/>
      </c>
      <c r="AF163" s="34" t="n">
        <v>0</v>
      </c>
      <c r="AG163" s="34">
        <f>IF(AB163&gt;AF163*1.05,AB163-AF163*1.05,IF(AB163&lt;AF163*0.95,AF163*0.95-AB163,0))</f>
        <v/>
      </c>
      <c r="AH163" s="34">
        <f>MAX(I163,J163,750)*0.05*AG163</f>
        <v/>
      </c>
      <c r="AI163" t="n">
        <v>11.2</v>
      </c>
      <c r="AJ163" t="n">
        <v>8</v>
      </c>
      <c r="AK163" s="34">
        <f>IF(AI163&gt;AJ163*1.05,AI163-AJ163*1.05,IF(AI163&lt;AJ163*0.95,AJ163*0.95-AI163,0))</f>
        <v/>
      </c>
      <c r="AL163" s="34">
        <f>MAX(F163,G163,750)*0.05*AK163</f>
        <v/>
      </c>
      <c r="AM163" s="39" t="n">
        <v>11</v>
      </c>
      <c r="AN163" s="34">
        <f>IF(AI163&gt;AM163*1.05,AI163-AM163*1.05,IF(AI163&lt;AM163*0.95,AM163*0.95-AI163,0))</f>
        <v/>
      </c>
      <c r="AO163" s="34">
        <f>MAX(F163,G163,750)*0.05*AN163</f>
        <v/>
      </c>
      <c r="AP163" s="34" t="n">
        <v>14.12</v>
      </c>
      <c r="AQ163" s="34" t="n">
        <v>12</v>
      </c>
      <c r="AR163" s="34">
        <f>IF(AP163&gt;AQ163*1.05,AP163-AQ163*1.05,IF(AP163&lt;AQ163*0.95,AQ163*0.95-AP163,0))</f>
        <v/>
      </c>
      <c r="AS163" s="34">
        <f>MAX(F163:G163,750)*0.05*AR163</f>
        <v/>
      </c>
      <c r="AT163" t="n">
        <v>14</v>
      </c>
      <c r="AU163" s="34">
        <f>IF(AP163&gt;AT163*1.05,AP163-AT163*1.05,IF(AP163&lt;AT163*0.95,AT163*0.95-AP163,0))</f>
        <v/>
      </c>
      <c r="AV163" s="34">
        <f>MAX(F163:G163,750)*0.05*AU163</f>
        <v/>
      </c>
      <c r="AW163" s="34">
        <f>AC163+AJ163+AQ163</f>
        <v/>
      </c>
      <c r="AX163" s="34">
        <f>AF163+AM163+AT163</f>
        <v/>
      </c>
      <c r="AY163" s="34">
        <f>AB163+AI163+AP163</f>
        <v/>
      </c>
      <c r="AZ163" s="34" t="n">
        <v>0</v>
      </c>
      <c r="BA163" s="34">
        <f>AD163+AK163+AR163</f>
        <v/>
      </c>
      <c r="BB163" s="34">
        <f>MAX(F163:G163,750)*0.05*BA163</f>
        <v/>
      </c>
      <c r="BC163" s="34">
        <f>AG163+AN163+AU163</f>
        <v/>
      </c>
      <c r="BD163" s="34">
        <f>MAX(F163:G163,750)*0.05*BC163</f>
        <v/>
      </c>
      <c r="BE163" s="34">
        <f>F163*AY163</f>
        <v/>
      </c>
      <c r="BF163" s="34">
        <f>K163-M163</f>
        <v/>
      </c>
      <c r="BG163" s="34">
        <f>P163-S163</f>
        <v/>
      </c>
      <c r="BH163" s="34">
        <f>W163-AA163</f>
        <v/>
      </c>
      <c r="BI163" s="34">
        <f>BF163+BG163+BL163-BN163</f>
        <v/>
      </c>
      <c r="BJ163" s="34">
        <f>ABS(BK163)</f>
        <v/>
      </c>
      <c r="BK163" s="34">
        <f>AY163-(J163-L163+N163-Q163)</f>
        <v/>
      </c>
      <c r="BL163" s="34">
        <f>IF(AND(BK163&gt;0,MIN($F163:$G163)&lt;150,$E163="Enerji Açığı"),-100*BK163*1.03,IF(AND(BK163&gt;0,MIN($F163:$G163)&lt;150,$E163="Enerji Fazlası"),-100*BK163*1.06,IF(AND(BK163&gt;0,MIN($F163:$G163)&gt;=150,$E163="Enerji Açığı"),BK163*MIN($F163:$G163)*0.97,IF(AND(BK163&gt;0,MIN($F163:$G163)&gt;=150,$E163="Enerji Fazlası"),BK163*MIN($F163:$G163)*0.94,IF(AND(BK163&lt;0,MAX($F163:$G163)=4500,$E163="Enerji Açığı"),4500*1.05*1.06*BK163,IF(AND(BK163&lt;0,MAX($F163:$G163)=4500,$E163="Enerji Fazlası"),4500*1.05*1.03*BK163,IF(AND(BK163&lt;0,$E163="Enerji Açığı"),MAX($F163,$G163,150)*BK163*1.06,IF(AND(BK163&lt;0,$E163="Enerji Fazlası"),MAX($F163,$G163,150)*BK163*1.03,IF(AND(BK163&lt;0,$E163="Dengede"),MAX($F163:$G163,150)*1.03*BK163,MIN($F163:$G163)*0.97*BK163)))))))))</f>
        <v/>
      </c>
      <c r="BM163" s="34">
        <f>BE163-BI163-BN163</f>
        <v/>
      </c>
      <c r="BN163" s="34">
        <f>BB163</f>
        <v/>
      </c>
      <c r="BO163" s="34">
        <f>BE163-BI163</f>
        <v/>
      </c>
      <c r="BP163" s="34">
        <f>IF(AY163=0,0,BO163/AY163)</f>
        <v/>
      </c>
      <c r="BQ163" s="34">
        <f>MAX((AY163+MAX((-J163+L163-N163+Q163),0)),(MAX((J163-L163+N163-Q163),0)))</f>
        <v/>
      </c>
      <c r="BR163" s="82">
        <f>IFERROR(ABS(BK163/BQ163),0)</f>
        <v/>
      </c>
      <c r="BS163" s="34">
        <f>IF(BR163&lt;=0.1,0,BK163/BR163*(BR163-0.1))</f>
        <v/>
      </c>
      <c r="BT163" s="34">
        <f>IF((BS163)&lt;0,MAX(F163:G163)*(BS163)*1.03,MIN(F163:G163)*(BS163)*0.97)</f>
        <v/>
      </c>
      <c r="BU163" s="34">
        <f>IF(BR163&gt;0.1,1,0)</f>
        <v/>
      </c>
      <c r="BV163" s="34">
        <f>BF163+BG163+BH163+BY163-CA163</f>
        <v/>
      </c>
      <c r="BW163" s="34">
        <f>ABS(BX163)</f>
        <v/>
      </c>
      <c r="BX163" s="34">
        <f>AY163-(J163-L163+N163-Q163+T163-X163)</f>
        <v/>
      </c>
      <c r="BY163" s="34">
        <f>IF(AND(BX163&gt;0,MIN($F163:$G163)&lt;150,$E163="Enerji Açığı"),-100*BX163*1.03,IF(AND(BX163&gt;0,MIN($F163:$G163)&lt;150,$E163="Enerji Fazlası"),-100*BX163*1.06,IF(AND(BX163&gt;0,MIN($F163:$G163)&gt;=150,$E163="Enerji Açığı"),BX163*MIN($F163:$G163)*0.97,IF(AND(BX163&gt;0,MIN($F163:$G163)&gt;=150,$E163="Enerji Fazlası"),BX163*MIN($F163:$G163)*0.94,IF(AND(BX163&lt;0,MAX($F163:$G163)=4500,$E163="Enerji Açığı"),4500*1.05*1.06*BX163,IF(AND(BX163&lt;0,MAX($F163:$G163)=4500,$E163="Enerji Fazlası"),4500*1.05*1.03*BX163,IF(AND(BX163&lt;0,$E163="Enerji Açığı"),MAX($F163,$G163,150)*BX163*1.06,IF(AND(BX163&lt;0,$E163="Enerji Fazlası"),MAX($F163,$G163,150)*BX163*1.03,IF(AND(BX163&lt;0,$E163="Dengede"),MAX($F163:$G163,150)*1.03*BX163,MIN($F163:$G163)*0.97*BX163)))))))))</f>
        <v/>
      </c>
      <c r="BZ163" s="34">
        <f>BE163-BV163-CA163</f>
        <v/>
      </c>
      <c r="CA163" s="34">
        <f>BD163</f>
        <v/>
      </c>
      <c r="CB163" s="33">
        <f>BE163-BV163</f>
        <v/>
      </c>
      <c r="CC163" s="34">
        <f>IF(AY163=0,0,CB163/AY163)</f>
        <v/>
      </c>
      <c r="CD163" s="34">
        <f>MAX((AY163+MAX((-J163+L163-N163+Q163-T163+X163),0)),(MAX((J163-L163+N163-Q163+T163-X163),0)))</f>
        <v/>
      </c>
      <c r="CE163" s="82">
        <f>IFERROR(ABS(BX163/CD163),0)</f>
        <v/>
      </c>
      <c r="CF163" s="34">
        <f>IF(CE163&lt;=0.1,0,BX163/CE163*(CE163-0.1))</f>
        <v/>
      </c>
      <c r="CG163" s="34">
        <f>IF((CF163)&lt;0,MAX(F163:G163)*(CF163)*1.03,MIN(F163:G163)*(CF163)*0.97)</f>
        <v/>
      </c>
      <c r="CH163" s="34">
        <f>IF(CE163&gt;0.1,1,0)</f>
        <v/>
      </c>
      <c r="CI163" s="34">
        <f>(F163*BX163)-BY163</f>
        <v/>
      </c>
      <c r="CJ163" s="34">
        <f>IF(AY163=0,0,CI163/AY163)</f>
        <v/>
      </c>
    </row>
    <row r="164">
      <c r="A164" s="29" t="n">
        <v>46210.70833333334</v>
      </c>
      <c r="B164" s="29" t="inlineStr">
        <is>
          <t>17:00</t>
        </is>
      </c>
      <c r="C164" s="35">
        <f>INT(A164)</f>
        <v/>
      </c>
      <c r="D164" s="36">
        <f>MONTH(A164)</f>
        <v/>
      </c>
      <c r="E164" s="147">
        <f>[1]FİYATLAR!G163</f>
        <v/>
      </c>
      <c r="F164" s="30" t="n">
        <v>2865.59</v>
      </c>
      <c r="G164" s="30" t="n">
        <v>4029</v>
      </c>
      <c r="H164" s="30" t="n">
        <v>61.45</v>
      </c>
      <c r="I164" s="30" t="n">
        <v>2746.02</v>
      </c>
      <c r="J164" s="119" t="n">
        <v>0</v>
      </c>
      <c r="K164" s="34">
        <f>F164*J164</f>
        <v/>
      </c>
      <c r="L164" s="119" t="n">
        <v>0</v>
      </c>
      <c r="M164" s="34">
        <f>L164*F164</f>
        <v/>
      </c>
      <c r="N164" s="119" t="n">
        <v>19.5</v>
      </c>
      <c r="O164" s="34">
        <f>F164</f>
        <v/>
      </c>
      <c r="P164" s="34">
        <f>N164*O164</f>
        <v/>
      </c>
      <c r="Q164" s="117" t="n">
        <v>0</v>
      </c>
      <c r="R164" s="34">
        <f>F164</f>
        <v/>
      </c>
      <c r="S164" s="34">
        <f>R164*Q164</f>
        <v/>
      </c>
      <c r="T164" s="34">
        <f>SUMIFS('[1]GİP VERİLERİ'!$C:$C,'[1]GİP VERİLERİ'!$B:$B,A164,'[1]GİP VERİLERİ'!$M:$M,"40X000000104782K",'[1]GİP VERİLERİ'!$G:$G,"SELL")</f>
        <v/>
      </c>
      <c r="U164" s="34">
        <f>IFERROR(W164/T164,0)</f>
        <v/>
      </c>
      <c r="V164" s="34">
        <f>IF(U164=0,0,U164-F164)</f>
        <v/>
      </c>
      <c r="W164" s="34">
        <f>SUMIFS('[1]GİP VERİLERİ'!$O:$O,'[1]GİP VERİLERİ'!$B:$B,A164,'[1]GİP VERİLERİ'!$M:$M,"40X000000104782K",'[1]GİP VERİLERİ'!$G:$G,"SELL")</f>
        <v/>
      </c>
      <c r="X164" s="34">
        <f>SUMIFS('[1]GİP VERİLERİ'!$C:$C,'[1]GİP VERİLERİ'!$B:$B,A164,'[1]GİP VERİLERİ'!$M:$M,"40X000000104782K",'[1]GİP VERİLERİ'!$G:$G,"BUY")</f>
        <v/>
      </c>
      <c r="Y164" s="34">
        <f>IFERROR(AA164/X164,0)</f>
        <v/>
      </c>
      <c r="Z164" s="34">
        <f>IF(Y164=0,0,F164-Y164)</f>
        <v/>
      </c>
      <c r="AA164" s="34">
        <f>SUMIFS('[1]GİP VERİLERİ'!$O:$O,'[1]GİP VERİLERİ'!$B:$B,A164,'[1]GİP VERİLERİ'!$M:$M,"40X000000104782K",'[1]GİP VERİLERİ'!$G:$G,"BUY")</f>
        <v/>
      </c>
      <c r="AB164" s="34" t="n">
        <v>0</v>
      </c>
      <c r="AC164" s="34" t="n">
        <v>0</v>
      </c>
      <c r="AD164" s="34">
        <f>IF(AB164&gt;AC164*1.05,AB164-AC164*1.05,IF(AB164&lt;AC164*0.95,AC164*0.95-AB164,0))</f>
        <v/>
      </c>
      <c r="AE164" s="34">
        <f>MAX(F164,G164,750)*0.05*AD164</f>
        <v/>
      </c>
      <c r="AF164" s="34" t="n">
        <v>0</v>
      </c>
      <c r="AG164" s="34">
        <f>IF(AB164&gt;AF164*1.05,AB164-AF164*1.05,IF(AB164&lt;AF164*0.95,AF164*0.95-AB164,0))</f>
        <v/>
      </c>
      <c r="AH164" s="34">
        <f>MAX(I164,J164,750)*0.05*AG164</f>
        <v/>
      </c>
      <c r="AI164" t="n">
        <v>11.18</v>
      </c>
      <c r="AJ164" t="n">
        <v>8</v>
      </c>
      <c r="AK164" s="34">
        <f>IF(AI164&gt;AJ164*1.05,AI164-AJ164*1.05,IF(AI164&lt;AJ164*0.95,AJ164*0.95-AI164,0))</f>
        <v/>
      </c>
      <c r="AL164" s="34">
        <f>MAX(F164,G164,750)*0.05*AK164</f>
        <v/>
      </c>
      <c r="AM164" s="39" t="n">
        <v>11</v>
      </c>
      <c r="AN164" s="34">
        <f>IF(AI164&gt;AM164*1.05,AI164-AM164*1.05,IF(AI164&lt;AM164*0.95,AM164*0.95-AI164,0))</f>
        <v/>
      </c>
      <c r="AO164" s="34">
        <f>MAX(F164,G164,750)*0.05*AN164</f>
        <v/>
      </c>
      <c r="AP164" s="34" t="n">
        <v>13.48</v>
      </c>
      <c r="AQ164" s="34" t="n">
        <v>11.5</v>
      </c>
      <c r="AR164" s="34">
        <f>IF(AP164&gt;AQ164*1.05,AP164-AQ164*1.05,IF(AP164&lt;AQ164*0.95,AQ164*0.95-AP164,0))</f>
        <v/>
      </c>
      <c r="AS164" s="34">
        <f>MAX(F164:G164,750)*0.05*AR164</f>
        <v/>
      </c>
      <c r="AT164" t="n">
        <v>13.5</v>
      </c>
      <c r="AU164" s="34">
        <f>IF(AP164&gt;AT164*1.05,AP164-AT164*1.05,IF(AP164&lt;AT164*0.95,AT164*0.95-AP164,0))</f>
        <v/>
      </c>
      <c r="AV164" s="34">
        <f>MAX(F164:G164,750)*0.05*AU164</f>
        <v/>
      </c>
      <c r="AW164" s="34">
        <f>AC164+AJ164+AQ164</f>
        <v/>
      </c>
      <c r="AX164" s="34">
        <f>AF164+AM164+AT164</f>
        <v/>
      </c>
      <c r="AY164" s="34">
        <f>AB164+AI164+AP164</f>
        <v/>
      </c>
      <c r="AZ164" s="34" t="n">
        <v>0</v>
      </c>
      <c r="BA164" s="34">
        <f>AD164+AK164+AR164</f>
        <v/>
      </c>
      <c r="BB164" s="34">
        <f>MAX(F164:G164,750)*0.05*BA164</f>
        <v/>
      </c>
      <c r="BC164" s="34">
        <f>AG164+AN164+AU164</f>
        <v/>
      </c>
      <c r="BD164" s="34">
        <f>MAX(F164:G164,750)*0.05*BC164</f>
        <v/>
      </c>
      <c r="BE164" s="34">
        <f>F164*AY164</f>
        <v/>
      </c>
      <c r="BF164" s="34">
        <f>K164-M164</f>
        <v/>
      </c>
      <c r="BG164" s="34">
        <f>P164-S164</f>
        <v/>
      </c>
      <c r="BH164" s="34">
        <f>W164-AA164</f>
        <v/>
      </c>
      <c r="BI164" s="34">
        <f>BF164+BG164+BL164-BN164</f>
        <v/>
      </c>
      <c r="BJ164" s="34">
        <f>ABS(BK164)</f>
        <v/>
      </c>
      <c r="BK164" s="34">
        <f>AY164-(J164-L164+N164-Q164)</f>
        <v/>
      </c>
      <c r="BL164" s="34">
        <f>IF(AND(BK164&gt;0,MIN($F164:$G164)&lt;150,$E164="Enerji Açığı"),-100*BK164*1.03,IF(AND(BK164&gt;0,MIN($F164:$G164)&lt;150,$E164="Enerji Fazlası"),-100*BK164*1.06,IF(AND(BK164&gt;0,MIN($F164:$G164)&gt;=150,$E164="Enerji Açığı"),BK164*MIN($F164:$G164)*0.97,IF(AND(BK164&gt;0,MIN($F164:$G164)&gt;=150,$E164="Enerji Fazlası"),BK164*MIN($F164:$G164)*0.94,IF(AND(BK164&lt;0,MAX($F164:$G164)=4500,$E164="Enerji Açığı"),4500*1.05*1.06*BK164,IF(AND(BK164&lt;0,MAX($F164:$G164)=4500,$E164="Enerji Fazlası"),4500*1.05*1.03*BK164,IF(AND(BK164&lt;0,$E164="Enerji Açığı"),MAX($F164,$G164,150)*BK164*1.06,IF(AND(BK164&lt;0,$E164="Enerji Fazlası"),MAX($F164,$G164,150)*BK164*1.03,IF(AND(BK164&lt;0,$E164="Dengede"),MAX($F164:$G164,150)*1.03*BK164,MIN($F164:$G164)*0.97*BK164)))))))))</f>
        <v/>
      </c>
      <c r="BM164" s="34">
        <f>BE164-BI164-BN164</f>
        <v/>
      </c>
      <c r="BN164" s="34">
        <f>BB164</f>
        <v/>
      </c>
      <c r="BO164" s="34">
        <f>BE164-BI164</f>
        <v/>
      </c>
      <c r="BP164" s="34">
        <f>IF(AY164=0,0,BO164/AY164)</f>
        <v/>
      </c>
      <c r="BQ164" s="34">
        <f>MAX((AY164+MAX((-J164+L164-N164+Q164),0)),(MAX((J164-L164+N164-Q164),0)))</f>
        <v/>
      </c>
      <c r="BR164" s="82">
        <f>IFERROR(ABS(BK164/BQ164),0)</f>
        <v/>
      </c>
      <c r="BS164" s="34">
        <f>IF(BR164&lt;=0.1,0,BK164/BR164*(BR164-0.1))</f>
        <v/>
      </c>
      <c r="BT164" s="34">
        <f>IF((BS164)&lt;0,MAX(F164:G164)*(BS164)*1.03,MIN(F164:G164)*(BS164)*0.97)</f>
        <v/>
      </c>
      <c r="BU164" s="34">
        <f>IF(BR164&gt;0.1,1,0)</f>
        <v/>
      </c>
      <c r="BV164" s="34">
        <f>BF164+BG164+BH164+BY164-CA164</f>
        <v/>
      </c>
      <c r="BW164" s="34">
        <f>ABS(BX164)</f>
        <v/>
      </c>
      <c r="BX164" s="34">
        <f>AY164-(J164-L164+N164-Q164+T164-X164)</f>
        <v/>
      </c>
      <c r="BY164" s="34">
        <f>IF(AND(BX164&gt;0,MIN($F164:$G164)&lt;150,$E164="Enerji Açığı"),-100*BX164*1.03,IF(AND(BX164&gt;0,MIN($F164:$G164)&lt;150,$E164="Enerji Fazlası"),-100*BX164*1.06,IF(AND(BX164&gt;0,MIN($F164:$G164)&gt;=150,$E164="Enerji Açığı"),BX164*MIN($F164:$G164)*0.97,IF(AND(BX164&gt;0,MIN($F164:$G164)&gt;=150,$E164="Enerji Fazlası"),BX164*MIN($F164:$G164)*0.94,IF(AND(BX164&lt;0,MAX($F164:$G164)=4500,$E164="Enerji Açığı"),4500*1.05*1.06*BX164,IF(AND(BX164&lt;0,MAX($F164:$G164)=4500,$E164="Enerji Fazlası"),4500*1.05*1.03*BX164,IF(AND(BX164&lt;0,$E164="Enerji Açığı"),MAX($F164,$G164,150)*BX164*1.06,IF(AND(BX164&lt;0,$E164="Enerji Fazlası"),MAX($F164,$G164,150)*BX164*1.03,IF(AND(BX164&lt;0,$E164="Dengede"),MAX($F164:$G164,150)*1.03*BX164,MIN($F164:$G164)*0.97*BX164)))))))))</f>
        <v/>
      </c>
      <c r="BZ164" s="34">
        <f>BE164-BV164-CA164</f>
        <v/>
      </c>
      <c r="CA164" s="34">
        <f>BD164</f>
        <v/>
      </c>
      <c r="CB164" s="33">
        <f>BE164-BV164</f>
        <v/>
      </c>
      <c r="CC164" s="34">
        <f>IF(AY164=0,0,CB164/AY164)</f>
        <v/>
      </c>
      <c r="CD164" s="34">
        <f>MAX((AY164+MAX((-J164+L164-N164+Q164-T164+X164),0)),(MAX((J164-L164+N164-Q164+T164-X164),0)))</f>
        <v/>
      </c>
      <c r="CE164" s="82">
        <f>IFERROR(ABS(BX164/CD164),0)</f>
        <v/>
      </c>
      <c r="CF164" s="34">
        <f>IF(CE164&lt;=0.1,0,BX164/CE164*(CE164-0.1))</f>
        <v/>
      </c>
      <c r="CG164" s="34">
        <f>IF((CF164)&lt;0,MAX(F164:G164)*(CF164)*1.03,MIN(F164:G164)*(CF164)*0.97)</f>
        <v/>
      </c>
      <c r="CH164" s="34">
        <f>IF(CE164&gt;0.1,1,0)</f>
        <v/>
      </c>
      <c r="CI164" s="34">
        <f>(F164*BX164)-BY164</f>
        <v/>
      </c>
      <c r="CJ164" s="34">
        <f>IF(AY164=0,0,CI164/AY164)</f>
        <v/>
      </c>
    </row>
    <row r="165">
      <c r="A165" s="29" t="n">
        <v>46210.75</v>
      </c>
      <c r="B165" s="29" t="inlineStr">
        <is>
          <t>18:00</t>
        </is>
      </c>
      <c r="C165" s="35">
        <f>INT(A165)</f>
        <v/>
      </c>
      <c r="D165" s="36">
        <f>MONTH(A165)</f>
        <v/>
      </c>
      <c r="E165" s="147">
        <f>[1]FİYATLAR!G164</f>
        <v/>
      </c>
      <c r="F165" s="30" t="n">
        <v>2451</v>
      </c>
      <c r="G165" s="30" t="n">
        <v>4100</v>
      </c>
      <c r="H165" s="30" t="n">
        <v>52.56</v>
      </c>
      <c r="I165" s="30" t="n">
        <v>2687.07</v>
      </c>
      <c r="J165" s="119" t="n">
        <v>0</v>
      </c>
      <c r="K165" s="34">
        <f>F165*J165</f>
        <v/>
      </c>
      <c r="L165" s="119" t="n">
        <v>0</v>
      </c>
      <c r="M165" s="34">
        <f>L165*F165</f>
        <v/>
      </c>
      <c r="N165" s="119" t="n">
        <v>20.3</v>
      </c>
      <c r="O165" s="34">
        <f>F165</f>
        <v/>
      </c>
      <c r="P165" s="34">
        <f>N165*O165</f>
        <v/>
      </c>
      <c r="Q165" s="117" t="n">
        <v>0</v>
      </c>
      <c r="R165" s="34">
        <f>F165</f>
        <v/>
      </c>
      <c r="S165" s="34">
        <f>R165*Q165</f>
        <v/>
      </c>
      <c r="T165" s="34">
        <f>SUMIFS('[1]GİP VERİLERİ'!$C:$C,'[1]GİP VERİLERİ'!$B:$B,A165,'[1]GİP VERİLERİ'!$M:$M,"40X000000104782K",'[1]GİP VERİLERİ'!$G:$G,"SELL")</f>
        <v/>
      </c>
      <c r="U165" s="34">
        <f>IFERROR(W165/T165,0)</f>
        <v/>
      </c>
      <c r="V165" s="34">
        <f>IF(U165=0,0,U165-F165)</f>
        <v/>
      </c>
      <c r="W165" s="34">
        <f>SUMIFS('[1]GİP VERİLERİ'!$O:$O,'[1]GİP VERİLERİ'!$B:$B,A165,'[1]GİP VERİLERİ'!$M:$M,"40X000000104782K",'[1]GİP VERİLERİ'!$G:$G,"SELL")</f>
        <v/>
      </c>
      <c r="X165" s="34">
        <f>SUMIFS('[1]GİP VERİLERİ'!$C:$C,'[1]GİP VERİLERİ'!$B:$B,A165,'[1]GİP VERİLERİ'!$M:$M,"40X000000104782K",'[1]GİP VERİLERİ'!$G:$G,"BUY")</f>
        <v/>
      </c>
      <c r="Y165" s="34">
        <f>IFERROR(AA165/X165,0)</f>
        <v/>
      </c>
      <c r="Z165" s="34">
        <f>IF(Y165=0,0,F165-Y165)</f>
        <v/>
      </c>
      <c r="AA165" s="34">
        <f>SUMIFS('[1]GİP VERİLERİ'!$O:$O,'[1]GİP VERİLERİ'!$B:$B,A165,'[1]GİP VERİLERİ'!$M:$M,"40X000000104782K",'[1]GİP VERİLERİ'!$G:$G,"BUY")</f>
        <v/>
      </c>
      <c r="AB165" s="34" t="n">
        <v>0</v>
      </c>
      <c r="AC165" s="34" t="n">
        <v>0</v>
      </c>
      <c r="AD165" s="34">
        <f>IF(AB165&gt;AC165*1.05,AB165-AC165*1.05,IF(AB165&lt;AC165*0.95,AC165*0.95-AB165,0))</f>
        <v/>
      </c>
      <c r="AE165" s="34">
        <f>MAX(F165,G165,750)*0.05*AD165</f>
        <v/>
      </c>
      <c r="AF165" s="34" t="n">
        <v>0</v>
      </c>
      <c r="AG165" s="34">
        <f>IF(AB165&gt;AF165*1.05,AB165-AF165*1.05,IF(AB165&lt;AF165*0.95,AF165*0.95-AB165,0))</f>
        <v/>
      </c>
      <c r="AH165" s="34">
        <f>MAX(I165,J165,750)*0.05*AG165</f>
        <v/>
      </c>
      <c r="AI165" t="n">
        <v>10.12</v>
      </c>
      <c r="AJ165" t="n">
        <v>9</v>
      </c>
      <c r="AK165" s="34">
        <f>IF(AI165&gt;AJ165*1.05,AI165-AJ165*1.05,IF(AI165&lt;AJ165*0.95,AJ165*0.95-AI165,0))</f>
        <v/>
      </c>
      <c r="AL165" s="34">
        <f>MAX(F165,G165,750)*0.05*AK165</f>
        <v/>
      </c>
      <c r="AM165" s="39" t="n">
        <v>10</v>
      </c>
      <c r="AN165" s="34">
        <f>IF(AI165&gt;AM165*1.05,AI165-AM165*1.05,IF(AI165&lt;AM165*0.95,AM165*0.95-AI165,0))</f>
        <v/>
      </c>
      <c r="AO165" s="34">
        <f>MAX(F165,G165,750)*0.05*AN165</f>
        <v/>
      </c>
      <c r="AP165" s="34" t="n">
        <v>13.57</v>
      </c>
      <c r="AQ165" s="34" t="n">
        <v>11.3</v>
      </c>
      <c r="AR165" s="34">
        <f>IF(AP165&gt;AQ165*1.05,AP165-AQ165*1.05,IF(AP165&lt;AQ165*0.95,AQ165*0.95-AP165,0))</f>
        <v/>
      </c>
      <c r="AS165" s="34">
        <f>MAX(F165:G165,750)*0.05*AR165</f>
        <v/>
      </c>
      <c r="AT165" t="n">
        <v>13.5</v>
      </c>
      <c r="AU165" s="34">
        <f>IF(AP165&gt;AT165*1.05,AP165-AT165*1.05,IF(AP165&lt;AT165*0.95,AT165*0.95-AP165,0))</f>
        <v/>
      </c>
      <c r="AV165" s="34">
        <f>MAX(F165:G165,750)*0.05*AU165</f>
        <v/>
      </c>
      <c r="AW165" s="34">
        <f>AC165+AJ165+AQ165</f>
        <v/>
      </c>
      <c r="AX165" s="34">
        <f>AF165+AM165+AT165</f>
        <v/>
      </c>
      <c r="AY165" s="34">
        <f>AB165+AI165+AP165</f>
        <v/>
      </c>
      <c r="AZ165" s="34" t="n">
        <v>0</v>
      </c>
      <c r="BA165" s="34">
        <f>AD165+AK165+AR165</f>
        <v/>
      </c>
      <c r="BB165" s="34">
        <f>MAX(F165:G165,750)*0.05*BA165</f>
        <v/>
      </c>
      <c r="BC165" s="34">
        <f>AG165+AN165+AU165</f>
        <v/>
      </c>
      <c r="BD165" s="34">
        <f>MAX(F165:G165,750)*0.05*BC165</f>
        <v/>
      </c>
      <c r="BE165" s="34">
        <f>F165*AY165</f>
        <v/>
      </c>
      <c r="BF165" s="34">
        <f>K165-M165</f>
        <v/>
      </c>
      <c r="BG165" s="34">
        <f>P165-S165</f>
        <v/>
      </c>
      <c r="BH165" s="34">
        <f>W165-AA165</f>
        <v/>
      </c>
      <c r="BI165" s="34">
        <f>BF165+BG165+BL165-BN165</f>
        <v/>
      </c>
      <c r="BJ165" s="34">
        <f>ABS(BK165)</f>
        <v/>
      </c>
      <c r="BK165" s="34">
        <f>AY165-(J165-L165+N165-Q165)</f>
        <v/>
      </c>
      <c r="BL165" s="34">
        <f>IF(AND(BK165&gt;0,MIN($F165:$G165)&lt;150,$E165="Enerji Açığı"),-100*BK165*1.03,IF(AND(BK165&gt;0,MIN($F165:$G165)&lt;150,$E165="Enerji Fazlası"),-100*BK165*1.06,IF(AND(BK165&gt;0,MIN($F165:$G165)&gt;=150,$E165="Enerji Açığı"),BK165*MIN($F165:$G165)*0.97,IF(AND(BK165&gt;0,MIN($F165:$G165)&gt;=150,$E165="Enerji Fazlası"),BK165*MIN($F165:$G165)*0.94,IF(AND(BK165&lt;0,MAX($F165:$G165)=4500,$E165="Enerji Açığı"),4500*1.05*1.06*BK165,IF(AND(BK165&lt;0,MAX($F165:$G165)=4500,$E165="Enerji Fazlası"),4500*1.05*1.03*BK165,IF(AND(BK165&lt;0,$E165="Enerji Açığı"),MAX($F165,$G165,150)*BK165*1.06,IF(AND(BK165&lt;0,$E165="Enerji Fazlası"),MAX($F165,$G165,150)*BK165*1.03,IF(AND(BK165&lt;0,$E165="Dengede"),MAX($F165:$G165,150)*1.03*BK165,MIN($F165:$G165)*0.97*BK165)))))))))</f>
        <v/>
      </c>
      <c r="BM165" s="34">
        <f>BE165-BI165-BN165</f>
        <v/>
      </c>
      <c r="BN165" s="34">
        <f>BB165</f>
        <v/>
      </c>
      <c r="BO165" s="34">
        <f>BE165-BI165</f>
        <v/>
      </c>
      <c r="BP165" s="34">
        <f>IF(AY165=0,0,BO165/AY165)</f>
        <v/>
      </c>
      <c r="BQ165" s="34">
        <f>MAX((AY165+MAX((-J165+L165-N165+Q165),0)),(MAX((J165-L165+N165-Q165),0)))</f>
        <v/>
      </c>
      <c r="BR165" s="82">
        <f>IFERROR(ABS(BK165/BQ165),0)</f>
        <v/>
      </c>
      <c r="BS165" s="34">
        <f>IF(BR165&lt;=0.1,0,BK165/BR165*(BR165-0.1))</f>
        <v/>
      </c>
      <c r="BT165" s="34">
        <f>IF((BS165)&lt;0,MAX(F165:G165)*(BS165)*1.03,MIN(F165:G165)*(BS165)*0.97)</f>
        <v/>
      </c>
      <c r="BU165" s="34">
        <f>IF(BR165&gt;0.1,1,0)</f>
        <v/>
      </c>
      <c r="BV165" s="34">
        <f>BF165+BG165+BH165+BY165-CA165</f>
        <v/>
      </c>
      <c r="BW165" s="34">
        <f>ABS(BX165)</f>
        <v/>
      </c>
      <c r="BX165" s="34">
        <f>AY165-(J165-L165+N165-Q165+T165-X165)</f>
        <v/>
      </c>
      <c r="BY165" s="34">
        <f>IF(AND(BX165&gt;0,MIN($F165:$G165)&lt;150,$E165="Enerji Açığı"),-100*BX165*1.03,IF(AND(BX165&gt;0,MIN($F165:$G165)&lt;150,$E165="Enerji Fazlası"),-100*BX165*1.06,IF(AND(BX165&gt;0,MIN($F165:$G165)&gt;=150,$E165="Enerji Açığı"),BX165*MIN($F165:$G165)*0.97,IF(AND(BX165&gt;0,MIN($F165:$G165)&gt;=150,$E165="Enerji Fazlası"),BX165*MIN($F165:$G165)*0.94,IF(AND(BX165&lt;0,MAX($F165:$G165)=4500,$E165="Enerji Açığı"),4500*1.05*1.06*BX165,IF(AND(BX165&lt;0,MAX($F165:$G165)=4500,$E165="Enerji Fazlası"),4500*1.05*1.03*BX165,IF(AND(BX165&lt;0,$E165="Enerji Açığı"),MAX($F165,$G165,150)*BX165*1.06,IF(AND(BX165&lt;0,$E165="Enerji Fazlası"),MAX($F165,$G165,150)*BX165*1.03,IF(AND(BX165&lt;0,$E165="Dengede"),MAX($F165:$G165,150)*1.03*BX165,MIN($F165:$G165)*0.97*BX165)))))))))</f>
        <v/>
      </c>
      <c r="BZ165" s="34">
        <f>BE165-BV165-CA165</f>
        <v/>
      </c>
      <c r="CA165" s="34">
        <f>BD165</f>
        <v/>
      </c>
      <c r="CB165" s="33">
        <f>BE165-BV165</f>
        <v/>
      </c>
      <c r="CC165" s="34">
        <f>IF(AY165=0,0,CB165/AY165)</f>
        <v/>
      </c>
      <c r="CD165" s="34">
        <f>MAX((AY165+MAX((-J165+L165-N165+Q165-T165+X165),0)),(MAX((J165-L165+N165-Q165+T165-X165),0)))</f>
        <v/>
      </c>
      <c r="CE165" s="82">
        <f>IFERROR(ABS(BX165/CD165),0)</f>
        <v/>
      </c>
      <c r="CF165" s="34">
        <f>IF(CE165&lt;=0.1,0,BX165/CE165*(CE165-0.1))</f>
        <v/>
      </c>
      <c r="CG165" s="34">
        <f>IF((CF165)&lt;0,MAX(F165:G165)*(CF165)*1.03,MIN(F165:G165)*(CF165)*0.97)</f>
        <v/>
      </c>
      <c r="CH165" s="34">
        <f>IF(CE165&gt;0.1,1,0)</f>
        <v/>
      </c>
      <c r="CI165" s="34">
        <f>(F165*BX165)-BY165</f>
        <v/>
      </c>
      <c r="CJ165" s="34">
        <f>IF(AY165=0,0,CI165/AY165)</f>
        <v/>
      </c>
    </row>
    <row r="166">
      <c r="A166" s="29" t="n">
        <v>46210.79166666666</v>
      </c>
      <c r="B166" s="29" t="inlineStr">
        <is>
          <t>19:00</t>
        </is>
      </c>
      <c r="C166" s="35">
        <f>INT(A166)</f>
        <v/>
      </c>
      <c r="D166" s="36">
        <f>MONTH(A166)</f>
        <v/>
      </c>
      <c r="E166" s="147">
        <f>[1]FİYATLAR!G165</f>
        <v/>
      </c>
      <c r="F166" s="30" t="n">
        <v>2874.99</v>
      </c>
      <c r="G166" s="30" t="n">
        <v>4100</v>
      </c>
      <c r="H166" s="30" t="n">
        <v>61.65</v>
      </c>
      <c r="I166" s="30" t="n">
        <v>3250.98</v>
      </c>
      <c r="J166" s="119" t="n">
        <v>0</v>
      </c>
      <c r="K166" s="34">
        <f>F166*J166</f>
        <v/>
      </c>
      <c r="L166" s="119" t="n">
        <v>0</v>
      </c>
      <c r="M166" s="34">
        <f>L166*F166</f>
        <v/>
      </c>
      <c r="N166" s="119" t="n">
        <v>20.2</v>
      </c>
      <c r="O166" s="34">
        <f>F166</f>
        <v/>
      </c>
      <c r="P166" s="34">
        <f>N166*O166</f>
        <v/>
      </c>
      <c r="Q166" s="117" t="n">
        <v>0</v>
      </c>
      <c r="R166" s="34">
        <f>F166</f>
        <v/>
      </c>
      <c r="S166" s="34">
        <f>R166*Q166</f>
        <v/>
      </c>
      <c r="T166" s="34">
        <f>SUMIFS('[1]GİP VERİLERİ'!$C:$C,'[1]GİP VERİLERİ'!$B:$B,A166,'[1]GİP VERİLERİ'!$M:$M,"40X000000104782K",'[1]GİP VERİLERİ'!$G:$G,"SELL")</f>
        <v/>
      </c>
      <c r="U166" s="34">
        <f>IFERROR(W166/T166,0)</f>
        <v/>
      </c>
      <c r="V166" s="34">
        <f>IF(U166=0,0,U166-F166)</f>
        <v/>
      </c>
      <c r="W166" s="34">
        <f>SUMIFS('[1]GİP VERİLERİ'!$O:$O,'[1]GİP VERİLERİ'!$B:$B,A166,'[1]GİP VERİLERİ'!$M:$M,"40X000000104782K",'[1]GİP VERİLERİ'!$G:$G,"SELL")</f>
        <v/>
      </c>
      <c r="X166" s="34">
        <f>SUMIFS('[1]GİP VERİLERİ'!$C:$C,'[1]GİP VERİLERİ'!$B:$B,A166,'[1]GİP VERİLERİ'!$M:$M,"40X000000104782K",'[1]GİP VERİLERİ'!$G:$G,"BUY")</f>
        <v/>
      </c>
      <c r="Y166" s="34">
        <f>IFERROR(AA166/X166,0)</f>
        <v/>
      </c>
      <c r="Z166" s="34">
        <f>IF(Y166=0,0,F166-Y166)</f>
        <v/>
      </c>
      <c r="AA166" s="34">
        <f>SUMIFS('[1]GİP VERİLERİ'!$O:$O,'[1]GİP VERİLERİ'!$B:$B,A166,'[1]GİP VERİLERİ'!$M:$M,"40X000000104782K",'[1]GİP VERİLERİ'!$G:$G,"BUY")</f>
        <v/>
      </c>
      <c r="AB166" s="34" t="n">
        <v>0</v>
      </c>
      <c r="AC166" s="34" t="n">
        <v>0</v>
      </c>
      <c r="AD166" s="34">
        <f>IF(AB166&gt;AC166*1.05,AB166-AC166*1.05,IF(AB166&lt;AC166*0.95,AC166*0.95-AB166,0))</f>
        <v/>
      </c>
      <c r="AE166" s="34">
        <f>MAX(F166,G166,750)*0.05*AD166</f>
        <v/>
      </c>
      <c r="AF166" s="34" t="n">
        <v>0</v>
      </c>
      <c r="AG166" s="34">
        <f>IF(AB166&gt;AF166*1.05,AB166-AF166*1.05,IF(AB166&lt;AF166*0.95,AF166*0.95-AB166,0))</f>
        <v/>
      </c>
      <c r="AH166" s="34">
        <f>MAX(I166,J166,750)*0.05*AG166</f>
        <v/>
      </c>
      <c r="AI166" t="n">
        <v>10.16</v>
      </c>
      <c r="AJ166" t="n">
        <v>9</v>
      </c>
      <c r="AK166" s="34">
        <f>IF(AI166&gt;AJ166*1.05,AI166-AJ166*1.05,IF(AI166&lt;AJ166*0.95,AJ166*0.95-AI166,0))</f>
        <v/>
      </c>
      <c r="AL166" s="34">
        <f>MAX(F166,G166,750)*0.05*AK166</f>
        <v/>
      </c>
      <c r="AM166" s="39" t="n">
        <v>10</v>
      </c>
      <c r="AN166" s="34">
        <f>IF(AI166&gt;AM166*1.05,AI166-AM166*1.05,IF(AI166&lt;AM166*0.95,AM166*0.95-AI166,0))</f>
        <v/>
      </c>
      <c r="AO166" s="34">
        <f>MAX(F166,G166,750)*0.05*AN166</f>
        <v/>
      </c>
      <c r="AP166" s="34" t="n">
        <v>13.11</v>
      </c>
      <c r="AQ166" s="34" t="n">
        <v>11.2</v>
      </c>
      <c r="AR166" s="34">
        <f>IF(AP166&gt;AQ166*1.05,AP166-AQ166*1.05,IF(AP166&lt;AQ166*0.95,AQ166*0.95-AP166,0))</f>
        <v/>
      </c>
      <c r="AS166" s="34">
        <f>MAX(F166:G166,750)*0.05*AR166</f>
        <v/>
      </c>
      <c r="AT166" t="n">
        <v>13</v>
      </c>
      <c r="AU166" s="34">
        <f>IF(AP166&gt;AT166*1.05,AP166-AT166*1.05,IF(AP166&lt;AT166*0.95,AT166*0.95-AP166,0))</f>
        <v/>
      </c>
      <c r="AV166" s="34">
        <f>MAX(F166:G166,750)*0.05*AU166</f>
        <v/>
      </c>
      <c r="AW166" s="34">
        <f>AC166+AJ166+AQ166</f>
        <v/>
      </c>
      <c r="AX166" s="34">
        <f>AF166+AM166+AT166</f>
        <v/>
      </c>
      <c r="AY166" s="34">
        <f>AB166+AI166+AP166</f>
        <v/>
      </c>
      <c r="AZ166" s="34" t="n">
        <v>0</v>
      </c>
      <c r="BA166" s="34">
        <f>AD166+AK166+AR166</f>
        <v/>
      </c>
      <c r="BB166" s="34">
        <f>MAX(F166:G166,750)*0.05*BA166</f>
        <v/>
      </c>
      <c r="BC166" s="34">
        <f>AG166+AN166+AU166</f>
        <v/>
      </c>
      <c r="BD166" s="34">
        <f>MAX(F166:G166,750)*0.05*BC166</f>
        <v/>
      </c>
      <c r="BE166" s="34">
        <f>F166*AY166</f>
        <v/>
      </c>
      <c r="BF166" s="34">
        <f>K166-M166</f>
        <v/>
      </c>
      <c r="BG166" s="34">
        <f>P166-S166</f>
        <v/>
      </c>
      <c r="BH166" s="34">
        <f>W166-AA166</f>
        <v/>
      </c>
      <c r="BI166" s="34">
        <f>BF166+BG166+BL166-BN166</f>
        <v/>
      </c>
      <c r="BJ166" s="34">
        <f>ABS(BK166)</f>
        <v/>
      </c>
      <c r="BK166" s="34">
        <f>AY166-(J166-L166+N166-Q166)</f>
        <v/>
      </c>
      <c r="BL166" s="34">
        <f>IF(AND(BK166&gt;0,MIN($F166:$G166)&lt;150,$E166="Enerji Açığı"),-100*BK166*1.03,IF(AND(BK166&gt;0,MIN($F166:$G166)&lt;150,$E166="Enerji Fazlası"),-100*BK166*1.06,IF(AND(BK166&gt;0,MIN($F166:$G166)&gt;=150,$E166="Enerji Açığı"),BK166*MIN($F166:$G166)*0.97,IF(AND(BK166&gt;0,MIN($F166:$G166)&gt;=150,$E166="Enerji Fazlası"),BK166*MIN($F166:$G166)*0.94,IF(AND(BK166&lt;0,MAX($F166:$G166)=4500,$E166="Enerji Açığı"),4500*1.05*1.06*BK166,IF(AND(BK166&lt;0,MAX($F166:$G166)=4500,$E166="Enerji Fazlası"),4500*1.05*1.03*BK166,IF(AND(BK166&lt;0,$E166="Enerji Açığı"),MAX($F166,$G166,150)*BK166*1.06,IF(AND(BK166&lt;0,$E166="Enerji Fazlası"),MAX($F166,$G166,150)*BK166*1.03,IF(AND(BK166&lt;0,$E166="Dengede"),MAX($F166:$G166,150)*1.03*BK166,MIN($F166:$G166)*0.97*BK166)))))))))</f>
        <v/>
      </c>
      <c r="BM166" s="34">
        <f>BE166-BI166-BN166</f>
        <v/>
      </c>
      <c r="BN166" s="34">
        <f>BB166</f>
        <v/>
      </c>
      <c r="BO166" s="34">
        <f>BE166-BI166</f>
        <v/>
      </c>
      <c r="BP166" s="34">
        <f>IF(AY166=0,0,BO166/AY166)</f>
        <v/>
      </c>
      <c r="BQ166" s="34">
        <f>MAX((AY166+MAX((-J166+L166-N166+Q166),0)),(MAX((J166-L166+N166-Q166),0)))</f>
        <v/>
      </c>
      <c r="BR166" s="82">
        <f>IFERROR(ABS(BK166/BQ166),0)</f>
        <v/>
      </c>
      <c r="BS166" s="34">
        <f>IF(BR166&lt;=0.1,0,BK166/BR166*(BR166-0.1))</f>
        <v/>
      </c>
      <c r="BT166" s="34">
        <f>IF((BS166)&lt;0,MAX(F166:G166)*(BS166)*1.03,MIN(F166:G166)*(BS166)*0.97)</f>
        <v/>
      </c>
      <c r="BU166" s="34">
        <f>IF(BR166&gt;0.1,1,0)</f>
        <v/>
      </c>
      <c r="BV166" s="34">
        <f>BF166+BG166+BH166+BY166-CA166</f>
        <v/>
      </c>
      <c r="BW166" s="34">
        <f>ABS(BX166)</f>
        <v/>
      </c>
      <c r="BX166" s="34">
        <f>AY166-(J166-L166+N166-Q166+T166-X166)</f>
        <v/>
      </c>
      <c r="BY166" s="34">
        <f>IF(AND(BX166&gt;0,MIN($F166:$G166)&lt;150,$E166="Enerji Açığı"),-100*BX166*1.03,IF(AND(BX166&gt;0,MIN($F166:$G166)&lt;150,$E166="Enerji Fazlası"),-100*BX166*1.06,IF(AND(BX166&gt;0,MIN($F166:$G166)&gt;=150,$E166="Enerji Açığı"),BX166*MIN($F166:$G166)*0.97,IF(AND(BX166&gt;0,MIN($F166:$G166)&gt;=150,$E166="Enerji Fazlası"),BX166*MIN($F166:$G166)*0.94,IF(AND(BX166&lt;0,MAX($F166:$G166)=4500,$E166="Enerji Açığı"),4500*1.05*1.06*BX166,IF(AND(BX166&lt;0,MAX($F166:$G166)=4500,$E166="Enerji Fazlası"),4500*1.05*1.03*BX166,IF(AND(BX166&lt;0,$E166="Enerji Açığı"),MAX($F166,$G166,150)*BX166*1.06,IF(AND(BX166&lt;0,$E166="Enerji Fazlası"),MAX($F166,$G166,150)*BX166*1.03,IF(AND(BX166&lt;0,$E166="Dengede"),MAX($F166:$G166,150)*1.03*BX166,MIN($F166:$G166)*0.97*BX166)))))))))</f>
        <v/>
      </c>
      <c r="BZ166" s="34">
        <f>BE166-BV166-CA166</f>
        <v/>
      </c>
      <c r="CA166" s="34">
        <f>BD166</f>
        <v/>
      </c>
      <c r="CB166" s="33">
        <f>BE166-BV166</f>
        <v/>
      </c>
      <c r="CC166" s="34">
        <f>IF(AY166=0,0,CB166/AY166)</f>
        <v/>
      </c>
      <c r="CD166" s="34">
        <f>MAX((AY166+MAX((-J166+L166-N166+Q166-T166+X166),0)),(MAX((J166-L166+N166-Q166+T166-X166),0)))</f>
        <v/>
      </c>
      <c r="CE166" s="82">
        <f>IFERROR(ABS(BX166/CD166),0)</f>
        <v/>
      </c>
      <c r="CF166" s="34">
        <f>IF(CE166&lt;=0.1,0,BX166/CE166*(CE166-0.1))</f>
        <v/>
      </c>
      <c r="CG166" s="34">
        <f>IF((CF166)&lt;0,MAX(F166:G166)*(CF166)*1.03,MIN(F166:G166)*(CF166)*0.97)</f>
        <v/>
      </c>
      <c r="CH166" s="34">
        <f>IF(CE166&gt;0.1,1,0)</f>
        <v/>
      </c>
      <c r="CI166" s="34">
        <f>(F166*BX166)-BY166</f>
        <v/>
      </c>
      <c r="CJ166" s="34">
        <f>IF(AY166=0,0,CI166/AY166)</f>
        <v/>
      </c>
    </row>
    <row r="167">
      <c r="A167" s="29" t="n">
        <v>46210.83333333334</v>
      </c>
      <c r="B167" s="29" t="inlineStr">
        <is>
          <t>20:00</t>
        </is>
      </c>
      <c r="C167" s="35">
        <f>INT(A167)</f>
        <v/>
      </c>
      <c r="D167" s="36">
        <f>MONTH(A167)</f>
        <v/>
      </c>
      <c r="E167" s="147">
        <f>[1]FİYATLAR!G166</f>
        <v/>
      </c>
      <c r="F167" s="30" t="n">
        <v>4245</v>
      </c>
      <c r="G167" s="30" t="n">
        <v>4245</v>
      </c>
      <c r="H167" s="30" t="n">
        <v>91.03</v>
      </c>
      <c r="I167" s="30" t="n">
        <v>4303.33</v>
      </c>
      <c r="J167" s="119" t="n">
        <v>0</v>
      </c>
      <c r="K167" s="34">
        <f>F167*J167</f>
        <v/>
      </c>
      <c r="L167" s="119" t="n">
        <v>0</v>
      </c>
      <c r="M167" s="34">
        <f>L167*F167</f>
        <v/>
      </c>
      <c r="N167" s="119" t="n">
        <v>20</v>
      </c>
      <c r="O167" s="34">
        <f>F167</f>
        <v/>
      </c>
      <c r="P167" s="34">
        <f>N167*O167</f>
        <v/>
      </c>
      <c r="Q167" s="117" t="n">
        <v>0</v>
      </c>
      <c r="R167" s="34">
        <f>F167</f>
        <v/>
      </c>
      <c r="S167" s="34">
        <f>R167*Q167</f>
        <v/>
      </c>
      <c r="T167" s="34">
        <f>SUMIFS('[1]GİP VERİLERİ'!$C:$C,'[1]GİP VERİLERİ'!$B:$B,A167,'[1]GİP VERİLERİ'!$M:$M,"40X000000104782K",'[1]GİP VERİLERİ'!$G:$G,"SELL")</f>
        <v/>
      </c>
      <c r="U167" s="34">
        <f>IFERROR(W167/T167,0)</f>
        <v/>
      </c>
      <c r="V167" s="34">
        <f>IF(U167=0,0,U167-F167)</f>
        <v/>
      </c>
      <c r="W167" s="34">
        <f>SUMIFS('[1]GİP VERİLERİ'!$O:$O,'[1]GİP VERİLERİ'!$B:$B,A167,'[1]GİP VERİLERİ'!$M:$M,"40X000000104782K",'[1]GİP VERİLERİ'!$G:$G,"SELL")</f>
        <v/>
      </c>
      <c r="X167" s="34">
        <f>SUMIFS('[1]GİP VERİLERİ'!$C:$C,'[1]GİP VERİLERİ'!$B:$B,A167,'[1]GİP VERİLERİ'!$M:$M,"40X000000104782K",'[1]GİP VERİLERİ'!$G:$G,"BUY")</f>
        <v/>
      </c>
      <c r="Y167" s="34">
        <f>IFERROR(AA167/X167,0)</f>
        <v/>
      </c>
      <c r="Z167" s="34">
        <f>IF(Y167=0,0,F167-Y167)</f>
        <v/>
      </c>
      <c r="AA167" s="34">
        <f>SUMIFS('[1]GİP VERİLERİ'!$O:$O,'[1]GİP VERİLERİ'!$B:$B,A167,'[1]GİP VERİLERİ'!$M:$M,"40X000000104782K",'[1]GİP VERİLERİ'!$G:$G,"BUY")</f>
        <v/>
      </c>
      <c r="AB167" s="34" t="n">
        <v>0</v>
      </c>
      <c r="AC167" s="34" t="n">
        <v>0</v>
      </c>
      <c r="AD167" s="34">
        <f>IF(AB167&gt;AC167*1.05,AB167-AC167*1.05,IF(AB167&lt;AC167*0.95,AC167*0.95-AB167,0))</f>
        <v/>
      </c>
      <c r="AE167" s="34">
        <f>MAX(F167,G167,750)*0.05*AD167</f>
        <v/>
      </c>
      <c r="AF167" s="34" t="n">
        <v>0</v>
      </c>
      <c r="AG167" s="34">
        <f>IF(AB167&gt;AF167*1.05,AB167-AF167*1.05,IF(AB167&lt;AF167*0.95,AF167*0.95-AB167,0))</f>
        <v/>
      </c>
      <c r="AH167" s="34">
        <f>MAX(I167,J167,750)*0.05*AG167</f>
        <v/>
      </c>
      <c r="AI167" t="n">
        <v>9.09</v>
      </c>
      <c r="AJ167" t="n">
        <v>9</v>
      </c>
      <c r="AK167" s="34">
        <f>IF(AI167&gt;AJ167*1.05,AI167-AJ167*1.05,IF(AI167&lt;AJ167*0.95,AJ167*0.95-AI167,0))</f>
        <v/>
      </c>
      <c r="AL167" s="34">
        <f>MAX(F167,G167,750)*0.05*AK167</f>
        <v/>
      </c>
      <c r="AM167" s="39" t="n">
        <v>9</v>
      </c>
      <c r="AN167" s="34">
        <f>IF(AI167&gt;AM167*1.05,AI167-AM167*1.05,IF(AI167&lt;AM167*0.95,AM167*0.95-AI167,0))</f>
        <v/>
      </c>
      <c r="AO167" s="34">
        <f>MAX(F167,G167,750)*0.05*AN167</f>
        <v/>
      </c>
      <c r="AP167" s="34" t="n">
        <v>13.08</v>
      </c>
      <c r="AQ167" s="34" t="n">
        <v>11</v>
      </c>
      <c r="AR167" s="34">
        <f>IF(AP167&gt;AQ167*1.05,AP167-AQ167*1.05,IF(AP167&lt;AQ167*0.95,AQ167*0.95-AP167,0))</f>
        <v/>
      </c>
      <c r="AS167" s="34">
        <f>MAX(F167:G167,750)*0.05*AR167</f>
        <v/>
      </c>
      <c r="AT167" t="n">
        <v>13</v>
      </c>
      <c r="AU167" s="34">
        <f>IF(AP167&gt;AT167*1.05,AP167-AT167*1.05,IF(AP167&lt;AT167*0.95,AT167*0.95-AP167,0))</f>
        <v/>
      </c>
      <c r="AV167" s="34">
        <f>MAX(F167:G167,750)*0.05*AU167</f>
        <v/>
      </c>
      <c r="AW167" s="34">
        <f>AC167+AJ167+AQ167</f>
        <v/>
      </c>
      <c r="AX167" s="34">
        <f>AF167+AM167+AT167</f>
        <v/>
      </c>
      <c r="AY167" s="34">
        <f>AB167+AI167+AP167</f>
        <v/>
      </c>
      <c r="AZ167" s="34" t="n">
        <v>0</v>
      </c>
      <c r="BA167" s="34">
        <f>AD167+AK167+AR167</f>
        <v/>
      </c>
      <c r="BB167" s="34">
        <f>MAX(F167:G167,750)*0.05*BA167</f>
        <v/>
      </c>
      <c r="BC167" s="34">
        <f>AG167+AN167+AU167</f>
        <v/>
      </c>
      <c r="BD167" s="34">
        <f>MAX(F167:G167,750)*0.05*BC167</f>
        <v/>
      </c>
      <c r="BE167" s="34">
        <f>F167*AY167</f>
        <v/>
      </c>
      <c r="BF167" s="34">
        <f>K167-M167</f>
        <v/>
      </c>
      <c r="BG167" s="34">
        <f>P167-S167</f>
        <v/>
      </c>
      <c r="BH167" s="34">
        <f>W167-AA167</f>
        <v/>
      </c>
      <c r="BI167" s="34">
        <f>BF167+BG167+BL167-BN167</f>
        <v/>
      </c>
      <c r="BJ167" s="34">
        <f>ABS(BK167)</f>
        <v/>
      </c>
      <c r="BK167" s="34">
        <f>AY167-(J167-L167+N167-Q167)</f>
        <v/>
      </c>
      <c r="BL167" s="34">
        <f>IF(AND(BK167&gt;0,MIN($F167:$G167)&lt;150,$E167="Enerji Açığı"),-100*BK167*1.03,IF(AND(BK167&gt;0,MIN($F167:$G167)&lt;150,$E167="Enerji Fazlası"),-100*BK167*1.06,IF(AND(BK167&gt;0,MIN($F167:$G167)&gt;=150,$E167="Enerji Açığı"),BK167*MIN($F167:$G167)*0.97,IF(AND(BK167&gt;0,MIN($F167:$G167)&gt;=150,$E167="Enerji Fazlası"),BK167*MIN($F167:$G167)*0.94,IF(AND(BK167&lt;0,MAX($F167:$G167)=4500,$E167="Enerji Açığı"),4500*1.05*1.06*BK167,IF(AND(BK167&lt;0,MAX($F167:$G167)=4500,$E167="Enerji Fazlası"),4500*1.05*1.03*BK167,IF(AND(BK167&lt;0,$E167="Enerji Açığı"),MAX($F167,$G167,150)*BK167*1.06,IF(AND(BK167&lt;0,$E167="Enerji Fazlası"),MAX($F167,$G167,150)*BK167*1.03,IF(AND(BK167&lt;0,$E167="Dengede"),MAX($F167:$G167,150)*1.03*BK167,MIN($F167:$G167)*0.97*BK167)))))))))</f>
        <v/>
      </c>
      <c r="BM167" s="34">
        <f>BE167-BI167-BN167</f>
        <v/>
      </c>
      <c r="BN167" s="34">
        <f>BB167</f>
        <v/>
      </c>
      <c r="BO167" s="34">
        <f>BE167-BI167</f>
        <v/>
      </c>
      <c r="BP167" s="34">
        <f>IF(AY167=0,0,BO167/AY167)</f>
        <v/>
      </c>
      <c r="BQ167" s="34">
        <f>MAX((AY167+MAX((-J167+L167-N167+Q167),0)),(MAX((J167-L167+N167-Q167),0)))</f>
        <v/>
      </c>
      <c r="BR167" s="82">
        <f>IFERROR(ABS(BK167/BQ167),0)</f>
        <v/>
      </c>
      <c r="BS167" s="34">
        <f>IF(BR167&lt;=0.1,0,BK167/BR167*(BR167-0.1))</f>
        <v/>
      </c>
      <c r="BT167" s="34">
        <f>IF((BS167)&lt;0,MAX(F167:G167)*(BS167)*1.03,MIN(F167:G167)*(BS167)*0.97)</f>
        <v/>
      </c>
      <c r="BU167" s="34">
        <f>IF(BR167&gt;0.1,1,0)</f>
        <v/>
      </c>
      <c r="BV167" s="34">
        <f>BF167+BG167+BH167+BY167-CA167</f>
        <v/>
      </c>
      <c r="BW167" s="34">
        <f>ABS(BX167)</f>
        <v/>
      </c>
      <c r="BX167" s="34">
        <f>AY167-(J167-L167+N167-Q167+T167-X167)</f>
        <v/>
      </c>
      <c r="BY167" s="34">
        <f>IF(AND(BX167&gt;0,MIN($F167:$G167)&lt;150,$E167="Enerji Açığı"),-100*BX167*1.03,IF(AND(BX167&gt;0,MIN($F167:$G167)&lt;150,$E167="Enerji Fazlası"),-100*BX167*1.06,IF(AND(BX167&gt;0,MIN($F167:$G167)&gt;=150,$E167="Enerji Açığı"),BX167*MIN($F167:$G167)*0.97,IF(AND(BX167&gt;0,MIN($F167:$G167)&gt;=150,$E167="Enerji Fazlası"),BX167*MIN($F167:$G167)*0.94,IF(AND(BX167&lt;0,MAX($F167:$G167)=4500,$E167="Enerji Açığı"),4500*1.05*1.06*BX167,IF(AND(BX167&lt;0,MAX($F167:$G167)=4500,$E167="Enerji Fazlası"),4500*1.05*1.03*BX167,IF(AND(BX167&lt;0,$E167="Enerji Açığı"),MAX($F167,$G167,150)*BX167*1.06,IF(AND(BX167&lt;0,$E167="Enerji Fazlası"),MAX($F167,$G167,150)*BX167*1.03,IF(AND(BX167&lt;0,$E167="Dengede"),MAX($F167:$G167,150)*1.03*BX167,MIN($F167:$G167)*0.97*BX167)))))))))</f>
        <v/>
      </c>
      <c r="BZ167" s="34">
        <f>BE167-BV167-CA167</f>
        <v/>
      </c>
      <c r="CA167" s="34">
        <f>BD167</f>
        <v/>
      </c>
      <c r="CB167" s="33">
        <f>BE167-BV167</f>
        <v/>
      </c>
      <c r="CC167" s="34">
        <f>IF(AY167=0,0,CB167/AY167)</f>
        <v/>
      </c>
      <c r="CD167" s="34">
        <f>MAX((AY167+MAX((-J167+L167-N167+Q167-T167+X167),0)),(MAX((J167-L167+N167-Q167+T167-X167),0)))</f>
        <v/>
      </c>
      <c r="CE167" s="82">
        <f>IFERROR(ABS(BX167/CD167),0)</f>
        <v/>
      </c>
      <c r="CF167" s="34">
        <f>IF(CE167&lt;=0.1,0,BX167/CE167*(CE167-0.1))</f>
        <v/>
      </c>
      <c r="CG167" s="34">
        <f>IF((CF167)&lt;0,MAX(F167:G167)*(CF167)*1.03,MIN(F167:G167)*(CF167)*0.97)</f>
        <v/>
      </c>
      <c r="CH167" s="34">
        <f>IF(CE167&gt;0.1,1,0)</f>
        <v/>
      </c>
      <c r="CI167" s="34">
        <f>(F167*BX167)-BY167</f>
        <v/>
      </c>
      <c r="CJ167" s="34">
        <f>IF(AY167=0,0,CI167/AY167)</f>
        <v/>
      </c>
    </row>
    <row r="168">
      <c r="A168" s="29" t="n">
        <v>46210.875</v>
      </c>
      <c r="B168" s="29" t="inlineStr">
        <is>
          <t>21:00</t>
        </is>
      </c>
      <c r="C168" s="35">
        <f>INT(A168)</f>
        <v/>
      </c>
      <c r="D168" s="36">
        <f>MONTH(A168)</f>
        <v/>
      </c>
      <c r="E168" s="147">
        <f>[1]FİYATLAR!G167</f>
        <v/>
      </c>
      <c r="F168" s="30" t="n">
        <v>4435.01</v>
      </c>
      <c r="G168" s="30" t="n">
        <v>4435.01</v>
      </c>
      <c r="H168" s="30" t="n">
        <v>95.09999999999999</v>
      </c>
      <c r="I168" s="30" t="n">
        <v>4466.71</v>
      </c>
      <c r="J168" s="119" t="n">
        <v>0</v>
      </c>
      <c r="K168" s="34">
        <f>F168*J168</f>
        <v/>
      </c>
      <c r="L168" s="119" t="n">
        <v>0</v>
      </c>
      <c r="M168" s="34">
        <f>L168*F168</f>
        <v/>
      </c>
      <c r="N168" s="119" t="n">
        <v>20</v>
      </c>
      <c r="O168" s="34">
        <f>F168</f>
        <v/>
      </c>
      <c r="P168" s="34">
        <f>N168*O168</f>
        <v/>
      </c>
      <c r="Q168" s="117" t="n">
        <v>0</v>
      </c>
      <c r="R168" s="34">
        <f>F168</f>
        <v/>
      </c>
      <c r="S168" s="34">
        <f>R168*Q168</f>
        <v/>
      </c>
      <c r="T168" s="34">
        <f>SUMIFS('[1]GİP VERİLERİ'!$C:$C,'[1]GİP VERİLERİ'!$B:$B,A168,'[1]GİP VERİLERİ'!$M:$M,"40X000000104782K",'[1]GİP VERİLERİ'!$G:$G,"SELL")</f>
        <v/>
      </c>
      <c r="U168" s="34">
        <f>IFERROR(W168/T168,0)</f>
        <v/>
      </c>
      <c r="V168" s="34">
        <f>IF(U168=0,0,U168-F168)</f>
        <v/>
      </c>
      <c r="W168" s="34">
        <f>SUMIFS('[1]GİP VERİLERİ'!$O:$O,'[1]GİP VERİLERİ'!$B:$B,A168,'[1]GİP VERİLERİ'!$M:$M,"40X000000104782K",'[1]GİP VERİLERİ'!$G:$G,"SELL")</f>
        <v/>
      </c>
      <c r="X168" s="34">
        <f>SUMIFS('[1]GİP VERİLERİ'!$C:$C,'[1]GİP VERİLERİ'!$B:$B,A168,'[1]GİP VERİLERİ'!$M:$M,"40X000000104782K",'[1]GİP VERİLERİ'!$G:$G,"BUY")</f>
        <v/>
      </c>
      <c r="Y168" s="34">
        <f>IFERROR(AA168/X168,0)</f>
        <v/>
      </c>
      <c r="Z168" s="34">
        <f>IF(Y168=0,0,F168-Y168)</f>
        <v/>
      </c>
      <c r="AA168" s="34">
        <f>SUMIFS('[1]GİP VERİLERİ'!$O:$O,'[1]GİP VERİLERİ'!$B:$B,A168,'[1]GİP VERİLERİ'!$M:$M,"40X000000104782K",'[1]GİP VERİLERİ'!$G:$G,"BUY")</f>
        <v/>
      </c>
      <c r="AB168" s="34" t="n">
        <v>0</v>
      </c>
      <c r="AC168" s="34" t="n">
        <v>0</v>
      </c>
      <c r="AD168" s="34">
        <f>IF(AB168&gt;AC168*1.05,AB168-AC168*1.05,IF(AB168&lt;AC168*0.95,AC168*0.95-AB168,0))</f>
        <v/>
      </c>
      <c r="AE168" s="34">
        <f>MAX(F168,G168,750)*0.05*AD168</f>
        <v/>
      </c>
      <c r="AF168" s="34" t="n">
        <v>0</v>
      </c>
      <c r="AG168" s="34">
        <f>IF(AB168&gt;AF168*1.05,AB168-AF168*1.05,IF(AB168&lt;AF168*0.95,AF168*0.95-AB168,0))</f>
        <v/>
      </c>
      <c r="AH168" s="34">
        <f>MAX(I168,J168,750)*0.05*AG168</f>
        <v/>
      </c>
      <c r="AI168" t="n">
        <v>9.19</v>
      </c>
      <c r="AJ168" t="n">
        <v>9</v>
      </c>
      <c r="AK168" s="34">
        <f>IF(AI168&gt;AJ168*1.05,AI168-AJ168*1.05,IF(AI168&lt;AJ168*0.95,AJ168*0.95-AI168,0))</f>
        <v/>
      </c>
      <c r="AL168" s="34">
        <f>MAX(F168,G168,750)*0.05*AK168</f>
        <v/>
      </c>
      <c r="AM168" s="39" t="n">
        <v>9</v>
      </c>
      <c r="AN168" s="34">
        <f>IF(AI168&gt;AM168*1.05,AI168-AM168*1.05,IF(AI168&lt;AM168*0.95,AM168*0.95-AI168,0))</f>
        <v/>
      </c>
      <c r="AO168" s="34">
        <f>MAX(F168,G168,750)*0.05*AN168</f>
        <v/>
      </c>
      <c r="AP168" s="34" t="n">
        <v>13.09</v>
      </c>
      <c r="AQ168" s="34" t="n">
        <v>11</v>
      </c>
      <c r="AR168" s="34">
        <f>IF(AP168&gt;AQ168*1.05,AP168-AQ168*1.05,IF(AP168&lt;AQ168*0.95,AQ168*0.95-AP168,0))</f>
        <v/>
      </c>
      <c r="AS168" s="34">
        <f>MAX(F168:G168,750)*0.05*AR168</f>
        <v/>
      </c>
      <c r="AT168" t="n">
        <v>13</v>
      </c>
      <c r="AU168" s="34">
        <f>IF(AP168&gt;AT168*1.05,AP168-AT168*1.05,IF(AP168&lt;AT168*0.95,AT168*0.95-AP168,0))</f>
        <v/>
      </c>
      <c r="AV168" s="34">
        <f>MAX(F168:G168,750)*0.05*AU168</f>
        <v/>
      </c>
      <c r="AW168" s="34">
        <f>AC168+AJ168+AQ168</f>
        <v/>
      </c>
      <c r="AX168" s="34">
        <f>AF168+AM168+AT168</f>
        <v/>
      </c>
      <c r="AY168" s="34">
        <f>AB168+AI168+AP168</f>
        <v/>
      </c>
      <c r="AZ168" s="34" t="n">
        <v>0</v>
      </c>
      <c r="BA168" s="34">
        <f>AD168+AK168+AR168</f>
        <v/>
      </c>
      <c r="BB168" s="34">
        <f>MAX(F168:G168,750)*0.05*BA168</f>
        <v/>
      </c>
      <c r="BC168" s="34">
        <f>AG168+AN168+AU168</f>
        <v/>
      </c>
      <c r="BD168" s="34">
        <f>MAX(F168:G168,750)*0.05*BC168</f>
        <v/>
      </c>
      <c r="BE168" s="34">
        <f>F168*AY168</f>
        <v/>
      </c>
      <c r="BF168" s="34">
        <f>K168-M168</f>
        <v/>
      </c>
      <c r="BG168" s="34">
        <f>P168-S168</f>
        <v/>
      </c>
      <c r="BH168" s="34">
        <f>W168-AA168</f>
        <v/>
      </c>
      <c r="BI168" s="34">
        <f>BF168+BG168+BL168-BN168</f>
        <v/>
      </c>
      <c r="BJ168" s="34">
        <f>ABS(BK168)</f>
        <v/>
      </c>
      <c r="BK168" s="34">
        <f>AY168-(J168-L168+N168-Q168)</f>
        <v/>
      </c>
      <c r="BL168" s="34">
        <f>IF(AND(BK168&gt;0,MIN($F168:$G168)&lt;150,$E168="Enerji Açığı"),-100*BK168*1.03,IF(AND(BK168&gt;0,MIN($F168:$G168)&lt;150,$E168="Enerji Fazlası"),-100*BK168*1.06,IF(AND(BK168&gt;0,MIN($F168:$G168)&gt;=150,$E168="Enerji Açığı"),BK168*MIN($F168:$G168)*0.97,IF(AND(BK168&gt;0,MIN($F168:$G168)&gt;=150,$E168="Enerji Fazlası"),BK168*MIN($F168:$G168)*0.94,IF(AND(BK168&lt;0,MAX($F168:$G168)=4500,$E168="Enerji Açığı"),4500*1.05*1.06*BK168,IF(AND(BK168&lt;0,MAX($F168:$G168)=4500,$E168="Enerji Fazlası"),4500*1.05*1.03*BK168,IF(AND(BK168&lt;0,$E168="Enerji Açığı"),MAX($F168,$G168,150)*BK168*1.06,IF(AND(BK168&lt;0,$E168="Enerji Fazlası"),MAX($F168,$G168,150)*BK168*1.03,IF(AND(BK168&lt;0,$E168="Dengede"),MAX($F168:$G168,150)*1.03*BK168,MIN($F168:$G168)*0.97*BK168)))))))))</f>
        <v/>
      </c>
      <c r="BM168" s="34">
        <f>BE168-BI168-BN168</f>
        <v/>
      </c>
      <c r="BN168" s="34">
        <f>BB168</f>
        <v/>
      </c>
      <c r="BO168" s="34">
        <f>BE168-BI168</f>
        <v/>
      </c>
      <c r="BP168" s="34">
        <f>IF(AY168=0,0,BO168/AY168)</f>
        <v/>
      </c>
      <c r="BQ168" s="34">
        <f>MAX((AY168+MAX((-J168+L168-N168+Q168),0)),(MAX((J168-L168+N168-Q168),0)))</f>
        <v/>
      </c>
      <c r="BR168" s="82">
        <f>IFERROR(ABS(BK168/BQ168),0)</f>
        <v/>
      </c>
      <c r="BS168" s="34">
        <f>IF(BR168&lt;=0.1,0,BK168/BR168*(BR168-0.1))</f>
        <v/>
      </c>
      <c r="BT168" s="34">
        <f>IF((BS168)&lt;0,MAX(F168:G168)*(BS168)*1.03,MIN(F168:G168)*(BS168)*0.97)</f>
        <v/>
      </c>
      <c r="BU168" s="34">
        <f>IF(BR168&gt;0.1,1,0)</f>
        <v/>
      </c>
      <c r="BV168" s="34">
        <f>BF168+BG168+BH168+BY168-CA168</f>
        <v/>
      </c>
      <c r="BW168" s="34">
        <f>ABS(BX168)</f>
        <v/>
      </c>
      <c r="BX168" s="34">
        <f>AY168-(J168-L168+N168-Q168+T168-X168)</f>
        <v/>
      </c>
      <c r="BY168" s="34">
        <f>IF(AND(BX168&gt;0,MIN($F168:$G168)&lt;150,$E168="Enerji Açığı"),-100*BX168*1.03,IF(AND(BX168&gt;0,MIN($F168:$G168)&lt;150,$E168="Enerji Fazlası"),-100*BX168*1.06,IF(AND(BX168&gt;0,MIN($F168:$G168)&gt;=150,$E168="Enerji Açığı"),BX168*MIN($F168:$G168)*0.97,IF(AND(BX168&gt;0,MIN($F168:$G168)&gt;=150,$E168="Enerji Fazlası"),BX168*MIN($F168:$G168)*0.94,IF(AND(BX168&lt;0,MAX($F168:$G168)=4500,$E168="Enerji Açığı"),4500*1.05*1.06*BX168,IF(AND(BX168&lt;0,MAX($F168:$G168)=4500,$E168="Enerji Fazlası"),4500*1.05*1.03*BX168,IF(AND(BX168&lt;0,$E168="Enerji Açığı"),MAX($F168,$G168,150)*BX168*1.06,IF(AND(BX168&lt;0,$E168="Enerji Fazlası"),MAX($F168,$G168,150)*BX168*1.03,IF(AND(BX168&lt;0,$E168="Dengede"),MAX($F168:$G168,150)*1.03*BX168,MIN($F168:$G168)*0.97*BX168)))))))))</f>
        <v/>
      </c>
      <c r="BZ168" s="34">
        <f>BE168-BV168-CA168</f>
        <v/>
      </c>
      <c r="CA168" s="34">
        <f>BD168</f>
        <v/>
      </c>
      <c r="CB168" s="33">
        <f>BE168-BV168</f>
        <v/>
      </c>
      <c r="CC168" s="34">
        <f>IF(AY168=0,0,CB168/AY168)</f>
        <v/>
      </c>
      <c r="CD168" s="34">
        <f>MAX((AY168+MAX((-J168+L168-N168+Q168-T168+X168),0)),(MAX((J168-L168+N168-Q168+T168-X168),0)))</f>
        <v/>
      </c>
      <c r="CE168" s="82">
        <f>IFERROR(ABS(BX168/CD168),0)</f>
        <v/>
      </c>
      <c r="CF168" s="34">
        <f>IF(CE168&lt;=0.1,0,BX168/CE168*(CE168-0.1))</f>
        <v/>
      </c>
      <c r="CG168" s="34">
        <f>IF((CF168)&lt;0,MAX(F168:G168)*(CF168)*1.03,MIN(F168:G168)*(CF168)*0.97)</f>
        <v/>
      </c>
      <c r="CH168" s="34">
        <f>IF(CE168&gt;0.1,1,0)</f>
        <v/>
      </c>
      <c r="CI168" s="34">
        <f>(F168*BX168)-BY168</f>
        <v/>
      </c>
      <c r="CJ168" s="34">
        <f>IF(AY168=0,0,CI168/AY168)</f>
        <v/>
      </c>
    </row>
    <row r="169">
      <c r="A169" s="29" t="n">
        <v>46210.91666666666</v>
      </c>
      <c r="B169" s="29" t="inlineStr">
        <is>
          <t>22:00</t>
        </is>
      </c>
      <c r="C169" s="35">
        <f>INT(A169)</f>
        <v/>
      </c>
      <c r="D169" s="36">
        <f>MONTH(A169)</f>
        <v/>
      </c>
      <c r="E169" s="147">
        <f>[1]FİYATLAR!G168</f>
        <v/>
      </c>
      <c r="F169" s="30" t="n">
        <v>3692.66</v>
      </c>
      <c r="G169" s="30" t="n">
        <v>4000</v>
      </c>
      <c r="H169" s="30" t="n">
        <v>79.18000000000001</v>
      </c>
      <c r="I169" s="30" t="n">
        <v>4029.65</v>
      </c>
      <c r="J169" s="119" t="n">
        <v>0</v>
      </c>
      <c r="K169" s="34">
        <f>F169*J169</f>
        <v/>
      </c>
      <c r="L169" s="119" t="n">
        <v>0</v>
      </c>
      <c r="M169" s="34">
        <f>L169*F169</f>
        <v/>
      </c>
      <c r="N169" s="119" t="n">
        <v>19</v>
      </c>
      <c r="O169" s="34">
        <f>F169</f>
        <v/>
      </c>
      <c r="P169" s="34">
        <f>N169*O169</f>
        <v/>
      </c>
      <c r="Q169" s="117" t="n">
        <v>0</v>
      </c>
      <c r="R169" s="34">
        <f>F169</f>
        <v/>
      </c>
      <c r="S169" s="34">
        <f>R169*Q169</f>
        <v/>
      </c>
      <c r="T169" s="34">
        <f>SUMIFS('[1]GİP VERİLERİ'!$C:$C,'[1]GİP VERİLERİ'!$B:$B,A169,'[1]GİP VERİLERİ'!$M:$M,"40X000000104782K",'[1]GİP VERİLERİ'!$G:$G,"SELL")</f>
        <v/>
      </c>
      <c r="U169" s="34">
        <f>IFERROR(W169/T169,0)</f>
        <v/>
      </c>
      <c r="V169" s="34">
        <f>IF(U169=0,0,U169-F169)</f>
        <v/>
      </c>
      <c r="W169" s="34">
        <f>SUMIFS('[1]GİP VERİLERİ'!$O:$O,'[1]GİP VERİLERİ'!$B:$B,A169,'[1]GİP VERİLERİ'!$M:$M,"40X000000104782K",'[1]GİP VERİLERİ'!$G:$G,"SELL")</f>
        <v/>
      </c>
      <c r="X169" s="34">
        <f>SUMIFS('[1]GİP VERİLERİ'!$C:$C,'[1]GİP VERİLERİ'!$B:$B,A169,'[1]GİP VERİLERİ'!$M:$M,"40X000000104782K",'[1]GİP VERİLERİ'!$G:$G,"BUY")</f>
        <v/>
      </c>
      <c r="Y169" s="34">
        <f>IFERROR(AA169/X169,0)</f>
        <v/>
      </c>
      <c r="Z169" s="34">
        <f>IF(Y169=0,0,F169-Y169)</f>
        <v/>
      </c>
      <c r="AA169" s="34">
        <f>SUMIFS('[1]GİP VERİLERİ'!$O:$O,'[1]GİP VERİLERİ'!$B:$B,A169,'[1]GİP VERİLERİ'!$M:$M,"40X000000104782K",'[1]GİP VERİLERİ'!$G:$G,"BUY")</f>
        <v/>
      </c>
      <c r="AB169" s="34" t="n">
        <v>0</v>
      </c>
      <c r="AC169" s="34" t="n">
        <v>0</v>
      </c>
      <c r="AD169" s="34">
        <f>IF(AB169&gt;AC169*1.05,AB169-AC169*1.05,IF(AB169&lt;AC169*0.95,AC169*0.95-AB169,0))</f>
        <v/>
      </c>
      <c r="AE169" s="34">
        <f>MAX(F169,G169,750)*0.05*AD169</f>
        <v/>
      </c>
      <c r="AF169" s="34" t="n">
        <v>0</v>
      </c>
      <c r="AG169" s="34">
        <f>IF(AB169&gt;AF169*1.05,AB169-AF169*1.05,IF(AB169&lt;AF169*0.95,AF169*0.95-AB169,0))</f>
        <v/>
      </c>
      <c r="AH169" s="34">
        <f>MAX(I169,J169,750)*0.05*AG169</f>
        <v/>
      </c>
      <c r="AI169" t="n">
        <v>9.19</v>
      </c>
      <c r="AJ169" t="n">
        <v>8</v>
      </c>
      <c r="AK169" s="34">
        <f>IF(AI169&gt;AJ169*1.05,AI169-AJ169*1.05,IF(AI169&lt;AJ169*0.95,AJ169*0.95-AI169,0))</f>
        <v/>
      </c>
      <c r="AL169" s="34">
        <f>MAX(F169,G169,750)*0.05*AK169</f>
        <v/>
      </c>
      <c r="AM169" s="39" t="n">
        <v>9</v>
      </c>
      <c r="AN169" s="34">
        <f>IF(AI169&gt;AM169*1.05,AI169-AM169*1.05,IF(AI169&lt;AM169*0.95,AM169*0.95-AI169,0))</f>
        <v/>
      </c>
      <c r="AO169" s="34">
        <f>MAX(F169,G169,750)*0.05*AN169</f>
        <v/>
      </c>
      <c r="AP169" s="34" t="n">
        <v>13.09</v>
      </c>
      <c r="AQ169" s="34" t="n">
        <v>11</v>
      </c>
      <c r="AR169" s="34">
        <f>IF(AP169&gt;AQ169*1.05,AP169-AQ169*1.05,IF(AP169&lt;AQ169*0.95,AQ169*0.95-AP169,0))</f>
        <v/>
      </c>
      <c r="AS169" s="34">
        <f>MAX(F169:G169,750)*0.05*AR169</f>
        <v/>
      </c>
      <c r="AT169" t="n">
        <v>13</v>
      </c>
      <c r="AU169" s="34">
        <f>IF(AP169&gt;AT169*1.05,AP169-AT169*1.05,IF(AP169&lt;AT169*0.95,AT169*0.95-AP169,0))</f>
        <v/>
      </c>
      <c r="AV169" s="34">
        <f>MAX(F169:G169,750)*0.05*AU169</f>
        <v/>
      </c>
      <c r="AW169" s="34">
        <f>AC169+AJ169+AQ169</f>
        <v/>
      </c>
      <c r="AX169" s="34">
        <f>AF169+AM169+AT169</f>
        <v/>
      </c>
      <c r="AY169" s="34">
        <f>AB169+AI169+AP169</f>
        <v/>
      </c>
      <c r="AZ169" s="34" t="n">
        <v>0</v>
      </c>
      <c r="BA169" s="34">
        <f>AD169+AK169+AR169</f>
        <v/>
      </c>
      <c r="BB169" s="34">
        <f>MAX(F169:G169,750)*0.05*BA169</f>
        <v/>
      </c>
      <c r="BC169" s="34">
        <f>AG169+AN169+AU169</f>
        <v/>
      </c>
      <c r="BD169" s="34">
        <f>MAX(F169:G169,750)*0.05*BC169</f>
        <v/>
      </c>
      <c r="BE169" s="34">
        <f>F169*AY169</f>
        <v/>
      </c>
      <c r="BF169" s="34">
        <f>K169-M169</f>
        <v/>
      </c>
      <c r="BG169" s="34">
        <f>P169-S169</f>
        <v/>
      </c>
      <c r="BH169" s="34">
        <f>W169-AA169</f>
        <v/>
      </c>
      <c r="BI169" s="34">
        <f>BF169+BG169+BL169-BN169</f>
        <v/>
      </c>
      <c r="BJ169" s="34">
        <f>ABS(BK169)</f>
        <v/>
      </c>
      <c r="BK169" s="34">
        <f>AY169-(J169-L169+N169-Q169)</f>
        <v/>
      </c>
      <c r="BL169" s="34">
        <f>IF(AND(BK169&gt;0,MIN($F169:$G169)&lt;150,$E169="Enerji Açığı"),-100*BK169*1.03,IF(AND(BK169&gt;0,MIN($F169:$G169)&lt;150,$E169="Enerji Fazlası"),-100*BK169*1.06,IF(AND(BK169&gt;0,MIN($F169:$G169)&gt;=150,$E169="Enerji Açığı"),BK169*MIN($F169:$G169)*0.97,IF(AND(BK169&gt;0,MIN($F169:$G169)&gt;=150,$E169="Enerji Fazlası"),BK169*MIN($F169:$G169)*0.94,IF(AND(BK169&lt;0,MAX($F169:$G169)=4500,$E169="Enerji Açığı"),4500*1.05*1.06*BK169,IF(AND(BK169&lt;0,MAX($F169:$G169)=4500,$E169="Enerji Fazlası"),4500*1.05*1.03*BK169,IF(AND(BK169&lt;0,$E169="Enerji Açığı"),MAX($F169,$G169,150)*BK169*1.06,IF(AND(BK169&lt;0,$E169="Enerji Fazlası"),MAX($F169,$G169,150)*BK169*1.03,IF(AND(BK169&lt;0,$E169="Dengede"),MAX($F169:$G169,150)*1.03*BK169,MIN($F169:$G169)*0.97*BK169)))))))))</f>
        <v/>
      </c>
      <c r="BM169" s="34">
        <f>BE169-BI169-BN169</f>
        <v/>
      </c>
      <c r="BN169" s="34">
        <f>BB169</f>
        <v/>
      </c>
      <c r="BO169" s="34">
        <f>BE169-BI169</f>
        <v/>
      </c>
      <c r="BP169" s="34">
        <f>IF(AY169=0,0,BO169/AY169)</f>
        <v/>
      </c>
      <c r="BQ169" s="34">
        <f>MAX((AY169+MAX((-J169+L169-N169+Q169),0)),(MAX((J169-L169+N169-Q169),0)))</f>
        <v/>
      </c>
      <c r="BR169" s="82">
        <f>IFERROR(ABS(BK169/BQ169),0)</f>
        <v/>
      </c>
      <c r="BS169" s="34">
        <f>IF(BR169&lt;=0.1,0,BK169/BR169*(BR169-0.1))</f>
        <v/>
      </c>
      <c r="BT169" s="34">
        <f>IF((BS169)&lt;0,MAX(F169:G169)*(BS169)*1.03,MIN(F169:G169)*(BS169)*0.97)</f>
        <v/>
      </c>
      <c r="BU169" s="34">
        <f>IF(BR169&gt;0.1,1,0)</f>
        <v/>
      </c>
      <c r="BV169" s="34">
        <f>BF169+BG169+BH169+BY169-CA169</f>
        <v/>
      </c>
      <c r="BW169" s="34">
        <f>ABS(BX169)</f>
        <v/>
      </c>
      <c r="BX169" s="34">
        <f>AY169-(J169-L169+N169-Q169+T169-X169)</f>
        <v/>
      </c>
      <c r="BY169" s="34">
        <f>IF(AND(BX169&gt;0,MIN($F169:$G169)&lt;150,$E169="Enerji Açığı"),-100*BX169*1.03,IF(AND(BX169&gt;0,MIN($F169:$G169)&lt;150,$E169="Enerji Fazlası"),-100*BX169*1.06,IF(AND(BX169&gt;0,MIN($F169:$G169)&gt;=150,$E169="Enerji Açığı"),BX169*MIN($F169:$G169)*0.97,IF(AND(BX169&gt;0,MIN($F169:$G169)&gt;=150,$E169="Enerji Fazlası"),BX169*MIN($F169:$G169)*0.94,IF(AND(BX169&lt;0,MAX($F169:$G169)=4500,$E169="Enerji Açığı"),4500*1.05*1.06*BX169,IF(AND(BX169&lt;0,MAX($F169:$G169)=4500,$E169="Enerji Fazlası"),4500*1.05*1.03*BX169,IF(AND(BX169&lt;0,$E169="Enerji Açığı"),MAX($F169,$G169,150)*BX169*1.06,IF(AND(BX169&lt;0,$E169="Enerji Fazlası"),MAX($F169,$G169,150)*BX169*1.03,IF(AND(BX169&lt;0,$E169="Dengede"),MAX($F169:$G169,150)*1.03*BX169,MIN($F169:$G169)*0.97*BX169)))))))))</f>
        <v/>
      </c>
      <c r="BZ169" s="34">
        <f>BE169-BV169-CA169</f>
        <v/>
      </c>
      <c r="CA169" s="34">
        <f>BD169</f>
        <v/>
      </c>
      <c r="CB169" s="33">
        <f>BE169-BV169</f>
        <v/>
      </c>
      <c r="CC169" s="34">
        <f>IF(AY169=0,0,CB169/AY169)</f>
        <v/>
      </c>
      <c r="CD169" s="34">
        <f>MAX((AY169+MAX((-J169+L169-N169+Q169-T169+X169),0)),(MAX((J169-L169+N169-Q169+T169-X169),0)))</f>
        <v/>
      </c>
      <c r="CE169" s="82">
        <f>IFERROR(ABS(BX169/CD169),0)</f>
        <v/>
      </c>
      <c r="CF169" s="34">
        <f>IF(CE169&lt;=0.1,0,BX169/CE169*(CE169-0.1))</f>
        <v/>
      </c>
      <c r="CG169" s="34">
        <f>IF((CF169)&lt;0,MAX(F169:G169)*(CF169)*1.03,MIN(F169:G169)*(CF169)*0.97)</f>
        <v/>
      </c>
      <c r="CH169" s="34">
        <f>IF(CE169&gt;0.1,1,0)</f>
        <v/>
      </c>
      <c r="CI169" s="34">
        <f>(F169*BX169)-BY169</f>
        <v/>
      </c>
      <c r="CJ169" s="34">
        <f>IF(AY169=0,0,CI169/AY169)</f>
        <v/>
      </c>
    </row>
    <row r="170">
      <c r="A170" s="29" t="n">
        <v>46210.95833333334</v>
      </c>
      <c r="B170" s="29" t="inlineStr">
        <is>
          <t>23:00</t>
        </is>
      </c>
      <c r="C170" s="35">
        <f>INT(A170)</f>
        <v/>
      </c>
      <c r="D170" s="36">
        <f>MONTH(A170)</f>
        <v/>
      </c>
      <c r="E170" s="147">
        <f>[1]FİYATLAR!G169</f>
        <v/>
      </c>
      <c r="F170" s="30" t="n">
        <v>2999.99</v>
      </c>
      <c r="G170" s="30" t="n">
        <v>3500</v>
      </c>
      <c r="H170" s="30" t="n">
        <v>64.33</v>
      </c>
      <c r="I170" s="30" t="n">
        <v>3302.44</v>
      </c>
      <c r="J170" s="119" t="n">
        <v>0</v>
      </c>
      <c r="K170" s="34">
        <f>F170*J170</f>
        <v/>
      </c>
      <c r="L170" s="119" t="n">
        <v>0</v>
      </c>
      <c r="M170" s="34">
        <f>L170*F170</f>
        <v/>
      </c>
      <c r="N170" s="119" t="n">
        <v>19</v>
      </c>
      <c r="O170" s="34">
        <f>F170</f>
        <v/>
      </c>
      <c r="P170" s="34">
        <f>N170*O170</f>
        <v/>
      </c>
      <c r="Q170" s="117" t="n">
        <v>0</v>
      </c>
      <c r="R170" s="34">
        <f>F170</f>
        <v/>
      </c>
      <c r="S170" s="34">
        <f>R170*Q170</f>
        <v/>
      </c>
      <c r="T170" s="34">
        <f>SUMIFS('[1]GİP VERİLERİ'!$C:$C,'[1]GİP VERİLERİ'!$B:$B,A170,'[1]GİP VERİLERİ'!$M:$M,"40X000000104782K",'[1]GİP VERİLERİ'!$G:$G,"SELL")</f>
        <v/>
      </c>
      <c r="U170" s="34">
        <f>IFERROR(W170/T170,0)</f>
        <v/>
      </c>
      <c r="V170" s="34">
        <f>IF(U170=0,0,U170-F170)</f>
        <v/>
      </c>
      <c r="W170" s="34">
        <f>SUMIFS('[1]GİP VERİLERİ'!$O:$O,'[1]GİP VERİLERİ'!$B:$B,A170,'[1]GİP VERİLERİ'!$M:$M,"40X000000104782K",'[1]GİP VERİLERİ'!$G:$G,"SELL")</f>
        <v/>
      </c>
      <c r="X170" s="34">
        <f>SUMIFS('[1]GİP VERİLERİ'!$C:$C,'[1]GİP VERİLERİ'!$B:$B,A170,'[1]GİP VERİLERİ'!$M:$M,"40X000000104782K",'[1]GİP VERİLERİ'!$G:$G,"BUY")</f>
        <v/>
      </c>
      <c r="Y170" s="34">
        <f>IFERROR(AA170/X170,0)</f>
        <v/>
      </c>
      <c r="Z170" s="34">
        <f>IF(Y170=0,0,F170-Y170)</f>
        <v/>
      </c>
      <c r="AA170" s="34">
        <f>SUMIFS('[1]GİP VERİLERİ'!$O:$O,'[1]GİP VERİLERİ'!$B:$B,A170,'[1]GİP VERİLERİ'!$M:$M,"40X000000104782K",'[1]GİP VERİLERİ'!$G:$G,"BUY")</f>
        <v/>
      </c>
      <c r="AB170" s="34" t="n">
        <v>0</v>
      </c>
      <c r="AC170" s="34" t="n">
        <v>0</v>
      </c>
      <c r="AD170" s="34">
        <f>IF(AB170&gt;AC170*1.05,AB170-AC170*1.05,IF(AB170&lt;AC170*0.95,AC170*0.95-AB170,0))</f>
        <v/>
      </c>
      <c r="AE170" s="34">
        <f>MAX(F170,G170,750)*0.05*AD170</f>
        <v/>
      </c>
      <c r="AF170" s="34" t="n">
        <v>0</v>
      </c>
      <c r="AG170" s="34">
        <f>IF(AB170&gt;AF170*1.05,AB170-AF170*1.05,IF(AB170&lt;AF170*0.95,AF170*0.95-AB170,0))</f>
        <v/>
      </c>
      <c r="AH170" s="34">
        <f>MAX(I170,J170,750)*0.05*AG170</f>
        <v/>
      </c>
      <c r="AI170" t="n">
        <v>9.23</v>
      </c>
      <c r="AJ170" t="n">
        <v>8</v>
      </c>
      <c r="AK170" s="34">
        <f>IF(AI170&gt;AJ170*1.05,AI170-AJ170*1.05,IF(AI170&lt;AJ170*0.95,AJ170*0.95-AI170,0))</f>
        <v/>
      </c>
      <c r="AL170" s="34">
        <f>MAX(F170,G170,750)*0.05*AK170</f>
        <v/>
      </c>
      <c r="AM170" s="39" t="n">
        <v>9</v>
      </c>
      <c r="AN170" s="34">
        <f>IF(AI170&gt;AM170*1.05,AI170-AM170*1.05,IF(AI170&lt;AM170*0.95,AM170*0.95-AI170,0))</f>
        <v/>
      </c>
      <c r="AO170" s="34">
        <f>MAX(F170,G170,750)*0.05*AN170</f>
        <v/>
      </c>
      <c r="AP170" s="34" t="n">
        <v>13.08</v>
      </c>
      <c r="AQ170" s="34" t="n">
        <v>11</v>
      </c>
      <c r="AR170" s="34">
        <f>IF(AP170&gt;AQ170*1.05,AP170-AQ170*1.05,IF(AP170&lt;AQ170*0.95,AQ170*0.95-AP170,0))</f>
        <v/>
      </c>
      <c r="AS170" s="34">
        <f>MAX(F170:G170,750)*0.05*AR170</f>
        <v/>
      </c>
      <c r="AT170" t="n">
        <v>13</v>
      </c>
      <c r="AU170" s="34">
        <f>IF(AP170&gt;AT170*1.05,AP170-AT170*1.05,IF(AP170&lt;AT170*0.95,AT170*0.95-AP170,0))</f>
        <v/>
      </c>
      <c r="AV170" s="34">
        <f>MAX(F170:G170,750)*0.05*AU170</f>
        <v/>
      </c>
      <c r="AW170" s="34">
        <f>AC170+AJ170+AQ170</f>
        <v/>
      </c>
      <c r="AX170" s="34">
        <f>AF170+AM170+AT170</f>
        <v/>
      </c>
      <c r="AY170" s="34">
        <f>AB170+AI170+AP170</f>
        <v/>
      </c>
      <c r="AZ170" s="34" t="n">
        <v>0</v>
      </c>
      <c r="BA170" s="34">
        <f>AD170+AK170+AR170</f>
        <v/>
      </c>
      <c r="BB170" s="34">
        <f>MAX(F170:G170,750)*0.05*BA170</f>
        <v/>
      </c>
      <c r="BC170" s="34">
        <f>AG170+AN170+AU170</f>
        <v/>
      </c>
      <c r="BD170" s="34">
        <f>MAX(F170:G170,750)*0.05*BC170</f>
        <v/>
      </c>
      <c r="BE170" s="34">
        <f>F170*AY170</f>
        <v/>
      </c>
      <c r="BF170" s="34">
        <f>K170-M170</f>
        <v/>
      </c>
      <c r="BG170" s="34">
        <f>P170-S170</f>
        <v/>
      </c>
      <c r="BH170" s="34">
        <f>W170-AA170</f>
        <v/>
      </c>
      <c r="BI170" s="34">
        <f>BF170+BG170+BL170-BN170</f>
        <v/>
      </c>
      <c r="BJ170" s="34">
        <f>ABS(BK170)</f>
        <v/>
      </c>
      <c r="BK170" s="34">
        <f>AY170-(J170-L170+N170-Q170)</f>
        <v/>
      </c>
      <c r="BL170" s="34">
        <f>IF(AND(BK170&gt;0,MIN($F170:$G170)&lt;150,$E170="Enerji Açığı"),-100*BK170*1.03,IF(AND(BK170&gt;0,MIN($F170:$G170)&lt;150,$E170="Enerji Fazlası"),-100*BK170*1.06,IF(AND(BK170&gt;0,MIN($F170:$G170)&gt;=150,$E170="Enerji Açığı"),BK170*MIN($F170:$G170)*0.97,IF(AND(BK170&gt;0,MIN($F170:$G170)&gt;=150,$E170="Enerji Fazlası"),BK170*MIN($F170:$G170)*0.94,IF(AND(BK170&lt;0,MAX($F170:$G170)=4500,$E170="Enerji Açığı"),4500*1.05*1.06*BK170,IF(AND(BK170&lt;0,MAX($F170:$G170)=4500,$E170="Enerji Fazlası"),4500*1.05*1.03*BK170,IF(AND(BK170&lt;0,$E170="Enerji Açığı"),MAX($F170,$G170,150)*BK170*1.06,IF(AND(BK170&lt;0,$E170="Enerji Fazlası"),MAX($F170,$G170,150)*BK170*1.03,IF(AND(BK170&lt;0,$E170="Dengede"),MAX($F170:$G170,150)*1.03*BK170,MIN($F170:$G170)*0.97*BK170)))))))))</f>
        <v/>
      </c>
      <c r="BM170" s="34">
        <f>BE170-BI170-BN170</f>
        <v/>
      </c>
      <c r="BN170" s="34">
        <f>BB170</f>
        <v/>
      </c>
      <c r="BO170" s="34">
        <f>BE170-BI170</f>
        <v/>
      </c>
      <c r="BP170" s="34">
        <f>IF(AY170=0,0,BO170/AY170)</f>
        <v/>
      </c>
      <c r="BQ170" s="34">
        <f>MAX((AY170+MAX((-J170+L170-N170+Q170),0)),(MAX((J170-L170+N170-Q170),0)))</f>
        <v/>
      </c>
      <c r="BR170" s="82">
        <f>IFERROR(ABS(BK170/BQ170),0)</f>
        <v/>
      </c>
      <c r="BS170" s="34">
        <f>IF(BR170&lt;=0.1,0,BK170/BR170*(BR170-0.1))</f>
        <v/>
      </c>
      <c r="BT170" s="34">
        <f>IF((BS170)&lt;0,MAX(F170:G170)*(BS170)*1.03,MIN(F170:G170)*(BS170)*0.97)</f>
        <v/>
      </c>
      <c r="BU170" s="34">
        <f>IF(BR170&gt;0.1,1,0)</f>
        <v/>
      </c>
      <c r="BV170" s="34">
        <f>BF170+BG170+BH170+BY170-CA170</f>
        <v/>
      </c>
      <c r="BW170" s="34">
        <f>ABS(BX170)</f>
        <v/>
      </c>
      <c r="BX170" s="34">
        <f>AY170-(J170-L170+N170-Q170+T170-X170)</f>
        <v/>
      </c>
      <c r="BY170" s="34">
        <f>IF(AND(BX170&gt;0,MIN($F170:$G170)&lt;150,$E170="Enerji Açığı"),-100*BX170*1.03,IF(AND(BX170&gt;0,MIN($F170:$G170)&lt;150,$E170="Enerji Fazlası"),-100*BX170*1.06,IF(AND(BX170&gt;0,MIN($F170:$G170)&gt;=150,$E170="Enerji Açığı"),BX170*MIN($F170:$G170)*0.97,IF(AND(BX170&gt;0,MIN($F170:$G170)&gt;=150,$E170="Enerji Fazlası"),BX170*MIN($F170:$G170)*0.94,IF(AND(BX170&lt;0,MAX($F170:$G170)=4500,$E170="Enerji Açığı"),4500*1.05*1.06*BX170,IF(AND(BX170&lt;0,MAX($F170:$G170)=4500,$E170="Enerji Fazlası"),4500*1.05*1.03*BX170,IF(AND(BX170&lt;0,$E170="Enerji Açığı"),MAX($F170,$G170,150)*BX170*1.06,IF(AND(BX170&lt;0,$E170="Enerji Fazlası"),MAX($F170,$G170,150)*BX170*1.03,IF(AND(BX170&lt;0,$E170="Dengede"),MAX($F170:$G170,150)*1.03*BX170,MIN($F170:$G170)*0.97*BX170)))))))))</f>
        <v/>
      </c>
      <c r="BZ170" s="34">
        <f>BE170-BV170-CA170</f>
        <v/>
      </c>
      <c r="CA170" s="34">
        <f>BD170</f>
        <v/>
      </c>
      <c r="CB170" s="33">
        <f>BE170-BV170</f>
        <v/>
      </c>
      <c r="CC170" s="34">
        <f>IF(AY170=0,0,CB170/AY170)</f>
        <v/>
      </c>
      <c r="CD170" s="34">
        <f>MAX((AY170+MAX((-J170+L170-N170+Q170-T170+X170),0)),(MAX((J170-L170+N170-Q170+T170-X170),0)))</f>
        <v/>
      </c>
      <c r="CE170" s="82">
        <f>IFERROR(ABS(BX170/CD170),0)</f>
        <v/>
      </c>
      <c r="CF170" s="34">
        <f>IF(CE170&lt;=0.1,0,BX170/CE170*(CE170-0.1))</f>
        <v/>
      </c>
      <c r="CG170" s="34">
        <f>IF((CF170)&lt;0,MAX(F170:G170)*(CF170)*1.03,MIN(F170:G170)*(CF170)*0.97)</f>
        <v/>
      </c>
      <c r="CH170" s="34">
        <f>IF(CE170&gt;0.1,1,0)</f>
        <v/>
      </c>
      <c r="CI170" s="34">
        <f>(F170*BX170)-BY170</f>
        <v/>
      </c>
      <c r="CJ170" s="34">
        <f>IF(AY170=0,0,CI170/AY170)</f>
        <v/>
      </c>
    </row>
    <row r="171">
      <c r="A171" s="29" t="n">
        <v>46211</v>
      </c>
      <c r="B171" s="29" t="inlineStr">
        <is>
          <t>00:00</t>
        </is>
      </c>
      <c r="C171" s="35">
        <f>INT(A171)</f>
        <v/>
      </c>
      <c r="D171" s="36">
        <f>MONTH(A171)</f>
        <v/>
      </c>
      <c r="E171" s="147">
        <f>[1]FİYATLAR!G170</f>
        <v/>
      </c>
      <c r="F171" s="30" t="n">
        <v>3199.01</v>
      </c>
      <c r="G171" s="30" t="n">
        <v>3740</v>
      </c>
      <c r="H171" s="30" t="n">
        <v>68.45</v>
      </c>
      <c r="I171" s="30" t="n">
        <v>3586.43</v>
      </c>
      <c r="J171" s="119" t="n">
        <v>0</v>
      </c>
      <c r="K171" s="34">
        <f>F171*J171</f>
        <v/>
      </c>
      <c r="L171" s="119" t="n">
        <v>0</v>
      </c>
      <c r="M171" s="34">
        <f>L171*F171</f>
        <v/>
      </c>
      <c r="N171" s="119" t="n">
        <v>21</v>
      </c>
      <c r="O171" s="34">
        <f>F171</f>
        <v/>
      </c>
      <c r="P171" s="34">
        <f>N171*O171</f>
        <v/>
      </c>
      <c r="Q171" s="117" t="n">
        <v>0</v>
      </c>
      <c r="R171" s="34">
        <f>F171</f>
        <v/>
      </c>
      <c r="S171" s="34">
        <f>R171*Q171</f>
        <v/>
      </c>
      <c r="T171" s="34">
        <f>SUMIFS('[1]GİP VERİLERİ'!$C:$C,'[1]GİP VERİLERİ'!$B:$B,A171,'[1]GİP VERİLERİ'!$M:$M,"40X000000104782K",'[1]GİP VERİLERİ'!$G:$G,"SELL")</f>
        <v/>
      </c>
      <c r="U171" s="34">
        <f>IFERROR(W171/T171,0)</f>
        <v/>
      </c>
      <c r="V171" s="34">
        <f>IF(U171=0,0,U171-F171)</f>
        <v/>
      </c>
      <c r="W171" s="34">
        <f>SUMIFS('[1]GİP VERİLERİ'!$O:$O,'[1]GİP VERİLERİ'!$B:$B,A171,'[1]GİP VERİLERİ'!$M:$M,"40X000000104782K",'[1]GİP VERİLERİ'!$G:$G,"SELL")</f>
        <v/>
      </c>
      <c r="X171" s="34">
        <f>SUMIFS('[1]GİP VERİLERİ'!$C:$C,'[1]GİP VERİLERİ'!$B:$B,A171,'[1]GİP VERİLERİ'!$M:$M,"40X000000104782K",'[1]GİP VERİLERİ'!$G:$G,"BUY")</f>
        <v/>
      </c>
      <c r="Y171" s="34">
        <f>IFERROR(AA171/X171,0)</f>
        <v/>
      </c>
      <c r="Z171" s="34">
        <f>IF(Y171=0,0,F171-Y171)</f>
        <v/>
      </c>
      <c r="AA171" s="34">
        <f>SUMIFS('[1]GİP VERİLERİ'!$O:$O,'[1]GİP VERİLERİ'!$B:$B,A171,'[1]GİP VERİLERİ'!$M:$M,"40X000000104782K",'[1]GİP VERİLERİ'!$G:$G,"BUY")</f>
        <v/>
      </c>
      <c r="AB171" s="34" t="n">
        <v>0</v>
      </c>
      <c r="AC171" s="34" t="n">
        <v>0</v>
      </c>
      <c r="AD171" s="34">
        <f>IF(AB171&gt;AC171*1.05,AB171-AC171*1.05,IF(AB171&lt;AC171*0.95,AC171*0.95-AB171,0))</f>
        <v/>
      </c>
      <c r="AE171" s="34">
        <f>MAX(F171,G171,750)*0.05*AD171</f>
        <v/>
      </c>
      <c r="AF171" s="34" t="n">
        <v>0</v>
      </c>
      <c r="AG171" s="34">
        <f>IF(AB171&gt;AF171*1.05,AB171-AF171*1.05,IF(AB171&lt;AF171*0.95,AF171*0.95-AB171,0))</f>
        <v/>
      </c>
      <c r="AH171" s="34">
        <f>MAX(I171,J171,750)*0.05*AG171</f>
        <v/>
      </c>
      <c r="AI171" t="n">
        <v>9.119999999999999</v>
      </c>
      <c r="AJ171" t="n">
        <v>9</v>
      </c>
      <c r="AK171" s="34">
        <f>IF(AI171&gt;AJ171*1.05,AI171-AJ171*1.05,IF(AI171&lt;AJ171*0.95,AJ171*0.95-AI171,0))</f>
        <v/>
      </c>
      <c r="AL171" s="34">
        <f>MAX(F171,G171,750)*0.05*AK171</f>
        <v/>
      </c>
      <c r="AM171" s="39" t="n">
        <v>9</v>
      </c>
      <c r="AN171" s="34">
        <f>IF(AI171&gt;AM171*1.05,AI171-AM171*1.05,IF(AI171&lt;AM171*0.95,AM171*0.95-AI171,0))</f>
        <v/>
      </c>
      <c r="AO171" s="34">
        <f>MAX(F171,G171,750)*0.05*AN171</f>
        <v/>
      </c>
      <c r="AP171" s="34" t="n">
        <v>13.07</v>
      </c>
      <c r="AQ171" s="34" t="n">
        <v>12</v>
      </c>
      <c r="AR171" s="34">
        <f>IF(AP171&gt;AQ171*1.05,AP171-AQ171*1.05,IF(AP171&lt;AQ171*0.95,AQ171*0.95-AP171,0))</f>
        <v/>
      </c>
      <c r="AS171" s="34">
        <f>MAX(F171:G171,750)*0.05*AR171</f>
        <v/>
      </c>
      <c r="AT171" t="n">
        <v>13</v>
      </c>
      <c r="AU171" s="34">
        <f>IF(AP171&gt;AT171*1.05,AP171-AT171*1.05,IF(AP171&lt;AT171*0.95,AT171*0.95-AP171,0))</f>
        <v/>
      </c>
      <c r="AV171" s="34">
        <f>MAX(F171:G171,750)*0.05*AU171</f>
        <v/>
      </c>
      <c r="AW171" s="34">
        <f>AC171+AJ171+AQ171</f>
        <v/>
      </c>
      <c r="AX171" s="34">
        <f>AF171+AM171+AT171</f>
        <v/>
      </c>
      <c r="AY171" s="34">
        <f>AB171+AI171+AP171</f>
        <v/>
      </c>
      <c r="AZ171" s="34" t="n">
        <v>0</v>
      </c>
      <c r="BA171" s="34">
        <f>AD171+AK171+AR171</f>
        <v/>
      </c>
      <c r="BB171" s="34">
        <f>MAX(F171:G171,750)*0.05*BA171</f>
        <v/>
      </c>
      <c r="BC171" s="34">
        <f>AG171+AN171+AU171</f>
        <v/>
      </c>
      <c r="BD171" s="34">
        <f>MAX(F171:G171,750)*0.05*BC171</f>
        <v/>
      </c>
      <c r="BE171" s="34">
        <f>F171*AY171</f>
        <v/>
      </c>
      <c r="BF171" s="34">
        <f>K171-M171</f>
        <v/>
      </c>
      <c r="BG171" s="34">
        <f>P171-S171</f>
        <v/>
      </c>
      <c r="BH171" s="34">
        <f>W171-AA171</f>
        <v/>
      </c>
      <c r="BI171" s="34">
        <f>BF171+BG171+BL171-BN171</f>
        <v/>
      </c>
      <c r="BJ171" s="34">
        <f>ABS(BK171)</f>
        <v/>
      </c>
      <c r="BK171" s="34">
        <f>AY171-(J171-L171+N171-Q171)</f>
        <v/>
      </c>
      <c r="BL171" s="34">
        <f>IF(AND(BK171&gt;0,MIN($F171:$G171)&lt;150,$E171="Enerji Açığı"),-100*BK171*1.03,IF(AND(BK171&gt;0,MIN($F171:$G171)&lt;150,$E171="Enerji Fazlası"),-100*BK171*1.06,IF(AND(BK171&gt;0,MIN($F171:$G171)&gt;=150,$E171="Enerji Açığı"),BK171*MIN($F171:$G171)*0.97,IF(AND(BK171&gt;0,MIN($F171:$G171)&gt;=150,$E171="Enerji Fazlası"),BK171*MIN($F171:$G171)*0.94,IF(AND(BK171&lt;0,MAX($F171:$G171)=4500,$E171="Enerji Açığı"),4500*1.05*1.06*BK171,IF(AND(BK171&lt;0,MAX($F171:$G171)=4500,$E171="Enerji Fazlası"),4500*1.05*1.03*BK171,IF(AND(BK171&lt;0,$E171="Enerji Açığı"),MAX($F171,$G171,150)*BK171*1.06,IF(AND(BK171&lt;0,$E171="Enerji Fazlası"),MAX($F171,$G171,150)*BK171*1.03,IF(AND(BK171&lt;0,$E171="Dengede"),MAX($F171:$G171,150)*1.03*BK171,MIN($F171:$G171)*0.97*BK171)))))))))</f>
        <v/>
      </c>
      <c r="BM171" s="34">
        <f>BE171-BI171-BN171</f>
        <v/>
      </c>
      <c r="BN171" s="34">
        <f>BB171</f>
        <v/>
      </c>
      <c r="BO171" s="34">
        <f>BE171-BI171</f>
        <v/>
      </c>
      <c r="BP171" s="34">
        <f>IF(AY171=0,0,BO171/AY171)</f>
        <v/>
      </c>
      <c r="BQ171" s="34">
        <f>MAX((AY171+MAX((-J171+L171-N171+Q171),0)),(MAX((J171-L171+N171-Q171),0)))</f>
        <v/>
      </c>
      <c r="BR171" s="82">
        <f>IFERROR(ABS(BK171/BQ171),0)</f>
        <v/>
      </c>
      <c r="BS171" s="34">
        <f>IF(BR171&lt;=0.1,0,BK171/BR171*(BR171-0.1))</f>
        <v/>
      </c>
      <c r="BT171" s="34">
        <f>IF((BS171)&lt;0,MAX(F171:G171)*(BS171)*1.03,MIN(F171:G171)*(BS171)*0.97)</f>
        <v/>
      </c>
      <c r="BU171" s="34">
        <f>IF(BR171&gt;0.1,1,0)</f>
        <v/>
      </c>
      <c r="BV171" s="34">
        <f>BF171+BG171+BH171+BY171-CA171</f>
        <v/>
      </c>
      <c r="BW171" s="34">
        <f>ABS(BX171)</f>
        <v/>
      </c>
      <c r="BX171" s="34">
        <f>AY171-(J171-L171+N171-Q171+T171-X171)</f>
        <v/>
      </c>
      <c r="BY171" s="34">
        <f>IF(AND(BX171&gt;0,MIN($F171:$G171)&lt;150,$E171="Enerji Açığı"),-100*BX171*1.03,IF(AND(BX171&gt;0,MIN($F171:$G171)&lt;150,$E171="Enerji Fazlası"),-100*BX171*1.06,IF(AND(BX171&gt;0,MIN($F171:$G171)&gt;=150,$E171="Enerji Açığı"),BX171*MIN($F171:$G171)*0.97,IF(AND(BX171&gt;0,MIN($F171:$G171)&gt;=150,$E171="Enerji Fazlası"),BX171*MIN($F171:$G171)*0.94,IF(AND(BX171&lt;0,MAX($F171:$G171)=4500,$E171="Enerji Açığı"),4500*1.05*1.06*BX171,IF(AND(BX171&lt;0,MAX($F171:$G171)=4500,$E171="Enerji Fazlası"),4500*1.05*1.03*BX171,IF(AND(BX171&lt;0,$E171="Enerji Açığı"),MAX($F171,$G171,150)*BX171*1.06,IF(AND(BX171&lt;0,$E171="Enerji Fazlası"),MAX($F171,$G171,150)*BX171*1.03,IF(AND(BX171&lt;0,$E171="Dengede"),MAX($F171:$G171,150)*1.03*BX171,MIN($F171:$G171)*0.97*BX171)))))))))</f>
        <v/>
      </c>
      <c r="BZ171" s="34">
        <f>BE171-BV171-CA171</f>
        <v/>
      </c>
      <c r="CA171" s="34">
        <f>BD171</f>
        <v/>
      </c>
      <c r="CB171" s="33">
        <f>BE171-BV171</f>
        <v/>
      </c>
      <c r="CC171" s="34">
        <f>IF(AY171=0,0,CB171/AY171)</f>
        <v/>
      </c>
      <c r="CD171" s="34">
        <f>MAX((AY171+MAX((-J171+L171-N171+Q171-T171+X171),0)),(MAX((J171-L171+N171-Q171+T171-X171),0)))</f>
        <v/>
      </c>
      <c r="CE171" s="82">
        <f>IFERROR(ABS(BX171/CD171),0)</f>
        <v/>
      </c>
      <c r="CF171" s="34">
        <f>IF(CE171&lt;=0.1,0,BX171/CE171*(CE171-0.1))</f>
        <v/>
      </c>
      <c r="CG171" s="34">
        <f>IF((CF171)&lt;0,MAX(F171:G171)*(CF171)*1.03,MIN(F171:G171)*(CF171)*0.97)</f>
        <v/>
      </c>
      <c r="CH171" s="34">
        <f>IF(CE171&gt;0.1,1,0)</f>
        <v/>
      </c>
      <c r="CI171" s="34">
        <f>(F171*BX171)-BY171</f>
        <v/>
      </c>
      <c r="CJ171" s="34">
        <f>IF(AY171=0,0,CI171/AY171)</f>
        <v/>
      </c>
    </row>
    <row r="172">
      <c r="A172" s="29" t="n">
        <v>46211.04166666666</v>
      </c>
      <c r="B172" s="29" t="inlineStr">
        <is>
          <t>01:00</t>
        </is>
      </c>
      <c r="C172" s="35">
        <f>INT(A172)</f>
        <v/>
      </c>
      <c r="D172" s="36">
        <f>MONTH(A172)</f>
        <v/>
      </c>
      <c r="E172" s="147">
        <f>[1]FİYATLAR!G171</f>
        <v/>
      </c>
      <c r="F172" s="30" t="n">
        <v>3184.9</v>
      </c>
      <c r="G172" s="30" t="n">
        <v>3740</v>
      </c>
      <c r="H172" s="30" t="n">
        <v>68.15000000000001</v>
      </c>
      <c r="I172" s="30" t="n">
        <v>3602.81</v>
      </c>
      <c r="J172" s="119" t="n">
        <v>0</v>
      </c>
      <c r="K172" s="34">
        <f>F172*J172</f>
        <v/>
      </c>
      <c r="L172" s="119" t="n">
        <v>0</v>
      </c>
      <c r="M172" s="34">
        <f>L172*F172</f>
        <v/>
      </c>
      <c r="N172" s="119" t="n">
        <v>21</v>
      </c>
      <c r="O172" s="34">
        <f>F172</f>
        <v/>
      </c>
      <c r="P172" s="34">
        <f>N172*O172</f>
        <v/>
      </c>
      <c r="Q172" s="117" t="n">
        <v>0</v>
      </c>
      <c r="R172" s="34">
        <f>F172</f>
        <v/>
      </c>
      <c r="S172" s="34">
        <f>R172*Q172</f>
        <v/>
      </c>
      <c r="T172" s="34">
        <f>SUMIFS('[1]GİP VERİLERİ'!$C:$C,'[1]GİP VERİLERİ'!$B:$B,A172,'[1]GİP VERİLERİ'!$M:$M,"40X000000104782K",'[1]GİP VERİLERİ'!$G:$G,"SELL")</f>
        <v/>
      </c>
      <c r="U172" s="34">
        <f>IFERROR(W172/T172,0)</f>
        <v/>
      </c>
      <c r="V172" s="34">
        <f>IF(U172=0,0,U172-F172)</f>
        <v/>
      </c>
      <c r="W172" s="34">
        <f>SUMIFS('[1]GİP VERİLERİ'!$O:$O,'[1]GİP VERİLERİ'!$B:$B,A172,'[1]GİP VERİLERİ'!$M:$M,"40X000000104782K",'[1]GİP VERİLERİ'!$G:$G,"SELL")</f>
        <v/>
      </c>
      <c r="X172" s="34">
        <f>SUMIFS('[1]GİP VERİLERİ'!$C:$C,'[1]GİP VERİLERİ'!$B:$B,A172,'[1]GİP VERİLERİ'!$M:$M,"40X000000104782K",'[1]GİP VERİLERİ'!$G:$G,"BUY")</f>
        <v/>
      </c>
      <c r="Y172" s="34">
        <f>IFERROR(AA172/X172,0)</f>
        <v/>
      </c>
      <c r="Z172" s="34">
        <f>IF(Y172=0,0,F172-Y172)</f>
        <v/>
      </c>
      <c r="AA172" s="34">
        <f>SUMIFS('[1]GİP VERİLERİ'!$O:$O,'[1]GİP VERİLERİ'!$B:$B,A172,'[1]GİP VERİLERİ'!$M:$M,"40X000000104782K",'[1]GİP VERİLERİ'!$G:$G,"BUY")</f>
        <v/>
      </c>
      <c r="AB172" s="34" t="n">
        <v>0</v>
      </c>
      <c r="AC172" s="34" t="n">
        <v>0</v>
      </c>
      <c r="AD172" s="34">
        <f>IF(AB172&gt;AC172*1.05,AB172-AC172*1.05,IF(AB172&lt;AC172*0.95,AC172*0.95-AB172,0))</f>
        <v/>
      </c>
      <c r="AE172" s="34">
        <f>MAX(F172,G172,750)*0.05*AD172</f>
        <v/>
      </c>
      <c r="AF172" s="34" t="n">
        <v>0</v>
      </c>
      <c r="AG172" s="34">
        <f>IF(AB172&gt;AF172*1.05,AB172-AF172*1.05,IF(AB172&lt;AF172*0.95,AF172*0.95-AB172,0))</f>
        <v/>
      </c>
      <c r="AH172" s="34">
        <f>MAX(I172,J172,750)*0.05*AG172</f>
        <v/>
      </c>
      <c r="AI172" t="n">
        <v>9.06</v>
      </c>
      <c r="AJ172" t="n">
        <v>9</v>
      </c>
      <c r="AK172" s="34">
        <f>IF(AI172&gt;AJ172*1.05,AI172-AJ172*1.05,IF(AI172&lt;AJ172*0.95,AJ172*0.95-AI172,0))</f>
        <v/>
      </c>
      <c r="AL172" s="34">
        <f>MAX(F172,G172,750)*0.05*AK172</f>
        <v/>
      </c>
      <c r="AM172" s="39" t="n">
        <v>9</v>
      </c>
      <c r="AN172" s="34">
        <f>IF(AI172&gt;AM172*1.05,AI172-AM172*1.05,IF(AI172&lt;AM172*0.95,AM172*0.95-AI172,0))</f>
        <v/>
      </c>
      <c r="AO172" s="34">
        <f>MAX(F172,G172,750)*0.05*AN172</f>
        <v/>
      </c>
      <c r="AP172" s="34" t="n">
        <v>12.07</v>
      </c>
      <c r="AQ172" s="34" t="n">
        <v>12</v>
      </c>
      <c r="AR172" s="34">
        <f>IF(AP172&gt;AQ172*1.05,AP172-AQ172*1.05,IF(AP172&lt;AQ172*0.95,AQ172*0.95-AP172,0))</f>
        <v/>
      </c>
      <c r="AS172" s="34">
        <f>MAX(F172:G172,750)*0.05*AR172</f>
        <v/>
      </c>
      <c r="AT172" t="n">
        <v>12</v>
      </c>
      <c r="AU172" s="34">
        <f>IF(AP172&gt;AT172*1.05,AP172-AT172*1.05,IF(AP172&lt;AT172*0.95,AT172*0.95-AP172,0))</f>
        <v/>
      </c>
      <c r="AV172" s="34">
        <f>MAX(F172:G172,750)*0.05*AU172</f>
        <v/>
      </c>
      <c r="AW172" s="34">
        <f>AC172+AJ172+AQ172</f>
        <v/>
      </c>
      <c r="AX172" s="34">
        <f>AF172+AM172+AT172</f>
        <v/>
      </c>
      <c r="AY172" s="34">
        <f>AB172+AI172+AP172</f>
        <v/>
      </c>
      <c r="AZ172" s="34" t="n">
        <v>0</v>
      </c>
      <c r="BA172" s="34">
        <f>AD172+AK172+AR172</f>
        <v/>
      </c>
      <c r="BB172" s="34">
        <f>MAX(F172:G172,750)*0.05*BA172</f>
        <v/>
      </c>
      <c r="BC172" s="34">
        <f>AG172+AN172+AU172</f>
        <v/>
      </c>
      <c r="BD172" s="34">
        <f>MAX(F172:G172,750)*0.05*BC172</f>
        <v/>
      </c>
      <c r="BE172" s="34">
        <f>F172*AY172</f>
        <v/>
      </c>
      <c r="BF172" s="34">
        <f>K172-M172</f>
        <v/>
      </c>
      <c r="BG172" s="34">
        <f>P172-S172</f>
        <v/>
      </c>
      <c r="BH172" s="34">
        <f>W172-AA172</f>
        <v/>
      </c>
      <c r="BI172" s="34">
        <f>BF172+BG172+BL172-BN172</f>
        <v/>
      </c>
      <c r="BJ172" s="34">
        <f>ABS(BK172)</f>
        <v/>
      </c>
      <c r="BK172" s="34">
        <f>AY172-(J172-L172+N172-Q172)</f>
        <v/>
      </c>
      <c r="BL172" s="34">
        <f>IF(AND(BK172&gt;0,MIN($F172:$G172)&lt;150,$E172="Enerji Açığı"),-100*BK172*1.03,IF(AND(BK172&gt;0,MIN($F172:$G172)&lt;150,$E172="Enerji Fazlası"),-100*BK172*1.06,IF(AND(BK172&gt;0,MIN($F172:$G172)&gt;=150,$E172="Enerji Açığı"),BK172*MIN($F172:$G172)*0.97,IF(AND(BK172&gt;0,MIN($F172:$G172)&gt;=150,$E172="Enerji Fazlası"),BK172*MIN($F172:$G172)*0.94,IF(AND(BK172&lt;0,MAX($F172:$G172)=4500,$E172="Enerji Açığı"),4500*1.05*1.06*BK172,IF(AND(BK172&lt;0,MAX($F172:$G172)=4500,$E172="Enerji Fazlası"),4500*1.05*1.03*BK172,IF(AND(BK172&lt;0,$E172="Enerji Açığı"),MAX($F172,$G172,150)*BK172*1.06,IF(AND(BK172&lt;0,$E172="Enerji Fazlası"),MAX($F172,$G172,150)*BK172*1.03,IF(AND(BK172&lt;0,$E172="Dengede"),MAX($F172:$G172,150)*1.03*BK172,MIN($F172:$G172)*0.97*BK172)))))))))</f>
        <v/>
      </c>
      <c r="BM172" s="34">
        <f>BE172-BI172-BN172</f>
        <v/>
      </c>
      <c r="BN172" s="34">
        <f>BB172</f>
        <v/>
      </c>
      <c r="BO172" s="34">
        <f>BE172-BI172</f>
        <v/>
      </c>
      <c r="BP172" s="34">
        <f>IF(AY172=0,0,BO172/AY172)</f>
        <v/>
      </c>
      <c r="BQ172" s="34">
        <f>MAX((AY172+MAX((-J172+L172-N172+Q172),0)),(MAX((J172-L172+N172-Q172),0)))</f>
        <v/>
      </c>
      <c r="BR172" s="82">
        <f>IFERROR(ABS(BK172/BQ172),0)</f>
        <v/>
      </c>
      <c r="BS172" s="34">
        <f>IF(BR172&lt;=0.1,0,BK172/BR172*(BR172-0.1))</f>
        <v/>
      </c>
      <c r="BT172" s="34">
        <f>IF((BS172)&lt;0,MAX(F172:G172)*(BS172)*1.03,MIN(F172:G172)*(BS172)*0.97)</f>
        <v/>
      </c>
      <c r="BU172" s="34">
        <f>IF(BR172&gt;0.1,1,0)</f>
        <v/>
      </c>
      <c r="BV172" s="34">
        <f>BF172+BG172+BH172+BY172-CA172</f>
        <v/>
      </c>
      <c r="BW172" s="34">
        <f>ABS(BX172)</f>
        <v/>
      </c>
      <c r="BX172" s="34">
        <f>AY172-(J172-L172+N172-Q172+T172-X172)</f>
        <v/>
      </c>
      <c r="BY172" s="34">
        <f>IF(AND(BX172&gt;0,MIN($F172:$G172)&lt;150,$E172="Enerji Açığı"),-100*BX172*1.03,IF(AND(BX172&gt;0,MIN($F172:$G172)&lt;150,$E172="Enerji Fazlası"),-100*BX172*1.06,IF(AND(BX172&gt;0,MIN($F172:$G172)&gt;=150,$E172="Enerji Açığı"),BX172*MIN($F172:$G172)*0.97,IF(AND(BX172&gt;0,MIN($F172:$G172)&gt;=150,$E172="Enerji Fazlası"),BX172*MIN($F172:$G172)*0.94,IF(AND(BX172&lt;0,MAX($F172:$G172)=4500,$E172="Enerji Açığı"),4500*1.05*1.06*BX172,IF(AND(BX172&lt;0,MAX($F172:$G172)=4500,$E172="Enerji Fazlası"),4500*1.05*1.03*BX172,IF(AND(BX172&lt;0,$E172="Enerji Açığı"),MAX($F172,$G172,150)*BX172*1.06,IF(AND(BX172&lt;0,$E172="Enerji Fazlası"),MAX($F172,$G172,150)*BX172*1.03,IF(AND(BX172&lt;0,$E172="Dengede"),MAX($F172:$G172,150)*1.03*BX172,MIN($F172:$G172)*0.97*BX172)))))))))</f>
        <v/>
      </c>
      <c r="BZ172" s="34">
        <f>BE172-BV172-CA172</f>
        <v/>
      </c>
      <c r="CA172" s="34">
        <f>BD172</f>
        <v/>
      </c>
      <c r="CB172" s="33">
        <f>BE172-BV172</f>
        <v/>
      </c>
      <c r="CC172" s="34">
        <f>IF(AY172=0,0,CB172/AY172)</f>
        <v/>
      </c>
      <c r="CD172" s="34">
        <f>MAX((AY172+MAX((-J172+L172-N172+Q172-T172+X172),0)),(MAX((J172-L172+N172-Q172+T172-X172),0)))</f>
        <v/>
      </c>
      <c r="CE172" s="82">
        <f>IFERROR(ABS(BX172/CD172),0)</f>
        <v/>
      </c>
      <c r="CF172" s="34">
        <f>IF(CE172&lt;=0.1,0,BX172/CE172*(CE172-0.1))</f>
        <v/>
      </c>
      <c r="CG172" s="34">
        <f>IF((CF172)&lt;0,MAX(F172:G172)*(CF172)*1.03,MIN(F172:G172)*(CF172)*0.97)</f>
        <v/>
      </c>
      <c r="CH172" s="34">
        <f>IF(CE172&gt;0.1,1,0)</f>
        <v/>
      </c>
      <c r="CI172" s="34">
        <f>(F172*BX172)-BY172</f>
        <v/>
      </c>
      <c r="CJ172" s="34">
        <f>IF(AY172=0,0,CI172/AY172)</f>
        <v/>
      </c>
    </row>
    <row r="173">
      <c r="A173" s="29" t="n">
        <v>46211.08333333334</v>
      </c>
      <c r="B173" s="29" t="inlineStr">
        <is>
          <t>02:00</t>
        </is>
      </c>
      <c r="C173" s="35">
        <f>INT(A173)</f>
        <v/>
      </c>
      <c r="D173" s="36">
        <f>MONTH(A173)</f>
        <v/>
      </c>
      <c r="E173" s="147">
        <f>[1]FİYATLAR!G172</f>
        <v/>
      </c>
      <c r="F173" s="30" t="n">
        <v>3199.01</v>
      </c>
      <c r="G173" s="30" t="n">
        <v>3740</v>
      </c>
      <c r="H173" s="30" t="n">
        <v>68.45</v>
      </c>
      <c r="I173" s="30" t="n">
        <v>3799.02</v>
      </c>
      <c r="J173" s="119" t="n">
        <v>0</v>
      </c>
      <c r="K173" s="34">
        <f>F173*J173</f>
        <v/>
      </c>
      <c r="L173" s="119" t="n">
        <v>0</v>
      </c>
      <c r="M173" s="34">
        <f>L173*F173</f>
        <v/>
      </c>
      <c r="N173" s="119" t="n">
        <v>21</v>
      </c>
      <c r="O173" s="34">
        <f>F173</f>
        <v/>
      </c>
      <c r="P173" s="34">
        <f>N173*O173</f>
        <v/>
      </c>
      <c r="Q173" s="117" t="n">
        <v>0</v>
      </c>
      <c r="R173" s="34">
        <f>F173</f>
        <v/>
      </c>
      <c r="S173" s="34">
        <f>R173*Q173</f>
        <v/>
      </c>
      <c r="T173" s="34">
        <f>SUMIFS('[1]GİP VERİLERİ'!$C:$C,'[1]GİP VERİLERİ'!$B:$B,A173,'[1]GİP VERİLERİ'!$M:$M,"40X000000104782K",'[1]GİP VERİLERİ'!$G:$G,"SELL")</f>
        <v/>
      </c>
      <c r="U173" s="34">
        <f>IFERROR(W173/T173,0)</f>
        <v/>
      </c>
      <c r="V173" s="34">
        <f>IF(U173=0,0,U173-F173)</f>
        <v/>
      </c>
      <c r="W173" s="34">
        <f>SUMIFS('[1]GİP VERİLERİ'!$O:$O,'[1]GİP VERİLERİ'!$B:$B,A173,'[1]GİP VERİLERİ'!$M:$M,"40X000000104782K",'[1]GİP VERİLERİ'!$G:$G,"SELL")</f>
        <v/>
      </c>
      <c r="X173" s="34">
        <f>SUMIFS('[1]GİP VERİLERİ'!$C:$C,'[1]GİP VERİLERİ'!$B:$B,A173,'[1]GİP VERİLERİ'!$M:$M,"40X000000104782K",'[1]GİP VERİLERİ'!$G:$G,"BUY")</f>
        <v/>
      </c>
      <c r="Y173" s="34">
        <f>IFERROR(AA173/X173,0)</f>
        <v/>
      </c>
      <c r="Z173" s="34">
        <f>IF(Y173=0,0,F173-Y173)</f>
        <v/>
      </c>
      <c r="AA173" s="34">
        <f>SUMIFS('[1]GİP VERİLERİ'!$O:$O,'[1]GİP VERİLERİ'!$B:$B,A173,'[1]GİP VERİLERİ'!$M:$M,"40X000000104782K",'[1]GİP VERİLERİ'!$G:$G,"BUY")</f>
        <v/>
      </c>
      <c r="AB173" s="34" t="n">
        <v>0</v>
      </c>
      <c r="AC173" s="34" t="n">
        <v>0</v>
      </c>
      <c r="AD173" s="34">
        <f>IF(AB173&gt;AC173*1.05,AB173-AC173*1.05,IF(AB173&lt;AC173*0.95,AC173*0.95-AB173,0))</f>
        <v/>
      </c>
      <c r="AE173" s="34">
        <f>MAX(F173,G173,750)*0.05*AD173</f>
        <v/>
      </c>
      <c r="AF173" s="34" t="n">
        <v>0</v>
      </c>
      <c r="AG173" s="34">
        <f>IF(AB173&gt;AF173*1.05,AB173-AF173*1.05,IF(AB173&lt;AF173*0.95,AF173*0.95-AB173,0))</f>
        <v/>
      </c>
      <c r="AH173" s="34">
        <f>MAX(I173,J173,750)*0.05*AG173</f>
        <v/>
      </c>
      <c r="AI173" t="n">
        <v>10.13</v>
      </c>
      <c r="AJ173" t="n">
        <v>9</v>
      </c>
      <c r="AK173" s="34">
        <f>IF(AI173&gt;AJ173*1.05,AI173-AJ173*1.05,IF(AI173&lt;AJ173*0.95,AJ173*0.95-AI173,0))</f>
        <v/>
      </c>
      <c r="AL173" s="34">
        <f>MAX(F173,G173,750)*0.05*AK173</f>
        <v/>
      </c>
      <c r="AM173" s="39" t="n">
        <v>10</v>
      </c>
      <c r="AN173" s="34">
        <f>IF(AI173&gt;AM173*1.05,AI173-AM173*1.05,IF(AI173&lt;AM173*0.95,AM173*0.95-AI173,0))</f>
        <v/>
      </c>
      <c r="AO173" s="34">
        <f>MAX(F173,G173,750)*0.05*AN173</f>
        <v/>
      </c>
      <c r="AP173" s="34" t="n">
        <v>13.17</v>
      </c>
      <c r="AQ173" s="34" t="n">
        <v>12</v>
      </c>
      <c r="AR173" s="34">
        <f>IF(AP173&gt;AQ173*1.05,AP173-AQ173*1.05,IF(AP173&lt;AQ173*0.95,AQ173*0.95-AP173,0))</f>
        <v/>
      </c>
      <c r="AS173" s="34">
        <f>MAX(F173:G173,750)*0.05*AR173</f>
        <v/>
      </c>
      <c r="AT173" t="n">
        <v>13</v>
      </c>
      <c r="AU173" s="34">
        <f>IF(AP173&gt;AT173*1.05,AP173-AT173*1.05,IF(AP173&lt;AT173*0.95,AT173*0.95-AP173,0))</f>
        <v/>
      </c>
      <c r="AV173" s="34">
        <f>MAX(F173:G173,750)*0.05*AU173</f>
        <v/>
      </c>
      <c r="AW173" s="34">
        <f>AC173+AJ173+AQ173</f>
        <v/>
      </c>
      <c r="AX173" s="34">
        <f>AF173+AM173+AT173</f>
        <v/>
      </c>
      <c r="AY173" s="34">
        <f>AB173+AI173+AP173</f>
        <v/>
      </c>
      <c r="AZ173" s="34" t="n">
        <v>0</v>
      </c>
      <c r="BA173" s="34">
        <f>AD173+AK173+AR173</f>
        <v/>
      </c>
      <c r="BB173" s="34">
        <f>MAX(F173:G173,750)*0.05*BA173</f>
        <v/>
      </c>
      <c r="BC173" s="34">
        <f>AG173+AN173+AU173</f>
        <v/>
      </c>
      <c r="BD173" s="34">
        <f>MAX(F173:G173,750)*0.05*BC173</f>
        <v/>
      </c>
      <c r="BE173" s="34">
        <f>F173*AY173</f>
        <v/>
      </c>
      <c r="BF173" s="34">
        <f>K173-M173</f>
        <v/>
      </c>
      <c r="BG173" s="34">
        <f>P173-S173</f>
        <v/>
      </c>
      <c r="BH173" s="34">
        <f>W173-AA173</f>
        <v/>
      </c>
      <c r="BI173" s="34">
        <f>BF173+BG173+BL173-BN173</f>
        <v/>
      </c>
      <c r="BJ173" s="34">
        <f>ABS(BK173)</f>
        <v/>
      </c>
      <c r="BK173" s="34">
        <f>AY173-(J173-L173+N173-Q173)</f>
        <v/>
      </c>
      <c r="BL173" s="34">
        <f>IF(AND(BK173&gt;0,MIN($F173:$G173)&lt;150,$E173="Enerji Açığı"),-100*BK173*1.03,IF(AND(BK173&gt;0,MIN($F173:$G173)&lt;150,$E173="Enerji Fazlası"),-100*BK173*1.06,IF(AND(BK173&gt;0,MIN($F173:$G173)&gt;=150,$E173="Enerji Açığı"),BK173*MIN($F173:$G173)*0.97,IF(AND(BK173&gt;0,MIN($F173:$G173)&gt;=150,$E173="Enerji Fazlası"),BK173*MIN($F173:$G173)*0.94,IF(AND(BK173&lt;0,MAX($F173:$G173)=4500,$E173="Enerji Açığı"),4500*1.05*1.06*BK173,IF(AND(BK173&lt;0,MAX($F173:$G173)=4500,$E173="Enerji Fazlası"),4500*1.05*1.03*BK173,IF(AND(BK173&lt;0,$E173="Enerji Açığı"),MAX($F173,$G173,150)*BK173*1.06,IF(AND(BK173&lt;0,$E173="Enerji Fazlası"),MAX($F173,$G173,150)*BK173*1.03,IF(AND(BK173&lt;0,$E173="Dengede"),MAX($F173:$G173,150)*1.03*BK173,MIN($F173:$G173)*0.97*BK173)))))))))</f>
        <v/>
      </c>
      <c r="BM173" s="34">
        <f>BE173-BI173-BN173</f>
        <v/>
      </c>
      <c r="BN173" s="34">
        <f>BB173</f>
        <v/>
      </c>
      <c r="BO173" s="34">
        <f>BE173-BI173</f>
        <v/>
      </c>
      <c r="BP173" s="34">
        <f>IF(AY173=0,0,BO173/AY173)</f>
        <v/>
      </c>
      <c r="BQ173" s="34">
        <f>MAX((AY173+MAX((-J173+L173-N173+Q173),0)),(MAX((J173-L173+N173-Q173),0)))</f>
        <v/>
      </c>
      <c r="BR173" s="82">
        <f>IFERROR(ABS(BK173/BQ173),0)</f>
        <v/>
      </c>
      <c r="BS173" s="34">
        <f>IF(BR173&lt;=0.1,0,BK173/BR173*(BR173-0.1))</f>
        <v/>
      </c>
      <c r="BT173" s="34">
        <f>IF((BS173)&lt;0,MAX(F173:G173)*(BS173)*1.03,MIN(F173:G173)*(BS173)*0.97)</f>
        <v/>
      </c>
      <c r="BU173" s="34">
        <f>IF(BR173&gt;0.1,1,0)</f>
        <v/>
      </c>
      <c r="BV173" s="34">
        <f>BF173+BG173+BH173+BY173-CA173</f>
        <v/>
      </c>
      <c r="BW173" s="34">
        <f>ABS(BX173)</f>
        <v/>
      </c>
      <c r="BX173" s="34">
        <f>AY173-(J173-L173+N173-Q173+T173-X173)</f>
        <v/>
      </c>
      <c r="BY173" s="34">
        <f>IF(AND(BX173&gt;0,MIN($F173:$G173)&lt;150,$E173="Enerji Açığı"),-100*BX173*1.03,IF(AND(BX173&gt;0,MIN($F173:$G173)&lt;150,$E173="Enerji Fazlası"),-100*BX173*1.06,IF(AND(BX173&gt;0,MIN($F173:$G173)&gt;=150,$E173="Enerji Açığı"),BX173*MIN($F173:$G173)*0.97,IF(AND(BX173&gt;0,MIN($F173:$G173)&gt;=150,$E173="Enerji Fazlası"),BX173*MIN($F173:$G173)*0.94,IF(AND(BX173&lt;0,MAX($F173:$G173)=4500,$E173="Enerji Açığı"),4500*1.05*1.06*BX173,IF(AND(BX173&lt;0,MAX($F173:$G173)=4500,$E173="Enerji Fazlası"),4500*1.05*1.03*BX173,IF(AND(BX173&lt;0,$E173="Enerji Açığı"),MAX($F173,$G173,150)*BX173*1.06,IF(AND(BX173&lt;0,$E173="Enerji Fazlası"),MAX($F173,$G173,150)*BX173*1.03,IF(AND(BX173&lt;0,$E173="Dengede"),MAX($F173:$G173,150)*1.03*BX173,MIN($F173:$G173)*0.97*BX173)))))))))</f>
        <v/>
      </c>
      <c r="BZ173" s="34">
        <f>BE173-BV173-CA173</f>
        <v/>
      </c>
      <c r="CA173" s="34">
        <f>BD173</f>
        <v/>
      </c>
      <c r="CB173" s="33">
        <f>BE173-BV173</f>
        <v/>
      </c>
      <c r="CC173" s="34">
        <f>IF(AY173=0,0,CB173/AY173)</f>
        <v/>
      </c>
      <c r="CD173" s="34">
        <f>MAX((AY173+MAX((-J173+L173-N173+Q173-T173+X173),0)),(MAX((J173-L173+N173-Q173+T173-X173),0)))</f>
        <v/>
      </c>
      <c r="CE173" s="82">
        <f>IFERROR(ABS(BX173/CD173),0)</f>
        <v/>
      </c>
      <c r="CF173" s="34">
        <f>IF(CE173&lt;=0.1,0,BX173/CE173*(CE173-0.1))</f>
        <v/>
      </c>
      <c r="CG173" s="34">
        <f>IF((CF173)&lt;0,MAX(F173:G173)*(CF173)*1.03,MIN(F173:G173)*(CF173)*0.97)</f>
        <v/>
      </c>
      <c r="CH173" s="34">
        <f>IF(CE173&gt;0.1,1,0)</f>
        <v/>
      </c>
      <c r="CI173" s="34">
        <f>(F173*BX173)-BY173</f>
        <v/>
      </c>
      <c r="CJ173" s="34">
        <f>IF(AY173=0,0,CI173/AY173)</f>
        <v/>
      </c>
    </row>
    <row r="174">
      <c r="A174" s="29" t="n">
        <v>46211.125</v>
      </c>
      <c r="B174" s="29" t="inlineStr">
        <is>
          <t>03:00</t>
        </is>
      </c>
      <c r="C174" s="35">
        <f>INT(A174)</f>
        <v/>
      </c>
      <c r="D174" s="36">
        <f>MONTH(A174)</f>
        <v/>
      </c>
      <c r="E174" s="147">
        <f>[1]FİYATLAR!G173</f>
        <v/>
      </c>
      <c r="F174" s="30" t="n">
        <v>3379.01</v>
      </c>
      <c r="G174" s="30" t="n">
        <v>3740</v>
      </c>
      <c r="H174" s="30" t="n">
        <v>72.3</v>
      </c>
      <c r="I174" s="30" t="n">
        <v>3979.9</v>
      </c>
      <c r="J174" s="119" t="n">
        <v>0</v>
      </c>
      <c r="K174" s="34">
        <f>F174*J174</f>
        <v/>
      </c>
      <c r="L174" s="119" t="n">
        <v>0</v>
      </c>
      <c r="M174" s="34">
        <f>L174*F174</f>
        <v/>
      </c>
      <c r="N174" s="119" t="n">
        <v>21</v>
      </c>
      <c r="O174" s="34">
        <f>F174</f>
        <v/>
      </c>
      <c r="P174" s="34">
        <f>N174*O174</f>
        <v/>
      </c>
      <c r="Q174" s="117" t="n">
        <v>0</v>
      </c>
      <c r="R174" s="34">
        <f>F174</f>
        <v/>
      </c>
      <c r="S174" s="34">
        <f>R174*Q174</f>
        <v/>
      </c>
      <c r="T174" s="34">
        <f>SUMIFS('[1]GİP VERİLERİ'!$C:$C,'[1]GİP VERİLERİ'!$B:$B,A174,'[1]GİP VERİLERİ'!$M:$M,"40X000000104782K",'[1]GİP VERİLERİ'!$G:$G,"SELL")</f>
        <v/>
      </c>
      <c r="U174" s="34">
        <f>IFERROR(W174/T174,0)</f>
        <v/>
      </c>
      <c r="V174" s="34">
        <f>IF(U174=0,0,U174-F174)</f>
        <v/>
      </c>
      <c r="W174" s="34">
        <f>SUMIFS('[1]GİP VERİLERİ'!$O:$O,'[1]GİP VERİLERİ'!$B:$B,A174,'[1]GİP VERİLERİ'!$M:$M,"40X000000104782K",'[1]GİP VERİLERİ'!$G:$G,"SELL")</f>
        <v/>
      </c>
      <c r="X174" s="34">
        <f>SUMIFS('[1]GİP VERİLERİ'!$C:$C,'[1]GİP VERİLERİ'!$B:$B,A174,'[1]GİP VERİLERİ'!$M:$M,"40X000000104782K",'[1]GİP VERİLERİ'!$G:$G,"BUY")</f>
        <v/>
      </c>
      <c r="Y174" s="34">
        <f>IFERROR(AA174/X174,0)</f>
        <v/>
      </c>
      <c r="Z174" s="34">
        <f>IF(Y174=0,0,F174-Y174)</f>
        <v/>
      </c>
      <c r="AA174" s="34">
        <f>SUMIFS('[1]GİP VERİLERİ'!$O:$O,'[1]GİP VERİLERİ'!$B:$B,A174,'[1]GİP VERİLERİ'!$M:$M,"40X000000104782K",'[1]GİP VERİLERİ'!$G:$G,"BUY")</f>
        <v/>
      </c>
      <c r="AB174" s="34" t="n">
        <v>0</v>
      </c>
      <c r="AC174" s="34" t="n">
        <v>0</v>
      </c>
      <c r="AD174" s="34">
        <f>IF(AB174&gt;AC174*1.05,AB174-AC174*1.05,IF(AB174&lt;AC174*0.95,AC174*0.95-AB174,0))</f>
        <v/>
      </c>
      <c r="AE174" s="34">
        <f>MAX(F174,G174,750)*0.05*AD174</f>
        <v/>
      </c>
      <c r="AF174" s="34" t="n">
        <v>0</v>
      </c>
      <c r="AG174" s="34">
        <f>IF(AB174&gt;AF174*1.05,AB174-AF174*1.05,IF(AB174&lt;AF174*0.95,AF174*0.95-AB174,0))</f>
        <v/>
      </c>
      <c r="AH174" s="34">
        <f>MAX(I174,J174,750)*0.05*AG174</f>
        <v/>
      </c>
      <c r="AI174" t="n">
        <v>10.16</v>
      </c>
      <c r="AJ174" t="n">
        <v>9</v>
      </c>
      <c r="AK174" s="34">
        <f>IF(AI174&gt;AJ174*1.05,AI174-AJ174*1.05,IF(AI174&lt;AJ174*0.95,AJ174*0.95-AI174,0))</f>
        <v/>
      </c>
      <c r="AL174" s="34">
        <f>MAX(F174,G174,750)*0.05*AK174</f>
        <v/>
      </c>
      <c r="AM174" s="39" t="n">
        <v>10</v>
      </c>
      <c r="AN174" s="34">
        <f>IF(AI174&gt;AM174*1.05,AI174-AM174*1.05,IF(AI174&lt;AM174*0.95,AM174*0.95-AI174,0))</f>
        <v/>
      </c>
      <c r="AO174" s="34">
        <f>MAX(F174,G174,750)*0.05*AN174</f>
        <v/>
      </c>
      <c r="AP174" s="34" t="n">
        <v>13.22</v>
      </c>
      <c r="AQ174" s="34" t="n">
        <v>12</v>
      </c>
      <c r="AR174" s="34">
        <f>IF(AP174&gt;AQ174*1.05,AP174-AQ174*1.05,IF(AP174&lt;AQ174*0.95,AQ174*0.95-AP174,0))</f>
        <v/>
      </c>
      <c r="AS174" s="34">
        <f>MAX(F174:G174,750)*0.05*AR174</f>
        <v/>
      </c>
      <c r="AT174" t="n">
        <v>13</v>
      </c>
      <c r="AU174" s="34">
        <f>IF(AP174&gt;AT174*1.05,AP174-AT174*1.05,IF(AP174&lt;AT174*0.95,AT174*0.95-AP174,0))</f>
        <v/>
      </c>
      <c r="AV174" s="34">
        <f>MAX(F174:G174,750)*0.05*AU174</f>
        <v/>
      </c>
      <c r="AW174" s="34">
        <f>AC174+AJ174+AQ174</f>
        <v/>
      </c>
      <c r="AX174" s="34">
        <f>AF174+AM174+AT174</f>
        <v/>
      </c>
      <c r="AY174" s="34">
        <f>AB174+AI174+AP174</f>
        <v/>
      </c>
      <c r="AZ174" s="34" t="n">
        <v>0</v>
      </c>
      <c r="BA174" s="34">
        <f>AD174+AK174+AR174</f>
        <v/>
      </c>
      <c r="BB174" s="34">
        <f>MAX(F174:G174,750)*0.05*BA174</f>
        <v/>
      </c>
      <c r="BC174" s="34">
        <f>AG174+AN174+AU174</f>
        <v/>
      </c>
      <c r="BD174" s="34">
        <f>MAX(F174:G174,750)*0.05*BC174</f>
        <v/>
      </c>
      <c r="BE174" s="34">
        <f>F174*AY174</f>
        <v/>
      </c>
      <c r="BF174" s="34">
        <f>K174-M174</f>
        <v/>
      </c>
      <c r="BG174" s="34">
        <f>P174-S174</f>
        <v/>
      </c>
      <c r="BH174" s="34">
        <f>W174-AA174</f>
        <v/>
      </c>
      <c r="BI174" s="34">
        <f>BF174+BG174+BL174-BN174</f>
        <v/>
      </c>
      <c r="BJ174" s="34">
        <f>ABS(BK174)</f>
        <v/>
      </c>
      <c r="BK174" s="34">
        <f>AY174-(J174-L174+N174-Q174)</f>
        <v/>
      </c>
      <c r="BL174" s="34">
        <f>IF(AND(BK174&gt;0,MIN($F174:$G174)&lt;150,$E174="Enerji Açığı"),-100*BK174*1.03,IF(AND(BK174&gt;0,MIN($F174:$G174)&lt;150,$E174="Enerji Fazlası"),-100*BK174*1.06,IF(AND(BK174&gt;0,MIN($F174:$G174)&gt;=150,$E174="Enerji Açığı"),BK174*MIN($F174:$G174)*0.97,IF(AND(BK174&gt;0,MIN($F174:$G174)&gt;=150,$E174="Enerji Fazlası"),BK174*MIN($F174:$G174)*0.94,IF(AND(BK174&lt;0,MAX($F174:$G174)=4500,$E174="Enerji Açığı"),4500*1.05*1.06*BK174,IF(AND(BK174&lt;0,MAX($F174:$G174)=4500,$E174="Enerji Fazlası"),4500*1.05*1.03*BK174,IF(AND(BK174&lt;0,$E174="Enerji Açığı"),MAX($F174,$G174,150)*BK174*1.06,IF(AND(BK174&lt;0,$E174="Enerji Fazlası"),MAX($F174,$G174,150)*BK174*1.03,IF(AND(BK174&lt;0,$E174="Dengede"),MAX($F174:$G174,150)*1.03*BK174,MIN($F174:$G174)*0.97*BK174)))))))))</f>
        <v/>
      </c>
      <c r="BM174" s="34">
        <f>BE174-BI174-BN174</f>
        <v/>
      </c>
      <c r="BN174" s="34">
        <f>BB174</f>
        <v/>
      </c>
      <c r="BO174" s="34">
        <f>BE174-BI174</f>
        <v/>
      </c>
      <c r="BP174" s="34">
        <f>IF(AY174=0,0,BO174/AY174)</f>
        <v/>
      </c>
      <c r="BQ174" s="34">
        <f>MAX((AY174+MAX((-J174+L174-N174+Q174),0)),(MAX((J174-L174+N174-Q174),0)))</f>
        <v/>
      </c>
      <c r="BR174" s="82">
        <f>IFERROR(ABS(BK174/BQ174),0)</f>
        <v/>
      </c>
      <c r="BS174" s="34">
        <f>IF(BR174&lt;=0.1,0,BK174/BR174*(BR174-0.1))</f>
        <v/>
      </c>
      <c r="BT174" s="34">
        <f>IF((BS174)&lt;0,MAX(F174:G174)*(BS174)*1.03,MIN(F174:G174)*(BS174)*0.97)</f>
        <v/>
      </c>
      <c r="BU174" s="34">
        <f>IF(BR174&gt;0.1,1,0)</f>
        <v/>
      </c>
      <c r="BV174" s="34">
        <f>BF174+BG174+BH174+BY174-CA174</f>
        <v/>
      </c>
      <c r="BW174" s="34">
        <f>ABS(BX174)</f>
        <v/>
      </c>
      <c r="BX174" s="34">
        <f>AY174-(J174-L174+N174-Q174+T174-X174)</f>
        <v/>
      </c>
      <c r="BY174" s="34">
        <f>IF(AND(BX174&gt;0,MIN($F174:$G174)&lt;150,$E174="Enerji Açığı"),-100*BX174*1.03,IF(AND(BX174&gt;0,MIN($F174:$G174)&lt;150,$E174="Enerji Fazlası"),-100*BX174*1.06,IF(AND(BX174&gt;0,MIN($F174:$G174)&gt;=150,$E174="Enerji Açığı"),BX174*MIN($F174:$G174)*0.97,IF(AND(BX174&gt;0,MIN($F174:$G174)&gt;=150,$E174="Enerji Fazlası"),BX174*MIN($F174:$G174)*0.94,IF(AND(BX174&lt;0,MAX($F174:$G174)=4500,$E174="Enerji Açığı"),4500*1.05*1.06*BX174,IF(AND(BX174&lt;0,MAX($F174:$G174)=4500,$E174="Enerji Fazlası"),4500*1.05*1.03*BX174,IF(AND(BX174&lt;0,$E174="Enerji Açığı"),MAX($F174,$G174,150)*BX174*1.06,IF(AND(BX174&lt;0,$E174="Enerji Fazlası"),MAX($F174,$G174,150)*BX174*1.03,IF(AND(BX174&lt;0,$E174="Dengede"),MAX($F174:$G174,150)*1.03*BX174,MIN($F174:$G174)*0.97*BX174)))))))))</f>
        <v/>
      </c>
      <c r="BZ174" s="34">
        <f>BE174-BV174-CA174</f>
        <v/>
      </c>
      <c r="CA174" s="34">
        <f>BD174</f>
        <v/>
      </c>
      <c r="CB174" s="33">
        <f>BE174-BV174</f>
        <v/>
      </c>
      <c r="CC174" s="34">
        <f>IF(AY174=0,0,CB174/AY174)</f>
        <v/>
      </c>
      <c r="CD174" s="34">
        <f>MAX((AY174+MAX((-J174+L174-N174+Q174-T174+X174),0)),(MAX((J174-L174+N174-Q174+T174-X174),0)))</f>
        <v/>
      </c>
      <c r="CE174" s="82">
        <f>IFERROR(ABS(BX174/CD174),0)</f>
        <v/>
      </c>
      <c r="CF174" s="34">
        <f>IF(CE174&lt;=0.1,0,BX174/CE174*(CE174-0.1))</f>
        <v/>
      </c>
      <c r="CG174" s="34">
        <f>IF((CF174)&lt;0,MAX(F174:G174)*(CF174)*1.03,MIN(F174:G174)*(CF174)*0.97)</f>
        <v/>
      </c>
      <c r="CH174" s="34">
        <f>IF(CE174&gt;0.1,1,0)</f>
        <v/>
      </c>
      <c r="CI174" s="34">
        <f>(F174*BX174)-BY174</f>
        <v/>
      </c>
      <c r="CJ174" s="34">
        <f>IF(AY174=0,0,CI174/AY174)</f>
        <v/>
      </c>
    </row>
    <row r="175">
      <c r="A175" s="29" t="n">
        <v>46211.16666666666</v>
      </c>
      <c r="B175" s="29" t="inlineStr">
        <is>
          <t>04:00</t>
        </is>
      </c>
      <c r="C175" s="35">
        <f>INT(A175)</f>
        <v/>
      </c>
      <c r="D175" s="36">
        <f>MONTH(A175)</f>
        <v/>
      </c>
      <c r="E175" s="147">
        <f>[1]FİYATLAR!G174</f>
        <v/>
      </c>
      <c r="F175" s="30" t="n">
        <v>3188.89</v>
      </c>
      <c r="G175" s="30" t="n">
        <v>3718</v>
      </c>
      <c r="H175" s="30" t="n">
        <v>68.23</v>
      </c>
      <c r="I175" s="30" t="n">
        <v>4044.45</v>
      </c>
      <c r="J175" s="119" t="n">
        <v>0</v>
      </c>
      <c r="K175" s="34">
        <f>F175*J175</f>
        <v/>
      </c>
      <c r="L175" s="119" t="n">
        <v>0</v>
      </c>
      <c r="M175" s="34">
        <f>L175*F175</f>
        <v/>
      </c>
      <c r="N175" s="119" t="n">
        <v>21</v>
      </c>
      <c r="O175" s="34">
        <f>F175</f>
        <v/>
      </c>
      <c r="P175" s="34">
        <f>N175*O175</f>
        <v/>
      </c>
      <c r="Q175" s="117" t="n">
        <v>0</v>
      </c>
      <c r="R175" s="34">
        <f>F175</f>
        <v/>
      </c>
      <c r="S175" s="34">
        <f>R175*Q175</f>
        <v/>
      </c>
      <c r="T175" s="34">
        <f>SUMIFS('[1]GİP VERİLERİ'!$C:$C,'[1]GİP VERİLERİ'!$B:$B,A175,'[1]GİP VERİLERİ'!$M:$M,"40X000000104782K",'[1]GİP VERİLERİ'!$G:$G,"SELL")</f>
        <v/>
      </c>
      <c r="U175" s="34">
        <f>IFERROR(W175/T175,0)</f>
        <v/>
      </c>
      <c r="V175" s="34">
        <f>IF(U175=0,0,U175-F175)</f>
        <v/>
      </c>
      <c r="W175" s="34">
        <f>SUMIFS('[1]GİP VERİLERİ'!$O:$O,'[1]GİP VERİLERİ'!$B:$B,A175,'[1]GİP VERİLERİ'!$M:$M,"40X000000104782K",'[1]GİP VERİLERİ'!$G:$G,"SELL")</f>
        <v/>
      </c>
      <c r="X175" s="34">
        <f>SUMIFS('[1]GİP VERİLERİ'!$C:$C,'[1]GİP VERİLERİ'!$B:$B,A175,'[1]GİP VERİLERİ'!$M:$M,"40X000000104782K",'[1]GİP VERİLERİ'!$G:$G,"BUY")</f>
        <v/>
      </c>
      <c r="Y175" s="34">
        <f>IFERROR(AA175/X175,0)</f>
        <v/>
      </c>
      <c r="Z175" s="34">
        <f>IF(Y175=0,0,F175-Y175)</f>
        <v/>
      </c>
      <c r="AA175" s="34">
        <f>SUMIFS('[1]GİP VERİLERİ'!$O:$O,'[1]GİP VERİLERİ'!$B:$B,A175,'[1]GİP VERİLERİ'!$M:$M,"40X000000104782K",'[1]GİP VERİLERİ'!$G:$G,"BUY")</f>
        <v/>
      </c>
      <c r="AB175" s="34" t="n">
        <v>0</v>
      </c>
      <c r="AC175" s="34" t="n">
        <v>0</v>
      </c>
      <c r="AD175" s="34">
        <f>IF(AB175&gt;AC175*1.05,AB175-AC175*1.05,IF(AB175&lt;AC175*0.95,AC175*0.95-AB175,0))</f>
        <v/>
      </c>
      <c r="AE175" s="34">
        <f>MAX(F175,G175,750)*0.05*AD175</f>
        <v/>
      </c>
      <c r="AF175" s="34" t="n">
        <v>0</v>
      </c>
      <c r="AG175" s="34">
        <f>IF(AB175&gt;AF175*1.05,AB175-AF175*1.05,IF(AB175&lt;AF175*0.95,AF175*0.95-AB175,0))</f>
        <v/>
      </c>
      <c r="AH175" s="34">
        <f>MAX(I175,J175,750)*0.05*AG175</f>
        <v/>
      </c>
      <c r="AI175" t="n">
        <v>10.15</v>
      </c>
      <c r="AJ175" t="n">
        <v>9</v>
      </c>
      <c r="AK175" s="34">
        <f>IF(AI175&gt;AJ175*1.05,AI175-AJ175*1.05,IF(AI175&lt;AJ175*0.95,AJ175*0.95-AI175,0))</f>
        <v/>
      </c>
      <c r="AL175" s="34">
        <f>MAX(F175,G175,750)*0.05*AK175</f>
        <v/>
      </c>
      <c r="AM175" s="39" t="n">
        <v>10</v>
      </c>
      <c r="AN175" s="34">
        <f>IF(AI175&gt;AM175*1.05,AI175-AM175*1.05,IF(AI175&lt;AM175*0.95,AM175*0.95-AI175,0))</f>
        <v/>
      </c>
      <c r="AO175" s="34">
        <f>MAX(F175,G175,750)*0.05*AN175</f>
        <v/>
      </c>
      <c r="AP175" s="34" t="n">
        <v>13.23</v>
      </c>
      <c r="AQ175" s="34" t="n">
        <v>12</v>
      </c>
      <c r="AR175" s="34">
        <f>IF(AP175&gt;AQ175*1.05,AP175-AQ175*1.05,IF(AP175&lt;AQ175*0.95,AQ175*0.95-AP175,0))</f>
        <v/>
      </c>
      <c r="AS175" s="34">
        <f>MAX(F175:G175,750)*0.05*AR175</f>
        <v/>
      </c>
      <c r="AT175" t="n">
        <v>13</v>
      </c>
      <c r="AU175" s="34">
        <f>IF(AP175&gt;AT175*1.05,AP175-AT175*1.05,IF(AP175&lt;AT175*0.95,AT175*0.95-AP175,0))</f>
        <v/>
      </c>
      <c r="AV175" s="34">
        <f>MAX(F175:G175,750)*0.05*AU175</f>
        <v/>
      </c>
      <c r="AW175" s="34">
        <f>AC175+AJ175+AQ175</f>
        <v/>
      </c>
      <c r="AX175" s="34">
        <f>AF175+AM175+AT175</f>
        <v/>
      </c>
      <c r="AY175" s="34">
        <f>AB175+AI175+AP175</f>
        <v/>
      </c>
      <c r="AZ175" s="34" t="n">
        <v>0</v>
      </c>
      <c r="BA175" s="34">
        <f>AD175+AK175+AR175</f>
        <v/>
      </c>
      <c r="BB175" s="34">
        <f>MAX(F175:G175,750)*0.05*BA175</f>
        <v/>
      </c>
      <c r="BC175" s="34">
        <f>AG175+AN175+AU175</f>
        <v/>
      </c>
      <c r="BD175" s="34">
        <f>MAX(F175:G175,750)*0.05*BC175</f>
        <v/>
      </c>
      <c r="BE175" s="34">
        <f>F175*AY175</f>
        <v/>
      </c>
      <c r="BF175" s="34">
        <f>K175-M175</f>
        <v/>
      </c>
      <c r="BG175" s="34">
        <f>P175-S175</f>
        <v/>
      </c>
      <c r="BH175" s="34">
        <f>W175-AA175</f>
        <v/>
      </c>
      <c r="BI175" s="34">
        <f>BF175+BG175+BL175-BN175</f>
        <v/>
      </c>
      <c r="BJ175" s="34">
        <f>ABS(BK175)</f>
        <v/>
      </c>
      <c r="BK175" s="34">
        <f>AY175-(J175-L175+N175-Q175)</f>
        <v/>
      </c>
      <c r="BL175" s="34">
        <f>IF(AND(BK175&gt;0,MIN($F175:$G175)&lt;150,$E175="Enerji Açığı"),-100*BK175*1.03,IF(AND(BK175&gt;0,MIN($F175:$G175)&lt;150,$E175="Enerji Fazlası"),-100*BK175*1.06,IF(AND(BK175&gt;0,MIN($F175:$G175)&gt;=150,$E175="Enerji Açığı"),BK175*MIN($F175:$G175)*0.97,IF(AND(BK175&gt;0,MIN($F175:$G175)&gt;=150,$E175="Enerji Fazlası"),BK175*MIN($F175:$G175)*0.94,IF(AND(BK175&lt;0,MAX($F175:$G175)=4500,$E175="Enerji Açığı"),4500*1.05*1.06*BK175,IF(AND(BK175&lt;0,MAX($F175:$G175)=4500,$E175="Enerji Fazlası"),4500*1.05*1.03*BK175,IF(AND(BK175&lt;0,$E175="Enerji Açığı"),MAX($F175,$G175,150)*BK175*1.06,IF(AND(BK175&lt;0,$E175="Enerji Fazlası"),MAX($F175,$G175,150)*BK175*1.03,IF(AND(BK175&lt;0,$E175="Dengede"),MAX($F175:$G175,150)*1.03*BK175,MIN($F175:$G175)*0.97*BK175)))))))))</f>
        <v/>
      </c>
      <c r="BM175" s="34">
        <f>BE175-BI175-BN175</f>
        <v/>
      </c>
      <c r="BN175" s="34">
        <f>BB175</f>
        <v/>
      </c>
      <c r="BO175" s="34">
        <f>BE175-BI175</f>
        <v/>
      </c>
      <c r="BP175" s="34">
        <f>IF(AY175=0,0,BO175/AY175)</f>
        <v/>
      </c>
      <c r="BQ175" s="34">
        <f>MAX((AY175+MAX((-J175+L175-N175+Q175),0)),(MAX((J175-L175+N175-Q175),0)))</f>
        <v/>
      </c>
      <c r="BR175" s="82">
        <f>IFERROR(ABS(BK175/BQ175),0)</f>
        <v/>
      </c>
      <c r="BS175" s="34">
        <f>IF(BR175&lt;=0.1,0,BK175/BR175*(BR175-0.1))</f>
        <v/>
      </c>
      <c r="BT175" s="34">
        <f>IF((BS175)&lt;0,MAX(F175:G175)*(BS175)*1.03,MIN(F175:G175)*(BS175)*0.97)</f>
        <v/>
      </c>
      <c r="BU175" s="34">
        <f>IF(BR175&gt;0.1,1,0)</f>
        <v/>
      </c>
      <c r="BV175" s="34">
        <f>BF175+BG175+BH175+BY175-CA175</f>
        <v/>
      </c>
      <c r="BW175" s="34">
        <f>ABS(BX175)</f>
        <v/>
      </c>
      <c r="BX175" s="34">
        <f>AY175-(J175-L175+N175-Q175+T175-X175)</f>
        <v/>
      </c>
      <c r="BY175" s="34">
        <f>IF(AND(BX175&gt;0,MIN($F175:$G175)&lt;150,$E175="Enerji Açığı"),-100*BX175*1.03,IF(AND(BX175&gt;0,MIN($F175:$G175)&lt;150,$E175="Enerji Fazlası"),-100*BX175*1.06,IF(AND(BX175&gt;0,MIN($F175:$G175)&gt;=150,$E175="Enerji Açığı"),BX175*MIN($F175:$G175)*0.97,IF(AND(BX175&gt;0,MIN($F175:$G175)&gt;=150,$E175="Enerji Fazlası"),BX175*MIN($F175:$G175)*0.94,IF(AND(BX175&lt;0,MAX($F175:$G175)=4500,$E175="Enerji Açığı"),4500*1.05*1.06*BX175,IF(AND(BX175&lt;0,MAX($F175:$G175)=4500,$E175="Enerji Fazlası"),4500*1.05*1.03*BX175,IF(AND(BX175&lt;0,$E175="Enerji Açığı"),MAX($F175,$G175,150)*BX175*1.06,IF(AND(BX175&lt;0,$E175="Enerji Fazlası"),MAX($F175,$G175,150)*BX175*1.03,IF(AND(BX175&lt;0,$E175="Dengede"),MAX($F175:$G175,150)*1.03*BX175,MIN($F175:$G175)*0.97*BX175)))))))))</f>
        <v/>
      </c>
      <c r="BZ175" s="34">
        <f>BE175-BV175-CA175</f>
        <v/>
      </c>
      <c r="CA175" s="34">
        <f>BD175</f>
        <v/>
      </c>
      <c r="CB175" s="33">
        <f>BE175-BV175</f>
        <v/>
      </c>
      <c r="CC175" s="34">
        <f>IF(AY175=0,0,CB175/AY175)</f>
        <v/>
      </c>
      <c r="CD175" s="34">
        <f>MAX((AY175+MAX((-J175+L175-N175+Q175-T175+X175),0)),(MAX((J175-L175+N175-Q175+T175-X175),0)))</f>
        <v/>
      </c>
      <c r="CE175" s="82">
        <f>IFERROR(ABS(BX175/CD175),0)</f>
        <v/>
      </c>
      <c r="CF175" s="34">
        <f>IF(CE175&lt;=0.1,0,BX175/CE175*(CE175-0.1))</f>
        <v/>
      </c>
      <c r="CG175" s="34">
        <f>IF((CF175)&lt;0,MAX(F175:G175)*(CF175)*1.03,MIN(F175:G175)*(CF175)*0.97)</f>
        <v/>
      </c>
      <c r="CH175" s="34">
        <f>IF(CE175&gt;0.1,1,0)</f>
        <v/>
      </c>
      <c r="CI175" s="34">
        <f>(F175*BX175)-BY175</f>
        <v/>
      </c>
      <c r="CJ175" s="34">
        <f>IF(AY175=0,0,CI175/AY175)</f>
        <v/>
      </c>
    </row>
    <row r="176">
      <c r="A176" s="29" t="n">
        <v>46211.20833333334</v>
      </c>
      <c r="B176" s="29" t="inlineStr">
        <is>
          <t>05:00</t>
        </is>
      </c>
      <c r="C176" s="35">
        <f>INT(A176)</f>
        <v/>
      </c>
      <c r="D176" s="36">
        <f>MONTH(A176)</f>
        <v/>
      </c>
      <c r="E176" s="147">
        <f>[1]FİYATLAR!G175</f>
        <v/>
      </c>
      <c r="F176" s="30" t="n">
        <v>2600.01</v>
      </c>
      <c r="G176" s="30" t="n">
        <v>3000.01</v>
      </c>
      <c r="H176" s="30" t="n">
        <v>55.63</v>
      </c>
      <c r="I176" s="30" t="n">
        <v>3360.94</v>
      </c>
      <c r="J176" s="119" t="n">
        <v>0</v>
      </c>
      <c r="K176" s="34">
        <f>F176*J176</f>
        <v/>
      </c>
      <c r="L176" s="119" t="n">
        <v>0</v>
      </c>
      <c r="M176" s="34">
        <f>L176*F176</f>
        <v/>
      </c>
      <c r="N176" s="119" t="n">
        <v>21</v>
      </c>
      <c r="O176" s="34">
        <f>F176</f>
        <v/>
      </c>
      <c r="P176" s="34">
        <f>N176*O176</f>
        <v/>
      </c>
      <c r="Q176" s="117" t="n">
        <v>0</v>
      </c>
      <c r="R176" s="34">
        <f>F176</f>
        <v/>
      </c>
      <c r="S176" s="34">
        <f>R176*Q176</f>
        <v/>
      </c>
      <c r="T176" s="34">
        <f>SUMIFS('[1]GİP VERİLERİ'!$C:$C,'[1]GİP VERİLERİ'!$B:$B,A176,'[1]GİP VERİLERİ'!$M:$M,"40X000000104782K",'[1]GİP VERİLERİ'!$G:$G,"SELL")</f>
        <v/>
      </c>
      <c r="U176" s="34">
        <f>IFERROR(W176/T176,0)</f>
        <v/>
      </c>
      <c r="V176" s="34">
        <f>IF(U176=0,0,U176-F176)</f>
        <v/>
      </c>
      <c r="W176" s="34">
        <f>SUMIFS('[1]GİP VERİLERİ'!$O:$O,'[1]GİP VERİLERİ'!$B:$B,A176,'[1]GİP VERİLERİ'!$M:$M,"40X000000104782K",'[1]GİP VERİLERİ'!$G:$G,"SELL")</f>
        <v/>
      </c>
      <c r="X176" s="34">
        <f>SUMIFS('[1]GİP VERİLERİ'!$C:$C,'[1]GİP VERİLERİ'!$B:$B,A176,'[1]GİP VERİLERİ'!$M:$M,"40X000000104782K",'[1]GİP VERİLERİ'!$G:$G,"BUY")</f>
        <v/>
      </c>
      <c r="Y176" s="34">
        <f>IFERROR(AA176/X176,0)</f>
        <v/>
      </c>
      <c r="Z176" s="34">
        <f>IF(Y176=0,0,F176-Y176)</f>
        <v/>
      </c>
      <c r="AA176" s="34">
        <f>SUMIFS('[1]GİP VERİLERİ'!$O:$O,'[1]GİP VERİLERİ'!$B:$B,A176,'[1]GİP VERİLERİ'!$M:$M,"40X000000104782K",'[1]GİP VERİLERİ'!$G:$G,"BUY")</f>
        <v/>
      </c>
      <c r="AB176" s="34" t="n">
        <v>0</v>
      </c>
      <c r="AC176" s="34" t="n">
        <v>0</v>
      </c>
      <c r="AD176" s="34">
        <f>IF(AB176&gt;AC176*1.05,AB176-AC176*1.05,IF(AB176&lt;AC176*0.95,AC176*0.95-AB176,0))</f>
        <v/>
      </c>
      <c r="AE176" s="34">
        <f>MAX(F176,G176,750)*0.05*AD176</f>
        <v/>
      </c>
      <c r="AF176" s="34" t="n">
        <v>0</v>
      </c>
      <c r="AG176" s="34">
        <f>IF(AB176&gt;AF176*1.05,AB176-AF176*1.05,IF(AB176&lt;AF176*0.95,AF176*0.95-AB176,0))</f>
        <v/>
      </c>
      <c r="AH176" s="34">
        <f>MAX(I176,J176,750)*0.05*AG176</f>
        <v/>
      </c>
      <c r="AI176" t="n">
        <v>10.14</v>
      </c>
      <c r="AJ176" t="n">
        <v>9</v>
      </c>
      <c r="AK176" s="34">
        <f>IF(AI176&gt;AJ176*1.05,AI176-AJ176*1.05,IF(AI176&lt;AJ176*0.95,AJ176*0.95-AI176,0))</f>
        <v/>
      </c>
      <c r="AL176" s="34">
        <f>MAX(F176,G176,750)*0.05*AK176</f>
        <v/>
      </c>
      <c r="AM176" s="39" t="n">
        <v>10</v>
      </c>
      <c r="AN176" s="34">
        <f>IF(AI176&gt;AM176*1.05,AI176-AM176*1.05,IF(AI176&lt;AM176*0.95,AM176*0.95-AI176,0))</f>
        <v/>
      </c>
      <c r="AO176" s="34">
        <f>MAX(F176,G176,750)*0.05*AN176</f>
        <v/>
      </c>
      <c r="AP176" s="34" t="n">
        <v>13.26</v>
      </c>
      <c r="AQ176" s="34" t="n">
        <v>12</v>
      </c>
      <c r="AR176" s="34">
        <f>IF(AP176&gt;AQ176*1.05,AP176-AQ176*1.05,IF(AP176&lt;AQ176*0.95,AQ176*0.95-AP176,0))</f>
        <v/>
      </c>
      <c r="AS176" s="34">
        <f>MAX(F176:G176,750)*0.05*AR176</f>
        <v/>
      </c>
      <c r="AT176" t="n">
        <v>13</v>
      </c>
      <c r="AU176" s="34">
        <f>IF(AP176&gt;AT176*1.05,AP176-AT176*1.05,IF(AP176&lt;AT176*0.95,AT176*0.95-AP176,0))</f>
        <v/>
      </c>
      <c r="AV176" s="34">
        <f>MAX(F176:G176,750)*0.05*AU176</f>
        <v/>
      </c>
      <c r="AW176" s="34">
        <f>AC176+AJ176+AQ176</f>
        <v/>
      </c>
      <c r="AX176" s="34">
        <f>AF176+AM176+AT176</f>
        <v/>
      </c>
      <c r="AY176" s="34">
        <f>AB176+AI176+AP176</f>
        <v/>
      </c>
      <c r="AZ176" s="34" t="n">
        <v>0</v>
      </c>
      <c r="BA176" s="34">
        <f>AD176+AK176+AR176</f>
        <v/>
      </c>
      <c r="BB176" s="34">
        <f>MAX(F176:G176,750)*0.05*BA176</f>
        <v/>
      </c>
      <c r="BC176" s="34">
        <f>AG176+AN176+AU176</f>
        <v/>
      </c>
      <c r="BD176" s="34">
        <f>MAX(F176:G176,750)*0.05*BC176</f>
        <v/>
      </c>
      <c r="BE176" s="34">
        <f>F176*AY176</f>
        <v/>
      </c>
      <c r="BF176" s="34">
        <f>K176-M176</f>
        <v/>
      </c>
      <c r="BG176" s="34">
        <f>P176-S176</f>
        <v/>
      </c>
      <c r="BH176" s="34">
        <f>W176-AA176</f>
        <v/>
      </c>
      <c r="BI176" s="34">
        <f>BF176+BG176+BL176-BN176</f>
        <v/>
      </c>
      <c r="BJ176" s="34">
        <f>ABS(BK176)</f>
        <v/>
      </c>
      <c r="BK176" s="34">
        <f>AY176-(J176-L176+N176-Q176)</f>
        <v/>
      </c>
      <c r="BL176" s="34">
        <f>IF(AND(BK176&gt;0,MIN($F176:$G176)&lt;150,$E176="Enerji Açığı"),-100*BK176*1.03,IF(AND(BK176&gt;0,MIN($F176:$G176)&lt;150,$E176="Enerji Fazlası"),-100*BK176*1.06,IF(AND(BK176&gt;0,MIN($F176:$G176)&gt;=150,$E176="Enerji Açığı"),BK176*MIN($F176:$G176)*0.97,IF(AND(BK176&gt;0,MIN($F176:$G176)&gt;=150,$E176="Enerji Fazlası"),BK176*MIN($F176:$G176)*0.94,IF(AND(BK176&lt;0,MAX($F176:$G176)=4500,$E176="Enerji Açığı"),4500*1.05*1.06*BK176,IF(AND(BK176&lt;0,MAX($F176:$G176)=4500,$E176="Enerji Fazlası"),4500*1.05*1.03*BK176,IF(AND(BK176&lt;0,$E176="Enerji Açığı"),MAX($F176,$G176,150)*BK176*1.06,IF(AND(BK176&lt;0,$E176="Enerji Fazlası"),MAX($F176,$G176,150)*BK176*1.03,IF(AND(BK176&lt;0,$E176="Dengede"),MAX($F176:$G176,150)*1.03*BK176,MIN($F176:$G176)*0.97*BK176)))))))))</f>
        <v/>
      </c>
      <c r="BM176" s="34">
        <f>BE176-BI176-BN176</f>
        <v/>
      </c>
      <c r="BN176" s="34">
        <f>BB176</f>
        <v/>
      </c>
      <c r="BO176" s="34">
        <f>BE176-BI176</f>
        <v/>
      </c>
      <c r="BP176" s="34">
        <f>IF(AY176=0,0,BO176/AY176)</f>
        <v/>
      </c>
      <c r="BQ176" s="34">
        <f>MAX((AY176+MAX((-J176+L176-N176+Q176),0)),(MAX((J176-L176+N176-Q176),0)))</f>
        <v/>
      </c>
      <c r="BR176" s="82">
        <f>IFERROR(ABS(BK176/BQ176),0)</f>
        <v/>
      </c>
      <c r="BS176" s="34">
        <f>IF(BR176&lt;=0.1,0,BK176/BR176*(BR176-0.1))</f>
        <v/>
      </c>
      <c r="BT176" s="34">
        <f>IF((BS176)&lt;0,MAX(F176:G176)*(BS176)*1.03,MIN(F176:G176)*(BS176)*0.97)</f>
        <v/>
      </c>
      <c r="BU176" s="34">
        <f>IF(BR176&gt;0.1,1,0)</f>
        <v/>
      </c>
      <c r="BV176" s="34">
        <f>BF176+BG176+BH176+BY176-CA176</f>
        <v/>
      </c>
      <c r="BW176" s="34">
        <f>ABS(BX176)</f>
        <v/>
      </c>
      <c r="BX176" s="34">
        <f>AY176-(J176-L176+N176-Q176+T176-X176)</f>
        <v/>
      </c>
      <c r="BY176" s="34">
        <f>IF(AND(BX176&gt;0,MIN($F176:$G176)&lt;150,$E176="Enerji Açığı"),-100*BX176*1.03,IF(AND(BX176&gt;0,MIN($F176:$G176)&lt;150,$E176="Enerji Fazlası"),-100*BX176*1.06,IF(AND(BX176&gt;0,MIN($F176:$G176)&gt;=150,$E176="Enerji Açığı"),BX176*MIN($F176:$G176)*0.97,IF(AND(BX176&gt;0,MIN($F176:$G176)&gt;=150,$E176="Enerji Fazlası"),BX176*MIN($F176:$G176)*0.94,IF(AND(BX176&lt;0,MAX($F176:$G176)=4500,$E176="Enerji Açığı"),4500*1.05*1.06*BX176,IF(AND(BX176&lt;0,MAX($F176:$G176)=4500,$E176="Enerji Fazlası"),4500*1.05*1.03*BX176,IF(AND(BX176&lt;0,$E176="Enerji Açığı"),MAX($F176,$G176,150)*BX176*1.06,IF(AND(BX176&lt;0,$E176="Enerji Fazlası"),MAX($F176,$G176,150)*BX176*1.03,IF(AND(BX176&lt;0,$E176="Dengede"),MAX($F176:$G176,150)*1.03*BX176,MIN($F176:$G176)*0.97*BX176)))))))))</f>
        <v/>
      </c>
      <c r="BZ176" s="34">
        <f>BE176-BV176-CA176</f>
        <v/>
      </c>
      <c r="CA176" s="34">
        <f>BD176</f>
        <v/>
      </c>
      <c r="CB176" s="33">
        <f>BE176-BV176</f>
        <v/>
      </c>
      <c r="CC176" s="34">
        <f>IF(AY176=0,0,CB176/AY176)</f>
        <v/>
      </c>
      <c r="CD176" s="34">
        <f>MAX((AY176+MAX((-J176+L176-N176+Q176-T176+X176),0)),(MAX((J176-L176+N176-Q176+T176-X176),0)))</f>
        <v/>
      </c>
      <c r="CE176" s="82">
        <f>IFERROR(ABS(BX176/CD176),0)</f>
        <v/>
      </c>
      <c r="CF176" s="34">
        <f>IF(CE176&lt;=0.1,0,BX176/CE176*(CE176-0.1))</f>
        <v/>
      </c>
      <c r="CG176" s="34">
        <f>IF((CF176)&lt;0,MAX(F176:G176)*(CF176)*1.03,MIN(F176:G176)*(CF176)*0.97)</f>
        <v/>
      </c>
      <c r="CH176" s="34">
        <f>IF(CE176&gt;0.1,1,0)</f>
        <v/>
      </c>
      <c r="CI176" s="34">
        <f>(F176*BX176)-BY176</f>
        <v/>
      </c>
      <c r="CJ176" s="34">
        <f>IF(AY176=0,0,CI176/AY176)</f>
        <v/>
      </c>
    </row>
    <row r="177">
      <c r="A177" s="29" t="n">
        <v>46211.25</v>
      </c>
      <c r="B177" s="29" t="inlineStr">
        <is>
          <t>06:00</t>
        </is>
      </c>
      <c r="C177" s="35">
        <f>INT(A177)</f>
        <v/>
      </c>
      <c r="D177" s="36">
        <f>MONTH(A177)</f>
        <v/>
      </c>
      <c r="E177" s="147">
        <f>[1]FİYATLAR!G176</f>
        <v/>
      </c>
      <c r="F177" s="30" t="n">
        <v>2050</v>
      </c>
      <c r="G177" s="30" t="n">
        <v>3000</v>
      </c>
      <c r="H177" s="30" t="n">
        <v>43.86</v>
      </c>
      <c r="I177" s="30" t="n">
        <v>2807.53</v>
      </c>
      <c r="J177" s="119" t="n">
        <v>0</v>
      </c>
      <c r="K177" s="34">
        <f>F177*J177</f>
        <v/>
      </c>
      <c r="L177" s="119" t="n">
        <v>0</v>
      </c>
      <c r="M177" s="34">
        <f>L177*F177</f>
        <v/>
      </c>
      <c r="N177" s="119" t="n">
        <v>23.2</v>
      </c>
      <c r="O177" s="34">
        <f>F177</f>
        <v/>
      </c>
      <c r="P177" s="34">
        <f>N177*O177</f>
        <v/>
      </c>
      <c r="Q177" s="117" t="n">
        <v>0</v>
      </c>
      <c r="R177" s="34">
        <f>F177</f>
        <v/>
      </c>
      <c r="S177" s="34">
        <f>R177*Q177</f>
        <v/>
      </c>
      <c r="T177" s="34">
        <f>SUMIFS('[1]GİP VERİLERİ'!$C:$C,'[1]GİP VERİLERİ'!$B:$B,A177,'[1]GİP VERİLERİ'!$M:$M,"40X000000104782K",'[1]GİP VERİLERİ'!$G:$G,"SELL")</f>
        <v/>
      </c>
      <c r="U177" s="34">
        <f>IFERROR(W177/T177,0)</f>
        <v/>
      </c>
      <c r="V177" s="34">
        <f>IF(U177=0,0,U177-F177)</f>
        <v/>
      </c>
      <c r="W177" s="34">
        <f>SUMIFS('[1]GİP VERİLERİ'!$O:$O,'[1]GİP VERİLERİ'!$B:$B,A177,'[1]GİP VERİLERİ'!$M:$M,"40X000000104782K",'[1]GİP VERİLERİ'!$G:$G,"SELL")</f>
        <v/>
      </c>
      <c r="X177" s="34">
        <f>SUMIFS('[1]GİP VERİLERİ'!$C:$C,'[1]GİP VERİLERİ'!$B:$B,A177,'[1]GİP VERİLERİ'!$M:$M,"40X000000104782K",'[1]GİP VERİLERİ'!$G:$G,"BUY")</f>
        <v/>
      </c>
      <c r="Y177" s="34">
        <f>IFERROR(AA177/X177,0)</f>
        <v/>
      </c>
      <c r="Z177" s="34">
        <f>IF(Y177=0,0,F177-Y177)</f>
        <v/>
      </c>
      <c r="AA177" s="34">
        <f>SUMIFS('[1]GİP VERİLERİ'!$O:$O,'[1]GİP VERİLERİ'!$B:$B,A177,'[1]GİP VERİLERİ'!$M:$M,"40X000000104782K",'[1]GİP VERİLERİ'!$G:$G,"BUY")</f>
        <v/>
      </c>
      <c r="AB177" s="34" t="n">
        <v>0</v>
      </c>
      <c r="AC177" s="34" t="n">
        <v>0</v>
      </c>
      <c r="AD177" s="34">
        <f>IF(AB177&gt;AC177*1.05,AB177-AC177*1.05,IF(AB177&lt;AC177*0.95,AC177*0.95-AB177,0))</f>
        <v/>
      </c>
      <c r="AE177" s="34">
        <f>MAX(F177,G177,750)*0.05*AD177</f>
        <v/>
      </c>
      <c r="AF177" s="34" t="n">
        <v>0</v>
      </c>
      <c r="AG177" s="34">
        <f>IF(AB177&gt;AF177*1.05,AB177-AF177*1.05,IF(AB177&lt;AF177*0.95,AF177*0.95-AB177,0))</f>
        <v/>
      </c>
      <c r="AH177" s="34">
        <f>MAX(I177,J177,750)*0.05*AG177</f>
        <v/>
      </c>
      <c r="AI177" t="n">
        <v>10.12</v>
      </c>
      <c r="AJ177" t="n">
        <v>10</v>
      </c>
      <c r="AK177" s="34">
        <f>IF(AI177&gt;AJ177*1.05,AI177-AJ177*1.05,IF(AI177&lt;AJ177*0.95,AJ177*0.95-AI177,0))</f>
        <v/>
      </c>
      <c r="AL177" s="34">
        <f>MAX(F177,G177,750)*0.05*AK177</f>
        <v/>
      </c>
      <c r="AM177" s="39" t="n">
        <v>10</v>
      </c>
      <c r="AN177" s="34">
        <f>IF(AI177&gt;AM177*1.05,AI177-AM177*1.05,IF(AI177&lt;AM177*0.95,AM177*0.95-AI177,0))</f>
        <v/>
      </c>
      <c r="AO177" s="34">
        <f>MAX(F177,G177,750)*0.05*AN177</f>
        <v/>
      </c>
      <c r="AP177" s="34" t="n">
        <v>13.32</v>
      </c>
      <c r="AQ177" s="34" t="n">
        <v>13.2</v>
      </c>
      <c r="AR177" s="34">
        <f>IF(AP177&gt;AQ177*1.05,AP177-AQ177*1.05,IF(AP177&lt;AQ177*0.95,AQ177*0.95-AP177,0))</f>
        <v/>
      </c>
      <c r="AS177" s="34">
        <f>MAX(F177:G177,750)*0.05*AR177</f>
        <v/>
      </c>
      <c r="AT177" t="n">
        <v>13.2</v>
      </c>
      <c r="AU177" s="34">
        <f>IF(AP177&gt;AT177*1.05,AP177-AT177*1.05,IF(AP177&lt;AT177*0.95,AT177*0.95-AP177,0))</f>
        <v/>
      </c>
      <c r="AV177" s="34">
        <f>MAX(F177:G177,750)*0.05*AU177</f>
        <v/>
      </c>
      <c r="AW177" s="34">
        <f>AC177+AJ177+AQ177</f>
        <v/>
      </c>
      <c r="AX177" s="34">
        <f>AF177+AM177+AT177</f>
        <v/>
      </c>
      <c r="AY177" s="34">
        <f>AB177+AI177+AP177</f>
        <v/>
      </c>
      <c r="AZ177" s="34" t="n">
        <v>0</v>
      </c>
      <c r="BA177" s="34">
        <f>AD177+AK177+AR177</f>
        <v/>
      </c>
      <c r="BB177" s="34">
        <f>MAX(F177:G177,750)*0.05*BA177</f>
        <v/>
      </c>
      <c r="BC177" s="34">
        <f>AG177+AN177+AU177</f>
        <v/>
      </c>
      <c r="BD177" s="34">
        <f>MAX(F177:G177,750)*0.05*BC177</f>
        <v/>
      </c>
      <c r="BE177" s="34">
        <f>F177*AY177</f>
        <v/>
      </c>
      <c r="BF177" s="34">
        <f>K177-M177</f>
        <v/>
      </c>
      <c r="BG177" s="34">
        <f>P177-S177</f>
        <v/>
      </c>
      <c r="BH177" s="34">
        <f>W177-AA177</f>
        <v/>
      </c>
      <c r="BI177" s="34">
        <f>BF177+BG177+BL177-BN177</f>
        <v/>
      </c>
      <c r="BJ177" s="34">
        <f>ABS(BK177)</f>
        <v/>
      </c>
      <c r="BK177" s="34">
        <f>AY177-(J177-L177+N177-Q177)</f>
        <v/>
      </c>
      <c r="BL177" s="34">
        <f>IF(AND(BK177&gt;0,MIN($F177:$G177)&lt;150,$E177="Enerji Açığı"),-100*BK177*1.03,IF(AND(BK177&gt;0,MIN($F177:$G177)&lt;150,$E177="Enerji Fazlası"),-100*BK177*1.06,IF(AND(BK177&gt;0,MIN($F177:$G177)&gt;=150,$E177="Enerji Açığı"),BK177*MIN($F177:$G177)*0.97,IF(AND(BK177&gt;0,MIN($F177:$G177)&gt;=150,$E177="Enerji Fazlası"),BK177*MIN($F177:$G177)*0.94,IF(AND(BK177&lt;0,MAX($F177:$G177)=4500,$E177="Enerji Açığı"),4500*1.05*1.06*BK177,IF(AND(BK177&lt;0,MAX($F177:$G177)=4500,$E177="Enerji Fazlası"),4500*1.05*1.03*BK177,IF(AND(BK177&lt;0,$E177="Enerji Açığı"),MAX($F177,$G177,150)*BK177*1.06,IF(AND(BK177&lt;0,$E177="Enerji Fazlası"),MAX($F177,$G177,150)*BK177*1.03,IF(AND(BK177&lt;0,$E177="Dengede"),MAX($F177:$G177,150)*1.03*BK177,MIN($F177:$G177)*0.97*BK177)))))))))</f>
        <v/>
      </c>
      <c r="BM177" s="34">
        <f>BE177-BI177-BN177</f>
        <v/>
      </c>
      <c r="BN177" s="34">
        <f>BB177</f>
        <v/>
      </c>
      <c r="BO177" s="34">
        <f>BE177-BI177</f>
        <v/>
      </c>
      <c r="BP177" s="34">
        <f>IF(AY177=0,0,BO177/AY177)</f>
        <v/>
      </c>
      <c r="BQ177" s="34">
        <f>MAX((AY177+MAX((-J177+L177-N177+Q177),0)),(MAX((J177-L177+N177-Q177),0)))</f>
        <v/>
      </c>
      <c r="BR177" s="82">
        <f>IFERROR(ABS(BK177/BQ177),0)</f>
        <v/>
      </c>
      <c r="BS177" s="34">
        <f>IF(BR177&lt;=0.1,0,BK177/BR177*(BR177-0.1))</f>
        <v/>
      </c>
      <c r="BT177" s="34">
        <f>IF((BS177)&lt;0,MAX(F177:G177)*(BS177)*1.03,MIN(F177:G177)*(BS177)*0.97)</f>
        <v/>
      </c>
      <c r="BU177" s="34">
        <f>IF(BR177&gt;0.1,1,0)</f>
        <v/>
      </c>
      <c r="BV177" s="34">
        <f>BF177+BG177+BH177+BY177-CA177</f>
        <v/>
      </c>
      <c r="BW177" s="34">
        <f>ABS(BX177)</f>
        <v/>
      </c>
      <c r="BX177" s="34">
        <f>AY177-(J177-L177+N177-Q177+T177-X177)</f>
        <v/>
      </c>
      <c r="BY177" s="34">
        <f>IF(AND(BX177&gt;0,MIN($F177:$G177)&lt;150,$E177="Enerji Açığı"),-100*BX177*1.03,IF(AND(BX177&gt;0,MIN($F177:$G177)&lt;150,$E177="Enerji Fazlası"),-100*BX177*1.06,IF(AND(BX177&gt;0,MIN($F177:$G177)&gt;=150,$E177="Enerji Açığı"),BX177*MIN($F177:$G177)*0.97,IF(AND(BX177&gt;0,MIN($F177:$G177)&gt;=150,$E177="Enerji Fazlası"),BX177*MIN($F177:$G177)*0.94,IF(AND(BX177&lt;0,MAX($F177:$G177)=4500,$E177="Enerji Açığı"),4500*1.05*1.06*BX177,IF(AND(BX177&lt;0,MAX($F177:$G177)=4500,$E177="Enerji Fazlası"),4500*1.05*1.03*BX177,IF(AND(BX177&lt;0,$E177="Enerji Açığı"),MAX($F177,$G177,150)*BX177*1.06,IF(AND(BX177&lt;0,$E177="Enerji Fazlası"),MAX($F177,$G177,150)*BX177*1.03,IF(AND(BX177&lt;0,$E177="Dengede"),MAX($F177:$G177,150)*1.03*BX177,MIN($F177:$G177)*0.97*BX177)))))))))</f>
        <v/>
      </c>
      <c r="BZ177" s="34">
        <f>BE177-BV177-CA177</f>
        <v/>
      </c>
      <c r="CA177" s="34">
        <f>BD177</f>
        <v/>
      </c>
      <c r="CB177" s="33">
        <f>BE177-BV177</f>
        <v/>
      </c>
      <c r="CC177" s="34">
        <f>IF(AY177=0,0,CB177/AY177)</f>
        <v/>
      </c>
      <c r="CD177" s="34">
        <f>MAX((AY177+MAX((-J177+L177-N177+Q177-T177+X177),0)),(MAX((J177-L177+N177-Q177+T177-X177),0)))</f>
        <v/>
      </c>
      <c r="CE177" s="82">
        <f>IFERROR(ABS(BX177/CD177),0)</f>
        <v/>
      </c>
      <c r="CF177" s="34">
        <f>IF(CE177&lt;=0.1,0,BX177/CE177*(CE177-0.1))</f>
        <v/>
      </c>
      <c r="CG177" s="34">
        <f>IF((CF177)&lt;0,MAX(F177:G177)*(CF177)*1.03,MIN(F177:G177)*(CF177)*0.97)</f>
        <v/>
      </c>
      <c r="CH177" s="34">
        <f>IF(CE177&gt;0.1,1,0)</f>
        <v/>
      </c>
      <c r="CI177" s="34">
        <f>(F177*BX177)-BY177</f>
        <v/>
      </c>
      <c r="CJ177" s="34">
        <f>IF(AY177=0,0,CI177/AY177)</f>
        <v/>
      </c>
    </row>
    <row r="178">
      <c r="A178" s="29" t="n">
        <v>46211.29166666666</v>
      </c>
      <c r="B178" s="29" t="inlineStr">
        <is>
          <t>07:00</t>
        </is>
      </c>
      <c r="C178" s="35">
        <f>INT(A178)</f>
        <v/>
      </c>
      <c r="D178" s="36">
        <f>MONTH(A178)</f>
        <v/>
      </c>
      <c r="E178" s="147">
        <f>[1]FİYATLAR!G177</f>
        <v/>
      </c>
      <c r="F178" s="30" t="n">
        <v>1499.97</v>
      </c>
      <c r="G178" s="30" t="n">
        <v>1000</v>
      </c>
      <c r="H178" s="30" t="n">
        <v>32.09</v>
      </c>
      <c r="I178" s="30" t="n">
        <v>2127.28</v>
      </c>
      <c r="J178" s="119" t="n">
        <v>0</v>
      </c>
      <c r="K178" s="34">
        <f>F178*J178</f>
        <v/>
      </c>
      <c r="L178" s="119" t="n">
        <v>0</v>
      </c>
      <c r="M178" s="34">
        <f>L178*F178</f>
        <v/>
      </c>
      <c r="N178" s="119" t="n">
        <v>23.5</v>
      </c>
      <c r="O178" s="34">
        <f>F178</f>
        <v/>
      </c>
      <c r="P178" s="34">
        <f>N178*O178</f>
        <v/>
      </c>
      <c r="Q178" s="117" t="n">
        <v>0</v>
      </c>
      <c r="R178" s="34">
        <f>F178</f>
        <v/>
      </c>
      <c r="S178" s="34">
        <f>R178*Q178</f>
        <v/>
      </c>
      <c r="T178" s="34">
        <f>SUMIFS('[1]GİP VERİLERİ'!$C:$C,'[1]GİP VERİLERİ'!$B:$B,A178,'[1]GİP VERİLERİ'!$M:$M,"40X000000104782K",'[1]GİP VERİLERİ'!$G:$G,"SELL")</f>
        <v/>
      </c>
      <c r="U178" s="34">
        <f>IFERROR(W178/T178,0)</f>
        <v/>
      </c>
      <c r="V178" s="34">
        <f>IF(U178=0,0,U178-F178)</f>
        <v/>
      </c>
      <c r="W178" s="34">
        <f>SUMIFS('[1]GİP VERİLERİ'!$O:$O,'[1]GİP VERİLERİ'!$B:$B,A178,'[1]GİP VERİLERİ'!$M:$M,"40X000000104782K",'[1]GİP VERİLERİ'!$G:$G,"SELL")</f>
        <v/>
      </c>
      <c r="X178" s="34">
        <f>SUMIFS('[1]GİP VERİLERİ'!$C:$C,'[1]GİP VERİLERİ'!$B:$B,A178,'[1]GİP VERİLERİ'!$M:$M,"40X000000104782K",'[1]GİP VERİLERİ'!$G:$G,"BUY")</f>
        <v/>
      </c>
      <c r="Y178" s="34">
        <f>IFERROR(AA178/X178,0)</f>
        <v/>
      </c>
      <c r="Z178" s="34">
        <f>IF(Y178=0,0,F178-Y178)</f>
        <v/>
      </c>
      <c r="AA178" s="34">
        <f>SUMIFS('[1]GİP VERİLERİ'!$O:$O,'[1]GİP VERİLERİ'!$B:$B,A178,'[1]GİP VERİLERİ'!$M:$M,"40X000000104782K",'[1]GİP VERİLERİ'!$G:$G,"BUY")</f>
        <v/>
      </c>
      <c r="AB178" s="34" t="n">
        <v>0</v>
      </c>
      <c r="AC178" s="34" t="n">
        <v>0</v>
      </c>
      <c r="AD178" s="34">
        <f>IF(AB178&gt;AC178*1.05,AB178-AC178*1.05,IF(AB178&lt;AC178*0.95,AC178*0.95-AB178,0))</f>
        <v/>
      </c>
      <c r="AE178" s="34">
        <f>MAX(F178,G178,750)*0.05*AD178</f>
        <v/>
      </c>
      <c r="AF178" s="34" t="n">
        <v>0</v>
      </c>
      <c r="AG178" s="34">
        <f>IF(AB178&gt;AF178*1.05,AB178-AF178*1.05,IF(AB178&lt;AF178*0.95,AF178*0.95-AB178,0))</f>
        <v/>
      </c>
      <c r="AH178" s="34">
        <f>MAX(I178,J178,750)*0.05*AG178</f>
        <v/>
      </c>
      <c r="AI178" t="n">
        <v>10.08</v>
      </c>
      <c r="AJ178" t="n">
        <v>10</v>
      </c>
      <c r="AK178" s="34">
        <f>IF(AI178&gt;AJ178*1.05,AI178-AJ178*1.05,IF(AI178&lt;AJ178*0.95,AJ178*0.95-AI178,0))</f>
        <v/>
      </c>
      <c r="AL178" s="34">
        <f>MAX(F178,G178,750)*0.05*AK178</f>
        <v/>
      </c>
      <c r="AM178" s="39" t="n">
        <v>10</v>
      </c>
      <c r="AN178" s="34">
        <f>IF(AI178&gt;AM178*1.05,AI178-AM178*1.05,IF(AI178&lt;AM178*0.95,AM178*0.95-AI178,0))</f>
        <v/>
      </c>
      <c r="AO178" s="34">
        <f>MAX(F178,G178,750)*0.05*AN178</f>
        <v/>
      </c>
      <c r="AP178" s="34" t="n">
        <v>13.73</v>
      </c>
      <c r="AQ178" s="34" t="n">
        <v>13.5</v>
      </c>
      <c r="AR178" s="34">
        <f>IF(AP178&gt;AQ178*1.05,AP178-AQ178*1.05,IF(AP178&lt;AQ178*0.95,AQ178*0.95-AP178,0))</f>
        <v/>
      </c>
      <c r="AS178" s="34">
        <f>MAX(F178:G178,750)*0.05*AR178</f>
        <v/>
      </c>
      <c r="AT178" t="n">
        <v>13.5</v>
      </c>
      <c r="AU178" s="34">
        <f>IF(AP178&gt;AT178*1.05,AP178-AT178*1.05,IF(AP178&lt;AT178*0.95,AT178*0.95-AP178,0))</f>
        <v/>
      </c>
      <c r="AV178" s="34">
        <f>MAX(F178:G178,750)*0.05*AU178</f>
        <v/>
      </c>
      <c r="AW178" s="34">
        <f>AC178+AJ178+AQ178</f>
        <v/>
      </c>
      <c r="AX178" s="34">
        <f>AF178+AM178+AT178</f>
        <v/>
      </c>
      <c r="AY178" s="34">
        <f>AB178+AI178+AP178</f>
        <v/>
      </c>
      <c r="AZ178" s="34" t="n">
        <v>0</v>
      </c>
      <c r="BA178" s="34">
        <f>AD178+AK178+AR178</f>
        <v/>
      </c>
      <c r="BB178" s="34">
        <f>MAX(F178:G178,750)*0.05*BA178</f>
        <v/>
      </c>
      <c r="BC178" s="34">
        <f>AG178+AN178+AU178</f>
        <v/>
      </c>
      <c r="BD178" s="34">
        <f>MAX(F178:G178,750)*0.05*BC178</f>
        <v/>
      </c>
      <c r="BE178" s="34">
        <f>F178*AY178</f>
        <v/>
      </c>
      <c r="BF178" s="34">
        <f>K178-M178</f>
        <v/>
      </c>
      <c r="BG178" s="34">
        <f>P178-S178</f>
        <v/>
      </c>
      <c r="BH178" s="34">
        <f>W178-AA178</f>
        <v/>
      </c>
      <c r="BI178" s="34">
        <f>BF178+BG178+BL178-BN178</f>
        <v/>
      </c>
      <c r="BJ178" s="34">
        <f>ABS(BK178)</f>
        <v/>
      </c>
      <c r="BK178" s="34">
        <f>AY178-(J178-L178+N178-Q178)</f>
        <v/>
      </c>
      <c r="BL178" s="34">
        <f>IF(AND(BK178&gt;0,MIN($F178:$G178)&lt;150,$E178="Enerji Açığı"),-100*BK178*1.03,IF(AND(BK178&gt;0,MIN($F178:$G178)&lt;150,$E178="Enerji Fazlası"),-100*BK178*1.06,IF(AND(BK178&gt;0,MIN($F178:$G178)&gt;=150,$E178="Enerji Açığı"),BK178*MIN($F178:$G178)*0.97,IF(AND(BK178&gt;0,MIN($F178:$G178)&gt;=150,$E178="Enerji Fazlası"),BK178*MIN($F178:$G178)*0.94,IF(AND(BK178&lt;0,MAX($F178:$G178)=4500,$E178="Enerji Açığı"),4500*1.05*1.06*BK178,IF(AND(BK178&lt;0,MAX($F178:$G178)=4500,$E178="Enerji Fazlası"),4500*1.05*1.03*BK178,IF(AND(BK178&lt;0,$E178="Enerji Açığı"),MAX($F178,$G178,150)*BK178*1.06,IF(AND(BK178&lt;0,$E178="Enerji Fazlası"),MAX($F178,$G178,150)*BK178*1.03,IF(AND(BK178&lt;0,$E178="Dengede"),MAX($F178:$G178,150)*1.03*BK178,MIN($F178:$G178)*0.97*BK178)))))))))</f>
        <v/>
      </c>
      <c r="BM178" s="34">
        <f>BE178-BI178-BN178</f>
        <v/>
      </c>
      <c r="BN178" s="34">
        <f>BB178</f>
        <v/>
      </c>
      <c r="BO178" s="34">
        <f>BE178-BI178</f>
        <v/>
      </c>
      <c r="BP178" s="34">
        <f>IF(AY178=0,0,BO178/AY178)</f>
        <v/>
      </c>
      <c r="BQ178" s="34">
        <f>MAX((AY178+MAX((-J178+L178-N178+Q178),0)),(MAX((J178-L178+N178-Q178),0)))</f>
        <v/>
      </c>
      <c r="BR178" s="82">
        <f>IFERROR(ABS(BK178/BQ178),0)</f>
        <v/>
      </c>
      <c r="BS178" s="34">
        <f>IF(BR178&lt;=0.1,0,BK178/BR178*(BR178-0.1))</f>
        <v/>
      </c>
      <c r="BT178" s="34">
        <f>IF((BS178)&lt;0,MAX(F178:G178)*(BS178)*1.03,MIN(F178:G178)*(BS178)*0.97)</f>
        <v/>
      </c>
      <c r="BU178" s="34">
        <f>IF(BR178&gt;0.1,1,0)</f>
        <v/>
      </c>
      <c r="BV178" s="34">
        <f>BF178+BG178+BH178+BY178-CA178</f>
        <v/>
      </c>
      <c r="BW178" s="34">
        <f>ABS(BX178)</f>
        <v/>
      </c>
      <c r="BX178" s="34">
        <f>AY178-(J178-L178+N178-Q178+T178-X178)</f>
        <v/>
      </c>
      <c r="BY178" s="34">
        <f>IF(AND(BX178&gt;0,MIN($F178:$G178)&lt;150,$E178="Enerji Açığı"),-100*BX178*1.03,IF(AND(BX178&gt;0,MIN($F178:$G178)&lt;150,$E178="Enerji Fazlası"),-100*BX178*1.06,IF(AND(BX178&gt;0,MIN($F178:$G178)&gt;=150,$E178="Enerji Açığı"),BX178*MIN($F178:$G178)*0.97,IF(AND(BX178&gt;0,MIN($F178:$G178)&gt;=150,$E178="Enerji Fazlası"),BX178*MIN($F178:$G178)*0.94,IF(AND(BX178&lt;0,MAX($F178:$G178)=4500,$E178="Enerji Açığı"),4500*1.05*1.06*BX178,IF(AND(BX178&lt;0,MAX($F178:$G178)=4500,$E178="Enerji Fazlası"),4500*1.05*1.03*BX178,IF(AND(BX178&lt;0,$E178="Enerji Açığı"),MAX($F178,$G178,150)*BX178*1.06,IF(AND(BX178&lt;0,$E178="Enerji Fazlası"),MAX($F178,$G178,150)*BX178*1.03,IF(AND(BX178&lt;0,$E178="Dengede"),MAX($F178:$G178,150)*1.03*BX178,MIN($F178:$G178)*0.97*BX178)))))))))</f>
        <v/>
      </c>
      <c r="BZ178" s="34">
        <f>BE178-BV178-CA178</f>
        <v/>
      </c>
      <c r="CA178" s="34">
        <f>BD178</f>
        <v/>
      </c>
      <c r="CB178" s="33">
        <f>BE178-BV178</f>
        <v/>
      </c>
      <c r="CC178" s="34">
        <f>IF(AY178=0,0,CB178/AY178)</f>
        <v/>
      </c>
      <c r="CD178" s="34">
        <f>MAX((AY178+MAX((-J178+L178-N178+Q178-T178+X178),0)),(MAX((J178-L178+N178-Q178+T178-X178),0)))</f>
        <v/>
      </c>
      <c r="CE178" s="82">
        <f>IFERROR(ABS(BX178/CD178),0)</f>
        <v/>
      </c>
      <c r="CF178" s="34">
        <f>IF(CE178&lt;=0.1,0,BX178/CE178*(CE178-0.1))</f>
        <v/>
      </c>
      <c r="CG178" s="34">
        <f>IF((CF178)&lt;0,MAX(F178:G178)*(CF178)*1.03,MIN(F178:G178)*(CF178)*0.97)</f>
        <v/>
      </c>
      <c r="CH178" s="34">
        <f>IF(CE178&gt;0.1,1,0)</f>
        <v/>
      </c>
      <c r="CI178" s="34">
        <f>(F178*BX178)-BY178</f>
        <v/>
      </c>
      <c r="CJ178" s="34">
        <f>IF(AY178=0,0,CI178/AY178)</f>
        <v/>
      </c>
    </row>
    <row r="179">
      <c r="A179" s="29" t="n">
        <v>46211.33333333334</v>
      </c>
      <c r="B179" s="29" t="inlineStr">
        <is>
          <t>08:00</t>
        </is>
      </c>
      <c r="C179" s="35">
        <f>INT(A179)</f>
        <v/>
      </c>
      <c r="D179" s="36">
        <f>MONTH(A179)</f>
        <v/>
      </c>
      <c r="E179" s="147">
        <f>[1]FİYATLAR!G178</f>
        <v/>
      </c>
      <c r="F179" s="30" t="n">
        <v>2797.99</v>
      </c>
      <c r="G179" s="30" t="n">
        <v>4018</v>
      </c>
      <c r="H179" s="30" t="n">
        <v>59.87</v>
      </c>
      <c r="I179" s="30" t="n">
        <v>3191.93</v>
      </c>
      <c r="J179" s="119" t="n">
        <v>0</v>
      </c>
      <c r="K179" s="34">
        <f>F179*J179</f>
        <v/>
      </c>
      <c r="L179" s="119" t="n">
        <v>0</v>
      </c>
      <c r="M179" s="34">
        <f>L179*F179</f>
        <v/>
      </c>
      <c r="N179" s="119" t="n">
        <v>24</v>
      </c>
      <c r="O179" s="34">
        <f>F179</f>
        <v/>
      </c>
      <c r="P179" s="34">
        <f>N179*O179</f>
        <v/>
      </c>
      <c r="Q179" s="117" t="n">
        <v>0</v>
      </c>
      <c r="R179" s="34">
        <f>F179</f>
        <v/>
      </c>
      <c r="S179" s="34">
        <f>R179*Q179</f>
        <v/>
      </c>
      <c r="T179" s="34">
        <f>SUMIFS('[1]GİP VERİLERİ'!$C:$C,'[1]GİP VERİLERİ'!$B:$B,A179,'[1]GİP VERİLERİ'!$M:$M,"40X000000104782K",'[1]GİP VERİLERİ'!$G:$G,"SELL")</f>
        <v/>
      </c>
      <c r="U179" s="34">
        <f>IFERROR(W179/T179,0)</f>
        <v/>
      </c>
      <c r="V179" s="34">
        <f>IF(U179=0,0,U179-F179)</f>
        <v/>
      </c>
      <c r="W179" s="34">
        <f>SUMIFS('[1]GİP VERİLERİ'!$O:$O,'[1]GİP VERİLERİ'!$B:$B,A179,'[1]GİP VERİLERİ'!$M:$M,"40X000000104782K",'[1]GİP VERİLERİ'!$G:$G,"SELL")</f>
        <v/>
      </c>
      <c r="X179" s="34">
        <f>SUMIFS('[1]GİP VERİLERİ'!$C:$C,'[1]GİP VERİLERİ'!$B:$B,A179,'[1]GİP VERİLERİ'!$M:$M,"40X000000104782K",'[1]GİP VERİLERİ'!$G:$G,"BUY")</f>
        <v/>
      </c>
      <c r="Y179" s="34">
        <f>IFERROR(AA179/X179,0)</f>
        <v/>
      </c>
      <c r="Z179" s="34">
        <f>IF(Y179=0,0,F179-Y179)</f>
        <v/>
      </c>
      <c r="AA179" s="34">
        <f>SUMIFS('[1]GİP VERİLERİ'!$O:$O,'[1]GİP VERİLERİ'!$B:$B,A179,'[1]GİP VERİLERİ'!$M:$M,"40X000000104782K",'[1]GİP VERİLERİ'!$G:$G,"BUY")</f>
        <v/>
      </c>
      <c r="AB179" s="34" t="n">
        <v>0</v>
      </c>
      <c r="AC179" s="34" t="n">
        <v>0</v>
      </c>
      <c r="AD179" s="34">
        <f>IF(AB179&gt;AC179*1.05,AB179-AC179*1.05,IF(AB179&lt;AC179*0.95,AC179*0.95-AB179,0))</f>
        <v/>
      </c>
      <c r="AE179" s="34">
        <f>MAX(F179,G179,750)*0.05*AD179</f>
        <v/>
      </c>
      <c r="AF179" s="34" t="n">
        <v>0</v>
      </c>
      <c r="AG179" s="34">
        <f>IF(AB179&gt;AF179*1.05,AB179-AF179*1.05,IF(AB179&lt;AF179*0.95,AF179*0.95-AB179,0))</f>
        <v/>
      </c>
      <c r="AH179" s="34">
        <f>MAX(I179,J179,750)*0.05*AG179</f>
        <v/>
      </c>
      <c r="AI179" t="n">
        <v>10.08</v>
      </c>
      <c r="AJ179" t="n">
        <v>10</v>
      </c>
      <c r="AK179" s="34">
        <f>IF(AI179&gt;AJ179*1.05,AI179-AJ179*1.05,IF(AI179&lt;AJ179*0.95,AJ179*0.95-AI179,0))</f>
        <v/>
      </c>
      <c r="AL179" s="34">
        <f>MAX(F179,G179,750)*0.05*AK179</f>
        <v/>
      </c>
      <c r="AM179" s="39" t="n">
        <v>10</v>
      </c>
      <c r="AN179" s="34">
        <f>IF(AI179&gt;AM179*1.05,AI179-AM179*1.05,IF(AI179&lt;AM179*0.95,AM179*0.95-AI179,0))</f>
        <v/>
      </c>
      <c r="AO179" s="34">
        <f>MAX(F179,G179,750)*0.05*AN179</f>
        <v/>
      </c>
      <c r="AP179" s="34" t="n">
        <v>14.24</v>
      </c>
      <c r="AQ179" s="34" t="n">
        <v>14</v>
      </c>
      <c r="AR179" s="34">
        <f>IF(AP179&gt;AQ179*1.05,AP179-AQ179*1.05,IF(AP179&lt;AQ179*0.95,AQ179*0.95-AP179,0))</f>
        <v/>
      </c>
      <c r="AS179" s="34">
        <f>MAX(F179:G179,750)*0.05*AR179</f>
        <v/>
      </c>
      <c r="AT179" t="n">
        <v>14</v>
      </c>
      <c r="AU179" s="34">
        <f>IF(AP179&gt;AT179*1.05,AP179-AT179*1.05,IF(AP179&lt;AT179*0.95,AT179*0.95-AP179,0))</f>
        <v/>
      </c>
      <c r="AV179" s="34">
        <f>MAX(F179:G179,750)*0.05*AU179</f>
        <v/>
      </c>
      <c r="AW179" s="34">
        <f>AC179+AJ179+AQ179</f>
        <v/>
      </c>
      <c r="AX179" s="34">
        <f>AF179+AM179+AT179</f>
        <v/>
      </c>
      <c r="AY179" s="34">
        <f>AB179+AI179+AP179</f>
        <v/>
      </c>
      <c r="AZ179" s="34" t="n">
        <v>0</v>
      </c>
      <c r="BA179" s="34">
        <f>AD179+AK179+AR179</f>
        <v/>
      </c>
      <c r="BB179" s="34">
        <f>MAX(F179:G179,750)*0.05*BA179</f>
        <v/>
      </c>
      <c r="BC179" s="34">
        <f>AG179+AN179+AU179</f>
        <v/>
      </c>
      <c r="BD179" s="34">
        <f>MAX(F179:G179,750)*0.05*BC179</f>
        <v/>
      </c>
      <c r="BE179" s="34">
        <f>F179*AY179</f>
        <v/>
      </c>
      <c r="BF179" s="34">
        <f>K179-M179</f>
        <v/>
      </c>
      <c r="BG179" s="34">
        <f>P179-S179</f>
        <v/>
      </c>
      <c r="BH179" s="34">
        <f>W179-AA179</f>
        <v/>
      </c>
      <c r="BI179" s="34">
        <f>BF179+BG179+BL179-BN179</f>
        <v/>
      </c>
      <c r="BJ179" s="34">
        <f>ABS(BK179)</f>
        <v/>
      </c>
      <c r="BK179" s="34">
        <f>AY179-(J179-L179+N179-Q179)</f>
        <v/>
      </c>
      <c r="BL179" s="34">
        <f>IF(AND(BK179&gt;0,MIN($F179:$G179)&lt;150,$E179="Enerji Açığı"),-100*BK179*1.03,IF(AND(BK179&gt;0,MIN($F179:$G179)&lt;150,$E179="Enerji Fazlası"),-100*BK179*1.06,IF(AND(BK179&gt;0,MIN($F179:$G179)&gt;=150,$E179="Enerji Açığı"),BK179*MIN($F179:$G179)*0.97,IF(AND(BK179&gt;0,MIN($F179:$G179)&gt;=150,$E179="Enerji Fazlası"),BK179*MIN($F179:$G179)*0.94,IF(AND(BK179&lt;0,MAX($F179:$G179)=4500,$E179="Enerji Açığı"),4500*1.05*1.06*BK179,IF(AND(BK179&lt;0,MAX($F179:$G179)=4500,$E179="Enerji Fazlası"),4500*1.05*1.03*BK179,IF(AND(BK179&lt;0,$E179="Enerji Açığı"),MAX($F179,$G179,150)*BK179*1.06,IF(AND(BK179&lt;0,$E179="Enerji Fazlası"),MAX($F179,$G179,150)*BK179*1.03,IF(AND(BK179&lt;0,$E179="Dengede"),MAX($F179:$G179,150)*1.03*BK179,MIN($F179:$G179)*0.97*BK179)))))))))</f>
        <v/>
      </c>
      <c r="BM179" s="34">
        <f>BE179-BI179-BN179</f>
        <v/>
      </c>
      <c r="BN179" s="34">
        <f>BB179</f>
        <v/>
      </c>
      <c r="BO179" s="34">
        <f>BE179-BI179</f>
        <v/>
      </c>
      <c r="BP179" s="34">
        <f>IF(AY179=0,0,BO179/AY179)</f>
        <v/>
      </c>
      <c r="BQ179" s="34">
        <f>MAX((AY179+MAX((-J179+L179-N179+Q179),0)),(MAX((J179-L179+N179-Q179),0)))</f>
        <v/>
      </c>
      <c r="BR179" s="82">
        <f>IFERROR(ABS(BK179/BQ179),0)</f>
        <v/>
      </c>
      <c r="BS179" s="34">
        <f>IF(BR179&lt;=0.1,0,BK179/BR179*(BR179-0.1))</f>
        <v/>
      </c>
      <c r="BT179" s="34">
        <f>IF((BS179)&lt;0,MAX(F179:G179)*(BS179)*1.03,MIN(F179:G179)*(BS179)*0.97)</f>
        <v/>
      </c>
      <c r="BU179" s="34">
        <f>IF(BR179&gt;0.1,1,0)</f>
        <v/>
      </c>
      <c r="BV179" s="34">
        <f>BF179+BG179+BH179+BY179-CA179</f>
        <v/>
      </c>
      <c r="BW179" s="34">
        <f>ABS(BX179)</f>
        <v/>
      </c>
      <c r="BX179" s="34">
        <f>AY179-(J179-L179+N179-Q179+T179-X179)</f>
        <v/>
      </c>
      <c r="BY179" s="34">
        <f>IF(AND(BX179&gt;0,MIN($F179:$G179)&lt;150,$E179="Enerji Açığı"),-100*BX179*1.03,IF(AND(BX179&gt;0,MIN($F179:$G179)&lt;150,$E179="Enerji Fazlası"),-100*BX179*1.06,IF(AND(BX179&gt;0,MIN($F179:$G179)&gt;=150,$E179="Enerji Açığı"),BX179*MIN($F179:$G179)*0.97,IF(AND(BX179&gt;0,MIN($F179:$G179)&gt;=150,$E179="Enerji Fazlası"),BX179*MIN($F179:$G179)*0.94,IF(AND(BX179&lt;0,MAX($F179:$G179)=4500,$E179="Enerji Açığı"),4500*1.05*1.06*BX179,IF(AND(BX179&lt;0,MAX($F179:$G179)=4500,$E179="Enerji Fazlası"),4500*1.05*1.03*BX179,IF(AND(BX179&lt;0,$E179="Enerji Açığı"),MAX($F179,$G179,150)*BX179*1.06,IF(AND(BX179&lt;0,$E179="Enerji Fazlası"),MAX($F179,$G179,150)*BX179*1.03,IF(AND(BX179&lt;0,$E179="Dengede"),MAX($F179:$G179,150)*1.03*BX179,MIN($F179:$G179)*0.97*BX179)))))))))</f>
        <v/>
      </c>
      <c r="BZ179" s="34">
        <f>BE179-BV179-CA179</f>
        <v/>
      </c>
      <c r="CA179" s="34">
        <f>BD179</f>
        <v/>
      </c>
      <c r="CB179" s="33">
        <f>BE179-BV179</f>
        <v/>
      </c>
      <c r="CC179" s="34">
        <f>IF(AY179=0,0,CB179/AY179)</f>
        <v/>
      </c>
      <c r="CD179" s="34">
        <f>MAX((AY179+MAX((-J179+L179-N179+Q179-T179+X179),0)),(MAX((J179-L179+N179-Q179+T179-X179),0)))</f>
        <v/>
      </c>
      <c r="CE179" s="82">
        <f>IFERROR(ABS(BX179/CD179),0)</f>
        <v/>
      </c>
      <c r="CF179" s="34">
        <f>IF(CE179&lt;=0.1,0,BX179/CE179*(CE179-0.1))</f>
        <v/>
      </c>
      <c r="CG179" s="34">
        <f>IF((CF179)&lt;0,MAX(F179:G179)*(CF179)*1.03,MIN(F179:G179)*(CF179)*0.97)</f>
        <v/>
      </c>
      <c r="CH179" s="34">
        <f>IF(CE179&gt;0.1,1,0)</f>
        <v/>
      </c>
      <c r="CI179" s="34">
        <f>(F179*BX179)-BY179</f>
        <v/>
      </c>
      <c r="CJ179" s="34">
        <f>IF(AY179=0,0,CI179/AY179)</f>
        <v/>
      </c>
    </row>
    <row r="180">
      <c r="A180" s="29" t="n">
        <v>46211.375</v>
      </c>
      <c r="B180" s="29" t="inlineStr">
        <is>
          <t>09:00</t>
        </is>
      </c>
      <c r="C180" s="35">
        <f>INT(A180)</f>
        <v/>
      </c>
      <c r="D180" s="36">
        <f>MONTH(A180)</f>
        <v/>
      </c>
      <c r="E180" s="147">
        <f>[1]FİYATLAR!G179</f>
        <v/>
      </c>
      <c r="F180" s="30" t="n">
        <v>2499.68</v>
      </c>
      <c r="G180" s="30" t="n">
        <v>3972.58</v>
      </c>
      <c r="H180" s="30" t="n">
        <v>53.48</v>
      </c>
      <c r="I180" s="30" t="n">
        <v>3222.04</v>
      </c>
      <c r="J180" s="119" t="n">
        <v>0</v>
      </c>
      <c r="K180" s="34">
        <f>F180*J180</f>
        <v/>
      </c>
      <c r="L180" s="119" t="n">
        <v>0</v>
      </c>
      <c r="M180" s="34">
        <f>L180*F180</f>
        <v/>
      </c>
      <c r="N180" s="119" t="n">
        <v>24</v>
      </c>
      <c r="O180" s="34">
        <f>F180</f>
        <v/>
      </c>
      <c r="P180" s="34">
        <f>N180*O180</f>
        <v/>
      </c>
      <c r="Q180" s="117" t="n">
        <v>0</v>
      </c>
      <c r="R180" s="34">
        <f>F180</f>
        <v/>
      </c>
      <c r="S180" s="34">
        <f>R180*Q180</f>
        <v/>
      </c>
      <c r="T180" s="34">
        <f>SUMIFS('[1]GİP VERİLERİ'!$C:$C,'[1]GİP VERİLERİ'!$B:$B,A180,'[1]GİP VERİLERİ'!$M:$M,"40X000000104782K",'[1]GİP VERİLERİ'!$G:$G,"SELL")</f>
        <v/>
      </c>
      <c r="U180" s="34">
        <f>IFERROR(W180/T180,0)</f>
        <v/>
      </c>
      <c r="V180" s="34">
        <f>IF(U180=0,0,U180-F180)</f>
        <v/>
      </c>
      <c r="W180" s="34">
        <f>SUMIFS('[1]GİP VERİLERİ'!$O:$O,'[1]GİP VERİLERİ'!$B:$B,A180,'[1]GİP VERİLERİ'!$M:$M,"40X000000104782K",'[1]GİP VERİLERİ'!$G:$G,"SELL")</f>
        <v/>
      </c>
      <c r="X180" s="34">
        <f>SUMIFS('[1]GİP VERİLERİ'!$C:$C,'[1]GİP VERİLERİ'!$B:$B,A180,'[1]GİP VERİLERİ'!$M:$M,"40X000000104782K",'[1]GİP VERİLERİ'!$G:$G,"BUY")</f>
        <v/>
      </c>
      <c r="Y180" s="34">
        <f>IFERROR(AA180/X180,0)</f>
        <v/>
      </c>
      <c r="Z180" s="34">
        <f>IF(Y180=0,0,F180-Y180)</f>
        <v/>
      </c>
      <c r="AA180" s="34">
        <f>SUMIFS('[1]GİP VERİLERİ'!$O:$O,'[1]GİP VERİLERİ'!$B:$B,A180,'[1]GİP VERİLERİ'!$M:$M,"40X000000104782K",'[1]GİP VERİLERİ'!$G:$G,"BUY")</f>
        <v/>
      </c>
      <c r="AB180" s="34" t="n">
        <v>0</v>
      </c>
      <c r="AC180" s="34" t="n">
        <v>0</v>
      </c>
      <c r="AD180" s="34">
        <f>IF(AB180&gt;AC180*1.05,AB180-AC180*1.05,IF(AB180&lt;AC180*0.95,AC180*0.95-AB180,0))</f>
        <v/>
      </c>
      <c r="AE180" s="34">
        <f>MAX(F180,G180,750)*0.05*AD180</f>
        <v/>
      </c>
      <c r="AF180" s="34" t="n">
        <v>0</v>
      </c>
      <c r="AG180" s="34">
        <f>IF(AB180&gt;AF180*1.05,AB180-AF180*1.05,IF(AB180&lt;AF180*0.95,AF180*0.95-AB180,0))</f>
        <v/>
      </c>
      <c r="AH180" s="34">
        <f>MAX(I180,J180,750)*0.05*AG180</f>
        <v/>
      </c>
      <c r="AI180" t="n">
        <v>10.07</v>
      </c>
      <c r="AJ180" t="n">
        <v>10</v>
      </c>
      <c r="AK180" s="34">
        <f>IF(AI180&gt;AJ180*1.05,AI180-AJ180*1.05,IF(AI180&lt;AJ180*0.95,AJ180*0.95-AI180,0))</f>
        <v/>
      </c>
      <c r="AL180" s="34">
        <f>MAX(F180,G180,750)*0.05*AK180</f>
        <v/>
      </c>
      <c r="AM180" s="39" t="n">
        <v>10</v>
      </c>
      <c r="AN180" s="34">
        <f>IF(AI180&gt;AM180*1.05,AI180-AM180*1.05,IF(AI180&lt;AM180*0.95,AM180*0.95-AI180,0))</f>
        <v/>
      </c>
      <c r="AO180" s="34">
        <f>MAX(F180,G180,750)*0.05*AN180</f>
        <v/>
      </c>
      <c r="AP180" s="34" t="n">
        <v>14.17</v>
      </c>
      <c r="AQ180" s="34" t="n">
        <v>14</v>
      </c>
      <c r="AR180" s="34">
        <f>IF(AP180&gt;AQ180*1.05,AP180-AQ180*1.05,IF(AP180&lt;AQ180*0.95,AQ180*0.95-AP180,0))</f>
        <v/>
      </c>
      <c r="AS180" s="34">
        <f>MAX(F180:G180,750)*0.05*AR180</f>
        <v/>
      </c>
      <c r="AT180" t="n">
        <v>14</v>
      </c>
      <c r="AU180" s="34">
        <f>IF(AP180&gt;AT180*1.05,AP180-AT180*1.05,IF(AP180&lt;AT180*0.95,AT180*0.95-AP180,0))</f>
        <v/>
      </c>
      <c r="AV180" s="34">
        <f>MAX(F180:G180,750)*0.05*AU180</f>
        <v/>
      </c>
      <c r="AW180" s="34">
        <f>AC180+AJ180+AQ180</f>
        <v/>
      </c>
      <c r="AX180" s="34">
        <f>AF180+AM180+AT180</f>
        <v/>
      </c>
      <c r="AY180" s="34">
        <f>AB180+AI180+AP180</f>
        <v/>
      </c>
      <c r="AZ180" s="34" t="n">
        <v>0</v>
      </c>
      <c r="BA180" s="34">
        <f>AD180+AK180+AR180</f>
        <v/>
      </c>
      <c r="BB180" s="34">
        <f>MAX(F180:G180,750)*0.05*BA180</f>
        <v/>
      </c>
      <c r="BC180" s="34">
        <f>AG180+AN180+AU180</f>
        <v/>
      </c>
      <c r="BD180" s="34">
        <f>MAX(F180:G180,750)*0.05*BC180</f>
        <v/>
      </c>
      <c r="BE180" s="34">
        <f>F180*AY180</f>
        <v/>
      </c>
      <c r="BF180" s="34">
        <f>K180-M180</f>
        <v/>
      </c>
      <c r="BG180" s="34">
        <f>P180-S180</f>
        <v/>
      </c>
      <c r="BH180" s="34">
        <f>W180-AA180</f>
        <v/>
      </c>
      <c r="BI180" s="34">
        <f>BF180+BG180+BL180-BN180</f>
        <v/>
      </c>
      <c r="BJ180" s="34">
        <f>ABS(BK180)</f>
        <v/>
      </c>
      <c r="BK180" s="34">
        <f>AY180-(J180-L180+N180-Q180)</f>
        <v/>
      </c>
      <c r="BL180" s="34">
        <f>IF(AND(BK180&gt;0,MIN($F180:$G180)&lt;150,$E180="Enerji Açığı"),-100*BK180*1.03,IF(AND(BK180&gt;0,MIN($F180:$G180)&lt;150,$E180="Enerji Fazlası"),-100*BK180*1.06,IF(AND(BK180&gt;0,MIN($F180:$G180)&gt;=150,$E180="Enerji Açığı"),BK180*MIN($F180:$G180)*0.97,IF(AND(BK180&gt;0,MIN($F180:$G180)&gt;=150,$E180="Enerji Fazlası"),BK180*MIN($F180:$G180)*0.94,IF(AND(BK180&lt;0,MAX($F180:$G180)=4500,$E180="Enerji Açığı"),4500*1.05*1.06*BK180,IF(AND(BK180&lt;0,MAX($F180:$G180)=4500,$E180="Enerji Fazlası"),4500*1.05*1.03*BK180,IF(AND(BK180&lt;0,$E180="Enerji Açığı"),MAX($F180,$G180,150)*BK180*1.06,IF(AND(BK180&lt;0,$E180="Enerji Fazlası"),MAX($F180,$G180,150)*BK180*1.03,IF(AND(BK180&lt;0,$E180="Dengede"),MAX($F180:$G180,150)*1.03*BK180,MIN($F180:$G180)*0.97*BK180)))))))))</f>
        <v/>
      </c>
      <c r="BM180" s="34">
        <f>BE180-BI180-BN180</f>
        <v/>
      </c>
      <c r="BN180" s="34">
        <f>BB180</f>
        <v/>
      </c>
      <c r="BO180" s="34">
        <f>BE180-BI180</f>
        <v/>
      </c>
      <c r="BP180" s="34">
        <f>IF(AY180=0,0,BO180/AY180)</f>
        <v/>
      </c>
      <c r="BQ180" s="34">
        <f>MAX((AY180+MAX((-J180+L180-N180+Q180),0)),(MAX((J180-L180+N180-Q180),0)))</f>
        <v/>
      </c>
      <c r="BR180" s="82">
        <f>IFERROR(ABS(BK180/BQ180),0)</f>
        <v/>
      </c>
      <c r="BS180" s="34">
        <f>IF(BR180&lt;=0.1,0,BK180/BR180*(BR180-0.1))</f>
        <v/>
      </c>
      <c r="BT180" s="34">
        <f>IF((BS180)&lt;0,MAX(F180:G180)*(BS180)*1.03,MIN(F180:G180)*(BS180)*0.97)</f>
        <v/>
      </c>
      <c r="BU180" s="34">
        <f>IF(BR180&gt;0.1,1,0)</f>
        <v/>
      </c>
      <c r="BV180" s="34">
        <f>BF180+BG180+BH180+BY180-CA180</f>
        <v/>
      </c>
      <c r="BW180" s="34">
        <f>ABS(BX180)</f>
        <v/>
      </c>
      <c r="BX180" s="34">
        <f>AY180-(J180-L180+N180-Q180+T180-X180)</f>
        <v/>
      </c>
      <c r="BY180" s="34">
        <f>IF(AND(BX180&gt;0,MIN($F180:$G180)&lt;150,$E180="Enerji Açığı"),-100*BX180*1.03,IF(AND(BX180&gt;0,MIN($F180:$G180)&lt;150,$E180="Enerji Fazlası"),-100*BX180*1.06,IF(AND(BX180&gt;0,MIN($F180:$G180)&gt;=150,$E180="Enerji Açığı"),BX180*MIN($F180:$G180)*0.97,IF(AND(BX180&gt;0,MIN($F180:$G180)&gt;=150,$E180="Enerji Fazlası"),BX180*MIN($F180:$G180)*0.94,IF(AND(BX180&lt;0,MAX($F180:$G180)=4500,$E180="Enerji Açığı"),4500*1.05*1.06*BX180,IF(AND(BX180&lt;0,MAX($F180:$G180)=4500,$E180="Enerji Fazlası"),4500*1.05*1.03*BX180,IF(AND(BX180&lt;0,$E180="Enerji Açığı"),MAX($F180,$G180,150)*BX180*1.06,IF(AND(BX180&lt;0,$E180="Enerji Fazlası"),MAX($F180,$G180,150)*BX180*1.03,IF(AND(BX180&lt;0,$E180="Dengede"),MAX($F180:$G180,150)*1.03*BX180,MIN($F180:$G180)*0.97*BX180)))))))))</f>
        <v/>
      </c>
      <c r="BZ180" s="34">
        <f>BE180-BV180-CA180</f>
        <v/>
      </c>
      <c r="CA180" s="34">
        <f>BD180</f>
        <v/>
      </c>
      <c r="CB180" s="33">
        <f>BE180-BV180</f>
        <v/>
      </c>
      <c r="CC180" s="34">
        <f>IF(AY180=0,0,CB180/AY180)</f>
        <v/>
      </c>
      <c r="CD180" s="34">
        <f>MAX((AY180+MAX((-J180+L180-N180+Q180-T180+X180),0)),(MAX((J180-L180+N180-Q180+T180-X180),0)))</f>
        <v/>
      </c>
      <c r="CE180" s="82">
        <f>IFERROR(ABS(BX180/CD180),0)</f>
        <v/>
      </c>
      <c r="CF180" s="34">
        <f>IF(CE180&lt;=0.1,0,BX180/CE180*(CE180-0.1))</f>
        <v/>
      </c>
      <c r="CG180" s="34">
        <f>IF((CF180)&lt;0,MAX(F180:G180)*(CF180)*1.03,MIN(F180:G180)*(CF180)*0.97)</f>
        <v/>
      </c>
      <c r="CH180" s="34">
        <f>IF(CE180&gt;0.1,1,0)</f>
        <v/>
      </c>
      <c r="CI180" s="34">
        <f>(F180*BX180)-BY180</f>
        <v/>
      </c>
      <c r="CJ180" s="34">
        <f>IF(AY180=0,0,CI180/AY180)</f>
        <v/>
      </c>
    </row>
    <row r="181">
      <c r="A181" s="29" t="n">
        <v>46211.41666666666</v>
      </c>
      <c r="B181" s="29" t="inlineStr">
        <is>
          <t>10:00</t>
        </is>
      </c>
      <c r="C181" s="35">
        <f>INT(A181)</f>
        <v/>
      </c>
      <c r="D181" s="36">
        <f>MONTH(A181)</f>
        <v/>
      </c>
      <c r="E181" s="147">
        <f>[1]FİYATLAR!G180</f>
        <v/>
      </c>
      <c r="F181" s="30" t="n">
        <v>1672</v>
      </c>
      <c r="G181" s="30" t="n">
        <v>2500</v>
      </c>
      <c r="H181" s="30" t="n">
        <v>35.78</v>
      </c>
      <c r="I181" s="30" t="n">
        <v>2382.94</v>
      </c>
      <c r="J181" s="119" t="n">
        <v>0</v>
      </c>
      <c r="K181" s="34">
        <f>F181*J181</f>
        <v/>
      </c>
      <c r="L181" s="119" t="n">
        <v>0</v>
      </c>
      <c r="M181" s="34">
        <f>L181*F181</f>
        <v/>
      </c>
      <c r="N181" s="119" t="n">
        <v>24.3</v>
      </c>
      <c r="O181" s="34">
        <f>F181</f>
        <v/>
      </c>
      <c r="P181" s="34">
        <f>N181*O181</f>
        <v/>
      </c>
      <c r="Q181" s="117" t="n">
        <v>0</v>
      </c>
      <c r="R181" s="34">
        <f>F181</f>
        <v/>
      </c>
      <c r="S181" s="34">
        <f>R181*Q181</f>
        <v/>
      </c>
      <c r="T181" s="34">
        <f>SUMIFS('[1]GİP VERİLERİ'!$C:$C,'[1]GİP VERİLERİ'!$B:$B,A181,'[1]GİP VERİLERİ'!$M:$M,"40X000000104782K",'[1]GİP VERİLERİ'!$G:$G,"SELL")</f>
        <v/>
      </c>
      <c r="U181" s="34">
        <f>IFERROR(W181/T181,0)</f>
        <v/>
      </c>
      <c r="V181" s="34">
        <f>IF(U181=0,0,U181-F181)</f>
        <v/>
      </c>
      <c r="W181" s="34">
        <f>SUMIFS('[1]GİP VERİLERİ'!$O:$O,'[1]GİP VERİLERİ'!$B:$B,A181,'[1]GİP VERİLERİ'!$M:$M,"40X000000104782K",'[1]GİP VERİLERİ'!$G:$G,"SELL")</f>
        <v/>
      </c>
      <c r="X181" s="34">
        <f>SUMIFS('[1]GİP VERİLERİ'!$C:$C,'[1]GİP VERİLERİ'!$B:$B,A181,'[1]GİP VERİLERİ'!$M:$M,"40X000000104782K",'[1]GİP VERİLERİ'!$G:$G,"BUY")</f>
        <v/>
      </c>
      <c r="Y181" s="34">
        <f>IFERROR(AA181/X181,0)</f>
        <v/>
      </c>
      <c r="Z181" s="34">
        <f>IF(Y181=0,0,F181-Y181)</f>
        <v/>
      </c>
      <c r="AA181" s="34">
        <f>SUMIFS('[1]GİP VERİLERİ'!$O:$O,'[1]GİP VERİLERİ'!$B:$B,A181,'[1]GİP VERİLERİ'!$M:$M,"40X000000104782K",'[1]GİP VERİLERİ'!$G:$G,"BUY")</f>
        <v/>
      </c>
      <c r="AB181" s="34" t="n">
        <v>0</v>
      </c>
      <c r="AC181" s="34" t="n">
        <v>0</v>
      </c>
      <c r="AD181" s="34">
        <f>IF(AB181&gt;AC181*1.05,AB181-AC181*1.05,IF(AB181&lt;AC181*0.95,AC181*0.95-AB181,0))</f>
        <v/>
      </c>
      <c r="AE181" s="34">
        <f>MAX(F181,G181,750)*0.05*AD181</f>
        <v/>
      </c>
      <c r="AF181" s="34" t="n">
        <v>0</v>
      </c>
      <c r="AG181" s="34">
        <f>IF(AB181&gt;AF181*1.05,AB181-AF181*1.05,IF(AB181&lt;AF181*0.95,AF181*0.95-AB181,0))</f>
        <v/>
      </c>
      <c r="AH181" s="34">
        <f>MAX(I181,J181,750)*0.05*AG181</f>
        <v/>
      </c>
      <c r="AI181" t="n">
        <v>10.12</v>
      </c>
      <c r="AJ181" t="n">
        <v>10</v>
      </c>
      <c r="AK181" s="34">
        <f>IF(AI181&gt;AJ181*1.05,AI181-AJ181*1.05,IF(AI181&lt;AJ181*0.95,AJ181*0.95-AI181,0))</f>
        <v/>
      </c>
      <c r="AL181" s="34">
        <f>MAX(F181,G181,750)*0.05*AK181</f>
        <v/>
      </c>
      <c r="AM181" s="39" t="n">
        <v>10</v>
      </c>
      <c r="AN181" s="34">
        <f>IF(AI181&gt;AM181*1.05,AI181-AM181*1.05,IF(AI181&lt;AM181*0.95,AM181*0.95-AI181,0))</f>
        <v/>
      </c>
      <c r="AO181" s="34">
        <f>MAX(F181,G181,750)*0.05*AN181</f>
        <v/>
      </c>
      <c r="AP181" s="34" t="n">
        <v>14.33</v>
      </c>
      <c r="AQ181" s="34" t="n">
        <v>14.3</v>
      </c>
      <c r="AR181" s="34">
        <f>IF(AP181&gt;AQ181*1.05,AP181-AQ181*1.05,IF(AP181&lt;AQ181*0.95,AQ181*0.95-AP181,0))</f>
        <v/>
      </c>
      <c r="AS181" s="34">
        <f>MAX(F181:G181,750)*0.05*AR181</f>
        <v/>
      </c>
      <c r="AT181" t="n">
        <v>14.3</v>
      </c>
      <c r="AU181" s="34">
        <f>IF(AP181&gt;AT181*1.05,AP181-AT181*1.05,IF(AP181&lt;AT181*0.95,AT181*0.95-AP181,0))</f>
        <v/>
      </c>
      <c r="AV181" s="34">
        <f>MAX(F181:G181,750)*0.05*AU181</f>
        <v/>
      </c>
      <c r="AW181" s="34">
        <f>AC181+AJ181+AQ181</f>
        <v/>
      </c>
      <c r="AX181" s="34">
        <f>AF181+AM181+AT181</f>
        <v/>
      </c>
      <c r="AY181" s="34">
        <f>AB181+AI181+AP181</f>
        <v/>
      </c>
      <c r="AZ181" s="34" t="n">
        <v>0</v>
      </c>
      <c r="BA181" s="34">
        <f>AD181+AK181+AR181</f>
        <v/>
      </c>
      <c r="BB181" s="34">
        <f>MAX(F181:G181,750)*0.05*BA181</f>
        <v/>
      </c>
      <c r="BC181" s="34">
        <f>AG181+AN181+AU181</f>
        <v/>
      </c>
      <c r="BD181" s="34">
        <f>MAX(F181:G181,750)*0.05*BC181</f>
        <v/>
      </c>
      <c r="BE181" s="34">
        <f>F181*AY181</f>
        <v/>
      </c>
      <c r="BF181" s="34">
        <f>K181-M181</f>
        <v/>
      </c>
      <c r="BG181" s="34">
        <f>P181-S181</f>
        <v/>
      </c>
      <c r="BH181" s="34">
        <f>W181-AA181</f>
        <v/>
      </c>
      <c r="BI181" s="34">
        <f>BF181+BG181+BL181-BN181</f>
        <v/>
      </c>
      <c r="BJ181" s="34">
        <f>ABS(BK181)</f>
        <v/>
      </c>
      <c r="BK181" s="34">
        <f>AY181-(J181-L181+N181-Q181)</f>
        <v/>
      </c>
      <c r="BL181" s="34">
        <f>IF(AND(BK181&gt;0,MIN($F181:$G181)&lt;150,$E181="Enerji Açığı"),-100*BK181*1.03,IF(AND(BK181&gt;0,MIN($F181:$G181)&lt;150,$E181="Enerji Fazlası"),-100*BK181*1.06,IF(AND(BK181&gt;0,MIN($F181:$G181)&gt;=150,$E181="Enerji Açığı"),BK181*MIN($F181:$G181)*0.97,IF(AND(BK181&gt;0,MIN($F181:$G181)&gt;=150,$E181="Enerji Fazlası"),BK181*MIN($F181:$G181)*0.94,IF(AND(BK181&lt;0,MAX($F181:$G181)=4500,$E181="Enerji Açığı"),4500*1.05*1.06*BK181,IF(AND(BK181&lt;0,MAX($F181:$G181)=4500,$E181="Enerji Fazlası"),4500*1.05*1.03*BK181,IF(AND(BK181&lt;0,$E181="Enerji Açığı"),MAX($F181,$G181,150)*BK181*1.06,IF(AND(BK181&lt;0,$E181="Enerji Fazlası"),MAX($F181,$G181,150)*BK181*1.03,IF(AND(BK181&lt;0,$E181="Dengede"),MAX($F181:$G181,150)*1.03*BK181,MIN($F181:$G181)*0.97*BK181)))))))))</f>
        <v/>
      </c>
      <c r="BM181" s="34">
        <f>BE181-BI181-BN181</f>
        <v/>
      </c>
      <c r="BN181" s="34">
        <f>BB181</f>
        <v/>
      </c>
      <c r="BO181" s="34">
        <f>BE181-BI181</f>
        <v/>
      </c>
      <c r="BP181" s="34">
        <f>IF(AY181=0,0,BO181/AY181)</f>
        <v/>
      </c>
      <c r="BQ181" s="34">
        <f>MAX((AY181+MAX((-J181+L181-N181+Q181),0)),(MAX((J181-L181+N181-Q181),0)))</f>
        <v/>
      </c>
      <c r="BR181" s="82">
        <f>IFERROR(ABS(BK181/BQ181),0)</f>
        <v/>
      </c>
      <c r="BS181" s="34">
        <f>IF(BR181&lt;=0.1,0,BK181/BR181*(BR181-0.1))</f>
        <v/>
      </c>
      <c r="BT181" s="34">
        <f>IF((BS181)&lt;0,MAX(F181:G181)*(BS181)*1.03,MIN(F181:G181)*(BS181)*0.97)</f>
        <v/>
      </c>
      <c r="BU181" s="34">
        <f>IF(BR181&gt;0.1,1,0)</f>
        <v/>
      </c>
      <c r="BV181" s="34">
        <f>BF181+BG181+BH181+BY181-CA181</f>
        <v/>
      </c>
      <c r="BW181" s="34">
        <f>ABS(BX181)</f>
        <v/>
      </c>
      <c r="BX181" s="34">
        <f>AY181-(J181-L181+N181-Q181+T181-X181)</f>
        <v/>
      </c>
      <c r="BY181" s="34">
        <f>IF(AND(BX181&gt;0,MIN($F181:$G181)&lt;150,$E181="Enerji Açığı"),-100*BX181*1.03,IF(AND(BX181&gt;0,MIN($F181:$G181)&lt;150,$E181="Enerji Fazlası"),-100*BX181*1.06,IF(AND(BX181&gt;0,MIN($F181:$G181)&gt;=150,$E181="Enerji Açığı"),BX181*MIN($F181:$G181)*0.97,IF(AND(BX181&gt;0,MIN($F181:$G181)&gt;=150,$E181="Enerji Fazlası"),BX181*MIN($F181:$G181)*0.94,IF(AND(BX181&lt;0,MAX($F181:$G181)=4500,$E181="Enerji Açığı"),4500*1.05*1.06*BX181,IF(AND(BX181&lt;0,MAX($F181:$G181)=4500,$E181="Enerji Fazlası"),4500*1.05*1.03*BX181,IF(AND(BX181&lt;0,$E181="Enerji Açığı"),MAX($F181,$G181,150)*BX181*1.06,IF(AND(BX181&lt;0,$E181="Enerji Fazlası"),MAX($F181,$G181,150)*BX181*1.03,IF(AND(BX181&lt;0,$E181="Dengede"),MAX($F181:$G181,150)*1.03*BX181,MIN($F181:$G181)*0.97*BX181)))))))))</f>
        <v/>
      </c>
      <c r="BZ181" s="34">
        <f>BE181-BV181-CA181</f>
        <v/>
      </c>
      <c r="CA181" s="34">
        <f>BD181</f>
        <v/>
      </c>
      <c r="CB181" s="33">
        <f>BE181-BV181</f>
        <v/>
      </c>
      <c r="CC181" s="34">
        <f>IF(AY181=0,0,CB181/AY181)</f>
        <v/>
      </c>
      <c r="CD181" s="34">
        <f>MAX((AY181+MAX((-J181+L181-N181+Q181-T181+X181),0)),(MAX((J181-L181+N181-Q181+T181-X181),0)))</f>
        <v/>
      </c>
      <c r="CE181" s="82">
        <f>IFERROR(ABS(BX181/CD181),0)</f>
        <v/>
      </c>
      <c r="CF181" s="34">
        <f>IF(CE181&lt;=0.1,0,BX181/CE181*(CE181-0.1))</f>
        <v/>
      </c>
      <c r="CG181" s="34">
        <f>IF((CF181)&lt;0,MAX(F181:G181)*(CF181)*1.03,MIN(F181:G181)*(CF181)*0.97)</f>
        <v/>
      </c>
      <c r="CH181" s="34">
        <f>IF(CE181&gt;0.1,1,0)</f>
        <v/>
      </c>
      <c r="CI181" s="34">
        <f>(F181*BX181)-BY181</f>
        <v/>
      </c>
      <c r="CJ181" s="34">
        <f>IF(AY181=0,0,CI181/AY181)</f>
        <v/>
      </c>
    </row>
    <row r="182">
      <c r="A182" s="29" t="n">
        <v>46211.45833333334</v>
      </c>
      <c r="B182" s="29" t="inlineStr">
        <is>
          <t>11:00</t>
        </is>
      </c>
      <c r="C182" s="35">
        <f>INT(A182)</f>
        <v/>
      </c>
      <c r="D182" s="36">
        <f>MONTH(A182)</f>
        <v/>
      </c>
      <c r="E182" s="147">
        <f>[1]FİYATLAR!G181</f>
        <v/>
      </c>
      <c r="F182" s="30" t="n">
        <v>1799.97</v>
      </c>
      <c r="G182" s="30" t="n">
        <v>2500</v>
      </c>
      <c r="H182" s="30" t="n">
        <v>38.51</v>
      </c>
      <c r="I182" s="30" t="n">
        <v>2532.37</v>
      </c>
      <c r="J182" s="119" t="n">
        <v>0</v>
      </c>
      <c r="K182" s="34">
        <f>F182*J182</f>
        <v/>
      </c>
      <c r="L182" s="119" t="n">
        <v>0</v>
      </c>
      <c r="M182" s="34">
        <f>L182*F182</f>
        <v/>
      </c>
      <c r="N182" s="119" t="n">
        <v>24.3</v>
      </c>
      <c r="O182" s="34">
        <f>F182</f>
        <v/>
      </c>
      <c r="P182" s="34">
        <f>N182*O182</f>
        <v/>
      </c>
      <c r="Q182" s="117" t="n">
        <v>0</v>
      </c>
      <c r="R182" s="34">
        <f>F182</f>
        <v/>
      </c>
      <c r="S182" s="34">
        <f>R182*Q182</f>
        <v/>
      </c>
      <c r="T182" s="34">
        <f>SUMIFS('[1]GİP VERİLERİ'!$C:$C,'[1]GİP VERİLERİ'!$B:$B,A182,'[1]GİP VERİLERİ'!$M:$M,"40X000000104782K",'[1]GİP VERİLERİ'!$G:$G,"SELL")</f>
        <v/>
      </c>
      <c r="U182" s="34">
        <f>IFERROR(W182/T182,0)</f>
        <v/>
      </c>
      <c r="V182" s="34">
        <f>IF(U182=0,0,U182-F182)</f>
        <v/>
      </c>
      <c r="W182" s="34">
        <f>SUMIFS('[1]GİP VERİLERİ'!$O:$O,'[1]GİP VERİLERİ'!$B:$B,A182,'[1]GİP VERİLERİ'!$M:$M,"40X000000104782K",'[1]GİP VERİLERİ'!$G:$G,"SELL")</f>
        <v/>
      </c>
      <c r="X182" s="34">
        <f>SUMIFS('[1]GİP VERİLERİ'!$C:$C,'[1]GİP VERİLERİ'!$B:$B,A182,'[1]GİP VERİLERİ'!$M:$M,"40X000000104782K",'[1]GİP VERİLERİ'!$G:$G,"BUY")</f>
        <v/>
      </c>
      <c r="Y182" s="34">
        <f>IFERROR(AA182/X182,0)</f>
        <v/>
      </c>
      <c r="Z182" s="34">
        <f>IF(Y182=0,0,F182-Y182)</f>
        <v/>
      </c>
      <c r="AA182" s="34">
        <f>SUMIFS('[1]GİP VERİLERİ'!$O:$O,'[1]GİP VERİLERİ'!$B:$B,A182,'[1]GİP VERİLERİ'!$M:$M,"40X000000104782K",'[1]GİP VERİLERİ'!$G:$G,"BUY")</f>
        <v/>
      </c>
      <c r="AB182" s="34" t="n">
        <v>0</v>
      </c>
      <c r="AC182" s="34" t="n">
        <v>0</v>
      </c>
      <c r="AD182" s="34">
        <f>IF(AB182&gt;AC182*1.05,AB182-AC182*1.05,IF(AB182&lt;AC182*0.95,AC182*0.95-AB182,0))</f>
        <v/>
      </c>
      <c r="AE182" s="34">
        <f>MAX(F182,G182,750)*0.05*AD182</f>
        <v/>
      </c>
      <c r="AF182" s="34" t="n">
        <v>0</v>
      </c>
      <c r="AG182" s="34">
        <f>IF(AB182&gt;AF182*1.05,AB182-AF182*1.05,IF(AB182&lt;AF182*0.95,AF182*0.95-AB182,0))</f>
        <v/>
      </c>
      <c r="AH182" s="34">
        <f>MAX(I182,J182,750)*0.05*AG182</f>
        <v/>
      </c>
      <c r="AI182" t="n">
        <v>10.12</v>
      </c>
      <c r="AJ182" t="n">
        <v>10</v>
      </c>
      <c r="AK182" s="34">
        <f>IF(AI182&gt;AJ182*1.05,AI182-AJ182*1.05,IF(AI182&lt;AJ182*0.95,AJ182*0.95-AI182,0))</f>
        <v/>
      </c>
      <c r="AL182" s="34">
        <f>MAX(F182,G182,750)*0.05*AK182</f>
        <v/>
      </c>
      <c r="AM182" s="39" t="n">
        <v>10</v>
      </c>
      <c r="AN182" s="34">
        <f>IF(AI182&gt;AM182*1.05,AI182-AM182*1.05,IF(AI182&lt;AM182*0.95,AM182*0.95-AI182,0))</f>
        <v/>
      </c>
      <c r="AO182" s="34">
        <f>MAX(F182,G182,750)*0.05*AN182</f>
        <v/>
      </c>
      <c r="AP182" s="34" t="n">
        <v>14.49</v>
      </c>
      <c r="AQ182" s="34" t="n">
        <v>14.3</v>
      </c>
      <c r="AR182" s="34">
        <f>IF(AP182&gt;AQ182*1.05,AP182-AQ182*1.05,IF(AP182&lt;AQ182*0.95,AQ182*0.95-AP182,0))</f>
        <v/>
      </c>
      <c r="AS182" s="34">
        <f>MAX(F182:G182,750)*0.05*AR182</f>
        <v/>
      </c>
      <c r="AT182" t="n">
        <v>14.3</v>
      </c>
      <c r="AU182" s="34">
        <f>IF(AP182&gt;AT182*1.05,AP182-AT182*1.05,IF(AP182&lt;AT182*0.95,AT182*0.95-AP182,0))</f>
        <v/>
      </c>
      <c r="AV182" s="34">
        <f>MAX(F182:G182,750)*0.05*AU182</f>
        <v/>
      </c>
      <c r="AW182" s="34">
        <f>AC182+AJ182+AQ182</f>
        <v/>
      </c>
      <c r="AX182" s="34">
        <f>AF182+AM182+AT182</f>
        <v/>
      </c>
      <c r="AY182" s="34">
        <f>AB182+AI182+AP182</f>
        <v/>
      </c>
      <c r="AZ182" s="34" t="n">
        <v>0</v>
      </c>
      <c r="BA182" s="34">
        <f>AD182+AK182+AR182</f>
        <v/>
      </c>
      <c r="BB182" s="34">
        <f>MAX(F182:G182,750)*0.05*BA182</f>
        <v/>
      </c>
      <c r="BC182" s="34">
        <f>AG182+AN182+AU182</f>
        <v/>
      </c>
      <c r="BD182" s="34">
        <f>MAX(F182:G182,750)*0.05*BC182</f>
        <v/>
      </c>
      <c r="BE182" s="34">
        <f>F182*AY182</f>
        <v/>
      </c>
      <c r="BF182" s="34">
        <f>K182-M182</f>
        <v/>
      </c>
      <c r="BG182" s="34">
        <f>P182-S182</f>
        <v/>
      </c>
      <c r="BH182" s="34">
        <f>W182-AA182</f>
        <v/>
      </c>
      <c r="BI182" s="34">
        <f>BF182+BG182+BL182-BN182</f>
        <v/>
      </c>
      <c r="BJ182" s="34">
        <f>ABS(BK182)</f>
        <v/>
      </c>
      <c r="BK182" s="34">
        <f>AY182-(J182-L182+N182-Q182)</f>
        <v/>
      </c>
      <c r="BL182" s="34">
        <f>IF(AND(BK182&gt;0,MIN($F182:$G182)&lt;150,$E182="Enerji Açığı"),-100*BK182*1.03,IF(AND(BK182&gt;0,MIN($F182:$G182)&lt;150,$E182="Enerji Fazlası"),-100*BK182*1.06,IF(AND(BK182&gt;0,MIN($F182:$G182)&gt;=150,$E182="Enerji Açığı"),BK182*MIN($F182:$G182)*0.97,IF(AND(BK182&gt;0,MIN($F182:$G182)&gt;=150,$E182="Enerji Fazlası"),BK182*MIN($F182:$G182)*0.94,IF(AND(BK182&lt;0,MAX($F182:$G182)=4500,$E182="Enerji Açığı"),4500*1.05*1.06*BK182,IF(AND(BK182&lt;0,MAX($F182:$G182)=4500,$E182="Enerji Fazlası"),4500*1.05*1.03*BK182,IF(AND(BK182&lt;0,$E182="Enerji Açığı"),MAX($F182,$G182,150)*BK182*1.06,IF(AND(BK182&lt;0,$E182="Enerji Fazlası"),MAX($F182,$G182,150)*BK182*1.03,IF(AND(BK182&lt;0,$E182="Dengede"),MAX($F182:$G182,150)*1.03*BK182,MIN($F182:$G182)*0.97*BK182)))))))))</f>
        <v/>
      </c>
      <c r="BM182" s="34">
        <f>BE182-BI182-BN182</f>
        <v/>
      </c>
      <c r="BN182" s="34">
        <f>BB182</f>
        <v/>
      </c>
      <c r="BO182" s="34">
        <f>BE182-BI182</f>
        <v/>
      </c>
      <c r="BP182" s="34">
        <f>IF(AY182=0,0,BO182/AY182)</f>
        <v/>
      </c>
      <c r="BQ182" s="34">
        <f>MAX((AY182+MAX((-J182+L182-N182+Q182),0)),(MAX((J182-L182+N182-Q182),0)))</f>
        <v/>
      </c>
      <c r="BR182" s="82">
        <f>IFERROR(ABS(BK182/BQ182),0)</f>
        <v/>
      </c>
      <c r="BS182" s="34">
        <f>IF(BR182&lt;=0.1,0,BK182/BR182*(BR182-0.1))</f>
        <v/>
      </c>
      <c r="BT182" s="34">
        <f>IF((BS182)&lt;0,MAX(F182:G182)*(BS182)*1.03,MIN(F182:G182)*(BS182)*0.97)</f>
        <v/>
      </c>
      <c r="BU182" s="34">
        <f>IF(BR182&gt;0.1,1,0)</f>
        <v/>
      </c>
      <c r="BV182" s="34">
        <f>BF182+BG182+BH182+BY182-CA182</f>
        <v/>
      </c>
      <c r="BW182" s="34">
        <f>ABS(BX182)</f>
        <v/>
      </c>
      <c r="BX182" s="34">
        <f>AY182-(J182-L182+N182-Q182+T182-X182)</f>
        <v/>
      </c>
      <c r="BY182" s="34">
        <f>IF(AND(BX182&gt;0,MIN($F182:$G182)&lt;150,$E182="Enerji Açığı"),-100*BX182*1.03,IF(AND(BX182&gt;0,MIN($F182:$G182)&lt;150,$E182="Enerji Fazlası"),-100*BX182*1.06,IF(AND(BX182&gt;0,MIN($F182:$G182)&gt;=150,$E182="Enerji Açığı"),BX182*MIN($F182:$G182)*0.97,IF(AND(BX182&gt;0,MIN($F182:$G182)&gt;=150,$E182="Enerji Fazlası"),BX182*MIN($F182:$G182)*0.94,IF(AND(BX182&lt;0,MAX($F182:$G182)=4500,$E182="Enerji Açığı"),4500*1.05*1.06*BX182,IF(AND(BX182&lt;0,MAX($F182:$G182)=4500,$E182="Enerji Fazlası"),4500*1.05*1.03*BX182,IF(AND(BX182&lt;0,$E182="Enerji Açığı"),MAX($F182,$G182,150)*BX182*1.06,IF(AND(BX182&lt;0,$E182="Enerji Fazlası"),MAX($F182,$G182,150)*BX182*1.03,IF(AND(BX182&lt;0,$E182="Dengede"),MAX($F182:$G182,150)*1.03*BX182,MIN($F182:$G182)*0.97*BX182)))))))))</f>
        <v/>
      </c>
      <c r="BZ182" s="34">
        <f>BE182-BV182-CA182</f>
        <v/>
      </c>
      <c r="CA182" s="34">
        <f>BD182</f>
        <v/>
      </c>
      <c r="CB182" s="33">
        <f>BE182-BV182</f>
        <v/>
      </c>
      <c r="CC182" s="34">
        <f>IF(AY182=0,0,CB182/AY182)</f>
        <v/>
      </c>
      <c r="CD182" s="34">
        <f>MAX((AY182+MAX((-J182+L182-N182+Q182-T182+X182),0)),(MAX((J182-L182+N182-Q182+T182-X182),0)))</f>
        <v/>
      </c>
      <c r="CE182" s="82">
        <f>IFERROR(ABS(BX182/CD182),0)</f>
        <v/>
      </c>
      <c r="CF182" s="34">
        <f>IF(CE182&lt;=0.1,0,BX182/CE182*(CE182-0.1))</f>
        <v/>
      </c>
      <c r="CG182" s="34">
        <f>IF((CF182)&lt;0,MAX(F182:G182)*(CF182)*1.03,MIN(F182:G182)*(CF182)*0.97)</f>
        <v/>
      </c>
      <c r="CH182" s="34">
        <f>IF(CE182&gt;0.1,1,0)</f>
        <v/>
      </c>
      <c r="CI182" s="34">
        <f>(F182*BX182)-BY182</f>
        <v/>
      </c>
      <c r="CJ182" s="34">
        <f>IF(AY182=0,0,CI182/AY182)</f>
        <v/>
      </c>
    </row>
    <row r="183">
      <c r="A183" s="29" t="n">
        <v>46211.5</v>
      </c>
      <c r="B183" s="29" t="inlineStr">
        <is>
          <t>12:00</t>
        </is>
      </c>
      <c r="C183" s="35">
        <f>INT(A183)</f>
        <v/>
      </c>
      <c r="D183" s="36">
        <f>MONTH(A183)</f>
        <v/>
      </c>
      <c r="E183" s="147">
        <f>[1]FİYATLAR!G182</f>
        <v/>
      </c>
      <c r="F183" s="30" t="n">
        <v>998</v>
      </c>
      <c r="G183" s="30" t="n">
        <v>773</v>
      </c>
      <c r="H183" s="30" t="n">
        <v>21.35</v>
      </c>
      <c r="I183" s="30" t="n">
        <v>1279.84</v>
      </c>
      <c r="J183" s="119" t="n">
        <v>0</v>
      </c>
      <c r="K183" s="34">
        <f>F183*J183</f>
        <v/>
      </c>
      <c r="L183" s="119" t="n">
        <v>0</v>
      </c>
      <c r="M183" s="34">
        <f>L183*F183</f>
        <v/>
      </c>
      <c r="N183" s="119" t="n">
        <v>24.5</v>
      </c>
      <c r="O183" s="34">
        <f>F183</f>
        <v/>
      </c>
      <c r="P183" s="34">
        <f>N183*O183</f>
        <v/>
      </c>
      <c r="Q183" s="117" t="n">
        <v>0</v>
      </c>
      <c r="R183" s="34">
        <f>F183</f>
        <v/>
      </c>
      <c r="S183" s="34">
        <f>R183*Q183</f>
        <v/>
      </c>
      <c r="T183" s="34">
        <f>SUMIFS('[1]GİP VERİLERİ'!$C:$C,'[1]GİP VERİLERİ'!$B:$B,A183,'[1]GİP VERİLERİ'!$M:$M,"40X000000104782K",'[1]GİP VERİLERİ'!$G:$G,"SELL")</f>
        <v/>
      </c>
      <c r="U183" s="34">
        <f>IFERROR(W183/T183,0)</f>
        <v/>
      </c>
      <c r="V183" s="34">
        <f>IF(U183=0,0,U183-F183)</f>
        <v/>
      </c>
      <c r="W183" s="34">
        <f>SUMIFS('[1]GİP VERİLERİ'!$O:$O,'[1]GİP VERİLERİ'!$B:$B,A183,'[1]GİP VERİLERİ'!$M:$M,"40X000000104782K",'[1]GİP VERİLERİ'!$G:$G,"SELL")</f>
        <v/>
      </c>
      <c r="X183" s="34">
        <f>SUMIFS('[1]GİP VERİLERİ'!$C:$C,'[1]GİP VERİLERİ'!$B:$B,A183,'[1]GİP VERİLERİ'!$M:$M,"40X000000104782K",'[1]GİP VERİLERİ'!$G:$G,"BUY")</f>
        <v/>
      </c>
      <c r="Y183" s="34">
        <f>IFERROR(AA183/X183,0)</f>
        <v/>
      </c>
      <c r="Z183" s="34">
        <f>IF(Y183=0,0,F183-Y183)</f>
        <v/>
      </c>
      <c r="AA183" s="34">
        <f>SUMIFS('[1]GİP VERİLERİ'!$O:$O,'[1]GİP VERİLERİ'!$B:$B,A183,'[1]GİP VERİLERİ'!$M:$M,"40X000000104782K",'[1]GİP VERİLERİ'!$G:$G,"BUY")</f>
        <v/>
      </c>
      <c r="AB183" s="34" t="n">
        <v>0</v>
      </c>
      <c r="AC183" s="34" t="n">
        <v>0</v>
      </c>
      <c r="AD183" s="34">
        <f>IF(AB183&gt;AC183*1.05,AB183-AC183*1.05,IF(AB183&lt;AC183*0.95,AC183*0.95-AB183,0))</f>
        <v/>
      </c>
      <c r="AE183" s="34">
        <f>MAX(F183,G183,750)*0.05*AD183</f>
        <v/>
      </c>
      <c r="AF183" s="34" t="n">
        <v>0</v>
      </c>
      <c r="AG183" s="34">
        <f>IF(AB183&gt;AF183*1.05,AB183-AF183*1.05,IF(AB183&lt;AF183*0.95,AF183*0.95-AB183,0))</f>
        <v/>
      </c>
      <c r="AH183" s="34">
        <f>MAX(I183,J183,750)*0.05*AG183</f>
        <v/>
      </c>
      <c r="AI183" t="n">
        <v>10.12</v>
      </c>
      <c r="AJ183" t="n">
        <v>10</v>
      </c>
      <c r="AK183" s="34">
        <f>IF(AI183&gt;AJ183*1.05,AI183-AJ183*1.05,IF(AI183&lt;AJ183*0.95,AJ183*0.95-AI183,0))</f>
        <v/>
      </c>
      <c r="AL183" s="34">
        <f>MAX(F183,G183,750)*0.05*AK183</f>
        <v/>
      </c>
      <c r="AM183" s="39" t="n">
        <v>10</v>
      </c>
      <c r="AN183" s="34">
        <f>IF(AI183&gt;AM183*1.05,AI183-AM183*1.05,IF(AI183&lt;AM183*0.95,AM183*0.95-AI183,0))</f>
        <v/>
      </c>
      <c r="AO183" s="34">
        <f>MAX(F183,G183,750)*0.05*AN183</f>
        <v/>
      </c>
      <c r="AP183" s="34" t="n">
        <v>14.58</v>
      </c>
      <c r="AQ183" s="34" t="n">
        <v>14.5</v>
      </c>
      <c r="AR183" s="34">
        <f>IF(AP183&gt;AQ183*1.05,AP183-AQ183*1.05,IF(AP183&lt;AQ183*0.95,AQ183*0.95-AP183,0))</f>
        <v/>
      </c>
      <c r="AS183" s="34">
        <f>MAX(F183:G183,750)*0.05*AR183</f>
        <v/>
      </c>
      <c r="AT183" t="n">
        <v>14.5</v>
      </c>
      <c r="AU183" s="34">
        <f>IF(AP183&gt;AT183*1.05,AP183-AT183*1.05,IF(AP183&lt;AT183*0.95,AT183*0.95-AP183,0))</f>
        <v/>
      </c>
      <c r="AV183" s="34">
        <f>MAX(F183:G183,750)*0.05*AU183</f>
        <v/>
      </c>
      <c r="AW183" s="34">
        <f>AC183+AJ183+AQ183</f>
        <v/>
      </c>
      <c r="AX183" s="34">
        <f>AF183+AM183+AT183</f>
        <v/>
      </c>
      <c r="AY183" s="34">
        <f>AB183+AI183+AP183</f>
        <v/>
      </c>
      <c r="AZ183" s="34" t="n">
        <v>0</v>
      </c>
      <c r="BA183" s="34">
        <f>AD183+AK183+AR183</f>
        <v/>
      </c>
      <c r="BB183" s="34">
        <f>MAX(F183:G183,750)*0.05*BA183</f>
        <v/>
      </c>
      <c r="BC183" s="34">
        <f>AG183+AN183+AU183</f>
        <v/>
      </c>
      <c r="BD183" s="34">
        <f>MAX(F183:G183,750)*0.05*BC183</f>
        <v/>
      </c>
      <c r="BE183" s="34">
        <f>F183*AY183</f>
        <v/>
      </c>
      <c r="BF183" s="34">
        <f>K183-M183</f>
        <v/>
      </c>
      <c r="BG183" s="34">
        <f>P183-S183</f>
        <v/>
      </c>
      <c r="BH183" s="34">
        <f>W183-AA183</f>
        <v/>
      </c>
      <c r="BI183" s="34">
        <f>BF183+BG183+BL183-BN183</f>
        <v/>
      </c>
      <c r="BJ183" s="34">
        <f>ABS(BK183)</f>
        <v/>
      </c>
      <c r="BK183" s="34">
        <f>AY183-(J183-L183+N183-Q183)</f>
        <v/>
      </c>
      <c r="BL183" s="34">
        <f>IF(AND(BK183&gt;0,MIN($F183:$G183)&lt;150,$E183="Enerji Açığı"),-100*BK183*1.03,IF(AND(BK183&gt;0,MIN($F183:$G183)&lt;150,$E183="Enerji Fazlası"),-100*BK183*1.06,IF(AND(BK183&gt;0,MIN($F183:$G183)&gt;=150,$E183="Enerji Açığı"),BK183*MIN($F183:$G183)*0.97,IF(AND(BK183&gt;0,MIN($F183:$G183)&gt;=150,$E183="Enerji Fazlası"),BK183*MIN($F183:$G183)*0.94,IF(AND(BK183&lt;0,MAX($F183:$G183)=4500,$E183="Enerji Açığı"),4500*1.05*1.06*BK183,IF(AND(BK183&lt;0,MAX($F183:$G183)=4500,$E183="Enerji Fazlası"),4500*1.05*1.03*BK183,IF(AND(BK183&lt;0,$E183="Enerji Açığı"),MAX($F183,$G183,150)*BK183*1.06,IF(AND(BK183&lt;0,$E183="Enerji Fazlası"),MAX($F183,$G183,150)*BK183*1.03,IF(AND(BK183&lt;0,$E183="Dengede"),MAX($F183:$G183,150)*1.03*BK183,MIN($F183:$G183)*0.97*BK183)))))))))</f>
        <v/>
      </c>
      <c r="BM183" s="34">
        <f>BE183-BI183-BN183</f>
        <v/>
      </c>
      <c r="BN183" s="34">
        <f>BB183</f>
        <v/>
      </c>
      <c r="BO183" s="34">
        <f>BE183-BI183</f>
        <v/>
      </c>
      <c r="BP183" s="34">
        <f>IF(AY183=0,0,BO183/AY183)</f>
        <v/>
      </c>
      <c r="BQ183" s="34">
        <f>MAX((AY183+MAX((-J183+L183-N183+Q183),0)),(MAX((J183-L183+N183-Q183),0)))</f>
        <v/>
      </c>
      <c r="BR183" s="82">
        <f>IFERROR(ABS(BK183/BQ183),0)</f>
        <v/>
      </c>
      <c r="BS183" s="34">
        <f>IF(BR183&lt;=0.1,0,BK183/BR183*(BR183-0.1))</f>
        <v/>
      </c>
      <c r="BT183" s="34">
        <f>IF((BS183)&lt;0,MAX(F183:G183)*(BS183)*1.03,MIN(F183:G183)*(BS183)*0.97)</f>
        <v/>
      </c>
      <c r="BU183" s="34">
        <f>IF(BR183&gt;0.1,1,0)</f>
        <v/>
      </c>
      <c r="BV183" s="34">
        <f>BF183+BG183+BH183+BY183-CA183</f>
        <v/>
      </c>
      <c r="BW183" s="34">
        <f>ABS(BX183)</f>
        <v/>
      </c>
      <c r="BX183" s="34">
        <f>AY183-(J183-L183+N183-Q183+T183-X183)</f>
        <v/>
      </c>
      <c r="BY183" s="34">
        <f>IF(AND(BX183&gt;0,MIN($F183:$G183)&lt;150,$E183="Enerji Açığı"),-100*BX183*1.03,IF(AND(BX183&gt;0,MIN($F183:$G183)&lt;150,$E183="Enerji Fazlası"),-100*BX183*1.06,IF(AND(BX183&gt;0,MIN($F183:$G183)&gt;=150,$E183="Enerji Açığı"),BX183*MIN($F183:$G183)*0.97,IF(AND(BX183&gt;0,MIN($F183:$G183)&gt;=150,$E183="Enerji Fazlası"),BX183*MIN($F183:$G183)*0.94,IF(AND(BX183&lt;0,MAX($F183:$G183)=4500,$E183="Enerji Açığı"),4500*1.05*1.06*BX183,IF(AND(BX183&lt;0,MAX($F183:$G183)=4500,$E183="Enerji Fazlası"),4500*1.05*1.03*BX183,IF(AND(BX183&lt;0,$E183="Enerji Açığı"),MAX($F183,$G183,150)*BX183*1.06,IF(AND(BX183&lt;0,$E183="Enerji Fazlası"),MAX($F183,$G183,150)*BX183*1.03,IF(AND(BX183&lt;0,$E183="Dengede"),MAX($F183:$G183,150)*1.03*BX183,MIN($F183:$G183)*0.97*BX183)))))))))</f>
        <v/>
      </c>
      <c r="BZ183" s="34">
        <f>BE183-BV183-CA183</f>
        <v/>
      </c>
      <c r="CA183" s="34">
        <f>BD183</f>
        <v/>
      </c>
      <c r="CB183" s="33">
        <f>BE183-BV183</f>
        <v/>
      </c>
      <c r="CC183" s="34">
        <f>IF(AY183=0,0,CB183/AY183)</f>
        <v/>
      </c>
      <c r="CD183" s="34">
        <f>MAX((AY183+MAX((-J183+L183-N183+Q183-T183+X183),0)),(MAX((J183-L183+N183-Q183+T183-X183),0)))</f>
        <v/>
      </c>
      <c r="CE183" s="82">
        <f>IFERROR(ABS(BX183/CD183),0)</f>
        <v/>
      </c>
      <c r="CF183" s="34">
        <f>IF(CE183&lt;=0.1,0,BX183/CE183*(CE183-0.1))</f>
        <v/>
      </c>
      <c r="CG183" s="34">
        <f>IF((CF183)&lt;0,MAX(F183:G183)*(CF183)*1.03,MIN(F183:G183)*(CF183)*0.97)</f>
        <v/>
      </c>
      <c r="CH183" s="34">
        <f>IF(CE183&gt;0.1,1,0)</f>
        <v/>
      </c>
      <c r="CI183" s="34">
        <f>(F183*BX183)-BY183</f>
        <v/>
      </c>
      <c r="CJ183" s="34">
        <f>IF(AY183=0,0,CI183/AY183)</f>
        <v/>
      </c>
    </row>
    <row r="184">
      <c r="A184" s="29" t="n">
        <v>46211.54166666666</v>
      </c>
      <c r="B184" s="29" t="inlineStr">
        <is>
          <t>13:00</t>
        </is>
      </c>
      <c r="C184" s="35">
        <f>INT(A184)</f>
        <v/>
      </c>
      <c r="D184" s="36">
        <f>MONTH(A184)</f>
        <v/>
      </c>
      <c r="E184" s="147">
        <f>[1]FİYATLAR!G183</f>
        <v/>
      </c>
      <c r="F184" s="30" t="n">
        <v>1799.97</v>
      </c>
      <c r="G184" s="30" t="n">
        <v>2500.01</v>
      </c>
      <c r="H184" s="30" t="n">
        <v>38.51</v>
      </c>
      <c r="I184" s="30" t="n">
        <v>2170.68</v>
      </c>
      <c r="J184" s="119" t="n">
        <v>0</v>
      </c>
      <c r="K184" s="34">
        <f>F184*J184</f>
        <v/>
      </c>
      <c r="L184" s="119" t="n">
        <v>0</v>
      </c>
      <c r="M184" s="34">
        <f>L184*F184</f>
        <v/>
      </c>
      <c r="N184" s="119" t="n">
        <v>24.5</v>
      </c>
      <c r="O184" s="34">
        <f>F184</f>
        <v/>
      </c>
      <c r="P184" s="34">
        <f>N184*O184</f>
        <v/>
      </c>
      <c r="Q184" s="117" t="n">
        <v>0</v>
      </c>
      <c r="R184" s="34">
        <f>F184</f>
        <v/>
      </c>
      <c r="S184" s="34">
        <f>R184*Q184</f>
        <v/>
      </c>
      <c r="T184" s="34">
        <f>SUMIFS('[1]GİP VERİLERİ'!$C:$C,'[1]GİP VERİLERİ'!$B:$B,A184,'[1]GİP VERİLERİ'!$M:$M,"40X000000104782K",'[1]GİP VERİLERİ'!$G:$G,"SELL")</f>
        <v/>
      </c>
      <c r="U184" s="34">
        <f>IFERROR(W184/T184,0)</f>
        <v/>
      </c>
      <c r="V184" s="34">
        <f>IF(U184=0,0,U184-F184)</f>
        <v/>
      </c>
      <c r="W184" s="34">
        <f>SUMIFS('[1]GİP VERİLERİ'!$O:$O,'[1]GİP VERİLERİ'!$B:$B,A184,'[1]GİP VERİLERİ'!$M:$M,"40X000000104782K",'[1]GİP VERİLERİ'!$G:$G,"SELL")</f>
        <v/>
      </c>
      <c r="X184" s="34">
        <f>SUMIFS('[1]GİP VERİLERİ'!$C:$C,'[1]GİP VERİLERİ'!$B:$B,A184,'[1]GİP VERİLERİ'!$M:$M,"40X000000104782K",'[1]GİP VERİLERİ'!$G:$G,"BUY")</f>
        <v/>
      </c>
      <c r="Y184" s="34">
        <f>IFERROR(AA184/X184,0)</f>
        <v/>
      </c>
      <c r="Z184" s="34">
        <f>IF(Y184=0,0,F184-Y184)</f>
        <v/>
      </c>
      <c r="AA184" s="34">
        <f>SUMIFS('[1]GİP VERİLERİ'!$O:$O,'[1]GİP VERİLERİ'!$B:$B,A184,'[1]GİP VERİLERİ'!$M:$M,"40X000000104782K",'[1]GİP VERİLERİ'!$G:$G,"BUY")</f>
        <v/>
      </c>
      <c r="AB184" s="34" t="n">
        <v>0</v>
      </c>
      <c r="AC184" s="34" t="n">
        <v>0</v>
      </c>
      <c r="AD184" s="34">
        <f>IF(AB184&gt;AC184*1.05,AB184-AC184*1.05,IF(AB184&lt;AC184*0.95,AC184*0.95-AB184,0))</f>
        <v/>
      </c>
      <c r="AE184" s="34">
        <f>MAX(F184,G184,750)*0.05*AD184</f>
        <v/>
      </c>
      <c r="AF184" s="34" t="n">
        <v>0</v>
      </c>
      <c r="AG184" s="34">
        <f>IF(AB184&gt;AF184*1.05,AB184-AF184*1.05,IF(AB184&lt;AF184*0.95,AF184*0.95-AB184,0))</f>
        <v/>
      </c>
      <c r="AH184" s="34">
        <f>MAX(I184,J184,750)*0.05*AG184</f>
        <v/>
      </c>
      <c r="AI184" t="n">
        <v>10.07</v>
      </c>
      <c r="AJ184" t="n">
        <v>10</v>
      </c>
      <c r="AK184" s="34">
        <f>IF(AI184&gt;AJ184*1.05,AI184-AJ184*1.05,IF(AI184&lt;AJ184*0.95,AJ184*0.95-AI184,0))</f>
        <v/>
      </c>
      <c r="AL184" s="34">
        <f>MAX(F184,G184,750)*0.05*AK184</f>
        <v/>
      </c>
      <c r="AM184" s="39" t="n">
        <v>10</v>
      </c>
      <c r="AN184" s="34">
        <f>IF(AI184&gt;AM184*1.05,AI184-AM184*1.05,IF(AI184&lt;AM184*0.95,AM184*0.95-AI184,0))</f>
        <v/>
      </c>
      <c r="AO184" s="34">
        <f>MAX(F184,G184,750)*0.05*AN184</f>
        <v/>
      </c>
      <c r="AP184" s="34" t="n">
        <v>14.55</v>
      </c>
      <c r="AQ184" s="34" t="n">
        <v>14.5</v>
      </c>
      <c r="AR184" s="34">
        <f>IF(AP184&gt;AQ184*1.05,AP184-AQ184*1.05,IF(AP184&lt;AQ184*0.95,AQ184*0.95-AP184,0))</f>
        <v/>
      </c>
      <c r="AS184" s="34">
        <f>MAX(F184:G184,750)*0.05*AR184</f>
        <v/>
      </c>
      <c r="AT184" t="n">
        <v>14.5</v>
      </c>
      <c r="AU184" s="34">
        <f>IF(AP184&gt;AT184*1.05,AP184-AT184*1.05,IF(AP184&lt;AT184*0.95,AT184*0.95-AP184,0))</f>
        <v/>
      </c>
      <c r="AV184" s="34">
        <f>MAX(F184:G184,750)*0.05*AU184</f>
        <v/>
      </c>
      <c r="AW184" s="34">
        <f>AC184+AJ184+AQ184</f>
        <v/>
      </c>
      <c r="AX184" s="34">
        <f>AF184+AM184+AT184</f>
        <v/>
      </c>
      <c r="AY184" s="34">
        <f>AB184+AI184+AP184</f>
        <v/>
      </c>
      <c r="AZ184" s="34" t="n">
        <v>0</v>
      </c>
      <c r="BA184" s="34">
        <f>AD184+AK184+AR184</f>
        <v/>
      </c>
      <c r="BB184" s="34">
        <f>MAX(F184:G184,750)*0.05*BA184</f>
        <v/>
      </c>
      <c r="BC184" s="34">
        <f>AG184+AN184+AU184</f>
        <v/>
      </c>
      <c r="BD184" s="34">
        <f>MAX(F184:G184,750)*0.05*BC184</f>
        <v/>
      </c>
      <c r="BE184" s="34">
        <f>F184*AY184</f>
        <v/>
      </c>
      <c r="BF184" s="34">
        <f>K184-M184</f>
        <v/>
      </c>
      <c r="BG184" s="34">
        <f>P184-S184</f>
        <v/>
      </c>
      <c r="BH184" s="34">
        <f>W184-AA184</f>
        <v/>
      </c>
      <c r="BI184" s="34">
        <f>BF184+BG184+BL184-BN184</f>
        <v/>
      </c>
      <c r="BJ184" s="34">
        <f>ABS(BK184)</f>
        <v/>
      </c>
      <c r="BK184" s="34">
        <f>AY184-(J184-L184+N184-Q184)</f>
        <v/>
      </c>
      <c r="BL184" s="34">
        <f>IF(AND(BK184&gt;0,MIN($F184:$G184)&lt;150,$E184="Enerji Açığı"),-100*BK184*1.03,IF(AND(BK184&gt;0,MIN($F184:$G184)&lt;150,$E184="Enerji Fazlası"),-100*BK184*1.06,IF(AND(BK184&gt;0,MIN($F184:$G184)&gt;=150,$E184="Enerji Açığı"),BK184*MIN($F184:$G184)*0.97,IF(AND(BK184&gt;0,MIN($F184:$G184)&gt;=150,$E184="Enerji Fazlası"),BK184*MIN($F184:$G184)*0.94,IF(AND(BK184&lt;0,MAX($F184:$G184)=4500,$E184="Enerji Açığı"),4500*1.05*1.06*BK184,IF(AND(BK184&lt;0,MAX($F184:$G184)=4500,$E184="Enerji Fazlası"),4500*1.05*1.03*BK184,IF(AND(BK184&lt;0,$E184="Enerji Açığı"),MAX($F184,$G184,150)*BK184*1.06,IF(AND(BK184&lt;0,$E184="Enerji Fazlası"),MAX($F184,$G184,150)*BK184*1.03,IF(AND(BK184&lt;0,$E184="Dengede"),MAX($F184:$G184,150)*1.03*BK184,MIN($F184:$G184)*0.97*BK184)))))))))</f>
        <v/>
      </c>
      <c r="BM184" s="34">
        <f>BE184-BI184-BN184</f>
        <v/>
      </c>
      <c r="BN184" s="34">
        <f>BB184</f>
        <v/>
      </c>
      <c r="BO184" s="34">
        <f>BE184-BI184</f>
        <v/>
      </c>
      <c r="BP184" s="34">
        <f>IF(AY184=0,0,BO184/AY184)</f>
        <v/>
      </c>
      <c r="BQ184" s="34">
        <f>MAX((AY184+MAX((-J184+L184-N184+Q184),0)),(MAX((J184-L184+N184-Q184),0)))</f>
        <v/>
      </c>
      <c r="BR184" s="82">
        <f>IFERROR(ABS(BK184/BQ184),0)</f>
        <v/>
      </c>
      <c r="BS184" s="34">
        <f>IF(BR184&lt;=0.1,0,BK184/BR184*(BR184-0.1))</f>
        <v/>
      </c>
      <c r="BT184" s="34">
        <f>IF((BS184)&lt;0,MAX(F184:G184)*(BS184)*1.03,MIN(F184:G184)*(BS184)*0.97)</f>
        <v/>
      </c>
      <c r="BU184" s="34">
        <f>IF(BR184&gt;0.1,1,0)</f>
        <v/>
      </c>
      <c r="BV184" s="34">
        <f>BF184+BG184+BH184+BY184-CA184</f>
        <v/>
      </c>
      <c r="BW184" s="34">
        <f>ABS(BX184)</f>
        <v/>
      </c>
      <c r="BX184" s="34">
        <f>AY184-(J184-L184+N184-Q184+T184-X184)</f>
        <v/>
      </c>
      <c r="BY184" s="34">
        <f>IF(AND(BX184&gt;0,MIN($F184:$G184)&lt;150,$E184="Enerji Açığı"),-100*BX184*1.03,IF(AND(BX184&gt;0,MIN($F184:$G184)&lt;150,$E184="Enerji Fazlası"),-100*BX184*1.06,IF(AND(BX184&gt;0,MIN($F184:$G184)&gt;=150,$E184="Enerji Açığı"),BX184*MIN($F184:$G184)*0.97,IF(AND(BX184&gt;0,MIN($F184:$G184)&gt;=150,$E184="Enerji Fazlası"),BX184*MIN($F184:$G184)*0.94,IF(AND(BX184&lt;0,MAX($F184:$G184)=4500,$E184="Enerji Açığı"),4500*1.05*1.06*BX184,IF(AND(BX184&lt;0,MAX($F184:$G184)=4500,$E184="Enerji Fazlası"),4500*1.05*1.03*BX184,IF(AND(BX184&lt;0,$E184="Enerji Açığı"),MAX($F184,$G184,150)*BX184*1.06,IF(AND(BX184&lt;0,$E184="Enerji Fazlası"),MAX($F184,$G184,150)*BX184*1.03,IF(AND(BX184&lt;0,$E184="Dengede"),MAX($F184:$G184,150)*1.03*BX184,MIN($F184:$G184)*0.97*BX184)))))))))</f>
        <v/>
      </c>
      <c r="BZ184" s="34">
        <f>BE184-BV184-CA184</f>
        <v/>
      </c>
      <c r="CA184" s="34">
        <f>BD184</f>
        <v/>
      </c>
      <c r="CB184" s="33">
        <f>BE184-BV184</f>
        <v/>
      </c>
      <c r="CC184" s="34">
        <f>IF(AY184=0,0,CB184/AY184)</f>
        <v/>
      </c>
      <c r="CD184" s="34">
        <f>MAX((AY184+MAX((-J184+L184-N184+Q184-T184+X184),0)),(MAX((J184-L184+N184-Q184+T184-X184),0)))</f>
        <v/>
      </c>
      <c r="CE184" s="82">
        <f>IFERROR(ABS(BX184/CD184),0)</f>
        <v/>
      </c>
      <c r="CF184" s="34">
        <f>IF(CE184&lt;=0.1,0,BX184/CE184*(CE184-0.1))</f>
        <v/>
      </c>
      <c r="CG184" s="34">
        <f>IF((CF184)&lt;0,MAX(F184:G184)*(CF184)*1.03,MIN(F184:G184)*(CF184)*0.97)</f>
        <v/>
      </c>
      <c r="CH184" s="34">
        <f>IF(CE184&gt;0.1,1,0)</f>
        <v/>
      </c>
      <c r="CI184" s="34">
        <f>(F184*BX184)-BY184</f>
        <v/>
      </c>
      <c r="CJ184" s="34">
        <f>IF(AY184=0,0,CI184/AY184)</f>
        <v/>
      </c>
    </row>
    <row r="185">
      <c r="A185" s="29" t="n">
        <v>46211.58333333334</v>
      </c>
      <c r="B185" s="29" t="inlineStr">
        <is>
          <t>14:00</t>
        </is>
      </c>
      <c r="C185" s="35">
        <f>INT(A185)</f>
        <v/>
      </c>
      <c r="D185" s="36">
        <f>MONTH(A185)</f>
        <v/>
      </c>
      <c r="E185" s="147">
        <f>[1]FİYATLAR!G184</f>
        <v/>
      </c>
      <c r="F185" s="30" t="n">
        <v>2116.41</v>
      </c>
      <c r="G185" s="30" t="n">
        <v>4000</v>
      </c>
      <c r="H185" s="30" t="n">
        <v>45.28</v>
      </c>
      <c r="I185" s="30" t="n">
        <v>2370.69</v>
      </c>
      <c r="J185" s="119" t="n">
        <v>0</v>
      </c>
      <c r="K185" s="34">
        <f>F185*J185</f>
        <v/>
      </c>
      <c r="L185" s="119" t="n">
        <v>0</v>
      </c>
      <c r="M185" s="34">
        <f>L185*F185</f>
        <v/>
      </c>
      <c r="N185" s="119" t="n">
        <v>24.5</v>
      </c>
      <c r="O185" s="34">
        <f>F185</f>
        <v/>
      </c>
      <c r="P185" s="34">
        <f>N185*O185</f>
        <v/>
      </c>
      <c r="Q185" s="117" t="n">
        <v>0</v>
      </c>
      <c r="R185" s="34">
        <f>F185</f>
        <v/>
      </c>
      <c r="S185" s="34">
        <f>R185*Q185</f>
        <v/>
      </c>
      <c r="T185" s="34">
        <f>SUMIFS('[1]GİP VERİLERİ'!$C:$C,'[1]GİP VERİLERİ'!$B:$B,A185,'[1]GİP VERİLERİ'!$M:$M,"40X000000104782K",'[1]GİP VERİLERİ'!$G:$G,"SELL")</f>
        <v/>
      </c>
      <c r="U185" s="34">
        <f>IFERROR(W185/T185,0)</f>
        <v/>
      </c>
      <c r="V185" s="34">
        <f>IF(U185=0,0,U185-F185)</f>
        <v/>
      </c>
      <c r="W185" s="34">
        <f>SUMIFS('[1]GİP VERİLERİ'!$O:$O,'[1]GİP VERİLERİ'!$B:$B,A185,'[1]GİP VERİLERİ'!$M:$M,"40X000000104782K",'[1]GİP VERİLERİ'!$G:$G,"SELL")</f>
        <v/>
      </c>
      <c r="X185" s="34">
        <f>SUMIFS('[1]GİP VERİLERİ'!$C:$C,'[1]GİP VERİLERİ'!$B:$B,A185,'[1]GİP VERİLERİ'!$M:$M,"40X000000104782K",'[1]GİP VERİLERİ'!$G:$G,"BUY")</f>
        <v/>
      </c>
      <c r="Y185" s="34">
        <f>IFERROR(AA185/X185,0)</f>
        <v/>
      </c>
      <c r="Z185" s="34">
        <f>IF(Y185=0,0,F185-Y185)</f>
        <v/>
      </c>
      <c r="AA185" s="34">
        <f>SUMIFS('[1]GİP VERİLERİ'!$O:$O,'[1]GİP VERİLERİ'!$B:$B,A185,'[1]GİP VERİLERİ'!$M:$M,"40X000000104782K",'[1]GİP VERİLERİ'!$G:$G,"BUY")</f>
        <v/>
      </c>
      <c r="AB185" s="34" t="n">
        <v>0</v>
      </c>
      <c r="AC185" s="34" t="n">
        <v>0</v>
      </c>
      <c r="AD185" s="34">
        <f>IF(AB185&gt;AC185*1.05,AB185-AC185*1.05,IF(AB185&lt;AC185*0.95,AC185*0.95-AB185,0))</f>
        <v/>
      </c>
      <c r="AE185" s="34">
        <f>MAX(F185,G185,750)*0.05*AD185</f>
        <v/>
      </c>
      <c r="AF185" s="34" t="n">
        <v>0</v>
      </c>
      <c r="AG185" s="34">
        <f>IF(AB185&gt;AF185*1.05,AB185-AF185*1.05,IF(AB185&lt;AF185*0.95,AF185*0.95-AB185,0))</f>
        <v/>
      </c>
      <c r="AH185" s="34">
        <f>MAX(I185,J185,750)*0.05*AG185</f>
        <v/>
      </c>
      <c r="AI185" t="n">
        <v>10.01</v>
      </c>
      <c r="AJ185" t="n">
        <v>10</v>
      </c>
      <c r="AK185" s="34">
        <f>IF(AI185&gt;AJ185*1.05,AI185-AJ185*1.05,IF(AI185&lt;AJ185*0.95,AJ185*0.95-AI185,0))</f>
        <v/>
      </c>
      <c r="AL185" s="34">
        <f>MAX(F185,G185,750)*0.05*AK185</f>
        <v/>
      </c>
      <c r="AM185" s="39" t="n">
        <v>10</v>
      </c>
      <c r="AN185" s="34">
        <f>IF(AI185&gt;AM185*1.05,AI185-AM185*1.05,IF(AI185&lt;AM185*0.95,AM185*0.95-AI185,0))</f>
        <v/>
      </c>
      <c r="AO185" s="34">
        <f>MAX(F185,G185,750)*0.05*AN185</f>
        <v/>
      </c>
      <c r="AP185" s="34" t="n">
        <v>14.4</v>
      </c>
      <c r="AQ185" s="34" t="n">
        <v>14.5</v>
      </c>
      <c r="AR185" s="34">
        <f>IF(AP185&gt;AQ185*1.05,AP185-AQ185*1.05,IF(AP185&lt;AQ185*0.95,AQ185*0.95-AP185,0))</f>
        <v/>
      </c>
      <c r="AS185" s="34">
        <f>MAX(F185:G185,750)*0.05*AR185</f>
        <v/>
      </c>
      <c r="AT185" t="n">
        <v>14.5</v>
      </c>
      <c r="AU185" s="34">
        <f>IF(AP185&gt;AT185*1.05,AP185-AT185*1.05,IF(AP185&lt;AT185*0.95,AT185*0.95-AP185,0))</f>
        <v/>
      </c>
      <c r="AV185" s="34">
        <f>MAX(F185:G185,750)*0.05*AU185</f>
        <v/>
      </c>
      <c r="AW185" s="34">
        <f>AC185+AJ185+AQ185</f>
        <v/>
      </c>
      <c r="AX185" s="34">
        <f>AF185+AM185+AT185</f>
        <v/>
      </c>
      <c r="AY185" s="34">
        <f>AB185+AI185+AP185</f>
        <v/>
      </c>
      <c r="AZ185" s="34" t="n">
        <v>0</v>
      </c>
      <c r="BA185" s="34">
        <f>AD185+AK185+AR185</f>
        <v/>
      </c>
      <c r="BB185" s="34">
        <f>MAX(F185:G185,750)*0.05*BA185</f>
        <v/>
      </c>
      <c r="BC185" s="34">
        <f>AG185+AN185+AU185</f>
        <v/>
      </c>
      <c r="BD185" s="34">
        <f>MAX(F185:G185,750)*0.05*BC185</f>
        <v/>
      </c>
      <c r="BE185" s="34">
        <f>F185*AY185</f>
        <v/>
      </c>
      <c r="BF185" s="34">
        <f>K185-M185</f>
        <v/>
      </c>
      <c r="BG185" s="34">
        <f>P185-S185</f>
        <v/>
      </c>
      <c r="BH185" s="34">
        <f>W185-AA185</f>
        <v/>
      </c>
      <c r="BI185" s="34">
        <f>BF185+BG185+BL185-BN185</f>
        <v/>
      </c>
      <c r="BJ185" s="34">
        <f>ABS(BK185)</f>
        <v/>
      </c>
      <c r="BK185" s="34">
        <f>AY185-(J185-L185+N185-Q185)</f>
        <v/>
      </c>
      <c r="BL185" s="34">
        <f>IF(AND(BK185&gt;0,MIN($F185:$G185)&lt;150,$E185="Enerji Açığı"),-100*BK185*1.03,IF(AND(BK185&gt;0,MIN($F185:$G185)&lt;150,$E185="Enerji Fazlası"),-100*BK185*1.06,IF(AND(BK185&gt;0,MIN($F185:$G185)&gt;=150,$E185="Enerji Açığı"),BK185*MIN($F185:$G185)*0.97,IF(AND(BK185&gt;0,MIN($F185:$G185)&gt;=150,$E185="Enerji Fazlası"),BK185*MIN($F185:$G185)*0.94,IF(AND(BK185&lt;0,MAX($F185:$G185)=4500,$E185="Enerji Açığı"),4500*1.05*1.06*BK185,IF(AND(BK185&lt;0,MAX($F185:$G185)=4500,$E185="Enerji Fazlası"),4500*1.05*1.03*BK185,IF(AND(BK185&lt;0,$E185="Enerji Açığı"),MAX($F185,$G185,150)*BK185*1.06,IF(AND(BK185&lt;0,$E185="Enerji Fazlası"),MAX($F185,$G185,150)*BK185*1.03,IF(AND(BK185&lt;0,$E185="Dengede"),MAX($F185:$G185,150)*1.03*BK185,MIN($F185:$G185)*0.97*BK185)))))))))</f>
        <v/>
      </c>
      <c r="BM185" s="34">
        <f>BE185-BI185-BN185</f>
        <v/>
      </c>
      <c r="BN185" s="34">
        <f>BB185</f>
        <v/>
      </c>
      <c r="BO185" s="34">
        <f>BE185-BI185</f>
        <v/>
      </c>
      <c r="BP185" s="34">
        <f>IF(AY185=0,0,BO185/AY185)</f>
        <v/>
      </c>
      <c r="BQ185" s="34">
        <f>MAX((AY185+MAX((-J185+L185-N185+Q185),0)),(MAX((J185-L185+N185-Q185),0)))</f>
        <v/>
      </c>
      <c r="BR185" s="82">
        <f>IFERROR(ABS(BK185/BQ185),0)</f>
        <v/>
      </c>
      <c r="BS185" s="34">
        <f>IF(BR185&lt;=0.1,0,BK185/BR185*(BR185-0.1))</f>
        <v/>
      </c>
      <c r="BT185" s="34">
        <f>IF((BS185)&lt;0,MAX(F185:G185)*(BS185)*1.03,MIN(F185:G185)*(BS185)*0.97)</f>
        <v/>
      </c>
      <c r="BU185" s="34">
        <f>IF(BR185&gt;0.1,1,0)</f>
        <v/>
      </c>
      <c r="BV185" s="34">
        <f>BF185+BG185+BH185+BY185-CA185</f>
        <v/>
      </c>
      <c r="BW185" s="34">
        <f>ABS(BX185)</f>
        <v/>
      </c>
      <c r="BX185" s="34">
        <f>AY185-(J185-L185+N185-Q185+T185-X185)</f>
        <v/>
      </c>
      <c r="BY185" s="34">
        <f>IF(AND(BX185&gt;0,MIN($F185:$G185)&lt;150,$E185="Enerji Açığı"),-100*BX185*1.03,IF(AND(BX185&gt;0,MIN($F185:$G185)&lt;150,$E185="Enerji Fazlası"),-100*BX185*1.06,IF(AND(BX185&gt;0,MIN($F185:$G185)&gt;=150,$E185="Enerji Açığı"),BX185*MIN($F185:$G185)*0.97,IF(AND(BX185&gt;0,MIN($F185:$G185)&gt;=150,$E185="Enerji Fazlası"),BX185*MIN($F185:$G185)*0.94,IF(AND(BX185&lt;0,MAX($F185:$G185)=4500,$E185="Enerji Açığı"),4500*1.05*1.06*BX185,IF(AND(BX185&lt;0,MAX($F185:$G185)=4500,$E185="Enerji Fazlası"),4500*1.05*1.03*BX185,IF(AND(BX185&lt;0,$E185="Enerji Açığı"),MAX($F185,$G185,150)*BX185*1.06,IF(AND(BX185&lt;0,$E185="Enerji Fazlası"),MAX($F185,$G185,150)*BX185*1.03,IF(AND(BX185&lt;0,$E185="Dengede"),MAX($F185:$G185,150)*1.03*BX185,MIN($F185:$G185)*0.97*BX185)))))))))</f>
        <v/>
      </c>
      <c r="BZ185" s="34">
        <f>BE185-BV185-CA185</f>
        <v/>
      </c>
      <c r="CA185" s="34">
        <f>BD185</f>
        <v/>
      </c>
      <c r="CB185" s="33">
        <f>BE185-BV185</f>
        <v/>
      </c>
      <c r="CC185" s="34">
        <f>IF(AY185=0,0,CB185/AY185)</f>
        <v/>
      </c>
      <c r="CD185" s="34">
        <f>MAX((AY185+MAX((-J185+L185-N185+Q185-T185+X185),0)),(MAX((J185-L185+N185-Q185+T185-X185),0)))</f>
        <v/>
      </c>
      <c r="CE185" s="82">
        <f>IFERROR(ABS(BX185/CD185),0)</f>
        <v/>
      </c>
      <c r="CF185" s="34">
        <f>IF(CE185&lt;=0.1,0,BX185/CE185*(CE185-0.1))</f>
        <v/>
      </c>
      <c r="CG185" s="34">
        <f>IF((CF185)&lt;0,MAX(F185:G185)*(CF185)*1.03,MIN(F185:G185)*(CF185)*0.97)</f>
        <v/>
      </c>
      <c r="CH185" s="34">
        <f>IF(CE185&gt;0.1,1,0)</f>
        <v/>
      </c>
      <c r="CI185" s="34">
        <f>(F185*BX185)-BY185</f>
        <v/>
      </c>
      <c r="CJ185" s="34">
        <f>IF(AY185=0,0,CI185/AY185)</f>
        <v/>
      </c>
    </row>
    <row r="186">
      <c r="A186" s="29" t="n">
        <v>46211.625</v>
      </c>
      <c r="B186" s="29" t="inlineStr">
        <is>
          <t>15:00</t>
        </is>
      </c>
      <c r="C186" s="35">
        <f>INT(A186)</f>
        <v/>
      </c>
      <c r="D186" s="36">
        <f>MONTH(A186)</f>
        <v/>
      </c>
      <c r="E186" s="147">
        <f>[1]FİYATLAR!G185</f>
        <v/>
      </c>
      <c r="F186" s="30" t="n">
        <v>2500</v>
      </c>
      <c r="G186" s="30" t="n">
        <v>3500</v>
      </c>
      <c r="H186" s="30" t="n">
        <v>53.49</v>
      </c>
      <c r="I186" s="30" t="n">
        <v>2733.81</v>
      </c>
      <c r="J186" s="119" t="n">
        <v>0</v>
      </c>
      <c r="K186" s="34">
        <f>F186*J186</f>
        <v/>
      </c>
      <c r="L186" s="119" t="n">
        <v>0</v>
      </c>
      <c r="M186" s="34">
        <f>L186*F186</f>
        <v/>
      </c>
      <c r="N186" s="119" t="n">
        <v>24.3</v>
      </c>
      <c r="O186" s="34">
        <f>F186</f>
        <v/>
      </c>
      <c r="P186" s="34">
        <f>N186*O186</f>
        <v/>
      </c>
      <c r="Q186" s="117" t="n">
        <v>0</v>
      </c>
      <c r="R186" s="34">
        <f>F186</f>
        <v/>
      </c>
      <c r="S186" s="34">
        <f>R186*Q186</f>
        <v/>
      </c>
      <c r="T186" s="34">
        <f>SUMIFS('[1]GİP VERİLERİ'!$C:$C,'[1]GİP VERİLERİ'!$B:$B,A186,'[1]GİP VERİLERİ'!$M:$M,"40X000000104782K",'[1]GİP VERİLERİ'!$G:$G,"SELL")</f>
        <v/>
      </c>
      <c r="U186" s="34">
        <f>IFERROR(W186/T186,0)</f>
        <v/>
      </c>
      <c r="V186" s="34">
        <f>IF(U186=0,0,U186-F186)</f>
        <v/>
      </c>
      <c r="W186" s="34">
        <f>SUMIFS('[1]GİP VERİLERİ'!$O:$O,'[1]GİP VERİLERİ'!$B:$B,A186,'[1]GİP VERİLERİ'!$M:$M,"40X000000104782K",'[1]GİP VERİLERİ'!$G:$G,"SELL")</f>
        <v/>
      </c>
      <c r="X186" s="34">
        <f>SUMIFS('[1]GİP VERİLERİ'!$C:$C,'[1]GİP VERİLERİ'!$B:$B,A186,'[1]GİP VERİLERİ'!$M:$M,"40X000000104782K",'[1]GİP VERİLERİ'!$G:$G,"BUY")</f>
        <v/>
      </c>
      <c r="Y186" s="34">
        <f>IFERROR(AA186/X186,0)</f>
        <v/>
      </c>
      <c r="Z186" s="34">
        <f>IF(Y186=0,0,F186-Y186)</f>
        <v/>
      </c>
      <c r="AA186" s="34">
        <f>SUMIFS('[1]GİP VERİLERİ'!$O:$O,'[1]GİP VERİLERİ'!$B:$B,A186,'[1]GİP VERİLERİ'!$M:$M,"40X000000104782K",'[1]GİP VERİLERİ'!$G:$G,"BUY")</f>
        <v/>
      </c>
      <c r="AB186" s="34" t="n">
        <v>0</v>
      </c>
      <c r="AC186" s="34" t="n">
        <v>0</v>
      </c>
      <c r="AD186" s="34">
        <f>IF(AB186&gt;AC186*1.05,AB186-AC186*1.05,IF(AB186&lt;AC186*0.95,AC186*0.95-AB186,0))</f>
        <v/>
      </c>
      <c r="AE186" s="34">
        <f>MAX(F186,G186,750)*0.05*AD186</f>
        <v/>
      </c>
      <c r="AF186" s="34" t="n">
        <v>0</v>
      </c>
      <c r="AG186" s="34">
        <f>IF(AB186&gt;AF186*1.05,AB186-AF186*1.05,IF(AB186&lt;AF186*0.95,AF186*0.95-AB186,0))</f>
        <v/>
      </c>
      <c r="AH186" s="34">
        <f>MAX(I186,J186,750)*0.05*AG186</f>
        <v/>
      </c>
      <c r="AI186" t="n">
        <v>9.9</v>
      </c>
      <c r="AJ186" t="n">
        <v>10</v>
      </c>
      <c r="AK186" s="34">
        <f>IF(AI186&gt;AJ186*1.05,AI186-AJ186*1.05,IF(AI186&lt;AJ186*0.95,AJ186*0.95-AI186,0))</f>
        <v/>
      </c>
      <c r="AL186" s="34">
        <f>MAX(F186,G186,750)*0.05*AK186</f>
        <v/>
      </c>
      <c r="AM186" s="39" t="n">
        <v>10</v>
      </c>
      <c r="AN186" s="34">
        <f>IF(AI186&gt;AM186*1.05,AI186-AM186*1.05,IF(AI186&lt;AM186*0.95,AM186*0.95-AI186,0))</f>
        <v/>
      </c>
      <c r="AO186" s="34">
        <f>MAX(F186,G186,750)*0.05*AN186</f>
        <v/>
      </c>
      <c r="AP186" s="34" t="n">
        <v>14.27</v>
      </c>
      <c r="AQ186" s="34" t="n">
        <v>14.3</v>
      </c>
      <c r="AR186" s="34">
        <f>IF(AP186&gt;AQ186*1.05,AP186-AQ186*1.05,IF(AP186&lt;AQ186*0.95,AQ186*0.95-AP186,0))</f>
        <v/>
      </c>
      <c r="AS186" s="34">
        <f>MAX(F186:G186,750)*0.05*AR186</f>
        <v/>
      </c>
      <c r="AT186" t="n">
        <v>14.3</v>
      </c>
      <c r="AU186" s="34">
        <f>IF(AP186&gt;AT186*1.05,AP186-AT186*1.05,IF(AP186&lt;AT186*0.95,AT186*0.95-AP186,0))</f>
        <v/>
      </c>
      <c r="AV186" s="34">
        <f>MAX(F186:G186,750)*0.05*AU186</f>
        <v/>
      </c>
      <c r="AW186" s="34">
        <f>AC186+AJ186+AQ186</f>
        <v/>
      </c>
      <c r="AX186" s="34">
        <f>AF186+AM186+AT186</f>
        <v/>
      </c>
      <c r="AY186" s="34">
        <f>AB186+AI186+AP186</f>
        <v/>
      </c>
      <c r="AZ186" s="34" t="n">
        <v>0</v>
      </c>
      <c r="BA186" s="34">
        <f>AD186+AK186+AR186</f>
        <v/>
      </c>
      <c r="BB186" s="34">
        <f>MAX(F186:G186,750)*0.05*BA186</f>
        <v/>
      </c>
      <c r="BC186" s="34">
        <f>AG186+AN186+AU186</f>
        <v/>
      </c>
      <c r="BD186" s="34">
        <f>MAX(F186:G186,750)*0.05*BC186</f>
        <v/>
      </c>
      <c r="BE186" s="34">
        <f>F186*AY186</f>
        <v/>
      </c>
      <c r="BF186" s="34">
        <f>K186-M186</f>
        <v/>
      </c>
      <c r="BG186" s="34">
        <f>P186-S186</f>
        <v/>
      </c>
      <c r="BH186" s="34">
        <f>W186-AA186</f>
        <v/>
      </c>
      <c r="BI186" s="34">
        <f>BF186+BG186+BL186-BN186</f>
        <v/>
      </c>
      <c r="BJ186" s="34">
        <f>ABS(BK186)</f>
        <v/>
      </c>
      <c r="BK186" s="34">
        <f>AY186-(J186-L186+N186-Q186)</f>
        <v/>
      </c>
      <c r="BL186" s="34">
        <f>IF(AND(BK186&gt;0,MIN($F186:$G186)&lt;150,$E186="Enerji Açığı"),-100*BK186*1.03,IF(AND(BK186&gt;0,MIN($F186:$G186)&lt;150,$E186="Enerji Fazlası"),-100*BK186*1.06,IF(AND(BK186&gt;0,MIN($F186:$G186)&gt;=150,$E186="Enerji Açığı"),BK186*MIN($F186:$G186)*0.97,IF(AND(BK186&gt;0,MIN($F186:$G186)&gt;=150,$E186="Enerji Fazlası"),BK186*MIN($F186:$G186)*0.94,IF(AND(BK186&lt;0,MAX($F186:$G186)=4500,$E186="Enerji Açığı"),4500*1.05*1.06*BK186,IF(AND(BK186&lt;0,MAX($F186:$G186)=4500,$E186="Enerji Fazlası"),4500*1.05*1.03*BK186,IF(AND(BK186&lt;0,$E186="Enerji Açığı"),MAX($F186,$G186,150)*BK186*1.06,IF(AND(BK186&lt;0,$E186="Enerji Fazlası"),MAX($F186,$G186,150)*BK186*1.03,IF(AND(BK186&lt;0,$E186="Dengede"),MAX($F186:$G186,150)*1.03*BK186,MIN($F186:$G186)*0.97*BK186)))))))))</f>
        <v/>
      </c>
      <c r="BM186" s="34">
        <f>BE186-BI186-BN186</f>
        <v/>
      </c>
      <c r="BN186" s="34">
        <f>BB186</f>
        <v/>
      </c>
      <c r="BO186" s="34">
        <f>BE186-BI186</f>
        <v/>
      </c>
      <c r="BP186" s="34">
        <f>IF(AY186=0,0,BO186/AY186)</f>
        <v/>
      </c>
      <c r="BQ186" s="34">
        <f>MAX((AY186+MAX((-J186+L186-N186+Q186),0)),(MAX((J186-L186+N186-Q186),0)))</f>
        <v/>
      </c>
      <c r="BR186" s="82">
        <f>IFERROR(ABS(BK186/BQ186),0)</f>
        <v/>
      </c>
      <c r="BS186" s="34">
        <f>IF(BR186&lt;=0.1,0,BK186/BR186*(BR186-0.1))</f>
        <v/>
      </c>
      <c r="BT186" s="34">
        <f>IF((BS186)&lt;0,MAX(F186:G186)*(BS186)*1.03,MIN(F186:G186)*(BS186)*0.97)</f>
        <v/>
      </c>
      <c r="BU186" s="34">
        <f>IF(BR186&gt;0.1,1,0)</f>
        <v/>
      </c>
      <c r="BV186" s="34">
        <f>BF186+BG186+BH186+BY186-CA186</f>
        <v/>
      </c>
      <c r="BW186" s="34">
        <f>ABS(BX186)</f>
        <v/>
      </c>
      <c r="BX186" s="34">
        <f>AY186-(J186-L186+N186-Q186+T186-X186)</f>
        <v/>
      </c>
      <c r="BY186" s="34">
        <f>IF(AND(BX186&gt;0,MIN($F186:$G186)&lt;150,$E186="Enerji Açığı"),-100*BX186*1.03,IF(AND(BX186&gt;0,MIN($F186:$G186)&lt;150,$E186="Enerji Fazlası"),-100*BX186*1.06,IF(AND(BX186&gt;0,MIN($F186:$G186)&gt;=150,$E186="Enerji Açığı"),BX186*MIN($F186:$G186)*0.97,IF(AND(BX186&gt;0,MIN($F186:$G186)&gt;=150,$E186="Enerji Fazlası"),BX186*MIN($F186:$G186)*0.94,IF(AND(BX186&lt;0,MAX($F186:$G186)=4500,$E186="Enerji Açığı"),4500*1.05*1.06*BX186,IF(AND(BX186&lt;0,MAX($F186:$G186)=4500,$E186="Enerji Fazlası"),4500*1.05*1.03*BX186,IF(AND(BX186&lt;0,$E186="Enerji Açığı"),MAX($F186,$G186,150)*BX186*1.06,IF(AND(BX186&lt;0,$E186="Enerji Fazlası"),MAX($F186,$G186,150)*BX186*1.03,IF(AND(BX186&lt;0,$E186="Dengede"),MAX($F186:$G186,150)*1.03*BX186,MIN($F186:$G186)*0.97*BX186)))))))))</f>
        <v/>
      </c>
      <c r="BZ186" s="34">
        <f>BE186-BV186-CA186</f>
        <v/>
      </c>
      <c r="CA186" s="34">
        <f>BD186</f>
        <v/>
      </c>
      <c r="CB186" s="33">
        <f>BE186-BV186</f>
        <v/>
      </c>
      <c r="CC186" s="34">
        <f>IF(AY186=0,0,CB186/AY186)</f>
        <v/>
      </c>
      <c r="CD186" s="34">
        <f>MAX((AY186+MAX((-J186+L186-N186+Q186-T186+X186),0)),(MAX((J186-L186+N186-Q186+T186-X186),0)))</f>
        <v/>
      </c>
      <c r="CE186" s="82">
        <f>IFERROR(ABS(BX186/CD186),0)</f>
        <v/>
      </c>
      <c r="CF186" s="34">
        <f>IF(CE186&lt;=0.1,0,BX186/CE186*(CE186-0.1))</f>
        <v/>
      </c>
      <c r="CG186" s="34">
        <f>IF((CF186)&lt;0,MAX(F186:G186)*(CF186)*1.03,MIN(F186:G186)*(CF186)*0.97)</f>
        <v/>
      </c>
      <c r="CH186" s="34">
        <f>IF(CE186&gt;0.1,1,0)</f>
        <v/>
      </c>
      <c r="CI186" s="34">
        <f>(F186*BX186)-BY186</f>
        <v/>
      </c>
      <c r="CJ186" s="34">
        <f>IF(AY186=0,0,CI186/AY186)</f>
        <v/>
      </c>
    </row>
    <row r="187">
      <c r="A187" s="29" t="n">
        <v>46211.66666666666</v>
      </c>
      <c r="B187" s="29" t="inlineStr">
        <is>
          <t>16:00</t>
        </is>
      </c>
      <c r="C187" s="35">
        <f>INT(A187)</f>
        <v/>
      </c>
      <c r="D187" s="36">
        <f>MONTH(A187)</f>
        <v/>
      </c>
      <c r="E187" s="147">
        <f>[1]FİYATLAR!G186</f>
        <v/>
      </c>
      <c r="F187" s="30" t="n">
        <v>3400.01</v>
      </c>
      <c r="G187" s="30" t="n">
        <v>3750</v>
      </c>
      <c r="H187" s="30" t="n">
        <v>72.75</v>
      </c>
      <c r="I187" s="30" t="n">
        <v>3453.94</v>
      </c>
      <c r="J187" s="119" t="n">
        <v>0</v>
      </c>
      <c r="K187" s="34">
        <f>F187*J187</f>
        <v/>
      </c>
      <c r="L187" s="119" t="n">
        <v>0</v>
      </c>
      <c r="M187" s="34">
        <f>L187*F187</f>
        <v/>
      </c>
      <c r="N187" s="119" t="n">
        <v>24</v>
      </c>
      <c r="O187" s="34">
        <f>F187</f>
        <v/>
      </c>
      <c r="P187" s="34">
        <f>N187*O187</f>
        <v/>
      </c>
      <c r="Q187" s="117" t="n">
        <v>0</v>
      </c>
      <c r="R187" s="34">
        <f>F187</f>
        <v/>
      </c>
      <c r="S187" s="34">
        <f>R187*Q187</f>
        <v/>
      </c>
      <c r="T187" s="34">
        <f>SUMIFS('[1]GİP VERİLERİ'!$C:$C,'[1]GİP VERİLERİ'!$B:$B,A187,'[1]GİP VERİLERİ'!$M:$M,"40X000000104782K",'[1]GİP VERİLERİ'!$G:$G,"SELL")</f>
        <v/>
      </c>
      <c r="U187" s="34">
        <f>IFERROR(W187/T187,0)</f>
        <v/>
      </c>
      <c r="V187" s="34">
        <f>IF(U187=0,0,U187-F187)</f>
        <v/>
      </c>
      <c r="W187" s="34">
        <f>SUMIFS('[1]GİP VERİLERİ'!$O:$O,'[1]GİP VERİLERİ'!$B:$B,A187,'[1]GİP VERİLERİ'!$M:$M,"40X000000104782K",'[1]GİP VERİLERİ'!$G:$G,"SELL")</f>
        <v/>
      </c>
      <c r="X187" s="34">
        <f>SUMIFS('[1]GİP VERİLERİ'!$C:$C,'[1]GİP VERİLERİ'!$B:$B,A187,'[1]GİP VERİLERİ'!$M:$M,"40X000000104782K",'[1]GİP VERİLERİ'!$G:$G,"BUY")</f>
        <v/>
      </c>
      <c r="Y187" s="34">
        <f>IFERROR(AA187/X187,0)</f>
        <v/>
      </c>
      <c r="Z187" s="34">
        <f>IF(Y187=0,0,F187-Y187)</f>
        <v/>
      </c>
      <c r="AA187" s="34">
        <f>SUMIFS('[1]GİP VERİLERİ'!$O:$O,'[1]GİP VERİLERİ'!$B:$B,A187,'[1]GİP VERİLERİ'!$M:$M,"40X000000104782K",'[1]GİP VERİLERİ'!$G:$G,"BUY")</f>
        <v/>
      </c>
      <c r="AB187" s="34" t="n">
        <v>0</v>
      </c>
      <c r="AC187" s="34" t="n">
        <v>0</v>
      </c>
      <c r="AD187" s="34">
        <f>IF(AB187&gt;AC187*1.05,AB187-AC187*1.05,IF(AB187&lt;AC187*0.95,AC187*0.95-AB187,0))</f>
        <v/>
      </c>
      <c r="AE187" s="34">
        <f>MAX(F187,G187,750)*0.05*AD187</f>
        <v/>
      </c>
      <c r="AF187" s="34" t="n">
        <v>0</v>
      </c>
      <c r="AG187" s="34">
        <f>IF(AB187&gt;AF187*1.05,AB187-AF187*1.05,IF(AB187&lt;AF187*0.95,AF187*0.95-AB187,0))</f>
        <v/>
      </c>
      <c r="AH187" s="34">
        <f>MAX(I187,J187,750)*0.05*AG187</f>
        <v/>
      </c>
      <c r="AI187" t="n">
        <v>8.4</v>
      </c>
      <c r="AJ187" t="n">
        <v>10</v>
      </c>
      <c r="AK187" s="34">
        <f>IF(AI187&gt;AJ187*1.05,AI187-AJ187*1.05,IF(AI187&lt;AJ187*0.95,AJ187*0.95-AI187,0))</f>
        <v/>
      </c>
      <c r="AL187" s="34">
        <f>MAX(F187,G187,750)*0.05*AK187</f>
        <v/>
      </c>
      <c r="AM187" s="39" t="n">
        <v>10</v>
      </c>
      <c r="AN187" s="34">
        <f>IF(AI187&gt;AM187*1.05,AI187-AM187*1.05,IF(AI187&lt;AM187*0.95,AM187*0.95-AI187,0))</f>
        <v/>
      </c>
      <c r="AO187" s="34">
        <f>MAX(F187,G187,750)*0.05*AN187</f>
        <v/>
      </c>
      <c r="AP187" s="34" t="n">
        <v>14.61</v>
      </c>
      <c r="AQ187" s="34" t="n">
        <v>14</v>
      </c>
      <c r="AR187" s="34">
        <f>IF(AP187&gt;AQ187*1.05,AP187-AQ187*1.05,IF(AP187&lt;AQ187*0.95,AQ187*0.95-AP187,0))</f>
        <v/>
      </c>
      <c r="AS187" s="34">
        <f>MAX(F187:G187,750)*0.05*AR187</f>
        <v/>
      </c>
      <c r="AT187" t="n">
        <v>14</v>
      </c>
      <c r="AU187" s="34">
        <f>IF(AP187&gt;AT187*1.05,AP187-AT187*1.05,IF(AP187&lt;AT187*0.95,AT187*0.95-AP187,0))</f>
        <v/>
      </c>
      <c r="AV187" s="34">
        <f>MAX(F187:G187,750)*0.05*AU187</f>
        <v/>
      </c>
      <c r="AW187" s="34">
        <f>AC187+AJ187+AQ187</f>
        <v/>
      </c>
      <c r="AX187" s="34">
        <f>AF187+AM187+AT187</f>
        <v/>
      </c>
      <c r="AY187" s="34">
        <f>AB187+AI187+AP187</f>
        <v/>
      </c>
      <c r="AZ187" s="34" t="n">
        <v>0</v>
      </c>
      <c r="BA187" s="34">
        <f>AD187+AK187+AR187</f>
        <v/>
      </c>
      <c r="BB187" s="34">
        <f>MAX(F187:G187,750)*0.05*BA187</f>
        <v/>
      </c>
      <c r="BC187" s="34">
        <f>AG187+AN187+AU187</f>
        <v/>
      </c>
      <c r="BD187" s="34">
        <f>MAX(F187:G187,750)*0.05*BC187</f>
        <v/>
      </c>
      <c r="BE187" s="34">
        <f>F187*AY187</f>
        <v/>
      </c>
      <c r="BF187" s="34">
        <f>K187-M187</f>
        <v/>
      </c>
      <c r="BG187" s="34">
        <f>P187-S187</f>
        <v/>
      </c>
      <c r="BH187" s="34">
        <f>W187-AA187</f>
        <v/>
      </c>
      <c r="BI187" s="34">
        <f>BF187+BG187+BL187-BN187</f>
        <v/>
      </c>
      <c r="BJ187" s="34">
        <f>ABS(BK187)</f>
        <v/>
      </c>
      <c r="BK187" s="34">
        <f>AY187-(J187-L187+N187-Q187)</f>
        <v/>
      </c>
      <c r="BL187" s="34">
        <f>IF(AND(BK187&gt;0,MIN($F187:$G187)&lt;150,$E187="Enerji Açığı"),-100*BK187*1.03,IF(AND(BK187&gt;0,MIN($F187:$G187)&lt;150,$E187="Enerji Fazlası"),-100*BK187*1.06,IF(AND(BK187&gt;0,MIN($F187:$G187)&gt;=150,$E187="Enerji Açığı"),BK187*MIN($F187:$G187)*0.97,IF(AND(BK187&gt;0,MIN($F187:$G187)&gt;=150,$E187="Enerji Fazlası"),BK187*MIN($F187:$G187)*0.94,IF(AND(BK187&lt;0,MAX($F187:$G187)=4500,$E187="Enerji Açığı"),4500*1.05*1.06*BK187,IF(AND(BK187&lt;0,MAX($F187:$G187)=4500,$E187="Enerji Fazlası"),4500*1.05*1.03*BK187,IF(AND(BK187&lt;0,$E187="Enerji Açığı"),MAX($F187,$G187,150)*BK187*1.06,IF(AND(BK187&lt;0,$E187="Enerji Fazlası"),MAX($F187,$G187,150)*BK187*1.03,IF(AND(BK187&lt;0,$E187="Dengede"),MAX($F187:$G187,150)*1.03*BK187,MIN($F187:$G187)*0.97*BK187)))))))))</f>
        <v/>
      </c>
      <c r="BM187" s="34">
        <f>BE187-BI187-BN187</f>
        <v/>
      </c>
      <c r="BN187" s="34">
        <f>BB187</f>
        <v/>
      </c>
      <c r="BO187" s="34">
        <f>BE187-BI187</f>
        <v/>
      </c>
      <c r="BP187" s="34">
        <f>IF(AY187=0,0,BO187/AY187)</f>
        <v/>
      </c>
      <c r="BQ187" s="34">
        <f>MAX((AY187+MAX((-J187+L187-N187+Q187),0)),(MAX((J187-L187+N187-Q187),0)))</f>
        <v/>
      </c>
      <c r="BR187" s="82">
        <f>IFERROR(ABS(BK187/BQ187),0)</f>
        <v/>
      </c>
      <c r="BS187" s="34">
        <f>IF(BR187&lt;=0.1,0,BK187/BR187*(BR187-0.1))</f>
        <v/>
      </c>
      <c r="BT187" s="34">
        <f>IF((BS187)&lt;0,MAX(F187:G187)*(BS187)*1.03,MIN(F187:G187)*(BS187)*0.97)</f>
        <v/>
      </c>
      <c r="BU187" s="34">
        <f>IF(BR187&gt;0.1,1,0)</f>
        <v/>
      </c>
      <c r="BV187" s="34">
        <f>BF187+BG187+BH187+BY187-CA187</f>
        <v/>
      </c>
      <c r="BW187" s="34">
        <f>ABS(BX187)</f>
        <v/>
      </c>
      <c r="BX187" s="34">
        <f>AY187-(J187-L187+N187-Q187+T187-X187)</f>
        <v/>
      </c>
      <c r="BY187" s="34">
        <f>IF(AND(BX187&gt;0,MIN($F187:$G187)&lt;150,$E187="Enerji Açığı"),-100*BX187*1.03,IF(AND(BX187&gt;0,MIN($F187:$G187)&lt;150,$E187="Enerji Fazlası"),-100*BX187*1.06,IF(AND(BX187&gt;0,MIN($F187:$G187)&gt;=150,$E187="Enerji Açığı"),BX187*MIN($F187:$G187)*0.97,IF(AND(BX187&gt;0,MIN($F187:$G187)&gt;=150,$E187="Enerji Fazlası"),BX187*MIN($F187:$G187)*0.94,IF(AND(BX187&lt;0,MAX($F187:$G187)=4500,$E187="Enerji Açığı"),4500*1.05*1.06*BX187,IF(AND(BX187&lt;0,MAX($F187:$G187)=4500,$E187="Enerji Fazlası"),4500*1.05*1.03*BX187,IF(AND(BX187&lt;0,$E187="Enerji Açığı"),MAX($F187,$G187,150)*BX187*1.06,IF(AND(BX187&lt;0,$E187="Enerji Fazlası"),MAX($F187,$G187,150)*BX187*1.03,IF(AND(BX187&lt;0,$E187="Dengede"),MAX($F187:$G187,150)*1.03*BX187,MIN($F187:$G187)*0.97*BX187)))))))))</f>
        <v/>
      </c>
      <c r="BZ187" s="34">
        <f>BE187-BV187-CA187</f>
        <v/>
      </c>
      <c r="CA187" s="34">
        <f>BD187</f>
        <v/>
      </c>
      <c r="CB187" s="33">
        <f>BE187-BV187</f>
        <v/>
      </c>
      <c r="CC187" s="34">
        <f>IF(AY187=0,0,CB187/AY187)</f>
        <v/>
      </c>
      <c r="CD187" s="34">
        <f>MAX((AY187+MAX((-J187+L187-N187+Q187-T187+X187),0)),(MAX((J187-L187+N187-Q187+T187-X187),0)))</f>
        <v/>
      </c>
      <c r="CE187" s="82">
        <f>IFERROR(ABS(BX187/CD187),0)</f>
        <v/>
      </c>
      <c r="CF187" s="34">
        <f>IF(CE187&lt;=0.1,0,BX187/CE187*(CE187-0.1))</f>
        <v/>
      </c>
      <c r="CG187" s="34">
        <f>IF((CF187)&lt;0,MAX(F187:G187)*(CF187)*1.03,MIN(F187:G187)*(CF187)*0.97)</f>
        <v/>
      </c>
      <c r="CH187" s="34">
        <f>IF(CE187&gt;0.1,1,0)</f>
        <v/>
      </c>
      <c r="CI187" s="34">
        <f>(F187*BX187)-BY187</f>
        <v/>
      </c>
      <c r="CJ187" s="34">
        <f>IF(AY187=0,0,CI187/AY187)</f>
        <v/>
      </c>
    </row>
    <row r="188">
      <c r="A188" s="29" t="n">
        <v>46211.70833333334</v>
      </c>
      <c r="B188" s="29" t="inlineStr">
        <is>
          <t>17:00</t>
        </is>
      </c>
      <c r="C188" s="35">
        <f>INT(A188)</f>
        <v/>
      </c>
      <c r="D188" s="36">
        <f>MONTH(A188)</f>
        <v/>
      </c>
      <c r="E188" s="147">
        <f>[1]FİYATLAR!G187</f>
        <v/>
      </c>
      <c r="F188" s="30" t="n">
        <v>3449.99</v>
      </c>
      <c r="G188" s="30" t="n">
        <v>4457</v>
      </c>
      <c r="H188" s="30" t="n">
        <v>73.81999999999999</v>
      </c>
      <c r="I188" s="30" t="n">
        <v>3588.58</v>
      </c>
      <c r="J188" s="119" t="n">
        <v>0</v>
      </c>
      <c r="K188" s="34">
        <f>F188*J188</f>
        <v/>
      </c>
      <c r="L188" s="119" t="n">
        <v>0</v>
      </c>
      <c r="M188" s="34">
        <f>L188*F188</f>
        <v/>
      </c>
      <c r="N188" s="119" t="n">
        <v>23.5</v>
      </c>
      <c r="O188" s="34">
        <f>F188</f>
        <v/>
      </c>
      <c r="P188" s="34">
        <f>N188*O188</f>
        <v/>
      </c>
      <c r="Q188" s="117" t="n">
        <v>0</v>
      </c>
      <c r="R188" s="34">
        <f>F188</f>
        <v/>
      </c>
      <c r="S188" s="34">
        <f>R188*Q188</f>
        <v/>
      </c>
      <c r="T188" s="34">
        <f>SUMIFS('[1]GİP VERİLERİ'!$C:$C,'[1]GİP VERİLERİ'!$B:$B,A188,'[1]GİP VERİLERİ'!$M:$M,"40X000000104782K",'[1]GİP VERİLERİ'!$G:$G,"SELL")</f>
        <v/>
      </c>
      <c r="U188" s="34">
        <f>IFERROR(W188/T188,0)</f>
        <v/>
      </c>
      <c r="V188" s="34">
        <f>IF(U188=0,0,U188-F188)</f>
        <v/>
      </c>
      <c r="W188" s="34">
        <f>SUMIFS('[1]GİP VERİLERİ'!$O:$O,'[1]GİP VERİLERİ'!$B:$B,A188,'[1]GİP VERİLERİ'!$M:$M,"40X000000104782K",'[1]GİP VERİLERİ'!$G:$G,"SELL")</f>
        <v/>
      </c>
      <c r="X188" s="34">
        <f>SUMIFS('[1]GİP VERİLERİ'!$C:$C,'[1]GİP VERİLERİ'!$B:$B,A188,'[1]GİP VERİLERİ'!$M:$M,"40X000000104782K",'[1]GİP VERİLERİ'!$G:$G,"BUY")</f>
        <v/>
      </c>
      <c r="Y188" s="34">
        <f>IFERROR(AA188/X188,0)</f>
        <v/>
      </c>
      <c r="Z188" s="34">
        <f>IF(Y188=0,0,F188-Y188)</f>
        <v/>
      </c>
      <c r="AA188" s="34">
        <f>SUMIFS('[1]GİP VERİLERİ'!$O:$O,'[1]GİP VERİLERİ'!$B:$B,A188,'[1]GİP VERİLERİ'!$M:$M,"40X000000104782K",'[1]GİP VERİLERİ'!$G:$G,"BUY")</f>
        <v/>
      </c>
      <c r="AB188" s="34" t="n">
        <v>0</v>
      </c>
      <c r="AC188" s="34" t="n">
        <v>0</v>
      </c>
      <c r="AD188" s="34">
        <f>IF(AB188&gt;AC188*1.05,AB188-AC188*1.05,IF(AB188&lt;AC188*0.95,AC188*0.95-AB188,0))</f>
        <v/>
      </c>
      <c r="AE188" s="34">
        <f>MAX(F188,G188,750)*0.05*AD188</f>
        <v/>
      </c>
      <c r="AF188" s="34" t="n">
        <v>0</v>
      </c>
      <c r="AG188" s="34">
        <f>IF(AB188&gt;AF188*1.05,AB188-AF188*1.05,IF(AB188&lt;AF188*0.95,AF188*0.95-AB188,0))</f>
        <v/>
      </c>
      <c r="AH188" s="34">
        <f>MAX(I188,J188,750)*0.05*AG188</f>
        <v/>
      </c>
      <c r="AI188" t="n">
        <v>7.98</v>
      </c>
      <c r="AJ188" t="n">
        <v>10</v>
      </c>
      <c r="AK188" s="34">
        <f>IF(AI188&gt;AJ188*1.05,AI188-AJ188*1.05,IF(AI188&lt;AJ188*0.95,AJ188*0.95-AI188,0))</f>
        <v/>
      </c>
      <c r="AL188" s="34">
        <f>MAX(F188,G188,750)*0.05*AK188</f>
        <v/>
      </c>
      <c r="AM188" s="39" t="n">
        <v>8</v>
      </c>
      <c r="AN188" s="34">
        <f>IF(AI188&gt;AM188*1.05,AI188-AM188*1.05,IF(AI188&lt;AM188*0.95,AM188*0.95-AI188,0))</f>
        <v/>
      </c>
      <c r="AO188" s="34">
        <f>MAX(F188,G188,750)*0.05*AN188</f>
        <v/>
      </c>
      <c r="AP188" s="34" t="n">
        <v>12.08</v>
      </c>
      <c r="AQ188" s="34" t="n">
        <v>13.5</v>
      </c>
      <c r="AR188" s="34">
        <f>IF(AP188&gt;AQ188*1.05,AP188-AQ188*1.05,IF(AP188&lt;AQ188*0.95,AQ188*0.95-AP188,0))</f>
        <v/>
      </c>
      <c r="AS188" s="34">
        <f>MAX(F188:G188,750)*0.05*AR188</f>
        <v/>
      </c>
      <c r="AT188" t="n">
        <v>11.5</v>
      </c>
      <c r="AU188" s="34">
        <f>IF(AP188&gt;AT188*1.05,AP188-AT188*1.05,IF(AP188&lt;AT188*0.95,AT188*0.95-AP188,0))</f>
        <v/>
      </c>
      <c r="AV188" s="34">
        <f>MAX(F188:G188,750)*0.05*AU188</f>
        <v/>
      </c>
      <c r="AW188" s="34">
        <f>AC188+AJ188+AQ188</f>
        <v/>
      </c>
      <c r="AX188" s="34">
        <f>AF188+AM188+AT188</f>
        <v/>
      </c>
      <c r="AY188" s="34">
        <f>AB188+AI188+AP188</f>
        <v/>
      </c>
      <c r="AZ188" s="34" t="n">
        <v>0</v>
      </c>
      <c r="BA188" s="34">
        <f>AD188+AK188+AR188</f>
        <v/>
      </c>
      <c r="BB188" s="34">
        <f>MAX(F188:G188,750)*0.05*BA188</f>
        <v/>
      </c>
      <c r="BC188" s="34">
        <f>AG188+AN188+AU188</f>
        <v/>
      </c>
      <c r="BD188" s="34">
        <f>MAX(F188:G188,750)*0.05*BC188</f>
        <v/>
      </c>
      <c r="BE188" s="34">
        <f>F188*AY188</f>
        <v/>
      </c>
      <c r="BF188" s="34">
        <f>K188-M188</f>
        <v/>
      </c>
      <c r="BG188" s="34">
        <f>P188-S188</f>
        <v/>
      </c>
      <c r="BH188" s="34">
        <f>W188-AA188</f>
        <v/>
      </c>
      <c r="BI188" s="34">
        <f>BF188+BG188+BL188-BN188</f>
        <v/>
      </c>
      <c r="BJ188" s="34">
        <f>ABS(BK188)</f>
        <v/>
      </c>
      <c r="BK188" s="34">
        <f>AY188-(J188-L188+N188-Q188)</f>
        <v/>
      </c>
      <c r="BL188" s="34">
        <f>IF(AND(BK188&gt;0,MIN($F188:$G188)&lt;150,$E188="Enerji Açığı"),-100*BK188*1.03,IF(AND(BK188&gt;0,MIN($F188:$G188)&lt;150,$E188="Enerji Fazlası"),-100*BK188*1.06,IF(AND(BK188&gt;0,MIN($F188:$G188)&gt;=150,$E188="Enerji Açığı"),BK188*MIN($F188:$G188)*0.97,IF(AND(BK188&gt;0,MIN($F188:$G188)&gt;=150,$E188="Enerji Fazlası"),BK188*MIN($F188:$G188)*0.94,IF(AND(BK188&lt;0,MAX($F188:$G188)=4500,$E188="Enerji Açığı"),4500*1.05*1.06*BK188,IF(AND(BK188&lt;0,MAX($F188:$G188)=4500,$E188="Enerji Fazlası"),4500*1.05*1.03*BK188,IF(AND(BK188&lt;0,$E188="Enerji Açığı"),MAX($F188,$G188,150)*BK188*1.06,IF(AND(BK188&lt;0,$E188="Enerji Fazlası"),MAX($F188,$G188,150)*BK188*1.03,IF(AND(BK188&lt;0,$E188="Dengede"),MAX($F188:$G188,150)*1.03*BK188,MIN($F188:$G188)*0.97*BK188)))))))))</f>
        <v/>
      </c>
      <c r="BM188" s="34">
        <f>BE188-BI188-BN188</f>
        <v/>
      </c>
      <c r="BN188" s="34">
        <f>BB188</f>
        <v/>
      </c>
      <c r="BO188" s="34">
        <f>BE188-BI188</f>
        <v/>
      </c>
      <c r="BP188" s="34">
        <f>IF(AY188=0,0,BO188/AY188)</f>
        <v/>
      </c>
      <c r="BQ188" s="34">
        <f>MAX((AY188+MAX((-J188+L188-N188+Q188),0)),(MAX((J188-L188+N188-Q188),0)))</f>
        <v/>
      </c>
      <c r="BR188" s="82">
        <f>IFERROR(ABS(BK188/BQ188),0)</f>
        <v/>
      </c>
      <c r="BS188" s="34">
        <f>IF(BR188&lt;=0.1,0,BK188/BR188*(BR188-0.1))</f>
        <v/>
      </c>
      <c r="BT188" s="34">
        <f>IF((BS188)&lt;0,MAX(F188:G188)*(BS188)*1.03,MIN(F188:G188)*(BS188)*0.97)</f>
        <v/>
      </c>
      <c r="BU188" s="34">
        <f>IF(BR188&gt;0.1,1,0)</f>
        <v/>
      </c>
      <c r="BV188" s="34">
        <f>BF188+BG188+BH188+BY188-CA188</f>
        <v/>
      </c>
      <c r="BW188" s="34">
        <f>ABS(BX188)</f>
        <v/>
      </c>
      <c r="BX188" s="34">
        <f>AY188-(J188-L188+N188-Q188+T188-X188)</f>
        <v/>
      </c>
      <c r="BY188" s="34">
        <f>IF(AND(BX188&gt;0,MIN($F188:$G188)&lt;150,$E188="Enerji Açığı"),-100*BX188*1.03,IF(AND(BX188&gt;0,MIN($F188:$G188)&lt;150,$E188="Enerji Fazlası"),-100*BX188*1.06,IF(AND(BX188&gt;0,MIN($F188:$G188)&gt;=150,$E188="Enerji Açığı"),BX188*MIN($F188:$G188)*0.97,IF(AND(BX188&gt;0,MIN($F188:$G188)&gt;=150,$E188="Enerji Fazlası"),BX188*MIN($F188:$G188)*0.94,IF(AND(BX188&lt;0,MAX($F188:$G188)=4500,$E188="Enerji Açığı"),4500*1.05*1.06*BX188,IF(AND(BX188&lt;0,MAX($F188:$G188)=4500,$E188="Enerji Fazlası"),4500*1.05*1.03*BX188,IF(AND(BX188&lt;0,$E188="Enerji Açığı"),MAX($F188,$G188,150)*BX188*1.06,IF(AND(BX188&lt;0,$E188="Enerji Fazlası"),MAX($F188,$G188,150)*BX188*1.03,IF(AND(BX188&lt;0,$E188="Dengede"),MAX($F188:$G188,150)*1.03*BX188,MIN($F188:$G188)*0.97*BX188)))))))))</f>
        <v/>
      </c>
      <c r="BZ188" s="34">
        <f>BE188-BV188-CA188</f>
        <v/>
      </c>
      <c r="CA188" s="34">
        <f>BD188</f>
        <v/>
      </c>
      <c r="CB188" s="33">
        <f>BE188-BV188</f>
        <v/>
      </c>
      <c r="CC188" s="34">
        <f>IF(AY188=0,0,CB188/AY188)</f>
        <v/>
      </c>
      <c r="CD188" s="34">
        <f>MAX((AY188+MAX((-J188+L188-N188+Q188-T188+X188),0)),(MAX((J188-L188+N188-Q188+T188-X188),0)))</f>
        <v/>
      </c>
      <c r="CE188" s="82">
        <f>IFERROR(ABS(BX188/CD188),0)</f>
        <v/>
      </c>
      <c r="CF188" s="34">
        <f>IF(CE188&lt;=0.1,0,BX188/CE188*(CE188-0.1))</f>
        <v/>
      </c>
      <c r="CG188" s="34">
        <f>IF((CF188)&lt;0,MAX(F188:G188)*(CF188)*1.03,MIN(F188:G188)*(CF188)*0.97)</f>
        <v/>
      </c>
      <c r="CH188" s="34">
        <f>IF(CE188&gt;0.1,1,0)</f>
        <v/>
      </c>
      <c r="CI188" s="34">
        <f>(F188*BX188)-BY188</f>
        <v/>
      </c>
      <c r="CJ188" s="34">
        <f>IF(AY188=0,0,CI188/AY188)</f>
        <v/>
      </c>
    </row>
    <row r="189">
      <c r="A189" s="29" t="n">
        <v>46211.75</v>
      </c>
      <c r="B189" s="29" t="inlineStr">
        <is>
          <t>18:00</t>
        </is>
      </c>
      <c r="C189" s="35">
        <f>INT(A189)</f>
        <v/>
      </c>
      <c r="D189" s="36">
        <f>MONTH(A189)</f>
        <v/>
      </c>
      <c r="E189" s="147">
        <f>[1]FİYATLAR!G188</f>
        <v/>
      </c>
      <c r="F189" s="30" t="n">
        <v>3323.7</v>
      </c>
      <c r="G189" s="30" t="n">
        <v>4457</v>
      </c>
      <c r="H189" s="30" t="n">
        <v>71.12</v>
      </c>
      <c r="I189" s="30" t="n">
        <v>3358.73</v>
      </c>
      <c r="J189" s="119" t="n">
        <v>0</v>
      </c>
      <c r="K189" s="34">
        <f>F189*J189</f>
        <v/>
      </c>
      <c r="L189" s="119" t="n">
        <v>0</v>
      </c>
      <c r="M189" s="34">
        <f>L189*F189</f>
        <v/>
      </c>
      <c r="N189" s="119" t="n">
        <v>23.3</v>
      </c>
      <c r="O189" s="34">
        <f>F189</f>
        <v/>
      </c>
      <c r="P189" s="34">
        <f>N189*O189</f>
        <v/>
      </c>
      <c r="Q189" s="117" t="n">
        <v>0</v>
      </c>
      <c r="R189" s="34">
        <f>F189</f>
        <v/>
      </c>
      <c r="S189" s="34">
        <f>R189*Q189</f>
        <v/>
      </c>
      <c r="T189" s="34">
        <f>SUMIFS('[1]GİP VERİLERİ'!$C:$C,'[1]GİP VERİLERİ'!$B:$B,A189,'[1]GİP VERİLERİ'!$M:$M,"40X000000104782K",'[1]GİP VERİLERİ'!$G:$G,"SELL")</f>
        <v/>
      </c>
      <c r="U189" s="34">
        <f>IFERROR(W189/T189,0)</f>
        <v/>
      </c>
      <c r="V189" s="34">
        <f>IF(U189=0,0,U189-F189)</f>
        <v/>
      </c>
      <c r="W189" s="34">
        <f>SUMIFS('[1]GİP VERİLERİ'!$O:$O,'[1]GİP VERİLERİ'!$B:$B,A189,'[1]GİP VERİLERİ'!$M:$M,"40X000000104782K",'[1]GİP VERİLERİ'!$G:$G,"SELL")</f>
        <v/>
      </c>
      <c r="X189" s="34">
        <f>SUMIFS('[1]GİP VERİLERİ'!$C:$C,'[1]GİP VERİLERİ'!$B:$B,A189,'[1]GİP VERİLERİ'!$M:$M,"40X000000104782K",'[1]GİP VERİLERİ'!$G:$G,"BUY")</f>
        <v/>
      </c>
      <c r="Y189" s="34">
        <f>IFERROR(AA189/X189,0)</f>
        <v/>
      </c>
      <c r="Z189" s="34">
        <f>IF(Y189=0,0,F189-Y189)</f>
        <v/>
      </c>
      <c r="AA189" s="34">
        <f>SUMIFS('[1]GİP VERİLERİ'!$O:$O,'[1]GİP VERİLERİ'!$B:$B,A189,'[1]GİP VERİLERİ'!$M:$M,"40X000000104782K",'[1]GİP VERİLERİ'!$G:$G,"BUY")</f>
        <v/>
      </c>
      <c r="AB189" s="34" t="n">
        <v>0</v>
      </c>
      <c r="AC189" s="34" t="n">
        <v>0</v>
      </c>
      <c r="AD189" s="34">
        <f>IF(AB189&gt;AC189*1.05,AB189-AC189*1.05,IF(AB189&lt;AC189*0.95,AC189*0.95-AB189,0))</f>
        <v/>
      </c>
      <c r="AE189" s="34">
        <f>MAX(F189,G189,750)*0.05*AD189</f>
        <v/>
      </c>
      <c r="AF189" s="34" t="n">
        <v>0</v>
      </c>
      <c r="AG189" s="34">
        <f>IF(AB189&gt;AF189*1.05,AB189-AF189*1.05,IF(AB189&lt;AF189*0.95,AF189*0.95-AB189,0))</f>
        <v/>
      </c>
      <c r="AH189" s="34">
        <f>MAX(I189,J189,750)*0.05*AG189</f>
        <v/>
      </c>
      <c r="AI189" t="n">
        <v>7.91</v>
      </c>
      <c r="AJ189" t="n">
        <v>10</v>
      </c>
      <c r="AK189" s="34">
        <f>IF(AI189&gt;AJ189*1.05,AI189-AJ189*1.05,IF(AI189&lt;AJ189*0.95,AJ189*0.95-AI189,0))</f>
        <v/>
      </c>
      <c r="AL189" s="34">
        <f>MAX(F189,G189,750)*0.05*AK189</f>
        <v/>
      </c>
      <c r="AM189" s="39" t="n">
        <v>8</v>
      </c>
      <c r="AN189" s="34">
        <f>IF(AI189&gt;AM189*1.05,AI189-AM189*1.05,IF(AI189&lt;AM189*0.95,AM189*0.95-AI189,0))</f>
        <v/>
      </c>
      <c r="AO189" s="34">
        <f>MAX(F189,G189,750)*0.05*AN189</f>
        <v/>
      </c>
      <c r="AP189" s="34" t="n">
        <v>10.97</v>
      </c>
      <c r="AQ189" s="34" t="n">
        <v>13.3</v>
      </c>
      <c r="AR189" s="34">
        <f>IF(AP189&gt;AQ189*1.05,AP189-AQ189*1.05,IF(AP189&lt;AQ189*0.95,AQ189*0.95-AP189,0))</f>
        <v/>
      </c>
      <c r="AS189" s="34">
        <f>MAX(F189:G189,750)*0.05*AR189</f>
        <v/>
      </c>
      <c r="AT189" t="n">
        <v>11</v>
      </c>
      <c r="AU189" s="34">
        <f>IF(AP189&gt;AT189*1.05,AP189-AT189*1.05,IF(AP189&lt;AT189*0.95,AT189*0.95-AP189,0))</f>
        <v/>
      </c>
      <c r="AV189" s="34">
        <f>MAX(F189:G189,750)*0.05*AU189</f>
        <v/>
      </c>
      <c r="AW189" s="34">
        <f>AC189+AJ189+AQ189</f>
        <v/>
      </c>
      <c r="AX189" s="34">
        <f>AF189+AM189+AT189</f>
        <v/>
      </c>
      <c r="AY189" s="34">
        <f>AB189+AI189+AP189</f>
        <v/>
      </c>
      <c r="AZ189" s="34" t="n">
        <v>0</v>
      </c>
      <c r="BA189" s="34">
        <f>AD189+AK189+AR189</f>
        <v/>
      </c>
      <c r="BB189" s="34">
        <f>MAX(F189:G189,750)*0.05*BA189</f>
        <v/>
      </c>
      <c r="BC189" s="34">
        <f>AG189+AN189+AU189</f>
        <v/>
      </c>
      <c r="BD189" s="34">
        <f>MAX(F189:G189,750)*0.05*BC189</f>
        <v/>
      </c>
      <c r="BE189" s="34">
        <f>F189*AY189</f>
        <v/>
      </c>
      <c r="BF189" s="34">
        <f>K189-M189</f>
        <v/>
      </c>
      <c r="BG189" s="34">
        <f>P189-S189</f>
        <v/>
      </c>
      <c r="BH189" s="34">
        <f>W189-AA189</f>
        <v/>
      </c>
      <c r="BI189" s="34">
        <f>BF189+BG189+BL189-BN189</f>
        <v/>
      </c>
      <c r="BJ189" s="34">
        <f>ABS(BK189)</f>
        <v/>
      </c>
      <c r="BK189" s="34">
        <f>AY189-(J189-L189+N189-Q189)</f>
        <v/>
      </c>
      <c r="BL189" s="34">
        <f>IF(AND(BK189&gt;0,MIN($F189:$G189)&lt;150,$E189="Enerji Açığı"),-100*BK189*1.03,IF(AND(BK189&gt;0,MIN($F189:$G189)&lt;150,$E189="Enerji Fazlası"),-100*BK189*1.06,IF(AND(BK189&gt;0,MIN($F189:$G189)&gt;=150,$E189="Enerji Açığı"),BK189*MIN($F189:$G189)*0.97,IF(AND(BK189&gt;0,MIN($F189:$G189)&gt;=150,$E189="Enerji Fazlası"),BK189*MIN($F189:$G189)*0.94,IF(AND(BK189&lt;0,MAX($F189:$G189)=4500,$E189="Enerji Açığı"),4500*1.05*1.06*BK189,IF(AND(BK189&lt;0,MAX($F189:$G189)=4500,$E189="Enerji Fazlası"),4500*1.05*1.03*BK189,IF(AND(BK189&lt;0,$E189="Enerji Açığı"),MAX($F189,$G189,150)*BK189*1.06,IF(AND(BK189&lt;0,$E189="Enerji Fazlası"),MAX($F189,$G189,150)*BK189*1.03,IF(AND(BK189&lt;0,$E189="Dengede"),MAX($F189:$G189,150)*1.03*BK189,MIN($F189:$G189)*0.97*BK189)))))))))</f>
        <v/>
      </c>
      <c r="BM189" s="34">
        <f>BE189-BI189-BN189</f>
        <v/>
      </c>
      <c r="BN189" s="34">
        <f>BB189</f>
        <v/>
      </c>
      <c r="BO189" s="34">
        <f>BE189-BI189</f>
        <v/>
      </c>
      <c r="BP189" s="34">
        <f>IF(AY189=0,0,BO189/AY189)</f>
        <v/>
      </c>
      <c r="BQ189" s="34">
        <f>MAX((AY189+MAX((-J189+L189-N189+Q189),0)),(MAX((J189-L189+N189-Q189),0)))</f>
        <v/>
      </c>
      <c r="BR189" s="82">
        <f>IFERROR(ABS(BK189/BQ189),0)</f>
        <v/>
      </c>
      <c r="BS189" s="34">
        <f>IF(BR189&lt;=0.1,0,BK189/BR189*(BR189-0.1))</f>
        <v/>
      </c>
      <c r="BT189" s="34">
        <f>IF((BS189)&lt;0,MAX(F189:G189)*(BS189)*1.03,MIN(F189:G189)*(BS189)*0.97)</f>
        <v/>
      </c>
      <c r="BU189" s="34">
        <f>IF(BR189&gt;0.1,1,0)</f>
        <v/>
      </c>
      <c r="BV189" s="34">
        <f>BF189+BG189+BH189+BY189-CA189</f>
        <v/>
      </c>
      <c r="BW189" s="34">
        <f>ABS(BX189)</f>
        <v/>
      </c>
      <c r="BX189" s="34">
        <f>AY189-(J189-L189+N189-Q189+T189-X189)</f>
        <v/>
      </c>
      <c r="BY189" s="34">
        <f>IF(AND(BX189&gt;0,MIN($F189:$G189)&lt;150,$E189="Enerji Açığı"),-100*BX189*1.03,IF(AND(BX189&gt;0,MIN($F189:$G189)&lt;150,$E189="Enerji Fazlası"),-100*BX189*1.06,IF(AND(BX189&gt;0,MIN($F189:$G189)&gt;=150,$E189="Enerji Açığı"),BX189*MIN($F189:$G189)*0.97,IF(AND(BX189&gt;0,MIN($F189:$G189)&gt;=150,$E189="Enerji Fazlası"),BX189*MIN($F189:$G189)*0.94,IF(AND(BX189&lt;0,MAX($F189:$G189)=4500,$E189="Enerji Açığı"),4500*1.05*1.06*BX189,IF(AND(BX189&lt;0,MAX($F189:$G189)=4500,$E189="Enerji Fazlası"),4500*1.05*1.03*BX189,IF(AND(BX189&lt;0,$E189="Enerji Açığı"),MAX($F189,$G189,150)*BX189*1.06,IF(AND(BX189&lt;0,$E189="Enerji Fazlası"),MAX($F189,$G189,150)*BX189*1.03,IF(AND(BX189&lt;0,$E189="Dengede"),MAX($F189:$G189,150)*1.03*BX189,MIN($F189:$G189)*0.97*BX189)))))))))</f>
        <v/>
      </c>
      <c r="BZ189" s="34">
        <f>BE189-BV189-CA189</f>
        <v/>
      </c>
      <c r="CA189" s="34">
        <f>BD189</f>
        <v/>
      </c>
      <c r="CB189" s="33">
        <f>BE189-BV189</f>
        <v/>
      </c>
      <c r="CC189" s="34">
        <f>IF(AY189=0,0,CB189/AY189)</f>
        <v/>
      </c>
      <c r="CD189" s="34">
        <f>MAX((AY189+MAX((-J189+L189-N189+Q189-T189+X189),0)),(MAX((J189-L189+N189-Q189+T189-X189),0)))</f>
        <v/>
      </c>
      <c r="CE189" s="82">
        <f>IFERROR(ABS(BX189/CD189),0)</f>
        <v/>
      </c>
      <c r="CF189" s="34">
        <f>IF(CE189&lt;=0.1,0,BX189/CE189*(CE189-0.1))</f>
        <v/>
      </c>
      <c r="CG189" s="34">
        <f>IF((CF189)&lt;0,MAX(F189:G189)*(CF189)*1.03,MIN(F189:G189)*(CF189)*0.97)</f>
        <v/>
      </c>
      <c r="CH189" s="34">
        <f>IF(CE189&gt;0.1,1,0)</f>
        <v/>
      </c>
      <c r="CI189" s="34">
        <f>(F189*BX189)-BY189</f>
        <v/>
      </c>
      <c r="CJ189" s="34">
        <f>IF(AY189=0,0,CI189/AY189)</f>
        <v/>
      </c>
    </row>
    <row r="190">
      <c r="A190" s="29" t="n">
        <v>46211.79166666666</v>
      </c>
      <c r="B190" s="29" t="inlineStr">
        <is>
          <t>19:00</t>
        </is>
      </c>
      <c r="C190" s="35">
        <f>INT(A190)</f>
        <v/>
      </c>
      <c r="D190" s="36">
        <f>MONTH(A190)</f>
        <v/>
      </c>
      <c r="E190" s="147">
        <f>[1]FİYATLAR!G189</f>
        <v/>
      </c>
      <c r="F190" s="30" t="n">
        <v>4000</v>
      </c>
      <c r="G190" s="30" t="n">
        <v>4497.2</v>
      </c>
      <c r="H190" s="30" t="n">
        <v>85.59</v>
      </c>
      <c r="I190" s="30" t="n">
        <v>4170.21</v>
      </c>
      <c r="J190" s="119" t="n">
        <v>0</v>
      </c>
      <c r="K190" s="34">
        <f>F190*J190</f>
        <v/>
      </c>
      <c r="L190" s="119" t="n">
        <v>0</v>
      </c>
      <c r="M190" s="34">
        <f>L190*F190</f>
        <v/>
      </c>
      <c r="N190" s="119" t="n">
        <v>23.2</v>
      </c>
      <c r="O190" s="34">
        <f>F190</f>
        <v/>
      </c>
      <c r="P190" s="34">
        <f>N190*O190</f>
        <v/>
      </c>
      <c r="Q190" s="117" t="n">
        <v>0</v>
      </c>
      <c r="R190" s="34">
        <f>F190</f>
        <v/>
      </c>
      <c r="S190" s="34">
        <f>R190*Q190</f>
        <v/>
      </c>
      <c r="T190" s="34">
        <f>SUMIFS('[1]GİP VERİLERİ'!$C:$C,'[1]GİP VERİLERİ'!$B:$B,A190,'[1]GİP VERİLERİ'!$M:$M,"40X000000104782K",'[1]GİP VERİLERİ'!$G:$G,"SELL")</f>
        <v/>
      </c>
      <c r="U190" s="34">
        <f>IFERROR(W190/T190,0)</f>
        <v/>
      </c>
      <c r="V190" s="34">
        <f>IF(U190=0,0,U190-F190)</f>
        <v/>
      </c>
      <c r="W190" s="34">
        <f>SUMIFS('[1]GİP VERİLERİ'!$O:$O,'[1]GİP VERİLERİ'!$B:$B,A190,'[1]GİP VERİLERİ'!$M:$M,"40X000000104782K",'[1]GİP VERİLERİ'!$G:$G,"SELL")</f>
        <v/>
      </c>
      <c r="X190" s="34">
        <f>SUMIFS('[1]GİP VERİLERİ'!$C:$C,'[1]GİP VERİLERİ'!$B:$B,A190,'[1]GİP VERİLERİ'!$M:$M,"40X000000104782K",'[1]GİP VERİLERİ'!$G:$G,"BUY")</f>
        <v/>
      </c>
      <c r="Y190" s="34">
        <f>IFERROR(AA190/X190,0)</f>
        <v/>
      </c>
      <c r="Z190" s="34">
        <f>IF(Y190=0,0,F190-Y190)</f>
        <v/>
      </c>
      <c r="AA190" s="34">
        <f>SUMIFS('[1]GİP VERİLERİ'!$O:$O,'[1]GİP VERİLERİ'!$B:$B,A190,'[1]GİP VERİLERİ'!$M:$M,"40X000000104782K",'[1]GİP VERİLERİ'!$G:$G,"BUY")</f>
        <v/>
      </c>
      <c r="AB190" s="34" t="n">
        <v>0</v>
      </c>
      <c r="AC190" s="34" t="n">
        <v>0</v>
      </c>
      <c r="AD190" s="34">
        <f>IF(AB190&gt;AC190*1.05,AB190-AC190*1.05,IF(AB190&lt;AC190*0.95,AC190*0.95-AB190,0))</f>
        <v/>
      </c>
      <c r="AE190" s="34">
        <f>MAX(F190,G190,750)*0.05*AD190</f>
        <v/>
      </c>
      <c r="AF190" s="34" t="n">
        <v>0</v>
      </c>
      <c r="AG190" s="34">
        <f>IF(AB190&gt;AF190*1.05,AB190-AF190*1.05,IF(AB190&lt;AF190*0.95,AF190*0.95-AB190,0))</f>
        <v/>
      </c>
      <c r="AH190" s="34">
        <f>MAX(I190,J190,750)*0.05*AG190</f>
        <v/>
      </c>
      <c r="AI190" t="n">
        <v>7.3</v>
      </c>
      <c r="AJ190" t="n">
        <v>10</v>
      </c>
      <c r="AK190" s="34">
        <f>IF(AI190&gt;AJ190*1.05,AI190-AJ190*1.05,IF(AI190&lt;AJ190*0.95,AJ190*0.95-AI190,0))</f>
        <v/>
      </c>
      <c r="AL190" s="34">
        <f>MAX(F190,G190,750)*0.05*AK190</f>
        <v/>
      </c>
      <c r="AM190" s="39" t="n">
        <v>7</v>
      </c>
      <c r="AN190" s="34">
        <f>IF(AI190&gt;AM190*1.05,AI190-AM190*1.05,IF(AI190&lt;AM190*0.95,AM190*0.95-AI190,0))</f>
        <v/>
      </c>
      <c r="AO190" s="34">
        <f>MAX(F190,G190,750)*0.05*AN190</f>
        <v/>
      </c>
      <c r="AP190" s="34" t="n">
        <v>13.11</v>
      </c>
      <c r="AQ190" s="34" t="n">
        <v>13.2</v>
      </c>
      <c r="AR190" s="34">
        <f>IF(AP190&gt;AQ190*1.05,AP190-AQ190*1.05,IF(AP190&lt;AQ190*0.95,AQ190*0.95-AP190,0))</f>
        <v/>
      </c>
      <c r="AS190" s="34">
        <f>MAX(F190:G190,750)*0.05*AR190</f>
        <v/>
      </c>
      <c r="AT190" t="n">
        <v>13.2</v>
      </c>
      <c r="AU190" s="34">
        <f>IF(AP190&gt;AT190*1.05,AP190-AT190*1.05,IF(AP190&lt;AT190*0.95,AT190*0.95-AP190,0))</f>
        <v/>
      </c>
      <c r="AV190" s="34">
        <f>MAX(F190:G190,750)*0.05*AU190</f>
        <v/>
      </c>
      <c r="AW190" s="34">
        <f>AC190+AJ190+AQ190</f>
        <v/>
      </c>
      <c r="AX190" s="34">
        <f>AF190+AM190+AT190</f>
        <v/>
      </c>
      <c r="AY190" s="34">
        <f>AB190+AI190+AP190</f>
        <v/>
      </c>
      <c r="AZ190" s="34" t="n">
        <v>0</v>
      </c>
      <c r="BA190" s="34">
        <f>AD190+AK190+AR190</f>
        <v/>
      </c>
      <c r="BB190" s="34">
        <f>MAX(F190:G190,750)*0.05*BA190</f>
        <v/>
      </c>
      <c r="BC190" s="34">
        <f>AG190+AN190+AU190</f>
        <v/>
      </c>
      <c r="BD190" s="34">
        <f>MAX(F190:G190,750)*0.05*BC190</f>
        <v/>
      </c>
      <c r="BE190" s="34">
        <f>F190*AY190</f>
        <v/>
      </c>
      <c r="BF190" s="34">
        <f>K190-M190</f>
        <v/>
      </c>
      <c r="BG190" s="34">
        <f>P190-S190</f>
        <v/>
      </c>
      <c r="BH190" s="34">
        <f>W190-AA190</f>
        <v/>
      </c>
      <c r="BI190" s="34">
        <f>BF190+BG190+BL190-BN190</f>
        <v/>
      </c>
      <c r="BJ190" s="34">
        <f>ABS(BK190)</f>
        <v/>
      </c>
      <c r="BK190" s="34">
        <f>AY190-(J190-L190+N190-Q190)</f>
        <v/>
      </c>
      <c r="BL190" s="34">
        <f>IF(AND(BK190&gt;0,MIN($F190:$G190)&lt;150,$E190="Enerji Açığı"),-100*BK190*1.03,IF(AND(BK190&gt;0,MIN($F190:$G190)&lt;150,$E190="Enerji Fazlası"),-100*BK190*1.06,IF(AND(BK190&gt;0,MIN($F190:$G190)&gt;=150,$E190="Enerji Açığı"),BK190*MIN($F190:$G190)*0.97,IF(AND(BK190&gt;0,MIN($F190:$G190)&gt;=150,$E190="Enerji Fazlası"),BK190*MIN($F190:$G190)*0.94,IF(AND(BK190&lt;0,MAX($F190:$G190)=4500,$E190="Enerji Açığı"),4500*1.05*1.06*BK190,IF(AND(BK190&lt;0,MAX($F190:$G190)=4500,$E190="Enerji Fazlası"),4500*1.05*1.03*BK190,IF(AND(BK190&lt;0,$E190="Enerji Açığı"),MAX($F190,$G190,150)*BK190*1.06,IF(AND(BK190&lt;0,$E190="Enerji Fazlası"),MAX($F190,$G190,150)*BK190*1.03,IF(AND(BK190&lt;0,$E190="Dengede"),MAX($F190:$G190,150)*1.03*BK190,MIN($F190:$G190)*0.97*BK190)))))))))</f>
        <v/>
      </c>
      <c r="BM190" s="34">
        <f>BE190-BI190-BN190</f>
        <v/>
      </c>
      <c r="BN190" s="34">
        <f>BB190</f>
        <v/>
      </c>
      <c r="BO190" s="34">
        <f>BE190-BI190</f>
        <v/>
      </c>
      <c r="BP190" s="34">
        <f>IF(AY190=0,0,BO190/AY190)</f>
        <v/>
      </c>
      <c r="BQ190" s="34">
        <f>MAX((AY190+MAX((-J190+L190-N190+Q190),0)),(MAX((J190-L190+N190-Q190),0)))</f>
        <v/>
      </c>
      <c r="BR190" s="82">
        <f>IFERROR(ABS(BK190/BQ190),0)</f>
        <v/>
      </c>
      <c r="BS190" s="34">
        <f>IF(BR190&lt;=0.1,0,BK190/BR190*(BR190-0.1))</f>
        <v/>
      </c>
      <c r="BT190" s="34">
        <f>IF((BS190)&lt;0,MAX(F190:G190)*(BS190)*1.03,MIN(F190:G190)*(BS190)*0.97)</f>
        <v/>
      </c>
      <c r="BU190" s="34">
        <f>IF(BR190&gt;0.1,1,0)</f>
        <v/>
      </c>
      <c r="BV190" s="34">
        <f>BF190+BG190+BH190+BY190-CA190</f>
        <v/>
      </c>
      <c r="BW190" s="34">
        <f>ABS(BX190)</f>
        <v/>
      </c>
      <c r="BX190" s="34">
        <f>AY190-(J190-L190+N190-Q190+T190-X190)</f>
        <v/>
      </c>
      <c r="BY190" s="34">
        <f>IF(AND(BX190&gt;0,MIN($F190:$G190)&lt;150,$E190="Enerji Açığı"),-100*BX190*1.03,IF(AND(BX190&gt;0,MIN($F190:$G190)&lt;150,$E190="Enerji Fazlası"),-100*BX190*1.06,IF(AND(BX190&gt;0,MIN($F190:$G190)&gt;=150,$E190="Enerji Açığı"),BX190*MIN($F190:$G190)*0.97,IF(AND(BX190&gt;0,MIN($F190:$G190)&gt;=150,$E190="Enerji Fazlası"),BX190*MIN($F190:$G190)*0.94,IF(AND(BX190&lt;0,MAX($F190:$G190)=4500,$E190="Enerji Açığı"),4500*1.05*1.06*BX190,IF(AND(BX190&lt;0,MAX($F190:$G190)=4500,$E190="Enerji Fazlası"),4500*1.05*1.03*BX190,IF(AND(BX190&lt;0,$E190="Enerji Açığı"),MAX($F190,$G190,150)*BX190*1.06,IF(AND(BX190&lt;0,$E190="Enerji Fazlası"),MAX($F190,$G190,150)*BX190*1.03,IF(AND(BX190&lt;0,$E190="Dengede"),MAX($F190:$G190,150)*1.03*BX190,MIN($F190:$G190)*0.97*BX190)))))))))</f>
        <v/>
      </c>
      <c r="BZ190" s="34">
        <f>BE190-BV190-CA190</f>
        <v/>
      </c>
      <c r="CA190" s="34">
        <f>BD190</f>
        <v/>
      </c>
      <c r="CB190" s="33">
        <f>BE190-BV190</f>
        <v/>
      </c>
      <c r="CC190" s="34">
        <f>IF(AY190=0,0,CB190/AY190)</f>
        <v/>
      </c>
      <c r="CD190" s="34">
        <f>MAX((AY190+MAX((-J190+L190-N190+Q190-T190+X190),0)),(MAX((J190-L190+N190-Q190+T190-X190),0)))</f>
        <v/>
      </c>
      <c r="CE190" s="82">
        <f>IFERROR(ABS(BX190/CD190),0)</f>
        <v/>
      </c>
      <c r="CF190" s="34">
        <f>IF(CE190&lt;=0.1,0,BX190/CE190*(CE190-0.1))</f>
        <v/>
      </c>
      <c r="CG190" s="34">
        <f>IF((CF190)&lt;0,MAX(F190:G190)*(CF190)*1.03,MIN(F190:G190)*(CF190)*0.97)</f>
        <v/>
      </c>
      <c r="CH190" s="34">
        <f>IF(CE190&gt;0.1,1,0)</f>
        <v/>
      </c>
      <c r="CI190" s="34">
        <f>(F190*BX190)-BY190</f>
        <v/>
      </c>
      <c r="CJ190" s="34">
        <f>IF(AY190=0,0,CI190/AY190)</f>
        <v/>
      </c>
    </row>
    <row r="191">
      <c r="A191" s="29" t="n">
        <v>46211.83333333334</v>
      </c>
      <c r="B191" s="29" t="inlineStr">
        <is>
          <t>20:00</t>
        </is>
      </c>
      <c r="C191" s="35">
        <f>INT(A191)</f>
        <v/>
      </c>
      <c r="D191" s="36">
        <f>MONTH(A191)</f>
        <v/>
      </c>
      <c r="E191" s="147">
        <f>[1]FİYATLAR!G190</f>
        <v/>
      </c>
      <c r="F191" s="30" t="n">
        <v>4497.79</v>
      </c>
      <c r="G191" s="30" t="n">
        <v>4499</v>
      </c>
      <c r="H191" s="30" t="n">
        <v>96.23999999999999</v>
      </c>
      <c r="I191" s="30" t="n">
        <v>4574.57</v>
      </c>
      <c r="J191" s="119" t="n">
        <v>0</v>
      </c>
      <c r="K191" s="34">
        <f>F191*J191</f>
        <v/>
      </c>
      <c r="L191" s="119" t="n">
        <v>0</v>
      </c>
      <c r="M191" s="34">
        <f>L191*F191</f>
        <v/>
      </c>
      <c r="N191" s="119" t="n">
        <v>24</v>
      </c>
      <c r="O191" s="34">
        <f>F191</f>
        <v/>
      </c>
      <c r="P191" s="34">
        <f>N191*O191</f>
        <v/>
      </c>
      <c r="Q191" s="117" t="n">
        <v>0</v>
      </c>
      <c r="R191" s="34">
        <f>F191</f>
        <v/>
      </c>
      <c r="S191" s="34">
        <f>R191*Q191</f>
        <v/>
      </c>
      <c r="T191" s="34">
        <f>SUMIFS('[1]GİP VERİLERİ'!$C:$C,'[1]GİP VERİLERİ'!$B:$B,A191,'[1]GİP VERİLERİ'!$M:$M,"40X000000104782K",'[1]GİP VERİLERİ'!$G:$G,"SELL")</f>
        <v/>
      </c>
      <c r="U191" s="34">
        <f>IFERROR(W191/T191,0)</f>
        <v/>
      </c>
      <c r="V191" s="34">
        <f>IF(U191=0,0,U191-F191)</f>
        <v/>
      </c>
      <c r="W191" s="34">
        <f>SUMIFS('[1]GİP VERİLERİ'!$O:$O,'[1]GİP VERİLERİ'!$B:$B,A191,'[1]GİP VERİLERİ'!$M:$M,"40X000000104782K",'[1]GİP VERİLERİ'!$G:$G,"SELL")</f>
        <v/>
      </c>
      <c r="X191" s="34">
        <f>SUMIFS('[1]GİP VERİLERİ'!$C:$C,'[1]GİP VERİLERİ'!$B:$B,A191,'[1]GİP VERİLERİ'!$M:$M,"40X000000104782K",'[1]GİP VERİLERİ'!$G:$G,"BUY")</f>
        <v/>
      </c>
      <c r="Y191" s="34">
        <f>IFERROR(AA191/X191,0)</f>
        <v/>
      </c>
      <c r="Z191" s="34">
        <f>IF(Y191=0,0,F191-Y191)</f>
        <v/>
      </c>
      <c r="AA191" s="34">
        <f>SUMIFS('[1]GİP VERİLERİ'!$O:$O,'[1]GİP VERİLERİ'!$B:$B,A191,'[1]GİP VERİLERİ'!$M:$M,"40X000000104782K",'[1]GİP VERİLERİ'!$G:$G,"BUY")</f>
        <v/>
      </c>
      <c r="AB191" s="34" t="n">
        <v>0</v>
      </c>
      <c r="AC191" s="34" t="n">
        <v>0</v>
      </c>
      <c r="AD191" s="34">
        <f>IF(AB191&gt;AC191*1.05,AB191-AC191*1.05,IF(AB191&lt;AC191*0.95,AC191*0.95-AB191,0))</f>
        <v/>
      </c>
      <c r="AE191" s="34">
        <f>MAX(F191,G191,750)*0.05*AD191</f>
        <v/>
      </c>
      <c r="AF191" s="34" t="n">
        <v>0</v>
      </c>
      <c r="AG191" s="34">
        <f>IF(AB191&gt;AF191*1.05,AB191-AF191*1.05,IF(AB191&lt;AF191*0.95,AF191*0.95-AB191,0))</f>
        <v/>
      </c>
      <c r="AH191" s="34">
        <f>MAX(I191,J191,750)*0.05*AG191</f>
        <v/>
      </c>
      <c r="AI191" t="n">
        <v>8.98</v>
      </c>
      <c r="AJ191" t="n">
        <v>11</v>
      </c>
      <c r="AK191" s="34">
        <f>IF(AI191&gt;AJ191*1.05,AI191-AJ191*1.05,IF(AI191&lt;AJ191*0.95,AJ191*0.95-AI191,0))</f>
        <v/>
      </c>
      <c r="AL191" s="34">
        <f>MAX(F191,G191,750)*0.05*AK191</f>
        <v/>
      </c>
      <c r="AM191" s="39" t="n">
        <v>11</v>
      </c>
      <c r="AN191" s="34">
        <f>IF(AI191&gt;AM191*1.05,AI191-AM191*1.05,IF(AI191&lt;AM191*0.95,AM191*0.95-AI191,0))</f>
        <v/>
      </c>
      <c r="AO191" s="34">
        <f>MAX(F191,G191,750)*0.05*AN191</f>
        <v/>
      </c>
      <c r="AP191" s="34" t="n">
        <v>13.07</v>
      </c>
      <c r="AQ191" s="34" t="n">
        <v>13</v>
      </c>
      <c r="AR191" s="34">
        <f>IF(AP191&gt;AQ191*1.05,AP191-AQ191*1.05,IF(AP191&lt;AQ191*0.95,AQ191*0.95-AP191,0))</f>
        <v/>
      </c>
      <c r="AS191" s="34">
        <f>MAX(F191:G191,750)*0.05*AR191</f>
        <v/>
      </c>
      <c r="AT191" t="n">
        <v>13</v>
      </c>
      <c r="AU191" s="34">
        <f>IF(AP191&gt;AT191*1.05,AP191-AT191*1.05,IF(AP191&lt;AT191*0.95,AT191*0.95-AP191,0))</f>
        <v/>
      </c>
      <c r="AV191" s="34">
        <f>MAX(F191:G191,750)*0.05*AU191</f>
        <v/>
      </c>
      <c r="AW191" s="34">
        <f>AC191+AJ191+AQ191</f>
        <v/>
      </c>
      <c r="AX191" s="34">
        <f>AF191+AM191+AT191</f>
        <v/>
      </c>
      <c r="AY191" s="34">
        <f>AB191+AI191+AP191</f>
        <v/>
      </c>
      <c r="AZ191" s="34" t="n">
        <v>0</v>
      </c>
      <c r="BA191" s="34">
        <f>AD191+AK191+AR191</f>
        <v/>
      </c>
      <c r="BB191" s="34">
        <f>MAX(F191:G191,750)*0.05*BA191</f>
        <v/>
      </c>
      <c r="BC191" s="34">
        <f>AG191+AN191+AU191</f>
        <v/>
      </c>
      <c r="BD191" s="34">
        <f>MAX(F191:G191,750)*0.05*BC191</f>
        <v/>
      </c>
      <c r="BE191" s="34">
        <f>F191*AY191</f>
        <v/>
      </c>
      <c r="BF191" s="34">
        <f>K191-M191</f>
        <v/>
      </c>
      <c r="BG191" s="34">
        <f>P191-S191</f>
        <v/>
      </c>
      <c r="BH191" s="34">
        <f>W191-AA191</f>
        <v/>
      </c>
      <c r="BI191" s="34">
        <f>BF191+BG191+BL191-BN191</f>
        <v/>
      </c>
      <c r="BJ191" s="34">
        <f>ABS(BK191)</f>
        <v/>
      </c>
      <c r="BK191" s="34">
        <f>AY191-(J191-L191+N191-Q191)</f>
        <v/>
      </c>
      <c r="BL191" s="34">
        <f>IF(AND(BK191&gt;0,MIN($F191:$G191)&lt;150,$E191="Enerji Açığı"),-100*BK191*1.03,IF(AND(BK191&gt;0,MIN($F191:$G191)&lt;150,$E191="Enerji Fazlası"),-100*BK191*1.06,IF(AND(BK191&gt;0,MIN($F191:$G191)&gt;=150,$E191="Enerji Açığı"),BK191*MIN($F191:$G191)*0.97,IF(AND(BK191&gt;0,MIN($F191:$G191)&gt;=150,$E191="Enerji Fazlası"),BK191*MIN($F191:$G191)*0.94,IF(AND(BK191&lt;0,MAX($F191:$G191)=4500,$E191="Enerji Açığı"),4500*1.05*1.06*BK191,IF(AND(BK191&lt;0,MAX($F191:$G191)=4500,$E191="Enerji Fazlası"),4500*1.05*1.03*BK191,IF(AND(BK191&lt;0,$E191="Enerji Açığı"),MAX($F191,$G191,150)*BK191*1.06,IF(AND(BK191&lt;0,$E191="Enerji Fazlası"),MAX($F191,$G191,150)*BK191*1.03,IF(AND(BK191&lt;0,$E191="Dengede"),MAX($F191:$G191,150)*1.03*BK191,MIN($F191:$G191)*0.97*BK191)))))))))</f>
        <v/>
      </c>
      <c r="BM191" s="34">
        <f>BE191-BI191-BN191</f>
        <v/>
      </c>
      <c r="BN191" s="34">
        <f>BB191</f>
        <v/>
      </c>
      <c r="BO191" s="34">
        <f>BE191-BI191</f>
        <v/>
      </c>
      <c r="BP191" s="34">
        <f>IF(AY191=0,0,BO191/AY191)</f>
        <v/>
      </c>
      <c r="BQ191" s="34">
        <f>MAX((AY191+MAX((-J191+L191-N191+Q191),0)),(MAX((J191-L191+N191-Q191),0)))</f>
        <v/>
      </c>
      <c r="BR191" s="82">
        <f>IFERROR(ABS(BK191/BQ191),0)</f>
        <v/>
      </c>
      <c r="BS191" s="34">
        <f>IF(BR191&lt;=0.1,0,BK191/BR191*(BR191-0.1))</f>
        <v/>
      </c>
      <c r="BT191" s="34">
        <f>IF((BS191)&lt;0,MAX(F191:G191)*(BS191)*1.03,MIN(F191:G191)*(BS191)*0.97)</f>
        <v/>
      </c>
      <c r="BU191" s="34">
        <f>IF(BR191&gt;0.1,1,0)</f>
        <v/>
      </c>
      <c r="BV191" s="34">
        <f>BF191+BG191+BH191+BY191-CA191</f>
        <v/>
      </c>
      <c r="BW191" s="34">
        <f>ABS(BX191)</f>
        <v/>
      </c>
      <c r="BX191" s="34">
        <f>AY191-(J191-L191+N191-Q191+T191-X191)</f>
        <v/>
      </c>
      <c r="BY191" s="34">
        <f>IF(AND(BX191&gt;0,MIN($F191:$G191)&lt;150,$E191="Enerji Açığı"),-100*BX191*1.03,IF(AND(BX191&gt;0,MIN($F191:$G191)&lt;150,$E191="Enerji Fazlası"),-100*BX191*1.06,IF(AND(BX191&gt;0,MIN($F191:$G191)&gt;=150,$E191="Enerji Açığı"),BX191*MIN($F191:$G191)*0.97,IF(AND(BX191&gt;0,MIN($F191:$G191)&gt;=150,$E191="Enerji Fazlası"),BX191*MIN($F191:$G191)*0.94,IF(AND(BX191&lt;0,MAX($F191:$G191)=4500,$E191="Enerji Açığı"),4500*1.05*1.06*BX191,IF(AND(BX191&lt;0,MAX($F191:$G191)=4500,$E191="Enerji Fazlası"),4500*1.05*1.03*BX191,IF(AND(BX191&lt;0,$E191="Enerji Açığı"),MAX($F191,$G191,150)*BX191*1.06,IF(AND(BX191&lt;0,$E191="Enerji Fazlası"),MAX($F191,$G191,150)*BX191*1.03,IF(AND(BX191&lt;0,$E191="Dengede"),MAX($F191:$G191,150)*1.03*BX191,MIN($F191:$G191)*0.97*BX191)))))))))</f>
        <v/>
      </c>
      <c r="BZ191" s="34">
        <f>BE191-BV191-CA191</f>
        <v/>
      </c>
      <c r="CA191" s="34">
        <f>BD191</f>
        <v/>
      </c>
      <c r="CB191" s="33">
        <f>BE191-BV191</f>
        <v/>
      </c>
      <c r="CC191" s="34">
        <f>IF(AY191=0,0,CB191/AY191)</f>
        <v/>
      </c>
      <c r="CD191" s="34">
        <f>MAX((AY191+MAX((-J191+L191-N191+Q191-T191+X191),0)),(MAX((J191-L191+N191-Q191+T191-X191),0)))</f>
        <v/>
      </c>
      <c r="CE191" s="82">
        <f>IFERROR(ABS(BX191/CD191),0)</f>
        <v/>
      </c>
      <c r="CF191" s="34">
        <f>IF(CE191&lt;=0.1,0,BX191/CE191*(CE191-0.1))</f>
        <v/>
      </c>
      <c r="CG191" s="34">
        <f>IF((CF191)&lt;0,MAX(F191:G191)*(CF191)*1.03,MIN(F191:G191)*(CF191)*0.97)</f>
        <v/>
      </c>
      <c r="CH191" s="34">
        <f>IF(CE191&gt;0.1,1,0)</f>
        <v/>
      </c>
      <c r="CI191" s="34">
        <f>(F191*BX191)-BY191</f>
        <v/>
      </c>
      <c r="CJ191" s="34">
        <f>IF(AY191=0,0,CI191/AY191)</f>
        <v/>
      </c>
    </row>
    <row r="192">
      <c r="A192" s="29" t="n">
        <v>46211.875</v>
      </c>
      <c r="B192" s="29" t="inlineStr">
        <is>
          <t>21:00</t>
        </is>
      </c>
      <c r="C192" s="35">
        <f>INT(A192)</f>
        <v/>
      </c>
      <c r="D192" s="36">
        <f>MONTH(A192)</f>
        <v/>
      </c>
      <c r="E192" s="147">
        <f>[1]FİYATLAR!G191</f>
        <v/>
      </c>
      <c r="F192" s="30" t="n">
        <v>4300.01</v>
      </c>
      <c r="G192" s="30" t="n">
        <v>4500</v>
      </c>
      <c r="H192" s="30" t="n">
        <v>92.01000000000001</v>
      </c>
      <c r="I192" s="30" t="n">
        <v>4528.84</v>
      </c>
      <c r="J192" s="119" t="n">
        <v>0</v>
      </c>
      <c r="K192" s="34">
        <f>F192*J192</f>
        <v/>
      </c>
      <c r="L192" s="119" t="n">
        <v>0</v>
      </c>
      <c r="M192" s="34">
        <f>L192*F192</f>
        <v/>
      </c>
      <c r="N192" s="119" t="n">
        <v>23</v>
      </c>
      <c r="O192" s="34">
        <f>F192</f>
        <v/>
      </c>
      <c r="P192" s="34">
        <f>N192*O192</f>
        <v/>
      </c>
      <c r="Q192" s="117" t="n">
        <v>0</v>
      </c>
      <c r="R192" s="34">
        <f>F192</f>
        <v/>
      </c>
      <c r="S192" s="34">
        <f>R192*Q192</f>
        <v/>
      </c>
      <c r="T192" s="34">
        <f>SUMIFS('[1]GİP VERİLERİ'!$C:$C,'[1]GİP VERİLERİ'!$B:$B,A192,'[1]GİP VERİLERİ'!$M:$M,"40X000000104782K",'[1]GİP VERİLERİ'!$G:$G,"SELL")</f>
        <v/>
      </c>
      <c r="U192" s="34">
        <f>IFERROR(W192/T192,0)</f>
        <v/>
      </c>
      <c r="V192" s="34">
        <f>IF(U192=0,0,U192-F192)</f>
        <v/>
      </c>
      <c r="W192" s="34">
        <f>SUMIFS('[1]GİP VERİLERİ'!$O:$O,'[1]GİP VERİLERİ'!$B:$B,A192,'[1]GİP VERİLERİ'!$M:$M,"40X000000104782K",'[1]GİP VERİLERİ'!$G:$G,"SELL")</f>
        <v/>
      </c>
      <c r="X192" s="34">
        <f>SUMIFS('[1]GİP VERİLERİ'!$C:$C,'[1]GİP VERİLERİ'!$B:$B,A192,'[1]GİP VERİLERİ'!$M:$M,"40X000000104782K",'[1]GİP VERİLERİ'!$G:$G,"BUY")</f>
        <v/>
      </c>
      <c r="Y192" s="34">
        <f>IFERROR(AA192/X192,0)</f>
        <v/>
      </c>
      <c r="Z192" s="34">
        <f>IF(Y192=0,0,F192-Y192)</f>
        <v/>
      </c>
      <c r="AA192" s="34">
        <f>SUMIFS('[1]GİP VERİLERİ'!$O:$O,'[1]GİP VERİLERİ'!$B:$B,A192,'[1]GİP VERİLERİ'!$M:$M,"40X000000104782K",'[1]GİP VERİLERİ'!$G:$G,"BUY")</f>
        <v/>
      </c>
      <c r="AB192" s="34" t="n">
        <v>0</v>
      </c>
      <c r="AC192" s="34" t="n">
        <v>0</v>
      </c>
      <c r="AD192" s="34">
        <f>IF(AB192&gt;AC192*1.05,AB192-AC192*1.05,IF(AB192&lt;AC192*0.95,AC192*0.95-AB192,0))</f>
        <v/>
      </c>
      <c r="AE192" s="34">
        <f>MAX(F192,G192,750)*0.05*AD192</f>
        <v/>
      </c>
      <c r="AF192" s="34" t="n">
        <v>0</v>
      </c>
      <c r="AG192" s="34">
        <f>IF(AB192&gt;AF192*1.05,AB192-AF192*1.05,IF(AB192&lt;AF192*0.95,AF192*0.95-AB192,0))</f>
        <v/>
      </c>
      <c r="AH192" s="34">
        <f>MAX(I192,J192,750)*0.05*AG192</f>
        <v/>
      </c>
      <c r="AI192" t="n">
        <v>8.380000000000001</v>
      </c>
      <c r="AJ192" t="n">
        <v>11</v>
      </c>
      <c r="AK192" s="34">
        <f>IF(AI192&gt;AJ192*1.05,AI192-AJ192*1.05,IF(AI192&lt;AJ192*0.95,AJ192*0.95-AI192,0))</f>
        <v/>
      </c>
      <c r="AL192" s="34">
        <f>MAX(F192,G192,750)*0.05*AK192</f>
        <v/>
      </c>
      <c r="AM192" s="39" t="n">
        <v>11</v>
      </c>
      <c r="AN192" s="34">
        <f>IF(AI192&gt;AM192*1.05,AI192-AM192*1.05,IF(AI192&lt;AM192*0.95,AM192*0.95-AI192,0))</f>
        <v/>
      </c>
      <c r="AO192" s="34">
        <f>MAX(F192,G192,750)*0.05*AN192</f>
        <v/>
      </c>
      <c r="AP192" s="34" t="n">
        <v>11.9</v>
      </c>
      <c r="AQ192" s="34" t="n">
        <v>12</v>
      </c>
      <c r="AR192" s="34">
        <f>IF(AP192&gt;AQ192*1.05,AP192-AQ192*1.05,IF(AP192&lt;AQ192*0.95,AQ192*0.95-AP192,0))</f>
        <v/>
      </c>
      <c r="AS192" s="34">
        <f>MAX(F192:G192,750)*0.05*AR192</f>
        <v/>
      </c>
      <c r="AT192" t="n">
        <v>12</v>
      </c>
      <c r="AU192" s="34">
        <f>IF(AP192&gt;AT192*1.05,AP192-AT192*1.05,IF(AP192&lt;AT192*0.95,AT192*0.95-AP192,0))</f>
        <v/>
      </c>
      <c r="AV192" s="34">
        <f>MAX(F192:G192,750)*0.05*AU192</f>
        <v/>
      </c>
      <c r="AW192" s="34">
        <f>AC192+AJ192+AQ192</f>
        <v/>
      </c>
      <c r="AX192" s="34">
        <f>AF192+AM192+AT192</f>
        <v/>
      </c>
      <c r="AY192" s="34">
        <f>AB192+AI192+AP192</f>
        <v/>
      </c>
      <c r="AZ192" s="34" t="n">
        <v>0</v>
      </c>
      <c r="BA192" s="34">
        <f>AD192+AK192+AR192</f>
        <v/>
      </c>
      <c r="BB192" s="34">
        <f>MAX(F192:G192,750)*0.05*BA192</f>
        <v/>
      </c>
      <c r="BC192" s="34">
        <f>AG192+AN192+AU192</f>
        <v/>
      </c>
      <c r="BD192" s="34">
        <f>MAX(F192:G192,750)*0.05*BC192</f>
        <v/>
      </c>
      <c r="BE192" s="34">
        <f>F192*AY192</f>
        <v/>
      </c>
      <c r="BF192" s="34">
        <f>K192-M192</f>
        <v/>
      </c>
      <c r="BG192" s="34">
        <f>P192-S192</f>
        <v/>
      </c>
      <c r="BH192" s="34">
        <f>W192-AA192</f>
        <v/>
      </c>
      <c r="BI192" s="34">
        <f>BF192+BG192+BL192-BN192</f>
        <v/>
      </c>
      <c r="BJ192" s="34">
        <f>ABS(BK192)</f>
        <v/>
      </c>
      <c r="BK192" s="34">
        <f>AY192-(J192-L192+N192-Q192)</f>
        <v/>
      </c>
      <c r="BL192" s="34">
        <f>IF(AND(BK192&gt;0,MIN($F192:$G192)&lt;150,$E192="Enerji Açığı"),-100*BK192*1.03,IF(AND(BK192&gt;0,MIN($F192:$G192)&lt;150,$E192="Enerji Fazlası"),-100*BK192*1.06,IF(AND(BK192&gt;0,MIN($F192:$G192)&gt;=150,$E192="Enerji Açığı"),BK192*MIN($F192:$G192)*0.97,IF(AND(BK192&gt;0,MIN($F192:$G192)&gt;=150,$E192="Enerji Fazlası"),BK192*MIN($F192:$G192)*0.94,IF(AND(BK192&lt;0,MAX($F192:$G192)=4500,$E192="Enerji Açığı"),4500*1.05*1.06*BK192,IF(AND(BK192&lt;0,MAX($F192:$G192)=4500,$E192="Enerji Fazlası"),4500*1.05*1.03*BK192,IF(AND(BK192&lt;0,$E192="Enerji Açığı"),MAX($F192,$G192,150)*BK192*1.06,IF(AND(BK192&lt;0,$E192="Enerji Fazlası"),MAX($F192,$G192,150)*BK192*1.03,IF(AND(BK192&lt;0,$E192="Dengede"),MAX($F192:$G192,150)*1.03*BK192,MIN($F192:$G192)*0.97*BK192)))))))))</f>
        <v/>
      </c>
      <c r="BM192" s="34">
        <f>BE192-BI192-BN192</f>
        <v/>
      </c>
      <c r="BN192" s="34">
        <f>BB192</f>
        <v/>
      </c>
      <c r="BO192" s="34">
        <f>BE192-BI192</f>
        <v/>
      </c>
      <c r="BP192" s="34">
        <f>IF(AY192=0,0,BO192/AY192)</f>
        <v/>
      </c>
      <c r="BQ192" s="34">
        <f>MAX((AY192+MAX((-J192+L192-N192+Q192),0)),(MAX((J192-L192+N192-Q192),0)))</f>
        <v/>
      </c>
      <c r="BR192" s="82">
        <f>IFERROR(ABS(BK192/BQ192),0)</f>
        <v/>
      </c>
      <c r="BS192" s="34">
        <f>IF(BR192&lt;=0.1,0,BK192/BR192*(BR192-0.1))</f>
        <v/>
      </c>
      <c r="BT192" s="34">
        <f>IF((BS192)&lt;0,MAX(F192:G192)*(BS192)*1.03,MIN(F192:G192)*(BS192)*0.97)</f>
        <v/>
      </c>
      <c r="BU192" s="34">
        <f>IF(BR192&gt;0.1,1,0)</f>
        <v/>
      </c>
      <c r="BV192" s="34">
        <f>BF192+BG192+BH192+BY192-CA192</f>
        <v/>
      </c>
      <c r="BW192" s="34">
        <f>ABS(BX192)</f>
        <v/>
      </c>
      <c r="BX192" s="34">
        <f>AY192-(J192-L192+N192-Q192+T192-X192)</f>
        <v/>
      </c>
      <c r="BY192" s="34">
        <f>IF(AND(BX192&gt;0,MIN($F192:$G192)&lt;150,$E192="Enerji Açığı"),-100*BX192*1.03,IF(AND(BX192&gt;0,MIN($F192:$G192)&lt;150,$E192="Enerji Fazlası"),-100*BX192*1.06,IF(AND(BX192&gt;0,MIN($F192:$G192)&gt;=150,$E192="Enerji Açığı"),BX192*MIN($F192:$G192)*0.97,IF(AND(BX192&gt;0,MIN($F192:$G192)&gt;=150,$E192="Enerji Fazlası"),BX192*MIN($F192:$G192)*0.94,IF(AND(BX192&lt;0,MAX($F192:$G192)=4500,$E192="Enerji Açığı"),4500*1.05*1.06*BX192,IF(AND(BX192&lt;0,MAX($F192:$G192)=4500,$E192="Enerji Fazlası"),4500*1.05*1.03*BX192,IF(AND(BX192&lt;0,$E192="Enerji Açığı"),MAX($F192,$G192,150)*BX192*1.06,IF(AND(BX192&lt;0,$E192="Enerji Fazlası"),MAX($F192,$G192,150)*BX192*1.03,IF(AND(BX192&lt;0,$E192="Dengede"),MAX($F192:$G192,150)*1.03*BX192,MIN($F192:$G192)*0.97*BX192)))))))))</f>
        <v/>
      </c>
      <c r="BZ192" s="34">
        <f>BE192-BV192-CA192</f>
        <v/>
      </c>
      <c r="CA192" s="34">
        <f>BD192</f>
        <v/>
      </c>
      <c r="CB192" s="33">
        <f>BE192-BV192</f>
        <v/>
      </c>
      <c r="CC192" s="34">
        <f>IF(AY192=0,0,CB192/AY192)</f>
        <v/>
      </c>
      <c r="CD192" s="34">
        <f>MAX((AY192+MAX((-J192+L192-N192+Q192-T192+X192),0)),(MAX((J192-L192+N192-Q192+T192-X192),0)))</f>
        <v/>
      </c>
      <c r="CE192" s="82">
        <f>IFERROR(ABS(BX192/CD192),0)</f>
        <v/>
      </c>
      <c r="CF192" s="34">
        <f>IF(CE192&lt;=0.1,0,BX192/CE192*(CE192-0.1))</f>
        <v/>
      </c>
      <c r="CG192" s="34">
        <f>IF((CF192)&lt;0,MAX(F192:G192)*(CF192)*1.03,MIN(F192:G192)*(CF192)*0.97)</f>
        <v/>
      </c>
      <c r="CH192" s="34">
        <f>IF(CE192&gt;0.1,1,0)</f>
        <v/>
      </c>
      <c r="CI192" s="34">
        <f>(F192*BX192)-BY192</f>
        <v/>
      </c>
      <c r="CJ192" s="34">
        <f>IF(AY192=0,0,CI192/AY192)</f>
        <v/>
      </c>
    </row>
    <row r="193">
      <c r="A193" s="29" t="n">
        <v>46211.91666666666</v>
      </c>
      <c r="B193" s="29" t="inlineStr">
        <is>
          <t>22:00</t>
        </is>
      </c>
      <c r="C193" s="35">
        <f>INT(A193)</f>
        <v/>
      </c>
      <c r="D193" s="36">
        <f>MONTH(A193)</f>
        <v/>
      </c>
      <c r="E193" s="147">
        <f>[1]FİYATLAR!G192</f>
        <v/>
      </c>
      <c r="F193" s="30" t="n">
        <v>3686.23</v>
      </c>
      <c r="G193" s="30" t="n">
        <v>4497</v>
      </c>
      <c r="H193" s="30" t="n">
        <v>78.87</v>
      </c>
      <c r="I193" s="30" t="n">
        <v>4112.78</v>
      </c>
      <c r="J193" s="119" t="n">
        <v>0</v>
      </c>
      <c r="K193" s="34">
        <f>F193*J193</f>
        <v/>
      </c>
      <c r="L193" s="119" t="n">
        <v>0</v>
      </c>
      <c r="M193" s="34">
        <f>L193*F193</f>
        <v/>
      </c>
      <c r="N193" s="119" t="n">
        <v>23</v>
      </c>
      <c r="O193" s="34">
        <f>F193</f>
        <v/>
      </c>
      <c r="P193" s="34">
        <f>N193*O193</f>
        <v/>
      </c>
      <c r="Q193" s="117" t="n">
        <v>0</v>
      </c>
      <c r="R193" s="34">
        <f>F193</f>
        <v/>
      </c>
      <c r="S193" s="34">
        <f>R193*Q193</f>
        <v/>
      </c>
      <c r="T193" s="34">
        <f>SUMIFS('[1]GİP VERİLERİ'!$C:$C,'[1]GİP VERİLERİ'!$B:$B,A193,'[1]GİP VERİLERİ'!$M:$M,"40X000000104782K",'[1]GİP VERİLERİ'!$G:$G,"SELL")</f>
        <v/>
      </c>
      <c r="U193" s="34">
        <f>IFERROR(W193/T193,0)</f>
        <v/>
      </c>
      <c r="V193" s="34">
        <f>IF(U193=0,0,U193-F193)</f>
        <v/>
      </c>
      <c r="W193" s="34">
        <f>SUMIFS('[1]GİP VERİLERİ'!$O:$O,'[1]GİP VERİLERİ'!$B:$B,A193,'[1]GİP VERİLERİ'!$M:$M,"40X000000104782K",'[1]GİP VERİLERİ'!$G:$G,"SELL")</f>
        <v/>
      </c>
      <c r="X193" s="34">
        <f>SUMIFS('[1]GİP VERİLERİ'!$C:$C,'[1]GİP VERİLERİ'!$B:$B,A193,'[1]GİP VERİLERİ'!$M:$M,"40X000000104782K",'[1]GİP VERİLERİ'!$G:$G,"BUY")</f>
        <v/>
      </c>
      <c r="Y193" s="34">
        <f>IFERROR(AA193/X193,0)</f>
        <v/>
      </c>
      <c r="Z193" s="34">
        <f>IF(Y193=0,0,F193-Y193)</f>
        <v/>
      </c>
      <c r="AA193" s="34">
        <f>SUMIFS('[1]GİP VERİLERİ'!$O:$O,'[1]GİP VERİLERİ'!$B:$B,A193,'[1]GİP VERİLERİ'!$M:$M,"40X000000104782K",'[1]GİP VERİLERİ'!$G:$G,"BUY")</f>
        <v/>
      </c>
      <c r="AB193" s="34" t="n">
        <v>0</v>
      </c>
      <c r="AC193" s="34" t="n">
        <v>0</v>
      </c>
      <c r="AD193" s="34">
        <f>IF(AB193&gt;AC193*1.05,AB193-AC193*1.05,IF(AB193&lt;AC193*0.95,AC193*0.95-AB193,0))</f>
        <v/>
      </c>
      <c r="AE193" s="34">
        <f>MAX(F193,G193,750)*0.05*AD193</f>
        <v/>
      </c>
      <c r="AF193" s="34" t="n">
        <v>0</v>
      </c>
      <c r="AG193" s="34">
        <f>IF(AB193&gt;AF193*1.05,AB193-AF193*1.05,IF(AB193&lt;AF193*0.95,AF193*0.95-AB193,0))</f>
        <v/>
      </c>
      <c r="AH193" s="34">
        <f>MAX(I193,J193,750)*0.05*AG193</f>
        <v/>
      </c>
      <c r="AI193" t="n">
        <v>9.880000000000001</v>
      </c>
      <c r="AJ193" t="n">
        <v>11</v>
      </c>
      <c r="AK193" s="34">
        <f>IF(AI193&gt;AJ193*1.05,AI193-AJ193*1.05,IF(AI193&lt;AJ193*0.95,AJ193*0.95-AI193,0))</f>
        <v/>
      </c>
      <c r="AL193" s="34">
        <f>MAX(F193,G193,750)*0.05*AK193</f>
        <v/>
      </c>
      <c r="AM193" s="39" t="n">
        <v>9</v>
      </c>
      <c r="AN193" s="34">
        <f>IF(AI193&gt;AM193*1.05,AI193-AM193*1.05,IF(AI193&lt;AM193*0.95,AM193*0.95-AI193,0))</f>
        <v/>
      </c>
      <c r="AO193" s="34">
        <f>MAX(F193,G193,750)*0.05*AN193</f>
        <v/>
      </c>
      <c r="AP193" s="34" t="n">
        <v>11.42</v>
      </c>
      <c r="AQ193" s="34" t="n">
        <v>12</v>
      </c>
      <c r="AR193" s="34">
        <f>IF(AP193&gt;AQ193*1.05,AP193-AQ193*1.05,IF(AP193&lt;AQ193*0.95,AQ193*0.95-AP193,0))</f>
        <v/>
      </c>
      <c r="AS193" s="34">
        <f>MAX(F193:G193,750)*0.05*AR193</f>
        <v/>
      </c>
      <c r="AT193" t="n">
        <v>12</v>
      </c>
      <c r="AU193" s="34">
        <f>IF(AP193&gt;AT193*1.05,AP193-AT193*1.05,IF(AP193&lt;AT193*0.95,AT193*0.95-AP193,0))</f>
        <v/>
      </c>
      <c r="AV193" s="34">
        <f>MAX(F193:G193,750)*0.05*AU193</f>
        <v/>
      </c>
      <c r="AW193" s="34">
        <f>AC193+AJ193+AQ193</f>
        <v/>
      </c>
      <c r="AX193" s="34">
        <f>AF193+AM193+AT193</f>
        <v/>
      </c>
      <c r="AY193" s="34">
        <f>AB193+AI193+AP193</f>
        <v/>
      </c>
      <c r="AZ193" s="34" t="n">
        <v>0</v>
      </c>
      <c r="BA193" s="34">
        <f>AD193+AK193+AR193</f>
        <v/>
      </c>
      <c r="BB193" s="34">
        <f>MAX(F193:G193,750)*0.05*BA193</f>
        <v/>
      </c>
      <c r="BC193" s="34">
        <f>AG193+AN193+AU193</f>
        <v/>
      </c>
      <c r="BD193" s="34">
        <f>MAX(F193:G193,750)*0.05*BC193</f>
        <v/>
      </c>
      <c r="BE193" s="34">
        <f>F193*AY193</f>
        <v/>
      </c>
      <c r="BF193" s="34">
        <f>K193-M193</f>
        <v/>
      </c>
      <c r="BG193" s="34">
        <f>P193-S193</f>
        <v/>
      </c>
      <c r="BH193" s="34">
        <f>W193-AA193</f>
        <v/>
      </c>
      <c r="BI193" s="34">
        <f>BF193+BG193+BL193-BN193</f>
        <v/>
      </c>
      <c r="BJ193" s="34">
        <f>ABS(BK193)</f>
        <v/>
      </c>
      <c r="BK193" s="34">
        <f>AY193-(J193-L193+N193-Q193)</f>
        <v/>
      </c>
      <c r="BL193" s="34">
        <f>IF(AND(BK193&gt;0,MIN($F193:$G193)&lt;150,$E193="Enerji Açığı"),-100*BK193*1.03,IF(AND(BK193&gt;0,MIN($F193:$G193)&lt;150,$E193="Enerji Fazlası"),-100*BK193*1.06,IF(AND(BK193&gt;0,MIN($F193:$G193)&gt;=150,$E193="Enerji Açığı"),BK193*MIN($F193:$G193)*0.97,IF(AND(BK193&gt;0,MIN($F193:$G193)&gt;=150,$E193="Enerji Fazlası"),BK193*MIN($F193:$G193)*0.94,IF(AND(BK193&lt;0,MAX($F193:$G193)=4500,$E193="Enerji Açığı"),4500*1.05*1.06*BK193,IF(AND(BK193&lt;0,MAX($F193:$G193)=4500,$E193="Enerji Fazlası"),4500*1.05*1.03*BK193,IF(AND(BK193&lt;0,$E193="Enerji Açığı"),MAX($F193,$G193,150)*BK193*1.06,IF(AND(BK193&lt;0,$E193="Enerji Fazlası"),MAX($F193,$G193,150)*BK193*1.03,IF(AND(BK193&lt;0,$E193="Dengede"),MAX($F193:$G193,150)*1.03*BK193,MIN($F193:$G193)*0.97*BK193)))))))))</f>
        <v/>
      </c>
      <c r="BM193" s="34">
        <f>BE193-BI193-BN193</f>
        <v/>
      </c>
      <c r="BN193" s="34">
        <f>BB193</f>
        <v/>
      </c>
      <c r="BO193" s="34">
        <f>BE193-BI193</f>
        <v/>
      </c>
      <c r="BP193" s="34">
        <f>IF(AY193=0,0,BO193/AY193)</f>
        <v/>
      </c>
      <c r="BQ193" s="34">
        <f>MAX((AY193+MAX((-J193+L193-N193+Q193),0)),(MAX((J193-L193+N193-Q193),0)))</f>
        <v/>
      </c>
      <c r="BR193" s="82">
        <f>IFERROR(ABS(BK193/BQ193),0)</f>
        <v/>
      </c>
      <c r="BS193" s="34">
        <f>IF(BR193&lt;=0.1,0,BK193/BR193*(BR193-0.1))</f>
        <v/>
      </c>
      <c r="BT193" s="34">
        <f>IF((BS193)&lt;0,MAX(F193:G193)*(BS193)*1.03,MIN(F193:G193)*(BS193)*0.97)</f>
        <v/>
      </c>
      <c r="BU193" s="34">
        <f>IF(BR193&gt;0.1,1,0)</f>
        <v/>
      </c>
      <c r="BV193" s="34">
        <f>BF193+BG193+BH193+BY193-CA193</f>
        <v/>
      </c>
      <c r="BW193" s="34">
        <f>ABS(BX193)</f>
        <v/>
      </c>
      <c r="BX193" s="34">
        <f>AY193-(J193-L193+N193-Q193+T193-X193)</f>
        <v/>
      </c>
      <c r="BY193" s="34">
        <f>IF(AND(BX193&gt;0,MIN($F193:$G193)&lt;150,$E193="Enerji Açığı"),-100*BX193*1.03,IF(AND(BX193&gt;0,MIN($F193:$G193)&lt;150,$E193="Enerji Fazlası"),-100*BX193*1.06,IF(AND(BX193&gt;0,MIN($F193:$G193)&gt;=150,$E193="Enerji Açığı"),BX193*MIN($F193:$G193)*0.97,IF(AND(BX193&gt;0,MIN($F193:$G193)&gt;=150,$E193="Enerji Fazlası"),BX193*MIN($F193:$G193)*0.94,IF(AND(BX193&lt;0,MAX($F193:$G193)=4500,$E193="Enerji Açığı"),4500*1.05*1.06*BX193,IF(AND(BX193&lt;0,MAX($F193:$G193)=4500,$E193="Enerji Fazlası"),4500*1.05*1.03*BX193,IF(AND(BX193&lt;0,$E193="Enerji Açığı"),MAX($F193,$G193,150)*BX193*1.06,IF(AND(BX193&lt;0,$E193="Enerji Fazlası"),MAX($F193,$G193,150)*BX193*1.03,IF(AND(BX193&lt;0,$E193="Dengede"),MAX($F193:$G193,150)*1.03*BX193,MIN($F193:$G193)*0.97*BX193)))))))))</f>
        <v/>
      </c>
      <c r="BZ193" s="34">
        <f>BE193-BV193-CA193</f>
        <v/>
      </c>
      <c r="CA193" s="34">
        <f>BD193</f>
        <v/>
      </c>
      <c r="CB193" s="33">
        <f>BE193-BV193</f>
        <v/>
      </c>
      <c r="CC193" s="34">
        <f>IF(AY193=0,0,CB193/AY193)</f>
        <v/>
      </c>
      <c r="CD193" s="34">
        <f>MAX((AY193+MAX((-J193+L193-N193+Q193-T193+X193),0)),(MAX((J193-L193+N193-Q193+T193-X193),0)))</f>
        <v/>
      </c>
      <c r="CE193" s="82">
        <f>IFERROR(ABS(BX193/CD193),0)</f>
        <v/>
      </c>
      <c r="CF193" s="34">
        <f>IF(CE193&lt;=0.1,0,BX193/CE193*(CE193-0.1))</f>
        <v/>
      </c>
      <c r="CG193" s="34">
        <f>IF((CF193)&lt;0,MAX(F193:G193)*(CF193)*1.03,MIN(F193:G193)*(CF193)*0.97)</f>
        <v/>
      </c>
      <c r="CH193" s="34">
        <f>IF(CE193&gt;0.1,1,0)</f>
        <v/>
      </c>
      <c r="CI193" s="34">
        <f>(F193*BX193)-BY193</f>
        <v/>
      </c>
      <c r="CJ193" s="34">
        <f>IF(AY193=0,0,CI193/AY193)</f>
        <v/>
      </c>
    </row>
    <row r="194">
      <c r="A194" s="29" t="n">
        <v>46211.95833333334</v>
      </c>
      <c r="B194" s="29" t="inlineStr">
        <is>
          <t>23:00</t>
        </is>
      </c>
      <c r="C194" s="35">
        <f>INT(A194)</f>
        <v/>
      </c>
      <c r="D194" s="36">
        <f>MONTH(A194)</f>
        <v/>
      </c>
      <c r="E194" s="147">
        <f>[1]FİYATLAR!G193</f>
        <v/>
      </c>
      <c r="F194" s="30" t="n">
        <v>3323.7</v>
      </c>
      <c r="G194" s="30" t="n">
        <v>4457</v>
      </c>
      <c r="H194" s="30" t="n">
        <v>71.12</v>
      </c>
      <c r="I194" s="30" t="n">
        <v>3726.66</v>
      </c>
      <c r="J194" s="119" t="n">
        <v>0</v>
      </c>
      <c r="K194" s="34">
        <f>F194*J194</f>
        <v/>
      </c>
      <c r="L194" s="119" t="n">
        <v>0</v>
      </c>
      <c r="M194" s="34">
        <f>L194*F194</f>
        <v/>
      </c>
      <c r="N194" s="119" t="n">
        <v>21</v>
      </c>
      <c r="O194" s="34">
        <f>F194</f>
        <v/>
      </c>
      <c r="P194" s="34">
        <f>N194*O194</f>
        <v/>
      </c>
      <c r="Q194" s="117" t="n">
        <v>0</v>
      </c>
      <c r="R194" s="34">
        <f>F194</f>
        <v/>
      </c>
      <c r="S194" s="34">
        <f>R194*Q194</f>
        <v/>
      </c>
      <c r="T194" s="34">
        <f>SUMIFS('[1]GİP VERİLERİ'!$C:$C,'[1]GİP VERİLERİ'!$B:$B,A194,'[1]GİP VERİLERİ'!$M:$M,"40X000000104782K",'[1]GİP VERİLERİ'!$G:$G,"SELL")</f>
        <v/>
      </c>
      <c r="U194" s="34">
        <f>IFERROR(W194/T194,0)</f>
        <v/>
      </c>
      <c r="V194" s="34">
        <f>IF(U194=0,0,U194-F194)</f>
        <v/>
      </c>
      <c r="W194" s="34">
        <f>SUMIFS('[1]GİP VERİLERİ'!$O:$O,'[1]GİP VERİLERİ'!$B:$B,A194,'[1]GİP VERİLERİ'!$M:$M,"40X000000104782K",'[1]GİP VERİLERİ'!$G:$G,"SELL")</f>
        <v/>
      </c>
      <c r="X194" s="34">
        <f>SUMIFS('[1]GİP VERİLERİ'!$C:$C,'[1]GİP VERİLERİ'!$B:$B,A194,'[1]GİP VERİLERİ'!$M:$M,"40X000000104782K",'[1]GİP VERİLERİ'!$G:$G,"BUY")</f>
        <v/>
      </c>
      <c r="Y194" s="34">
        <f>IFERROR(AA194/X194,0)</f>
        <v/>
      </c>
      <c r="Z194" s="34">
        <f>IF(Y194=0,0,F194-Y194)</f>
        <v/>
      </c>
      <c r="AA194" s="34">
        <f>SUMIFS('[1]GİP VERİLERİ'!$O:$O,'[1]GİP VERİLERİ'!$B:$B,A194,'[1]GİP VERİLERİ'!$M:$M,"40X000000104782K",'[1]GİP VERİLERİ'!$G:$G,"BUY")</f>
        <v/>
      </c>
      <c r="AB194" s="34" t="n">
        <v>0</v>
      </c>
      <c r="AC194" s="34" t="n">
        <v>0</v>
      </c>
      <c r="AD194" s="34">
        <f>IF(AB194&gt;AC194*1.05,AB194-AC194*1.05,IF(AB194&lt;AC194*0.95,AC194*0.95-AB194,0))</f>
        <v/>
      </c>
      <c r="AE194" s="34">
        <f>MAX(F194,G194,750)*0.05*AD194</f>
        <v/>
      </c>
      <c r="AF194" s="34" t="n">
        <v>0</v>
      </c>
      <c r="AG194" s="34">
        <f>IF(AB194&gt;AF194*1.05,AB194-AF194*1.05,IF(AB194&lt;AF194*0.95,AF194*0.95-AB194,0))</f>
        <v/>
      </c>
      <c r="AH194" s="34">
        <f>MAX(I194,J194,750)*0.05*AG194</f>
        <v/>
      </c>
      <c r="AI194" t="n">
        <v>9.619999999999999</v>
      </c>
      <c r="AJ194" t="n">
        <v>9</v>
      </c>
      <c r="AK194" s="34">
        <f>IF(AI194&gt;AJ194*1.05,AI194-AJ194*1.05,IF(AI194&lt;AJ194*0.95,AJ194*0.95-AI194,0))</f>
        <v/>
      </c>
      <c r="AL194" s="34">
        <f>MAX(F194,G194,750)*0.05*AK194</f>
        <v/>
      </c>
      <c r="AM194" s="39" t="n">
        <v>9</v>
      </c>
      <c r="AN194" s="34">
        <f>IF(AI194&gt;AM194*1.05,AI194-AM194*1.05,IF(AI194&lt;AM194*0.95,AM194*0.95-AI194,0))</f>
        <v/>
      </c>
      <c r="AO194" s="34">
        <f>MAX(F194,G194,750)*0.05*AN194</f>
        <v/>
      </c>
      <c r="AP194" s="34" t="n">
        <v>11.55</v>
      </c>
      <c r="AQ194" s="34" t="n">
        <v>12</v>
      </c>
      <c r="AR194" s="34">
        <f>IF(AP194&gt;AQ194*1.05,AP194-AQ194*1.05,IF(AP194&lt;AQ194*0.95,AQ194*0.95-AP194,0))</f>
        <v/>
      </c>
      <c r="AS194" s="34">
        <f>MAX(F194:G194,750)*0.05*AR194</f>
        <v/>
      </c>
      <c r="AT194" t="n">
        <v>12</v>
      </c>
      <c r="AU194" s="34">
        <f>IF(AP194&gt;AT194*1.05,AP194-AT194*1.05,IF(AP194&lt;AT194*0.95,AT194*0.95-AP194,0))</f>
        <v/>
      </c>
      <c r="AV194" s="34">
        <f>MAX(F194:G194,750)*0.05*AU194</f>
        <v/>
      </c>
      <c r="AW194" s="34">
        <f>AC194+AJ194+AQ194</f>
        <v/>
      </c>
      <c r="AX194" s="34">
        <f>AF194+AM194+AT194</f>
        <v/>
      </c>
      <c r="AY194" s="34">
        <f>AB194+AI194+AP194</f>
        <v/>
      </c>
      <c r="AZ194" s="34" t="n">
        <v>0</v>
      </c>
      <c r="BA194" s="34">
        <f>AD194+AK194+AR194</f>
        <v/>
      </c>
      <c r="BB194" s="34">
        <f>MAX(F194:G194,750)*0.05*BA194</f>
        <v/>
      </c>
      <c r="BC194" s="34">
        <f>AG194+AN194+AU194</f>
        <v/>
      </c>
      <c r="BD194" s="34">
        <f>MAX(F194:G194,750)*0.05*BC194</f>
        <v/>
      </c>
      <c r="BE194" s="34">
        <f>F194*AY194</f>
        <v/>
      </c>
      <c r="BF194" s="34">
        <f>K194-M194</f>
        <v/>
      </c>
      <c r="BG194" s="34">
        <f>P194-S194</f>
        <v/>
      </c>
      <c r="BH194" s="34">
        <f>W194-AA194</f>
        <v/>
      </c>
      <c r="BI194" s="34">
        <f>BF194+BG194+BL194-BN194</f>
        <v/>
      </c>
      <c r="BJ194" s="34">
        <f>ABS(BK194)</f>
        <v/>
      </c>
      <c r="BK194" s="34">
        <f>AY194-(J194-L194+N194-Q194)</f>
        <v/>
      </c>
      <c r="BL194" s="34">
        <f>IF(AND(BK194&gt;0,MIN($F194:$G194)&lt;150,$E194="Enerji Açığı"),-100*BK194*1.03,IF(AND(BK194&gt;0,MIN($F194:$G194)&lt;150,$E194="Enerji Fazlası"),-100*BK194*1.06,IF(AND(BK194&gt;0,MIN($F194:$G194)&gt;=150,$E194="Enerji Açığı"),BK194*MIN($F194:$G194)*0.97,IF(AND(BK194&gt;0,MIN($F194:$G194)&gt;=150,$E194="Enerji Fazlası"),BK194*MIN($F194:$G194)*0.94,IF(AND(BK194&lt;0,MAX($F194:$G194)=4500,$E194="Enerji Açığı"),4500*1.05*1.06*BK194,IF(AND(BK194&lt;0,MAX($F194:$G194)=4500,$E194="Enerji Fazlası"),4500*1.05*1.03*BK194,IF(AND(BK194&lt;0,$E194="Enerji Açığı"),MAX($F194,$G194,150)*BK194*1.06,IF(AND(BK194&lt;0,$E194="Enerji Fazlası"),MAX($F194,$G194,150)*BK194*1.03,IF(AND(BK194&lt;0,$E194="Dengede"),MAX($F194:$G194,150)*1.03*BK194,MIN($F194:$G194)*0.97*BK194)))))))))</f>
        <v/>
      </c>
      <c r="BM194" s="34">
        <f>BE194-BI194-BN194</f>
        <v/>
      </c>
      <c r="BN194" s="34">
        <f>BB194</f>
        <v/>
      </c>
      <c r="BO194" s="34">
        <f>BE194-BI194</f>
        <v/>
      </c>
      <c r="BP194" s="34">
        <f>IF(AY194=0,0,BO194/AY194)</f>
        <v/>
      </c>
      <c r="BQ194" s="34">
        <f>MAX((AY194+MAX((-J194+L194-N194+Q194),0)),(MAX((J194-L194+N194-Q194),0)))</f>
        <v/>
      </c>
      <c r="BR194" s="82">
        <f>IFERROR(ABS(BK194/BQ194),0)</f>
        <v/>
      </c>
      <c r="BS194" s="34">
        <f>IF(BR194&lt;=0.1,0,BK194/BR194*(BR194-0.1))</f>
        <v/>
      </c>
      <c r="BT194" s="34">
        <f>IF((BS194)&lt;0,MAX(F194:G194)*(BS194)*1.03,MIN(F194:G194)*(BS194)*0.97)</f>
        <v/>
      </c>
      <c r="BU194" s="34">
        <f>IF(BR194&gt;0.1,1,0)</f>
        <v/>
      </c>
      <c r="BV194" s="34">
        <f>BF194+BG194+BH194+BY194-CA194</f>
        <v/>
      </c>
      <c r="BW194" s="34">
        <f>ABS(BX194)</f>
        <v/>
      </c>
      <c r="BX194" s="34">
        <f>AY194-(J194-L194+N194-Q194+T194-X194)</f>
        <v/>
      </c>
      <c r="BY194" s="34">
        <f>IF(AND(BX194&gt;0,MIN($F194:$G194)&lt;150,$E194="Enerji Açığı"),-100*BX194*1.03,IF(AND(BX194&gt;0,MIN($F194:$G194)&lt;150,$E194="Enerji Fazlası"),-100*BX194*1.06,IF(AND(BX194&gt;0,MIN($F194:$G194)&gt;=150,$E194="Enerji Açığı"),BX194*MIN($F194:$G194)*0.97,IF(AND(BX194&gt;0,MIN($F194:$G194)&gt;=150,$E194="Enerji Fazlası"),BX194*MIN($F194:$G194)*0.94,IF(AND(BX194&lt;0,MAX($F194:$G194)=4500,$E194="Enerji Açığı"),4500*1.05*1.06*BX194,IF(AND(BX194&lt;0,MAX($F194:$G194)=4500,$E194="Enerji Fazlası"),4500*1.05*1.03*BX194,IF(AND(BX194&lt;0,$E194="Enerji Açığı"),MAX($F194,$G194,150)*BX194*1.06,IF(AND(BX194&lt;0,$E194="Enerji Fazlası"),MAX($F194,$G194,150)*BX194*1.03,IF(AND(BX194&lt;0,$E194="Dengede"),MAX($F194:$G194,150)*1.03*BX194,MIN($F194:$G194)*0.97*BX194)))))))))</f>
        <v/>
      </c>
      <c r="BZ194" s="34">
        <f>BE194-BV194-CA194</f>
        <v/>
      </c>
      <c r="CA194" s="34">
        <f>BD194</f>
        <v/>
      </c>
      <c r="CB194" s="33">
        <f>BE194-BV194</f>
        <v/>
      </c>
      <c r="CC194" s="34">
        <f>IF(AY194=0,0,CB194/AY194)</f>
        <v/>
      </c>
      <c r="CD194" s="34">
        <f>MAX((AY194+MAX((-J194+L194-N194+Q194-T194+X194),0)),(MAX((J194-L194+N194-Q194+T194-X194),0)))</f>
        <v/>
      </c>
      <c r="CE194" s="82">
        <f>IFERROR(ABS(BX194/CD194),0)</f>
        <v/>
      </c>
      <c r="CF194" s="34">
        <f>IF(CE194&lt;=0.1,0,BX194/CE194*(CE194-0.1))</f>
        <v/>
      </c>
      <c r="CG194" s="34">
        <f>IF((CF194)&lt;0,MAX(F194:G194)*(CF194)*1.03,MIN(F194:G194)*(CF194)*0.97)</f>
        <v/>
      </c>
      <c r="CH194" s="34">
        <f>IF(CE194&gt;0.1,1,0)</f>
        <v/>
      </c>
      <c r="CI194" s="34">
        <f>(F194*BX194)-BY194</f>
        <v/>
      </c>
      <c r="CJ194" s="34">
        <f>IF(AY194=0,0,CI194/AY194)</f>
        <v/>
      </c>
    </row>
    <row r="195">
      <c r="A195" s="29" t="n">
        <v>46212</v>
      </c>
      <c r="B195" s="29" t="inlineStr">
        <is>
          <t>00:00</t>
        </is>
      </c>
      <c r="C195" s="35">
        <f>INT(A195)</f>
        <v/>
      </c>
      <c r="D195" s="36">
        <f>MONTH(A195)</f>
        <v/>
      </c>
      <c r="E195" s="147">
        <f>[1]FİYATLAR!#REF!</f>
        <v/>
      </c>
      <c r="F195" s="30" t="n">
        <v>3600.01</v>
      </c>
      <c r="G195" s="30" t="n">
        <v>4097</v>
      </c>
      <c r="H195" s="30" t="n">
        <v>77</v>
      </c>
      <c r="I195" s="30" t="n">
        <v>3482.22</v>
      </c>
      <c r="J195" s="119" t="n">
        <v>0</v>
      </c>
      <c r="K195" s="34">
        <f>F195*J195</f>
        <v/>
      </c>
      <c r="L195" s="119" t="n"/>
      <c r="M195" s="34">
        <f>L195*F195</f>
        <v/>
      </c>
      <c r="N195" s="119" t="n"/>
      <c r="O195" s="34">
        <f>F195</f>
        <v/>
      </c>
      <c r="P195" s="34">
        <f>N195*O195</f>
        <v/>
      </c>
      <c r="Q195" s="117" t="n">
        <v>0</v>
      </c>
      <c r="R195" s="34">
        <f>F195</f>
        <v/>
      </c>
      <c r="S195" s="34">
        <f>R195*Q195</f>
        <v/>
      </c>
      <c r="T195" s="34">
        <f>SUMIFS('[1]GİP VERİLERİ'!$C:$C,'[1]GİP VERİLERİ'!$B:$B,A195,'[1]GİP VERİLERİ'!$M:$M,"40X000000104782K",'[1]GİP VERİLERİ'!$G:$G,"SELL")</f>
        <v/>
      </c>
      <c r="U195" s="34">
        <f>IFERROR(W195/T195,0)</f>
        <v/>
      </c>
      <c r="V195" s="34">
        <f>IF(U195=0,0,U195-F195)</f>
        <v/>
      </c>
      <c r="W195" s="34">
        <f>SUMIFS('[1]GİP VERİLERİ'!$O:$O,'[1]GİP VERİLERİ'!$B:$B,A195,'[1]GİP VERİLERİ'!$M:$M,"40X000000104782K",'[1]GİP VERİLERİ'!$G:$G,"SELL")</f>
        <v/>
      </c>
      <c r="X195" s="34">
        <f>SUMIFS('[1]GİP VERİLERİ'!$C:$C,'[1]GİP VERİLERİ'!$B:$B,A195,'[1]GİP VERİLERİ'!$M:$M,"40X000000104782K",'[1]GİP VERİLERİ'!$G:$G,"BUY")</f>
        <v/>
      </c>
      <c r="Y195" s="34">
        <f>IFERROR(AA195/X195,0)</f>
        <v/>
      </c>
      <c r="Z195" s="34">
        <f>IF(Y195=0,0,F195-Y195)</f>
        <v/>
      </c>
      <c r="AA195" s="34">
        <f>SUMIFS('[1]GİP VERİLERİ'!$O:$O,'[1]GİP VERİLERİ'!$B:$B,A195,'[1]GİP VERİLERİ'!$M:$M,"40X000000104782K",'[1]GİP VERİLERİ'!$G:$G,"BUY")</f>
        <v/>
      </c>
      <c r="AB195" s="34" t="n">
        <v>0</v>
      </c>
      <c r="AC195" s="34" t="n">
        <v>0</v>
      </c>
      <c r="AD195" s="34">
        <f>IF(AB195&gt;AC195*1.05,AB195-AC195*1.05,IF(AB195&lt;AC195*0.95,AC195*0.95-AB195,0))</f>
        <v/>
      </c>
      <c r="AE195" s="34">
        <f>MAX(F195,G195,750)*0.05*AD195</f>
        <v/>
      </c>
      <c r="AF195" s="34" t="n">
        <v>0</v>
      </c>
      <c r="AG195" s="34">
        <f>IF(AB195&gt;AF195*1.05,AB195-AF195*1.05,IF(AB195&lt;AF195*0.95,AF195*0.95-AB195,0))</f>
        <v/>
      </c>
      <c r="AH195" s="34">
        <f>MAX(I195,J195,750)*0.05*AG195</f>
        <v/>
      </c>
      <c r="AI195" t="n">
        <v>9.17</v>
      </c>
      <c r="AJ195" t="n">
        <v>9</v>
      </c>
      <c r="AK195" s="34">
        <f>IF(AI195&gt;AJ195*1.05,AI195-AJ195*1.05,IF(AI195&lt;AJ195*0.95,AJ195*0.95-AI195,0))</f>
        <v/>
      </c>
      <c r="AL195" s="34">
        <f>MAX(F195,G195,750)*0.05*AK195</f>
        <v/>
      </c>
      <c r="AM195" s="39" t="n">
        <v>9</v>
      </c>
      <c r="AN195" s="34">
        <f>IF(AI195&gt;AM195*1.05,AI195-AM195*1.05,IF(AI195&lt;AM195*0.95,AM195*0.95-AI195,0))</f>
        <v/>
      </c>
      <c r="AO195" s="34">
        <f>MAX(F195,G195,750)*0.05*AN195</f>
        <v/>
      </c>
      <c r="AP195" s="34" t="n">
        <v>12.18</v>
      </c>
      <c r="AQ195" s="34" t="n">
        <v>12</v>
      </c>
      <c r="AR195" s="34">
        <f>IF(AP195&gt;AQ195*1.05,AP195-AQ195*1.05,IF(AP195&lt;AQ195*0.95,AQ195*0.95-AP195,0))</f>
        <v/>
      </c>
      <c r="AS195" s="34">
        <f>MAX(F195:G195,750)*0.05*AR195</f>
        <v/>
      </c>
      <c r="AT195" t="n">
        <v>12</v>
      </c>
      <c r="AU195" s="34">
        <f>IF(AP195&gt;AT195*1.05,AP195-AT195*1.05,IF(AP195&lt;AT195*0.95,AT195*0.95-AP195,0))</f>
        <v/>
      </c>
      <c r="AV195" s="34">
        <f>MAX(F195:G195,750)*0.05*AU195</f>
        <v/>
      </c>
      <c r="AW195" s="34">
        <f>AC195+AJ195+AQ195</f>
        <v/>
      </c>
      <c r="AX195" s="34">
        <f>AF195+AM195+AT195</f>
        <v/>
      </c>
      <c r="AY195" s="34">
        <f>AB195+AI195+AP195</f>
        <v/>
      </c>
      <c r="AZ195" s="34" t="n">
        <v>0</v>
      </c>
      <c r="BA195" s="34">
        <f>AD195+AK195+AR195</f>
        <v/>
      </c>
      <c r="BB195" s="34">
        <f>MAX(F195:G195,750)*0.05*BA195</f>
        <v/>
      </c>
      <c r="BC195" s="34">
        <f>AG195+AN195+AU195</f>
        <v/>
      </c>
      <c r="BD195" s="34">
        <f>MAX(F195:G195,750)*0.05*BC195</f>
        <v/>
      </c>
      <c r="BE195" s="34">
        <f>F195*AY195</f>
        <v/>
      </c>
      <c r="BF195" s="34">
        <f>K195-M195</f>
        <v/>
      </c>
      <c r="BG195" s="34">
        <f>P195-S195</f>
        <v/>
      </c>
      <c r="BH195" s="34">
        <f>W195-AA195</f>
        <v/>
      </c>
      <c r="BI195" s="34">
        <f>BF195+BG195+BL195-BN195</f>
        <v/>
      </c>
      <c r="BJ195" s="34">
        <f>ABS(BK195)</f>
        <v/>
      </c>
      <c r="BK195" s="34">
        <f>AY195-(J195-L195+N195-Q195)</f>
        <v/>
      </c>
      <c r="BL195" s="34">
        <f>IF(AND(BK195&gt;0,MIN($F195:$G195)&lt;150,$E195="Enerji Açığı"),-100*BK195*1.03,IF(AND(BK195&gt;0,MIN($F195:$G195)&lt;150,$E195="Enerji Fazlası"),-100*BK195*1.06,IF(AND(BK195&gt;0,MIN($F195:$G195)&gt;=150,$E195="Enerji Açığı"),BK195*MIN($F195:$G195)*0.97,IF(AND(BK195&gt;0,MIN($F195:$G195)&gt;=150,$E195="Enerji Fazlası"),BK195*MIN($F195:$G195)*0.94,IF(AND(BK195&lt;0,MAX($F195:$G195)=4500,$E195="Enerji Açığı"),4500*1.05*1.06*BK195,IF(AND(BK195&lt;0,MAX($F195:$G195)=4500,$E195="Enerji Fazlası"),4500*1.05*1.03*BK195,IF(AND(BK195&lt;0,$E195="Enerji Açığı"),MAX($F195,$G195,150)*BK195*1.06,IF(AND(BK195&lt;0,$E195="Enerji Fazlası"),MAX($F195,$G195,150)*BK195*1.03,IF(AND(BK195&lt;0,$E195="Dengede"),MAX($F195:$G195,150)*1.03*BK195,MIN($F195:$G195)*0.97*BK195)))))))))</f>
        <v/>
      </c>
      <c r="BM195" s="34">
        <f>BE195-BI195-BN195</f>
        <v/>
      </c>
      <c r="BN195" s="34">
        <f>BB195</f>
        <v/>
      </c>
      <c r="BO195" s="34">
        <f>BE195-BI195</f>
        <v/>
      </c>
      <c r="BP195" s="34">
        <f>IF(AY195=0,0,BO195/AY195)</f>
        <v/>
      </c>
      <c r="BQ195" s="34">
        <f>MAX((AY195+MAX((-J195+L195-N195+Q195),0)),(MAX((J195-L195+N195-Q195),0)))</f>
        <v/>
      </c>
      <c r="BR195" s="82">
        <f>IFERROR(ABS(BK195/BQ195),0)</f>
        <v/>
      </c>
      <c r="BS195" s="34">
        <f>IF(BR195&lt;=0.1,0,BK195/BR195*(BR195-0.1))</f>
        <v/>
      </c>
      <c r="BT195" s="34">
        <f>IF((BS195)&lt;0,MAX(F195:G195)*(BS195)*1.03,MIN(F195:G195)*(BS195)*0.97)</f>
        <v/>
      </c>
      <c r="BU195" s="34">
        <f>IF(BR195&gt;0.1,1,0)</f>
        <v/>
      </c>
      <c r="BV195" s="34">
        <f>BF195+BG195+BH195+BY195-CA195</f>
        <v/>
      </c>
      <c r="BW195" s="34">
        <f>ABS(BX195)</f>
        <v/>
      </c>
      <c r="BX195" s="34">
        <f>AY195-(J195-L195+N195-Q195+T195-X195)</f>
        <v/>
      </c>
      <c r="BY195" s="34">
        <f>IF(AND(BX195&gt;0,MIN($F195:$G195)&lt;150,$E195="Enerji Açığı"),-100*BX195*1.03,IF(AND(BX195&gt;0,MIN($F195:$G195)&lt;150,$E195="Enerji Fazlası"),-100*BX195*1.06,IF(AND(BX195&gt;0,MIN($F195:$G195)&gt;=150,$E195="Enerji Açığı"),BX195*MIN($F195:$G195)*0.97,IF(AND(BX195&gt;0,MIN($F195:$G195)&gt;=150,$E195="Enerji Fazlası"),BX195*MIN($F195:$G195)*0.94,IF(AND(BX195&lt;0,MAX($F195:$G195)=4500,$E195="Enerji Açığı"),4500*1.05*1.06*BX195,IF(AND(BX195&lt;0,MAX($F195:$G195)=4500,$E195="Enerji Fazlası"),4500*1.05*1.03*BX195,IF(AND(BX195&lt;0,$E195="Enerji Açığı"),MAX($F195,$G195,150)*BX195*1.06,IF(AND(BX195&lt;0,$E195="Enerji Fazlası"),MAX($F195,$G195,150)*BX195*1.03,IF(AND(BX195&lt;0,$E195="Dengede"),MAX($F195:$G195,150)*1.03*BX195,MIN($F195:$G195)*0.97*BX195)))))))))</f>
        <v/>
      </c>
      <c r="BZ195" s="34">
        <f>BE195-BV195-CA195</f>
        <v/>
      </c>
      <c r="CA195" s="34">
        <f>BD195</f>
        <v/>
      </c>
      <c r="CB195" s="33">
        <f>BE195-BV195</f>
        <v/>
      </c>
      <c r="CC195" s="34">
        <f>IF(AY195=0,0,CB195/AY195)</f>
        <v/>
      </c>
      <c r="CD195" s="34">
        <f>MAX((AY195+MAX((-J195+L195-N195+Q195-T195+X195),0)),(MAX((J195-L195+N195-Q195+T195-X195),0)))</f>
        <v/>
      </c>
      <c r="CE195" s="82">
        <f>IFERROR(ABS(BX195/CD195),0)</f>
        <v/>
      </c>
      <c r="CF195" s="34">
        <f>IF(CE195&lt;=0.1,0,BX195/CE195*(CE195-0.1))</f>
        <v/>
      </c>
      <c r="CG195" s="34">
        <f>IF((CF195)&lt;0,MAX(F195:G195)*(CF195)*1.03,MIN(F195:G195)*(CF195)*0.97)</f>
        <v/>
      </c>
      <c r="CH195" s="34">
        <f>IF(CE195&gt;0.1,1,0)</f>
        <v/>
      </c>
      <c r="CI195" s="34">
        <f>(F195*BX195)-BY195</f>
        <v/>
      </c>
      <c r="CJ195" s="34">
        <f>IF(AY195=0,0,CI195/AY195)</f>
        <v/>
      </c>
    </row>
    <row r="196">
      <c r="A196" s="29" t="n">
        <v>46212.04166666666</v>
      </c>
      <c r="B196" s="29" t="inlineStr">
        <is>
          <t>01:00</t>
        </is>
      </c>
      <c r="C196" s="35">
        <f>INT(A196)</f>
        <v/>
      </c>
      <c r="D196" s="36">
        <f>MONTH(A196)</f>
        <v/>
      </c>
      <c r="E196" s="147">
        <f>[1]FİYATLAR!#REF!</f>
        <v/>
      </c>
      <c r="F196" s="30" t="n">
        <v>3618.42</v>
      </c>
      <c r="G196" s="30" t="n">
        <v>4000</v>
      </c>
      <c r="H196" s="30" t="n">
        <v>77.40000000000001</v>
      </c>
      <c r="I196" s="30" t="n">
        <v>3528.38</v>
      </c>
      <c r="J196" s="119" t="n">
        <v>0</v>
      </c>
      <c r="K196" s="34">
        <f>F196*J196</f>
        <v/>
      </c>
      <c r="L196" s="119" t="n"/>
      <c r="M196" s="34">
        <f>L196*F196</f>
        <v/>
      </c>
      <c r="N196" s="119" t="n"/>
      <c r="O196" s="34">
        <f>F196</f>
        <v/>
      </c>
      <c r="P196" s="34">
        <f>N196*O196</f>
        <v/>
      </c>
      <c r="Q196" s="117" t="n">
        <v>0</v>
      </c>
      <c r="R196" s="34">
        <f>F196</f>
        <v/>
      </c>
      <c r="S196" s="34">
        <f>R196*Q196</f>
        <v/>
      </c>
      <c r="T196" s="34">
        <f>SUMIFS('[1]GİP VERİLERİ'!$C:$C,'[1]GİP VERİLERİ'!$B:$B,A196,'[1]GİP VERİLERİ'!$M:$M,"40X000000104782K",'[1]GİP VERİLERİ'!$G:$G,"SELL")</f>
        <v/>
      </c>
      <c r="U196" s="34">
        <f>IFERROR(W196/T196,0)</f>
        <v/>
      </c>
      <c r="V196" s="34">
        <f>IF(U196=0,0,U196-F196)</f>
        <v/>
      </c>
      <c r="W196" s="34">
        <f>SUMIFS('[1]GİP VERİLERİ'!$O:$O,'[1]GİP VERİLERİ'!$B:$B,A196,'[1]GİP VERİLERİ'!$M:$M,"40X000000104782K",'[1]GİP VERİLERİ'!$G:$G,"SELL")</f>
        <v/>
      </c>
      <c r="X196" s="34">
        <f>SUMIFS('[1]GİP VERİLERİ'!$C:$C,'[1]GİP VERİLERİ'!$B:$B,A196,'[1]GİP VERİLERİ'!$M:$M,"40X000000104782K",'[1]GİP VERİLERİ'!$G:$G,"BUY")</f>
        <v/>
      </c>
      <c r="Y196" s="34">
        <f>IFERROR(AA196/X196,0)</f>
        <v/>
      </c>
      <c r="Z196" s="34">
        <f>IF(Y196=0,0,F196-Y196)</f>
        <v/>
      </c>
      <c r="AA196" s="34">
        <f>SUMIFS('[1]GİP VERİLERİ'!$O:$O,'[1]GİP VERİLERİ'!$B:$B,A196,'[1]GİP VERİLERİ'!$M:$M,"40X000000104782K",'[1]GİP VERİLERİ'!$G:$G,"BUY")</f>
        <v/>
      </c>
      <c r="AB196" s="34" t="n">
        <v>0</v>
      </c>
      <c r="AC196" s="34" t="n">
        <v>0</v>
      </c>
      <c r="AD196" s="34">
        <f>IF(AB196&gt;AC196*1.05,AB196-AC196*1.05,IF(AB196&lt;AC196*0.95,AC196*0.95-AB196,0))</f>
        <v/>
      </c>
      <c r="AE196" s="34">
        <f>MAX(F196,G196,750)*0.05*AD196</f>
        <v/>
      </c>
      <c r="AF196" s="34" t="n">
        <v>0</v>
      </c>
      <c r="AG196" s="34">
        <f>IF(AB196&gt;AF196*1.05,AB196-AF196*1.05,IF(AB196&lt;AF196*0.95,AF196*0.95-AB196,0))</f>
        <v/>
      </c>
      <c r="AH196" s="34">
        <f>MAX(I196,J196,750)*0.05*AG196</f>
        <v/>
      </c>
      <c r="AI196" t="n">
        <v>9.130000000000001</v>
      </c>
      <c r="AJ196" t="n">
        <v>9</v>
      </c>
      <c r="AK196" s="34">
        <f>IF(AI196&gt;AJ196*1.05,AI196-AJ196*1.05,IF(AI196&lt;AJ196*0.95,AJ196*0.95-AI196,0))</f>
        <v/>
      </c>
      <c r="AL196" s="34">
        <f>MAX(F196,G196,750)*0.05*AK196</f>
        <v/>
      </c>
      <c r="AM196" s="39" t="n">
        <v>9</v>
      </c>
      <c r="AN196" s="34">
        <f>IF(AI196&gt;AM196*1.05,AI196-AM196*1.05,IF(AI196&lt;AM196*0.95,AM196*0.95-AI196,0))</f>
        <v/>
      </c>
      <c r="AO196" s="34">
        <f>MAX(F196,G196,750)*0.05*AN196</f>
        <v/>
      </c>
      <c r="AP196" s="34" t="n">
        <v>12.2</v>
      </c>
      <c r="AQ196" s="34" t="n">
        <v>12</v>
      </c>
      <c r="AR196" s="34">
        <f>IF(AP196&gt;AQ196*1.05,AP196-AQ196*1.05,IF(AP196&lt;AQ196*0.95,AQ196*0.95-AP196,0))</f>
        <v/>
      </c>
      <c r="AS196" s="34">
        <f>MAX(F196:G196,750)*0.05*AR196</f>
        <v/>
      </c>
      <c r="AT196" t="n">
        <v>12</v>
      </c>
      <c r="AU196" s="34">
        <f>IF(AP196&gt;AT196*1.05,AP196-AT196*1.05,IF(AP196&lt;AT196*0.95,AT196*0.95-AP196,0))</f>
        <v/>
      </c>
      <c r="AV196" s="34">
        <f>MAX(F196:G196,750)*0.05*AU196</f>
        <v/>
      </c>
      <c r="AW196" s="34">
        <f>AC196+AJ196+AQ196</f>
        <v/>
      </c>
      <c r="AX196" s="34">
        <f>AF196+AM196+AT196</f>
        <v/>
      </c>
      <c r="AY196" s="34">
        <f>AB196+AI196+AP196</f>
        <v/>
      </c>
      <c r="AZ196" s="34" t="n">
        <v>0</v>
      </c>
      <c r="BA196" s="34">
        <f>AD196+AK196+AR196</f>
        <v/>
      </c>
      <c r="BB196" s="34">
        <f>MAX(F196:G196,750)*0.05*BA196</f>
        <v/>
      </c>
      <c r="BC196" s="34">
        <f>AG196+AN196+AU196</f>
        <v/>
      </c>
      <c r="BD196" s="34">
        <f>MAX(F196:G196,750)*0.05*BC196</f>
        <v/>
      </c>
      <c r="BE196" s="34">
        <f>F196*AY196</f>
        <v/>
      </c>
      <c r="BF196" s="34">
        <f>K196-M196</f>
        <v/>
      </c>
      <c r="BG196" s="34">
        <f>P196-S196</f>
        <v/>
      </c>
      <c r="BH196" s="34">
        <f>W196-AA196</f>
        <v/>
      </c>
      <c r="BI196" s="34">
        <f>BF196+BG196+BL196-BN196</f>
        <v/>
      </c>
      <c r="BJ196" s="34">
        <f>ABS(BK196)</f>
        <v/>
      </c>
      <c r="BK196" s="34">
        <f>AY196-(J196-L196+N196-Q196)</f>
        <v/>
      </c>
      <c r="BL196" s="34">
        <f>IF(AND(BK196&gt;0,MIN($F196:$G196)&lt;150,$E196="Enerji Açığı"),-100*BK196*1.03,IF(AND(BK196&gt;0,MIN($F196:$G196)&lt;150,$E196="Enerji Fazlası"),-100*BK196*1.06,IF(AND(BK196&gt;0,MIN($F196:$G196)&gt;=150,$E196="Enerji Açığı"),BK196*MIN($F196:$G196)*0.97,IF(AND(BK196&gt;0,MIN($F196:$G196)&gt;=150,$E196="Enerji Fazlası"),BK196*MIN($F196:$G196)*0.94,IF(AND(BK196&lt;0,MAX($F196:$G196)=4500,$E196="Enerji Açığı"),4500*1.05*1.06*BK196,IF(AND(BK196&lt;0,MAX($F196:$G196)=4500,$E196="Enerji Fazlası"),4500*1.05*1.03*BK196,IF(AND(BK196&lt;0,$E196="Enerji Açığı"),MAX($F196,$G196,150)*BK196*1.06,IF(AND(BK196&lt;0,$E196="Enerji Fazlası"),MAX($F196,$G196,150)*BK196*1.03,IF(AND(BK196&lt;0,$E196="Dengede"),MAX($F196:$G196,150)*1.03*BK196,MIN($F196:$G196)*0.97*BK196)))))))))</f>
        <v/>
      </c>
      <c r="BM196" s="34">
        <f>BE196-BI196-BN196</f>
        <v/>
      </c>
      <c r="BN196" s="34">
        <f>BB196</f>
        <v/>
      </c>
      <c r="BO196" s="34">
        <f>BE196-BI196</f>
        <v/>
      </c>
      <c r="BP196" s="34">
        <f>IF(AY196=0,0,BO196/AY196)</f>
        <v/>
      </c>
      <c r="BQ196" s="34">
        <f>MAX((AY196+MAX((-J196+L196-N196+Q196),0)),(MAX((J196-L196+N196-Q196),0)))</f>
        <v/>
      </c>
      <c r="BR196" s="82">
        <f>IFERROR(ABS(BK196/BQ196),0)</f>
        <v/>
      </c>
      <c r="BS196" s="34">
        <f>IF(BR196&lt;=0.1,0,BK196/BR196*(BR196-0.1))</f>
        <v/>
      </c>
      <c r="BT196" s="34">
        <f>IF((BS196)&lt;0,MAX(F196:G196)*(BS196)*1.03,MIN(F196:G196)*(BS196)*0.97)</f>
        <v/>
      </c>
      <c r="BU196" s="34">
        <f>IF(BR196&gt;0.1,1,0)</f>
        <v/>
      </c>
      <c r="BV196" s="34">
        <f>BF196+BG196+BH196+BY196-CA196</f>
        <v/>
      </c>
      <c r="BW196" s="34">
        <f>ABS(BX196)</f>
        <v/>
      </c>
      <c r="BX196" s="34">
        <f>AY196-(J196-L196+N196-Q196+T196-X196)</f>
        <v/>
      </c>
      <c r="BY196" s="34">
        <f>IF(AND(BX196&gt;0,MIN($F196:$G196)&lt;150,$E196="Enerji Açığı"),-100*BX196*1.03,IF(AND(BX196&gt;0,MIN($F196:$G196)&lt;150,$E196="Enerji Fazlası"),-100*BX196*1.06,IF(AND(BX196&gt;0,MIN($F196:$G196)&gt;=150,$E196="Enerji Açığı"),BX196*MIN($F196:$G196)*0.97,IF(AND(BX196&gt;0,MIN($F196:$G196)&gt;=150,$E196="Enerji Fazlası"),BX196*MIN($F196:$G196)*0.94,IF(AND(BX196&lt;0,MAX($F196:$G196)=4500,$E196="Enerji Açığı"),4500*1.05*1.06*BX196,IF(AND(BX196&lt;0,MAX($F196:$G196)=4500,$E196="Enerji Fazlası"),4500*1.05*1.03*BX196,IF(AND(BX196&lt;0,$E196="Enerji Açığı"),MAX($F196,$G196,150)*BX196*1.06,IF(AND(BX196&lt;0,$E196="Enerji Fazlası"),MAX($F196,$G196,150)*BX196*1.03,IF(AND(BX196&lt;0,$E196="Dengede"),MAX($F196:$G196,150)*1.03*BX196,MIN($F196:$G196)*0.97*BX196)))))))))</f>
        <v/>
      </c>
      <c r="BZ196" s="34">
        <f>BE196-BV196-CA196</f>
        <v/>
      </c>
      <c r="CA196" s="34">
        <f>BD196</f>
        <v/>
      </c>
      <c r="CB196" s="33">
        <f>BE196-BV196</f>
        <v/>
      </c>
      <c r="CC196" s="34">
        <f>IF(AY196=0,0,CB196/AY196)</f>
        <v/>
      </c>
      <c r="CD196" s="34">
        <f>MAX((AY196+MAX((-J196+L196-N196+Q196-T196+X196),0)),(MAX((J196-L196+N196-Q196+T196-X196),0)))</f>
        <v/>
      </c>
      <c r="CE196" s="82">
        <f>IFERROR(ABS(BX196/CD196),0)</f>
        <v/>
      </c>
      <c r="CF196" s="34">
        <f>IF(CE196&lt;=0.1,0,BX196/CE196*(CE196-0.1))</f>
        <v/>
      </c>
      <c r="CG196" s="34">
        <f>IF((CF196)&lt;0,MAX(F196:G196)*(CF196)*1.03,MIN(F196:G196)*(CF196)*0.97)</f>
        <v/>
      </c>
      <c r="CH196" s="34">
        <f>IF(CE196&gt;0.1,1,0)</f>
        <v/>
      </c>
      <c r="CI196" s="34">
        <f>(F196*BX196)-BY196</f>
        <v/>
      </c>
      <c r="CJ196" s="34">
        <f>IF(AY196=0,0,CI196/AY196)</f>
        <v/>
      </c>
    </row>
    <row r="197">
      <c r="A197" s="29" t="n">
        <v>46212.08333333334</v>
      </c>
      <c r="B197" s="29" t="inlineStr">
        <is>
          <t>02:00</t>
        </is>
      </c>
      <c r="C197" s="35">
        <f>INT(A197)</f>
        <v/>
      </c>
      <c r="D197" s="36">
        <f>MONTH(A197)</f>
        <v/>
      </c>
      <c r="E197" s="147">
        <f>[1]FİYATLAR!#REF!</f>
        <v/>
      </c>
      <c r="F197" s="30" t="n">
        <v>3055.01</v>
      </c>
      <c r="G197" s="30" t="n">
        <v>3719</v>
      </c>
      <c r="H197" s="30" t="n">
        <v>65.34</v>
      </c>
      <c r="I197" s="30" t="n">
        <v>3172.37</v>
      </c>
      <c r="J197" s="119" t="n">
        <v>0</v>
      </c>
      <c r="K197" s="34">
        <f>F197*J197</f>
        <v/>
      </c>
      <c r="L197" s="119" t="n"/>
      <c r="M197" s="34">
        <f>L197*F197</f>
        <v/>
      </c>
      <c r="N197" s="119" t="n"/>
      <c r="O197" s="34">
        <f>F197</f>
        <v/>
      </c>
      <c r="P197" s="34">
        <f>N197*O197</f>
        <v/>
      </c>
      <c r="Q197" s="117" t="n">
        <v>0</v>
      </c>
      <c r="R197" s="34">
        <f>F197</f>
        <v/>
      </c>
      <c r="S197" s="34">
        <f>R197*Q197</f>
        <v/>
      </c>
      <c r="T197" s="34">
        <f>SUMIFS('[1]GİP VERİLERİ'!$C:$C,'[1]GİP VERİLERİ'!$B:$B,A197,'[1]GİP VERİLERİ'!$M:$M,"40X000000104782K",'[1]GİP VERİLERİ'!$G:$G,"SELL")</f>
        <v/>
      </c>
      <c r="U197" s="34">
        <f>IFERROR(W197/T197,0)</f>
        <v/>
      </c>
      <c r="V197" s="34">
        <f>IF(U197=0,0,U197-F197)</f>
        <v/>
      </c>
      <c r="W197" s="34">
        <f>SUMIFS('[1]GİP VERİLERİ'!$O:$O,'[1]GİP VERİLERİ'!$B:$B,A197,'[1]GİP VERİLERİ'!$M:$M,"40X000000104782K",'[1]GİP VERİLERİ'!$G:$G,"SELL")</f>
        <v/>
      </c>
      <c r="X197" s="34">
        <f>SUMIFS('[1]GİP VERİLERİ'!$C:$C,'[1]GİP VERİLERİ'!$B:$B,A197,'[1]GİP VERİLERİ'!$M:$M,"40X000000104782K",'[1]GİP VERİLERİ'!$G:$G,"BUY")</f>
        <v/>
      </c>
      <c r="Y197" s="34">
        <f>IFERROR(AA197/X197,0)</f>
        <v/>
      </c>
      <c r="Z197" s="34">
        <f>IF(Y197=0,0,F197-Y197)</f>
        <v/>
      </c>
      <c r="AA197" s="34">
        <f>SUMIFS('[1]GİP VERİLERİ'!$O:$O,'[1]GİP VERİLERİ'!$B:$B,A197,'[1]GİP VERİLERİ'!$M:$M,"40X000000104782K",'[1]GİP VERİLERİ'!$G:$G,"BUY")</f>
        <v/>
      </c>
      <c r="AB197" s="34" t="n">
        <v>0</v>
      </c>
      <c r="AC197" s="34" t="n">
        <v>0</v>
      </c>
      <c r="AD197" s="34">
        <f>IF(AB197&gt;AC197*1.05,AB197-AC197*1.05,IF(AB197&lt;AC197*0.95,AC197*0.95-AB197,0))</f>
        <v/>
      </c>
      <c r="AE197" s="34">
        <f>MAX(F197,G197,750)*0.05*AD197</f>
        <v/>
      </c>
      <c r="AF197" s="34" t="n">
        <v>0</v>
      </c>
      <c r="AG197" s="34">
        <f>IF(AB197&gt;AF197*1.05,AB197-AF197*1.05,IF(AB197&lt;AF197*0.95,AF197*0.95-AB197,0))</f>
        <v/>
      </c>
      <c r="AH197" s="34">
        <f>MAX(I197,J197,750)*0.05*AG197</f>
        <v/>
      </c>
      <c r="AI197" t="n">
        <v>9.15</v>
      </c>
      <c r="AJ197" t="n">
        <v>9</v>
      </c>
      <c r="AK197" s="34">
        <f>IF(AI197&gt;AJ197*1.05,AI197-AJ197*1.05,IF(AI197&lt;AJ197*0.95,AJ197*0.95-AI197,0))</f>
        <v/>
      </c>
      <c r="AL197" s="34">
        <f>MAX(F197,G197,750)*0.05*AK197</f>
        <v/>
      </c>
      <c r="AM197" s="39" t="n">
        <v>9</v>
      </c>
      <c r="AN197" s="34">
        <f>IF(AI197&gt;AM197*1.05,AI197-AM197*1.05,IF(AI197&lt;AM197*0.95,AM197*0.95-AI197,0))</f>
        <v/>
      </c>
      <c r="AO197" s="34">
        <f>MAX(F197,G197,750)*0.05*AN197</f>
        <v/>
      </c>
      <c r="AP197" s="34" t="n">
        <v>12.2</v>
      </c>
      <c r="AQ197" s="34" t="n">
        <v>12</v>
      </c>
      <c r="AR197" s="34">
        <f>IF(AP197&gt;AQ197*1.05,AP197-AQ197*1.05,IF(AP197&lt;AQ197*0.95,AQ197*0.95-AP197,0))</f>
        <v/>
      </c>
      <c r="AS197" s="34">
        <f>MAX(F197:G197,750)*0.05*AR197</f>
        <v/>
      </c>
      <c r="AT197" t="n">
        <v>12</v>
      </c>
      <c r="AU197" s="34">
        <f>IF(AP197&gt;AT197*1.05,AP197-AT197*1.05,IF(AP197&lt;AT197*0.95,AT197*0.95-AP197,0))</f>
        <v/>
      </c>
      <c r="AV197" s="34">
        <f>MAX(F197:G197,750)*0.05*AU197</f>
        <v/>
      </c>
      <c r="AW197" s="34">
        <f>AC197+AJ197+AQ197</f>
        <v/>
      </c>
      <c r="AX197" s="34">
        <f>AF197+AM197+AT197</f>
        <v/>
      </c>
      <c r="AY197" s="34">
        <f>AB197+AI197+AP197</f>
        <v/>
      </c>
      <c r="AZ197" s="34" t="n">
        <v>0</v>
      </c>
      <c r="BA197" s="34">
        <f>AD197+AK197+AR197</f>
        <v/>
      </c>
      <c r="BB197" s="34">
        <f>MAX(F197:G197,750)*0.05*BA197</f>
        <v/>
      </c>
      <c r="BC197" s="34">
        <f>AG197+AN197+AU197</f>
        <v/>
      </c>
      <c r="BD197" s="34">
        <f>MAX(F197:G197,750)*0.05*BC197</f>
        <v/>
      </c>
      <c r="BE197" s="34">
        <f>F197*AY197</f>
        <v/>
      </c>
      <c r="BF197" s="34">
        <f>K197-M197</f>
        <v/>
      </c>
      <c r="BG197" s="34">
        <f>P197-S197</f>
        <v/>
      </c>
      <c r="BH197" s="34">
        <f>W197-AA197</f>
        <v/>
      </c>
      <c r="BI197" s="34">
        <f>BF197+BG197+BL197-BN197</f>
        <v/>
      </c>
      <c r="BJ197" s="34">
        <f>ABS(BK197)</f>
        <v/>
      </c>
      <c r="BK197" s="34">
        <f>AY197-(J197-L197+N197-Q197)</f>
        <v/>
      </c>
      <c r="BL197" s="34">
        <f>IF(AND(BK197&gt;0,MIN($F197:$G197)&lt;150,$E197="Enerji Açığı"),-100*BK197*1.03,IF(AND(BK197&gt;0,MIN($F197:$G197)&lt;150,$E197="Enerji Fazlası"),-100*BK197*1.06,IF(AND(BK197&gt;0,MIN($F197:$G197)&gt;=150,$E197="Enerji Açığı"),BK197*MIN($F197:$G197)*0.97,IF(AND(BK197&gt;0,MIN($F197:$G197)&gt;=150,$E197="Enerji Fazlası"),BK197*MIN($F197:$G197)*0.94,IF(AND(BK197&lt;0,MAX($F197:$G197)=4500,$E197="Enerji Açığı"),4500*1.05*1.06*BK197,IF(AND(BK197&lt;0,MAX($F197:$G197)=4500,$E197="Enerji Fazlası"),4500*1.05*1.03*BK197,IF(AND(BK197&lt;0,$E197="Enerji Açığı"),MAX($F197,$G197,150)*BK197*1.06,IF(AND(BK197&lt;0,$E197="Enerji Fazlası"),MAX($F197,$G197,150)*BK197*1.03,IF(AND(BK197&lt;0,$E197="Dengede"),MAX($F197:$G197,150)*1.03*BK197,MIN($F197:$G197)*0.97*BK197)))))))))</f>
        <v/>
      </c>
      <c r="BM197" s="34">
        <f>BE197-BI197-BN197</f>
        <v/>
      </c>
      <c r="BN197" s="34">
        <f>BB197</f>
        <v/>
      </c>
      <c r="BO197" s="34">
        <f>BE197-BI197</f>
        <v/>
      </c>
      <c r="BP197" s="34">
        <f>IF(AY197=0,0,BO197/AY197)</f>
        <v/>
      </c>
      <c r="BQ197" s="34">
        <f>MAX((AY197+MAX((-J197+L197-N197+Q197),0)),(MAX((J197-L197+N197-Q197),0)))</f>
        <v/>
      </c>
      <c r="BR197" s="82">
        <f>IFERROR(ABS(BK197/BQ197),0)</f>
        <v/>
      </c>
      <c r="BS197" s="34">
        <f>IF(BR197&lt;=0.1,0,BK197/BR197*(BR197-0.1))</f>
        <v/>
      </c>
      <c r="BT197" s="34">
        <f>IF((BS197)&lt;0,MAX(F197:G197)*(BS197)*1.03,MIN(F197:G197)*(BS197)*0.97)</f>
        <v/>
      </c>
      <c r="BU197" s="34">
        <f>IF(BR197&gt;0.1,1,0)</f>
        <v/>
      </c>
      <c r="BV197" s="34">
        <f>BF197+BG197+BH197+BY197-CA197</f>
        <v/>
      </c>
      <c r="BW197" s="34">
        <f>ABS(BX197)</f>
        <v/>
      </c>
      <c r="BX197" s="34">
        <f>AY197-(J197-L197+N197-Q197+T197-X197)</f>
        <v/>
      </c>
      <c r="BY197" s="34">
        <f>IF(AND(BX197&gt;0,MIN($F197:$G197)&lt;150,$E197="Enerji Açığı"),-100*BX197*1.03,IF(AND(BX197&gt;0,MIN($F197:$G197)&lt;150,$E197="Enerji Fazlası"),-100*BX197*1.06,IF(AND(BX197&gt;0,MIN($F197:$G197)&gt;=150,$E197="Enerji Açığı"),BX197*MIN($F197:$G197)*0.97,IF(AND(BX197&gt;0,MIN($F197:$G197)&gt;=150,$E197="Enerji Fazlası"),BX197*MIN($F197:$G197)*0.94,IF(AND(BX197&lt;0,MAX($F197:$G197)=4500,$E197="Enerji Açığı"),4500*1.05*1.06*BX197,IF(AND(BX197&lt;0,MAX($F197:$G197)=4500,$E197="Enerji Fazlası"),4500*1.05*1.03*BX197,IF(AND(BX197&lt;0,$E197="Enerji Açığı"),MAX($F197,$G197,150)*BX197*1.06,IF(AND(BX197&lt;0,$E197="Enerji Fazlası"),MAX($F197,$G197,150)*BX197*1.03,IF(AND(BX197&lt;0,$E197="Dengede"),MAX($F197:$G197,150)*1.03*BX197,MIN($F197:$G197)*0.97*BX197)))))))))</f>
        <v/>
      </c>
      <c r="BZ197" s="34">
        <f>BE197-BV197-CA197</f>
        <v/>
      </c>
      <c r="CA197" s="34">
        <f>BD197</f>
        <v/>
      </c>
      <c r="CB197" s="33">
        <f>BE197-BV197</f>
        <v/>
      </c>
      <c r="CC197" s="34">
        <f>IF(AY197=0,0,CB197/AY197)</f>
        <v/>
      </c>
      <c r="CD197" s="34">
        <f>MAX((AY197+MAX((-J197+L197-N197+Q197-T197+X197),0)),(MAX((J197-L197+N197-Q197+T197-X197),0)))</f>
        <v/>
      </c>
      <c r="CE197" s="82">
        <f>IFERROR(ABS(BX197/CD197),0)</f>
        <v/>
      </c>
      <c r="CF197" s="34">
        <f>IF(CE197&lt;=0.1,0,BX197/CE197*(CE197-0.1))</f>
        <v/>
      </c>
      <c r="CG197" s="34">
        <f>IF((CF197)&lt;0,MAX(F197:G197)*(CF197)*1.03,MIN(F197:G197)*(CF197)*0.97)</f>
        <v/>
      </c>
      <c r="CH197" s="34">
        <f>IF(CE197&gt;0.1,1,0)</f>
        <v/>
      </c>
      <c r="CI197" s="34">
        <f>(F197*BX197)-BY197</f>
        <v/>
      </c>
      <c r="CJ197" s="34">
        <f>IF(AY197=0,0,CI197/AY197)</f>
        <v/>
      </c>
    </row>
    <row r="198">
      <c r="A198" s="29" t="n">
        <v>46212.125</v>
      </c>
      <c r="B198" s="29" t="inlineStr">
        <is>
          <t>03:00</t>
        </is>
      </c>
      <c r="C198" s="35">
        <f>INT(A198)</f>
        <v/>
      </c>
      <c r="D198" s="36">
        <f>MONTH(A198)</f>
        <v/>
      </c>
      <c r="E198" s="147">
        <f>[1]FİYATLAR!#REF!</f>
        <v/>
      </c>
      <c r="F198" s="30" t="n">
        <v>3014.09</v>
      </c>
      <c r="G198" s="30" t="n">
        <v>3500</v>
      </c>
      <c r="H198" s="30" t="n">
        <v>64.47</v>
      </c>
      <c r="I198" s="30" t="n">
        <v>3062.66</v>
      </c>
      <c r="J198" s="119" t="n">
        <v>0</v>
      </c>
      <c r="K198" s="34">
        <f>F198*J198</f>
        <v/>
      </c>
      <c r="L198" s="119" t="n"/>
      <c r="M198" s="34">
        <f>L198*F198</f>
        <v/>
      </c>
      <c r="N198" s="119" t="n"/>
      <c r="O198" s="34">
        <f>F198</f>
        <v/>
      </c>
      <c r="P198" s="34">
        <f>N198*O198</f>
        <v/>
      </c>
      <c r="Q198" s="117" t="n">
        <v>0</v>
      </c>
      <c r="R198" s="34">
        <f>F198</f>
        <v/>
      </c>
      <c r="S198" s="34">
        <f>R198*Q198</f>
        <v/>
      </c>
      <c r="T198" s="34">
        <f>SUMIFS('[1]GİP VERİLERİ'!$C:$C,'[1]GİP VERİLERİ'!$B:$B,A198,'[1]GİP VERİLERİ'!$M:$M,"40X000000104782K",'[1]GİP VERİLERİ'!$G:$G,"SELL")</f>
        <v/>
      </c>
      <c r="U198" s="34">
        <f>IFERROR(W198/T198,0)</f>
        <v/>
      </c>
      <c r="V198" s="34">
        <f>IF(U198=0,0,U198-F198)</f>
        <v/>
      </c>
      <c r="W198" s="34">
        <f>SUMIFS('[1]GİP VERİLERİ'!$O:$O,'[1]GİP VERİLERİ'!$B:$B,A198,'[1]GİP VERİLERİ'!$M:$M,"40X000000104782K",'[1]GİP VERİLERİ'!$G:$G,"SELL")</f>
        <v/>
      </c>
      <c r="X198" s="34">
        <f>SUMIFS('[1]GİP VERİLERİ'!$C:$C,'[1]GİP VERİLERİ'!$B:$B,A198,'[1]GİP VERİLERİ'!$M:$M,"40X000000104782K",'[1]GİP VERİLERİ'!$G:$G,"BUY")</f>
        <v/>
      </c>
      <c r="Y198" s="34">
        <f>IFERROR(AA198/X198,0)</f>
        <v/>
      </c>
      <c r="Z198" s="34">
        <f>IF(Y198=0,0,F198-Y198)</f>
        <v/>
      </c>
      <c r="AA198" s="34">
        <f>SUMIFS('[1]GİP VERİLERİ'!$O:$O,'[1]GİP VERİLERİ'!$B:$B,A198,'[1]GİP VERİLERİ'!$M:$M,"40X000000104782K",'[1]GİP VERİLERİ'!$G:$G,"BUY")</f>
        <v/>
      </c>
      <c r="AB198" s="34" t="n">
        <v>0</v>
      </c>
      <c r="AC198" s="34" t="n">
        <v>0</v>
      </c>
      <c r="AD198" s="34">
        <f>IF(AB198&gt;AC198*1.05,AB198-AC198*1.05,IF(AB198&lt;AC198*0.95,AC198*0.95-AB198,0))</f>
        <v/>
      </c>
      <c r="AE198" s="34">
        <f>MAX(F198,G198,750)*0.05*AD198</f>
        <v/>
      </c>
      <c r="AF198" s="34" t="n">
        <v>0</v>
      </c>
      <c r="AG198" s="34">
        <f>IF(AB198&gt;AF198*1.05,AB198-AF198*1.05,IF(AB198&lt;AF198*0.95,AF198*0.95-AB198,0))</f>
        <v/>
      </c>
      <c r="AH198" s="34">
        <f>MAX(I198,J198,750)*0.05*AG198</f>
        <v/>
      </c>
      <c r="AI198" t="n">
        <v>9.140000000000001</v>
      </c>
      <c r="AJ198" t="n">
        <v>9</v>
      </c>
      <c r="AK198" s="34">
        <f>IF(AI198&gt;AJ198*1.05,AI198-AJ198*1.05,IF(AI198&lt;AJ198*0.95,AJ198*0.95-AI198,0))</f>
        <v/>
      </c>
      <c r="AL198" s="34">
        <f>MAX(F198,G198,750)*0.05*AK198</f>
        <v/>
      </c>
      <c r="AM198" s="39" t="n">
        <v>9</v>
      </c>
      <c r="AN198" s="34">
        <f>IF(AI198&gt;AM198*1.05,AI198-AM198*1.05,IF(AI198&lt;AM198*0.95,AM198*0.95-AI198,0))</f>
        <v/>
      </c>
      <c r="AO198" s="34">
        <f>MAX(F198,G198,750)*0.05*AN198</f>
        <v/>
      </c>
      <c r="AP198" s="34" t="n">
        <v>12.2</v>
      </c>
      <c r="AQ198" s="34" t="n">
        <v>12</v>
      </c>
      <c r="AR198" s="34">
        <f>IF(AP198&gt;AQ198*1.05,AP198-AQ198*1.05,IF(AP198&lt;AQ198*0.95,AQ198*0.95-AP198,0))</f>
        <v/>
      </c>
      <c r="AS198" s="34">
        <f>MAX(F198:G198,750)*0.05*AR198</f>
        <v/>
      </c>
      <c r="AT198" t="n">
        <v>12</v>
      </c>
      <c r="AU198" s="34">
        <f>IF(AP198&gt;AT198*1.05,AP198-AT198*1.05,IF(AP198&lt;AT198*0.95,AT198*0.95-AP198,0))</f>
        <v/>
      </c>
      <c r="AV198" s="34">
        <f>MAX(F198:G198,750)*0.05*AU198</f>
        <v/>
      </c>
      <c r="AW198" s="34">
        <f>AC198+AJ198+AQ198</f>
        <v/>
      </c>
      <c r="AX198" s="34">
        <f>AF198+AM198+AT198</f>
        <v/>
      </c>
      <c r="AY198" s="34">
        <f>AB198+AI198+AP198</f>
        <v/>
      </c>
      <c r="AZ198" s="34" t="n">
        <v>0</v>
      </c>
      <c r="BA198" s="34">
        <f>AD198+AK198+AR198</f>
        <v/>
      </c>
      <c r="BB198" s="34">
        <f>MAX(F198:G198,750)*0.05*BA198</f>
        <v/>
      </c>
      <c r="BC198" s="34">
        <f>AG198+AN198+AU198</f>
        <v/>
      </c>
      <c r="BD198" s="34">
        <f>MAX(F198:G198,750)*0.05*BC198</f>
        <v/>
      </c>
      <c r="BE198" s="34">
        <f>F198*AY198</f>
        <v/>
      </c>
      <c r="BF198" s="34">
        <f>K198-M198</f>
        <v/>
      </c>
      <c r="BG198" s="34">
        <f>P198-S198</f>
        <v/>
      </c>
      <c r="BH198" s="34">
        <f>W198-AA198</f>
        <v/>
      </c>
      <c r="BI198" s="34">
        <f>BF198+BG198+BL198-BN198</f>
        <v/>
      </c>
      <c r="BJ198" s="34">
        <f>ABS(BK198)</f>
        <v/>
      </c>
      <c r="BK198" s="34">
        <f>AY198-(J198-L198+N198-Q198)</f>
        <v/>
      </c>
      <c r="BL198" s="34">
        <f>IF(AND(BK198&gt;0,MIN($F198:$G198)&lt;150,$E198="Enerji Açığı"),-100*BK198*1.03,IF(AND(BK198&gt;0,MIN($F198:$G198)&lt;150,$E198="Enerji Fazlası"),-100*BK198*1.06,IF(AND(BK198&gt;0,MIN($F198:$G198)&gt;=150,$E198="Enerji Açığı"),BK198*MIN($F198:$G198)*0.97,IF(AND(BK198&gt;0,MIN($F198:$G198)&gt;=150,$E198="Enerji Fazlası"),BK198*MIN($F198:$G198)*0.94,IF(AND(BK198&lt;0,MAX($F198:$G198)=4500,$E198="Enerji Açığı"),4500*1.05*1.06*BK198,IF(AND(BK198&lt;0,MAX($F198:$G198)=4500,$E198="Enerji Fazlası"),4500*1.05*1.03*BK198,IF(AND(BK198&lt;0,$E198="Enerji Açığı"),MAX($F198,$G198,150)*BK198*1.06,IF(AND(BK198&lt;0,$E198="Enerji Fazlası"),MAX($F198,$G198,150)*BK198*1.03,IF(AND(BK198&lt;0,$E198="Dengede"),MAX($F198:$G198,150)*1.03*BK198,MIN($F198:$G198)*0.97*BK198)))))))))</f>
        <v/>
      </c>
      <c r="BM198" s="34">
        <f>BE198-BI198-BN198</f>
        <v/>
      </c>
      <c r="BN198" s="34">
        <f>BB198</f>
        <v/>
      </c>
      <c r="BO198" s="34">
        <f>BE198-BI198</f>
        <v/>
      </c>
      <c r="BP198" s="34">
        <f>IF(AY198=0,0,BO198/AY198)</f>
        <v/>
      </c>
      <c r="BQ198" s="34">
        <f>MAX((AY198+MAX((-J198+L198-N198+Q198),0)),(MAX((J198-L198+N198-Q198),0)))</f>
        <v/>
      </c>
      <c r="BR198" s="82">
        <f>IFERROR(ABS(BK198/BQ198),0)</f>
        <v/>
      </c>
      <c r="BS198" s="34">
        <f>IF(BR198&lt;=0.1,0,BK198/BR198*(BR198-0.1))</f>
        <v/>
      </c>
      <c r="BT198" s="34">
        <f>IF((BS198)&lt;0,MAX(F198:G198)*(BS198)*1.03,MIN(F198:G198)*(BS198)*0.97)</f>
        <v/>
      </c>
      <c r="BU198" s="34">
        <f>IF(BR198&gt;0.1,1,0)</f>
        <v/>
      </c>
      <c r="BV198" s="34">
        <f>BF198+BG198+BH198+BY198-CA198</f>
        <v/>
      </c>
      <c r="BW198" s="34">
        <f>ABS(BX198)</f>
        <v/>
      </c>
      <c r="BX198" s="34">
        <f>AY198-(J198-L198+N198-Q198+T198-X198)</f>
        <v/>
      </c>
      <c r="BY198" s="34">
        <f>IF(AND(BX198&gt;0,MIN($F198:$G198)&lt;150,$E198="Enerji Açığı"),-100*BX198*1.03,IF(AND(BX198&gt;0,MIN($F198:$G198)&lt;150,$E198="Enerji Fazlası"),-100*BX198*1.06,IF(AND(BX198&gt;0,MIN($F198:$G198)&gt;=150,$E198="Enerji Açığı"),BX198*MIN($F198:$G198)*0.97,IF(AND(BX198&gt;0,MIN($F198:$G198)&gt;=150,$E198="Enerji Fazlası"),BX198*MIN($F198:$G198)*0.94,IF(AND(BX198&lt;0,MAX($F198:$G198)=4500,$E198="Enerji Açığı"),4500*1.05*1.06*BX198,IF(AND(BX198&lt;0,MAX($F198:$G198)=4500,$E198="Enerji Fazlası"),4500*1.05*1.03*BX198,IF(AND(BX198&lt;0,$E198="Enerji Açığı"),MAX($F198,$G198,150)*BX198*1.06,IF(AND(BX198&lt;0,$E198="Enerji Fazlası"),MAX($F198,$G198,150)*BX198*1.03,IF(AND(BX198&lt;0,$E198="Dengede"),MAX($F198:$G198,150)*1.03*BX198,MIN($F198:$G198)*0.97*BX198)))))))))</f>
        <v/>
      </c>
      <c r="BZ198" s="34">
        <f>BE198-BV198-CA198</f>
        <v/>
      </c>
      <c r="CA198" s="34">
        <f>BD198</f>
        <v/>
      </c>
      <c r="CB198" s="33">
        <f>BE198-BV198</f>
        <v/>
      </c>
      <c r="CC198" s="34">
        <f>IF(AY198=0,0,CB198/AY198)</f>
        <v/>
      </c>
      <c r="CD198" s="34">
        <f>MAX((AY198+MAX((-J198+L198-N198+Q198-T198+X198),0)),(MAX((J198-L198+N198-Q198+T198-X198),0)))</f>
        <v/>
      </c>
      <c r="CE198" s="82">
        <f>IFERROR(ABS(BX198/CD198),0)</f>
        <v/>
      </c>
      <c r="CF198" s="34">
        <f>IF(CE198&lt;=0.1,0,BX198/CE198*(CE198-0.1))</f>
        <v/>
      </c>
      <c r="CG198" s="34">
        <f>IF((CF198)&lt;0,MAX(F198:G198)*(CF198)*1.03,MIN(F198:G198)*(CF198)*0.97)</f>
        <v/>
      </c>
      <c r="CH198" s="34">
        <f>IF(CE198&gt;0.1,1,0)</f>
        <v/>
      </c>
      <c r="CI198" s="34">
        <f>(F198*BX198)-BY198</f>
        <v/>
      </c>
      <c r="CJ198" s="34">
        <f>IF(AY198=0,0,CI198/AY198)</f>
        <v/>
      </c>
    </row>
    <row r="199">
      <c r="A199" s="29" t="n">
        <v>46212.16666666666</v>
      </c>
      <c r="B199" s="29" t="inlineStr">
        <is>
          <t>04:00</t>
        </is>
      </c>
      <c r="C199" s="35">
        <f>INT(A199)</f>
        <v/>
      </c>
      <c r="D199" s="36">
        <f>MONTH(A199)</f>
        <v/>
      </c>
      <c r="E199" s="147">
        <f>[1]FİYATLAR!#REF!</f>
        <v/>
      </c>
      <c r="F199" s="30" t="n">
        <v>4000</v>
      </c>
      <c r="G199" s="30" t="n">
        <v>4000</v>
      </c>
      <c r="H199" s="30" t="n">
        <v>85.56</v>
      </c>
      <c r="I199" s="30" t="n">
        <v>3998.94</v>
      </c>
      <c r="J199" s="119" t="n">
        <v>0</v>
      </c>
      <c r="K199" s="34">
        <f>F199*J199</f>
        <v/>
      </c>
      <c r="L199" s="119" t="n"/>
      <c r="M199" s="34">
        <f>L199*F199</f>
        <v/>
      </c>
      <c r="N199" s="119" t="n"/>
      <c r="O199" s="34">
        <f>F199</f>
        <v/>
      </c>
      <c r="P199" s="34">
        <f>N199*O199</f>
        <v/>
      </c>
      <c r="Q199" s="117" t="n">
        <v>0</v>
      </c>
      <c r="R199" s="34">
        <f>F199</f>
        <v/>
      </c>
      <c r="S199" s="34">
        <f>R199*Q199</f>
        <v/>
      </c>
      <c r="T199" s="34">
        <f>SUMIFS('[1]GİP VERİLERİ'!$C:$C,'[1]GİP VERİLERİ'!$B:$B,A199,'[1]GİP VERİLERİ'!$M:$M,"40X000000104782K",'[1]GİP VERİLERİ'!$G:$G,"SELL")</f>
        <v/>
      </c>
      <c r="U199" s="34">
        <f>IFERROR(W199/T199,0)</f>
        <v/>
      </c>
      <c r="V199" s="34">
        <f>IF(U199=0,0,U199-F199)</f>
        <v/>
      </c>
      <c r="W199" s="34">
        <f>SUMIFS('[1]GİP VERİLERİ'!$O:$O,'[1]GİP VERİLERİ'!$B:$B,A199,'[1]GİP VERİLERİ'!$M:$M,"40X000000104782K",'[1]GİP VERİLERİ'!$G:$G,"SELL")</f>
        <v/>
      </c>
      <c r="X199" s="34">
        <f>SUMIFS('[1]GİP VERİLERİ'!$C:$C,'[1]GİP VERİLERİ'!$B:$B,A199,'[1]GİP VERİLERİ'!$M:$M,"40X000000104782K",'[1]GİP VERİLERİ'!$G:$G,"BUY")</f>
        <v/>
      </c>
      <c r="Y199" s="34">
        <f>IFERROR(AA199/X199,0)</f>
        <v/>
      </c>
      <c r="Z199" s="34">
        <f>IF(Y199=0,0,F199-Y199)</f>
        <v/>
      </c>
      <c r="AA199" s="34">
        <f>SUMIFS('[1]GİP VERİLERİ'!$O:$O,'[1]GİP VERİLERİ'!$B:$B,A199,'[1]GİP VERİLERİ'!$M:$M,"40X000000104782K",'[1]GİP VERİLERİ'!$G:$G,"BUY")</f>
        <v/>
      </c>
      <c r="AB199" s="34" t="n">
        <v>0</v>
      </c>
      <c r="AC199" s="34" t="n">
        <v>0</v>
      </c>
      <c r="AD199" s="34">
        <f>IF(AB199&gt;AC199*1.05,AB199-AC199*1.05,IF(AB199&lt;AC199*0.95,AC199*0.95-AB199,0))</f>
        <v/>
      </c>
      <c r="AE199" s="34">
        <f>MAX(F199,G199,750)*0.05*AD199</f>
        <v/>
      </c>
      <c r="AF199" s="34" t="n">
        <v>0</v>
      </c>
      <c r="AG199" s="34">
        <f>IF(AB199&gt;AF199*1.05,AB199-AF199*1.05,IF(AB199&lt;AF199*0.95,AF199*0.95-AB199,0))</f>
        <v/>
      </c>
      <c r="AH199" s="34">
        <f>MAX(I199,J199,750)*0.05*AG199</f>
        <v/>
      </c>
      <c r="AI199" t="n">
        <v>9.119999999999999</v>
      </c>
      <c r="AJ199" t="n">
        <v>9</v>
      </c>
      <c r="AK199" s="34">
        <f>IF(AI199&gt;AJ199*1.05,AI199-AJ199*1.05,IF(AI199&lt;AJ199*0.95,AJ199*0.95-AI199,0))</f>
        <v/>
      </c>
      <c r="AL199" s="34">
        <f>MAX(F199,G199,750)*0.05*AK199</f>
        <v/>
      </c>
      <c r="AM199" s="39" t="n">
        <v>9</v>
      </c>
      <c r="AN199" s="34">
        <f>IF(AI199&gt;AM199*1.05,AI199-AM199*1.05,IF(AI199&lt;AM199*0.95,AM199*0.95-AI199,0))</f>
        <v/>
      </c>
      <c r="AO199" s="34">
        <f>MAX(F199,G199,750)*0.05*AN199</f>
        <v/>
      </c>
      <c r="AP199" s="34" t="n">
        <v>12.21</v>
      </c>
      <c r="AQ199" s="34" t="n">
        <v>12</v>
      </c>
      <c r="AR199" s="34">
        <f>IF(AP199&gt;AQ199*1.05,AP199-AQ199*1.05,IF(AP199&lt;AQ199*0.95,AQ199*0.95-AP199,0))</f>
        <v/>
      </c>
      <c r="AS199" s="34">
        <f>MAX(F199:G199,750)*0.05*AR199</f>
        <v/>
      </c>
      <c r="AT199" t="n">
        <v>12</v>
      </c>
      <c r="AU199" s="34">
        <f>IF(AP199&gt;AT199*1.05,AP199-AT199*1.05,IF(AP199&lt;AT199*0.95,AT199*0.95-AP199,0))</f>
        <v/>
      </c>
      <c r="AV199" s="34">
        <f>MAX(F199:G199,750)*0.05*AU199</f>
        <v/>
      </c>
      <c r="AW199" s="34">
        <f>AC199+AJ199+AQ199</f>
        <v/>
      </c>
      <c r="AX199" s="34">
        <f>AF199+AM199+AT199</f>
        <v/>
      </c>
      <c r="AY199" s="34">
        <f>AB199+AI199+AP199</f>
        <v/>
      </c>
      <c r="AZ199" s="34" t="n">
        <v>0</v>
      </c>
      <c r="BA199" s="34">
        <f>AD199+AK199+AR199</f>
        <v/>
      </c>
      <c r="BB199" s="34">
        <f>MAX(F199:G199,750)*0.05*BA199</f>
        <v/>
      </c>
      <c r="BC199" s="34">
        <f>AG199+AN199+AU199</f>
        <v/>
      </c>
      <c r="BD199" s="34">
        <f>MAX(F199:G199,750)*0.05*BC199</f>
        <v/>
      </c>
      <c r="BE199" s="34">
        <f>F199*AY199</f>
        <v/>
      </c>
      <c r="BF199" s="34">
        <f>K199-M199</f>
        <v/>
      </c>
      <c r="BG199" s="34">
        <f>P199-S199</f>
        <v/>
      </c>
      <c r="BH199" s="34">
        <f>W199-AA199</f>
        <v/>
      </c>
      <c r="BI199" s="34">
        <f>BF199+BG199+BL199-BN199</f>
        <v/>
      </c>
      <c r="BJ199" s="34">
        <f>ABS(BK199)</f>
        <v/>
      </c>
      <c r="BK199" s="34">
        <f>AY199-(J199-L199+N199-Q199)</f>
        <v/>
      </c>
      <c r="BL199" s="34">
        <f>IF(AND(BK199&gt;0,MIN($F199:$G199)&lt;150,$E199="Enerji Açığı"),-100*BK199*1.03,IF(AND(BK199&gt;0,MIN($F199:$G199)&lt;150,$E199="Enerji Fazlası"),-100*BK199*1.06,IF(AND(BK199&gt;0,MIN($F199:$G199)&gt;=150,$E199="Enerji Açığı"),BK199*MIN($F199:$G199)*0.97,IF(AND(BK199&gt;0,MIN($F199:$G199)&gt;=150,$E199="Enerji Fazlası"),BK199*MIN($F199:$G199)*0.94,IF(AND(BK199&lt;0,MAX($F199:$G199)=4500,$E199="Enerji Açığı"),4500*1.05*1.06*BK199,IF(AND(BK199&lt;0,MAX($F199:$G199)=4500,$E199="Enerji Fazlası"),4500*1.05*1.03*BK199,IF(AND(BK199&lt;0,$E199="Enerji Açığı"),MAX($F199,$G199,150)*BK199*1.06,IF(AND(BK199&lt;0,$E199="Enerji Fazlası"),MAX($F199,$G199,150)*BK199*1.03,IF(AND(BK199&lt;0,$E199="Dengede"),MAX($F199:$G199,150)*1.03*BK199,MIN($F199:$G199)*0.97*BK199)))))))))</f>
        <v/>
      </c>
      <c r="BM199" s="34">
        <f>BE199-BI199-BN199</f>
        <v/>
      </c>
      <c r="BN199" s="34">
        <f>BB199</f>
        <v/>
      </c>
      <c r="BO199" s="34">
        <f>BE199-BI199</f>
        <v/>
      </c>
      <c r="BP199" s="34">
        <f>IF(AY199=0,0,BO199/AY199)</f>
        <v/>
      </c>
      <c r="BQ199" s="34">
        <f>MAX((AY199+MAX((-J199+L199-N199+Q199),0)),(MAX((J199-L199+N199-Q199),0)))</f>
        <v/>
      </c>
      <c r="BR199" s="82">
        <f>IFERROR(ABS(BK199/BQ199),0)</f>
        <v/>
      </c>
      <c r="BS199" s="34">
        <f>IF(BR199&lt;=0.1,0,BK199/BR199*(BR199-0.1))</f>
        <v/>
      </c>
      <c r="BT199" s="34">
        <f>IF((BS199)&lt;0,MAX(F199:G199)*(BS199)*1.03,MIN(F199:G199)*(BS199)*0.97)</f>
        <v/>
      </c>
      <c r="BU199" s="34">
        <f>IF(BR199&gt;0.1,1,0)</f>
        <v/>
      </c>
      <c r="BV199" s="34">
        <f>BF199+BG199+BH199+BY199-CA199</f>
        <v/>
      </c>
      <c r="BW199" s="34">
        <f>ABS(BX199)</f>
        <v/>
      </c>
      <c r="BX199" s="34">
        <f>AY199-(J199-L199+N199-Q199+T199-X199)</f>
        <v/>
      </c>
      <c r="BY199" s="34">
        <f>IF(AND(BX199&gt;0,MIN($F199:$G199)&lt;150,$E199="Enerji Açığı"),-100*BX199*1.03,IF(AND(BX199&gt;0,MIN($F199:$G199)&lt;150,$E199="Enerji Fazlası"),-100*BX199*1.06,IF(AND(BX199&gt;0,MIN($F199:$G199)&gt;=150,$E199="Enerji Açığı"),BX199*MIN($F199:$G199)*0.97,IF(AND(BX199&gt;0,MIN($F199:$G199)&gt;=150,$E199="Enerji Fazlası"),BX199*MIN($F199:$G199)*0.94,IF(AND(BX199&lt;0,MAX($F199:$G199)=4500,$E199="Enerji Açığı"),4500*1.05*1.06*BX199,IF(AND(BX199&lt;0,MAX($F199:$G199)=4500,$E199="Enerji Fazlası"),4500*1.05*1.03*BX199,IF(AND(BX199&lt;0,$E199="Enerji Açığı"),MAX($F199,$G199,150)*BX199*1.06,IF(AND(BX199&lt;0,$E199="Enerji Fazlası"),MAX($F199,$G199,150)*BX199*1.03,IF(AND(BX199&lt;0,$E199="Dengede"),MAX($F199:$G199,150)*1.03*BX199,MIN($F199:$G199)*0.97*BX199)))))))))</f>
        <v/>
      </c>
      <c r="BZ199" s="34">
        <f>BE199-BV199-CA199</f>
        <v/>
      </c>
      <c r="CA199" s="34">
        <f>BD199</f>
        <v/>
      </c>
      <c r="CB199" s="33">
        <f>BE199-BV199</f>
        <v/>
      </c>
      <c r="CC199" s="34">
        <f>IF(AY199=0,0,CB199/AY199)</f>
        <v/>
      </c>
      <c r="CD199" s="34">
        <f>MAX((AY199+MAX((-J199+L199-N199+Q199-T199+X199),0)),(MAX((J199-L199+N199-Q199+T199-X199),0)))</f>
        <v/>
      </c>
      <c r="CE199" s="82">
        <f>IFERROR(ABS(BX199/CD199),0)</f>
        <v/>
      </c>
      <c r="CF199" s="34">
        <f>IF(CE199&lt;=0.1,0,BX199/CE199*(CE199-0.1))</f>
        <v/>
      </c>
      <c r="CG199" s="34">
        <f>IF((CF199)&lt;0,MAX(F199:G199)*(CF199)*1.03,MIN(F199:G199)*(CF199)*0.97)</f>
        <v/>
      </c>
      <c r="CH199" s="34">
        <f>IF(CE199&gt;0.1,1,0)</f>
        <v/>
      </c>
      <c r="CI199" s="34">
        <f>(F199*BX199)-BY199</f>
        <v/>
      </c>
      <c r="CJ199" s="34">
        <f>IF(AY199=0,0,CI199/AY199)</f>
        <v/>
      </c>
    </row>
    <row r="200">
      <c r="A200" s="29" t="n">
        <v>46212.20833333334</v>
      </c>
      <c r="B200" s="29" t="inlineStr">
        <is>
          <t>05:00</t>
        </is>
      </c>
      <c r="C200" s="35">
        <f>INT(A200)</f>
        <v/>
      </c>
      <c r="D200" s="36">
        <f>MONTH(A200)</f>
        <v/>
      </c>
      <c r="E200" s="147">
        <f>[1]FİYATLAR!#REF!</f>
        <v/>
      </c>
      <c r="F200" s="30" t="n">
        <v>3613.15</v>
      </c>
      <c r="G200" s="30" t="n">
        <v>3613.15</v>
      </c>
      <c r="H200" s="30" t="n">
        <v>77.28</v>
      </c>
      <c r="I200" s="30" t="n">
        <v>3695.17</v>
      </c>
      <c r="J200" s="119" t="n">
        <v>0</v>
      </c>
      <c r="K200" s="34">
        <f>F200*J200</f>
        <v/>
      </c>
      <c r="L200" s="119" t="n"/>
      <c r="M200" s="34">
        <f>L200*F200</f>
        <v/>
      </c>
      <c r="N200" s="119" t="n"/>
      <c r="O200" s="34">
        <f>F200</f>
        <v/>
      </c>
      <c r="P200" s="34">
        <f>N200*O200</f>
        <v/>
      </c>
      <c r="Q200" s="117" t="n">
        <v>0</v>
      </c>
      <c r="R200" s="34">
        <f>F200</f>
        <v/>
      </c>
      <c r="S200" s="34">
        <f>R200*Q200</f>
        <v/>
      </c>
      <c r="T200" s="34">
        <f>SUMIFS('[1]GİP VERİLERİ'!$C:$C,'[1]GİP VERİLERİ'!$B:$B,A200,'[1]GİP VERİLERİ'!$M:$M,"40X000000104782K",'[1]GİP VERİLERİ'!$G:$G,"SELL")</f>
        <v/>
      </c>
      <c r="U200" s="34">
        <f>IFERROR(W200/T200,0)</f>
        <v/>
      </c>
      <c r="V200" s="34">
        <f>IF(U200=0,0,U200-F200)</f>
        <v/>
      </c>
      <c r="W200" s="34">
        <f>SUMIFS('[1]GİP VERİLERİ'!$O:$O,'[1]GİP VERİLERİ'!$B:$B,A200,'[1]GİP VERİLERİ'!$M:$M,"40X000000104782K",'[1]GİP VERİLERİ'!$G:$G,"SELL")</f>
        <v/>
      </c>
      <c r="X200" s="34">
        <f>SUMIFS('[1]GİP VERİLERİ'!$C:$C,'[1]GİP VERİLERİ'!$B:$B,A200,'[1]GİP VERİLERİ'!$M:$M,"40X000000104782K",'[1]GİP VERİLERİ'!$G:$G,"BUY")</f>
        <v/>
      </c>
      <c r="Y200" s="34">
        <f>IFERROR(AA200/X200,0)</f>
        <v/>
      </c>
      <c r="Z200" s="34">
        <f>IF(Y200=0,0,F200-Y200)</f>
        <v/>
      </c>
      <c r="AA200" s="34">
        <f>SUMIFS('[1]GİP VERİLERİ'!$O:$O,'[1]GİP VERİLERİ'!$B:$B,A200,'[1]GİP VERİLERİ'!$M:$M,"40X000000104782K",'[1]GİP VERİLERİ'!$G:$G,"BUY")</f>
        <v/>
      </c>
      <c r="AB200" s="34" t="n">
        <v>0</v>
      </c>
      <c r="AC200" s="34" t="n">
        <v>0</v>
      </c>
      <c r="AD200" s="34">
        <f>IF(AB200&gt;AC200*1.05,AB200-AC200*1.05,IF(AB200&lt;AC200*0.95,AC200*0.95-AB200,0))</f>
        <v/>
      </c>
      <c r="AE200" s="34">
        <f>MAX(F200,G200,750)*0.05*AD200</f>
        <v/>
      </c>
      <c r="AF200" s="34" t="n">
        <v>0</v>
      </c>
      <c r="AG200" s="34">
        <f>IF(AB200&gt;AF200*1.05,AB200-AF200*1.05,IF(AB200&lt;AF200*0.95,AF200*0.95-AB200,0))</f>
        <v/>
      </c>
      <c r="AH200" s="34">
        <f>MAX(I200,J200,750)*0.05*AG200</f>
        <v/>
      </c>
      <c r="AI200" t="n">
        <v>9.199999999999999</v>
      </c>
      <c r="AJ200" t="n">
        <v>9</v>
      </c>
      <c r="AK200" s="34">
        <f>IF(AI200&gt;AJ200*1.05,AI200-AJ200*1.05,IF(AI200&lt;AJ200*0.95,AJ200*0.95-AI200,0))</f>
        <v/>
      </c>
      <c r="AL200" s="34">
        <f>MAX(F200,G200,750)*0.05*AK200</f>
        <v/>
      </c>
      <c r="AM200" s="39" t="n">
        <v>9</v>
      </c>
      <c r="AN200" s="34">
        <f>IF(AI200&gt;AM200*1.05,AI200-AM200*1.05,IF(AI200&lt;AM200*0.95,AM200*0.95-AI200,0))</f>
        <v/>
      </c>
      <c r="AO200" s="34">
        <f>MAX(F200,G200,750)*0.05*AN200</f>
        <v/>
      </c>
      <c r="AP200" s="34" t="n">
        <v>12.2</v>
      </c>
      <c r="AQ200" s="34" t="n">
        <v>12</v>
      </c>
      <c r="AR200" s="34">
        <f>IF(AP200&gt;AQ200*1.05,AP200-AQ200*1.05,IF(AP200&lt;AQ200*0.95,AQ200*0.95-AP200,0))</f>
        <v/>
      </c>
      <c r="AS200" s="34">
        <f>MAX(F200:G200,750)*0.05*AR200</f>
        <v/>
      </c>
      <c r="AT200" t="n">
        <v>12</v>
      </c>
      <c r="AU200" s="34">
        <f>IF(AP200&gt;AT200*1.05,AP200-AT200*1.05,IF(AP200&lt;AT200*0.95,AT200*0.95-AP200,0))</f>
        <v/>
      </c>
      <c r="AV200" s="34">
        <f>MAX(F200:G200,750)*0.05*AU200</f>
        <v/>
      </c>
      <c r="AW200" s="34">
        <f>AC200+AJ200+AQ200</f>
        <v/>
      </c>
      <c r="AX200" s="34">
        <f>AF200+AM200+AT200</f>
        <v/>
      </c>
      <c r="AY200" s="34">
        <f>AB200+AI200+AP200</f>
        <v/>
      </c>
      <c r="AZ200" s="34" t="n">
        <v>0</v>
      </c>
      <c r="BA200" s="34">
        <f>AD200+AK200+AR200</f>
        <v/>
      </c>
      <c r="BB200" s="34">
        <f>MAX(F200:G200,750)*0.05*BA200</f>
        <v/>
      </c>
      <c r="BC200" s="34">
        <f>AG200+AN200+AU200</f>
        <v/>
      </c>
      <c r="BD200" s="34">
        <f>MAX(F200:G200,750)*0.05*BC200</f>
        <v/>
      </c>
      <c r="BE200" s="34">
        <f>F200*AY200</f>
        <v/>
      </c>
      <c r="BF200" s="34">
        <f>K200-M200</f>
        <v/>
      </c>
      <c r="BG200" s="34">
        <f>P200-S200</f>
        <v/>
      </c>
      <c r="BH200" s="34">
        <f>W200-AA200</f>
        <v/>
      </c>
      <c r="BI200" s="34">
        <f>BF200+BG200+BL200-BN200</f>
        <v/>
      </c>
      <c r="BJ200" s="34">
        <f>ABS(BK200)</f>
        <v/>
      </c>
      <c r="BK200" s="34">
        <f>AY200-(J200-L200+N200-Q200)</f>
        <v/>
      </c>
      <c r="BL200" s="34">
        <f>IF(AND(BK200&gt;0,MIN($F200:$G200)&lt;150,$E200="Enerji Açığı"),-100*BK200*1.03,IF(AND(BK200&gt;0,MIN($F200:$G200)&lt;150,$E200="Enerji Fazlası"),-100*BK200*1.06,IF(AND(BK200&gt;0,MIN($F200:$G200)&gt;=150,$E200="Enerji Açığı"),BK200*MIN($F200:$G200)*0.97,IF(AND(BK200&gt;0,MIN($F200:$G200)&gt;=150,$E200="Enerji Fazlası"),BK200*MIN($F200:$G200)*0.94,IF(AND(BK200&lt;0,MAX($F200:$G200)=4500,$E200="Enerji Açığı"),4500*1.05*1.06*BK200,IF(AND(BK200&lt;0,MAX($F200:$G200)=4500,$E200="Enerji Fazlası"),4500*1.05*1.03*BK200,IF(AND(BK200&lt;0,$E200="Enerji Açığı"),MAX($F200,$G200,150)*BK200*1.06,IF(AND(BK200&lt;0,$E200="Enerji Fazlası"),MAX($F200,$G200,150)*BK200*1.03,IF(AND(BK200&lt;0,$E200="Dengede"),MAX($F200:$G200,150)*1.03*BK200,MIN($F200:$G200)*0.97*BK200)))))))))</f>
        <v/>
      </c>
      <c r="BM200" s="34">
        <f>BE200-BI200-BN200</f>
        <v/>
      </c>
      <c r="BN200" s="34">
        <f>BB200</f>
        <v/>
      </c>
      <c r="BO200" s="34">
        <f>BE200-BI200</f>
        <v/>
      </c>
      <c r="BP200" s="34">
        <f>IF(AY200=0,0,BO200/AY200)</f>
        <v/>
      </c>
      <c r="BQ200" s="34">
        <f>MAX((AY200+MAX((-J200+L200-N200+Q200),0)),(MAX((J200-L200+N200-Q200),0)))</f>
        <v/>
      </c>
      <c r="BR200" s="82">
        <f>IFERROR(ABS(BK200/BQ200),0)</f>
        <v/>
      </c>
      <c r="BS200" s="34">
        <f>IF(BR200&lt;=0.1,0,BK200/BR200*(BR200-0.1))</f>
        <v/>
      </c>
      <c r="BT200" s="34">
        <f>IF((BS200)&lt;0,MAX(F200:G200)*(BS200)*1.03,MIN(F200:G200)*(BS200)*0.97)</f>
        <v/>
      </c>
      <c r="BU200" s="34">
        <f>IF(BR200&gt;0.1,1,0)</f>
        <v/>
      </c>
      <c r="BV200" s="34">
        <f>BF200+BG200+BH200+BY200-CA200</f>
        <v/>
      </c>
      <c r="BW200" s="34">
        <f>ABS(BX200)</f>
        <v/>
      </c>
      <c r="BX200" s="34">
        <f>AY200-(J200-L200+N200-Q200+T200-X200)</f>
        <v/>
      </c>
      <c r="BY200" s="34">
        <f>IF(AND(BX200&gt;0,MIN($F200:$G200)&lt;150,$E200="Enerji Açığı"),-100*BX200*1.03,IF(AND(BX200&gt;0,MIN($F200:$G200)&lt;150,$E200="Enerji Fazlası"),-100*BX200*1.06,IF(AND(BX200&gt;0,MIN($F200:$G200)&gt;=150,$E200="Enerji Açığı"),BX200*MIN($F200:$G200)*0.97,IF(AND(BX200&gt;0,MIN($F200:$G200)&gt;=150,$E200="Enerji Fazlası"),BX200*MIN($F200:$G200)*0.94,IF(AND(BX200&lt;0,MAX($F200:$G200)=4500,$E200="Enerji Açığı"),4500*1.05*1.06*BX200,IF(AND(BX200&lt;0,MAX($F200:$G200)=4500,$E200="Enerji Fazlası"),4500*1.05*1.03*BX200,IF(AND(BX200&lt;0,$E200="Enerji Açığı"),MAX($F200,$G200,150)*BX200*1.06,IF(AND(BX200&lt;0,$E200="Enerji Fazlası"),MAX($F200,$G200,150)*BX200*1.03,IF(AND(BX200&lt;0,$E200="Dengede"),MAX($F200:$G200,150)*1.03*BX200,MIN($F200:$G200)*0.97*BX200)))))))))</f>
        <v/>
      </c>
      <c r="BZ200" s="34">
        <f>BE200-BV200-CA200</f>
        <v/>
      </c>
      <c r="CA200" s="34">
        <f>BD200</f>
        <v/>
      </c>
      <c r="CB200" s="33">
        <f>BE200-BV200</f>
        <v/>
      </c>
      <c r="CC200" s="34">
        <f>IF(AY200=0,0,CB200/AY200)</f>
        <v/>
      </c>
      <c r="CD200" s="34">
        <f>MAX((AY200+MAX((-J200+L200-N200+Q200-T200+X200),0)),(MAX((J200-L200+N200-Q200+T200-X200),0)))</f>
        <v/>
      </c>
      <c r="CE200" s="82">
        <f>IFERROR(ABS(BX200/CD200),0)</f>
        <v/>
      </c>
      <c r="CF200" s="34">
        <f>IF(CE200&lt;=0.1,0,BX200/CE200*(CE200-0.1))</f>
        <v/>
      </c>
      <c r="CG200" s="34">
        <f>IF((CF200)&lt;0,MAX(F200:G200)*(CF200)*1.03,MIN(F200:G200)*(CF200)*0.97)</f>
        <v/>
      </c>
      <c r="CH200" s="34">
        <f>IF(CE200&gt;0.1,1,0)</f>
        <v/>
      </c>
      <c r="CI200" s="34">
        <f>(F200*BX200)-BY200</f>
        <v/>
      </c>
      <c r="CJ200" s="34">
        <f>IF(AY200=0,0,CI200/AY200)</f>
        <v/>
      </c>
    </row>
    <row r="201">
      <c r="A201" s="29" t="n">
        <v>46212.25</v>
      </c>
      <c r="B201" s="29" t="inlineStr">
        <is>
          <t>06:00</t>
        </is>
      </c>
      <c r="C201" s="35">
        <f>INT(A201)</f>
        <v/>
      </c>
      <c r="D201" s="36">
        <f>MONTH(A201)</f>
        <v/>
      </c>
      <c r="E201" s="147">
        <f>[1]FİYATLAR!#REF!</f>
        <v/>
      </c>
      <c r="F201" s="30" t="n">
        <v>3897.18</v>
      </c>
      <c r="G201" s="30" t="n">
        <v>3497.18</v>
      </c>
      <c r="H201" s="30" t="n">
        <v>83.36</v>
      </c>
      <c r="I201" s="30" t="n">
        <v>3383.04</v>
      </c>
      <c r="J201" s="119" t="n">
        <v>0</v>
      </c>
      <c r="K201" s="34">
        <f>F201*J201</f>
        <v/>
      </c>
      <c r="L201" s="119" t="n"/>
      <c r="M201" s="34">
        <f>L201*F201</f>
        <v/>
      </c>
      <c r="N201" s="119" t="n"/>
      <c r="O201" s="34">
        <f>F201</f>
        <v/>
      </c>
      <c r="P201" s="34">
        <f>N201*O201</f>
        <v/>
      </c>
      <c r="Q201" s="117" t="n">
        <v>0</v>
      </c>
      <c r="R201" s="34">
        <f>F201</f>
        <v/>
      </c>
      <c r="S201" s="34">
        <f>R201*Q201</f>
        <v/>
      </c>
      <c r="T201" s="34">
        <f>SUMIFS('[1]GİP VERİLERİ'!$C:$C,'[1]GİP VERİLERİ'!$B:$B,A201,'[1]GİP VERİLERİ'!$M:$M,"40X000000104782K",'[1]GİP VERİLERİ'!$G:$G,"SELL")</f>
        <v/>
      </c>
      <c r="U201" s="34">
        <f>IFERROR(W201/T201,0)</f>
        <v/>
      </c>
      <c r="V201" s="34">
        <f>IF(U201=0,0,U201-F201)</f>
        <v/>
      </c>
      <c r="W201" s="34">
        <f>SUMIFS('[1]GİP VERİLERİ'!$O:$O,'[1]GİP VERİLERİ'!$B:$B,A201,'[1]GİP VERİLERİ'!$M:$M,"40X000000104782K",'[1]GİP VERİLERİ'!$G:$G,"SELL")</f>
        <v/>
      </c>
      <c r="X201" s="34">
        <f>SUMIFS('[1]GİP VERİLERİ'!$C:$C,'[1]GİP VERİLERİ'!$B:$B,A201,'[1]GİP VERİLERİ'!$M:$M,"40X000000104782K",'[1]GİP VERİLERİ'!$G:$G,"BUY")</f>
        <v/>
      </c>
      <c r="Y201" s="34">
        <f>IFERROR(AA201/X201,0)</f>
        <v/>
      </c>
      <c r="Z201" s="34">
        <f>IF(Y201=0,0,F201-Y201)</f>
        <v/>
      </c>
      <c r="AA201" s="34">
        <f>SUMIFS('[1]GİP VERİLERİ'!$O:$O,'[1]GİP VERİLERİ'!$B:$B,A201,'[1]GİP VERİLERİ'!$M:$M,"40X000000104782K",'[1]GİP VERİLERİ'!$G:$G,"BUY")</f>
        <v/>
      </c>
      <c r="AB201" s="34" t="n">
        <v>0</v>
      </c>
      <c r="AC201" s="34" t="n">
        <v>0</v>
      </c>
      <c r="AD201" s="34">
        <f>IF(AB201&gt;AC201*1.05,AB201-AC201*1.05,IF(AB201&lt;AC201*0.95,AC201*0.95-AB201,0))</f>
        <v/>
      </c>
      <c r="AE201" s="34">
        <f>MAX(F201,G201,750)*0.05*AD201</f>
        <v/>
      </c>
      <c r="AF201" s="34" t="n">
        <v>0</v>
      </c>
      <c r="AG201" s="34">
        <f>IF(AB201&gt;AF201*1.05,AB201-AF201*1.05,IF(AB201&lt;AF201*0.95,AF201*0.95-AB201,0))</f>
        <v/>
      </c>
      <c r="AH201" s="34">
        <f>MAX(I201,J201,750)*0.05*AG201</f>
        <v/>
      </c>
      <c r="AI201" t="n">
        <v>9.220000000000001</v>
      </c>
      <c r="AJ201" t="n">
        <v>9</v>
      </c>
      <c r="AK201" s="34">
        <f>IF(AI201&gt;AJ201*1.05,AI201-AJ201*1.05,IF(AI201&lt;AJ201*0.95,AJ201*0.95-AI201,0))</f>
        <v/>
      </c>
      <c r="AL201" s="34">
        <f>MAX(F201,G201,750)*0.05*AK201</f>
        <v/>
      </c>
      <c r="AM201" s="39" t="n">
        <v>9</v>
      </c>
      <c r="AN201" s="34">
        <f>IF(AI201&gt;AM201*1.05,AI201-AM201*1.05,IF(AI201&lt;AM201*0.95,AM201*0.95-AI201,0))</f>
        <v/>
      </c>
      <c r="AO201" s="34">
        <f>MAX(F201,G201,750)*0.05*AN201</f>
        <v/>
      </c>
      <c r="AP201" s="34" t="n">
        <v>12.27</v>
      </c>
      <c r="AQ201" s="34" t="n">
        <v>12.2</v>
      </c>
      <c r="AR201" s="34">
        <f>IF(AP201&gt;AQ201*1.05,AP201-AQ201*1.05,IF(AP201&lt;AQ201*0.95,AQ201*0.95-AP201,0))</f>
        <v/>
      </c>
      <c r="AS201" s="34">
        <f>MAX(F201:G201,750)*0.05*AR201</f>
        <v/>
      </c>
      <c r="AT201" t="n">
        <v>12.2</v>
      </c>
      <c r="AU201" s="34">
        <f>IF(AP201&gt;AT201*1.05,AP201-AT201*1.05,IF(AP201&lt;AT201*0.95,AT201*0.95-AP201,0))</f>
        <v/>
      </c>
      <c r="AV201" s="34">
        <f>MAX(F201:G201,750)*0.05*AU201</f>
        <v/>
      </c>
      <c r="AW201" s="34">
        <f>AC201+AJ201+AQ201</f>
        <v/>
      </c>
      <c r="AX201" s="34">
        <f>AF201+AM201+AT201</f>
        <v/>
      </c>
      <c r="AY201" s="34">
        <f>AB201+AI201+AP201</f>
        <v/>
      </c>
      <c r="AZ201" s="34" t="n">
        <v>0</v>
      </c>
      <c r="BA201" s="34">
        <f>AD201+AK201+AR201</f>
        <v/>
      </c>
      <c r="BB201" s="34">
        <f>MAX(F201:G201,750)*0.05*BA201</f>
        <v/>
      </c>
      <c r="BC201" s="34">
        <f>AG201+AN201+AU201</f>
        <v/>
      </c>
      <c r="BD201" s="34">
        <f>MAX(F201:G201,750)*0.05*BC201</f>
        <v/>
      </c>
      <c r="BE201" s="34">
        <f>F201*AY201</f>
        <v/>
      </c>
      <c r="BF201" s="34">
        <f>K201-M201</f>
        <v/>
      </c>
      <c r="BG201" s="34">
        <f>P201-S201</f>
        <v/>
      </c>
      <c r="BH201" s="34">
        <f>W201-AA201</f>
        <v/>
      </c>
      <c r="BI201" s="34">
        <f>BF201+BG201+BL201-BN201</f>
        <v/>
      </c>
      <c r="BJ201" s="34">
        <f>ABS(BK201)</f>
        <v/>
      </c>
      <c r="BK201" s="34">
        <f>AY201-(J201-L201+N201-Q201)</f>
        <v/>
      </c>
      <c r="BL201" s="34">
        <f>IF(AND(BK201&gt;0,MIN($F201:$G201)&lt;150,$E201="Enerji Açığı"),-100*BK201*1.03,IF(AND(BK201&gt;0,MIN($F201:$G201)&lt;150,$E201="Enerji Fazlası"),-100*BK201*1.06,IF(AND(BK201&gt;0,MIN($F201:$G201)&gt;=150,$E201="Enerji Açığı"),BK201*MIN($F201:$G201)*0.97,IF(AND(BK201&gt;0,MIN($F201:$G201)&gt;=150,$E201="Enerji Fazlası"),BK201*MIN($F201:$G201)*0.94,IF(AND(BK201&lt;0,MAX($F201:$G201)=4500,$E201="Enerji Açığı"),4500*1.05*1.06*BK201,IF(AND(BK201&lt;0,MAX($F201:$G201)=4500,$E201="Enerji Fazlası"),4500*1.05*1.03*BK201,IF(AND(BK201&lt;0,$E201="Enerji Açığı"),MAX($F201,$G201,150)*BK201*1.06,IF(AND(BK201&lt;0,$E201="Enerji Fazlası"),MAX($F201,$G201,150)*BK201*1.03,IF(AND(BK201&lt;0,$E201="Dengede"),MAX($F201:$G201,150)*1.03*BK201,MIN($F201:$G201)*0.97*BK201)))))))))</f>
        <v/>
      </c>
      <c r="BM201" s="34">
        <f>BE201-BI201-BN201</f>
        <v/>
      </c>
      <c r="BN201" s="34">
        <f>BB201</f>
        <v/>
      </c>
      <c r="BO201" s="34">
        <f>BE201-BI201</f>
        <v/>
      </c>
      <c r="BP201" s="34">
        <f>IF(AY201=0,0,BO201/AY201)</f>
        <v/>
      </c>
      <c r="BQ201" s="34">
        <f>MAX((AY201+MAX((-J201+L201-N201+Q201),0)),(MAX((J201-L201+N201-Q201),0)))</f>
        <v/>
      </c>
      <c r="BR201" s="82">
        <f>IFERROR(ABS(BK201/BQ201),0)</f>
        <v/>
      </c>
      <c r="BS201" s="34">
        <f>IF(BR201&lt;=0.1,0,BK201/BR201*(BR201-0.1))</f>
        <v/>
      </c>
      <c r="BT201" s="34">
        <f>IF((BS201)&lt;0,MAX(F201:G201)*(BS201)*1.03,MIN(F201:G201)*(BS201)*0.97)</f>
        <v/>
      </c>
      <c r="BU201" s="34">
        <f>IF(BR201&gt;0.1,1,0)</f>
        <v/>
      </c>
      <c r="BV201" s="34">
        <f>BF201+BG201+BH201+BY201-CA201</f>
        <v/>
      </c>
      <c r="BW201" s="34">
        <f>ABS(BX201)</f>
        <v/>
      </c>
      <c r="BX201" s="34">
        <f>AY201-(J201-L201+N201-Q201+T201-X201)</f>
        <v/>
      </c>
      <c r="BY201" s="34">
        <f>IF(AND(BX201&gt;0,MIN($F201:$G201)&lt;150,$E201="Enerji Açığı"),-100*BX201*1.03,IF(AND(BX201&gt;0,MIN($F201:$G201)&lt;150,$E201="Enerji Fazlası"),-100*BX201*1.06,IF(AND(BX201&gt;0,MIN($F201:$G201)&gt;=150,$E201="Enerji Açığı"),BX201*MIN($F201:$G201)*0.97,IF(AND(BX201&gt;0,MIN($F201:$G201)&gt;=150,$E201="Enerji Fazlası"),BX201*MIN($F201:$G201)*0.94,IF(AND(BX201&lt;0,MAX($F201:$G201)=4500,$E201="Enerji Açığı"),4500*1.05*1.06*BX201,IF(AND(BX201&lt;0,MAX($F201:$G201)=4500,$E201="Enerji Fazlası"),4500*1.05*1.03*BX201,IF(AND(BX201&lt;0,$E201="Enerji Açığı"),MAX($F201,$G201,150)*BX201*1.06,IF(AND(BX201&lt;0,$E201="Enerji Fazlası"),MAX($F201,$G201,150)*BX201*1.03,IF(AND(BX201&lt;0,$E201="Dengede"),MAX($F201:$G201,150)*1.03*BX201,MIN($F201:$G201)*0.97*BX201)))))))))</f>
        <v/>
      </c>
      <c r="BZ201" s="34">
        <f>BE201-BV201-CA201</f>
        <v/>
      </c>
      <c r="CA201" s="34">
        <f>BD201</f>
        <v/>
      </c>
      <c r="CB201" s="33">
        <f>BE201-BV201</f>
        <v/>
      </c>
      <c r="CC201" s="34">
        <f>IF(AY201=0,0,CB201/AY201)</f>
        <v/>
      </c>
      <c r="CD201" s="34">
        <f>MAX((AY201+MAX((-J201+L201-N201+Q201-T201+X201),0)),(MAX((J201-L201+N201-Q201+T201-X201),0)))</f>
        <v/>
      </c>
      <c r="CE201" s="82">
        <f>IFERROR(ABS(BX201/CD201),0)</f>
        <v/>
      </c>
      <c r="CF201" s="34">
        <f>IF(CE201&lt;=0.1,0,BX201/CE201*(CE201-0.1))</f>
        <v/>
      </c>
      <c r="CG201" s="34">
        <f>IF((CF201)&lt;0,MAX(F201:G201)*(CF201)*1.03,MIN(F201:G201)*(CF201)*0.97)</f>
        <v/>
      </c>
      <c r="CH201" s="34">
        <f>IF(CE201&gt;0.1,1,0)</f>
        <v/>
      </c>
      <c r="CI201" s="34">
        <f>(F201*BX201)-BY201</f>
        <v/>
      </c>
      <c r="CJ201" s="34">
        <f>IF(AY201=0,0,CI201/AY201)</f>
        <v/>
      </c>
    </row>
    <row r="202">
      <c r="A202" s="29" t="n">
        <v>46212.29166666666</v>
      </c>
      <c r="B202" s="29" t="inlineStr">
        <is>
          <t>07:00</t>
        </is>
      </c>
      <c r="C202" s="35">
        <f>INT(A202)</f>
        <v/>
      </c>
      <c r="D202" s="36">
        <f>MONTH(A202)</f>
        <v/>
      </c>
      <c r="E202" s="147">
        <f>[1]FİYATLAR!#REF!</f>
        <v/>
      </c>
      <c r="F202" s="30" t="n">
        <v>2050.01</v>
      </c>
      <c r="G202" s="30" t="n">
        <v>600</v>
      </c>
      <c r="H202" s="30" t="n">
        <v>43.85</v>
      </c>
      <c r="I202" s="30" t="n">
        <v>1261.71</v>
      </c>
      <c r="J202" s="119" t="n">
        <v>0</v>
      </c>
      <c r="K202" s="34">
        <f>F202*J202</f>
        <v/>
      </c>
      <c r="L202" s="119" t="n"/>
      <c r="M202" s="34">
        <f>L202*F202</f>
        <v/>
      </c>
      <c r="N202" s="119" t="n"/>
      <c r="O202" s="34">
        <f>F202</f>
        <v/>
      </c>
      <c r="P202" s="34">
        <f>N202*O202</f>
        <v/>
      </c>
      <c r="Q202" s="117" t="n">
        <v>0</v>
      </c>
      <c r="R202" s="34">
        <f>F202</f>
        <v/>
      </c>
      <c r="S202" s="34">
        <f>R202*Q202</f>
        <v/>
      </c>
      <c r="T202" s="34">
        <f>SUMIFS('[1]GİP VERİLERİ'!$C:$C,'[1]GİP VERİLERİ'!$B:$B,A202,'[1]GİP VERİLERİ'!$M:$M,"40X000000104782K",'[1]GİP VERİLERİ'!$G:$G,"SELL")</f>
        <v/>
      </c>
      <c r="U202" s="34">
        <f>IFERROR(W202/T202,0)</f>
        <v/>
      </c>
      <c r="V202" s="34">
        <f>IF(U202=0,0,U202-F202)</f>
        <v/>
      </c>
      <c r="W202" s="34">
        <f>SUMIFS('[1]GİP VERİLERİ'!$O:$O,'[1]GİP VERİLERİ'!$B:$B,A202,'[1]GİP VERİLERİ'!$M:$M,"40X000000104782K",'[1]GİP VERİLERİ'!$G:$G,"SELL")</f>
        <v/>
      </c>
      <c r="X202" s="34">
        <f>SUMIFS('[1]GİP VERİLERİ'!$C:$C,'[1]GİP VERİLERİ'!$B:$B,A202,'[1]GİP VERİLERİ'!$M:$M,"40X000000104782K",'[1]GİP VERİLERİ'!$G:$G,"BUY")</f>
        <v/>
      </c>
      <c r="Y202" s="34">
        <f>IFERROR(AA202/X202,0)</f>
        <v/>
      </c>
      <c r="Z202" s="34">
        <f>IF(Y202=0,0,F202-Y202)</f>
        <v/>
      </c>
      <c r="AA202" s="34">
        <f>SUMIFS('[1]GİP VERİLERİ'!$O:$O,'[1]GİP VERİLERİ'!$B:$B,A202,'[1]GİP VERİLERİ'!$M:$M,"40X000000104782K",'[1]GİP VERİLERİ'!$G:$G,"BUY")</f>
        <v/>
      </c>
      <c r="AB202" s="34" t="n">
        <v>0</v>
      </c>
      <c r="AC202" s="34" t="n">
        <v>0</v>
      </c>
      <c r="AD202" s="34">
        <f>IF(AB202&gt;AC202*1.05,AB202-AC202*1.05,IF(AB202&lt;AC202*0.95,AC202*0.95-AB202,0))</f>
        <v/>
      </c>
      <c r="AE202" s="34">
        <f>MAX(F202,G202,750)*0.05*AD202</f>
        <v/>
      </c>
      <c r="AF202" s="34" t="n">
        <v>0</v>
      </c>
      <c r="AG202" s="34">
        <f>IF(AB202&gt;AF202*1.05,AB202-AF202*1.05,IF(AB202&lt;AF202*0.95,AF202*0.95-AB202,0))</f>
        <v/>
      </c>
      <c r="AH202" s="34">
        <f>MAX(I202,J202,750)*0.05*AG202</f>
        <v/>
      </c>
      <c r="AI202" t="n">
        <v>7.38</v>
      </c>
      <c r="AJ202" t="n">
        <v>9</v>
      </c>
      <c r="AK202" s="34">
        <f>IF(AI202&gt;AJ202*1.05,AI202-AJ202*1.05,IF(AI202&lt;AJ202*0.95,AJ202*0.95-AI202,0))</f>
        <v/>
      </c>
      <c r="AL202" s="34">
        <f>MAX(F202,G202,750)*0.05*AK202</f>
        <v/>
      </c>
      <c r="AM202" s="39" t="n">
        <v>8</v>
      </c>
      <c r="AN202" s="34">
        <f>IF(AI202&gt;AM202*1.05,AI202-AM202*1.05,IF(AI202&lt;AM202*0.95,AM202*0.95-AI202,0))</f>
        <v/>
      </c>
      <c r="AO202" s="34">
        <f>MAX(F202,G202,750)*0.05*AN202</f>
        <v/>
      </c>
      <c r="AP202" s="34" t="n">
        <v>12.49</v>
      </c>
      <c r="AQ202" s="34" t="n">
        <v>12.5</v>
      </c>
      <c r="AR202" s="34">
        <f>IF(AP202&gt;AQ202*1.05,AP202-AQ202*1.05,IF(AP202&lt;AQ202*0.95,AQ202*0.95-AP202,0))</f>
        <v/>
      </c>
      <c r="AS202" s="34">
        <f>MAX(F202:G202,750)*0.05*AR202</f>
        <v/>
      </c>
      <c r="AT202" t="n">
        <v>12.5</v>
      </c>
      <c r="AU202" s="34">
        <f>IF(AP202&gt;AT202*1.05,AP202-AT202*1.05,IF(AP202&lt;AT202*0.95,AT202*0.95-AP202,0))</f>
        <v/>
      </c>
      <c r="AV202" s="34">
        <f>MAX(F202:G202,750)*0.05*AU202</f>
        <v/>
      </c>
      <c r="AW202" s="34">
        <f>AC202+AJ202+AQ202</f>
        <v/>
      </c>
      <c r="AX202" s="34">
        <f>AF202+AM202+AT202</f>
        <v/>
      </c>
      <c r="AY202" s="34">
        <f>AB202+AI202+AP202</f>
        <v/>
      </c>
      <c r="AZ202" s="34" t="n">
        <v>0</v>
      </c>
      <c r="BA202" s="34">
        <f>AD202+AK202+AR202</f>
        <v/>
      </c>
      <c r="BB202" s="34">
        <f>MAX(F202:G202,750)*0.05*BA202</f>
        <v/>
      </c>
      <c r="BC202" s="34">
        <f>AG202+AN202+AU202</f>
        <v/>
      </c>
      <c r="BD202" s="34">
        <f>MAX(F202:G202,750)*0.05*BC202</f>
        <v/>
      </c>
      <c r="BE202" s="34">
        <f>F202*AY202</f>
        <v/>
      </c>
      <c r="BF202" s="34">
        <f>K202-M202</f>
        <v/>
      </c>
      <c r="BG202" s="34">
        <f>P202-S202</f>
        <v/>
      </c>
      <c r="BH202" s="34">
        <f>W202-AA202</f>
        <v/>
      </c>
      <c r="BI202" s="34">
        <f>BF202+BG202+BL202-BN202</f>
        <v/>
      </c>
      <c r="BJ202" s="34">
        <f>ABS(BK202)</f>
        <v/>
      </c>
      <c r="BK202" s="34">
        <f>AY202-(J202-L202+N202-Q202)</f>
        <v/>
      </c>
      <c r="BL202" s="34">
        <f>IF(AND(BK202&gt;0,MIN($F202:$G202)&lt;150,$E202="Enerji Açığı"),-100*BK202*1.03,IF(AND(BK202&gt;0,MIN($F202:$G202)&lt;150,$E202="Enerji Fazlası"),-100*BK202*1.06,IF(AND(BK202&gt;0,MIN($F202:$G202)&gt;=150,$E202="Enerji Açığı"),BK202*MIN($F202:$G202)*0.97,IF(AND(BK202&gt;0,MIN($F202:$G202)&gt;=150,$E202="Enerji Fazlası"),BK202*MIN($F202:$G202)*0.94,IF(AND(BK202&lt;0,MAX($F202:$G202)=4500,$E202="Enerji Açığı"),4500*1.05*1.06*BK202,IF(AND(BK202&lt;0,MAX($F202:$G202)=4500,$E202="Enerji Fazlası"),4500*1.05*1.03*BK202,IF(AND(BK202&lt;0,$E202="Enerji Açığı"),MAX($F202,$G202,150)*BK202*1.06,IF(AND(BK202&lt;0,$E202="Enerji Fazlası"),MAX($F202,$G202,150)*BK202*1.03,IF(AND(BK202&lt;0,$E202="Dengede"),MAX($F202:$G202,150)*1.03*BK202,MIN($F202:$G202)*0.97*BK202)))))))))</f>
        <v/>
      </c>
      <c r="BM202" s="34">
        <f>BE202-BI202-BN202</f>
        <v/>
      </c>
      <c r="BN202" s="34">
        <f>BB202</f>
        <v/>
      </c>
      <c r="BO202" s="34">
        <f>BE202-BI202</f>
        <v/>
      </c>
      <c r="BP202" s="34">
        <f>IF(AY202=0,0,BO202/AY202)</f>
        <v/>
      </c>
      <c r="BQ202" s="34">
        <f>MAX((AY202+MAX((-J202+L202-N202+Q202),0)),(MAX((J202-L202+N202-Q202),0)))</f>
        <v/>
      </c>
      <c r="BR202" s="82">
        <f>IFERROR(ABS(BK202/BQ202),0)</f>
        <v/>
      </c>
      <c r="BS202" s="34">
        <f>IF(BR202&lt;=0.1,0,BK202/BR202*(BR202-0.1))</f>
        <v/>
      </c>
      <c r="BT202" s="34">
        <f>IF((BS202)&lt;0,MAX(F202:G202)*(BS202)*1.03,MIN(F202:G202)*(BS202)*0.97)</f>
        <v/>
      </c>
      <c r="BU202" s="34">
        <f>IF(BR202&gt;0.1,1,0)</f>
        <v/>
      </c>
      <c r="BV202" s="34">
        <f>BF202+BG202+BH202+BY202-CA202</f>
        <v/>
      </c>
      <c r="BW202" s="34">
        <f>ABS(BX202)</f>
        <v/>
      </c>
      <c r="BX202" s="34">
        <f>AY202-(J202-L202+N202-Q202+T202-X202)</f>
        <v/>
      </c>
      <c r="BY202" s="34">
        <f>IF(AND(BX202&gt;0,MIN($F202:$G202)&lt;150,$E202="Enerji Açığı"),-100*BX202*1.03,IF(AND(BX202&gt;0,MIN($F202:$G202)&lt;150,$E202="Enerji Fazlası"),-100*BX202*1.06,IF(AND(BX202&gt;0,MIN($F202:$G202)&gt;=150,$E202="Enerji Açığı"),BX202*MIN($F202:$G202)*0.97,IF(AND(BX202&gt;0,MIN($F202:$G202)&gt;=150,$E202="Enerji Fazlası"),BX202*MIN($F202:$G202)*0.94,IF(AND(BX202&lt;0,MAX($F202:$G202)=4500,$E202="Enerji Açığı"),4500*1.05*1.06*BX202,IF(AND(BX202&lt;0,MAX($F202:$G202)=4500,$E202="Enerji Fazlası"),4500*1.05*1.03*BX202,IF(AND(BX202&lt;0,$E202="Enerji Açığı"),MAX($F202,$G202,150)*BX202*1.06,IF(AND(BX202&lt;0,$E202="Enerji Fazlası"),MAX($F202,$G202,150)*BX202*1.03,IF(AND(BX202&lt;0,$E202="Dengede"),MAX($F202:$G202,150)*1.03*BX202,MIN($F202:$G202)*0.97*BX202)))))))))</f>
        <v/>
      </c>
      <c r="BZ202" s="34">
        <f>BE202-BV202-CA202</f>
        <v/>
      </c>
      <c r="CA202" s="34">
        <f>BD202</f>
        <v/>
      </c>
      <c r="CB202" s="33">
        <f>BE202-BV202</f>
        <v/>
      </c>
      <c r="CC202" s="34">
        <f>IF(AY202=0,0,CB202/AY202)</f>
        <v/>
      </c>
      <c r="CD202" s="34">
        <f>MAX((AY202+MAX((-J202+L202-N202+Q202-T202+X202),0)),(MAX((J202-L202+N202-Q202+T202-X202),0)))</f>
        <v/>
      </c>
      <c r="CE202" s="82">
        <f>IFERROR(ABS(BX202/CD202),0)</f>
        <v/>
      </c>
      <c r="CF202" s="34">
        <f>IF(CE202&lt;=0.1,0,BX202/CE202*(CE202-0.1))</f>
        <v/>
      </c>
      <c r="CG202" s="34">
        <f>IF((CF202)&lt;0,MAX(F202:G202)*(CF202)*1.03,MIN(F202:G202)*(CF202)*0.97)</f>
        <v/>
      </c>
      <c r="CH202" s="34">
        <f>IF(CE202&gt;0.1,1,0)</f>
        <v/>
      </c>
      <c r="CI202" s="34">
        <f>(F202*BX202)-BY202</f>
        <v/>
      </c>
      <c r="CJ202" s="34">
        <f>IF(AY202=0,0,CI202/AY202)</f>
        <v/>
      </c>
    </row>
    <row r="203">
      <c r="A203" s="29" t="n">
        <v>46212.33333333334</v>
      </c>
      <c r="B203" s="29" t="inlineStr">
        <is>
          <t>08:00</t>
        </is>
      </c>
      <c r="C203" s="35">
        <f>INT(A203)</f>
        <v/>
      </c>
      <c r="D203" s="36">
        <f>MONTH(A203)</f>
        <v/>
      </c>
      <c r="E203" s="147">
        <f>[1]FİYATLAR!#REF!</f>
        <v/>
      </c>
      <c r="F203" s="30" t="n">
        <v>3336.04</v>
      </c>
      <c r="G203" s="30" t="n">
        <v>3336.04</v>
      </c>
      <c r="H203" s="30" t="n">
        <v>71.36</v>
      </c>
      <c r="I203" s="30" t="n">
        <v>3080.78</v>
      </c>
      <c r="J203" s="119" t="n">
        <v>0</v>
      </c>
      <c r="K203" s="34">
        <f>F203*J203</f>
        <v/>
      </c>
      <c r="L203" s="119" t="n"/>
      <c r="M203" s="34">
        <f>L203*F203</f>
        <v/>
      </c>
      <c r="N203" s="119" t="n"/>
      <c r="O203" s="34">
        <f>F203</f>
        <v/>
      </c>
      <c r="P203" s="34">
        <f>N203*O203</f>
        <v/>
      </c>
      <c r="Q203" s="117" t="n">
        <v>0</v>
      </c>
      <c r="R203" s="34">
        <f>F203</f>
        <v/>
      </c>
      <c r="S203" s="34">
        <f>R203*Q203</f>
        <v/>
      </c>
      <c r="T203" s="34">
        <f>SUMIFS('[1]GİP VERİLERİ'!$C:$C,'[1]GİP VERİLERİ'!$B:$B,A203,'[1]GİP VERİLERİ'!$M:$M,"40X000000104782K",'[1]GİP VERİLERİ'!$G:$G,"SELL")</f>
        <v/>
      </c>
      <c r="U203" s="34">
        <f>IFERROR(W203/T203,0)</f>
        <v/>
      </c>
      <c r="V203" s="34">
        <f>IF(U203=0,0,U203-F203)</f>
        <v/>
      </c>
      <c r="W203" s="34">
        <f>SUMIFS('[1]GİP VERİLERİ'!$O:$O,'[1]GİP VERİLERİ'!$B:$B,A203,'[1]GİP VERİLERİ'!$M:$M,"40X000000104782K",'[1]GİP VERİLERİ'!$G:$G,"SELL")</f>
        <v/>
      </c>
      <c r="X203" s="34">
        <f>SUMIFS('[1]GİP VERİLERİ'!$C:$C,'[1]GİP VERİLERİ'!$B:$B,A203,'[1]GİP VERİLERİ'!$M:$M,"40X000000104782K",'[1]GİP VERİLERİ'!$G:$G,"BUY")</f>
        <v/>
      </c>
      <c r="Y203" s="34">
        <f>IFERROR(AA203/X203,0)</f>
        <v/>
      </c>
      <c r="Z203" s="34">
        <f>IF(Y203=0,0,F203-Y203)</f>
        <v/>
      </c>
      <c r="AA203" s="34">
        <f>SUMIFS('[1]GİP VERİLERİ'!$O:$O,'[1]GİP VERİLERİ'!$B:$B,A203,'[1]GİP VERİLERİ'!$M:$M,"40X000000104782K",'[1]GİP VERİLERİ'!$G:$G,"BUY")</f>
        <v/>
      </c>
      <c r="AB203" s="34" t="n">
        <v>0</v>
      </c>
      <c r="AC203" s="34" t="n">
        <v>0</v>
      </c>
      <c r="AD203" s="34">
        <f>IF(AB203&gt;AC203*1.05,AB203-AC203*1.05,IF(AB203&lt;AC203*0.95,AC203*0.95-AB203,0))</f>
        <v/>
      </c>
      <c r="AE203" s="34">
        <f>MAX(F203,G203,750)*0.05*AD203</f>
        <v/>
      </c>
      <c r="AF203" s="34" t="n">
        <v>0</v>
      </c>
      <c r="AG203" s="34">
        <f>IF(AB203&gt;AF203*1.05,AB203-AF203*1.05,IF(AB203&lt;AF203*0.95,AF203*0.95-AB203,0))</f>
        <v/>
      </c>
      <c r="AH203" s="34">
        <f>MAX(I203,J203,750)*0.05*AG203</f>
        <v/>
      </c>
      <c r="AI203" t="n">
        <v>10.25</v>
      </c>
      <c r="AJ203" t="n">
        <v>9</v>
      </c>
      <c r="AK203" s="34">
        <f>IF(AI203&gt;AJ203*1.05,AI203-AJ203*1.05,IF(AI203&lt;AJ203*0.95,AJ203*0.95-AI203,0))</f>
        <v/>
      </c>
      <c r="AL203" s="34">
        <f>MAX(F203,G203,750)*0.05*AK203</f>
        <v/>
      </c>
      <c r="AM203" s="39" t="n">
        <v>9</v>
      </c>
      <c r="AN203" s="34">
        <f>IF(AI203&gt;AM203*1.05,AI203-AM203*1.05,IF(AI203&lt;AM203*0.95,AM203*0.95-AI203,0))</f>
        <v/>
      </c>
      <c r="AO203" s="34">
        <f>MAX(F203,G203,750)*0.05*AN203</f>
        <v/>
      </c>
      <c r="AP203" s="34" t="n">
        <v>11.95</v>
      </c>
      <c r="AQ203" s="34" t="n">
        <v>13</v>
      </c>
      <c r="AR203" s="34">
        <f>IF(AP203&gt;AQ203*1.05,AP203-AQ203*1.05,IF(AP203&lt;AQ203*0.95,AQ203*0.95-AP203,0))</f>
        <v/>
      </c>
      <c r="AS203" s="34">
        <f>MAX(F203:G203,750)*0.05*AR203</f>
        <v/>
      </c>
      <c r="AT203" t="n">
        <v>13</v>
      </c>
      <c r="AU203" s="34">
        <f>IF(AP203&gt;AT203*1.05,AP203-AT203*1.05,IF(AP203&lt;AT203*0.95,AT203*0.95-AP203,0))</f>
        <v/>
      </c>
      <c r="AV203" s="34">
        <f>MAX(F203:G203,750)*0.05*AU203</f>
        <v/>
      </c>
      <c r="AW203" s="34">
        <f>AC203+AJ203+AQ203</f>
        <v/>
      </c>
      <c r="AX203" s="34">
        <f>AF203+AM203+AT203</f>
        <v/>
      </c>
      <c r="AY203" s="34">
        <f>AB203+AI203+AP203</f>
        <v/>
      </c>
      <c r="AZ203" s="34" t="n">
        <v>0</v>
      </c>
      <c r="BA203" s="34">
        <f>AD203+AK203+AR203</f>
        <v/>
      </c>
      <c r="BB203" s="34">
        <f>MAX(F203:G203,750)*0.05*BA203</f>
        <v/>
      </c>
      <c r="BC203" s="34">
        <f>AG203+AN203+AU203</f>
        <v/>
      </c>
      <c r="BD203" s="34">
        <f>MAX(F203:G203,750)*0.05*BC203</f>
        <v/>
      </c>
      <c r="BE203" s="34">
        <f>F203*AY203</f>
        <v/>
      </c>
      <c r="BF203" s="34">
        <f>K203-M203</f>
        <v/>
      </c>
      <c r="BG203" s="34">
        <f>P203-S203</f>
        <v/>
      </c>
      <c r="BH203" s="34">
        <f>W203-AA203</f>
        <v/>
      </c>
      <c r="BI203" s="34">
        <f>BF203+BG203+BL203-BN203</f>
        <v/>
      </c>
      <c r="BJ203" s="34">
        <f>ABS(BK203)</f>
        <v/>
      </c>
      <c r="BK203" s="34">
        <f>AY203-(J203-L203+N203-Q203)</f>
        <v/>
      </c>
      <c r="BL203" s="34">
        <f>IF(AND(BK203&gt;0,MIN($F203:$G203)&lt;150,$E203="Enerji Açığı"),-100*BK203*1.03,IF(AND(BK203&gt;0,MIN($F203:$G203)&lt;150,$E203="Enerji Fazlası"),-100*BK203*1.06,IF(AND(BK203&gt;0,MIN($F203:$G203)&gt;=150,$E203="Enerji Açığı"),BK203*MIN($F203:$G203)*0.97,IF(AND(BK203&gt;0,MIN($F203:$G203)&gt;=150,$E203="Enerji Fazlası"),BK203*MIN($F203:$G203)*0.94,IF(AND(BK203&lt;0,MAX($F203:$G203)=4500,$E203="Enerji Açığı"),4500*1.05*1.06*BK203,IF(AND(BK203&lt;0,MAX($F203:$G203)=4500,$E203="Enerji Fazlası"),4500*1.05*1.03*BK203,IF(AND(BK203&lt;0,$E203="Enerji Açığı"),MAX($F203,$G203,150)*BK203*1.06,IF(AND(BK203&lt;0,$E203="Enerji Fazlası"),MAX($F203,$G203,150)*BK203*1.03,IF(AND(BK203&lt;0,$E203="Dengede"),MAX($F203:$G203,150)*1.03*BK203,MIN($F203:$G203)*0.97*BK203)))))))))</f>
        <v/>
      </c>
      <c r="BM203" s="34">
        <f>BE203-BI203-BN203</f>
        <v/>
      </c>
      <c r="BN203" s="34">
        <f>BB203</f>
        <v/>
      </c>
      <c r="BO203" s="34">
        <f>BE203-BI203</f>
        <v/>
      </c>
      <c r="BP203" s="34">
        <f>IF(AY203=0,0,BO203/AY203)</f>
        <v/>
      </c>
      <c r="BQ203" s="34">
        <f>MAX((AY203+MAX((-J203+L203-N203+Q203),0)),(MAX((J203-L203+N203-Q203),0)))</f>
        <v/>
      </c>
      <c r="BR203" s="82">
        <f>IFERROR(ABS(BK203/BQ203),0)</f>
        <v/>
      </c>
      <c r="BS203" s="34">
        <f>IF(BR203&lt;=0.1,0,BK203/BR203*(BR203-0.1))</f>
        <v/>
      </c>
      <c r="BT203" s="34">
        <f>IF((BS203)&lt;0,MAX(F203:G203)*(BS203)*1.03,MIN(F203:G203)*(BS203)*0.97)</f>
        <v/>
      </c>
      <c r="BU203" s="34">
        <f>IF(BR203&gt;0.1,1,0)</f>
        <v/>
      </c>
      <c r="BV203" s="34">
        <f>BF203+BG203+BH203+BY203-CA203</f>
        <v/>
      </c>
      <c r="BW203" s="34">
        <f>ABS(BX203)</f>
        <v/>
      </c>
      <c r="BX203" s="34">
        <f>AY203-(J203-L203+N203-Q203+T203-X203)</f>
        <v/>
      </c>
      <c r="BY203" s="34">
        <f>IF(AND(BX203&gt;0,MIN($F203:$G203)&lt;150,$E203="Enerji Açığı"),-100*BX203*1.03,IF(AND(BX203&gt;0,MIN($F203:$G203)&lt;150,$E203="Enerji Fazlası"),-100*BX203*1.06,IF(AND(BX203&gt;0,MIN($F203:$G203)&gt;=150,$E203="Enerji Açığı"),BX203*MIN($F203:$G203)*0.97,IF(AND(BX203&gt;0,MIN($F203:$G203)&gt;=150,$E203="Enerji Fazlası"),BX203*MIN($F203:$G203)*0.94,IF(AND(BX203&lt;0,MAX($F203:$G203)=4500,$E203="Enerji Açığı"),4500*1.05*1.06*BX203,IF(AND(BX203&lt;0,MAX($F203:$G203)=4500,$E203="Enerji Fazlası"),4500*1.05*1.03*BX203,IF(AND(BX203&lt;0,$E203="Enerji Açığı"),MAX($F203,$G203,150)*BX203*1.06,IF(AND(BX203&lt;0,$E203="Enerji Fazlası"),MAX($F203,$G203,150)*BX203*1.03,IF(AND(BX203&lt;0,$E203="Dengede"),MAX($F203:$G203,150)*1.03*BX203,MIN($F203:$G203)*0.97*BX203)))))))))</f>
        <v/>
      </c>
      <c r="BZ203" s="34">
        <f>BE203-BV203-CA203</f>
        <v/>
      </c>
      <c r="CA203" s="34">
        <f>BD203</f>
        <v/>
      </c>
      <c r="CB203" s="33">
        <f>BE203-BV203</f>
        <v/>
      </c>
      <c r="CC203" s="34">
        <f>IF(AY203=0,0,CB203/AY203)</f>
        <v/>
      </c>
      <c r="CD203" s="34">
        <f>MAX((AY203+MAX((-J203+L203-N203+Q203-T203+X203),0)),(MAX((J203-L203+N203-Q203+T203-X203),0)))</f>
        <v/>
      </c>
      <c r="CE203" s="82">
        <f>IFERROR(ABS(BX203/CD203),0)</f>
        <v/>
      </c>
      <c r="CF203" s="34">
        <f>IF(CE203&lt;=0.1,0,BX203/CE203*(CE203-0.1))</f>
        <v/>
      </c>
      <c r="CG203" s="34">
        <f>IF((CF203)&lt;0,MAX(F203:G203)*(CF203)*1.03,MIN(F203:G203)*(CF203)*0.97)</f>
        <v/>
      </c>
      <c r="CH203" s="34">
        <f>IF(CE203&gt;0.1,1,0)</f>
        <v/>
      </c>
      <c r="CI203" s="34">
        <f>(F203*BX203)-BY203</f>
        <v/>
      </c>
      <c r="CJ203" s="34">
        <f>IF(AY203=0,0,CI203/AY203)</f>
        <v/>
      </c>
    </row>
    <row r="204">
      <c r="A204" s="29" t="n">
        <v>46212.375</v>
      </c>
      <c r="B204" s="29" t="inlineStr">
        <is>
          <t>09:00</t>
        </is>
      </c>
      <c r="C204" s="35">
        <f>INT(A204)</f>
        <v/>
      </c>
      <c r="D204" s="36">
        <f>MONTH(A204)</f>
        <v/>
      </c>
      <c r="E204" s="147">
        <f>[1]FİYATLAR!#REF!</f>
        <v/>
      </c>
      <c r="F204" s="30" t="n">
        <v>2767.37</v>
      </c>
      <c r="G204" s="30" t="n">
        <v>3500</v>
      </c>
      <c r="H204" s="30" t="n">
        <v>59.19</v>
      </c>
      <c r="I204" s="30" t="n">
        <v>2699.28</v>
      </c>
      <c r="J204" s="119" t="n">
        <v>0</v>
      </c>
      <c r="K204" s="34">
        <f>F204*J204</f>
        <v/>
      </c>
      <c r="L204" s="119" t="n"/>
      <c r="M204" s="34">
        <f>L204*F204</f>
        <v/>
      </c>
      <c r="N204" s="119" t="n"/>
      <c r="O204" s="34">
        <f>F204</f>
        <v/>
      </c>
      <c r="P204" s="34">
        <f>N204*O204</f>
        <v/>
      </c>
      <c r="Q204" s="117" t="n">
        <v>0</v>
      </c>
      <c r="R204" s="34">
        <f>F204</f>
        <v/>
      </c>
      <c r="S204" s="34">
        <f>R204*Q204</f>
        <v/>
      </c>
      <c r="T204" s="34">
        <f>SUMIFS('[1]GİP VERİLERİ'!$C:$C,'[1]GİP VERİLERİ'!$B:$B,A204,'[1]GİP VERİLERİ'!$M:$M,"40X000000104782K",'[1]GİP VERİLERİ'!$G:$G,"SELL")</f>
        <v/>
      </c>
      <c r="U204" s="34">
        <f>IFERROR(W204/T204,0)</f>
        <v/>
      </c>
      <c r="V204" s="34">
        <f>IF(U204=0,0,U204-F204)</f>
        <v/>
      </c>
      <c r="W204" s="34">
        <f>SUMIFS('[1]GİP VERİLERİ'!$O:$O,'[1]GİP VERİLERİ'!$B:$B,A204,'[1]GİP VERİLERİ'!$M:$M,"40X000000104782K",'[1]GİP VERİLERİ'!$G:$G,"SELL")</f>
        <v/>
      </c>
      <c r="X204" s="34">
        <f>SUMIFS('[1]GİP VERİLERİ'!$C:$C,'[1]GİP VERİLERİ'!$B:$B,A204,'[1]GİP VERİLERİ'!$M:$M,"40X000000104782K",'[1]GİP VERİLERİ'!$G:$G,"BUY")</f>
        <v/>
      </c>
      <c r="Y204" s="34">
        <f>IFERROR(AA204/X204,0)</f>
        <v/>
      </c>
      <c r="Z204" s="34">
        <f>IF(Y204=0,0,F204-Y204)</f>
        <v/>
      </c>
      <c r="AA204" s="34">
        <f>SUMIFS('[1]GİP VERİLERİ'!$O:$O,'[1]GİP VERİLERİ'!$B:$B,A204,'[1]GİP VERİLERİ'!$M:$M,"40X000000104782K",'[1]GİP VERİLERİ'!$G:$G,"BUY")</f>
        <v/>
      </c>
      <c r="AB204" s="34" t="n">
        <v>0</v>
      </c>
      <c r="AC204" s="34" t="n">
        <v>0</v>
      </c>
      <c r="AD204" s="34">
        <f>IF(AB204&gt;AC204*1.05,AB204-AC204*1.05,IF(AB204&lt;AC204*0.95,AC204*0.95-AB204,0))</f>
        <v/>
      </c>
      <c r="AE204" s="34">
        <f>MAX(F204,G204,750)*0.05*AD204</f>
        <v/>
      </c>
      <c r="AF204" s="34" t="n">
        <v>0</v>
      </c>
      <c r="AG204" s="34">
        <f>IF(AB204&gt;AF204*1.05,AB204-AF204*1.05,IF(AB204&lt;AF204*0.95,AF204*0.95-AB204,0))</f>
        <v/>
      </c>
      <c r="AH204" s="34">
        <f>MAX(I204,J204,750)*0.05*AG204</f>
        <v/>
      </c>
      <c r="AI204" t="n">
        <v>10.8</v>
      </c>
      <c r="AJ204" t="n">
        <v>9</v>
      </c>
      <c r="AK204" s="34">
        <f>IF(AI204&gt;AJ204*1.05,AI204-AJ204*1.05,IF(AI204&lt;AJ204*0.95,AJ204*0.95-AI204,0))</f>
        <v/>
      </c>
      <c r="AL204" s="34">
        <f>MAX(F204,G204,750)*0.05*AK204</f>
        <v/>
      </c>
      <c r="AM204" s="39" t="n">
        <v>8</v>
      </c>
      <c r="AN204" s="34">
        <f>IF(AI204&gt;AM204*1.05,AI204-AM204*1.05,IF(AI204&lt;AM204*0.95,AM204*0.95-AI204,0))</f>
        <v/>
      </c>
      <c r="AO204" s="34">
        <f>MAX(F204,G204,750)*0.05*AN204</f>
        <v/>
      </c>
      <c r="AP204" s="34" t="n">
        <v>10.43</v>
      </c>
      <c r="AQ204" s="34" t="n">
        <v>13</v>
      </c>
      <c r="AR204" s="34">
        <f>IF(AP204&gt;AQ204*1.05,AP204-AQ204*1.05,IF(AP204&lt;AQ204*0.95,AQ204*0.95-AP204,0))</f>
        <v/>
      </c>
      <c r="AS204" s="34">
        <f>MAX(F204:G204,750)*0.05*AR204</f>
        <v/>
      </c>
      <c r="AT204" t="n">
        <v>13</v>
      </c>
      <c r="AU204" s="34">
        <f>IF(AP204&gt;AT204*1.05,AP204-AT204*1.05,IF(AP204&lt;AT204*0.95,AT204*0.95-AP204,0))</f>
        <v/>
      </c>
      <c r="AV204" s="34">
        <f>MAX(F204:G204,750)*0.05*AU204</f>
        <v/>
      </c>
      <c r="AW204" s="34">
        <f>AC204+AJ204+AQ204</f>
        <v/>
      </c>
      <c r="AX204" s="34">
        <f>AF204+AM204+AT204</f>
        <v/>
      </c>
      <c r="AY204" s="34">
        <f>AB204+AI204+AP204</f>
        <v/>
      </c>
      <c r="AZ204" s="34" t="n">
        <v>0</v>
      </c>
      <c r="BA204" s="34">
        <f>AD204+AK204+AR204</f>
        <v/>
      </c>
      <c r="BB204" s="34">
        <f>MAX(F204:G204,750)*0.05*BA204</f>
        <v/>
      </c>
      <c r="BC204" s="34">
        <f>AG204+AN204+AU204</f>
        <v/>
      </c>
      <c r="BD204" s="34">
        <f>MAX(F204:G204,750)*0.05*BC204</f>
        <v/>
      </c>
      <c r="BE204" s="34">
        <f>F204*AY204</f>
        <v/>
      </c>
      <c r="BF204" s="34">
        <f>K204-M204</f>
        <v/>
      </c>
      <c r="BG204" s="34">
        <f>P204-S204</f>
        <v/>
      </c>
      <c r="BH204" s="34">
        <f>W204-AA204</f>
        <v/>
      </c>
      <c r="BI204" s="34">
        <f>BF204+BG204+BL204-BN204</f>
        <v/>
      </c>
      <c r="BJ204" s="34">
        <f>ABS(BK204)</f>
        <v/>
      </c>
      <c r="BK204" s="34">
        <f>AY204-(J204-L204+N204-Q204)</f>
        <v/>
      </c>
      <c r="BL204" s="34">
        <f>IF(AND(BK204&gt;0,MIN($F204:$G204)&lt;150,$E204="Enerji Açığı"),-100*BK204*1.03,IF(AND(BK204&gt;0,MIN($F204:$G204)&lt;150,$E204="Enerji Fazlası"),-100*BK204*1.06,IF(AND(BK204&gt;0,MIN($F204:$G204)&gt;=150,$E204="Enerji Açığı"),BK204*MIN($F204:$G204)*0.97,IF(AND(BK204&gt;0,MIN($F204:$G204)&gt;=150,$E204="Enerji Fazlası"),BK204*MIN($F204:$G204)*0.94,IF(AND(BK204&lt;0,MAX($F204:$G204)=4500,$E204="Enerji Açığı"),4500*1.05*1.06*BK204,IF(AND(BK204&lt;0,MAX($F204:$G204)=4500,$E204="Enerji Fazlası"),4500*1.05*1.03*BK204,IF(AND(BK204&lt;0,$E204="Enerji Açığı"),MAX($F204,$G204,150)*BK204*1.06,IF(AND(BK204&lt;0,$E204="Enerji Fazlası"),MAX($F204,$G204,150)*BK204*1.03,IF(AND(BK204&lt;0,$E204="Dengede"),MAX($F204:$G204,150)*1.03*BK204,MIN($F204:$G204)*0.97*BK204)))))))))</f>
        <v/>
      </c>
      <c r="BM204" s="34">
        <f>BE204-BI204-BN204</f>
        <v/>
      </c>
      <c r="BN204" s="34">
        <f>BB204</f>
        <v/>
      </c>
      <c r="BO204" s="34">
        <f>BE204-BI204</f>
        <v/>
      </c>
      <c r="BP204" s="34">
        <f>IF(AY204=0,0,BO204/AY204)</f>
        <v/>
      </c>
      <c r="BQ204" s="34">
        <f>MAX((AY204+MAX((-J204+L204-N204+Q204),0)),(MAX((J204-L204+N204-Q204),0)))</f>
        <v/>
      </c>
      <c r="BR204" s="82">
        <f>IFERROR(ABS(BK204/BQ204),0)</f>
        <v/>
      </c>
      <c r="BS204" s="34">
        <f>IF(BR204&lt;=0.1,0,BK204/BR204*(BR204-0.1))</f>
        <v/>
      </c>
      <c r="BT204" s="34">
        <f>IF((BS204)&lt;0,MAX(F204:G204)*(BS204)*1.03,MIN(F204:G204)*(BS204)*0.97)</f>
        <v/>
      </c>
      <c r="BU204" s="34">
        <f>IF(BR204&gt;0.1,1,0)</f>
        <v/>
      </c>
      <c r="BV204" s="34">
        <f>BF204+BG204+BH204+BY204-CA204</f>
        <v/>
      </c>
      <c r="BW204" s="34">
        <f>ABS(BX204)</f>
        <v/>
      </c>
      <c r="BX204" s="34">
        <f>AY204-(J204-L204+N204-Q204+T204-X204)</f>
        <v/>
      </c>
      <c r="BY204" s="34">
        <f>IF(AND(BX204&gt;0,MIN($F204:$G204)&lt;150,$E204="Enerji Açığı"),-100*BX204*1.03,IF(AND(BX204&gt;0,MIN($F204:$G204)&lt;150,$E204="Enerji Fazlası"),-100*BX204*1.06,IF(AND(BX204&gt;0,MIN($F204:$G204)&gt;=150,$E204="Enerji Açığı"),BX204*MIN($F204:$G204)*0.97,IF(AND(BX204&gt;0,MIN($F204:$G204)&gt;=150,$E204="Enerji Fazlası"),BX204*MIN($F204:$G204)*0.94,IF(AND(BX204&lt;0,MAX($F204:$G204)=4500,$E204="Enerji Açığı"),4500*1.05*1.06*BX204,IF(AND(BX204&lt;0,MAX($F204:$G204)=4500,$E204="Enerji Fazlası"),4500*1.05*1.03*BX204,IF(AND(BX204&lt;0,$E204="Enerji Açığı"),MAX($F204,$G204,150)*BX204*1.06,IF(AND(BX204&lt;0,$E204="Enerji Fazlası"),MAX($F204,$G204,150)*BX204*1.03,IF(AND(BX204&lt;0,$E204="Dengede"),MAX($F204:$G204,150)*1.03*BX204,MIN($F204:$G204)*0.97*BX204)))))))))</f>
        <v/>
      </c>
      <c r="BZ204" s="34">
        <f>BE204-BV204-CA204</f>
        <v/>
      </c>
      <c r="CA204" s="34">
        <f>BD204</f>
        <v/>
      </c>
      <c r="CB204" s="33">
        <f>BE204-BV204</f>
        <v/>
      </c>
      <c r="CC204" s="34">
        <f>IF(AY204=0,0,CB204/AY204)</f>
        <v/>
      </c>
      <c r="CD204" s="34">
        <f>MAX((AY204+MAX((-J204+L204-N204+Q204-T204+X204),0)),(MAX((J204-L204+N204-Q204+T204-X204),0)))</f>
        <v/>
      </c>
      <c r="CE204" s="82">
        <f>IFERROR(ABS(BX204/CD204),0)</f>
        <v/>
      </c>
      <c r="CF204" s="34">
        <f>IF(CE204&lt;=0.1,0,BX204/CE204*(CE204-0.1))</f>
        <v/>
      </c>
      <c r="CG204" s="34">
        <f>IF((CF204)&lt;0,MAX(F204:G204)*(CF204)*1.03,MIN(F204:G204)*(CF204)*0.97)</f>
        <v/>
      </c>
      <c r="CH204" s="34">
        <f>IF(CE204&gt;0.1,1,0)</f>
        <v/>
      </c>
      <c r="CI204" s="34">
        <f>(F204*BX204)-BY204</f>
        <v/>
      </c>
      <c r="CJ204" s="34">
        <f>IF(AY204=0,0,CI204/AY204)</f>
        <v/>
      </c>
    </row>
    <row r="205">
      <c r="A205" s="29" t="n">
        <v>46212.41666666666</v>
      </c>
      <c r="B205" s="29" t="inlineStr">
        <is>
          <t>10:00</t>
        </is>
      </c>
      <c r="C205" s="35">
        <f>INT(A205)</f>
        <v/>
      </c>
      <c r="D205" s="36">
        <f>MONTH(A205)</f>
        <v/>
      </c>
      <c r="E205" s="147">
        <f>[1]FİYATLAR!#REF!</f>
        <v/>
      </c>
      <c r="F205" s="30" t="n">
        <v>2000.01</v>
      </c>
      <c r="G205" s="30" t="n">
        <v>590</v>
      </c>
      <c r="H205" s="30" t="n">
        <v>42.78</v>
      </c>
      <c r="I205" s="30" t="n">
        <v>1803.83</v>
      </c>
      <c r="J205" s="119" t="n">
        <v>0</v>
      </c>
      <c r="K205" s="34">
        <f>F205*J205</f>
        <v/>
      </c>
      <c r="L205" s="119" t="n"/>
      <c r="M205" s="34">
        <f>L205*F205</f>
        <v/>
      </c>
      <c r="N205" s="119" t="n"/>
      <c r="O205" s="34">
        <f>F205</f>
        <v/>
      </c>
      <c r="P205" s="34">
        <f>N205*O205</f>
        <v/>
      </c>
      <c r="Q205" s="117" t="n">
        <v>0</v>
      </c>
      <c r="R205" s="34">
        <f>F205</f>
        <v/>
      </c>
      <c r="S205" s="34">
        <f>R205*Q205</f>
        <v/>
      </c>
      <c r="T205" s="34">
        <f>SUMIFS('[1]GİP VERİLERİ'!$C:$C,'[1]GİP VERİLERİ'!$B:$B,A205,'[1]GİP VERİLERİ'!$M:$M,"40X000000104782K",'[1]GİP VERİLERİ'!$G:$G,"SELL")</f>
        <v/>
      </c>
      <c r="U205" s="34">
        <f>IFERROR(W205/T205,0)</f>
        <v/>
      </c>
      <c r="V205" s="34">
        <f>IF(U205=0,0,U205-F205)</f>
        <v/>
      </c>
      <c r="W205" s="34">
        <f>SUMIFS('[1]GİP VERİLERİ'!$O:$O,'[1]GİP VERİLERİ'!$B:$B,A205,'[1]GİP VERİLERİ'!$M:$M,"40X000000104782K",'[1]GİP VERİLERİ'!$G:$G,"SELL")</f>
        <v/>
      </c>
      <c r="X205" s="34">
        <f>SUMIFS('[1]GİP VERİLERİ'!$C:$C,'[1]GİP VERİLERİ'!$B:$B,A205,'[1]GİP VERİLERİ'!$M:$M,"40X000000104782K",'[1]GİP VERİLERİ'!$G:$G,"BUY")</f>
        <v/>
      </c>
      <c r="Y205" s="34">
        <f>IFERROR(AA205/X205,0)</f>
        <v/>
      </c>
      <c r="Z205" s="34">
        <f>IF(Y205=0,0,F205-Y205)</f>
        <v/>
      </c>
      <c r="AA205" s="34">
        <f>SUMIFS('[1]GİP VERİLERİ'!$O:$O,'[1]GİP VERİLERİ'!$B:$B,A205,'[1]GİP VERİLERİ'!$M:$M,"40X000000104782K",'[1]GİP VERİLERİ'!$G:$G,"BUY")</f>
        <v/>
      </c>
      <c r="AB205" s="34" t="n">
        <v>0</v>
      </c>
      <c r="AC205" s="34" t="n">
        <v>0</v>
      </c>
      <c r="AD205" s="34">
        <f>IF(AB205&gt;AC205*1.05,AB205-AC205*1.05,IF(AB205&lt;AC205*0.95,AC205*0.95-AB205,0))</f>
        <v/>
      </c>
      <c r="AE205" s="34">
        <f>MAX(F205,G205,750)*0.05*AD205</f>
        <v/>
      </c>
      <c r="AF205" s="34" t="n">
        <v>0</v>
      </c>
      <c r="AG205" s="34">
        <f>IF(AB205&gt;AF205*1.05,AB205-AF205*1.05,IF(AB205&lt;AF205*0.95,AF205*0.95-AB205,0))</f>
        <v/>
      </c>
      <c r="AH205" s="34">
        <f>MAX(I205,J205,750)*0.05*AG205</f>
        <v/>
      </c>
      <c r="AI205" t="n">
        <v>6.36</v>
      </c>
      <c r="AJ205" t="n">
        <v>9</v>
      </c>
      <c r="AK205" s="34">
        <f>IF(AI205&gt;AJ205*1.05,AI205-AJ205*1.05,IF(AI205&lt;AJ205*0.95,AJ205*0.95-AI205,0))</f>
        <v/>
      </c>
      <c r="AL205" s="34">
        <f>MAX(F205,G205,750)*0.05*AK205</f>
        <v/>
      </c>
      <c r="AM205" s="39" t="n">
        <v>6</v>
      </c>
      <c r="AN205" s="34">
        <f>IF(AI205&gt;AM205*1.05,AI205-AM205*1.05,IF(AI205&lt;AM205*0.95,AM205*0.95-AI205,0))</f>
        <v/>
      </c>
      <c r="AO205" s="34">
        <f>MAX(F205,G205,750)*0.05*AN205</f>
        <v/>
      </c>
      <c r="AP205" s="34" t="n">
        <v>13.41</v>
      </c>
      <c r="AQ205" s="34" t="n">
        <v>13.3</v>
      </c>
      <c r="AR205" s="34">
        <f>IF(AP205&gt;AQ205*1.05,AP205-AQ205*1.05,IF(AP205&lt;AQ205*0.95,AQ205*0.95-AP205,0))</f>
        <v/>
      </c>
      <c r="AS205" s="34">
        <f>MAX(F205:G205,750)*0.05*AR205</f>
        <v/>
      </c>
      <c r="AT205" t="n">
        <v>13.3</v>
      </c>
      <c r="AU205" s="34">
        <f>IF(AP205&gt;AT205*1.05,AP205-AT205*1.05,IF(AP205&lt;AT205*0.95,AT205*0.95-AP205,0))</f>
        <v/>
      </c>
      <c r="AV205" s="34">
        <f>MAX(F205:G205,750)*0.05*AU205</f>
        <v/>
      </c>
      <c r="AW205" s="34">
        <f>AC205+AJ205+AQ205</f>
        <v/>
      </c>
      <c r="AX205" s="34">
        <f>AF205+AM205+AT205</f>
        <v/>
      </c>
      <c r="AY205" s="34">
        <f>AB205+AI205+AP205</f>
        <v/>
      </c>
      <c r="AZ205" s="34" t="n">
        <v>0</v>
      </c>
      <c r="BA205" s="34">
        <f>AD205+AK205+AR205</f>
        <v/>
      </c>
      <c r="BB205" s="34">
        <f>MAX(F205:G205,750)*0.05*BA205</f>
        <v/>
      </c>
      <c r="BC205" s="34">
        <f>AG205+AN205+AU205</f>
        <v/>
      </c>
      <c r="BD205" s="34">
        <f>MAX(F205:G205,750)*0.05*BC205</f>
        <v/>
      </c>
      <c r="BE205" s="34">
        <f>F205*AY205</f>
        <v/>
      </c>
      <c r="BF205" s="34">
        <f>K205-M205</f>
        <v/>
      </c>
      <c r="BG205" s="34">
        <f>P205-S205</f>
        <v/>
      </c>
      <c r="BH205" s="34">
        <f>W205-AA205</f>
        <v/>
      </c>
      <c r="BI205" s="34">
        <f>BF205+BG205+BL205-BN205</f>
        <v/>
      </c>
      <c r="BJ205" s="34">
        <f>ABS(BK205)</f>
        <v/>
      </c>
      <c r="BK205" s="34">
        <f>AY205-(J205-L205+N205-Q205)</f>
        <v/>
      </c>
      <c r="BL205" s="34">
        <f>IF(AND(BK205&gt;0,MIN($F205:$G205)&lt;150,$E205="Enerji Açığı"),-100*BK205*1.03,IF(AND(BK205&gt;0,MIN($F205:$G205)&lt;150,$E205="Enerji Fazlası"),-100*BK205*1.06,IF(AND(BK205&gt;0,MIN($F205:$G205)&gt;=150,$E205="Enerji Açığı"),BK205*MIN($F205:$G205)*0.97,IF(AND(BK205&gt;0,MIN($F205:$G205)&gt;=150,$E205="Enerji Fazlası"),BK205*MIN($F205:$G205)*0.94,IF(AND(BK205&lt;0,MAX($F205:$G205)=4500,$E205="Enerji Açığı"),4500*1.05*1.06*BK205,IF(AND(BK205&lt;0,MAX($F205:$G205)=4500,$E205="Enerji Fazlası"),4500*1.05*1.03*BK205,IF(AND(BK205&lt;0,$E205="Enerji Açığı"),MAX($F205,$G205,150)*BK205*1.06,IF(AND(BK205&lt;0,$E205="Enerji Fazlası"),MAX($F205,$G205,150)*BK205*1.03,IF(AND(BK205&lt;0,$E205="Dengede"),MAX($F205:$G205,150)*1.03*BK205,MIN($F205:$G205)*0.97*BK205)))))))))</f>
        <v/>
      </c>
      <c r="BM205" s="34">
        <f>BE205-BI205-BN205</f>
        <v/>
      </c>
      <c r="BN205" s="34">
        <f>BB205</f>
        <v/>
      </c>
      <c r="BO205" s="34">
        <f>BE205-BI205</f>
        <v/>
      </c>
      <c r="BP205" s="34">
        <f>IF(AY205=0,0,BO205/AY205)</f>
        <v/>
      </c>
      <c r="BQ205" s="34">
        <f>MAX((AY205+MAX((-J205+L205-N205+Q205),0)),(MAX((J205-L205+N205-Q205),0)))</f>
        <v/>
      </c>
      <c r="BR205" s="82">
        <f>IFERROR(ABS(BK205/BQ205),0)</f>
        <v/>
      </c>
      <c r="BS205" s="34">
        <f>IF(BR205&lt;=0.1,0,BK205/BR205*(BR205-0.1))</f>
        <v/>
      </c>
      <c r="BT205" s="34">
        <f>IF((BS205)&lt;0,MAX(F205:G205)*(BS205)*1.03,MIN(F205:G205)*(BS205)*0.97)</f>
        <v/>
      </c>
      <c r="BU205" s="34">
        <f>IF(BR205&gt;0.1,1,0)</f>
        <v/>
      </c>
      <c r="BV205" s="34">
        <f>BF205+BG205+BH205+BY205-CA205</f>
        <v/>
      </c>
      <c r="BW205" s="34">
        <f>ABS(BX205)</f>
        <v/>
      </c>
      <c r="BX205" s="34">
        <f>AY205-(J205-L205+N205-Q205+T205-X205)</f>
        <v/>
      </c>
      <c r="BY205" s="34">
        <f>IF(AND(BX205&gt;0,MIN($F205:$G205)&lt;150,$E205="Enerji Açığı"),-100*BX205*1.03,IF(AND(BX205&gt;0,MIN($F205:$G205)&lt;150,$E205="Enerji Fazlası"),-100*BX205*1.06,IF(AND(BX205&gt;0,MIN($F205:$G205)&gt;=150,$E205="Enerji Açığı"),BX205*MIN($F205:$G205)*0.97,IF(AND(BX205&gt;0,MIN($F205:$G205)&gt;=150,$E205="Enerji Fazlası"),BX205*MIN($F205:$G205)*0.94,IF(AND(BX205&lt;0,MAX($F205:$G205)=4500,$E205="Enerji Açığı"),4500*1.05*1.06*BX205,IF(AND(BX205&lt;0,MAX($F205:$G205)=4500,$E205="Enerji Fazlası"),4500*1.05*1.03*BX205,IF(AND(BX205&lt;0,$E205="Enerji Açığı"),MAX($F205,$G205,150)*BX205*1.06,IF(AND(BX205&lt;0,$E205="Enerji Fazlası"),MAX($F205,$G205,150)*BX205*1.03,IF(AND(BX205&lt;0,$E205="Dengede"),MAX($F205:$G205,150)*1.03*BX205,MIN($F205:$G205)*0.97*BX205)))))))))</f>
        <v/>
      </c>
      <c r="BZ205" s="34">
        <f>BE205-BV205-CA205</f>
        <v/>
      </c>
      <c r="CA205" s="34">
        <f>BD205</f>
        <v/>
      </c>
      <c r="CB205" s="33">
        <f>BE205-BV205</f>
        <v/>
      </c>
      <c r="CC205" s="34">
        <f>IF(AY205=0,0,CB205/AY205)</f>
        <v/>
      </c>
      <c r="CD205" s="34">
        <f>MAX((AY205+MAX((-J205+L205-N205+Q205-T205+X205),0)),(MAX((J205-L205+N205-Q205+T205-X205),0)))</f>
        <v/>
      </c>
      <c r="CE205" s="82">
        <f>IFERROR(ABS(BX205/CD205),0)</f>
        <v/>
      </c>
      <c r="CF205" s="34">
        <f>IF(CE205&lt;=0.1,0,BX205/CE205*(CE205-0.1))</f>
        <v/>
      </c>
      <c r="CG205" s="34">
        <f>IF((CF205)&lt;0,MAX(F205:G205)*(CF205)*1.03,MIN(F205:G205)*(CF205)*0.97)</f>
        <v/>
      </c>
      <c r="CH205" s="34">
        <f>IF(CE205&gt;0.1,1,0)</f>
        <v/>
      </c>
      <c r="CI205" s="34">
        <f>(F205*BX205)-BY205</f>
        <v/>
      </c>
      <c r="CJ205" s="34">
        <f>IF(AY205=0,0,CI205/AY205)</f>
        <v/>
      </c>
    </row>
    <row r="206">
      <c r="A206" s="29" t="n">
        <v>46212.45833333334</v>
      </c>
      <c r="B206" s="29" t="inlineStr">
        <is>
          <t>11:00</t>
        </is>
      </c>
      <c r="C206" s="35">
        <f>INT(A206)</f>
        <v/>
      </c>
      <c r="D206" s="36">
        <f>MONTH(A206)</f>
        <v/>
      </c>
      <c r="E206" s="147">
        <f>[1]FİYATLAR!#REF!</f>
        <v/>
      </c>
      <c r="F206" s="30" t="n">
        <v>1899.99</v>
      </c>
      <c r="G206" s="30" t="n">
        <v>590</v>
      </c>
      <c r="H206" s="30" t="n">
        <v>40.64</v>
      </c>
      <c r="I206" s="30" t="n">
        <v>1743.73</v>
      </c>
      <c r="J206" s="119" t="n">
        <v>0</v>
      </c>
      <c r="K206" s="34">
        <f>F206*J206</f>
        <v/>
      </c>
      <c r="L206" s="119" t="n"/>
      <c r="M206" s="34">
        <f>L206*F206</f>
        <v/>
      </c>
      <c r="N206" s="119" t="n"/>
      <c r="O206" s="34">
        <f>F206</f>
        <v/>
      </c>
      <c r="P206" s="34">
        <f>N206*O206</f>
        <v/>
      </c>
      <c r="Q206" s="117" t="n">
        <v>0</v>
      </c>
      <c r="R206" s="34">
        <f>F206</f>
        <v/>
      </c>
      <c r="S206" s="34">
        <f>R206*Q206</f>
        <v/>
      </c>
      <c r="T206" s="34">
        <f>SUMIFS('[1]GİP VERİLERİ'!$C:$C,'[1]GİP VERİLERİ'!$B:$B,A206,'[1]GİP VERİLERİ'!$M:$M,"40X000000104782K",'[1]GİP VERİLERİ'!$G:$G,"SELL")</f>
        <v/>
      </c>
      <c r="U206" s="34">
        <f>IFERROR(W206/T206,0)</f>
        <v/>
      </c>
      <c r="V206" s="34">
        <f>IF(U206=0,0,U206-F206)</f>
        <v/>
      </c>
      <c r="W206" s="34">
        <f>SUMIFS('[1]GİP VERİLERİ'!$O:$O,'[1]GİP VERİLERİ'!$B:$B,A206,'[1]GİP VERİLERİ'!$M:$M,"40X000000104782K",'[1]GİP VERİLERİ'!$G:$G,"SELL")</f>
        <v/>
      </c>
      <c r="X206" s="34">
        <f>SUMIFS('[1]GİP VERİLERİ'!$C:$C,'[1]GİP VERİLERİ'!$B:$B,A206,'[1]GİP VERİLERİ'!$M:$M,"40X000000104782K",'[1]GİP VERİLERİ'!$G:$G,"BUY")</f>
        <v/>
      </c>
      <c r="Y206" s="34">
        <f>IFERROR(AA206/X206,0)</f>
        <v/>
      </c>
      <c r="Z206" s="34">
        <f>IF(Y206=0,0,F206-Y206)</f>
        <v/>
      </c>
      <c r="AA206" s="34">
        <f>SUMIFS('[1]GİP VERİLERİ'!$O:$O,'[1]GİP VERİLERİ'!$B:$B,A206,'[1]GİP VERİLERİ'!$M:$M,"40X000000104782K",'[1]GİP VERİLERİ'!$G:$G,"BUY")</f>
        <v/>
      </c>
      <c r="AB206" s="34" t="n">
        <v>0</v>
      </c>
      <c r="AC206" s="34" t="n">
        <v>0</v>
      </c>
      <c r="AD206" s="34">
        <f>IF(AB206&gt;AC206*1.05,AB206-AC206*1.05,IF(AB206&lt;AC206*0.95,AC206*0.95-AB206,0))</f>
        <v/>
      </c>
      <c r="AE206" s="34">
        <f>MAX(F206,G206,750)*0.05*AD206</f>
        <v/>
      </c>
      <c r="AF206" s="34" t="n">
        <v>0</v>
      </c>
      <c r="AG206" s="34">
        <f>IF(AB206&gt;AF206*1.05,AB206-AF206*1.05,IF(AB206&lt;AF206*0.95,AF206*0.95-AB206,0))</f>
        <v/>
      </c>
      <c r="AH206" s="34">
        <f>MAX(I206,J206,750)*0.05*AG206</f>
        <v/>
      </c>
      <c r="AI206" t="n">
        <v>6.38</v>
      </c>
      <c r="AJ206" t="n">
        <v>9</v>
      </c>
      <c r="AK206" s="34">
        <f>IF(AI206&gt;AJ206*1.05,AI206-AJ206*1.05,IF(AI206&lt;AJ206*0.95,AJ206*0.95-AI206,0))</f>
        <v/>
      </c>
      <c r="AL206" s="34">
        <f>MAX(F206,G206,750)*0.05*AK206</f>
        <v/>
      </c>
      <c r="AM206" s="39" t="n">
        <v>6</v>
      </c>
      <c r="AN206" s="34">
        <f>IF(AI206&gt;AM206*1.05,AI206-AM206*1.05,IF(AI206&lt;AM206*0.95,AM206*0.95-AI206,0))</f>
        <v/>
      </c>
      <c r="AO206" s="34">
        <f>MAX(F206,G206,750)*0.05*AN206</f>
        <v/>
      </c>
      <c r="AP206" s="34" t="n">
        <v>13.32</v>
      </c>
      <c r="AQ206" s="34" t="n">
        <v>13.3</v>
      </c>
      <c r="AR206" s="34">
        <f>IF(AP206&gt;AQ206*1.05,AP206-AQ206*1.05,IF(AP206&lt;AQ206*0.95,AQ206*0.95-AP206,0))</f>
        <v/>
      </c>
      <c r="AS206" s="34">
        <f>MAX(F206:G206,750)*0.05*AR206</f>
        <v/>
      </c>
      <c r="AT206" t="n">
        <v>13.3</v>
      </c>
      <c r="AU206" s="34">
        <f>IF(AP206&gt;AT206*1.05,AP206-AT206*1.05,IF(AP206&lt;AT206*0.95,AT206*0.95-AP206,0))</f>
        <v/>
      </c>
      <c r="AV206" s="34">
        <f>MAX(F206:G206,750)*0.05*AU206</f>
        <v/>
      </c>
      <c r="AW206" s="34">
        <f>AC206+AJ206+AQ206</f>
        <v/>
      </c>
      <c r="AX206" s="34">
        <f>AF206+AM206+AT206</f>
        <v/>
      </c>
      <c r="AY206" s="34">
        <f>AB206+AI206+AP206</f>
        <v/>
      </c>
      <c r="AZ206" s="34" t="n">
        <v>0</v>
      </c>
      <c r="BA206" s="34">
        <f>AD206+AK206+AR206</f>
        <v/>
      </c>
      <c r="BB206" s="34">
        <f>MAX(F206:G206,750)*0.05*BA206</f>
        <v/>
      </c>
      <c r="BC206" s="34">
        <f>AG206+AN206+AU206</f>
        <v/>
      </c>
      <c r="BD206" s="34">
        <f>MAX(F206:G206,750)*0.05*BC206</f>
        <v/>
      </c>
      <c r="BE206" s="34">
        <f>F206*AY206</f>
        <v/>
      </c>
      <c r="BF206" s="34">
        <f>K206-M206</f>
        <v/>
      </c>
      <c r="BG206" s="34">
        <f>P206-S206</f>
        <v/>
      </c>
      <c r="BH206" s="34">
        <f>W206-AA206</f>
        <v/>
      </c>
      <c r="BI206" s="34">
        <f>BF206+BG206+BL206-BN206</f>
        <v/>
      </c>
      <c r="BJ206" s="34">
        <f>ABS(BK206)</f>
        <v/>
      </c>
      <c r="BK206" s="34">
        <f>AY206-(J206-L206+N206-Q206)</f>
        <v/>
      </c>
      <c r="BL206" s="34">
        <f>IF(AND(BK206&gt;0,MIN($F206:$G206)&lt;150,$E206="Enerji Açığı"),-100*BK206*1.03,IF(AND(BK206&gt;0,MIN($F206:$G206)&lt;150,$E206="Enerji Fazlası"),-100*BK206*1.06,IF(AND(BK206&gt;0,MIN($F206:$G206)&gt;=150,$E206="Enerji Açığı"),BK206*MIN($F206:$G206)*0.97,IF(AND(BK206&gt;0,MIN($F206:$G206)&gt;=150,$E206="Enerji Fazlası"),BK206*MIN($F206:$G206)*0.94,IF(AND(BK206&lt;0,MAX($F206:$G206)=4500,$E206="Enerji Açığı"),4500*1.05*1.06*BK206,IF(AND(BK206&lt;0,MAX($F206:$G206)=4500,$E206="Enerji Fazlası"),4500*1.05*1.03*BK206,IF(AND(BK206&lt;0,$E206="Enerji Açığı"),MAX($F206,$G206,150)*BK206*1.06,IF(AND(BK206&lt;0,$E206="Enerji Fazlası"),MAX($F206,$G206,150)*BK206*1.03,IF(AND(BK206&lt;0,$E206="Dengede"),MAX($F206:$G206,150)*1.03*BK206,MIN($F206:$G206)*0.97*BK206)))))))))</f>
        <v/>
      </c>
      <c r="BM206" s="34">
        <f>BE206-BI206-BN206</f>
        <v/>
      </c>
      <c r="BN206" s="34">
        <f>BB206</f>
        <v/>
      </c>
      <c r="BO206" s="34">
        <f>BE206-BI206</f>
        <v/>
      </c>
      <c r="BP206" s="34">
        <f>IF(AY206=0,0,BO206/AY206)</f>
        <v/>
      </c>
      <c r="BQ206" s="34">
        <f>MAX((AY206+MAX((-J206+L206-N206+Q206),0)),(MAX((J206-L206+N206-Q206),0)))</f>
        <v/>
      </c>
      <c r="BR206" s="82">
        <f>IFERROR(ABS(BK206/BQ206),0)</f>
        <v/>
      </c>
      <c r="BS206" s="34">
        <f>IF(BR206&lt;=0.1,0,BK206/BR206*(BR206-0.1))</f>
        <v/>
      </c>
      <c r="BT206" s="34">
        <f>IF((BS206)&lt;0,MAX(F206:G206)*(BS206)*1.03,MIN(F206:G206)*(BS206)*0.97)</f>
        <v/>
      </c>
      <c r="BU206" s="34">
        <f>IF(BR206&gt;0.1,1,0)</f>
        <v/>
      </c>
      <c r="BV206" s="34">
        <f>BF206+BG206+BH206+BY206-CA206</f>
        <v/>
      </c>
      <c r="BW206" s="34">
        <f>ABS(BX206)</f>
        <v/>
      </c>
      <c r="BX206" s="34">
        <f>AY206-(J206-L206+N206-Q206+T206-X206)</f>
        <v/>
      </c>
      <c r="BY206" s="34">
        <f>IF(AND(BX206&gt;0,MIN($F206:$G206)&lt;150,$E206="Enerji Açığı"),-100*BX206*1.03,IF(AND(BX206&gt;0,MIN($F206:$G206)&lt;150,$E206="Enerji Fazlası"),-100*BX206*1.06,IF(AND(BX206&gt;0,MIN($F206:$G206)&gt;=150,$E206="Enerji Açığı"),BX206*MIN($F206:$G206)*0.97,IF(AND(BX206&gt;0,MIN($F206:$G206)&gt;=150,$E206="Enerji Fazlası"),BX206*MIN($F206:$G206)*0.94,IF(AND(BX206&lt;0,MAX($F206:$G206)=4500,$E206="Enerji Açığı"),4500*1.05*1.06*BX206,IF(AND(BX206&lt;0,MAX($F206:$G206)=4500,$E206="Enerji Fazlası"),4500*1.05*1.03*BX206,IF(AND(BX206&lt;0,$E206="Enerji Açığı"),MAX($F206,$G206,150)*BX206*1.06,IF(AND(BX206&lt;0,$E206="Enerji Fazlası"),MAX($F206,$G206,150)*BX206*1.03,IF(AND(BX206&lt;0,$E206="Dengede"),MAX($F206:$G206,150)*1.03*BX206,MIN($F206:$G206)*0.97*BX206)))))))))</f>
        <v/>
      </c>
      <c r="BZ206" s="34">
        <f>BE206-BV206-CA206</f>
        <v/>
      </c>
      <c r="CA206" s="34">
        <f>BD206</f>
        <v/>
      </c>
      <c r="CB206" s="33">
        <f>BE206-BV206</f>
        <v/>
      </c>
      <c r="CC206" s="34">
        <f>IF(AY206=0,0,CB206/AY206)</f>
        <v/>
      </c>
      <c r="CD206" s="34">
        <f>MAX((AY206+MAX((-J206+L206-N206+Q206-T206+X206),0)),(MAX((J206-L206+N206-Q206+T206-X206),0)))</f>
        <v/>
      </c>
      <c r="CE206" s="82">
        <f>IFERROR(ABS(BX206/CD206),0)</f>
        <v/>
      </c>
      <c r="CF206" s="34">
        <f>IF(CE206&lt;=0.1,0,BX206/CE206*(CE206-0.1))</f>
        <v/>
      </c>
      <c r="CG206" s="34">
        <f>IF((CF206)&lt;0,MAX(F206:G206)*(CF206)*1.03,MIN(F206:G206)*(CF206)*0.97)</f>
        <v/>
      </c>
      <c r="CH206" s="34">
        <f>IF(CE206&gt;0.1,1,0)</f>
        <v/>
      </c>
      <c r="CI206" s="34">
        <f>(F206*BX206)-BY206</f>
        <v/>
      </c>
      <c r="CJ206" s="34">
        <f>IF(AY206=0,0,CI206/AY206)</f>
        <v/>
      </c>
    </row>
    <row r="207">
      <c r="A207" s="29" t="n">
        <v>46212.5</v>
      </c>
      <c r="B207" s="29" t="inlineStr">
        <is>
          <t>12:00</t>
        </is>
      </c>
      <c r="C207" s="35">
        <f>INT(A207)</f>
        <v/>
      </c>
      <c r="D207" s="36">
        <f>MONTH(A207)</f>
        <v/>
      </c>
      <c r="E207" s="147">
        <f>[1]FİYATLAR!#REF!</f>
        <v/>
      </c>
      <c r="F207" s="30" t="n">
        <v>1475.99</v>
      </c>
      <c r="G207" s="30" t="n">
        <v>450</v>
      </c>
      <c r="H207" s="30" t="n">
        <v>31.57</v>
      </c>
      <c r="I207" s="30" t="n">
        <v>1300.6</v>
      </c>
      <c r="J207" s="119" t="n">
        <v>0</v>
      </c>
      <c r="K207" s="34">
        <f>F207*J207</f>
        <v/>
      </c>
      <c r="L207" s="119" t="n"/>
      <c r="M207" s="34">
        <f>L207*F207</f>
        <v/>
      </c>
      <c r="N207" s="119" t="n"/>
      <c r="O207" s="34">
        <f>F207</f>
        <v/>
      </c>
      <c r="P207" s="34">
        <f>N207*O207</f>
        <v/>
      </c>
      <c r="Q207" s="117" t="n">
        <v>0</v>
      </c>
      <c r="R207" s="34">
        <f>F207</f>
        <v/>
      </c>
      <c r="S207" s="34">
        <f>R207*Q207</f>
        <v/>
      </c>
      <c r="T207" s="34">
        <f>SUMIFS('[1]GİP VERİLERİ'!$C:$C,'[1]GİP VERİLERİ'!$B:$B,A207,'[1]GİP VERİLERİ'!$M:$M,"40X000000104782K",'[1]GİP VERİLERİ'!$G:$G,"SELL")</f>
        <v/>
      </c>
      <c r="U207" s="34">
        <f>IFERROR(W207/T207,0)</f>
        <v/>
      </c>
      <c r="V207" s="34">
        <f>IF(U207=0,0,U207-F207)</f>
        <v/>
      </c>
      <c r="W207" s="34">
        <f>SUMIFS('[1]GİP VERİLERİ'!$O:$O,'[1]GİP VERİLERİ'!$B:$B,A207,'[1]GİP VERİLERİ'!$M:$M,"40X000000104782K",'[1]GİP VERİLERİ'!$G:$G,"SELL")</f>
        <v/>
      </c>
      <c r="X207" s="34">
        <f>SUMIFS('[1]GİP VERİLERİ'!$C:$C,'[1]GİP VERİLERİ'!$B:$B,A207,'[1]GİP VERİLERİ'!$M:$M,"40X000000104782K",'[1]GİP VERİLERİ'!$G:$G,"BUY")</f>
        <v/>
      </c>
      <c r="Y207" s="34">
        <f>IFERROR(AA207/X207,0)</f>
        <v/>
      </c>
      <c r="Z207" s="34">
        <f>IF(Y207=0,0,F207-Y207)</f>
        <v/>
      </c>
      <c r="AA207" s="34">
        <f>SUMIFS('[1]GİP VERİLERİ'!$O:$O,'[1]GİP VERİLERİ'!$B:$B,A207,'[1]GİP VERİLERİ'!$M:$M,"40X000000104782K",'[1]GİP VERİLERİ'!$G:$G,"BUY")</f>
        <v/>
      </c>
      <c r="AB207" s="34" t="n">
        <v>0</v>
      </c>
      <c r="AC207" s="34" t="n">
        <v>0</v>
      </c>
      <c r="AD207" s="34">
        <f>IF(AB207&gt;AC207*1.05,AB207-AC207*1.05,IF(AB207&lt;AC207*0.95,AC207*0.95-AB207,0))</f>
        <v/>
      </c>
      <c r="AE207" s="34">
        <f>MAX(F207,G207,750)*0.05*AD207</f>
        <v/>
      </c>
      <c r="AF207" s="34" t="n">
        <v>0</v>
      </c>
      <c r="AG207" s="34">
        <f>IF(AB207&gt;AF207*1.05,AB207-AF207*1.05,IF(AB207&lt;AF207*0.95,AF207*0.95-AB207,0))</f>
        <v/>
      </c>
      <c r="AH207" s="34">
        <f>MAX(I207,J207,750)*0.05*AG207</f>
        <v/>
      </c>
      <c r="AI207" t="n">
        <v>6.31</v>
      </c>
      <c r="AJ207" t="n">
        <v>9</v>
      </c>
      <c r="AK207" s="34">
        <f>IF(AI207&gt;AJ207*1.05,AI207-AJ207*1.05,IF(AI207&lt;AJ207*0.95,AJ207*0.95-AI207,0))</f>
        <v/>
      </c>
      <c r="AL207" s="34">
        <f>MAX(F207,G207,750)*0.05*AK207</f>
        <v/>
      </c>
      <c r="AM207" s="39" t="n">
        <v>6</v>
      </c>
      <c r="AN207" s="34">
        <f>IF(AI207&gt;AM207*1.05,AI207-AM207*1.05,IF(AI207&lt;AM207*0.95,AM207*0.95-AI207,0))</f>
        <v/>
      </c>
      <c r="AO207" s="34">
        <f>MAX(F207,G207,750)*0.05*AN207</f>
        <v/>
      </c>
      <c r="AP207" s="34" t="n">
        <v>13.67</v>
      </c>
      <c r="AQ207" s="34" t="n">
        <v>13.5</v>
      </c>
      <c r="AR207" s="34">
        <f>IF(AP207&gt;AQ207*1.05,AP207-AQ207*1.05,IF(AP207&lt;AQ207*0.95,AQ207*0.95-AP207,0))</f>
        <v/>
      </c>
      <c r="AS207" s="34">
        <f>MAX(F207:G207,750)*0.05*AR207</f>
        <v/>
      </c>
      <c r="AT207" t="n">
        <v>13.5</v>
      </c>
      <c r="AU207" s="34">
        <f>IF(AP207&gt;AT207*1.05,AP207-AT207*1.05,IF(AP207&lt;AT207*0.95,AT207*0.95-AP207,0))</f>
        <v/>
      </c>
      <c r="AV207" s="34">
        <f>MAX(F207:G207,750)*0.05*AU207</f>
        <v/>
      </c>
      <c r="AW207" s="34">
        <f>AC207+AJ207+AQ207</f>
        <v/>
      </c>
      <c r="AX207" s="34">
        <f>AF207+AM207+AT207</f>
        <v/>
      </c>
      <c r="AY207" s="34">
        <f>AB207+AI207+AP207</f>
        <v/>
      </c>
      <c r="AZ207" s="34" t="n">
        <v>0</v>
      </c>
      <c r="BA207" s="34">
        <f>AD207+AK207+AR207</f>
        <v/>
      </c>
      <c r="BB207" s="34">
        <f>MAX(F207:G207,750)*0.05*BA207</f>
        <v/>
      </c>
      <c r="BC207" s="34">
        <f>AG207+AN207+AU207</f>
        <v/>
      </c>
      <c r="BD207" s="34">
        <f>MAX(F207:G207,750)*0.05*BC207</f>
        <v/>
      </c>
      <c r="BE207" s="34">
        <f>F207*AY207</f>
        <v/>
      </c>
      <c r="BF207" s="34">
        <f>K207-M207</f>
        <v/>
      </c>
      <c r="BG207" s="34">
        <f>P207-S207</f>
        <v/>
      </c>
      <c r="BH207" s="34">
        <f>W207-AA207</f>
        <v/>
      </c>
      <c r="BI207" s="34">
        <f>BF207+BG207+BL207-BN207</f>
        <v/>
      </c>
      <c r="BJ207" s="34">
        <f>ABS(BK207)</f>
        <v/>
      </c>
      <c r="BK207" s="34">
        <f>AY207-(J207-L207+N207-Q207)</f>
        <v/>
      </c>
      <c r="BL207" s="34">
        <f>IF(AND(BK207&gt;0,MIN($F207:$G207)&lt;150,$E207="Enerji Açığı"),-100*BK207*1.03,IF(AND(BK207&gt;0,MIN($F207:$G207)&lt;150,$E207="Enerji Fazlası"),-100*BK207*1.06,IF(AND(BK207&gt;0,MIN($F207:$G207)&gt;=150,$E207="Enerji Açığı"),BK207*MIN($F207:$G207)*0.97,IF(AND(BK207&gt;0,MIN($F207:$G207)&gt;=150,$E207="Enerji Fazlası"),BK207*MIN($F207:$G207)*0.94,IF(AND(BK207&lt;0,MAX($F207:$G207)=4500,$E207="Enerji Açığı"),4500*1.05*1.06*BK207,IF(AND(BK207&lt;0,MAX($F207:$G207)=4500,$E207="Enerji Fazlası"),4500*1.05*1.03*BK207,IF(AND(BK207&lt;0,$E207="Enerji Açığı"),MAX($F207,$G207,150)*BK207*1.06,IF(AND(BK207&lt;0,$E207="Enerji Fazlası"),MAX($F207,$G207,150)*BK207*1.03,IF(AND(BK207&lt;0,$E207="Dengede"),MAX($F207:$G207,150)*1.03*BK207,MIN($F207:$G207)*0.97*BK207)))))))))</f>
        <v/>
      </c>
      <c r="BM207" s="34">
        <f>BE207-BI207-BN207</f>
        <v/>
      </c>
      <c r="BN207" s="34">
        <f>BB207</f>
        <v/>
      </c>
      <c r="BO207" s="34">
        <f>BE207-BI207</f>
        <v/>
      </c>
      <c r="BP207" s="34">
        <f>IF(AY207=0,0,BO207/AY207)</f>
        <v/>
      </c>
      <c r="BQ207" s="34">
        <f>MAX((AY207+MAX((-J207+L207-N207+Q207),0)),(MAX((J207-L207+N207-Q207),0)))</f>
        <v/>
      </c>
      <c r="BR207" s="82">
        <f>IFERROR(ABS(BK207/BQ207),0)</f>
        <v/>
      </c>
      <c r="BS207" s="34">
        <f>IF(BR207&lt;=0.1,0,BK207/BR207*(BR207-0.1))</f>
        <v/>
      </c>
      <c r="BT207" s="34">
        <f>IF((BS207)&lt;0,MAX(F207:G207)*(BS207)*1.03,MIN(F207:G207)*(BS207)*0.97)</f>
        <v/>
      </c>
      <c r="BU207" s="34">
        <f>IF(BR207&gt;0.1,1,0)</f>
        <v/>
      </c>
      <c r="BV207" s="34">
        <f>BF207+BG207+BH207+BY207-CA207</f>
        <v/>
      </c>
      <c r="BW207" s="34">
        <f>ABS(BX207)</f>
        <v/>
      </c>
      <c r="BX207" s="34">
        <f>AY207-(J207-L207+N207-Q207+T207-X207)</f>
        <v/>
      </c>
      <c r="BY207" s="34">
        <f>IF(AND(BX207&gt;0,MIN($F207:$G207)&lt;150,$E207="Enerji Açığı"),-100*BX207*1.03,IF(AND(BX207&gt;0,MIN($F207:$G207)&lt;150,$E207="Enerji Fazlası"),-100*BX207*1.06,IF(AND(BX207&gt;0,MIN($F207:$G207)&gt;=150,$E207="Enerji Açığı"),BX207*MIN($F207:$G207)*0.97,IF(AND(BX207&gt;0,MIN($F207:$G207)&gt;=150,$E207="Enerji Fazlası"),BX207*MIN($F207:$G207)*0.94,IF(AND(BX207&lt;0,MAX($F207:$G207)=4500,$E207="Enerji Açığı"),4500*1.05*1.06*BX207,IF(AND(BX207&lt;0,MAX($F207:$G207)=4500,$E207="Enerji Fazlası"),4500*1.05*1.03*BX207,IF(AND(BX207&lt;0,$E207="Enerji Açığı"),MAX($F207,$G207,150)*BX207*1.06,IF(AND(BX207&lt;0,$E207="Enerji Fazlası"),MAX($F207,$G207,150)*BX207*1.03,IF(AND(BX207&lt;0,$E207="Dengede"),MAX($F207:$G207,150)*1.03*BX207,MIN($F207:$G207)*0.97*BX207)))))))))</f>
        <v/>
      </c>
      <c r="BZ207" s="34">
        <f>BE207-BV207-CA207</f>
        <v/>
      </c>
      <c r="CA207" s="34">
        <f>BD207</f>
        <v/>
      </c>
      <c r="CB207" s="33">
        <f>BE207-BV207</f>
        <v/>
      </c>
      <c r="CC207" s="34">
        <f>IF(AY207=0,0,CB207/AY207)</f>
        <v/>
      </c>
      <c r="CD207" s="34">
        <f>MAX((AY207+MAX((-J207+L207-N207+Q207-T207+X207),0)),(MAX((J207-L207+N207-Q207+T207-X207),0)))</f>
        <v/>
      </c>
      <c r="CE207" s="82">
        <f>IFERROR(ABS(BX207/CD207),0)</f>
        <v/>
      </c>
      <c r="CF207" s="34">
        <f>IF(CE207&lt;=0.1,0,BX207/CE207*(CE207-0.1))</f>
        <v/>
      </c>
      <c r="CG207" s="34">
        <f>IF((CF207)&lt;0,MAX(F207:G207)*(CF207)*1.03,MIN(F207:G207)*(CF207)*0.97)</f>
        <v/>
      </c>
      <c r="CH207" s="34">
        <f>IF(CE207&gt;0.1,1,0)</f>
        <v/>
      </c>
      <c r="CI207" s="34">
        <f>(F207*BX207)-BY207</f>
        <v/>
      </c>
      <c r="CJ207" s="34">
        <f>IF(AY207=0,0,CI207/AY207)</f>
        <v/>
      </c>
    </row>
    <row r="208">
      <c r="A208" s="29" t="n">
        <v>46212.54166666666</v>
      </c>
      <c r="B208" s="29" t="inlineStr">
        <is>
          <t>13:00</t>
        </is>
      </c>
      <c r="C208" s="35">
        <f>INT(A208)</f>
        <v/>
      </c>
      <c r="D208" s="36">
        <f>MONTH(A208)</f>
        <v/>
      </c>
      <c r="E208" s="147">
        <f>[1]FİYATLAR!#REF!</f>
        <v/>
      </c>
      <c r="F208" s="30" t="n">
        <v>2413.63</v>
      </c>
      <c r="G208" s="30" t="n">
        <v>3500</v>
      </c>
      <c r="H208" s="30" t="n">
        <v>51.63</v>
      </c>
      <c r="I208" s="30" t="n">
        <v>2107.44</v>
      </c>
      <c r="J208" s="119" t="n">
        <v>0</v>
      </c>
      <c r="K208" s="34">
        <f>F208*J208</f>
        <v/>
      </c>
      <c r="L208" s="119" t="n"/>
      <c r="M208" s="34">
        <f>L208*F208</f>
        <v/>
      </c>
      <c r="N208" s="119" t="n"/>
      <c r="O208" s="34">
        <f>F208</f>
        <v/>
      </c>
      <c r="P208" s="34">
        <f>N208*O208</f>
        <v/>
      </c>
      <c r="Q208" s="117" t="n">
        <v>0</v>
      </c>
      <c r="R208" s="34">
        <f>F208</f>
        <v/>
      </c>
      <c r="S208" s="34">
        <f>R208*Q208</f>
        <v/>
      </c>
      <c r="T208" s="34">
        <f>SUMIFS('[1]GİP VERİLERİ'!$C:$C,'[1]GİP VERİLERİ'!$B:$B,A208,'[1]GİP VERİLERİ'!$M:$M,"40X000000104782K",'[1]GİP VERİLERİ'!$G:$G,"SELL")</f>
        <v/>
      </c>
      <c r="U208" s="34">
        <f>IFERROR(W208/T208,0)</f>
        <v/>
      </c>
      <c r="V208" s="34">
        <f>IF(U208=0,0,U208-F208)</f>
        <v/>
      </c>
      <c r="W208" s="34">
        <f>SUMIFS('[1]GİP VERİLERİ'!$O:$O,'[1]GİP VERİLERİ'!$B:$B,A208,'[1]GİP VERİLERİ'!$M:$M,"40X000000104782K",'[1]GİP VERİLERİ'!$G:$G,"SELL")</f>
        <v/>
      </c>
      <c r="X208" s="34">
        <f>SUMIFS('[1]GİP VERİLERİ'!$C:$C,'[1]GİP VERİLERİ'!$B:$B,A208,'[1]GİP VERİLERİ'!$M:$M,"40X000000104782K",'[1]GİP VERİLERİ'!$G:$G,"BUY")</f>
        <v/>
      </c>
      <c r="Y208" s="34">
        <f>IFERROR(AA208/X208,0)</f>
        <v/>
      </c>
      <c r="Z208" s="34">
        <f>IF(Y208=0,0,F208-Y208)</f>
        <v/>
      </c>
      <c r="AA208" s="34">
        <f>SUMIFS('[1]GİP VERİLERİ'!$O:$O,'[1]GİP VERİLERİ'!$B:$B,A208,'[1]GİP VERİLERİ'!$M:$M,"40X000000104782K",'[1]GİP VERİLERİ'!$G:$G,"BUY")</f>
        <v/>
      </c>
      <c r="AB208" s="34" t="n">
        <v>0</v>
      </c>
      <c r="AC208" s="34" t="n">
        <v>0</v>
      </c>
      <c r="AD208" s="34">
        <f>IF(AB208&gt;AC208*1.05,AB208-AC208*1.05,IF(AB208&lt;AC208*0.95,AC208*0.95-AB208,0))</f>
        <v/>
      </c>
      <c r="AE208" s="34">
        <f>MAX(F208,G208,750)*0.05*AD208</f>
        <v/>
      </c>
      <c r="AF208" s="34" t="n">
        <v>0</v>
      </c>
      <c r="AG208" s="34">
        <f>IF(AB208&gt;AF208*1.05,AB208-AF208*1.05,IF(AB208&lt;AF208*0.95,AF208*0.95-AB208,0))</f>
        <v/>
      </c>
      <c r="AH208" s="34">
        <f>MAX(I208,J208,750)*0.05*AG208</f>
        <v/>
      </c>
      <c r="AI208" t="n">
        <v>7.86</v>
      </c>
      <c r="AJ208" t="n">
        <v>9</v>
      </c>
      <c r="AK208" s="34">
        <f>IF(AI208&gt;AJ208*1.05,AI208-AJ208*1.05,IF(AI208&lt;AJ208*0.95,AJ208*0.95-AI208,0))</f>
        <v/>
      </c>
      <c r="AL208" s="34">
        <f>MAX(F208,G208,750)*0.05*AK208</f>
        <v/>
      </c>
      <c r="AM208" s="39" t="n">
        <v>9</v>
      </c>
      <c r="AN208" s="34">
        <f>IF(AI208&gt;AM208*1.05,AI208-AM208*1.05,IF(AI208&lt;AM208*0.95,AM208*0.95-AI208,0))</f>
        <v/>
      </c>
      <c r="AO208" s="34">
        <f>MAX(F208,G208,750)*0.05*AN208</f>
        <v/>
      </c>
      <c r="AP208" s="34" t="n">
        <v>14.04</v>
      </c>
      <c r="AQ208" s="34" t="n">
        <v>13.5</v>
      </c>
      <c r="AR208" s="34">
        <f>IF(AP208&gt;AQ208*1.05,AP208-AQ208*1.05,IF(AP208&lt;AQ208*0.95,AQ208*0.95-AP208,0))</f>
        <v/>
      </c>
      <c r="AS208" s="34">
        <f>MAX(F208:G208,750)*0.05*AR208</f>
        <v/>
      </c>
      <c r="AT208" t="n">
        <v>13.5</v>
      </c>
      <c r="AU208" s="34">
        <f>IF(AP208&gt;AT208*1.05,AP208-AT208*1.05,IF(AP208&lt;AT208*0.95,AT208*0.95-AP208,0))</f>
        <v/>
      </c>
      <c r="AV208" s="34">
        <f>MAX(F208:G208,750)*0.05*AU208</f>
        <v/>
      </c>
      <c r="AW208" s="34">
        <f>AC208+AJ208+AQ208</f>
        <v/>
      </c>
      <c r="AX208" s="34">
        <f>AF208+AM208+AT208</f>
        <v/>
      </c>
      <c r="AY208" s="34">
        <f>AB208+AI208+AP208</f>
        <v/>
      </c>
      <c r="AZ208" s="34" t="n">
        <v>0</v>
      </c>
      <c r="BA208" s="34">
        <f>AD208+AK208+AR208</f>
        <v/>
      </c>
      <c r="BB208" s="34">
        <f>MAX(F208:G208,750)*0.05*BA208</f>
        <v/>
      </c>
      <c r="BC208" s="34">
        <f>AG208+AN208+AU208</f>
        <v/>
      </c>
      <c r="BD208" s="34">
        <f>MAX(F208:G208,750)*0.05*BC208</f>
        <v/>
      </c>
      <c r="BE208" s="34">
        <f>F208*AY208</f>
        <v/>
      </c>
      <c r="BF208" s="34">
        <f>K208-M208</f>
        <v/>
      </c>
      <c r="BG208" s="34">
        <f>P208-S208</f>
        <v/>
      </c>
      <c r="BH208" s="34">
        <f>W208-AA208</f>
        <v/>
      </c>
      <c r="BI208" s="34">
        <f>BF208+BG208+BL208-BN208</f>
        <v/>
      </c>
      <c r="BJ208" s="34">
        <f>ABS(BK208)</f>
        <v/>
      </c>
      <c r="BK208" s="34">
        <f>AY208-(J208-L208+N208-Q208)</f>
        <v/>
      </c>
      <c r="BL208" s="34">
        <f>IF(AND(BK208&gt;0,MIN($F208:$G208)&lt;150,$E208="Enerji Açığı"),-100*BK208*1.03,IF(AND(BK208&gt;0,MIN($F208:$G208)&lt;150,$E208="Enerji Fazlası"),-100*BK208*1.06,IF(AND(BK208&gt;0,MIN($F208:$G208)&gt;=150,$E208="Enerji Açığı"),BK208*MIN($F208:$G208)*0.97,IF(AND(BK208&gt;0,MIN($F208:$G208)&gt;=150,$E208="Enerji Fazlası"),BK208*MIN($F208:$G208)*0.94,IF(AND(BK208&lt;0,MAX($F208:$G208)=4500,$E208="Enerji Açığı"),4500*1.05*1.06*BK208,IF(AND(BK208&lt;0,MAX($F208:$G208)=4500,$E208="Enerji Fazlası"),4500*1.05*1.03*BK208,IF(AND(BK208&lt;0,$E208="Enerji Açığı"),MAX($F208,$G208,150)*BK208*1.06,IF(AND(BK208&lt;0,$E208="Enerji Fazlası"),MAX($F208,$G208,150)*BK208*1.03,IF(AND(BK208&lt;0,$E208="Dengede"),MAX($F208:$G208,150)*1.03*BK208,MIN($F208:$G208)*0.97*BK208)))))))))</f>
        <v/>
      </c>
      <c r="BM208" s="34">
        <f>BE208-BI208-BN208</f>
        <v/>
      </c>
      <c r="BN208" s="34">
        <f>BB208</f>
        <v/>
      </c>
      <c r="BO208" s="34">
        <f>BE208-BI208</f>
        <v/>
      </c>
      <c r="BP208" s="34">
        <f>IF(AY208=0,0,BO208/AY208)</f>
        <v/>
      </c>
      <c r="BQ208" s="34">
        <f>MAX((AY208+MAX((-J208+L208-N208+Q208),0)),(MAX((J208-L208+N208-Q208),0)))</f>
        <v/>
      </c>
      <c r="BR208" s="82">
        <f>IFERROR(ABS(BK208/BQ208),0)</f>
        <v/>
      </c>
      <c r="BS208" s="34">
        <f>IF(BR208&lt;=0.1,0,BK208/BR208*(BR208-0.1))</f>
        <v/>
      </c>
      <c r="BT208" s="34">
        <f>IF((BS208)&lt;0,MAX(F208:G208)*(BS208)*1.03,MIN(F208:G208)*(BS208)*0.97)</f>
        <v/>
      </c>
      <c r="BU208" s="34">
        <f>IF(BR208&gt;0.1,1,0)</f>
        <v/>
      </c>
      <c r="BV208" s="34">
        <f>BF208+BG208+BH208+BY208-CA208</f>
        <v/>
      </c>
      <c r="BW208" s="34">
        <f>ABS(BX208)</f>
        <v/>
      </c>
      <c r="BX208" s="34">
        <f>AY208-(J208-L208+N208-Q208+T208-X208)</f>
        <v/>
      </c>
      <c r="BY208" s="34">
        <f>IF(AND(BX208&gt;0,MIN($F208:$G208)&lt;150,$E208="Enerji Açığı"),-100*BX208*1.03,IF(AND(BX208&gt;0,MIN($F208:$G208)&lt;150,$E208="Enerji Fazlası"),-100*BX208*1.06,IF(AND(BX208&gt;0,MIN($F208:$G208)&gt;=150,$E208="Enerji Açığı"),BX208*MIN($F208:$G208)*0.97,IF(AND(BX208&gt;0,MIN($F208:$G208)&gt;=150,$E208="Enerji Fazlası"),BX208*MIN($F208:$G208)*0.94,IF(AND(BX208&lt;0,MAX($F208:$G208)=4500,$E208="Enerji Açığı"),4500*1.05*1.06*BX208,IF(AND(BX208&lt;0,MAX($F208:$G208)=4500,$E208="Enerji Fazlası"),4500*1.05*1.03*BX208,IF(AND(BX208&lt;0,$E208="Enerji Açığı"),MAX($F208,$G208,150)*BX208*1.06,IF(AND(BX208&lt;0,$E208="Enerji Fazlası"),MAX($F208,$G208,150)*BX208*1.03,IF(AND(BX208&lt;0,$E208="Dengede"),MAX($F208:$G208,150)*1.03*BX208,MIN($F208:$G208)*0.97*BX208)))))))))</f>
        <v/>
      </c>
      <c r="BZ208" s="34">
        <f>BE208-BV208-CA208</f>
        <v/>
      </c>
      <c r="CA208" s="34">
        <f>BD208</f>
        <v/>
      </c>
      <c r="CB208" s="33">
        <f>BE208-BV208</f>
        <v/>
      </c>
      <c r="CC208" s="34">
        <f>IF(AY208=0,0,CB208/AY208)</f>
        <v/>
      </c>
      <c r="CD208" s="34">
        <f>MAX((AY208+MAX((-J208+L208-N208+Q208-T208+X208),0)),(MAX((J208-L208+N208-Q208+T208-X208),0)))</f>
        <v/>
      </c>
      <c r="CE208" s="82">
        <f>IFERROR(ABS(BX208/CD208),0)</f>
        <v/>
      </c>
      <c r="CF208" s="34">
        <f>IF(CE208&lt;=0.1,0,BX208/CE208*(CE208-0.1))</f>
        <v/>
      </c>
      <c r="CG208" s="34">
        <f>IF((CF208)&lt;0,MAX(F208:G208)*(CF208)*1.03,MIN(F208:G208)*(CF208)*0.97)</f>
        <v/>
      </c>
      <c r="CH208" s="34">
        <f>IF(CE208&gt;0.1,1,0)</f>
        <v/>
      </c>
      <c r="CI208" s="34">
        <f>(F208*BX208)-BY208</f>
        <v/>
      </c>
      <c r="CJ208" s="34">
        <f>IF(AY208=0,0,CI208/AY208)</f>
        <v/>
      </c>
    </row>
    <row r="209">
      <c r="A209" s="29" t="n">
        <v>46212.58333333334</v>
      </c>
      <c r="B209" s="29" t="inlineStr">
        <is>
          <t>14:00</t>
        </is>
      </c>
      <c r="C209" s="35">
        <f>INT(A209)</f>
        <v/>
      </c>
      <c r="D209" s="36">
        <f>MONTH(A209)</f>
        <v/>
      </c>
      <c r="E209" s="147">
        <f>[1]FİYATLAR!#REF!</f>
        <v/>
      </c>
      <c r="F209" s="30" t="n">
        <v>3478.04</v>
      </c>
      <c r="G209" s="30" t="n">
        <v>4019</v>
      </c>
      <c r="H209" s="30" t="n">
        <v>74.39</v>
      </c>
      <c r="I209" s="30" t="n">
        <v>3132.63</v>
      </c>
      <c r="J209" s="119" t="n">
        <v>0</v>
      </c>
      <c r="K209" s="34">
        <f>F209*J209</f>
        <v/>
      </c>
      <c r="L209" s="119" t="n"/>
      <c r="M209" s="34">
        <f>L209*F209</f>
        <v/>
      </c>
      <c r="N209" s="119" t="n"/>
      <c r="O209" s="34">
        <f>F209</f>
        <v/>
      </c>
      <c r="P209" s="34">
        <f>N209*O209</f>
        <v/>
      </c>
      <c r="Q209" s="117" t="n">
        <v>0</v>
      </c>
      <c r="R209" s="34">
        <f>F209</f>
        <v/>
      </c>
      <c r="S209" s="34">
        <f>R209*Q209</f>
        <v/>
      </c>
      <c r="T209" s="34">
        <f>SUMIFS('[1]GİP VERİLERİ'!$C:$C,'[1]GİP VERİLERİ'!$B:$B,A209,'[1]GİP VERİLERİ'!$M:$M,"40X000000104782K",'[1]GİP VERİLERİ'!$G:$G,"SELL")</f>
        <v/>
      </c>
      <c r="U209" s="34">
        <f>IFERROR(W209/T209,0)</f>
        <v/>
      </c>
      <c r="V209" s="34">
        <f>IF(U209=0,0,U209-F209)</f>
        <v/>
      </c>
      <c r="W209" s="34">
        <f>SUMIFS('[1]GİP VERİLERİ'!$O:$O,'[1]GİP VERİLERİ'!$B:$B,A209,'[1]GİP VERİLERİ'!$M:$M,"40X000000104782K",'[1]GİP VERİLERİ'!$G:$G,"SELL")</f>
        <v/>
      </c>
      <c r="X209" s="34">
        <f>SUMIFS('[1]GİP VERİLERİ'!$C:$C,'[1]GİP VERİLERİ'!$B:$B,A209,'[1]GİP VERİLERİ'!$M:$M,"40X000000104782K",'[1]GİP VERİLERİ'!$G:$G,"BUY")</f>
        <v/>
      </c>
      <c r="Y209" s="34">
        <f>IFERROR(AA209/X209,0)</f>
        <v/>
      </c>
      <c r="Z209" s="34">
        <f>IF(Y209=0,0,F209-Y209)</f>
        <v/>
      </c>
      <c r="AA209" s="34">
        <f>SUMIFS('[1]GİP VERİLERİ'!$O:$O,'[1]GİP VERİLERİ'!$B:$B,A209,'[1]GİP VERİLERİ'!$M:$M,"40X000000104782K",'[1]GİP VERİLERİ'!$G:$G,"BUY")</f>
        <v/>
      </c>
      <c r="AB209" s="34" t="n">
        <v>0</v>
      </c>
      <c r="AC209" s="34" t="n">
        <v>0</v>
      </c>
      <c r="AD209" s="34">
        <f>IF(AB209&gt;AC209*1.05,AB209-AC209*1.05,IF(AB209&lt;AC209*0.95,AC209*0.95-AB209,0))</f>
        <v/>
      </c>
      <c r="AE209" s="34">
        <f>MAX(F209,G209,750)*0.05*AD209</f>
        <v/>
      </c>
      <c r="AF209" s="34" t="n">
        <v>0</v>
      </c>
      <c r="AG209" s="34">
        <f>IF(AB209&gt;AF209*1.05,AB209-AF209*1.05,IF(AB209&lt;AF209*0.95,AF209*0.95-AB209,0))</f>
        <v/>
      </c>
      <c r="AH209" s="34">
        <f>MAX(I209,J209,750)*0.05*AG209</f>
        <v/>
      </c>
      <c r="AI209" t="n">
        <v>8.44</v>
      </c>
      <c r="AJ209" t="n">
        <v>9</v>
      </c>
      <c r="AK209" s="34">
        <f>IF(AI209&gt;AJ209*1.05,AI209-AJ209*1.05,IF(AI209&lt;AJ209*0.95,AJ209*0.95-AI209,0))</f>
        <v/>
      </c>
      <c r="AL209" s="34">
        <f>MAX(F209,G209,750)*0.05*AK209</f>
        <v/>
      </c>
      <c r="AM209" s="39" t="n">
        <v>9</v>
      </c>
      <c r="AN209" s="34">
        <f>IF(AI209&gt;AM209*1.05,AI209-AM209*1.05,IF(AI209&lt;AM209*0.95,AM209*0.95-AI209,0))</f>
        <v/>
      </c>
      <c r="AO209" s="34">
        <f>MAX(F209,G209,750)*0.05*AN209</f>
        <v/>
      </c>
      <c r="AP209" s="34" t="n">
        <v>14.51</v>
      </c>
      <c r="AQ209" s="34" t="n">
        <v>13.5</v>
      </c>
      <c r="AR209" s="34">
        <f>IF(AP209&gt;AQ209*1.05,AP209-AQ209*1.05,IF(AP209&lt;AQ209*0.95,AQ209*0.95-AP209,0))</f>
        <v/>
      </c>
      <c r="AS209" s="34">
        <f>MAX(F209:G209,750)*0.05*AR209</f>
        <v/>
      </c>
      <c r="AT209" t="n">
        <v>13.5</v>
      </c>
      <c r="AU209" s="34">
        <f>IF(AP209&gt;AT209*1.05,AP209-AT209*1.05,IF(AP209&lt;AT209*0.95,AT209*0.95-AP209,0))</f>
        <v/>
      </c>
      <c r="AV209" s="34">
        <f>MAX(F209:G209,750)*0.05*AU209</f>
        <v/>
      </c>
      <c r="AW209" s="34">
        <f>AC209+AJ209+AQ209</f>
        <v/>
      </c>
      <c r="AX209" s="34">
        <f>AF209+AM209+AT209</f>
        <v/>
      </c>
      <c r="AY209" s="34">
        <f>AB209+AI209+AP209</f>
        <v/>
      </c>
      <c r="AZ209" s="34" t="n">
        <v>0</v>
      </c>
      <c r="BA209" s="34">
        <f>AD209+AK209+AR209</f>
        <v/>
      </c>
      <c r="BB209" s="34">
        <f>MAX(F209:G209,750)*0.05*BA209</f>
        <v/>
      </c>
      <c r="BC209" s="34">
        <f>AG209+AN209+AU209</f>
        <v/>
      </c>
      <c r="BD209" s="34">
        <f>MAX(F209:G209,750)*0.05*BC209</f>
        <v/>
      </c>
      <c r="BE209" s="34">
        <f>F209*AY209</f>
        <v/>
      </c>
      <c r="BF209" s="34">
        <f>K209-M209</f>
        <v/>
      </c>
      <c r="BG209" s="34">
        <f>P209-S209</f>
        <v/>
      </c>
      <c r="BH209" s="34">
        <f>W209-AA209</f>
        <v/>
      </c>
      <c r="BI209" s="34">
        <f>BF209+BG209+BL209-BN209</f>
        <v/>
      </c>
      <c r="BJ209" s="34">
        <f>ABS(BK209)</f>
        <v/>
      </c>
      <c r="BK209" s="34">
        <f>AY209-(J209-L209+N209-Q209)</f>
        <v/>
      </c>
      <c r="BL209" s="34">
        <f>IF(AND(BK209&gt;0,MIN($F209:$G209)&lt;150,$E209="Enerji Açığı"),-100*BK209*1.03,IF(AND(BK209&gt;0,MIN($F209:$G209)&lt;150,$E209="Enerji Fazlası"),-100*BK209*1.06,IF(AND(BK209&gt;0,MIN($F209:$G209)&gt;=150,$E209="Enerji Açığı"),BK209*MIN($F209:$G209)*0.97,IF(AND(BK209&gt;0,MIN($F209:$G209)&gt;=150,$E209="Enerji Fazlası"),BK209*MIN($F209:$G209)*0.94,IF(AND(BK209&lt;0,MAX($F209:$G209)=4500,$E209="Enerji Açığı"),4500*1.05*1.06*BK209,IF(AND(BK209&lt;0,MAX($F209:$G209)=4500,$E209="Enerji Fazlası"),4500*1.05*1.03*BK209,IF(AND(BK209&lt;0,$E209="Enerji Açığı"),MAX($F209,$G209,150)*BK209*1.06,IF(AND(BK209&lt;0,$E209="Enerji Fazlası"),MAX($F209,$G209,150)*BK209*1.03,IF(AND(BK209&lt;0,$E209="Dengede"),MAX($F209:$G209,150)*1.03*BK209,MIN($F209:$G209)*0.97*BK209)))))))))</f>
        <v/>
      </c>
      <c r="BM209" s="34">
        <f>BE209-BI209-BN209</f>
        <v/>
      </c>
      <c r="BN209" s="34">
        <f>BB209</f>
        <v/>
      </c>
      <c r="BO209" s="34">
        <f>BE209-BI209</f>
        <v/>
      </c>
      <c r="BP209" s="34">
        <f>IF(AY209=0,0,BO209/AY209)</f>
        <v/>
      </c>
      <c r="BQ209" s="34">
        <f>MAX((AY209+MAX((-J209+L209-N209+Q209),0)),(MAX((J209-L209+N209-Q209),0)))</f>
        <v/>
      </c>
      <c r="BR209" s="82">
        <f>IFERROR(ABS(BK209/BQ209),0)</f>
        <v/>
      </c>
      <c r="BS209" s="34">
        <f>IF(BR209&lt;=0.1,0,BK209/BR209*(BR209-0.1))</f>
        <v/>
      </c>
      <c r="BT209" s="34">
        <f>IF((BS209)&lt;0,MAX(F209:G209)*(BS209)*1.03,MIN(F209:G209)*(BS209)*0.97)</f>
        <v/>
      </c>
      <c r="BU209" s="34">
        <f>IF(BR209&gt;0.1,1,0)</f>
        <v/>
      </c>
      <c r="BV209" s="34">
        <f>BF209+BG209+BH209+BY209-CA209</f>
        <v/>
      </c>
      <c r="BW209" s="34">
        <f>ABS(BX209)</f>
        <v/>
      </c>
      <c r="BX209" s="34">
        <f>AY209-(J209-L209+N209-Q209+T209-X209)</f>
        <v/>
      </c>
      <c r="BY209" s="34">
        <f>IF(AND(BX209&gt;0,MIN($F209:$G209)&lt;150,$E209="Enerji Açığı"),-100*BX209*1.03,IF(AND(BX209&gt;0,MIN($F209:$G209)&lt;150,$E209="Enerji Fazlası"),-100*BX209*1.06,IF(AND(BX209&gt;0,MIN($F209:$G209)&gt;=150,$E209="Enerji Açığı"),BX209*MIN($F209:$G209)*0.97,IF(AND(BX209&gt;0,MIN($F209:$G209)&gt;=150,$E209="Enerji Fazlası"),BX209*MIN($F209:$G209)*0.94,IF(AND(BX209&lt;0,MAX($F209:$G209)=4500,$E209="Enerji Açığı"),4500*1.05*1.06*BX209,IF(AND(BX209&lt;0,MAX($F209:$G209)=4500,$E209="Enerji Fazlası"),4500*1.05*1.03*BX209,IF(AND(BX209&lt;0,$E209="Enerji Açığı"),MAX($F209,$G209,150)*BX209*1.06,IF(AND(BX209&lt;0,$E209="Enerji Fazlası"),MAX($F209,$G209,150)*BX209*1.03,IF(AND(BX209&lt;0,$E209="Dengede"),MAX($F209:$G209,150)*1.03*BX209,MIN($F209:$G209)*0.97*BX209)))))))))</f>
        <v/>
      </c>
      <c r="BZ209" s="34">
        <f>BE209-BV209-CA209</f>
        <v/>
      </c>
      <c r="CA209" s="34">
        <f>BD209</f>
        <v/>
      </c>
      <c r="CB209" s="33">
        <f>BE209-BV209</f>
        <v/>
      </c>
      <c r="CC209" s="34">
        <f>IF(AY209=0,0,CB209/AY209)</f>
        <v/>
      </c>
      <c r="CD209" s="34">
        <f>MAX((AY209+MAX((-J209+L209-N209+Q209-T209+X209),0)),(MAX((J209-L209+N209-Q209+T209-X209),0)))</f>
        <v/>
      </c>
      <c r="CE209" s="82">
        <f>IFERROR(ABS(BX209/CD209),0)</f>
        <v/>
      </c>
      <c r="CF209" s="34">
        <f>IF(CE209&lt;=0.1,0,BX209/CE209*(CE209-0.1))</f>
        <v/>
      </c>
      <c r="CG209" s="34">
        <f>IF((CF209)&lt;0,MAX(F209:G209)*(CF209)*1.03,MIN(F209:G209)*(CF209)*0.97)</f>
        <v/>
      </c>
      <c r="CH209" s="34">
        <f>IF(CE209&gt;0.1,1,0)</f>
        <v/>
      </c>
      <c r="CI209" s="34">
        <f>(F209*BX209)-BY209</f>
        <v/>
      </c>
      <c r="CJ209" s="34">
        <f>IF(AY209=0,0,CI209/AY209)</f>
        <v/>
      </c>
    </row>
    <row r="210">
      <c r="A210" s="29" t="n">
        <v>46212.625</v>
      </c>
      <c r="B210" s="29" t="inlineStr">
        <is>
          <t>15:00</t>
        </is>
      </c>
      <c r="C210" s="35">
        <f>INT(A210)</f>
        <v/>
      </c>
      <c r="D210" s="36">
        <f>MONTH(A210)</f>
        <v/>
      </c>
      <c r="E210" s="147">
        <f>[1]FİYATLAR!#REF!</f>
        <v/>
      </c>
      <c r="F210" s="30" t="n">
        <v>3200.01</v>
      </c>
      <c r="G210" s="30" t="n">
        <v>3800</v>
      </c>
      <c r="H210" s="30" t="n">
        <v>68.45</v>
      </c>
      <c r="I210" s="30" t="n">
        <v>3163.71</v>
      </c>
      <c r="J210" s="119" t="n">
        <v>0</v>
      </c>
      <c r="K210" s="34">
        <f>F210*J210</f>
        <v/>
      </c>
      <c r="L210" s="119" t="n"/>
      <c r="M210" s="34">
        <f>L210*F210</f>
        <v/>
      </c>
      <c r="N210" s="119" t="n"/>
      <c r="O210" s="34">
        <f>F210</f>
        <v/>
      </c>
      <c r="P210" s="34">
        <f>N210*O210</f>
        <v/>
      </c>
      <c r="Q210" s="117" t="n">
        <v>0</v>
      </c>
      <c r="R210" s="34">
        <f>F210</f>
        <v/>
      </c>
      <c r="S210" s="34">
        <f>R210*Q210</f>
        <v/>
      </c>
      <c r="T210" s="34">
        <f>SUMIFS('[1]GİP VERİLERİ'!$C:$C,'[1]GİP VERİLERİ'!$B:$B,A210,'[1]GİP VERİLERİ'!$M:$M,"40X000000104782K",'[1]GİP VERİLERİ'!$G:$G,"SELL")</f>
        <v/>
      </c>
      <c r="U210" s="34">
        <f>IFERROR(W210/T210,0)</f>
        <v/>
      </c>
      <c r="V210" s="34">
        <f>IF(U210=0,0,U210-F210)</f>
        <v/>
      </c>
      <c r="W210" s="34">
        <f>SUMIFS('[1]GİP VERİLERİ'!$O:$O,'[1]GİP VERİLERİ'!$B:$B,A210,'[1]GİP VERİLERİ'!$M:$M,"40X000000104782K",'[1]GİP VERİLERİ'!$G:$G,"SELL")</f>
        <v/>
      </c>
      <c r="X210" s="34">
        <f>SUMIFS('[1]GİP VERİLERİ'!$C:$C,'[1]GİP VERİLERİ'!$B:$B,A210,'[1]GİP VERİLERİ'!$M:$M,"40X000000104782K",'[1]GİP VERİLERİ'!$G:$G,"BUY")</f>
        <v/>
      </c>
      <c r="Y210" s="34">
        <f>IFERROR(AA210/X210,0)</f>
        <v/>
      </c>
      <c r="Z210" s="34">
        <f>IF(Y210=0,0,F210-Y210)</f>
        <v/>
      </c>
      <c r="AA210" s="34">
        <f>SUMIFS('[1]GİP VERİLERİ'!$O:$O,'[1]GİP VERİLERİ'!$B:$B,A210,'[1]GİP VERİLERİ'!$M:$M,"40X000000104782K",'[1]GİP VERİLERİ'!$G:$G,"BUY")</f>
        <v/>
      </c>
      <c r="AB210" s="34" t="n">
        <v>0</v>
      </c>
      <c r="AC210" s="34" t="n">
        <v>0</v>
      </c>
      <c r="AD210" s="34">
        <f>IF(AB210&gt;AC210*1.05,AB210-AC210*1.05,IF(AB210&lt;AC210*0.95,AC210*0.95-AB210,0))</f>
        <v/>
      </c>
      <c r="AE210" s="34">
        <f>MAX(F210,G210,750)*0.05*AD210</f>
        <v/>
      </c>
      <c r="AF210" s="34" t="n">
        <v>0</v>
      </c>
      <c r="AG210" s="34">
        <f>IF(AB210&gt;AF210*1.05,AB210-AF210*1.05,IF(AB210&lt;AF210*0.95,AF210*0.95-AB210,0))</f>
        <v/>
      </c>
      <c r="AH210" s="34">
        <f>MAX(I210,J210,750)*0.05*AG210</f>
        <v/>
      </c>
      <c r="AI210" t="n">
        <v>7.32</v>
      </c>
      <c r="AJ210" t="n">
        <v>9</v>
      </c>
      <c r="AK210" s="34">
        <f>IF(AI210&gt;AJ210*1.05,AI210-AJ210*1.05,IF(AI210&lt;AJ210*0.95,AJ210*0.95-AI210,0))</f>
        <v/>
      </c>
      <c r="AL210" s="34">
        <f>MAX(F210,G210,750)*0.05*AK210</f>
        <v/>
      </c>
      <c r="AM210" s="39" t="n">
        <v>9</v>
      </c>
      <c r="AN210" s="34">
        <f>IF(AI210&gt;AM210*1.05,AI210-AM210*1.05,IF(AI210&lt;AM210*0.95,AM210*0.95-AI210,0))</f>
        <v/>
      </c>
      <c r="AO210" s="34">
        <f>MAX(F210,G210,750)*0.05*AN210</f>
        <v/>
      </c>
      <c r="AP210" s="34" t="n">
        <v>14.99</v>
      </c>
      <c r="AQ210" s="34" t="n">
        <v>13.3</v>
      </c>
      <c r="AR210" s="34">
        <f>IF(AP210&gt;AQ210*1.05,AP210-AQ210*1.05,IF(AP210&lt;AQ210*0.95,AQ210*0.95-AP210,0))</f>
        <v/>
      </c>
      <c r="AS210" s="34">
        <f>MAX(F210:G210,750)*0.05*AR210</f>
        <v/>
      </c>
      <c r="AT210" t="n">
        <v>13.3</v>
      </c>
      <c r="AU210" s="34">
        <f>IF(AP210&gt;AT210*1.05,AP210-AT210*1.05,IF(AP210&lt;AT210*0.95,AT210*0.95-AP210,0))</f>
        <v/>
      </c>
      <c r="AV210" s="34">
        <f>MAX(F210:G210,750)*0.05*AU210</f>
        <v/>
      </c>
      <c r="AW210" s="34">
        <f>AC210+AJ210+AQ210</f>
        <v/>
      </c>
      <c r="AX210" s="34">
        <f>AF210+AM210+AT210</f>
        <v/>
      </c>
      <c r="AY210" s="34">
        <f>AB210+AI210+AP210</f>
        <v/>
      </c>
      <c r="AZ210" s="34" t="n">
        <v>0</v>
      </c>
      <c r="BA210" s="34">
        <f>AD210+AK210+AR210</f>
        <v/>
      </c>
      <c r="BB210" s="34">
        <f>MAX(F210:G210,750)*0.05*BA210</f>
        <v/>
      </c>
      <c r="BC210" s="34">
        <f>AG210+AN210+AU210</f>
        <v/>
      </c>
      <c r="BD210" s="34">
        <f>MAX(F210:G210,750)*0.05*BC210</f>
        <v/>
      </c>
      <c r="BE210" s="34">
        <f>F210*AY210</f>
        <v/>
      </c>
      <c r="BF210" s="34">
        <f>K210-M210</f>
        <v/>
      </c>
      <c r="BG210" s="34">
        <f>P210-S210</f>
        <v/>
      </c>
      <c r="BH210" s="34">
        <f>W210-AA210</f>
        <v/>
      </c>
      <c r="BI210" s="34">
        <f>BF210+BG210+BL210-BN210</f>
        <v/>
      </c>
      <c r="BJ210" s="34">
        <f>ABS(BK210)</f>
        <v/>
      </c>
      <c r="BK210" s="34">
        <f>AY210-(J210-L210+N210-Q210)</f>
        <v/>
      </c>
      <c r="BL210" s="34">
        <f>IF(AND(BK210&gt;0,MIN($F210:$G210)&lt;150,$E210="Enerji Açığı"),-100*BK210*1.03,IF(AND(BK210&gt;0,MIN($F210:$G210)&lt;150,$E210="Enerji Fazlası"),-100*BK210*1.06,IF(AND(BK210&gt;0,MIN($F210:$G210)&gt;=150,$E210="Enerji Açığı"),BK210*MIN($F210:$G210)*0.97,IF(AND(BK210&gt;0,MIN($F210:$G210)&gt;=150,$E210="Enerji Fazlası"),BK210*MIN($F210:$G210)*0.94,IF(AND(BK210&lt;0,MAX($F210:$G210)=4500,$E210="Enerji Açığı"),4500*1.05*1.06*BK210,IF(AND(BK210&lt;0,MAX($F210:$G210)=4500,$E210="Enerji Fazlası"),4500*1.05*1.03*BK210,IF(AND(BK210&lt;0,$E210="Enerji Açığı"),MAX($F210,$G210,150)*BK210*1.06,IF(AND(BK210&lt;0,$E210="Enerji Fazlası"),MAX($F210,$G210,150)*BK210*1.03,IF(AND(BK210&lt;0,$E210="Dengede"),MAX($F210:$G210,150)*1.03*BK210,MIN($F210:$G210)*0.97*BK210)))))))))</f>
        <v/>
      </c>
      <c r="BM210" s="34">
        <f>BE210-BI210-BN210</f>
        <v/>
      </c>
      <c r="BN210" s="34">
        <f>BB210</f>
        <v/>
      </c>
      <c r="BO210" s="34">
        <f>BE210-BI210</f>
        <v/>
      </c>
      <c r="BP210" s="34">
        <f>IF(AY210=0,0,BO210/AY210)</f>
        <v/>
      </c>
      <c r="BQ210" s="34">
        <f>MAX((AY210+MAX((-J210+L210-N210+Q210),0)),(MAX((J210-L210+N210-Q210),0)))</f>
        <v/>
      </c>
      <c r="BR210" s="82">
        <f>IFERROR(ABS(BK210/BQ210),0)</f>
        <v/>
      </c>
      <c r="BS210" s="34">
        <f>IF(BR210&lt;=0.1,0,BK210/BR210*(BR210-0.1))</f>
        <v/>
      </c>
      <c r="BT210" s="34">
        <f>IF((BS210)&lt;0,MAX(F210:G210)*(BS210)*1.03,MIN(F210:G210)*(BS210)*0.97)</f>
        <v/>
      </c>
      <c r="BU210" s="34">
        <f>IF(BR210&gt;0.1,1,0)</f>
        <v/>
      </c>
      <c r="BV210" s="34">
        <f>BF210+BG210+BH210+BY210-CA210</f>
        <v/>
      </c>
      <c r="BW210" s="34">
        <f>ABS(BX210)</f>
        <v/>
      </c>
      <c r="BX210" s="34">
        <f>AY210-(J210-L210+N210-Q210+T210-X210)</f>
        <v/>
      </c>
      <c r="BY210" s="34">
        <f>IF(AND(BX210&gt;0,MIN($F210:$G210)&lt;150,$E210="Enerji Açığı"),-100*BX210*1.03,IF(AND(BX210&gt;0,MIN($F210:$G210)&lt;150,$E210="Enerji Fazlası"),-100*BX210*1.06,IF(AND(BX210&gt;0,MIN($F210:$G210)&gt;=150,$E210="Enerji Açığı"),BX210*MIN($F210:$G210)*0.97,IF(AND(BX210&gt;0,MIN($F210:$G210)&gt;=150,$E210="Enerji Fazlası"),BX210*MIN($F210:$G210)*0.94,IF(AND(BX210&lt;0,MAX($F210:$G210)=4500,$E210="Enerji Açığı"),4500*1.05*1.06*BX210,IF(AND(BX210&lt;0,MAX($F210:$G210)=4500,$E210="Enerji Fazlası"),4500*1.05*1.03*BX210,IF(AND(BX210&lt;0,$E210="Enerji Açığı"),MAX($F210,$G210,150)*BX210*1.06,IF(AND(BX210&lt;0,$E210="Enerji Fazlası"),MAX($F210,$G210,150)*BX210*1.03,IF(AND(BX210&lt;0,$E210="Dengede"),MAX($F210:$G210,150)*1.03*BX210,MIN($F210:$G210)*0.97*BX210)))))))))</f>
        <v/>
      </c>
      <c r="BZ210" s="34">
        <f>BE210-BV210-CA210</f>
        <v/>
      </c>
      <c r="CA210" s="34">
        <f>BD210</f>
        <v/>
      </c>
      <c r="CB210" s="33">
        <f>BE210-BV210</f>
        <v/>
      </c>
      <c r="CC210" s="34">
        <f>IF(AY210=0,0,CB210/AY210)</f>
        <v/>
      </c>
      <c r="CD210" s="34">
        <f>MAX((AY210+MAX((-J210+L210-N210+Q210-T210+X210),0)),(MAX((J210-L210+N210-Q210+T210-X210),0)))</f>
        <v/>
      </c>
      <c r="CE210" s="82">
        <f>IFERROR(ABS(BX210/CD210),0)</f>
        <v/>
      </c>
      <c r="CF210" s="34">
        <f>IF(CE210&lt;=0.1,0,BX210/CE210*(CE210-0.1))</f>
        <v/>
      </c>
      <c r="CG210" s="34">
        <f>IF((CF210)&lt;0,MAX(F210:G210)*(CF210)*1.03,MIN(F210:G210)*(CF210)*0.97)</f>
        <v/>
      </c>
      <c r="CH210" s="34">
        <f>IF(CE210&gt;0.1,1,0)</f>
        <v/>
      </c>
      <c r="CI210" s="34">
        <f>(F210*BX210)-BY210</f>
        <v/>
      </c>
      <c r="CJ210" s="34">
        <f>IF(AY210=0,0,CI210/AY210)</f>
        <v/>
      </c>
    </row>
    <row r="211">
      <c r="A211" s="29" t="n">
        <v>46212.66666666666</v>
      </c>
      <c r="B211" s="29" t="inlineStr">
        <is>
          <t>16:00</t>
        </is>
      </c>
      <c r="C211" s="35">
        <f>INT(A211)</f>
        <v/>
      </c>
      <c r="D211" s="36">
        <f>MONTH(A211)</f>
        <v/>
      </c>
      <c r="E211" s="147">
        <f>[1]FİYATLAR!#REF!</f>
        <v/>
      </c>
      <c r="F211" s="30" t="n">
        <v>3500</v>
      </c>
      <c r="G211" s="30" t="n">
        <v>3750</v>
      </c>
      <c r="H211" s="30" t="n">
        <v>74.86</v>
      </c>
      <c r="I211" s="30" t="n">
        <v>3531.71</v>
      </c>
      <c r="J211" s="119" t="n">
        <v>0</v>
      </c>
      <c r="K211" s="34">
        <f>F211*J211</f>
        <v/>
      </c>
      <c r="L211" s="119" t="n"/>
      <c r="M211" s="34">
        <f>L211*F211</f>
        <v/>
      </c>
      <c r="N211" s="119" t="n"/>
      <c r="O211" s="34">
        <f>F211</f>
        <v/>
      </c>
      <c r="P211" s="34">
        <f>N211*O211</f>
        <v/>
      </c>
      <c r="Q211" s="117" t="n">
        <v>0</v>
      </c>
      <c r="R211" s="34">
        <f>F211</f>
        <v/>
      </c>
      <c r="S211" s="34">
        <f>R211*Q211</f>
        <v/>
      </c>
      <c r="T211" s="34">
        <f>SUMIFS('[1]GİP VERİLERİ'!$C:$C,'[1]GİP VERİLERİ'!$B:$B,A211,'[1]GİP VERİLERİ'!$M:$M,"40X000000104782K",'[1]GİP VERİLERİ'!$G:$G,"SELL")</f>
        <v/>
      </c>
      <c r="U211" s="34">
        <f>IFERROR(W211/T211,0)</f>
        <v/>
      </c>
      <c r="V211" s="34">
        <f>IF(U211=0,0,U211-F211)</f>
        <v/>
      </c>
      <c r="W211" s="34">
        <f>SUMIFS('[1]GİP VERİLERİ'!$O:$O,'[1]GİP VERİLERİ'!$B:$B,A211,'[1]GİP VERİLERİ'!$M:$M,"40X000000104782K",'[1]GİP VERİLERİ'!$G:$G,"SELL")</f>
        <v/>
      </c>
      <c r="X211" s="34">
        <f>SUMIFS('[1]GİP VERİLERİ'!$C:$C,'[1]GİP VERİLERİ'!$B:$B,A211,'[1]GİP VERİLERİ'!$M:$M,"40X000000104782K",'[1]GİP VERİLERİ'!$G:$G,"BUY")</f>
        <v/>
      </c>
      <c r="Y211" s="34">
        <f>IFERROR(AA211/X211,0)</f>
        <v/>
      </c>
      <c r="Z211" s="34">
        <f>IF(Y211=0,0,F211-Y211)</f>
        <v/>
      </c>
      <c r="AA211" s="34">
        <f>SUMIFS('[1]GİP VERİLERİ'!$O:$O,'[1]GİP VERİLERİ'!$B:$B,A211,'[1]GİP VERİLERİ'!$M:$M,"40X000000104782K",'[1]GİP VERİLERİ'!$G:$G,"BUY")</f>
        <v/>
      </c>
      <c r="AB211" s="34" t="n">
        <v>0</v>
      </c>
      <c r="AC211" s="34" t="n">
        <v>0</v>
      </c>
      <c r="AD211" s="34">
        <f>IF(AB211&gt;AC211*1.05,AB211-AC211*1.05,IF(AB211&lt;AC211*0.95,AC211*0.95-AB211,0))</f>
        <v/>
      </c>
      <c r="AE211" s="34">
        <f>MAX(F211,G211,750)*0.05*AD211</f>
        <v/>
      </c>
      <c r="AF211" s="34" t="n">
        <v>0</v>
      </c>
      <c r="AG211" s="34">
        <f>IF(AB211&gt;AF211*1.05,AB211-AF211*1.05,IF(AB211&lt;AF211*0.95,AF211*0.95-AB211,0))</f>
        <v/>
      </c>
      <c r="AH211" s="34">
        <f>MAX(I211,J211,750)*0.05*AG211</f>
        <v/>
      </c>
      <c r="AI211" t="n">
        <v>6.1</v>
      </c>
      <c r="AJ211" t="n">
        <v>9</v>
      </c>
      <c r="AK211" s="34">
        <f>IF(AI211&gt;AJ211*1.05,AI211-AJ211*1.05,IF(AI211&lt;AJ211*0.95,AJ211*0.95-AI211,0))</f>
        <v/>
      </c>
      <c r="AL211" s="34">
        <f>MAX(F211,G211,750)*0.05*AK211</f>
        <v/>
      </c>
      <c r="AM211" s="39" t="n">
        <v>6</v>
      </c>
      <c r="AN211" s="34">
        <f>IF(AI211&gt;AM211*1.05,AI211-AM211*1.05,IF(AI211&lt;AM211*0.95,AM211*0.95-AI211,0))</f>
        <v/>
      </c>
      <c r="AO211" s="34">
        <f>MAX(F211,G211,750)*0.05*AN211</f>
        <v/>
      </c>
      <c r="AP211" s="34" t="n">
        <v>13.06</v>
      </c>
      <c r="AQ211" s="34" t="n">
        <v>13</v>
      </c>
      <c r="AR211" s="34">
        <f>IF(AP211&gt;AQ211*1.05,AP211-AQ211*1.05,IF(AP211&lt;AQ211*0.95,AQ211*0.95-AP211,0))</f>
        <v/>
      </c>
      <c r="AS211" s="34">
        <f>MAX(F211:G211,750)*0.05*AR211</f>
        <v/>
      </c>
      <c r="AT211" t="n">
        <v>13</v>
      </c>
      <c r="AU211" s="34">
        <f>IF(AP211&gt;AT211*1.05,AP211-AT211*1.05,IF(AP211&lt;AT211*0.95,AT211*0.95-AP211,0))</f>
        <v/>
      </c>
      <c r="AV211" s="34">
        <f>MAX(F211:G211,750)*0.05*AU211</f>
        <v/>
      </c>
      <c r="AW211" s="34">
        <f>AC211+AJ211+AQ211</f>
        <v/>
      </c>
      <c r="AX211" s="34">
        <f>AF211+AM211+AT211</f>
        <v/>
      </c>
      <c r="AY211" s="34">
        <f>AB211+AI211+AP211</f>
        <v/>
      </c>
      <c r="AZ211" s="34" t="n">
        <v>0</v>
      </c>
      <c r="BA211" s="34">
        <f>AD211+AK211+AR211</f>
        <v/>
      </c>
      <c r="BB211" s="34">
        <f>MAX(F211:G211,750)*0.05*BA211</f>
        <v/>
      </c>
      <c r="BC211" s="34">
        <f>AG211+AN211+AU211</f>
        <v/>
      </c>
      <c r="BD211" s="34">
        <f>MAX(F211:G211,750)*0.05*BC211</f>
        <v/>
      </c>
      <c r="BE211" s="34">
        <f>F211*AY211</f>
        <v/>
      </c>
      <c r="BF211" s="34">
        <f>K211-M211</f>
        <v/>
      </c>
      <c r="BG211" s="34">
        <f>P211-S211</f>
        <v/>
      </c>
      <c r="BH211" s="34">
        <f>W211-AA211</f>
        <v/>
      </c>
      <c r="BI211" s="34">
        <f>BF211+BG211+BL211-BN211</f>
        <v/>
      </c>
      <c r="BJ211" s="34">
        <f>ABS(BK211)</f>
        <v/>
      </c>
      <c r="BK211" s="34">
        <f>AY211-(J211-L211+N211-Q211)</f>
        <v/>
      </c>
      <c r="BL211" s="34">
        <f>IF(AND(BK211&gt;0,MIN($F211:$G211)&lt;150,$E211="Enerji Açığı"),-100*BK211*1.03,IF(AND(BK211&gt;0,MIN($F211:$G211)&lt;150,$E211="Enerji Fazlası"),-100*BK211*1.06,IF(AND(BK211&gt;0,MIN($F211:$G211)&gt;=150,$E211="Enerji Açığı"),BK211*MIN($F211:$G211)*0.97,IF(AND(BK211&gt;0,MIN($F211:$G211)&gt;=150,$E211="Enerji Fazlası"),BK211*MIN($F211:$G211)*0.94,IF(AND(BK211&lt;0,MAX($F211:$G211)=4500,$E211="Enerji Açığı"),4500*1.05*1.06*BK211,IF(AND(BK211&lt;0,MAX($F211:$G211)=4500,$E211="Enerji Fazlası"),4500*1.05*1.03*BK211,IF(AND(BK211&lt;0,$E211="Enerji Açığı"),MAX($F211,$G211,150)*BK211*1.06,IF(AND(BK211&lt;0,$E211="Enerji Fazlası"),MAX($F211,$G211,150)*BK211*1.03,IF(AND(BK211&lt;0,$E211="Dengede"),MAX($F211:$G211,150)*1.03*BK211,MIN($F211:$G211)*0.97*BK211)))))))))</f>
        <v/>
      </c>
      <c r="BM211" s="34">
        <f>BE211-BI211-BN211</f>
        <v/>
      </c>
      <c r="BN211" s="34">
        <f>BB211</f>
        <v/>
      </c>
      <c r="BO211" s="34">
        <f>BE211-BI211</f>
        <v/>
      </c>
      <c r="BP211" s="34">
        <f>IF(AY211=0,0,BO211/AY211)</f>
        <v/>
      </c>
      <c r="BQ211" s="34">
        <f>MAX((AY211+MAX((-J211+L211-N211+Q211),0)),(MAX((J211-L211+N211-Q211),0)))</f>
        <v/>
      </c>
      <c r="BR211" s="82">
        <f>IFERROR(ABS(BK211/BQ211),0)</f>
        <v/>
      </c>
      <c r="BS211" s="34">
        <f>IF(BR211&lt;=0.1,0,BK211/BR211*(BR211-0.1))</f>
        <v/>
      </c>
      <c r="BT211" s="34">
        <f>IF((BS211)&lt;0,MAX(F211:G211)*(BS211)*1.03,MIN(F211:G211)*(BS211)*0.97)</f>
        <v/>
      </c>
      <c r="BU211" s="34">
        <f>IF(BR211&gt;0.1,1,0)</f>
        <v/>
      </c>
      <c r="BV211" s="34">
        <f>BF211+BG211+BH211+BY211-CA211</f>
        <v/>
      </c>
      <c r="BW211" s="34">
        <f>ABS(BX211)</f>
        <v/>
      </c>
      <c r="BX211" s="34">
        <f>AY211-(J211-L211+N211-Q211+T211-X211)</f>
        <v/>
      </c>
      <c r="BY211" s="34">
        <f>IF(AND(BX211&gt;0,MIN($F211:$G211)&lt;150,$E211="Enerji Açığı"),-100*BX211*1.03,IF(AND(BX211&gt;0,MIN($F211:$G211)&lt;150,$E211="Enerji Fazlası"),-100*BX211*1.06,IF(AND(BX211&gt;0,MIN($F211:$G211)&gt;=150,$E211="Enerji Açığı"),BX211*MIN($F211:$G211)*0.97,IF(AND(BX211&gt;0,MIN($F211:$G211)&gt;=150,$E211="Enerji Fazlası"),BX211*MIN($F211:$G211)*0.94,IF(AND(BX211&lt;0,MAX($F211:$G211)=4500,$E211="Enerji Açığı"),4500*1.05*1.06*BX211,IF(AND(BX211&lt;0,MAX($F211:$G211)=4500,$E211="Enerji Fazlası"),4500*1.05*1.03*BX211,IF(AND(BX211&lt;0,$E211="Enerji Açığı"),MAX($F211,$G211,150)*BX211*1.06,IF(AND(BX211&lt;0,$E211="Enerji Fazlası"),MAX($F211,$G211,150)*BX211*1.03,IF(AND(BX211&lt;0,$E211="Dengede"),MAX($F211:$G211,150)*1.03*BX211,MIN($F211:$G211)*0.97*BX211)))))))))</f>
        <v/>
      </c>
      <c r="BZ211" s="34">
        <f>BE211-BV211-CA211</f>
        <v/>
      </c>
      <c r="CA211" s="34">
        <f>BD211</f>
        <v/>
      </c>
      <c r="CB211" s="33">
        <f>BE211-BV211</f>
        <v/>
      </c>
      <c r="CC211" s="34">
        <f>IF(AY211=0,0,CB211/AY211)</f>
        <v/>
      </c>
      <c r="CD211" s="34">
        <f>MAX((AY211+MAX((-J211+L211-N211+Q211-T211+X211),0)),(MAX((J211-L211+N211-Q211+T211-X211),0)))</f>
        <v/>
      </c>
      <c r="CE211" s="82">
        <f>IFERROR(ABS(BX211/CD211),0)</f>
        <v/>
      </c>
      <c r="CF211" s="34">
        <f>IF(CE211&lt;=0.1,0,BX211/CE211*(CE211-0.1))</f>
        <v/>
      </c>
      <c r="CG211" s="34">
        <f>IF((CF211)&lt;0,MAX(F211:G211)*(CF211)*1.03,MIN(F211:G211)*(CF211)*0.97)</f>
        <v/>
      </c>
      <c r="CH211" s="34">
        <f>IF(CE211&gt;0.1,1,0)</f>
        <v/>
      </c>
      <c r="CI211" s="34">
        <f>(F211*BX211)-BY211</f>
        <v/>
      </c>
      <c r="CJ211" s="34">
        <f>IF(AY211=0,0,CI211/AY211)</f>
        <v/>
      </c>
    </row>
    <row r="212">
      <c r="A212" s="29" t="n">
        <v>46212.70833333334</v>
      </c>
      <c r="B212" s="29" t="inlineStr">
        <is>
          <t>17:00</t>
        </is>
      </c>
      <c r="C212" s="35">
        <f>INT(A212)</f>
        <v/>
      </c>
      <c r="D212" s="36">
        <f>MONTH(A212)</f>
        <v/>
      </c>
      <c r="E212" s="147">
        <f>[1]FİYATLAR!#REF!</f>
        <v/>
      </c>
      <c r="F212" s="30" t="n">
        <v>3600</v>
      </c>
      <c r="G212" s="30" t="n">
        <v>2850</v>
      </c>
      <c r="H212" s="30" t="n">
        <v>77</v>
      </c>
      <c r="I212" s="30" t="n">
        <v>3680.58</v>
      </c>
      <c r="J212" s="119" t="n">
        <v>0</v>
      </c>
      <c r="K212" s="34">
        <f>F212*J212</f>
        <v/>
      </c>
      <c r="L212" s="119" t="n"/>
      <c r="M212" s="34">
        <f>L212*F212</f>
        <v/>
      </c>
      <c r="N212" s="119" t="n"/>
      <c r="O212" s="34">
        <f>F212</f>
        <v/>
      </c>
      <c r="P212" s="34">
        <f>N212*O212</f>
        <v/>
      </c>
      <c r="Q212" s="117" t="n">
        <v>0</v>
      </c>
      <c r="R212" s="34">
        <f>F212</f>
        <v/>
      </c>
      <c r="S212" s="34">
        <f>R212*Q212</f>
        <v/>
      </c>
      <c r="T212" s="34">
        <f>SUMIFS('[1]GİP VERİLERİ'!$C:$C,'[1]GİP VERİLERİ'!$B:$B,A212,'[1]GİP VERİLERİ'!$M:$M,"40X000000104782K",'[1]GİP VERİLERİ'!$G:$G,"SELL")</f>
        <v/>
      </c>
      <c r="U212" s="34">
        <f>IFERROR(W212/T212,0)</f>
        <v/>
      </c>
      <c r="V212" s="34">
        <f>IF(U212=0,0,U212-F212)</f>
        <v/>
      </c>
      <c r="W212" s="34">
        <f>SUMIFS('[1]GİP VERİLERİ'!$O:$O,'[1]GİP VERİLERİ'!$B:$B,A212,'[1]GİP VERİLERİ'!$M:$M,"40X000000104782K",'[1]GİP VERİLERİ'!$G:$G,"SELL")</f>
        <v/>
      </c>
      <c r="X212" s="34">
        <f>SUMIFS('[1]GİP VERİLERİ'!$C:$C,'[1]GİP VERİLERİ'!$B:$B,A212,'[1]GİP VERİLERİ'!$M:$M,"40X000000104782K",'[1]GİP VERİLERİ'!$G:$G,"BUY")</f>
        <v/>
      </c>
      <c r="Y212" s="34">
        <f>IFERROR(AA212/X212,0)</f>
        <v/>
      </c>
      <c r="Z212" s="34">
        <f>IF(Y212=0,0,F212-Y212)</f>
        <v/>
      </c>
      <c r="AA212" s="34">
        <f>SUMIFS('[1]GİP VERİLERİ'!$O:$O,'[1]GİP VERİLERİ'!$B:$B,A212,'[1]GİP VERİLERİ'!$M:$M,"40X000000104782K",'[1]GİP VERİLERİ'!$G:$G,"BUY")</f>
        <v/>
      </c>
      <c r="AB212" s="34" t="n">
        <v>0</v>
      </c>
      <c r="AC212" s="34" t="n">
        <v>0</v>
      </c>
      <c r="AD212" s="34">
        <f>IF(AB212&gt;AC212*1.05,AB212-AC212*1.05,IF(AB212&lt;AC212*0.95,AC212*0.95-AB212,0))</f>
        <v/>
      </c>
      <c r="AE212" s="34">
        <f>MAX(F212,G212,750)*0.05*AD212</f>
        <v/>
      </c>
      <c r="AF212" s="34" t="n">
        <v>0</v>
      </c>
      <c r="AG212" s="34">
        <f>IF(AB212&gt;AF212*1.05,AB212-AF212*1.05,IF(AB212&lt;AF212*0.95,AF212*0.95-AB212,0))</f>
        <v/>
      </c>
      <c r="AH212" s="34">
        <f>MAX(I212,J212,750)*0.05*AG212</f>
        <v/>
      </c>
      <c r="AI212" t="n">
        <v>7.09</v>
      </c>
      <c r="AJ212" t="n">
        <v>9</v>
      </c>
      <c r="AK212" s="34">
        <f>IF(AI212&gt;AJ212*1.05,AI212-AJ212*1.05,IF(AI212&lt;AJ212*0.95,AJ212*0.95-AI212,0))</f>
        <v/>
      </c>
      <c r="AL212" s="34">
        <f>MAX(F212,G212,750)*0.05*AK212</f>
        <v/>
      </c>
      <c r="AM212" s="39" t="n">
        <v>6</v>
      </c>
      <c r="AN212" s="34">
        <f>IF(AI212&gt;AM212*1.05,AI212-AM212*1.05,IF(AI212&lt;AM212*0.95,AM212*0.95-AI212,0))</f>
        <v/>
      </c>
      <c r="AO212" s="34">
        <f>MAX(F212,G212,750)*0.05*AN212</f>
        <v/>
      </c>
      <c r="AP212" s="34" t="n">
        <v>12.44</v>
      </c>
      <c r="AQ212" s="34" t="n">
        <v>12.5</v>
      </c>
      <c r="AR212" s="34">
        <f>IF(AP212&gt;AQ212*1.05,AP212-AQ212*1.05,IF(AP212&lt;AQ212*0.95,AQ212*0.95-AP212,0))</f>
        <v/>
      </c>
      <c r="AS212" s="34">
        <f>MAX(F212:G212,750)*0.05*AR212</f>
        <v/>
      </c>
      <c r="AT212" t="n">
        <v>12.5</v>
      </c>
      <c r="AU212" s="34">
        <f>IF(AP212&gt;AT212*1.05,AP212-AT212*1.05,IF(AP212&lt;AT212*0.95,AT212*0.95-AP212,0))</f>
        <v/>
      </c>
      <c r="AV212" s="34">
        <f>MAX(F212:G212,750)*0.05*AU212</f>
        <v/>
      </c>
      <c r="AW212" s="34">
        <f>AC212+AJ212+AQ212</f>
        <v/>
      </c>
      <c r="AX212" s="34">
        <f>AF212+AM212+AT212</f>
        <v/>
      </c>
      <c r="AY212" s="34">
        <f>AB212+AI212+AP212</f>
        <v/>
      </c>
      <c r="AZ212" s="34" t="n">
        <v>0</v>
      </c>
      <c r="BA212" s="34">
        <f>AD212+AK212+AR212</f>
        <v/>
      </c>
      <c r="BB212" s="34">
        <f>MAX(F212:G212,750)*0.05*BA212</f>
        <v/>
      </c>
      <c r="BC212" s="34">
        <f>AG212+AN212+AU212</f>
        <v/>
      </c>
      <c r="BD212" s="34">
        <f>MAX(F212:G212,750)*0.05*BC212</f>
        <v/>
      </c>
      <c r="BE212" s="34">
        <f>F212*AY212</f>
        <v/>
      </c>
      <c r="BF212" s="34">
        <f>K212-M212</f>
        <v/>
      </c>
      <c r="BG212" s="34">
        <f>P212-S212</f>
        <v/>
      </c>
      <c r="BH212" s="34">
        <f>W212-AA212</f>
        <v/>
      </c>
      <c r="BI212" s="34">
        <f>BF212+BG212+BL212-BN212</f>
        <v/>
      </c>
      <c r="BJ212" s="34">
        <f>ABS(BK212)</f>
        <v/>
      </c>
      <c r="BK212" s="34">
        <f>AY212-(J212-L212+N212-Q212)</f>
        <v/>
      </c>
      <c r="BL212" s="34">
        <f>IF(AND(BK212&gt;0,MIN($F212:$G212)&lt;150,$E212="Enerji Açığı"),-100*BK212*1.03,IF(AND(BK212&gt;0,MIN($F212:$G212)&lt;150,$E212="Enerji Fazlası"),-100*BK212*1.06,IF(AND(BK212&gt;0,MIN($F212:$G212)&gt;=150,$E212="Enerji Açığı"),BK212*MIN($F212:$G212)*0.97,IF(AND(BK212&gt;0,MIN($F212:$G212)&gt;=150,$E212="Enerji Fazlası"),BK212*MIN($F212:$G212)*0.94,IF(AND(BK212&lt;0,MAX($F212:$G212)=4500,$E212="Enerji Açığı"),4500*1.05*1.06*BK212,IF(AND(BK212&lt;0,MAX($F212:$G212)=4500,$E212="Enerji Fazlası"),4500*1.05*1.03*BK212,IF(AND(BK212&lt;0,$E212="Enerji Açığı"),MAX($F212,$G212,150)*BK212*1.06,IF(AND(BK212&lt;0,$E212="Enerji Fazlası"),MAX($F212,$G212,150)*BK212*1.03,IF(AND(BK212&lt;0,$E212="Dengede"),MAX($F212:$G212,150)*1.03*BK212,MIN($F212:$G212)*0.97*BK212)))))))))</f>
        <v/>
      </c>
      <c r="BM212" s="34">
        <f>BE212-BI212-BN212</f>
        <v/>
      </c>
      <c r="BN212" s="34">
        <f>BB212</f>
        <v/>
      </c>
      <c r="BO212" s="34">
        <f>BE212-BI212</f>
        <v/>
      </c>
      <c r="BP212" s="34">
        <f>IF(AY212=0,0,BO212/AY212)</f>
        <v/>
      </c>
      <c r="BQ212" s="34">
        <f>MAX((AY212+MAX((-J212+L212-N212+Q212),0)),(MAX((J212-L212+N212-Q212),0)))</f>
        <v/>
      </c>
      <c r="BR212" s="82">
        <f>IFERROR(ABS(BK212/BQ212),0)</f>
        <v/>
      </c>
      <c r="BS212" s="34">
        <f>IF(BR212&lt;=0.1,0,BK212/BR212*(BR212-0.1))</f>
        <v/>
      </c>
      <c r="BT212" s="34">
        <f>IF((BS212)&lt;0,MAX(F212:G212)*(BS212)*1.03,MIN(F212:G212)*(BS212)*0.97)</f>
        <v/>
      </c>
      <c r="BU212" s="34">
        <f>IF(BR212&gt;0.1,1,0)</f>
        <v/>
      </c>
      <c r="BV212" s="34">
        <f>BF212+BG212+BH212+BY212-CA212</f>
        <v/>
      </c>
      <c r="BW212" s="34">
        <f>ABS(BX212)</f>
        <v/>
      </c>
      <c r="BX212" s="34">
        <f>AY212-(J212-L212+N212-Q212+T212-X212)</f>
        <v/>
      </c>
      <c r="BY212" s="34">
        <f>IF(AND(BX212&gt;0,MIN($F212:$G212)&lt;150,$E212="Enerji Açığı"),-100*BX212*1.03,IF(AND(BX212&gt;0,MIN($F212:$G212)&lt;150,$E212="Enerji Fazlası"),-100*BX212*1.06,IF(AND(BX212&gt;0,MIN($F212:$G212)&gt;=150,$E212="Enerji Açığı"),BX212*MIN($F212:$G212)*0.97,IF(AND(BX212&gt;0,MIN($F212:$G212)&gt;=150,$E212="Enerji Fazlası"),BX212*MIN($F212:$G212)*0.94,IF(AND(BX212&lt;0,MAX($F212:$G212)=4500,$E212="Enerji Açığı"),4500*1.05*1.06*BX212,IF(AND(BX212&lt;0,MAX($F212:$G212)=4500,$E212="Enerji Fazlası"),4500*1.05*1.03*BX212,IF(AND(BX212&lt;0,$E212="Enerji Açığı"),MAX($F212,$G212,150)*BX212*1.06,IF(AND(BX212&lt;0,$E212="Enerji Fazlası"),MAX($F212,$G212,150)*BX212*1.03,IF(AND(BX212&lt;0,$E212="Dengede"),MAX($F212:$G212,150)*1.03*BX212,MIN($F212:$G212)*0.97*BX212)))))))))</f>
        <v/>
      </c>
      <c r="BZ212" s="34">
        <f>BE212-BV212-CA212</f>
        <v/>
      </c>
      <c r="CA212" s="34">
        <f>BD212</f>
        <v/>
      </c>
      <c r="CB212" s="33">
        <f>BE212-BV212</f>
        <v/>
      </c>
      <c r="CC212" s="34">
        <f>IF(AY212=0,0,CB212/AY212)</f>
        <v/>
      </c>
      <c r="CD212" s="34">
        <f>MAX((AY212+MAX((-J212+L212-N212+Q212-T212+X212),0)),(MAX((J212-L212+N212-Q212+T212-X212),0)))</f>
        <v/>
      </c>
      <c r="CE212" s="82">
        <f>IFERROR(ABS(BX212/CD212),0)</f>
        <v/>
      </c>
      <c r="CF212" s="34">
        <f>IF(CE212&lt;=0.1,0,BX212/CE212*(CE212-0.1))</f>
        <v/>
      </c>
      <c r="CG212" s="34">
        <f>IF((CF212)&lt;0,MAX(F212:G212)*(CF212)*1.03,MIN(F212:G212)*(CF212)*0.97)</f>
        <v/>
      </c>
      <c r="CH212" s="34">
        <f>IF(CE212&gt;0.1,1,0)</f>
        <v/>
      </c>
      <c r="CI212" s="34">
        <f>(F212*BX212)-BY212</f>
        <v/>
      </c>
      <c r="CJ212" s="34">
        <f>IF(AY212=0,0,CI212/AY212)</f>
        <v/>
      </c>
    </row>
    <row r="213">
      <c r="A213" s="29" t="n">
        <v>46212.75</v>
      </c>
      <c r="B213" s="29" t="inlineStr">
        <is>
          <t>18:00</t>
        </is>
      </c>
      <c r="C213" s="35">
        <f>INT(A213)</f>
        <v/>
      </c>
      <c r="D213" s="36">
        <f>MONTH(A213)</f>
        <v/>
      </c>
      <c r="E213" s="147">
        <f>[1]FİYATLAR!#REF!</f>
        <v/>
      </c>
      <c r="F213" s="30" t="n">
        <v>3457.18</v>
      </c>
      <c r="G213" s="30" t="n">
        <v>3700</v>
      </c>
      <c r="H213" s="30" t="n">
        <v>73.95</v>
      </c>
      <c r="I213" s="30" t="n">
        <v>3464.56</v>
      </c>
      <c r="J213" s="119" t="n">
        <v>0</v>
      </c>
      <c r="K213" s="34">
        <f>F213*J213</f>
        <v/>
      </c>
      <c r="L213" s="119" t="n"/>
      <c r="M213" s="34">
        <f>L213*F213</f>
        <v/>
      </c>
      <c r="N213" s="119" t="n"/>
      <c r="O213" s="34">
        <f>F213</f>
        <v/>
      </c>
      <c r="P213" s="34">
        <f>N213*O213</f>
        <v/>
      </c>
      <c r="Q213" s="117" t="n">
        <v>0</v>
      </c>
      <c r="R213" s="34">
        <f>F213</f>
        <v/>
      </c>
      <c r="S213" s="34">
        <f>R213*Q213</f>
        <v/>
      </c>
      <c r="T213" s="34">
        <f>SUMIFS('[1]GİP VERİLERİ'!$C:$C,'[1]GİP VERİLERİ'!$B:$B,A213,'[1]GİP VERİLERİ'!$M:$M,"40X000000104782K",'[1]GİP VERİLERİ'!$G:$G,"SELL")</f>
        <v/>
      </c>
      <c r="U213" s="34">
        <f>IFERROR(W213/T213,0)</f>
        <v/>
      </c>
      <c r="V213" s="34">
        <f>IF(U213=0,0,U213-F213)</f>
        <v/>
      </c>
      <c r="W213" s="34">
        <f>SUMIFS('[1]GİP VERİLERİ'!$O:$O,'[1]GİP VERİLERİ'!$B:$B,A213,'[1]GİP VERİLERİ'!$M:$M,"40X000000104782K",'[1]GİP VERİLERİ'!$G:$G,"SELL")</f>
        <v/>
      </c>
      <c r="X213" s="34">
        <f>SUMIFS('[1]GİP VERİLERİ'!$C:$C,'[1]GİP VERİLERİ'!$B:$B,A213,'[1]GİP VERİLERİ'!$M:$M,"40X000000104782K",'[1]GİP VERİLERİ'!$G:$G,"BUY")</f>
        <v/>
      </c>
      <c r="Y213" s="34">
        <f>IFERROR(AA213/X213,0)</f>
        <v/>
      </c>
      <c r="Z213" s="34">
        <f>IF(Y213=0,0,F213-Y213)</f>
        <v/>
      </c>
      <c r="AA213" s="34">
        <f>SUMIFS('[1]GİP VERİLERİ'!$O:$O,'[1]GİP VERİLERİ'!$B:$B,A213,'[1]GİP VERİLERİ'!$M:$M,"40X000000104782K",'[1]GİP VERİLERİ'!$G:$G,"BUY")</f>
        <v/>
      </c>
      <c r="AB213" s="34" t="n">
        <v>0</v>
      </c>
      <c r="AC213" s="34" t="n">
        <v>0</v>
      </c>
      <c r="AD213" s="34">
        <f>IF(AB213&gt;AC213*1.05,AB213-AC213*1.05,IF(AB213&lt;AC213*0.95,AC213*0.95-AB213,0))</f>
        <v/>
      </c>
      <c r="AE213" s="34">
        <f>MAX(F213,G213,750)*0.05*AD213</f>
        <v/>
      </c>
      <c r="AF213" s="34" t="n">
        <v>0</v>
      </c>
      <c r="AG213" s="34">
        <f>IF(AB213&gt;AF213*1.05,AB213-AF213*1.05,IF(AB213&lt;AF213*0.95,AF213*0.95-AB213,0))</f>
        <v/>
      </c>
      <c r="AH213" s="34">
        <f>MAX(I213,J213,750)*0.05*AG213</f>
        <v/>
      </c>
      <c r="AI213" t="n">
        <v>10.99</v>
      </c>
      <c r="AJ213" t="n">
        <v>9</v>
      </c>
      <c r="AK213" s="34">
        <f>IF(AI213&gt;AJ213*1.05,AI213-AJ213*1.05,IF(AI213&lt;AJ213*0.95,AJ213*0.95-AI213,0))</f>
        <v/>
      </c>
      <c r="AL213" s="34">
        <f>MAX(F213,G213,750)*0.05*AK213</f>
        <v/>
      </c>
      <c r="AM213" s="39" t="n">
        <v>9</v>
      </c>
      <c r="AN213" s="34">
        <f>IF(AI213&gt;AM213*1.05,AI213-AM213*1.05,IF(AI213&lt;AM213*0.95,AM213*0.95-AI213,0))</f>
        <v/>
      </c>
      <c r="AO213" s="34">
        <f>MAX(F213,G213,750)*0.05*AN213</f>
        <v/>
      </c>
      <c r="AP213" s="34" t="n">
        <v>10.81</v>
      </c>
      <c r="AQ213" s="34" t="n">
        <v>12.3</v>
      </c>
      <c r="AR213" s="34">
        <f>IF(AP213&gt;AQ213*1.05,AP213-AQ213*1.05,IF(AP213&lt;AQ213*0.95,AQ213*0.95-AP213,0))</f>
        <v/>
      </c>
      <c r="AS213" s="34">
        <f>MAX(F213:G213,750)*0.05*AR213</f>
        <v/>
      </c>
      <c r="AT213" t="n">
        <v>12.3</v>
      </c>
      <c r="AU213" s="34">
        <f>IF(AP213&gt;AT213*1.05,AP213-AT213*1.05,IF(AP213&lt;AT213*0.95,AT213*0.95-AP213,0))</f>
        <v/>
      </c>
      <c r="AV213" s="34">
        <f>MAX(F213:G213,750)*0.05*AU213</f>
        <v/>
      </c>
      <c r="AW213" s="34">
        <f>AC213+AJ213+AQ213</f>
        <v/>
      </c>
      <c r="AX213" s="34">
        <f>AF213+AM213+AT213</f>
        <v/>
      </c>
      <c r="AY213" s="34">
        <f>AB213+AI213+AP213</f>
        <v/>
      </c>
      <c r="AZ213" s="34" t="n">
        <v>0</v>
      </c>
      <c r="BA213" s="34">
        <f>AD213+AK213+AR213</f>
        <v/>
      </c>
      <c r="BB213" s="34">
        <f>MAX(F213:G213,750)*0.05*BA213</f>
        <v/>
      </c>
      <c r="BC213" s="34">
        <f>AG213+AN213+AU213</f>
        <v/>
      </c>
      <c r="BD213" s="34">
        <f>MAX(F213:G213,750)*0.05*BC213</f>
        <v/>
      </c>
      <c r="BE213" s="34">
        <f>F213*AY213</f>
        <v/>
      </c>
      <c r="BF213" s="34">
        <f>K213-M213</f>
        <v/>
      </c>
      <c r="BG213" s="34">
        <f>P213-S213</f>
        <v/>
      </c>
      <c r="BH213" s="34">
        <f>W213-AA213</f>
        <v/>
      </c>
      <c r="BI213" s="34">
        <f>BF213+BG213+BL213-BN213</f>
        <v/>
      </c>
      <c r="BJ213" s="34">
        <f>ABS(BK213)</f>
        <v/>
      </c>
      <c r="BK213" s="34">
        <f>AY213-(J213-L213+N213-Q213)</f>
        <v/>
      </c>
      <c r="BL213" s="34">
        <f>IF(AND(BK213&gt;0,MIN($F213:$G213)&lt;150,$E213="Enerji Açığı"),-100*BK213*1.03,IF(AND(BK213&gt;0,MIN($F213:$G213)&lt;150,$E213="Enerji Fazlası"),-100*BK213*1.06,IF(AND(BK213&gt;0,MIN($F213:$G213)&gt;=150,$E213="Enerji Açığı"),BK213*MIN($F213:$G213)*0.97,IF(AND(BK213&gt;0,MIN($F213:$G213)&gt;=150,$E213="Enerji Fazlası"),BK213*MIN($F213:$G213)*0.94,IF(AND(BK213&lt;0,MAX($F213:$G213)=4500,$E213="Enerji Açığı"),4500*1.05*1.06*BK213,IF(AND(BK213&lt;0,MAX($F213:$G213)=4500,$E213="Enerji Fazlası"),4500*1.05*1.03*BK213,IF(AND(BK213&lt;0,$E213="Enerji Açığı"),MAX($F213,$G213,150)*BK213*1.06,IF(AND(BK213&lt;0,$E213="Enerji Fazlası"),MAX($F213,$G213,150)*BK213*1.03,IF(AND(BK213&lt;0,$E213="Dengede"),MAX($F213:$G213,150)*1.03*BK213,MIN($F213:$G213)*0.97*BK213)))))))))</f>
        <v/>
      </c>
      <c r="BM213" s="34">
        <f>BE213-BI213-BN213</f>
        <v/>
      </c>
      <c r="BN213" s="34">
        <f>BB213</f>
        <v/>
      </c>
      <c r="BO213" s="34">
        <f>BE213-BI213</f>
        <v/>
      </c>
      <c r="BP213" s="34">
        <f>IF(AY213=0,0,BO213/AY213)</f>
        <v/>
      </c>
      <c r="BQ213" s="34">
        <f>MAX((AY213+MAX((-J213+L213-N213+Q213),0)),(MAX((J213-L213+N213-Q213),0)))</f>
        <v/>
      </c>
      <c r="BR213" s="82">
        <f>IFERROR(ABS(BK213/BQ213),0)</f>
        <v/>
      </c>
      <c r="BS213" s="34">
        <f>IF(BR213&lt;=0.1,0,BK213/BR213*(BR213-0.1))</f>
        <v/>
      </c>
      <c r="BT213" s="34">
        <f>IF((BS213)&lt;0,MAX(F213:G213)*(BS213)*1.03,MIN(F213:G213)*(BS213)*0.97)</f>
        <v/>
      </c>
      <c r="BU213" s="34">
        <f>IF(BR213&gt;0.1,1,0)</f>
        <v/>
      </c>
      <c r="BV213" s="34">
        <f>BF213+BG213+BH213+BY213-CA213</f>
        <v/>
      </c>
      <c r="BW213" s="34">
        <f>ABS(BX213)</f>
        <v/>
      </c>
      <c r="BX213" s="34">
        <f>AY213-(J213-L213+N213-Q213+T213-X213)</f>
        <v/>
      </c>
      <c r="BY213" s="34">
        <f>IF(AND(BX213&gt;0,MIN($F213:$G213)&lt;150,$E213="Enerji Açığı"),-100*BX213*1.03,IF(AND(BX213&gt;0,MIN($F213:$G213)&lt;150,$E213="Enerji Fazlası"),-100*BX213*1.06,IF(AND(BX213&gt;0,MIN($F213:$G213)&gt;=150,$E213="Enerji Açığı"),BX213*MIN($F213:$G213)*0.97,IF(AND(BX213&gt;0,MIN($F213:$G213)&gt;=150,$E213="Enerji Fazlası"),BX213*MIN($F213:$G213)*0.94,IF(AND(BX213&lt;0,MAX($F213:$G213)=4500,$E213="Enerji Açığı"),4500*1.05*1.06*BX213,IF(AND(BX213&lt;0,MAX($F213:$G213)=4500,$E213="Enerji Fazlası"),4500*1.05*1.03*BX213,IF(AND(BX213&lt;0,$E213="Enerji Açığı"),MAX($F213,$G213,150)*BX213*1.06,IF(AND(BX213&lt;0,$E213="Enerji Fazlası"),MAX($F213,$G213,150)*BX213*1.03,IF(AND(BX213&lt;0,$E213="Dengede"),MAX($F213:$G213,150)*1.03*BX213,MIN($F213:$G213)*0.97*BX213)))))))))</f>
        <v/>
      </c>
      <c r="BZ213" s="34">
        <f>BE213-BV213-CA213</f>
        <v/>
      </c>
      <c r="CA213" s="34">
        <f>BD213</f>
        <v/>
      </c>
      <c r="CB213" s="33">
        <f>BE213-BV213</f>
        <v/>
      </c>
      <c r="CC213" s="34">
        <f>IF(AY213=0,0,CB213/AY213)</f>
        <v/>
      </c>
      <c r="CD213" s="34">
        <f>MAX((AY213+MAX((-J213+L213-N213+Q213-T213+X213),0)),(MAX((J213-L213+N213-Q213+T213-X213),0)))</f>
        <v/>
      </c>
      <c r="CE213" s="82">
        <f>IFERROR(ABS(BX213/CD213),0)</f>
        <v/>
      </c>
      <c r="CF213" s="34">
        <f>IF(CE213&lt;=0.1,0,BX213/CE213*(CE213-0.1))</f>
        <v/>
      </c>
      <c r="CG213" s="34">
        <f>IF((CF213)&lt;0,MAX(F213:G213)*(CF213)*1.03,MIN(F213:G213)*(CF213)*0.97)</f>
        <v/>
      </c>
      <c r="CH213" s="34">
        <f>IF(CE213&gt;0.1,1,0)</f>
        <v/>
      </c>
      <c r="CI213" s="34">
        <f>(F213*BX213)-BY213</f>
        <v/>
      </c>
      <c r="CJ213" s="34">
        <f>IF(AY213=0,0,CI213/AY213)</f>
        <v/>
      </c>
    </row>
    <row r="214">
      <c r="A214" s="29" t="n">
        <v>46212.79166666666</v>
      </c>
      <c r="B214" s="29" t="inlineStr">
        <is>
          <t>19:00</t>
        </is>
      </c>
      <c r="C214" s="35">
        <f>INT(A214)</f>
        <v/>
      </c>
      <c r="D214" s="36">
        <f>MONTH(A214)</f>
        <v/>
      </c>
      <c r="E214" s="147">
        <f>[1]FİYATLAR!#REF!</f>
        <v/>
      </c>
      <c r="F214" s="30" t="n">
        <v>3377</v>
      </c>
      <c r="G214" s="30" t="n">
        <v>4477</v>
      </c>
      <c r="H214" s="30" t="n">
        <v>72.23</v>
      </c>
      <c r="I214" s="30" t="n">
        <v>3462.88</v>
      </c>
      <c r="J214" s="119" t="n">
        <v>0</v>
      </c>
      <c r="K214" s="34">
        <f>F214*J214</f>
        <v/>
      </c>
      <c r="L214" s="119" t="n"/>
      <c r="M214" s="34">
        <f>L214*F214</f>
        <v/>
      </c>
      <c r="N214" s="119" t="n"/>
      <c r="O214" s="34">
        <f>F214</f>
        <v/>
      </c>
      <c r="P214" s="34">
        <f>N214*O214</f>
        <v/>
      </c>
      <c r="Q214" s="117" t="n">
        <v>0</v>
      </c>
      <c r="R214" s="34">
        <f>F214</f>
        <v/>
      </c>
      <c r="S214" s="34">
        <f>R214*Q214</f>
        <v/>
      </c>
      <c r="T214" s="34">
        <f>SUMIFS('[1]GİP VERİLERİ'!$C:$C,'[1]GİP VERİLERİ'!$B:$B,A214,'[1]GİP VERİLERİ'!$M:$M,"40X000000104782K",'[1]GİP VERİLERİ'!$G:$G,"SELL")</f>
        <v/>
      </c>
      <c r="U214" s="34">
        <f>IFERROR(W214/T214,0)</f>
        <v/>
      </c>
      <c r="V214" s="34">
        <f>IF(U214=0,0,U214-F214)</f>
        <v/>
      </c>
      <c r="W214" s="34">
        <f>SUMIFS('[1]GİP VERİLERİ'!$O:$O,'[1]GİP VERİLERİ'!$B:$B,A214,'[1]GİP VERİLERİ'!$M:$M,"40X000000104782K",'[1]GİP VERİLERİ'!$G:$G,"SELL")</f>
        <v/>
      </c>
      <c r="X214" s="34">
        <f>SUMIFS('[1]GİP VERİLERİ'!$C:$C,'[1]GİP VERİLERİ'!$B:$B,A214,'[1]GİP VERİLERİ'!$M:$M,"40X000000104782K",'[1]GİP VERİLERİ'!$G:$G,"BUY")</f>
        <v/>
      </c>
      <c r="Y214" s="34">
        <f>IFERROR(AA214/X214,0)</f>
        <v/>
      </c>
      <c r="Z214" s="34">
        <f>IF(Y214=0,0,F214-Y214)</f>
        <v/>
      </c>
      <c r="AA214" s="34">
        <f>SUMIFS('[1]GİP VERİLERİ'!$O:$O,'[1]GİP VERİLERİ'!$B:$B,A214,'[1]GİP VERİLERİ'!$M:$M,"40X000000104782K",'[1]GİP VERİLERİ'!$G:$G,"BUY")</f>
        <v/>
      </c>
      <c r="AB214" s="34" t="n">
        <v>0</v>
      </c>
      <c r="AC214" s="34" t="n">
        <v>0</v>
      </c>
      <c r="AD214" s="34">
        <f>IF(AB214&gt;AC214*1.05,AB214-AC214*1.05,IF(AB214&lt;AC214*0.95,AC214*0.95-AB214,0))</f>
        <v/>
      </c>
      <c r="AE214" s="34">
        <f>MAX(F214,G214,750)*0.05*AD214</f>
        <v/>
      </c>
      <c r="AF214" s="34" t="n">
        <v>0</v>
      </c>
      <c r="AG214" s="34">
        <f>IF(AB214&gt;AF214*1.05,AB214-AF214*1.05,IF(AB214&lt;AF214*0.95,AF214*0.95-AB214,0))</f>
        <v/>
      </c>
      <c r="AH214" s="34">
        <f>MAX(I214,J214,750)*0.05*AG214</f>
        <v/>
      </c>
      <c r="AI214" t="n">
        <v>9.890000000000001</v>
      </c>
      <c r="AJ214" t="n">
        <v>9</v>
      </c>
      <c r="AK214" s="34">
        <f>IF(AI214&gt;AJ214*1.05,AI214-AJ214*1.05,IF(AI214&lt;AJ214*0.95,AJ214*0.95-AI214,0))</f>
        <v/>
      </c>
      <c r="AL214" s="34">
        <f>MAX(F214,G214,750)*0.05*AK214</f>
        <v/>
      </c>
      <c r="AM214" s="39" t="n">
        <v>9</v>
      </c>
      <c r="AN214" s="34">
        <f>IF(AI214&gt;AM214*1.05,AI214-AM214*1.05,IF(AI214&lt;AM214*0.95,AM214*0.95-AI214,0))</f>
        <v/>
      </c>
      <c r="AO214" s="34">
        <f>MAX(F214,G214,750)*0.05*AN214</f>
        <v/>
      </c>
      <c r="AP214" s="34" t="n">
        <v>11.66</v>
      </c>
      <c r="AQ214" s="34" t="n">
        <v>12.2</v>
      </c>
      <c r="AR214" s="34">
        <f>IF(AP214&gt;AQ214*1.05,AP214-AQ214*1.05,IF(AP214&lt;AQ214*0.95,AQ214*0.95-AP214,0))</f>
        <v/>
      </c>
      <c r="AS214" s="34">
        <f>MAX(F214:G214,750)*0.05*AR214</f>
        <v/>
      </c>
      <c r="AT214" t="n">
        <v>12.2</v>
      </c>
      <c r="AU214" s="34">
        <f>IF(AP214&gt;AT214*1.05,AP214-AT214*1.05,IF(AP214&lt;AT214*0.95,AT214*0.95-AP214,0))</f>
        <v/>
      </c>
      <c r="AV214" s="34">
        <f>MAX(F214:G214,750)*0.05*AU214</f>
        <v/>
      </c>
      <c r="AW214" s="34">
        <f>AC214+AJ214+AQ214</f>
        <v/>
      </c>
      <c r="AX214" s="34">
        <f>AF214+AM214+AT214</f>
        <v/>
      </c>
      <c r="AY214" s="34">
        <f>AB214+AI214+AP214</f>
        <v/>
      </c>
      <c r="AZ214" s="34" t="n">
        <v>0</v>
      </c>
      <c r="BA214" s="34">
        <f>AD214+AK214+AR214</f>
        <v/>
      </c>
      <c r="BB214" s="34">
        <f>MAX(F214:G214,750)*0.05*BA214</f>
        <v/>
      </c>
      <c r="BC214" s="34">
        <f>AG214+AN214+AU214</f>
        <v/>
      </c>
      <c r="BD214" s="34">
        <f>MAX(F214:G214,750)*0.05*BC214</f>
        <v/>
      </c>
      <c r="BE214" s="34">
        <f>F214*AY214</f>
        <v/>
      </c>
      <c r="BF214" s="34">
        <f>K214-M214</f>
        <v/>
      </c>
      <c r="BG214" s="34">
        <f>P214-S214</f>
        <v/>
      </c>
      <c r="BH214" s="34">
        <f>W214-AA214</f>
        <v/>
      </c>
      <c r="BI214" s="34">
        <f>BF214+BG214+BL214-BN214</f>
        <v/>
      </c>
      <c r="BJ214" s="34">
        <f>ABS(BK214)</f>
        <v/>
      </c>
      <c r="BK214" s="34">
        <f>AY214-(J214-L214+N214-Q214)</f>
        <v/>
      </c>
      <c r="BL214" s="34">
        <f>IF(AND(BK214&gt;0,MIN($F214:$G214)&lt;150,$E214="Enerji Açığı"),-100*BK214*1.03,IF(AND(BK214&gt;0,MIN($F214:$G214)&lt;150,$E214="Enerji Fazlası"),-100*BK214*1.06,IF(AND(BK214&gt;0,MIN($F214:$G214)&gt;=150,$E214="Enerji Açığı"),BK214*MIN($F214:$G214)*0.97,IF(AND(BK214&gt;0,MIN($F214:$G214)&gt;=150,$E214="Enerji Fazlası"),BK214*MIN($F214:$G214)*0.94,IF(AND(BK214&lt;0,MAX($F214:$G214)=4500,$E214="Enerji Açığı"),4500*1.05*1.06*BK214,IF(AND(BK214&lt;0,MAX($F214:$G214)=4500,$E214="Enerji Fazlası"),4500*1.05*1.03*BK214,IF(AND(BK214&lt;0,$E214="Enerji Açığı"),MAX($F214,$G214,150)*BK214*1.06,IF(AND(BK214&lt;0,$E214="Enerji Fazlası"),MAX($F214,$G214,150)*BK214*1.03,IF(AND(BK214&lt;0,$E214="Dengede"),MAX($F214:$G214,150)*1.03*BK214,MIN($F214:$G214)*0.97*BK214)))))))))</f>
        <v/>
      </c>
      <c r="BM214" s="34">
        <f>BE214-BI214-BN214</f>
        <v/>
      </c>
      <c r="BN214" s="34">
        <f>BB214</f>
        <v/>
      </c>
      <c r="BO214" s="34">
        <f>BE214-BI214</f>
        <v/>
      </c>
      <c r="BP214" s="34">
        <f>IF(AY214=0,0,BO214/AY214)</f>
        <v/>
      </c>
      <c r="BQ214" s="34">
        <f>MAX((AY214+MAX((-J214+L214-N214+Q214),0)),(MAX((J214-L214+N214-Q214),0)))</f>
        <v/>
      </c>
      <c r="BR214" s="82">
        <f>IFERROR(ABS(BK214/BQ214),0)</f>
        <v/>
      </c>
      <c r="BS214" s="34">
        <f>IF(BR214&lt;=0.1,0,BK214/BR214*(BR214-0.1))</f>
        <v/>
      </c>
      <c r="BT214" s="34">
        <f>IF((BS214)&lt;0,MAX(F214:G214)*(BS214)*1.03,MIN(F214:G214)*(BS214)*0.97)</f>
        <v/>
      </c>
      <c r="BU214" s="34">
        <f>IF(BR214&gt;0.1,1,0)</f>
        <v/>
      </c>
      <c r="BV214" s="34">
        <f>BF214+BG214+BH214+BY214-CA214</f>
        <v/>
      </c>
      <c r="BW214" s="34">
        <f>ABS(BX214)</f>
        <v/>
      </c>
      <c r="BX214" s="34">
        <f>AY214-(J214-L214+N214-Q214+T214-X214)</f>
        <v/>
      </c>
      <c r="BY214" s="34">
        <f>IF(AND(BX214&gt;0,MIN($F214:$G214)&lt;150,$E214="Enerji Açığı"),-100*BX214*1.03,IF(AND(BX214&gt;0,MIN($F214:$G214)&lt;150,$E214="Enerji Fazlası"),-100*BX214*1.06,IF(AND(BX214&gt;0,MIN($F214:$G214)&gt;=150,$E214="Enerji Açığı"),BX214*MIN($F214:$G214)*0.97,IF(AND(BX214&gt;0,MIN($F214:$G214)&gt;=150,$E214="Enerji Fazlası"),BX214*MIN($F214:$G214)*0.94,IF(AND(BX214&lt;0,MAX($F214:$G214)=4500,$E214="Enerji Açığı"),4500*1.05*1.06*BX214,IF(AND(BX214&lt;0,MAX($F214:$G214)=4500,$E214="Enerji Fazlası"),4500*1.05*1.03*BX214,IF(AND(BX214&lt;0,$E214="Enerji Açığı"),MAX($F214,$G214,150)*BX214*1.06,IF(AND(BX214&lt;0,$E214="Enerji Fazlası"),MAX($F214,$G214,150)*BX214*1.03,IF(AND(BX214&lt;0,$E214="Dengede"),MAX($F214:$G214,150)*1.03*BX214,MIN($F214:$G214)*0.97*BX214)))))))))</f>
        <v/>
      </c>
      <c r="BZ214" s="34">
        <f>BE214-BV214-CA214</f>
        <v/>
      </c>
      <c r="CA214" s="34">
        <f>BD214</f>
        <v/>
      </c>
      <c r="CB214" s="33">
        <f>BE214-BV214</f>
        <v/>
      </c>
      <c r="CC214" s="34">
        <f>IF(AY214=0,0,CB214/AY214)</f>
        <v/>
      </c>
      <c r="CD214" s="34">
        <f>MAX((AY214+MAX((-J214+L214-N214+Q214-T214+X214),0)),(MAX((J214-L214+N214-Q214+T214-X214),0)))</f>
        <v/>
      </c>
      <c r="CE214" s="82">
        <f>IFERROR(ABS(BX214/CD214),0)</f>
        <v/>
      </c>
      <c r="CF214" s="34">
        <f>IF(CE214&lt;=0.1,0,BX214/CE214*(CE214-0.1))</f>
        <v/>
      </c>
      <c r="CG214" s="34">
        <f>IF((CF214)&lt;0,MAX(F214:G214)*(CF214)*1.03,MIN(F214:G214)*(CF214)*0.97)</f>
        <v/>
      </c>
      <c r="CH214" s="34">
        <f>IF(CE214&gt;0.1,1,0)</f>
        <v/>
      </c>
      <c r="CI214" s="34">
        <f>(F214*BX214)-BY214</f>
        <v/>
      </c>
      <c r="CJ214" s="34">
        <f>IF(AY214=0,0,CI214/AY214)</f>
        <v/>
      </c>
    </row>
    <row r="215">
      <c r="A215" s="29" t="n">
        <v>46212.83333333334</v>
      </c>
      <c r="B215" s="29" t="inlineStr">
        <is>
          <t>20:00</t>
        </is>
      </c>
      <c r="C215" s="35">
        <f>INT(A215)</f>
        <v/>
      </c>
      <c r="D215" s="36">
        <f>MONTH(A215)</f>
        <v/>
      </c>
      <c r="E215" s="147">
        <f>[1]FİYATLAR!#REF!</f>
        <v/>
      </c>
      <c r="F215" s="30" t="n">
        <v>4300</v>
      </c>
      <c r="G215" s="30" t="n">
        <v>4497.6</v>
      </c>
      <c r="H215" s="30" t="n">
        <v>91.97</v>
      </c>
      <c r="I215" s="30" t="n">
        <v>4469.94</v>
      </c>
      <c r="J215" s="119" t="n">
        <v>0</v>
      </c>
      <c r="K215" s="34">
        <f>F215*J215</f>
        <v/>
      </c>
      <c r="L215" s="119" t="n"/>
      <c r="M215" s="34">
        <f>L215*F215</f>
        <v/>
      </c>
      <c r="N215" s="119" t="n"/>
      <c r="O215" s="34">
        <f>F215</f>
        <v/>
      </c>
      <c r="P215" s="34">
        <f>N215*O215</f>
        <v/>
      </c>
      <c r="Q215" s="117" t="n">
        <v>0</v>
      </c>
      <c r="R215" s="34">
        <f>F215</f>
        <v/>
      </c>
      <c r="S215" s="34">
        <f>R215*Q215</f>
        <v/>
      </c>
      <c r="T215" s="34">
        <f>SUMIFS('[1]GİP VERİLERİ'!$C:$C,'[1]GİP VERİLERİ'!$B:$B,A215,'[1]GİP VERİLERİ'!$M:$M,"40X000000104782K",'[1]GİP VERİLERİ'!$G:$G,"SELL")</f>
        <v/>
      </c>
      <c r="U215" s="34">
        <f>IFERROR(W215/T215,0)</f>
        <v/>
      </c>
      <c r="V215" s="34">
        <f>IF(U215=0,0,U215-F215)</f>
        <v/>
      </c>
      <c r="W215" s="34">
        <f>SUMIFS('[1]GİP VERİLERİ'!$O:$O,'[1]GİP VERİLERİ'!$B:$B,A215,'[1]GİP VERİLERİ'!$M:$M,"40X000000104782K",'[1]GİP VERİLERİ'!$G:$G,"SELL")</f>
        <v/>
      </c>
      <c r="X215" s="34">
        <f>SUMIFS('[1]GİP VERİLERİ'!$C:$C,'[1]GİP VERİLERİ'!$B:$B,A215,'[1]GİP VERİLERİ'!$M:$M,"40X000000104782K",'[1]GİP VERİLERİ'!$G:$G,"BUY")</f>
        <v/>
      </c>
      <c r="Y215" s="34">
        <f>IFERROR(AA215/X215,0)</f>
        <v/>
      </c>
      <c r="Z215" s="34">
        <f>IF(Y215=0,0,F215-Y215)</f>
        <v/>
      </c>
      <c r="AA215" s="34">
        <f>SUMIFS('[1]GİP VERİLERİ'!$O:$O,'[1]GİP VERİLERİ'!$B:$B,A215,'[1]GİP VERİLERİ'!$M:$M,"40X000000104782K",'[1]GİP VERİLERİ'!$G:$G,"BUY")</f>
        <v/>
      </c>
      <c r="AB215" s="34" t="n">
        <v>0</v>
      </c>
      <c r="AC215" s="34" t="n">
        <v>0</v>
      </c>
      <c r="AD215" s="34">
        <f>IF(AB215&gt;AC215*1.05,AB215-AC215*1.05,IF(AB215&lt;AC215*0.95,AC215*0.95-AB215,0))</f>
        <v/>
      </c>
      <c r="AE215" s="34">
        <f>MAX(F215,G215,750)*0.05*AD215</f>
        <v/>
      </c>
      <c r="AF215" s="34" t="n">
        <v>0</v>
      </c>
      <c r="AG215" s="34">
        <f>IF(AB215&gt;AF215*1.05,AB215-AF215*1.05,IF(AB215&lt;AF215*0.95,AF215*0.95-AB215,0))</f>
        <v/>
      </c>
      <c r="AH215" s="34">
        <f>MAX(I215,J215,750)*0.05*AG215</f>
        <v/>
      </c>
      <c r="AI215" t="n">
        <v>10.38</v>
      </c>
      <c r="AJ215" t="n">
        <v>11</v>
      </c>
      <c r="AK215" s="34">
        <f>IF(AI215&gt;AJ215*1.05,AI215-AJ215*1.05,IF(AI215&lt;AJ215*0.95,AJ215*0.95-AI215,0))</f>
        <v/>
      </c>
      <c r="AL215" s="34">
        <f>MAX(F215,G215,750)*0.05*AK215</f>
        <v/>
      </c>
      <c r="AM215" s="39" t="n">
        <v>9</v>
      </c>
      <c r="AN215" s="34">
        <f>IF(AI215&gt;AM215*1.05,AI215-AM215*1.05,IF(AI215&lt;AM215*0.95,AM215*0.95-AI215,0))</f>
        <v/>
      </c>
      <c r="AO215" s="34">
        <f>MAX(F215,G215,750)*0.05*AN215</f>
        <v/>
      </c>
      <c r="AP215" s="34" t="n">
        <v>11.09</v>
      </c>
      <c r="AQ215" s="34" t="n">
        <v>12</v>
      </c>
      <c r="AR215" s="34">
        <f>IF(AP215&gt;AQ215*1.05,AP215-AQ215*1.05,IF(AP215&lt;AQ215*0.95,AQ215*0.95-AP215,0))</f>
        <v/>
      </c>
      <c r="AS215" s="34">
        <f>MAX(F215:G215,750)*0.05*AR215</f>
        <v/>
      </c>
      <c r="AT215" t="n">
        <v>12</v>
      </c>
      <c r="AU215" s="34">
        <f>IF(AP215&gt;AT215*1.05,AP215-AT215*1.05,IF(AP215&lt;AT215*0.95,AT215*0.95-AP215,0))</f>
        <v/>
      </c>
      <c r="AV215" s="34">
        <f>MAX(F215:G215,750)*0.05*AU215</f>
        <v/>
      </c>
      <c r="AW215" s="34">
        <f>AC215+AJ215+AQ215</f>
        <v/>
      </c>
      <c r="AX215" s="34">
        <f>AF215+AM215+AT215</f>
        <v/>
      </c>
      <c r="AY215" s="34">
        <f>AB215+AI215+AP215</f>
        <v/>
      </c>
      <c r="AZ215" s="34" t="n">
        <v>0</v>
      </c>
      <c r="BA215" s="34">
        <f>AD215+AK215+AR215</f>
        <v/>
      </c>
      <c r="BB215" s="34">
        <f>MAX(F215:G215,750)*0.05*BA215</f>
        <v/>
      </c>
      <c r="BC215" s="34">
        <f>AG215+AN215+AU215</f>
        <v/>
      </c>
      <c r="BD215" s="34">
        <f>MAX(F215:G215,750)*0.05*BC215</f>
        <v/>
      </c>
      <c r="BE215" s="34">
        <f>F215*AY215</f>
        <v/>
      </c>
      <c r="BF215" s="34">
        <f>K215-M215</f>
        <v/>
      </c>
      <c r="BG215" s="34">
        <f>P215-S215</f>
        <v/>
      </c>
      <c r="BH215" s="34">
        <f>W215-AA215</f>
        <v/>
      </c>
      <c r="BI215" s="34">
        <f>BF215+BG215+BL215-BN215</f>
        <v/>
      </c>
      <c r="BJ215" s="34">
        <f>ABS(BK215)</f>
        <v/>
      </c>
      <c r="BK215" s="34">
        <f>AY215-(J215-L215+N215-Q215)</f>
        <v/>
      </c>
      <c r="BL215" s="34">
        <f>IF(AND(BK215&gt;0,MIN($F215:$G215)&lt;150,$E215="Enerji Açığı"),-100*BK215*1.03,IF(AND(BK215&gt;0,MIN($F215:$G215)&lt;150,$E215="Enerji Fazlası"),-100*BK215*1.06,IF(AND(BK215&gt;0,MIN($F215:$G215)&gt;=150,$E215="Enerji Açığı"),BK215*MIN($F215:$G215)*0.97,IF(AND(BK215&gt;0,MIN($F215:$G215)&gt;=150,$E215="Enerji Fazlası"),BK215*MIN($F215:$G215)*0.94,IF(AND(BK215&lt;0,MAX($F215:$G215)=4500,$E215="Enerji Açığı"),4500*1.05*1.06*BK215,IF(AND(BK215&lt;0,MAX($F215:$G215)=4500,$E215="Enerji Fazlası"),4500*1.05*1.03*BK215,IF(AND(BK215&lt;0,$E215="Enerji Açığı"),MAX($F215,$G215,150)*BK215*1.06,IF(AND(BK215&lt;0,$E215="Enerji Fazlası"),MAX($F215,$G215,150)*BK215*1.03,IF(AND(BK215&lt;0,$E215="Dengede"),MAX($F215:$G215,150)*1.03*BK215,MIN($F215:$G215)*0.97*BK215)))))))))</f>
        <v/>
      </c>
      <c r="BM215" s="34">
        <f>BE215-BI215-BN215</f>
        <v/>
      </c>
      <c r="BN215" s="34">
        <f>BB215</f>
        <v/>
      </c>
      <c r="BO215" s="34">
        <f>BE215-BI215</f>
        <v/>
      </c>
      <c r="BP215" s="34">
        <f>IF(AY215=0,0,BO215/AY215)</f>
        <v/>
      </c>
      <c r="BQ215" s="34">
        <f>MAX((AY215+MAX((-J215+L215-N215+Q215),0)),(MAX((J215-L215+N215-Q215),0)))</f>
        <v/>
      </c>
      <c r="BR215" s="82">
        <f>IFERROR(ABS(BK215/BQ215),0)</f>
        <v/>
      </c>
      <c r="BS215" s="34">
        <f>IF(BR215&lt;=0.1,0,BK215/BR215*(BR215-0.1))</f>
        <v/>
      </c>
      <c r="BT215" s="34">
        <f>IF((BS215)&lt;0,MAX(F215:G215)*(BS215)*1.03,MIN(F215:G215)*(BS215)*0.97)</f>
        <v/>
      </c>
      <c r="BU215" s="34">
        <f>IF(BR215&gt;0.1,1,0)</f>
        <v/>
      </c>
      <c r="BV215" s="34">
        <f>BF215+BG215+BH215+BY215-CA215</f>
        <v/>
      </c>
      <c r="BW215" s="34">
        <f>ABS(BX215)</f>
        <v/>
      </c>
      <c r="BX215" s="34">
        <f>AY215-(J215-L215+N215-Q215+T215-X215)</f>
        <v/>
      </c>
      <c r="BY215" s="34">
        <f>IF(AND(BX215&gt;0,MIN($F215:$G215)&lt;150,$E215="Enerji Açığı"),-100*BX215*1.03,IF(AND(BX215&gt;0,MIN($F215:$G215)&lt;150,$E215="Enerji Fazlası"),-100*BX215*1.06,IF(AND(BX215&gt;0,MIN($F215:$G215)&gt;=150,$E215="Enerji Açığı"),BX215*MIN($F215:$G215)*0.97,IF(AND(BX215&gt;0,MIN($F215:$G215)&gt;=150,$E215="Enerji Fazlası"),BX215*MIN($F215:$G215)*0.94,IF(AND(BX215&lt;0,MAX($F215:$G215)=4500,$E215="Enerji Açığı"),4500*1.05*1.06*BX215,IF(AND(BX215&lt;0,MAX($F215:$G215)=4500,$E215="Enerji Fazlası"),4500*1.05*1.03*BX215,IF(AND(BX215&lt;0,$E215="Enerji Açığı"),MAX($F215,$G215,150)*BX215*1.06,IF(AND(BX215&lt;0,$E215="Enerji Fazlası"),MAX($F215,$G215,150)*BX215*1.03,IF(AND(BX215&lt;0,$E215="Dengede"),MAX($F215:$G215,150)*1.03*BX215,MIN($F215:$G215)*0.97*BX215)))))))))</f>
        <v/>
      </c>
      <c r="BZ215" s="34">
        <f>BE215-BV215-CA215</f>
        <v/>
      </c>
      <c r="CA215" s="34">
        <f>BD215</f>
        <v/>
      </c>
      <c r="CB215" s="33">
        <f>BE215-BV215</f>
        <v/>
      </c>
      <c r="CC215" s="34">
        <f>IF(AY215=0,0,CB215/AY215)</f>
        <v/>
      </c>
      <c r="CD215" s="34">
        <f>MAX((AY215+MAX((-J215+L215-N215+Q215-T215+X215),0)),(MAX((J215-L215+N215-Q215+T215-X215),0)))</f>
        <v/>
      </c>
      <c r="CE215" s="82">
        <f>IFERROR(ABS(BX215/CD215),0)</f>
        <v/>
      </c>
      <c r="CF215" s="34">
        <f>IF(CE215&lt;=0.1,0,BX215/CE215*(CE215-0.1))</f>
        <v/>
      </c>
      <c r="CG215" s="34">
        <f>IF((CF215)&lt;0,MAX(F215:G215)*(CF215)*1.03,MIN(F215:G215)*(CF215)*0.97)</f>
        <v/>
      </c>
      <c r="CH215" s="34">
        <f>IF(CE215&gt;0.1,1,0)</f>
        <v/>
      </c>
      <c r="CI215" s="34">
        <f>(F215*BX215)-BY215</f>
        <v/>
      </c>
      <c r="CJ215" s="34">
        <f>IF(AY215=0,0,CI215/AY215)</f>
        <v/>
      </c>
    </row>
    <row r="216">
      <c r="A216" s="29" t="n">
        <v>46212.875</v>
      </c>
      <c r="B216" s="29" t="inlineStr">
        <is>
          <t>21:00</t>
        </is>
      </c>
      <c r="C216" s="35">
        <f>INT(A216)</f>
        <v/>
      </c>
      <c r="D216" s="36">
        <f>MONTH(A216)</f>
        <v/>
      </c>
      <c r="E216" s="147">
        <f>[1]FİYATLAR!#REF!</f>
        <v/>
      </c>
      <c r="F216" s="30" t="n">
        <v>4300.01</v>
      </c>
      <c r="G216" s="30" t="n">
        <v>4498</v>
      </c>
      <c r="H216" s="30" t="n">
        <v>91.97</v>
      </c>
      <c r="I216" s="30" t="n">
        <v>4486.02</v>
      </c>
      <c r="J216" s="119" t="n">
        <v>0</v>
      </c>
      <c r="K216" s="34">
        <f>F216*J216</f>
        <v/>
      </c>
      <c r="L216" s="119" t="n"/>
      <c r="M216" s="34">
        <f>L216*F216</f>
        <v/>
      </c>
      <c r="N216" s="119" t="n"/>
      <c r="O216" s="34">
        <f>F216</f>
        <v/>
      </c>
      <c r="P216" s="34">
        <f>N216*O216</f>
        <v/>
      </c>
      <c r="Q216" s="117" t="n">
        <v>0</v>
      </c>
      <c r="R216" s="34">
        <f>F216</f>
        <v/>
      </c>
      <c r="S216" s="34">
        <f>R216*Q216</f>
        <v/>
      </c>
      <c r="T216" s="34">
        <f>SUMIFS('[1]GİP VERİLERİ'!$C:$C,'[1]GİP VERİLERİ'!$B:$B,A216,'[1]GİP VERİLERİ'!$M:$M,"40X000000104782K",'[1]GİP VERİLERİ'!$G:$G,"SELL")</f>
        <v/>
      </c>
      <c r="U216" s="34">
        <f>IFERROR(W216/T216,0)</f>
        <v/>
      </c>
      <c r="V216" s="34">
        <f>IF(U216=0,0,U216-F216)</f>
        <v/>
      </c>
      <c r="W216" s="34">
        <f>SUMIFS('[1]GİP VERİLERİ'!$O:$O,'[1]GİP VERİLERİ'!$B:$B,A216,'[1]GİP VERİLERİ'!$M:$M,"40X000000104782K",'[1]GİP VERİLERİ'!$G:$G,"SELL")</f>
        <v/>
      </c>
      <c r="X216" s="34">
        <f>SUMIFS('[1]GİP VERİLERİ'!$C:$C,'[1]GİP VERİLERİ'!$B:$B,A216,'[1]GİP VERİLERİ'!$M:$M,"40X000000104782K",'[1]GİP VERİLERİ'!$G:$G,"BUY")</f>
        <v/>
      </c>
      <c r="Y216" s="34">
        <f>IFERROR(AA216/X216,0)</f>
        <v/>
      </c>
      <c r="Z216" s="34">
        <f>IF(Y216=0,0,F216-Y216)</f>
        <v/>
      </c>
      <c r="AA216" s="34">
        <f>SUMIFS('[1]GİP VERİLERİ'!$O:$O,'[1]GİP VERİLERİ'!$B:$B,A216,'[1]GİP VERİLERİ'!$M:$M,"40X000000104782K",'[1]GİP VERİLERİ'!$G:$G,"BUY")</f>
        <v/>
      </c>
      <c r="AB216" s="34" t="n">
        <v>0</v>
      </c>
      <c r="AC216" s="34" t="n">
        <v>0</v>
      </c>
      <c r="AD216" s="34">
        <f>IF(AB216&gt;AC216*1.05,AB216-AC216*1.05,IF(AB216&lt;AC216*0.95,AC216*0.95-AB216,0))</f>
        <v/>
      </c>
      <c r="AE216" s="34">
        <f>MAX(F216,G216,750)*0.05*AD216</f>
        <v/>
      </c>
      <c r="AF216" s="34" t="n">
        <v>0</v>
      </c>
      <c r="AG216" s="34">
        <f>IF(AB216&gt;AF216*1.05,AB216-AF216*1.05,IF(AB216&lt;AF216*0.95,AF216*0.95-AB216,0))</f>
        <v/>
      </c>
      <c r="AH216" s="34">
        <f>MAX(I216,J216,750)*0.05*AG216</f>
        <v/>
      </c>
      <c r="AI216" t="n">
        <v>9.27</v>
      </c>
      <c r="AJ216" t="n">
        <v>11</v>
      </c>
      <c r="AK216" s="34">
        <f>IF(AI216&gt;AJ216*1.05,AI216-AJ216*1.05,IF(AI216&lt;AJ216*0.95,AJ216*0.95-AI216,0))</f>
        <v/>
      </c>
      <c r="AL216" s="34">
        <f>MAX(F216,G216,750)*0.05*AK216</f>
        <v/>
      </c>
      <c r="AM216" s="39" t="n">
        <v>9</v>
      </c>
      <c r="AN216" s="34">
        <f>IF(AI216&gt;AM216*1.05,AI216-AM216*1.05,IF(AI216&lt;AM216*0.95,AM216*0.95-AI216,0))</f>
        <v/>
      </c>
      <c r="AO216" s="34">
        <f>MAX(F216,G216,750)*0.05*AN216</f>
        <v/>
      </c>
      <c r="AP216" s="34" t="n">
        <v>11.93</v>
      </c>
      <c r="AQ216" s="34" t="n">
        <v>12</v>
      </c>
      <c r="AR216" s="34">
        <f>IF(AP216&gt;AQ216*1.05,AP216-AQ216*1.05,IF(AP216&lt;AQ216*0.95,AQ216*0.95-AP216,0))</f>
        <v/>
      </c>
      <c r="AS216" s="34">
        <f>MAX(F216:G216,750)*0.05*AR216</f>
        <v/>
      </c>
      <c r="AT216" t="n">
        <v>12</v>
      </c>
      <c r="AU216" s="34">
        <f>IF(AP216&gt;AT216*1.05,AP216-AT216*1.05,IF(AP216&lt;AT216*0.95,AT216*0.95-AP216,0))</f>
        <v/>
      </c>
      <c r="AV216" s="34">
        <f>MAX(F216:G216,750)*0.05*AU216</f>
        <v/>
      </c>
      <c r="AW216" s="34">
        <f>AC216+AJ216+AQ216</f>
        <v/>
      </c>
      <c r="AX216" s="34">
        <f>AF216+AM216+AT216</f>
        <v/>
      </c>
      <c r="AY216" s="34">
        <f>AB216+AI216+AP216</f>
        <v/>
      </c>
      <c r="AZ216" s="34" t="n">
        <v>0</v>
      </c>
      <c r="BA216" s="34">
        <f>AD216+AK216+AR216</f>
        <v/>
      </c>
      <c r="BB216" s="34">
        <f>MAX(F216:G216,750)*0.05*BA216</f>
        <v/>
      </c>
      <c r="BC216" s="34">
        <f>AG216+AN216+AU216</f>
        <v/>
      </c>
      <c r="BD216" s="34">
        <f>MAX(F216:G216,750)*0.05*BC216</f>
        <v/>
      </c>
      <c r="BE216" s="34">
        <f>F216*AY216</f>
        <v/>
      </c>
      <c r="BF216" s="34">
        <f>K216-M216</f>
        <v/>
      </c>
      <c r="BG216" s="34">
        <f>P216-S216</f>
        <v/>
      </c>
      <c r="BH216" s="34">
        <f>W216-AA216</f>
        <v/>
      </c>
      <c r="BI216" s="34">
        <f>BF216+BG216+BL216-BN216</f>
        <v/>
      </c>
      <c r="BJ216" s="34">
        <f>ABS(BK216)</f>
        <v/>
      </c>
      <c r="BK216" s="34">
        <f>AY216-(J216-L216+N216-Q216)</f>
        <v/>
      </c>
      <c r="BL216" s="34">
        <f>IF(AND(BK216&gt;0,MIN($F216:$G216)&lt;150,$E216="Enerji Açığı"),-100*BK216*1.03,IF(AND(BK216&gt;0,MIN($F216:$G216)&lt;150,$E216="Enerji Fazlası"),-100*BK216*1.06,IF(AND(BK216&gt;0,MIN($F216:$G216)&gt;=150,$E216="Enerji Açığı"),BK216*MIN($F216:$G216)*0.97,IF(AND(BK216&gt;0,MIN($F216:$G216)&gt;=150,$E216="Enerji Fazlası"),BK216*MIN($F216:$G216)*0.94,IF(AND(BK216&lt;0,MAX($F216:$G216)=4500,$E216="Enerji Açığı"),4500*1.05*1.06*BK216,IF(AND(BK216&lt;0,MAX($F216:$G216)=4500,$E216="Enerji Fazlası"),4500*1.05*1.03*BK216,IF(AND(BK216&lt;0,$E216="Enerji Açığı"),MAX($F216,$G216,150)*BK216*1.06,IF(AND(BK216&lt;0,$E216="Enerji Fazlası"),MAX($F216,$G216,150)*BK216*1.03,IF(AND(BK216&lt;0,$E216="Dengede"),MAX($F216:$G216,150)*1.03*BK216,MIN($F216:$G216)*0.97*BK216)))))))))</f>
        <v/>
      </c>
      <c r="BM216" s="34">
        <f>BE216-BI216-BN216</f>
        <v/>
      </c>
      <c r="BN216" s="34">
        <f>BB216</f>
        <v/>
      </c>
      <c r="BO216" s="34">
        <f>BE216-BI216</f>
        <v/>
      </c>
      <c r="BP216" s="34">
        <f>IF(AY216=0,0,BO216/AY216)</f>
        <v/>
      </c>
      <c r="BQ216" s="34">
        <f>MAX((AY216+MAX((-J216+L216-N216+Q216),0)),(MAX((J216-L216+N216-Q216),0)))</f>
        <v/>
      </c>
      <c r="BR216" s="82">
        <f>IFERROR(ABS(BK216/BQ216),0)</f>
        <v/>
      </c>
      <c r="BS216" s="34">
        <f>IF(BR216&lt;=0.1,0,BK216/BR216*(BR216-0.1))</f>
        <v/>
      </c>
      <c r="BT216" s="34">
        <f>IF((BS216)&lt;0,MAX(F216:G216)*(BS216)*1.03,MIN(F216:G216)*(BS216)*0.97)</f>
        <v/>
      </c>
      <c r="BU216" s="34">
        <f>IF(BR216&gt;0.1,1,0)</f>
        <v/>
      </c>
      <c r="BV216" s="34">
        <f>BF216+BG216+BH216+BY216-CA216</f>
        <v/>
      </c>
      <c r="BW216" s="34">
        <f>ABS(BX216)</f>
        <v/>
      </c>
      <c r="BX216" s="34">
        <f>AY216-(J216-L216+N216-Q216+T216-X216)</f>
        <v/>
      </c>
      <c r="BY216" s="34">
        <f>IF(AND(BX216&gt;0,MIN($F216:$G216)&lt;150,$E216="Enerji Açığı"),-100*BX216*1.03,IF(AND(BX216&gt;0,MIN($F216:$G216)&lt;150,$E216="Enerji Fazlası"),-100*BX216*1.06,IF(AND(BX216&gt;0,MIN($F216:$G216)&gt;=150,$E216="Enerji Açığı"),BX216*MIN($F216:$G216)*0.97,IF(AND(BX216&gt;0,MIN($F216:$G216)&gt;=150,$E216="Enerji Fazlası"),BX216*MIN($F216:$G216)*0.94,IF(AND(BX216&lt;0,MAX($F216:$G216)=4500,$E216="Enerji Açığı"),4500*1.05*1.06*BX216,IF(AND(BX216&lt;0,MAX($F216:$G216)=4500,$E216="Enerji Fazlası"),4500*1.05*1.03*BX216,IF(AND(BX216&lt;0,$E216="Enerji Açığı"),MAX($F216,$G216,150)*BX216*1.06,IF(AND(BX216&lt;0,$E216="Enerji Fazlası"),MAX($F216,$G216,150)*BX216*1.03,IF(AND(BX216&lt;0,$E216="Dengede"),MAX($F216:$G216,150)*1.03*BX216,MIN($F216:$G216)*0.97*BX216)))))))))</f>
        <v/>
      </c>
      <c r="BZ216" s="34">
        <f>BE216-BV216-CA216</f>
        <v/>
      </c>
      <c r="CA216" s="34">
        <f>BD216</f>
        <v/>
      </c>
      <c r="CB216" s="33">
        <f>BE216-BV216</f>
        <v/>
      </c>
      <c r="CC216" s="34">
        <f>IF(AY216=0,0,CB216/AY216)</f>
        <v/>
      </c>
      <c r="CD216" s="34">
        <f>MAX((AY216+MAX((-J216+L216-N216+Q216-T216+X216),0)),(MAX((J216-L216+N216-Q216+T216-X216),0)))</f>
        <v/>
      </c>
      <c r="CE216" s="82">
        <f>IFERROR(ABS(BX216/CD216),0)</f>
        <v/>
      </c>
      <c r="CF216" s="34">
        <f>IF(CE216&lt;=0.1,0,BX216/CE216*(CE216-0.1))</f>
        <v/>
      </c>
      <c r="CG216" s="34">
        <f>IF((CF216)&lt;0,MAX(F216:G216)*(CF216)*1.03,MIN(F216:G216)*(CF216)*0.97)</f>
        <v/>
      </c>
      <c r="CH216" s="34">
        <f>IF(CE216&gt;0.1,1,0)</f>
        <v/>
      </c>
      <c r="CI216" s="34">
        <f>(F216*BX216)-BY216</f>
        <v/>
      </c>
      <c r="CJ216" s="34">
        <f>IF(AY216=0,0,CI216/AY216)</f>
        <v/>
      </c>
    </row>
    <row r="217">
      <c r="A217" s="29" t="n">
        <v>46212.91666666666</v>
      </c>
      <c r="B217" s="29" t="inlineStr">
        <is>
          <t>22:00</t>
        </is>
      </c>
      <c r="C217" s="35">
        <f>INT(A217)</f>
        <v/>
      </c>
      <c r="D217" s="36">
        <f>MONTH(A217)</f>
        <v/>
      </c>
      <c r="E217" s="147">
        <f>[1]FİYATLAR!#REF!</f>
        <v/>
      </c>
      <c r="F217" s="30" t="n">
        <v>3691.99</v>
      </c>
      <c r="G217" s="30" t="n">
        <v>4421</v>
      </c>
      <c r="H217" s="30" t="n">
        <v>78.97</v>
      </c>
      <c r="I217" s="30" t="n">
        <v>3665.22</v>
      </c>
      <c r="J217" s="119" t="n">
        <v>0</v>
      </c>
      <c r="K217" s="34">
        <f>F217*J217</f>
        <v/>
      </c>
      <c r="L217" s="119" t="n"/>
      <c r="M217" s="34">
        <f>L217*F217</f>
        <v/>
      </c>
      <c r="N217" s="119" t="n"/>
      <c r="O217" s="34">
        <f>F217</f>
        <v/>
      </c>
      <c r="P217" s="34">
        <f>N217*O217</f>
        <v/>
      </c>
      <c r="Q217" s="117" t="n">
        <v>0</v>
      </c>
      <c r="R217" s="34">
        <f>F217</f>
        <v/>
      </c>
      <c r="S217" s="34">
        <f>R217*Q217</f>
        <v/>
      </c>
      <c r="T217" s="34">
        <f>SUMIFS('[1]GİP VERİLERİ'!$C:$C,'[1]GİP VERİLERİ'!$B:$B,A217,'[1]GİP VERİLERİ'!$M:$M,"40X000000104782K",'[1]GİP VERİLERİ'!$G:$G,"SELL")</f>
        <v/>
      </c>
      <c r="U217" s="34">
        <f>IFERROR(W217/T217,0)</f>
        <v/>
      </c>
      <c r="V217" s="34">
        <f>IF(U217=0,0,U217-F217)</f>
        <v/>
      </c>
      <c r="W217" s="34">
        <f>SUMIFS('[1]GİP VERİLERİ'!$O:$O,'[1]GİP VERİLERİ'!$B:$B,A217,'[1]GİP VERİLERİ'!$M:$M,"40X000000104782K",'[1]GİP VERİLERİ'!$G:$G,"SELL")</f>
        <v/>
      </c>
      <c r="X217" s="34">
        <f>SUMIFS('[1]GİP VERİLERİ'!$C:$C,'[1]GİP VERİLERİ'!$B:$B,A217,'[1]GİP VERİLERİ'!$M:$M,"40X000000104782K",'[1]GİP VERİLERİ'!$G:$G,"BUY")</f>
        <v/>
      </c>
      <c r="Y217" s="34">
        <f>IFERROR(AA217/X217,0)</f>
        <v/>
      </c>
      <c r="Z217" s="34">
        <f>IF(Y217=0,0,F217-Y217)</f>
        <v/>
      </c>
      <c r="AA217" s="34">
        <f>SUMIFS('[1]GİP VERİLERİ'!$O:$O,'[1]GİP VERİLERİ'!$B:$B,A217,'[1]GİP VERİLERİ'!$M:$M,"40X000000104782K",'[1]GİP VERİLERİ'!$G:$G,"BUY")</f>
        <v/>
      </c>
      <c r="AB217" s="34" t="n">
        <v>0</v>
      </c>
      <c r="AC217" s="34" t="n">
        <v>0</v>
      </c>
      <c r="AD217" s="34">
        <f>IF(AB217&gt;AC217*1.05,AB217-AC217*1.05,IF(AB217&lt;AC217*0.95,AC217*0.95-AB217,0))</f>
        <v/>
      </c>
      <c r="AE217" s="34">
        <f>MAX(F217,G217,750)*0.05*AD217</f>
        <v/>
      </c>
      <c r="AF217" s="34" t="n">
        <v>0</v>
      </c>
      <c r="AG217" s="34">
        <f>IF(AB217&gt;AF217*1.05,AB217-AF217*1.05,IF(AB217&lt;AF217*0.95,AF217*0.95-AB217,0))</f>
        <v/>
      </c>
      <c r="AH217" s="34">
        <f>MAX(I217,J217,750)*0.05*AG217</f>
        <v/>
      </c>
      <c r="AI217" t="n">
        <v>9.210000000000001</v>
      </c>
      <c r="AJ217" t="n">
        <v>11</v>
      </c>
      <c r="AK217" s="34">
        <f>IF(AI217&gt;AJ217*1.05,AI217-AJ217*1.05,IF(AI217&lt;AJ217*0.95,AJ217*0.95-AI217,0))</f>
        <v/>
      </c>
      <c r="AL217" s="34">
        <f>MAX(F217,G217,750)*0.05*AK217</f>
        <v/>
      </c>
      <c r="AM217" s="39" t="n">
        <v>9</v>
      </c>
      <c r="AN217" s="34">
        <f>IF(AI217&gt;AM217*1.05,AI217-AM217*1.05,IF(AI217&lt;AM217*0.95,AM217*0.95-AI217,0))</f>
        <v/>
      </c>
      <c r="AO217" s="34">
        <f>MAX(F217,G217,750)*0.05*AN217</f>
        <v/>
      </c>
      <c r="AP217" s="34" t="n">
        <v>12.07</v>
      </c>
      <c r="AQ217" s="34" t="n">
        <v>12</v>
      </c>
      <c r="AR217" s="34">
        <f>IF(AP217&gt;AQ217*1.05,AP217-AQ217*1.05,IF(AP217&lt;AQ217*0.95,AQ217*0.95-AP217,0))</f>
        <v/>
      </c>
      <c r="AS217" s="34">
        <f>MAX(F217:G217,750)*0.05*AR217</f>
        <v/>
      </c>
      <c r="AT217" t="n">
        <v>12</v>
      </c>
      <c r="AU217" s="34">
        <f>IF(AP217&gt;AT217*1.05,AP217-AT217*1.05,IF(AP217&lt;AT217*0.95,AT217*0.95-AP217,0))</f>
        <v/>
      </c>
      <c r="AV217" s="34">
        <f>MAX(F217:G217,750)*0.05*AU217</f>
        <v/>
      </c>
      <c r="AW217" s="34">
        <f>AC217+AJ217+AQ217</f>
        <v/>
      </c>
      <c r="AX217" s="34">
        <f>AF217+AM217+AT217</f>
        <v/>
      </c>
      <c r="AY217" s="34">
        <f>AB217+AI217+AP217</f>
        <v/>
      </c>
      <c r="AZ217" s="34" t="n">
        <v>0</v>
      </c>
      <c r="BA217" s="34">
        <f>AD217+AK217+AR217</f>
        <v/>
      </c>
      <c r="BB217" s="34">
        <f>MAX(F217:G217,750)*0.05*BA217</f>
        <v/>
      </c>
      <c r="BC217" s="34">
        <f>AG217+AN217+AU217</f>
        <v/>
      </c>
      <c r="BD217" s="34">
        <f>MAX(F217:G217,750)*0.05*BC217</f>
        <v/>
      </c>
      <c r="BE217" s="34">
        <f>F217*AY217</f>
        <v/>
      </c>
      <c r="BF217" s="34">
        <f>K217-M217</f>
        <v/>
      </c>
      <c r="BG217" s="34">
        <f>P217-S217</f>
        <v/>
      </c>
      <c r="BH217" s="34">
        <f>W217-AA217</f>
        <v/>
      </c>
      <c r="BI217" s="34">
        <f>BF217+BG217+BL217-BN217</f>
        <v/>
      </c>
      <c r="BJ217" s="34">
        <f>ABS(BK217)</f>
        <v/>
      </c>
      <c r="BK217" s="34">
        <f>AY217-(J217-L217+N217-Q217)</f>
        <v/>
      </c>
      <c r="BL217" s="34">
        <f>IF(AND(BK217&gt;0,MIN($F217:$G217)&lt;150,$E217="Enerji Açığı"),-100*BK217*1.03,IF(AND(BK217&gt;0,MIN($F217:$G217)&lt;150,$E217="Enerji Fazlası"),-100*BK217*1.06,IF(AND(BK217&gt;0,MIN($F217:$G217)&gt;=150,$E217="Enerji Açığı"),BK217*MIN($F217:$G217)*0.97,IF(AND(BK217&gt;0,MIN($F217:$G217)&gt;=150,$E217="Enerji Fazlası"),BK217*MIN($F217:$G217)*0.94,IF(AND(BK217&lt;0,MAX($F217:$G217)=4500,$E217="Enerji Açığı"),4500*1.05*1.06*BK217,IF(AND(BK217&lt;0,MAX($F217:$G217)=4500,$E217="Enerji Fazlası"),4500*1.05*1.03*BK217,IF(AND(BK217&lt;0,$E217="Enerji Açığı"),MAX($F217,$G217,150)*BK217*1.06,IF(AND(BK217&lt;0,$E217="Enerji Fazlası"),MAX($F217,$G217,150)*BK217*1.03,IF(AND(BK217&lt;0,$E217="Dengede"),MAX($F217:$G217,150)*1.03*BK217,MIN($F217:$G217)*0.97*BK217)))))))))</f>
        <v/>
      </c>
      <c r="BM217" s="34">
        <f>BE217-BI217-BN217</f>
        <v/>
      </c>
      <c r="BN217" s="34">
        <f>BB217</f>
        <v/>
      </c>
      <c r="BO217" s="34">
        <f>BE217-BI217</f>
        <v/>
      </c>
      <c r="BP217" s="34">
        <f>IF(AY217=0,0,BO217/AY217)</f>
        <v/>
      </c>
      <c r="BQ217" s="34">
        <f>MAX((AY217+MAX((-J217+L217-N217+Q217),0)),(MAX((J217-L217+N217-Q217),0)))</f>
        <v/>
      </c>
      <c r="BR217" s="82">
        <f>IFERROR(ABS(BK217/BQ217),0)</f>
        <v/>
      </c>
      <c r="BS217" s="34">
        <f>IF(BR217&lt;=0.1,0,BK217/BR217*(BR217-0.1))</f>
        <v/>
      </c>
      <c r="BT217" s="34">
        <f>IF((BS217)&lt;0,MAX(F217:G217)*(BS217)*1.03,MIN(F217:G217)*(BS217)*0.97)</f>
        <v/>
      </c>
      <c r="BU217" s="34">
        <f>IF(BR217&gt;0.1,1,0)</f>
        <v/>
      </c>
      <c r="BV217" s="34">
        <f>BF217+BG217+BH217+BY217-CA217</f>
        <v/>
      </c>
      <c r="BW217" s="34">
        <f>ABS(BX217)</f>
        <v/>
      </c>
      <c r="BX217" s="34">
        <f>AY217-(J217-L217+N217-Q217+T217-X217)</f>
        <v/>
      </c>
      <c r="BY217" s="34">
        <f>IF(AND(BX217&gt;0,MIN($F217:$G217)&lt;150,$E217="Enerji Açığı"),-100*BX217*1.03,IF(AND(BX217&gt;0,MIN($F217:$G217)&lt;150,$E217="Enerji Fazlası"),-100*BX217*1.06,IF(AND(BX217&gt;0,MIN($F217:$G217)&gt;=150,$E217="Enerji Açığı"),BX217*MIN($F217:$G217)*0.97,IF(AND(BX217&gt;0,MIN($F217:$G217)&gt;=150,$E217="Enerji Fazlası"),BX217*MIN($F217:$G217)*0.94,IF(AND(BX217&lt;0,MAX($F217:$G217)=4500,$E217="Enerji Açığı"),4500*1.05*1.06*BX217,IF(AND(BX217&lt;0,MAX($F217:$G217)=4500,$E217="Enerji Fazlası"),4500*1.05*1.03*BX217,IF(AND(BX217&lt;0,$E217="Enerji Açığı"),MAX($F217,$G217,150)*BX217*1.06,IF(AND(BX217&lt;0,$E217="Enerji Fazlası"),MAX($F217,$G217,150)*BX217*1.03,IF(AND(BX217&lt;0,$E217="Dengede"),MAX($F217:$G217,150)*1.03*BX217,MIN($F217:$G217)*0.97*BX217)))))))))</f>
        <v/>
      </c>
      <c r="BZ217" s="34">
        <f>BE217-BV217-CA217</f>
        <v/>
      </c>
      <c r="CA217" s="34">
        <f>BD217</f>
        <v/>
      </c>
      <c r="CB217" s="33">
        <f>BE217-BV217</f>
        <v/>
      </c>
      <c r="CC217" s="34">
        <f>IF(AY217=0,0,CB217/AY217)</f>
        <v/>
      </c>
      <c r="CD217" s="34">
        <f>MAX((AY217+MAX((-J217+L217-N217+Q217-T217+X217),0)),(MAX((J217-L217+N217-Q217+T217-X217),0)))</f>
        <v/>
      </c>
      <c r="CE217" s="82">
        <f>IFERROR(ABS(BX217/CD217),0)</f>
        <v/>
      </c>
      <c r="CF217" s="34">
        <f>IF(CE217&lt;=0.1,0,BX217/CE217*(CE217-0.1))</f>
        <v/>
      </c>
      <c r="CG217" s="34">
        <f>IF((CF217)&lt;0,MAX(F217:G217)*(CF217)*1.03,MIN(F217:G217)*(CF217)*0.97)</f>
        <v/>
      </c>
      <c r="CH217" s="34">
        <f>IF(CE217&gt;0.1,1,0)</f>
        <v/>
      </c>
      <c r="CI217" s="34">
        <f>(F217*BX217)-BY217</f>
        <v/>
      </c>
      <c r="CJ217" s="34">
        <f>IF(AY217=0,0,CI217/AY217)</f>
        <v/>
      </c>
    </row>
    <row r="218">
      <c r="A218" s="29" t="n">
        <v>46212.95833333334</v>
      </c>
      <c r="B218" s="29" t="inlineStr">
        <is>
          <t>23:00</t>
        </is>
      </c>
      <c r="C218" s="35">
        <f>INT(A218)</f>
        <v/>
      </c>
      <c r="D218" s="36">
        <f>MONTH(A218)</f>
        <v/>
      </c>
      <c r="E218" s="147">
        <f>[1]FİYATLAR!#REF!</f>
        <v/>
      </c>
      <c r="F218" s="30" t="n">
        <v>3603.81</v>
      </c>
      <c r="G218" s="30" t="n">
        <v>3990</v>
      </c>
      <c r="H218" s="30" t="n">
        <v>77.08</v>
      </c>
      <c r="I218" s="30" t="n">
        <v>3568.18</v>
      </c>
      <c r="J218" s="119" t="n">
        <v>0</v>
      </c>
      <c r="K218" s="34">
        <f>F218*J218</f>
        <v/>
      </c>
      <c r="L218" s="119" t="n"/>
      <c r="M218" s="34">
        <f>L218*F218</f>
        <v/>
      </c>
      <c r="N218" s="119" t="n"/>
      <c r="O218" s="34">
        <f>F218</f>
        <v/>
      </c>
      <c r="P218" s="34">
        <f>N218*O218</f>
        <v/>
      </c>
      <c r="Q218" s="117" t="n">
        <v>0</v>
      </c>
      <c r="R218" s="34">
        <f>F218</f>
        <v/>
      </c>
      <c r="S218" s="34">
        <f>R218*Q218</f>
        <v/>
      </c>
      <c r="T218" s="34">
        <f>SUMIFS('[1]GİP VERİLERİ'!$C:$C,'[1]GİP VERİLERİ'!$B:$B,A218,'[1]GİP VERİLERİ'!$M:$M,"40X000000104782K",'[1]GİP VERİLERİ'!$G:$G,"SELL")</f>
        <v/>
      </c>
      <c r="U218" s="34">
        <f>IFERROR(W218/T218,0)</f>
        <v/>
      </c>
      <c r="V218" s="34">
        <f>IF(U218=0,0,U218-F218)</f>
        <v/>
      </c>
      <c r="W218" s="34">
        <f>SUMIFS('[1]GİP VERİLERİ'!$O:$O,'[1]GİP VERİLERİ'!$B:$B,A218,'[1]GİP VERİLERİ'!$M:$M,"40X000000104782K",'[1]GİP VERİLERİ'!$G:$G,"SELL")</f>
        <v/>
      </c>
      <c r="X218" s="34">
        <f>SUMIFS('[1]GİP VERİLERİ'!$C:$C,'[1]GİP VERİLERİ'!$B:$B,A218,'[1]GİP VERİLERİ'!$M:$M,"40X000000104782K",'[1]GİP VERİLERİ'!$G:$G,"BUY")</f>
        <v/>
      </c>
      <c r="Y218" s="34">
        <f>IFERROR(AA218/X218,0)</f>
        <v/>
      </c>
      <c r="Z218" s="34">
        <f>IF(Y218=0,0,F218-Y218)</f>
        <v/>
      </c>
      <c r="AA218" s="34">
        <f>SUMIFS('[1]GİP VERİLERİ'!$O:$O,'[1]GİP VERİLERİ'!$B:$B,A218,'[1]GİP VERİLERİ'!$M:$M,"40X000000104782K",'[1]GİP VERİLERİ'!$G:$G,"BUY")</f>
        <v/>
      </c>
      <c r="AB218" s="34" t="n">
        <v>0</v>
      </c>
      <c r="AC218" s="34" t="n">
        <v>0</v>
      </c>
      <c r="AD218" s="34">
        <f>IF(AB218&gt;AC218*1.05,AB218-AC218*1.05,IF(AB218&lt;AC218*0.95,AC218*0.95-AB218,0))</f>
        <v/>
      </c>
      <c r="AE218" s="34">
        <f>MAX(F218,G218,750)*0.05*AD218</f>
        <v/>
      </c>
      <c r="AF218" s="34" t="n">
        <v>0</v>
      </c>
      <c r="AG218" s="34">
        <f>IF(AB218&gt;AF218*1.05,AB218-AF218*1.05,IF(AB218&lt;AF218*0.95,AF218*0.95-AB218,0))</f>
        <v/>
      </c>
      <c r="AH218" s="34">
        <f>MAX(I218,J218,750)*0.05*AG218</f>
        <v/>
      </c>
      <c r="AI218" t="n">
        <v>9.4</v>
      </c>
      <c r="AJ218" t="n">
        <v>9</v>
      </c>
      <c r="AK218" s="34">
        <f>IF(AI218&gt;AJ218*1.05,AI218-AJ218*1.05,IF(AI218&lt;AJ218*0.95,AJ218*0.95-AI218,0))</f>
        <v/>
      </c>
      <c r="AL218" s="34">
        <f>MAX(F218,G218,750)*0.05*AK218</f>
        <v/>
      </c>
      <c r="AM218" s="39" t="n">
        <v>9</v>
      </c>
      <c r="AN218" s="34">
        <f>IF(AI218&gt;AM218*1.05,AI218-AM218*1.05,IF(AI218&lt;AM218*0.95,AM218*0.95-AI218,0))</f>
        <v/>
      </c>
      <c r="AO218" s="34">
        <f>MAX(F218,G218,750)*0.05*AN218</f>
        <v/>
      </c>
      <c r="AP218" s="34" t="n">
        <v>12.08</v>
      </c>
      <c r="AQ218" s="34" t="n">
        <v>12</v>
      </c>
      <c r="AR218" s="34">
        <f>IF(AP218&gt;AQ218*1.05,AP218-AQ218*1.05,IF(AP218&lt;AQ218*0.95,AQ218*0.95-AP218,0))</f>
        <v/>
      </c>
      <c r="AS218" s="34">
        <f>MAX(F218:G218,750)*0.05*AR218</f>
        <v/>
      </c>
      <c r="AT218" t="n">
        <v>12</v>
      </c>
      <c r="AU218" s="34">
        <f>IF(AP218&gt;AT218*1.05,AP218-AT218*1.05,IF(AP218&lt;AT218*0.95,AT218*0.95-AP218,0))</f>
        <v/>
      </c>
      <c r="AV218" s="34">
        <f>MAX(F218:G218,750)*0.05*AU218</f>
        <v/>
      </c>
      <c r="AW218" s="34">
        <f>AC218+AJ218+AQ218</f>
        <v/>
      </c>
      <c r="AX218" s="34">
        <f>AF218+AM218+AT218</f>
        <v/>
      </c>
      <c r="AY218" s="34">
        <f>AB218+AI218+AP218</f>
        <v/>
      </c>
      <c r="AZ218" s="34" t="n">
        <v>0</v>
      </c>
      <c r="BA218" s="34">
        <f>AD218+AK218+AR218</f>
        <v/>
      </c>
      <c r="BB218" s="34">
        <f>MAX(F218:G218,750)*0.05*BA218</f>
        <v/>
      </c>
      <c r="BC218" s="34">
        <f>AG218+AN218+AU218</f>
        <v/>
      </c>
      <c r="BD218" s="34">
        <f>MAX(F218:G218,750)*0.05*BC218</f>
        <v/>
      </c>
      <c r="BE218" s="34">
        <f>F218*AY218</f>
        <v/>
      </c>
      <c r="BF218" s="34">
        <f>K218-M218</f>
        <v/>
      </c>
      <c r="BG218" s="34">
        <f>P218-S218</f>
        <v/>
      </c>
      <c r="BH218" s="34">
        <f>W218-AA218</f>
        <v/>
      </c>
      <c r="BI218" s="34">
        <f>BF218+BG218+BL218-BN218</f>
        <v/>
      </c>
      <c r="BJ218" s="34">
        <f>ABS(BK218)</f>
        <v/>
      </c>
      <c r="BK218" s="34">
        <f>AY218-(J218-L218+N218-Q218)</f>
        <v/>
      </c>
      <c r="BL218" s="34">
        <f>IF(AND(BK218&gt;0,MIN($F218:$G218)&lt;150,$E218="Enerji Açığı"),-100*BK218*1.03,IF(AND(BK218&gt;0,MIN($F218:$G218)&lt;150,$E218="Enerji Fazlası"),-100*BK218*1.06,IF(AND(BK218&gt;0,MIN($F218:$G218)&gt;=150,$E218="Enerji Açığı"),BK218*MIN($F218:$G218)*0.97,IF(AND(BK218&gt;0,MIN($F218:$G218)&gt;=150,$E218="Enerji Fazlası"),BK218*MIN($F218:$G218)*0.94,IF(AND(BK218&lt;0,MAX($F218:$G218)=4500,$E218="Enerji Açığı"),4500*1.05*1.06*BK218,IF(AND(BK218&lt;0,MAX($F218:$G218)=4500,$E218="Enerji Fazlası"),4500*1.05*1.03*BK218,IF(AND(BK218&lt;0,$E218="Enerji Açığı"),MAX($F218,$G218,150)*BK218*1.06,IF(AND(BK218&lt;0,$E218="Enerji Fazlası"),MAX($F218,$G218,150)*BK218*1.03,IF(AND(BK218&lt;0,$E218="Dengede"),MAX($F218:$G218,150)*1.03*BK218,MIN($F218:$G218)*0.97*BK218)))))))))</f>
        <v/>
      </c>
      <c r="BM218" s="34">
        <f>BE218-BI218-BN218</f>
        <v/>
      </c>
      <c r="BN218" s="34">
        <f>BB218</f>
        <v/>
      </c>
      <c r="BO218" s="34">
        <f>BE218-BI218</f>
        <v/>
      </c>
      <c r="BP218" s="34">
        <f>IF(AY218=0,0,BO218/AY218)</f>
        <v/>
      </c>
      <c r="BQ218" s="34">
        <f>MAX((AY218+MAX((-J218+L218-N218+Q218),0)),(MAX((J218-L218+N218-Q218),0)))</f>
        <v/>
      </c>
      <c r="BR218" s="82">
        <f>IFERROR(ABS(BK218/BQ218),0)</f>
        <v/>
      </c>
      <c r="BS218" s="34">
        <f>IF(BR218&lt;=0.1,0,BK218/BR218*(BR218-0.1))</f>
        <v/>
      </c>
      <c r="BT218" s="34">
        <f>IF((BS218)&lt;0,MAX(F218:G218)*(BS218)*1.03,MIN(F218:G218)*(BS218)*0.97)</f>
        <v/>
      </c>
      <c r="BU218" s="34">
        <f>IF(BR218&gt;0.1,1,0)</f>
        <v/>
      </c>
      <c r="BV218" s="34">
        <f>BF218+BG218+BH218+BY218-CA218</f>
        <v/>
      </c>
      <c r="BW218" s="34">
        <f>ABS(BX218)</f>
        <v/>
      </c>
      <c r="BX218" s="34">
        <f>AY218-(J218-L218+N218-Q218+T218-X218)</f>
        <v/>
      </c>
      <c r="BY218" s="34">
        <f>IF(AND(BX218&gt;0,MIN($F218:$G218)&lt;150,$E218="Enerji Açığı"),-100*BX218*1.03,IF(AND(BX218&gt;0,MIN($F218:$G218)&lt;150,$E218="Enerji Fazlası"),-100*BX218*1.06,IF(AND(BX218&gt;0,MIN($F218:$G218)&gt;=150,$E218="Enerji Açığı"),BX218*MIN($F218:$G218)*0.97,IF(AND(BX218&gt;0,MIN($F218:$G218)&gt;=150,$E218="Enerji Fazlası"),BX218*MIN($F218:$G218)*0.94,IF(AND(BX218&lt;0,MAX($F218:$G218)=4500,$E218="Enerji Açığı"),4500*1.05*1.06*BX218,IF(AND(BX218&lt;0,MAX($F218:$G218)=4500,$E218="Enerji Fazlası"),4500*1.05*1.03*BX218,IF(AND(BX218&lt;0,$E218="Enerji Açığı"),MAX($F218,$G218,150)*BX218*1.06,IF(AND(BX218&lt;0,$E218="Enerji Fazlası"),MAX($F218,$G218,150)*BX218*1.03,IF(AND(BX218&lt;0,$E218="Dengede"),MAX($F218:$G218,150)*1.03*BX218,MIN($F218:$G218)*0.97*BX218)))))))))</f>
        <v/>
      </c>
      <c r="BZ218" s="34">
        <f>BE218-BV218-CA218</f>
        <v/>
      </c>
      <c r="CA218" s="34">
        <f>BD218</f>
        <v/>
      </c>
      <c r="CB218" s="33">
        <f>BE218-BV218</f>
        <v/>
      </c>
      <c r="CC218" s="34">
        <f>IF(AY218=0,0,CB218/AY218)</f>
        <v/>
      </c>
      <c r="CD218" s="34">
        <f>MAX((AY218+MAX((-J218+L218-N218+Q218-T218+X218),0)),(MAX((J218-L218+N218-Q218+T218-X218),0)))</f>
        <v/>
      </c>
      <c r="CE218" s="82">
        <f>IFERROR(ABS(BX218/CD218),0)</f>
        <v/>
      </c>
      <c r="CF218" s="34">
        <f>IF(CE218&lt;=0.1,0,BX218/CE218*(CE218-0.1))</f>
        <v/>
      </c>
      <c r="CG218" s="34">
        <f>IF((CF218)&lt;0,MAX(F218:G218)*(CF218)*1.03,MIN(F218:G218)*(CF218)*0.97)</f>
        <v/>
      </c>
      <c r="CH218" s="34">
        <f>IF(CE218&gt;0.1,1,0)</f>
        <v/>
      </c>
      <c r="CI218" s="34">
        <f>(F218*BX218)-BY218</f>
        <v/>
      </c>
      <c r="CJ218" s="34">
        <f>IF(AY218=0,0,CI218/AY218)</f>
        <v/>
      </c>
    </row>
    <row r="219">
      <c r="A219" s="29" t="n">
        <v>46213</v>
      </c>
      <c r="B219" s="29" t="inlineStr">
        <is>
          <t>00:00</t>
        </is>
      </c>
      <c r="C219" s="35">
        <f>INT(A219)</f>
        <v/>
      </c>
      <c r="D219" s="36">
        <f>MONTH(A219)</f>
        <v/>
      </c>
      <c r="E219" s="147">
        <f>[1]FİYATLAR!G194</f>
        <v/>
      </c>
      <c r="F219" s="30" t="n">
        <v>3325</v>
      </c>
      <c r="G219" s="30">
        <f>[1]FİYATLAR!E194</f>
        <v/>
      </c>
      <c r="H219" s="30" t="n">
        <v>71.09</v>
      </c>
      <c r="I219" s="30" t="n">
        <v>3486.47</v>
      </c>
      <c r="J219" s="119" t="n">
        <v>0</v>
      </c>
      <c r="K219" s="34">
        <f>F219*J219</f>
        <v/>
      </c>
      <c r="L219" s="119" t="n"/>
      <c r="M219" s="34">
        <f>L219*F219</f>
        <v/>
      </c>
      <c r="N219" s="119" t="n"/>
      <c r="O219" s="34">
        <f>F219</f>
        <v/>
      </c>
      <c r="P219" s="34">
        <f>N219*O219</f>
        <v/>
      </c>
      <c r="Q219" s="117" t="n">
        <v>0</v>
      </c>
      <c r="R219" s="34">
        <f>F219</f>
        <v/>
      </c>
      <c r="S219" s="34">
        <f>R219*Q219</f>
        <v/>
      </c>
      <c r="T219" s="34">
        <f>SUMIFS('[1]GİP VERİLERİ'!$C:$C,'[1]GİP VERİLERİ'!$B:$B,A219,'[1]GİP VERİLERİ'!$M:$M,"40X000000104782K",'[1]GİP VERİLERİ'!$G:$G,"SELL")</f>
        <v/>
      </c>
      <c r="U219" s="34">
        <f>IFERROR(W219/T219,0)</f>
        <v/>
      </c>
      <c r="V219" s="34">
        <f>IF(U219=0,0,U219-F219)</f>
        <v/>
      </c>
      <c r="W219" s="34">
        <f>SUMIFS('[1]GİP VERİLERİ'!$O:$O,'[1]GİP VERİLERİ'!$B:$B,A219,'[1]GİP VERİLERİ'!$M:$M,"40X000000104782K",'[1]GİP VERİLERİ'!$G:$G,"SELL")</f>
        <v/>
      </c>
      <c r="X219" s="34">
        <f>SUMIFS('[1]GİP VERİLERİ'!$C:$C,'[1]GİP VERİLERİ'!$B:$B,A219,'[1]GİP VERİLERİ'!$M:$M,"40X000000104782K",'[1]GİP VERİLERİ'!$G:$G,"BUY")</f>
        <v/>
      </c>
      <c r="Y219" s="34">
        <f>IFERROR(AA219/X219,0)</f>
        <v/>
      </c>
      <c r="Z219" s="34">
        <f>IF(Y219=0,0,F219-Y219)</f>
        <v/>
      </c>
      <c r="AA219" s="34">
        <f>SUMIFS('[1]GİP VERİLERİ'!$O:$O,'[1]GİP VERİLERİ'!$B:$B,A219,'[1]GİP VERİLERİ'!$M:$M,"40X000000104782K",'[1]GİP VERİLERİ'!$G:$G,"BUY")</f>
        <v/>
      </c>
      <c r="AB219" s="34">
        <f>'[1]GÖP VERİLERİ'!H220</f>
        <v/>
      </c>
      <c r="AC219" s="34" t="n">
        <v>0</v>
      </c>
      <c r="AD219" s="34">
        <f>IF(AB219&gt;AC219*1.05,AB219-AC219*1.05,IF(AB219&lt;AC219*0.95,AC219*0.95-AB219,0))</f>
        <v/>
      </c>
      <c r="AE219" s="34">
        <f>MAX(F219,G219,750)*0.05*AD219</f>
        <v/>
      </c>
      <c r="AF219" s="34" t="n">
        <v>0</v>
      </c>
      <c r="AG219" s="34">
        <f>IF(AB219&gt;AF219*1.05,AB219-AF219*1.05,IF(AB219&lt;AF219*0.95,AF219*0.95-AB219,0))</f>
        <v/>
      </c>
      <c r="AH219" s="34">
        <f>MAX(I219,J219,750)*0.05*AG219</f>
        <v/>
      </c>
      <c r="AI219">
        <f>'[1]GÖP VERİLERİ'!E220</f>
        <v/>
      </c>
      <c r="AJ219" t="n">
        <v>6</v>
      </c>
      <c r="AK219" s="34">
        <f>IF(AI219&gt;AJ219*1.05,AI219-AJ219*1.05,IF(AI219&lt;AJ219*0.95,AJ219*0.95-AI219,0))</f>
        <v/>
      </c>
      <c r="AL219" s="34">
        <f>MAX(F219,G219,750)*0.05*AK219</f>
        <v/>
      </c>
      <c r="AM219" s="39" t="n">
        <v>6</v>
      </c>
      <c r="AN219" s="34">
        <f>IF(AI219&gt;AM219*1.05,AI219-AM219*1.05,IF(AI219&lt;AM219*0.95,AM219*0.95-AI219,0))</f>
        <v/>
      </c>
      <c r="AO219" s="34">
        <f>MAX(F219,G219,750)*0.05*AN219</f>
        <v/>
      </c>
      <c r="AP219" s="34">
        <f>'[1]GÖP VERİLERİ'!B220</f>
        <v/>
      </c>
      <c r="AQ219" s="34" t="n">
        <v>9</v>
      </c>
      <c r="AR219" s="34">
        <f>IF(AP219&gt;AQ219*1.05,AP219-AQ219*1.05,IF(AP219&lt;AQ219*0.95,AQ219*0.95-AP219,0))</f>
        <v/>
      </c>
      <c r="AS219" s="34">
        <f>MAX(F219:G219,750)*0.05*AR219</f>
        <v/>
      </c>
      <c r="AT219" t="n">
        <v>9</v>
      </c>
      <c r="AU219" s="34">
        <f>IF(AP219&gt;AT219*1.05,AP219-AT219*1.05,IF(AP219&lt;AT219*0.95,AT219*0.95-AP219,0))</f>
        <v/>
      </c>
      <c r="AV219" s="34">
        <f>MAX(F219:G219,750)*0.05*AU219</f>
        <v/>
      </c>
      <c r="AW219" s="34">
        <f>AC219+AJ219+AQ219</f>
        <v/>
      </c>
      <c r="AX219" s="34">
        <f>AF219+AM219+AT219</f>
        <v/>
      </c>
      <c r="AY219" s="34">
        <f>AB219+AI219+AP219</f>
        <v/>
      </c>
      <c r="AZ219" s="34" t="n">
        <v>0</v>
      </c>
      <c r="BA219" s="34">
        <f>AD219+AK219+AR219</f>
        <v/>
      </c>
      <c r="BB219" s="34">
        <f>MAX(F219:G219,750)*0.05*BA219</f>
        <v/>
      </c>
      <c r="BC219" s="34">
        <f>AG219+AN219+AU219</f>
        <v/>
      </c>
      <c r="BD219" s="34">
        <f>MAX(F219:G219,750)*0.05*BC219</f>
        <v/>
      </c>
      <c r="BE219" s="34">
        <f>F219*AY219</f>
        <v/>
      </c>
      <c r="BF219" s="34">
        <f>K219-M219</f>
        <v/>
      </c>
      <c r="BG219" s="34">
        <f>P219-S219</f>
        <v/>
      </c>
      <c r="BH219" s="34">
        <f>W219-AA219</f>
        <v/>
      </c>
      <c r="BI219" s="34">
        <f>BF219+BG219+BL219-BN219</f>
        <v/>
      </c>
      <c r="BJ219" s="34">
        <f>ABS(BK219)</f>
        <v/>
      </c>
      <c r="BK219" s="34">
        <f>AY219-(J219-L219+N219-Q219)</f>
        <v/>
      </c>
      <c r="BL219" s="34">
        <f>IF(AND(BK219&gt;0,MIN($F219:$G219)&lt;150,$E219="Enerji Açığı"),-100*BK219*1.03,IF(AND(BK219&gt;0,MIN($F219:$G219)&lt;150,$E219="Enerji Fazlası"),-100*BK219*1.06,IF(AND(BK219&gt;0,MIN($F219:$G219)&gt;=150,$E219="Enerji Açığı"),BK219*MIN($F219:$G219)*0.97,IF(AND(BK219&gt;0,MIN($F219:$G219)&gt;=150,$E219="Enerji Fazlası"),BK219*MIN($F219:$G219)*0.94,IF(AND(BK219&lt;0,MAX($F219:$G219)=4500,$E219="Enerji Açığı"),4500*1.05*1.06*BK219,IF(AND(BK219&lt;0,MAX($F219:$G219)=4500,$E219="Enerji Fazlası"),4500*1.05*1.03*BK219,IF(AND(BK219&lt;0,$E219="Enerji Açığı"),MAX($F219,$G219,150)*BK219*1.06,IF(AND(BK219&lt;0,$E219="Enerji Fazlası"),MAX($F219,$G219,150)*BK219*1.03,IF(AND(BK219&lt;0,$E219="Dengede"),MAX($F219:$G219,150)*1.03*BK219,MIN($F219:$G219)*0.97*BK219)))))))))</f>
        <v/>
      </c>
      <c r="BM219" s="34">
        <f>BE219-BI219-BN219</f>
        <v/>
      </c>
      <c r="BN219" s="34">
        <f>BB219</f>
        <v/>
      </c>
      <c r="BO219" s="34">
        <f>BE219-BI219</f>
        <v/>
      </c>
      <c r="BP219" s="34">
        <f>IF(AY219=0,0,BO219/AY219)</f>
        <v/>
      </c>
      <c r="BQ219" s="34">
        <f>MAX((AY219+MAX((-J219+L219-N219+Q219),0)),(MAX((J219-L219+N219-Q219),0)))</f>
        <v/>
      </c>
      <c r="BR219" s="82">
        <f>IFERROR(ABS(BK219/BQ219),0)</f>
        <v/>
      </c>
      <c r="BS219" s="34">
        <f>IF(BR219&lt;=0.1,0,BK219/BR219*(BR219-0.1))</f>
        <v/>
      </c>
      <c r="BT219" s="34">
        <f>IF((BS219)&lt;0,MAX(F219:G219)*(BS219)*1.03,MIN(F219:G219)*(BS219)*0.97)</f>
        <v/>
      </c>
      <c r="BU219" s="34">
        <f>IF(BR219&gt;0.1,1,0)</f>
        <v/>
      </c>
      <c r="BV219" s="34">
        <f>BF219+BG219+BH219+BY219-CA219</f>
        <v/>
      </c>
      <c r="BW219" s="34">
        <f>ABS(BX219)</f>
        <v/>
      </c>
      <c r="BX219" s="34">
        <f>AY219-(J219-L219+N219-Q219+T219-X219)</f>
        <v/>
      </c>
      <c r="BY219" s="34">
        <f>IF(AND(BX219&gt;0,MIN($F219:$G219)&lt;150,$E219="Enerji Açığı"),-100*BX219*1.03,IF(AND(BX219&gt;0,MIN($F219:$G219)&lt;150,$E219="Enerji Fazlası"),-100*BX219*1.06,IF(AND(BX219&gt;0,MIN($F219:$G219)&gt;=150,$E219="Enerji Açığı"),BX219*MIN($F219:$G219)*0.97,IF(AND(BX219&gt;0,MIN($F219:$G219)&gt;=150,$E219="Enerji Fazlası"),BX219*MIN($F219:$G219)*0.94,IF(AND(BX219&lt;0,MAX($F219:$G219)=4500,$E219="Enerji Açığı"),4500*1.05*1.06*BX219,IF(AND(BX219&lt;0,MAX($F219:$G219)=4500,$E219="Enerji Fazlası"),4500*1.05*1.03*BX219,IF(AND(BX219&lt;0,$E219="Enerji Açığı"),MAX($F219,$G219,150)*BX219*1.06,IF(AND(BX219&lt;0,$E219="Enerji Fazlası"),MAX($F219,$G219,150)*BX219*1.03,IF(AND(BX219&lt;0,$E219="Dengede"),MAX($F219:$G219,150)*1.03*BX219,MIN($F219:$G219)*0.97*BX219)))))))))</f>
        <v/>
      </c>
      <c r="BZ219" s="34">
        <f>BE219-BV219-CA219</f>
        <v/>
      </c>
      <c r="CA219" s="34">
        <f>BD219</f>
        <v/>
      </c>
      <c r="CB219" s="33">
        <f>BE219-BV219</f>
        <v/>
      </c>
      <c r="CC219" s="34">
        <f>IF(AY219=0,0,CB219/AY219)</f>
        <v/>
      </c>
      <c r="CD219" s="34">
        <f>MAX((AY219+MAX((-J219+L219-N219+Q219-T219+X219),0)),(MAX((J219-L219+N219-Q219+T219-X219),0)))</f>
        <v/>
      </c>
      <c r="CE219" s="82">
        <f>IFERROR(ABS(BX219/CD219),0)</f>
        <v/>
      </c>
      <c r="CF219" s="34">
        <f>IF(CE219&lt;=0.1,0,BX219/CE219*(CE219-0.1))</f>
        <v/>
      </c>
      <c r="CG219" s="34">
        <f>IF((CF219)&lt;0,MAX(F219:G219)*(CF219)*1.03,MIN(F219:G219)*(CF219)*0.97)</f>
        <v/>
      </c>
      <c r="CH219" s="34">
        <f>IF(CE219&gt;0.1,1,0)</f>
        <v/>
      </c>
      <c r="CI219" s="34">
        <f>(F219*BX219)-BY219</f>
        <v/>
      </c>
      <c r="CJ219" s="34">
        <f>IF(AY219=0,0,CI219/AY219)</f>
        <v/>
      </c>
    </row>
    <row r="220">
      <c r="A220" s="29" t="n">
        <v>46213.04166666666</v>
      </c>
      <c r="B220" s="29" t="inlineStr">
        <is>
          <t>01:00</t>
        </is>
      </c>
      <c r="C220" s="35">
        <f>INT(A220)</f>
        <v/>
      </c>
      <c r="D220" s="36">
        <f>MONTH(A220)</f>
        <v/>
      </c>
      <c r="E220" s="147">
        <f>[1]FİYATLAR!G195</f>
        <v/>
      </c>
      <c r="F220" s="30" t="n">
        <v>3600</v>
      </c>
      <c r="G220" s="30" t="n">
        <v>2663.18</v>
      </c>
      <c r="H220" s="30" t="n">
        <v>76.97</v>
      </c>
      <c r="I220" s="30" t="n">
        <v>3744.2</v>
      </c>
      <c r="J220" s="119" t="n">
        <v>0</v>
      </c>
      <c r="K220" s="34">
        <f>F220*J220</f>
        <v/>
      </c>
      <c r="L220" s="119" t="n"/>
      <c r="M220" s="34">
        <f>L220*F220</f>
        <v/>
      </c>
      <c r="N220" s="119" t="n"/>
      <c r="O220" s="34">
        <f>F220</f>
        <v/>
      </c>
      <c r="P220" s="34">
        <f>N220*O220</f>
        <v/>
      </c>
      <c r="Q220" s="117" t="n">
        <v>0</v>
      </c>
      <c r="R220" s="34">
        <f>F220</f>
        <v/>
      </c>
      <c r="S220" s="34">
        <f>R220*Q220</f>
        <v/>
      </c>
      <c r="T220" s="34">
        <f>SUMIFS('[1]GİP VERİLERİ'!$C:$C,'[1]GİP VERİLERİ'!$B:$B,A220,'[1]GİP VERİLERİ'!$M:$M,"40X000000104782K",'[1]GİP VERİLERİ'!$G:$G,"SELL")</f>
        <v/>
      </c>
      <c r="U220" s="34">
        <f>IFERROR(W220/T220,0)</f>
        <v/>
      </c>
      <c r="V220" s="34">
        <f>IF(U220=0,0,U220-F220)</f>
        <v/>
      </c>
      <c r="W220" s="34">
        <f>SUMIFS('[1]GİP VERİLERİ'!$O:$O,'[1]GİP VERİLERİ'!$B:$B,A220,'[1]GİP VERİLERİ'!$M:$M,"40X000000104782K",'[1]GİP VERİLERİ'!$G:$G,"SELL")</f>
        <v/>
      </c>
      <c r="X220" s="34">
        <f>SUMIFS('[1]GİP VERİLERİ'!$C:$C,'[1]GİP VERİLERİ'!$B:$B,A220,'[1]GİP VERİLERİ'!$M:$M,"40X000000104782K",'[1]GİP VERİLERİ'!$G:$G,"BUY")</f>
        <v/>
      </c>
      <c r="Y220" s="34">
        <f>IFERROR(AA220/X220,0)</f>
        <v/>
      </c>
      <c r="Z220" s="34">
        <f>IF(Y220=0,0,F220-Y220)</f>
        <v/>
      </c>
      <c r="AA220" s="34">
        <f>SUMIFS('[1]GİP VERİLERİ'!$O:$O,'[1]GİP VERİLERİ'!$B:$B,A220,'[1]GİP VERİLERİ'!$M:$M,"40X000000104782K",'[1]GİP VERİLERİ'!$G:$G,"BUY")</f>
        <v/>
      </c>
      <c r="AB220" s="34">
        <f>'[1]GÖP VERİLERİ'!H221</f>
        <v/>
      </c>
      <c r="AC220" s="34" t="n">
        <v>0</v>
      </c>
      <c r="AD220" s="34">
        <f>IF(AB220&gt;AC220*1.05,AB220-AC220*1.05,IF(AB220&lt;AC220*0.95,AC220*0.95-AB220,0))</f>
        <v/>
      </c>
      <c r="AE220" s="34">
        <f>MAX(F220,G220,750)*0.05*AD220</f>
        <v/>
      </c>
      <c r="AF220" s="34" t="n">
        <v>0</v>
      </c>
      <c r="AG220" s="34">
        <f>IF(AB220&gt;AF220*1.05,AB220-AF220*1.05,IF(AB220&lt;AF220*0.95,AF220*0.95-AB220,0))</f>
        <v/>
      </c>
      <c r="AH220" s="34">
        <f>MAX(I220,J220,750)*0.05*AG220</f>
        <v/>
      </c>
      <c r="AI220">
        <f>'[1]GÖP VERİLERİ'!E221</f>
        <v/>
      </c>
      <c r="AJ220" t="n">
        <v>6</v>
      </c>
      <c r="AK220" s="34">
        <f>IF(AI220&gt;AJ220*1.05,AI220-AJ220*1.05,IF(AI220&lt;AJ220*0.95,AJ220*0.95-AI220,0))</f>
        <v/>
      </c>
      <c r="AL220" s="34">
        <f>MAX(F220,G220,750)*0.05*AK220</f>
        <v/>
      </c>
      <c r="AM220" s="39" t="n">
        <v>6</v>
      </c>
      <c r="AN220" s="34">
        <f>IF(AI220&gt;AM220*1.05,AI220-AM220*1.05,IF(AI220&lt;AM220*0.95,AM220*0.95-AI220,0))</f>
        <v/>
      </c>
      <c r="AO220" s="34">
        <f>MAX(F220,G220,750)*0.05*AN220</f>
        <v/>
      </c>
      <c r="AP220" s="34">
        <f>'[1]GÖP VERİLERİ'!B221</f>
        <v/>
      </c>
      <c r="AQ220" s="34" t="n">
        <v>9</v>
      </c>
      <c r="AR220" s="34">
        <f>IF(AP220&gt;AQ220*1.05,AP220-AQ220*1.05,IF(AP220&lt;AQ220*0.95,AQ220*0.95-AP220,0))</f>
        <v/>
      </c>
      <c r="AS220" s="34">
        <f>MAX(F220:G220,750)*0.05*AR220</f>
        <v/>
      </c>
      <c r="AT220" t="n">
        <v>9</v>
      </c>
      <c r="AU220" s="34">
        <f>IF(AP220&gt;AT220*1.05,AP220-AT220*1.05,IF(AP220&lt;AT220*0.95,AT220*0.95-AP220,0))</f>
        <v/>
      </c>
      <c r="AV220" s="34">
        <f>MAX(F220:G220,750)*0.05*AU220</f>
        <v/>
      </c>
      <c r="AW220" s="34">
        <f>AC220+AJ220+AQ220</f>
        <v/>
      </c>
      <c r="AX220" s="34">
        <f>AF220+AM220+AT220</f>
        <v/>
      </c>
      <c r="AY220" s="34">
        <f>AB220+AI220+AP220</f>
        <v/>
      </c>
      <c r="AZ220" s="34" t="n">
        <v>0</v>
      </c>
      <c r="BA220" s="34">
        <f>AD220+AK220+AR220</f>
        <v/>
      </c>
      <c r="BB220" s="34">
        <f>MAX(F220:G220,750)*0.05*BA220</f>
        <v/>
      </c>
      <c r="BC220" s="34">
        <f>AG220+AN220+AU220</f>
        <v/>
      </c>
      <c r="BD220" s="34">
        <f>MAX(F220:G220,750)*0.05*BC220</f>
        <v/>
      </c>
      <c r="BE220" s="34">
        <f>F220*AY220</f>
        <v/>
      </c>
      <c r="BF220" s="34">
        <f>K220-M220</f>
        <v/>
      </c>
      <c r="BG220" s="34">
        <f>P220-S220</f>
        <v/>
      </c>
      <c r="BH220" s="34">
        <f>W220-AA220</f>
        <v/>
      </c>
      <c r="BI220" s="34">
        <f>BF220+BG220+BL220-BN220</f>
        <v/>
      </c>
      <c r="BJ220" s="34">
        <f>ABS(BK220)</f>
        <v/>
      </c>
      <c r="BK220" s="34">
        <f>AY220-(J220-L220+N220-Q220)</f>
        <v/>
      </c>
      <c r="BL220" s="34">
        <f>IF(AND(BK220&gt;0,MIN($F220:$G220)&lt;150,$E220="Enerji Açığı"),-100*BK220*1.03,IF(AND(BK220&gt;0,MIN($F220:$G220)&lt;150,$E220="Enerji Fazlası"),-100*BK220*1.06,IF(AND(BK220&gt;0,MIN($F220:$G220)&gt;=150,$E220="Enerji Açığı"),BK220*MIN($F220:$G220)*0.97,IF(AND(BK220&gt;0,MIN($F220:$G220)&gt;=150,$E220="Enerji Fazlası"),BK220*MIN($F220:$G220)*0.94,IF(AND(BK220&lt;0,MAX($F220:$G220)=4500,$E220="Enerji Açığı"),4500*1.05*1.06*BK220,IF(AND(BK220&lt;0,MAX($F220:$G220)=4500,$E220="Enerji Fazlası"),4500*1.05*1.03*BK220,IF(AND(BK220&lt;0,$E220="Enerji Açığı"),MAX($F220,$G220,150)*BK220*1.06,IF(AND(BK220&lt;0,$E220="Enerji Fazlası"),MAX($F220,$G220,150)*BK220*1.03,IF(AND(BK220&lt;0,$E220="Dengede"),MAX($F220:$G220,150)*1.03*BK220,MIN($F220:$G220)*0.97*BK220)))))))))</f>
        <v/>
      </c>
      <c r="BM220" s="34">
        <f>BE220-BI220-BN220</f>
        <v/>
      </c>
      <c r="BN220" s="34">
        <f>BB220</f>
        <v/>
      </c>
      <c r="BO220" s="34">
        <f>BE220-BI220</f>
        <v/>
      </c>
      <c r="BP220" s="34">
        <f>IF(AY220=0,0,BO220/AY220)</f>
        <v/>
      </c>
      <c r="BQ220" s="34">
        <f>MAX((AY220+MAX((-J220+L220-N220+Q220),0)),(MAX((J220-L220+N220-Q220),0)))</f>
        <v/>
      </c>
      <c r="BR220" s="82">
        <f>IFERROR(ABS(BK220/BQ220),0)</f>
        <v/>
      </c>
      <c r="BS220" s="34">
        <f>IF(BR220&lt;=0.1,0,BK220/BR220*(BR220-0.1))</f>
        <v/>
      </c>
      <c r="BT220" s="34">
        <f>IF((BS220)&lt;0,MAX(F220:G220)*(BS220)*1.03,MIN(F220:G220)*(BS220)*0.97)</f>
        <v/>
      </c>
      <c r="BU220" s="34">
        <f>IF(BR220&gt;0.1,1,0)</f>
        <v/>
      </c>
      <c r="BV220" s="34">
        <f>BF220+BG220+BH220+BY220-CA220</f>
        <v/>
      </c>
      <c r="BW220" s="34">
        <f>ABS(BX220)</f>
        <v/>
      </c>
      <c r="BX220" s="34">
        <f>AY220-(J220-L220+N220-Q220+T220-X220)</f>
        <v/>
      </c>
      <c r="BY220" s="34">
        <f>IF(AND(BX220&gt;0,MIN($F220:$G220)&lt;150,$E220="Enerji Açığı"),-100*BX220*1.03,IF(AND(BX220&gt;0,MIN($F220:$G220)&lt;150,$E220="Enerji Fazlası"),-100*BX220*1.06,IF(AND(BX220&gt;0,MIN($F220:$G220)&gt;=150,$E220="Enerji Açığı"),BX220*MIN($F220:$G220)*0.97,IF(AND(BX220&gt;0,MIN($F220:$G220)&gt;=150,$E220="Enerji Fazlası"),BX220*MIN($F220:$G220)*0.94,IF(AND(BX220&lt;0,MAX($F220:$G220)=4500,$E220="Enerji Açığı"),4500*1.05*1.06*BX220,IF(AND(BX220&lt;0,MAX($F220:$G220)=4500,$E220="Enerji Fazlası"),4500*1.05*1.03*BX220,IF(AND(BX220&lt;0,$E220="Enerji Açığı"),MAX($F220,$G220,150)*BX220*1.06,IF(AND(BX220&lt;0,$E220="Enerji Fazlası"),MAX($F220,$G220,150)*BX220*1.03,IF(AND(BX220&lt;0,$E220="Dengede"),MAX($F220:$G220,150)*1.03*BX220,MIN($F220:$G220)*0.97*BX220)))))))))</f>
        <v/>
      </c>
      <c r="BZ220" s="34">
        <f>BE220-BV220-CA220</f>
        <v/>
      </c>
      <c r="CA220" s="34">
        <f>BD220</f>
        <v/>
      </c>
      <c r="CB220" s="33">
        <f>BE220-BV220</f>
        <v/>
      </c>
      <c r="CC220" s="34">
        <f>IF(AY220=0,0,CB220/AY220)</f>
        <v/>
      </c>
      <c r="CD220" s="34">
        <f>MAX((AY220+MAX((-J220+L220-N220+Q220-T220+X220),0)),(MAX((J220-L220+N220-Q220+T220-X220),0)))</f>
        <v/>
      </c>
      <c r="CE220" s="82">
        <f>IFERROR(ABS(BX220/CD220),0)</f>
        <v/>
      </c>
      <c r="CF220" s="34">
        <f>IF(CE220&lt;=0.1,0,BX220/CE220*(CE220-0.1))</f>
        <v/>
      </c>
      <c r="CG220" s="34">
        <f>IF((CF220)&lt;0,MAX(F220:G220)*(CF220)*1.03,MIN(F220:G220)*(CF220)*0.97)</f>
        <v/>
      </c>
      <c r="CH220" s="34">
        <f>IF(CE220&gt;0.1,1,0)</f>
        <v/>
      </c>
      <c r="CI220" s="34">
        <f>(F220*BX220)-BY220</f>
        <v/>
      </c>
      <c r="CJ220" s="34">
        <f>IF(AY220=0,0,CI220/AY220)</f>
        <v/>
      </c>
    </row>
    <row r="221">
      <c r="A221" s="29" t="n">
        <v>46213.08333333334</v>
      </c>
      <c r="B221" s="29" t="inlineStr">
        <is>
          <t>02:00</t>
        </is>
      </c>
      <c r="C221" s="35">
        <f>INT(A221)</f>
        <v/>
      </c>
      <c r="D221" s="36">
        <f>MONTH(A221)</f>
        <v/>
      </c>
      <c r="E221" s="147">
        <f>[1]FİYATLAR!G196</f>
        <v/>
      </c>
      <c r="F221" s="30" t="n">
        <v>3400</v>
      </c>
      <c r="G221" s="30" t="n">
        <v>2501</v>
      </c>
      <c r="H221" s="30" t="n">
        <v>72.7</v>
      </c>
      <c r="I221" s="30" t="n">
        <v>2959.8</v>
      </c>
      <c r="J221" s="119" t="n">
        <v>0</v>
      </c>
      <c r="K221" s="34">
        <f>F221*J221</f>
        <v/>
      </c>
      <c r="L221" s="119" t="n"/>
      <c r="M221" s="34">
        <f>L221*F221</f>
        <v/>
      </c>
      <c r="N221" s="119" t="n"/>
      <c r="O221" s="34">
        <f>F221</f>
        <v/>
      </c>
      <c r="P221" s="34">
        <f>N221*O221</f>
        <v/>
      </c>
      <c r="Q221" s="117" t="n">
        <v>0</v>
      </c>
      <c r="R221" s="34">
        <f>F221</f>
        <v/>
      </c>
      <c r="S221" s="34">
        <f>R221*Q221</f>
        <v/>
      </c>
      <c r="T221" s="34">
        <f>SUMIFS('[1]GİP VERİLERİ'!$C:$C,'[1]GİP VERİLERİ'!$B:$B,A221,'[1]GİP VERİLERİ'!$M:$M,"40X000000104782K",'[1]GİP VERİLERİ'!$G:$G,"SELL")</f>
        <v/>
      </c>
      <c r="U221" s="34">
        <f>IFERROR(W221/T221,0)</f>
        <v/>
      </c>
      <c r="V221" s="34">
        <f>IF(U221=0,0,U221-F221)</f>
        <v/>
      </c>
      <c r="W221" s="34">
        <f>SUMIFS('[1]GİP VERİLERİ'!$O:$O,'[1]GİP VERİLERİ'!$B:$B,A221,'[1]GİP VERİLERİ'!$M:$M,"40X000000104782K",'[1]GİP VERİLERİ'!$G:$G,"SELL")</f>
        <v/>
      </c>
      <c r="X221" s="34">
        <f>SUMIFS('[1]GİP VERİLERİ'!$C:$C,'[1]GİP VERİLERİ'!$B:$B,A221,'[1]GİP VERİLERİ'!$M:$M,"40X000000104782K",'[1]GİP VERİLERİ'!$G:$G,"BUY")</f>
        <v/>
      </c>
      <c r="Y221" s="34">
        <f>IFERROR(AA221/X221,0)</f>
        <v/>
      </c>
      <c r="Z221" s="34">
        <f>IF(Y221=0,0,F221-Y221)</f>
        <v/>
      </c>
      <c r="AA221" s="34">
        <f>SUMIFS('[1]GİP VERİLERİ'!$O:$O,'[1]GİP VERİLERİ'!$B:$B,A221,'[1]GİP VERİLERİ'!$M:$M,"40X000000104782K",'[1]GİP VERİLERİ'!$G:$G,"BUY")</f>
        <v/>
      </c>
      <c r="AB221" s="34">
        <f>'[1]GÖP VERİLERİ'!H222</f>
        <v/>
      </c>
      <c r="AC221" s="34" t="n">
        <v>0</v>
      </c>
      <c r="AD221" s="34">
        <f>IF(AB221&gt;AC221*1.05,AB221-AC221*1.05,IF(AB221&lt;AC221*0.95,AC221*0.95-AB221,0))</f>
        <v/>
      </c>
      <c r="AE221" s="34">
        <f>MAX(F221,G221,750)*0.05*AD221</f>
        <v/>
      </c>
      <c r="AF221" s="34" t="n">
        <v>0</v>
      </c>
      <c r="AG221" s="34">
        <f>IF(AB221&gt;AF221*1.05,AB221-AF221*1.05,IF(AB221&lt;AF221*0.95,AF221*0.95-AB221,0))</f>
        <v/>
      </c>
      <c r="AH221" s="34">
        <f>MAX(I221,J221,750)*0.05*AG221</f>
        <v/>
      </c>
      <c r="AI221">
        <f>'[1]GÖP VERİLERİ'!E222</f>
        <v/>
      </c>
      <c r="AJ221" t="n">
        <v>6</v>
      </c>
      <c r="AK221" s="34">
        <f>IF(AI221&gt;AJ221*1.05,AI221-AJ221*1.05,IF(AI221&lt;AJ221*0.95,AJ221*0.95-AI221,0))</f>
        <v/>
      </c>
      <c r="AL221" s="34">
        <f>MAX(F221,G221,750)*0.05*AK221</f>
        <v/>
      </c>
      <c r="AM221" s="39" t="n">
        <v>6</v>
      </c>
      <c r="AN221" s="34">
        <f>IF(AI221&gt;AM221*1.05,AI221-AM221*1.05,IF(AI221&lt;AM221*0.95,AM221*0.95-AI221,0))</f>
        <v/>
      </c>
      <c r="AO221" s="34">
        <f>MAX(F221,G221,750)*0.05*AN221</f>
        <v/>
      </c>
      <c r="AP221" s="34">
        <f>'[1]GÖP VERİLERİ'!B222</f>
        <v/>
      </c>
      <c r="AQ221" s="34" t="n">
        <v>9</v>
      </c>
      <c r="AR221" s="34">
        <f>IF(AP221&gt;AQ221*1.05,AP221-AQ221*1.05,IF(AP221&lt;AQ221*0.95,AQ221*0.95-AP221,0))</f>
        <v/>
      </c>
      <c r="AS221" s="34">
        <f>MAX(F221:G221,750)*0.05*AR221</f>
        <v/>
      </c>
      <c r="AT221" t="n">
        <v>10</v>
      </c>
      <c r="AU221" s="34">
        <f>IF(AP221&gt;AT221*1.05,AP221-AT221*1.05,IF(AP221&lt;AT221*0.95,AT221*0.95-AP221,0))</f>
        <v/>
      </c>
      <c r="AV221" s="34">
        <f>MAX(F221:G221,750)*0.05*AU221</f>
        <v/>
      </c>
      <c r="AW221" s="34">
        <f>AC221+AJ221+AQ221</f>
        <v/>
      </c>
      <c r="AX221" s="34">
        <f>AF221+AM221+AT221</f>
        <v/>
      </c>
      <c r="AY221" s="34">
        <f>AB221+AI221+AP221</f>
        <v/>
      </c>
      <c r="AZ221" s="34" t="n">
        <v>0</v>
      </c>
      <c r="BA221" s="34">
        <f>AD221+AK221+AR221</f>
        <v/>
      </c>
      <c r="BB221" s="34">
        <f>MAX(F221:G221,750)*0.05*BA221</f>
        <v/>
      </c>
      <c r="BC221" s="34">
        <f>AG221+AN221+AU221</f>
        <v/>
      </c>
      <c r="BD221" s="34">
        <f>MAX(F221:G221,750)*0.05*BC221</f>
        <v/>
      </c>
      <c r="BE221" s="34">
        <f>F221*AY221</f>
        <v/>
      </c>
      <c r="BF221" s="34">
        <f>K221-M221</f>
        <v/>
      </c>
      <c r="BG221" s="34">
        <f>P221-S221</f>
        <v/>
      </c>
      <c r="BH221" s="34">
        <f>W221-AA221</f>
        <v/>
      </c>
      <c r="BI221" s="34">
        <f>BF221+BG221+BL221-BN221</f>
        <v/>
      </c>
      <c r="BJ221" s="34">
        <f>ABS(BK221)</f>
        <v/>
      </c>
      <c r="BK221" s="34">
        <f>AY221-(J221-L221+N221-Q221)</f>
        <v/>
      </c>
      <c r="BL221" s="34">
        <f>IF(AND(BK221&gt;0,MIN($F221:$G221)&lt;150,$E221="Enerji Açığı"),-100*BK221*1.03,IF(AND(BK221&gt;0,MIN($F221:$G221)&lt;150,$E221="Enerji Fazlası"),-100*BK221*1.06,IF(AND(BK221&gt;0,MIN($F221:$G221)&gt;=150,$E221="Enerji Açığı"),BK221*MIN($F221:$G221)*0.97,IF(AND(BK221&gt;0,MIN($F221:$G221)&gt;=150,$E221="Enerji Fazlası"),BK221*MIN($F221:$G221)*0.94,IF(AND(BK221&lt;0,MAX($F221:$G221)=4500,$E221="Enerji Açığı"),4500*1.05*1.06*BK221,IF(AND(BK221&lt;0,MAX($F221:$G221)=4500,$E221="Enerji Fazlası"),4500*1.05*1.03*BK221,IF(AND(BK221&lt;0,$E221="Enerji Açığı"),MAX($F221,$G221,150)*BK221*1.06,IF(AND(BK221&lt;0,$E221="Enerji Fazlası"),MAX($F221,$G221,150)*BK221*1.03,IF(AND(BK221&lt;0,$E221="Dengede"),MAX($F221:$G221,150)*1.03*BK221,MIN($F221:$G221)*0.97*BK221)))))))))</f>
        <v/>
      </c>
      <c r="BM221" s="34">
        <f>BE221-BI221-BN221</f>
        <v/>
      </c>
      <c r="BN221" s="34">
        <f>BB221</f>
        <v/>
      </c>
      <c r="BO221" s="34">
        <f>BE221-BI221</f>
        <v/>
      </c>
      <c r="BP221" s="34">
        <f>IF(AY221=0,0,BO221/AY221)</f>
        <v/>
      </c>
      <c r="BQ221" s="34">
        <f>MAX((AY221+MAX((-J221+L221-N221+Q221),0)),(MAX((J221-L221+N221-Q221),0)))</f>
        <v/>
      </c>
      <c r="BR221" s="82">
        <f>IFERROR(ABS(BK221/BQ221),0)</f>
        <v/>
      </c>
      <c r="BS221" s="34">
        <f>IF(BR221&lt;=0.1,0,BK221/BR221*(BR221-0.1))</f>
        <v/>
      </c>
      <c r="BT221" s="34">
        <f>IF((BS221)&lt;0,MAX(F221:G221)*(BS221)*1.03,MIN(F221:G221)*(BS221)*0.97)</f>
        <v/>
      </c>
      <c r="BU221" s="34">
        <f>IF(BR221&gt;0.1,1,0)</f>
        <v/>
      </c>
      <c r="BV221" s="34">
        <f>BF221+BG221+BH221+BY221-CA221</f>
        <v/>
      </c>
      <c r="BW221" s="34">
        <f>ABS(BX221)</f>
        <v/>
      </c>
      <c r="BX221" s="34">
        <f>AY221-(J221-L221+N221-Q221+T221-X221)</f>
        <v/>
      </c>
      <c r="BY221" s="34">
        <f>IF(AND(BX221&gt;0,MIN($F221:$G221)&lt;150,$E221="Enerji Açığı"),-100*BX221*1.03,IF(AND(BX221&gt;0,MIN($F221:$G221)&lt;150,$E221="Enerji Fazlası"),-100*BX221*1.06,IF(AND(BX221&gt;0,MIN($F221:$G221)&gt;=150,$E221="Enerji Açığı"),BX221*MIN($F221:$G221)*0.97,IF(AND(BX221&gt;0,MIN($F221:$G221)&gt;=150,$E221="Enerji Fazlası"),BX221*MIN($F221:$G221)*0.94,IF(AND(BX221&lt;0,MAX($F221:$G221)=4500,$E221="Enerji Açığı"),4500*1.05*1.06*BX221,IF(AND(BX221&lt;0,MAX($F221:$G221)=4500,$E221="Enerji Fazlası"),4500*1.05*1.03*BX221,IF(AND(BX221&lt;0,$E221="Enerji Açığı"),MAX($F221,$G221,150)*BX221*1.06,IF(AND(BX221&lt;0,$E221="Enerji Fazlası"),MAX($F221,$G221,150)*BX221*1.03,IF(AND(BX221&lt;0,$E221="Dengede"),MAX($F221:$G221,150)*1.03*BX221,MIN($F221:$G221)*0.97*BX221)))))))))</f>
        <v/>
      </c>
      <c r="BZ221" s="34">
        <f>BE221-BV221-CA221</f>
        <v/>
      </c>
      <c r="CA221" s="34">
        <f>BD221</f>
        <v/>
      </c>
      <c r="CB221" s="33">
        <f>BE221-BV221</f>
        <v/>
      </c>
      <c r="CC221" s="34">
        <f>IF(AY221=0,0,CB221/AY221)</f>
        <v/>
      </c>
      <c r="CD221" s="34">
        <f>MAX((AY221+MAX((-J221+L221-N221+Q221-T221+X221),0)),(MAX((J221-L221+N221-Q221+T221-X221),0)))</f>
        <v/>
      </c>
      <c r="CE221" s="82">
        <f>IFERROR(ABS(BX221/CD221),0)</f>
        <v/>
      </c>
      <c r="CF221" s="34">
        <f>IF(CE221&lt;=0.1,0,BX221/CE221*(CE221-0.1))</f>
        <v/>
      </c>
      <c r="CG221" s="34">
        <f>IF((CF221)&lt;0,MAX(F221:G221)*(CF221)*1.03,MIN(F221:G221)*(CF221)*0.97)</f>
        <v/>
      </c>
      <c r="CH221" s="34">
        <f>IF(CE221&gt;0.1,1,0)</f>
        <v/>
      </c>
      <c r="CI221" s="34">
        <f>(F221*BX221)-BY221</f>
        <v/>
      </c>
      <c r="CJ221" s="34">
        <f>IF(AY221=0,0,CI221/AY221)</f>
        <v/>
      </c>
    </row>
    <row r="222">
      <c r="A222" s="29" t="n">
        <v>46213.125</v>
      </c>
      <c r="B222" s="29" t="inlineStr">
        <is>
          <t>03:00</t>
        </is>
      </c>
      <c r="C222" s="35">
        <f>INT(A222)</f>
        <v/>
      </c>
      <c r="D222" s="36">
        <f>MONTH(A222)</f>
        <v/>
      </c>
      <c r="E222" s="147">
        <f>[1]FİYATLAR!G197</f>
        <v/>
      </c>
      <c r="F222" s="30" t="n">
        <v>3325.01</v>
      </c>
      <c r="G222" s="30" t="n">
        <v>2500</v>
      </c>
      <c r="H222" s="30" t="n">
        <v>71.09</v>
      </c>
      <c r="I222" s="30" t="n">
        <v>2820.67</v>
      </c>
      <c r="J222" s="119" t="n">
        <v>0</v>
      </c>
      <c r="K222" s="34">
        <f>F222*J222</f>
        <v/>
      </c>
      <c r="L222" s="119" t="n"/>
      <c r="M222" s="34">
        <f>L222*F222</f>
        <v/>
      </c>
      <c r="N222" s="119" t="n"/>
      <c r="O222" s="34">
        <f>F222</f>
        <v/>
      </c>
      <c r="P222" s="34">
        <f>N222*O222</f>
        <v/>
      </c>
      <c r="Q222" s="117" t="n">
        <v>0</v>
      </c>
      <c r="R222" s="34">
        <f>F222</f>
        <v/>
      </c>
      <c r="S222" s="34">
        <f>R222*Q222</f>
        <v/>
      </c>
      <c r="T222" s="34">
        <f>SUMIFS('[1]GİP VERİLERİ'!$C:$C,'[1]GİP VERİLERİ'!$B:$B,A222,'[1]GİP VERİLERİ'!$M:$M,"40X000000104782K",'[1]GİP VERİLERİ'!$G:$G,"SELL")</f>
        <v/>
      </c>
      <c r="U222" s="34">
        <f>IFERROR(W222/T222,0)</f>
        <v/>
      </c>
      <c r="V222" s="34">
        <f>IF(U222=0,0,U222-F222)</f>
        <v/>
      </c>
      <c r="W222" s="34">
        <f>SUMIFS('[1]GİP VERİLERİ'!$O:$O,'[1]GİP VERİLERİ'!$B:$B,A222,'[1]GİP VERİLERİ'!$M:$M,"40X000000104782K",'[1]GİP VERİLERİ'!$G:$G,"SELL")</f>
        <v/>
      </c>
      <c r="X222" s="34">
        <f>SUMIFS('[1]GİP VERİLERİ'!$C:$C,'[1]GİP VERİLERİ'!$B:$B,A222,'[1]GİP VERİLERİ'!$M:$M,"40X000000104782K",'[1]GİP VERİLERİ'!$G:$G,"BUY")</f>
        <v/>
      </c>
      <c r="Y222" s="34">
        <f>IFERROR(AA222/X222,0)</f>
        <v/>
      </c>
      <c r="Z222" s="34">
        <f>IF(Y222=0,0,F222-Y222)</f>
        <v/>
      </c>
      <c r="AA222" s="34">
        <f>SUMIFS('[1]GİP VERİLERİ'!$O:$O,'[1]GİP VERİLERİ'!$B:$B,A222,'[1]GİP VERİLERİ'!$M:$M,"40X000000104782K",'[1]GİP VERİLERİ'!$G:$G,"BUY")</f>
        <v/>
      </c>
      <c r="AB222" s="34">
        <f>'[1]GÖP VERİLERİ'!H223</f>
        <v/>
      </c>
      <c r="AC222" s="34" t="n">
        <v>0</v>
      </c>
      <c r="AD222" s="34">
        <f>IF(AB222&gt;AC222*1.05,AB222-AC222*1.05,IF(AB222&lt;AC222*0.95,AC222*0.95-AB222,0))</f>
        <v/>
      </c>
      <c r="AE222" s="34">
        <f>MAX(F222,G222,750)*0.05*AD222</f>
        <v/>
      </c>
      <c r="AF222" s="34" t="n">
        <v>0</v>
      </c>
      <c r="AG222" s="34">
        <f>IF(AB222&gt;AF222*1.05,AB222-AF222*1.05,IF(AB222&lt;AF222*0.95,AF222*0.95-AB222,0))</f>
        <v/>
      </c>
      <c r="AH222" s="34">
        <f>MAX(I222,J222,750)*0.05*AG222</f>
        <v/>
      </c>
      <c r="AI222">
        <f>'[1]GÖP VERİLERİ'!E223</f>
        <v/>
      </c>
      <c r="AJ222" t="n">
        <v>6</v>
      </c>
      <c r="AK222" s="34">
        <f>IF(AI222&gt;AJ222*1.05,AI222-AJ222*1.05,IF(AI222&lt;AJ222*0.95,AJ222*0.95-AI222,0))</f>
        <v/>
      </c>
      <c r="AL222" s="34">
        <f>MAX(F222,G222,750)*0.05*AK222</f>
        <v/>
      </c>
      <c r="AM222" s="39" t="n">
        <v>7</v>
      </c>
      <c r="AN222" s="34">
        <f>IF(AI222&gt;AM222*1.05,AI222-AM222*1.05,IF(AI222&lt;AM222*0.95,AM222*0.95-AI222,0))</f>
        <v/>
      </c>
      <c r="AO222" s="34">
        <f>MAX(F222,G222,750)*0.05*AN222</f>
        <v/>
      </c>
      <c r="AP222" s="34">
        <f>'[1]GÖP VERİLERİ'!B223</f>
        <v/>
      </c>
      <c r="AQ222" s="34" t="n">
        <v>9</v>
      </c>
      <c r="AR222" s="34">
        <f>IF(AP222&gt;AQ222*1.05,AP222-AQ222*1.05,IF(AP222&lt;AQ222*0.95,AQ222*0.95-AP222,0))</f>
        <v/>
      </c>
      <c r="AS222" s="34">
        <f>MAX(F222:G222,750)*0.05*AR222</f>
        <v/>
      </c>
      <c r="AT222" t="n">
        <v>11</v>
      </c>
      <c r="AU222" s="34">
        <f>IF(AP222&gt;AT222*1.05,AP222-AT222*1.05,IF(AP222&lt;AT222*0.95,AT222*0.95-AP222,0))</f>
        <v/>
      </c>
      <c r="AV222" s="34">
        <f>MAX(F222:G222,750)*0.05*AU222</f>
        <v/>
      </c>
      <c r="AW222" s="34">
        <f>AC222+AJ222+AQ222</f>
        <v/>
      </c>
      <c r="AX222" s="34">
        <f>AF222+AM222+AT222</f>
        <v/>
      </c>
      <c r="AY222" s="34">
        <f>AB222+AI222+AP222</f>
        <v/>
      </c>
      <c r="AZ222" s="34" t="n">
        <v>0</v>
      </c>
      <c r="BA222" s="34">
        <f>AD222+AK222+AR222</f>
        <v/>
      </c>
      <c r="BB222" s="34">
        <f>MAX(F222:G222,750)*0.05*BA222</f>
        <v/>
      </c>
      <c r="BC222" s="34">
        <f>AG222+AN222+AU222</f>
        <v/>
      </c>
      <c r="BD222" s="34">
        <f>MAX(F222:G222,750)*0.05*BC222</f>
        <v/>
      </c>
      <c r="BE222" s="34">
        <f>F222*AY222</f>
        <v/>
      </c>
      <c r="BF222" s="34">
        <f>K222-M222</f>
        <v/>
      </c>
      <c r="BG222" s="34">
        <f>P222-S222</f>
        <v/>
      </c>
      <c r="BH222" s="34">
        <f>W222-AA222</f>
        <v/>
      </c>
      <c r="BI222" s="34">
        <f>BF222+BG222+BL222-BN222</f>
        <v/>
      </c>
      <c r="BJ222" s="34">
        <f>ABS(BK222)</f>
        <v/>
      </c>
      <c r="BK222" s="34">
        <f>AY222-(J222-L222+N222-Q222)</f>
        <v/>
      </c>
      <c r="BL222" s="34">
        <f>IF(AND(BK222&gt;0,MIN($F222:$G222)&lt;150,$E222="Enerji Açığı"),-100*BK222*1.03,IF(AND(BK222&gt;0,MIN($F222:$G222)&lt;150,$E222="Enerji Fazlası"),-100*BK222*1.06,IF(AND(BK222&gt;0,MIN($F222:$G222)&gt;=150,$E222="Enerji Açığı"),BK222*MIN($F222:$G222)*0.97,IF(AND(BK222&gt;0,MIN($F222:$G222)&gt;=150,$E222="Enerji Fazlası"),BK222*MIN($F222:$G222)*0.94,IF(AND(BK222&lt;0,MAX($F222:$G222)=4500,$E222="Enerji Açığı"),4500*1.05*1.06*BK222,IF(AND(BK222&lt;0,MAX($F222:$G222)=4500,$E222="Enerji Fazlası"),4500*1.05*1.03*BK222,IF(AND(BK222&lt;0,$E222="Enerji Açığı"),MAX($F222,$G222,150)*BK222*1.06,IF(AND(BK222&lt;0,$E222="Enerji Fazlası"),MAX($F222,$G222,150)*BK222*1.03,IF(AND(BK222&lt;0,$E222="Dengede"),MAX($F222:$G222,150)*1.03*BK222,MIN($F222:$G222)*0.97*BK222)))))))))</f>
        <v/>
      </c>
      <c r="BM222" s="34">
        <f>BE222-BI222-BN222</f>
        <v/>
      </c>
      <c r="BN222" s="34">
        <f>BB222</f>
        <v/>
      </c>
      <c r="BO222" s="34">
        <f>BE222-BI222</f>
        <v/>
      </c>
      <c r="BP222" s="34">
        <f>IF(AY222=0,0,BO222/AY222)</f>
        <v/>
      </c>
      <c r="BQ222" s="34">
        <f>MAX((AY222+MAX((-J222+L222-N222+Q222),0)),(MAX((J222-L222+N222-Q222),0)))</f>
        <v/>
      </c>
      <c r="BR222" s="82">
        <f>IFERROR(ABS(BK222/BQ222),0)</f>
        <v/>
      </c>
      <c r="BS222" s="34">
        <f>IF(BR222&lt;=0.1,0,BK222/BR222*(BR222-0.1))</f>
        <v/>
      </c>
      <c r="BT222" s="34">
        <f>IF((BS222)&lt;0,MAX(F222:G222)*(BS222)*1.03,MIN(F222:G222)*(BS222)*0.97)</f>
        <v/>
      </c>
      <c r="BU222" s="34">
        <f>IF(BR222&gt;0.1,1,0)</f>
        <v/>
      </c>
      <c r="BV222" s="34">
        <f>BF222+BG222+BH222+BY222-CA222</f>
        <v/>
      </c>
      <c r="BW222" s="34">
        <f>ABS(BX222)</f>
        <v/>
      </c>
      <c r="BX222" s="34">
        <f>AY222-(J222-L222+N222-Q222+T222-X222)</f>
        <v/>
      </c>
      <c r="BY222" s="34">
        <f>IF(AND(BX222&gt;0,MIN($F222:$G222)&lt;150,$E222="Enerji Açığı"),-100*BX222*1.03,IF(AND(BX222&gt;0,MIN($F222:$G222)&lt;150,$E222="Enerji Fazlası"),-100*BX222*1.06,IF(AND(BX222&gt;0,MIN($F222:$G222)&gt;=150,$E222="Enerji Açığı"),BX222*MIN($F222:$G222)*0.97,IF(AND(BX222&gt;0,MIN($F222:$G222)&gt;=150,$E222="Enerji Fazlası"),BX222*MIN($F222:$G222)*0.94,IF(AND(BX222&lt;0,MAX($F222:$G222)=4500,$E222="Enerji Açığı"),4500*1.05*1.06*BX222,IF(AND(BX222&lt;0,MAX($F222:$G222)=4500,$E222="Enerji Fazlası"),4500*1.05*1.03*BX222,IF(AND(BX222&lt;0,$E222="Enerji Açığı"),MAX($F222,$G222,150)*BX222*1.06,IF(AND(BX222&lt;0,$E222="Enerji Fazlası"),MAX($F222,$G222,150)*BX222*1.03,IF(AND(BX222&lt;0,$E222="Dengede"),MAX($F222:$G222,150)*1.03*BX222,MIN($F222:$G222)*0.97*BX222)))))))))</f>
        <v/>
      </c>
      <c r="BZ222" s="34">
        <f>BE222-BV222-CA222</f>
        <v/>
      </c>
      <c r="CA222" s="34">
        <f>BD222</f>
        <v/>
      </c>
      <c r="CB222" s="33">
        <f>BE222-BV222</f>
        <v/>
      </c>
      <c r="CC222" s="34">
        <f>IF(AY222=0,0,CB222/AY222)</f>
        <v/>
      </c>
      <c r="CD222" s="34">
        <f>MAX((AY222+MAX((-J222+L222-N222+Q222-T222+X222),0)),(MAX((J222-L222+N222-Q222+T222-X222),0)))</f>
        <v/>
      </c>
      <c r="CE222" s="82">
        <f>IFERROR(ABS(BX222/CD222),0)</f>
        <v/>
      </c>
      <c r="CF222" s="34">
        <f>IF(CE222&lt;=0.1,0,BX222/CE222*(CE222-0.1))</f>
        <v/>
      </c>
      <c r="CG222" s="34">
        <f>IF((CF222)&lt;0,MAX(F222:G222)*(CF222)*1.03,MIN(F222:G222)*(CF222)*0.97)</f>
        <v/>
      </c>
      <c r="CH222" s="34">
        <f>IF(CE222&gt;0.1,1,0)</f>
        <v/>
      </c>
      <c r="CI222" s="34">
        <f>(F222*BX222)-BY222</f>
        <v/>
      </c>
      <c r="CJ222" s="34">
        <f>IF(AY222=0,0,CI222/AY222)</f>
        <v/>
      </c>
    </row>
    <row r="223">
      <c r="A223" s="29" t="n">
        <v>46213.16666666666</v>
      </c>
      <c r="B223" s="29" t="inlineStr">
        <is>
          <t>04:00</t>
        </is>
      </c>
      <c r="C223" s="35">
        <f>INT(A223)</f>
        <v/>
      </c>
      <c r="D223" s="36">
        <f>MONTH(A223)</f>
        <v/>
      </c>
      <c r="E223" s="147">
        <f>[1]FİYATLAR!G198</f>
        <v/>
      </c>
      <c r="F223" s="30" t="n">
        <v>4100.01</v>
      </c>
      <c r="G223" s="30" t="n">
        <v>2501</v>
      </c>
      <c r="H223" s="30" t="n">
        <v>87.66</v>
      </c>
      <c r="I223" s="30" t="n">
        <v>3485.41</v>
      </c>
      <c r="J223" s="119" t="n">
        <v>0</v>
      </c>
      <c r="K223" s="34">
        <f>F223*J223</f>
        <v/>
      </c>
      <c r="L223" s="119" t="n"/>
      <c r="M223" s="34">
        <f>L223*F223</f>
        <v/>
      </c>
      <c r="N223" s="119" t="n"/>
      <c r="O223" s="34">
        <f>F223</f>
        <v/>
      </c>
      <c r="P223" s="34">
        <f>N223*O223</f>
        <v/>
      </c>
      <c r="Q223" s="117" t="n">
        <v>0</v>
      </c>
      <c r="R223" s="34">
        <f>F223</f>
        <v/>
      </c>
      <c r="S223" s="34">
        <f>R223*Q223</f>
        <v/>
      </c>
      <c r="T223" s="34">
        <f>SUMIFS('[1]GİP VERİLERİ'!$C:$C,'[1]GİP VERİLERİ'!$B:$B,A223,'[1]GİP VERİLERİ'!$M:$M,"40X000000104782K",'[1]GİP VERİLERİ'!$G:$G,"SELL")</f>
        <v/>
      </c>
      <c r="U223" s="34">
        <f>IFERROR(W223/T223,0)</f>
        <v/>
      </c>
      <c r="V223" s="34">
        <f>IF(U223=0,0,U223-F223)</f>
        <v/>
      </c>
      <c r="W223" s="34">
        <f>SUMIFS('[1]GİP VERİLERİ'!$O:$O,'[1]GİP VERİLERİ'!$B:$B,A223,'[1]GİP VERİLERİ'!$M:$M,"40X000000104782K",'[1]GİP VERİLERİ'!$G:$G,"SELL")</f>
        <v/>
      </c>
      <c r="X223" s="34">
        <f>SUMIFS('[1]GİP VERİLERİ'!$C:$C,'[1]GİP VERİLERİ'!$B:$B,A223,'[1]GİP VERİLERİ'!$M:$M,"40X000000104782K",'[1]GİP VERİLERİ'!$G:$G,"BUY")</f>
        <v/>
      </c>
      <c r="Y223" s="34">
        <f>IFERROR(AA223/X223,0)</f>
        <v/>
      </c>
      <c r="Z223" s="34">
        <f>IF(Y223=0,0,F223-Y223)</f>
        <v/>
      </c>
      <c r="AA223" s="34">
        <f>SUMIFS('[1]GİP VERİLERİ'!$O:$O,'[1]GİP VERİLERİ'!$B:$B,A223,'[1]GİP VERİLERİ'!$M:$M,"40X000000104782K",'[1]GİP VERİLERİ'!$G:$G,"BUY")</f>
        <v/>
      </c>
      <c r="AB223" s="34">
        <f>'[1]GÖP VERİLERİ'!H224</f>
        <v/>
      </c>
      <c r="AC223" s="34" t="n">
        <v>0</v>
      </c>
      <c r="AD223" s="34">
        <f>IF(AB223&gt;AC223*1.05,AB223-AC223*1.05,IF(AB223&lt;AC223*0.95,AC223*0.95-AB223,0))</f>
        <v/>
      </c>
      <c r="AE223" s="34">
        <f>MAX(F223,G223,750)*0.05*AD223</f>
        <v/>
      </c>
      <c r="AF223" s="34" t="n">
        <v>0</v>
      </c>
      <c r="AG223" s="34">
        <f>IF(AB223&gt;AF223*1.05,AB223-AF223*1.05,IF(AB223&lt;AF223*0.95,AF223*0.95-AB223,0))</f>
        <v/>
      </c>
      <c r="AH223" s="34">
        <f>MAX(I223,J223,750)*0.05*AG223</f>
        <v/>
      </c>
      <c r="AI223">
        <f>'[1]GÖP VERİLERİ'!E224</f>
        <v/>
      </c>
      <c r="AJ223" t="n">
        <v>8</v>
      </c>
      <c r="AK223" s="34">
        <f>IF(AI223&gt;AJ223*1.05,AI223-AJ223*1.05,IF(AI223&lt;AJ223*0.95,AJ223*0.95-AI223,0))</f>
        <v/>
      </c>
      <c r="AL223" s="34">
        <f>MAX(F223,G223,750)*0.05*AK223</f>
        <v/>
      </c>
      <c r="AM223" s="39" t="n">
        <v>8</v>
      </c>
      <c r="AN223" s="34">
        <f>IF(AI223&gt;AM223*1.05,AI223-AM223*1.05,IF(AI223&lt;AM223*0.95,AM223*0.95-AI223,0))</f>
        <v/>
      </c>
      <c r="AO223" s="34">
        <f>MAX(F223,G223,750)*0.05*AN223</f>
        <v/>
      </c>
      <c r="AP223" s="34">
        <f>'[1]GÖP VERİLERİ'!B224</f>
        <v/>
      </c>
      <c r="AQ223" s="34" t="n">
        <v>11</v>
      </c>
      <c r="AR223" s="34">
        <f>IF(AP223&gt;AQ223*1.05,AP223-AQ223*1.05,IF(AP223&lt;AQ223*0.95,AQ223*0.95-AP223,0))</f>
        <v/>
      </c>
      <c r="AS223" s="34">
        <f>MAX(F223:G223,750)*0.05*AR223</f>
        <v/>
      </c>
      <c r="AT223" t="n">
        <v>11</v>
      </c>
      <c r="AU223" s="34">
        <f>IF(AP223&gt;AT223*1.05,AP223-AT223*1.05,IF(AP223&lt;AT223*0.95,AT223*0.95-AP223,0))</f>
        <v/>
      </c>
      <c r="AV223" s="34">
        <f>MAX(F223:G223,750)*0.05*AU223</f>
        <v/>
      </c>
      <c r="AW223" s="34">
        <f>AC223+AJ223+AQ223</f>
        <v/>
      </c>
      <c r="AX223" s="34">
        <f>AF223+AM223+AT223</f>
        <v/>
      </c>
      <c r="AY223" s="34">
        <f>AB223+AI223+AP223</f>
        <v/>
      </c>
      <c r="AZ223" s="34" t="n">
        <v>0</v>
      </c>
      <c r="BA223" s="34">
        <f>AD223+AK223+AR223</f>
        <v/>
      </c>
      <c r="BB223" s="34">
        <f>MAX(F223:G223,750)*0.05*BA223</f>
        <v/>
      </c>
      <c r="BC223" s="34">
        <f>AG223+AN223+AU223</f>
        <v/>
      </c>
      <c r="BD223" s="34">
        <f>MAX(F223:G223,750)*0.05*BC223</f>
        <v/>
      </c>
      <c r="BE223" s="34">
        <f>F223*AY223</f>
        <v/>
      </c>
      <c r="BF223" s="34">
        <f>K223-M223</f>
        <v/>
      </c>
      <c r="BG223" s="34">
        <f>P223-S223</f>
        <v/>
      </c>
      <c r="BH223" s="34">
        <f>W223-AA223</f>
        <v/>
      </c>
      <c r="BI223" s="34">
        <f>BF223+BG223+BL223-BN223</f>
        <v/>
      </c>
      <c r="BJ223" s="34">
        <f>ABS(BK223)</f>
        <v/>
      </c>
      <c r="BK223" s="34">
        <f>AY223-(J223-L223+N223-Q223)</f>
        <v/>
      </c>
      <c r="BL223" s="34">
        <f>IF(AND(BK223&gt;0,MIN($F223:$G223)&lt;150,$E223="Enerji Açığı"),-100*BK223*1.03,IF(AND(BK223&gt;0,MIN($F223:$G223)&lt;150,$E223="Enerji Fazlası"),-100*BK223*1.06,IF(AND(BK223&gt;0,MIN($F223:$G223)&gt;=150,$E223="Enerji Açığı"),BK223*MIN($F223:$G223)*0.97,IF(AND(BK223&gt;0,MIN($F223:$G223)&gt;=150,$E223="Enerji Fazlası"),BK223*MIN($F223:$G223)*0.94,IF(AND(BK223&lt;0,MAX($F223:$G223)=4500,$E223="Enerji Açığı"),4500*1.05*1.06*BK223,IF(AND(BK223&lt;0,MAX($F223:$G223)=4500,$E223="Enerji Fazlası"),4500*1.05*1.03*BK223,IF(AND(BK223&lt;0,$E223="Enerji Açığı"),MAX($F223,$G223,150)*BK223*1.06,IF(AND(BK223&lt;0,$E223="Enerji Fazlası"),MAX($F223,$G223,150)*BK223*1.03,IF(AND(BK223&lt;0,$E223="Dengede"),MAX($F223:$G223,150)*1.03*BK223,MIN($F223:$G223)*0.97*BK223)))))))))</f>
        <v/>
      </c>
      <c r="BM223" s="34">
        <f>BE223-BI223-BN223</f>
        <v/>
      </c>
      <c r="BN223" s="34">
        <f>BB223</f>
        <v/>
      </c>
      <c r="BO223" s="34">
        <f>BE223-BI223</f>
        <v/>
      </c>
      <c r="BP223" s="34">
        <f>IF(AY223=0,0,BO223/AY223)</f>
        <v/>
      </c>
      <c r="BQ223" s="34">
        <f>MAX((AY223+MAX((-J223+L223-N223+Q223),0)),(MAX((J223-L223+N223-Q223),0)))</f>
        <v/>
      </c>
      <c r="BR223" s="82">
        <f>IFERROR(ABS(BK223/BQ223),0)</f>
        <v/>
      </c>
      <c r="BS223" s="34">
        <f>IF(BR223&lt;=0.1,0,BK223/BR223*(BR223-0.1))</f>
        <v/>
      </c>
      <c r="BT223" s="34">
        <f>IF((BS223)&lt;0,MAX(F223:G223)*(BS223)*1.03,MIN(F223:G223)*(BS223)*0.97)</f>
        <v/>
      </c>
      <c r="BU223" s="34">
        <f>IF(BR223&gt;0.1,1,0)</f>
        <v/>
      </c>
      <c r="BV223" s="34">
        <f>BF223+BG223+BH223+BY223-CA223</f>
        <v/>
      </c>
      <c r="BW223" s="34">
        <f>ABS(BX223)</f>
        <v/>
      </c>
      <c r="BX223" s="34">
        <f>AY223-(J223-L223+N223-Q223+T223-X223)</f>
        <v/>
      </c>
      <c r="BY223" s="34">
        <f>IF(AND(BX223&gt;0,MIN($F223:$G223)&lt;150,$E223="Enerji Açığı"),-100*BX223*1.03,IF(AND(BX223&gt;0,MIN($F223:$G223)&lt;150,$E223="Enerji Fazlası"),-100*BX223*1.06,IF(AND(BX223&gt;0,MIN($F223:$G223)&gt;=150,$E223="Enerji Açığı"),BX223*MIN($F223:$G223)*0.97,IF(AND(BX223&gt;0,MIN($F223:$G223)&gt;=150,$E223="Enerji Fazlası"),BX223*MIN($F223:$G223)*0.94,IF(AND(BX223&lt;0,MAX($F223:$G223)=4500,$E223="Enerji Açığı"),4500*1.05*1.06*BX223,IF(AND(BX223&lt;0,MAX($F223:$G223)=4500,$E223="Enerji Fazlası"),4500*1.05*1.03*BX223,IF(AND(BX223&lt;0,$E223="Enerji Açığı"),MAX($F223,$G223,150)*BX223*1.06,IF(AND(BX223&lt;0,$E223="Enerji Fazlası"),MAX($F223,$G223,150)*BX223*1.03,IF(AND(BX223&lt;0,$E223="Dengede"),MAX($F223:$G223,150)*1.03*BX223,MIN($F223:$G223)*0.97*BX223)))))))))</f>
        <v/>
      </c>
      <c r="BZ223" s="34">
        <f>BE223-BV223-CA223</f>
        <v/>
      </c>
      <c r="CA223" s="34">
        <f>BD223</f>
        <v/>
      </c>
      <c r="CB223" s="33">
        <f>BE223-BV223</f>
        <v/>
      </c>
      <c r="CC223" s="34">
        <f>IF(AY223=0,0,CB223/AY223)</f>
        <v/>
      </c>
      <c r="CD223" s="34">
        <f>MAX((AY223+MAX((-J223+L223-N223+Q223-T223+X223),0)),(MAX((J223-L223+N223-Q223+T223-X223),0)))</f>
        <v/>
      </c>
      <c r="CE223" s="82">
        <f>IFERROR(ABS(BX223/CD223),0)</f>
        <v/>
      </c>
      <c r="CF223" s="34">
        <f>IF(CE223&lt;=0.1,0,BX223/CE223*(CE223-0.1))</f>
        <v/>
      </c>
      <c r="CG223" s="34">
        <f>IF((CF223)&lt;0,MAX(F223:G223)*(CF223)*1.03,MIN(F223:G223)*(CF223)*0.97)</f>
        <v/>
      </c>
      <c r="CH223" s="34">
        <f>IF(CE223&gt;0.1,1,0)</f>
        <v/>
      </c>
      <c r="CI223" s="34">
        <f>(F223*BX223)-BY223</f>
        <v/>
      </c>
      <c r="CJ223" s="34">
        <f>IF(AY223=0,0,CI223/AY223)</f>
        <v/>
      </c>
    </row>
    <row r="224">
      <c r="A224" s="29" t="n">
        <v>46213.20833333334</v>
      </c>
      <c r="B224" s="29" t="inlineStr">
        <is>
          <t>05:00</t>
        </is>
      </c>
      <c r="C224" s="35">
        <f>INT(A224)</f>
        <v/>
      </c>
      <c r="D224" s="36">
        <f>MONTH(A224)</f>
        <v/>
      </c>
      <c r="E224" s="147">
        <f>[1]FİYATLAR!G199</f>
        <v/>
      </c>
      <c r="F224" s="30" t="n">
        <v>3553.5</v>
      </c>
      <c r="G224" s="30" t="n">
        <v>3405</v>
      </c>
      <c r="H224" s="30" t="n">
        <v>75.98</v>
      </c>
      <c r="I224" s="30" t="n">
        <v>2697.62</v>
      </c>
      <c r="J224" s="119" t="n">
        <v>0</v>
      </c>
      <c r="K224" s="34">
        <f>F224*J224</f>
        <v/>
      </c>
      <c r="L224" s="119" t="n"/>
      <c r="M224" s="34">
        <f>L224*F224</f>
        <v/>
      </c>
      <c r="N224" s="119" t="n"/>
      <c r="O224" s="34">
        <f>F224</f>
        <v/>
      </c>
      <c r="P224" s="34">
        <f>N224*O224</f>
        <v/>
      </c>
      <c r="Q224" s="117" t="n">
        <v>0</v>
      </c>
      <c r="R224" s="34">
        <f>F224</f>
        <v/>
      </c>
      <c r="S224" s="34">
        <f>R224*Q224</f>
        <v/>
      </c>
      <c r="T224" s="34">
        <f>SUMIFS('[1]GİP VERİLERİ'!$C:$C,'[1]GİP VERİLERİ'!$B:$B,A224,'[1]GİP VERİLERİ'!$M:$M,"40X000000104782K",'[1]GİP VERİLERİ'!$G:$G,"SELL")</f>
        <v/>
      </c>
      <c r="U224" s="34">
        <f>IFERROR(W224/T224,0)</f>
        <v/>
      </c>
      <c r="V224" s="34">
        <f>IF(U224=0,0,U224-F224)</f>
        <v/>
      </c>
      <c r="W224" s="34">
        <f>SUMIFS('[1]GİP VERİLERİ'!$O:$O,'[1]GİP VERİLERİ'!$B:$B,A224,'[1]GİP VERİLERİ'!$M:$M,"40X000000104782K",'[1]GİP VERİLERİ'!$G:$G,"SELL")</f>
        <v/>
      </c>
      <c r="X224" s="34">
        <f>SUMIFS('[1]GİP VERİLERİ'!$C:$C,'[1]GİP VERİLERİ'!$B:$B,A224,'[1]GİP VERİLERİ'!$M:$M,"40X000000104782K",'[1]GİP VERİLERİ'!$G:$G,"BUY")</f>
        <v/>
      </c>
      <c r="Y224" s="34">
        <f>IFERROR(AA224/X224,0)</f>
        <v/>
      </c>
      <c r="Z224" s="34">
        <f>IF(Y224=0,0,F224-Y224)</f>
        <v/>
      </c>
      <c r="AA224" s="34">
        <f>SUMIFS('[1]GİP VERİLERİ'!$O:$O,'[1]GİP VERİLERİ'!$B:$B,A224,'[1]GİP VERİLERİ'!$M:$M,"40X000000104782K",'[1]GİP VERİLERİ'!$G:$G,"BUY")</f>
        <v/>
      </c>
      <c r="AB224" s="34">
        <f>'[1]GÖP VERİLERİ'!H225</f>
        <v/>
      </c>
      <c r="AC224" s="34" t="n">
        <v>0</v>
      </c>
      <c r="AD224" s="34">
        <f>IF(AB224&gt;AC224*1.05,AB224-AC224*1.05,IF(AB224&lt;AC224*0.95,AC224*0.95-AB224,0))</f>
        <v/>
      </c>
      <c r="AE224" s="34">
        <f>MAX(F224,G224,750)*0.05*AD224</f>
        <v/>
      </c>
      <c r="AF224" s="34" t="n">
        <v>0</v>
      </c>
      <c r="AG224" s="34">
        <f>IF(AB224&gt;AF224*1.05,AB224-AF224*1.05,IF(AB224&lt;AF224*0.95,AF224*0.95-AB224,0))</f>
        <v/>
      </c>
      <c r="AH224" s="34">
        <f>MAX(I224,J224,750)*0.05*AG224</f>
        <v/>
      </c>
      <c r="AI224">
        <f>'[1]GÖP VERİLERİ'!E225</f>
        <v/>
      </c>
      <c r="AJ224" t="n">
        <v>8</v>
      </c>
      <c r="AK224" s="34">
        <f>IF(AI224&gt;AJ224*1.05,AI224-AJ224*1.05,IF(AI224&lt;AJ224*0.95,AJ224*0.95-AI224,0))</f>
        <v/>
      </c>
      <c r="AL224" s="34">
        <f>MAX(F224,G224,750)*0.05*AK224</f>
        <v/>
      </c>
      <c r="AM224" s="39" t="n">
        <v>8</v>
      </c>
      <c r="AN224" s="34">
        <f>IF(AI224&gt;AM224*1.05,AI224-AM224*1.05,IF(AI224&lt;AM224*0.95,AM224*0.95-AI224,0))</f>
        <v/>
      </c>
      <c r="AO224" s="34">
        <f>MAX(F224,G224,750)*0.05*AN224</f>
        <v/>
      </c>
      <c r="AP224" s="34">
        <f>'[1]GÖP VERİLERİ'!B225</f>
        <v/>
      </c>
      <c r="AQ224" s="34" t="n">
        <v>11</v>
      </c>
      <c r="AR224" s="34">
        <f>IF(AP224&gt;AQ224*1.05,AP224-AQ224*1.05,IF(AP224&lt;AQ224*0.95,AQ224*0.95-AP224,0))</f>
        <v/>
      </c>
      <c r="AS224" s="34">
        <f>MAX(F224:G224,750)*0.05*AR224</f>
        <v/>
      </c>
      <c r="AT224" t="n">
        <v>12</v>
      </c>
      <c r="AU224" s="34">
        <f>IF(AP224&gt;AT224*1.05,AP224-AT224*1.05,IF(AP224&lt;AT224*0.95,AT224*0.95-AP224,0))</f>
        <v/>
      </c>
      <c r="AV224" s="34">
        <f>MAX(F224:G224,750)*0.05*AU224</f>
        <v/>
      </c>
      <c r="AW224" s="34">
        <f>AC224+AJ224+AQ224</f>
        <v/>
      </c>
      <c r="AX224" s="34">
        <f>AF224+AM224+AT224</f>
        <v/>
      </c>
      <c r="AY224" s="34">
        <f>AB224+AI224+AP224</f>
        <v/>
      </c>
      <c r="AZ224" s="34" t="n">
        <v>0</v>
      </c>
      <c r="BA224" s="34">
        <f>AD224+AK224+AR224</f>
        <v/>
      </c>
      <c r="BB224" s="34">
        <f>MAX(F224:G224,750)*0.05*BA224</f>
        <v/>
      </c>
      <c r="BC224" s="34">
        <f>AG224+AN224+AU224</f>
        <v/>
      </c>
      <c r="BD224" s="34">
        <f>MAX(F224:G224,750)*0.05*BC224</f>
        <v/>
      </c>
      <c r="BE224" s="34">
        <f>F224*AY224</f>
        <v/>
      </c>
      <c r="BF224" s="34">
        <f>K224-M224</f>
        <v/>
      </c>
      <c r="BG224" s="34">
        <f>P224-S224</f>
        <v/>
      </c>
      <c r="BH224" s="34">
        <f>W224-AA224</f>
        <v/>
      </c>
      <c r="BI224" s="34">
        <f>BF224+BG224+BL224-BN224</f>
        <v/>
      </c>
      <c r="BJ224" s="34">
        <f>ABS(BK224)</f>
        <v/>
      </c>
      <c r="BK224" s="34">
        <f>AY224-(J224-L224+N224-Q224)</f>
        <v/>
      </c>
      <c r="BL224" s="34">
        <f>IF(AND(BK224&gt;0,MIN($F224:$G224)&lt;150,$E224="Enerji Açığı"),-100*BK224*1.03,IF(AND(BK224&gt;0,MIN($F224:$G224)&lt;150,$E224="Enerji Fazlası"),-100*BK224*1.06,IF(AND(BK224&gt;0,MIN($F224:$G224)&gt;=150,$E224="Enerji Açığı"),BK224*MIN($F224:$G224)*0.97,IF(AND(BK224&gt;0,MIN($F224:$G224)&gt;=150,$E224="Enerji Fazlası"),BK224*MIN($F224:$G224)*0.94,IF(AND(BK224&lt;0,MAX($F224:$G224)=4500,$E224="Enerji Açığı"),4500*1.05*1.06*BK224,IF(AND(BK224&lt;0,MAX($F224:$G224)=4500,$E224="Enerji Fazlası"),4500*1.05*1.03*BK224,IF(AND(BK224&lt;0,$E224="Enerji Açığı"),MAX($F224,$G224,150)*BK224*1.06,IF(AND(BK224&lt;0,$E224="Enerji Fazlası"),MAX($F224,$G224,150)*BK224*1.03,IF(AND(BK224&lt;0,$E224="Dengede"),MAX($F224:$G224,150)*1.03*BK224,MIN($F224:$G224)*0.97*BK224)))))))))</f>
        <v/>
      </c>
      <c r="BM224" s="34">
        <f>BE224-BI224-BN224</f>
        <v/>
      </c>
      <c r="BN224" s="34">
        <f>BB224</f>
        <v/>
      </c>
      <c r="BO224" s="34">
        <f>BE224-BI224</f>
        <v/>
      </c>
      <c r="BP224" s="34">
        <f>IF(AY224=0,0,BO224/AY224)</f>
        <v/>
      </c>
      <c r="BQ224" s="34">
        <f>MAX((AY224+MAX((-J224+L224-N224+Q224),0)),(MAX((J224-L224+N224-Q224),0)))</f>
        <v/>
      </c>
      <c r="BR224" s="82">
        <f>IFERROR(ABS(BK224/BQ224),0)</f>
        <v/>
      </c>
      <c r="BS224" s="34">
        <f>IF(BR224&lt;=0.1,0,BK224/BR224*(BR224-0.1))</f>
        <v/>
      </c>
      <c r="BT224" s="34">
        <f>IF((BS224)&lt;0,MAX(F224:G224)*(BS224)*1.03,MIN(F224:G224)*(BS224)*0.97)</f>
        <v/>
      </c>
      <c r="BU224" s="34">
        <f>IF(BR224&gt;0.1,1,0)</f>
        <v/>
      </c>
      <c r="BV224" s="34">
        <f>BF224+BG224+BH224+BY224-CA224</f>
        <v/>
      </c>
      <c r="BW224" s="34">
        <f>ABS(BX224)</f>
        <v/>
      </c>
      <c r="BX224" s="34">
        <f>AY224-(J224-L224+N224-Q224+T224-X224)</f>
        <v/>
      </c>
      <c r="BY224" s="34">
        <f>IF(AND(BX224&gt;0,MIN($F224:$G224)&lt;150,$E224="Enerji Açığı"),-100*BX224*1.03,IF(AND(BX224&gt;0,MIN($F224:$G224)&lt;150,$E224="Enerji Fazlası"),-100*BX224*1.06,IF(AND(BX224&gt;0,MIN($F224:$G224)&gt;=150,$E224="Enerji Açığı"),BX224*MIN($F224:$G224)*0.97,IF(AND(BX224&gt;0,MIN($F224:$G224)&gt;=150,$E224="Enerji Fazlası"),BX224*MIN($F224:$G224)*0.94,IF(AND(BX224&lt;0,MAX($F224:$G224)=4500,$E224="Enerji Açığı"),4500*1.05*1.06*BX224,IF(AND(BX224&lt;0,MAX($F224:$G224)=4500,$E224="Enerji Fazlası"),4500*1.05*1.03*BX224,IF(AND(BX224&lt;0,$E224="Enerji Açığı"),MAX($F224,$G224,150)*BX224*1.06,IF(AND(BX224&lt;0,$E224="Enerji Fazlası"),MAX($F224,$G224,150)*BX224*1.03,IF(AND(BX224&lt;0,$E224="Dengede"),MAX($F224:$G224,150)*1.03*BX224,MIN($F224:$G224)*0.97*BX224)))))))))</f>
        <v/>
      </c>
      <c r="BZ224" s="34">
        <f>BE224-BV224-CA224</f>
        <v/>
      </c>
      <c r="CA224" s="34">
        <f>BD224</f>
        <v/>
      </c>
      <c r="CB224" s="33">
        <f>BE224-BV224</f>
        <v/>
      </c>
      <c r="CC224" s="34">
        <f>IF(AY224=0,0,CB224/AY224)</f>
        <v/>
      </c>
      <c r="CD224" s="34">
        <f>MAX((AY224+MAX((-J224+L224-N224+Q224-T224+X224),0)),(MAX((J224-L224+N224-Q224+T224-X224),0)))</f>
        <v/>
      </c>
      <c r="CE224" s="82">
        <f>IFERROR(ABS(BX224/CD224),0)</f>
        <v/>
      </c>
      <c r="CF224" s="34">
        <f>IF(CE224&lt;=0.1,0,BX224/CE224*(CE224-0.1))</f>
        <v/>
      </c>
      <c r="CG224" s="34">
        <f>IF((CF224)&lt;0,MAX(F224:G224)*(CF224)*1.03,MIN(F224:G224)*(CF224)*0.97)</f>
        <v/>
      </c>
      <c r="CH224" s="34">
        <f>IF(CE224&gt;0.1,1,0)</f>
        <v/>
      </c>
      <c r="CI224" s="34">
        <f>(F224*BX224)-BY224</f>
        <v/>
      </c>
      <c r="CJ224" s="34">
        <f>IF(AY224=0,0,CI224/AY224)</f>
        <v/>
      </c>
    </row>
    <row r="225">
      <c r="A225" s="29" t="n">
        <v>46213.25</v>
      </c>
      <c r="B225" s="29" t="inlineStr">
        <is>
          <t>06:00</t>
        </is>
      </c>
      <c r="C225" s="35">
        <f>INT(A225)</f>
        <v/>
      </c>
      <c r="D225" s="36">
        <f>MONTH(A225)</f>
        <v/>
      </c>
      <c r="E225" s="147">
        <f>[1]FİYATLAR!G200</f>
        <v/>
      </c>
      <c r="F225" s="30" t="n">
        <v>2895.45</v>
      </c>
      <c r="G225" s="30">
        <f>[1]FİYATLAR!E200</f>
        <v/>
      </c>
      <c r="H225" s="30" t="n">
        <v>61.91</v>
      </c>
      <c r="I225" s="30" t="n">
        <v>2572.26</v>
      </c>
      <c r="J225" s="119" t="n">
        <v>0</v>
      </c>
      <c r="K225" s="34">
        <f>F225*J225</f>
        <v/>
      </c>
      <c r="L225" s="119" t="n"/>
      <c r="M225" s="34">
        <f>L225*F225</f>
        <v/>
      </c>
      <c r="N225" s="119" t="n"/>
      <c r="O225" s="34">
        <f>F225</f>
        <v/>
      </c>
      <c r="P225" s="34">
        <f>N225*O225</f>
        <v/>
      </c>
      <c r="Q225" s="117" t="n">
        <v>0</v>
      </c>
      <c r="R225" s="34">
        <f>F225</f>
        <v/>
      </c>
      <c r="S225" s="34">
        <f>R225*Q225</f>
        <v/>
      </c>
      <c r="T225" s="34">
        <f>SUMIFS('[1]GİP VERİLERİ'!$C:$C,'[1]GİP VERİLERİ'!$B:$B,A225,'[1]GİP VERİLERİ'!$M:$M,"40X000000104782K",'[1]GİP VERİLERİ'!$G:$G,"SELL")</f>
        <v/>
      </c>
      <c r="U225" s="34">
        <f>IFERROR(W225/T225,0)</f>
        <v/>
      </c>
      <c r="V225" s="34">
        <f>IF(U225=0,0,U225-F225)</f>
        <v/>
      </c>
      <c r="W225" s="34">
        <f>SUMIFS('[1]GİP VERİLERİ'!$O:$O,'[1]GİP VERİLERİ'!$B:$B,A225,'[1]GİP VERİLERİ'!$M:$M,"40X000000104782K",'[1]GİP VERİLERİ'!$G:$G,"SELL")</f>
        <v/>
      </c>
      <c r="X225" s="34">
        <f>SUMIFS('[1]GİP VERİLERİ'!$C:$C,'[1]GİP VERİLERİ'!$B:$B,A225,'[1]GİP VERİLERİ'!$M:$M,"40X000000104782K",'[1]GİP VERİLERİ'!$G:$G,"BUY")</f>
        <v/>
      </c>
      <c r="Y225" s="34">
        <f>IFERROR(AA225/X225,0)</f>
        <v/>
      </c>
      <c r="Z225" s="34">
        <f>IF(Y225=0,0,F225-Y225)</f>
        <v/>
      </c>
      <c r="AA225" s="34">
        <f>SUMIFS('[1]GİP VERİLERİ'!$O:$O,'[1]GİP VERİLERİ'!$B:$B,A225,'[1]GİP VERİLERİ'!$M:$M,"40X000000104782K",'[1]GİP VERİLERİ'!$G:$G,"BUY")</f>
        <v/>
      </c>
      <c r="AB225" s="34">
        <f>'[1]GÖP VERİLERİ'!H226</f>
        <v/>
      </c>
      <c r="AC225" s="34" t="n">
        <v>0</v>
      </c>
      <c r="AD225" s="34">
        <f>IF(AB225&gt;AC225*1.05,AB225-AC225*1.05,IF(AB225&lt;AC225*0.95,AC225*0.95-AB225,0))</f>
        <v/>
      </c>
      <c r="AE225" s="34">
        <f>MAX(F225,G225,750)*0.05*AD225</f>
        <v/>
      </c>
      <c r="AF225" s="34" t="n">
        <v>0</v>
      </c>
      <c r="AG225" s="34">
        <f>IF(AB225&gt;AF225*1.05,AB225-AF225*1.05,IF(AB225&lt;AF225*0.95,AF225*0.95-AB225,0))</f>
        <v/>
      </c>
      <c r="AH225" s="34">
        <f>MAX(I225,J225,750)*0.05*AG225</f>
        <v/>
      </c>
      <c r="AI225">
        <f>'[1]GÖP VERİLERİ'!E226</f>
        <v/>
      </c>
      <c r="AJ225" t="n">
        <v>8</v>
      </c>
      <c r="AK225" s="34">
        <f>IF(AI225&gt;AJ225*1.05,AI225-AJ225*1.05,IF(AI225&lt;AJ225*0.95,AJ225*0.95-AI225,0))</f>
        <v/>
      </c>
      <c r="AL225" s="34">
        <f>MAX(F225,G225,750)*0.05*AK225</f>
        <v/>
      </c>
      <c r="AM225" s="39" t="n">
        <v>9</v>
      </c>
      <c r="AN225" s="34">
        <f>IF(AI225&gt;AM225*1.05,AI225-AM225*1.05,IF(AI225&lt;AM225*0.95,AM225*0.95-AI225,0))</f>
        <v/>
      </c>
      <c r="AO225" s="34">
        <f>MAX(F225,G225,750)*0.05*AN225</f>
        <v/>
      </c>
      <c r="AP225" s="34">
        <f>'[1]GÖP VERİLERİ'!B226</f>
        <v/>
      </c>
      <c r="AQ225" s="34" t="n">
        <v>11</v>
      </c>
      <c r="AR225" s="34">
        <f>IF(AP225&gt;AQ225*1.05,AP225-AQ225*1.05,IF(AP225&lt;AQ225*0.95,AQ225*0.95-AP225,0))</f>
        <v/>
      </c>
      <c r="AS225" s="34">
        <f>MAX(F225:G225,750)*0.05*AR225</f>
        <v/>
      </c>
      <c r="AT225" t="n">
        <v>12</v>
      </c>
      <c r="AU225" s="34">
        <f>IF(AP225&gt;AT225*1.05,AP225-AT225*1.05,IF(AP225&lt;AT225*0.95,AT225*0.95-AP225,0))</f>
        <v/>
      </c>
      <c r="AV225" s="34">
        <f>MAX(F225:G225,750)*0.05*AU225</f>
        <v/>
      </c>
      <c r="AW225" s="34">
        <f>AC225+AJ225+AQ225</f>
        <v/>
      </c>
      <c r="AX225" s="34">
        <f>AF225+AM225+AT225</f>
        <v/>
      </c>
      <c r="AY225" s="34">
        <f>AB225+AI225+AP225</f>
        <v/>
      </c>
      <c r="AZ225" s="34" t="n">
        <v>0</v>
      </c>
      <c r="BA225" s="34">
        <f>AD225+AK225+AR225</f>
        <v/>
      </c>
      <c r="BB225" s="34">
        <f>MAX(F225:G225,750)*0.05*BA225</f>
        <v/>
      </c>
      <c r="BC225" s="34">
        <f>AG225+AN225+AU225</f>
        <v/>
      </c>
      <c r="BD225" s="34">
        <f>MAX(F225:G225,750)*0.05*BC225</f>
        <v/>
      </c>
      <c r="BE225" s="34">
        <f>F225*AY225</f>
        <v/>
      </c>
      <c r="BF225" s="34">
        <f>K225-M225</f>
        <v/>
      </c>
      <c r="BG225" s="34">
        <f>P225-S225</f>
        <v/>
      </c>
      <c r="BH225" s="34">
        <f>W225-AA225</f>
        <v/>
      </c>
      <c r="BI225" s="34">
        <f>BF225+BG225+BL225-BN225</f>
        <v/>
      </c>
      <c r="BJ225" s="34">
        <f>ABS(BK225)</f>
        <v/>
      </c>
      <c r="BK225" s="34">
        <f>AY225-(J225-L225+N225-Q225)</f>
        <v/>
      </c>
      <c r="BL225" s="34">
        <f>IF(AND(BK225&gt;0,MIN($F225:$G225)&lt;150,$E225="Enerji Açığı"),-100*BK225*1.03,IF(AND(BK225&gt;0,MIN($F225:$G225)&lt;150,$E225="Enerji Fazlası"),-100*BK225*1.06,IF(AND(BK225&gt;0,MIN($F225:$G225)&gt;=150,$E225="Enerji Açığı"),BK225*MIN($F225:$G225)*0.97,IF(AND(BK225&gt;0,MIN($F225:$G225)&gt;=150,$E225="Enerji Fazlası"),BK225*MIN($F225:$G225)*0.94,IF(AND(BK225&lt;0,MAX($F225:$G225)=4500,$E225="Enerji Açığı"),4500*1.05*1.06*BK225,IF(AND(BK225&lt;0,MAX($F225:$G225)=4500,$E225="Enerji Fazlası"),4500*1.05*1.03*BK225,IF(AND(BK225&lt;0,$E225="Enerji Açığı"),MAX($F225,$G225,150)*BK225*1.06,IF(AND(BK225&lt;0,$E225="Enerji Fazlası"),MAX($F225,$G225,150)*BK225*1.03,IF(AND(BK225&lt;0,$E225="Dengede"),MAX($F225:$G225,150)*1.03*BK225,MIN($F225:$G225)*0.97*BK225)))))))))</f>
        <v/>
      </c>
      <c r="BM225" s="34">
        <f>BE225-BI225-BN225</f>
        <v/>
      </c>
      <c r="BN225" s="34">
        <f>BB225</f>
        <v/>
      </c>
      <c r="BO225" s="34">
        <f>BE225-BI225</f>
        <v/>
      </c>
      <c r="BP225" s="34">
        <f>IF(AY225=0,0,BO225/AY225)</f>
        <v/>
      </c>
      <c r="BQ225" s="34">
        <f>MAX((AY225+MAX((-J225+L225-N225+Q225),0)),(MAX((J225-L225+N225-Q225),0)))</f>
        <v/>
      </c>
      <c r="BR225" s="82">
        <f>IFERROR(ABS(BK225/BQ225),0)</f>
        <v/>
      </c>
      <c r="BS225" s="34">
        <f>IF(BR225&lt;=0.1,0,BK225/BR225*(BR225-0.1))</f>
        <v/>
      </c>
      <c r="BT225" s="34">
        <f>IF((BS225)&lt;0,MAX(F225:G225)*(BS225)*1.03,MIN(F225:G225)*(BS225)*0.97)</f>
        <v/>
      </c>
      <c r="BU225" s="34">
        <f>IF(BR225&gt;0.1,1,0)</f>
        <v/>
      </c>
      <c r="BV225" s="34">
        <f>BF225+BG225+BH225+BY225-CA225</f>
        <v/>
      </c>
      <c r="BW225" s="34">
        <f>ABS(BX225)</f>
        <v/>
      </c>
      <c r="BX225" s="34">
        <f>AY225-(J225-L225+N225-Q225+T225-X225)</f>
        <v/>
      </c>
      <c r="BY225" s="34">
        <f>IF(AND(BX225&gt;0,MIN($F225:$G225)&lt;150,$E225="Enerji Açığı"),-100*BX225*1.03,IF(AND(BX225&gt;0,MIN($F225:$G225)&lt;150,$E225="Enerji Fazlası"),-100*BX225*1.06,IF(AND(BX225&gt;0,MIN($F225:$G225)&gt;=150,$E225="Enerji Açığı"),BX225*MIN($F225:$G225)*0.97,IF(AND(BX225&gt;0,MIN($F225:$G225)&gt;=150,$E225="Enerji Fazlası"),BX225*MIN($F225:$G225)*0.94,IF(AND(BX225&lt;0,MAX($F225:$G225)=4500,$E225="Enerji Açığı"),4500*1.05*1.06*BX225,IF(AND(BX225&lt;0,MAX($F225:$G225)=4500,$E225="Enerji Fazlası"),4500*1.05*1.03*BX225,IF(AND(BX225&lt;0,$E225="Enerji Açığı"),MAX($F225,$G225,150)*BX225*1.06,IF(AND(BX225&lt;0,$E225="Enerji Fazlası"),MAX($F225,$G225,150)*BX225*1.03,IF(AND(BX225&lt;0,$E225="Dengede"),MAX($F225:$G225,150)*1.03*BX225,MIN($F225:$G225)*0.97*BX225)))))))))</f>
        <v/>
      </c>
      <c r="BZ225" s="34">
        <f>BE225-BV225-CA225</f>
        <v/>
      </c>
      <c r="CA225" s="34">
        <f>BD225</f>
        <v/>
      </c>
      <c r="CB225" s="33">
        <f>BE225-BV225</f>
        <v/>
      </c>
      <c r="CC225" s="34">
        <f>IF(AY225=0,0,CB225/AY225)</f>
        <v/>
      </c>
      <c r="CD225" s="34">
        <f>MAX((AY225+MAX((-J225+L225-N225+Q225-T225+X225),0)),(MAX((J225-L225+N225-Q225+T225-X225),0)))</f>
        <v/>
      </c>
      <c r="CE225" s="82">
        <f>IFERROR(ABS(BX225/CD225),0)</f>
        <v/>
      </c>
      <c r="CF225" s="34">
        <f>IF(CE225&lt;=0.1,0,BX225/CE225*(CE225-0.1))</f>
        <v/>
      </c>
      <c r="CG225" s="34">
        <f>IF((CF225)&lt;0,MAX(F225:G225)*(CF225)*1.03,MIN(F225:G225)*(CF225)*0.97)</f>
        <v/>
      </c>
      <c r="CH225" s="34">
        <f>IF(CE225&gt;0.1,1,0)</f>
        <v/>
      </c>
      <c r="CI225" s="34">
        <f>(F225*BX225)-BY225</f>
        <v/>
      </c>
      <c r="CJ225" s="34">
        <f>IF(AY225=0,0,CI225/AY225)</f>
        <v/>
      </c>
    </row>
    <row r="226">
      <c r="A226" s="29" t="n">
        <v>46213.29166666666</v>
      </c>
      <c r="B226" s="29" t="inlineStr">
        <is>
          <t>07:00</t>
        </is>
      </c>
      <c r="C226" s="35">
        <f>INT(A226)</f>
        <v/>
      </c>
      <c r="D226" s="36">
        <f>MONTH(A226)</f>
        <v/>
      </c>
      <c r="E226" s="147">
        <f>[1]FİYATLAR!G201</f>
        <v/>
      </c>
      <c r="F226" s="30" t="n">
        <v>2050.01</v>
      </c>
      <c r="G226" s="30">
        <f>[1]FİYATLAR!E201</f>
        <v/>
      </c>
      <c r="H226" s="30" t="n">
        <v>43.83</v>
      </c>
      <c r="I226" s="30" t="n">
        <v>1512.72</v>
      </c>
      <c r="J226" s="119" t="n">
        <v>0</v>
      </c>
      <c r="K226" s="34">
        <f>F226*J226</f>
        <v/>
      </c>
      <c r="L226" s="119" t="n"/>
      <c r="M226" s="34">
        <f>L226*F226</f>
        <v/>
      </c>
      <c r="N226" s="119" t="n"/>
      <c r="O226" s="34">
        <f>F226</f>
        <v/>
      </c>
      <c r="P226" s="34">
        <f>N226*O226</f>
        <v/>
      </c>
      <c r="Q226" s="117" t="n">
        <v>0</v>
      </c>
      <c r="R226" s="34">
        <f>F226</f>
        <v/>
      </c>
      <c r="S226" s="34">
        <f>R226*Q226</f>
        <v/>
      </c>
      <c r="T226" s="34">
        <f>SUMIFS('[1]GİP VERİLERİ'!$C:$C,'[1]GİP VERİLERİ'!$B:$B,A226,'[1]GİP VERİLERİ'!$M:$M,"40X000000104782K",'[1]GİP VERİLERİ'!$G:$G,"SELL")</f>
        <v/>
      </c>
      <c r="U226" s="34">
        <f>IFERROR(W226/T226,0)</f>
        <v/>
      </c>
      <c r="V226" s="34">
        <f>IF(U226=0,0,U226-F226)</f>
        <v/>
      </c>
      <c r="W226" s="34">
        <f>SUMIFS('[1]GİP VERİLERİ'!$O:$O,'[1]GİP VERİLERİ'!$B:$B,A226,'[1]GİP VERİLERİ'!$M:$M,"40X000000104782K",'[1]GİP VERİLERİ'!$G:$G,"SELL")</f>
        <v/>
      </c>
      <c r="X226" s="34">
        <f>SUMIFS('[1]GİP VERİLERİ'!$C:$C,'[1]GİP VERİLERİ'!$B:$B,A226,'[1]GİP VERİLERİ'!$M:$M,"40X000000104782K",'[1]GİP VERİLERİ'!$G:$G,"BUY")</f>
        <v/>
      </c>
      <c r="Y226" s="34">
        <f>IFERROR(AA226/X226,0)</f>
        <v/>
      </c>
      <c r="Z226" s="34">
        <f>IF(Y226=0,0,F226-Y226)</f>
        <v/>
      </c>
      <c r="AA226" s="34">
        <f>SUMIFS('[1]GİP VERİLERİ'!$O:$O,'[1]GİP VERİLERİ'!$B:$B,A226,'[1]GİP VERİLERİ'!$M:$M,"40X000000104782K",'[1]GİP VERİLERİ'!$G:$G,"BUY")</f>
        <v/>
      </c>
      <c r="AB226" s="34">
        <f>'[1]GÖP VERİLERİ'!H227</f>
        <v/>
      </c>
      <c r="AC226" s="34" t="n">
        <v>0</v>
      </c>
      <c r="AD226" s="34">
        <f>IF(AB226&gt;AC226*1.05,AB226-AC226*1.05,IF(AB226&lt;AC226*0.95,AC226*0.95-AB226,0))</f>
        <v/>
      </c>
      <c r="AE226" s="34">
        <f>MAX(F226,G226,750)*0.05*AD226</f>
        <v/>
      </c>
      <c r="AF226" s="34" t="n">
        <v>0</v>
      </c>
      <c r="AG226" s="34">
        <f>IF(AB226&gt;AF226*1.05,AB226-AF226*1.05,IF(AB226&lt;AF226*0.95,AF226*0.95-AB226,0))</f>
        <v/>
      </c>
      <c r="AH226" s="34">
        <f>MAX(I226,J226,750)*0.05*AG226</f>
        <v/>
      </c>
      <c r="AI226">
        <f>'[1]GÖP VERİLERİ'!E227</f>
        <v/>
      </c>
      <c r="AJ226" t="n">
        <v>8</v>
      </c>
      <c r="AK226" s="34">
        <f>IF(AI226&gt;AJ226*1.05,AI226-AJ226*1.05,IF(AI226&lt;AJ226*0.95,AJ226*0.95-AI226,0))</f>
        <v/>
      </c>
      <c r="AL226" s="34">
        <f>MAX(F226,G226,750)*0.05*AK226</f>
        <v/>
      </c>
      <c r="AM226" s="39" t="n">
        <v>8</v>
      </c>
      <c r="AN226" s="34">
        <f>IF(AI226&gt;AM226*1.05,AI226-AM226*1.05,IF(AI226&lt;AM226*0.95,AM226*0.95-AI226,0))</f>
        <v/>
      </c>
      <c r="AO226" s="34">
        <f>MAX(F226,G226,750)*0.05*AN226</f>
        <v/>
      </c>
      <c r="AP226" s="34">
        <f>'[1]GÖP VERİLERİ'!B227</f>
        <v/>
      </c>
      <c r="AQ226" s="34" t="n">
        <v>11</v>
      </c>
      <c r="AR226" s="34">
        <f>IF(AP226&gt;AQ226*1.05,AP226-AQ226*1.05,IF(AP226&lt;AQ226*0.95,AQ226*0.95-AP226,0))</f>
        <v/>
      </c>
      <c r="AS226" s="34">
        <f>MAX(F226:G226,750)*0.05*AR226</f>
        <v/>
      </c>
      <c r="AT226" t="n">
        <v>12</v>
      </c>
      <c r="AU226" s="34">
        <f>IF(AP226&gt;AT226*1.05,AP226-AT226*1.05,IF(AP226&lt;AT226*0.95,AT226*0.95-AP226,0))</f>
        <v/>
      </c>
      <c r="AV226" s="34">
        <f>MAX(F226:G226,750)*0.05*AU226</f>
        <v/>
      </c>
      <c r="AW226" s="34">
        <f>AC226+AJ226+AQ226</f>
        <v/>
      </c>
      <c r="AX226" s="34">
        <f>AF226+AM226+AT226</f>
        <v/>
      </c>
      <c r="AY226" s="34">
        <f>AB226+AI226+AP226</f>
        <v/>
      </c>
      <c r="AZ226" s="34" t="n">
        <v>0</v>
      </c>
      <c r="BA226" s="34">
        <f>AD226+AK226+AR226</f>
        <v/>
      </c>
      <c r="BB226" s="34">
        <f>MAX(F226:G226,750)*0.05*BA226</f>
        <v/>
      </c>
      <c r="BC226" s="34">
        <f>AG226+AN226+AU226</f>
        <v/>
      </c>
      <c r="BD226" s="34">
        <f>MAX(F226:G226,750)*0.05*BC226</f>
        <v/>
      </c>
      <c r="BE226" s="34">
        <f>F226*AY226</f>
        <v/>
      </c>
      <c r="BF226" s="34">
        <f>K226-M226</f>
        <v/>
      </c>
      <c r="BG226" s="34">
        <f>P226-S226</f>
        <v/>
      </c>
      <c r="BH226" s="34">
        <f>W226-AA226</f>
        <v/>
      </c>
      <c r="BI226" s="34">
        <f>BF226+BG226+BL226-BN226</f>
        <v/>
      </c>
      <c r="BJ226" s="34">
        <f>ABS(BK226)</f>
        <v/>
      </c>
      <c r="BK226" s="34">
        <f>AY226-(J226-L226+N226-Q226)</f>
        <v/>
      </c>
      <c r="BL226" s="34">
        <f>IF(AND(BK226&gt;0,MIN($F226:$G226)&lt;150,$E226="Enerji Açığı"),-100*BK226*1.03,IF(AND(BK226&gt;0,MIN($F226:$G226)&lt;150,$E226="Enerji Fazlası"),-100*BK226*1.06,IF(AND(BK226&gt;0,MIN($F226:$G226)&gt;=150,$E226="Enerji Açığı"),BK226*MIN($F226:$G226)*0.97,IF(AND(BK226&gt;0,MIN($F226:$G226)&gt;=150,$E226="Enerji Fazlası"),BK226*MIN($F226:$G226)*0.94,IF(AND(BK226&lt;0,MAX($F226:$G226)=4500,$E226="Enerji Açığı"),4500*1.05*1.06*BK226,IF(AND(BK226&lt;0,MAX($F226:$G226)=4500,$E226="Enerji Fazlası"),4500*1.05*1.03*BK226,IF(AND(BK226&lt;0,$E226="Enerji Açığı"),MAX($F226,$G226,150)*BK226*1.06,IF(AND(BK226&lt;0,$E226="Enerji Fazlası"),MAX($F226,$G226,150)*BK226*1.03,IF(AND(BK226&lt;0,$E226="Dengede"),MAX($F226:$G226,150)*1.03*BK226,MIN($F226:$G226)*0.97*BK226)))))))))</f>
        <v/>
      </c>
      <c r="BM226" s="34">
        <f>BE226-BI226-BN226</f>
        <v/>
      </c>
      <c r="BN226" s="34">
        <f>BB226</f>
        <v/>
      </c>
      <c r="BO226" s="34">
        <f>BE226-BI226</f>
        <v/>
      </c>
      <c r="BP226" s="34">
        <f>IF(AY226=0,0,BO226/AY226)</f>
        <v/>
      </c>
      <c r="BQ226" s="34">
        <f>MAX((AY226+MAX((-J226+L226-N226+Q226),0)),(MAX((J226-L226+N226-Q226),0)))</f>
        <v/>
      </c>
      <c r="BR226" s="82">
        <f>IFERROR(ABS(BK226/BQ226),0)</f>
        <v/>
      </c>
      <c r="BS226" s="34">
        <f>IF(BR226&lt;=0.1,0,BK226/BR226*(BR226-0.1))</f>
        <v/>
      </c>
      <c r="BT226" s="34">
        <f>IF((BS226)&lt;0,MAX(F226:G226)*(BS226)*1.03,MIN(F226:G226)*(BS226)*0.97)</f>
        <v/>
      </c>
      <c r="BU226" s="34">
        <f>IF(BR226&gt;0.1,1,0)</f>
        <v/>
      </c>
      <c r="BV226" s="34">
        <f>BF226+BG226+BH226+BY226-CA226</f>
        <v/>
      </c>
      <c r="BW226" s="34">
        <f>ABS(BX226)</f>
        <v/>
      </c>
      <c r="BX226" s="34">
        <f>AY226-(J226-L226+N226-Q226+T226-X226)</f>
        <v/>
      </c>
      <c r="BY226" s="34">
        <f>IF(AND(BX226&gt;0,MIN($F226:$G226)&lt;150,$E226="Enerji Açığı"),-100*BX226*1.03,IF(AND(BX226&gt;0,MIN($F226:$G226)&lt;150,$E226="Enerji Fazlası"),-100*BX226*1.06,IF(AND(BX226&gt;0,MIN($F226:$G226)&gt;=150,$E226="Enerji Açığı"),BX226*MIN($F226:$G226)*0.97,IF(AND(BX226&gt;0,MIN($F226:$G226)&gt;=150,$E226="Enerji Fazlası"),BX226*MIN($F226:$G226)*0.94,IF(AND(BX226&lt;0,MAX($F226:$G226)=4500,$E226="Enerji Açığı"),4500*1.05*1.06*BX226,IF(AND(BX226&lt;0,MAX($F226:$G226)=4500,$E226="Enerji Fazlası"),4500*1.05*1.03*BX226,IF(AND(BX226&lt;0,$E226="Enerji Açığı"),MAX($F226,$G226,150)*BX226*1.06,IF(AND(BX226&lt;0,$E226="Enerji Fazlası"),MAX($F226,$G226,150)*BX226*1.03,IF(AND(BX226&lt;0,$E226="Dengede"),MAX($F226:$G226,150)*1.03*BX226,MIN($F226:$G226)*0.97*BX226)))))))))</f>
        <v/>
      </c>
      <c r="BZ226" s="34">
        <f>BE226-BV226-CA226</f>
        <v/>
      </c>
      <c r="CA226" s="34">
        <f>BD226</f>
        <v/>
      </c>
      <c r="CB226" s="33">
        <f>BE226-BV226</f>
        <v/>
      </c>
      <c r="CC226" s="34">
        <f>IF(AY226=0,0,CB226/AY226)</f>
        <v/>
      </c>
      <c r="CD226" s="34">
        <f>MAX((AY226+MAX((-J226+L226-N226+Q226-T226+X226),0)),(MAX((J226-L226+N226-Q226+T226-X226),0)))</f>
        <v/>
      </c>
      <c r="CE226" s="82">
        <f>IFERROR(ABS(BX226/CD226),0)</f>
        <v/>
      </c>
      <c r="CF226" s="34">
        <f>IF(CE226&lt;=0.1,0,BX226/CE226*(CE226-0.1))</f>
        <v/>
      </c>
      <c r="CG226" s="34">
        <f>IF((CF226)&lt;0,MAX(F226:G226)*(CF226)*1.03,MIN(F226:G226)*(CF226)*0.97)</f>
        <v/>
      </c>
      <c r="CH226" s="34">
        <f>IF(CE226&gt;0.1,1,0)</f>
        <v/>
      </c>
      <c r="CI226" s="34">
        <f>(F226*BX226)-BY226</f>
        <v/>
      </c>
      <c r="CJ226" s="34">
        <f>IF(AY226=0,0,CI226/AY226)</f>
        <v/>
      </c>
    </row>
    <row r="227">
      <c r="A227" s="29" t="n">
        <v>46213.33333333334</v>
      </c>
      <c r="B227" s="29" t="inlineStr">
        <is>
          <t>08:00</t>
        </is>
      </c>
      <c r="C227" s="35">
        <f>INT(A227)</f>
        <v/>
      </c>
      <c r="D227" s="36">
        <f>MONTH(A227)</f>
        <v/>
      </c>
      <c r="E227" s="147">
        <f>[1]FİYATLAR!G202</f>
        <v/>
      </c>
      <c r="F227" s="30" t="n">
        <v>3932.88</v>
      </c>
      <c r="G227" s="30">
        <f>[1]FİYATLAR!E202</f>
        <v/>
      </c>
      <c r="H227" s="30" t="n">
        <v>84.09</v>
      </c>
      <c r="I227" s="30" t="n">
        <v>3795.66</v>
      </c>
      <c r="J227" s="119" t="n">
        <v>0</v>
      </c>
      <c r="K227" s="34">
        <f>F227*J227</f>
        <v/>
      </c>
      <c r="L227" s="119" t="n"/>
      <c r="M227" s="34">
        <f>L227*F227</f>
        <v/>
      </c>
      <c r="N227" s="119" t="n"/>
      <c r="O227" s="34">
        <f>F227</f>
        <v/>
      </c>
      <c r="P227" s="34">
        <f>N227*O227</f>
        <v/>
      </c>
      <c r="Q227" s="117" t="n">
        <v>0</v>
      </c>
      <c r="R227" s="34">
        <f>F227</f>
        <v/>
      </c>
      <c r="S227" s="34">
        <f>R227*Q227</f>
        <v/>
      </c>
      <c r="T227" s="34">
        <f>SUMIFS('[1]GİP VERİLERİ'!$C:$C,'[1]GİP VERİLERİ'!$B:$B,A227,'[1]GİP VERİLERİ'!$M:$M,"40X000000104782K",'[1]GİP VERİLERİ'!$G:$G,"SELL")</f>
        <v/>
      </c>
      <c r="U227" s="34">
        <f>IFERROR(W227/T227,0)</f>
        <v/>
      </c>
      <c r="V227" s="34">
        <f>IF(U227=0,0,U227-F227)</f>
        <v/>
      </c>
      <c r="W227" s="34">
        <f>SUMIFS('[1]GİP VERİLERİ'!$O:$O,'[1]GİP VERİLERİ'!$B:$B,A227,'[1]GİP VERİLERİ'!$M:$M,"40X000000104782K",'[1]GİP VERİLERİ'!$G:$G,"SELL")</f>
        <v/>
      </c>
      <c r="X227" s="34">
        <f>SUMIFS('[1]GİP VERİLERİ'!$C:$C,'[1]GİP VERİLERİ'!$B:$B,A227,'[1]GİP VERİLERİ'!$M:$M,"40X000000104782K",'[1]GİP VERİLERİ'!$G:$G,"BUY")</f>
        <v/>
      </c>
      <c r="Y227" s="34">
        <f>IFERROR(AA227/X227,0)</f>
        <v/>
      </c>
      <c r="Z227" s="34">
        <f>IF(Y227=0,0,F227-Y227)</f>
        <v/>
      </c>
      <c r="AA227" s="34">
        <f>SUMIFS('[1]GİP VERİLERİ'!$O:$O,'[1]GİP VERİLERİ'!$B:$B,A227,'[1]GİP VERİLERİ'!$M:$M,"40X000000104782K",'[1]GİP VERİLERİ'!$G:$G,"BUY")</f>
        <v/>
      </c>
      <c r="AB227" s="34">
        <f>'[1]GÖP VERİLERİ'!H228</f>
        <v/>
      </c>
      <c r="AC227" s="34" t="n">
        <v>0</v>
      </c>
      <c r="AD227" s="34">
        <f>IF(AB227&gt;AC227*1.05,AB227-AC227*1.05,IF(AB227&lt;AC227*0.95,AC227*0.95-AB227,0))</f>
        <v/>
      </c>
      <c r="AE227" s="34">
        <f>MAX(F227,G227,750)*0.05*AD227</f>
        <v/>
      </c>
      <c r="AF227" s="34" t="n">
        <v>0</v>
      </c>
      <c r="AG227" s="34">
        <f>IF(AB227&gt;AF227*1.05,AB227-AF227*1.05,IF(AB227&lt;AF227*0.95,AF227*0.95-AB227,0))</f>
        <v/>
      </c>
      <c r="AH227" s="34">
        <f>MAX(I227,J227,750)*0.05*AG227</f>
        <v/>
      </c>
      <c r="AI227">
        <f>'[1]GÖP VERİLERİ'!E228</f>
        <v/>
      </c>
      <c r="AJ227" t="n">
        <v>8</v>
      </c>
      <c r="AK227" s="34">
        <f>IF(AI227&gt;AJ227*1.05,AI227-AJ227*1.05,IF(AI227&lt;AJ227*0.95,AJ227*0.95-AI227,0))</f>
        <v/>
      </c>
      <c r="AL227" s="34">
        <f>MAX(F227,G227,750)*0.05*AK227</f>
        <v/>
      </c>
      <c r="AM227" s="39" t="n">
        <v>9</v>
      </c>
      <c r="AN227" s="34">
        <f>IF(AI227&gt;AM227*1.05,AI227-AM227*1.05,IF(AI227&lt;AM227*0.95,AM227*0.95-AI227,0))</f>
        <v/>
      </c>
      <c r="AO227" s="34">
        <f>MAX(F227,G227,750)*0.05*AN227</f>
        <v/>
      </c>
      <c r="AP227" s="34">
        <f>'[1]GÖP VERİLERİ'!B228</f>
        <v/>
      </c>
      <c r="AQ227" s="34" t="n">
        <v>11</v>
      </c>
      <c r="AR227" s="34">
        <f>IF(AP227&gt;AQ227*1.05,AP227-AQ227*1.05,IF(AP227&lt;AQ227*0.95,AQ227*0.95-AP227,0))</f>
        <v/>
      </c>
      <c r="AS227" s="34">
        <f>MAX(F227:G227,750)*0.05*AR227</f>
        <v/>
      </c>
      <c r="AT227" t="n">
        <v>12</v>
      </c>
      <c r="AU227" s="34">
        <f>IF(AP227&gt;AT227*1.05,AP227-AT227*1.05,IF(AP227&lt;AT227*0.95,AT227*0.95-AP227,0))</f>
        <v/>
      </c>
      <c r="AV227" s="34">
        <f>MAX(F227:G227,750)*0.05*AU227</f>
        <v/>
      </c>
      <c r="AW227" s="34">
        <f>AC227+AJ227+AQ227</f>
        <v/>
      </c>
      <c r="AX227" s="34">
        <f>AF227+AM227+AT227</f>
        <v/>
      </c>
      <c r="AY227" s="34">
        <f>AB227+AI227+AP227</f>
        <v/>
      </c>
      <c r="AZ227" s="34" t="n">
        <v>0</v>
      </c>
      <c r="BA227" s="34">
        <f>AD227+AK227+AR227</f>
        <v/>
      </c>
      <c r="BB227" s="34">
        <f>MAX(F227:G227,750)*0.05*BA227</f>
        <v/>
      </c>
      <c r="BC227" s="34">
        <f>AG227+AN227+AU227</f>
        <v/>
      </c>
      <c r="BD227" s="34">
        <f>MAX(F227:G227,750)*0.05*BC227</f>
        <v/>
      </c>
      <c r="BE227" s="34">
        <f>F227*AY227</f>
        <v/>
      </c>
      <c r="BF227" s="34">
        <f>K227-M227</f>
        <v/>
      </c>
      <c r="BG227" s="34">
        <f>P227-S227</f>
        <v/>
      </c>
      <c r="BH227" s="34">
        <f>W227-AA227</f>
        <v/>
      </c>
      <c r="BI227" s="34">
        <f>BF227+BG227+BL227-BN227</f>
        <v/>
      </c>
      <c r="BJ227" s="34">
        <f>ABS(BK227)</f>
        <v/>
      </c>
      <c r="BK227" s="34">
        <f>AY227-(J227-L227+N227-Q227)</f>
        <v/>
      </c>
      <c r="BL227" s="34">
        <f>IF(AND(BK227&gt;0,MIN($F227:$G227)&lt;150,$E227="Enerji Açığı"),-100*BK227*1.03,IF(AND(BK227&gt;0,MIN($F227:$G227)&lt;150,$E227="Enerji Fazlası"),-100*BK227*1.06,IF(AND(BK227&gt;0,MIN($F227:$G227)&gt;=150,$E227="Enerji Açığı"),BK227*MIN($F227:$G227)*0.97,IF(AND(BK227&gt;0,MIN($F227:$G227)&gt;=150,$E227="Enerji Fazlası"),BK227*MIN($F227:$G227)*0.94,IF(AND(BK227&lt;0,MAX($F227:$G227)=4500,$E227="Enerji Açığı"),4500*1.05*1.06*BK227,IF(AND(BK227&lt;0,MAX($F227:$G227)=4500,$E227="Enerji Fazlası"),4500*1.05*1.03*BK227,IF(AND(BK227&lt;0,$E227="Enerji Açığı"),MAX($F227,$G227,150)*BK227*1.06,IF(AND(BK227&lt;0,$E227="Enerji Fazlası"),MAX($F227,$G227,150)*BK227*1.03,IF(AND(BK227&lt;0,$E227="Dengede"),MAX($F227:$G227,150)*1.03*BK227,MIN($F227:$G227)*0.97*BK227)))))))))</f>
        <v/>
      </c>
      <c r="BM227" s="34">
        <f>BE227-BI227-BN227</f>
        <v/>
      </c>
      <c r="BN227" s="34">
        <f>BB227</f>
        <v/>
      </c>
      <c r="BO227" s="34">
        <f>BE227-BI227</f>
        <v/>
      </c>
      <c r="BP227" s="34">
        <f>IF(AY227=0,0,BO227/AY227)</f>
        <v/>
      </c>
      <c r="BQ227" s="34">
        <f>MAX((AY227+MAX((-J227+L227-N227+Q227),0)),(MAX((J227-L227+N227-Q227),0)))</f>
        <v/>
      </c>
      <c r="BR227" s="82">
        <f>IFERROR(ABS(BK227/BQ227),0)</f>
        <v/>
      </c>
      <c r="BS227" s="34">
        <f>IF(BR227&lt;=0.1,0,BK227/BR227*(BR227-0.1))</f>
        <v/>
      </c>
      <c r="BT227" s="34">
        <f>IF((BS227)&lt;0,MAX(F227:G227)*(BS227)*1.03,MIN(F227:G227)*(BS227)*0.97)</f>
        <v/>
      </c>
      <c r="BU227" s="34">
        <f>IF(BR227&gt;0.1,1,0)</f>
        <v/>
      </c>
      <c r="BV227" s="34">
        <f>BF227+BG227+BH227+BY227-CA227</f>
        <v/>
      </c>
      <c r="BW227" s="34">
        <f>ABS(BX227)</f>
        <v/>
      </c>
      <c r="BX227" s="34">
        <f>AY227-(J227-L227+N227-Q227+T227-X227)</f>
        <v/>
      </c>
      <c r="BY227" s="34">
        <f>IF(AND(BX227&gt;0,MIN($F227:$G227)&lt;150,$E227="Enerji Açığı"),-100*BX227*1.03,IF(AND(BX227&gt;0,MIN($F227:$G227)&lt;150,$E227="Enerji Fazlası"),-100*BX227*1.06,IF(AND(BX227&gt;0,MIN($F227:$G227)&gt;=150,$E227="Enerji Açığı"),BX227*MIN($F227:$G227)*0.97,IF(AND(BX227&gt;0,MIN($F227:$G227)&gt;=150,$E227="Enerji Fazlası"),BX227*MIN($F227:$G227)*0.94,IF(AND(BX227&lt;0,MAX($F227:$G227)=4500,$E227="Enerji Açığı"),4500*1.05*1.06*BX227,IF(AND(BX227&lt;0,MAX($F227:$G227)=4500,$E227="Enerji Fazlası"),4500*1.05*1.03*BX227,IF(AND(BX227&lt;0,$E227="Enerji Açığı"),MAX($F227,$G227,150)*BX227*1.06,IF(AND(BX227&lt;0,$E227="Enerji Fazlası"),MAX($F227,$G227,150)*BX227*1.03,IF(AND(BX227&lt;0,$E227="Dengede"),MAX($F227:$G227,150)*1.03*BX227,MIN($F227:$G227)*0.97*BX227)))))))))</f>
        <v/>
      </c>
      <c r="BZ227" s="34">
        <f>BE227-BV227-CA227</f>
        <v/>
      </c>
      <c r="CA227" s="34">
        <f>BD227</f>
        <v/>
      </c>
      <c r="CB227" s="33">
        <f>BE227-BV227</f>
        <v/>
      </c>
      <c r="CC227" s="34">
        <f>IF(AY227=0,0,CB227/AY227)</f>
        <v/>
      </c>
      <c r="CD227" s="34">
        <f>MAX((AY227+MAX((-J227+L227-N227+Q227-T227+X227),0)),(MAX((J227-L227+N227-Q227+T227-X227),0)))</f>
        <v/>
      </c>
      <c r="CE227" s="82">
        <f>IFERROR(ABS(BX227/CD227),0)</f>
        <v/>
      </c>
      <c r="CF227" s="34">
        <f>IF(CE227&lt;=0.1,0,BX227/CE227*(CE227-0.1))</f>
        <v/>
      </c>
      <c r="CG227" s="34">
        <f>IF((CF227)&lt;0,MAX(F227:G227)*(CF227)*1.03,MIN(F227:G227)*(CF227)*0.97)</f>
        <v/>
      </c>
      <c r="CH227" s="34">
        <f>IF(CE227&gt;0.1,1,0)</f>
        <v/>
      </c>
      <c r="CI227" s="34">
        <f>(F227*BX227)-BY227</f>
        <v/>
      </c>
      <c r="CJ227" s="34">
        <f>IF(AY227=0,0,CI227/AY227)</f>
        <v/>
      </c>
    </row>
    <row r="228">
      <c r="A228" s="29" t="n">
        <v>46213.375</v>
      </c>
      <c r="B228" s="29" t="inlineStr">
        <is>
          <t>09:00</t>
        </is>
      </c>
      <c r="C228" s="35">
        <f>INT(A228)</f>
        <v/>
      </c>
      <c r="D228" s="36">
        <f>MONTH(A228)</f>
        <v/>
      </c>
      <c r="E228" s="147">
        <f>[1]FİYATLAR!G203</f>
        <v/>
      </c>
      <c r="F228" s="30" t="n">
        <v>3719.09</v>
      </c>
      <c r="G228" s="30">
        <f>[1]FİYATLAR!E203</f>
        <v/>
      </c>
      <c r="H228" s="30" t="n">
        <v>79.52</v>
      </c>
      <c r="I228" s="30" t="n">
        <v>3695.53</v>
      </c>
      <c r="J228" s="119" t="n">
        <v>0</v>
      </c>
      <c r="K228" s="34">
        <f>F228*J228</f>
        <v/>
      </c>
      <c r="L228" s="119" t="n"/>
      <c r="M228" s="34">
        <f>L228*F228</f>
        <v/>
      </c>
      <c r="N228" s="119" t="n"/>
      <c r="O228" s="34">
        <f>F228</f>
        <v/>
      </c>
      <c r="P228" s="34">
        <f>N228*O228</f>
        <v/>
      </c>
      <c r="Q228" s="117" t="n">
        <v>0</v>
      </c>
      <c r="R228" s="34">
        <f>F228</f>
        <v/>
      </c>
      <c r="S228" s="34">
        <f>R228*Q228</f>
        <v/>
      </c>
      <c r="T228" s="34">
        <f>SUMIFS('[1]GİP VERİLERİ'!$C:$C,'[1]GİP VERİLERİ'!$B:$B,A228,'[1]GİP VERİLERİ'!$M:$M,"40X000000104782K",'[1]GİP VERİLERİ'!$G:$G,"SELL")</f>
        <v/>
      </c>
      <c r="U228" s="34">
        <f>IFERROR(W228/T228,0)</f>
        <v/>
      </c>
      <c r="V228" s="34">
        <f>IF(U228=0,0,U228-F228)</f>
        <v/>
      </c>
      <c r="W228" s="34">
        <f>SUMIFS('[1]GİP VERİLERİ'!$O:$O,'[1]GİP VERİLERİ'!$B:$B,A228,'[1]GİP VERİLERİ'!$M:$M,"40X000000104782K",'[1]GİP VERİLERİ'!$G:$G,"SELL")</f>
        <v/>
      </c>
      <c r="X228" s="34">
        <f>SUMIFS('[1]GİP VERİLERİ'!$C:$C,'[1]GİP VERİLERİ'!$B:$B,A228,'[1]GİP VERİLERİ'!$M:$M,"40X000000104782K",'[1]GİP VERİLERİ'!$G:$G,"BUY")</f>
        <v/>
      </c>
      <c r="Y228" s="34">
        <f>IFERROR(AA228/X228,0)</f>
        <v/>
      </c>
      <c r="Z228" s="34">
        <f>IF(Y228=0,0,F228-Y228)</f>
        <v/>
      </c>
      <c r="AA228" s="34">
        <f>SUMIFS('[1]GİP VERİLERİ'!$O:$O,'[1]GİP VERİLERİ'!$B:$B,A228,'[1]GİP VERİLERİ'!$M:$M,"40X000000104782K",'[1]GİP VERİLERİ'!$G:$G,"BUY")</f>
        <v/>
      </c>
      <c r="AB228" s="34">
        <f>'[1]GÖP VERİLERİ'!H229</f>
        <v/>
      </c>
      <c r="AC228" s="34" t="n">
        <v>0</v>
      </c>
      <c r="AD228" s="34">
        <f>IF(AB228&gt;AC228*1.05,AB228-AC228*1.05,IF(AB228&lt;AC228*0.95,AC228*0.95-AB228,0))</f>
        <v/>
      </c>
      <c r="AE228" s="34">
        <f>MAX(F228,G228,750)*0.05*AD228</f>
        <v/>
      </c>
      <c r="AF228" s="34" t="n">
        <v>0</v>
      </c>
      <c r="AG228" s="34">
        <f>IF(AB228&gt;AF228*1.05,AB228-AF228*1.05,IF(AB228&lt;AF228*0.95,AF228*0.95-AB228,0))</f>
        <v/>
      </c>
      <c r="AH228" s="34">
        <f>MAX(I228,J228,750)*0.05*AG228</f>
        <v/>
      </c>
      <c r="AI228">
        <f>'[1]GÖP VERİLERİ'!E229</f>
        <v/>
      </c>
      <c r="AJ228" t="n">
        <v>8</v>
      </c>
      <c r="AK228" s="34">
        <f>IF(AI228&gt;AJ228*1.05,AI228-AJ228*1.05,IF(AI228&lt;AJ228*0.95,AJ228*0.95-AI228,0))</f>
        <v/>
      </c>
      <c r="AL228" s="34">
        <f>MAX(F228,G228,750)*0.05*AK228</f>
        <v/>
      </c>
      <c r="AM228" s="39" t="n">
        <v>9</v>
      </c>
      <c r="AN228" s="34">
        <f>IF(AI228&gt;AM228*1.05,AI228-AM228*1.05,IF(AI228&lt;AM228*0.95,AM228*0.95-AI228,0))</f>
        <v/>
      </c>
      <c r="AO228" s="34">
        <f>MAX(F228,G228,750)*0.05*AN228</f>
        <v/>
      </c>
      <c r="AP228" s="34">
        <f>'[1]GÖP VERİLERİ'!B229</f>
        <v/>
      </c>
      <c r="AQ228" s="34" t="n">
        <v>11</v>
      </c>
      <c r="AR228" s="34">
        <f>IF(AP228&gt;AQ228*1.05,AP228-AQ228*1.05,IF(AP228&lt;AQ228*0.95,AQ228*0.95-AP228,0))</f>
        <v/>
      </c>
      <c r="AS228" s="34">
        <f>MAX(F228:G228,750)*0.05*AR228</f>
        <v/>
      </c>
      <c r="AT228" t="n">
        <v>12</v>
      </c>
      <c r="AU228" s="34">
        <f>IF(AP228&gt;AT228*1.05,AP228-AT228*1.05,IF(AP228&lt;AT228*0.95,AT228*0.95-AP228,0))</f>
        <v/>
      </c>
      <c r="AV228" s="34">
        <f>MAX(F228:G228,750)*0.05*AU228</f>
        <v/>
      </c>
      <c r="AW228" s="34">
        <f>AC228+AJ228+AQ228</f>
        <v/>
      </c>
      <c r="AX228" s="34">
        <f>AF228+AM228+AT228</f>
        <v/>
      </c>
      <c r="AY228" s="34">
        <f>AB228+AI228+AP228</f>
        <v/>
      </c>
      <c r="AZ228" s="34" t="n">
        <v>0</v>
      </c>
      <c r="BA228" s="34">
        <f>AD228+AK228+AR228</f>
        <v/>
      </c>
      <c r="BB228" s="34">
        <f>MAX(F228:G228,750)*0.05*BA228</f>
        <v/>
      </c>
      <c r="BC228" s="34">
        <f>AG228+AN228+AU228</f>
        <v/>
      </c>
      <c r="BD228" s="34">
        <f>MAX(F228:G228,750)*0.05*BC228</f>
        <v/>
      </c>
      <c r="BE228" s="34">
        <f>F228*AY228</f>
        <v/>
      </c>
      <c r="BF228" s="34">
        <f>K228-M228</f>
        <v/>
      </c>
      <c r="BG228" s="34">
        <f>P228-S228</f>
        <v/>
      </c>
      <c r="BH228" s="34">
        <f>W228-AA228</f>
        <v/>
      </c>
      <c r="BI228" s="34">
        <f>BF228+BG228+BL228-BN228</f>
        <v/>
      </c>
      <c r="BJ228" s="34">
        <f>ABS(BK228)</f>
        <v/>
      </c>
      <c r="BK228" s="34">
        <f>AY228-(J228-L228+N228-Q228)</f>
        <v/>
      </c>
      <c r="BL228" s="34">
        <f>IF(AND(BK228&gt;0,MIN($F228:$G228)&lt;150,$E228="Enerji Açığı"),-100*BK228*1.03,IF(AND(BK228&gt;0,MIN($F228:$G228)&lt;150,$E228="Enerji Fazlası"),-100*BK228*1.06,IF(AND(BK228&gt;0,MIN($F228:$G228)&gt;=150,$E228="Enerji Açığı"),BK228*MIN($F228:$G228)*0.97,IF(AND(BK228&gt;0,MIN($F228:$G228)&gt;=150,$E228="Enerji Fazlası"),BK228*MIN($F228:$G228)*0.94,IF(AND(BK228&lt;0,MAX($F228:$G228)=4500,$E228="Enerji Açığı"),4500*1.05*1.06*BK228,IF(AND(BK228&lt;0,MAX($F228:$G228)=4500,$E228="Enerji Fazlası"),4500*1.05*1.03*BK228,IF(AND(BK228&lt;0,$E228="Enerji Açığı"),MAX($F228,$G228,150)*BK228*1.06,IF(AND(BK228&lt;0,$E228="Enerji Fazlası"),MAX($F228,$G228,150)*BK228*1.03,IF(AND(BK228&lt;0,$E228="Dengede"),MAX($F228:$G228,150)*1.03*BK228,MIN($F228:$G228)*0.97*BK228)))))))))</f>
        <v/>
      </c>
      <c r="BM228" s="34">
        <f>BE228-BI228-BN228</f>
        <v/>
      </c>
      <c r="BN228" s="34">
        <f>BB228</f>
        <v/>
      </c>
      <c r="BO228" s="34">
        <f>BE228-BI228</f>
        <v/>
      </c>
      <c r="BP228" s="34">
        <f>IF(AY228=0,0,BO228/AY228)</f>
        <v/>
      </c>
      <c r="BQ228" s="34">
        <f>MAX((AY228+MAX((-J228+L228-N228+Q228),0)),(MAX((J228-L228+N228-Q228),0)))</f>
        <v/>
      </c>
      <c r="BR228" s="82">
        <f>IFERROR(ABS(BK228/BQ228),0)</f>
        <v/>
      </c>
      <c r="BS228" s="34">
        <f>IF(BR228&lt;=0.1,0,BK228/BR228*(BR228-0.1))</f>
        <v/>
      </c>
      <c r="BT228" s="34">
        <f>IF((BS228)&lt;0,MAX(F228:G228)*(BS228)*1.03,MIN(F228:G228)*(BS228)*0.97)</f>
        <v/>
      </c>
      <c r="BU228" s="34">
        <f>IF(BR228&gt;0.1,1,0)</f>
        <v/>
      </c>
      <c r="BV228" s="34">
        <f>BF228+BG228+BH228+BY228-CA228</f>
        <v/>
      </c>
      <c r="BW228" s="34">
        <f>ABS(BX228)</f>
        <v/>
      </c>
      <c r="BX228" s="34">
        <f>AY228-(J228-L228+N228-Q228+T228-X228)</f>
        <v/>
      </c>
      <c r="BY228" s="34">
        <f>IF(AND(BX228&gt;0,MIN($F228:$G228)&lt;150,$E228="Enerji Açığı"),-100*BX228*1.03,IF(AND(BX228&gt;0,MIN($F228:$G228)&lt;150,$E228="Enerji Fazlası"),-100*BX228*1.06,IF(AND(BX228&gt;0,MIN($F228:$G228)&gt;=150,$E228="Enerji Açığı"),BX228*MIN($F228:$G228)*0.97,IF(AND(BX228&gt;0,MIN($F228:$G228)&gt;=150,$E228="Enerji Fazlası"),BX228*MIN($F228:$G228)*0.94,IF(AND(BX228&lt;0,MAX($F228:$G228)=4500,$E228="Enerji Açığı"),4500*1.05*1.06*BX228,IF(AND(BX228&lt;0,MAX($F228:$G228)=4500,$E228="Enerji Fazlası"),4500*1.05*1.03*BX228,IF(AND(BX228&lt;0,$E228="Enerji Açığı"),MAX($F228,$G228,150)*BX228*1.06,IF(AND(BX228&lt;0,$E228="Enerji Fazlası"),MAX($F228,$G228,150)*BX228*1.03,IF(AND(BX228&lt;0,$E228="Dengede"),MAX($F228:$G228,150)*1.03*BX228,MIN($F228:$G228)*0.97*BX228)))))))))</f>
        <v/>
      </c>
      <c r="BZ228" s="34">
        <f>BE228-BV228-CA228</f>
        <v/>
      </c>
      <c r="CA228" s="34">
        <f>BD228</f>
        <v/>
      </c>
      <c r="CB228" s="33">
        <f>BE228-BV228</f>
        <v/>
      </c>
      <c r="CC228" s="34">
        <f>IF(AY228=0,0,CB228/AY228)</f>
        <v/>
      </c>
      <c r="CD228" s="34">
        <f>MAX((AY228+MAX((-J228+L228-N228+Q228-T228+X228),0)),(MAX((J228-L228+N228-Q228+T228-X228),0)))</f>
        <v/>
      </c>
      <c r="CE228" s="82">
        <f>IFERROR(ABS(BX228/CD228),0)</f>
        <v/>
      </c>
      <c r="CF228" s="34">
        <f>IF(CE228&lt;=0.1,0,BX228/CE228*(CE228-0.1))</f>
        <v/>
      </c>
      <c r="CG228" s="34">
        <f>IF((CF228)&lt;0,MAX(F228:G228)*(CF228)*1.03,MIN(F228:G228)*(CF228)*0.97)</f>
        <v/>
      </c>
      <c r="CH228" s="34">
        <f>IF(CE228&gt;0.1,1,0)</f>
        <v/>
      </c>
      <c r="CI228" s="34">
        <f>(F228*BX228)-BY228</f>
        <v/>
      </c>
      <c r="CJ228" s="34">
        <f>IF(AY228=0,0,CI228/AY228)</f>
        <v/>
      </c>
    </row>
    <row r="229">
      <c r="A229" s="29" t="n">
        <v>46213.41666666666</v>
      </c>
      <c r="B229" s="29" t="inlineStr">
        <is>
          <t>10:00</t>
        </is>
      </c>
      <c r="C229" s="35">
        <f>INT(A229)</f>
        <v/>
      </c>
      <c r="D229" s="36">
        <f>MONTH(A229)</f>
        <v/>
      </c>
      <c r="E229" s="147">
        <f>[1]FİYATLAR!G204</f>
        <v/>
      </c>
      <c r="F229" s="30" t="n">
        <v>2399.99</v>
      </c>
      <c r="G229" s="30">
        <f>[1]FİYATLAR!E204</f>
        <v/>
      </c>
      <c r="H229" s="30" t="n">
        <v>51.32</v>
      </c>
      <c r="I229" s="30" t="n">
        <v>2301.01</v>
      </c>
      <c r="J229" s="119" t="n">
        <v>0</v>
      </c>
      <c r="K229" s="34">
        <f>F229*J229</f>
        <v/>
      </c>
      <c r="L229" s="119" t="n"/>
      <c r="M229" s="34">
        <f>L229*F229</f>
        <v/>
      </c>
      <c r="N229" s="119" t="n"/>
      <c r="O229" s="34">
        <f>F229</f>
        <v/>
      </c>
      <c r="P229" s="34">
        <f>N229*O229</f>
        <v/>
      </c>
      <c r="Q229" s="117" t="n">
        <v>0</v>
      </c>
      <c r="R229" s="34">
        <f>F229</f>
        <v/>
      </c>
      <c r="S229" s="34">
        <f>R229*Q229</f>
        <v/>
      </c>
      <c r="T229" s="34">
        <f>SUMIFS('[1]GİP VERİLERİ'!$C:$C,'[1]GİP VERİLERİ'!$B:$B,A229,'[1]GİP VERİLERİ'!$M:$M,"40X000000104782K",'[1]GİP VERİLERİ'!$G:$G,"SELL")</f>
        <v/>
      </c>
      <c r="U229" s="34">
        <f>IFERROR(W229/T229,0)</f>
        <v/>
      </c>
      <c r="V229" s="34">
        <f>IF(U229=0,0,U229-F229)</f>
        <v/>
      </c>
      <c r="W229" s="34">
        <f>SUMIFS('[1]GİP VERİLERİ'!$O:$O,'[1]GİP VERİLERİ'!$B:$B,A229,'[1]GİP VERİLERİ'!$M:$M,"40X000000104782K",'[1]GİP VERİLERİ'!$G:$G,"SELL")</f>
        <v/>
      </c>
      <c r="X229" s="34">
        <f>SUMIFS('[1]GİP VERİLERİ'!$C:$C,'[1]GİP VERİLERİ'!$B:$B,A229,'[1]GİP VERİLERİ'!$M:$M,"40X000000104782K",'[1]GİP VERİLERİ'!$G:$G,"BUY")</f>
        <v/>
      </c>
      <c r="Y229" s="34">
        <f>IFERROR(AA229/X229,0)</f>
        <v/>
      </c>
      <c r="Z229" s="34">
        <f>IF(Y229=0,0,F229-Y229)</f>
        <v/>
      </c>
      <c r="AA229" s="34">
        <f>SUMIFS('[1]GİP VERİLERİ'!$O:$O,'[1]GİP VERİLERİ'!$B:$B,A229,'[1]GİP VERİLERİ'!$M:$M,"40X000000104782K",'[1]GİP VERİLERİ'!$G:$G,"BUY")</f>
        <v/>
      </c>
      <c r="AB229" s="34">
        <f>'[1]GÖP VERİLERİ'!H230</f>
        <v/>
      </c>
      <c r="AC229" s="34" t="n">
        <v>0</v>
      </c>
      <c r="AD229" s="34">
        <f>IF(AB229&gt;AC229*1.05,AB229-AC229*1.05,IF(AB229&lt;AC229*0.95,AC229*0.95-AB229,0))</f>
        <v/>
      </c>
      <c r="AE229" s="34">
        <f>MAX(F229,G229,750)*0.05*AD229</f>
        <v/>
      </c>
      <c r="AF229" s="34" t="n">
        <v>0</v>
      </c>
      <c r="AG229" s="34">
        <f>IF(AB229&gt;AF229*1.05,AB229-AF229*1.05,IF(AB229&lt;AF229*0.95,AF229*0.95-AB229,0))</f>
        <v/>
      </c>
      <c r="AH229" s="34">
        <f>MAX(I229,J229,750)*0.05*AG229</f>
        <v/>
      </c>
      <c r="AI229">
        <f>'[1]GÖP VERİLERİ'!E230</f>
        <v/>
      </c>
      <c r="AJ229" t="n">
        <v>8</v>
      </c>
      <c r="AK229" s="34">
        <f>IF(AI229&gt;AJ229*1.05,AI229-AJ229*1.05,IF(AI229&lt;AJ229*0.95,AJ229*0.95-AI229,0))</f>
        <v/>
      </c>
      <c r="AL229" s="34">
        <f>MAX(F229,G229,750)*0.05*AK229</f>
        <v/>
      </c>
      <c r="AM229" s="39" t="n">
        <v>8</v>
      </c>
      <c r="AN229" s="34">
        <f>IF(AI229&gt;AM229*1.05,AI229-AM229*1.05,IF(AI229&lt;AM229*0.95,AM229*0.95-AI229,0))</f>
        <v/>
      </c>
      <c r="AO229" s="34">
        <f>MAX(F229,G229,750)*0.05*AN229</f>
        <v/>
      </c>
      <c r="AP229" s="34">
        <f>'[1]GÖP VERİLERİ'!B230</f>
        <v/>
      </c>
      <c r="AQ229" s="34" t="n">
        <v>11</v>
      </c>
      <c r="AR229" s="34">
        <f>IF(AP229&gt;AQ229*1.05,AP229-AQ229*1.05,IF(AP229&lt;AQ229*0.95,AQ229*0.95-AP229,0))</f>
        <v/>
      </c>
      <c r="AS229" s="34">
        <f>MAX(F229:G229,750)*0.05*AR229</f>
        <v/>
      </c>
      <c r="AT229" t="n">
        <v>11</v>
      </c>
      <c r="AU229" s="34">
        <f>IF(AP229&gt;AT229*1.05,AP229-AT229*1.05,IF(AP229&lt;AT229*0.95,AT229*0.95-AP229,0))</f>
        <v/>
      </c>
      <c r="AV229" s="34">
        <f>MAX(F229:G229,750)*0.05*AU229</f>
        <v/>
      </c>
      <c r="AW229" s="34">
        <f>AC229+AJ229+AQ229</f>
        <v/>
      </c>
      <c r="AX229" s="34">
        <f>AF229+AM229+AT229</f>
        <v/>
      </c>
      <c r="AY229" s="34">
        <f>AB229+AI229+AP229</f>
        <v/>
      </c>
      <c r="AZ229" s="34" t="n">
        <v>0</v>
      </c>
      <c r="BA229" s="34">
        <f>AD229+AK229+AR229</f>
        <v/>
      </c>
      <c r="BB229" s="34">
        <f>MAX(F229:G229,750)*0.05*BA229</f>
        <v/>
      </c>
      <c r="BC229" s="34">
        <f>AG229+AN229+AU229</f>
        <v/>
      </c>
      <c r="BD229" s="34">
        <f>MAX(F229:G229,750)*0.05*BC229</f>
        <v/>
      </c>
      <c r="BE229" s="34">
        <f>F229*AY229</f>
        <v/>
      </c>
      <c r="BF229" s="34">
        <f>K229-M229</f>
        <v/>
      </c>
      <c r="BG229" s="34">
        <f>P229-S229</f>
        <v/>
      </c>
      <c r="BH229" s="34">
        <f>W229-AA229</f>
        <v/>
      </c>
      <c r="BI229" s="34">
        <f>BF229+BG229+BL229-BN229</f>
        <v/>
      </c>
      <c r="BJ229" s="34">
        <f>ABS(BK229)</f>
        <v/>
      </c>
      <c r="BK229" s="34">
        <f>AY229-(J229-L229+N229-Q229)</f>
        <v/>
      </c>
      <c r="BL229" s="34">
        <f>IF(AND(BK229&gt;0,MIN($F229:$G229)&lt;150,$E229="Enerji Açığı"),-100*BK229*1.03,IF(AND(BK229&gt;0,MIN($F229:$G229)&lt;150,$E229="Enerji Fazlası"),-100*BK229*1.06,IF(AND(BK229&gt;0,MIN($F229:$G229)&gt;=150,$E229="Enerji Açığı"),BK229*MIN($F229:$G229)*0.97,IF(AND(BK229&gt;0,MIN($F229:$G229)&gt;=150,$E229="Enerji Fazlası"),BK229*MIN($F229:$G229)*0.94,IF(AND(BK229&lt;0,MAX($F229:$G229)=4500,$E229="Enerji Açığı"),4500*1.05*1.06*BK229,IF(AND(BK229&lt;0,MAX($F229:$G229)=4500,$E229="Enerji Fazlası"),4500*1.05*1.03*BK229,IF(AND(BK229&lt;0,$E229="Enerji Açığı"),MAX($F229,$G229,150)*BK229*1.06,IF(AND(BK229&lt;0,$E229="Enerji Fazlası"),MAX($F229,$G229,150)*BK229*1.03,IF(AND(BK229&lt;0,$E229="Dengede"),MAX($F229:$G229,150)*1.03*BK229,MIN($F229:$G229)*0.97*BK229)))))))))</f>
        <v/>
      </c>
      <c r="BM229" s="34">
        <f>BE229-BI229-BN229</f>
        <v/>
      </c>
      <c r="BN229" s="34">
        <f>BB229</f>
        <v/>
      </c>
      <c r="BO229" s="34">
        <f>BE229-BI229</f>
        <v/>
      </c>
      <c r="BP229" s="34">
        <f>IF(AY229=0,0,BO229/AY229)</f>
        <v/>
      </c>
      <c r="BQ229" s="34">
        <f>MAX((AY229+MAX((-J229+L229-N229+Q229),0)),(MAX((J229-L229+N229-Q229),0)))</f>
        <v/>
      </c>
      <c r="BR229" s="82">
        <f>IFERROR(ABS(BK229/BQ229),0)</f>
        <v/>
      </c>
      <c r="BS229" s="34">
        <f>IF(BR229&lt;=0.1,0,BK229/BR229*(BR229-0.1))</f>
        <v/>
      </c>
      <c r="BT229" s="34">
        <f>IF((BS229)&lt;0,MAX(F229:G229)*(BS229)*1.03,MIN(F229:G229)*(BS229)*0.97)</f>
        <v/>
      </c>
      <c r="BU229" s="34">
        <f>IF(BR229&gt;0.1,1,0)</f>
        <v/>
      </c>
      <c r="BV229" s="34">
        <f>BF229+BG229+BH229+BY229-CA229</f>
        <v/>
      </c>
      <c r="BW229" s="34">
        <f>ABS(BX229)</f>
        <v/>
      </c>
      <c r="BX229" s="34">
        <f>AY229-(J229-L229+N229-Q229+T229-X229)</f>
        <v/>
      </c>
      <c r="BY229" s="34">
        <f>IF(AND(BX229&gt;0,MIN($F229:$G229)&lt;150,$E229="Enerji Açığı"),-100*BX229*1.03,IF(AND(BX229&gt;0,MIN($F229:$G229)&lt;150,$E229="Enerji Fazlası"),-100*BX229*1.06,IF(AND(BX229&gt;0,MIN($F229:$G229)&gt;=150,$E229="Enerji Açığı"),BX229*MIN($F229:$G229)*0.97,IF(AND(BX229&gt;0,MIN($F229:$G229)&gt;=150,$E229="Enerji Fazlası"),BX229*MIN($F229:$G229)*0.94,IF(AND(BX229&lt;0,MAX($F229:$G229)=4500,$E229="Enerji Açığı"),4500*1.05*1.06*BX229,IF(AND(BX229&lt;0,MAX($F229:$G229)=4500,$E229="Enerji Fazlası"),4500*1.05*1.03*BX229,IF(AND(BX229&lt;0,$E229="Enerji Açığı"),MAX($F229,$G229,150)*BX229*1.06,IF(AND(BX229&lt;0,$E229="Enerji Fazlası"),MAX($F229,$G229,150)*BX229*1.03,IF(AND(BX229&lt;0,$E229="Dengede"),MAX($F229:$G229,150)*1.03*BX229,MIN($F229:$G229)*0.97*BX229)))))))))</f>
        <v/>
      </c>
      <c r="BZ229" s="34">
        <f>BE229-BV229-CA229</f>
        <v/>
      </c>
      <c r="CA229" s="34">
        <f>BD229</f>
        <v/>
      </c>
      <c r="CB229" s="33">
        <f>BE229-BV229</f>
        <v/>
      </c>
      <c r="CC229" s="34">
        <f>IF(AY229=0,0,CB229/AY229)</f>
        <v/>
      </c>
      <c r="CD229" s="34">
        <f>MAX((AY229+MAX((-J229+L229-N229+Q229-T229+X229),0)),(MAX((J229-L229+N229-Q229+T229-X229),0)))</f>
        <v/>
      </c>
      <c r="CE229" s="82">
        <f>IFERROR(ABS(BX229/CD229),0)</f>
        <v/>
      </c>
      <c r="CF229" s="34">
        <f>IF(CE229&lt;=0.1,0,BX229/CE229*(CE229-0.1))</f>
        <v/>
      </c>
      <c r="CG229" s="34">
        <f>IF((CF229)&lt;0,MAX(F229:G229)*(CF229)*1.03,MIN(F229:G229)*(CF229)*0.97)</f>
        <v/>
      </c>
      <c r="CH229" s="34">
        <f>IF(CE229&gt;0.1,1,0)</f>
        <v/>
      </c>
      <c r="CI229" s="34">
        <f>(F229*BX229)-BY229</f>
        <v/>
      </c>
      <c r="CJ229" s="34">
        <f>IF(AY229=0,0,CI229/AY229)</f>
        <v/>
      </c>
    </row>
    <row r="230">
      <c r="A230" s="29" t="n">
        <v>46213.45833333334</v>
      </c>
      <c r="B230" s="29" t="inlineStr">
        <is>
          <t>11:00</t>
        </is>
      </c>
      <c r="C230" s="35">
        <f>INT(A230)</f>
        <v/>
      </c>
      <c r="D230" s="36">
        <f>MONTH(A230)</f>
        <v/>
      </c>
      <c r="E230" s="147">
        <f>[1]FİYATLAR!G205</f>
        <v/>
      </c>
      <c r="F230" s="30" t="n">
        <v>2600</v>
      </c>
      <c r="G230" s="30">
        <f>[1]FİYATLAR!E205</f>
        <v/>
      </c>
      <c r="H230" s="30" t="n">
        <v>55.59</v>
      </c>
      <c r="I230" s="30" t="n">
        <v>2281.77</v>
      </c>
      <c r="J230" s="119" t="n">
        <v>0</v>
      </c>
      <c r="K230" s="34">
        <f>F230*J230</f>
        <v/>
      </c>
      <c r="L230" s="119" t="n"/>
      <c r="M230" s="34">
        <f>L230*F230</f>
        <v/>
      </c>
      <c r="N230" s="119" t="n"/>
      <c r="O230" s="34">
        <f>F230</f>
        <v/>
      </c>
      <c r="P230" s="34">
        <f>N230*O230</f>
        <v/>
      </c>
      <c r="Q230" s="117" t="n">
        <v>0</v>
      </c>
      <c r="R230" s="34">
        <f>F230</f>
        <v/>
      </c>
      <c r="S230" s="34">
        <f>R230*Q230</f>
        <v/>
      </c>
      <c r="T230" s="34">
        <f>SUMIFS('[1]GİP VERİLERİ'!$C:$C,'[1]GİP VERİLERİ'!$B:$B,A230,'[1]GİP VERİLERİ'!$M:$M,"40X000000104782K",'[1]GİP VERİLERİ'!$G:$G,"SELL")</f>
        <v/>
      </c>
      <c r="U230" s="34">
        <f>IFERROR(W230/T230,0)</f>
        <v/>
      </c>
      <c r="V230" s="34">
        <f>IF(U230=0,0,U230-F230)</f>
        <v/>
      </c>
      <c r="W230" s="34">
        <f>SUMIFS('[1]GİP VERİLERİ'!$O:$O,'[1]GİP VERİLERİ'!$B:$B,A230,'[1]GİP VERİLERİ'!$M:$M,"40X000000104782K",'[1]GİP VERİLERİ'!$G:$G,"SELL")</f>
        <v/>
      </c>
      <c r="X230" s="34">
        <f>SUMIFS('[1]GİP VERİLERİ'!$C:$C,'[1]GİP VERİLERİ'!$B:$B,A230,'[1]GİP VERİLERİ'!$M:$M,"40X000000104782K",'[1]GİP VERİLERİ'!$G:$G,"BUY")</f>
        <v/>
      </c>
      <c r="Y230" s="34">
        <f>IFERROR(AA230/X230,0)</f>
        <v/>
      </c>
      <c r="Z230" s="34">
        <f>IF(Y230=0,0,F230-Y230)</f>
        <v/>
      </c>
      <c r="AA230" s="34">
        <f>SUMIFS('[1]GİP VERİLERİ'!$O:$O,'[1]GİP VERİLERİ'!$B:$B,A230,'[1]GİP VERİLERİ'!$M:$M,"40X000000104782K",'[1]GİP VERİLERİ'!$G:$G,"BUY")</f>
        <v/>
      </c>
      <c r="AB230" s="34">
        <f>'[1]GÖP VERİLERİ'!H231</f>
        <v/>
      </c>
      <c r="AC230" s="34" t="n">
        <v>0</v>
      </c>
      <c r="AD230" s="34">
        <f>IF(AB230&gt;AC230*1.05,AB230-AC230*1.05,IF(AB230&lt;AC230*0.95,AC230*0.95-AB230,0))</f>
        <v/>
      </c>
      <c r="AE230" s="34">
        <f>MAX(F230,G230,750)*0.05*AD230</f>
        <v/>
      </c>
      <c r="AF230" s="34" t="n">
        <v>0</v>
      </c>
      <c r="AG230" s="34">
        <f>IF(AB230&gt;AF230*1.05,AB230-AF230*1.05,IF(AB230&lt;AF230*0.95,AF230*0.95-AB230,0))</f>
        <v/>
      </c>
      <c r="AH230" s="34">
        <f>MAX(I230,J230,750)*0.05*AG230</f>
        <v/>
      </c>
      <c r="AI230">
        <f>'[1]GÖP VERİLERİ'!E231</f>
        <v/>
      </c>
      <c r="AJ230" t="n">
        <v>8</v>
      </c>
      <c r="AK230" s="34">
        <f>IF(AI230&gt;AJ230*1.05,AI230-AJ230*1.05,IF(AI230&lt;AJ230*0.95,AJ230*0.95-AI230,0))</f>
        <v/>
      </c>
      <c r="AL230" s="34">
        <f>MAX(F230,G230,750)*0.05*AK230</f>
        <v/>
      </c>
      <c r="AM230" s="39" t="n">
        <v>8</v>
      </c>
      <c r="AN230" s="34">
        <f>IF(AI230&gt;AM230*1.05,AI230-AM230*1.05,IF(AI230&lt;AM230*0.95,AM230*0.95-AI230,0))</f>
        <v/>
      </c>
      <c r="AO230" s="34">
        <f>MAX(F230,G230,750)*0.05*AN230</f>
        <v/>
      </c>
      <c r="AP230" s="34">
        <f>'[1]GÖP VERİLERİ'!B231</f>
        <v/>
      </c>
      <c r="AQ230" s="34" t="n">
        <v>11</v>
      </c>
      <c r="AR230" s="34">
        <f>IF(AP230&gt;AQ230*1.05,AP230-AQ230*1.05,IF(AP230&lt;AQ230*0.95,AQ230*0.95-AP230,0))</f>
        <v/>
      </c>
      <c r="AS230" s="34">
        <f>MAX(F230:G230,750)*0.05*AR230</f>
        <v/>
      </c>
      <c r="AT230" t="n">
        <v>11</v>
      </c>
      <c r="AU230" s="34">
        <f>IF(AP230&gt;AT230*1.05,AP230-AT230*1.05,IF(AP230&lt;AT230*0.95,AT230*0.95-AP230,0))</f>
        <v/>
      </c>
      <c r="AV230" s="34">
        <f>MAX(F230:G230,750)*0.05*AU230</f>
        <v/>
      </c>
      <c r="AW230" s="34">
        <f>AC230+AJ230+AQ230</f>
        <v/>
      </c>
      <c r="AX230" s="34">
        <f>AF230+AM230+AT230</f>
        <v/>
      </c>
      <c r="AY230" s="34">
        <f>AB230+AI230+AP230</f>
        <v/>
      </c>
      <c r="AZ230" s="34" t="n">
        <v>0</v>
      </c>
      <c r="BA230" s="34">
        <f>AD230+AK230+AR230</f>
        <v/>
      </c>
      <c r="BB230" s="34">
        <f>MAX(F230:G230,750)*0.05*BA230</f>
        <v/>
      </c>
      <c r="BC230" s="34">
        <f>AG230+AN230+AU230</f>
        <v/>
      </c>
      <c r="BD230" s="34">
        <f>MAX(F230:G230,750)*0.05*BC230</f>
        <v/>
      </c>
      <c r="BE230" s="34">
        <f>F230*AY230</f>
        <v/>
      </c>
      <c r="BF230" s="34">
        <f>K230-M230</f>
        <v/>
      </c>
      <c r="BG230" s="34">
        <f>P230-S230</f>
        <v/>
      </c>
      <c r="BH230" s="34">
        <f>W230-AA230</f>
        <v/>
      </c>
      <c r="BI230" s="34">
        <f>BF230+BG230+BL230-BN230</f>
        <v/>
      </c>
      <c r="BJ230" s="34">
        <f>ABS(BK230)</f>
        <v/>
      </c>
      <c r="BK230" s="34">
        <f>AY230-(J230-L230+N230-Q230)</f>
        <v/>
      </c>
      <c r="BL230" s="34">
        <f>IF(AND(BK230&gt;0,MIN($F230:$G230)&lt;150,$E230="Enerji Açığı"),-100*BK230*1.03,IF(AND(BK230&gt;0,MIN($F230:$G230)&lt;150,$E230="Enerji Fazlası"),-100*BK230*1.06,IF(AND(BK230&gt;0,MIN($F230:$G230)&gt;=150,$E230="Enerji Açığı"),BK230*MIN($F230:$G230)*0.97,IF(AND(BK230&gt;0,MIN($F230:$G230)&gt;=150,$E230="Enerji Fazlası"),BK230*MIN($F230:$G230)*0.94,IF(AND(BK230&lt;0,MAX($F230:$G230)=4500,$E230="Enerji Açığı"),4500*1.05*1.06*BK230,IF(AND(BK230&lt;0,MAX($F230:$G230)=4500,$E230="Enerji Fazlası"),4500*1.05*1.03*BK230,IF(AND(BK230&lt;0,$E230="Enerji Açığı"),MAX($F230,$G230,150)*BK230*1.06,IF(AND(BK230&lt;0,$E230="Enerji Fazlası"),MAX($F230,$G230,150)*BK230*1.03,IF(AND(BK230&lt;0,$E230="Dengede"),MAX($F230:$G230,150)*1.03*BK230,MIN($F230:$G230)*0.97*BK230)))))))))</f>
        <v/>
      </c>
      <c r="BM230" s="34">
        <f>BE230-BI230-BN230</f>
        <v/>
      </c>
      <c r="BN230" s="34">
        <f>BB230</f>
        <v/>
      </c>
      <c r="BO230" s="34">
        <f>BE230-BI230</f>
        <v/>
      </c>
      <c r="BP230" s="34">
        <f>IF(AY230=0,0,BO230/AY230)</f>
        <v/>
      </c>
      <c r="BQ230" s="34">
        <f>MAX((AY230+MAX((-J230+L230-N230+Q230),0)),(MAX((J230-L230+N230-Q230),0)))</f>
        <v/>
      </c>
      <c r="BR230" s="82">
        <f>IFERROR(ABS(BK230/BQ230),0)</f>
        <v/>
      </c>
      <c r="BS230" s="34">
        <f>IF(BR230&lt;=0.1,0,BK230/BR230*(BR230-0.1))</f>
        <v/>
      </c>
      <c r="BT230" s="34">
        <f>IF((BS230)&lt;0,MAX(F230:G230)*(BS230)*1.03,MIN(F230:G230)*(BS230)*0.97)</f>
        <v/>
      </c>
      <c r="BU230" s="34">
        <f>IF(BR230&gt;0.1,1,0)</f>
        <v/>
      </c>
      <c r="BV230" s="34">
        <f>BF230+BG230+BH230+BY230-CA230</f>
        <v/>
      </c>
      <c r="BW230" s="34">
        <f>ABS(BX230)</f>
        <v/>
      </c>
      <c r="BX230" s="34">
        <f>AY230-(J230-L230+N230-Q230+T230-X230)</f>
        <v/>
      </c>
      <c r="BY230" s="34">
        <f>IF(AND(BX230&gt;0,MIN($F230:$G230)&lt;150,$E230="Enerji Açığı"),-100*BX230*1.03,IF(AND(BX230&gt;0,MIN($F230:$G230)&lt;150,$E230="Enerji Fazlası"),-100*BX230*1.06,IF(AND(BX230&gt;0,MIN($F230:$G230)&gt;=150,$E230="Enerji Açığı"),BX230*MIN($F230:$G230)*0.97,IF(AND(BX230&gt;0,MIN($F230:$G230)&gt;=150,$E230="Enerji Fazlası"),BX230*MIN($F230:$G230)*0.94,IF(AND(BX230&lt;0,MAX($F230:$G230)=4500,$E230="Enerji Açığı"),4500*1.05*1.06*BX230,IF(AND(BX230&lt;0,MAX($F230:$G230)=4500,$E230="Enerji Fazlası"),4500*1.05*1.03*BX230,IF(AND(BX230&lt;0,$E230="Enerji Açığı"),MAX($F230,$G230,150)*BX230*1.06,IF(AND(BX230&lt;0,$E230="Enerji Fazlası"),MAX($F230,$G230,150)*BX230*1.03,IF(AND(BX230&lt;0,$E230="Dengede"),MAX($F230:$G230,150)*1.03*BX230,MIN($F230:$G230)*0.97*BX230)))))))))</f>
        <v/>
      </c>
      <c r="BZ230" s="34">
        <f>BE230-BV230-CA230</f>
        <v/>
      </c>
      <c r="CA230" s="34">
        <f>BD230</f>
        <v/>
      </c>
      <c r="CB230" s="33">
        <f>BE230-BV230</f>
        <v/>
      </c>
      <c r="CC230" s="34">
        <f>IF(AY230=0,0,CB230/AY230)</f>
        <v/>
      </c>
      <c r="CD230" s="34">
        <f>MAX((AY230+MAX((-J230+L230-N230+Q230-T230+X230),0)),(MAX((J230-L230+N230-Q230+T230-X230),0)))</f>
        <v/>
      </c>
      <c r="CE230" s="82">
        <f>IFERROR(ABS(BX230/CD230),0)</f>
        <v/>
      </c>
      <c r="CF230" s="34">
        <f>IF(CE230&lt;=0.1,0,BX230/CE230*(CE230-0.1))</f>
        <v/>
      </c>
      <c r="CG230" s="34">
        <f>IF((CF230)&lt;0,MAX(F230:G230)*(CF230)*1.03,MIN(F230:G230)*(CF230)*0.97)</f>
        <v/>
      </c>
      <c r="CH230" s="34">
        <f>IF(CE230&gt;0.1,1,0)</f>
        <v/>
      </c>
      <c r="CI230" s="34">
        <f>(F230*BX230)-BY230</f>
        <v/>
      </c>
      <c r="CJ230" s="34">
        <f>IF(AY230=0,0,CI230/AY230)</f>
        <v/>
      </c>
    </row>
    <row r="231">
      <c r="A231" s="29" t="n">
        <v>46213.5</v>
      </c>
      <c r="B231" s="29" t="inlineStr">
        <is>
          <t>12:00</t>
        </is>
      </c>
      <c r="C231" s="35">
        <f>INT(A231)</f>
        <v/>
      </c>
      <c r="D231" s="36">
        <f>MONTH(A231)</f>
        <v/>
      </c>
      <c r="E231" s="147">
        <f>[1]FİYATLAR!G206</f>
        <v/>
      </c>
      <c r="F231" s="30" t="n">
        <v>1400</v>
      </c>
      <c r="G231" s="30">
        <f>[1]FİYATLAR!E206</f>
        <v/>
      </c>
      <c r="H231" s="30" t="n">
        <v>29.93</v>
      </c>
      <c r="I231" s="30" t="n">
        <v>1359.18</v>
      </c>
      <c r="J231" s="119" t="n">
        <v>0</v>
      </c>
      <c r="K231" s="34">
        <f>F231*J231</f>
        <v/>
      </c>
      <c r="L231" s="119" t="n"/>
      <c r="M231" s="34">
        <f>L231*F231</f>
        <v/>
      </c>
      <c r="N231" s="119" t="n"/>
      <c r="O231" s="34">
        <f>F231</f>
        <v/>
      </c>
      <c r="P231" s="34">
        <f>N231*O231</f>
        <v/>
      </c>
      <c r="Q231" s="117" t="n">
        <v>0</v>
      </c>
      <c r="R231" s="34">
        <f>F231</f>
        <v/>
      </c>
      <c r="S231" s="34">
        <f>R231*Q231</f>
        <v/>
      </c>
      <c r="T231" s="34">
        <f>SUMIFS('[1]GİP VERİLERİ'!$C:$C,'[1]GİP VERİLERİ'!$B:$B,A231,'[1]GİP VERİLERİ'!$M:$M,"40X000000104782K",'[1]GİP VERİLERİ'!$G:$G,"SELL")</f>
        <v/>
      </c>
      <c r="U231" s="34">
        <f>IFERROR(W231/T231,0)</f>
        <v/>
      </c>
      <c r="V231" s="34">
        <f>IF(U231=0,0,U231-F231)</f>
        <v/>
      </c>
      <c r="W231" s="34">
        <f>SUMIFS('[1]GİP VERİLERİ'!$O:$O,'[1]GİP VERİLERİ'!$B:$B,A231,'[1]GİP VERİLERİ'!$M:$M,"40X000000104782K",'[1]GİP VERİLERİ'!$G:$G,"SELL")</f>
        <v/>
      </c>
      <c r="X231" s="34">
        <f>SUMIFS('[1]GİP VERİLERİ'!$C:$C,'[1]GİP VERİLERİ'!$B:$B,A231,'[1]GİP VERİLERİ'!$M:$M,"40X000000104782K",'[1]GİP VERİLERİ'!$G:$G,"BUY")</f>
        <v/>
      </c>
      <c r="Y231" s="34">
        <f>IFERROR(AA231/X231,0)</f>
        <v/>
      </c>
      <c r="Z231" s="34">
        <f>IF(Y231=0,0,F231-Y231)</f>
        <v/>
      </c>
      <c r="AA231" s="34">
        <f>SUMIFS('[1]GİP VERİLERİ'!$O:$O,'[1]GİP VERİLERİ'!$B:$B,A231,'[1]GİP VERİLERİ'!$M:$M,"40X000000104782K",'[1]GİP VERİLERİ'!$G:$G,"BUY")</f>
        <v/>
      </c>
      <c r="AB231" s="34">
        <f>'[1]GÖP VERİLERİ'!H232</f>
        <v/>
      </c>
      <c r="AC231" s="34" t="n">
        <v>0</v>
      </c>
      <c r="AD231" s="34">
        <f>IF(AB231&gt;AC231*1.05,AB231-AC231*1.05,IF(AB231&lt;AC231*0.95,AC231*0.95-AB231,0))</f>
        <v/>
      </c>
      <c r="AE231" s="34">
        <f>MAX(F231,G231,750)*0.05*AD231</f>
        <v/>
      </c>
      <c r="AF231" s="34" t="n">
        <v>0</v>
      </c>
      <c r="AG231" s="34">
        <f>IF(AB231&gt;AF231*1.05,AB231-AF231*1.05,IF(AB231&lt;AF231*0.95,AF231*0.95-AB231,0))</f>
        <v/>
      </c>
      <c r="AH231" s="34">
        <f>MAX(I231,J231,750)*0.05*AG231</f>
        <v/>
      </c>
      <c r="AI231">
        <f>'[1]GÖP VERİLERİ'!E232</f>
        <v/>
      </c>
      <c r="AJ231" t="n">
        <v>8</v>
      </c>
      <c r="AK231" s="34">
        <f>IF(AI231&gt;AJ231*1.05,AI231-AJ231*1.05,IF(AI231&lt;AJ231*0.95,AJ231*0.95-AI231,0))</f>
        <v/>
      </c>
      <c r="AL231" s="34">
        <f>MAX(F231,G231,750)*0.05*AK231</f>
        <v/>
      </c>
      <c r="AM231" s="39" t="n">
        <v>8</v>
      </c>
      <c r="AN231" s="34">
        <f>IF(AI231&gt;AM231*1.05,AI231-AM231*1.05,IF(AI231&lt;AM231*0.95,AM231*0.95-AI231,0))</f>
        <v/>
      </c>
      <c r="AO231" s="34">
        <f>MAX(F231,G231,750)*0.05*AN231</f>
        <v/>
      </c>
      <c r="AP231" s="34">
        <f>'[1]GÖP VERİLERİ'!B232</f>
        <v/>
      </c>
      <c r="AQ231" s="34" t="n">
        <v>11</v>
      </c>
      <c r="AR231" s="34">
        <f>IF(AP231&gt;AQ231*1.05,AP231-AQ231*1.05,IF(AP231&lt;AQ231*0.95,AQ231*0.95-AP231,0))</f>
        <v/>
      </c>
      <c r="AS231" s="34">
        <f>MAX(F231:G231,750)*0.05*AR231</f>
        <v/>
      </c>
      <c r="AT231" t="n">
        <v>11</v>
      </c>
      <c r="AU231" s="34">
        <f>IF(AP231&gt;AT231*1.05,AP231-AT231*1.05,IF(AP231&lt;AT231*0.95,AT231*0.95-AP231,0))</f>
        <v/>
      </c>
      <c r="AV231" s="34">
        <f>MAX(F231:G231,750)*0.05*AU231</f>
        <v/>
      </c>
      <c r="AW231" s="34">
        <f>AC231+AJ231+AQ231</f>
        <v/>
      </c>
      <c r="AX231" s="34">
        <f>AF231+AM231+AT231</f>
        <v/>
      </c>
      <c r="AY231" s="34">
        <f>AB231+AI231+AP231</f>
        <v/>
      </c>
      <c r="AZ231" s="34" t="n">
        <v>0</v>
      </c>
      <c r="BA231" s="34">
        <f>AD231+AK231+AR231</f>
        <v/>
      </c>
      <c r="BB231" s="34">
        <f>MAX(F231:G231,750)*0.05*BA231</f>
        <v/>
      </c>
      <c r="BC231" s="34">
        <f>AG231+AN231+AU231</f>
        <v/>
      </c>
      <c r="BD231" s="34">
        <f>MAX(F231:G231,750)*0.05*BC231</f>
        <v/>
      </c>
      <c r="BE231" s="34">
        <f>F231*AY231</f>
        <v/>
      </c>
      <c r="BF231" s="34">
        <f>K231-M231</f>
        <v/>
      </c>
      <c r="BG231" s="34">
        <f>P231-S231</f>
        <v/>
      </c>
      <c r="BH231" s="34">
        <f>W231-AA231</f>
        <v/>
      </c>
      <c r="BI231" s="34">
        <f>BF231+BG231+BL231-BN231</f>
        <v/>
      </c>
      <c r="BJ231" s="34">
        <f>ABS(BK231)</f>
        <v/>
      </c>
      <c r="BK231" s="34">
        <f>AY231-(J231-L231+N231-Q231)</f>
        <v/>
      </c>
      <c r="BL231" s="34">
        <f>IF(AND(BK231&gt;0,MIN($F231:$G231)&lt;150,$E231="Enerji Açığı"),-100*BK231*1.03,IF(AND(BK231&gt;0,MIN($F231:$G231)&lt;150,$E231="Enerji Fazlası"),-100*BK231*1.06,IF(AND(BK231&gt;0,MIN($F231:$G231)&gt;=150,$E231="Enerji Açığı"),BK231*MIN($F231:$G231)*0.97,IF(AND(BK231&gt;0,MIN($F231:$G231)&gt;=150,$E231="Enerji Fazlası"),BK231*MIN($F231:$G231)*0.94,IF(AND(BK231&lt;0,MAX($F231:$G231)=4500,$E231="Enerji Açığı"),4500*1.05*1.06*BK231,IF(AND(BK231&lt;0,MAX($F231:$G231)=4500,$E231="Enerji Fazlası"),4500*1.05*1.03*BK231,IF(AND(BK231&lt;0,$E231="Enerji Açığı"),MAX($F231,$G231,150)*BK231*1.06,IF(AND(BK231&lt;0,$E231="Enerji Fazlası"),MAX($F231,$G231,150)*BK231*1.03,IF(AND(BK231&lt;0,$E231="Dengede"),MAX($F231:$G231,150)*1.03*BK231,MIN($F231:$G231)*0.97*BK231)))))))))</f>
        <v/>
      </c>
      <c r="BM231" s="34">
        <f>BE231-BI231-BN231</f>
        <v/>
      </c>
      <c r="BN231" s="34">
        <f>BB231</f>
        <v/>
      </c>
      <c r="BO231" s="34">
        <f>BE231-BI231</f>
        <v/>
      </c>
      <c r="BP231" s="34">
        <f>IF(AY231=0,0,BO231/AY231)</f>
        <v/>
      </c>
      <c r="BQ231" s="34">
        <f>MAX((AY231+MAX((-J231+L231-N231+Q231),0)),(MAX((J231-L231+N231-Q231),0)))</f>
        <v/>
      </c>
      <c r="BR231" s="82">
        <f>IFERROR(ABS(BK231/BQ231),0)</f>
        <v/>
      </c>
      <c r="BS231" s="34">
        <f>IF(BR231&lt;=0.1,0,BK231/BR231*(BR231-0.1))</f>
        <v/>
      </c>
      <c r="BT231" s="34">
        <f>IF((BS231)&lt;0,MAX(F231:G231)*(BS231)*1.03,MIN(F231:G231)*(BS231)*0.97)</f>
        <v/>
      </c>
      <c r="BU231" s="34">
        <f>IF(BR231&gt;0.1,1,0)</f>
        <v/>
      </c>
      <c r="BV231" s="34">
        <f>BF231+BG231+BH231+BY231-CA231</f>
        <v/>
      </c>
      <c r="BW231" s="34">
        <f>ABS(BX231)</f>
        <v/>
      </c>
      <c r="BX231" s="34">
        <f>AY231-(J231-L231+N231-Q231+T231-X231)</f>
        <v/>
      </c>
      <c r="BY231" s="34">
        <f>IF(AND(BX231&gt;0,MIN($F231:$G231)&lt;150,$E231="Enerji Açığı"),-100*BX231*1.03,IF(AND(BX231&gt;0,MIN($F231:$G231)&lt;150,$E231="Enerji Fazlası"),-100*BX231*1.06,IF(AND(BX231&gt;0,MIN($F231:$G231)&gt;=150,$E231="Enerji Açığı"),BX231*MIN($F231:$G231)*0.97,IF(AND(BX231&gt;0,MIN($F231:$G231)&gt;=150,$E231="Enerji Fazlası"),BX231*MIN($F231:$G231)*0.94,IF(AND(BX231&lt;0,MAX($F231:$G231)=4500,$E231="Enerji Açığı"),4500*1.05*1.06*BX231,IF(AND(BX231&lt;0,MAX($F231:$G231)=4500,$E231="Enerji Fazlası"),4500*1.05*1.03*BX231,IF(AND(BX231&lt;0,$E231="Enerji Açığı"),MAX($F231,$G231,150)*BX231*1.06,IF(AND(BX231&lt;0,$E231="Enerji Fazlası"),MAX($F231,$G231,150)*BX231*1.03,IF(AND(BX231&lt;0,$E231="Dengede"),MAX($F231:$G231,150)*1.03*BX231,MIN($F231:$G231)*0.97*BX231)))))))))</f>
        <v/>
      </c>
      <c r="BZ231" s="34">
        <f>BE231-BV231-CA231</f>
        <v/>
      </c>
      <c r="CA231" s="34">
        <f>BD231</f>
        <v/>
      </c>
      <c r="CB231" s="33">
        <f>BE231-BV231</f>
        <v/>
      </c>
      <c r="CC231" s="34">
        <f>IF(AY231=0,0,CB231/AY231)</f>
        <v/>
      </c>
      <c r="CD231" s="34">
        <f>MAX((AY231+MAX((-J231+L231-N231+Q231-T231+X231),0)),(MAX((J231-L231+N231-Q231+T231-X231),0)))</f>
        <v/>
      </c>
      <c r="CE231" s="82">
        <f>IFERROR(ABS(BX231/CD231),0)</f>
        <v/>
      </c>
      <c r="CF231" s="34">
        <f>IF(CE231&lt;=0.1,0,BX231/CE231*(CE231-0.1))</f>
        <v/>
      </c>
      <c r="CG231" s="34">
        <f>IF((CF231)&lt;0,MAX(F231:G231)*(CF231)*1.03,MIN(F231:G231)*(CF231)*0.97)</f>
        <v/>
      </c>
      <c r="CH231" s="34">
        <f>IF(CE231&gt;0.1,1,0)</f>
        <v/>
      </c>
      <c r="CI231" s="34">
        <f>(F231*BX231)-BY231</f>
        <v/>
      </c>
      <c r="CJ231" s="34">
        <f>IF(AY231=0,0,CI231/AY231)</f>
        <v/>
      </c>
    </row>
    <row r="232">
      <c r="A232" s="29" t="n">
        <v>46213.54166666666</v>
      </c>
      <c r="B232" s="29" t="inlineStr">
        <is>
          <t>13:00</t>
        </is>
      </c>
      <c r="C232" s="35">
        <f>INT(A232)</f>
        <v/>
      </c>
      <c r="D232" s="36">
        <f>MONTH(A232)</f>
        <v/>
      </c>
      <c r="E232" s="147">
        <f>[1]FİYATLAR!G207</f>
        <v/>
      </c>
      <c r="F232" s="30" t="n">
        <v>1499.98</v>
      </c>
      <c r="G232" s="30">
        <f>[1]FİYATLAR!E207</f>
        <v/>
      </c>
      <c r="H232" s="30" t="n">
        <v>32.07</v>
      </c>
      <c r="I232" s="30" t="n">
        <v>1430.67</v>
      </c>
      <c r="J232" s="119" t="n">
        <v>0</v>
      </c>
      <c r="K232" s="34">
        <f>F232*J232</f>
        <v/>
      </c>
      <c r="L232" s="119" t="n"/>
      <c r="M232" s="34">
        <f>L232*F232</f>
        <v/>
      </c>
      <c r="N232" s="119" t="n"/>
      <c r="O232" s="34">
        <f>F232</f>
        <v/>
      </c>
      <c r="P232" s="34">
        <f>N232*O232</f>
        <v/>
      </c>
      <c r="Q232" s="117" t="n">
        <v>0</v>
      </c>
      <c r="R232" s="34">
        <f>F232</f>
        <v/>
      </c>
      <c r="S232" s="34">
        <f>R232*Q232</f>
        <v/>
      </c>
      <c r="T232" s="34">
        <f>SUMIFS('[1]GİP VERİLERİ'!$C:$C,'[1]GİP VERİLERİ'!$B:$B,A232,'[1]GİP VERİLERİ'!$M:$M,"40X000000104782K",'[1]GİP VERİLERİ'!$G:$G,"SELL")</f>
        <v/>
      </c>
      <c r="U232" s="34">
        <f>IFERROR(W232/T232,0)</f>
        <v/>
      </c>
      <c r="V232" s="34">
        <f>IF(U232=0,0,U232-F232)</f>
        <v/>
      </c>
      <c r="W232" s="34">
        <f>SUMIFS('[1]GİP VERİLERİ'!$O:$O,'[1]GİP VERİLERİ'!$B:$B,A232,'[1]GİP VERİLERİ'!$M:$M,"40X000000104782K",'[1]GİP VERİLERİ'!$G:$G,"SELL")</f>
        <v/>
      </c>
      <c r="X232" s="34">
        <f>SUMIFS('[1]GİP VERİLERİ'!$C:$C,'[1]GİP VERİLERİ'!$B:$B,A232,'[1]GİP VERİLERİ'!$M:$M,"40X000000104782K",'[1]GİP VERİLERİ'!$G:$G,"BUY")</f>
        <v/>
      </c>
      <c r="Y232" s="34">
        <f>IFERROR(AA232/X232,0)</f>
        <v/>
      </c>
      <c r="Z232" s="34">
        <f>IF(Y232=0,0,F232-Y232)</f>
        <v/>
      </c>
      <c r="AA232" s="34">
        <f>SUMIFS('[1]GİP VERİLERİ'!$O:$O,'[1]GİP VERİLERİ'!$B:$B,A232,'[1]GİP VERİLERİ'!$M:$M,"40X000000104782K",'[1]GİP VERİLERİ'!$G:$G,"BUY")</f>
        <v/>
      </c>
      <c r="AB232" s="34">
        <f>'[1]GÖP VERİLERİ'!H233</f>
        <v/>
      </c>
      <c r="AC232" s="34" t="n">
        <v>0</v>
      </c>
      <c r="AD232" s="34">
        <f>IF(AB232&gt;AC232*1.05,AB232-AC232*1.05,IF(AB232&lt;AC232*0.95,AC232*0.95-AB232,0))</f>
        <v/>
      </c>
      <c r="AE232" s="34">
        <f>MAX(F232,G232,750)*0.05*AD232</f>
        <v/>
      </c>
      <c r="AF232" s="34" t="n">
        <v>0</v>
      </c>
      <c r="AG232" s="34">
        <f>IF(AB232&gt;AF232*1.05,AB232-AF232*1.05,IF(AB232&lt;AF232*0.95,AF232*0.95-AB232,0))</f>
        <v/>
      </c>
      <c r="AH232" s="34">
        <f>MAX(I232,J232,750)*0.05*AG232</f>
        <v/>
      </c>
      <c r="AI232">
        <f>'[1]GÖP VERİLERİ'!E233</f>
        <v/>
      </c>
      <c r="AJ232" t="n">
        <v>8</v>
      </c>
      <c r="AK232" s="34">
        <f>IF(AI232&gt;AJ232*1.05,AI232-AJ232*1.05,IF(AI232&lt;AJ232*0.95,AJ232*0.95-AI232,0))</f>
        <v/>
      </c>
      <c r="AL232" s="34">
        <f>MAX(F232,G232,750)*0.05*AK232</f>
        <v/>
      </c>
      <c r="AM232" s="39" t="n">
        <v>8</v>
      </c>
      <c r="AN232" s="34">
        <f>IF(AI232&gt;AM232*1.05,AI232-AM232*1.05,IF(AI232&lt;AM232*0.95,AM232*0.95-AI232,0))</f>
        <v/>
      </c>
      <c r="AO232" s="34">
        <f>MAX(F232,G232,750)*0.05*AN232</f>
        <v/>
      </c>
      <c r="AP232" s="34">
        <f>'[1]GÖP VERİLERİ'!B233</f>
        <v/>
      </c>
      <c r="AQ232" s="34" t="n">
        <v>11</v>
      </c>
      <c r="AR232" s="34">
        <f>IF(AP232&gt;AQ232*1.05,AP232-AQ232*1.05,IF(AP232&lt;AQ232*0.95,AQ232*0.95-AP232,0))</f>
        <v/>
      </c>
      <c r="AS232" s="34">
        <f>MAX(F232:G232,750)*0.05*AR232</f>
        <v/>
      </c>
      <c r="AT232" t="n">
        <v>11</v>
      </c>
      <c r="AU232" s="34">
        <f>IF(AP232&gt;AT232*1.05,AP232-AT232*1.05,IF(AP232&lt;AT232*0.95,AT232*0.95-AP232,0))</f>
        <v/>
      </c>
      <c r="AV232" s="34">
        <f>MAX(F232:G232,750)*0.05*AU232</f>
        <v/>
      </c>
      <c r="AW232" s="34">
        <f>AC232+AJ232+AQ232</f>
        <v/>
      </c>
      <c r="AX232" s="34">
        <f>AF232+AM232+AT232</f>
        <v/>
      </c>
      <c r="AY232" s="34">
        <f>AB232+AI232+AP232</f>
        <v/>
      </c>
      <c r="AZ232" s="34" t="n">
        <v>0</v>
      </c>
      <c r="BA232" s="34">
        <f>AD232+AK232+AR232</f>
        <v/>
      </c>
      <c r="BB232" s="34">
        <f>MAX(F232:G232,750)*0.05*BA232</f>
        <v/>
      </c>
      <c r="BC232" s="34">
        <f>AG232+AN232+AU232</f>
        <v/>
      </c>
      <c r="BD232" s="34">
        <f>MAX(F232:G232,750)*0.05*BC232</f>
        <v/>
      </c>
      <c r="BE232" s="34">
        <f>F232*AY232</f>
        <v/>
      </c>
      <c r="BF232" s="34">
        <f>K232-M232</f>
        <v/>
      </c>
      <c r="BG232" s="34">
        <f>P232-S232</f>
        <v/>
      </c>
      <c r="BH232" s="34">
        <f>W232-AA232</f>
        <v/>
      </c>
      <c r="BI232" s="34">
        <f>BF232+BG232+BL232-BN232</f>
        <v/>
      </c>
      <c r="BJ232" s="34">
        <f>ABS(BK232)</f>
        <v/>
      </c>
      <c r="BK232" s="34">
        <f>AY232-(J232-L232+N232-Q232)</f>
        <v/>
      </c>
      <c r="BL232" s="34">
        <f>IF(AND(BK232&gt;0,MIN($F232:$G232)&lt;150,$E232="Enerji Açığı"),-100*BK232*1.03,IF(AND(BK232&gt;0,MIN($F232:$G232)&lt;150,$E232="Enerji Fazlası"),-100*BK232*1.06,IF(AND(BK232&gt;0,MIN($F232:$G232)&gt;=150,$E232="Enerji Açığı"),BK232*MIN($F232:$G232)*0.97,IF(AND(BK232&gt;0,MIN($F232:$G232)&gt;=150,$E232="Enerji Fazlası"),BK232*MIN($F232:$G232)*0.94,IF(AND(BK232&lt;0,MAX($F232:$G232)=4500,$E232="Enerji Açığı"),4500*1.05*1.06*BK232,IF(AND(BK232&lt;0,MAX($F232:$G232)=4500,$E232="Enerji Fazlası"),4500*1.05*1.03*BK232,IF(AND(BK232&lt;0,$E232="Enerji Açığı"),MAX($F232,$G232,150)*BK232*1.06,IF(AND(BK232&lt;0,$E232="Enerji Fazlası"),MAX($F232,$G232,150)*BK232*1.03,IF(AND(BK232&lt;0,$E232="Dengede"),MAX($F232:$G232,150)*1.03*BK232,MIN($F232:$G232)*0.97*BK232)))))))))</f>
        <v/>
      </c>
      <c r="BM232" s="34">
        <f>BE232-BI232-BN232</f>
        <v/>
      </c>
      <c r="BN232" s="34">
        <f>BB232</f>
        <v/>
      </c>
      <c r="BO232" s="34">
        <f>BE232-BI232</f>
        <v/>
      </c>
      <c r="BP232" s="34">
        <f>IF(AY232=0,0,BO232/AY232)</f>
        <v/>
      </c>
      <c r="BQ232" s="34">
        <f>MAX((AY232+MAX((-J232+L232-N232+Q232),0)),(MAX((J232-L232+N232-Q232),0)))</f>
        <v/>
      </c>
      <c r="BR232" s="82">
        <f>IFERROR(ABS(BK232/BQ232),0)</f>
        <v/>
      </c>
      <c r="BS232" s="34">
        <f>IF(BR232&lt;=0.1,0,BK232/BR232*(BR232-0.1))</f>
        <v/>
      </c>
      <c r="BT232" s="34">
        <f>IF((BS232)&lt;0,MAX(F232:G232)*(BS232)*1.03,MIN(F232:G232)*(BS232)*0.97)</f>
        <v/>
      </c>
      <c r="BU232" s="34">
        <f>IF(BR232&gt;0.1,1,0)</f>
        <v/>
      </c>
      <c r="BV232" s="34">
        <f>BF232+BG232+BH232+BY232-CA232</f>
        <v/>
      </c>
      <c r="BW232" s="34">
        <f>ABS(BX232)</f>
        <v/>
      </c>
      <c r="BX232" s="34">
        <f>AY232-(J232-L232+N232-Q232+T232-X232)</f>
        <v/>
      </c>
      <c r="BY232" s="34">
        <f>IF(AND(BX232&gt;0,MIN($F232:$G232)&lt;150,$E232="Enerji Açığı"),-100*BX232*1.03,IF(AND(BX232&gt;0,MIN($F232:$G232)&lt;150,$E232="Enerji Fazlası"),-100*BX232*1.06,IF(AND(BX232&gt;0,MIN($F232:$G232)&gt;=150,$E232="Enerji Açığı"),BX232*MIN($F232:$G232)*0.97,IF(AND(BX232&gt;0,MIN($F232:$G232)&gt;=150,$E232="Enerji Fazlası"),BX232*MIN($F232:$G232)*0.94,IF(AND(BX232&lt;0,MAX($F232:$G232)=4500,$E232="Enerji Açığı"),4500*1.05*1.06*BX232,IF(AND(BX232&lt;0,MAX($F232:$G232)=4500,$E232="Enerji Fazlası"),4500*1.05*1.03*BX232,IF(AND(BX232&lt;0,$E232="Enerji Açığı"),MAX($F232,$G232,150)*BX232*1.06,IF(AND(BX232&lt;0,$E232="Enerji Fazlası"),MAX($F232,$G232,150)*BX232*1.03,IF(AND(BX232&lt;0,$E232="Dengede"),MAX($F232:$G232,150)*1.03*BX232,MIN($F232:$G232)*0.97*BX232)))))))))</f>
        <v/>
      </c>
      <c r="BZ232" s="34">
        <f>BE232-BV232-CA232</f>
        <v/>
      </c>
      <c r="CA232" s="34">
        <f>BD232</f>
        <v/>
      </c>
      <c r="CB232" s="33">
        <f>BE232-BV232</f>
        <v/>
      </c>
      <c r="CC232" s="34">
        <f>IF(AY232=0,0,CB232/AY232)</f>
        <v/>
      </c>
      <c r="CD232" s="34">
        <f>MAX((AY232+MAX((-J232+L232-N232+Q232-T232+X232),0)),(MAX((J232-L232+N232-Q232+T232-X232),0)))</f>
        <v/>
      </c>
      <c r="CE232" s="82">
        <f>IFERROR(ABS(BX232/CD232),0)</f>
        <v/>
      </c>
      <c r="CF232" s="34">
        <f>IF(CE232&lt;=0.1,0,BX232/CE232*(CE232-0.1))</f>
        <v/>
      </c>
      <c r="CG232" s="34">
        <f>IF((CF232)&lt;0,MAX(F232:G232)*(CF232)*1.03,MIN(F232:G232)*(CF232)*0.97)</f>
        <v/>
      </c>
      <c r="CH232" s="34">
        <f>IF(CE232&gt;0.1,1,0)</f>
        <v/>
      </c>
      <c r="CI232" s="34">
        <f>(F232*BX232)-BY232</f>
        <v/>
      </c>
      <c r="CJ232" s="34">
        <f>IF(AY232=0,0,CI232/AY232)</f>
        <v/>
      </c>
    </row>
    <row r="233">
      <c r="A233" s="29" t="n">
        <v>46213.58333333334</v>
      </c>
      <c r="B233" s="29" t="inlineStr">
        <is>
          <t>14:00</t>
        </is>
      </c>
      <c r="C233" s="35">
        <f>INT(A233)</f>
        <v/>
      </c>
      <c r="D233" s="36">
        <f>MONTH(A233)</f>
        <v/>
      </c>
      <c r="E233" s="147">
        <f>[1]FİYATLAR!G208</f>
        <v/>
      </c>
      <c r="F233" s="30" t="n">
        <v>3325</v>
      </c>
      <c r="G233" s="30">
        <f>[1]FİYATLAR!E208</f>
        <v/>
      </c>
      <c r="H233" s="30" t="n">
        <v>71.09</v>
      </c>
      <c r="I233" s="30" t="n">
        <v>3078.54</v>
      </c>
      <c r="J233" s="119" t="n">
        <v>0</v>
      </c>
      <c r="K233" s="34">
        <f>F233*J233</f>
        <v/>
      </c>
      <c r="L233" s="119" t="n"/>
      <c r="M233" s="34">
        <f>L233*F233</f>
        <v/>
      </c>
      <c r="N233" s="119" t="n"/>
      <c r="O233" s="34">
        <f>F233</f>
        <v/>
      </c>
      <c r="P233" s="34">
        <f>N233*O233</f>
        <v/>
      </c>
      <c r="Q233" s="117" t="n">
        <v>0</v>
      </c>
      <c r="R233" s="34">
        <f>F233</f>
        <v/>
      </c>
      <c r="S233" s="34">
        <f>R233*Q233</f>
        <v/>
      </c>
      <c r="T233" s="34">
        <f>SUMIFS('[1]GİP VERİLERİ'!$C:$C,'[1]GİP VERİLERİ'!$B:$B,A233,'[1]GİP VERİLERİ'!$M:$M,"40X000000104782K",'[1]GİP VERİLERİ'!$G:$G,"SELL")</f>
        <v/>
      </c>
      <c r="U233" s="34">
        <f>IFERROR(W233/T233,0)</f>
        <v/>
      </c>
      <c r="V233" s="34">
        <f>IF(U233=0,0,U233-F233)</f>
        <v/>
      </c>
      <c r="W233" s="34">
        <f>SUMIFS('[1]GİP VERİLERİ'!$O:$O,'[1]GİP VERİLERİ'!$B:$B,A233,'[1]GİP VERİLERİ'!$M:$M,"40X000000104782K",'[1]GİP VERİLERİ'!$G:$G,"SELL")</f>
        <v/>
      </c>
      <c r="X233" s="34">
        <f>SUMIFS('[1]GİP VERİLERİ'!$C:$C,'[1]GİP VERİLERİ'!$B:$B,A233,'[1]GİP VERİLERİ'!$M:$M,"40X000000104782K",'[1]GİP VERİLERİ'!$G:$G,"BUY")</f>
        <v/>
      </c>
      <c r="Y233" s="34">
        <f>IFERROR(AA233/X233,0)</f>
        <v/>
      </c>
      <c r="Z233" s="34">
        <f>IF(Y233=0,0,F233-Y233)</f>
        <v/>
      </c>
      <c r="AA233" s="34">
        <f>SUMIFS('[1]GİP VERİLERİ'!$O:$O,'[1]GİP VERİLERİ'!$B:$B,A233,'[1]GİP VERİLERİ'!$M:$M,"40X000000104782K",'[1]GİP VERİLERİ'!$G:$G,"BUY")</f>
        <v/>
      </c>
      <c r="AB233" s="34">
        <f>'[1]GÖP VERİLERİ'!H234</f>
        <v/>
      </c>
      <c r="AC233" s="34" t="n">
        <v>0</v>
      </c>
      <c r="AD233" s="34">
        <f>IF(AB233&gt;AC233*1.05,AB233-AC233*1.05,IF(AB233&lt;AC233*0.95,AC233*0.95-AB233,0))</f>
        <v/>
      </c>
      <c r="AE233" s="34">
        <f>MAX(F233,G233,750)*0.05*AD233</f>
        <v/>
      </c>
      <c r="AF233" s="34" t="n">
        <v>0</v>
      </c>
      <c r="AG233" s="34">
        <f>IF(AB233&gt;AF233*1.05,AB233-AF233*1.05,IF(AB233&lt;AF233*0.95,AF233*0.95-AB233,0))</f>
        <v/>
      </c>
      <c r="AH233" s="34">
        <f>MAX(I233,J233,750)*0.05*AG233</f>
        <v/>
      </c>
      <c r="AI233">
        <f>'[1]GÖP VERİLERİ'!E234</f>
        <v/>
      </c>
      <c r="AJ233" t="n">
        <v>8</v>
      </c>
      <c r="AK233" s="34">
        <f>IF(AI233&gt;AJ233*1.05,AI233-AJ233*1.05,IF(AI233&lt;AJ233*0.95,AJ233*0.95-AI233,0))</f>
        <v/>
      </c>
      <c r="AL233" s="34">
        <f>MAX(F233,G233,750)*0.05*AK233</f>
        <v/>
      </c>
      <c r="AM233" s="39" t="n">
        <v>8</v>
      </c>
      <c r="AN233" s="34">
        <f>IF(AI233&gt;AM233*1.05,AI233-AM233*1.05,IF(AI233&lt;AM233*0.95,AM233*0.95-AI233,0))</f>
        <v/>
      </c>
      <c r="AO233" s="34">
        <f>MAX(F233,G233,750)*0.05*AN233</f>
        <v/>
      </c>
      <c r="AP233" s="34">
        <f>'[1]GÖP VERİLERİ'!B234</f>
        <v/>
      </c>
      <c r="AQ233" s="34" t="n">
        <v>11</v>
      </c>
      <c r="AR233" s="34">
        <f>IF(AP233&gt;AQ233*1.05,AP233-AQ233*1.05,IF(AP233&lt;AQ233*0.95,AQ233*0.95-AP233,0))</f>
        <v/>
      </c>
      <c r="AS233" s="34">
        <f>MAX(F233:G233,750)*0.05*AR233</f>
        <v/>
      </c>
      <c r="AT233" t="n">
        <v>11</v>
      </c>
      <c r="AU233" s="34">
        <f>IF(AP233&gt;AT233*1.05,AP233-AT233*1.05,IF(AP233&lt;AT233*0.95,AT233*0.95-AP233,0))</f>
        <v/>
      </c>
      <c r="AV233" s="34">
        <f>MAX(F233:G233,750)*0.05*AU233</f>
        <v/>
      </c>
      <c r="AW233" s="34">
        <f>AC233+AJ233+AQ233</f>
        <v/>
      </c>
      <c r="AX233" s="34">
        <f>AF233+AM233+AT233</f>
        <v/>
      </c>
      <c r="AY233" s="34">
        <f>AB233+AI233+AP233</f>
        <v/>
      </c>
      <c r="AZ233" s="34" t="n">
        <v>0</v>
      </c>
      <c r="BA233" s="34">
        <f>AD233+AK233+AR233</f>
        <v/>
      </c>
      <c r="BB233" s="34">
        <f>MAX(F233:G233,750)*0.05*BA233</f>
        <v/>
      </c>
      <c r="BC233" s="34">
        <f>AG233+AN233+AU233</f>
        <v/>
      </c>
      <c r="BD233" s="34">
        <f>MAX(F233:G233,750)*0.05*BC233</f>
        <v/>
      </c>
      <c r="BE233" s="34">
        <f>F233*AY233</f>
        <v/>
      </c>
      <c r="BF233" s="34">
        <f>K233-M233</f>
        <v/>
      </c>
      <c r="BG233" s="34">
        <f>P233-S233</f>
        <v/>
      </c>
      <c r="BH233" s="34">
        <f>W233-AA233</f>
        <v/>
      </c>
      <c r="BI233" s="34">
        <f>BF233+BG233+BL233-BN233</f>
        <v/>
      </c>
      <c r="BJ233" s="34">
        <f>ABS(BK233)</f>
        <v/>
      </c>
      <c r="BK233" s="34">
        <f>AY233-(J233-L233+N233-Q233)</f>
        <v/>
      </c>
      <c r="BL233" s="34">
        <f>IF(AND(BK233&gt;0,MIN($F233:$G233)&lt;150,$E233="Enerji Açığı"),-100*BK233*1.03,IF(AND(BK233&gt;0,MIN($F233:$G233)&lt;150,$E233="Enerji Fazlası"),-100*BK233*1.06,IF(AND(BK233&gt;0,MIN($F233:$G233)&gt;=150,$E233="Enerji Açığı"),BK233*MIN($F233:$G233)*0.97,IF(AND(BK233&gt;0,MIN($F233:$G233)&gt;=150,$E233="Enerji Fazlası"),BK233*MIN($F233:$G233)*0.94,IF(AND(BK233&lt;0,MAX($F233:$G233)=4500,$E233="Enerji Açığı"),4500*1.05*1.06*BK233,IF(AND(BK233&lt;0,MAX($F233:$G233)=4500,$E233="Enerji Fazlası"),4500*1.05*1.03*BK233,IF(AND(BK233&lt;0,$E233="Enerji Açığı"),MAX($F233,$G233,150)*BK233*1.06,IF(AND(BK233&lt;0,$E233="Enerji Fazlası"),MAX($F233,$G233,150)*BK233*1.03,IF(AND(BK233&lt;0,$E233="Dengede"),MAX($F233:$G233,150)*1.03*BK233,MIN($F233:$G233)*0.97*BK233)))))))))</f>
        <v/>
      </c>
      <c r="BM233" s="34">
        <f>BE233-BI233-BN233</f>
        <v/>
      </c>
      <c r="BN233" s="34">
        <f>BB233</f>
        <v/>
      </c>
      <c r="BO233" s="34">
        <f>BE233-BI233</f>
        <v/>
      </c>
      <c r="BP233" s="34">
        <f>IF(AY233=0,0,BO233/AY233)</f>
        <v/>
      </c>
      <c r="BQ233" s="34">
        <f>MAX((AY233+MAX((-J233+L233-N233+Q233),0)),(MAX((J233-L233+N233-Q233),0)))</f>
        <v/>
      </c>
      <c r="BR233" s="82">
        <f>IFERROR(ABS(BK233/BQ233),0)</f>
        <v/>
      </c>
      <c r="BS233" s="34">
        <f>IF(BR233&lt;=0.1,0,BK233/BR233*(BR233-0.1))</f>
        <v/>
      </c>
      <c r="BT233" s="34">
        <f>IF((BS233)&lt;0,MAX(F233:G233)*(BS233)*1.03,MIN(F233:G233)*(BS233)*0.97)</f>
        <v/>
      </c>
      <c r="BU233" s="34">
        <f>IF(BR233&gt;0.1,1,0)</f>
        <v/>
      </c>
      <c r="BV233" s="34">
        <f>BF233+BG233+BH233+BY233-CA233</f>
        <v/>
      </c>
      <c r="BW233" s="34">
        <f>ABS(BX233)</f>
        <v/>
      </c>
      <c r="BX233" s="34">
        <f>AY233-(J233-L233+N233-Q233+T233-X233)</f>
        <v/>
      </c>
      <c r="BY233" s="34">
        <f>IF(AND(BX233&gt;0,MIN($F233:$G233)&lt;150,$E233="Enerji Açığı"),-100*BX233*1.03,IF(AND(BX233&gt;0,MIN($F233:$G233)&lt;150,$E233="Enerji Fazlası"),-100*BX233*1.06,IF(AND(BX233&gt;0,MIN($F233:$G233)&gt;=150,$E233="Enerji Açığı"),BX233*MIN($F233:$G233)*0.97,IF(AND(BX233&gt;0,MIN($F233:$G233)&gt;=150,$E233="Enerji Fazlası"),BX233*MIN($F233:$G233)*0.94,IF(AND(BX233&lt;0,MAX($F233:$G233)=4500,$E233="Enerji Açığı"),4500*1.05*1.06*BX233,IF(AND(BX233&lt;0,MAX($F233:$G233)=4500,$E233="Enerji Fazlası"),4500*1.05*1.03*BX233,IF(AND(BX233&lt;0,$E233="Enerji Açığı"),MAX($F233,$G233,150)*BX233*1.06,IF(AND(BX233&lt;0,$E233="Enerji Fazlası"),MAX($F233,$G233,150)*BX233*1.03,IF(AND(BX233&lt;0,$E233="Dengede"),MAX($F233:$G233,150)*1.03*BX233,MIN($F233:$G233)*0.97*BX233)))))))))</f>
        <v/>
      </c>
      <c r="BZ233" s="34">
        <f>BE233-BV233-CA233</f>
        <v/>
      </c>
      <c r="CA233" s="34">
        <f>BD233</f>
        <v/>
      </c>
      <c r="CB233" s="33">
        <f>BE233-BV233</f>
        <v/>
      </c>
      <c r="CC233" s="34">
        <f>IF(AY233=0,0,CB233/AY233)</f>
        <v/>
      </c>
      <c r="CD233" s="34">
        <f>MAX((AY233+MAX((-J233+L233-N233+Q233-T233+X233),0)),(MAX((J233-L233+N233-Q233+T233-X233),0)))</f>
        <v/>
      </c>
      <c r="CE233" s="82">
        <f>IFERROR(ABS(BX233/CD233),0)</f>
        <v/>
      </c>
      <c r="CF233" s="34">
        <f>IF(CE233&lt;=0.1,0,BX233/CE233*(CE233-0.1))</f>
        <v/>
      </c>
      <c r="CG233" s="34">
        <f>IF((CF233)&lt;0,MAX(F233:G233)*(CF233)*1.03,MIN(F233:G233)*(CF233)*0.97)</f>
        <v/>
      </c>
      <c r="CH233" s="34">
        <f>IF(CE233&gt;0.1,1,0)</f>
        <v/>
      </c>
      <c r="CI233" s="34">
        <f>(F233*BX233)-BY233</f>
        <v/>
      </c>
      <c r="CJ233" s="34">
        <f>IF(AY233=0,0,CI233/AY233)</f>
        <v/>
      </c>
    </row>
    <row r="234">
      <c r="A234" s="29" t="n">
        <v>46213.625</v>
      </c>
      <c r="B234" s="29" t="inlineStr">
        <is>
          <t>15:00</t>
        </is>
      </c>
      <c r="C234" s="35">
        <f>INT(A234)</f>
        <v/>
      </c>
      <c r="D234" s="36">
        <f>MONTH(A234)</f>
        <v/>
      </c>
      <c r="E234" s="147">
        <f>[1]FİYATLAR!G209</f>
        <v/>
      </c>
      <c r="F234" s="30" t="n">
        <v>3000.01</v>
      </c>
      <c r="G234" s="30">
        <f>[1]FİYATLAR!E209</f>
        <v/>
      </c>
      <c r="H234" s="30" t="n">
        <v>64.14</v>
      </c>
      <c r="I234" s="30" t="n">
        <v>2851.06</v>
      </c>
      <c r="J234" s="119" t="n">
        <v>0</v>
      </c>
      <c r="K234" s="34">
        <f>F234*J234</f>
        <v/>
      </c>
      <c r="L234" s="119" t="n"/>
      <c r="M234" s="34">
        <f>L234*F234</f>
        <v/>
      </c>
      <c r="N234" s="119" t="n"/>
      <c r="O234" s="34">
        <f>F234</f>
        <v/>
      </c>
      <c r="P234" s="34">
        <f>N234*O234</f>
        <v/>
      </c>
      <c r="Q234" s="117" t="n">
        <v>0</v>
      </c>
      <c r="R234" s="34">
        <f>F234</f>
        <v/>
      </c>
      <c r="S234" s="34">
        <f>R234*Q234</f>
        <v/>
      </c>
      <c r="T234" s="34">
        <f>SUMIFS('[1]GİP VERİLERİ'!$C:$C,'[1]GİP VERİLERİ'!$B:$B,A234,'[1]GİP VERİLERİ'!$M:$M,"40X000000104782K",'[1]GİP VERİLERİ'!$G:$G,"SELL")</f>
        <v/>
      </c>
      <c r="U234" s="34">
        <f>IFERROR(W234/T234,0)</f>
        <v/>
      </c>
      <c r="V234" s="34">
        <f>IF(U234=0,0,U234-F234)</f>
        <v/>
      </c>
      <c r="W234" s="34">
        <f>SUMIFS('[1]GİP VERİLERİ'!$O:$O,'[1]GİP VERİLERİ'!$B:$B,A234,'[1]GİP VERİLERİ'!$M:$M,"40X000000104782K",'[1]GİP VERİLERİ'!$G:$G,"SELL")</f>
        <v/>
      </c>
      <c r="X234" s="34">
        <f>SUMIFS('[1]GİP VERİLERİ'!$C:$C,'[1]GİP VERİLERİ'!$B:$B,A234,'[1]GİP VERİLERİ'!$M:$M,"40X000000104782K",'[1]GİP VERİLERİ'!$G:$G,"BUY")</f>
        <v/>
      </c>
      <c r="Y234" s="34">
        <f>IFERROR(AA234/X234,0)</f>
        <v/>
      </c>
      <c r="Z234" s="34">
        <f>IF(Y234=0,0,F234-Y234)</f>
        <v/>
      </c>
      <c r="AA234" s="34">
        <f>SUMIFS('[1]GİP VERİLERİ'!$O:$O,'[1]GİP VERİLERİ'!$B:$B,A234,'[1]GİP VERİLERİ'!$M:$M,"40X000000104782K",'[1]GİP VERİLERİ'!$G:$G,"BUY")</f>
        <v/>
      </c>
      <c r="AB234" s="34">
        <f>'[1]GÖP VERİLERİ'!H235</f>
        <v/>
      </c>
      <c r="AC234" s="34" t="n">
        <v>0</v>
      </c>
      <c r="AD234" s="34">
        <f>IF(AB234&gt;AC234*1.05,AB234-AC234*1.05,IF(AB234&lt;AC234*0.95,AC234*0.95-AB234,0))</f>
        <v/>
      </c>
      <c r="AE234" s="34">
        <f>MAX(F234,G234,750)*0.05*AD234</f>
        <v/>
      </c>
      <c r="AF234" s="34" t="n">
        <v>0</v>
      </c>
      <c r="AG234" s="34">
        <f>IF(AB234&gt;AF234*1.05,AB234-AF234*1.05,IF(AB234&lt;AF234*0.95,AF234*0.95-AB234,0))</f>
        <v/>
      </c>
      <c r="AH234" s="34">
        <f>MAX(I234,J234,750)*0.05*AG234</f>
        <v/>
      </c>
      <c r="AI234">
        <f>'[1]GÖP VERİLERİ'!E235</f>
        <v/>
      </c>
      <c r="AJ234" t="n">
        <v>8</v>
      </c>
      <c r="AK234" s="34">
        <f>IF(AI234&gt;AJ234*1.05,AI234-AJ234*1.05,IF(AI234&lt;AJ234*0.95,AJ234*0.95-AI234,0))</f>
        <v/>
      </c>
      <c r="AL234" s="34">
        <f>MAX(F234,G234,750)*0.05*AK234</f>
        <v/>
      </c>
      <c r="AM234" s="39" t="n">
        <v>8</v>
      </c>
      <c r="AN234" s="34">
        <f>IF(AI234&gt;AM234*1.05,AI234-AM234*1.05,IF(AI234&lt;AM234*0.95,AM234*0.95-AI234,0))</f>
        <v/>
      </c>
      <c r="AO234" s="34">
        <f>MAX(F234,G234,750)*0.05*AN234</f>
        <v/>
      </c>
      <c r="AP234" s="34">
        <f>'[1]GÖP VERİLERİ'!B235</f>
        <v/>
      </c>
      <c r="AQ234" s="34" t="n">
        <v>11</v>
      </c>
      <c r="AR234" s="34">
        <f>IF(AP234&gt;AQ234*1.05,AP234-AQ234*1.05,IF(AP234&lt;AQ234*0.95,AQ234*0.95-AP234,0))</f>
        <v/>
      </c>
      <c r="AS234" s="34">
        <f>MAX(F234:G234,750)*0.05*AR234</f>
        <v/>
      </c>
      <c r="AT234" t="n">
        <v>11</v>
      </c>
      <c r="AU234" s="34">
        <f>IF(AP234&gt;AT234*1.05,AP234-AT234*1.05,IF(AP234&lt;AT234*0.95,AT234*0.95-AP234,0))</f>
        <v/>
      </c>
      <c r="AV234" s="34">
        <f>MAX(F234:G234,750)*0.05*AU234</f>
        <v/>
      </c>
      <c r="AW234" s="34">
        <f>AC234+AJ234+AQ234</f>
        <v/>
      </c>
      <c r="AX234" s="34">
        <f>AF234+AM234+AT234</f>
        <v/>
      </c>
      <c r="AY234" s="34">
        <f>AB234+AI234+AP234</f>
        <v/>
      </c>
      <c r="AZ234" s="34" t="n">
        <v>0</v>
      </c>
      <c r="BA234" s="34">
        <f>AD234+AK234+AR234</f>
        <v/>
      </c>
      <c r="BB234" s="34">
        <f>MAX(F234:G234,750)*0.05*BA234</f>
        <v/>
      </c>
      <c r="BC234" s="34">
        <f>AG234+AN234+AU234</f>
        <v/>
      </c>
      <c r="BD234" s="34">
        <f>MAX(F234:G234,750)*0.05*BC234</f>
        <v/>
      </c>
      <c r="BE234" s="34">
        <f>F234*AY234</f>
        <v/>
      </c>
      <c r="BF234" s="34">
        <f>K234-M234</f>
        <v/>
      </c>
      <c r="BG234" s="34">
        <f>P234-S234</f>
        <v/>
      </c>
      <c r="BH234" s="34">
        <f>W234-AA234</f>
        <v/>
      </c>
      <c r="BI234" s="34">
        <f>BF234+BG234+BL234-BN234</f>
        <v/>
      </c>
      <c r="BJ234" s="34">
        <f>ABS(BK234)</f>
        <v/>
      </c>
      <c r="BK234" s="34">
        <f>AY234-(J234-L234+N234-Q234)</f>
        <v/>
      </c>
      <c r="BL234" s="34">
        <f>IF(AND(BK234&gt;0,MIN($F234:$G234)&lt;150,$E234="Enerji Açığı"),-100*BK234*1.03,IF(AND(BK234&gt;0,MIN($F234:$G234)&lt;150,$E234="Enerji Fazlası"),-100*BK234*1.06,IF(AND(BK234&gt;0,MIN($F234:$G234)&gt;=150,$E234="Enerji Açığı"),BK234*MIN($F234:$G234)*0.97,IF(AND(BK234&gt;0,MIN($F234:$G234)&gt;=150,$E234="Enerji Fazlası"),BK234*MIN($F234:$G234)*0.94,IF(AND(BK234&lt;0,MAX($F234:$G234)=4500,$E234="Enerji Açığı"),4500*1.05*1.06*BK234,IF(AND(BK234&lt;0,MAX($F234:$G234)=4500,$E234="Enerji Fazlası"),4500*1.05*1.03*BK234,IF(AND(BK234&lt;0,$E234="Enerji Açığı"),MAX($F234,$G234,150)*BK234*1.06,IF(AND(BK234&lt;0,$E234="Enerji Fazlası"),MAX($F234,$G234,150)*BK234*1.03,IF(AND(BK234&lt;0,$E234="Dengede"),MAX($F234:$G234,150)*1.03*BK234,MIN($F234:$G234)*0.97*BK234)))))))))</f>
        <v/>
      </c>
      <c r="BM234" s="34">
        <f>BE234-BI234-BN234</f>
        <v/>
      </c>
      <c r="BN234" s="34">
        <f>BB234</f>
        <v/>
      </c>
      <c r="BO234" s="34">
        <f>BE234-BI234</f>
        <v/>
      </c>
      <c r="BP234" s="34">
        <f>IF(AY234=0,0,BO234/AY234)</f>
        <v/>
      </c>
      <c r="BQ234" s="34">
        <f>MAX((AY234+MAX((-J234+L234-N234+Q234),0)),(MAX((J234-L234+N234-Q234),0)))</f>
        <v/>
      </c>
      <c r="BR234" s="82">
        <f>IFERROR(ABS(BK234/BQ234),0)</f>
        <v/>
      </c>
      <c r="BS234" s="34">
        <f>IF(BR234&lt;=0.1,0,BK234/BR234*(BR234-0.1))</f>
        <v/>
      </c>
      <c r="BT234" s="34">
        <f>IF((BS234)&lt;0,MAX(F234:G234)*(BS234)*1.03,MIN(F234:G234)*(BS234)*0.97)</f>
        <v/>
      </c>
      <c r="BU234" s="34">
        <f>IF(BR234&gt;0.1,1,0)</f>
        <v/>
      </c>
      <c r="BV234" s="34">
        <f>BF234+BG234+BH234+BY234-CA234</f>
        <v/>
      </c>
      <c r="BW234" s="34">
        <f>ABS(BX234)</f>
        <v/>
      </c>
      <c r="BX234" s="34">
        <f>AY234-(J234-L234+N234-Q234+T234-X234)</f>
        <v/>
      </c>
      <c r="BY234" s="34">
        <f>IF(AND(BX234&gt;0,MIN($F234:$G234)&lt;150,$E234="Enerji Açığı"),-100*BX234*1.03,IF(AND(BX234&gt;0,MIN($F234:$G234)&lt;150,$E234="Enerji Fazlası"),-100*BX234*1.06,IF(AND(BX234&gt;0,MIN($F234:$G234)&gt;=150,$E234="Enerji Açığı"),BX234*MIN($F234:$G234)*0.97,IF(AND(BX234&gt;0,MIN($F234:$G234)&gt;=150,$E234="Enerji Fazlası"),BX234*MIN($F234:$G234)*0.94,IF(AND(BX234&lt;0,MAX($F234:$G234)=4500,$E234="Enerji Açığı"),4500*1.05*1.06*BX234,IF(AND(BX234&lt;0,MAX($F234:$G234)=4500,$E234="Enerji Fazlası"),4500*1.05*1.03*BX234,IF(AND(BX234&lt;0,$E234="Enerji Açığı"),MAX($F234,$G234,150)*BX234*1.06,IF(AND(BX234&lt;0,$E234="Enerji Fazlası"),MAX($F234,$G234,150)*BX234*1.03,IF(AND(BX234&lt;0,$E234="Dengede"),MAX($F234:$G234,150)*1.03*BX234,MIN($F234:$G234)*0.97*BX234)))))))))</f>
        <v/>
      </c>
      <c r="BZ234" s="34">
        <f>BE234-BV234-CA234</f>
        <v/>
      </c>
      <c r="CA234" s="34">
        <f>BD234</f>
        <v/>
      </c>
      <c r="CB234" s="33">
        <f>BE234-BV234</f>
        <v/>
      </c>
      <c r="CC234" s="34">
        <f>IF(AY234=0,0,CB234/AY234)</f>
        <v/>
      </c>
      <c r="CD234" s="34">
        <f>MAX((AY234+MAX((-J234+L234-N234+Q234-T234+X234),0)),(MAX((J234-L234+N234-Q234+T234-X234),0)))</f>
        <v/>
      </c>
      <c r="CE234" s="82">
        <f>IFERROR(ABS(BX234/CD234),0)</f>
        <v/>
      </c>
      <c r="CF234" s="34">
        <f>IF(CE234&lt;=0.1,0,BX234/CE234*(CE234-0.1))</f>
        <v/>
      </c>
      <c r="CG234" s="34">
        <f>IF((CF234)&lt;0,MAX(F234:G234)*(CF234)*1.03,MIN(F234:G234)*(CF234)*0.97)</f>
        <v/>
      </c>
      <c r="CH234" s="34">
        <f>IF(CE234&gt;0.1,1,0)</f>
        <v/>
      </c>
      <c r="CI234" s="34">
        <f>(F234*BX234)-BY234</f>
        <v/>
      </c>
      <c r="CJ234" s="34">
        <f>IF(AY234=0,0,CI234/AY234)</f>
        <v/>
      </c>
    </row>
    <row r="235">
      <c r="A235" s="29" t="n">
        <v>46213.66666666666</v>
      </c>
      <c r="B235" s="29" t="inlineStr">
        <is>
          <t>16:00</t>
        </is>
      </c>
      <c r="C235" s="35">
        <f>INT(A235)</f>
        <v/>
      </c>
      <c r="D235" s="36">
        <f>MONTH(A235)</f>
        <v/>
      </c>
      <c r="E235" s="147">
        <f>[1]FİYATLAR!G210</f>
        <v/>
      </c>
      <c r="F235" s="30" t="n">
        <v>3325</v>
      </c>
      <c r="G235" s="30">
        <f>[1]FİYATLAR!E210</f>
        <v/>
      </c>
      <c r="H235" s="30" t="n">
        <v>71.09</v>
      </c>
      <c r="I235" s="30" t="n">
        <v>3278.28</v>
      </c>
      <c r="J235" s="119" t="n">
        <v>0</v>
      </c>
      <c r="K235" s="34">
        <f>F235*J235</f>
        <v/>
      </c>
      <c r="L235" s="119" t="n"/>
      <c r="M235" s="34">
        <f>L235*F235</f>
        <v/>
      </c>
      <c r="N235" s="119" t="n"/>
      <c r="O235" s="34">
        <f>F235</f>
        <v/>
      </c>
      <c r="P235" s="34">
        <f>N235*O235</f>
        <v/>
      </c>
      <c r="Q235" s="117" t="n">
        <v>0</v>
      </c>
      <c r="R235" s="34">
        <f>F235</f>
        <v/>
      </c>
      <c r="S235" s="34">
        <f>R235*Q235</f>
        <v/>
      </c>
      <c r="T235" s="34">
        <f>SUMIFS('[1]GİP VERİLERİ'!$C:$C,'[1]GİP VERİLERİ'!$B:$B,A235,'[1]GİP VERİLERİ'!$M:$M,"40X000000104782K",'[1]GİP VERİLERİ'!$G:$G,"SELL")</f>
        <v/>
      </c>
      <c r="U235" s="34">
        <f>IFERROR(W235/T235,0)</f>
        <v/>
      </c>
      <c r="V235" s="34">
        <f>IF(U235=0,0,U235-F235)</f>
        <v/>
      </c>
      <c r="W235" s="34">
        <f>SUMIFS('[1]GİP VERİLERİ'!$O:$O,'[1]GİP VERİLERİ'!$B:$B,A235,'[1]GİP VERİLERİ'!$M:$M,"40X000000104782K",'[1]GİP VERİLERİ'!$G:$G,"SELL")</f>
        <v/>
      </c>
      <c r="X235" s="34">
        <f>SUMIFS('[1]GİP VERİLERİ'!$C:$C,'[1]GİP VERİLERİ'!$B:$B,A235,'[1]GİP VERİLERİ'!$M:$M,"40X000000104782K",'[1]GİP VERİLERİ'!$G:$G,"BUY")</f>
        <v/>
      </c>
      <c r="Y235" s="34">
        <f>IFERROR(AA235/X235,0)</f>
        <v/>
      </c>
      <c r="Z235" s="34">
        <f>IF(Y235=0,0,F235-Y235)</f>
        <v/>
      </c>
      <c r="AA235" s="34">
        <f>SUMIFS('[1]GİP VERİLERİ'!$O:$O,'[1]GİP VERİLERİ'!$B:$B,A235,'[1]GİP VERİLERİ'!$M:$M,"40X000000104782K",'[1]GİP VERİLERİ'!$G:$G,"BUY")</f>
        <v/>
      </c>
      <c r="AB235" s="34">
        <f>'[1]GÖP VERİLERİ'!H236</f>
        <v/>
      </c>
      <c r="AC235" s="34" t="n">
        <v>0</v>
      </c>
      <c r="AD235" s="34">
        <f>IF(AB235&gt;AC235*1.05,AB235-AC235*1.05,IF(AB235&lt;AC235*0.95,AC235*0.95-AB235,0))</f>
        <v/>
      </c>
      <c r="AE235" s="34">
        <f>MAX(F235,G235,750)*0.05*AD235</f>
        <v/>
      </c>
      <c r="AF235" s="34" t="n">
        <v>0</v>
      </c>
      <c r="AG235" s="34">
        <f>IF(AB235&gt;AF235*1.05,AB235-AF235*1.05,IF(AB235&lt;AF235*0.95,AF235*0.95-AB235,0))</f>
        <v/>
      </c>
      <c r="AH235" s="34">
        <f>MAX(I235,J235,750)*0.05*AG235</f>
        <v/>
      </c>
      <c r="AI235">
        <f>'[1]GÖP VERİLERİ'!E236</f>
        <v/>
      </c>
      <c r="AJ235" t="n">
        <v>8</v>
      </c>
      <c r="AK235" s="34">
        <f>IF(AI235&gt;AJ235*1.05,AI235-AJ235*1.05,IF(AI235&lt;AJ235*0.95,AJ235*0.95-AI235,0))</f>
        <v/>
      </c>
      <c r="AL235" s="34">
        <f>MAX(F235,G235,750)*0.05*AK235</f>
        <v/>
      </c>
      <c r="AM235" s="39" t="n">
        <v>8</v>
      </c>
      <c r="AN235" s="34">
        <f>IF(AI235&gt;AM235*1.05,AI235-AM235*1.05,IF(AI235&lt;AM235*0.95,AM235*0.95-AI235,0))</f>
        <v/>
      </c>
      <c r="AO235" s="34">
        <f>MAX(F235,G235,750)*0.05*AN235</f>
        <v/>
      </c>
      <c r="AP235" s="34">
        <f>'[1]GÖP VERİLERİ'!B236</f>
        <v/>
      </c>
      <c r="AQ235" s="34" t="n">
        <v>11</v>
      </c>
      <c r="AR235" s="34">
        <f>IF(AP235&gt;AQ235*1.05,AP235-AQ235*1.05,IF(AP235&lt;AQ235*0.95,AQ235*0.95-AP235,0))</f>
        <v/>
      </c>
      <c r="AS235" s="34">
        <f>MAX(F235:G235,750)*0.05*AR235</f>
        <v/>
      </c>
      <c r="AT235" t="n">
        <v>11</v>
      </c>
      <c r="AU235" s="34">
        <f>IF(AP235&gt;AT235*1.05,AP235-AT235*1.05,IF(AP235&lt;AT235*0.95,AT235*0.95-AP235,0))</f>
        <v/>
      </c>
      <c r="AV235" s="34">
        <f>MAX(F235:G235,750)*0.05*AU235</f>
        <v/>
      </c>
      <c r="AW235" s="34">
        <f>AC235+AJ235+AQ235</f>
        <v/>
      </c>
      <c r="AX235" s="34">
        <f>AF235+AM235+AT235</f>
        <v/>
      </c>
      <c r="AY235" s="34">
        <f>AB235+AI235+AP235</f>
        <v/>
      </c>
      <c r="AZ235" s="34" t="n">
        <v>0</v>
      </c>
      <c r="BA235" s="34">
        <f>AD235+AK235+AR235</f>
        <v/>
      </c>
      <c r="BB235" s="34">
        <f>MAX(F235:G235,750)*0.05*BA235</f>
        <v/>
      </c>
      <c r="BC235" s="34">
        <f>AG235+AN235+AU235</f>
        <v/>
      </c>
      <c r="BD235" s="34">
        <f>MAX(F235:G235,750)*0.05*BC235</f>
        <v/>
      </c>
      <c r="BE235" s="34">
        <f>F235*AY235</f>
        <v/>
      </c>
      <c r="BF235" s="34">
        <f>K235-M235</f>
        <v/>
      </c>
      <c r="BG235" s="34">
        <f>P235-S235</f>
        <v/>
      </c>
      <c r="BH235" s="34">
        <f>W235-AA235</f>
        <v/>
      </c>
      <c r="BI235" s="34">
        <f>BF235+BG235+BL235-BN235</f>
        <v/>
      </c>
      <c r="BJ235" s="34">
        <f>ABS(BK235)</f>
        <v/>
      </c>
      <c r="BK235" s="34">
        <f>AY235-(J235-L235+N235-Q235)</f>
        <v/>
      </c>
      <c r="BL235" s="34">
        <f>IF(AND(BK235&gt;0,MIN($F235:$G235)&lt;150,$E235="Enerji Açığı"),-100*BK235*1.03,IF(AND(BK235&gt;0,MIN($F235:$G235)&lt;150,$E235="Enerji Fazlası"),-100*BK235*1.06,IF(AND(BK235&gt;0,MIN($F235:$G235)&gt;=150,$E235="Enerji Açığı"),BK235*MIN($F235:$G235)*0.97,IF(AND(BK235&gt;0,MIN($F235:$G235)&gt;=150,$E235="Enerji Fazlası"),BK235*MIN($F235:$G235)*0.94,IF(AND(BK235&lt;0,MAX($F235:$G235)=4500,$E235="Enerji Açığı"),4500*1.05*1.06*BK235,IF(AND(BK235&lt;0,MAX($F235:$G235)=4500,$E235="Enerji Fazlası"),4500*1.05*1.03*BK235,IF(AND(BK235&lt;0,$E235="Enerji Açığı"),MAX($F235,$G235,150)*BK235*1.06,IF(AND(BK235&lt;0,$E235="Enerji Fazlası"),MAX($F235,$G235,150)*BK235*1.03,IF(AND(BK235&lt;0,$E235="Dengede"),MAX($F235:$G235,150)*1.03*BK235,MIN($F235:$G235)*0.97*BK235)))))))))</f>
        <v/>
      </c>
      <c r="BM235" s="34">
        <f>BE235-BI235-BN235</f>
        <v/>
      </c>
      <c r="BN235" s="34">
        <f>BB235</f>
        <v/>
      </c>
      <c r="BO235" s="34">
        <f>BE235-BI235</f>
        <v/>
      </c>
      <c r="BP235" s="34">
        <f>IF(AY235=0,0,BO235/AY235)</f>
        <v/>
      </c>
      <c r="BQ235" s="34">
        <f>MAX((AY235+MAX((-J235+L235-N235+Q235),0)),(MAX((J235-L235+N235-Q235),0)))</f>
        <v/>
      </c>
      <c r="BR235" s="82">
        <f>IFERROR(ABS(BK235/BQ235),0)</f>
        <v/>
      </c>
      <c r="BS235" s="34">
        <f>IF(BR235&lt;=0.1,0,BK235/BR235*(BR235-0.1))</f>
        <v/>
      </c>
      <c r="BT235" s="34">
        <f>IF((BS235)&lt;0,MAX(F235:G235)*(BS235)*1.03,MIN(F235:G235)*(BS235)*0.97)</f>
        <v/>
      </c>
      <c r="BU235" s="34">
        <f>IF(BR235&gt;0.1,1,0)</f>
        <v/>
      </c>
      <c r="BV235" s="34">
        <f>BF235+BG235+BH235+BY235-CA235</f>
        <v/>
      </c>
      <c r="BW235" s="34">
        <f>ABS(BX235)</f>
        <v/>
      </c>
      <c r="BX235" s="34">
        <f>AY235-(J235-L235+N235-Q235+T235-X235)</f>
        <v/>
      </c>
      <c r="BY235" s="34">
        <f>IF(AND(BX235&gt;0,MIN($F235:$G235)&lt;150,$E235="Enerji Açığı"),-100*BX235*1.03,IF(AND(BX235&gt;0,MIN($F235:$G235)&lt;150,$E235="Enerji Fazlası"),-100*BX235*1.06,IF(AND(BX235&gt;0,MIN($F235:$G235)&gt;=150,$E235="Enerji Açığı"),BX235*MIN($F235:$G235)*0.97,IF(AND(BX235&gt;0,MIN($F235:$G235)&gt;=150,$E235="Enerji Fazlası"),BX235*MIN($F235:$G235)*0.94,IF(AND(BX235&lt;0,MAX($F235:$G235)=4500,$E235="Enerji Açığı"),4500*1.05*1.06*BX235,IF(AND(BX235&lt;0,MAX($F235:$G235)=4500,$E235="Enerji Fazlası"),4500*1.05*1.03*BX235,IF(AND(BX235&lt;0,$E235="Enerji Açığı"),MAX($F235,$G235,150)*BX235*1.06,IF(AND(BX235&lt;0,$E235="Enerji Fazlası"),MAX($F235,$G235,150)*BX235*1.03,IF(AND(BX235&lt;0,$E235="Dengede"),MAX($F235:$G235,150)*1.03*BX235,MIN($F235:$G235)*0.97*BX235)))))))))</f>
        <v/>
      </c>
      <c r="BZ235" s="34">
        <f>BE235-BV235-CA235</f>
        <v/>
      </c>
      <c r="CA235" s="34">
        <f>BD235</f>
        <v/>
      </c>
      <c r="CB235" s="33">
        <f>BE235-BV235</f>
        <v/>
      </c>
      <c r="CC235" s="34">
        <f>IF(AY235=0,0,CB235/AY235)</f>
        <v/>
      </c>
      <c r="CD235" s="34">
        <f>MAX((AY235+MAX((-J235+L235-N235+Q235-T235+X235),0)),(MAX((J235-L235+N235-Q235+T235-X235),0)))</f>
        <v/>
      </c>
      <c r="CE235" s="82">
        <f>IFERROR(ABS(BX235/CD235),0)</f>
        <v/>
      </c>
      <c r="CF235" s="34">
        <f>IF(CE235&lt;=0.1,0,BX235/CE235*(CE235-0.1))</f>
        <v/>
      </c>
      <c r="CG235" s="34">
        <f>IF((CF235)&lt;0,MAX(F235:G235)*(CF235)*1.03,MIN(F235:G235)*(CF235)*0.97)</f>
        <v/>
      </c>
      <c r="CH235" s="34">
        <f>IF(CE235&gt;0.1,1,0)</f>
        <v/>
      </c>
      <c r="CI235" s="34">
        <f>(F235*BX235)-BY235</f>
        <v/>
      </c>
      <c r="CJ235" s="34">
        <f>IF(AY235=0,0,CI235/AY235)</f>
        <v/>
      </c>
    </row>
    <row r="236">
      <c r="A236" s="29" t="n">
        <v>46213.70833333334</v>
      </c>
      <c r="B236" s="29" t="inlineStr">
        <is>
          <t>17:00</t>
        </is>
      </c>
      <c r="C236" s="35">
        <f>INT(A236)</f>
        <v/>
      </c>
      <c r="D236" s="36">
        <f>MONTH(A236)</f>
        <v/>
      </c>
      <c r="E236" s="147">
        <f>[1]FİYATLAR!G211</f>
        <v/>
      </c>
      <c r="F236" s="30" t="n">
        <v>3000.01</v>
      </c>
      <c r="G236" s="30">
        <f>[1]FİYATLAR!E211</f>
        <v/>
      </c>
      <c r="H236" s="30" t="n">
        <v>64.14</v>
      </c>
      <c r="I236" s="30" t="n">
        <v>3238.93</v>
      </c>
      <c r="J236" s="119" t="n">
        <v>0</v>
      </c>
      <c r="K236" s="34">
        <f>F236*J236</f>
        <v/>
      </c>
      <c r="L236" s="119" t="n"/>
      <c r="M236" s="34">
        <f>L236*F236</f>
        <v/>
      </c>
      <c r="N236" s="119" t="n"/>
      <c r="O236" s="34">
        <f>F236</f>
        <v/>
      </c>
      <c r="P236" s="34">
        <f>N236*O236</f>
        <v/>
      </c>
      <c r="Q236" s="117" t="n">
        <v>0</v>
      </c>
      <c r="R236" s="34">
        <f>F236</f>
        <v/>
      </c>
      <c r="S236" s="34">
        <f>R236*Q236</f>
        <v/>
      </c>
      <c r="T236" s="34">
        <f>SUMIFS('[1]GİP VERİLERİ'!$C:$C,'[1]GİP VERİLERİ'!$B:$B,A236,'[1]GİP VERİLERİ'!$M:$M,"40X000000104782K",'[1]GİP VERİLERİ'!$G:$G,"SELL")</f>
        <v/>
      </c>
      <c r="U236" s="34">
        <f>IFERROR(W236/T236,0)</f>
        <v/>
      </c>
      <c r="V236" s="34">
        <f>IF(U236=0,0,U236-F236)</f>
        <v/>
      </c>
      <c r="W236" s="34">
        <f>SUMIFS('[1]GİP VERİLERİ'!$O:$O,'[1]GİP VERİLERİ'!$B:$B,A236,'[1]GİP VERİLERİ'!$M:$M,"40X000000104782K",'[1]GİP VERİLERİ'!$G:$G,"SELL")</f>
        <v/>
      </c>
      <c r="X236" s="34">
        <f>SUMIFS('[1]GİP VERİLERİ'!$C:$C,'[1]GİP VERİLERİ'!$B:$B,A236,'[1]GİP VERİLERİ'!$M:$M,"40X000000104782K",'[1]GİP VERİLERİ'!$G:$G,"BUY")</f>
        <v/>
      </c>
      <c r="Y236" s="34">
        <f>IFERROR(AA236/X236,0)</f>
        <v/>
      </c>
      <c r="Z236" s="34">
        <f>IF(Y236=0,0,F236-Y236)</f>
        <v/>
      </c>
      <c r="AA236" s="34">
        <f>SUMIFS('[1]GİP VERİLERİ'!$O:$O,'[1]GİP VERİLERİ'!$B:$B,A236,'[1]GİP VERİLERİ'!$M:$M,"40X000000104782K",'[1]GİP VERİLERİ'!$G:$G,"BUY")</f>
        <v/>
      </c>
      <c r="AB236" s="34">
        <f>'[1]GÖP VERİLERİ'!H237</f>
        <v/>
      </c>
      <c r="AC236" s="34" t="n">
        <v>0</v>
      </c>
      <c r="AD236" s="34">
        <f>IF(AB236&gt;AC236*1.05,AB236-AC236*1.05,IF(AB236&lt;AC236*0.95,AC236*0.95-AB236,0))</f>
        <v/>
      </c>
      <c r="AE236" s="34">
        <f>MAX(F236,G236,750)*0.05*AD236</f>
        <v/>
      </c>
      <c r="AF236" s="34" t="n">
        <v>0</v>
      </c>
      <c r="AG236" s="34">
        <f>IF(AB236&gt;AF236*1.05,AB236-AF236*1.05,IF(AB236&lt;AF236*0.95,AF236*0.95-AB236,0))</f>
        <v/>
      </c>
      <c r="AH236" s="34">
        <f>MAX(I236,J236,750)*0.05*AG236</f>
        <v/>
      </c>
      <c r="AI236">
        <f>'[1]GÖP VERİLERİ'!E237</f>
        <v/>
      </c>
      <c r="AJ236" t="n">
        <v>8</v>
      </c>
      <c r="AK236" s="34">
        <f>IF(AI236&gt;AJ236*1.05,AI236-AJ236*1.05,IF(AI236&lt;AJ236*0.95,AJ236*0.95-AI236,0))</f>
        <v/>
      </c>
      <c r="AL236" s="34">
        <f>MAX(F236,G236,750)*0.05*AK236</f>
        <v/>
      </c>
      <c r="AM236" s="39" t="n">
        <v>8</v>
      </c>
      <c r="AN236" s="34">
        <f>IF(AI236&gt;AM236*1.05,AI236-AM236*1.05,IF(AI236&lt;AM236*0.95,AM236*0.95-AI236,0))</f>
        <v/>
      </c>
      <c r="AO236" s="34">
        <f>MAX(F236,G236,750)*0.05*AN236</f>
        <v/>
      </c>
      <c r="AP236" s="34">
        <f>'[1]GÖP VERİLERİ'!B237</f>
        <v/>
      </c>
      <c r="AQ236" s="34" t="n">
        <v>11</v>
      </c>
      <c r="AR236" s="34">
        <f>IF(AP236&gt;AQ236*1.05,AP236-AQ236*1.05,IF(AP236&lt;AQ236*0.95,AQ236*0.95-AP236,0))</f>
        <v/>
      </c>
      <c r="AS236" s="34">
        <f>MAX(F236:G236,750)*0.05*AR236</f>
        <v/>
      </c>
      <c r="AT236" t="n">
        <v>11</v>
      </c>
      <c r="AU236" s="34">
        <f>IF(AP236&gt;AT236*1.05,AP236-AT236*1.05,IF(AP236&lt;AT236*0.95,AT236*0.95-AP236,0))</f>
        <v/>
      </c>
      <c r="AV236" s="34">
        <f>MAX(F236:G236,750)*0.05*AU236</f>
        <v/>
      </c>
      <c r="AW236" s="34">
        <f>AC236+AJ236+AQ236</f>
        <v/>
      </c>
      <c r="AX236" s="34">
        <f>AF236+AM236+AT236</f>
        <v/>
      </c>
      <c r="AY236" s="34">
        <f>AB236+AI236+AP236</f>
        <v/>
      </c>
      <c r="AZ236" s="34" t="n">
        <v>0</v>
      </c>
      <c r="BA236" s="34">
        <f>AD236+AK236+AR236</f>
        <v/>
      </c>
      <c r="BB236" s="34">
        <f>MAX(F236:G236,750)*0.05*BA236</f>
        <v/>
      </c>
      <c r="BC236" s="34">
        <f>AG236+AN236+AU236</f>
        <v/>
      </c>
      <c r="BD236" s="34">
        <f>MAX(F236:G236,750)*0.05*BC236</f>
        <v/>
      </c>
      <c r="BE236" s="34">
        <f>F236*AY236</f>
        <v/>
      </c>
      <c r="BF236" s="34">
        <f>K236-M236</f>
        <v/>
      </c>
      <c r="BG236" s="34">
        <f>P236-S236</f>
        <v/>
      </c>
      <c r="BH236" s="34">
        <f>W236-AA236</f>
        <v/>
      </c>
      <c r="BI236" s="34">
        <f>BF236+BG236+BL236-BN236</f>
        <v/>
      </c>
      <c r="BJ236" s="34">
        <f>ABS(BK236)</f>
        <v/>
      </c>
      <c r="BK236" s="34">
        <f>AY236-(J236-L236+N236-Q236)</f>
        <v/>
      </c>
      <c r="BL236" s="34">
        <f>IF(AND(BK236&gt;0,MIN($F236:$G236)&lt;150,$E236="Enerji Açığı"),-100*BK236*1.03,IF(AND(BK236&gt;0,MIN($F236:$G236)&lt;150,$E236="Enerji Fazlası"),-100*BK236*1.06,IF(AND(BK236&gt;0,MIN($F236:$G236)&gt;=150,$E236="Enerji Açığı"),BK236*MIN($F236:$G236)*0.97,IF(AND(BK236&gt;0,MIN($F236:$G236)&gt;=150,$E236="Enerji Fazlası"),BK236*MIN($F236:$G236)*0.94,IF(AND(BK236&lt;0,MAX($F236:$G236)=4500,$E236="Enerji Açığı"),4500*1.05*1.06*BK236,IF(AND(BK236&lt;0,MAX($F236:$G236)=4500,$E236="Enerji Fazlası"),4500*1.05*1.03*BK236,IF(AND(BK236&lt;0,$E236="Enerji Açığı"),MAX($F236,$G236,150)*BK236*1.06,IF(AND(BK236&lt;0,$E236="Enerji Fazlası"),MAX($F236,$G236,150)*BK236*1.03,IF(AND(BK236&lt;0,$E236="Dengede"),MAX($F236:$G236,150)*1.03*BK236,MIN($F236:$G236)*0.97*BK236)))))))))</f>
        <v/>
      </c>
      <c r="BM236" s="34">
        <f>BE236-BI236-BN236</f>
        <v/>
      </c>
      <c r="BN236" s="34">
        <f>BB236</f>
        <v/>
      </c>
      <c r="BO236" s="34">
        <f>BE236-BI236</f>
        <v/>
      </c>
      <c r="BP236" s="34">
        <f>IF(AY236=0,0,BO236/AY236)</f>
        <v/>
      </c>
      <c r="BQ236" s="34">
        <f>MAX((AY236+MAX((-J236+L236-N236+Q236),0)),(MAX((J236-L236+N236-Q236),0)))</f>
        <v/>
      </c>
      <c r="BR236" s="82">
        <f>IFERROR(ABS(BK236/BQ236),0)</f>
        <v/>
      </c>
      <c r="BS236" s="34">
        <f>IF(BR236&lt;=0.1,0,BK236/BR236*(BR236-0.1))</f>
        <v/>
      </c>
      <c r="BT236" s="34">
        <f>IF((BS236)&lt;0,MAX(F236:G236)*(BS236)*1.03,MIN(F236:G236)*(BS236)*0.97)</f>
        <v/>
      </c>
      <c r="BU236" s="34">
        <f>IF(BR236&gt;0.1,1,0)</f>
        <v/>
      </c>
      <c r="BV236" s="34">
        <f>BF236+BG236+BH236+BY236-CA236</f>
        <v/>
      </c>
      <c r="BW236" s="34">
        <f>ABS(BX236)</f>
        <v/>
      </c>
      <c r="BX236" s="34">
        <f>AY236-(J236-L236+N236-Q236+T236-X236)</f>
        <v/>
      </c>
      <c r="BY236" s="34">
        <f>IF(AND(BX236&gt;0,MIN($F236:$G236)&lt;150,$E236="Enerji Açığı"),-100*BX236*1.03,IF(AND(BX236&gt;0,MIN($F236:$G236)&lt;150,$E236="Enerji Fazlası"),-100*BX236*1.06,IF(AND(BX236&gt;0,MIN($F236:$G236)&gt;=150,$E236="Enerji Açığı"),BX236*MIN($F236:$G236)*0.97,IF(AND(BX236&gt;0,MIN($F236:$G236)&gt;=150,$E236="Enerji Fazlası"),BX236*MIN($F236:$G236)*0.94,IF(AND(BX236&lt;0,MAX($F236:$G236)=4500,$E236="Enerji Açığı"),4500*1.05*1.06*BX236,IF(AND(BX236&lt;0,MAX($F236:$G236)=4500,$E236="Enerji Fazlası"),4500*1.05*1.03*BX236,IF(AND(BX236&lt;0,$E236="Enerji Açığı"),MAX($F236,$G236,150)*BX236*1.06,IF(AND(BX236&lt;0,$E236="Enerji Fazlası"),MAX($F236,$G236,150)*BX236*1.03,IF(AND(BX236&lt;0,$E236="Dengede"),MAX($F236:$G236,150)*1.03*BX236,MIN($F236:$G236)*0.97*BX236)))))))))</f>
        <v/>
      </c>
      <c r="BZ236" s="34">
        <f>BE236-BV236-CA236</f>
        <v/>
      </c>
      <c r="CA236" s="34">
        <f>BD236</f>
        <v/>
      </c>
      <c r="CB236" s="33">
        <f>BE236-BV236</f>
        <v/>
      </c>
      <c r="CC236" s="34">
        <f>IF(AY236=0,0,CB236/AY236)</f>
        <v/>
      </c>
      <c r="CD236" s="34">
        <f>MAX((AY236+MAX((-J236+L236-N236+Q236-T236+X236),0)),(MAX((J236-L236+N236-Q236+T236-X236),0)))</f>
        <v/>
      </c>
      <c r="CE236" s="82">
        <f>IFERROR(ABS(BX236/CD236),0)</f>
        <v/>
      </c>
      <c r="CF236" s="34">
        <f>IF(CE236&lt;=0.1,0,BX236/CE236*(CE236-0.1))</f>
        <v/>
      </c>
      <c r="CG236" s="34">
        <f>IF((CF236)&lt;0,MAX(F236:G236)*(CF236)*1.03,MIN(F236:G236)*(CF236)*0.97)</f>
        <v/>
      </c>
      <c r="CH236" s="34">
        <f>IF(CE236&gt;0.1,1,0)</f>
        <v/>
      </c>
      <c r="CI236" s="34">
        <f>(F236*BX236)-BY236</f>
        <v/>
      </c>
      <c r="CJ236" s="34">
        <f>IF(AY236=0,0,CI236/AY236)</f>
        <v/>
      </c>
    </row>
    <row r="237">
      <c r="A237" s="29" t="n">
        <v>46213.75</v>
      </c>
      <c r="B237" s="29" t="inlineStr">
        <is>
          <t>18:00</t>
        </is>
      </c>
      <c r="C237" s="35">
        <f>INT(A237)</f>
        <v/>
      </c>
      <c r="D237" s="36">
        <f>MONTH(A237)</f>
        <v/>
      </c>
      <c r="E237" s="147">
        <f>[1]FİYATLAR!G212</f>
        <v/>
      </c>
      <c r="F237" s="30" t="n">
        <v>3000.01</v>
      </c>
      <c r="G237" s="30">
        <f>[1]FİYATLAR!E212</f>
        <v/>
      </c>
      <c r="H237" s="30" t="n">
        <v>64.14</v>
      </c>
      <c r="I237" s="30" t="n">
        <v>3175.85</v>
      </c>
      <c r="J237" s="119" t="n">
        <v>0</v>
      </c>
      <c r="K237" s="34">
        <f>F237*J237</f>
        <v/>
      </c>
      <c r="L237" s="119" t="n"/>
      <c r="M237" s="34">
        <f>L237*F237</f>
        <v/>
      </c>
      <c r="N237" s="119" t="n"/>
      <c r="O237" s="34">
        <f>F237</f>
        <v/>
      </c>
      <c r="P237" s="34">
        <f>N237*O237</f>
        <v/>
      </c>
      <c r="Q237" s="117" t="n">
        <v>0</v>
      </c>
      <c r="R237" s="34">
        <f>F237</f>
        <v/>
      </c>
      <c r="S237" s="34">
        <f>R237*Q237</f>
        <v/>
      </c>
      <c r="T237" s="34">
        <f>SUMIFS('[1]GİP VERİLERİ'!$C:$C,'[1]GİP VERİLERİ'!$B:$B,A237,'[1]GİP VERİLERİ'!$M:$M,"40X000000104782K",'[1]GİP VERİLERİ'!$G:$G,"SELL")</f>
        <v/>
      </c>
      <c r="U237" s="34">
        <f>IFERROR(W237/T237,0)</f>
        <v/>
      </c>
      <c r="V237" s="34">
        <f>IF(U237=0,0,U237-F237)</f>
        <v/>
      </c>
      <c r="W237" s="34">
        <f>SUMIFS('[1]GİP VERİLERİ'!$O:$O,'[1]GİP VERİLERİ'!$B:$B,A237,'[1]GİP VERİLERİ'!$M:$M,"40X000000104782K",'[1]GİP VERİLERİ'!$G:$G,"SELL")</f>
        <v/>
      </c>
      <c r="X237" s="34">
        <f>SUMIFS('[1]GİP VERİLERİ'!$C:$C,'[1]GİP VERİLERİ'!$B:$B,A237,'[1]GİP VERİLERİ'!$M:$M,"40X000000104782K",'[1]GİP VERİLERİ'!$G:$G,"BUY")</f>
        <v/>
      </c>
      <c r="Y237" s="34">
        <f>IFERROR(AA237/X237,0)</f>
        <v/>
      </c>
      <c r="Z237" s="34">
        <f>IF(Y237=0,0,F237-Y237)</f>
        <v/>
      </c>
      <c r="AA237" s="34">
        <f>SUMIFS('[1]GİP VERİLERİ'!$O:$O,'[1]GİP VERİLERİ'!$B:$B,A237,'[1]GİP VERİLERİ'!$M:$M,"40X000000104782K",'[1]GİP VERİLERİ'!$G:$G,"BUY")</f>
        <v/>
      </c>
      <c r="AB237" s="34">
        <f>'[1]GÖP VERİLERİ'!H238</f>
        <v/>
      </c>
      <c r="AC237" s="34" t="n">
        <v>0</v>
      </c>
      <c r="AD237" s="34">
        <f>IF(AB237&gt;AC237*1.05,AB237-AC237*1.05,IF(AB237&lt;AC237*0.95,AC237*0.95-AB237,0))</f>
        <v/>
      </c>
      <c r="AE237" s="34">
        <f>MAX(F237,G237,750)*0.05*AD237</f>
        <v/>
      </c>
      <c r="AF237" s="34" t="n">
        <v>0</v>
      </c>
      <c r="AG237" s="34">
        <f>IF(AB237&gt;AF237*1.05,AB237-AF237*1.05,IF(AB237&lt;AF237*0.95,AF237*0.95-AB237,0))</f>
        <v/>
      </c>
      <c r="AH237" s="34">
        <f>MAX(I237,J237,750)*0.05*AG237</f>
        <v/>
      </c>
      <c r="AI237">
        <f>'[1]GÖP VERİLERİ'!E238</f>
        <v/>
      </c>
      <c r="AJ237" t="n">
        <v>8</v>
      </c>
      <c r="AK237" s="34">
        <f>IF(AI237&gt;AJ237*1.05,AI237-AJ237*1.05,IF(AI237&lt;AJ237*0.95,AJ237*0.95-AI237,0))</f>
        <v/>
      </c>
      <c r="AL237" s="34">
        <f>MAX(F237,G237,750)*0.05*AK237</f>
        <v/>
      </c>
      <c r="AM237" s="39" t="n">
        <v>8</v>
      </c>
      <c r="AN237" s="34">
        <f>IF(AI237&gt;AM237*1.05,AI237-AM237*1.05,IF(AI237&lt;AM237*0.95,AM237*0.95-AI237,0))</f>
        <v/>
      </c>
      <c r="AO237" s="34">
        <f>MAX(F237,G237,750)*0.05*AN237</f>
        <v/>
      </c>
      <c r="AP237" s="34">
        <f>'[1]GÖP VERİLERİ'!B238</f>
        <v/>
      </c>
      <c r="AQ237" s="34" t="n">
        <v>11</v>
      </c>
      <c r="AR237" s="34">
        <f>IF(AP237&gt;AQ237*1.05,AP237-AQ237*1.05,IF(AP237&lt;AQ237*0.95,AQ237*0.95-AP237,0))</f>
        <v/>
      </c>
      <c r="AS237" s="34">
        <f>MAX(F237:G237,750)*0.05*AR237</f>
        <v/>
      </c>
      <c r="AT237" t="n">
        <v>11</v>
      </c>
      <c r="AU237" s="34">
        <f>IF(AP237&gt;AT237*1.05,AP237-AT237*1.05,IF(AP237&lt;AT237*0.95,AT237*0.95-AP237,0))</f>
        <v/>
      </c>
      <c r="AV237" s="34">
        <f>MAX(F237:G237,750)*0.05*AU237</f>
        <v/>
      </c>
      <c r="AW237" s="34">
        <f>AC237+AJ237+AQ237</f>
        <v/>
      </c>
      <c r="AX237" s="34">
        <f>AF237+AM237+AT237</f>
        <v/>
      </c>
      <c r="AY237" s="34">
        <f>AB237+AI237+AP237</f>
        <v/>
      </c>
      <c r="AZ237" s="34" t="n">
        <v>0</v>
      </c>
      <c r="BA237" s="34">
        <f>AD237+AK237+AR237</f>
        <v/>
      </c>
      <c r="BB237" s="34">
        <f>MAX(F237:G237,750)*0.05*BA237</f>
        <v/>
      </c>
      <c r="BC237" s="34">
        <f>AG237+AN237+AU237</f>
        <v/>
      </c>
      <c r="BD237" s="34">
        <f>MAX(F237:G237,750)*0.05*BC237</f>
        <v/>
      </c>
      <c r="BE237" s="34">
        <f>F237*AY237</f>
        <v/>
      </c>
      <c r="BF237" s="34">
        <f>K237-M237</f>
        <v/>
      </c>
      <c r="BG237" s="34">
        <f>P237-S237</f>
        <v/>
      </c>
      <c r="BH237" s="34">
        <f>W237-AA237</f>
        <v/>
      </c>
      <c r="BI237" s="34">
        <f>BF237+BG237+BL237-BN237</f>
        <v/>
      </c>
      <c r="BJ237" s="34">
        <f>ABS(BK237)</f>
        <v/>
      </c>
      <c r="BK237" s="34">
        <f>AY237-(J237-L237+N237-Q237)</f>
        <v/>
      </c>
      <c r="BL237" s="34">
        <f>IF(AND(BK237&gt;0,MIN($F237:$G237)&lt;150,$E237="Enerji Açığı"),-100*BK237*1.03,IF(AND(BK237&gt;0,MIN($F237:$G237)&lt;150,$E237="Enerji Fazlası"),-100*BK237*1.06,IF(AND(BK237&gt;0,MIN($F237:$G237)&gt;=150,$E237="Enerji Açığı"),BK237*MIN($F237:$G237)*0.97,IF(AND(BK237&gt;0,MIN($F237:$G237)&gt;=150,$E237="Enerji Fazlası"),BK237*MIN($F237:$G237)*0.94,IF(AND(BK237&lt;0,MAX($F237:$G237)=4500,$E237="Enerji Açığı"),4500*1.05*1.06*BK237,IF(AND(BK237&lt;0,MAX($F237:$G237)=4500,$E237="Enerji Fazlası"),4500*1.05*1.03*BK237,IF(AND(BK237&lt;0,$E237="Enerji Açığı"),MAX($F237,$G237,150)*BK237*1.06,IF(AND(BK237&lt;0,$E237="Enerji Fazlası"),MAX($F237,$G237,150)*BK237*1.03,IF(AND(BK237&lt;0,$E237="Dengede"),MAX($F237:$G237,150)*1.03*BK237,MIN($F237:$G237)*0.97*BK237)))))))))</f>
        <v/>
      </c>
      <c r="BM237" s="34">
        <f>BE237-BI237-BN237</f>
        <v/>
      </c>
      <c r="BN237" s="34">
        <f>BB237</f>
        <v/>
      </c>
      <c r="BO237" s="34">
        <f>BE237-BI237</f>
        <v/>
      </c>
      <c r="BP237" s="34">
        <f>IF(AY237=0,0,BO237/AY237)</f>
        <v/>
      </c>
      <c r="BQ237" s="34">
        <f>MAX((AY237+MAX((-J237+L237-N237+Q237),0)),(MAX((J237-L237+N237-Q237),0)))</f>
        <v/>
      </c>
      <c r="BR237" s="82">
        <f>IFERROR(ABS(BK237/BQ237),0)</f>
        <v/>
      </c>
      <c r="BS237" s="34">
        <f>IF(BR237&lt;=0.1,0,BK237/BR237*(BR237-0.1))</f>
        <v/>
      </c>
      <c r="BT237" s="34">
        <f>IF((BS237)&lt;0,MAX(F237:G237)*(BS237)*1.03,MIN(F237:G237)*(BS237)*0.97)</f>
        <v/>
      </c>
      <c r="BU237" s="34">
        <f>IF(BR237&gt;0.1,1,0)</f>
        <v/>
      </c>
      <c r="BV237" s="34">
        <f>BF237+BG237+BH237+BY237-CA237</f>
        <v/>
      </c>
      <c r="BW237" s="34">
        <f>ABS(BX237)</f>
        <v/>
      </c>
      <c r="BX237" s="34">
        <f>AY237-(J237-L237+N237-Q237+T237-X237)</f>
        <v/>
      </c>
      <c r="BY237" s="34">
        <f>IF(AND(BX237&gt;0,MIN($F237:$G237)&lt;150,$E237="Enerji Açığı"),-100*BX237*1.03,IF(AND(BX237&gt;0,MIN($F237:$G237)&lt;150,$E237="Enerji Fazlası"),-100*BX237*1.06,IF(AND(BX237&gt;0,MIN($F237:$G237)&gt;=150,$E237="Enerji Açığı"),BX237*MIN($F237:$G237)*0.97,IF(AND(BX237&gt;0,MIN($F237:$G237)&gt;=150,$E237="Enerji Fazlası"),BX237*MIN($F237:$G237)*0.94,IF(AND(BX237&lt;0,MAX($F237:$G237)=4500,$E237="Enerji Açığı"),4500*1.05*1.06*BX237,IF(AND(BX237&lt;0,MAX($F237:$G237)=4500,$E237="Enerji Fazlası"),4500*1.05*1.03*BX237,IF(AND(BX237&lt;0,$E237="Enerji Açığı"),MAX($F237,$G237,150)*BX237*1.06,IF(AND(BX237&lt;0,$E237="Enerji Fazlası"),MAX($F237,$G237,150)*BX237*1.03,IF(AND(BX237&lt;0,$E237="Dengede"),MAX($F237:$G237,150)*1.03*BX237,MIN($F237:$G237)*0.97*BX237)))))))))</f>
        <v/>
      </c>
      <c r="BZ237" s="34">
        <f>BE237-BV237-CA237</f>
        <v/>
      </c>
      <c r="CA237" s="34">
        <f>BD237</f>
        <v/>
      </c>
      <c r="CB237" s="33">
        <f>BE237-BV237</f>
        <v/>
      </c>
      <c r="CC237" s="34">
        <f>IF(AY237=0,0,CB237/AY237)</f>
        <v/>
      </c>
      <c r="CD237" s="34">
        <f>MAX((AY237+MAX((-J237+L237-N237+Q237-T237+X237),0)),(MAX((J237-L237+N237-Q237+T237-X237),0)))</f>
        <v/>
      </c>
      <c r="CE237" s="82">
        <f>IFERROR(ABS(BX237/CD237),0)</f>
        <v/>
      </c>
      <c r="CF237" s="34">
        <f>IF(CE237&lt;=0.1,0,BX237/CE237*(CE237-0.1))</f>
        <v/>
      </c>
      <c r="CG237" s="34">
        <f>IF((CF237)&lt;0,MAX(F237:G237)*(CF237)*1.03,MIN(F237:G237)*(CF237)*0.97)</f>
        <v/>
      </c>
      <c r="CH237" s="34">
        <f>IF(CE237&gt;0.1,1,0)</f>
        <v/>
      </c>
      <c r="CI237" s="34">
        <f>(F237*BX237)-BY237</f>
        <v/>
      </c>
      <c r="CJ237" s="34">
        <f>IF(AY237=0,0,CI237/AY237)</f>
        <v/>
      </c>
    </row>
    <row r="238">
      <c r="A238" s="29" t="n">
        <v>46213.79166666666</v>
      </c>
      <c r="B238" s="29" t="inlineStr">
        <is>
          <t>19:00</t>
        </is>
      </c>
      <c r="C238" s="35">
        <f>INT(A238)</f>
        <v/>
      </c>
      <c r="D238" s="36">
        <f>MONTH(A238)</f>
        <v/>
      </c>
      <c r="E238" s="147">
        <f>[1]FİYATLAR!G213</f>
        <v/>
      </c>
      <c r="F238" s="30" t="n">
        <v>3797.99</v>
      </c>
      <c r="G238" s="30">
        <f>[1]FİYATLAR!E213</f>
        <v/>
      </c>
      <c r="H238" s="30" t="n">
        <v>81.20999999999999</v>
      </c>
      <c r="I238" s="30" t="n">
        <v>3895.21</v>
      </c>
      <c r="J238" s="119" t="n">
        <v>0</v>
      </c>
      <c r="K238" s="34">
        <f>F238*J238</f>
        <v/>
      </c>
      <c r="L238" s="119" t="n"/>
      <c r="M238" s="34">
        <f>L238*F238</f>
        <v/>
      </c>
      <c r="N238" s="119" t="n"/>
      <c r="O238" s="34">
        <f>F238</f>
        <v/>
      </c>
      <c r="P238" s="34">
        <f>N238*O238</f>
        <v/>
      </c>
      <c r="Q238" s="117" t="n">
        <v>0</v>
      </c>
      <c r="R238" s="34">
        <f>F238</f>
        <v/>
      </c>
      <c r="S238" s="34">
        <f>R238*Q238</f>
        <v/>
      </c>
      <c r="T238" s="34">
        <f>SUMIFS('[1]GİP VERİLERİ'!$C:$C,'[1]GİP VERİLERİ'!$B:$B,A238,'[1]GİP VERİLERİ'!$M:$M,"40X000000104782K",'[1]GİP VERİLERİ'!$G:$G,"SELL")</f>
        <v/>
      </c>
      <c r="U238" s="34">
        <f>IFERROR(W238/T238,0)</f>
        <v/>
      </c>
      <c r="V238" s="34">
        <f>IF(U238=0,0,U238-F238)</f>
        <v/>
      </c>
      <c r="W238" s="34">
        <f>SUMIFS('[1]GİP VERİLERİ'!$O:$O,'[1]GİP VERİLERİ'!$B:$B,A238,'[1]GİP VERİLERİ'!$M:$M,"40X000000104782K",'[1]GİP VERİLERİ'!$G:$G,"SELL")</f>
        <v/>
      </c>
      <c r="X238" s="34">
        <f>SUMIFS('[1]GİP VERİLERİ'!$C:$C,'[1]GİP VERİLERİ'!$B:$B,A238,'[1]GİP VERİLERİ'!$M:$M,"40X000000104782K",'[1]GİP VERİLERİ'!$G:$G,"BUY")</f>
        <v/>
      </c>
      <c r="Y238" s="34">
        <f>IFERROR(AA238/X238,0)</f>
        <v/>
      </c>
      <c r="Z238" s="34">
        <f>IF(Y238=0,0,F238-Y238)</f>
        <v/>
      </c>
      <c r="AA238" s="34">
        <f>SUMIFS('[1]GİP VERİLERİ'!$O:$O,'[1]GİP VERİLERİ'!$B:$B,A238,'[1]GİP VERİLERİ'!$M:$M,"40X000000104782K",'[1]GİP VERİLERİ'!$G:$G,"BUY")</f>
        <v/>
      </c>
      <c r="AB238" s="34">
        <f>'[1]GÖP VERİLERİ'!H239</f>
        <v/>
      </c>
      <c r="AC238" s="34" t="n">
        <v>0</v>
      </c>
      <c r="AD238" s="34">
        <f>IF(AB238&gt;AC238*1.05,AB238-AC238*1.05,IF(AB238&lt;AC238*0.95,AC238*0.95-AB238,0))</f>
        <v/>
      </c>
      <c r="AE238" s="34">
        <f>MAX(F238,G238,750)*0.05*AD238</f>
        <v/>
      </c>
      <c r="AF238" s="34" t="n">
        <v>0</v>
      </c>
      <c r="AG238" s="34">
        <f>IF(AB238&gt;AF238*1.05,AB238-AF238*1.05,IF(AB238&lt;AF238*0.95,AF238*0.95-AB238,0))</f>
        <v/>
      </c>
      <c r="AH238" s="34">
        <f>MAX(I238,J238,750)*0.05*AG238</f>
        <v/>
      </c>
      <c r="AI238">
        <f>'[1]GÖP VERİLERİ'!E239</f>
        <v/>
      </c>
      <c r="AJ238" t="n">
        <v>8</v>
      </c>
      <c r="AK238" s="34">
        <f>IF(AI238&gt;AJ238*1.05,AI238-AJ238*1.05,IF(AI238&lt;AJ238*0.95,AJ238*0.95-AI238,0))</f>
        <v/>
      </c>
      <c r="AL238" s="34">
        <f>MAX(F238,G238,750)*0.05*AK238</f>
        <v/>
      </c>
      <c r="AM238" s="39" t="n">
        <v>8</v>
      </c>
      <c r="AN238" s="34">
        <f>IF(AI238&gt;AM238*1.05,AI238-AM238*1.05,IF(AI238&lt;AM238*0.95,AM238*0.95-AI238,0))</f>
        <v/>
      </c>
      <c r="AO238" s="34">
        <f>MAX(F238,G238,750)*0.05*AN238</f>
        <v/>
      </c>
      <c r="AP238" s="34">
        <f>'[1]GÖP VERİLERİ'!B239</f>
        <v/>
      </c>
      <c r="AQ238" s="34" t="n">
        <v>11</v>
      </c>
      <c r="AR238" s="34">
        <f>IF(AP238&gt;AQ238*1.05,AP238-AQ238*1.05,IF(AP238&lt;AQ238*0.95,AQ238*0.95-AP238,0))</f>
        <v/>
      </c>
      <c r="AS238" s="34">
        <f>MAX(F238:G238,750)*0.05*AR238</f>
        <v/>
      </c>
      <c r="AT238" t="n">
        <v>11</v>
      </c>
      <c r="AU238" s="34">
        <f>IF(AP238&gt;AT238*1.05,AP238-AT238*1.05,IF(AP238&lt;AT238*0.95,AT238*0.95-AP238,0))</f>
        <v/>
      </c>
      <c r="AV238" s="34">
        <f>MAX(F238:G238,750)*0.05*AU238</f>
        <v/>
      </c>
      <c r="AW238" s="34">
        <f>AC238+AJ238+AQ238</f>
        <v/>
      </c>
      <c r="AX238" s="34">
        <f>AF238+AM238+AT238</f>
        <v/>
      </c>
      <c r="AY238" s="34">
        <f>AB238+AI238+AP238</f>
        <v/>
      </c>
      <c r="AZ238" s="34" t="n">
        <v>0</v>
      </c>
      <c r="BA238" s="34">
        <f>AD238+AK238+AR238</f>
        <v/>
      </c>
      <c r="BB238" s="34">
        <f>MAX(F238:G238,750)*0.05*BA238</f>
        <v/>
      </c>
      <c r="BC238" s="34">
        <f>AG238+AN238+AU238</f>
        <v/>
      </c>
      <c r="BD238" s="34">
        <f>MAX(F238:G238,750)*0.05*BC238</f>
        <v/>
      </c>
      <c r="BE238" s="34">
        <f>F238*AY238</f>
        <v/>
      </c>
      <c r="BF238" s="34">
        <f>K238-M238</f>
        <v/>
      </c>
      <c r="BG238" s="34">
        <f>P238-S238</f>
        <v/>
      </c>
      <c r="BH238" s="34">
        <f>W238-AA238</f>
        <v/>
      </c>
      <c r="BI238" s="34">
        <f>BF238+BG238+BL238-BN238</f>
        <v/>
      </c>
      <c r="BJ238" s="34">
        <f>ABS(BK238)</f>
        <v/>
      </c>
      <c r="BK238" s="34">
        <f>AY238-(J238-L238+N238-Q238)</f>
        <v/>
      </c>
      <c r="BL238" s="34">
        <f>IF(AND(BK238&gt;0,MIN($F238:$G238)&lt;150,$E238="Enerji Açığı"),-100*BK238*1.03,IF(AND(BK238&gt;0,MIN($F238:$G238)&lt;150,$E238="Enerji Fazlası"),-100*BK238*1.06,IF(AND(BK238&gt;0,MIN($F238:$G238)&gt;=150,$E238="Enerji Açığı"),BK238*MIN($F238:$G238)*0.97,IF(AND(BK238&gt;0,MIN($F238:$G238)&gt;=150,$E238="Enerji Fazlası"),BK238*MIN($F238:$G238)*0.94,IF(AND(BK238&lt;0,MAX($F238:$G238)=4500,$E238="Enerji Açığı"),4500*1.05*1.06*BK238,IF(AND(BK238&lt;0,MAX($F238:$G238)=4500,$E238="Enerji Fazlası"),4500*1.05*1.03*BK238,IF(AND(BK238&lt;0,$E238="Enerji Açığı"),MAX($F238,$G238,150)*BK238*1.06,IF(AND(BK238&lt;0,$E238="Enerji Fazlası"),MAX($F238,$G238,150)*BK238*1.03,IF(AND(BK238&lt;0,$E238="Dengede"),MAX($F238:$G238,150)*1.03*BK238,MIN($F238:$G238)*0.97*BK238)))))))))</f>
        <v/>
      </c>
      <c r="BM238" s="34">
        <f>BE238-BI238-BN238</f>
        <v/>
      </c>
      <c r="BN238" s="34">
        <f>BB238</f>
        <v/>
      </c>
      <c r="BO238" s="34">
        <f>BE238-BI238</f>
        <v/>
      </c>
      <c r="BP238" s="34">
        <f>IF(AY238=0,0,BO238/AY238)</f>
        <v/>
      </c>
      <c r="BQ238" s="34">
        <f>MAX((AY238+MAX((-J238+L238-N238+Q238),0)),(MAX((J238-L238+N238-Q238),0)))</f>
        <v/>
      </c>
      <c r="BR238" s="82">
        <f>IFERROR(ABS(BK238/BQ238),0)</f>
        <v/>
      </c>
      <c r="BS238" s="34">
        <f>IF(BR238&lt;=0.1,0,BK238/BR238*(BR238-0.1))</f>
        <v/>
      </c>
      <c r="BT238" s="34">
        <f>IF((BS238)&lt;0,MAX(F238:G238)*(BS238)*1.03,MIN(F238:G238)*(BS238)*0.97)</f>
        <v/>
      </c>
      <c r="BU238" s="34">
        <f>IF(BR238&gt;0.1,1,0)</f>
        <v/>
      </c>
      <c r="BV238" s="34">
        <f>BF238+BG238+BH238+BY238-CA238</f>
        <v/>
      </c>
      <c r="BW238" s="34">
        <f>ABS(BX238)</f>
        <v/>
      </c>
      <c r="BX238" s="34">
        <f>AY238-(J238-L238+N238-Q238+T238-X238)</f>
        <v/>
      </c>
      <c r="BY238" s="34">
        <f>IF(AND(BX238&gt;0,MIN($F238:$G238)&lt;150,$E238="Enerji Açığı"),-100*BX238*1.03,IF(AND(BX238&gt;0,MIN($F238:$G238)&lt;150,$E238="Enerji Fazlası"),-100*BX238*1.06,IF(AND(BX238&gt;0,MIN($F238:$G238)&gt;=150,$E238="Enerji Açığı"),BX238*MIN($F238:$G238)*0.97,IF(AND(BX238&gt;0,MIN($F238:$G238)&gt;=150,$E238="Enerji Fazlası"),BX238*MIN($F238:$G238)*0.94,IF(AND(BX238&lt;0,MAX($F238:$G238)=4500,$E238="Enerji Açığı"),4500*1.05*1.06*BX238,IF(AND(BX238&lt;0,MAX($F238:$G238)=4500,$E238="Enerji Fazlası"),4500*1.05*1.03*BX238,IF(AND(BX238&lt;0,$E238="Enerji Açığı"),MAX($F238,$G238,150)*BX238*1.06,IF(AND(BX238&lt;0,$E238="Enerji Fazlası"),MAX($F238,$G238,150)*BX238*1.03,IF(AND(BX238&lt;0,$E238="Dengede"),MAX($F238:$G238,150)*1.03*BX238,MIN($F238:$G238)*0.97*BX238)))))))))</f>
        <v/>
      </c>
      <c r="BZ238" s="34">
        <f>BE238-BV238-CA238</f>
        <v/>
      </c>
      <c r="CA238" s="34">
        <f>BD238</f>
        <v/>
      </c>
      <c r="CB238" s="33">
        <f>BE238-BV238</f>
        <v/>
      </c>
      <c r="CC238" s="34">
        <f>IF(AY238=0,0,CB238/AY238)</f>
        <v/>
      </c>
      <c r="CD238" s="34">
        <f>MAX((AY238+MAX((-J238+L238-N238+Q238-T238+X238),0)),(MAX((J238-L238+N238-Q238+T238-X238),0)))</f>
        <v/>
      </c>
      <c r="CE238" s="82">
        <f>IFERROR(ABS(BX238/CD238),0)</f>
        <v/>
      </c>
      <c r="CF238" s="34">
        <f>IF(CE238&lt;=0.1,0,BX238/CE238*(CE238-0.1))</f>
        <v/>
      </c>
      <c r="CG238" s="34">
        <f>IF((CF238)&lt;0,MAX(F238:G238)*(CF238)*1.03,MIN(F238:G238)*(CF238)*0.97)</f>
        <v/>
      </c>
      <c r="CH238" s="34">
        <f>IF(CE238&gt;0.1,1,0)</f>
        <v/>
      </c>
      <c r="CI238" s="34">
        <f>(F238*BX238)-BY238</f>
        <v/>
      </c>
      <c r="CJ238" s="34">
        <f>IF(AY238=0,0,CI238/AY238)</f>
        <v/>
      </c>
    </row>
    <row r="239">
      <c r="A239" s="29" t="n">
        <v>46213.83333333334</v>
      </c>
      <c r="B239" s="29" t="inlineStr">
        <is>
          <t>20:00</t>
        </is>
      </c>
      <c r="C239" s="35">
        <f>INT(A239)</f>
        <v/>
      </c>
      <c r="D239" s="36">
        <f>MONTH(A239)</f>
        <v/>
      </c>
      <c r="E239" s="147">
        <f>[1]FİYATLAR!G214</f>
        <v/>
      </c>
      <c r="F239" s="30" t="n">
        <v>4295</v>
      </c>
      <c r="G239" s="30">
        <f>[1]FİYATLAR!E214</f>
        <v/>
      </c>
      <c r="H239" s="30" t="n">
        <v>91.83</v>
      </c>
      <c r="I239" s="30" t="n">
        <v>4369.98</v>
      </c>
      <c r="J239" s="119" t="n">
        <v>0</v>
      </c>
      <c r="K239" s="34">
        <f>F239*J239</f>
        <v/>
      </c>
      <c r="L239" s="119" t="n"/>
      <c r="M239" s="34">
        <f>L239*F239</f>
        <v/>
      </c>
      <c r="N239" s="119" t="n"/>
      <c r="O239" s="34">
        <f>F239</f>
        <v/>
      </c>
      <c r="P239" s="34">
        <f>N239*O239</f>
        <v/>
      </c>
      <c r="Q239" s="117" t="n">
        <v>0</v>
      </c>
      <c r="R239" s="34">
        <f>F239</f>
        <v/>
      </c>
      <c r="S239" s="34">
        <f>R239*Q239</f>
        <v/>
      </c>
      <c r="T239" s="34">
        <f>SUMIFS('[1]GİP VERİLERİ'!$C:$C,'[1]GİP VERİLERİ'!$B:$B,A239,'[1]GİP VERİLERİ'!$M:$M,"40X000000104782K",'[1]GİP VERİLERİ'!$G:$G,"SELL")</f>
        <v/>
      </c>
      <c r="U239" s="34">
        <f>IFERROR(W239/T239,0)</f>
        <v/>
      </c>
      <c r="V239" s="34">
        <f>IF(U239=0,0,U239-F239)</f>
        <v/>
      </c>
      <c r="W239" s="34">
        <f>SUMIFS('[1]GİP VERİLERİ'!$O:$O,'[1]GİP VERİLERİ'!$B:$B,A239,'[1]GİP VERİLERİ'!$M:$M,"40X000000104782K",'[1]GİP VERİLERİ'!$G:$G,"SELL")</f>
        <v/>
      </c>
      <c r="X239" s="34">
        <f>SUMIFS('[1]GİP VERİLERİ'!$C:$C,'[1]GİP VERİLERİ'!$B:$B,A239,'[1]GİP VERİLERİ'!$M:$M,"40X000000104782K",'[1]GİP VERİLERİ'!$G:$G,"BUY")</f>
        <v/>
      </c>
      <c r="Y239" s="34">
        <f>IFERROR(AA239/X239,0)</f>
        <v/>
      </c>
      <c r="Z239" s="34">
        <f>IF(Y239=0,0,F239-Y239)</f>
        <v/>
      </c>
      <c r="AA239" s="34">
        <f>SUMIFS('[1]GİP VERİLERİ'!$O:$O,'[1]GİP VERİLERİ'!$B:$B,A239,'[1]GİP VERİLERİ'!$M:$M,"40X000000104782K",'[1]GİP VERİLERİ'!$G:$G,"BUY")</f>
        <v/>
      </c>
      <c r="AB239" s="34">
        <f>'[1]GÖP VERİLERİ'!H240</f>
        <v/>
      </c>
      <c r="AC239" s="34" t="n">
        <v>0</v>
      </c>
      <c r="AD239" s="34">
        <f>IF(AB239&gt;AC239*1.05,AB239-AC239*1.05,IF(AB239&lt;AC239*0.95,AC239*0.95-AB239,0))</f>
        <v/>
      </c>
      <c r="AE239" s="34">
        <f>MAX(F239,G239,750)*0.05*AD239</f>
        <v/>
      </c>
      <c r="AF239" s="34" t="n">
        <v>0</v>
      </c>
      <c r="AG239" s="34">
        <f>IF(AB239&gt;AF239*1.05,AB239-AF239*1.05,IF(AB239&lt;AF239*0.95,AF239*0.95-AB239,0))</f>
        <v/>
      </c>
      <c r="AH239" s="34">
        <f>MAX(I239,J239,750)*0.05*AG239</f>
        <v/>
      </c>
      <c r="AI239">
        <f>'[1]GÖP VERİLERİ'!E240</f>
        <v/>
      </c>
      <c r="AJ239" t="n">
        <v>6</v>
      </c>
      <c r="AK239" s="34">
        <f>IF(AI239&gt;AJ239*1.05,AI239-AJ239*1.05,IF(AI239&lt;AJ239*0.95,AJ239*0.95-AI239,0))</f>
        <v/>
      </c>
      <c r="AL239" s="34">
        <f>MAX(F239,G239,750)*0.05*AK239</f>
        <v/>
      </c>
      <c r="AM239" s="39" t="n">
        <v>6</v>
      </c>
      <c r="AN239" s="34">
        <f>IF(AI239&gt;AM239*1.05,AI239-AM239*1.05,IF(AI239&lt;AM239*0.95,AM239*0.95-AI239,0))</f>
        <v/>
      </c>
      <c r="AO239" s="34">
        <f>MAX(F239,G239,750)*0.05*AN239</f>
        <v/>
      </c>
      <c r="AP239" s="34">
        <f>'[1]GÖP VERİLERİ'!B240</f>
        <v/>
      </c>
      <c r="AQ239" s="34" t="n">
        <v>11</v>
      </c>
      <c r="AR239" s="34">
        <f>IF(AP239&gt;AQ239*1.05,AP239-AQ239*1.05,IF(AP239&lt;AQ239*0.95,AQ239*0.95-AP239,0))</f>
        <v/>
      </c>
      <c r="AS239" s="34">
        <f>MAX(F239:G239,750)*0.05*AR239</f>
        <v/>
      </c>
      <c r="AT239" t="n">
        <v>11</v>
      </c>
      <c r="AU239" s="34">
        <f>IF(AP239&gt;AT239*1.05,AP239-AT239*1.05,IF(AP239&lt;AT239*0.95,AT239*0.95-AP239,0))</f>
        <v/>
      </c>
      <c r="AV239" s="34">
        <f>MAX(F239:G239,750)*0.05*AU239</f>
        <v/>
      </c>
      <c r="AW239" s="34">
        <f>AC239+AJ239+AQ239</f>
        <v/>
      </c>
      <c r="AX239" s="34">
        <f>AF239+AM239+AT239</f>
        <v/>
      </c>
      <c r="AY239" s="34">
        <f>AB239+AI239+AP239</f>
        <v/>
      </c>
      <c r="AZ239" s="34" t="n">
        <v>0</v>
      </c>
      <c r="BA239" s="34">
        <f>AD239+AK239+AR239</f>
        <v/>
      </c>
      <c r="BB239" s="34">
        <f>MAX(F239:G239,750)*0.05*BA239</f>
        <v/>
      </c>
      <c r="BC239" s="34">
        <f>AG239+AN239+AU239</f>
        <v/>
      </c>
      <c r="BD239" s="34">
        <f>MAX(F239:G239,750)*0.05*BC239</f>
        <v/>
      </c>
      <c r="BE239" s="34">
        <f>F239*AY239</f>
        <v/>
      </c>
      <c r="BF239" s="34">
        <f>K239-M239</f>
        <v/>
      </c>
      <c r="BG239" s="34">
        <f>P239-S239</f>
        <v/>
      </c>
      <c r="BH239" s="34">
        <f>W239-AA239</f>
        <v/>
      </c>
      <c r="BI239" s="34">
        <f>BF239+BG239+BL239-BN239</f>
        <v/>
      </c>
      <c r="BJ239" s="34">
        <f>ABS(BK239)</f>
        <v/>
      </c>
      <c r="BK239" s="34">
        <f>AY239-(J239-L239+N239-Q239)</f>
        <v/>
      </c>
      <c r="BL239" s="34">
        <f>IF(AND(BK239&gt;0,MIN($F239:$G239)&lt;150,$E239="Enerji Açığı"),-100*BK239*1.03,IF(AND(BK239&gt;0,MIN($F239:$G239)&lt;150,$E239="Enerji Fazlası"),-100*BK239*1.06,IF(AND(BK239&gt;0,MIN($F239:$G239)&gt;=150,$E239="Enerji Açığı"),BK239*MIN($F239:$G239)*0.97,IF(AND(BK239&gt;0,MIN($F239:$G239)&gt;=150,$E239="Enerji Fazlası"),BK239*MIN($F239:$G239)*0.94,IF(AND(BK239&lt;0,MAX($F239:$G239)=4500,$E239="Enerji Açığı"),4500*1.05*1.06*BK239,IF(AND(BK239&lt;0,MAX($F239:$G239)=4500,$E239="Enerji Fazlası"),4500*1.05*1.03*BK239,IF(AND(BK239&lt;0,$E239="Enerji Açığı"),MAX($F239,$G239,150)*BK239*1.06,IF(AND(BK239&lt;0,$E239="Enerji Fazlası"),MAX($F239,$G239,150)*BK239*1.03,IF(AND(BK239&lt;0,$E239="Dengede"),MAX($F239:$G239,150)*1.03*BK239,MIN($F239:$G239)*0.97*BK239)))))))))</f>
        <v/>
      </c>
      <c r="BM239" s="34">
        <f>BE239-BI239-BN239</f>
        <v/>
      </c>
      <c r="BN239" s="34">
        <f>BB239</f>
        <v/>
      </c>
      <c r="BO239" s="34">
        <f>BE239-BI239</f>
        <v/>
      </c>
      <c r="BP239" s="34">
        <f>IF(AY239=0,0,BO239/AY239)</f>
        <v/>
      </c>
      <c r="BQ239" s="34">
        <f>MAX((AY239+MAX((-J239+L239-N239+Q239),0)),(MAX((J239-L239+N239-Q239),0)))</f>
        <v/>
      </c>
      <c r="BR239" s="82">
        <f>IFERROR(ABS(BK239/BQ239),0)</f>
        <v/>
      </c>
      <c r="BS239" s="34">
        <f>IF(BR239&lt;=0.1,0,BK239/BR239*(BR239-0.1))</f>
        <v/>
      </c>
      <c r="BT239" s="34">
        <f>IF((BS239)&lt;0,MAX(F239:G239)*(BS239)*1.03,MIN(F239:G239)*(BS239)*0.97)</f>
        <v/>
      </c>
      <c r="BU239" s="34">
        <f>IF(BR239&gt;0.1,1,0)</f>
        <v/>
      </c>
      <c r="BV239" s="34">
        <f>BF239+BG239+BH239+BY239-CA239</f>
        <v/>
      </c>
      <c r="BW239" s="34">
        <f>ABS(BX239)</f>
        <v/>
      </c>
      <c r="BX239" s="34">
        <f>AY239-(J239-L239+N239-Q239+T239-X239)</f>
        <v/>
      </c>
      <c r="BY239" s="34">
        <f>IF(AND(BX239&gt;0,MIN($F239:$G239)&lt;150,$E239="Enerji Açığı"),-100*BX239*1.03,IF(AND(BX239&gt;0,MIN($F239:$G239)&lt;150,$E239="Enerji Fazlası"),-100*BX239*1.06,IF(AND(BX239&gt;0,MIN($F239:$G239)&gt;=150,$E239="Enerji Açığı"),BX239*MIN($F239:$G239)*0.97,IF(AND(BX239&gt;0,MIN($F239:$G239)&gt;=150,$E239="Enerji Fazlası"),BX239*MIN($F239:$G239)*0.94,IF(AND(BX239&lt;0,MAX($F239:$G239)=4500,$E239="Enerji Açığı"),4500*1.05*1.06*BX239,IF(AND(BX239&lt;0,MAX($F239:$G239)=4500,$E239="Enerji Fazlası"),4500*1.05*1.03*BX239,IF(AND(BX239&lt;0,$E239="Enerji Açığı"),MAX($F239,$G239,150)*BX239*1.06,IF(AND(BX239&lt;0,$E239="Enerji Fazlası"),MAX($F239,$G239,150)*BX239*1.03,IF(AND(BX239&lt;0,$E239="Dengede"),MAX($F239:$G239,150)*1.03*BX239,MIN($F239:$G239)*0.97*BX239)))))))))</f>
        <v/>
      </c>
      <c r="BZ239" s="34">
        <f>BE239-BV239-CA239</f>
        <v/>
      </c>
      <c r="CA239" s="34">
        <f>BD239</f>
        <v/>
      </c>
      <c r="CB239" s="33">
        <f>BE239-BV239</f>
        <v/>
      </c>
      <c r="CC239" s="34">
        <f>IF(AY239=0,0,CB239/AY239)</f>
        <v/>
      </c>
      <c r="CD239" s="34">
        <f>MAX((AY239+MAX((-J239+L239-N239+Q239-T239+X239),0)),(MAX((J239-L239+N239-Q239+T239-X239),0)))</f>
        <v/>
      </c>
      <c r="CE239" s="82">
        <f>IFERROR(ABS(BX239/CD239),0)</f>
        <v/>
      </c>
      <c r="CF239" s="34">
        <f>IF(CE239&lt;=0.1,0,BX239/CE239*(CE239-0.1))</f>
        <v/>
      </c>
      <c r="CG239" s="34">
        <f>IF((CF239)&lt;0,MAX(F239:G239)*(CF239)*1.03,MIN(F239:G239)*(CF239)*0.97)</f>
        <v/>
      </c>
      <c r="CH239" s="34">
        <f>IF(CE239&gt;0.1,1,0)</f>
        <v/>
      </c>
      <c r="CI239" s="34">
        <f>(F239*BX239)-BY239</f>
        <v/>
      </c>
      <c r="CJ239" s="34">
        <f>IF(AY239=0,0,CI239/AY239)</f>
        <v/>
      </c>
    </row>
    <row r="240">
      <c r="A240" s="29" t="n">
        <v>46213.875</v>
      </c>
      <c r="B240" s="29" t="inlineStr">
        <is>
          <t>21:00</t>
        </is>
      </c>
      <c r="C240" s="35">
        <f>INT(A240)</f>
        <v/>
      </c>
      <c r="D240" s="36">
        <f>MONTH(A240)</f>
        <v/>
      </c>
      <c r="E240" s="147">
        <f>[1]FİYATLAR!G215</f>
        <v/>
      </c>
      <c r="F240" s="30" t="n">
        <v>4021.01</v>
      </c>
      <c r="G240" s="30">
        <f>[1]FİYATLAR!E215</f>
        <v/>
      </c>
      <c r="H240" s="30" t="n">
        <v>85.98</v>
      </c>
      <c r="I240" s="30" t="n">
        <v>4162.81</v>
      </c>
      <c r="J240" s="119" t="n">
        <v>0</v>
      </c>
      <c r="K240" s="34">
        <f>F240*J240</f>
        <v/>
      </c>
      <c r="L240" s="119" t="n"/>
      <c r="M240" s="34">
        <f>L240*F240</f>
        <v/>
      </c>
      <c r="N240" s="119" t="n"/>
      <c r="O240" s="34">
        <f>F240</f>
        <v/>
      </c>
      <c r="P240" s="34">
        <f>N240*O240</f>
        <v/>
      </c>
      <c r="Q240" s="117" t="n">
        <v>0</v>
      </c>
      <c r="R240" s="34">
        <f>F240</f>
        <v/>
      </c>
      <c r="S240" s="34">
        <f>R240*Q240</f>
        <v/>
      </c>
      <c r="T240" s="34">
        <f>SUMIFS('[1]GİP VERİLERİ'!$C:$C,'[1]GİP VERİLERİ'!$B:$B,A240,'[1]GİP VERİLERİ'!$M:$M,"40X000000104782K",'[1]GİP VERİLERİ'!$G:$G,"SELL")</f>
        <v/>
      </c>
      <c r="U240" s="34">
        <f>IFERROR(W240/T240,0)</f>
        <v/>
      </c>
      <c r="V240" s="34">
        <f>IF(U240=0,0,U240-F240)</f>
        <v/>
      </c>
      <c r="W240" s="34">
        <f>SUMIFS('[1]GİP VERİLERİ'!$O:$O,'[1]GİP VERİLERİ'!$B:$B,A240,'[1]GİP VERİLERİ'!$M:$M,"40X000000104782K",'[1]GİP VERİLERİ'!$G:$G,"SELL")</f>
        <v/>
      </c>
      <c r="X240" s="34">
        <f>SUMIFS('[1]GİP VERİLERİ'!$C:$C,'[1]GİP VERİLERİ'!$B:$B,A240,'[1]GİP VERİLERİ'!$M:$M,"40X000000104782K",'[1]GİP VERİLERİ'!$G:$G,"BUY")</f>
        <v/>
      </c>
      <c r="Y240" s="34">
        <f>IFERROR(AA240/X240,0)</f>
        <v/>
      </c>
      <c r="Z240" s="34">
        <f>IF(Y240=0,0,F240-Y240)</f>
        <v/>
      </c>
      <c r="AA240" s="34">
        <f>SUMIFS('[1]GİP VERİLERİ'!$O:$O,'[1]GİP VERİLERİ'!$B:$B,A240,'[1]GİP VERİLERİ'!$M:$M,"40X000000104782K",'[1]GİP VERİLERİ'!$G:$G,"BUY")</f>
        <v/>
      </c>
      <c r="AB240" s="34">
        <f>'[1]GÖP VERİLERİ'!H241</f>
        <v/>
      </c>
      <c r="AC240" s="34" t="n">
        <v>0</v>
      </c>
      <c r="AD240" s="34">
        <f>IF(AB240&gt;AC240*1.05,AB240-AC240*1.05,IF(AB240&lt;AC240*0.95,AC240*0.95-AB240,0))</f>
        <v/>
      </c>
      <c r="AE240" s="34">
        <f>MAX(F240,G240,750)*0.05*AD240</f>
        <v/>
      </c>
      <c r="AF240" s="34" t="n">
        <v>0</v>
      </c>
      <c r="AG240" s="34">
        <f>IF(AB240&gt;AF240*1.05,AB240-AF240*1.05,IF(AB240&lt;AF240*0.95,AF240*0.95-AB240,0))</f>
        <v/>
      </c>
      <c r="AH240" s="34">
        <f>MAX(I240,J240,750)*0.05*AG240</f>
        <v/>
      </c>
      <c r="AI240">
        <f>'[1]GÖP VERİLERİ'!E241</f>
        <v/>
      </c>
      <c r="AJ240" t="n">
        <v>6</v>
      </c>
      <c r="AK240" s="34">
        <f>IF(AI240&gt;AJ240*1.05,AI240-AJ240*1.05,IF(AI240&lt;AJ240*0.95,AJ240*0.95-AI240,0))</f>
        <v/>
      </c>
      <c r="AL240" s="34">
        <f>MAX(F240,G240,750)*0.05*AK240</f>
        <v/>
      </c>
      <c r="AM240" s="39" t="n">
        <v>6</v>
      </c>
      <c r="AN240" s="34">
        <f>IF(AI240&gt;AM240*1.05,AI240-AM240*1.05,IF(AI240&lt;AM240*0.95,AM240*0.95-AI240,0))</f>
        <v/>
      </c>
      <c r="AO240" s="34">
        <f>MAX(F240,G240,750)*0.05*AN240</f>
        <v/>
      </c>
      <c r="AP240" s="34">
        <f>'[1]GÖP VERİLERİ'!B241</f>
        <v/>
      </c>
      <c r="AQ240" s="34" t="n">
        <v>9</v>
      </c>
      <c r="AR240" s="34">
        <f>IF(AP240&gt;AQ240*1.05,AP240-AQ240*1.05,IF(AP240&lt;AQ240*0.95,AQ240*0.95-AP240,0))</f>
        <v/>
      </c>
      <c r="AS240" s="34">
        <f>MAX(F240:G240,750)*0.05*AR240</f>
        <v/>
      </c>
      <c r="AT240" t="n">
        <v>9</v>
      </c>
      <c r="AU240" s="34">
        <f>IF(AP240&gt;AT240*1.05,AP240-AT240*1.05,IF(AP240&lt;AT240*0.95,AT240*0.95-AP240,0))</f>
        <v/>
      </c>
      <c r="AV240" s="34">
        <f>MAX(F240:G240,750)*0.05*AU240</f>
        <v/>
      </c>
      <c r="AW240" s="34">
        <f>AC240+AJ240+AQ240</f>
        <v/>
      </c>
      <c r="AX240" s="34">
        <f>AF240+AM240+AT240</f>
        <v/>
      </c>
      <c r="AY240" s="34">
        <f>AB240+AI240+AP240</f>
        <v/>
      </c>
      <c r="AZ240" s="34" t="n">
        <v>0</v>
      </c>
      <c r="BA240" s="34">
        <f>AD240+AK240+AR240</f>
        <v/>
      </c>
      <c r="BB240" s="34">
        <f>MAX(F240:G240,750)*0.05*BA240</f>
        <v/>
      </c>
      <c r="BC240" s="34">
        <f>AG240+AN240+AU240</f>
        <v/>
      </c>
      <c r="BD240" s="34">
        <f>MAX(F240:G240,750)*0.05*BC240</f>
        <v/>
      </c>
      <c r="BE240" s="34">
        <f>F240*AY240</f>
        <v/>
      </c>
      <c r="BF240" s="34">
        <f>K240-M240</f>
        <v/>
      </c>
      <c r="BG240" s="34">
        <f>P240-S240</f>
        <v/>
      </c>
      <c r="BH240" s="34">
        <f>W240-AA240</f>
        <v/>
      </c>
      <c r="BI240" s="34">
        <f>BF240+BG240+BL240-BN240</f>
        <v/>
      </c>
      <c r="BJ240" s="34">
        <f>ABS(BK240)</f>
        <v/>
      </c>
      <c r="BK240" s="34">
        <f>AY240-(J240-L240+N240-Q240)</f>
        <v/>
      </c>
      <c r="BL240" s="34">
        <f>IF(AND(BK240&gt;0,MIN($F240:$G240)&lt;150,$E240="Enerji Açığı"),-100*BK240*1.03,IF(AND(BK240&gt;0,MIN($F240:$G240)&lt;150,$E240="Enerji Fazlası"),-100*BK240*1.06,IF(AND(BK240&gt;0,MIN($F240:$G240)&gt;=150,$E240="Enerji Açığı"),BK240*MIN($F240:$G240)*0.97,IF(AND(BK240&gt;0,MIN($F240:$G240)&gt;=150,$E240="Enerji Fazlası"),BK240*MIN($F240:$G240)*0.94,IF(AND(BK240&lt;0,MAX($F240:$G240)=4500,$E240="Enerji Açığı"),4500*1.05*1.06*BK240,IF(AND(BK240&lt;0,MAX($F240:$G240)=4500,$E240="Enerji Fazlası"),4500*1.05*1.03*BK240,IF(AND(BK240&lt;0,$E240="Enerji Açığı"),MAX($F240,$G240,150)*BK240*1.06,IF(AND(BK240&lt;0,$E240="Enerji Fazlası"),MAX($F240,$G240,150)*BK240*1.03,IF(AND(BK240&lt;0,$E240="Dengede"),MAX($F240:$G240,150)*1.03*BK240,MIN($F240:$G240)*0.97*BK240)))))))))</f>
        <v/>
      </c>
      <c r="BM240" s="34">
        <f>BE240-BI240-BN240</f>
        <v/>
      </c>
      <c r="BN240" s="34">
        <f>BB240</f>
        <v/>
      </c>
      <c r="BO240" s="34">
        <f>BE240-BI240</f>
        <v/>
      </c>
      <c r="BP240" s="34">
        <f>IF(AY240=0,0,BO240/AY240)</f>
        <v/>
      </c>
      <c r="BQ240" s="34">
        <f>MAX((AY240+MAX((-J240+L240-N240+Q240),0)),(MAX((J240-L240+N240-Q240),0)))</f>
        <v/>
      </c>
      <c r="BR240" s="82">
        <f>IFERROR(ABS(BK240/BQ240),0)</f>
        <v/>
      </c>
      <c r="BS240" s="34">
        <f>IF(BR240&lt;=0.1,0,BK240/BR240*(BR240-0.1))</f>
        <v/>
      </c>
      <c r="BT240" s="34">
        <f>IF((BS240)&lt;0,MAX(F240:G240)*(BS240)*1.03,MIN(F240:G240)*(BS240)*0.97)</f>
        <v/>
      </c>
      <c r="BU240" s="34">
        <f>IF(BR240&gt;0.1,1,0)</f>
        <v/>
      </c>
      <c r="BV240" s="34">
        <f>BF240+BG240+BH240+BY240-CA240</f>
        <v/>
      </c>
      <c r="BW240" s="34">
        <f>ABS(BX240)</f>
        <v/>
      </c>
      <c r="BX240" s="34">
        <f>AY240-(J240-L240+N240-Q240+T240-X240)</f>
        <v/>
      </c>
      <c r="BY240" s="34">
        <f>IF(AND(BX240&gt;0,MIN($F240:$G240)&lt;150,$E240="Enerji Açığı"),-100*BX240*1.03,IF(AND(BX240&gt;0,MIN($F240:$G240)&lt;150,$E240="Enerji Fazlası"),-100*BX240*1.06,IF(AND(BX240&gt;0,MIN($F240:$G240)&gt;=150,$E240="Enerji Açığı"),BX240*MIN($F240:$G240)*0.97,IF(AND(BX240&gt;0,MIN($F240:$G240)&gt;=150,$E240="Enerji Fazlası"),BX240*MIN($F240:$G240)*0.94,IF(AND(BX240&lt;0,MAX($F240:$G240)=4500,$E240="Enerji Açığı"),4500*1.05*1.06*BX240,IF(AND(BX240&lt;0,MAX($F240:$G240)=4500,$E240="Enerji Fazlası"),4500*1.05*1.03*BX240,IF(AND(BX240&lt;0,$E240="Enerji Açığı"),MAX($F240,$G240,150)*BX240*1.06,IF(AND(BX240&lt;0,$E240="Enerji Fazlası"),MAX($F240,$G240,150)*BX240*1.03,IF(AND(BX240&lt;0,$E240="Dengede"),MAX($F240:$G240,150)*1.03*BX240,MIN($F240:$G240)*0.97*BX240)))))))))</f>
        <v/>
      </c>
      <c r="BZ240" s="34">
        <f>BE240-BV240-CA240</f>
        <v/>
      </c>
      <c r="CA240" s="34">
        <f>BD240</f>
        <v/>
      </c>
      <c r="CB240" s="33">
        <f>BE240-BV240</f>
        <v/>
      </c>
      <c r="CC240" s="34">
        <f>IF(AY240=0,0,CB240/AY240)</f>
        <v/>
      </c>
      <c r="CD240" s="34">
        <f>MAX((AY240+MAX((-J240+L240-N240+Q240-T240+X240),0)),(MAX((J240-L240+N240-Q240+T240-X240),0)))</f>
        <v/>
      </c>
      <c r="CE240" s="82">
        <f>IFERROR(ABS(BX240/CD240),0)</f>
        <v/>
      </c>
      <c r="CF240" s="34">
        <f>IF(CE240&lt;=0.1,0,BX240/CE240*(CE240-0.1))</f>
        <v/>
      </c>
      <c r="CG240" s="34">
        <f>IF((CF240)&lt;0,MAX(F240:G240)*(CF240)*1.03,MIN(F240:G240)*(CF240)*0.97)</f>
        <v/>
      </c>
      <c r="CH240" s="34">
        <f>IF(CE240&gt;0.1,1,0)</f>
        <v/>
      </c>
      <c r="CI240" s="34">
        <f>(F240*BX240)-BY240</f>
        <v/>
      </c>
      <c r="CJ240" s="34">
        <f>IF(AY240=0,0,CI240/AY240)</f>
        <v/>
      </c>
    </row>
    <row r="241">
      <c r="A241" s="29" t="n">
        <v>46213.91666666666</v>
      </c>
      <c r="B241" s="29" t="inlineStr">
        <is>
          <t>22:00</t>
        </is>
      </c>
      <c r="C241" s="35">
        <f>INT(A241)</f>
        <v/>
      </c>
      <c r="D241" s="36">
        <f>MONTH(A241)</f>
        <v/>
      </c>
      <c r="E241" s="147">
        <f>[1]FİYATLAR!G216</f>
        <v/>
      </c>
      <c r="F241" s="30" t="n">
        <v>3000</v>
      </c>
      <c r="G241" s="30">
        <f>[1]FİYATLAR!E216</f>
        <v/>
      </c>
      <c r="H241" s="30" t="n">
        <v>64.14</v>
      </c>
      <c r="I241" s="30" t="n">
        <v>3087.15</v>
      </c>
      <c r="J241" s="119" t="n">
        <v>0</v>
      </c>
      <c r="K241" s="34">
        <f>F241*J241</f>
        <v/>
      </c>
      <c r="L241" s="119" t="n"/>
      <c r="M241" s="34">
        <f>L241*F241</f>
        <v/>
      </c>
      <c r="N241" s="119" t="n"/>
      <c r="O241" s="34">
        <f>F241</f>
        <v/>
      </c>
      <c r="P241" s="34">
        <f>N241*O241</f>
        <v/>
      </c>
      <c r="Q241" s="117" t="n">
        <v>0</v>
      </c>
      <c r="R241" s="34">
        <f>F241</f>
        <v/>
      </c>
      <c r="S241" s="34">
        <f>R241*Q241</f>
        <v/>
      </c>
      <c r="T241" s="34">
        <f>SUMIFS('[1]GİP VERİLERİ'!$C:$C,'[1]GİP VERİLERİ'!$B:$B,A241,'[1]GİP VERİLERİ'!$M:$M,"40X000000104782K",'[1]GİP VERİLERİ'!$G:$G,"SELL")</f>
        <v/>
      </c>
      <c r="U241" s="34">
        <f>IFERROR(W241/T241,0)</f>
        <v/>
      </c>
      <c r="V241" s="34">
        <f>IF(U241=0,0,U241-F241)</f>
        <v/>
      </c>
      <c r="W241" s="34">
        <f>SUMIFS('[1]GİP VERİLERİ'!$O:$O,'[1]GİP VERİLERİ'!$B:$B,A241,'[1]GİP VERİLERİ'!$M:$M,"40X000000104782K",'[1]GİP VERİLERİ'!$G:$G,"SELL")</f>
        <v/>
      </c>
      <c r="X241" s="34">
        <f>SUMIFS('[1]GİP VERİLERİ'!$C:$C,'[1]GİP VERİLERİ'!$B:$B,A241,'[1]GİP VERİLERİ'!$M:$M,"40X000000104782K",'[1]GİP VERİLERİ'!$G:$G,"BUY")</f>
        <v/>
      </c>
      <c r="Y241" s="34">
        <f>IFERROR(AA241/X241,0)</f>
        <v/>
      </c>
      <c r="Z241" s="34">
        <f>IF(Y241=0,0,F241-Y241)</f>
        <v/>
      </c>
      <c r="AA241" s="34">
        <f>SUMIFS('[1]GİP VERİLERİ'!$O:$O,'[1]GİP VERİLERİ'!$B:$B,A241,'[1]GİP VERİLERİ'!$M:$M,"40X000000104782K",'[1]GİP VERİLERİ'!$G:$G,"BUY")</f>
        <v/>
      </c>
      <c r="AB241" s="34">
        <f>'[1]GÖP VERİLERİ'!H242</f>
        <v/>
      </c>
      <c r="AC241" s="34" t="n">
        <v>0</v>
      </c>
      <c r="AD241" s="34">
        <f>IF(AB241&gt;AC241*1.05,AB241-AC241*1.05,IF(AB241&lt;AC241*0.95,AC241*0.95-AB241,0))</f>
        <v/>
      </c>
      <c r="AE241" s="34">
        <f>MAX(F241,G241,750)*0.05*AD241</f>
        <v/>
      </c>
      <c r="AF241" s="34" t="n">
        <v>0</v>
      </c>
      <c r="AG241" s="34">
        <f>IF(AB241&gt;AF241*1.05,AB241-AF241*1.05,IF(AB241&lt;AF241*0.95,AF241*0.95-AB241,0))</f>
        <v/>
      </c>
      <c r="AH241" s="34">
        <f>MAX(I241,J241,750)*0.05*AG241</f>
        <v/>
      </c>
      <c r="AI241">
        <f>'[1]GÖP VERİLERİ'!E242</f>
        <v/>
      </c>
      <c r="AJ241" t="n">
        <v>6</v>
      </c>
      <c r="AK241" s="34">
        <f>IF(AI241&gt;AJ241*1.05,AI241-AJ241*1.05,IF(AI241&lt;AJ241*0.95,AJ241*0.95-AI241,0))</f>
        <v/>
      </c>
      <c r="AL241" s="34">
        <f>MAX(F241,G241,750)*0.05*AK241</f>
        <v/>
      </c>
      <c r="AM241" s="39" t="n">
        <v>6</v>
      </c>
      <c r="AN241" s="34">
        <f>IF(AI241&gt;AM241*1.05,AI241-AM241*1.05,IF(AI241&lt;AM241*0.95,AM241*0.95-AI241,0))</f>
        <v/>
      </c>
      <c r="AO241" s="34">
        <f>MAX(F241,G241,750)*0.05*AN241</f>
        <v/>
      </c>
      <c r="AP241" s="34">
        <f>'[1]GÖP VERİLERİ'!B242</f>
        <v/>
      </c>
      <c r="AQ241" s="34" t="n">
        <v>9</v>
      </c>
      <c r="AR241" s="34">
        <f>IF(AP241&gt;AQ241*1.05,AP241-AQ241*1.05,IF(AP241&lt;AQ241*0.95,AQ241*0.95-AP241,0))</f>
        <v/>
      </c>
      <c r="AS241" s="34">
        <f>MAX(F241:G241,750)*0.05*AR241</f>
        <v/>
      </c>
      <c r="AT241" t="n">
        <v>9</v>
      </c>
      <c r="AU241" s="34">
        <f>IF(AP241&gt;AT241*1.05,AP241-AT241*1.05,IF(AP241&lt;AT241*0.95,AT241*0.95-AP241,0))</f>
        <v/>
      </c>
      <c r="AV241" s="34">
        <f>MAX(F241:G241,750)*0.05*AU241</f>
        <v/>
      </c>
      <c r="AW241" s="34">
        <f>AC241+AJ241+AQ241</f>
        <v/>
      </c>
      <c r="AX241" s="34">
        <f>AF241+AM241+AT241</f>
        <v/>
      </c>
      <c r="AY241" s="34">
        <f>AB241+AI241+AP241</f>
        <v/>
      </c>
      <c r="AZ241" s="34" t="n">
        <v>0</v>
      </c>
      <c r="BA241" s="34">
        <f>AD241+AK241+AR241</f>
        <v/>
      </c>
      <c r="BB241" s="34">
        <f>MAX(F241:G241,750)*0.05*BA241</f>
        <v/>
      </c>
      <c r="BC241" s="34">
        <f>AG241+AN241+AU241</f>
        <v/>
      </c>
      <c r="BD241" s="34">
        <f>MAX(F241:G241,750)*0.05*BC241</f>
        <v/>
      </c>
      <c r="BE241" s="34">
        <f>F241*AY241</f>
        <v/>
      </c>
      <c r="BF241" s="34">
        <f>K241-M241</f>
        <v/>
      </c>
      <c r="BG241" s="34">
        <f>P241-S241</f>
        <v/>
      </c>
      <c r="BH241" s="34">
        <f>W241-AA241</f>
        <v/>
      </c>
      <c r="BI241" s="34">
        <f>BF241+BG241+BL241-BN241</f>
        <v/>
      </c>
      <c r="BJ241" s="34">
        <f>ABS(BK241)</f>
        <v/>
      </c>
      <c r="BK241" s="34">
        <f>AY241-(J241-L241+N241-Q241)</f>
        <v/>
      </c>
      <c r="BL241" s="34">
        <f>IF(AND(BK241&gt;0,MIN($F241:$G241)&lt;150,$E241="Enerji Açığı"),-100*BK241*1.03,IF(AND(BK241&gt;0,MIN($F241:$G241)&lt;150,$E241="Enerji Fazlası"),-100*BK241*1.06,IF(AND(BK241&gt;0,MIN($F241:$G241)&gt;=150,$E241="Enerji Açığı"),BK241*MIN($F241:$G241)*0.97,IF(AND(BK241&gt;0,MIN($F241:$G241)&gt;=150,$E241="Enerji Fazlası"),BK241*MIN($F241:$G241)*0.94,IF(AND(BK241&lt;0,MAX($F241:$G241)=4500,$E241="Enerji Açığı"),4500*1.05*1.06*BK241,IF(AND(BK241&lt;0,MAX($F241:$G241)=4500,$E241="Enerji Fazlası"),4500*1.05*1.03*BK241,IF(AND(BK241&lt;0,$E241="Enerji Açığı"),MAX($F241,$G241,150)*BK241*1.06,IF(AND(BK241&lt;0,$E241="Enerji Fazlası"),MAX($F241,$G241,150)*BK241*1.03,IF(AND(BK241&lt;0,$E241="Dengede"),MAX($F241:$G241,150)*1.03*BK241,MIN($F241:$G241)*0.97*BK241)))))))))</f>
        <v/>
      </c>
      <c r="BM241" s="34">
        <f>BE241-BI241-BN241</f>
        <v/>
      </c>
      <c r="BN241" s="34">
        <f>BB241</f>
        <v/>
      </c>
      <c r="BO241" s="34">
        <f>BE241-BI241</f>
        <v/>
      </c>
      <c r="BP241" s="34">
        <f>IF(AY241=0,0,BO241/AY241)</f>
        <v/>
      </c>
      <c r="BQ241" s="34">
        <f>MAX((AY241+MAX((-J241+L241-N241+Q241),0)),(MAX((J241-L241+N241-Q241),0)))</f>
        <v/>
      </c>
      <c r="BR241" s="82">
        <f>IFERROR(ABS(BK241/BQ241),0)</f>
        <v/>
      </c>
      <c r="BS241" s="34">
        <f>IF(BR241&lt;=0.1,0,BK241/BR241*(BR241-0.1))</f>
        <v/>
      </c>
      <c r="BT241" s="34">
        <f>IF((BS241)&lt;0,MAX(F241:G241)*(BS241)*1.03,MIN(F241:G241)*(BS241)*0.97)</f>
        <v/>
      </c>
      <c r="BU241" s="34">
        <f>IF(BR241&gt;0.1,1,0)</f>
        <v/>
      </c>
      <c r="BV241" s="34">
        <f>BF241+BG241+BH241+BY241-CA241</f>
        <v/>
      </c>
      <c r="BW241" s="34">
        <f>ABS(BX241)</f>
        <v/>
      </c>
      <c r="BX241" s="34">
        <f>AY241-(J241-L241+N241-Q241+T241-X241)</f>
        <v/>
      </c>
      <c r="BY241" s="34">
        <f>IF(AND(BX241&gt;0,MIN($F241:$G241)&lt;150,$E241="Enerji Açığı"),-100*BX241*1.03,IF(AND(BX241&gt;0,MIN($F241:$G241)&lt;150,$E241="Enerji Fazlası"),-100*BX241*1.06,IF(AND(BX241&gt;0,MIN($F241:$G241)&gt;=150,$E241="Enerji Açığı"),BX241*MIN($F241:$G241)*0.97,IF(AND(BX241&gt;0,MIN($F241:$G241)&gt;=150,$E241="Enerji Fazlası"),BX241*MIN($F241:$G241)*0.94,IF(AND(BX241&lt;0,MAX($F241:$G241)=4500,$E241="Enerji Açığı"),4500*1.05*1.06*BX241,IF(AND(BX241&lt;0,MAX($F241:$G241)=4500,$E241="Enerji Fazlası"),4500*1.05*1.03*BX241,IF(AND(BX241&lt;0,$E241="Enerji Açığı"),MAX($F241,$G241,150)*BX241*1.06,IF(AND(BX241&lt;0,$E241="Enerji Fazlası"),MAX($F241,$G241,150)*BX241*1.03,IF(AND(BX241&lt;0,$E241="Dengede"),MAX($F241:$G241,150)*1.03*BX241,MIN($F241:$G241)*0.97*BX241)))))))))</f>
        <v/>
      </c>
      <c r="BZ241" s="34">
        <f>BE241-BV241-CA241</f>
        <v/>
      </c>
      <c r="CA241" s="34">
        <f>BD241</f>
        <v/>
      </c>
      <c r="CB241" s="33">
        <f>BE241-BV241</f>
        <v/>
      </c>
      <c r="CC241" s="34">
        <f>IF(AY241=0,0,CB241/AY241)</f>
        <v/>
      </c>
      <c r="CD241" s="34">
        <f>MAX((AY241+MAX((-J241+L241-N241+Q241-T241+X241),0)),(MAX((J241-L241+N241-Q241+T241-X241),0)))</f>
        <v/>
      </c>
      <c r="CE241" s="82">
        <f>IFERROR(ABS(BX241/CD241),0)</f>
        <v/>
      </c>
      <c r="CF241" s="34">
        <f>IF(CE241&lt;=0.1,0,BX241/CE241*(CE241-0.1))</f>
        <v/>
      </c>
      <c r="CG241" s="34">
        <f>IF((CF241)&lt;0,MAX(F241:G241)*(CF241)*1.03,MIN(F241:G241)*(CF241)*0.97)</f>
        <v/>
      </c>
      <c r="CH241" s="34">
        <f>IF(CE241&gt;0.1,1,0)</f>
        <v/>
      </c>
      <c r="CI241" s="34">
        <f>(F241*BX241)-BY241</f>
        <v/>
      </c>
      <c r="CJ241" s="34">
        <f>IF(AY241=0,0,CI241/AY241)</f>
        <v/>
      </c>
    </row>
    <row r="242">
      <c r="A242" s="29" t="n">
        <v>46213.95833333334</v>
      </c>
      <c r="B242" s="29" t="inlineStr">
        <is>
          <t>23:00</t>
        </is>
      </c>
      <c r="C242" s="35">
        <f>INT(A242)</f>
        <v/>
      </c>
      <c r="D242" s="36">
        <f>MONTH(A242)</f>
        <v/>
      </c>
      <c r="E242" s="147">
        <f>[1]FİYATLAR!G217</f>
        <v/>
      </c>
      <c r="F242" s="30" t="n">
        <v>3400</v>
      </c>
      <c r="G242" s="30">
        <f>[1]FİYATLAR!E217</f>
        <v/>
      </c>
      <c r="H242" s="30" t="n">
        <v>72.7</v>
      </c>
      <c r="I242" s="30" t="n">
        <v>3350.45</v>
      </c>
      <c r="J242" s="119" t="n">
        <v>0</v>
      </c>
      <c r="K242" s="34">
        <f>F242*J242</f>
        <v/>
      </c>
      <c r="L242" s="119" t="n"/>
      <c r="M242" s="34">
        <f>L242*F242</f>
        <v/>
      </c>
      <c r="N242" s="119" t="n"/>
      <c r="O242" s="34">
        <f>F242</f>
        <v/>
      </c>
      <c r="P242" s="34">
        <f>N242*O242</f>
        <v/>
      </c>
      <c r="Q242" s="117" t="n">
        <v>0</v>
      </c>
      <c r="R242" s="34">
        <f>F242</f>
        <v/>
      </c>
      <c r="S242" s="34">
        <f>R242*Q242</f>
        <v/>
      </c>
      <c r="T242" s="34">
        <f>SUMIFS('[1]GİP VERİLERİ'!$C:$C,'[1]GİP VERİLERİ'!$B:$B,A242,'[1]GİP VERİLERİ'!$M:$M,"40X000000104782K",'[1]GİP VERİLERİ'!$G:$G,"SELL")</f>
        <v/>
      </c>
      <c r="U242" s="34">
        <f>IFERROR(W242/T242,0)</f>
        <v/>
      </c>
      <c r="V242" s="34">
        <f>IF(U242=0,0,U242-F242)</f>
        <v/>
      </c>
      <c r="W242" s="34">
        <f>SUMIFS('[1]GİP VERİLERİ'!$O:$O,'[1]GİP VERİLERİ'!$B:$B,A242,'[1]GİP VERİLERİ'!$M:$M,"40X000000104782K",'[1]GİP VERİLERİ'!$G:$G,"SELL")</f>
        <v/>
      </c>
      <c r="X242" s="34">
        <f>SUMIFS('[1]GİP VERİLERİ'!$C:$C,'[1]GİP VERİLERİ'!$B:$B,A242,'[1]GİP VERİLERİ'!$M:$M,"40X000000104782K",'[1]GİP VERİLERİ'!$G:$G,"BUY")</f>
        <v/>
      </c>
      <c r="Y242" s="34">
        <f>IFERROR(AA242/X242,0)</f>
        <v/>
      </c>
      <c r="Z242" s="34">
        <f>IF(Y242=0,0,F242-Y242)</f>
        <v/>
      </c>
      <c r="AA242" s="34">
        <f>SUMIFS('[1]GİP VERİLERİ'!$O:$O,'[1]GİP VERİLERİ'!$B:$B,A242,'[1]GİP VERİLERİ'!$M:$M,"40X000000104782K",'[1]GİP VERİLERİ'!$G:$G,"BUY")</f>
        <v/>
      </c>
      <c r="AB242" s="34">
        <f>'[1]GÖP VERİLERİ'!H243</f>
        <v/>
      </c>
      <c r="AC242" s="34" t="n">
        <v>0</v>
      </c>
      <c r="AD242" s="34">
        <f>IF(AB242&gt;AC242*1.05,AB242-AC242*1.05,IF(AB242&lt;AC242*0.95,AC242*0.95-AB242,0))</f>
        <v/>
      </c>
      <c r="AE242" s="34">
        <f>MAX(F242,G242,750)*0.05*AD242</f>
        <v/>
      </c>
      <c r="AF242" s="34" t="n">
        <v>0</v>
      </c>
      <c r="AG242" s="34">
        <f>IF(AB242&gt;AF242*1.05,AB242-AF242*1.05,IF(AB242&lt;AF242*0.95,AF242*0.95-AB242,0))</f>
        <v/>
      </c>
      <c r="AH242" s="34">
        <f>MAX(I242,J242,750)*0.05*AG242</f>
        <v/>
      </c>
      <c r="AI242">
        <f>'[1]GÖP VERİLERİ'!E243</f>
        <v/>
      </c>
      <c r="AJ242" t="n">
        <v>6</v>
      </c>
      <c r="AK242" s="34">
        <f>IF(AI242&gt;AJ242*1.05,AI242-AJ242*1.05,IF(AI242&lt;AJ242*0.95,AJ242*0.95-AI242,0))</f>
        <v/>
      </c>
      <c r="AL242" s="34">
        <f>MAX(F242,G242,750)*0.05*AK242</f>
        <v/>
      </c>
      <c r="AM242" s="39" t="n">
        <v>6</v>
      </c>
      <c r="AN242" s="34">
        <f>IF(AI242&gt;AM242*1.05,AI242-AM242*1.05,IF(AI242&lt;AM242*0.95,AM242*0.95-AI242,0))</f>
        <v/>
      </c>
      <c r="AO242" s="34">
        <f>MAX(F242,G242,750)*0.05*AN242</f>
        <v/>
      </c>
      <c r="AP242" s="34">
        <f>'[1]GÖP VERİLERİ'!B243</f>
        <v/>
      </c>
      <c r="AQ242" s="34" t="n">
        <v>9</v>
      </c>
      <c r="AR242" s="34">
        <f>IF(AP242&gt;AQ242*1.05,AP242-AQ242*1.05,IF(AP242&lt;AQ242*0.95,AQ242*0.95-AP242,0))</f>
        <v/>
      </c>
      <c r="AS242" s="34">
        <f>MAX(F242:G242,750)*0.05*AR242</f>
        <v/>
      </c>
      <c r="AT242" t="n">
        <v>9</v>
      </c>
      <c r="AU242" s="34">
        <f>IF(AP242&gt;AT242*1.05,AP242-AT242*1.05,IF(AP242&lt;AT242*0.95,AT242*0.95-AP242,0))</f>
        <v/>
      </c>
      <c r="AV242" s="34">
        <f>MAX(F242:G242,750)*0.05*AU242</f>
        <v/>
      </c>
      <c r="AW242" s="34">
        <f>AC242+AJ242+AQ242</f>
        <v/>
      </c>
      <c r="AX242" s="34">
        <f>AF242+AM242+AT242</f>
        <v/>
      </c>
      <c r="AY242" s="34">
        <f>AB242+AI242+AP242</f>
        <v/>
      </c>
      <c r="AZ242" s="34" t="n">
        <v>0</v>
      </c>
      <c r="BA242" s="34">
        <f>AD242+AK242+AR242</f>
        <v/>
      </c>
      <c r="BB242" s="34">
        <f>MAX(F242:G242,750)*0.05*BA242</f>
        <v/>
      </c>
      <c r="BC242" s="34">
        <f>AG242+AN242+AU242</f>
        <v/>
      </c>
      <c r="BD242" s="34">
        <f>MAX(F242:G242,750)*0.05*BC242</f>
        <v/>
      </c>
      <c r="BE242" s="34">
        <f>F242*AY242</f>
        <v/>
      </c>
      <c r="BF242" s="34">
        <f>K242-M242</f>
        <v/>
      </c>
      <c r="BG242" s="34">
        <f>P242-S242</f>
        <v/>
      </c>
      <c r="BH242" s="34">
        <f>W242-AA242</f>
        <v/>
      </c>
      <c r="BI242" s="34">
        <f>BF242+BG242+BL242-BN242</f>
        <v/>
      </c>
      <c r="BJ242" s="34">
        <f>ABS(BK242)</f>
        <v/>
      </c>
      <c r="BK242" s="34">
        <f>AY242-(J242-L242+N242-Q242)</f>
        <v/>
      </c>
      <c r="BL242" s="34">
        <f>IF(AND(BK242&gt;0,MIN($F242:$G242)&lt;150,$E242="Enerji Açığı"),-100*BK242*1.03,IF(AND(BK242&gt;0,MIN($F242:$G242)&lt;150,$E242="Enerji Fazlası"),-100*BK242*1.06,IF(AND(BK242&gt;0,MIN($F242:$G242)&gt;=150,$E242="Enerji Açığı"),BK242*MIN($F242:$G242)*0.97,IF(AND(BK242&gt;0,MIN($F242:$G242)&gt;=150,$E242="Enerji Fazlası"),BK242*MIN($F242:$G242)*0.94,IF(AND(BK242&lt;0,MAX($F242:$G242)=4500,$E242="Enerji Açığı"),4500*1.05*1.06*BK242,IF(AND(BK242&lt;0,MAX($F242:$G242)=4500,$E242="Enerji Fazlası"),4500*1.05*1.03*BK242,IF(AND(BK242&lt;0,$E242="Enerji Açığı"),MAX($F242,$G242,150)*BK242*1.06,IF(AND(BK242&lt;0,$E242="Enerji Fazlası"),MAX($F242,$G242,150)*BK242*1.03,IF(AND(BK242&lt;0,$E242="Dengede"),MAX($F242:$G242,150)*1.03*BK242,MIN($F242:$G242)*0.97*BK242)))))))))</f>
        <v/>
      </c>
      <c r="BM242" s="34">
        <f>BE242-BI242-BN242</f>
        <v/>
      </c>
      <c r="BN242" s="34">
        <f>BB242</f>
        <v/>
      </c>
      <c r="BO242" s="34">
        <f>BE242-BI242</f>
        <v/>
      </c>
      <c r="BP242" s="34">
        <f>IF(AY242=0,0,BO242/AY242)</f>
        <v/>
      </c>
      <c r="BQ242" s="34">
        <f>MAX((AY242+MAX((-J242+L242-N242+Q242),0)),(MAX((J242-L242+N242-Q242),0)))</f>
        <v/>
      </c>
      <c r="BR242" s="82">
        <f>IFERROR(ABS(BK242/BQ242),0)</f>
        <v/>
      </c>
      <c r="BS242" s="34">
        <f>IF(BR242&lt;=0.1,0,BK242/BR242*(BR242-0.1))</f>
        <v/>
      </c>
      <c r="BT242" s="34">
        <f>IF((BS242)&lt;0,MAX(F242:G242)*(BS242)*1.03,MIN(F242:G242)*(BS242)*0.97)</f>
        <v/>
      </c>
      <c r="BU242" s="34">
        <f>IF(BR242&gt;0.1,1,0)</f>
        <v/>
      </c>
      <c r="BV242" s="34">
        <f>BF242+BG242+BH242+BY242-CA242</f>
        <v/>
      </c>
      <c r="BW242" s="34">
        <f>ABS(BX242)</f>
        <v/>
      </c>
      <c r="BX242" s="34">
        <f>AY242-(J242-L242+N242-Q242+T242-X242)</f>
        <v/>
      </c>
      <c r="BY242" s="34">
        <f>IF(AND(BX242&gt;0,MIN($F242:$G242)&lt;150,$E242="Enerji Açığı"),-100*BX242*1.03,IF(AND(BX242&gt;0,MIN($F242:$G242)&lt;150,$E242="Enerji Fazlası"),-100*BX242*1.06,IF(AND(BX242&gt;0,MIN($F242:$G242)&gt;=150,$E242="Enerji Açığı"),BX242*MIN($F242:$G242)*0.97,IF(AND(BX242&gt;0,MIN($F242:$G242)&gt;=150,$E242="Enerji Fazlası"),BX242*MIN($F242:$G242)*0.94,IF(AND(BX242&lt;0,MAX($F242:$G242)=4500,$E242="Enerji Açığı"),4500*1.05*1.06*BX242,IF(AND(BX242&lt;0,MAX($F242:$G242)=4500,$E242="Enerji Fazlası"),4500*1.05*1.03*BX242,IF(AND(BX242&lt;0,$E242="Enerji Açığı"),MAX($F242,$G242,150)*BX242*1.06,IF(AND(BX242&lt;0,$E242="Enerji Fazlası"),MAX($F242,$G242,150)*BX242*1.03,IF(AND(BX242&lt;0,$E242="Dengede"),MAX($F242:$G242,150)*1.03*BX242,MIN($F242:$G242)*0.97*BX242)))))))))</f>
        <v/>
      </c>
      <c r="BZ242" s="34">
        <f>BE242-BV242-CA242</f>
        <v/>
      </c>
      <c r="CA242" s="34">
        <f>BD242</f>
        <v/>
      </c>
      <c r="CB242" s="33">
        <f>BE242-BV242</f>
        <v/>
      </c>
      <c r="CC242" s="34">
        <f>IF(AY242=0,0,CB242/AY242)</f>
        <v/>
      </c>
      <c r="CD242" s="34">
        <f>MAX((AY242+MAX((-J242+L242-N242+Q242-T242+X242),0)),(MAX((J242-L242+N242-Q242+T242-X242),0)))</f>
        <v/>
      </c>
      <c r="CE242" s="82">
        <f>IFERROR(ABS(BX242/CD242),0)</f>
        <v/>
      </c>
      <c r="CF242" s="34">
        <f>IF(CE242&lt;=0.1,0,BX242/CE242*(CE242-0.1))</f>
        <v/>
      </c>
      <c r="CG242" s="34">
        <f>IF((CF242)&lt;0,MAX(F242:G242)*(CF242)*1.03,MIN(F242:G242)*(CF242)*0.97)</f>
        <v/>
      </c>
      <c r="CH242" s="34">
        <f>IF(CE242&gt;0.1,1,0)</f>
        <v/>
      </c>
      <c r="CI242" s="34">
        <f>(F242*BX242)-BY242</f>
        <v/>
      </c>
      <c r="CJ242" s="34">
        <f>IF(AY242=0,0,CI242/AY242)</f>
        <v/>
      </c>
    </row>
    <row r="243">
      <c r="A243" s="29">
        <f>[1]FİYATLAR!A218</f>
        <v/>
      </c>
      <c r="B243" s="29">
        <f>[1]FİYATLAR!B218</f>
        <v/>
      </c>
      <c r="C243" s="35">
        <f>INT(A243)</f>
        <v/>
      </c>
      <c r="D243" s="36">
        <f>MONTH(A243)</f>
        <v/>
      </c>
      <c r="E243" s="147">
        <f>[1]FİYATLAR!G218</f>
        <v/>
      </c>
      <c r="F243" s="30">
        <f>[1]FİYATLAR!C218</f>
        <v/>
      </c>
      <c r="G243" s="30">
        <f>[1]FİYATLAR!E218</f>
        <v/>
      </c>
      <c r="H243" s="30">
        <f>[1]FİYATLAR!D218</f>
        <v/>
      </c>
      <c r="I243" s="30">
        <f>[1]FİYATLAR!F218</f>
        <v/>
      </c>
      <c r="J243" s="119" t="n">
        <v>0</v>
      </c>
      <c r="K243" s="34">
        <f>F243*J243</f>
        <v/>
      </c>
      <c r="L243" s="119" t="n"/>
      <c r="M243" s="34">
        <f>L243*F243</f>
        <v/>
      </c>
      <c r="N243" s="119" t="n"/>
      <c r="O243" s="34">
        <f>F243</f>
        <v/>
      </c>
      <c r="P243" s="34">
        <f>N243*O243</f>
        <v/>
      </c>
      <c r="Q243" s="117" t="n">
        <v>0</v>
      </c>
      <c r="R243" s="34">
        <f>F243</f>
        <v/>
      </c>
      <c r="S243" s="34">
        <f>R243*Q243</f>
        <v/>
      </c>
      <c r="T243" s="34">
        <f>SUMIFS('[1]GİP VERİLERİ'!$C:$C,'[1]GİP VERİLERİ'!$B:$B,A243,'[1]GİP VERİLERİ'!$M:$M,"40X000000104782K",'[1]GİP VERİLERİ'!$G:$G,"SELL")</f>
        <v/>
      </c>
      <c r="U243" s="34">
        <f>IFERROR(W243/T243,0)</f>
        <v/>
      </c>
      <c r="V243" s="34">
        <f>IF(U243=0,0,U243-F243)</f>
        <v/>
      </c>
      <c r="W243" s="34">
        <f>SUMIFS('[1]GİP VERİLERİ'!$O:$O,'[1]GİP VERİLERİ'!$B:$B,A243,'[1]GİP VERİLERİ'!$M:$M,"40X000000104782K",'[1]GİP VERİLERİ'!$G:$G,"SELL")</f>
        <v/>
      </c>
      <c r="X243" s="34">
        <f>SUMIFS('[1]GİP VERİLERİ'!$C:$C,'[1]GİP VERİLERİ'!$B:$B,A243,'[1]GİP VERİLERİ'!$M:$M,"40X000000104782K",'[1]GİP VERİLERİ'!$G:$G,"BUY")</f>
        <v/>
      </c>
      <c r="Y243" s="34">
        <f>IFERROR(AA243/X243,0)</f>
        <v/>
      </c>
      <c r="Z243" s="34">
        <f>IF(Y243=0,0,F243-Y243)</f>
        <v/>
      </c>
      <c r="AA243" s="34">
        <f>SUMIFS('[1]GİP VERİLERİ'!$O:$O,'[1]GİP VERİLERİ'!$B:$B,A243,'[1]GİP VERİLERİ'!$M:$M,"40X000000104782K",'[1]GİP VERİLERİ'!$G:$G,"BUY")</f>
        <v/>
      </c>
      <c r="AB243" s="34">
        <f>'[1]GÖP VERİLERİ'!H244</f>
        <v/>
      </c>
      <c r="AC243" s="34">
        <f>'[1]GÖP VERİLERİ'!I244</f>
        <v/>
      </c>
      <c r="AD243" s="34">
        <f>IF(AB243&gt;AC243*1.05,AB243-AC243*1.05,IF(AB243&lt;AC243*0.95,AC243*0.95-AB243,0))</f>
        <v/>
      </c>
      <c r="AE243" s="34">
        <f>MAX(F243,G243,750)*0.05*AD243</f>
        <v/>
      </c>
      <c r="AF243" s="34">
        <f>'[1]GÖP VERİLERİ'!J244</f>
        <v/>
      </c>
      <c r="AG243" s="34">
        <f>IF(AB243&gt;AF243*1.05,AB243-AF243*1.05,IF(AB243&lt;AF243*0.95,AF243*0.95-AB243,0))</f>
        <v/>
      </c>
      <c r="AH243" s="34">
        <f>MAX(I243,J243,750)*0.05*AG243</f>
        <v/>
      </c>
      <c r="AI243">
        <f>'[1]GÖP VERİLERİ'!E244</f>
        <v/>
      </c>
      <c r="AJ243">
        <f>'[1]GÖP VERİLERİ'!F244</f>
        <v/>
      </c>
      <c r="AK243" s="34">
        <f>IF(AI243&gt;AJ243*1.05,AI243-AJ243*1.05,IF(AI243&lt;AJ243*0.95,AJ243*0.95-AI243,0))</f>
        <v/>
      </c>
      <c r="AL243" s="34">
        <f>MAX(F243,G243,750)*0.05*AK243</f>
        <v/>
      </c>
      <c r="AM243" s="39">
        <f>'[1]GÖP VERİLERİ'!G244</f>
        <v/>
      </c>
      <c r="AN243" s="34">
        <f>IF(AI243&gt;AM243*1.05,AI243-AM243*1.05,IF(AI243&lt;AM243*0.95,AM243*0.95-AI243,0))</f>
        <v/>
      </c>
      <c r="AO243" s="34">
        <f>MAX(F243,G243,750)*0.05*AN243</f>
        <v/>
      </c>
      <c r="AP243" s="34">
        <f>'[1]GÖP VERİLERİ'!B244</f>
        <v/>
      </c>
      <c r="AQ243" s="34">
        <f>'[1]GÖP VERİLERİ'!C244</f>
        <v/>
      </c>
      <c r="AR243" s="34">
        <f>IF(AP243&gt;AQ243*1.05,AP243-AQ243*1.05,IF(AP243&lt;AQ243*0.95,AQ243*0.95-AP243,0))</f>
        <v/>
      </c>
      <c r="AS243" s="34">
        <f>MAX(F243:G243,750)*0.05*AR243</f>
        <v/>
      </c>
      <c r="AT243">
        <f>'[1]GÖP VERİLERİ'!D244</f>
        <v/>
      </c>
      <c r="AU243" s="34">
        <f>IF(AP243&gt;AT243*1.05,AP243-AT243*1.05,IF(AP243&lt;AT243*0.95,AT243*0.95-AP243,0))</f>
        <v/>
      </c>
      <c r="AV243" s="34">
        <f>MAX(F243:G243,750)*0.05*AU243</f>
        <v/>
      </c>
      <c r="AW243" s="34">
        <f>AC243+AJ243+AQ243</f>
        <v/>
      </c>
      <c r="AX243" s="34">
        <f>AF243+AM243+AT243</f>
        <v/>
      </c>
      <c r="AY243" s="34">
        <f>AB243+AI243+AP243</f>
        <v/>
      </c>
      <c r="AZ243" s="34" t="n">
        <v>0</v>
      </c>
      <c r="BA243" s="34">
        <f>AD243+AK243+AR243</f>
        <v/>
      </c>
      <c r="BB243" s="34">
        <f>MAX(F243:G243,750)*0.05*BA243</f>
        <v/>
      </c>
      <c r="BC243" s="34">
        <f>AG243+AN243+AU243</f>
        <v/>
      </c>
      <c r="BD243" s="34">
        <f>MAX(F243:G243,750)*0.05*BC243</f>
        <v/>
      </c>
      <c r="BE243" s="34">
        <f>F243*AY243</f>
        <v/>
      </c>
      <c r="BF243" s="34">
        <f>K243-M243</f>
        <v/>
      </c>
      <c r="BG243" s="34">
        <f>P243-S243</f>
        <v/>
      </c>
      <c r="BH243" s="34">
        <f>W243-AA243</f>
        <v/>
      </c>
      <c r="BI243" s="34">
        <f>BF243+BG243+BL243-BN243</f>
        <v/>
      </c>
      <c r="BJ243" s="34">
        <f>ABS(BK243)</f>
        <v/>
      </c>
      <c r="BK243" s="34">
        <f>AY243-(J243-L243+N243-Q243)</f>
        <v/>
      </c>
      <c r="BL243" s="34">
        <f>IF(AND(BK243&gt;0,MIN($F243:$G243)&lt;150,$E243="Enerji Açığı"),-100*BK243*1.03,IF(AND(BK243&gt;0,MIN($F243:$G243)&lt;150,$E243="Enerji Fazlası"),-100*BK243*1.06,IF(AND(BK243&gt;0,MIN($F243:$G243)&gt;=150,$E243="Enerji Açığı"),BK243*MIN($F243:$G243)*0.97,IF(AND(BK243&gt;0,MIN($F243:$G243)&gt;=150,$E243="Enerji Fazlası"),BK243*MIN($F243:$G243)*0.94,IF(AND(BK243&lt;0,MAX($F243:$G243)=4500,$E243="Enerji Açığı"),4500*1.05*1.06*BK243,IF(AND(BK243&lt;0,MAX($F243:$G243)=4500,$E243="Enerji Fazlası"),4500*1.05*1.03*BK243,IF(AND(BK243&lt;0,$E243="Enerji Açığı"),MAX($F243,$G243,150)*BK243*1.06,IF(AND(BK243&lt;0,$E243="Enerji Fazlası"),MAX($F243,$G243,150)*BK243*1.03,IF(AND(BK243&lt;0,$E243="Dengede"),MAX($F243:$G243,150)*1.03*BK243,MIN($F243:$G243)*0.97*BK243)))))))))</f>
        <v/>
      </c>
      <c r="BM243" s="34">
        <f>BE243-BI243-BN243</f>
        <v/>
      </c>
      <c r="BN243" s="34">
        <f>BB243</f>
        <v/>
      </c>
      <c r="BO243" s="34">
        <f>BE243-BI243</f>
        <v/>
      </c>
      <c r="BP243" s="34">
        <f>IF(AY243=0,0,BO243/AY243)</f>
        <v/>
      </c>
      <c r="BQ243" s="34">
        <f>MAX((AY243+MAX((-J243+L243-N243+Q243),0)),(MAX((J243-L243+N243-Q243),0)))</f>
        <v/>
      </c>
      <c r="BR243" s="82">
        <f>IFERROR(ABS(BK243/BQ243),0)</f>
        <v/>
      </c>
      <c r="BS243" s="34">
        <f>IF(BR243&lt;=0.1,0,BK243/BR243*(BR243-0.1))</f>
        <v/>
      </c>
      <c r="BT243" s="34">
        <f>IF((BS243)&lt;0,MAX(F243:G243)*(BS243)*1.03,MIN(F243:G243)*(BS243)*0.97)</f>
        <v/>
      </c>
      <c r="BU243" s="34">
        <f>IF(BR243&gt;0.1,1,0)</f>
        <v/>
      </c>
      <c r="BV243" s="34">
        <f>BF243+BG243+BH243+BY243-CA243</f>
        <v/>
      </c>
      <c r="BW243" s="34">
        <f>ABS(BX243)</f>
        <v/>
      </c>
      <c r="BX243" s="34">
        <f>AY243-(J243-L243+N243-Q243+T243-X243)</f>
        <v/>
      </c>
      <c r="BY243" s="34">
        <f>IF(AND(BX243&gt;0,MIN($F243:$G243)&lt;150,$E243="Enerji Açığı"),-100*BX243*1.03,IF(AND(BX243&gt;0,MIN($F243:$G243)&lt;150,$E243="Enerji Fazlası"),-100*BX243*1.06,IF(AND(BX243&gt;0,MIN($F243:$G243)&gt;=150,$E243="Enerji Açığı"),BX243*MIN($F243:$G243)*0.97,IF(AND(BX243&gt;0,MIN($F243:$G243)&gt;=150,$E243="Enerji Fazlası"),BX243*MIN($F243:$G243)*0.94,IF(AND(BX243&lt;0,MAX($F243:$G243)=4500,$E243="Enerji Açığı"),4500*1.05*1.06*BX243,IF(AND(BX243&lt;0,MAX($F243:$G243)=4500,$E243="Enerji Fazlası"),4500*1.05*1.03*BX243,IF(AND(BX243&lt;0,$E243="Enerji Açığı"),MAX($F243,$G243,150)*BX243*1.06,IF(AND(BX243&lt;0,$E243="Enerji Fazlası"),MAX($F243,$G243,150)*BX243*1.03,IF(AND(BX243&lt;0,$E243="Dengede"),MAX($F243:$G243,150)*1.03*BX243,MIN($F243:$G243)*0.97*BX243)))))))))</f>
        <v/>
      </c>
      <c r="BZ243" s="34">
        <f>BE243-BV243-CA243</f>
        <v/>
      </c>
      <c r="CA243" s="34">
        <f>BD243</f>
        <v/>
      </c>
      <c r="CB243" s="33">
        <f>BE243-BV243</f>
        <v/>
      </c>
      <c r="CC243" s="34">
        <f>IF(AY243=0,0,CB243/AY243)</f>
        <v/>
      </c>
      <c r="CD243" s="34">
        <f>MAX((AY243+MAX((-J243+L243-N243+Q243-T243+X243),0)),(MAX((J243-L243+N243-Q243+T243-X243),0)))</f>
        <v/>
      </c>
      <c r="CE243" s="82">
        <f>IFERROR(ABS(BX243/CD243),0)</f>
        <v/>
      </c>
      <c r="CF243" s="34">
        <f>IF(CE243&lt;=0.1,0,BX243/CE243*(CE243-0.1))</f>
        <v/>
      </c>
      <c r="CG243" s="34">
        <f>IF((CF243)&lt;0,MAX(F243:G243)*(CF243)*1.03,MIN(F243:G243)*(CF243)*0.97)</f>
        <v/>
      </c>
      <c r="CH243" s="34">
        <f>IF(CE243&gt;0.1,1,0)</f>
        <v/>
      </c>
      <c r="CI243" s="34">
        <f>(F243*BX243)-BY243</f>
        <v/>
      </c>
      <c r="CJ243" s="34">
        <f>IF(AY243=0,0,CI243/AY243)</f>
        <v/>
      </c>
    </row>
    <row r="244">
      <c r="A244" s="29">
        <f>[1]FİYATLAR!A219</f>
        <v/>
      </c>
      <c r="B244" s="29">
        <f>[1]FİYATLAR!B219</f>
        <v/>
      </c>
      <c r="C244" s="35">
        <f>INT(A244)</f>
        <v/>
      </c>
      <c r="D244" s="36">
        <f>MONTH(A244)</f>
        <v/>
      </c>
      <c r="E244" s="147">
        <f>[1]FİYATLAR!G219</f>
        <v/>
      </c>
      <c r="F244" s="30">
        <f>[1]FİYATLAR!C219</f>
        <v/>
      </c>
      <c r="G244" s="30">
        <f>[1]FİYATLAR!E219</f>
        <v/>
      </c>
      <c r="H244" s="30">
        <f>[1]FİYATLAR!D219</f>
        <v/>
      </c>
      <c r="I244" s="30">
        <f>[1]FİYATLAR!F219</f>
        <v/>
      </c>
      <c r="J244" s="119" t="n">
        <v>0</v>
      </c>
      <c r="K244" s="34">
        <f>F244*J244</f>
        <v/>
      </c>
      <c r="L244" s="119" t="n"/>
      <c r="M244" s="34">
        <f>L244*F244</f>
        <v/>
      </c>
      <c r="N244" s="119" t="n"/>
      <c r="O244" s="34">
        <f>F244</f>
        <v/>
      </c>
      <c r="P244" s="34">
        <f>N244*O244</f>
        <v/>
      </c>
      <c r="Q244" s="117" t="n">
        <v>0</v>
      </c>
      <c r="R244" s="34">
        <f>F244</f>
        <v/>
      </c>
      <c r="S244" s="34">
        <f>R244*Q244</f>
        <v/>
      </c>
      <c r="T244" s="34">
        <f>SUMIFS('[1]GİP VERİLERİ'!$C:$C,'[1]GİP VERİLERİ'!$B:$B,A244,'[1]GİP VERİLERİ'!$M:$M,"40X000000104782K",'[1]GİP VERİLERİ'!$G:$G,"SELL")</f>
        <v/>
      </c>
      <c r="U244" s="34">
        <f>IFERROR(W244/T244,0)</f>
        <v/>
      </c>
      <c r="V244" s="34">
        <f>IF(U244=0,0,U244-F244)</f>
        <v/>
      </c>
      <c r="W244" s="34">
        <f>SUMIFS('[1]GİP VERİLERİ'!$O:$O,'[1]GİP VERİLERİ'!$B:$B,A244,'[1]GİP VERİLERİ'!$M:$M,"40X000000104782K",'[1]GİP VERİLERİ'!$G:$G,"SELL")</f>
        <v/>
      </c>
      <c r="X244" s="34">
        <f>SUMIFS('[1]GİP VERİLERİ'!$C:$C,'[1]GİP VERİLERİ'!$B:$B,A244,'[1]GİP VERİLERİ'!$M:$M,"40X000000104782K",'[1]GİP VERİLERİ'!$G:$G,"BUY")</f>
        <v/>
      </c>
      <c r="Y244" s="34">
        <f>IFERROR(AA244/X244,0)</f>
        <v/>
      </c>
      <c r="Z244" s="34">
        <f>IF(Y244=0,0,F244-Y244)</f>
        <v/>
      </c>
      <c r="AA244" s="34">
        <f>SUMIFS('[1]GİP VERİLERİ'!$O:$O,'[1]GİP VERİLERİ'!$B:$B,A244,'[1]GİP VERİLERİ'!$M:$M,"40X000000104782K",'[1]GİP VERİLERİ'!$G:$G,"BUY")</f>
        <v/>
      </c>
      <c r="AB244" s="34">
        <f>'[1]GÖP VERİLERİ'!H245</f>
        <v/>
      </c>
      <c r="AC244" s="34">
        <f>'[1]GÖP VERİLERİ'!I245</f>
        <v/>
      </c>
      <c r="AD244" s="34">
        <f>IF(AB244&gt;AC244*1.05,AB244-AC244*1.05,IF(AB244&lt;AC244*0.95,AC244*0.95-AB244,0))</f>
        <v/>
      </c>
      <c r="AE244" s="34">
        <f>MAX(F244,G244,750)*0.05*AD244</f>
        <v/>
      </c>
      <c r="AF244" s="34">
        <f>'[1]GÖP VERİLERİ'!J245</f>
        <v/>
      </c>
      <c r="AG244" s="34">
        <f>IF(AB244&gt;AF244*1.05,AB244-AF244*1.05,IF(AB244&lt;AF244*0.95,AF244*0.95-AB244,0))</f>
        <v/>
      </c>
      <c r="AH244" s="34">
        <f>MAX(I244,J244,750)*0.05*AG244</f>
        <v/>
      </c>
      <c r="AI244">
        <f>'[1]GÖP VERİLERİ'!E245</f>
        <v/>
      </c>
      <c r="AJ244">
        <f>'[1]GÖP VERİLERİ'!F245</f>
        <v/>
      </c>
      <c r="AK244" s="34">
        <f>IF(AI244&gt;AJ244*1.05,AI244-AJ244*1.05,IF(AI244&lt;AJ244*0.95,AJ244*0.95-AI244,0))</f>
        <v/>
      </c>
      <c r="AL244" s="34">
        <f>MAX(F244,G244,750)*0.05*AK244</f>
        <v/>
      </c>
      <c r="AM244" s="39">
        <f>'[1]GÖP VERİLERİ'!G245</f>
        <v/>
      </c>
      <c r="AN244" s="34">
        <f>IF(AI244&gt;AM244*1.05,AI244-AM244*1.05,IF(AI244&lt;AM244*0.95,AM244*0.95-AI244,0))</f>
        <v/>
      </c>
      <c r="AO244" s="34">
        <f>MAX(F244,G244,750)*0.05*AN244</f>
        <v/>
      </c>
      <c r="AP244" s="34">
        <f>'[1]GÖP VERİLERİ'!B245</f>
        <v/>
      </c>
      <c r="AQ244" s="34">
        <f>'[1]GÖP VERİLERİ'!C245</f>
        <v/>
      </c>
      <c r="AR244" s="34">
        <f>IF(AP244&gt;AQ244*1.05,AP244-AQ244*1.05,IF(AP244&lt;AQ244*0.95,AQ244*0.95-AP244,0))</f>
        <v/>
      </c>
      <c r="AS244" s="34">
        <f>MAX(F244:G244,750)*0.05*AR244</f>
        <v/>
      </c>
      <c r="AT244">
        <f>'[1]GÖP VERİLERİ'!D245</f>
        <v/>
      </c>
      <c r="AU244" s="34">
        <f>IF(AP244&gt;AT244*1.05,AP244-AT244*1.05,IF(AP244&lt;AT244*0.95,AT244*0.95-AP244,0))</f>
        <v/>
      </c>
      <c r="AV244" s="34">
        <f>MAX(F244:G244,750)*0.05*AU244</f>
        <v/>
      </c>
      <c r="AW244" s="34">
        <f>AC244+AJ244+AQ244</f>
        <v/>
      </c>
      <c r="AX244" s="34">
        <f>AF244+AM244+AT244</f>
        <v/>
      </c>
      <c r="AY244" s="34">
        <f>AB244+AI244+AP244</f>
        <v/>
      </c>
      <c r="AZ244" s="34" t="n">
        <v>0</v>
      </c>
      <c r="BA244" s="34">
        <f>AD244+AK244+AR244</f>
        <v/>
      </c>
      <c r="BB244" s="34">
        <f>MAX(F244:G244,750)*0.05*BA244</f>
        <v/>
      </c>
      <c r="BC244" s="34">
        <f>AG244+AN244+AU244</f>
        <v/>
      </c>
      <c r="BD244" s="34">
        <f>MAX(F244:G244,750)*0.05*BC244</f>
        <v/>
      </c>
      <c r="BE244" s="34">
        <f>F244*AY244</f>
        <v/>
      </c>
      <c r="BF244" s="34">
        <f>K244-M244</f>
        <v/>
      </c>
      <c r="BG244" s="34">
        <f>P244-S244</f>
        <v/>
      </c>
      <c r="BH244" s="34">
        <f>W244-AA244</f>
        <v/>
      </c>
      <c r="BI244" s="34">
        <f>BF244+BG244+BL244-BN244</f>
        <v/>
      </c>
      <c r="BJ244" s="34">
        <f>ABS(BK244)</f>
        <v/>
      </c>
      <c r="BK244" s="34">
        <f>AY244-(J244-L244+N244-Q244)</f>
        <v/>
      </c>
      <c r="BL244" s="34">
        <f>IF(AND(BK244&gt;0,MIN($F244:$G244)&lt;150,$E244="Enerji Açığı"),-100*BK244*1.03,IF(AND(BK244&gt;0,MIN($F244:$G244)&lt;150,$E244="Enerji Fazlası"),-100*BK244*1.06,IF(AND(BK244&gt;0,MIN($F244:$G244)&gt;=150,$E244="Enerji Açığı"),BK244*MIN($F244:$G244)*0.97,IF(AND(BK244&gt;0,MIN($F244:$G244)&gt;=150,$E244="Enerji Fazlası"),BK244*MIN($F244:$G244)*0.94,IF(AND(BK244&lt;0,MAX($F244:$G244)=4500,$E244="Enerji Açığı"),4500*1.05*1.06*BK244,IF(AND(BK244&lt;0,MAX($F244:$G244)=4500,$E244="Enerji Fazlası"),4500*1.05*1.03*BK244,IF(AND(BK244&lt;0,$E244="Enerji Açığı"),MAX($F244,$G244,150)*BK244*1.06,IF(AND(BK244&lt;0,$E244="Enerji Fazlası"),MAX($F244,$G244,150)*BK244*1.03,IF(AND(BK244&lt;0,$E244="Dengede"),MAX($F244:$G244,150)*1.03*BK244,MIN($F244:$G244)*0.97*BK244)))))))))</f>
        <v/>
      </c>
      <c r="BM244" s="34">
        <f>BE244-BI244-BN244</f>
        <v/>
      </c>
      <c r="BN244" s="34">
        <f>BB244</f>
        <v/>
      </c>
      <c r="BO244" s="34">
        <f>BE244-BI244</f>
        <v/>
      </c>
      <c r="BP244" s="34">
        <f>IF(AY244=0,0,BO244/AY244)</f>
        <v/>
      </c>
      <c r="BQ244" s="34">
        <f>MAX((AY244+MAX((-J244+L244-N244+Q244),0)),(MAX((J244-L244+N244-Q244),0)))</f>
        <v/>
      </c>
      <c r="BR244" s="82">
        <f>IFERROR(ABS(BK244/BQ244),0)</f>
        <v/>
      </c>
      <c r="BS244" s="34">
        <f>IF(BR244&lt;=0.1,0,BK244/BR244*(BR244-0.1))</f>
        <v/>
      </c>
      <c r="BT244" s="34">
        <f>IF((BS244)&lt;0,MAX(F244:G244)*(BS244)*1.03,MIN(F244:G244)*(BS244)*0.97)</f>
        <v/>
      </c>
      <c r="BU244" s="34">
        <f>IF(BR244&gt;0.1,1,0)</f>
        <v/>
      </c>
      <c r="BV244" s="34">
        <f>BF244+BG244+BH244+BY244-CA244</f>
        <v/>
      </c>
      <c r="BW244" s="34">
        <f>ABS(BX244)</f>
        <v/>
      </c>
      <c r="BX244" s="34">
        <f>AY244-(J244-L244+N244-Q244+T244-X244)</f>
        <v/>
      </c>
      <c r="BY244" s="34">
        <f>IF(AND(BX244&gt;0,MIN($F244:$G244)&lt;150,$E244="Enerji Açığı"),-100*BX244*1.03,IF(AND(BX244&gt;0,MIN($F244:$G244)&lt;150,$E244="Enerji Fazlası"),-100*BX244*1.06,IF(AND(BX244&gt;0,MIN($F244:$G244)&gt;=150,$E244="Enerji Açığı"),BX244*MIN($F244:$G244)*0.97,IF(AND(BX244&gt;0,MIN($F244:$G244)&gt;=150,$E244="Enerji Fazlası"),BX244*MIN($F244:$G244)*0.94,IF(AND(BX244&lt;0,MAX($F244:$G244)=4500,$E244="Enerji Açığı"),4500*1.05*1.06*BX244,IF(AND(BX244&lt;0,MAX($F244:$G244)=4500,$E244="Enerji Fazlası"),4500*1.05*1.03*BX244,IF(AND(BX244&lt;0,$E244="Enerji Açığı"),MAX($F244,$G244,150)*BX244*1.06,IF(AND(BX244&lt;0,$E244="Enerji Fazlası"),MAX($F244,$G244,150)*BX244*1.03,IF(AND(BX244&lt;0,$E244="Dengede"),MAX($F244:$G244,150)*1.03*BX244,MIN($F244:$G244)*0.97*BX244)))))))))</f>
        <v/>
      </c>
      <c r="BZ244" s="34">
        <f>BE244-BV244-CA244</f>
        <v/>
      </c>
      <c r="CA244" s="34">
        <f>BD244</f>
        <v/>
      </c>
      <c r="CB244" s="33">
        <f>BE244-BV244</f>
        <v/>
      </c>
      <c r="CC244" s="34">
        <f>IF(AY244=0,0,CB244/AY244)</f>
        <v/>
      </c>
      <c r="CD244" s="34">
        <f>MAX((AY244+MAX((-J244+L244-N244+Q244-T244+X244),0)),(MAX((J244-L244+N244-Q244+T244-X244),0)))</f>
        <v/>
      </c>
      <c r="CE244" s="82">
        <f>IFERROR(ABS(BX244/CD244),0)</f>
        <v/>
      </c>
      <c r="CF244" s="34">
        <f>IF(CE244&lt;=0.1,0,BX244/CE244*(CE244-0.1))</f>
        <v/>
      </c>
      <c r="CG244" s="34">
        <f>IF((CF244)&lt;0,MAX(F244:G244)*(CF244)*1.03,MIN(F244:G244)*(CF244)*0.97)</f>
        <v/>
      </c>
      <c r="CH244" s="34">
        <f>IF(CE244&gt;0.1,1,0)</f>
        <v/>
      </c>
      <c r="CI244" s="34">
        <f>(F244*BX244)-BY244</f>
        <v/>
      </c>
      <c r="CJ244" s="34">
        <f>IF(AY244=0,0,CI244/AY244)</f>
        <v/>
      </c>
    </row>
    <row r="245">
      <c r="A245" s="29">
        <f>[1]FİYATLAR!A220</f>
        <v/>
      </c>
      <c r="B245" s="29">
        <f>[1]FİYATLAR!B220</f>
        <v/>
      </c>
      <c r="C245" s="35">
        <f>INT(A245)</f>
        <v/>
      </c>
      <c r="D245" s="36">
        <f>MONTH(A245)</f>
        <v/>
      </c>
      <c r="E245" s="147">
        <f>[1]FİYATLAR!G220</f>
        <v/>
      </c>
      <c r="F245" s="30">
        <f>[1]FİYATLAR!C220</f>
        <v/>
      </c>
      <c r="G245" s="30">
        <f>[1]FİYATLAR!E220</f>
        <v/>
      </c>
      <c r="H245" s="30">
        <f>[1]FİYATLAR!D220</f>
        <v/>
      </c>
      <c r="I245" s="30">
        <f>[1]FİYATLAR!F220</f>
        <v/>
      </c>
      <c r="J245" s="119" t="n">
        <v>0</v>
      </c>
      <c r="K245" s="34">
        <f>F245*J245</f>
        <v/>
      </c>
      <c r="L245" s="119" t="n"/>
      <c r="M245" s="34">
        <f>L245*F245</f>
        <v/>
      </c>
      <c r="N245" s="119" t="n"/>
      <c r="O245" s="34">
        <f>F245</f>
        <v/>
      </c>
      <c r="P245" s="34">
        <f>N245*O245</f>
        <v/>
      </c>
      <c r="Q245" s="117" t="n">
        <v>0</v>
      </c>
      <c r="R245" s="34">
        <f>F245</f>
        <v/>
      </c>
      <c r="S245" s="34">
        <f>R245*Q245</f>
        <v/>
      </c>
      <c r="T245" s="34">
        <f>SUMIFS('[1]GİP VERİLERİ'!$C:$C,'[1]GİP VERİLERİ'!$B:$B,A245,'[1]GİP VERİLERİ'!$M:$M,"40X000000104782K",'[1]GİP VERİLERİ'!$G:$G,"SELL")</f>
        <v/>
      </c>
      <c r="U245" s="34">
        <f>IFERROR(W245/T245,0)</f>
        <v/>
      </c>
      <c r="V245" s="34">
        <f>IF(U245=0,0,U245-F245)</f>
        <v/>
      </c>
      <c r="W245" s="34">
        <f>SUMIFS('[1]GİP VERİLERİ'!$O:$O,'[1]GİP VERİLERİ'!$B:$B,A245,'[1]GİP VERİLERİ'!$M:$M,"40X000000104782K",'[1]GİP VERİLERİ'!$G:$G,"SELL")</f>
        <v/>
      </c>
      <c r="X245" s="34">
        <f>SUMIFS('[1]GİP VERİLERİ'!$C:$C,'[1]GİP VERİLERİ'!$B:$B,A245,'[1]GİP VERİLERİ'!$M:$M,"40X000000104782K",'[1]GİP VERİLERİ'!$G:$G,"BUY")</f>
        <v/>
      </c>
      <c r="Y245" s="34">
        <f>IFERROR(AA245/X245,0)</f>
        <v/>
      </c>
      <c r="Z245" s="34">
        <f>IF(Y245=0,0,F245-Y245)</f>
        <v/>
      </c>
      <c r="AA245" s="34">
        <f>SUMIFS('[1]GİP VERİLERİ'!$O:$O,'[1]GİP VERİLERİ'!$B:$B,A245,'[1]GİP VERİLERİ'!$M:$M,"40X000000104782K",'[1]GİP VERİLERİ'!$G:$G,"BUY")</f>
        <v/>
      </c>
      <c r="AB245" s="34">
        <f>'[1]GÖP VERİLERİ'!H246</f>
        <v/>
      </c>
      <c r="AC245" s="34">
        <f>'[1]GÖP VERİLERİ'!I246</f>
        <v/>
      </c>
      <c r="AD245" s="34">
        <f>IF(AB245&gt;AC245*1.05,AB245-AC245*1.05,IF(AB245&lt;AC245*0.95,AC245*0.95-AB245,0))</f>
        <v/>
      </c>
      <c r="AE245" s="34">
        <f>MAX(F245,G245,750)*0.05*AD245</f>
        <v/>
      </c>
      <c r="AF245" s="34">
        <f>'[1]GÖP VERİLERİ'!J246</f>
        <v/>
      </c>
      <c r="AG245" s="34">
        <f>IF(AB245&gt;AF245*1.05,AB245-AF245*1.05,IF(AB245&lt;AF245*0.95,AF245*0.95-AB245,0))</f>
        <v/>
      </c>
      <c r="AH245" s="34">
        <f>MAX(I245,J245,750)*0.05*AG245</f>
        <v/>
      </c>
      <c r="AI245">
        <f>'[1]GÖP VERİLERİ'!E246</f>
        <v/>
      </c>
      <c r="AJ245">
        <f>'[1]GÖP VERİLERİ'!F246</f>
        <v/>
      </c>
      <c r="AK245" s="34">
        <f>IF(AI245&gt;AJ245*1.05,AI245-AJ245*1.05,IF(AI245&lt;AJ245*0.95,AJ245*0.95-AI245,0))</f>
        <v/>
      </c>
      <c r="AL245" s="34">
        <f>MAX(F245,G245,750)*0.05*AK245</f>
        <v/>
      </c>
      <c r="AM245" s="39">
        <f>'[1]GÖP VERİLERİ'!G246</f>
        <v/>
      </c>
      <c r="AN245" s="34">
        <f>IF(AI245&gt;AM245*1.05,AI245-AM245*1.05,IF(AI245&lt;AM245*0.95,AM245*0.95-AI245,0))</f>
        <v/>
      </c>
      <c r="AO245" s="34">
        <f>MAX(F245,G245,750)*0.05*AN245</f>
        <v/>
      </c>
      <c r="AP245" s="34">
        <f>'[1]GÖP VERİLERİ'!B246</f>
        <v/>
      </c>
      <c r="AQ245" s="34">
        <f>'[1]GÖP VERİLERİ'!C246</f>
        <v/>
      </c>
      <c r="AR245" s="34">
        <f>IF(AP245&gt;AQ245*1.05,AP245-AQ245*1.05,IF(AP245&lt;AQ245*0.95,AQ245*0.95-AP245,0))</f>
        <v/>
      </c>
      <c r="AS245" s="34">
        <f>MAX(F245:G245,750)*0.05*AR245</f>
        <v/>
      </c>
      <c r="AT245">
        <f>'[1]GÖP VERİLERİ'!D246</f>
        <v/>
      </c>
      <c r="AU245" s="34">
        <f>IF(AP245&gt;AT245*1.05,AP245-AT245*1.05,IF(AP245&lt;AT245*0.95,AT245*0.95-AP245,0))</f>
        <v/>
      </c>
      <c r="AV245" s="34">
        <f>MAX(F245:G245,750)*0.05*AU245</f>
        <v/>
      </c>
      <c r="AW245" s="34">
        <f>AC245+AJ245+AQ245</f>
        <v/>
      </c>
      <c r="AX245" s="34">
        <f>AF245+AM245+AT245</f>
        <v/>
      </c>
      <c r="AY245" s="34">
        <f>AB245+AI245+AP245</f>
        <v/>
      </c>
      <c r="AZ245" s="34" t="n">
        <v>0</v>
      </c>
      <c r="BA245" s="34">
        <f>AD245+AK245+AR245</f>
        <v/>
      </c>
      <c r="BB245" s="34">
        <f>MAX(F245:G245,750)*0.05*BA245</f>
        <v/>
      </c>
      <c r="BC245" s="34">
        <f>AG245+AN245+AU245</f>
        <v/>
      </c>
      <c r="BD245" s="34">
        <f>MAX(F245:G245,750)*0.05*BC245</f>
        <v/>
      </c>
      <c r="BE245" s="34">
        <f>F245*AY245</f>
        <v/>
      </c>
      <c r="BF245" s="34">
        <f>K245-M245</f>
        <v/>
      </c>
      <c r="BG245" s="34">
        <f>P245-S245</f>
        <v/>
      </c>
      <c r="BH245" s="34">
        <f>W245-AA245</f>
        <v/>
      </c>
      <c r="BI245" s="34">
        <f>BF245+BG245+BL245-BN245</f>
        <v/>
      </c>
      <c r="BJ245" s="34">
        <f>ABS(BK245)</f>
        <v/>
      </c>
      <c r="BK245" s="34">
        <f>AY245-(J245-L245+N245-Q245)</f>
        <v/>
      </c>
      <c r="BL245" s="34">
        <f>IF(AND(BK245&gt;0,MIN($F245:$G245)&lt;150,$E245="Enerji Açığı"),-100*BK245*1.03,IF(AND(BK245&gt;0,MIN($F245:$G245)&lt;150,$E245="Enerji Fazlası"),-100*BK245*1.06,IF(AND(BK245&gt;0,MIN($F245:$G245)&gt;=150,$E245="Enerji Açığı"),BK245*MIN($F245:$G245)*0.97,IF(AND(BK245&gt;0,MIN($F245:$G245)&gt;=150,$E245="Enerji Fazlası"),BK245*MIN($F245:$G245)*0.94,IF(AND(BK245&lt;0,MAX($F245:$G245)=4500,$E245="Enerji Açığı"),4500*1.05*1.06*BK245,IF(AND(BK245&lt;0,MAX($F245:$G245)=4500,$E245="Enerji Fazlası"),4500*1.05*1.03*BK245,IF(AND(BK245&lt;0,$E245="Enerji Açığı"),MAX($F245,$G245,150)*BK245*1.06,IF(AND(BK245&lt;0,$E245="Enerji Fazlası"),MAX($F245,$G245,150)*BK245*1.03,IF(AND(BK245&lt;0,$E245="Dengede"),MAX($F245:$G245,150)*1.03*BK245,MIN($F245:$G245)*0.97*BK245)))))))))</f>
        <v/>
      </c>
      <c r="BM245" s="34">
        <f>BE245-BI245-BN245</f>
        <v/>
      </c>
      <c r="BN245" s="34">
        <f>BB245</f>
        <v/>
      </c>
      <c r="BO245" s="34">
        <f>BE245-BI245</f>
        <v/>
      </c>
      <c r="BP245" s="34">
        <f>IF(AY245=0,0,BO245/AY245)</f>
        <v/>
      </c>
      <c r="BQ245" s="34">
        <f>MAX((AY245+MAX((-J245+L245-N245+Q245),0)),(MAX((J245-L245+N245-Q245),0)))</f>
        <v/>
      </c>
      <c r="BR245" s="82">
        <f>IFERROR(ABS(BK245/BQ245),0)</f>
        <v/>
      </c>
      <c r="BS245" s="34">
        <f>IF(BR245&lt;=0.1,0,BK245/BR245*(BR245-0.1))</f>
        <v/>
      </c>
      <c r="BT245" s="34">
        <f>IF((BS245)&lt;0,MAX(F245:G245)*(BS245)*1.03,MIN(F245:G245)*(BS245)*0.97)</f>
        <v/>
      </c>
      <c r="BU245" s="34">
        <f>IF(BR245&gt;0.1,1,0)</f>
        <v/>
      </c>
      <c r="BV245" s="34">
        <f>BF245+BG245+BH245+BY245-CA245</f>
        <v/>
      </c>
      <c r="BW245" s="34">
        <f>ABS(BX245)</f>
        <v/>
      </c>
      <c r="BX245" s="34">
        <f>AY245-(J245-L245+N245-Q245+T245-X245)</f>
        <v/>
      </c>
      <c r="BY245" s="34">
        <f>IF(AND(BX245&gt;0,MIN($F245:$G245)&lt;150,$E245="Enerji Açığı"),-100*BX245*1.03,IF(AND(BX245&gt;0,MIN($F245:$G245)&lt;150,$E245="Enerji Fazlası"),-100*BX245*1.06,IF(AND(BX245&gt;0,MIN($F245:$G245)&gt;=150,$E245="Enerji Açığı"),BX245*MIN($F245:$G245)*0.97,IF(AND(BX245&gt;0,MIN($F245:$G245)&gt;=150,$E245="Enerji Fazlası"),BX245*MIN($F245:$G245)*0.94,IF(AND(BX245&lt;0,MAX($F245:$G245)=4500,$E245="Enerji Açığı"),4500*1.05*1.06*BX245,IF(AND(BX245&lt;0,MAX($F245:$G245)=4500,$E245="Enerji Fazlası"),4500*1.05*1.03*BX245,IF(AND(BX245&lt;0,$E245="Enerji Açığı"),MAX($F245,$G245,150)*BX245*1.06,IF(AND(BX245&lt;0,$E245="Enerji Fazlası"),MAX($F245,$G245,150)*BX245*1.03,IF(AND(BX245&lt;0,$E245="Dengede"),MAX($F245:$G245,150)*1.03*BX245,MIN($F245:$G245)*0.97*BX245)))))))))</f>
        <v/>
      </c>
      <c r="BZ245" s="34">
        <f>BE245-BV245-CA245</f>
        <v/>
      </c>
      <c r="CA245" s="34">
        <f>BD245</f>
        <v/>
      </c>
      <c r="CB245" s="33">
        <f>BE245-BV245</f>
        <v/>
      </c>
      <c r="CC245" s="34">
        <f>IF(AY245=0,0,CB245/AY245)</f>
        <v/>
      </c>
      <c r="CD245" s="34">
        <f>MAX((AY245+MAX((-J245+L245-N245+Q245-T245+X245),0)),(MAX((J245-L245+N245-Q245+T245-X245),0)))</f>
        <v/>
      </c>
      <c r="CE245" s="82">
        <f>IFERROR(ABS(BX245/CD245),0)</f>
        <v/>
      </c>
      <c r="CF245" s="34">
        <f>IF(CE245&lt;=0.1,0,BX245/CE245*(CE245-0.1))</f>
        <v/>
      </c>
      <c r="CG245" s="34">
        <f>IF((CF245)&lt;0,MAX(F245:G245)*(CF245)*1.03,MIN(F245:G245)*(CF245)*0.97)</f>
        <v/>
      </c>
      <c r="CH245" s="34">
        <f>IF(CE245&gt;0.1,1,0)</f>
        <v/>
      </c>
      <c r="CI245" s="34">
        <f>(F245*BX245)-BY245</f>
        <v/>
      </c>
      <c r="CJ245" s="34">
        <f>IF(AY245=0,0,CI245/AY245)</f>
        <v/>
      </c>
    </row>
    <row r="246">
      <c r="A246" s="29">
        <f>[1]FİYATLAR!A221</f>
        <v/>
      </c>
      <c r="B246" s="29">
        <f>[1]FİYATLAR!B221</f>
        <v/>
      </c>
      <c r="C246" s="35">
        <f>INT(A246)</f>
        <v/>
      </c>
      <c r="D246" s="36">
        <f>MONTH(A246)</f>
        <v/>
      </c>
      <c r="E246" s="147">
        <f>[1]FİYATLAR!G221</f>
        <v/>
      </c>
      <c r="F246" s="30">
        <f>[1]FİYATLAR!C221</f>
        <v/>
      </c>
      <c r="G246" s="30">
        <f>[1]FİYATLAR!E221</f>
        <v/>
      </c>
      <c r="H246" s="30">
        <f>[1]FİYATLAR!D221</f>
        <v/>
      </c>
      <c r="I246" s="30">
        <f>[1]FİYATLAR!F221</f>
        <v/>
      </c>
      <c r="J246" s="119" t="n">
        <v>0</v>
      </c>
      <c r="K246" s="34">
        <f>F246*J246</f>
        <v/>
      </c>
      <c r="L246" s="119" t="n"/>
      <c r="M246" s="34">
        <f>L246*F246</f>
        <v/>
      </c>
      <c r="N246" s="119" t="n"/>
      <c r="O246" s="34">
        <f>F246</f>
        <v/>
      </c>
      <c r="P246" s="34">
        <f>N246*O246</f>
        <v/>
      </c>
      <c r="Q246" s="117" t="n">
        <v>0</v>
      </c>
      <c r="R246" s="34">
        <f>F246</f>
        <v/>
      </c>
      <c r="S246" s="34">
        <f>R246*Q246</f>
        <v/>
      </c>
      <c r="T246" s="34">
        <f>SUMIFS('[1]GİP VERİLERİ'!$C:$C,'[1]GİP VERİLERİ'!$B:$B,A246,'[1]GİP VERİLERİ'!$M:$M,"40X000000104782K",'[1]GİP VERİLERİ'!$G:$G,"SELL")</f>
        <v/>
      </c>
      <c r="U246" s="34">
        <f>IFERROR(W246/T246,0)</f>
        <v/>
      </c>
      <c r="V246" s="34">
        <f>IF(U246=0,0,U246-F246)</f>
        <v/>
      </c>
      <c r="W246" s="34">
        <f>SUMIFS('[1]GİP VERİLERİ'!$O:$O,'[1]GİP VERİLERİ'!$B:$B,A246,'[1]GİP VERİLERİ'!$M:$M,"40X000000104782K",'[1]GİP VERİLERİ'!$G:$G,"SELL")</f>
        <v/>
      </c>
      <c r="X246" s="34">
        <f>SUMIFS('[1]GİP VERİLERİ'!$C:$C,'[1]GİP VERİLERİ'!$B:$B,A246,'[1]GİP VERİLERİ'!$M:$M,"40X000000104782K",'[1]GİP VERİLERİ'!$G:$G,"BUY")</f>
        <v/>
      </c>
      <c r="Y246" s="34">
        <f>IFERROR(AA246/X246,0)</f>
        <v/>
      </c>
      <c r="Z246" s="34">
        <f>IF(Y246=0,0,F246-Y246)</f>
        <v/>
      </c>
      <c r="AA246" s="34">
        <f>SUMIFS('[1]GİP VERİLERİ'!$O:$O,'[1]GİP VERİLERİ'!$B:$B,A246,'[1]GİP VERİLERİ'!$M:$M,"40X000000104782K",'[1]GİP VERİLERİ'!$G:$G,"BUY")</f>
        <v/>
      </c>
      <c r="AB246" s="34">
        <f>'[1]GÖP VERİLERİ'!H247</f>
        <v/>
      </c>
      <c r="AC246" s="34">
        <f>'[1]GÖP VERİLERİ'!I247</f>
        <v/>
      </c>
      <c r="AD246" s="34">
        <f>IF(AB246&gt;AC246*1.05,AB246-AC246*1.05,IF(AB246&lt;AC246*0.95,AC246*0.95-AB246,0))</f>
        <v/>
      </c>
      <c r="AE246" s="34">
        <f>MAX(F246,G246,750)*0.05*AD246</f>
        <v/>
      </c>
      <c r="AF246" s="34">
        <f>'[1]GÖP VERİLERİ'!J247</f>
        <v/>
      </c>
      <c r="AG246" s="34">
        <f>IF(AB246&gt;AF246*1.05,AB246-AF246*1.05,IF(AB246&lt;AF246*0.95,AF246*0.95-AB246,0))</f>
        <v/>
      </c>
      <c r="AH246" s="34">
        <f>MAX(I246,J246,750)*0.05*AG246</f>
        <v/>
      </c>
      <c r="AI246">
        <f>'[1]GÖP VERİLERİ'!E247</f>
        <v/>
      </c>
      <c r="AJ246">
        <f>'[1]GÖP VERİLERİ'!F247</f>
        <v/>
      </c>
      <c r="AK246" s="34">
        <f>IF(AI246&gt;AJ246*1.05,AI246-AJ246*1.05,IF(AI246&lt;AJ246*0.95,AJ246*0.95-AI246,0))</f>
        <v/>
      </c>
      <c r="AL246" s="34">
        <f>MAX(F246,G246,750)*0.05*AK246</f>
        <v/>
      </c>
      <c r="AM246" s="39">
        <f>'[1]GÖP VERİLERİ'!G247</f>
        <v/>
      </c>
      <c r="AN246" s="34">
        <f>IF(AI246&gt;AM246*1.05,AI246-AM246*1.05,IF(AI246&lt;AM246*0.95,AM246*0.95-AI246,0))</f>
        <v/>
      </c>
      <c r="AO246" s="34">
        <f>MAX(F246,G246,750)*0.05*AN246</f>
        <v/>
      </c>
      <c r="AP246" s="34">
        <f>'[1]GÖP VERİLERİ'!B247</f>
        <v/>
      </c>
      <c r="AQ246" s="34">
        <f>'[1]GÖP VERİLERİ'!C247</f>
        <v/>
      </c>
      <c r="AR246" s="34">
        <f>IF(AP246&gt;AQ246*1.05,AP246-AQ246*1.05,IF(AP246&lt;AQ246*0.95,AQ246*0.95-AP246,0))</f>
        <v/>
      </c>
      <c r="AS246" s="34">
        <f>MAX(F246:G246,750)*0.05*AR246</f>
        <v/>
      </c>
      <c r="AT246">
        <f>'[1]GÖP VERİLERİ'!D247</f>
        <v/>
      </c>
      <c r="AU246" s="34">
        <f>IF(AP246&gt;AT246*1.05,AP246-AT246*1.05,IF(AP246&lt;AT246*0.95,AT246*0.95-AP246,0))</f>
        <v/>
      </c>
      <c r="AV246" s="34">
        <f>MAX(F246:G246,750)*0.05*AU246</f>
        <v/>
      </c>
      <c r="AW246" s="34">
        <f>AC246+AJ246+AQ246</f>
        <v/>
      </c>
      <c r="AX246" s="34">
        <f>AF246+AM246+AT246</f>
        <v/>
      </c>
      <c r="AY246" s="34">
        <f>AB246+AI246+AP246</f>
        <v/>
      </c>
      <c r="AZ246" s="34" t="n">
        <v>0</v>
      </c>
      <c r="BA246" s="34">
        <f>AD246+AK246+AR246</f>
        <v/>
      </c>
      <c r="BB246" s="34">
        <f>MAX(F246:G246,750)*0.05*BA246</f>
        <v/>
      </c>
      <c r="BC246" s="34">
        <f>AG246+AN246+AU246</f>
        <v/>
      </c>
      <c r="BD246" s="34">
        <f>MAX(F246:G246,750)*0.05*BC246</f>
        <v/>
      </c>
      <c r="BE246" s="34">
        <f>F246*AY246</f>
        <v/>
      </c>
      <c r="BF246" s="34">
        <f>K246-M246</f>
        <v/>
      </c>
      <c r="BG246" s="34">
        <f>P246-S246</f>
        <v/>
      </c>
      <c r="BH246" s="34">
        <f>W246-AA246</f>
        <v/>
      </c>
      <c r="BI246" s="34">
        <f>BF246+BG246+BL246-BN246</f>
        <v/>
      </c>
      <c r="BJ246" s="34">
        <f>ABS(BK246)</f>
        <v/>
      </c>
      <c r="BK246" s="34">
        <f>AY246-(J246-L246+N246-Q246)</f>
        <v/>
      </c>
      <c r="BL246" s="34">
        <f>IF(AND(BK246&gt;0,MIN($F246:$G246)&lt;150,$E246="Enerji Açığı"),-100*BK246*1.03,IF(AND(BK246&gt;0,MIN($F246:$G246)&lt;150,$E246="Enerji Fazlası"),-100*BK246*1.06,IF(AND(BK246&gt;0,MIN($F246:$G246)&gt;=150,$E246="Enerji Açığı"),BK246*MIN($F246:$G246)*0.97,IF(AND(BK246&gt;0,MIN($F246:$G246)&gt;=150,$E246="Enerji Fazlası"),BK246*MIN($F246:$G246)*0.94,IF(AND(BK246&lt;0,MAX($F246:$G246)=4500,$E246="Enerji Açığı"),4500*1.05*1.06*BK246,IF(AND(BK246&lt;0,MAX($F246:$G246)=4500,$E246="Enerji Fazlası"),4500*1.05*1.03*BK246,IF(AND(BK246&lt;0,$E246="Enerji Açığı"),MAX($F246,$G246,150)*BK246*1.06,IF(AND(BK246&lt;0,$E246="Enerji Fazlası"),MAX($F246,$G246,150)*BK246*1.03,IF(AND(BK246&lt;0,$E246="Dengede"),MAX($F246:$G246,150)*1.03*BK246,MIN($F246:$G246)*0.97*BK246)))))))))</f>
        <v/>
      </c>
      <c r="BM246" s="34">
        <f>BE246-BI246-BN246</f>
        <v/>
      </c>
      <c r="BN246" s="34">
        <f>BB246</f>
        <v/>
      </c>
      <c r="BO246" s="34">
        <f>BE246-BI246</f>
        <v/>
      </c>
      <c r="BP246" s="34">
        <f>IF(AY246=0,0,BO246/AY246)</f>
        <v/>
      </c>
      <c r="BQ246" s="34">
        <f>MAX((AY246+MAX((-J246+L246-N246+Q246),0)),(MAX((J246-L246+N246-Q246),0)))</f>
        <v/>
      </c>
      <c r="BR246" s="82">
        <f>IFERROR(ABS(BK246/BQ246),0)</f>
        <v/>
      </c>
      <c r="BS246" s="34">
        <f>IF(BR246&lt;=0.1,0,BK246/BR246*(BR246-0.1))</f>
        <v/>
      </c>
      <c r="BT246" s="34">
        <f>IF((BS246)&lt;0,MAX(F246:G246)*(BS246)*1.03,MIN(F246:G246)*(BS246)*0.97)</f>
        <v/>
      </c>
      <c r="BU246" s="34">
        <f>IF(BR246&gt;0.1,1,0)</f>
        <v/>
      </c>
      <c r="BV246" s="34">
        <f>BF246+BG246+BH246+BY246-CA246</f>
        <v/>
      </c>
      <c r="BW246" s="34">
        <f>ABS(BX246)</f>
        <v/>
      </c>
      <c r="BX246" s="34">
        <f>AY246-(J246-L246+N246-Q246+T246-X246)</f>
        <v/>
      </c>
      <c r="BY246" s="34">
        <f>IF(AND(BX246&gt;0,MIN($F246:$G246)&lt;150,$E246="Enerji Açığı"),-100*BX246*1.03,IF(AND(BX246&gt;0,MIN($F246:$G246)&lt;150,$E246="Enerji Fazlası"),-100*BX246*1.06,IF(AND(BX246&gt;0,MIN($F246:$G246)&gt;=150,$E246="Enerji Açığı"),BX246*MIN($F246:$G246)*0.97,IF(AND(BX246&gt;0,MIN($F246:$G246)&gt;=150,$E246="Enerji Fazlası"),BX246*MIN($F246:$G246)*0.94,IF(AND(BX246&lt;0,MAX($F246:$G246)=4500,$E246="Enerji Açığı"),4500*1.05*1.06*BX246,IF(AND(BX246&lt;0,MAX($F246:$G246)=4500,$E246="Enerji Fazlası"),4500*1.05*1.03*BX246,IF(AND(BX246&lt;0,$E246="Enerji Açığı"),MAX($F246,$G246,150)*BX246*1.06,IF(AND(BX246&lt;0,$E246="Enerji Fazlası"),MAX($F246,$G246,150)*BX246*1.03,IF(AND(BX246&lt;0,$E246="Dengede"),MAX($F246:$G246,150)*1.03*BX246,MIN($F246:$G246)*0.97*BX246)))))))))</f>
        <v/>
      </c>
      <c r="BZ246" s="34">
        <f>BE246-BV246-CA246</f>
        <v/>
      </c>
      <c r="CA246" s="34">
        <f>BD246</f>
        <v/>
      </c>
      <c r="CB246" s="33">
        <f>BE246-BV246</f>
        <v/>
      </c>
      <c r="CC246" s="34">
        <f>IF(AY246=0,0,CB246/AY246)</f>
        <v/>
      </c>
      <c r="CD246" s="34">
        <f>MAX((AY246+MAX((-J246+L246-N246+Q246-T246+X246),0)),(MAX((J246-L246+N246-Q246+T246-X246),0)))</f>
        <v/>
      </c>
      <c r="CE246" s="82">
        <f>IFERROR(ABS(BX246/CD246),0)</f>
        <v/>
      </c>
      <c r="CF246" s="34">
        <f>IF(CE246&lt;=0.1,0,BX246/CE246*(CE246-0.1))</f>
        <v/>
      </c>
      <c r="CG246" s="34">
        <f>IF((CF246)&lt;0,MAX(F246:G246)*(CF246)*1.03,MIN(F246:G246)*(CF246)*0.97)</f>
        <v/>
      </c>
      <c r="CH246" s="34">
        <f>IF(CE246&gt;0.1,1,0)</f>
        <v/>
      </c>
      <c r="CI246" s="34">
        <f>(F246*BX246)-BY246</f>
        <v/>
      </c>
      <c r="CJ246" s="34">
        <f>IF(AY246=0,0,CI246/AY246)</f>
        <v/>
      </c>
    </row>
    <row r="247">
      <c r="A247" s="29">
        <f>[1]FİYATLAR!A222</f>
        <v/>
      </c>
      <c r="B247" s="29">
        <f>[1]FİYATLAR!B222</f>
        <v/>
      </c>
      <c r="C247" s="35">
        <f>INT(A247)</f>
        <v/>
      </c>
      <c r="D247" s="36">
        <f>MONTH(A247)</f>
        <v/>
      </c>
      <c r="E247" s="147">
        <f>[1]FİYATLAR!G222</f>
        <v/>
      </c>
      <c r="F247" s="30">
        <f>[1]FİYATLAR!C222</f>
        <v/>
      </c>
      <c r="G247" s="30">
        <f>[1]FİYATLAR!E222</f>
        <v/>
      </c>
      <c r="H247" s="30">
        <f>[1]FİYATLAR!D222</f>
        <v/>
      </c>
      <c r="I247" s="30">
        <f>[1]FİYATLAR!F222</f>
        <v/>
      </c>
      <c r="J247" s="119" t="n">
        <v>0</v>
      </c>
      <c r="K247" s="34">
        <f>F247*J247</f>
        <v/>
      </c>
      <c r="L247" s="119" t="n"/>
      <c r="M247" s="34">
        <f>L247*F247</f>
        <v/>
      </c>
      <c r="N247" s="119" t="n"/>
      <c r="O247" s="34">
        <f>F247</f>
        <v/>
      </c>
      <c r="P247" s="34">
        <f>N247*O247</f>
        <v/>
      </c>
      <c r="Q247" s="117" t="n">
        <v>0</v>
      </c>
      <c r="R247" s="34">
        <f>F247</f>
        <v/>
      </c>
      <c r="S247" s="34">
        <f>R247*Q247</f>
        <v/>
      </c>
      <c r="T247" s="34">
        <f>SUMIFS('[1]GİP VERİLERİ'!$C:$C,'[1]GİP VERİLERİ'!$B:$B,A247,'[1]GİP VERİLERİ'!$M:$M,"40X000000104782K",'[1]GİP VERİLERİ'!$G:$G,"SELL")</f>
        <v/>
      </c>
      <c r="U247" s="34">
        <f>IFERROR(W247/T247,0)</f>
        <v/>
      </c>
      <c r="V247" s="34">
        <f>IF(U247=0,0,U247-F247)</f>
        <v/>
      </c>
      <c r="W247" s="34">
        <f>SUMIFS('[1]GİP VERİLERİ'!$O:$O,'[1]GİP VERİLERİ'!$B:$B,A247,'[1]GİP VERİLERİ'!$M:$M,"40X000000104782K",'[1]GİP VERİLERİ'!$G:$G,"SELL")</f>
        <v/>
      </c>
      <c r="X247" s="34">
        <f>SUMIFS('[1]GİP VERİLERİ'!$C:$C,'[1]GİP VERİLERİ'!$B:$B,A247,'[1]GİP VERİLERİ'!$M:$M,"40X000000104782K",'[1]GİP VERİLERİ'!$G:$G,"BUY")</f>
        <v/>
      </c>
      <c r="Y247" s="34">
        <f>IFERROR(AA247/X247,0)</f>
        <v/>
      </c>
      <c r="Z247" s="34">
        <f>IF(Y247=0,0,F247-Y247)</f>
        <v/>
      </c>
      <c r="AA247" s="34">
        <f>SUMIFS('[1]GİP VERİLERİ'!$O:$O,'[1]GİP VERİLERİ'!$B:$B,A247,'[1]GİP VERİLERİ'!$M:$M,"40X000000104782K",'[1]GİP VERİLERİ'!$G:$G,"BUY")</f>
        <v/>
      </c>
      <c r="AB247" s="34">
        <f>'[1]GÖP VERİLERİ'!H248</f>
        <v/>
      </c>
      <c r="AC247" s="34">
        <f>'[1]GÖP VERİLERİ'!I248</f>
        <v/>
      </c>
      <c r="AD247" s="34">
        <f>IF(AB247&gt;AC247*1.05,AB247-AC247*1.05,IF(AB247&lt;AC247*0.95,AC247*0.95-AB247,0))</f>
        <v/>
      </c>
      <c r="AE247" s="34">
        <f>MAX(F247,G247,750)*0.05*AD247</f>
        <v/>
      </c>
      <c r="AF247" s="34">
        <f>'[1]GÖP VERİLERİ'!J248</f>
        <v/>
      </c>
      <c r="AG247" s="34">
        <f>IF(AB247&gt;AF247*1.05,AB247-AF247*1.05,IF(AB247&lt;AF247*0.95,AF247*0.95-AB247,0))</f>
        <v/>
      </c>
      <c r="AH247" s="34">
        <f>MAX(I247,J247,750)*0.05*AG247</f>
        <v/>
      </c>
      <c r="AI247">
        <f>'[1]GÖP VERİLERİ'!E248</f>
        <v/>
      </c>
      <c r="AJ247">
        <f>'[1]GÖP VERİLERİ'!F248</f>
        <v/>
      </c>
      <c r="AK247" s="34">
        <f>IF(AI247&gt;AJ247*1.05,AI247-AJ247*1.05,IF(AI247&lt;AJ247*0.95,AJ247*0.95-AI247,0))</f>
        <v/>
      </c>
      <c r="AL247" s="34">
        <f>MAX(F247,G247,750)*0.05*AK247</f>
        <v/>
      </c>
      <c r="AM247" s="39">
        <f>'[1]GÖP VERİLERİ'!G248</f>
        <v/>
      </c>
      <c r="AN247" s="34">
        <f>IF(AI247&gt;AM247*1.05,AI247-AM247*1.05,IF(AI247&lt;AM247*0.95,AM247*0.95-AI247,0))</f>
        <v/>
      </c>
      <c r="AO247" s="34">
        <f>MAX(F247,G247,750)*0.05*AN247</f>
        <v/>
      </c>
      <c r="AP247" s="34">
        <f>'[1]GÖP VERİLERİ'!B248</f>
        <v/>
      </c>
      <c r="AQ247" s="34">
        <f>'[1]GÖP VERİLERİ'!C248</f>
        <v/>
      </c>
      <c r="AR247" s="34">
        <f>IF(AP247&gt;AQ247*1.05,AP247-AQ247*1.05,IF(AP247&lt;AQ247*0.95,AQ247*0.95-AP247,0))</f>
        <v/>
      </c>
      <c r="AS247" s="34">
        <f>MAX(F247:G247,750)*0.05*AR247</f>
        <v/>
      </c>
      <c r="AT247">
        <f>'[1]GÖP VERİLERİ'!D248</f>
        <v/>
      </c>
      <c r="AU247" s="34">
        <f>IF(AP247&gt;AT247*1.05,AP247-AT247*1.05,IF(AP247&lt;AT247*0.95,AT247*0.95-AP247,0))</f>
        <v/>
      </c>
      <c r="AV247" s="34">
        <f>MAX(F247:G247,750)*0.05*AU247</f>
        <v/>
      </c>
      <c r="AW247" s="34">
        <f>AC247+AJ247+AQ247</f>
        <v/>
      </c>
      <c r="AX247" s="34">
        <f>AF247+AM247+AT247</f>
        <v/>
      </c>
      <c r="AY247" s="34">
        <f>AB247+AI247+AP247</f>
        <v/>
      </c>
      <c r="AZ247" s="34" t="n">
        <v>0</v>
      </c>
      <c r="BA247" s="34">
        <f>AD247+AK247+AR247</f>
        <v/>
      </c>
      <c r="BB247" s="34">
        <f>MAX(F247:G247,750)*0.05*BA247</f>
        <v/>
      </c>
      <c r="BC247" s="34">
        <f>AG247+AN247+AU247</f>
        <v/>
      </c>
      <c r="BD247" s="34">
        <f>MAX(F247:G247,750)*0.05*BC247</f>
        <v/>
      </c>
      <c r="BE247" s="34">
        <f>F247*AY247</f>
        <v/>
      </c>
      <c r="BF247" s="34">
        <f>K247-M247</f>
        <v/>
      </c>
      <c r="BG247" s="34">
        <f>P247-S247</f>
        <v/>
      </c>
      <c r="BH247" s="34">
        <f>W247-AA247</f>
        <v/>
      </c>
      <c r="BI247" s="34">
        <f>BF247+BG247+BL247-BN247</f>
        <v/>
      </c>
      <c r="BJ247" s="34">
        <f>ABS(BK247)</f>
        <v/>
      </c>
      <c r="BK247" s="34">
        <f>AY247-(J247-L247+N247-Q247)</f>
        <v/>
      </c>
      <c r="BL247" s="34">
        <f>IF(AND(BK247&gt;0,MIN($F247:$G247)&lt;150,$E247="Enerji Açığı"),-100*BK247*1.03,IF(AND(BK247&gt;0,MIN($F247:$G247)&lt;150,$E247="Enerji Fazlası"),-100*BK247*1.06,IF(AND(BK247&gt;0,MIN($F247:$G247)&gt;=150,$E247="Enerji Açığı"),BK247*MIN($F247:$G247)*0.97,IF(AND(BK247&gt;0,MIN($F247:$G247)&gt;=150,$E247="Enerji Fazlası"),BK247*MIN($F247:$G247)*0.94,IF(AND(BK247&lt;0,MAX($F247:$G247)=4500,$E247="Enerji Açığı"),4500*1.05*1.06*BK247,IF(AND(BK247&lt;0,MAX($F247:$G247)=4500,$E247="Enerji Fazlası"),4500*1.05*1.03*BK247,IF(AND(BK247&lt;0,$E247="Enerji Açığı"),MAX($F247,$G247,150)*BK247*1.06,IF(AND(BK247&lt;0,$E247="Enerji Fazlası"),MAX($F247,$G247,150)*BK247*1.03,IF(AND(BK247&lt;0,$E247="Dengede"),MAX($F247:$G247,150)*1.03*BK247,MIN($F247:$G247)*0.97*BK247)))))))))</f>
        <v/>
      </c>
      <c r="BM247" s="34">
        <f>BE247-BI247-BN247</f>
        <v/>
      </c>
      <c r="BN247" s="34">
        <f>BB247</f>
        <v/>
      </c>
      <c r="BO247" s="34">
        <f>BE247-BI247</f>
        <v/>
      </c>
      <c r="BP247" s="34">
        <f>IF(AY247=0,0,BO247/AY247)</f>
        <v/>
      </c>
      <c r="BQ247" s="34">
        <f>MAX((AY247+MAX((-J247+L247-N247+Q247),0)),(MAX((J247-L247+N247-Q247),0)))</f>
        <v/>
      </c>
      <c r="BR247" s="82">
        <f>IFERROR(ABS(BK247/BQ247),0)</f>
        <v/>
      </c>
      <c r="BS247" s="34">
        <f>IF(BR247&lt;=0.1,0,BK247/BR247*(BR247-0.1))</f>
        <v/>
      </c>
      <c r="BT247" s="34">
        <f>IF((BS247)&lt;0,MAX(F247:G247)*(BS247)*1.03,MIN(F247:G247)*(BS247)*0.97)</f>
        <v/>
      </c>
      <c r="BU247" s="34">
        <f>IF(BR247&gt;0.1,1,0)</f>
        <v/>
      </c>
      <c r="BV247" s="34">
        <f>BF247+BG247+BH247+BY247-CA247</f>
        <v/>
      </c>
      <c r="BW247" s="34">
        <f>ABS(BX247)</f>
        <v/>
      </c>
      <c r="BX247" s="34">
        <f>AY247-(J247-L247+N247-Q247+T247-X247)</f>
        <v/>
      </c>
      <c r="BY247" s="34">
        <f>IF(AND(BX247&gt;0,MIN($F247:$G247)&lt;150,$E247="Enerji Açığı"),-100*BX247*1.03,IF(AND(BX247&gt;0,MIN($F247:$G247)&lt;150,$E247="Enerji Fazlası"),-100*BX247*1.06,IF(AND(BX247&gt;0,MIN($F247:$G247)&gt;=150,$E247="Enerji Açığı"),BX247*MIN($F247:$G247)*0.97,IF(AND(BX247&gt;0,MIN($F247:$G247)&gt;=150,$E247="Enerji Fazlası"),BX247*MIN($F247:$G247)*0.94,IF(AND(BX247&lt;0,MAX($F247:$G247)=4500,$E247="Enerji Açığı"),4500*1.05*1.06*BX247,IF(AND(BX247&lt;0,MAX($F247:$G247)=4500,$E247="Enerji Fazlası"),4500*1.05*1.03*BX247,IF(AND(BX247&lt;0,$E247="Enerji Açığı"),MAX($F247,$G247,150)*BX247*1.06,IF(AND(BX247&lt;0,$E247="Enerji Fazlası"),MAX($F247,$G247,150)*BX247*1.03,IF(AND(BX247&lt;0,$E247="Dengede"),MAX($F247:$G247,150)*1.03*BX247,MIN($F247:$G247)*0.97*BX247)))))))))</f>
        <v/>
      </c>
      <c r="BZ247" s="34">
        <f>BE247-BV247-CA247</f>
        <v/>
      </c>
      <c r="CA247" s="34">
        <f>BD247</f>
        <v/>
      </c>
      <c r="CB247" s="33">
        <f>BE247-BV247</f>
        <v/>
      </c>
      <c r="CC247" s="34">
        <f>IF(AY247=0,0,CB247/AY247)</f>
        <v/>
      </c>
      <c r="CD247" s="34">
        <f>MAX((AY247+MAX((-J247+L247-N247+Q247-T247+X247),0)),(MAX((J247-L247+N247-Q247+T247-X247),0)))</f>
        <v/>
      </c>
      <c r="CE247" s="82">
        <f>IFERROR(ABS(BX247/CD247),0)</f>
        <v/>
      </c>
      <c r="CF247" s="34">
        <f>IF(CE247&lt;=0.1,0,BX247/CE247*(CE247-0.1))</f>
        <v/>
      </c>
      <c r="CG247" s="34">
        <f>IF((CF247)&lt;0,MAX(F247:G247)*(CF247)*1.03,MIN(F247:G247)*(CF247)*0.97)</f>
        <v/>
      </c>
      <c r="CH247" s="34">
        <f>IF(CE247&gt;0.1,1,0)</f>
        <v/>
      </c>
      <c r="CI247" s="34">
        <f>(F247*BX247)-BY247</f>
        <v/>
      </c>
      <c r="CJ247" s="34">
        <f>IF(AY247=0,0,CI247/AY247)</f>
        <v/>
      </c>
    </row>
    <row r="248">
      <c r="A248" s="29">
        <f>[1]FİYATLAR!A223</f>
        <v/>
      </c>
      <c r="B248" s="29">
        <f>[1]FİYATLAR!B223</f>
        <v/>
      </c>
      <c r="C248" s="35">
        <f>INT(A248)</f>
        <v/>
      </c>
      <c r="D248" s="36">
        <f>MONTH(A248)</f>
        <v/>
      </c>
      <c r="E248" s="147">
        <f>[1]FİYATLAR!G223</f>
        <v/>
      </c>
      <c r="F248" s="30">
        <f>[1]FİYATLAR!C223</f>
        <v/>
      </c>
      <c r="G248" s="30">
        <f>[1]FİYATLAR!E223</f>
        <v/>
      </c>
      <c r="H248" s="30">
        <f>[1]FİYATLAR!D223</f>
        <v/>
      </c>
      <c r="I248" s="30">
        <f>[1]FİYATLAR!F223</f>
        <v/>
      </c>
      <c r="J248" s="119" t="n">
        <v>0</v>
      </c>
      <c r="K248" s="34">
        <f>F248*J248</f>
        <v/>
      </c>
      <c r="L248" s="119" t="n"/>
      <c r="M248" s="34">
        <f>L248*F248</f>
        <v/>
      </c>
      <c r="N248" s="119" t="n"/>
      <c r="O248" s="34">
        <f>F248</f>
        <v/>
      </c>
      <c r="P248" s="34">
        <f>N248*O248</f>
        <v/>
      </c>
      <c r="Q248" s="117" t="n">
        <v>0</v>
      </c>
      <c r="R248" s="34">
        <f>F248</f>
        <v/>
      </c>
      <c r="S248" s="34">
        <f>R248*Q248</f>
        <v/>
      </c>
      <c r="T248" s="34">
        <f>SUMIFS('[1]GİP VERİLERİ'!$C:$C,'[1]GİP VERİLERİ'!$B:$B,A248,'[1]GİP VERİLERİ'!$M:$M,"40X000000104782K",'[1]GİP VERİLERİ'!$G:$G,"SELL")</f>
        <v/>
      </c>
      <c r="U248" s="34">
        <f>IFERROR(W248/T248,0)</f>
        <v/>
      </c>
      <c r="V248" s="34">
        <f>IF(U248=0,0,U248-F248)</f>
        <v/>
      </c>
      <c r="W248" s="34">
        <f>SUMIFS('[1]GİP VERİLERİ'!$O:$O,'[1]GİP VERİLERİ'!$B:$B,A248,'[1]GİP VERİLERİ'!$M:$M,"40X000000104782K",'[1]GİP VERİLERİ'!$G:$G,"SELL")</f>
        <v/>
      </c>
      <c r="X248" s="34">
        <f>SUMIFS('[1]GİP VERİLERİ'!$C:$C,'[1]GİP VERİLERİ'!$B:$B,A248,'[1]GİP VERİLERİ'!$M:$M,"40X000000104782K",'[1]GİP VERİLERİ'!$G:$G,"BUY")</f>
        <v/>
      </c>
      <c r="Y248" s="34">
        <f>IFERROR(AA248/X248,0)</f>
        <v/>
      </c>
      <c r="Z248" s="34">
        <f>IF(Y248=0,0,F248-Y248)</f>
        <v/>
      </c>
      <c r="AA248" s="34">
        <f>SUMIFS('[1]GİP VERİLERİ'!$O:$O,'[1]GİP VERİLERİ'!$B:$B,A248,'[1]GİP VERİLERİ'!$M:$M,"40X000000104782K",'[1]GİP VERİLERİ'!$G:$G,"BUY")</f>
        <v/>
      </c>
      <c r="AB248" s="34">
        <f>'[1]GÖP VERİLERİ'!H249</f>
        <v/>
      </c>
      <c r="AC248" s="34">
        <f>'[1]GÖP VERİLERİ'!I249</f>
        <v/>
      </c>
      <c r="AD248" s="34">
        <f>IF(AB248&gt;AC248*1.05,AB248-AC248*1.05,IF(AB248&lt;AC248*0.95,AC248*0.95-AB248,0))</f>
        <v/>
      </c>
      <c r="AE248" s="34">
        <f>MAX(F248,G248,750)*0.05*AD248</f>
        <v/>
      </c>
      <c r="AF248" s="34">
        <f>'[1]GÖP VERİLERİ'!J249</f>
        <v/>
      </c>
      <c r="AG248" s="34">
        <f>IF(AB248&gt;AF248*1.05,AB248-AF248*1.05,IF(AB248&lt;AF248*0.95,AF248*0.95-AB248,0))</f>
        <v/>
      </c>
      <c r="AH248" s="34">
        <f>MAX(I248,J248,750)*0.05*AG248</f>
        <v/>
      </c>
      <c r="AI248">
        <f>'[1]GÖP VERİLERİ'!E249</f>
        <v/>
      </c>
      <c r="AJ248">
        <f>'[1]GÖP VERİLERİ'!F249</f>
        <v/>
      </c>
      <c r="AK248" s="34">
        <f>IF(AI248&gt;AJ248*1.05,AI248-AJ248*1.05,IF(AI248&lt;AJ248*0.95,AJ248*0.95-AI248,0))</f>
        <v/>
      </c>
      <c r="AL248" s="34">
        <f>MAX(F248,G248,750)*0.05*AK248</f>
        <v/>
      </c>
      <c r="AM248" s="39">
        <f>'[1]GÖP VERİLERİ'!G249</f>
        <v/>
      </c>
      <c r="AN248" s="34">
        <f>IF(AI248&gt;AM248*1.05,AI248-AM248*1.05,IF(AI248&lt;AM248*0.95,AM248*0.95-AI248,0))</f>
        <v/>
      </c>
      <c r="AO248" s="34">
        <f>MAX(F248,G248,750)*0.05*AN248</f>
        <v/>
      </c>
      <c r="AP248" s="34">
        <f>'[1]GÖP VERİLERİ'!B249</f>
        <v/>
      </c>
      <c r="AQ248" s="34">
        <f>'[1]GÖP VERİLERİ'!C249</f>
        <v/>
      </c>
      <c r="AR248" s="34">
        <f>IF(AP248&gt;AQ248*1.05,AP248-AQ248*1.05,IF(AP248&lt;AQ248*0.95,AQ248*0.95-AP248,0))</f>
        <v/>
      </c>
      <c r="AS248" s="34">
        <f>MAX(F248:G248,750)*0.05*AR248</f>
        <v/>
      </c>
      <c r="AT248">
        <f>'[1]GÖP VERİLERİ'!D249</f>
        <v/>
      </c>
      <c r="AU248" s="34">
        <f>IF(AP248&gt;AT248*1.05,AP248-AT248*1.05,IF(AP248&lt;AT248*0.95,AT248*0.95-AP248,0))</f>
        <v/>
      </c>
      <c r="AV248" s="34">
        <f>MAX(F248:G248,750)*0.05*AU248</f>
        <v/>
      </c>
      <c r="AW248" s="34">
        <f>AC248+AJ248+AQ248</f>
        <v/>
      </c>
      <c r="AX248" s="34">
        <f>AF248+AM248+AT248</f>
        <v/>
      </c>
      <c r="AY248" s="34">
        <f>AB248+AI248+AP248</f>
        <v/>
      </c>
      <c r="AZ248" s="34" t="n">
        <v>0</v>
      </c>
      <c r="BA248" s="34">
        <f>AD248+AK248+AR248</f>
        <v/>
      </c>
      <c r="BB248" s="34">
        <f>MAX(F248:G248,750)*0.05*BA248</f>
        <v/>
      </c>
      <c r="BC248" s="34">
        <f>AG248+AN248+AU248</f>
        <v/>
      </c>
      <c r="BD248" s="34">
        <f>MAX(F248:G248,750)*0.05*BC248</f>
        <v/>
      </c>
      <c r="BE248" s="34">
        <f>F248*AY248</f>
        <v/>
      </c>
      <c r="BF248" s="34">
        <f>K248-M248</f>
        <v/>
      </c>
      <c r="BG248" s="34">
        <f>P248-S248</f>
        <v/>
      </c>
      <c r="BH248" s="34">
        <f>W248-AA248</f>
        <v/>
      </c>
      <c r="BI248" s="34">
        <f>BF248+BG248+BL248-BN248</f>
        <v/>
      </c>
      <c r="BJ248" s="34">
        <f>ABS(BK248)</f>
        <v/>
      </c>
      <c r="BK248" s="34">
        <f>AY248-(J248-L248+N248-Q248)</f>
        <v/>
      </c>
      <c r="BL248" s="34">
        <f>IF(AND(BK248&gt;0,MIN($F248:$G248)&lt;150,$E248="Enerji Açığı"),-100*BK248*1.03,IF(AND(BK248&gt;0,MIN($F248:$G248)&lt;150,$E248="Enerji Fazlası"),-100*BK248*1.06,IF(AND(BK248&gt;0,MIN($F248:$G248)&gt;=150,$E248="Enerji Açığı"),BK248*MIN($F248:$G248)*0.97,IF(AND(BK248&gt;0,MIN($F248:$G248)&gt;=150,$E248="Enerji Fazlası"),BK248*MIN($F248:$G248)*0.94,IF(AND(BK248&lt;0,MAX($F248:$G248)=4500,$E248="Enerji Açığı"),4500*1.05*1.06*BK248,IF(AND(BK248&lt;0,MAX($F248:$G248)=4500,$E248="Enerji Fazlası"),4500*1.05*1.03*BK248,IF(AND(BK248&lt;0,$E248="Enerji Açığı"),MAX($F248,$G248,150)*BK248*1.06,IF(AND(BK248&lt;0,$E248="Enerji Fazlası"),MAX($F248,$G248,150)*BK248*1.03,IF(AND(BK248&lt;0,$E248="Dengede"),MAX($F248:$G248,150)*1.03*BK248,MIN($F248:$G248)*0.97*BK248)))))))))</f>
        <v/>
      </c>
      <c r="BM248" s="34">
        <f>BE248-BI248-BN248</f>
        <v/>
      </c>
      <c r="BN248" s="34">
        <f>BB248</f>
        <v/>
      </c>
      <c r="BO248" s="34">
        <f>BE248-BI248</f>
        <v/>
      </c>
      <c r="BP248" s="34">
        <f>IF(AY248=0,0,BO248/AY248)</f>
        <v/>
      </c>
      <c r="BQ248" s="34">
        <f>MAX((AY248+MAX((-J248+L248-N248+Q248),0)),(MAX((J248-L248+N248-Q248),0)))</f>
        <v/>
      </c>
      <c r="BR248" s="82">
        <f>IFERROR(ABS(BK248/BQ248),0)</f>
        <v/>
      </c>
      <c r="BS248" s="34">
        <f>IF(BR248&lt;=0.1,0,BK248/BR248*(BR248-0.1))</f>
        <v/>
      </c>
      <c r="BT248" s="34">
        <f>IF((BS248)&lt;0,MAX(F248:G248)*(BS248)*1.03,MIN(F248:G248)*(BS248)*0.97)</f>
        <v/>
      </c>
      <c r="BU248" s="34">
        <f>IF(BR248&gt;0.1,1,0)</f>
        <v/>
      </c>
      <c r="BV248" s="34">
        <f>BF248+BG248+BH248+BY248-CA248</f>
        <v/>
      </c>
      <c r="BW248" s="34">
        <f>ABS(BX248)</f>
        <v/>
      </c>
      <c r="BX248" s="34">
        <f>AY248-(J248-L248+N248-Q248+T248-X248)</f>
        <v/>
      </c>
      <c r="BY248" s="34">
        <f>IF(AND(BX248&gt;0,MIN($F248:$G248)&lt;150,$E248="Enerji Açığı"),-100*BX248*1.03,IF(AND(BX248&gt;0,MIN($F248:$G248)&lt;150,$E248="Enerji Fazlası"),-100*BX248*1.06,IF(AND(BX248&gt;0,MIN($F248:$G248)&gt;=150,$E248="Enerji Açığı"),BX248*MIN($F248:$G248)*0.97,IF(AND(BX248&gt;0,MIN($F248:$G248)&gt;=150,$E248="Enerji Fazlası"),BX248*MIN($F248:$G248)*0.94,IF(AND(BX248&lt;0,MAX($F248:$G248)=4500,$E248="Enerji Açığı"),4500*1.05*1.06*BX248,IF(AND(BX248&lt;0,MAX($F248:$G248)=4500,$E248="Enerji Fazlası"),4500*1.05*1.03*BX248,IF(AND(BX248&lt;0,$E248="Enerji Açığı"),MAX($F248,$G248,150)*BX248*1.06,IF(AND(BX248&lt;0,$E248="Enerji Fazlası"),MAX($F248,$G248,150)*BX248*1.03,IF(AND(BX248&lt;0,$E248="Dengede"),MAX($F248:$G248,150)*1.03*BX248,MIN($F248:$G248)*0.97*BX248)))))))))</f>
        <v/>
      </c>
      <c r="BZ248" s="34">
        <f>BE248-BV248-CA248</f>
        <v/>
      </c>
      <c r="CA248" s="34">
        <f>BD248</f>
        <v/>
      </c>
      <c r="CB248" s="33">
        <f>BE248-BV248</f>
        <v/>
      </c>
      <c r="CC248" s="34">
        <f>IF(AY248=0,0,CB248/AY248)</f>
        <v/>
      </c>
      <c r="CD248" s="34">
        <f>MAX((AY248+MAX((-J248+L248-N248+Q248-T248+X248),0)),(MAX((J248-L248+N248-Q248+T248-X248),0)))</f>
        <v/>
      </c>
      <c r="CE248" s="82">
        <f>IFERROR(ABS(BX248/CD248),0)</f>
        <v/>
      </c>
      <c r="CF248" s="34">
        <f>IF(CE248&lt;=0.1,0,BX248/CE248*(CE248-0.1))</f>
        <v/>
      </c>
      <c r="CG248" s="34">
        <f>IF((CF248)&lt;0,MAX(F248:G248)*(CF248)*1.03,MIN(F248:G248)*(CF248)*0.97)</f>
        <v/>
      </c>
      <c r="CH248" s="34">
        <f>IF(CE248&gt;0.1,1,0)</f>
        <v/>
      </c>
      <c r="CI248" s="34">
        <f>(F248*BX248)-BY248</f>
        <v/>
      </c>
      <c r="CJ248" s="34">
        <f>IF(AY248=0,0,CI248/AY248)</f>
        <v/>
      </c>
    </row>
    <row r="249">
      <c r="A249" s="29">
        <f>[1]FİYATLAR!A224</f>
        <v/>
      </c>
      <c r="B249" s="29">
        <f>[1]FİYATLAR!B224</f>
        <v/>
      </c>
      <c r="C249" s="35">
        <f>INT(A249)</f>
        <v/>
      </c>
      <c r="D249" s="36">
        <f>MONTH(A249)</f>
        <v/>
      </c>
      <c r="E249" s="147">
        <f>[1]FİYATLAR!G224</f>
        <v/>
      </c>
      <c r="F249" s="30">
        <f>[1]FİYATLAR!C224</f>
        <v/>
      </c>
      <c r="G249" s="30">
        <f>[1]FİYATLAR!E224</f>
        <v/>
      </c>
      <c r="H249" s="30">
        <f>[1]FİYATLAR!D224</f>
        <v/>
      </c>
      <c r="I249" s="30">
        <f>[1]FİYATLAR!F224</f>
        <v/>
      </c>
      <c r="J249" s="119" t="n">
        <v>0</v>
      </c>
      <c r="K249" s="34">
        <f>F249*J249</f>
        <v/>
      </c>
      <c r="L249" s="119" t="n"/>
      <c r="M249" s="34">
        <f>L249*F249</f>
        <v/>
      </c>
      <c r="N249" s="119" t="n"/>
      <c r="O249" s="34">
        <f>F249</f>
        <v/>
      </c>
      <c r="P249" s="34">
        <f>N249*O249</f>
        <v/>
      </c>
      <c r="Q249" s="117" t="n">
        <v>0</v>
      </c>
      <c r="R249" s="34">
        <f>F249</f>
        <v/>
      </c>
      <c r="S249" s="34">
        <f>R249*Q249</f>
        <v/>
      </c>
      <c r="T249" s="34">
        <f>SUMIFS('[1]GİP VERİLERİ'!$C:$C,'[1]GİP VERİLERİ'!$B:$B,A249,'[1]GİP VERİLERİ'!$M:$M,"40X000000104782K",'[1]GİP VERİLERİ'!$G:$G,"SELL")</f>
        <v/>
      </c>
      <c r="U249" s="34">
        <f>IFERROR(W249/T249,0)</f>
        <v/>
      </c>
      <c r="V249" s="34">
        <f>IF(U249=0,0,U249-F249)</f>
        <v/>
      </c>
      <c r="W249" s="34">
        <f>SUMIFS('[1]GİP VERİLERİ'!$O:$O,'[1]GİP VERİLERİ'!$B:$B,A249,'[1]GİP VERİLERİ'!$M:$M,"40X000000104782K",'[1]GİP VERİLERİ'!$G:$G,"SELL")</f>
        <v/>
      </c>
      <c r="X249" s="34">
        <f>SUMIFS('[1]GİP VERİLERİ'!$C:$C,'[1]GİP VERİLERİ'!$B:$B,A249,'[1]GİP VERİLERİ'!$M:$M,"40X000000104782K",'[1]GİP VERİLERİ'!$G:$G,"BUY")</f>
        <v/>
      </c>
      <c r="Y249" s="34">
        <f>IFERROR(AA249/X249,0)</f>
        <v/>
      </c>
      <c r="Z249" s="34">
        <f>IF(Y249=0,0,F249-Y249)</f>
        <v/>
      </c>
      <c r="AA249" s="34">
        <f>SUMIFS('[1]GİP VERİLERİ'!$O:$O,'[1]GİP VERİLERİ'!$B:$B,A249,'[1]GİP VERİLERİ'!$M:$M,"40X000000104782K",'[1]GİP VERİLERİ'!$G:$G,"BUY")</f>
        <v/>
      </c>
      <c r="AB249" s="34">
        <f>'[1]GÖP VERİLERİ'!H250</f>
        <v/>
      </c>
      <c r="AC249" s="34">
        <f>'[1]GÖP VERİLERİ'!I250</f>
        <v/>
      </c>
      <c r="AD249" s="34">
        <f>IF(AB249&gt;AC249*1.05,AB249-AC249*1.05,IF(AB249&lt;AC249*0.95,AC249*0.95-AB249,0))</f>
        <v/>
      </c>
      <c r="AE249" s="34">
        <f>MAX(F249,G249,750)*0.05*AD249</f>
        <v/>
      </c>
      <c r="AF249" s="34">
        <f>'[1]GÖP VERİLERİ'!J250</f>
        <v/>
      </c>
      <c r="AG249" s="34">
        <f>IF(AB249&gt;AF249*1.05,AB249-AF249*1.05,IF(AB249&lt;AF249*0.95,AF249*0.95-AB249,0))</f>
        <v/>
      </c>
      <c r="AH249" s="34">
        <f>MAX(I249,J249,750)*0.05*AG249</f>
        <v/>
      </c>
      <c r="AI249">
        <f>'[1]GÖP VERİLERİ'!E250</f>
        <v/>
      </c>
      <c r="AJ249">
        <f>'[1]GÖP VERİLERİ'!F250</f>
        <v/>
      </c>
      <c r="AK249" s="34">
        <f>IF(AI249&gt;AJ249*1.05,AI249-AJ249*1.05,IF(AI249&lt;AJ249*0.95,AJ249*0.95-AI249,0))</f>
        <v/>
      </c>
      <c r="AL249" s="34">
        <f>MAX(F249,G249,750)*0.05*AK249</f>
        <v/>
      </c>
      <c r="AM249" s="39">
        <f>'[1]GÖP VERİLERİ'!G250</f>
        <v/>
      </c>
      <c r="AN249" s="34">
        <f>IF(AI249&gt;AM249*1.05,AI249-AM249*1.05,IF(AI249&lt;AM249*0.95,AM249*0.95-AI249,0))</f>
        <v/>
      </c>
      <c r="AO249" s="34">
        <f>MAX(F249,G249,750)*0.05*AN249</f>
        <v/>
      </c>
      <c r="AP249" s="34">
        <f>'[1]GÖP VERİLERİ'!B250</f>
        <v/>
      </c>
      <c r="AQ249" s="34">
        <f>'[1]GÖP VERİLERİ'!C250</f>
        <v/>
      </c>
      <c r="AR249" s="34">
        <f>IF(AP249&gt;AQ249*1.05,AP249-AQ249*1.05,IF(AP249&lt;AQ249*0.95,AQ249*0.95-AP249,0))</f>
        <v/>
      </c>
      <c r="AS249" s="34">
        <f>MAX(F249:G249,750)*0.05*AR249</f>
        <v/>
      </c>
      <c r="AT249">
        <f>'[1]GÖP VERİLERİ'!D250</f>
        <v/>
      </c>
      <c r="AU249" s="34">
        <f>IF(AP249&gt;AT249*1.05,AP249-AT249*1.05,IF(AP249&lt;AT249*0.95,AT249*0.95-AP249,0))</f>
        <v/>
      </c>
      <c r="AV249" s="34">
        <f>MAX(F249:G249,750)*0.05*AU249</f>
        <v/>
      </c>
      <c r="AW249" s="34">
        <f>AC249+AJ249+AQ249</f>
        <v/>
      </c>
      <c r="AX249" s="34">
        <f>AF249+AM249+AT249</f>
        <v/>
      </c>
      <c r="AY249" s="34">
        <f>AB249+AI249+AP249</f>
        <v/>
      </c>
      <c r="AZ249" s="34" t="n">
        <v>0</v>
      </c>
      <c r="BA249" s="34">
        <f>AD249+AK249+AR249</f>
        <v/>
      </c>
      <c r="BB249" s="34">
        <f>MAX(F249:G249,750)*0.05*BA249</f>
        <v/>
      </c>
      <c r="BC249" s="34">
        <f>AG249+AN249+AU249</f>
        <v/>
      </c>
      <c r="BD249" s="34">
        <f>MAX(F249:G249,750)*0.05*BC249</f>
        <v/>
      </c>
      <c r="BE249" s="34">
        <f>F249*AY249</f>
        <v/>
      </c>
      <c r="BF249" s="34">
        <f>K249-M249</f>
        <v/>
      </c>
      <c r="BG249" s="34">
        <f>P249-S249</f>
        <v/>
      </c>
      <c r="BH249" s="34">
        <f>W249-AA249</f>
        <v/>
      </c>
      <c r="BI249" s="34">
        <f>BF249+BG249+BL249-BN249</f>
        <v/>
      </c>
      <c r="BJ249" s="34">
        <f>ABS(BK249)</f>
        <v/>
      </c>
      <c r="BK249" s="34">
        <f>AY249-(J249-L249+N249-Q249)</f>
        <v/>
      </c>
      <c r="BL249" s="34">
        <f>IF(AND(BK249&gt;0,MIN($F249:$G249)&lt;150,$E249="Enerji Açığı"),-100*BK249*1.03,IF(AND(BK249&gt;0,MIN($F249:$G249)&lt;150,$E249="Enerji Fazlası"),-100*BK249*1.06,IF(AND(BK249&gt;0,MIN($F249:$G249)&gt;=150,$E249="Enerji Açığı"),BK249*MIN($F249:$G249)*0.97,IF(AND(BK249&gt;0,MIN($F249:$G249)&gt;=150,$E249="Enerji Fazlası"),BK249*MIN($F249:$G249)*0.94,IF(AND(BK249&lt;0,MAX($F249:$G249)=4500,$E249="Enerji Açığı"),4500*1.05*1.06*BK249,IF(AND(BK249&lt;0,MAX($F249:$G249)=4500,$E249="Enerji Fazlası"),4500*1.05*1.03*BK249,IF(AND(BK249&lt;0,$E249="Enerji Açığı"),MAX($F249,$G249,150)*BK249*1.06,IF(AND(BK249&lt;0,$E249="Enerji Fazlası"),MAX($F249,$G249,150)*BK249*1.03,IF(AND(BK249&lt;0,$E249="Dengede"),MAX($F249:$G249,150)*1.03*BK249,MIN($F249:$G249)*0.97*BK249)))))))))</f>
        <v/>
      </c>
      <c r="BM249" s="34">
        <f>BE249-BI249-BN249</f>
        <v/>
      </c>
      <c r="BN249" s="34">
        <f>BB249</f>
        <v/>
      </c>
      <c r="BO249" s="34">
        <f>BE249-BI249</f>
        <v/>
      </c>
      <c r="BP249" s="34">
        <f>IF(AY249=0,0,BO249/AY249)</f>
        <v/>
      </c>
      <c r="BQ249" s="34">
        <f>MAX((AY249+MAX((-J249+L249-N249+Q249),0)),(MAX((J249-L249+N249-Q249),0)))</f>
        <v/>
      </c>
      <c r="BR249" s="82">
        <f>IFERROR(ABS(BK249/BQ249),0)</f>
        <v/>
      </c>
      <c r="BS249" s="34">
        <f>IF(BR249&lt;=0.1,0,BK249/BR249*(BR249-0.1))</f>
        <v/>
      </c>
      <c r="BT249" s="34">
        <f>IF((BS249)&lt;0,MAX(F249:G249)*(BS249)*1.03,MIN(F249:G249)*(BS249)*0.97)</f>
        <v/>
      </c>
      <c r="BU249" s="34">
        <f>IF(BR249&gt;0.1,1,0)</f>
        <v/>
      </c>
      <c r="BV249" s="34">
        <f>BF249+BG249+BH249+BY249-CA249</f>
        <v/>
      </c>
      <c r="BW249" s="34">
        <f>ABS(BX249)</f>
        <v/>
      </c>
      <c r="BX249" s="34">
        <f>AY249-(J249-L249+N249-Q249+T249-X249)</f>
        <v/>
      </c>
      <c r="BY249" s="34">
        <f>IF(AND(BX249&gt;0,MIN($F249:$G249)&lt;150,$E249="Enerji Açığı"),-100*BX249*1.03,IF(AND(BX249&gt;0,MIN($F249:$G249)&lt;150,$E249="Enerji Fazlası"),-100*BX249*1.06,IF(AND(BX249&gt;0,MIN($F249:$G249)&gt;=150,$E249="Enerji Açığı"),BX249*MIN($F249:$G249)*0.97,IF(AND(BX249&gt;0,MIN($F249:$G249)&gt;=150,$E249="Enerji Fazlası"),BX249*MIN($F249:$G249)*0.94,IF(AND(BX249&lt;0,MAX($F249:$G249)=4500,$E249="Enerji Açığı"),4500*1.05*1.06*BX249,IF(AND(BX249&lt;0,MAX($F249:$G249)=4500,$E249="Enerji Fazlası"),4500*1.05*1.03*BX249,IF(AND(BX249&lt;0,$E249="Enerji Açığı"),MAX($F249,$G249,150)*BX249*1.06,IF(AND(BX249&lt;0,$E249="Enerji Fazlası"),MAX($F249,$G249,150)*BX249*1.03,IF(AND(BX249&lt;0,$E249="Dengede"),MAX($F249:$G249,150)*1.03*BX249,MIN($F249:$G249)*0.97*BX249)))))))))</f>
        <v/>
      </c>
      <c r="BZ249" s="34">
        <f>BE249-BV249-CA249</f>
        <v/>
      </c>
      <c r="CA249" s="34">
        <f>BD249</f>
        <v/>
      </c>
      <c r="CB249" s="33">
        <f>BE249-BV249</f>
        <v/>
      </c>
      <c r="CC249" s="34">
        <f>IF(AY249=0,0,CB249/AY249)</f>
        <v/>
      </c>
      <c r="CD249" s="34">
        <f>MAX((AY249+MAX((-J249+L249-N249+Q249-T249+X249),0)),(MAX((J249-L249+N249-Q249+T249-X249),0)))</f>
        <v/>
      </c>
      <c r="CE249" s="82">
        <f>IFERROR(ABS(BX249/CD249),0)</f>
        <v/>
      </c>
      <c r="CF249" s="34">
        <f>IF(CE249&lt;=0.1,0,BX249/CE249*(CE249-0.1))</f>
        <v/>
      </c>
      <c r="CG249" s="34">
        <f>IF((CF249)&lt;0,MAX(F249:G249)*(CF249)*1.03,MIN(F249:G249)*(CF249)*0.97)</f>
        <v/>
      </c>
      <c r="CH249" s="34">
        <f>IF(CE249&gt;0.1,1,0)</f>
        <v/>
      </c>
      <c r="CI249" s="34">
        <f>(F249*BX249)-BY249</f>
        <v/>
      </c>
      <c r="CJ249" s="34">
        <f>IF(AY249=0,0,CI249/AY249)</f>
        <v/>
      </c>
    </row>
    <row r="250">
      <c r="A250" s="29">
        <f>[1]FİYATLAR!A225</f>
        <v/>
      </c>
      <c r="B250" s="29">
        <f>[1]FİYATLAR!B225</f>
        <v/>
      </c>
      <c r="C250" s="35">
        <f>INT(A250)</f>
        <v/>
      </c>
      <c r="D250" s="36">
        <f>MONTH(A250)</f>
        <v/>
      </c>
      <c r="E250" s="147">
        <f>[1]FİYATLAR!G225</f>
        <v/>
      </c>
      <c r="F250" s="30">
        <f>[1]FİYATLAR!C225</f>
        <v/>
      </c>
      <c r="G250" s="30">
        <f>[1]FİYATLAR!E225</f>
        <v/>
      </c>
      <c r="H250" s="30">
        <f>[1]FİYATLAR!D225</f>
        <v/>
      </c>
      <c r="I250" s="30">
        <f>[1]FİYATLAR!F225</f>
        <v/>
      </c>
      <c r="J250" s="119" t="n">
        <v>0</v>
      </c>
      <c r="K250" s="34">
        <f>F250*J250</f>
        <v/>
      </c>
      <c r="L250" s="119" t="n"/>
      <c r="M250" s="34">
        <f>L250*F250</f>
        <v/>
      </c>
      <c r="N250" s="119" t="n"/>
      <c r="O250" s="34">
        <f>F250</f>
        <v/>
      </c>
      <c r="P250" s="34">
        <f>N250*O250</f>
        <v/>
      </c>
      <c r="Q250" s="117" t="n">
        <v>0</v>
      </c>
      <c r="R250" s="34">
        <f>F250</f>
        <v/>
      </c>
      <c r="S250" s="34">
        <f>R250*Q250</f>
        <v/>
      </c>
      <c r="T250" s="34">
        <f>SUMIFS('[1]GİP VERİLERİ'!$C:$C,'[1]GİP VERİLERİ'!$B:$B,A250,'[1]GİP VERİLERİ'!$M:$M,"40X000000104782K",'[1]GİP VERİLERİ'!$G:$G,"SELL")</f>
        <v/>
      </c>
      <c r="U250" s="34">
        <f>IFERROR(W250/T250,0)</f>
        <v/>
      </c>
      <c r="V250" s="34">
        <f>IF(U250=0,0,U250-F250)</f>
        <v/>
      </c>
      <c r="W250" s="34">
        <f>SUMIFS('[1]GİP VERİLERİ'!$O:$O,'[1]GİP VERİLERİ'!$B:$B,A250,'[1]GİP VERİLERİ'!$M:$M,"40X000000104782K",'[1]GİP VERİLERİ'!$G:$G,"SELL")</f>
        <v/>
      </c>
      <c r="X250" s="34">
        <f>SUMIFS('[1]GİP VERİLERİ'!$C:$C,'[1]GİP VERİLERİ'!$B:$B,A250,'[1]GİP VERİLERİ'!$M:$M,"40X000000104782K",'[1]GİP VERİLERİ'!$G:$G,"BUY")</f>
        <v/>
      </c>
      <c r="Y250" s="34">
        <f>IFERROR(AA250/X250,0)</f>
        <v/>
      </c>
      <c r="Z250" s="34">
        <f>IF(Y250=0,0,F250-Y250)</f>
        <v/>
      </c>
      <c r="AA250" s="34">
        <f>SUMIFS('[1]GİP VERİLERİ'!$O:$O,'[1]GİP VERİLERİ'!$B:$B,A250,'[1]GİP VERİLERİ'!$M:$M,"40X000000104782K",'[1]GİP VERİLERİ'!$G:$G,"BUY")</f>
        <v/>
      </c>
      <c r="AB250" s="34">
        <f>'[1]GÖP VERİLERİ'!H251</f>
        <v/>
      </c>
      <c r="AC250" s="34">
        <f>'[1]GÖP VERİLERİ'!I251</f>
        <v/>
      </c>
      <c r="AD250" s="34">
        <f>IF(AB250&gt;AC250*1.05,AB250-AC250*1.05,IF(AB250&lt;AC250*0.95,AC250*0.95-AB250,0))</f>
        <v/>
      </c>
      <c r="AE250" s="34">
        <f>MAX(F250,G250,750)*0.05*AD250</f>
        <v/>
      </c>
      <c r="AF250" s="34">
        <f>'[1]GÖP VERİLERİ'!J251</f>
        <v/>
      </c>
      <c r="AG250" s="34">
        <f>IF(AB250&gt;AF250*1.05,AB250-AF250*1.05,IF(AB250&lt;AF250*0.95,AF250*0.95-AB250,0))</f>
        <v/>
      </c>
      <c r="AH250" s="34">
        <f>MAX(I250,J250,750)*0.05*AG250</f>
        <v/>
      </c>
      <c r="AI250">
        <f>'[1]GÖP VERİLERİ'!E251</f>
        <v/>
      </c>
      <c r="AJ250">
        <f>'[1]GÖP VERİLERİ'!F251</f>
        <v/>
      </c>
      <c r="AK250" s="34">
        <f>IF(AI250&gt;AJ250*1.05,AI250-AJ250*1.05,IF(AI250&lt;AJ250*0.95,AJ250*0.95-AI250,0))</f>
        <v/>
      </c>
      <c r="AL250" s="34">
        <f>MAX(F250,G250,750)*0.05*AK250</f>
        <v/>
      </c>
      <c r="AM250" s="39">
        <f>'[1]GÖP VERİLERİ'!G251</f>
        <v/>
      </c>
      <c r="AN250" s="34">
        <f>IF(AI250&gt;AM250*1.05,AI250-AM250*1.05,IF(AI250&lt;AM250*0.95,AM250*0.95-AI250,0))</f>
        <v/>
      </c>
      <c r="AO250" s="34">
        <f>MAX(F250,G250,750)*0.05*AN250</f>
        <v/>
      </c>
      <c r="AP250" s="34">
        <f>'[1]GÖP VERİLERİ'!B251</f>
        <v/>
      </c>
      <c r="AQ250" s="34">
        <f>'[1]GÖP VERİLERİ'!C251</f>
        <v/>
      </c>
      <c r="AR250" s="34">
        <f>IF(AP250&gt;AQ250*1.05,AP250-AQ250*1.05,IF(AP250&lt;AQ250*0.95,AQ250*0.95-AP250,0))</f>
        <v/>
      </c>
      <c r="AS250" s="34">
        <f>MAX(F250:G250,750)*0.05*AR250</f>
        <v/>
      </c>
      <c r="AT250">
        <f>'[1]GÖP VERİLERİ'!D251</f>
        <v/>
      </c>
      <c r="AU250" s="34">
        <f>IF(AP250&gt;AT250*1.05,AP250-AT250*1.05,IF(AP250&lt;AT250*0.95,AT250*0.95-AP250,0))</f>
        <v/>
      </c>
      <c r="AV250" s="34">
        <f>MAX(F250:G250,750)*0.05*AU250</f>
        <v/>
      </c>
      <c r="AW250" s="34">
        <f>AC250+AJ250+AQ250</f>
        <v/>
      </c>
      <c r="AX250" s="34">
        <f>AF250+AM250+AT250</f>
        <v/>
      </c>
      <c r="AY250" s="34">
        <f>AB250+AI250+AP250</f>
        <v/>
      </c>
      <c r="AZ250" s="34" t="n">
        <v>0</v>
      </c>
      <c r="BA250" s="34">
        <f>AD250+AK250+AR250</f>
        <v/>
      </c>
      <c r="BB250" s="34">
        <f>MAX(F250:G250,750)*0.05*BA250</f>
        <v/>
      </c>
      <c r="BC250" s="34">
        <f>AG250+AN250+AU250</f>
        <v/>
      </c>
      <c r="BD250" s="34">
        <f>MAX(F250:G250,750)*0.05*BC250</f>
        <v/>
      </c>
      <c r="BE250" s="34">
        <f>F250*AY250</f>
        <v/>
      </c>
      <c r="BF250" s="34">
        <f>K250-M250</f>
        <v/>
      </c>
      <c r="BG250" s="34">
        <f>P250-S250</f>
        <v/>
      </c>
      <c r="BH250" s="34">
        <f>W250-AA250</f>
        <v/>
      </c>
      <c r="BI250" s="34">
        <f>BF250+BG250+BL250-BN250</f>
        <v/>
      </c>
      <c r="BJ250" s="34">
        <f>ABS(BK250)</f>
        <v/>
      </c>
      <c r="BK250" s="34">
        <f>AY250-(J250-L250+N250-Q250)</f>
        <v/>
      </c>
      <c r="BL250" s="34">
        <f>IF(AND(BK250&gt;0,MIN($F250:$G250)&lt;150,$E250="Enerji Açığı"),-100*BK250*1.03,IF(AND(BK250&gt;0,MIN($F250:$G250)&lt;150,$E250="Enerji Fazlası"),-100*BK250*1.06,IF(AND(BK250&gt;0,MIN($F250:$G250)&gt;=150,$E250="Enerji Açığı"),BK250*MIN($F250:$G250)*0.97,IF(AND(BK250&gt;0,MIN($F250:$G250)&gt;=150,$E250="Enerji Fazlası"),BK250*MIN($F250:$G250)*0.94,IF(AND(BK250&lt;0,MAX($F250:$G250)=4500,$E250="Enerji Açığı"),4500*1.05*1.06*BK250,IF(AND(BK250&lt;0,MAX($F250:$G250)=4500,$E250="Enerji Fazlası"),4500*1.05*1.03*BK250,IF(AND(BK250&lt;0,$E250="Enerji Açığı"),MAX($F250,$G250,150)*BK250*1.06,IF(AND(BK250&lt;0,$E250="Enerji Fazlası"),MAX($F250,$G250,150)*BK250*1.03,IF(AND(BK250&lt;0,$E250="Dengede"),MAX($F250:$G250,150)*1.03*BK250,MIN($F250:$G250)*0.97*BK250)))))))))</f>
        <v/>
      </c>
      <c r="BM250" s="34">
        <f>BE250-BI250-BN250</f>
        <v/>
      </c>
      <c r="BN250" s="34">
        <f>BB250</f>
        <v/>
      </c>
      <c r="BO250" s="34">
        <f>BE250-BI250</f>
        <v/>
      </c>
      <c r="BP250" s="34">
        <f>IF(AY250=0,0,BO250/AY250)</f>
        <v/>
      </c>
      <c r="BQ250" s="34">
        <f>MAX((AY250+MAX((-J250+L250-N250+Q250),0)),(MAX((J250-L250+N250-Q250),0)))</f>
        <v/>
      </c>
      <c r="BR250" s="82">
        <f>IFERROR(ABS(BK250/BQ250),0)</f>
        <v/>
      </c>
      <c r="BS250" s="34">
        <f>IF(BR250&lt;=0.1,0,BK250/BR250*(BR250-0.1))</f>
        <v/>
      </c>
      <c r="BT250" s="34">
        <f>IF((BS250)&lt;0,MAX(F250:G250)*(BS250)*1.03,MIN(F250:G250)*(BS250)*0.97)</f>
        <v/>
      </c>
      <c r="BU250" s="34">
        <f>IF(BR250&gt;0.1,1,0)</f>
        <v/>
      </c>
      <c r="BV250" s="34">
        <f>BF250+BG250+BH250+BY250-CA250</f>
        <v/>
      </c>
      <c r="BW250" s="34">
        <f>ABS(BX250)</f>
        <v/>
      </c>
      <c r="BX250" s="34">
        <f>AY250-(J250-L250+N250-Q250+T250-X250)</f>
        <v/>
      </c>
      <c r="BY250" s="34">
        <f>IF(AND(BX250&gt;0,MIN($F250:$G250)&lt;150,$E250="Enerji Açığı"),-100*BX250*1.03,IF(AND(BX250&gt;0,MIN($F250:$G250)&lt;150,$E250="Enerji Fazlası"),-100*BX250*1.06,IF(AND(BX250&gt;0,MIN($F250:$G250)&gt;=150,$E250="Enerji Açığı"),BX250*MIN($F250:$G250)*0.97,IF(AND(BX250&gt;0,MIN($F250:$G250)&gt;=150,$E250="Enerji Fazlası"),BX250*MIN($F250:$G250)*0.94,IF(AND(BX250&lt;0,MAX($F250:$G250)=4500,$E250="Enerji Açığı"),4500*1.05*1.06*BX250,IF(AND(BX250&lt;0,MAX($F250:$G250)=4500,$E250="Enerji Fazlası"),4500*1.05*1.03*BX250,IF(AND(BX250&lt;0,$E250="Enerji Açığı"),MAX($F250,$G250,150)*BX250*1.06,IF(AND(BX250&lt;0,$E250="Enerji Fazlası"),MAX($F250,$G250,150)*BX250*1.03,IF(AND(BX250&lt;0,$E250="Dengede"),MAX($F250:$G250,150)*1.03*BX250,MIN($F250:$G250)*0.97*BX250)))))))))</f>
        <v/>
      </c>
      <c r="BZ250" s="34">
        <f>BE250-BV250-CA250</f>
        <v/>
      </c>
      <c r="CA250" s="34">
        <f>BD250</f>
        <v/>
      </c>
      <c r="CB250" s="33">
        <f>BE250-BV250</f>
        <v/>
      </c>
      <c r="CC250" s="34">
        <f>IF(AY250=0,0,CB250/AY250)</f>
        <v/>
      </c>
      <c r="CD250" s="34">
        <f>MAX((AY250+MAX((-J250+L250-N250+Q250-T250+X250),0)),(MAX((J250-L250+N250-Q250+T250-X250),0)))</f>
        <v/>
      </c>
      <c r="CE250" s="82">
        <f>IFERROR(ABS(BX250/CD250),0)</f>
        <v/>
      </c>
      <c r="CF250" s="34">
        <f>IF(CE250&lt;=0.1,0,BX250/CE250*(CE250-0.1))</f>
        <v/>
      </c>
      <c r="CG250" s="34">
        <f>IF((CF250)&lt;0,MAX(F250:G250)*(CF250)*1.03,MIN(F250:G250)*(CF250)*0.97)</f>
        <v/>
      </c>
      <c r="CH250" s="34">
        <f>IF(CE250&gt;0.1,1,0)</f>
        <v/>
      </c>
      <c r="CI250" s="34">
        <f>(F250*BX250)-BY250</f>
        <v/>
      </c>
      <c r="CJ250" s="34">
        <f>IF(AY250=0,0,CI250/AY250)</f>
        <v/>
      </c>
    </row>
    <row r="251">
      <c r="A251" s="29">
        <f>[1]FİYATLAR!A226</f>
        <v/>
      </c>
      <c r="B251" s="29">
        <f>[1]FİYATLAR!B226</f>
        <v/>
      </c>
      <c r="C251" s="35">
        <f>INT(A251)</f>
        <v/>
      </c>
      <c r="D251" s="36">
        <f>MONTH(A251)</f>
        <v/>
      </c>
      <c r="E251" s="147">
        <f>[1]FİYATLAR!G226</f>
        <v/>
      </c>
      <c r="F251" s="30">
        <f>[1]FİYATLAR!C226</f>
        <v/>
      </c>
      <c r="G251" s="30">
        <f>[1]FİYATLAR!E226</f>
        <v/>
      </c>
      <c r="H251" s="30">
        <f>[1]FİYATLAR!D226</f>
        <v/>
      </c>
      <c r="I251" s="30">
        <f>[1]FİYATLAR!F226</f>
        <v/>
      </c>
      <c r="J251" s="119" t="n">
        <v>0</v>
      </c>
      <c r="K251" s="34">
        <f>F251*J251</f>
        <v/>
      </c>
      <c r="L251" s="119" t="n"/>
      <c r="M251" s="34">
        <f>L251*F251</f>
        <v/>
      </c>
      <c r="N251" s="119" t="n"/>
      <c r="O251" s="34">
        <f>F251</f>
        <v/>
      </c>
      <c r="P251" s="34">
        <f>N251*O251</f>
        <v/>
      </c>
      <c r="Q251" s="117" t="n">
        <v>0</v>
      </c>
      <c r="R251" s="34">
        <f>F251</f>
        <v/>
      </c>
      <c r="S251" s="34">
        <f>R251*Q251</f>
        <v/>
      </c>
      <c r="T251" s="34">
        <f>SUMIFS('[1]GİP VERİLERİ'!$C:$C,'[1]GİP VERİLERİ'!$B:$B,A251,'[1]GİP VERİLERİ'!$M:$M,"40X000000104782K",'[1]GİP VERİLERİ'!$G:$G,"SELL")</f>
        <v/>
      </c>
      <c r="U251" s="34">
        <f>IFERROR(W251/T251,0)</f>
        <v/>
      </c>
      <c r="V251" s="34">
        <f>IF(U251=0,0,U251-F251)</f>
        <v/>
      </c>
      <c r="W251" s="34">
        <f>SUMIFS('[1]GİP VERİLERİ'!$O:$O,'[1]GİP VERİLERİ'!$B:$B,A251,'[1]GİP VERİLERİ'!$M:$M,"40X000000104782K",'[1]GİP VERİLERİ'!$G:$G,"SELL")</f>
        <v/>
      </c>
      <c r="X251" s="34">
        <f>SUMIFS('[1]GİP VERİLERİ'!$C:$C,'[1]GİP VERİLERİ'!$B:$B,A251,'[1]GİP VERİLERİ'!$M:$M,"40X000000104782K",'[1]GİP VERİLERİ'!$G:$G,"BUY")</f>
        <v/>
      </c>
      <c r="Y251" s="34">
        <f>IFERROR(AA251/X251,0)</f>
        <v/>
      </c>
      <c r="Z251" s="34">
        <f>IF(Y251=0,0,F251-Y251)</f>
        <v/>
      </c>
      <c r="AA251" s="34">
        <f>SUMIFS('[1]GİP VERİLERİ'!$O:$O,'[1]GİP VERİLERİ'!$B:$B,A251,'[1]GİP VERİLERİ'!$M:$M,"40X000000104782K",'[1]GİP VERİLERİ'!$G:$G,"BUY")</f>
        <v/>
      </c>
      <c r="AB251" s="34">
        <f>'[1]GÖP VERİLERİ'!H252</f>
        <v/>
      </c>
      <c r="AC251" s="34">
        <f>'[1]GÖP VERİLERİ'!I252</f>
        <v/>
      </c>
      <c r="AD251" s="34">
        <f>IF(AB251&gt;AC251*1.05,AB251-AC251*1.05,IF(AB251&lt;AC251*0.95,AC251*0.95-AB251,0))</f>
        <v/>
      </c>
      <c r="AE251" s="34">
        <f>MAX(F251,G251,750)*0.05*AD251</f>
        <v/>
      </c>
      <c r="AF251" s="34">
        <f>'[1]GÖP VERİLERİ'!J252</f>
        <v/>
      </c>
      <c r="AG251" s="34">
        <f>IF(AB251&gt;AF251*1.05,AB251-AF251*1.05,IF(AB251&lt;AF251*0.95,AF251*0.95-AB251,0))</f>
        <v/>
      </c>
      <c r="AH251" s="34">
        <f>MAX(I251,J251,750)*0.05*AG251</f>
        <v/>
      </c>
      <c r="AI251">
        <f>'[1]GÖP VERİLERİ'!E252</f>
        <v/>
      </c>
      <c r="AJ251">
        <f>'[1]GÖP VERİLERİ'!F252</f>
        <v/>
      </c>
      <c r="AK251" s="34">
        <f>IF(AI251&gt;AJ251*1.05,AI251-AJ251*1.05,IF(AI251&lt;AJ251*0.95,AJ251*0.95-AI251,0))</f>
        <v/>
      </c>
      <c r="AL251" s="34">
        <f>MAX(F251,G251,750)*0.05*AK251</f>
        <v/>
      </c>
      <c r="AM251" s="39">
        <f>'[1]GÖP VERİLERİ'!G252</f>
        <v/>
      </c>
      <c r="AN251" s="34">
        <f>IF(AI251&gt;AM251*1.05,AI251-AM251*1.05,IF(AI251&lt;AM251*0.95,AM251*0.95-AI251,0))</f>
        <v/>
      </c>
      <c r="AO251" s="34">
        <f>MAX(F251,G251,750)*0.05*AN251</f>
        <v/>
      </c>
      <c r="AP251" s="34">
        <f>'[1]GÖP VERİLERİ'!B252</f>
        <v/>
      </c>
      <c r="AQ251" s="34">
        <f>'[1]GÖP VERİLERİ'!C252</f>
        <v/>
      </c>
      <c r="AR251" s="34">
        <f>IF(AP251&gt;AQ251*1.05,AP251-AQ251*1.05,IF(AP251&lt;AQ251*0.95,AQ251*0.95-AP251,0))</f>
        <v/>
      </c>
      <c r="AS251" s="34">
        <f>MAX(F251:G251,750)*0.05*AR251</f>
        <v/>
      </c>
      <c r="AT251">
        <f>'[1]GÖP VERİLERİ'!D252</f>
        <v/>
      </c>
      <c r="AU251" s="34">
        <f>IF(AP251&gt;AT251*1.05,AP251-AT251*1.05,IF(AP251&lt;AT251*0.95,AT251*0.95-AP251,0))</f>
        <v/>
      </c>
      <c r="AV251" s="34">
        <f>MAX(F251:G251,750)*0.05*AU251</f>
        <v/>
      </c>
      <c r="AW251" s="34">
        <f>AC251+AJ251+AQ251</f>
        <v/>
      </c>
      <c r="AX251" s="34">
        <f>AF251+AM251+AT251</f>
        <v/>
      </c>
      <c r="AY251" s="34">
        <f>AB251+AI251+AP251</f>
        <v/>
      </c>
      <c r="AZ251" s="34" t="n">
        <v>0</v>
      </c>
      <c r="BA251" s="34">
        <f>AD251+AK251+AR251</f>
        <v/>
      </c>
      <c r="BB251" s="34">
        <f>MAX(F251:G251,750)*0.05*BA251</f>
        <v/>
      </c>
      <c r="BC251" s="34">
        <f>AG251+AN251+AU251</f>
        <v/>
      </c>
      <c r="BD251" s="34">
        <f>MAX(F251:G251,750)*0.05*BC251</f>
        <v/>
      </c>
      <c r="BE251" s="34">
        <f>F251*AY251</f>
        <v/>
      </c>
      <c r="BF251" s="34">
        <f>K251-M251</f>
        <v/>
      </c>
      <c r="BG251" s="34">
        <f>P251-S251</f>
        <v/>
      </c>
      <c r="BH251" s="34">
        <f>W251-AA251</f>
        <v/>
      </c>
      <c r="BI251" s="34">
        <f>BF251+BG251+BL251-BN251</f>
        <v/>
      </c>
      <c r="BJ251" s="34">
        <f>ABS(BK251)</f>
        <v/>
      </c>
      <c r="BK251" s="34">
        <f>AY251-(J251-L251+N251-Q251)</f>
        <v/>
      </c>
      <c r="BL251" s="34">
        <f>IF(AND(BK251&gt;0,MIN($F251:$G251)&lt;150,$E251="Enerji Açığı"),-100*BK251*1.03,IF(AND(BK251&gt;0,MIN($F251:$G251)&lt;150,$E251="Enerji Fazlası"),-100*BK251*1.06,IF(AND(BK251&gt;0,MIN($F251:$G251)&gt;=150,$E251="Enerji Açığı"),BK251*MIN($F251:$G251)*0.97,IF(AND(BK251&gt;0,MIN($F251:$G251)&gt;=150,$E251="Enerji Fazlası"),BK251*MIN($F251:$G251)*0.94,IF(AND(BK251&lt;0,MAX($F251:$G251)=4500,$E251="Enerji Açığı"),4500*1.05*1.06*BK251,IF(AND(BK251&lt;0,MAX($F251:$G251)=4500,$E251="Enerji Fazlası"),4500*1.05*1.03*BK251,IF(AND(BK251&lt;0,$E251="Enerji Açığı"),MAX($F251,$G251,150)*BK251*1.06,IF(AND(BK251&lt;0,$E251="Enerji Fazlası"),MAX($F251,$G251,150)*BK251*1.03,IF(AND(BK251&lt;0,$E251="Dengede"),MAX($F251:$G251,150)*1.03*BK251,MIN($F251:$G251)*0.97*BK251)))))))))</f>
        <v/>
      </c>
      <c r="BM251" s="34">
        <f>BE251-BI251-BN251</f>
        <v/>
      </c>
      <c r="BN251" s="34">
        <f>BB251</f>
        <v/>
      </c>
      <c r="BO251" s="34">
        <f>BE251-BI251</f>
        <v/>
      </c>
      <c r="BP251" s="34">
        <f>IF(AY251=0,0,BO251/AY251)</f>
        <v/>
      </c>
      <c r="BQ251" s="34">
        <f>MAX((AY251+MAX((-J251+L251-N251+Q251),0)),(MAX((J251-L251+N251-Q251),0)))</f>
        <v/>
      </c>
      <c r="BR251" s="82">
        <f>IFERROR(ABS(BK251/BQ251),0)</f>
        <v/>
      </c>
      <c r="BS251" s="34">
        <f>IF(BR251&lt;=0.1,0,BK251/BR251*(BR251-0.1))</f>
        <v/>
      </c>
      <c r="BT251" s="34">
        <f>IF((BS251)&lt;0,MAX(F251:G251)*(BS251)*1.03,MIN(F251:G251)*(BS251)*0.97)</f>
        <v/>
      </c>
      <c r="BU251" s="34">
        <f>IF(BR251&gt;0.1,1,0)</f>
        <v/>
      </c>
      <c r="BV251" s="34">
        <f>BF251+BG251+BH251+BY251-CA251</f>
        <v/>
      </c>
      <c r="BW251" s="34">
        <f>ABS(BX251)</f>
        <v/>
      </c>
      <c r="BX251" s="34">
        <f>AY251-(J251-L251+N251-Q251+T251-X251)</f>
        <v/>
      </c>
      <c r="BY251" s="34">
        <f>IF(AND(BX251&gt;0,MIN($F251:$G251)&lt;150,$E251="Enerji Açığı"),-100*BX251*1.03,IF(AND(BX251&gt;0,MIN($F251:$G251)&lt;150,$E251="Enerji Fazlası"),-100*BX251*1.06,IF(AND(BX251&gt;0,MIN($F251:$G251)&gt;=150,$E251="Enerji Açığı"),BX251*MIN($F251:$G251)*0.97,IF(AND(BX251&gt;0,MIN($F251:$G251)&gt;=150,$E251="Enerji Fazlası"),BX251*MIN($F251:$G251)*0.94,IF(AND(BX251&lt;0,MAX($F251:$G251)=4500,$E251="Enerji Açığı"),4500*1.05*1.06*BX251,IF(AND(BX251&lt;0,MAX($F251:$G251)=4500,$E251="Enerji Fazlası"),4500*1.05*1.03*BX251,IF(AND(BX251&lt;0,$E251="Enerji Açığı"),MAX($F251,$G251,150)*BX251*1.06,IF(AND(BX251&lt;0,$E251="Enerji Fazlası"),MAX($F251,$G251,150)*BX251*1.03,IF(AND(BX251&lt;0,$E251="Dengede"),MAX($F251:$G251,150)*1.03*BX251,MIN($F251:$G251)*0.97*BX251)))))))))</f>
        <v/>
      </c>
      <c r="BZ251" s="34">
        <f>BE251-BV251-CA251</f>
        <v/>
      </c>
      <c r="CA251" s="34">
        <f>BD251</f>
        <v/>
      </c>
      <c r="CB251" s="33">
        <f>BE251-BV251</f>
        <v/>
      </c>
      <c r="CC251" s="34">
        <f>IF(AY251=0,0,CB251/AY251)</f>
        <v/>
      </c>
      <c r="CD251" s="34">
        <f>MAX((AY251+MAX((-J251+L251-N251+Q251-T251+X251),0)),(MAX((J251-L251+N251-Q251+T251-X251),0)))</f>
        <v/>
      </c>
      <c r="CE251" s="82">
        <f>IFERROR(ABS(BX251/CD251),0)</f>
        <v/>
      </c>
      <c r="CF251" s="34">
        <f>IF(CE251&lt;=0.1,0,BX251/CE251*(CE251-0.1))</f>
        <v/>
      </c>
      <c r="CG251" s="34">
        <f>IF((CF251)&lt;0,MAX(F251:G251)*(CF251)*1.03,MIN(F251:G251)*(CF251)*0.97)</f>
        <v/>
      </c>
      <c r="CH251" s="34">
        <f>IF(CE251&gt;0.1,1,0)</f>
        <v/>
      </c>
      <c r="CI251" s="34">
        <f>(F251*BX251)-BY251</f>
        <v/>
      </c>
      <c r="CJ251" s="34">
        <f>IF(AY251=0,0,CI251/AY251)</f>
        <v/>
      </c>
    </row>
    <row r="252">
      <c r="A252" s="29">
        <f>[1]FİYATLAR!A227</f>
        <v/>
      </c>
      <c r="B252" s="29">
        <f>[1]FİYATLAR!B227</f>
        <v/>
      </c>
      <c r="C252" s="35">
        <f>INT(A252)</f>
        <v/>
      </c>
      <c r="D252" s="36">
        <f>MONTH(A252)</f>
        <v/>
      </c>
      <c r="E252" s="147">
        <f>[1]FİYATLAR!G227</f>
        <v/>
      </c>
      <c r="F252" s="30">
        <f>[1]FİYATLAR!C227</f>
        <v/>
      </c>
      <c r="G252" s="30">
        <f>[1]FİYATLAR!E227</f>
        <v/>
      </c>
      <c r="H252" s="30">
        <f>[1]FİYATLAR!D227</f>
        <v/>
      </c>
      <c r="I252" s="30">
        <f>[1]FİYATLAR!F227</f>
        <v/>
      </c>
      <c r="J252" s="119" t="n">
        <v>0</v>
      </c>
      <c r="K252" s="34">
        <f>F252*J252</f>
        <v/>
      </c>
      <c r="L252" s="119" t="n"/>
      <c r="M252" s="34">
        <f>L252*F252</f>
        <v/>
      </c>
      <c r="N252" s="119" t="n"/>
      <c r="O252" s="34">
        <f>F252</f>
        <v/>
      </c>
      <c r="P252" s="34">
        <f>N252*O252</f>
        <v/>
      </c>
      <c r="Q252" s="117" t="n">
        <v>0</v>
      </c>
      <c r="R252" s="34">
        <f>F252</f>
        <v/>
      </c>
      <c r="S252" s="34">
        <f>R252*Q252</f>
        <v/>
      </c>
      <c r="T252" s="34">
        <f>SUMIFS('[1]GİP VERİLERİ'!$C:$C,'[1]GİP VERİLERİ'!$B:$B,A252,'[1]GİP VERİLERİ'!$M:$M,"40X000000104782K",'[1]GİP VERİLERİ'!$G:$G,"SELL")</f>
        <v/>
      </c>
      <c r="U252" s="34">
        <f>IFERROR(W252/T252,0)</f>
        <v/>
      </c>
      <c r="V252" s="34">
        <f>IF(U252=0,0,U252-F252)</f>
        <v/>
      </c>
      <c r="W252" s="34">
        <f>SUMIFS('[1]GİP VERİLERİ'!$O:$O,'[1]GİP VERİLERİ'!$B:$B,A252,'[1]GİP VERİLERİ'!$M:$M,"40X000000104782K",'[1]GİP VERİLERİ'!$G:$G,"SELL")</f>
        <v/>
      </c>
      <c r="X252" s="34">
        <f>SUMIFS('[1]GİP VERİLERİ'!$C:$C,'[1]GİP VERİLERİ'!$B:$B,A252,'[1]GİP VERİLERİ'!$M:$M,"40X000000104782K",'[1]GİP VERİLERİ'!$G:$G,"BUY")</f>
        <v/>
      </c>
      <c r="Y252" s="34">
        <f>IFERROR(AA252/X252,0)</f>
        <v/>
      </c>
      <c r="Z252" s="34">
        <f>IF(Y252=0,0,F252-Y252)</f>
        <v/>
      </c>
      <c r="AA252" s="34">
        <f>SUMIFS('[1]GİP VERİLERİ'!$O:$O,'[1]GİP VERİLERİ'!$B:$B,A252,'[1]GİP VERİLERİ'!$M:$M,"40X000000104782K",'[1]GİP VERİLERİ'!$G:$G,"BUY")</f>
        <v/>
      </c>
      <c r="AB252" s="34">
        <f>'[1]GÖP VERİLERİ'!H253</f>
        <v/>
      </c>
      <c r="AC252" s="34">
        <f>'[1]GÖP VERİLERİ'!I253</f>
        <v/>
      </c>
      <c r="AD252" s="34">
        <f>IF(AB252&gt;AC252*1.05,AB252-AC252*1.05,IF(AB252&lt;AC252*0.95,AC252*0.95-AB252,0))</f>
        <v/>
      </c>
      <c r="AE252" s="34">
        <f>MAX(F252,G252,750)*0.05*AD252</f>
        <v/>
      </c>
      <c r="AF252" s="34">
        <f>'[1]GÖP VERİLERİ'!J253</f>
        <v/>
      </c>
      <c r="AG252" s="34">
        <f>IF(AB252&gt;AF252*1.05,AB252-AF252*1.05,IF(AB252&lt;AF252*0.95,AF252*0.95-AB252,0))</f>
        <v/>
      </c>
      <c r="AH252" s="34">
        <f>MAX(I252,J252,750)*0.05*AG252</f>
        <v/>
      </c>
      <c r="AI252">
        <f>'[1]GÖP VERİLERİ'!E253</f>
        <v/>
      </c>
      <c r="AJ252">
        <f>'[1]GÖP VERİLERİ'!F253</f>
        <v/>
      </c>
      <c r="AK252" s="34">
        <f>IF(AI252&gt;AJ252*1.05,AI252-AJ252*1.05,IF(AI252&lt;AJ252*0.95,AJ252*0.95-AI252,0))</f>
        <v/>
      </c>
      <c r="AL252" s="34">
        <f>MAX(F252,G252,750)*0.05*AK252</f>
        <v/>
      </c>
      <c r="AM252" s="39">
        <f>'[1]GÖP VERİLERİ'!G253</f>
        <v/>
      </c>
      <c r="AN252" s="34">
        <f>IF(AI252&gt;AM252*1.05,AI252-AM252*1.05,IF(AI252&lt;AM252*0.95,AM252*0.95-AI252,0))</f>
        <v/>
      </c>
      <c r="AO252" s="34">
        <f>MAX(F252,G252,750)*0.05*AN252</f>
        <v/>
      </c>
      <c r="AP252" s="34">
        <f>'[1]GÖP VERİLERİ'!B253</f>
        <v/>
      </c>
      <c r="AQ252" s="34">
        <f>'[1]GÖP VERİLERİ'!C253</f>
        <v/>
      </c>
      <c r="AR252" s="34">
        <f>IF(AP252&gt;AQ252*1.05,AP252-AQ252*1.05,IF(AP252&lt;AQ252*0.95,AQ252*0.95-AP252,0))</f>
        <v/>
      </c>
      <c r="AS252" s="34">
        <f>MAX(F252:G252,750)*0.05*AR252</f>
        <v/>
      </c>
      <c r="AT252">
        <f>'[1]GÖP VERİLERİ'!D253</f>
        <v/>
      </c>
      <c r="AU252" s="34">
        <f>IF(AP252&gt;AT252*1.05,AP252-AT252*1.05,IF(AP252&lt;AT252*0.95,AT252*0.95-AP252,0))</f>
        <v/>
      </c>
      <c r="AV252" s="34">
        <f>MAX(F252:G252,750)*0.05*AU252</f>
        <v/>
      </c>
      <c r="AW252" s="34">
        <f>AC252+AJ252+AQ252</f>
        <v/>
      </c>
      <c r="AX252" s="34">
        <f>AF252+AM252+AT252</f>
        <v/>
      </c>
      <c r="AY252" s="34">
        <f>AB252+AI252+AP252</f>
        <v/>
      </c>
      <c r="AZ252" s="34" t="n">
        <v>0</v>
      </c>
      <c r="BA252" s="34">
        <f>AD252+AK252+AR252</f>
        <v/>
      </c>
      <c r="BB252" s="34">
        <f>MAX(F252:G252,750)*0.05*BA252</f>
        <v/>
      </c>
      <c r="BC252" s="34">
        <f>AG252+AN252+AU252</f>
        <v/>
      </c>
      <c r="BD252" s="34">
        <f>MAX(F252:G252,750)*0.05*BC252</f>
        <v/>
      </c>
      <c r="BE252" s="34">
        <f>F252*AY252</f>
        <v/>
      </c>
      <c r="BF252" s="34">
        <f>K252-M252</f>
        <v/>
      </c>
      <c r="BG252" s="34">
        <f>P252-S252</f>
        <v/>
      </c>
      <c r="BH252" s="34">
        <f>W252-AA252</f>
        <v/>
      </c>
      <c r="BI252" s="34">
        <f>BF252+BG252+BL252-BN252</f>
        <v/>
      </c>
      <c r="BJ252" s="34">
        <f>ABS(BK252)</f>
        <v/>
      </c>
      <c r="BK252" s="34">
        <f>AY252-(J252-L252+N252-Q252)</f>
        <v/>
      </c>
      <c r="BL252" s="34">
        <f>IF(AND(BK252&gt;0,MIN($F252:$G252)&lt;150,$E252="Enerji Açığı"),-100*BK252*1.03,IF(AND(BK252&gt;0,MIN($F252:$G252)&lt;150,$E252="Enerji Fazlası"),-100*BK252*1.06,IF(AND(BK252&gt;0,MIN($F252:$G252)&gt;=150,$E252="Enerji Açığı"),BK252*MIN($F252:$G252)*0.97,IF(AND(BK252&gt;0,MIN($F252:$G252)&gt;=150,$E252="Enerji Fazlası"),BK252*MIN($F252:$G252)*0.94,IF(AND(BK252&lt;0,MAX($F252:$G252)=4500,$E252="Enerji Açığı"),4500*1.05*1.06*BK252,IF(AND(BK252&lt;0,MAX($F252:$G252)=4500,$E252="Enerji Fazlası"),4500*1.05*1.03*BK252,IF(AND(BK252&lt;0,$E252="Enerji Açığı"),MAX($F252,$G252,150)*BK252*1.06,IF(AND(BK252&lt;0,$E252="Enerji Fazlası"),MAX($F252,$G252,150)*BK252*1.03,IF(AND(BK252&lt;0,$E252="Dengede"),MAX($F252:$G252,150)*1.03*BK252,MIN($F252:$G252)*0.97*BK252)))))))))</f>
        <v/>
      </c>
      <c r="BM252" s="34">
        <f>BE252-BI252-BN252</f>
        <v/>
      </c>
      <c r="BN252" s="34">
        <f>BB252</f>
        <v/>
      </c>
      <c r="BO252" s="34">
        <f>BE252-BI252</f>
        <v/>
      </c>
      <c r="BP252" s="34">
        <f>IF(AY252=0,0,BO252/AY252)</f>
        <v/>
      </c>
      <c r="BQ252" s="34">
        <f>MAX((AY252+MAX((-J252+L252-N252+Q252),0)),(MAX((J252-L252+N252-Q252),0)))</f>
        <v/>
      </c>
      <c r="BR252" s="82">
        <f>IFERROR(ABS(BK252/BQ252),0)</f>
        <v/>
      </c>
      <c r="BS252" s="34">
        <f>IF(BR252&lt;=0.1,0,BK252/BR252*(BR252-0.1))</f>
        <v/>
      </c>
      <c r="BT252" s="34">
        <f>IF((BS252)&lt;0,MAX(F252:G252)*(BS252)*1.03,MIN(F252:G252)*(BS252)*0.97)</f>
        <v/>
      </c>
      <c r="BU252" s="34">
        <f>IF(BR252&gt;0.1,1,0)</f>
        <v/>
      </c>
      <c r="BV252" s="34">
        <f>BF252+BG252+BH252+BY252-CA252</f>
        <v/>
      </c>
      <c r="BW252" s="34">
        <f>ABS(BX252)</f>
        <v/>
      </c>
      <c r="BX252" s="34">
        <f>AY252-(J252-L252+N252-Q252+T252-X252)</f>
        <v/>
      </c>
      <c r="BY252" s="34">
        <f>IF(AND(BX252&gt;0,MIN($F252:$G252)&lt;150,$E252="Enerji Açığı"),-100*BX252*1.03,IF(AND(BX252&gt;0,MIN($F252:$G252)&lt;150,$E252="Enerji Fazlası"),-100*BX252*1.06,IF(AND(BX252&gt;0,MIN($F252:$G252)&gt;=150,$E252="Enerji Açığı"),BX252*MIN($F252:$G252)*0.97,IF(AND(BX252&gt;0,MIN($F252:$G252)&gt;=150,$E252="Enerji Fazlası"),BX252*MIN($F252:$G252)*0.94,IF(AND(BX252&lt;0,MAX($F252:$G252)=4500,$E252="Enerji Açığı"),4500*1.05*1.06*BX252,IF(AND(BX252&lt;0,MAX($F252:$G252)=4500,$E252="Enerji Fazlası"),4500*1.05*1.03*BX252,IF(AND(BX252&lt;0,$E252="Enerji Açığı"),MAX($F252,$G252,150)*BX252*1.06,IF(AND(BX252&lt;0,$E252="Enerji Fazlası"),MAX($F252,$G252,150)*BX252*1.03,IF(AND(BX252&lt;0,$E252="Dengede"),MAX($F252:$G252,150)*1.03*BX252,MIN($F252:$G252)*0.97*BX252)))))))))</f>
        <v/>
      </c>
      <c r="BZ252" s="34">
        <f>BE252-BV252-CA252</f>
        <v/>
      </c>
      <c r="CA252" s="34">
        <f>BD252</f>
        <v/>
      </c>
      <c r="CB252" s="33">
        <f>BE252-BV252</f>
        <v/>
      </c>
      <c r="CC252" s="34">
        <f>IF(AY252=0,0,CB252/AY252)</f>
        <v/>
      </c>
      <c r="CD252" s="34">
        <f>MAX((AY252+MAX((-J252+L252-N252+Q252-T252+X252),0)),(MAX((J252-L252+N252-Q252+T252-X252),0)))</f>
        <v/>
      </c>
      <c r="CE252" s="82">
        <f>IFERROR(ABS(BX252/CD252),0)</f>
        <v/>
      </c>
      <c r="CF252" s="34">
        <f>IF(CE252&lt;=0.1,0,BX252/CE252*(CE252-0.1))</f>
        <v/>
      </c>
      <c r="CG252" s="34">
        <f>IF((CF252)&lt;0,MAX(F252:G252)*(CF252)*1.03,MIN(F252:G252)*(CF252)*0.97)</f>
        <v/>
      </c>
      <c r="CH252" s="34">
        <f>IF(CE252&gt;0.1,1,0)</f>
        <v/>
      </c>
      <c r="CI252" s="34">
        <f>(F252*BX252)-BY252</f>
        <v/>
      </c>
      <c r="CJ252" s="34">
        <f>IF(AY252=0,0,CI252/AY252)</f>
        <v/>
      </c>
    </row>
    <row r="253">
      <c r="A253" s="29">
        <f>[1]FİYATLAR!A228</f>
        <v/>
      </c>
      <c r="B253" s="29">
        <f>[1]FİYATLAR!B228</f>
        <v/>
      </c>
      <c r="C253" s="35">
        <f>INT(A253)</f>
        <v/>
      </c>
      <c r="D253" s="36">
        <f>MONTH(A253)</f>
        <v/>
      </c>
      <c r="E253" s="147">
        <f>[1]FİYATLAR!G228</f>
        <v/>
      </c>
      <c r="F253" s="30">
        <f>[1]FİYATLAR!C228</f>
        <v/>
      </c>
      <c r="G253" s="30">
        <f>[1]FİYATLAR!E228</f>
        <v/>
      </c>
      <c r="H253" s="30">
        <f>[1]FİYATLAR!D228</f>
        <v/>
      </c>
      <c r="I253" s="30">
        <f>[1]FİYATLAR!F228</f>
        <v/>
      </c>
      <c r="J253" s="119" t="n">
        <v>0</v>
      </c>
      <c r="K253" s="34">
        <f>F253*J253</f>
        <v/>
      </c>
      <c r="L253" s="119" t="n"/>
      <c r="M253" s="34">
        <f>L253*F253</f>
        <v/>
      </c>
      <c r="N253" s="119" t="n"/>
      <c r="O253" s="34">
        <f>F253</f>
        <v/>
      </c>
      <c r="P253" s="34">
        <f>N253*O253</f>
        <v/>
      </c>
      <c r="Q253" s="117" t="n">
        <v>0</v>
      </c>
      <c r="R253" s="34">
        <f>F253</f>
        <v/>
      </c>
      <c r="S253" s="34">
        <f>R253*Q253</f>
        <v/>
      </c>
      <c r="T253" s="34">
        <f>SUMIFS('[1]GİP VERİLERİ'!$C:$C,'[1]GİP VERİLERİ'!$B:$B,A253,'[1]GİP VERİLERİ'!$M:$M,"40X000000104782K",'[1]GİP VERİLERİ'!$G:$G,"SELL")</f>
        <v/>
      </c>
      <c r="U253" s="34">
        <f>IFERROR(W253/T253,0)</f>
        <v/>
      </c>
      <c r="V253" s="34">
        <f>IF(U253=0,0,U253-F253)</f>
        <v/>
      </c>
      <c r="W253" s="34">
        <f>SUMIFS('[1]GİP VERİLERİ'!$O:$O,'[1]GİP VERİLERİ'!$B:$B,A253,'[1]GİP VERİLERİ'!$M:$M,"40X000000104782K",'[1]GİP VERİLERİ'!$G:$G,"SELL")</f>
        <v/>
      </c>
      <c r="X253" s="34">
        <f>SUMIFS('[1]GİP VERİLERİ'!$C:$C,'[1]GİP VERİLERİ'!$B:$B,A253,'[1]GİP VERİLERİ'!$M:$M,"40X000000104782K",'[1]GİP VERİLERİ'!$G:$G,"BUY")</f>
        <v/>
      </c>
      <c r="Y253" s="34">
        <f>IFERROR(AA253/X253,0)</f>
        <v/>
      </c>
      <c r="Z253" s="34">
        <f>IF(Y253=0,0,F253-Y253)</f>
        <v/>
      </c>
      <c r="AA253" s="34">
        <f>SUMIFS('[1]GİP VERİLERİ'!$O:$O,'[1]GİP VERİLERİ'!$B:$B,A253,'[1]GİP VERİLERİ'!$M:$M,"40X000000104782K",'[1]GİP VERİLERİ'!$G:$G,"BUY")</f>
        <v/>
      </c>
      <c r="AB253" s="34">
        <f>'[1]GÖP VERİLERİ'!H254</f>
        <v/>
      </c>
      <c r="AC253" s="34">
        <f>'[1]GÖP VERİLERİ'!I254</f>
        <v/>
      </c>
      <c r="AD253" s="34">
        <f>IF(AB253&gt;AC253*1.05,AB253-AC253*1.05,IF(AB253&lt;AC253*0.95,AC253*0.95-AB253,0))</f>
        <v/>
      </c>
      <c r="AE253" s="34">
        <f>MAX(F253,G253,750)*0.05*AD253</f>
        <v/>
      </c>
      <c r="AF253" s="34">
        <f>'[1]GÖP VERİLERİ'!J254</f>
        <v/>
      </c>
      <c r="AG253" s="34">
        <f>IF(AB253&gt;AF253*1.05,AB253-AF253*1.05,IF(AB253&lt;AF253*0.95,AF253*0.95-AB253,0))</f>
        <v/>
      </c>
      <c r="AH253" s="34">
        <f>MAX(I253,J253,750)*0.05*AG253</f>
        <v/>
      </c>
      <c r="AI253">
        <f>'[1]GÖP VERİLERİ'!E254</f>
        <v/>
      </c>
      <c r="AJ253">
        <f>'[1]GÖP VERİLERİ'!F254</f>
        <v/>
      </c>
      <c r="AK253" s="34">
        <f>IF(AI253&gt;AJ253*1.05,AI253-AJ253*1.05,IF(AI253&lt;AJ253*0.95,AJ253*0.95-AI253,0))</f>
        <v/>
      </c>
      <c r="AL253" s="34">
        <f>MAX(F253,G253,750)*0.05*AK253</f>
        <v/>
      </c>
      <c r="AM253" s="39">
        <f>'[1]GÖP VERİLERİ'!G254</f>
        <v/>
      </c>
      <c r="AN253" s="34">
        <f>IF(AI253&gt;AM253*1.05,AI253-AM253*1.05,IF(AI253&lt;AM253*0.95,AM253*0.95-AI253,0))</f>
        <v/>
      </c>
      <c r="AO253" s="34">
        <f>MAX(F253,G253,750)*0.05*AN253</f>
        <v/>
      </c>
      <c r="AP253" s="34">
        <f>'[1]GÖP VERİLERİ'!B254</f>
        <v/>
      </c>
      <c r="AQ253" s="34">
        <f>'[1]GÖP VERİLERİ'!C254</f>
        <v/>
      </c>
      <c r="AR253" s="34">
        <f>IF(AP253&gt;AQ253*1.05,AP253-AQ253*1.05,IF(AP253&lt;AQ253*0.95,AQ253*0.95-AP253,0))</f>
        <v/>
      </c>
      <c r="AS253" s="34">
        <f>MAX(F253:G253,750)*0.05*AR253</f>
        <v/>
      </c>
      <c r="AT253">
        <f>'[1]GÖP VERİLERİ'!D254</f>
        <v/>
      </c>
      <c r="AU253" s="34">
        <f>IF(AP253&gt;AT253*1.05,AP253-AT253*1.05,IF(AP253&lt;AT253*0.95,AT253*0.95-AP253,0))</f>
        <v/>
      </c>
      <c r="AV253" s="34">
        <f>MAX(F253:G253,750)*0.05*AU253</f>
        <v/>
      </c>
      <c r="AW253" s="34">
        <f>AC253+AJ253+AQ253</f>
        <v/>
      </c>
      <c r="AX253" s="34">
        <f>AF253+AM253+AT253</f>
        <v/>
      </c>
      <c r="AY253" s="34">
        <f>AB253+AI253+AP253</f>
        <v/>
      </c>
      <c r="AZ253" s="34" t="n">
        <v>0</v>
      </c>
      <c r="BA253" s="34">
        <f>AD253+AK253+AR253</f>
        <v/>
      </c>
      <c r="BB253" s="34">
        <f>MAX(F253:G253,750)*0.05*BA253</f>
        <v/>
      </c>
      <c r="BC253" s="34">
        <f>AG253+AN253+AU253</f>
        <v/>
      </c>
      <c r="BD253" s="34">
        <f>MAX(F253:G253,750)*0.05*BC253</f>
        <v/>
      </c>
      <c r="BE253" s="34">
        <f>F253*AY253</f>
        <v/>
      </c>
      <c r="BF253" s="34">
        <f>K253-M253</f>
        <v/>
      </c>
      <c r="BG253" s="34">
        <f>P253-S253</f>
        <v/>
      </c>
      <c r="BH253" s="34">
        <f>W253-AA253</f>
        <v/>
      </c>
      <c r="BI253" s="34">
        <f>BF253+BG253+BL253-BN253</f>
        <v/>
      </c>
      <c r="BJ253" s="34">
        <f>ABS(BK253)</f>
        <v/>
      </c>
      <c r="BK253" s="34">
        <f>AY253-(J253-L253+N253-Q253)</f>
        <v/>
      </c>
      <c r="BL253" s="34">
        <f>IF(AND(BK253&gt;0,MIN($F253:$G253)&lt;150,$E253="Enerji Açığı"),-100*BK253*1.03,IF(AND(BK253&gt;0,MIN($F253:$G253)&lt;150,$E253="Enerji Fazlası"),-100*BK253*1.06,IF(AND(BK253&gt;0,MIN($F253:$G253)&gt;=150,$E253="Enerji Açığı"),BK253*MIN($F253:$G253)*0.97,IF(AND(BK253&gt;0,MIN($F253:$G253)&gt;=150,$E253="Enerji Fazlası"),BK253*MIN($F253:$G253)*0.94,IF(AND(BK253&lt;0,MAX($F253:$G253)=4500,$E253="Enerji Açığı"),4500*1.05*1.06*BK253,IF(AND(BK253&lt;0,MAX($F253:$G253)=4500,$E253="Enerji Fazlası"),4500*1.05*1.03*BK253,IF(AND(BK253&lt;0,$E253="Enerji Açığı"),MAX($F253,$G253,150)*BK253*1.06,IF(AND(BK253&lt;0,$E253="Enerji Fazlası"),MAX($F253,$G253,150)*BK253*1.03,IF(AND(BK253&lt;0,$E253="Dengede"),MAX($F253:$G253,150)*1.03*BK253,MIN($F253:$G253)*0.97*BK253)))))))))</f>
        <v/>
      </c>
      <c r="BM253" s="34">
        <f>BE253-BI253-BN253</f>
        <v/>
      </c>
      <c r="BN253" s="34">
        <f>BB253</f>
        <v/>
      </c>
      <c r="BO253" s="34">
        <f>BE253-BI253</f>
        <v/>
      </c>
      <c r="BP253" s="34">
        <f>IF(AY253=0,0,BO253/AY253)</f>
        <v/>
      </c>
      <c r="BQ253" s="34">
        <f>MAX((AY253+MAX((-J253+L253-N253+Q253),0)),(MAX((J253-L253+N253-Q253),0)))</f>
        <v/>
      </c>
      <c r="BR253" s="82">
        <f>IFERROR(ABS(BK253/BQ253),0)</f>
        <v/>
      </c>
      <c r="BS253" s="34">
        <f>IF(BR253&lt;=0.1,0,BK253/BR253*(BR253-0.1))</f>
        <v/>
      </c>
      <c r="BT253" s="34">
        <f>IF((BS253)&lt;0,MAX(F253:G253)*(BS253)*1.03,MIN(F253:G253)*(BS253)*0.97)</f>
        <v/>
      </c>
      <c r="BU253" s="34">
        <f>IF(BR253&gt;0.1,1,0)</f>
        <v/>
      </c>
      <c r="BV253" s="34">
        <f>BF253+BG253+BH253+BY253-CA253</f>
        <v/>
      </c>
      <c r="BW253" s="34">
        <f>ABS(BX253)</f>
        <v/>
      </c>
      <c r="BX253" s="34">
        <f>AY253-(J253-L253+N253-Q253+T253-X253)</f>
        <v/>
      </c>
      <c r="BY253" s="34">
        <f>IF(AND(BX253&gt;0,MIN($F253:$G253)&lt;150,$E253="Enerji Açığı"),-100*BX253*1.03,IF(AND(BX253&gt;0,MIN($F253:$G253)&lt;150,$E253="Enerji Fazlası"),-100*BX253*1.06,IF(AND(BX253&gt;0,MIN($F253:$G253)&gt;=150,$E253="Enerji Açığı"),BX253*MIN($F253:$G253)*0.97,IF(AND(BX253&gt;0,MIN($F253:$G253)&gt;=150,$E253="Enerji Fazlası"),BX253*MIN($F253:$G253)*0.94,IF(AND(BX253&lt;0,MAX($F253:$G253)=4500,$E253="Enerji Açığı"),4500*1.05*1.06*BX253,IF(AND(BX253&lt;0,MAX($F253:$G253)=4500,$E253="Enerji Fazlası"),4500*1.05*1.03*BX253,IF(AND(BX253&lt;0,$E253="Enerji Açığı"),MAX($F253,$G253,150)*BX253*1.06,IF(AND(BX253&lt;0,$E253="Enerji Fazlası"),MAX($F253,$G253,150)*BX253*1.03,IF(AND(BX253&lt;0,$E253="Dengede"),MAX($F253:$G253,150)*1.03*BX253,MIN($F253:$G253)*0.97*BX253)))))))))</f>
        <v/>
      </c>
      <c r="BZ253" s="34">
        <f>BE253-BV253-CA253</f>
        <v/>
      </c>
      <c r="CA253" s="34">
        <f>BD253</f>
        <v/>
      </c>
      <c r="CB253" s="33">
        <f>BE253-BV253</f>
        <v/>
      </c>
      <c r="CC253" s="34">
        <f>IF(AY253=0,0,CB253/AY253)</f>
        <v/>
      </c>
      <c r="CD253" s="34">
        <f>MAX((AY253+MAX((-J253+L253-N253+Q253-T253+X253),0)),(MAX((J253-L253+N253-Q253+T253-X253),0)))</f>
        <v/>
      </c>
      <c r="CE253" s="82">
        <f>IFERROR(ABS(BX253/CD253),0)</f>
        <v/>
      </c>
      <c r="CF253" s="34">
        <f>IF(CE253&lt;=0.1,0,BX253/CE253*(CE253-0.1))</f>
        <v/>
      </c>
      <c r="CG253" s="34">
        <f>IF((CF253)&lt;0,MAX(F253:G253)*(CF253)*1.03,MIN(F253:G253)*(CF253)*0.97)</f>
        <v/>
      </c>
      <c r="CH253" s="34">
        <f>IF(CE253&gt;0.1,1,0)</f>
        <v/>
      </c>
      <c r="CI253" s="34">
        <f>(F253*BX253)-BY253</f>
        <v/>
      </c>
      <c r="CJ253" s="34">
        <f>IF(AY253=0,0,CI253/AY253)</f>
        <v/>
      </c>
    </row>
    <row r="254">
      <c r="A254" s="29">
        <f>[1]FİYATLAR!A229</f>
        <v/>
      </c>
      <c r="B254" s="29">
        <f>[1]FİYATLAR!B229</f>
        <v/>
      </c>
      <c r="C254" s="35">
        <f>INT(A254)</f>
        <v/>
      </c>
      <c r="D254" s="36">
        <f>MONTH(A254)</f>
        <v/>
      </c>
      <c r="E254" s="147">
        <f>[1]FİYATLAR!G229</f>
        <v/>
      </c>
      <c r="F254" s="30">
        <f>[1]FİYATLAR!C229</f>
        <v/>
      </c>
      <c r="G254" s="30">
        <f>[1]FİYATLAR!E229</f>
        <v/>
      </c>
      <c r="H254" s="30">
        <f>[1]FİYATLAR!D229</f>
        <v/>
      </c>
      <c r="I254" s="30">
        <f>[1]FİYATLAR!F229</f>
        <v/>
      </c>
      <c r="J254" s="119" t="n">
        <v>0</v>
      </c>
      <c r="K254" s="34">
        <f>F254*J254</f>
        <v/>
      </c>
      <c r="L254" s="119" t="n"/>
      <c r="M254" s="34">
        <f>L254*F254</f>
        <v/>
      </c>
      <c r="N254" s="119" t="n"/>
      <c r="O254" s="34">
        <f>F254</f>
        <v/>
      </c>
      <c r="P254" s="34">
        <f>N254*O254</f>
        <v/>
      </c>
      <c r="Q254" s="117" t="n">
        <v>0</v>
      </c>
      <c r="R254" s="34">
        <f>F254</f>
        <v/>
      </c>
      <c r="S254" s="34">
        <f>R254*Q254</f>
        <v/>
      </c>
      <c r="T254" s="34">
        <f>SUMIFS('[1]GİP VERİLERİ'!$C:$C,'[1]GİP VERİLERİ'!$B:$B,A254,'[1]GİP VERİLERİ'!$M:$M,"40X000000104782K",'[1]GİP VERİLERİ'!$G:$G,"SELL")</f>
        <v/>
      </c>
      <c r="U254" s="34">
        <f>IFERROR(W254/T254,0)</f>
        <v/>
      </c>
      <c r="V254" s="34">
        <f>IF(U254=0,0,U254-F254)</f>
        <v/>
      </c>
      <c r="W254" s="34">
        <f>SUMIFS('[1]GİP VERİLERİ'!$O:$O,'[1]GİP VERİLERİ'!$B:$B,A254,'[1]GİP VERİLERİ'!$M:$M,"40X000000104782K",'[1]GİP VERİLERİ'!$G:$G,"SELL")</f>
        <v/>
      </c>
      <c r="X254" s="34">
        <f>SUMIFS('[1]GİP VERİLERİ'!$C:$C,'[1]GİP VERİLERİ'!$B:$B,A254,'[1]GİP VERİLERİ'!$M:$M,"40X000000104782K",'[1]GİP VERİLERİ'!$G:$G,"BUY")</f>
        <v/>
      </c>
      <c r="Y254" s="34">
        <f>IFERROR(AA254/X254,0)</f>
        <v/>
      </c>
      <c r="Z254" s="34">
        <f>IF(Y254=0,0,F254-Y254)</f>
        <v/>
      </c>
      <c r="AA254" s="34">
        <f>SUMIFS('[1]GİP VERİLERİ'!$O:$O,'[1]GİP VERİLERİ'!$B:$B,A254,'[1]GİP VERİLERİ'!$M:$M,"40X000000104782K",'[1]GİP VERİLERİ'!$G:$G,"BUY")</f>
        <v/>
      </c>
      <c r="AB254" s="34">
        <f>'[1]GÖP VERİLERİ'!H255</f>
        <v/>
      </c>
      <c r="AC254" s="34">
        <f>'[1]GÖP VERİLERİ'!I255</f>
        <v/>
      </c>
      <c r="AD254" s="34">
        <f>IF(AB254&gt;AC254*1.05,AB254-AC254*1.05,IF(AB254&lt;AC254*0.95,AC254*0.95-AB254,0))</f>
        <v/>
      </c>
      <c r="AE254" s="34">
        <f>MAX(F254,G254,750)*0.05*AD254</f>
        <v/>
      </c>
      <c r="AF254" s="34">
        <f>'[1]GÖP VERİLERİ'!J255</f>
        <v/>
      </c>
      <c r="AG254" s="34">
        <f>IF(AB254&gt;AF254*1.05,AB254-AF254*1.05,IF(AB254&lt;AF254*0.95,AF254*0.95-AB254,0))</f>
        <v/>
      </c>
      <c r="AH254" s="34">
        <f>MAX(I254,J254,750)*0.05*AG254</f>
        <v/>
      </c>
      <c r="AI254">
        <f>'[1]GÖP VERİLERİ'!E255</f>
        <v/>
      </c>
      <c r="AJ254">
        <f>'[1]GÖP VERİLERİ'!F255</f>
        <v/>
      </c>
      <c r="AK254" s="34">
        <f>IF(AI254&gt;AJ254*1.05,AI254-AJ254*1.05,IF(AI254&lt;AJ254*0.95,AJ254*0.95-AI254,0))</f>
        <v/>
      </c>
      <c r="AL254" s="34">
        <f>MAX(F254,G254,750)*0.05*AK254</f>
        <v/>
      </c>
      <c r="AM254" s="39">
        <f>'[1]GÖP VERİLERİ'!G255</f>
        <v/>
      </c>
      <c r="AN254" s="34">
        <f>IF(AI254&gt;AM254*1.05,AI254-AM254*1.05,IF(AI254&lt;AM254*0.95,AM254*0.95-AI254,0))</f>
        <v/>
      </c>
      <c r="AO254" s="34">
        <f>MAX(F254,G254,750)*0.05*AN254</f>
        <v/>
      </c>
      <c r="AP254" s="34">
        <f>'[1]GÖP VERİLERİ'!B255</f>
        <v/>
      </c>
      <c r="AQ254" s="34">
        <f>'[1]GÖP VERİLERİ'!C255</f>
        <v/>
      </c>
      <c r="AR254" s="34">
        <f>IF(AP254&gt;AQ254*1.05,AP254-AQ254*1.05,IF(AP254&lt;AQ254*0.95,AQ254*0.95-AP254,0))</f>
        <v/>
      </c>
      <c r="AS254" s="34">
        <f>MAX(F254:G254,750)*0.05*AR254</f>
        <v/>
      </c>
      <c r="AT254">
        <f>'[1]GÖP VERİLERİ'!D255</f>
        <v/>
      </c>
      <c r="AU254" s="34">
        <f>IF(AP254&gt;AT254*1.05,AP254-AT254*1.05,IF(AP254&lt;AT254*0.95,AT254*0.95-AP254,0))</f>
        <v/>
      </c>
      <c r="AV254" s="34">
        <f>MAX(F254:G254,750)*0.05*AU254</f>
        <v/>
      </c>
      <c r="AW254" s="34">
        <f>AC254+AJ254+AQ254</f>
        <v/>
      </c>
      <c r="AX254" s="34">
        <f>AF254+AM254+AT254</f>
        <v/>
      </c>
      <c r="AY254" s="34">
        <f>AB254+AI254+AP254</f>
        <v/>
      </c>
      <c r="AZ254" s="34" t="n">
        <v>0</v>
      </c>
      <c r="BA254" s="34">
        <f>AD254+AK254+AR254</f>
        <v/>
      </c>
      <c r="BB254" s="34">
        <f>MAX(F254:G254,750)*0.05*BA254</f>
        <v/>
      </c>
      <c r="BC254" s="34">
        <f>AG254+AN254+AU254</f>
        <v/>
      </c>
      <c r="BD254" s="34">
        <f>MAX(F254:G254,750)*0.05*BC254</f>
        <v/>
      </c>
      <c r="BE254" s="34">
        <f>F254*AY254</f>
        <v/>
      </c>
      <c r="BF254" s="34">
        <f>K254-M254</f>
        <v/>
      </c>
      <c r="BG254" s="34">
        <f>P254-S254</f>
        <v/>
      </c>
      <c r="BH254" s="34">
        <f>W254-AA254</f>
        <v/>
      </c>
      <c r="BI254" s="34">
        <f>BF254+BG254+BL254-BN254</f>
        <v/>
      </c>
      <c r="BJ254" s="34">
        <f>ABS(BK254)</f>
        <v/>
      </c>
      <c r="BK254" s="34">
        <f>AY254-(J254-L254+N254-Q254)</f>
        <v/>
      </c>
      <c r="BL254" s="34">
        <f>IF(AND(BK254&gt;0,MIN($F254:$G254)&lt;150,$E254="Enerji Açığı"),-100*BK254*1.03,IF(AND(BK254&gt;0,MIN($F254:$G254)&lt;150,$E254="Enerji Fazlası"),-100*BK254*1.06,IF(AND(BK254&gt;0,MIN($F254:$G254)&gt;=150,$E254="Enerji Açığı"),BK254*MIN($F254:$G254)*0.97,IF(AND(BK254&gt;0,MIN($F254:$G254)&gt;=150,$E254="Enerji Fazlası"),BK254*MIN($F254:$G254)*0.94,IF(AND(BK254&lt;0,MAX($F254:$G254)=4500,$E254="Enerji Açığı"),4500*1.05*1.06*BK254,IF(AND(BK254&lt;0,MAX($F254:$G254)=4500,$E254="Enerji Fazlası"),4500*1.05*1.03*BK254,IF(AND(BK254&lt;0,$E254="Enerji Açığı"),MAX($F254,$G254,150)*BK254*1.06,IF(AND(BK254&lt;0,$E254="Enerji Fazlası"),MAX($F254,$G254,150)*BK254*1.03,IF(AND(BK254&lt;0,$E254="Dengede"),MAX($F254:$G254,150)*1.03*BK254,MIN($F254:$G254)*0.97*BK254)))))))))</f>
        <v/>
      </c>
      <c r="BM254" s="34">
        <f>BE254-BI254-BN254</f>
        <v/>
      </c>
      <c r="BN254" s="34">
        <f>BB254</f>
        <v/>
      </c>
      <c r="BO254" s="34">
        <f>BE254-BI254</f>
        <v/>
      </c>
      <c r="BP254" s="34">
        <f>IF(AY254=0,0,BO254/AY254)</f>
        <v/>
      </c>
      <c r="BQ254" s="34">
        <f>MAX((AY254+MAX((-J254+L254-N254+Q254),0)),(MAX((J254-L254+N254-Q254),0)))</f>
        <v/>
      </c>
      <c r="BR254" s="82">
        <f>IFERROR(ABS(BK254/BQ254),0)</f>
        <v/>
      </c>
      <c r="BS254" s="34">
        <f>IF(BR254&lt;=0.1,0,BK254/BR254*(BR254-0.1))</f>
        <v/>
      </c>
      <c r="BT254" s="34">
        <f>IF((BS254)&lt;0,MAX(F254:G254)*(BS254)*1.03,MIN(F254:G254)*(BS254)*0.97)</f>
        <v/>
      </c>
      <c r="BU254" s="34">
        <f>IF(BR254&gt;0.1,1,0)</f>
        <v/>
      </c>
      <c r="BV254" s="34">
        <f>BF254+BG254+BH254+BY254-CA254</f>
        <v/>
      </c>
      <c r="BW254" s="34">
        <f>ABS(BX254)</f>
        <v/>
      </c>
      <c r="BX254" s="34">
        <f>AY254-(J254-L254+N254-Q254+T254-X254)</f>
        <v/>
      </c>
      <c r="BY254" s="34">
        <f>IF(AND(BX254&gt;0,MIN($F254:$G254)&lt;150,$E254="Enerji Açığı"),-100*BX254*1.03,IF(AND(BX254&gt;0,MIN($F254:$G254)&lt;150,$E254="Enerji Fazlası"),-100*BX254*1.06,IF(AND(BX254&gt;0,MIN($F254:$G254)&gt;=150,$E254="Enerji Açığı"),BX254*MIN($F254:$G254)*0.97,IF(AND(BX254&gt;0,MIN($F254:$G254)&gt;=150,$E254="Enerji Fazlası"),BX254*MIN($F254:$G254)*0.94,IF(AND(BX254&lt;0,MAX($F254:$G254)=4500,$E254="Enerji Açığı"),4500*1.05*1.06*BX254,IF(AND(BX254&lt;0,MAX($F254:$G254)=4500,$E254="Enerji Fazlası"),4500*1.05*1.03*BX254,IF(AND(BX254&lt;0,$E254="Enerji Açığı"),MAX($F254,$G254,150)*BX254*1.06,IF(AND(BX254&lt;0,$E254="Enerji Fazlası"),MAX($F254,$G254,150)*BX254*1.03,IF(AND(BX254&lt;0,$E254="Dengede"),MAX($F254:$G254,150)*1.03*BX254,MIN($F254:$G254)*0.97*BX254)))))))))</f>
        <v/>
      </c>
      <c r="BZ254" s="34">
        <f>BE254-BV254-CA254</f>
        <v/>
      </c>
      <c r="CA254" s="34">
        <f>BD254</f>
        <v/>
      </c>
      <c r="CB254" s="33">
        <f>BE254-BV254</f>
        <v/>
      </c>
      <c r="CC254" s="34">
        <f>IF(AY254=0,0,CB254/AY254)</f>
        <v/>
      </c>
      <c r="CD254" s="34">
        <f>MAX((AY254+MAX((-J254+L254-N254+Q254-T254+X254),0)),(MAX((J254-L254+N254-Q254+T254-X254),0)))</f>
        <v/>
      </c>
      <c r="CE254" s="82">
        <f>IFERROR(ABS(BX254/CD254),0)</f>
        <v/>
      </c>
      <c r="CF254" s="34">
        <f>IF(CE254&lt;=0.1,0,BX254/CE254*(CE254-0.1))</f>
        <v/>
      </c>
      <c r="CG254" s="34">
        <f>IF((CF254)&lt;0,MAX(F254:G254)*(CF254)*1.03,MIN(F254:G254)*(CF254)*0.97)</f>
        <v/>
      </c>
      <c r="CH254" s="34">
        <f>IF(CE254&gt;0.1,1,0)</f>
        <v/>
      </c>
      <c r="CI254" s="34">
        <f>(F254*BX254)-BY254</f>
        <v/>
      </c>
      <c r="CJ254" s="34">
        <f>IF(AY254=0,0,CI254/AY254)</f>
        <v/>
      </c>
    </row>
    <row r="255">
      <c r="A255" s="29">
        <f>[1]FİYATLAR!A230</f>
        <v/>
      </c>
      <c r="B255" s="29">
        <f>[1]FİYATLAR!B230</f>
        <v/>
      </c>
      <c r="C255" s="35">
        <f>INT(A255)</f>
        <v/>
      </c>
      <c r="D255" s="36">
        <f>MONTH(A255)</f>
        <v/>
      </c>
      <c r="E255" s="147">
        <f>[1]FİYATLAR!G230</f>
        <v/>
      </c>
      <c r="F255" s="30">
        <f>[1]FİYATLAR!C230</f>
        <v/>
      </c>
      <c r="G255" s="30">
        <f>[1]FİYATLAR!E230</f>
        <v/>
      </c>
      <c r="H255" s="30">
        <f>[1]FİYATLAR!D230</f>
        <v/>
      </c>
      <c r="I255" s="30">
        <f>[1]FİYATLAR!F230</f>
        <v/>
      </c>
      <c r="J255" s="119" t="n">
        <v>0</v>
      </c>
      <c r="K255" s="34">
        <f>F255*J255</f>
        <v/>
      </c>
      <c r="L255" s="119" t="n"/>
      <c r="M255" s="34">
        <f>L255*F255</f>
        <v/>
      </c>
      <c r="N255" s="119" t="n"/>
      <c r="O255" s="34">
        <f>F255</f>
        <v/>
      </c>
      <c r="P255" s="34">
        <f>N255*O255</f>
        <v/>
      </c>
      <c r="Q255" s="117" t="n">
        <v>0</v>
      </c>
      <c r="R255" s="34">
        <f>F255</f>
        <v/>
      </c>
      <c r="S255" s="34">
        <f>R255*Q255</f>
        <v/>
      </c>
      <c r="T255" s="34">
        <f>SUMIFS('[1]GİP VERİLERİ'!$C:$C,'[1]GİP VERİLERİ'!$B:$B,A255,'[1]GİP VERİLERİ'!$M:$M,"40X000000104782K",'[1]GİP VERİLERİ'!$G:$G,"SELL")</f>
        <v/>
      </c>
      <c r="U255" s="34">
        <f>IFERROR(W255/T255,0)</f>
        <v/>
      </c>
      <c r="V255" s="34">
        <f>IF(U255=0,0,U255-F255)</f>
        <v/>
      </c>
      <c r="W255" s="34">
        <f>SUMIFS('[1]GİP VERİLERİ'!$O:$O,'[1]GİP VERİLERİ'!$B:$B,A255,'[1]GİP VERİLERİ'!$M:$M,"40X000000104782K",'[1]GİP VERİLERİ'!$G:$G,"SELL")</f>
        <v/>
      </c>
      <c r="X255" s="34">
        <f>SUMIFS('[1]GİP VERİLERİ'!$C:$C,'[1]GİP VERİLERİ'!$B:$B,A255,'[1]GİP VERİLERİ'!$M:$M,"40X000000104782K",'[1]GİP VERİLERİ'!$G:$G,"BUY")</f>
        <v/>
      </c>
      <c r="Y255" s="34">
        <f>IFERROR(AA255/X255,0)</f>
        <v/>
      </c>
      <c r="Z255" s="34">
        <f>IF(Y255=0,0,F255-Y255)</f>
        <v/>
      </c>
      <c r="AA255" s="34">
        <f>SUMIFS('[1]GİP VERİLERİ'!$O:$O,'[1]GİP VERİLERİ'!$B:$B,A255,'[1]GİP VERİLERİ'!$M:$M,"40X000000104782K",'[1]GİP VERİLERİ'!$G:$G,"BUY")</f>
        <v/>
      </c>
      <c r="AB255" s="34">
        <f>'[1]GÖP VERİLERİ'!H256</f>
        <v/>
      </c>
      <c r="AC255" s="34">
        <f>'[1]GÖP VERİLERİ'!I256</f>
        <v/>
      </c>
      <c r="AD255" s="34">
        <f>IF(AB255&gt;AC255*1.05,AB255-AC255*1.05,IF(AB255&lt;AC255*0.95,AC255*0.95-AB255,0))</f>
        <v/>
      </c>
      <c r="AE255" s="34">
        <f>MAX(F255,G255,750)*0.05*AD255</f>
        <v/>
      </c>
      <c r="AF255" s="34">
        <f>'[1]GÖP VERİLERİ'!J256</f>
        <v/>
      </c>
      <c r="AG255" s="34">
        <f>IF(AB255&gt;AF255*1.05,AB255-AF255*1.05,IF(AB255&lt;AF255*0.95,AF255*0.95-AB255,0))</f>
        <v/>
      </c>
      <c r="AH255" s="34">
        <f>MAX(I255,J255,750)*0.05*AG255</f>
        <v/>
      </c>
      <c r="AI255">
        <f>'[1]GÖP VERİLERİ'!E256</f>
        <v/>
      </c>
      <c r="AJ255">
        <f>'[1]GÖP VERİLERİ'!F256</f>
        <v/>
      </c>
      <c r="AK255" s="34">
        <f>IF(AI255&gt;AJ255*1.05,AI255-AJ255*1.05,IF(AI255&lt;AJ255*0.95,AJ255*0.95-AI255,0))</f>
        <v/>
      </c>
      <c r="AL255" s="34">
        <f>MAX(F255,G255,750)*0.05*AK255</f>
        <v/>
      </c>
      <c r="AM255" s="39">
        <f>'[1]GÖP VERİLERİ'!G256</f>
        <v/>
      </c>
      <c r="AN255" s="34">
        <f>IF(AI255&gt;AM255*1.05,AI255-AM255*1.05,IF(AI255&lt;AM255*0.95,AM255*0.95-AI255,0))</f>
        <v/>
      </c>
      <c r="AO255" s="34">
        <f>MAX(F255,G255,750)*0.05*AN255</f>
        <v/>
      </c>
      <c r="AP255" s="34">
        <f>'[1]GÖP VERİLERİ'!B256</f>
        <v/>
      </c>
      <c r="AQ255" s="34">
        <f>'[1]GÖP VERİLERİ'!C256</f>
        <v/>
      </c>
      <c r="AR255" s="34">
        <f>IF(AP255&gt;AQ255*1.05,AP255-AQ255*1.05,IF(AP255&lt;AQ255*0.95,AQ255*0.95-AP255,0))</f>
        <v/>
      </c>
      <c r="AS255" s="34">
        <f>MAX(F255:G255,750)*0.05*AR255</f>
        <v/>
      </c>
      <c r="AT255">
        <f>'[1]GÖP VERİLERİ'!D256</f>
        <v/>
      </c>
      <c r="AU255" s="34">
        <f>IF(AP255&gt;AT255*1.05,AP255-AT255*1.05,IF(AP255&lt;AT255*0.95,AT255*0.95-AP255,0))</f>
        <v/>
      </c>
      <c r="AV255" s="34">
        <f>MAX(F255:G255,750)*0.05*AU255</f>
        <v/>
      </c>
      <c r="AW255" s="34">
        <f>AC255+AJ255+AQ255</f>
        <v/>
      </c>
      <c r="AX255" s="34">
        <f>AF255+AM255+AT255</f>
        <v/>
      </c>
      <c r="AY255" s="34">
        <f>AB255+AI255+AP255</f>
        <v/>
      </c>
      <c r="AZ255" s="34" t="n">
        <v>0</v>
      </c>
      <c r="BA255" s="34">
        <f>AD255+AK255+AR255</f>
        <v/>
      </c>
      <c r="BB255" s="34">
        <f>MAX(F255:G255,750)*0.05*BA255</f>
        <v/>
      </c>
      <c r="BC255" s="34">
        <f>AG255+AN255+AU255</f>
        <v/>
      </c>
      <c r="BD255" s="34">
        <f>MAX(F255:G255,750)*0.05*BC255</f>
        <v/>
      </c>
      <c r="BE255" s="34">
        <f>F255*AY255</f>
        <v/>
      </c>
      <c r="BF255" s="34">
        <f>K255-M255</f>
        <v/>
      </c>
      <c r="BG255" s="34">
        <f>P255-S255</f>
        <v/>
      </c>
      <c r="BH255" s="34">
        <f>W255-AA255</f>
        <v/>
      </c>
      <c r="BI255" s="34">
        <f>BF255+BG255+BL255-BN255</f>
        <v/>
      </c>
      <c r="BJ255" s="34">
        <f>ABS(BK255)</f>
        <v/>
      </c>
      <c r="BK255" s="34">
        <f>AY255-(J255-L255+N255-Q255)</f>
        <v/>
      </c>
      <c r="BL255" s="34">
        <f>IF(AND(BK255&gt;0,MIN($F255:$G255)&lt;150,$E255="Enerji Açığı"),-100*BK255*1.03,IF(AND(BK255&gt;0,MIN($F255:$G255)&lt;150,$E255="Enerji Fazlası"),-100*BK255*1.06,IF(AND(BK255&gt;0,MIN($F255:$G255)&gt;=150,$E255="Enerji Açığı"),BK255*MIN($F255:$G255)*0.97,IF(AND(BK255&gt;0,MIN($F255:$G255)&gt;=150,$E255="Enerji Fazlası"),BK255*MIN($F255:$G255)*0.94,IF(AND(BK255&lt;0,MAX($F255:$G255)=4500,$E255="Enerji Açığı"),4500*1.05*1.06*BK255,IF(AND(BK255&lt;0,MAX($F255:$G255)=4500,$E255="Enerji Fazlası"),4500*1.05*1.03*BK255,IF(AND(BK255&lt;0,$E255="Enerji Açığı"),MAX($F255,$G255,150)*BK255*1.06,IF(AND(BK255&lt;0,$E255="Enerji Fazlası"),MAX($F255,$G255,150)*BK255*1.03,IF(AND(BK255&lt;0,$E255="Dengede"),MAX($F255:$G255,150)*1.03*BK255,MIN($F255:$G255)*0.97*BK255)))))))))</f>
        <v/>
      </c>
      <c r="BM255" s="34">
        <f>BE255-BI255-BN255</f>
        <v/>
      </c>
      <c r="BN255" s="34">
        <f>BB255</f>
        <v/>
      </c>
      <c r="BO255" s="34">
        <f>BE255-BI255</f>
        <v/>
      </c>
      <c r="BP255" s="34">
        <f>IF(AY255=0,0,BO255/AY255)</f>
        <v/>
      </c>
      <c r="BQ255" s="34">
        <f>MAX((AY255+MAX((-J255+L255-N255+Q255),0)),(MAX((J255-L255+N255-Q255),0)))</f>
        <v/>
      </c>
      <c r="BR255" s="82">
        <f>IFERROR(ABS(BK255/BQ255),0)</f>
        <v/>
      </c>
      <c r="BS255" s="34">
        <f>IF(BR255&lt;=0.1,0,BK255/BR255*(BR255-0.1))</f>
        <v/>
      </c>
      <c r="BT255" s="34">
        <f>IF((BS255)&lt;0,MAX(F255:G255)*(BS255)*1.03,MIN(F255:G255)*(BS255)*0.97)</f>
        <v/>
      </c>
      <c r="BU255" s="34">
        <f>IF(BR255&gt;0.1,1,0)</f>
        <v/>
      </c>
      <c r="BV255" s="34">
        <f>BF255+BG255+BH255+BY255-CA255</f>
        <v/>
      </c>
      <c r="BW255" s="34">
        <f>ABS(BX255)</f>
        <v/>
      </c>
      <c r="BX255" s="34">
        <f>AY255-(J255-L255+N255-Q255+T255-X255)</f>
        <v/>
      </c>
      <c r="BY255" s="34">
        <f>IF(AND(BX255&gt;0,MIN($F255:$G255)&lt;150,$E255="Enerji Açığı"),-100*BX255*1.03,IF(AND(BX255&gt;0,MIN($F255:$G255)&lt;150,$E255="Enerji Fazlası"),-100*BX255*1.06,IF(AND(BX255&gt;0,MIN($F255:$G255)&gt;=150,$E255="Enerji Açığı"),BX255*MIN($F255:$G255)*0.97,IF(AND(BX255&gt;0,MIN($F255:$G255)&gt;=150,$E255="Enerji Fazlası"),BX255*MIN($F255:$G255)*0.94,IF(AND(BX255&lt;0,MAX($F255:$G255)=4500,$E255="Enerji Açığı"),4500*1.05*1.06*BX255,IF(AND(BX255&lt;0,MAX($F255:$G255)=4500,$E255="Enerji Fazlası"),4500*1.05*1.03*BX255,IF(AND(BX255&lt;0,$E255="Enerji Açığı"),MAX($F255,$G255,150)*BX255*1.06,IF(AND(BX255&lt;0,$E255="Enerji Fazlası"),MAX($F255,$G255,150)*BX255*1.03,IF(AND(BX255&lt;0,$E255="Dengede"),MAX($F255:$G255,150)*1.03*BX255,MIN($F255:$G255)*0.97*BX255)))))))))</f>
        <v/>
      </c>
      <c r="BZ255" s="34">
        <f>BE255-BV255-CA255</f>
        <v/>
      </c>
      <c r="CA255" s="34">
        <f>BD255</f>
        <v/>
      </c>
      <c r="CB255" s="33">
        <f>BE255-BV255</f>
        <v/>
      </c>
      <c r="CC255" s="34">
        <f>IF(AY255=0,0,CB255/AY255)</f>
        <v/>
      </c>
      <c r="CD255" s="34">
        <f>MAX((AY255+MAX((-J255+L255-N255+Q255-T255+X255),0)),(MAX((J255-L255+N255-Q255+T255-X255),0)))</f>
        <v/>
      </c>
      <c r="CE255" s="82">
        <f>IFERROR(ABS(BX255/CD255),0)</f>
        <v/>
      </c>
      <c r="CF255" s="34">
        <f>IF(CE255&lt;=0.1,0,BX255/CE255*(CE255-0.1))</f>
        <v/>
      </c>
      <c r="CG255" s="34">
        <f>IF((CF255)&lt;0,MAX(F255:G255)*(CF255)*1.03,MIN(F255:G255)*(CF255)*0.97)</f>
        <v/>
      </c>
      <c r="CH255" s="34">
        <f>IF(CE255&gt;0.1,1,0)</f>
        <v/>
      </c>
      <c r="CI255" s="34">
        <f>(F255*BX255)-BY255</f>
        <v/>
      </c>
      <c r="CJ255" s="34">
        <f>IF(AY255=0,0,CI255/AY255)</f>
        <v/>
      </c>
    </row>
    <row r="256">
      <c r="A256" s="29">
        <f>[1]FİYATLAR!A231</f>
        <v/>
      </c>
      <c r="B256" s="29">
        <f>[1]FİYATLAR!B231</f>
        <v/>
      </c>
      <c r="C256" s="35">
        <f>INT(A256)</f>
        <v/>
      </c>
      <c r="D256" s="36">
        <f>MONTH(A256)</f>
        <v/>
      </c>
      <c r="E256" s="147">
        <f>[1]FİYATLAR!G231</f>
        <v/>
      </c>
      <c r="F256" s="30">
        <f>[1]FİYATLAR!C231</f>
        <v/>
      </c>
      <c r="G256" s="30">
        <f>[1]FİYATLAR!E231</f>
        <v/>
      </c>
      <c r="H256" s="30">
        <f>[1]FİYATLAR!D231</f>
        <v/>
      </c>
      <c r="I256" s="30">
        <f>[1]FİYATLAR!F231</f>
        <v/>
      </c>
      <c r="J256" s="119" t="n">
        <v>0</v>
      </c>
      <c r="K256" s="34">
        <f>F256*J256</f>
        <v/>
      </c>
      <c r="L256" s="119" t="n"/>
      <c r="M256" s="34">
        <f>L256*F256</f>
        <v/>
      </c>
      <c r="N256" s="119" t="n"/>
      <c r="O256" s="34">
        <f>F256</f>
        <v/>
      </c>
      <c r="P256" s="34">
        <f>N256*O256</f>
        <v/>
      </c>
      <c r="Q256" s="117" t="n">
        <v>0</v>
      </c>
      <c r="R256" s="34">
        <f>F256</f>
        <v/>
      </c>
      <c r="S256" s="34">
        <f>R256*Q256</f>
        <v/>
      </c>
      <c r="T256" s="34">
        <f>SUMIFS('[1]GİP VERİLERİ'!$C:$C,'[1]GİP VERİLERİ'!$B:$B,A256,'[1]GİP VERİLERİ'!$M:$M,"40X000000104782K",'[1]GİP VERİLERİ'!$G:$G,"SELL")</f>
        <v/>
      </c>
      <c r="U256" s="34">
        <f>IFERROR(W256/T256,0)</f>
        <v/>
      </c>
      <c r="V256" s="34">
        <f>IF(U256=0,0,U256-F256)</f>
        <v/>
      </c>
      <c r="W256" s="34">
        <f>SUMIFS('[1]GİP VERİLERİ'!$O:$O,'[1]GİP VERİLERİ'!$B:$B,A256,'[1]GİP VERİLERİ'!$M:$M,"40X000000104782K",'[1]GİP VERİLERİ'!$G:$G,"SELL")</f>
        <v/>
      </c>
      <c r="X256" s="34">
        <f>SUMIFS('[1]GİP VERİLERİ'!$C:$C,'[1]GİP VERİLERİ'!$B:$B,A256,'[1]GİP VERİLERİ'!$M:$M,"40X000000104782K",'[1]GİP VERİLERİ'!$G:$G,"BUY")</f>
        <v/>
      </c>
      <c r="Y256" s="34">
        <f>IFERROR(AA256/X256,0)</f>
        <v/>
      </c>
      <c r="Z256" s="34">
        <f>IF(Y256=0,0,F256-Y256)</f>
        <v/>
      </c>
      <c r="AA256" s="34">
        <f>SUMIFS('[1]GİP VERİLERİ'!$O:$O,'[1]GİP VERİLERİ'!$B:$B,A256,'[1]GİP VERİLERİ'!$M:$M,"40X000000104782K",'[1]GİP VERİLERİ'!$G:$G,"BUY")</f>
        <v/>
      </c>
      <c r="AB256" s="34">
        <f>'[1]GÖP VERİLERİ'!H257</f>
        <v/>
      </c>
      <c r="AC256" s="34">
        <f>'[1]GÖP VERİLERİ'!I257</f>
        <v/>
      </c>
      <c r="AD256" s="34">
        <f>IF(AB256&gt;AC256*1.05,AB256-AC256*1.05,IF(AB256&lt;AC256*0.95,AC256*0.95-AB256,0))</f>
        <v/>
      </c>
      <c r="AE256" s="34">
        <f>MAX(F256,G256,750)*0.05*AD256</f>
        <v/>
      </c>
      <c r="AF256" s="34">
        <f>'[1]GÖP VERİLERİ'!J257</f>
        <v/>
      </c>
      <c r="AG256" s="34">
        <f>IF(AB256&gt;AF256*1.05,AB256-AF256*1.05,IF(AB256&lt;AF256*0.95,AF256*0.95-AB256,0))</f>
        <v/>
      </c>
      <c r="AH256" s="34">
        <f>MAX(I256,J256,750)*0.05*AG256</f>
        <v/>
      </c>
      <c r="AI256">
        <f>'[1]GÖP VERİLERİ'!E257</f>
        <v/>
      </c>
      <c r="AJ256">
        <f>'[1]GÖP VERİLERİ'!F257</f>
        <v/>
      </c>
      <c r="AK256" s="34">
        <f>IF(AI256&gt;AJ256*1.05,AI256-AJ256*1.05,IF(AI256&lt;AJ256*0.95,AJ256*0.95-AI256,0))</f>
        <v/>
      </c>
      <c r="AL256" s="34">
        <f>MAX(F256,G256,750)*0.05*AK256</f>
        <v/>
      </c>
      <c r="AM256" s="39">
        <f>'[1]GÖP VERİLERİ'!G257</f>
        <v/>
      </c>
      <c r="AN256" s="34">
        <f>IF(AI256&gt;AM256*1.05,AI256-AM256*1.05,IF(AI256&lt;AM256*0.95,AM256*0.95-AI256,0))</f>
        <v/>
      </c>
      <c r="AO256" s="34">
        <f>MAX(F256,G256,750)*0.05*AN256</f>
        <v/>
      </c>
      <c r="AP256" s="34">
        <f>'[1]GÖP VERİLERİ'!B257</f>
        <v/>
      </c>
      <c r="AQ256" s="34">
        <f>'[1]GÖP VERİLERİ'!C257</f>
        <v/>
      </c>
      <c r="AR256" s="34">
        <f>IF(AP256&gt;AQ256*1.05,AP256-AQ256*1.05,IF(AP256&lt;AQ256*0.95,AQ256*0.95-AP256,0))</f>
        <v/>
      </c>
      <c r="AS256" s="34">
        <f>MAX(F256:G256,750)*0.05*AR256</f>
        <v/>
      </c>
      <c r="AT256">
        <f>'[1]GÖP VERİLERİ'!D257</f>
        <v/>
      </c>
      <c r="AU256" s="34">
        <f>IF(AP256&gt;AT256*1.05,AP256-AT256*1.05,IF(AP256&lt;AT256*0.95,AT256*0.95-AP256,0))</f>
        <v/>
      </c>
      <c r="AV256" s="34">
        <f>MAX(F256:G256,750)*0.05*AU256</f>
        <v/>
      </c>
      <c r="AW256" s="34">
        <f>AC256+AJ256+AQ256</f>
        <v/>
      </c>
      <c r="AX256" s="34">
        <f>AF256+AM256+AT256</f>
        <v/>
      </c>
      <c r="AY256" s="34">
        <f>AB256+AI256+AP256</f>
        <v/>
      </c>
      <c r="AZ256" s="34" t="n">
        <v>0</v>
      </c>
      <c r="BA256" s="34">
        <f>AD256+AK256+AR256</f>
        <v/>
      </c>
      <c r="BB256" s="34">
        <f>MAX(F256:G256,750)*0.05*BA256</f>
        <v/>
      </c>
      <c r="BC256" s="34">
        <f>AG256+AN256+AU256</f>
        <v/>
      </c>
      <c r="BD256" s="34">
        <f>MAX(F256:G256,750)*0.05*BC256</f>
        <v/>
      </c>
      <c r="BE256" s="34">
        <f>F256*AY256</f>
        <v/>
      </c>
      <c r="BF256" s="34">
        <f>K256-M256</f>
        <v/>
      </c>
      <c r="BG256" s="34">
        <f>P256-S256</f>
        <v/>
      </c>
      <c r="BH256" s="34">
        <f>W256-AA256</f>
        <v/>
      </c>
      <c r="BI256" s="34">
        <f>BF256+BG256+BL256-BN256</f>
        <v/>
      </c>
      <c r="BJ256" s="34">
        <f>ABS(BK256)</f>
        <v/>
      </c>
      <c r="BK256" s="34">
        <f>AY256-(J256-L256+N256-Q256)</f>
        <v/>
      </c>
      <c r="BL256" s="34">
        <f>IF(AND(BK256&gt;0,MIN($F256:$G256)&lt;150,$E256="Enerji Açığı"),-100*BK256*1.03,IF(AND(BK256&gt;0,MIN($F256:$G256)&lt;150,$E256="Enerji Fazlası"),-100*BK256*1.06,IF(AND(BK256&gt;0,MIN($F256:$G256)&gt;=150,$E256="Enerji Açığı"),BK256*MIN($F256:$G256)*0.97,IF(AND(BK256&gt;0,MIN($F256:$G256)&gt;=150,$E256="Enerji Fazlası"),BK256*MIN($F256:$G256)*0.94,IF(AND(BK256&lt;0,MAX($F256:$G256)=4500,$E256="Enerji Açığı"),4500*1.05*1.06*BK256,IF(AND(BK256&lt;0,MAX($F256:$G256)=4500,$E256="Enerji Fazlası"),4500*1.05*1.03*BK256,IF(AND(BK256&lt;0,$E256="Enerji Açığı"),MAX($F256,$G256,150)*BK256*1.06,IF(AND(BK256&lt;0,$E256="Enerji Fazlası"),MAX($F256,$G256,150)*BK256*1.03,IF(AND(BK256&lt;0,$E256="Dengede"),MAX($F256:$G256,150)*1.03*BK256,MIN($F256:$G256)*0.97*BK256)))))))))</f>
        <v/>
      </c>
      <c r="BM256" s="34">
        <f>BE256-BI256-BN256</f>
        <v/>
      </c>
      <c r="BN256" s="34">
        <f>BB256</f>
        <v/>
      </c>
      <c r="BO256" s="34">
        <f>BE256-BI256</f>
        <v/>
      </c>
      <c r="BP256" s="34">
        <f>IF(AY256=0,0,BO256/AY256)</f>
        <v/>
      </c>
      <c r="BQ256" s="34">
        <f>MAX((AY256+MAX((-J256+L256-N256+Q256),0)),(MAX((J256-L256+N256-Q256),0)))</f>
        <v/>
      </c>
      <c r="BR256" s="82">
        <f>IFERROR(ABS(BK256/BQ256),0)</f>
        <v/>
      </c>
      <c r="BS256" s="34">
        <f>IF(BR256&lt;=0.1,0,BK256/BR256*(BR256-0.1))</f>
        <v/>
      </c>
      <c r="BT256" s="34">
        <f>IF((BS256)&lt;0,MAX(F256:G256)*(BS256)*1.03,MIN(F256:G256)*(BS256)*0.97)</f>
        <v/>
      </c>
      <c r="BU256" s="34">
        <f>IF(BR256&gt;0.1,1,0)</f>
        <v/>
      </c>
      <c r="BV256" s="34">
        <f>BF256+BG256+BH256+BY256-CA256</f>
        <v/>
      </c>
      <c r="BW256" s="34">
        <f>ABS(BX256)</f>
        <v/>
      </c>
      <c r="BX256" s="34">
        <f>AY256-(J256-L256+N256-Q256+T256-X256)</f>
        <v/>
      </c>
      <c r="BY256" s="34">
        <f>IF(AND(BX256&gt;0,MIN($F256:$G256)&lt;150,$E256="Enerji Açığı"),-100*BX256*1.03,IF(AND(BX256&gt;0,MIN($F256:$G256)&lt;150,$E256="Enerji Fazlası"),-100*BX256*1.06,IF(AND(BX256&gt;0,MIN($F256:$G256)&gt;=150,$E256="Enerji Açığı"),BX256*MIN($F256:$G256)*0.97,IF(AND(BX256&gt;0,MIN($F256:$G256)&gt;=150,$E256="Enerji Fazlası"),BX256*MIN($F256:$G256)*0.94,IF(AND(BX256&lt;0,MAX($F256:$G256)=4500,$E256="Enerji Açığı"),4500*1.05*1.06*BX256,IF(AND(BX256&lt;0,MAX($F256:$G256)=4500,$E256="Enerji Fazlası"),4500*1.05*1.03*BX256,IF(AND(BX256&lt;0,$E256="Enerji Açığı"),MAX($F256,$G256,150)*BX256*1.06,IF(AND(BX256&lt;0,$E256="Enerji Fazlası"),MAX($F256,$G256,150)*BX256*1.03,IF(AND(BX256&lt;0,$E256="Dengede"),MAX($F256:$G256,150)*1.03*BX256,MIN($F256:$G256)*0.97*BX256)))))))))</f>
        <v/>
      </c>
      <c r="BZ256" s="34">
        <f>BE256-BV256-CA256</f>
        <v/>
      </c>
      <c r="CA256" s="34">
        <f>BD256</f>
        <v/>
      </c>
      <c r="CB256" s="33">
        <f>BE256-BV256</f>
        <v/>
      </c>
      <c r="CC256" s="34">
        <f>IF(AY256=0,0,CB256/AY256)</f>
        <v/>
      </c>
      <c r="CD256" s="34">
        <f>MAX((AY256+MAX((-J256+L256-N256+Q256-T256+X256),0)),(MAX((J256-L256+N256-Q256+T256-X256),0)))</f>
        <v/>
      </c>
      <c r="CE256" s="82">
        <f>IFERROR(ABS(BX256/CD256),0)</f>
        <v/>
      </c>
      <c r="CF256" s="34">
        <f>IF(CE256&lt;=0.1,0,BX256/CE256*(CE256-0.1))</f>
        <v/>
      </c>
      <c r="CG256" s="34">
        <f>IF((CF256)&lt;0,MAX(F256:G256)*(CF256)*1.03,MIN(F256:G256)*(CF256)*0.97)</f>
        <v/>
      </c>
      <c r="CH256" s="34">
        <f>IF(CE256&gt;0.1,1,0)</f>
        <v/>
      </c>
      <c r="CI256" s="34">
        <f>(F256*BX256)-BY256</f>
        <v/>
      </c>
      <c r="CJ256" s="34">
        <f>IF(AY256=0,0,CI256/AY256)</f>
        <v/>
      </c>
    </row>
    <row r="257">
      <c r="A257" s="29">
        <f>[1]FİYATLAR!A232</f>
        <v/>
      </c>
      <c r="B257" s="29">
        <f>[1]FİYATLAR!B232</f>
        <v/>
      </c>
      <c r="C257" s="35">
        <f>INT(A257)</f>
        <v/>
      </c>
      <c r="D257" s="36">
        <f>MONTH(A257)</f>
        <v/>
      </c>
      <c r="E257" s="147">
        <f>[1]FİYATLAR!G232</f>
        <v/>
      </c>
      <c r="F257" s="30">
        <f>[1]FİYATLAR!C232</f>
        <v/>
      </c>
      <c r="G257" s="30">
        <f>[1]FİYATLAR!E232</f>
        <v/>
      </c>
      <c r="H257" s="30">
        <f>[1]FİYATLAR!D232</f>
        <v/>
      </c>
      <c r="I257" s="30">
        <f>[1]FİYATLAR!F232</f>
        <v/>
      </c>
      <c r="J257" s="119" t="n">
        <v>0</v>
      </c>
      <c r="K257" s="34">
        <f>F257*J257</f>
        <v/>
      </c>
      <c r="L257" s="119" t="n"/>
      <c r="M257" s="34">
        <f>L257*F257</f>
        <v/>
      </c>
      <c r="N257" s="119" t="n"/>
      <c r="O257" s="34">
        <f>F257</f>
        <v/>
      </c>
      <c r="P257" s="34">
        <f>N257*O257</f>
        <v/>
      </c>
      <c r="Q257" s="117" t="n">
        <v>0</v>
      </c>
      <c r="R257" s="34">
        <f>F257</f>
        <v/>
      </c>
      <c r="S257" s="34">
        <f>R257*Q257</f>
        <v/>
      </c>
      <c r="T257" s="34">
        <f>SUMIFS('[1]GİP VERİLERİ'!$C:$C,'[1]GİP VERİLERİ'!$B:$B,A257,'[1]GİP VERİLERİ'!$M:$M,"40X000000104782K",'[1]GİP VERİLERİ'!$G:$G,"SELL")</f>
        <v/>
      </c>
      <c r="U257" s="34">
        <f>IFERROR(W257/T257,0)</f>
        <v/>
      </c>
      <c r="V257" s="34">
        <f>IF(U257=0,0,U257-F257)</f>
        <v/>
      </c>
      <c r="W257" s="34">
        <f>SUMIFS('[1]GİP VERİLERİ'!$O:$O,'[1]GİP VERİLERİ'!$B:$B,A257,'[1]GİP VERİLERİ'!$M:$M,"40X000000104782K",'[1]GİP VERİLERİ'!$G:$G,"SELL")</f>
        <v/>
      </c>
      <c r="X257" s="34">
        <f>SUMIFS('[1]GİP VERİLERİ'!$C:$C,'[1]GİP VERİLERİ'!$B:$B,A257,'[1]GİP VERİLERİ'!$M:$M,"40X000000104782K",'[1]GİP VERİLERİ'!$G:$G,"BUY")</f>
        <v/>
      </c>
      <c r="Y257" s="34">
        <f>IFERROR(AA257/X257,0)</f>
        <v/>
      </c>
      <c r="Z257" s="34">
        <f>IF(Y257=0,0,F257-Y257)</f>
        <v/>
      </c>
      <c r="AA257" s="34">
        <f>SUMIFS('[1]GİP VERİLERİ'!$O:$O,'[1]GİP VERİLERİ'!$B:$B,A257,'[1]GİP VERİLERİ'!$M:$M,"40X000000104782K",'[1]GİP VERİLERİ'!$G:$G,"BUY")</f>
        <v/>
      </c>
      <c r="AB257" s="34">
        <f>'[1]GÖP VERİLERİ'!H258</f>
        <v/>
      </c>
      <c r="AC257" s="34">
        <f>'[1]GÖP VERİLERİ'!I258</f>
        <v/>
      </c>
      <c r="AD257" s="34">
        <f>IF(AB257&gt;AC257*1.05,AB257-AC257*1.05,IF(AB257&lt;AC257*0.95,AC257*0.95-AB257,0))</f>
        <v/>
      </c>
      <c r="AE257" s="34">
        <f>MAX(F257,G257,750)*0.05*AD257</f>
        <v/>
      </c>
      <c r="AF257" s="34">
        <f>'[1]GÖP VERİLERİ'!J258</f>
        <v/>
      </c>
      <c r="AG257" s="34">
        <f>IF(AB257&gt;AF257*1.05,AB257-AF257*1.05,IF(AB257&lt;AF257*0.95,AF257*0.95-AB257,0))</f>
        <v/>
      </c>
      <c r="AH257" s="34">
        <f>MAX(I257,J257,750)*0.05*AG257</f>
        <v/>
      </c>
      <c r="AI257">
        <f>'[1]GÖP VERİLERİ'!E258</f>
        <v/>
      </c>
      <c r="AJ257">
        <f>'[1]GÖP VERİLERİ'!F258</f>
        <v/>
      </c>
      <c r="AK257" s="34">
        <f>IF(AI257&gt;AJ257*1.05,AI257-AJ257*1.05,IF(AI257&lt;AJ257*0.95,AJ257*0.95-AI257,0))</f>
        <v/>
      </c>
      <c r="AL257" s="34">
        <f>MAX(F257,G257,750)*0.05*AK257</f>
        <v/>
      </c>
      <c r="AM257" s="39">
        <f>'[1]GÖP VERİLERİ'!G258</f>
        <v/>
      </c>
      <c r="AN257" s="34">
        <f>IF(AI257&gt;AM257*1.05,AI257-AM257*1.05,IF(AI257&lt;AM257*0.95,AM257*0.95-AI257,0))</f>
        <v/>
      </c>
      <c r="AO257" s="34">
        <f>MAX(F257,G257,750)*0.05*AN257</f>
        <v/>
      </c>
      <c r="AP257" s="34">
        <f>'[1]GÖP VERİLERİ'!B258</f>
        <v/>
      </c>
      <c r="AQ257" s="34">
        <f>'[1]GÖP VERİLERİ'!C258</f>
        <v/>
      </c>
      <c r="AR257" s="34">
        <f>IF(AP257&gt;AQ257*1.05,AP257-AQ257*1.05,IF(AP257&lt;AQ257*0.95,AQ257*0.95-AP257,0))</f>
        <v/>
      </c>
      <c r="AS257" s="34">
        <f>MAX(F257:G257,750)*0.05*AR257</f>
        <v/>
      </c>
      <c r="AT257">
        <f>'[1]GÖP VERİLERİ'!D258</f>
        <v/>
      </c>
      <c r="AU257" s="34">
        <f>IF(AP257&gt;AT257*1.05,AP257-AT257*1.05,IF(AP257&lt;AT257*0.95,AT257*0.95-AP257,0))</f>
        <v/>
      </c>
      <c r="AV257" s="34">
        <f>MAX(F257:G257,750)*0.05*AU257</f>
        <v/>
      </c>
      <c r="AW257" s="34">
        <f>AC257+AJ257+AQ257</f>
        <v/>
      </c>
      <c r="AX257" s="34">
        <f>AF257+AM257+AT257</f>
        <v/>
      </c>
      <c r="AY257" s="34">
        <f>AB257+AI257+AP257</f>
        <v/>
      </c>
      <c r="AZ257" s="34" t="n">
        <v>0</v>
      </c>
      <c r="BA257" s="34">
        <f>AD257+AK257+AR257</f>
        <v/>
      </c>
      <c r="BB257" s="34">
        <f>MAX(F257:G257,750)*0.05*BA257</f>
        <v/>
      </c>
      <c r="BC257" s="34">
        <f>AG257+AN257+AU257</f>
        <v/>
      </c>
      <c r="BD257" s="34">
        <f>MAX(F257:G257,750)*0.05*BC257</f>
        <v/>
      </c>
      <c r="BE257" s="34">
        <f>F257*AY257</f>
        <v/>
      </c>
      <c r="BF257" s="34">
        <f>K257-M257</f>
        <v/>
      </c>
      <c r="BG257" s="34">
        <f>P257-S257</f>
        <v/>
      </c>
      <c r="BH257" s="34">
        <f>W257-AA257</f>
        <v/>
      </c>
      <c r="BI257" s="34">
        <f>BF257+BG257+BL257-BN257</f>
        <v/>
      </c>
      <c r="BJ257" s="34">
        <f>ABS(BK257)</f>
        <v/>
      </c>
      <c r="BK257" s="34">
        <f>AY257-(J257-L257+N257-Q257)</f>
        <v/>
      </c>
      <c r="BL257" s="34">
        <f>IF(AND(BK257&gt;0,MIN($F257:$G257)&lt;150,$E257="Enerji Açığı"),-100*BK257*1.03,IF(AND(BK257&gt;0,MIN($F257:$G257)&lt;150,$E257="Enerji Fazlası"),-100*BK257*1.06,IF(AND(BK257&gt;0,MIN($F257:$G257)&gt;=150,$E257="Enerji Açığı"),BK257*MIN($F257:$G257)*0.97,IF(AND(BK257&gt;0,MIN($F257:$G257)&gt;=150,$E257="Enerji Fazlası"),BK257*MIN($F257:$G257)*0.94,IF(AND(BK257&lt;0,MAX($F257:$G257)=4500,$E257="Enerji Açığı"),4500*1.05*1.06*BK257,IF(AND(BK257&lt;0,MAX($F257:$G257)=4500,$E257="Enerji Fazlası"),4500*1.05*1.03*BK257,IF(AND(BK257&lt;0,$E257="Enerji Açığı"),MAX($F257,$G257,150)*BK257*1.06,IF(AND(BK257&lt;0,$E257="Enerji Fazlası"),MAX($F257,$G257,150)*BK257*1.03,IF(AND(BK257&lt;0,$E257="Dengede"),MAX($F257:$G257,150)*1.03*BK257,MIN($F257:$G257)*0.97*BK257)))))))))</f>
        <v/>
      </c>
      <c r="BM257" s="34">
        <f>BE257-BI257-BN257</f>
        <v/>
      </c>
      <c r="BN257" s="34">
        <f>BB257</f>
        <v/>
      </c>
      <c r="BO257" s="34">
        <f>BE257-BI257</f>
        <v/>
      </c>
      <c r="BP257" s="34">
        <f>IF(AY257=0,0,BO257/AY257)</f>
        <v/>
      </c>
      <c r="BQ257" s="34">
        <f>MAX((AY257+MAX((-J257+L257-N257+Q257),0)),(MAX((J257-L257+N257-Q257),0)))</f>
        <v/>
      </c>
      <c r="BR257" s="82">
        <f>IFERROR(ABS(BK257/BQ257),0)</f>
        <v/>
      </c>
      <c r="BS257" s="34">
        <f>IF(BR257&lt;=0.1,0,BK257/BR257*(BR257-0.1))</f>
        <v/>
      </c>
      <c r="BT257" s="34">
        <f>IF((BS257)&lt;0,MAX(F257:G257)*(BS257)*1.03,MIN(F257:G257)*(BS257)*0.97)</f>
        <v/>
      </c>
      <c r="BU257" s="34">
        <f>IF(BR257&gt;0.1,1,0)</f>
        <v/>
      </c>
      <c r="BV257" s="34">
        <f>BF257+BG257+BH257+BY257-CA257</f>
        <v/>
      </c>
      <c r="BW257" s="34">
        <f>ABS(BX257)</f>
        <v/>
      </c>
      <c r="BX257" s="34">
        <f>AY257-(J257-L257+N257-Q257+T257-X257)</f>
        <v/>
      </c>
      <c r="BY257" s="34">
        <f>IF(AND(BX257&gt;0,MIN($F257:$G257)&lt;150,$E257="Enerji Açığı"),-100*BX257*1.03,IF(AND(BX257&gt;0,MIN($F257:$G257)&lt;150,$E257="Enerji Fazlası"),-100*BX257*1.06,IF(AND(BX257&gt;0,MIN($F257:$G257)&gt;=150,$E257="Enerji Açığı"),BX257*MIN($F257:$G257)*0.97,IF(AND(BX257&gt;0,MIN($F257:$G257)&gt;=150,$E257="Enerji Fazlası"),BX257*MIN($F257:$G257)*0.94,IF(AND(BX257&lt;0,MAX($F257:$G257)=4500,$E257="Enerji Açığı"),4500*1.05*1.06*BX257,IF(AND(BX257&lt;0,MAX($F257:$G257)=4500,$E257="Enerji Fazlası"),4500*1.05*1.03*BX257,IF(AND(BX257&lt;0,$E257="Enerji Açığı"),MAX($F257,$G257,150)*BX257*1.06,IF(AND(BX257&lt;0,$E257="Enerji Fazlası"),MAX($F257,$G257,150)*BX257*1.03,IF(AND(BX257&lt;0,$E257="Dengede"),MAX($F257:$G257,150)*1.03*BX257,MIN($F257:$G257)*0.97*BX257)))))))))</f>
        <v/>
      </c>
      <c r="BZ257" s="34">
        <f>BE257-BV257-CA257</f>
        <v/>
      </c>
      <c r="CA257" s="34">
        <f>BD257</f>
        <v/>
      </c>
      <c r="CB257" s="33">
        <f>BE257-BV257</f>
        <v/>
      </c>
      <c r="CC257" s="34">
        <f>IF(AY257=0,0,CB257/AY257)</f>
        <v/>
      </c>
      <c r="CD257" s="34">
        <f>MAX((AY257+MAX((-J257+L257-N257+Q257-T257+X257),0)),(MAX((J257-L257+N257-Q257+T257-X257),0)))</f>
        <v/>
      </c>
      <c r="CE257" s="82">
        <f>IFERROR(ABS(BX257/CD257),0)</f>
        <v/>
      </c>
      <c r="CF257" s="34">
        <f>IF(CE257&lt;=0.1,0,BX257/CE257*(CE257-0.1))</f>
        <v/>
      </c>
      <c r="CG257" s="34">
        <f>IF((CF257)&lt;0,MAX(F257:G257)*(CF257)*1.03,MIN(F257:G257)*(CF257)*0.97)</f>
        <v/>
      </c>
      <c r="CH257" s="34">
        <f>IF(CE257&gt;0.1,1,0)</f>
        <v/>
      </c>
      <c r="CI257" s="34">
        <f>(F257*BX257)-BY257</f>
        <v/>
      </c>
      <c r="CJ257" s="34">
        <f>IF(AY257=0,0,CI257/AY257)</f>
        <v/>
      </c>
    </row>
    <row r="258">
      <c r="A258" s="29">
        <f>[1]FİYATLAR!A233</f>
        <v/>
      </c>
      <c r="B258" s="29">
        <f>[1]FİYATLAR!B233</f>
        <v/>
      </c>
      <c r="C258" s="35">
        <f>INT(A258)</f>
        <v/>
      </c>
      <c r="D258" s="36">
        <f>MONTH(A258)</f>
        <v/>
      </c>
      <c r="E258" s="147">
        <f>[1]FİYATLAR!G233</f>
        <v/>
      </c>
      <c r="F258" s="30">
        <f>[1]FİYATLAR!C233</f>
        <v/>
      </c>
      <c r="G258" s="30">
        <f>[1]FİYATLAR!E233</f>
        <v/>
      </c>
      <c r="H258" s="30">
        <f>[1]FİYATLAR!D233</f>
        <v/>
      </c>
      <c r="I258" s="30">
        <f>[1]FİYATLAR!F233</f>
        <v/>
      </c>
      <c r="J258" s="119" t="n">
        <v>0</v>
      </c>
      <c r="K258" s="34">
        <f>F258*J258</f>
        <v/>
      </c>
      <c r="L258" s="119" t="n"/>
      <c r="M258" s="34">
        <f>L258*F258</f>
        <v/>
      </c>
      <c r="N258" s="119" t="n"/>
      <c r="O258" s="34">
        <f>F258</f>
        <v/>
      </c>
      <c r="P258" s="34">
        <f>N258*O258</f>
        <v/>
      </c>
      <c r="Q258" s="117" t="n">
        <v>0</v>
      </c>
      <c r="R258" s="34">
        <f>F258</f>
        <v/>
      </c>
      <c r="S258" s="34">
        <f>R258*Q258</f>
        <v/>
      </c>
      <c r="T258" s="34">
        <f>SUMIFS('[1]GİP VERİLERİ'!$C:$C,'[1]GİP VERİLERİ'!$B:$B,A258,'[1]GİP VERİLERİ'!$M:$M,"40X000000104782K",'[1]GİP VERİLERİ'!$G:$G,"SELL")</f>
        <v/>
      </c>
      <c r="U258" s="34">
        <f>IFERROR(W258/T258,0)</f>
        <v/>
      </c>
      <c r="V258" s="34">
        <f>IF(U258=0,0,U258-F258)</f>
        <v/>
      </c>
      <c r="W258" s="34">
        <f>SUMIFS('[1]GİP VERİLERİ'!$O:$O,'[1]GİP VERİLERİ'!$B:$B,A258,'[1]GİP VERİLERİ'!$M:$M,"40X000000104782K",'[1]GİP VERİLERİ'!$G:$G,"SELL")</f>
        <v/>
      </c>
      <c r="X258" s="34">
        <f>SUMIFS('[1]GİP VERİLERİ'!$C:$C,'[1]GİP VERİLERİ'!$B:$B,A258,'[1]GİP VERİLERİ'!$M:$M,"40X000000104782K",'[1]GİP VERİLERİ'!$G:$G,"BUY")</f>
        <v/>
      </c>
      <c r="Y258" s="34">
        <f>IFERROR(AA258/X258,0)</f>
        <v/>
      </c>
      <c r="Z258" s="34">
        <f>IF(Y258=0,0,F258-Y258)</f>
        <v/>
      </c>
      <c r="AA258" s="34">
        <f>SUMIFS('[1]GİP VERİLERİ'!$O:$O,'[1]GİP VERİLERİ'!$B:$B,A258,'[1]GİP VERİLERİ'!$M:$M,"40X000000104782K",'[1]GİP VERİLERİ'!$G:$G,"BUY")</f>
        <v/>
      </c>
      <c r="AB258" s="34">
        <f>'[1]GÖP VERİLERİ'!H259</f>
        <v/>
      </c>
      <c r="AC258" s="34">
        <f>'[1]GÖP VERİLERİ'!I259</f>
        <v/>
      </c>
      <c r="AD258" s="34">
        <f>IF(AB258&gt;AC258*1.05,AB258-AC258*1.05,IF(AB258&lt;AC258*0.95,AC258*0.95-AB258,0))</f>
        <v/>
      </c>
      <c r="AE258" s="34">
        <f>MAX(F258,G258,750)*0.05*AD258</f>
        <v/>
      </c>
      <c r="AF258" s="34">
        <f>'[1]GÖP VERİLERİ'!J259</f>
        <v/>
      </c>
      <c r="AG258" s="34">
        <f>IF(AB258&gt;AF258*1.05,AB258-AF258*1.05,IF(AB258&lt;AF258*0.95,AF258*0.95-AB258,0))</f>
        <v/>
      </c>
      <c r="AH258" s="34">
        <f>MAX(I258,J258,750)*0.05*AG258</f>
        <v/>
      </c>
      <c r="AI258">
        <f>'[1]GÖP VERİLERİ'!E259</f>
        <v/>
      </c>
      <c r="AJ258">
        <f>'[1]GÖP VERİLERİ'!F259</f>
        <v/>
      </c>
      <c r="AK258" s="34">
        <f>IF(AI258&gt;AJ258*1.05,AI258-AJ258*1.05,IF(AI258&lt;AJ258*0.95,AJ258*0.95-AI258,0))</f>
        <v/>
      </c>
      <c r="AL258" s="34">
        <f>MAX(F258,G258,750)*0.05*AK258</f>
        <v/>
      </c>
      <c r="AM258" s="39">
        <f>'[1]GÖP VERİLERİ'!G259</f>
        <v/>
      </c>
      <c r="AN258" s="34">
        <f>IF(AI258&gt;AM258*1.05,AI258-AM258*1.05,IF(AI258&lt;AM258*0.95,AM258*0.95-AI258,0))</f>
        <v/>
      </c>
      <c r="AO258" s="34">
        <f>MAX(F258,G258,750)*0.05*AN258</f>
        <v/>
      </c>
      <c r="AP258" s="34">
        <f>'[1]GÖP VERİLERİ'!B259</f>
        <v/>
      </c>
      <c r="AQ258" s="34">
        <f>'[1]GÖP VERİLERİ'!C259</f>
        <v/>
      </c>
      <c r="AR258" s="34">
        <f>IF(AP258&gt;AQ258*1.05,AP258-AQ258*1.05,IF(AP258&lt;AQ258*0.95,AQ258*0.95-AP258,0))</f>
        <v/>
      </c>
      <c r="AS258" s="34">
        <f>MAX(F258:G258,750)*0.05*AR258</f>
        <v/>
      </c>
      <c r="AT258">
        <f>'[1]GÖP VERİLERİ'!D259</f>
        <v/>
      </c>
      <c r="AU258" s="34">
        <f>IF(AP258&gt;AT258*1.05,AP258-AT258*1.05,IF(AP258&lt;AT258*0.95,AT258*0.95-AP258,0))</f>
        <v/>
      </c>
      <c r="AV258" s="34">
        <f>MAX(F258:G258,750)*0.05*AU258</f>
        <v/>
      </c>
      <c r="AW258" s="34">
        <f>AC258+AJ258+AQ258</f>
        <v/>
      </c>
      <c r="AX258" s="34">
        <f>AF258+AM258+AT258</f>
        <v/>
      </c>
      <c r="AY258" s="34">
        <f>AB258+AI258+AP258</f>
        <v/>
      </c>
      <c r="AZ258" s="34" t="n">
        <v>0</v>
      </c>
      <c r="BA258" s="34">
        <f>AD258+AK258+AR258</f>
        <v/>
      </c>
      <c r="BB258" s="34">
        <f>MAX(F258:G258,750)*0.05*BA258</f>
        <v/>
      </c>
      <c r="BC258" s="34">
        <f>AG258+AN258+AU258</f>
        <v/>
      </c>
      <c r="BD258" s="34">
        <f>MAX(F258:G258,750)*0.05*BC258</f>
        <v/>
      </c>
      <c r="BE258" s="34">
        <f>F258*AY258</f>
        <v/>
      </c>
      <c r="BF258" s="34">
        <f>K258-M258</f>
        <v/>
      </c>
      <c r="BG258" s="34">
        <f>P258-S258</f>
        <v/>
      </c>
      <c r="BH258" s="34">
        <f>W258-AA258</f>
        <v/>
      </c>
      <c r="BI258" s="34">
        <f>BF258+BG258+BL258-BN258</f>
        <v/>
      </c>
      <c r="BJ258" s="34">
        <f>ABS(BK258)</f>
        <v/>
      </c>
      <c r="BK258" s="34">
        <f>AY258-(J258-L258+N258-Q258)</f>
        <v/>
      </c>
      <c r="BL258" s="34">
        <f>IF(AND(BK258&gt;0,MIN($F258:$G258)&lt;150,$E258="Enerji Açığı"),-100*BK258*1.03,IF(AND(BK258&gt;0,MIN($F258:$G258)&lt;150,$E258="Enerji Fazlası"),-100*BK258*1.06,IF(AND(BK258&gt;0,MIN($F258:$G258)&gt;=150,$E258="Enerji Açığı"),BK258*MIN($F258:$G258)*0.97,IF(AND(BK258&gt;0,MIN($F258:$G258)&gt;=150,$E258="Enerji Fazlası"),BK258*MIN($F258:$G258)*0.94,IF(AND(BK258&lt;0,MAX($F258:$G258)=4500,$E258="Enerji Açığı"),4500*1.05*1.06*BK258,IF(AND(BK258&lt;0,MAX($F258:$G258)=4500,$E258="Enerji Fazlası"),4500*1.05*1.03*BK258,IF(AND(BK258&lt;0,$E258="Enerji Açığı"),MAX($F258,$G258,150)*BK258*1.06,IF(AND(BK258&lt;0,$E258="Enerji Fazlası"),MAX($F258,$G258,150)*BK258*1.03,IF(AND(BK258&lt;0,$E258="Dengede"),MAX($F258:$G258,150)*1.03*BK258,MIN($F258:$G258)*0.97*BK258)))))))))</f>
        <v/>
      </c>
      <c r="BM258" s="34">
        <f>BE258-BI258-BN258</f>
        <v/>
      </c>
      <c r="BN258" s="34">
        <f>BB258</f>
        <v/>
      </c>
      <c r="BO258" s="34">
        <f>BE258-BI258</f>
        <v/>
      </c>
      <c r="BP258" s="34">
        <f>IF(AY258=0,0,BO258/AY258)</f>
        <v/>
      </c>
      <c r="BQ258" s="34">
        <f>MAX((AY258+MAX((-J258+L258-N258+Q258),0)),(MAX((J258-L258+N258-Q258),0)))</f>
        <v/>
      </c>
      <c r="BR258" s="82">
        <f>IFERROR(ABS(BK258/BQ258),0)</f>
        <v/>
      </c>
      <c r="BS258" s="34">
        <f>IF(BR258&lt;=0.1,0,BK258/BR258*(BR258-0.1))</f>
        <v/>
      </c>
      <c r="BT258" s="34">
        <f>IF((BS258)&lt;0,MAX(F258:G258)*(BS258)*1.03,MIN(F258:G258)*(BS258)*0.97)</f>
        <v/>
      </c>
      <c r="BU258" s="34">
        <f>IF(BR258&gt;0.1,1,0)</f>
        <v/>
      </c>
      <c r="BV258" s="34">
        <f>BF258+BG258+BH258+BY258-CA258</f>
        <v/>
      </c>
      <c r="BW258" s="34">
        <f>ABS(BX258)</f>
        <v/>
      </c>
      <c r="BX258" s="34">
        <f>AY258-(J258-L258+N258-Q258+T258-X258)</f>
        <v/>
      </c>
      <c r="BY258" s="34">
        <f>IF(AND(BX258&gt;0,MIN($F258:$G258)&lt;150,$E258="Enerji Açığı"),-100*BX258*1.03,IF(AND(BX258&gt;0,MIN($F258:$G258)&lt;150,$E258="Enerji Fazlası"),-100*BX258*1.06,IF(AND(BX258&gt;0,MIN($F258:$G258)&gt;=150,$E258="Enerji Açığı"),BX258*MIN($F258:$G258)*0.97,IF(AND(BX258&gt;0,MIN($F258:$G258)&gt;=150,$E258="Enerji Fazlası"),BX258*MIN($F258:$G258)*0.94,IF(AND(BX258&lt;0,MAX($F258:$G258)=4500,$E258="Enerji Açığı"),4500*1.05*1.06*BX258,IF(AND(BX258&lt;0,MAX($F258:$G258)=4500,$E258="Enerji Fazlası"),4500*1.05*1.03*BX258,IF(AND(BX258&lt;0,$E258="Enerji Açığı"),MAX($F258,$G258,150)*BX258*1.06,IF(AND(BX258&lt;0,$E258="Enerji Fazlası"),MAX($F258,$G258,150)*BX258*1.03,IF(AND(BX258&lt;0,$E258="Dengede"),MAX($F258:$G258,150)*1.03*BX258,MIN($F258:$G258)*0.97*BX258)))))))))</f>
        <v/>
      </c>
      <c r="BZ258" s="34">
        <f>BE258-BV258-CA258</f>
        <v/>
      </c>
      <c r="CA258" s="34">
        <f>BD258</f>
        <v/>
      </c>
      <c r="CB258" s="33">
        <f>BE258-BV258</f>
        <v/>
      </c>
      <c r="CC258" s="34">
        <f>IF(AY258=0,0,CB258/AY258)</f>
        <v/>
      </c>
      <c r="CD258" s="34">
        <f>MAX((AY258+MAX((-J258+L258-N258+Q258-T258+X258),0)),(MAX((J258-L258+N258-Q258+T258-X258),0)))</f>
        <v/>
      </c>
      <c r="CE258" s="82">
        <f>IFERROR(ABS(BX258/CD258),0)</f>
        <v/>
      </c>
      <c r="CF258" s="34">
        <f>IF(CE258&lt;=0.1,0,BX258/CE258*(CE258-0.1))</f>
        <v/>
      </c>
      <c r="CG258" s="34">
        <f>IF((CF258)&lt;0,MAX(F258:G258)*(CF258)*1.03,MIN(F258:G258)*(CF258)*0.97)</f>
        <v/>
      </c>
      <c r="CH258" s="34">
        <f>IF(CE258&gt;0.1,1,0)</f>
        <v/>
      </c>
      <c r="CI258" s="34">
        <f>(F258*BX258)-BY258</f>
        <v/>
      </c>
      <c r="CJ258" s="34">
        <f>IF(AY258=0,0,CI258/AY258)</f>
        <v/>
      </c>
    </row>
    <row r="259">
      <c r="A259" s="29">
        <f>[1]FİYATLAR!A234</f>
        <v/>
      </c>
      <c r="B259" s="29">
        <f>[1]FİYATLAR!B234</f>
        <v/>
      </c>
      <c r="C259" s="35">
        <f>INT(A259)</f>
        <v/>
      </c>
      <c r="D259" s="36">
        <f>MONTH(A259)</f>
        <v/>
      </c>
      <c r="E259" s="147">
        <f>[1]FİYATLAR!G234</f>
        <v/>
      </c>
      <c r="F259" s="30">
        <f>[1]FİYATLAR!C234</f>
        <v/>
      </c>
      <c r="G259" s="30">
        <f>[1]FİYATLAR!E234</f>
        <v/>
      </c>
      <c r="H259" s="30">
        <f>[1]FİYATLAR!D234</f>
        <v/>
      </c>
      <c r="I259" s="30">
        <f>[1]FİYATLAR!F234</f>
        <v/>
      </c>
      <c r="J259" s="119" t="n">
        <v>0</v>
      </c>
      <c r="K259" s="34">
        <f>F259*J259</f>
        <v/>
      </c>
      <c r="L259" s="119" t="n"/>
      <c r="M259" s="34">
        <f>L259*F259</f>
        <v/>
      </c>
      <c r="N259" s="119" t="n"/>
      <c r="O259" s="34">
        <f>F259</f>
        <v/>
      </c>
      <c r="P259" s="34">
        <f>N259*O259</f>
        <v/>
      </c>
      <c r="Q259" s="117" t="n">
        <v>0</v>
      </c>
      <c r="R259" s="34">
        <f>F259</f>
        <v/>
      </c>
      <c r="S259" s="34">
        <f>R259*Q259</f>
        <v/>
      </c>
      <c r="T259" s="34">
        <f>SUMIFS('[1]GİP VERİLERİ'!$C:$C,'[1]GİP VERİLERİ'!$B:$B,A259,'[1]GİP VERİLERİ'!$M:$M,"40X000000104782K",'[1]GİP VERİLERİ'!$G:$G,"SELL")</f>
        <v/>
      </c>
      <c r="U259" s="34">
        <f>IFERROR(W259/T259,0)</f>
        <v/>
      </c>
      <c r="V259" s="34">
        <f>IF(U259=0,0,U259-F259)</f>
        <v/>
      </c>
      <c r="W259" s="34">
        <f>SUMIFS('[1]GİP VERİLERİ'!$O:$O,'[1]GİP VERİLERİ'!$B:$B,A259,'[1]GİP VERİLERİ'!$M:$M,"40X000000104782K",'[1]GİP VERİLERİ'!$G:$G,"SELL")</f>
        <v/>
      </c>
      <c r="X259" s="34">
        <f>SUMIFS('[1]GİP VERİLERİ'!$C:$C,'[1]GİP VERİLERİ'!$B:$B,A259,'[1]GİP VERİLERİ'!$M:$M,"40X000000104782K",'[1]GİP VERİLERİ'!$G:$G,"BUY")</f>
        <v/>
      </c>
      <c r="Y259" s="34">
        <f>IFERROR(AA259/X259,0)</f>
        <v/>
      </c>
      <c r="Z259" s="34">
        <f>IF(Y259=0,0,F259-Y259)</f>
        <v/>
      </c>
      <c r="AA259" s="34">
        <f>SUMIFS('[1]GİP VERİLERİ'!$O:$O,'[1]GİP VERİLERİ'!$B:$B,A259,'[1]GİP VERİLERİ'!$M:$M,"40X000000104782K",'[1]GİP VERİLERİ'!$G:$G,"BUY")</f>
        <v/>
      </c>
      <c r="AB259" s="34">
        <f>'[1]GÖP VERİLERİ'!H260</f>
        <v/>
      </c>
      <c r="AC259" s="34">
        <f>'[1]GÖP VERİLERİ'!I260</f>
        <v/>
      </c>
      <c r="AD259" s="34">
        <f>IF(AB259&gt;AC259*1.05,AB259-AC259*1.05,IF(AB259&lt;AC259*0.95,AC259*0.95-AB259,0))</f>
        <v/>
      </c>
      <c r="AE259" s="34">
        <f>MAX(F259,G259,750)*0.05*AD259</f>
        <v/>
      </c>
      <c r="AF259" s="34">
        <f>'[1]GÖP VERİLERİ'!J260</f>
        <v/>
      </c>
      <c r="AG259" s="34">
        <f>IF(AB259&gt;AF259*1.05,AB259-AF259*1.05,IF(AB259&lt;AF259*0.95,AF259*0.95-AB259,0))</f>
        <v/>
      </c>
      <c r="AH259" s="34">
        <f>MAX(I259,J259,750)*0.05*AG259</f>
        <v/>
      </c>
      <c r="AI259">
        <f>'[1]GÖP VERİLERİ'!E260</f>
        <v/>
      </c>
      <c r="AJ259">
        <f>'[1]GÖP VERİLERİ'!F260</f>
        <v/>
      </c>
      <c r="AK259" s="34">
        <f>IF(AI259&gt;AJ259*1.05,AI259-AJ259*1.05,IF(AI259&lt;AJ259*0.95,AJ259*0.95-AI259,0))</f>
        <v/>
      </c>
      <c r="AL259" s="34">
        <f>MAX(F259,G259,750)*0.05*AK259</f>
        <v/>
      </c>
      <c r="AM259" s="39">
        <f>'[1]GÖP VERİLERİ'!G260</f>
        <v/>
      </c>
      <c r="AN259" s="34">
        <f>IF(AI259&gt;AM259*1.05,AI259-AM259*1.05,IF(AI259&lt;AM259*0.95,AM259*0.95-AI259,0))</f>
        <v/>
      </c>
      <c r="AO259" s="34">
        <f>MAX(F259,G259,750)*0.05*AN259</f>
        <v/>
      </c>
      <c r="AP259" s="34">
        <f>'[1]GÖP VERİLERİ'!B260</f>
        <v/>
      </c>
      <c r="AQ259" s="34">
        <f>'[1]GÖP VERİLERİ'!C260</f>
        <v/>
      </c>
      <c r="AR259" s="34">
        <f>IF(AP259&gt;AQ259*1.05,AP259-AQ259*1.05,IF(AP259&lt;AQ259*0.95,AQ259*0.95-AP259,0))</f>
        <v/>
      </c>
      <c r="AS259" s="34">
        <f>MAX(F259:G259,750)*0.05*AR259</f>
        <v/>
      </c>
      <c r="AT259">
        <f>'[1]GÖP VERİLERİ'!D260</f>
        <v/>
      </c>
      <c r="AU259" s="34">
        <f>IF(AP259&gt;AT259*1.05,AP259-AT259*1.05,IF(AP259&lt;AT259*0.95,AT259*0.95-AP259,0))</f>
        <v/>
      </c>
      <c r="AV259" s="34">
        <f>MAX(F259:G259,750)*0.05*AU259</f>
        <v/>
      </c>
      <c r="AW259" s="34">
        <f>AC259+AJ259+AQ259</f>
        <v/>
      </c>
      <c r="AX259" s="34">
        <f>AF259+AM259+AT259</f>
        <v/>
      </c>
      <c r="AY259" s="34">
        <f>AB259+AI259+AP259</f>
        <v/>
      </c>
      <c r="AZ259" s="34" t="n">
        <v>0</v>
      </c>
      <c r="BA259" s="34">
        <f>AD259+AK259+AR259</f>
        <v/>
      </c>
      <c r="BB259" s="34">
        <f>MAX(F259:G259,750)*0.05*BA259</f>
        <v/>
      </c>
      <c r="BC259" s="34">
        <f>AG259+AN259+AU259</f>
        <v/>
      </c>
      <c r="BD259" s="34">
        <f>MAX(F259:G259,750)*0.05*BC259</f>
        <v/>
      </c>
      <c r="BE259" s="34">
        <f>F259*AY259</f>
        <v/>
      </c>
      <c r="BF259" s="34">
        <f>K259-M259</f>
        <v/>
      </c>
      <c r="BG259" s="34">
        <f>P259-S259</f>
        <v/>
      </c>
      <c r="BH259" s="34">
        <f>W259-AA259</f>
        <v/>
      </c>
      <c r="BI259" s="34">
        <f>BF259+BG259+BL259-BN259</f>
        <v/>
      </c>
      <c r="BJ259" s="34">
        <f>ABS(BK259)</f>
        <v/>
      </c>
      <c r="BK259" s="34">
        <f>AY259-(J259-L259+N259-Q259)</f>
        <v/>
      </c>
      <c r="BL259" s="34">
        <f>IF(AND(BK259&gt;0,MIN($F259:$G259)&lt;150,$E259="Enerji Açığı"),-100*BK259*1.03,IF(AND(BK259&gt;0,MIN($F259:$G259)&lt;150,$E259="Enerji Fazlası"),-100*BK259*1.06,IF(AND(BK259&gt;0,MIN($F259:$G259)&gt;=150,$E259="Enerji Açığı"),BK259*MIN($F259:$G259)*0.97,IF(AND(BK259&gt;0,MIN($F259:$G259)&gt;=150,$E259="Enerji Fazlası"),BK259*MIN($F259:$G259)*0.94,IF(AND(BK259&lt;0,MAX($F259:$G259)=4500,$E259="Enerji Açığı"),4500*1.05*1.06*BK259,IF(AND(BK259&lt;0,MAX($F259:$G259)=4500,$E259="Enerji Fazlası"),4500*1.05*1.03*BK259,IF(AND(BK259&lt;0,$E259="Enerji Açığı"),MAX($F259,$G259,150)*BK259*1.06,IF(AND(BK259&lt;0,$E259="Enerji Fazlası"),MAX($F259,$G259,150)*BK259*1.03,IF(AND(BK259&lt;0,$E259="Dengede"),MAX($F259:$G259,150)*1.03*BK259,MIN($F259:$G259)*0.97*BK259)))))))))</f>
        <v/>
      </c>
      <c r="BM259" s="34">
        <f>BE259-BI259-BN259</f>
        <v/>
      </c>
      <c r="BN259" s="34">
        <f>BB259</f>
        <v/>
      </c>
      <c r="BO259" s="34">
        <f>BE259-BI259</f>
        <v/>
      </c>
      <c r="BP259" s="34">
        <f>IF(AY259=0,0,BO259/AY259)</f>
        <v/>
      </c>
      <c r="BQ259" s="34">
        <f>MAX((AY259+MAX((-J259+L259-N259+Q259),0)),(MAX((J259-L259+N259-Q259),0)))</f>
        <v/>
      </c>
      <c r="BR259" s="82">
        <f>IFERROR(ABS(BK259/BQ259),0)</f>
        <v/>
      </c>
      <c r="BS259" s="34">
        <f>IF(BR259&lt;=0.1,0,BK259/BR259*(BR259-0.1))</f>
        <v/>
      </c>
      <c r="BT259" s="34">
        <f>IF((BS259)&lt;0,MAX(F259:G259)*(BS259)*1.03,MIN(F259:G259)*(BS259)*0.97)</f>
        <v/>
      </c>
      <c r="BU259" s="34">
        <f>IF(BR259&gt;0.1,1,0)</f>
        <v/>
      </c>
      <c r="BV259" s="34">
        <f>BF259+BG259+BH259+BY259-CA259</f>
        <v/>
      </c>
      <c r="BW259" s="34">
        <f>ABS(BX259)</f>
        <v/>
      </c>
      <c r="BX259" s="34">
        <f>AY259-(J259-L259+N259-Q259+T259-X259)</f>
        <v/>
      </c>
      <c r="BY259" s="34">
        <f>IF(AND(BX259&gt;0,MIN($F259:$G259)&lt;150,$E259="Enerji Açığı"),-100*BX259*1.03,IF(AND(BX259&gt;0,MIN($F259:$G259)&lt;150,$E259="Enerji Fazlası"),-100*BX259*1.06,IF(AND(BX259&gt;0,MIN($F259:$G259)&gt;=150,$E259="Enerji Açığı"),BX259*MIN($F259:$G259)*0.97,IF(AND(BX259&gt;0,MIN($F259:$G259)&gt;=150,$E259="Enerji Fazlası"),BX259*MIN($F259:$G259)*0.94,IF(AND(BX259&lt;0,MAX($F259:$G259)=4500,$E259="Enerji Açığı"),4500*1.05*1.06*BX259,IF(AND(BX259&lt;0,MAX($F259:$G259)=4500,$E259="Enerji Fazlası"),4500*1.05*1.03*BX259,IF(AND(BX259&lt;0,$E259="Enerji Açığı"),MAX($F259,$G259,150)*BX259*1.06,IF(AND(BX259&lt;0,$E259="Enerji Fazlası"),MAX($F259,$G259,150)*BX259*1.03,IF(AND(BX259&lt;0,$E259="Dengede"),MAX($F259:$G259,150)*1.03*BX259,MIN($F259:$G259)*0.97*BX259)))))))))</f>
        <v/>
      </c>
      <c r="BZ259" s="34">
        <f>BE259-BV259-CA259</f>
        <v/>
      </c>
      <c r="CA259" s="34">
        <f>BD259</f>
        <v/>
      </c>
      <c r="CB259" s="33">
        <f>BE259-BV259</f>
        <v/>
      </c>
      <c r="CC259" s="34">
        <f>IF(AY259=0,0,CB259/AY259)</f>
        <v/>
      </c>
      <c r="CD259" s="34">
        <f>MAX((AY259+MAX((-J259+L259-N259+Q259-T259+X259),0)),(MAX((J259-L259+N259-Q259+T259-X259),0)))</f>
        <v/>
      </c>
      <c r="CE259" s="82">
        <f>IFERROR(ABS(BX259/CD259),0)</f>
        <v/>
      </c>
      <c r="CF259" s="34">
        <f>IF(CE259&lt;=0.1,0,BX259/CE259*(CE259-0.1))</f>
        <v/>
      </c>
      <c r="CG259" s="34">
        <f>IF((CF259)&lt;0,MAX(F259:G259)*(CF259)*1.03,MIN(F259:G259)*(CF259)*0.97)</f>
        <v/>
      </c>
      <c r="CH259" s="34">
        <f>IF(CE259&gt;0.1,1,0)</f>
        <v/>
      </c>
      <c r="CI259" s="34">
        <f>(F259*BX259)-BY259</f>
        <v/>
      </c>
      <c r="CJ259" s="34">
        <f>IF(AY259=0,0,CI259/AY259)</f>
        <v/>
      </c>
    </row>
    <row r="260">
      <c r="A260" s="29">
        <f>[1]FİYATLAR!A235</f>
        <v/>
      </c>
      <c r="B260" s="29">
        <f>[1]FİYATLAR!B235</f>
        <v/>
      </c>
      <c r="C260" s="35">
        <f>INT(A260)</f>
        <v/>
      </c>
      <c r="D260" s="36">
        <f>MONTH(A260)</f>
        <v/>
      </c>
      <c r="E260" s="147">
        <f>[1]FİYATLAR!G235</f>
        <v/>
      </c>
      <c r="F260" s="30">
        <f>[1]FİYATLAR!C235</f>
        <v/>
      </c>
      <c r="G260" s="30">
        <f>[1]FİYATLAR!E235</f>
        <v/>
      </c>
      <c r="H260" s="30">
        <f>[1]FİYATLAR!D235</f>
        <v/>
      </c>
      <c r="I260" s="30">
        <f>[1]FİYATLAR!F235</f>
        <v/>
      </c>
      <c r="J260" s="119" t="n">
        <v>0</v>
      </c>
      <c r="K260" s="34">
        <f>F260*J260</f>
        <v/>
      </c>
      <c r="L260" s="119" t="n"/>
      <c r="M260" s="34">
        <f>L260*F260</f>
        <v/>
      </c>
      <c r="N260" s="119" t="n"/>
      <c r="O260" s="34">
        <f>F260</f>
        <v/>
      </c>
      <c r="P260" s="34">
        <f>N260*O260</f>
        <v/>
      </c>
      <c r="Q260" s="117" t="n">
        <v>0</v>
      </c>
      <c r="R260" s="34">
        <f>F260</f>
        <v/>
      </c>
      <c r="S260" s="34">
        <f>R260*Q260</f>
        <v/>
      </c>
      <c r="T260" s="34">
        <f>SUMIFS('[1]GİP VERİLERİ'!$C:$C,'[1]GİP VERİLERİ'!$B:$B,A260,'[1]GİP VERİLERİ'!$M:$M,"40X000000104782K",'[1]GİP VERİLERİ'!$G:$G,"SELL")</f>
        <v/>
      </c>
      <c r="U260" s="34">
        <f>IFERROR(W260/T260,0)</f>
        <v/>
      </c>
      <c r="V260" s="34">
        <f>IF(U260=0,0,U260-F260)</f>
        <v/>
      </c>
      <c r="W260" s="34">
        <f>SUMIFS('[1]GİP VERİLERİ'!$O:$O,'[1]GİP VERİLERİ'!$B:$B,A260,'[1]GİP VERİLERİ'!$M:$M,"40X000000104782K",'[1]GİP VERİLERİ'!$G:$G,"SELL")</f>
        <v/>
      </c>
      <c r="X260" s="34">
        <f>SUMIFS('[1]GİP VERİLERİ'!$C:$C,'[1]GİP VERİLERİ'!$B:$B,A260,'[1]GİP VERİLERİ'!$M:$M,"40X000000104782K",'[1]GİP VERİLERİ'!$G:$G,"BUY")</f>
        <v/>
      </c>
      <c r="Y260" s="34">
        <f>IFERROR(AA260/X260,0)</f>
        <v/>
      </c>
      <c r="Z260" s="34">
        <f>IF(Y260=0,0,F260-Y260)</f>
        <v/>
      </c>
      <c r="AA260" s="34">
        <f>SUMIFS('[1]GİP VERİLERİ'!$O:$O,'[1]GİP VERİLERİ'!$B:$B,A260,'[1]GİP VERİLERİ'!$M:$M,"40X000000104782K",'[1]GİP VERİLERİ'!$G:$G,"BUY")</f>
        <v/>
      </c>
      <c r="AB260" s="34">
        <f>'[1]GÖP VERİLERİ'!H261</f>
        <v/>
      </c>
      <c r="AC260" s="34">
        <f>'[1]GÖP VERİLERİ'!I261</f>
        <v/>
      </c>
      <c r="AD260" s="34">
        <f>IF(AB260&gt;AC260*1.05,AB260-AC260*1.05,IF(AB260&lt;AC260*0.95,AC260*0.95-AB260,0))</f>
        <v/>
      </c>
      <c r="AE260" s="34">
        <f>MAX(F260,G260,750)*0.05*AD260</f>
        <v/>
      </c>
      <c r="AF260" s="34">
        <f>'[1]GÖP VERİLERİ'!J261</f>
        <v/>
      </c>
      <c r="AG260" s="34">
        <f>IF(AB260&gt;AF260*1.05,AB260-AF260*1.05,IF(AB260&lt;AF260*0.95,AF260*0.95-AB260,0))</f>
        <v/>
      </c>
      <c r="AH260" s="34">
        <f>MAX(I260,J260,750)*0.05*AG260</f>
        <v/>
      </c>
      <c r="AI260">
        <f>'[1]GÖP VERİLERİ'!E261</f>
        <v/>
      </c>
      <c r="AJ260">
        <f>'[1]GÖP VERİLERİ'!F261</f>
        <v/>
      </c>
      <c r="AK260" s="34">
        <f>IF(AI260&gt;AJ260*1.05,AI260-AJ260*1.05,IF(AI260&lt;AJ260*0.95,AJ260*0.95-AI260,0))</f>
        <v/>
      </c>
      <c r="AL260" s="34">
        <f>MAX(F260,G260,750)*0.05*AK260</f>
        <v/>
      </c>
      <c r="AM260" s="39">
        <f>'[1]GÖP VERİLERİ'!G261</f>
        <v/>
      </c>
      <c r="AN260" s="34">
        <f>IF(AI260&gt;AM260*1.05,AI260-AM260*1.05,IF(AI260&lt;AM260*0.95,AM260*0.95-AI260,0))</f>
        <v/>
      </c>
      <c r="AO260" s="34">
        <f>MAX(F260,G260,750)*0.05*AN260</f>
        <v/>
      </c>
      <c r="AP260" s="34">
        <f>'[1]GÖP VERİLERİ'!B261</f>
        <v/>
      </c>
      <c r="AQ260" s="34">
        <f>'[1]GÖP VERİLERİ'!C261</f>
        <v/>
      </c>
      <c r="AR260" s="34">
        <f>IF(AP260&gt;AQ260*1.05,AP260-AQ260*1.05,IF(AP260&lt;AQ260*0.95,AQ260*0.95-AP260,0))</f>
        <v/>
      </c>
      <c r="AS260" s="34">
        <f>MAX(F260:G260,750)*0.05*AR260</f>
        <v/>
      </c>
      <c r="AT260">
        <f>'[1]GÖP VERİLERİ'!D261</f>
        <v/>
      </c>
      <c r="AU260" s="34">
        <f>IF(AP260&gt;AT260*1.05,AP260-AT260*1.05,IF(AP260&lt;AT260*0.95,AT260*0.95-AP260,0))</f>
        <v/>
      </c>
      <c r="AV260" s="34">
        <f>MAX(F260:G260,750)*0.05*AU260</f>
        <v/>
      </c>
      <c r="AW260" s="34">
        <f>AC260+AJ260+AQ260</f>
        <v/>
      </c>
      <c r="AX260" s="34">
        <f>AF260+AM260+AT260</f>
        <v/>
      </c>
      <c r="AY260" s="34">
        <f>AB260+AI260+AP260</f>
        <v/>
      </c>
      <c r="AZ260" s="34" t="n">
        <v>0</v>
      </c>
      <c r="BA260" s="34">
        <f>AD260+AK260+AR260</f>
        <v/>
      </c>
      <c r="BB260" s="34">
        <f>MAX(F260:G260,750)*0.05*BA260</f>
        <v/>
      </c>
      <c r="BC260" s="34">
        <f>AG260+AN260+AU260</f>
        <v/>
      </c>
      <c r="BD260" s="34">
        <f>MAX(F260:G260,750)*0.05*BC260</f>
        <v/>
      </c>
      <c r="BE260" s="34">
        <f>F260*AY260</f>
        <v/>
      </c>
      <c r="BF260" s="34">
        <f>K260-M260</f>
        <v/>
      </c>
      <c r="BG260" s="34">
        <f>P260-S260</f>
        <v/>
      </c>
      <c r="BH260" s="34">
        <f>W260-AA260</f>
        <v/>
      </c>
      <c r="BI260" s="34">
        <f>BF260+BG260+BL260-BN260</f>
        <v/>
      </c>
      <c r="BJ260" s="34">
        <f>ABS(BK260)</f>
        <v/>
      </c>
      <c r="BK260" s="34">
        <f>AY260-(J260-L260+N260-Q260)</f>
        <v/>
      </c>
      <c r="BL260" s="34">
        <f>IF(AND(BK260&gt;0,MIN($F260:$G260)&lt;150,$E260="Enerji Açığı"),-100*BK260*1.03,IF(AND(BK260&gt;0,MIN($F260:$G260)&lt;150,$E260="Enerji Fazlası"),-100*BK260*1.06,IF(AND(BK260&gt;0,MIN($F260:$G260)&gt;=150,$E260="Enerji Açığı"),BK260*MIN($F260:$G260)*0.97,IF(AND(BK260&gt;0,MIN($F260:$G260)&gt;=150,$E260="Enerji Fazlası"),BK260*MIN($F260:$G260)*0.94,IF(AND(BK260&lt;0,MAX($F260:$G260)=4500,$E260="Enerji Açığı"),4500*1.05*1.06*BK260,IF(AND(BK260&lt;0,MAX($F260:$G260)=4500,$E260="Enerji Fazlası"),4500*1.05*1.03*BK260,IF(AND(BK260&lt;0,$E260="Enerji Açığı"),MAX($F260,$G260,150)*BK260*1.06,IF(AND(BK260&lt;0,$E260="Enerji Fazlası"),MAX($F260,$G260,150)*BK260*1.03,IF(AND(BK260&lt;0,$E260="Dengede"),MAX($F260:$G260,150)*1.03*BK260,MIN($F260:$G260)*0.97*BK260)))))))))</f>
        <v/>
      </c>
      <c r="BM260" s="34">
        <f>BE260-BI260-BN260</f>
        <v/>
      </c>
      <c r="BN260" s="34">
        <f>BB260</f>
        <v/>
      </c>
      <c r="BO260" s="34">
        <f>BE260-BI260</f>
        <v/>
      </c>
      <c r="BP260" s="34">
        <f>IF(AY260=0,0,BO260/AY260)</f>
        <v/>
      </c>
      <c r="BQ260" s="34">
        <f>MAX((AY260+MAX((-J260+L260-N260+Q260),0)),(MAX((J260-L260+N260-Q260),0)))</f>
        <v/>
      </c>
      <c r="BR260" s="82">
        <f>IFERROR(ABS(BK260/BQ260),0)</f>
        <v/>
      </c>
      <c r="BS260" s="34">
        <f>IF(BR260&lt;=0.1,0,BK260/BR260*(BR260-0.1))</f>
        <v/>
      </c>
      <c r="BT260" s="34">
        <f>IF((BS260)&lt;0,MAX(F260:G260)*(BS260)*1.03,MIN(F260:G260)*(BS260)*0.97)</f>
        <v/>
      </c>
      <c r="BU260" s="34">
        <f>IF(BR260&gt;0.1,1,0)</f>
        <v/>
      </c>
      <c r="BV260" s="34">
        <f>BF260+BG260+BH260+BY260-CA260</f>
        <v/>
      </c>
      <c r="BW260" s="34">
        <f>ABS(BX260)</f>
        <v/>
      </c>
      <c r="BX260" s="34">
        <f>AY260-(J260-L260+N260-Q260+T260-X260)</f>
        <v/>
      </c>
      <c r="BY260" s="34">
        <f>IF(AND(BX260&gt;0,MIN($F260:$G260)&lt;150,$E260="Enerji Açığı"),-100*BX260*1.03,IF(AND(BX260&gt;0,MIN($F260:$G260)&lt;150,$E260="Enerji Fazlası"),-100*BX260*1.06,IF(AND(BX260&gt;0,MIN($F260:$G260)&gt;=150,$E260="Enerji Açığı"),BX260*MIN($F260:$G260)*0.97,IF(AND(BX260&gt;0,MIN($F260:$G260)&gt;=150,$E260="Enerji Fazlası"),BX260*MIN($F260:$G260)*0.94,IF(AND(BX260&lt;0,MAX($F260:$G260)=4500,$E260="Enerji Açığı"),4500*1.05*1.06*BX260,IF(AND(BX260&lt;0,MAX($F260:$G260)=4500,$E260="Enerji Fazlası"),4500*1.05*1.03*BX260,IF(AND(BX260&lt;0,$E260="Enerji Açığı"),MAX($F260,$G260,150)*BX260*1.06,IF(AND(BX260&lt;0,$E260="Enerji Fazlası"),MAX($F260,$G260,150)*BX260*1.03,IF(AND(BX260&lt;0,$E260="Dengede"),MAX($F260:$G260,150)*1.03*BX260,MIN($F260:$G260)*0.97*BX260)))))))))</f>
        <v/>
      </c>
      <c r="BZ260" s="34">
        <f>BE260-BV260-CA260</f>
        <v/>
      </c>
      <c r="CA260" s="34">
        <f>BD260</f>
        <v/>
      </c>
      <c r="CB260" s="33">
        <f>BE260-BV260</f>
        <v/>
      </c>
      <c r="CC260" s="34">
        <f>IF(AY260=0,0,CB260/AY260)</f>
        <v/>
      </c>
      <c r="CD260" s="34">
        <f>MAX((AY260+MAX((-J260+L260-N260+Q260-T260+X260),0)),(MAX((J260-L260+N260-Q260+T260-X260),0)))</f>
        <v/>
      </c>
      <c r="CE260" s="82">
        <f>IFERROR(ABS(BX260/CD260),0)</f>
        <v/>
      </c>
      <c r="CF260" s="34">
        <f>IF(CE260&lt;=0.1,0,BX260/CE260*(CE260-0.1))</f>
        <v/>
      </c>
      <c r="CG260" s="34">
        <f>IF((CF260)&lt;0,MAX(F260:G260)*(CF260)*1.03,MIN(F260:G260)*(CF260)*0.97)</f>
        <v/>
      </c>
      <c r="CH260" s="34">
        <f>IF(CE260&gt;0.1,1,0)</f>
        <v/>
      </c>
      <c r="CI260" s="34">
        <f>(F260*BX260)-BY260</f>
        <v/>
      </c>
      <c r="CJ260" s="34">
        <f>IF(AY260=0,0,CI260/AY260)</f>
        <v/>
      </c>
    </row>
    <row r="261">
      <c r="A261" s="29">
        <f>[1]FİYATLAR!A236</f>
        <v/>
      </c>
      <c r="B261" s="29">
        <f>[1]FİYATLAR!B236</f>
        <v/>
      </c>
      <c r="C261" s="35">
        <f>INT(A261)</f>
        <v/>
      </c>
      <c r="D261" s="36">
        <f>MONTH(A261)</f>
        <v/>
      </c>
      <c r="E261" s="147">
        <f>[1]FİYATLAR!G236</f>
        <v/>
      </c>
      <c r="F261" s="30">
        <f>[1]FİYATLAR!C236</f>
        <v/>
      </c>
      <c r="G261" s="30">
        <f>[1]FİYATLAR!E236</f>
        <v/>
      </c>
      <c r="H261" s="30">
        <f>[1]FİYATLAR!D236</f>
        <v/>
      </c>
      <c r="I261" s="30">
        <f>[1]FİYATLAR!F236</f>
        <v/>
      </c>
      <c r="J261" s="119" t="n">
        <v>0</v>
      </c>
      <c r="K261" s="34">
        <f>F261*J261</f>
        <v/>
      </c>
      <c r="L261" s="119" t="n"/>
      <c r="M261" s="34">
        <f>L261*F261</f>
        <v/>
      </c>
      <c r="N261" s="119" t="n"/>
      <c r="O261" s="34">
        <f>F261</f>
        <v/>
      </c>
      <c r="P261" s="34">
        <f>N261*O261</f>
        <v/>
      </c>
      <c r="Q261" s="117" t="n">
        <v>0</v>
      </c>
      <c r="R261" s="34">
        <f>F261</f>
        <v/>
      </c>
      <c r="S261" s="34">
        <f>R261*Q261</f>
        <v/>
      </c>
      <c r="T261" s="34">
        <f>SUMIFS('[1]GİP VERİLERİ'!$C:$C,'[1]GİP VERİLERİ'!$B:$B,A261,'[1]GİP VERİLERİ'!$M:$M,"40X000000104782K",'[1]GİP VERİLERİ'!$G:$G,"SELL")</f>
        <v/>
      </c>
      <c r="U261" s="34">
        <f>IFERROR(W261/T261,0)</f>
        <v/>
      </c>
      <c r="V261" s="34">
        <f>IF(U261=0,0,U261-F261)</f>
        <v/>
      </c>
      <c r="W261" s="34">
        <f>SUMIFS('[1]GİP VERİLERİ'!$O:$O,'[1]GİP VERİLERİ'!$B:$B,A261,'[1]GİP VERİLERİ'!$M:$M,"40X000000104782K",'[1]GİP VERİLERİ'!$G:$G,"SELL")</f>
        <v/>
      </c>
      <c r="X261" s="34">
        <f>SUMIFS('[1]GİP VERİLERİ'!$C:$C,'[1]GİP VERİLERİ'!$B:$B,A261,'[1]GİP VERİLERİ'!$M:$M,"40X000000104782K",'[1]GİP VERİLERİ'!$G:$G,"BUY")</f>
        <v/>
      </c>
      <c r="Y261" s="34">
        <f>IFERROR(AA261/X261,0)</f>
        <v/>
      </c>
      <c r="Z261" s="34">
        <f>IF(Y261=0,0,F261-Y261)</f>
        <v/>
      </c>
      <c r="AA261" s="34">
        <f>SUMIFS('[1]GİP VERİLERİ'!$O:$O,'[1]GİP VERİLERİ'!$B:$B,A261,'[1]GİP VERİLERİ'!$M:$M,"40X000000104782K",'[1]GİP VERİLERİ'!$G:$G,"BUY")</f>
        <v/>
      </c>
      <c r="AB261" s="34">
        <f>'[1]GÖP VERİLERİ'!H262</f>
        <v/>
      </c>
      <c r="AC261" s="34">
        <f>'[1]GÖP VERİLERİ'!I262</f>
        <v/>
      </c>
      <c r="AD261" s="34">
        <f>IF(AB261&gt;AC261*1.05,AB261-AC261*1.05,IF(AB261&lt;AC261*0.95,AC261*0.95-AB261,0))</f>
        <v/>
      </c>
      <c r="AE261" s="34">
        <f>MAX(F261,G261,750)*0.05*AD261</f>
        <v/>
      </c>
      <c r="AF261" s="34">
        <f>'[1]GÖP VERİLERİ'!J262</f>
        <v/>
      </c>
      <c r="AG261" s="34">
        <f>IF(AB261&gt;AF261*1.05,AB261-AF261*1.05,IF(AB261&lt;AF261*0.95,AF261*0.95-AB261,0))</f>
        <v/>
      </c>
      <c r="AH261" s="34">
        <f>MAX(I261,J261,750)*0.05*AG261</f>
        <v/>
      </c>
      <c r="AI261">
        <f>'[1]GÖP VERİLERİ'!E262</f>
        <v/>
      </c>
      <c r="AJ261">
        <f>'[1]GÖP VERİLERİ'!F262</f>
        <v/>
      </c>
      <c r="AK261" s="34">
        <f>IF(AI261&gt;AJ261*1.05,AI261-AJ261*1.05,IF(AI261&lt;AJ261*0.95,AJ261*0.95-AI261,0))</f>
        <v/>
      </c>
      <c r="AL261" s="34">
        <f>MAX(F261,G261,750)*0.05*AK261</f>
        <v/>
      </c>
      <c r="AM261" s="39">
        <f>'[1]GÖP VERİLERİ'!G262</f>
        <v/>
      </c>
      <c r="AN261" s="34">
        <f>IF(AI261&gt;AM261*1.05,AI261-AM261*1.05,IF(AI261&lt;AM261*0.95,AM261*0.95-AI261,0))</f>
        <v/>
      </c>
      <c r="AO261" s="34">
        <f>MAX(F261,G261,750)*0.05*AN261</f>
        <v/>
      </c>
      <c r="AP261" s="34">
        <f>'[1]GÖP VERİLERİ'!B262</f>
        <v/>
      </c>
      <c r="AQ261" s="34">
        <f>'[1]GÖP VERİLERİ'!C262</f>
        <v/>
      </c>
      <c r="AR261" s="34">
        <f>IF(AP261&gt;AQ261*1.05,AP261-AQ261*1.05,IF(AP261&lt;AQ261*0.95,AQ261*0.95-AP261,0))</f>
        <v/>
      </c>
      <c r="AS261" s="34">
        <f>MAX(F261:G261,750)*0.05*AR261</f>
        <v/>
      </c>
      <c r="AT261">
        <f>'[1]GÖP VERİLERİ'!D262</f>
        <v/>
      </c>
      <c r="AU261" s="34">
        <f>IF(AP261&gt;AT261*1.05,AP261-AT261*1.05,IF(AP261&lt;AT261*0.95,AT261*0.95-AP261,0))</f>
        <v/>
      </c>
      <c r="AV261" s="34">
        <f>MAX(F261:G261,750)*0.05*AU261</f>
        <v/>
      </c>
      <c r="AW261" s="34">
        <f>AC261+AJ261+AQ261</f>
        <v/>
      </c>
      <c r="AX261" s="34">
        <f>AF261+AM261+AT261</f>
        <v/>
      </c>
      <c r="AY261" s="34">
        <f>AB261+AI261+AP261</f>
        <v/>
      </c>
      <c r="AZ261" s="34" t="n">
        <v>0</v>
      </c>
      <c r="BA261" s="34">
        <f>AD261+AK261+AR261</f>
        <v/>
      </c>
      <c r="BB261" s="34">
        <f>MAX(F261:G261,750)*0.05*BA261</f>
        <v/>
      </c>
      <c r="BC261" s="34">
        <f>AG261+AN261+AU261</f>
        <v/>
      </c>
      <c r="BD261" s="34">
        <f>MAX(F261:G261,750)*0.05*BC261</f>
        <v/>
      </c>
      <c r="BE261" s="34">
        <f>F261*AY261</f>
        <v/>
      </c>
      <c r="BF261" s="34">
        <f>K261-M261</f>
        <v/>
      </c>
      <c r="BG261" s="34">
        <f>P261-S261</f>
        <v/>
      </c>
      <c r="BH261" s="34">
        <f>W261-AA261</f>
        <v/>
      </c>
      <c r="BI261" s="34">
        <f>BF261+BG261+BL261-BN261</f>
        <v/>
      </c>
      <c r="BJ261" s="34">
        <f>ABS(BK261)</f>
        <v/>
      </c>
      <c r="BK261" s="34">
        <f>AY261-(J261-L261+N261-Q261)</f>
        <v/>
      </c>
      <c r="BL261" s="34">
        <f>IF(AND(BK261&gt;0,MIN($F261:$G261)&lt;150,$E261="Enerji Açığı"),-100*BK261*1.03,IF(AND(BK261&gt;0,MIN($F261:$G261)&lt;150,$E261="Enerji Fazlası"),-100*BK261*1.06,IF(AND(BK261&gt;0,MIN($F261:$G261)&gt;=150,$E261="Enerji Açığı"),BK261*MIN($F261:$G261)*0.97,IF(AND(BK261&gt;0,MIN($F261:$G261)&gt;=150,$E261="Enerji Fazlası"),BK261*MIN($F261:$G261)*0.94,IF(AND(BK261&lt;0,MAX($F261:$G261)=4500,$E261="Enerji Açığı"),4500*1.05*1.06*BK261,IF(AND(BK261&lt;0,MAX($F261:$G261)=4500,$E261="Enerji Fazlası"),4500*1.05*1.03*BK261,IF(AND(BK261&lt;0,$E261="Enerji Açığı"),MAX($F261,$G261,150)*BK261*1.06,IF(AND(BK261&lt;0,$E261="Enerji Fazlası"),MAX($F261,$G261,150)*BK261*1.03,IF(AND(BK261&lt;0,$E261="Dengede"),MAX($F261:$G261,150)*1.03*BK261,MIN($F261:$G261)*0.97*BK261)))))))))</f>
        <v/>
      </c>
      <c r="BM261" s="34">
        <f>BE261-BI261-BN261</f>
        <v/>
      </c>
      <c r="BN261" s="34">
        <f>BB261</f>
        <v/>
      </c>
      <c r="BO261" s="34">
        <f>BE261-BI261</f>
        <v/>
      </c>
      <c r="BP261" s="34">
        <f>IF(AY261=0,0,BO261/AY261)</f>
        <v/>
      </c>
      <c r="BQ261" s="34">
        <f>MAX((AY261+MAX((-J261+L261-N261+Q261),0)),(MAX((J261-L261+N261-Q261),0)))</f>
        <v/>
      </c>
      <c r="BR261" s="82">
        <f>IFERROR(ABS(BK261/BQ261),0)</f>
        <v/>
      </c>
      <c r="BS261" s="34">
        <f>IF(BR261&lt;=0.1,0,BK261/BR261*(BR261-0.1))</f>
        <v/>
      </c>
      <c r="BT261" s="34">
        <f>IF((BS261)&lt;0,MAX(F261:G261)*(BS261)*1.03,MIN(F261:G261)*(BS261)*0.97)</f>
        <v/>
      </c>
      <c r="BU261" s="34">
        <f>IF(BR261&gt;0.1,1,0)</f>
        <v/>
      </c>
      <c r="BV261" s="34">
        <f>BF261+BG261+BH261+BY261-CA261</f>
        <v/>
      </c>
      <c r="BW261" s="34">
        <f>ABS(BX261)</f>
        <v/>
      </c>
      <c r="BX261" s="34">
        <f>AY261-(J261-L261+N261-Q261+T261-X261)</f>
        <v/>
      </c>
      <c r="BY261" s="34">
        <f>IF(AND(BX261&gt;0,MIN($F261:$G261)&lt;150,$E261="Enerji Açığı"),-100*BX261*1.03,IF(AND(BX261&gt;0,MIN($F261:$G261)&lt;150,$E261="Enerji Fazlası"),-100*BX261*1.06,IF(AND(BX261&gt;0,MIN($F261:$G261)&gt;=150,$E261="Enerji Açığı"),BX261*MIN($F261:$G261)*0.97,IF(AND(BX261&gt;0,MIN($F261:$G261)&gt;=150,$E261="Enerji Fazlası"),BX261*MIN($F261:$G261)*0.94,IF(AND(BX261&lt;0,MAX($F261:$G261)=4500,$E261="Enerji Açığı"),4500*1.05*1.06*BX261,IF(AND(BX261&lt;0,MAX($F261:$G261)=4500,$E261="Enerji Fazlası"),4500*1.05*1.03*BX261,IF(AND(BX261&lt;0,$E261="Enerji Açığı"),MAX($F261,$G261,150)*BX261*1.06,IF(AND(BX261&lt;0,$E261="Enerji Fazlası"),MAX($F261,$G261,150)*BX261*1.03,IF(AND(BX261&lt;0,$E261="Dengede"),MAX($F261:$G261,150)*1.03*BX261,MIN($F261:$G261)*0.97*BX261)))))))))</f>
        <v/>
      </c>
      <c r="BZ261" s="34">
        <f>BE261-BV261-CA261</f>
        <v/>
      </c>
      <c r="CA261" s="34">
        <f>BD261</f>
        <v/>
      </c>
      <c r="CB261" s="33">
        <f>BE261-BV261</f>
        <v/>
      </c>
      <c r="CC261" s="34">
        <f>IF(AY261=0,0,CB261/AY261)</f>
        <v/>
      </c>
      <c r="CD261" s="34">
        <f>MAX((AY261+MAX((-J261+L261-N261+Q261-T261+X261),0)),(MAX((J261-L261+N261-Q261+T261-X261),0)))</f>
        <v/>
      </c>
      <c r="CE261" s="82">
        <f>IFERROR(ABS(BX261/CD261),0)</f>
        <v/>
      </c>
      <c r="CF261" s="34">
        <f>IF(CE261&lt;=0.1,0,BX261/CE261*(CE261-0.1))</f>
        <v/>
      </c>
      <c r="CG261" s="34">
        <f>IF((CF261)&lt;0,MAX(F261:G261)*(CF261)*1.03,MIN(F261:G261)*(CF261)*0.97)</f>
        <v/>
      </c>
      <c r="CH261" s="34">
        <f>IF(CE261&gt;0.1,1,0)</f>
        <v/>
      </c>
      <c r="CI261" s="34">
        <f>(F261*BX261)-BY261</f>
        <v/>
      </c>
      <c r="CJ261" s="34">
        <f>IF(AY261=0,0,CI261/AY261)</f>
        <v/>
      </c>
    </row>
    <row r="262">
      <c r="A262" s="29">
        <f>[1]FİYATLAR!A237</f>
        <v/>
      </c>
      <c r="B262" s="29">
        <f>[1]FİYATLAR!B237</f>
        <v/>
      </c>
      <c r="C262" s="35">
        <f>INT(A262)</f>
        <v/>
      </c>
      <c r="D262" s="36">
        <f>MONTH(A262)</f>
        <v/>
      </c>
      <c r="E262" s="147">
        <f>[1]FİYATLAR!G237</f>
        <v/>
      </c>
      <c r="F262" s="30">
        <f>[1]FİYATLAR!C237</f>
        <v/>
      </c>
      <c r="G262" s="30">
        <f>[1]FİYATLAR!E237</f>
        <v/>
      </c>
      <c r="H262" s="30">
        <f>[1]FİYATLAR!D237</f>
        <v/>
      </c>
      <c r="I262" s="30">
        <f>[1]FİYATLAR!F237</f>
        <v/>
      </c>
      <c r="J262" s="119" t="n">
        <v>0</v>
      </c>
      <c r="K262" s="34">
        <f>F262*J262</f>
        <v/>
      </c>
      <c r="L262" s="119" t="n"/>
      <c r="M262" s="34">
        <f>L262*F262</f>
        <v/>
      </c>
      <c r="N262" s="119" t="n"/>
      <c r="O262" s="34">
        <f>F262</f>
        <v/>
      </c>
      <c r="P262" s="34">
        <f>N262*O262</f>
        <v/>
      </c>
      <c r="Q262" s="117" t="n">
        <v>0</v>
      </c>
      <c r="R262" s="34">
        <f>F262</f>
        <v/>
      </c>
      <c r="S262" s="34">
        <f>R262*Q262</f>
        <v/>
      </c>
      <c r="T262" s="34">
        <f>SUMIFS('[1]GİP VERİLERİ'!$C:$C,'[1]GİP VERİLERİ'!$B:$B,A262,'[1]GİP VERİLERİ'!$M:$M,"40X000000104782K",'[1]GİP VERİLERİ'!$G:$G,"SELL")</f>
        <v/>
      </c>
      <c r="U262" s="34">
        <f>IFERROR(W262/T262,0)</f>
        <v/>
      </c>
      <c r="V262" s="34">
        <f>IF(U262=0,0,U262-F262)</f>
        <v/>
      </c>
      <c r="W262" s="34">
        <f>SUMIFS('[1]GİP VERİLERİ'!$O:$O,'[1]GİP VERİLERİ'!$B:$B,A262,'[1]GİP VERİLERİ'!$M:$M,"40X000000104782K",'[1]GİP VERİLERİ'!$G:$G,"SELL")</f>
        <v/>
      </c>
      <c r="X262" s="34">
        <f>SUMIFS('[1]GİP VERİLERİ'!$C:$C,'[1]GİP VERİLERİ'!$B:$B,A262,'[1]GİP VERİLERİ'!$M:$M,"40X000000104782K",'[1]GİP VERİLERİ'!$G:$G,"BUY")</f>
        <v/>
      </c>
      <c r="Y262" s="34">
        <f>IFERROR(AA262/X262,0)</f>
        <v/>
      </c>
      <c r="Z262" s="34">
        <f>IF(Y262=0,0,F262-Y262)</f>
        <v/>
      </c>
      <c r="AA262" s="34">
        <f>SUMIFS('[1]GİP VERİLERİ'!$O:$O,'[1]GİP VERİLERİ'!$B:$B,A262,'[1]GİP VERİLERİ'!$M:$M,"40X000000104782K",'[1]GİP VERİLERİ'!$G:$G,"BUY")</f>
        <v/>
      </c>
      <c r="AB262" s="34">
        <f>'[1]GÖP VERİLERİ'!H263</f>
        <v/>
      </c>
      <c r="AC262" s="34">
        <f>'[1]GÖP VERİLERİ'!I263</f>
        <v/>
      </c>
      <c r="AD262" s="34">
        <f>IF(AB262&gt;AC262*1.05,AB262-AC262*1.05,IF(AB262&lt;AC262*0.95,AC262*0.95-AB262,0))</f>
        <v/>
      </c>
      <c r="AE262" s="34">
        <f>MAX(F262,G262,750)*0.05*AD262</f>
        <v/>
      </c>
      <c r="AF262" s="34">
        <f>'[1]GÖP VERİLERİ'!J263</f>
        <v/>
      </c>
      <c r="AG262" s="34">
        <f>IF(AB262&gt;AF262*1.05,AB262-AF262*1.05,IF(AB262&lt;AF262*0.95,AF262*0.95-AB262,0))</f>
        <v/>
      </c>
      <c r="AH262" s="34">
        <f>MAX(I262,J262,750)*0.05*AG262</f>
        <v/>
      </c>
      <c r="AI262">
        <f>'[1]GÖP VERİLERİ'!E263</f>
        <v/>
      </c>
      <c r="AJ262">
        <f>'[1]GÖP VERİLERİ'!F263</f>
        <v/>
      </c>
      <c r="AK262" s="34">
        <f>IF(AI262&gt;AJ262*1.05,AI262-AJ262*1.05,IF(AI262&lt;AJ262*0.95,AJ262*0.95-AI262,0))</f>
        <v/>
      </c>
      <c r="AL262" s="34">
        <f>MAX(F262,G262,750)*0.05*AK262</f>
        <v/>
      </c>
      <c r="AM262" s="39">
        <f>'[1]GÖP VERİLERİ'!G263</f>
        <v/>
      </c>
      <c r="AN262" s="34">
        <f>IF(AI262&gt;AM262*1.05,AI262-AM262*1.05,IF(AI262&lt;AM262*0.95,AM262*0.95-AI262,0))</f>
        <v/>
      </c>
      <c r="AO262" s="34">
        <f>MAX(F262,G262,750)*0.05*AN262</f>
        <v/>
      </c>
      <c r="AP262" s="34">
        <f>'[1]GÖP VERİLERİ'!B263</f>
        <v/>
      </c>
      <c r="AQ262" s="34">
        <f>'[1]GÖP VERİLERİ'!C263</f>
        <v/>
      </c>
      <c r="AR262" s="34">
        <f>IF(AP262&gt;AQ262*1.05,AP262-AQ262*1.05,IF(AP262&lt;AQ262*0.95,AQ262*0.95-AP262,0))</f>
        <v/>
      </c>
      <c r="AS262" s="34">
        <f>MAX(F262:G262,750)*0.05*AR262</f>
        <v/>
      </c>
      <c r="AT262">
        <f>'[1]GÖP VERİLERİ'!D263</f>
        <v/>
      </c>
      <c r="AU262" s="34">
        <f>IF(AP262&gt;AT262*1.05,AP262-AT262*1.05,IF(AP262&lt;AT262*0.95,AT262*0.95-AP262,0))</f>
        <v/>
      </c>
      <c r="AV262" s="34">
        <f>MAX(F262:G262,750)*0.05*AU262</f>
        <v/>
      </c>
      <c r="AW262" s="34">
        <f>AC262+AJ262+AQ262</f>
        <v/>
      </c>
      <c r="AX262" s="34">
        <f>AF262+AM262+AT262</f>
        <v/>
      </c>
      <c r="AY262" s="34">
        <f>AB262+AI262+AP262</f>
        <v/>
      </c>
      <c r="AZ262" s="34" t="n">
        <v>0</v>
      </c>
      <c r="BA262" s="34">
        <f>AD262+AK262+AR262</f>
        <v/>
      </c>
      <c r="BB262" s="34">
        <f>MAX(F262:G262,750)*0.05*BA262</f>
        <v/>
      </c>
      <c r="BC262" s="34">
        <f>AG262+AN262+AU262</f>
        <v/>
      </c>
      <c r="BD262" s="34">
        <f>MAX(F262:G262,750)*0.05*BC262</f>
        <v/>
      </c>
      <c r="BE262" s="34">
        <f>F262*AY262</f>
        <v/>
      </c>
      <c r="BF262" s="34">
        <f>K262-M262</f>
        <v/>
      </c>
      <c r="BG262" s="34">
        <f>P262-S262</f>
        <v/>
      </c>
      <c r="BH262" s="34">
        <f>W262-AA262</f>
        <v/>
      </c>
      <c r="BI262" s="34">
        <f>BF262+BG262+BL262-BN262</f>
        <v/>
      </c>
      <c r="BJ262" s="34">
        <f>ABS(BK262)</f>
        <v/>
      </c>
      <c r="BK262" s="34">
        <f>AY262-(J262-L262+N262-Q262)</f>
        <v/>
      </c>
      <c r="BL262" s="34">
        <f>IF(AND(BK262&gt;0,MIN($F262:$G262)&lt;150,$E262="Enerji Açığı"),-100*BK262*1.03,IF(AND(BK262&gt;0,MIN($F262:$G262)&lt;150,$E262="Enerji Fazlası"),-100*BK262*1.06,IF(AND(BK262&gt;0,MIN($F262:$G262)&gt;=150,$E262="Enerji Açığı"),BK262*MIN($F262:$G262)*0.97,IF(AND(BK262&gt;0,MIN($F262:$G262)&gt;=150,$E262="Enerji Fazlası"),BK262*MIN($F262:$G262)*0.94,IF(AND(BK262&lt;0,MAX($F262:$G262)=4500,$E262="Enerji Açığı"),4500*1.05*1.06*BK262,IF(AND(BK262&lt;0,MAX($F262:$G262)=4500,$E262="Enerji Fazlası"),4500*1.05*1.03*BK262,IF(AND(BK262&lt;0,$E262="Enerji Açığı"),MAX($F262,$G262,150)*BK262*1.06,IF(AND(BK262&lt;0,$E262="Enerji Fazlası"),MAX($F262,$G262,150)*BK262*1.03,IF(AND(BK262&lt;0,$E262="Dengede"),MAX($F262:$G262,150)*1.03*BK262,MIN($F262:$G262)*0.97*BK262)))))))))</f>
        <v/>
      </c>
      <c r="BM262" s="34">
        <f>BE262-BI262-BN262</f>
        <v/>
      </c>
      <c r="BN262" s="34">
        <f>BB262</f>
        <v/>
      </c>
      <c r="BO262" s="34">
        <f>BE262-BI262</f>
        <v/>
      </c>
      <c r="BP262" s="34">
        <f>IF(AY262=0,0,BO262/AY262)</f>
        <v/>
      </c>
      <c r="BQ262" s="34">
        <f>MAX((AY262+MAX((-J262+L262-N262+Q262),0)),(MAX((J262-L262+N262-Q262),0)))</f>
        <v/>
      </c>
      <c r="BR262" s="82">
        <f>IFERROR(ABS(BK262/BQ262),0)</f>
        <v/>
      </c>
      <c r="BS262" s="34">
        <f>IF(BR262&lt;=0.1,0,BK262/BR262*(BR262-0.1))</f>
        <v/>
      </c>
      <c r="BT262" s="34">
        <f>IF((BS262)&lt;0,MAX(F262:G262)*(BS262)*1.03,MIN(F262:G262)*(BS262)*0.97)</f>
        <v/>
      </c>
      <c r="BU262" s="34">
        <f>IF(BR262&gt;0.1,1,0)</f>
        <v/>
      </c>
      <c r="BV262" s="34">
        <f>BF262+BG262+BH262+BY262-CA262</f>
        <v/>
      </c>
      <c r="BW262" s="34">
        <f>ABS(BX262)</f>
        <v/>
      </c>
      <c r="BX262" s="34">
        <f>AY262-(J262-L262+N262-Q262+T262-X262)</f>
        <v/>
      </c>
      <c r="BY262" s="34">
        <f>IF(AND(BX262&gt;0,MIN($F262:$G262)&lt;150,$E262="Enerji Açığı"),-100*BX262*1.03,IF(AND(BX262&gt;0,MIN($F262:$G262)&lt;150,$E262="Enerji Fazlası"),-100*BX262*1.06,IF(AND(BX262&gt;0,MIN($F262:$G262)&gt;=150,$E262="Enerji Açığı"),BX262*MIN($F262:$G262)*0.97,IF(AND(BX262&gt;0,MIN($F262:$G262)&gt;=150,$E262="Enerji Fazlası"),BX262*MIN($F262:$G262)*0.94,IF(AND(BX262&lt;0,MAX($F262:$G262)=4500,$E262="Enerji Açığı"),4500*1.05*1.06*BX262,IF(AND(BX262&lt;0,MAX($F262:$G262)=4500,$E262="Enerji Fazlası"),4500*1.05*1.03*BX262,IF(AND(BX262&lt;0,$E262="Enerji Açığı"),MAX($F262,$G262,150)*BX262*1.06,IF(AND(BX262&lt;0,$E262="Enerji Fazlası"),MAX($F262,$G262,150)*BX262*1.03,IF(AND(BX262&lt;0,$E262="Dengede"),MAX($F262:$G262,150)*1.03*BX262,MIN($F262:$G262)*0.97*BX262)))))))))</f>
        <v/>
      </c>
      <c r="BZ262" s="34">
        <f>BE262-BV262-CA262</f>
        <v/>
      </c>
      <c r="CA262" s="34">
        <f>BD262</f>
        <v/>
      </c>
      <c r="CB262" s="33">
        <f>BE262-BV262</f>
        <v/>
      </c>
      <c r="CC262" s="34">
        <f>IF(AY262=0,0,CB262/AY262)</f>
        <v/>
      </c>
      <c r="CD262" s="34">
        <f>MAX((AY262+MAX((-J262+L262-N262+Q262-T262+X262),0)),(MAX((J262-L262+N262-Q262+T262-X262),0)))</f>
        <v/>
      </c>
      <c r="CE262" s="82">
        <f>IFERROR(ABS(BX262/CD262),0)</f>
        <v/>
      </c>
      <c r="CF262" s="34">
        <f>IF(CE262&lt;=0.1,0,BX262/CE262*(CE262-0.1))</f>
        <v/>
      </c>
      <c r="CG262" s="34">
        <f>IF((CF262)&lt;0,MAX(F262:G262)*(CF262)*1.03,MIN(F262:G262)*(CF262)*0.97)</f>
        <v/>
      </c>
      <c r="CH262" s="34">
        <f>IF(CE262&gt;0.1,1,0)</f>
        <v/>
      </c>
      <c r="CI262" s="34">
        <f>(F262*BX262)-BY262</f>
        <v/>
      </c>
      <c r="CJ262" s="34">
        <f>IF(AY262=0,0,CI262/AY262)</f>
        <v/>
      </c>
    </row>
    <row r="263">
      <c r="A263" s="29">
        <f>[1]FİYATLAR!A238</f>
        <v/>
      </c>
      <c r="B263" s="29">
        <f>[1]FİYATLAR!B238</f>
        <v/>
      </c>
      <c r="C263" s="35">
        <f>INT(A263)</f>
        <v/>
      </c>
      <c r="D263" s="36">
        <f>MONTH(A263)</f>
        <v/>
      </c>
      <c r="E263" s="147">
        <f>[1]FİYATLAR!G238</f>
        <v/>
      </c>
      <c r="F263" s="30">
        <f>[1]FİYATLAR!C238</f>
        <v/>
      </c>
      <c r="G263" s="30">
        <f>[1]FİYATLAR!E238</f>
        <v/>
      </c>
      <c r="H263" s="30">
        <f>[1]FİYATLAR!D238</f>
        <v/>
      </c>
      <c r="I263" s="30">
        <f>[1]FİYATLAR!F238</f>
        <v/>
      </c>
      <c r="J263" s="119" t="n">
        <v>0</v>
      </c>
      <c r="K263" s="34">
        <f>F263*J263</f>
        <v/>
      </c>
      <c r="L263" s="119" t="n"/>
      <c r="M263" s="34">
        <f>L263*F263</f>
        <v/>
      </c>
      <c r="N263" s="119" t="n"/>
      <c r="O263" s="34">
        <f>F263</f>
        <v/>
      </c>
      <c r="P263" s="34">
        <f>N263*O263</f>
        <v/>
      </c>
      <c r="Q263" s="117" t="n">
        <v>0</v>
      </c>
      <c r="R263" s="34">
        <f>F263</f>
        <v/>
      </c>
      <c r="S263" s="34">
        <f>R263*Q263</f>
        <v/>
      </c>
      <c r="T263" s="34">
        <f>SUMIFS('[1]GİP VERİLERİ'!$C:$C,'[1]GİP VERİLERİ'!$B:$B,A263,'[1]GİP VERİLERİ'!$M:$M,"40X000000104782K",'[1]GİP VERİLERİ'!$G:$G,"SELL")</f>
        <v/>
      </c>
      <c r="U263" s="34">
        <f>IFERROR(W263/T263,0)</f>
        <v/>
      </c>
      <c r="V263" s="34">
        <f>IF(U263=0,0,U263-F263)</f>
        <v/>
      </c>
      <c r="W263" s="34">
        <f>SUMIFS('[1]GİP VERİLERİ'!$O:$O,'[1]GİP VERİLERİ'!$B:$B,A263,'[1]GİP VERİLERİ'!$M:$M,"40X000000104782K",'[1]GİP VERİLERİ'!$G:$G,"SELL")</f>
        <v/>
      </c>
      <c r="X263" s="34">
        <f>SUMIFS('[1]GİP VERİLERİ'!$C:$C,'[1]GİP VERİLERİ'!$B:$B,A263,'[1]GİP VERİLERİ'!$M:$M,"40X000000104782K",'[1]GİP VERİLERİ'!$G:$G,"BUY")</f>
        <v/>
      </c>
      <c r="Y263" s="34">
        <f>IFERROR(AA263/X263,0)</f>
        <v/>
      </c>
      <c r="Z263" s="34">
        <f>IF(Y263=0,0,F263-Y263)</f>
        <v/>
      </c>
      <c r="AA263" s="34">
        <f>SUMIFS('[1]GİP VERİLERİ'!$O:$O,'[1]GİP VERİLERİ'!$B:$B,A263,'[1]GİP VERİLERİ'!$M:$M,"40X000000104782K",'[1]GİP VERİLERİ'!$G:$G,"BUY")</f>
        <v/>
      </c>
      <c r="AB263" s="34">
        <f>'[1]GÖP VERİLERİ'!H264</f>
        <v/>
      </c>
      <c r="AC263" s="34">
        <f>'[1]GÖP VERİLERİ'!I264</f>
        <v/>
      </c>
      <c r="AD263" s="34">
        <f>IF(AB263&gt;AC263*1.05,AB263-AC263*1.05,IF(AB263&lt;AC263*0.95,AC263*0.95-AB263,0))</f>
        <v/>
      </c>
      <c r="AE263" s="34">
        <f>MAX(F263,G263,750)*0.05*AD263</f>
        <v/>
      </c>
      <c r="AF263" s="34">
        <f>'[1]GÖP VERİLERİ'!J264</f>
        <v/>
      </c>
      <c r="AG263" s="34">
        <f>IF(AB263&gt;AF263*1.05,AB263-AF263*1.05,IF(AB263&lt;AF263*0.95,AF263*0.95-AB263,0))</f>
        <v/>
      </c>
      <c r="AH263" s="34">
        <f>MAX(I263,J263,750)*0.05*AG263</f>
        <v/>
      </c>
      <c r="AI263">
        <f>'[1]GÖP VERİLERİ'!E264</f>
        <v/>
      </c>
      <c r="AJ263">
        <f>'[1]GÖP VERİLERİ'!F264</f>
        <v/>
      </c>
      <c r="AK263" s="34">
        <f>IF(AI263&gt;AJ263*1.05,AI263-AJ263*1.05,IF(AI263&lt;AJ263*0.95,AJ263*0.95-AI263,0))</f>
        <v/>
      </c>
      <c r="AL263" s="34">
        <f>MAX(F263,G263,750)*0.05*AK263</f>
        <v/>
      </c>
      <c r="AM263" s="39">
        <f>'[1]GÖP VERİLERİ'!G264</f>
        <v/>
      </c>
      <c r="AN263" s="34">
        <f>IF(AI263&gt;AM263*1.05,AI263-AM263*1.05,IF(AI263&lt;AM263*0.95,AM263*0.95-AI263,0))</f>
        <v/>
      </c>
      <c r="AO263" s="34">
        <f>MAX(F263,G263,750)*0.05*AN263</f>
        <v/>
      </c>
      <c r="AP263" s="34">
        <f>'[1]GÖP VERİLERİ'!B264</f>
        <v/>
      </c>
      <c r="AQ263" s="34">
        <f>'[1]GÖP VERİLERİ'!C264</f>
        <v/>
      </c>
      <c r="AR263" s="34">
        <f>IF(AP263&gt;AQ263*1.05,AP263-AQ263*1.05,IF(AP263&lt;AQ263*0.95,AQ263*0.95-AP263,0))</f>
        <v/>
      </c>
      <c r="AS263" s="34">
        <f>MAX(F263:G263,750)*0.05*AR263</f>
        <v/>
      </c>
      <c r="AT263">
        <f>'[1]GÖP VERİLERİ'!D264</f>
        <v/>
      </c>
      <c r="AU263" s="34">
        <f>IF(AP263&gt;AT263*1.05,AP263-AT263*1.05,IF(AP263&lt;AT263*0.95,AT263*0.95-AP263,0))</f>
        <v/>
      </c>
      <c r="AV263" s="34">
        <f>MAX(F263:G263,750)*0.05*AU263</f>
        <v/>
      </c>
      <c r="AW263" s="34">
        <f>AC263+AJ263+AQ263</f>
        <v/>
      </c>
      <c r="AX263" s="34">
        <f>AF263+AM263+AT263</f>
        <v/>
      </c>
      <c r="AY263" s="34">
        <f>AB263+AI263+AP263</f>
        <v/>
      </c>
      <c r="AZ263" s="34" t="n">
        <v>0</v>
      </c>
      <c r="BA263" s="34">
        <f>AD263+AK263+AR263</f>
        <v/>
      </c>
      <c r="BB263" s="34">
        <f>MAX(F263:G263,750)*0.05*BA263</f>
        <v/>
      </c>
      <c r="BC263" s="34">
        <f>AG263+AN263+AU263</f>
        <v/>
      </c>
      <c r="BD263" s="34">
        <f>MAX(F263:G263,750)*0.05*BC263</f>
        <v/>
      </c>
      <c r="BE263" s="34">
        <f>F263*AY263</f>
        <v/>
      </c>
      <c r="BF263" s="34">
        <f>K263-M263</f>
        <v/>
      </c>
      <c r="BG263" s="34">
        <f>P263-S263</f>
        <v/>
      </c>
      <c r="BH263" s="34">
        <f>W263-AA263</f>
        <v/>
      </c>
      <c r="BI263" s="34">
        <f>BF263+BG263+BL263-BN263</f>
        <v/>
      </c>
      <c r="BJ263" s="34">
        <f>ABS(BK263)</f>
        <v/>
      </c>
      <c r="BK263" s="34">
        <f>AY263-(J263-L263+N263-Q263)</f>
        <v/>
      </c>
      <c r="BL263" s="34">
        <f>IF(AND(BK263&gt;0,MIN($F263:$G263)&lt;150,$E263="Enerji Açığı"),-100*BK263*1.03,IF(AND(BK263&gt;0,MIN($F263:$G263)&lt;150,$E263="Enerji Fazlası"),-100*BK263*1.06,IF(AND(BK263&gt;0,MIN($F263:$G263)&gt;=150,$E263="Enerji Açığı"),BK263*MIN($F263:$G263)*0.97,IF(AND(BK263&gt;0,MIN($F263:$G263)&gt;=150,$E263="Enerji Fazlası"),BK263*MIN($F263:$G263)*0.94,IF(AND(BK263&lt;0,MAX($F263:$G263)=4500,$E263="Enerji Açığı"),4500*1.05*1.06*BK263,IF(AND(BK263&lt;0,MAX($F263:$G263)=4500,$E263="Enerji Fazlası"),4500*1.05*1.03*BK263,IF(AND(BK263&lt;0,$E263="Enerji Açığı"),MAX($F263,$G263,150)*BK263*1.06,IF(AND(BK263&lt;0,$E263="Enerji Fazlası"),MAX($F263,$G263,150)*BK263*1.03,IF(AND(BK263&lt;0,$E263="Dengede"),MAX($F263:$G263,150)*1.03*BK263,MIN($F263:$G263)*0.97*BK263)))))))))</f>
        <v/>
      </c>
      <c r="BM263" s="34">
        <f>BE263-BI263-BN263</f>
        <v/>
      </c>
      <c r="BN263" s="34">
        <f>BB263</f>
        <v/>
      </c>
      <c r="BO263" s="34">
        <f>BE263-BI263</f>
        <v/>
      </c>
      <c r="BP263" s="34">
        <f>IF(AY263=0,0,BO263/AY263)</f>
        <v/>
      </c>
      <c r="BQ263" s="34">
        <f>MAX((AY263+MAX((-J263+L263-N263+Q263),0)),(MAX((J263-L263+N263-Q263),0)))</f>
        <v/>
      </c>
      <c r="BR263" s="82">
        <f>IFERROR(ABS(BK263/BQ263),0)</f>
        <v/>
      </c>
      <c r="BS263" s="34">
        <f>IF(BR263&lt;=0.1,0,BK263/BR263*(BR263-0.1))</f>
        <v/>
      </c>
      <c r="BT263" s="34">
        <f>IF((BS263)&lt;0,MAX(F263:G263)*(BS263)*1.03,MIN(F263:G263)*(BS263)*0.97)</f>
        <v/>
      </c>
      <c r="BU263" s="34">
        <f>IF(BR263&gt;0.1,1,0)</f>
        <v/>
      </c>
      <c r="BV263" s="34">
        <f>BF263+BG263+BH263+BY263-CA263</f>
        <v/>
      </c>
      <c r="BW263" s="34">
        <f>ABS(BX263)</f>
        <v/>
      </c>
      <c r="BX263" s="34">
        <f>AY263-(J263-L263+N263-Q263+T263-X263)</f>
        <v/>
      </c>
      <c r="BY263" s="34">
        <f>IF(AND(BX263&gt;0,MIN($F263:$G263)&lt;150,$E263="Enerji Açığı"),-100*BX263*1.03,IF(AND(BX263&gt;0,MIN($F263:$G263)&lt;150,$E263="Enerji Fazlası"),-100*BX263*1.06,IF(AND(BX263&gt;0,MIN($F263:$G263)&gt;=150,$E263="Enerji Açığı"),BX263*MIN($F263:$G263)*0.97,IF(AND(BX263&gt;0,MIN($F263:$G263)&gt;=150,$E263="Enerji Fazlası"),BX263*MIN($F263:$G263)*0.94,IF(AND(BX263&lt;0,MAX($F263:$G263)=4500,$E263="Enerji Açığı"),4500*1.05*1.06*BX263,IF(AND(BX263&lt;0,MAX($F263:$G263)=4500,$E263="Enerji Fazlası"),4500*1.05*1.03*BX263,IF(AND(BX263&lt;0,$E263="Enerji Açığı"),MAX($F263,$G263,150)*BX263*1.06,IF(AND(BX263&lt;0,$E263="Enerji Fazlası"),MAX($F263,$G263,150)*BX263*1.03,IF(AND(BX263&lt;0,$E263="Dengede"),MAX($F263:$G263,150)*1.03*BX263,MIN($F263:$G263)*0.97*BX263)))))))))</f>
        <v/>
      </c>
      <c r="BZ263" s="34">
        <f>BE263-BV263-CA263</f>
        <v/>
      </c>
      <c r="CA263" s="34">
        <f>BD263</f>
        <v/>
      </c>
      <c r="CB263" s="33">
        <f>BE263-BV263</f>
        <v/>
      </c>
      <c r="CC263" s="34">
        <f>IF(AY263=0,0,CB263/AY263)</f>
        <v/>
      </c>
      <c r="CD263" s="34">
        <f>MAX((AY263+MAX((-J263+L263-N263+Q263-T263+X263),0)),(MAX((J263-L263+N263-Q263+T263-X263),0)))</f>
        <v/>
      </c>
      <c r="CE263" s="82">
        <f>IFERROR(ABS(BX263/CD263),0)</f>
        <v/>
      </c>
      <c r="CF263" s="34">
        <f>IF(CE263&lt;=0.1,0,BX263/CE263*(CE263-0.1))</f>
        <v/>
      </c>
      <c r="CG263" s="34">
        <f>IF((CF263)&lt;0,MAX(F263:G263)*(CF263)*1.03,MIN(F263:G263)*(CF263)*0.97)</f>
        <v/>
      </c>
      <c r="CH263" s="34">
        <f>IF(CE263&gt;0.1,1,0)</f>
        <v/>
      </c>
      <c r="CI263" s="34">
        <f>(F263*BX263)-BY263</f>
        <v/>
      </c>
      <c r="CJ263" s="34">
        <f>IF(AY263=0,0,CI263/AY263)</f>
        <v/>
      </c>
    </row>
    <row r="264">
      <c r="A264" s="29">
        <f>[1]FİYATLAR!A239</f>
        <v/>
      </c>
      <c r="B264" s="29">
        <f>[1]FİYATLAR!B239</f>
        <v/>
      </c>
      <c r="C264" s="35">
        <f>INT(A264)</f>
        <v/>
      </c>
      <c r="D264" s="36">
        <f>MONTH(A264)</f>
        <v/>
      </c>
      <c r="E264" s="147">
        <f>[1]FİYATLAR!G239</f>
        <v/>
      </c>
      <c r="F264" s="30">
        <f>[1]FİYATLAR!C239</f>
        <v/>
      </c>
      <c r="G264" s="30">
        <f>[1]FİYATLAR!E239</f>
        <v/>
      </c>
      <c r="H264" s="30">
        <f>[1]FİYATLAR!D239</f>
        <v/>
      </c>
      <c r="I264" s="30">
        <f>[1]FİYATLAR!F239</f>
        <v/>
      </c>
      <c r="J264" s="119" t="n">
        <v>0</v>
      </c>
      <c r="K264" s="34">
        <f>F264*J264</f>
        <v/>
      </c>
      <c r="L264" s="119" t="n"/>
      <c r="M264" s="34">
        <f>L264*F264</f>
        <v/>
      </c>
      <c r="N264" s="119" t="n"/>
      <c r="O264" s="34">
        <f>F264</f>
        <v/>
      </c>
      <c r="P264" s="34">
        <f>N264*O264</f>
        <v/>
      </c>
      <c r="Q264" s="117" t="n">
        <v>0</v>
      </c>
      <c r="R264" s="34">
        <f>F264</f>
        <v/>
      </c>
      <c r="S264" s="34">
        <f>R264*Q264</f>
        <v/>
      </c>
      <c r="T264" s="34">
        <f>SUMIFS('[1]GİP VERİLERİ'!$C:$C,'[1]GİP VERİLERİ'!$B:$B,A264,'[1]GİP VERİLERİ'!$M:$M,"40X000000104782K",'[1]GİP VERİLERİ'!$G:$G,"SELL")</f>
        <v/>
      </c>
      <c r="U264" s="34">
        <f>IFERROR(W264/T264,0)</f>
        <v/>
      </c>
      <c r="V264" s="34">
        <f>IF(U264=0,0,U264-F264)</f>
        <v/>
      </c>
      <c r="W264" s="34">
        <f>SUMIFS('[1]GİP VERİLERİ'!$O:$O,'[1]GİP VERİLERİ'!$B:$B,A264,'[1]GİP VERİLERİ'!$M:$M,"40X000000104782K",'[1]GİP VERİLERİ'!$G:$G,"SELL")</f>
        <v/>
      </c>
      <c r="X264" s="34">
        <f>SUMIFS('[1]GİP VERİLERİ'!$C:$C,'[1]GİP VERİLERİ'!$B:$B,A264,'[1]GİP VERİLERİ'!$M:$M,"40X000000104782K",'[1]GİP VERİLERİ'!$G:$G,"BUY")</f>
        <v/>
      </c>
      <c r="Y264" s="34">
        <f>IFERROR(AA264/X264,0)</f>
        <v/>
      </c>
      <c r="Z264" s="34">
        <f>IF(Y264=0,0,F264-Y264)</f>
        <v/>
      </c>
      <c r="AA264" s="34">
        <f>SUMIFS('[1]GİP VERİLERİ'!$O:$O,'[1]GİP VERİLERİ'!$B:$B,A264,'[1]GİP VERİLERİ'!$M:$M,"40X000000104782K",'[1]GİP VERİLERİ'!$G:$G,"BUY")</f>
        <v/>
      </c>
      <c r="AB264" s="34">
        <f>'[1]GÖP VERİLERİ'!H265</f>
        <v/>
      </c>
      <c r="AC264" s="34">
        <f>'[1]GÖP VERİLERİ'!I265</f>
        <v/>
      </c>
      <c r="AD264" s="34">
        <f>IF(AB264&gt;AC264*1.05,AB264-AC264*1.05,IF(AB264&lt;AC264*0.95,AC264*0.95-AB264,0))</f>
        <v/>
      </c>
      <c r="AE264" s="34">
        <f>MAX(F264,G264,750)*0.05*AD264</f>
        <v/>
      </c>
      <c r="AF264" s="34">
        <f>'[1]GÖP VERİLERİ'!J265</f>
        <v/>
      </c>
      <c r="AG264" s="34">
        <f>IF(AB264&gt;AF264*1.05,AB264-AF264*1.05,IF(AB264&lt;AF264*0.95,AF264*0.95-AB264,0))</f>
        <v/>
      </c>
      <c r="AH264" s="34">
        <f>MAX(I264,J264,750)*0.05*AG264</f>
        <v/>
      </c>
      <c r="AI264">
        <f>'[1]GÖP VERİLERİ'!E265</f>
        <v/>
      </c>
      <c r="AJ264">
        <f>'[1]GÖP VERİLERİ'!F265</f>
        <v/>
      </c>
      <c r="AK264" s="34">
        <f>IF(AI264&gt;AJ264*1.05,AI264-AJ264*1.05,IF(AI264&lt;AJ264*0.95,AJ264*0.95-AI264,0))</f>
        <v/>
      </c>
      <c r="AL264" s="34">
        <f>MAX(F264,G264,750)*0.05*AK264</f>
        <v/>
      </c>
      <c r="AM264" s="39">
        <f>'[1]GÖP VERİLERİ'!G265</f>
        <v/>
      </c>
      <c r="AN264" s="34">
        <f>IF(AI264&gt;AM264*1.05,AI264-AM264*1.05,IF(AI264&lt;AM264*0.95,AM264*0.95-AI264,0))</f>
        <v/>
      </c>
      <c r="AO264" s="34">
        <f>MAX(F264,G264,750)*0.05*AN264</f>
        <v/>
      </c>
      <c r="AP264" s="34">
        <f>'[1]GÖP VERİLERİ'!B265</f>
        <v/>
      </c>
      <c r="AQ264" s="34">
        <f>'[1]GÖP VERİLERİ'!C265</f>
        <v/>
      </c>
      <c r="AR264" s="34">
        <f>IF(AP264&gt;AQ264*1.05,AP264-AQ264*1.05,IF(AP264&lt;AQ264*0.95,AQ264*0.95-AP264,0))</f>
        <v/>
      </c>
      <c r="AS264" s="34">
        <f>MAX(F264:G264,750)*0.05*AR264</f>
        <v/>
      </c>
      <c r="AT264">
        <f>'[1]GÖP VERİLERİ'!D265</f>
        <v/>
      </c>
      <c r="AU264" s="34">
        <f>IF(AP264&gt;AT264*1.05,AP264-AT264*1.05,IF(AP264&lt;AT264*0.95,AT264*0.95-AP264,0))</f>
        <v/>
      </c>
      <c r="AV264" s="34">
        <f>MAX(F264:G264,750)*0.05*AU264</f>
        <v/>
      </c>
      <c r="AW264" s="34">
        <f>AC264+AJ264+AQ264</f>
        <v/>
      </c>
      <c r="AX264" s="34">
        <f>AF264+AM264+AT264</f>
        <v/>
      </c>
      <c r="AY264" s="34">
        <f>AB264+AI264+AP264</f>
        <v/>
      </c>
      <c r="AZ264" s="34" t="n">
        <v>0</v>
      </c>
      <c r="BA264" s="34">
        <f>AD264+AK264+AR264</f>
        <v/>
      </c>
      <c r="BB264" s="34">
        <f>MAX(F264:G264,750)*0.05*BA264</f>
        <v/>
      </c>
      <c r="BC264" s="34">
        <f>AG264+AN264+AU264</f>
        <v/>
      </c>
      <c r="BD264" s="34">
        <f>MAX(F264:G264,750)*0.05*BC264</f>
        <v/>
      </c>
      <c r="BE264" s="34">
        <f>F264*AY264</f>
        <v/>
      </c>
      <c r="BF264" s="34">
        <f>K264-M264</f>
        <v/>
      </c>
      <c r="BG264" s="34">
        <f>P264-S264</f>
        <v/>
      </c>
      <c r="BH264" s="34">
        <f>W264-AA264</f>
        <v/>
      </c>
      <c r="BI264" s="34">
        <f>BF264+BG264+BL264-BN264</f>
        <v/>
      </c>
      <c r="BJ264" s="34">
        <f>ABS(BK264)</f>
        <v/>
      </c>
      <c r="BK264" s="34">
        <f>AY264-(J264-L264+N264-Q264)</f>
        <v/>
      </c>
      <c r="BL264" s="34">
        <f>IF(AND(BK264&gt;0,MIN($F264:$G264)&lt;150,$E264="Enerji Açığı"),-100*BK264*1.03,IF(AND(BK264&gt;0,MIN($F264:$G264)&lt;150,$E264="Enerji Fazlası"),-100*BK264*1.06,IF(AND(BK264&gt;0,MIN($F264:$G264)&gt;=150,$E264="Enerji Açığı"),BK264*MIN($F264:$G264)*0.97,IF(AND(BK264&gt;0,MIN($F264:$G264)&gt;=150,$E264="Enerji Fazlası"),BK264*MIN($F264:$G264)*0.94,IF(AND(BK264&lt;0,MAX($F264:$G264)=4500,$E264="Enerji Açığı"),4500*1.05*1.06*BK264,IF(AND(BK264&lt;0,MAX($F264:$G264)=4500,$E264="Enerji Fazlası"),4500*1.05*1.03*BK264,IF(AND(BK264&lt;0,$E264="Enerji Açığı"),MAX($F264,$G264,150)*BK264*1.06,IF(AND(BK264&lt;0,$E264="Enerji Fazlası"),MAX($F264,$G264,150)*BK264*1.03,IF(AND(BK264&lt;0,$E264="Dengede"),MAX($F264:$G264,150)*1.03*BK264,MIN($F264:$G264)*0.97*BK264)))))))))</f>
        <v/>
      </c>
      <c r="BM264" s="34">
        <f>BE264-BI264-BN264</f>
        <v/>
      </c>
      <c r="BN264" s="34">
        <f>BB264</f>
        <v/>
      </c>
      <c r="BO264" s="34">
        <f>BE264-BI264</f>
        <v/>
      </c>
      <c r="BP264" s="34">
        <f>IF(AY264=0,0,BO264/AY264)</f>
        <v/>
      </c>
      <c r="BQ264" s="34">
        <f>MAX((AY264+MAX((-J264+L264-N264+Q264),0)),(MAX((J264-L264+N264-Q264),0)))</f>
        <v/>
      </c>
      <c r="BR264" s="82">
        <f>IFERROR(ABS(BK264/BQ264),0)</f>
        <v/>
      </c>
      <c r="BS264" s="34">
        <f>IF(BR264&lt;=0.1,0,BK264/BR264*(BR264-0.1))</f>
        <v/>
      </c>
      <c r="BT264" s="34">
        <f>IF((BS264)&lt;0,MAX(F264:G264)*(BS264)*1.03,MIN(F264:G264)*(BS264)*0.97)</f>
        <v/>
      </c>
      <c r="BU264" s="34">
        <f>IF(BR264&gt;0.1,1,0)</f>
        <v/>
      </c>
      <c r="BV264" s="34">
        <f>BF264+BG264+BH264+BY264-CA264</f>
        <v/>
      </c>
      <c r="BW264" s="34">
        <f>ABS(BX264)</f>
        <v/>
      </c>
      <c r="BX264" s="34">
        <f>AY264-(J264-L264+N264-Q264+T264-X264)</f>
        <v/>
      </c>
      <c r="BY264" s="34">
        <f>IF(AND(BX264&gt;0,MIN($F264:$G264)&lt;150,$E264="Enerji Açığı"),-100*BX264*1.03,IF(AND(BX264&gt;0,MIN($F264:$G264)&lt;150,$E264="Enerji Fazlası"),-100*BX264*1.06,IF(AND(BX264&gt;0,MIN($F264:$G264)&gt;=150,$E264="Enerji Açığı"),BX264*MIN($F264:$G264)*0.97,IF(AND(BX264&gt;0,MIN($F264:$G264)&gt;=150,$E264="Enerji Fazlası"),BX264*MIN($F264:$G264)*0.94,IF(AND(BX264&lt;0,MAX($F264:$G264)=4500,$E264="Enerji Açığı"),4500*1.05*1.06*BX264,IF(AND(BX264&lt;0,MAX($F264:$G264)=4500,$E264="Enerji Fazlası"),4500*1.05*1.03*BX264,IF(AND(BX264&lt;0,$E264="Enerji Açığı"),MAX($F264,$G264,150)*BX264*1.06,IF(AND(BX264&lt;0,$E264="Enerji Fazlası"),MAX($F264,$G264,150)*BX264*1.03,IF(AND(BX264&lt;0,$E264="Dengede"),MAX($F264:$G264,150)*1.03*BX264,MIN($F264:$G264)*0.97*BX264)))))))))</f>
        <v/>
      </c>
      <c r="BZ264" s="34">
        <f>BE264-BV264-CA264</f>
        <v/>
      </c>
      <c r="CA264" s="34">
        <f>BD264</f>
        <v/>
      </c>
      <c r="CB264" s="33">
        <f>BE264-BV264</f>
        <v/>
      </c>
      <c r="CC264" s="34">
        <f>IF(AY264=0,0,CB264/AY264)</f>
        <v/>
      </c>
      <c r="CD264" s="34">
        <f>MAX((AY264+MAX((-J264+L264-N264+Q264-T264+X264),0)),(MAX((J264-L264+N264-Q264+T264-X264),0)))</f>
        <v/>
      </c>
      <c r="CE264" s="82">
        <f>IFERROR(ABS(BX264/CD264),0)</f>
        <v/>
      </c>
      <c r="CF264" s="34">
        <f>IF(CE264&lt;=0.1,0,BX264/CE264*(CE264-0.1))</f>
        <v/>
      </c>
      <c r="CG264" s="34">
        <f>IF((CF264)&lt;0,MAX(F264:G264)*(CF264)*1.03,MIN(F264:G264)*(CF264)*0.97)</f>
        <v/>
      </c>
      <c r="CH264" s="34">
        <f>IF(CE264&gt;0.1,1,0)</f>
        <v/>
      </c>
      <c r="CI264" s="34">
        <f>(F264*BX264)-BY264</f>
        <v/>
      </c>
      <c r="CJ264" s="34">
        <f>IF(AY264=0,0,CI264/AY264)</f>
        <v/>
      </c>
    </row>
    <row r="265">
      <c r="A265" s="29">
        <f>[1]FİYATLAR!A240</f>
        <v/>
      </c>
      <c r="B265" s="29">
        <f>[1]FİYATLAR!B240</f>
        <v/>
      </c>
      <c r="C265" s="35">
        <f>INT(A265)</f>
        <v/>
      </c>
      <c r="D265" s="36">
        <f>MONTH(A265)</f>
        <v/>
      </c>
      <c r="E265" s="147">
        <f>[1]FİYATLAR!G240</f>
        <v/>
      </c>
      <c r="F265" s="30">
        <f>[1]FİYATLAR!C240</f>
        <v/>
      </c>
      <c r="G265" s="30">
        <f>[1]FİYATLAR!E240</f>
        <v/>
      </c>
      <c r="H265" s="30">
        <f>[1]FİYATLAR!D240</f>
        <v/>
      </c>
      <c r="I265" s="30">
        <f>[1]FİYATLAR!F240</f>
        <v/>
      </c>
      <c r="J265" s="119" t="n">
        <v>0</v>
      </c>
      <c r="K265" s="34">
        <f>F265*J265</f>
        <v/>
      </c>
      <c r="L265" s="119" t="n"/>
      <c r="M265" s="34">
        <f>L265*F265</f>
        <v/>
      </c>
      <c r="N265" s="119" t="n"/>
      <c r="O265" s="34">
        <f>F265</f>
        <v/>
      </c>
      <c r="P265" s="34">
        <f>N265*O265</f>
        <v/>
      </c>
      <c r="Q265" s="117" t="n">
        <v>0</v>
      </c>
      <c r="R265" s="34">
        <f>F265</f>
        <v/>
      </c>
      <c r="S265" s="34">
        <f>R265*Q265</f>
        <v/>
      </c>
      <c r="T265" s="34">
        <f>SUMIFS('[1]GİP VERİLERİ'!$C:$C,'[1]GİP VERİLERİ'!$B:$B,A265,'[1]GİP VERİLERİ'!$M:$M,"40X000000104782K",'[1]GİP VERİLERİ'!$G:$G,"SELL")</f>
        <v/>
      </c>
      <c r="U265" s="34">
        <f>IFERROR(W265/T265,0)</f>
        <v/>
      </c>
      <c r="V265" s="34">
        <f>IF(U265=0,0,U265-F265)</f>
        <v/>
      </c>
      <c r="W265" s="34">
        <f>SUMIFS('[1]GİP VERİLERİ'!$O:$O,'[1]GİP VERİLERİ'!$B:$B,A265,'[1]GİP VERİLERİ'!$M:$M,"40X000000104782K",'[1]GİP VERİLERİ'!$G:$G,"SELL")</f>
        <v/>
      </c>
      <c r="X265" s="34">
        <f>SUMIFS('[1]GİP VERİLERİ'!$C:$C,'[1]GİP VERİLERİ'!$B:$B,A265,'[1]GİP VERİLERİ'!$M:$M,"40X000000104782K",'[1]GİP VERİLERİ'!$G:$G,"BUY")</f>
        <v/>
      </c>
      <c r="Y265" s="34">
        <f>IFERROR(AA265/X265,0)</f>
        <v/>
      </c>
      <c r="Z265" s="34">
        <f>IF(Y265=0,0,F265-Y265)</f>
        <v/>
      </c>
      <c r="AA265" s="34">
        <f>SUMIFS('[1]GİP VERİLERİ'!$O:$O,'[1]GİP VERİLERİ'!$B:$B,A265,'[1]GİP VERİLERİ'!$M:$M,"40X000000104782K",'[1]GİP VERİLERİ'!$G:$G,"BUY")</f>
        <v/>
      </c>
      <c r="AB265" s="34">
        <f>'[1]GÖP VERİLERİ'!H266</f>
        <v/>
      </c>
      <c r="AC265" s="34">
        <f>'[1]GÖP VERİLERİ'!I266</f>
        <v/>
      </c>
      <c r="AD265" s="34">
        <f>IF(AB265&gt;AC265*1.05,AB265-AC265*1.05,IF(AB265&lt;AC265*0.95,AC265*0.95-AB265,0))</f>
        <v/>
      </c>
      <c r="AE265" s="34">
        <f>MAX(F265,G265,750)*0.05*AD265</f>
        <v/>
      </c>
      <c r="AF265" s="34">
        <f>'[1]GÖP VERİLERİ'!J266</f>
        <v/>
      </c>
      <c r="AG265" s="34">
        <f>IF(AB265&gt;AF265*1.05,AB265-AF265*1.05,IF(AB265&lt;AF265*0.95,AF265*0.95-AB265,0))</f>
        <v/>
      </c>
      <c r="AH265" s="34">
        <f>MAX(I265,J265,750)*0.05*AG265</f>
        <v/>
      </c>
      <c r="AI265">
        <f>'[1]GÖP VERİLERİ'!E266</f>
        <v/>
      </c>
      <c r="AJ265">
        <f>'[1]GÖP VERİLERİ'!F266</f>
        <v/>
      </c>
      <c r="AK265" s="34">
        <f>IF(AI265&gt;AJ265*1.05,AI265-AJ265*1.05,IF(AI265&lt;AJ265*0.95,AJ265*0.95-AI265,0))</f>
        <v/>
      </c>
      <c r="AL265" s="34">
        <f>MAX(F265,G265,750)*0.05*AK265</f>
        <v/>
      </c>
      <c r="AM265" s="39">
        <f>'[1]GÖP VERİLERİ'!G266</f>
        <v/>
      </c>
      <c r="AN265" s="34">
        <f>IF(AI265&gt;AM265*1.05,AI265-AM265*1.05,IF(AI265&lt;AM265*0.95,AM265*0.95-AI265,0))</f>
        <v/>
      </c>
      <c r="AO265" s="34">
        <f>MAX(F265,G265,750)*0.05*AN265</f>
        <v/>
      </c>
      <c r="AP265" s="34">
        <f>'[1]GÖP VERİLERİ'!B266</f>
        <v/>
      </c>
      <c r="AQ265" s="34">
        <f>'[1]GÖP VERİLERİ'!C266</f>
        <v/>
      </c>
      <c r="AR265" s="34">
        <f>IF(AP265&gt;AQ265*1.05,AP265-AQ265*1.05,IF(AP265&lt;AQ265*0.95,AQ265*0.95-AP265,0))</f>
        <v/>
      </c>
      <c r="AS265" s="34">
        <f>MAX(F265:G265,750)*0.05*AR265</f>
        <v/>
      </c>
      <c r="AT265">
        <f>'[1]GÖP VERİLERİ'!D266</f>
        <v/>
      </c>
      <c r="AU265" s="34">
        <f>IF(AP265&gt;AT265*1.05,AP265-AT265*1.05,IF(AP265&lt;AT265*0.95,AT265*0.95-AP265,0))</f>
        <v/>
      </c>
      <c r="AV265" s="34">
        <f>MAX(F265:G265,750)*0.05*AU265</f>
        <v/>
      </c>
      <c r="AW265" s="34">
        <f>AC265+AJ265+AQ265</f>
        <v/>
      </c>
      <c r="AX265" s="34">
        <f>AF265+AM265+AT265</f>
        <v/>
      </c>
      <c r="AY265" s="34">
        <f>AB265+AI265+AP265</f>
        <v/>
      </c>
      <c r="AZ265" s="34" t="n">
        <v>0</v>
      </c>
      <c r="BA265" s="34">
        <f>AD265+AK265+AR265</f>
        <v/>
      </c>
      <c r="BB265" s="34">
        <f>MAX(F265:G265,750)*0.05*BA265</f>
        <v/>
      </c>
      <c r="BC265" s="34">
        <f>AG265+AN265+AU265</f>
        <v/>
      </c>
      <c r="BD265" s="34">
        <f>MAX(F265:G265,750)*0.05*BC265</f>
        <v/>
      </c>
      <c r="BE265" s="34">
        <f>F265*AY265</f>
        <v/>
      </c>
      <c r="BF265" s="34">
        <f>K265-M265</f>
        <v/>
      </c>
      <c r="BG265" s="34">
        <f>P265-S265</f>
        <v/>
      </c>
      <c r="BH265" s="34">
        <f>W265-AA265</f>
        <v/>
      </c>
      <c r="BI265" s="34">
        <f>BF265+BG265+BL265-BN265</f>
        <v/>
      </c>
      <c r="BJ265" s="34">
        <f>ABS(BK265)</f>
        <v/>
      </c>
      <c r="BK265" s="34">
        <f>AY265-(J265-L265+N265-Q265)</f>
        <v/>
      </c>
      <c r="BL265" s="34">
        <f>IF(AND(BK265&gt;0,MIN($F265:$G265)&lt;150,$E265="Enerji Açığı"),-100*BK265*1.03,IF(AND(BK265&gt;0,MIN($F265:$G265)&lt;150,$E265="Enerji Fazlası"),-100*BK265*1.06,IF(AND(BK265&gt;0,MIN($F265:$G265)&gt;=150,$E265="Enerji Açığı"),BK265*MIN($F265:$G265)*0.97,IF(AND(BK265&gt;0,MIN($F265:$G265)&gt;=150,$E265="Enerji Fazlası"),BK265*MIN($F265:$G265)*0.94,IF(AND(BK265&lt;0,MAX($F265:$G265)=4500,$E265="Enerji Açığı"),4500*1.05*1.06*BK265,IF(AND(BK265&lt;0,MAX($F265:$G265)=4500,$E265="Enerji Fazlası"),4500*1.05*1.03*BK265,IF(AND(BK265&lt;0,$E265="Enerji Açığı"),MAX($F265,$G265,150)*BK265*1.06,IF(AND(BK265&lt;0,$E265="Enerji Fazlası"),MAX($F265,$G265,150)*BK265*1.03,IF(AND(BK265&lt;0,$E265="Dengede"),MAX($F265:$G265,150)*1.03*BK265,MIN($F265:$G265)*0.97*BK265)))))))))</f>
        <v/>
      </c>
      <c r="BM265" s="34">
        <f>BE265-BI265-BN265</f>
        <v/>
      </c>
      <c r="BN265" s="34">
        <f>BB265</f>
        <v/>
      </c>
      <c r="BO265" s="34">
        <f>BE265-BI265</f>
        <v/>
      </c>
      <c r="BP265" s="34">
        <f>IF(AY265=0,0,BO265/AY265)</f>
        <v/>
      </c>
      <c r="BQ265" s="34">
        <f>MAX((AY265+MAX((-J265+L265-N265+Q265),0)),(MAX((J265-L265+N265-Q265),0)))</f>
        <v/>
      </c>
      <c r="BR265" s="82">
        <f>IFERROR(ABS(BK265/BQ265),0)</f>
        <v/>
      </c>
      <c r="BS265" s="34">
        <f>IF(BR265&lt;=0.1,0,BK265/BR265*(BR265-0.1))</f>
        <v/>
      </c>
      <c r="BT265" s="34">
        <f>IF((BS265)&lt;0,MAX(F265:G265)*(BS265)*1.03,MIN(F265:G265)*(BS265)*0.97)</f>
        <v/>
      </c>
      <c r="BU265" s="34">
        <f>IF(BR265&gt;0.1,1,0)</f>
        <v/>
      </c>
      <c r="BV265" s="34">
        <f>BF265+BG265+BH265+BY265-CA265</f>
        <v/>
      </c>
      <c r="BW265" s="34">
        <f>ABS(BX265)</f>
        <v/>
      </c>
      <c r="BX265" s="34">
        <f>AY265-(J265-L265+N265-Q265+T265-X265)</f>
        <v/>
      </c>
      <c r="BY265" s="34">
        <f>IF(AND(BX265&gt;0,MIN($F265:$G265)&lt;150,$E265="Enerji Açığı"),-100*BX265*1.03,IF(AND(BX265&gt;0,MIN($F265:$G265)&lt;150,$E265="Enerji Fazlası"),-100*BX265*1.06,IF(AND(BX265&gt;0,MIN($F265:$G265)&gt;=150,$E265="Enerji Açığı"),BX265*MIN($F265:$G265)*0.97,IF(AND(BX265&gt;0,MIN($F265:$G265)&gt;=150,$E265="Enerji Fazlası"),BX265*MIN($F265:$G265)*0.94,IF(AND(BX265&lt;0,MAX($F265:$G265)=4500,$E265="Enerji Açığı"),4500*1.05*1.06*BX265,IF(AND(BX265&lt;0,MAX($F265:$G265)=4500,$E265="Enerji Fazlası"),4500*1.05*1.03*BX265,IF(AND(BX265&lt;0,$E265="Enerji Açığı"),MAX($F265,$G265,150)*BX265*1.06,IF(AND(BX265&lt;0,$E265="Enerji Fazlası"),MAX($F265,$G265,150)*BX265*1.03,IF(AND(BX265&lt;0,$E265="Dengede"),MAX($F265:$G265,150)*1.03*BX265,MIN($F265:$G265)*0.97*BX265)))))))))</f>
        <v/>
      </c>
      <c r="BZ265" s="34">
        <f>BE265-BV265-CA265</f>
        <v/>
      </c>
      <c r="CA265" s="34">
        <f>BD265</f>
        <v/>
      </c>
      <c r="CB265" s="33">
        <f>BE265-BV265</f>
        <v/>
      </c>
      <c r="CC265" s="34">
        <f>IF(AY265=0,0,CB265/AY265)</f>
        <v/>
      </c>
      <c r="CD265" s="34">
        <f>MAX((AY265+MAX((-J265+L265-N265+Q265-T265+X265),0)),(MAX((J265-L265+N265-Q265+T265-X265),0)))</f>
        <v/>
      </c>
      <c r="CE265" s="82">
        <f>IFERROR(ABS(BX265/CD265),0)</f>
        <v/>
      </c>
      <c r="CF265" s="34">
        <f>IF(CE265&lt;=0.1,0,BX265/CE265*(CE265-0.1))</f>
        <v/>
      </c>
      <c r="CG265" s="34">
        <f>IF((CF265)&lt;0,MAX(F265:G265)*(CF265)*1.03,MIN(F265:G265)*(CF265)*0.97)</f>
        <v/>
      </c>
      <c r="CH265" s="34">
        <f>IF(CE265&gt;0.1,1,0)</f>
        <v/>
      </c>
      <c r="CI265" s="34">
        <f>(F265*BX265)-BY265</f>
        <v/>
      </c>
      <c r="CJ265" s="34">
        <f>IF(AY265=0,0,CI265/AY265)</f>
        <v/>
      </c>
    </row>
    <row r="266">
      <c r="A266" s="29">
        <f>[1]FİYATLAR!A241</f>
        <v/>
      </c>
      <c r="B266" s="29">
        <f>[1]FİYATLAR!B241</f>
        <v/>
      </c>
      <c r="C266" s="35">
        <f>INT(A266)</f>
        <v/>
      </c>
      <c r="D266" s="36">
        <f>MONTH(A266)</f>
        <v/>
      </c>
      <c r="E266" s="147">
        <f>[1]FİYATLAR!G241</f>
        <v/>
      </c>
      <c r="F266" s="30">
        <f>[1]FİYATLAR!C241</f>
        <v/>
      </c>
      <c r="G266" s="30">
        <f>[1]FİYATLAR!E241</f>
        <v/>
      </c>
      <c r="H266" s="30">
        <f>[1]FİYATLAR!D241</f>
        <v/>
      </c>
      <c r="I266" s="30">
        <f>[1]FİYATLAR!F241</f>
        <v/>
      </c>
      <c r="J266" s="119" t="n">
        <v>0</v>
      </c>
      <c r="K266" s="34">
        <f>F266*J266</f>
        <v/>
      </c>
      <c r="L266" s="119" t="n"/>
      <c r="M266" s="34">
        <f>L266*F266</f>
        <v/>
      </c>
      <c r="N266" s="119" t="n"/>
      <c r="O266" s="34">
        <f>F266</f>
        <v/>
      </c>
      <c r="P266" s="34">
        <f>N266*O266</f>
        <v/>
      </c>
      <c r="Q266" s="117" t="n">
        <v>0</v>
      </c>
      <c r="R266" s="34">
        <f>F266</f>
        <v/>
      </c>
      <c r="S266" s="34">
        <f>R266*Q266</f>
        <v/>
      </c>
      <c r="T266" s="34">
        <f>SUMIFS('[1]GİP VERİLERİ'!$C:$C,'[1]GİP VERİLERİ'!$B:$B,A266,'[1]GİP VERİLERİ'!$M:$M,"40X000000104782K",'[1]GİP VERİLERİ'!$G:$G,"SELL")</f>
        <v/>
      </c>
      <c r="U266" s="34">
        <f>IFERROR(W266/T266,0)</f>
        <v/>
      </c>
      <c r="V266" s="34">
        <f>IF(U266=0,0,U266-F266)</f>
        <v/>
      </c>
      <c r="W266" s="34">
        <f>SUMIFS('[1]GİP VERİLERİ'!$O:$O,'[1]GİP VERİLERİ'!$B:$B,A266,'[1]GİP VERİLERİ'!$M:$M,"40X000000104782K",'[1]GİP VERİLERİ'!$G:$G,"SELL")</f>
        <v/>
      </c>
      <c r="X266" s="34">
        <f>SUMIFS('[1]GİP VERİLERİ'!$C:$C,'[1]GİP VERİLERİ'!$B:$B,A266,'[1]GİP VERİLERİ'!$M:$M,"40X000000104782K",'[1]GİP VERİLERİ'!$G:$G,"BUY")</f>
        <v/>
      </c>
      <c r="Y266" s="34">
        <f>IFERROR(AA266/X266,0)</f>
        <v/>
      </c>
      <c r="Z266" s="34">
        <f>IF(Y266=0,0,F266-Y266)</f>
        <v/>
      </c>
      <c r="AA266" s="34">
        <f>SUMIFS('[1]GİP VERİLERİ'!$O:$O,'[1]GİP VERİLERİ'!$B:$B,A266,'[1]GİP VERİLERİ'!$M:$M,"40X000000104782K",'[1]GİP VERİLERİ'!$G:$G,"BUY")</f>
        <v/>
      </c>
      <c r="AB266" s="34">
        <f>'[1]GÖP VERİLERİ'!H267</f>
        <v/>
      </c>
      <c r="AC266" s="34">
        <f>'[1]GÖP VERİLERİ'!I267</f>
        <v/>
      </c>
      <c r="AD266" s="34">
        <f>IF(AB266&gt;AC266*1.05,AB266-AC266*1.05,IF(AB266&lt;AC266*0.95,AC266*0.95-AB266,0))</f>
        <v/>
      </c>
      <c r="AE266" s="34">
        <f>MAX(F266,G266,750)*0.05*AD266</f>
        <v/>
      </c>
      <c r="AF266" s="34">
        <f>'[1]GÖP VERİLERİ'!J267</f>
        <v/>
      </c>
      <c r="AG266" s="34">
        <f>IF(AB266&gt;AF266*1.05,AB266-AF266*1.05,IF(AB266&lt;AF266*0.95,AF266*0.95-AB266,0))</f>
        <v/>
      </c>
      <c r="AH266" s="34">
        <f>MAX(I266,J266,750)*0.05*AG266</f>
        <v/>
      </c>
      <c r="AI266">
        <f>'[1]GÖP VERİLERİ'!E267</f>
        <v/>
      </c>
      <c r="AJ266">
        <f>'[1]GÖP VERİLERİ'!F267</f>
        <v/>
      </c>
      <c r="AK266" s="34">
        <f>IF(AI266&gt;AJ266*1.05,AI266-AJ266*1.05,IF(AI266&lt;AJ266*0.95,AJ266*0.95-AI266,0))</f>
        <v/>
      </c>
      <c r="AL266" s="34">
        <f>MAX(F266,G266,750)*0.05*AK266</f>
        <v/>
      </c>
      <c r="AM266" s="39">
        <f>'[1]GÖP VERİLERİ'!G267</f>
        <v/>
      </c>
      <c r="AN266" s="34">
        <f>IF(AI266&gt;AM266*1.05,AI266-AM266*1.05,IF(AI266&lt;AM266*0.95,AM266*0.95-AI266,0))</f>
        <v/>
      </c>
      <c r="AO266" s="34">
        <f>MAX(F266,G266,750)*0.05*AN266</f>
        <v/>
      </c>
      <c r="AP266" s="34">
        <f>'[1]GÖP VERİLERİ'!B267</f>
        <v/>
      </c>
      <c r="AQ266" s="34">
        <f>'[1]GÖP VERİLERİ'!C267</f>
        <v/>
      </c>
      <c r="AR266" s="34">
        <f>IF(AP266&gt;AQ266*1.05,AP266-AQ266*1.05,IF(AP266&lt;AQ266*0.95,AQ266*0.95-AP266,0))</f>
        <v/>
      </c>
      <c r="AS266" s="34">
        <f>MAX(F266:G266,750)*0.05*AR266</f>
        <v/>
      </c>
      <c r="AT266">
        <f>'[1]GÖP VERİLERİ'!D267</f>
        <v/>
      </c>
      <c r="AU266" s="34">
        <f>IF(AP266&gt;AT266*1.05,AP266-AT266*1.05,IF(AP266&lt;AT266*0.95,AT266*0.95-AP266,0))</f>
        <v/>
      </c>
      <c r="AV266" s="34">
        <f>MAX(F266:G266,750)*0.05*AU266</f>
        <v/>
      </c>
      <c r="AW266" s="34">
        <f>AC266+AJ266+AQ266</f>
        <v/>
      </c>
      <c r="AX266" s="34">
        <f>AF266+AM266+AT266</f>
        <v/>
      </c>
      <c r="AY266" s="34">
        <f>AB266+AI266+AP266</f>
        <v/>
      </c>
      <c r="AZ266" s="34" t="n">
        <v>0</v>
      </c>
      <c r="BA266" s="34">
        <f>AD266+AK266+AR266</f>
        <v/>
      </c>
      <c r="BB266" s="34">
        <f>MAX(F266:G266,750)*0.05*BA266</f>
        <v/>
      </c>
      <c r="BC266" s="34">
        <f>AG266+AN266+AU266</f>
        <v/>
      </c>
      <c r="BD266" s="34">
        <f>MAX(F266:G266,750)*0.05*BC266</f>
        <v/>
      </c>
      <c r="BE266" s="34">
        <f>F266*AY266</f>
        <v/>
      </c>
      <c r="BF266" s="34">
        <f>K266-M266</f>
        <v/>
      </c>
      <c r="BG266" s="34">
        <f>P266-S266</f>
        <v/>
      </c>
      <c r="BH266" s="34">
        <f>W266-AA266</f>
        <v/>
      </c>
      <c r="BI266" s="34">
        <f>BF266+BG266+BL266-BN266</f>
        <v/>
      </c>
      <c r="BJ266" s="34">
        <f>ABS(BK266)</f>
        <v/>
      </c>
      <c r="BK266" s="34">
        <f>AY266-(J266-L266+N266-Q266)</f>
        <v/>
      </c>
      <c r="BL266" s="34">
        <f>IF(AND(BK266&gt;0,MIN($F266:$G266)&lt;150,$E266="Enerji Açığı"),-100*BK266*1.03,IF(AND(BK266&gt;0,MIN($F266:$G266)&lt;150,$E266="Enerji Fazlası"),-100*BK266*1.06,IF(AND(BK266&gt;0,MIN($F266:$G266)&gt;=150,$E266="Enerji Açığı"),BK266*MIN($F266:$G266)*0.97,IF(AND(BK266&gt;0,MIN($F266:$G266)&gt;=150,$E266="Enerji Fazlası"),BK266*MIN($F266:$G266)*0.94,IF(AND(BK266&lt;0,MAX($F266:$G266)=4500,$E266="Enerji Açığı"),4500*1.05*1.06*BK266,IF(AND(BK266&lt;0,MAX($F266:$G266)=4500,$E266="Enerji Fazlası"),4500*1.05*1.03*BK266,IF(AND(BK266&lt;0,$E266="Enerji Açığı"),MAX($F266,$G266,150)*BK266*1.06,IF(AND(BK266&lt;0,$E266="Enerji Fazlası"),MAX($F266,$G266,150)*BK266*1.03,IF(AND(BK266&lt;0,$E266="Dengede"),MAX($F266:$G266,150)*1.03*BK266,MIN($F266:$G266)*0.97*BK266)))))))))</f>
        <v/>
      </c>
      <c r="BM266" s="34">
        <f>BE266-BI266-BN266</f>
        <v/>
      </c>
      <c r="BN266" s="34">
        <f>BB266</f>
        <v/>
      </c>
      <c r="BO266" s="34">
        <f>BE266-BI266</f>
        <v/>
      </c>
      <c r="BP266" s="34">
        <f>IF(AY266=0,0,BO266/AY266)</f>
        <v/>
      </c>
      <c r="BQ266" s="34">
        <f>MAX((AY266+MAX((-J266+L266-N266+Q266),0)),(MAX((J266-L266+N266-Q266),0)))</f>
        <v/>
      </c>
      <c r="BR266" s="82">
        <f>IFERROR(ABS(BK266/BQ266),0)</f>
        <v/>
      </c>
      <c r="BS266" s="34">
        <f>IF(BR266&lt;=0.1,0,BK266/BR266*(BR266-0.1))</f>
        <v/>
      </c>
      <c r="BT266" s="34">
        <f>IF((BS266)&lt;0,MAX(F266:G266)*(BS266)*1.03,MIN(F266:G266)*(BS266)*0.97)</f>
        <v/>
      </c>
      <c r="BU266" s="34">
        <f>IF(BR266&gt;0.1,1,0)</f>
        <v/>
      </c>
      <c r="BV266" s="34">
        <f>BF266+BG266+BH266+BY266-CA266</f>
        <v/>
      </c>
      <c r="BW266" s="34">
        <f>ABS(BX266)</f>
        <v/>
      </c>
      <c r="BX266" s="34">
        <f>AY266-(J266-L266+N266-Q266+T266-X266)</f>
        <v/>
      </c>
      <c r="BY266" s="34">
        <f>IF(AND(BX266&gt;0,MIN($F266:$G266)&lt;150,$E266="Enerji Açığı"),-100*BX266*1.03,IF(AND(BX266&gt;0,MIN($F266:$G266)&lt;150,$E266="Enerji Fazlası"),-100*BX266*1.06,IF(AND(BX266&gt;0,MIN($F266:$G266)&gt;=150,$E266="Enerji Açığı"),BX266*MIN($F266:$G266)*0.97,IF(AND(BX266&gt;0,MIN($F266:$G266)&gt;=150,$E266="Enerji Fazlası"),BX266*MIN($F266:$G266)*0.94,IF(AND(BX266&lt;0,MAX($F266:$G266)=4500,$E266="Enerji Açığı"),4500*1.05*1.06*BX266,IF(AND(BX266&lt;0,MAX($F266:$G266)=4500,$E266="Enerji Fazlası"),4500*1.05*1.03*BX266,IF(AND(BX266&lt;0,$E266="Enerji Açığı"),MAX($F266,$G266,150)*BX266*1.06,IF(AND(BX266&lt;0,$E266="Enerji Fazlası"),MAX($F266,$G266,150)*BX266*1.03,IF(AND(BX266&lt;0,$E266="Dengede"),MAX($F266:$G266,150)*1.03*BX266,MIN($F266:$G266)*0.97*BX266)))))))))</f>
        <v/>
      </c>
      <c r="BZ266" s="34">
        <f>BE266-BV266-CA266</f>
        <v/>
      </c>
      <c r="CA266" s="34">
        <f>BD266</f>
        <v/>
      </c>
      <c r="CB266" s="33">
        <f>BE266-BV266</f>
        <v/>
      </c>
      <c r="CC266" s="34">
        <f>IF(AY266=0,0,CB266/AY266)</f>
        <v/>
      </c>
      <c r="CD266" s="34">
        <f>MAX((AY266+MAX((-J266+L266-N266+Q266-T266+X266),0)),(MAX((J266-L266+N266-Q266+T266-X266),0)))</f>
        <v/>
      </c>
      <c r="CE266" s="82">
        <f>IFERROR(ABS(BX266/CD266),0)</f>
        <v/>
      </c>
      <c r="CF266" s="34">
        <f>IF(CE266&lt;=0.1,0,BX266/CE266*(CE266-0.1))</f>
        <v/>
      </c>
      <c r="CG266" s="34">
        <f>IF((CF266)&lt;0,MAX(F266:G266)*(CF266)*1.03,MIN(F266:G266)*(CF266)*0.97)</f>
        <v/>
      </c>
      <c r="CH266" s="34">
        <f>IF(CE266&gt;0.1,1,0)</f>
        <v/>
      </c>
      <c r="CI266" s="34">
        <f>(F266*BX266)-BY266</f>
        <v/>
      </c>
      <c r="CJ266" s="34">
        <f>IF(AY266=0,0,CI266/AY266)</f>
        <v/>
      </c>
    </row>
    <row r="267">
      <c r="A267" s="29">
        <f>[1]FİYATLAR!A242</f>
        <v/>
      </c>
      <c r="B267" s="29">
        <f>[1]FİYATLAR!B242</f>
        <v/>
      </c>
      <c r="C267" s="35">
        <f>INT(A267)</f>
        <v/>
      </c>
      <c r="D267" s="36">
        <f>MONTH(A267)</f>
        <v/>
      </c>
      <c r="E267" s="147">
        <f>[1]FİYATLAR!G242</f>
        <v/>
      </c>
      <c r="F267" s="30">
        <f>[1]FİYATLAR!C242</f>
        <v/>
      </c>
      <c r="G267" s="30">
        <f>[1]FİYATLAR!E242</f>
        <v/>
      </c>
      <c r="H267" s="30">
        <f>[1]FİYATLAR!D242</f>
        <v/>
      </c>
      <c r="I267" s="30">
        <f>[1]FİYATLAR!F242</f>
        <v/>
      </c>
      <c r="J267" s="119" t="n">
        <v>0</v>
      </c>
      <c r="K267" s="34">
        <f>F267*J267</f>
        <v/>
      </c>
      <c r="L267" s="119" t="n"/>
      <c r="M267" s="34">
        <f>L267*F267</f>
        <v/>
      </c>
      <c r="N267" s="119" t="n"/>
      <c r="O267" s="34">
        <f>F267</f>
        <v/>
      </c>
      <c r="P267" s="34">
        <f>N267*O267</f>
        <v/>
      </c>
      <c r="Q267" s="117" t="n">
        <v>0</v>
      </c>
      <c r="R267" s="34">
        <f>F267</f>
        <v/>
      </c>
      <c r="S267" s="34">
        <f>R267*Q267</f>
        <v/>
      </c>
      <c r="T267" s="34">
        <f>SUMIFS('[1]GİP VERİLERİ'!$C:$C,'[1]GİP VERİLERİ'!$B:$B,A267,'[1]GİP VERİLERİ'!$M:$M,"40X000000104782K",'[1]GİP VERİLERİ'!$G:$G,"SELL")</f>
        <v/>
      </c>
      <c r="U267" s="34">
        <f>IFERROR(W267/T267,0)</f>
        <v/>
      </c>
      <c r="V267" s="34">
        <f>IF(U267=0,0,U267-F267)</f>
        <v/>
      </c>
      <c r="W267" s="34">
        <f>SUMIFS('[1]GİP VERİLERİ'!$O:$O,'[1]GİP VERİLERİ'!$B:$B,A267,'[1]GİP VERİLERİ'!$M:$M,"40X000000104782K",'[1]GİP VERİLERİ'!$G:$G,"SELL")</f>
        <v/>
      </c>
      <c r="X267" s="34">
        <f>SUMIFS('[1]GİP VERİLERİ'!$C:$C,'[1]GİP VERİLERİ'!$B:$B,A267,'[1]GİP VERİLERİ'!$M:$M,"40X000000104782K",'[1]GİP VERİLERİ'!$G:$G,"BUY")</f>
        <v/>
      </c>
      <c r="Y267" s="34">
        <f>IFERROR(AA267/X267,0)</f>
        <v/>
      </c>
      <c r="Z267" s="34">
        <f>IF(Y267=0,0,F267-Y267)</f>
        <v/>
      </c>
      <c r="AA267" s="34">
        <f>SUMIFS('[1]GİP VERİLERİ'!$O:$O,'[1]GİP VERİLERİ'!$B:$B,A267,'[1]GİP VERİLERİ'!$M:$M,"40X000000104782K",'[1]GİP VERİLERİ'!$G:$G,"BUY")</f>
        <v/>
      </c>
      <c r="AB267" s="34">
        <f>'[1]GÖP VERİLERİ'!H268</f>
        <v/>
      </c>
      <c r="AC267" s="34">
        <f>'[1]GÖP VERİLERİ'!I268</f>
        <v/>
      </c>
      <c r="AD267" s="34">
        <f>IF(AB267&gt;AC267*1.05,AB267-AC267*1.05,IF(AB267&lt;AC267*0.95,AC267*0.95-AB267,0))</f>
        <v/>
      </c>
      <c r="AE267" s="34">
        <f>MAX(F267,G267,750)*0.05*AD267</f>
        <v/>
      </c>
      <c r="AF267" s="34">
        <f>'[1]GÖP VERİLERİ'!J268</f>
        <v/>
      </c>
      <c r="AG267" s="34">
        <f>IF(AB267&gt;AF267*1.05,AB267-AF267*1.05,IF(AB267&lt;AF267*0.95,AF267*0.95-AB267,0))</f>
        <v/>
      </c>
      <c r="AH267" s="34">
        <f>MAX(I267,J267,750)*0.05*AG267</f>
        <v/>
      </c>
      <c r="AI267">
        <f>'[1]GÖP VERİLERİ'!E268</f>
        <v/>
      </c>
      <c r="AJ267">
        <f>'[1]GÖP VERİLERİ'!F268</f>
        <v/>
      </c>
      <c r="AK267" s="34">
        <f>IF(AI267&gt;AJ267*1.05,AI267-AJ267*1.05,IF(AI267&lt;AJ267*0.95,AJ267*0.95-AI267,0))</f>
        <v/>
      </c>
      <c r="AL267" s="34">
        <f>MAX(F267,G267,750)*0.05*AK267</f>
        <v/>
      </c>
      <c r="AM267" s="39">
        <f>'[1]GÖP VERİLERİ'!G268</f>
        <v/>
      </c>
      <c r="AN267" s="34">
        <f>IF(AI267&gt;AM267*1.05,AI267-AM267*1.05,IF(AI267&lt;AM267*0.95,AM267*0.95-AI267,0))</f>
        <v/>
      </c>
      <c r="AO267" s="34">
        <f>MAX(F267,G267,750)*0.05*AN267</f>
        <v/>
      </c>
      <c r="AP267" s="34">
        <f>'[1]GÖP VERİLERİ'!B268</f>
        <v/>
      </c>
      <c r="AQ267" s="34">
        <f>'[1]GÖP VERİLERİ'!C268</f>
        <v/>
      </c>
      <c r="AR267" s="34">
        <f>IF(AP267&gt;AQ267*1.05,AP267-AQ267*1.05,IF(AP267&lt;AQ267*0.95,AQ267*0.95-AP267,0))</f>
        <v/>
      </c>
      <c r="AS267" s="34">
        <f>MAX(F267:G267,750)*0.05*AR267</f>
        <v/>
      </c>
      <c r="AT267">
        <f>'[1]GÖP VERİLERİ'!D268</f>
        <v/>
      </c>
      <c r="AU267" s="34">
        <f>IF(AP267&gt;AT267*1.05,AP267-AT267*1.05,IF(AP267&lt;AT267*0.95,AT267*0.95-AP267,0))</f>
        <v/>
      </c>
      <c r="AV267" s="34">
        <f>MAX(F267:G267,750)*0.05*AU267</f>
        <v/>
      </c>
      <c r="AW267" s="34">
        <f>AC267+AJ267+AQ267</f>
        <v/>
      </c>
      <c r="AX267" s="34">
        <f>AF267+AM267+AT267</f>
        <v/>
      </c>
      <c r="AY267" s="34">
        <f>AB267+AI267+AP267</f>
        <v/>
      </c>
      <c r="AZ267" s="34" t="n">
        <v>0</v>
      </c>
      <c r="BA267" s="34">
        <f>AD267+AK267+AR267</f>
        <v/>
      </c>
      <c r="BB267" s="34">
        <f>MAX(F267:G267,750)*0.05*BA267</f>
        <v/>
      </c>
      <c r="BC267" s="34">
        <f>AG267+AN267+AU267</f>
        <v/>
      </c>
      <c r="BD267" s="34">
        <f>MAX(F267:G267,750)*0.05*BC267</f>
        <v/>
      </c>
      <c r="BE267" s="34">
        <f>F267*AY267</f>
        <v/>
      </c>
      <c r="BF267" s="34">
        <f>K267-M267</f>
        <v/>
      </c>
      <c r="BG267" s="34">
        <f>P267-S267</f>
        <v/>
      </c>
      <c r="BH267" s="34">
        <f>W267-AA267</f>
        <v/>
      </c>
      <c r="BI267" s="34">
        <f>BF267+BG267+BL267-BN267</f>
        <v/>
      </c>
      <c r="BJ267" s="34">
        <f>ABS(BK267)</f>
        <v/>
      </c>
      <c r="BK267" s="34">
        <f>AY267-(J267-L267+N267-Q267)</f>
        <v/>
      </c>
      <c r="BL267" s="34">
        <f>IF(AND(BK267&gt;0,MIN($F267:$G267)&lt;150,$E267="Enerji Açığı"),-100*BK267*1.03,IF(AND(BK267&gt;0,MIN($F267:$G267)&lt;150,$E267="Enerji Fazlası"),-100*BK267*1.06,IF(AND(BK267&gt;0,MIN($F267:$G267)&gt;=150,$E267="Enerji Açığı"),BK267*MIN($F267:$G267)*0.97,IF(AND(BK267&gt;0,MIN($F267:$G267)&gt;=150,$E267="Enerji Fazlası"),BK267*MIN($F267:$G267)*0.94,IF(AND(BK267&lt;0,MAX($F267:$G267)=4500,$E267="Enerji Açığı"),4500*1.05*1.06*BK267,IF(AND(BK267&lt;0,MAX($F267:$G267)=4500,$E267="Enerji Fazlası"),4500*1.05*1.03*BK267,IF(AND(BK267&lt;0,$E267="Enerji Açığı"),MAX($F267,$G267,150)*BK267*1.06,IF(AND(BK267&lt;0,$E267="Enerji Fazlası"),MAX($F267,$G267,150)*BK267*1.03,IF(AND(BK267&lt;0,$E267="Dengede"),MAX($F267:$G267,150)*1.03*BK267,MIN($F267:$G267)*0.97*BK267)))))))))</f>
        <v/>
      </c>
      <c r="BM267" s="34">
        <f>BE267-BI267-BN267</f>
        <v/>
      </c>
      <c r="BN267" s="34">
        <f>BB267</f>
        <v/>
      </c>
      <c r="BO267" s="34">
        <f>BE267-BI267</f>
        <v/>
      </c>
      <c r="BP267" s="34">
        <f>IF(AY267=0,0,BO267/AY267)</f>
        <v/>
      </c>
      <c r="BQ267" s="34">
        <f>MAX((AY267+MAX((-J267+L267-N267+Q267),0)),(MAX((J267-L267+N267-Q267),0)))</f>
        <v/>
      </c>
      <c r="BR267" s="82">
        <f>IFERROR(ABS(BK267/BQ267),0)</f>
        <v/>
      </c>
      <c r="BS267" s="34">
        <f>IF(BR267&lt;=0.1,0,BK267/BR267*(BR267-0.1))</f>
        <v/>
      </c>
      <c r="BT267" s="34">
        <f>IF((BS267)&lt;0,MAX(F267:G267)*(BS267)*1.03,MIN(F267:G267)*(BS267)*0.97)</f>
        <v/>
      </c>
      <c r="BU267" s="34">
        <f>IF(BR267&gt;0.1,1,0)</f>
        <v/>
      </c>
      <c r="BV267" s="34">
        <f>BF267+BG267+BH267+BY267-CA267</f>
        <v/>
      </c>
      <c r="BW267" s="34">
        <f>ABS(BX267)</f>
        <v/>
      </c>
      <c r="BX267" s="34">
        <f>AY267-(J267-L267+N267-Q267+T267-X267)</f>
        <v/>
      </c>
      <c r="BY267" s="34">
        <f>IF(AND(BX267&gt;0,MIN($F267:$G267)&lt;150,$E267="Enerji Açığı"),-100*BX267*1.03,IF(AND(BX267&gt;0,MIN($F267:$G267)&lt;150,$E267="Enerji Fazlası"),-100*BX267*1.06,IF(AND(BX267&gt;0,MIN($F267:$G267)&gt;=150,$E267="Enerji Açığı"),BX267*MIN($F267:$G267)*0.97,IF(AND(BX267&gt;0,MIN($F267:$G267)&gt;=150,$E267="Enerji Fazlası"),BX267*MIN($F267:$G267)*0.94,IF(AND(BX267&lt;0,MAX($F267:$G267)=4500,$E267="Enerji Açığı"),4500*1.05*1.06*BX267,IF(AND(BX267&lt;0,MAX($F267:$G267)=4500,$E267="Enerji Fazlası"),4500*1.05*1.03*BX267,IF(AND(BX267&lt;0,$E267="Enerji Açığı"),MAX($F267,$G267,150)*BX267*1.06,IF(AND(BX267&lt;0,$E267="Enerji Fazlası"),MAX($F267,$G267,150)*BX267*1.03,IF(AND(BX267&lt;0,$E267="Dengede"),MAX($F267:$G267,150)*1.03*BX267,MIN($F267:$G267)*0.97*BX267)))))))))</f>
        <v/>
      </c>
      <c r="BZ267" s="34">
        <f>BE267-BV267-CA267</f>
        <v/>
      </c>
      <c r="CA267" s="34">
        <f>BD267</f>
        <v/>
      </c>
      <c r="CB267" s="33">
        <f>BE267-BV267</f>
        <v/>
      </c>
      <c r="CC267" s="34">
        <f>IF(AY267=0,0,CB267/AY267)</f>
        <v/>
      </c>
      <c r="CD267" s="34">
        <f>MAX((AY267+MAX((-J267+L267-N267+Q267-T267+X267),0)),(MAX((J267-L267+N267-Q267+T267-X267),0)))</f>
        <v/>
      </c>
      <c r="CE267" s="82">
        <f>IFERROR(ABS(BX267/CD267),0)</f>
        <v/>
      </c>
      <c r="CF267" s="34">
        <f>IF(CE267&lt;=0.1,0,BX267/CE267*(CE267-0.1))</f>
        <v/>
      </c>
      <c r="CG267" s="34">
        <f>IF((CF267)&lt;0,MAX(F267:G267)*(CF267)*1.03,MIN(F267:G267)*(CF267)*0.97)</f>
        <v/>
      </c>
      <c r="CH267" s="34">
        <f>IF(CE267&gt;0.1,1,0)</f>
        <v/>
      </c>
      <c r="CI267" s="34">
        <f>(F267*BX267)-BY267</f>
        <v/>
      </c>
      <c r="CJ267" s="34">
        <f>IF(AY267=0,0,CI267/AY267)</f>
        <v/>
      </c>
    </row>
    <row r="268">
      <c r="A268" s="29">
        <f>[1]FİYATLAR!A243</f>
        <v/>
      </c>
      <c r="B268" s="29">
        <f>[1]FİYATLAR!B243</f>
        <v/>
      </c>
      <c r="C268" s="35">
        <f>INT(A268)</f>
        <v/>
      </c>
      <c r="D268" s="36">
        <f>MONTH(A268)</f>
        <v/>
      </c>
      <c r="E268" s="147">
        <f>[1]FİYATLAR!G243</f>
        <v/>
      </c>
      <c r="F268" s="30">
        <f>[1]FİYATLAR!C243</f>
        <v/>
      </c>
      <c r="G268" s="30">
        <f>[1]FİYATLAR!E243</f>
        <v/>
      </c>
      <c r="H268" s="30">
        <f>[1]FİYATLAR!D243</f>
        <v/>
      </c>
      <c r="I268" s="30">
        <f>[1]FİYATLAR!F243</f>
        <v/>
      </c>
      <c r="J268" s="119" t="n">
        <v>0</v>
      </c>
      <c r="K268" s="34">
        <f>F268*J268</f>
        <v/>
      </c>
      <c r="L268" s="119" t="n"/>
      <c r="M268" s="34">
        <f>L268*F268</f>
        <v/>
      </c>
      <c r="N268" s="119" t="n"/>
      <c r="O268" s="34">
        <f>F268</f>
        <v/>
      </c>
      <c r="P268" s="34">
        <f>N268*O268</f>
        <v/>
      </c>
      <c r="Q268" s="117" t="n">
        <v>0</v>
      </c>
      <c r="R268" s="34">
        <f>F268</f>
        <v/>
      </c>
      <c r="S268" s="34">
        <f>R268*Q268</f>
        <v/>
      </c>
      <c r="T268" s="34">
        <f>SUMIFS('[1]GİP VERİLERİ'!$C:$C,'[1]GİP VERİLERİ'!$B:$B,A268,'[1]GİP VERİLERİ'!$M:$M,"40X000000104782K",'[1]GİP VERİLERİ'!$G:$G,"SELL")</f>
        <v/>
      </c>
      <c r="U268" s="34">
        <f>IFERROR(W268/T268,0)</f>
        <v/>
      </c>
      <c r="V268" s="34">
        <f>IF(U268=0,0,U268-F268)</f>
        <v/>
      </c>
      <c r="W268" s="34">
        <f>SUMIFS('[1]GİP VERİLERİ'!$O:$O,'[1]GİP VERİLERİ'!$B:$B,A268,'[1]GİP VERİLERİ'!$M:$M,"40X000000104782K",'[1]GİP VERİLERİ'!$G:$G,"SELL")</f>
        <v/>
      </c>
      <c r="X268" s="34">
        <f>SUMIFS('[1]GİP VERİLERİ'!$C:$C,'[1]GİP VERİLERİ'!$B:$B,A268,'[1]GİP VERİLERİ'!$M:$M,"40X000000104782K",'[1]GİP VERİLERİ'!$G:$G,"BUY")</f>
        <v/>
      </c>
      <c r="Y268" s="34">
        <f>IFERROR(AA268/X268,0)</f>
        <v/>
      </c>
      <c r="Z268" s="34">
        <f>IF(Y268=0,0,F268-Y268)</f>
        <v/>
      </c>
      <c r="AA268" s="34">
        <f>SUMIFS('[1]GİP VERİLERİ'!$O:$O,'[1]GİP VERİLERİ'!$B:$B,A268,'[1]GİP VERİLERİ'!$M:$M,"40X000000104782K",'[1]GİP VERİLERİ'!$G:$G,"BUY")</f>
        <v/>
      </c>
      <c r="AB268" s="34">
        <f>'[1]GÖP VERİLERİ'!H269</f>
        <v/>
      </c>
      <c r="AC268" s="34">
        <f>'[1]GÖP VERİLERİ'!I269</f>
        <v/>
      </c>
      <c r="AD268" s="34">
        <f>IF(AB268&gt;AC268*1.05,AB268-AC268*1.05,IF(AB268&lt;AC268*0.95,AC268*0.95-AB268,0))</f>
        <v/>
      </c>
      <c r="AE268" s="34">
        <f>MAX(F268,G268,750)*0.05*AD268</f>
        <v/>
      </c>
      <c r="AF268" s="34">
        <f>'[1]GÖP VERİLERİ'!J269</f>
        <v/>
      </c>
      <c r="AG268" s="34">
        <f>IF(AB268&gt;AF268*1.05,AB268-AF268*1.05,IF(AB268&lt;AF268*0.95,AF268*0.95-AB268,0))</f>
        <v/>
      </c>
      <c r="AH268" s="34">
        <f>MAX(I268,J268,750)*0.05*AG268</f>
        <v/>
      </c>
      <c r="AI268">
        <f>'[1]GÖP VERİLERİ'!E269</f>
        <v/>
      </c>
      <c r="AJ268">
        <f>'[1]GÖP VERİLERİ'!F269</f>
        <v/>
      </c>
      <c r="AK268" s="34">
        <f>IF(AI268&gt;AJ268*1.05,AI268-AJ268*1.05,IF(AI268&lt;AJ268*0.95,AJ268*0.95-AI268,0))</f>
        <v/>
      </c>
      <c r="AL268" s="34">
        <f>MAX(F268,G268,750)*0.05*AK268</f>
        <v/>
      </c>
      <c r="AM268" s="39">
        <f>'[1]GÖP VERİLERİ'!G269</f>
        <v/>
      </c>
      <c r="AN268" s="34">
        <f>IF(AI268&gt;AM268*1.05,AI268-AM268*1.05,IF(AI268&lt;AM268*0.95,AM268*0.95-AI268,0))</f>
        <v/>
      </c>
      <c r="AO268" s="34">
        <f>MAX(F268,G268,750)*0.05*AN268</f>
        <v/>
      </c>
      <c r="AP268" s="34">
        <f>'[1]GÖP VERİLERİ'!B269</f>
        <v/>
      </c>
      <c r="AQ268" s="34">
        <f>'[1]GÖP VERİLERİ'!C269</f>
        <v/>
      </c>
      <c r="AR268" s="34">
        <f>IF(AP268&gt;AQ268*1.05,AP268-AQ268*1.05,IF(AP268&lt;AQ268*0.95,AQ268*0.95-AP268,0))</f>
        <v/>
      </c>
      <c r="AS268" s="34">
        <f>MAX(F268:G268,750)*0.05*AR268</f>
        <v/>
      </c>
      <c r="AT268">
        <f>'[1]GÖP VERİLERİ'!D269</f>
        <v/>
      </c>
      <c r="AU268" s="34">
        <f>IF(AP268&gt;AT268*1.05,AP268-AT268*1.05,IF(AP268&lt;AT268*0.95,AT268*0.95-AP268,0))</f>
        <v/>
      </c>
      <c r="AV268" s="34">
        <f>MAX(F268:G268,750)*0.05*AU268</f>
        <v/>
      </c>
      <c r="AW268" s="34">
        <f>AC268+AJ268+AQ268</f>
        <v/>
      </c>
      <c r="AX268" s="34">
        <f>AF268+AM268+AT268</f>
        <v/>
      </c>
      <c r="AY268" s="34">
        <f>AB268+AI268+AP268</f>
        <v/>
      </c>
      <c r="AZ268" s="34" t="n">
        <v>0</v>
      </c>
      <c r="BA268" s="34">
        <f>AD268+AK268+AR268</f>
        <v/>
      </c>
      <c r="BB268" s="34">
        <f>MAX(F268:G268,750)*0.05*BA268</f>
        <v/>
      </c>
      <c r="BC268" s="34">
        <f>AG268+AN268+AU268</f>
        <v/>
      </c>
      <c r="BD268" s="34">
        <f>MAX(F268:G268,750)*0.05*BC268</f>
        <v/>
      </c>
      <c r="BE268" s="34">
        <f>F268*AY268</f>
        <v/>
      </c>
      <c r="BF268" s="34">
        <f>K268-M268</f>
        <v/>
      </c>
      <c r="BG268" s="34">
        <f>P268-S268</f>
        <v/>
      </c>
      <c r="BH268" s="34">
        <f>W268-AA268</f>
        <v/>
      </c>
      <c r="BI268" s="34">
        <f>BF268+BG268+BL268-BN268</f>
        <v/>
      </c>
      <c r="BJ268" s="34">
        <f>ABS(BK268)</f>
        <v/>
      </c>
      <c r="BK268" s="34">
        <f>AY268-(J268-L268+N268-Q268)</f>
        <v/>
      </c>
      <c r="BL268" s="34">
        <f>IF(AND(BK268&gt;0,MIN($F268:$G268)&lt;150,$E268="Enerji Açığı"),-100*BK268*1.03,IF(AND(BK268&gt;0,MIN($F268:$G268)&lt;150,$E268="Enerji Fazlası"),-100*BK268*1.06,IF(AND(BK268&gt;0,MIN($F268:$G268)&gt;=150,$E268="Enerji Açığı"),BK268*MIN($F268:$G268)*0.97,IF(AND(BK268&gt;0,MIN($F268:$G268)&gt;=150,$E268="Enerji Fazlası"),BK268*MIN($F268:$G268)*0.94,IF(AND(BK268&lt;0,MAX($F268:$G268)=4500,$E268="Enerji Açığı"),4500*1.05*1.06*BK268,IF(AND(BK268&lt;0,MAX($F268:$G268)=4500,$E268="Enerji Fazlası"),4500*1.05*1.03*BK268,IF(AND(BK268&lt;0,$E268="Enerji Açığı"),MAX($F268,$G268,150)*BK268*1.06,IF(AND(BK268&lt;0,$E268="Enerji Fazlası"),MAX($F268,$G268,150)*BK268*1.03,IF(AND(BK268&lt;0,$E268="Dengede"),MAX($F268:$G268,150)*1.03*BK268,MIN($F268:$G268)*0.97*BK268)))))))))</f>
        <v/>
      </c>
      <c r="BM268" s="34">
        <f>BE268-BI268-BN268</f>
        <v/>
      </c>
      <c r="BN268" s="34">
        <f>BB268</f>
        <v/>
      </c>
      <c r="BO268" s="34">
        <f>BE268-BI268</f>
        <v/>
      </c>
      <c r="BP268" s="34">
        <f>IF(AY268=0,0,BO268/AY268)</f>
        <v/>
      </c>
      <c r="BQ268" s="34">
        <f>MAX((AY268+MAX((-J268+L268-N268+Q268),0)),(MAX((J268-L268+N268-Q268),0)))</f>
        <v/>
      </c>
      <c r="BR268" s="82">
        <f>IFERROR(ABS(BK268/BQ268),0)</f>
        <v/>
      </c>
      <c r="BS268" s="34">
        <f>IF(BR268&lt;=0.1,0,BK268/BR268*(BR268-0.1))</f>
        <v/>
      </c>
      <c r="BT268" s="34">
        <f>IF((BS268)&lt;0,MAX(F268:G268)*(BS268)*1.03,MIN(F268:G268)*(BS268)*0.97)</f>
        <v/>
      </c>
      <c r="BU268" s="34">
        <f>IF(BR268&gt;0.1,1,0)</f>
        <v/>
      </c>
      <c r="BV268" s="34">
        <f>BF268+BG268+BH268+BY268-CA268</f>
        <v/>
      </c>
      <c r="BW268" s="34">
        <f>ABS(BX268)</f>
        <v/>
      </c>
      <c r="BX268" s="34">
        <f>AY268-(J268-L268+N268-Q268+T268-X268)</f>
        <v/>
      </c>
      <c r="BY268" s="34">
        <f>IF(AND(BX268&gt;0,MIN($F268:$G268)&lt;150,$E268="Enerji Açığı"),-100*BX268*1.03,IF(AND(BX268&gt;0,MIN($F268:$G268)&lt;150,$E268="Enerji Fazlası"),-100*BX268*1.06,IF(AND(BX268&gt;0,MIN($F268:$G268)&gt;=150,$E268="Enerji Açığı"),BX268*MIN($F268:$G268)*0.97,IF(AND(BX268&gt;0,MIN($F268:$G268)&gt;=150,$E268="Enerji Fazlası"),BX268*MIN($F268:$G268)*0.94,IF(AND(BX268&lt;0,MAX($F268:$G268)=4500,$E268="Enerji Açığı"),4500*1.05*1.06*BX268,IF(AND(BX268&lt;0,MAX($F268:$G268)=4500,$E268="Enerji Fazlası"),4500*1.05*1.03*BX268,IF(AND(BX268&lt;0,$E268="Enerji Açığı"),MAX($F268,$G268,150)*BX268*1.06,IF(AND(BX268&lt;0,$E268="Enerji Fazlası"),MAX($F268,$G268,150)*BX268*1.03,IF(AND(BX268&lt;0,$E268="Dengede"),MAX($F268:$G268,150)*1.03*BX268,MIN($F268:$G268)*0.97*BX268)))))))))</f>
        <v/>
      </c>
      <c r="BZ268" s="34">
        <f>BE268-BV268-CA268</f>
        <v/>
      </c>
      <c r="CA268" s="34">
        <f>BD268</f>
        <v/>
      </c>
      <c r="CB268" s="33">
        <f>BE268-BV268</f>
        <v/>
      </c>
      <c r="CC268" s="34">
        <f>IF(AY268=0,0,CB268/AY268)</f>
        <v/>
      </c>
      <c r="CD268" s="34">
        <f>MAX((AY268+MAX((-J268+L268-N268+Q268-T268+X268),0)),(MAX((J268-L268+N268-Q268+T268-X268),0)))</f>
        <v/>
      </c>
      <c r="CE268" s="82">
        <f>IFERROR(ABS(BX268/CD268),0)</f>
        <v/>
      </c>
      <c r="CF268" s="34">
        <f>IF(CE268&lt;=0.1,0,BX268/CE268*(CE268-0.1))</f>
        <v/>
      </c>
      <c r="CG268" s="34">
        <f>IF((CF268)&lt;0,MAX(F268:G268)*(CF268)*1.03,MIN(F268:G268)*(CF268)*0.97)</f>
        <v/>
      </c>
      <c r="CH268" s="34">
        <f>IF(CE268&gt;0.1,1,0)</f>
        <v/>
      </c>
      <c r="CI268" s="34">
        <f>(F268*BX268)-BY268</f>
        <v/>
      </c>
      <c r="CJ268" s="34">
        <f>IF(AY268=0,0,CI268/AY268)</f>
        <v/>
      </c>
    </row>
    <row r="269">
      <c r="A269" s="29">
        <f>[1]FİYATLAR!A244</f>
        <v/>
      </c>
      <c r="B269" s="29">
        <f>[1]FİYATLAR!B244</f>
        <v/>
      </c>
      <c r="C269" s="35">
        <f>INT(A269)</f>
        <v/>
      </c>
      <c r="D269" s="36">
        <f>MONTH(A269)</f>
        <v/>
      </c>
      <c r="E269" s="147">
        <f>[1]FİYATLAR!G244</f>
        <v/>
      </c>
      <c r="F269" s="30">
        <f>[1]FİYATLAR!C244</f>
        <v/>
      </c>
      <c r="G269" s="30">
        <f>[1]FİYATLAR!E244</f>
        <v/>
      </c>
      <c r="H269" s="30">
        <f>[1]FİYATLAR!D244</f>
        <v/>
      </c>
      <c r="I269" s="30">
        <f>[1]FİYATLAR!F244</f>
        <v/>
      </c>
      <c r="J269" s="119" t="n">
        <v>0</v>
      </c>
      <c r="K269" s="34">
        <f>F269*J269</f>
        <v/>
      </c>
      <c r="L269" s="119" t="n"/>
      <c r="M269" s="34">
        <f>L269*F269</f>
        <v/>
      </c>
      <c r="N269" s="119" t="n"/>
      <c r="O269" s="34">
        <f>F269</f>
        <v/>
      </c>
      <c r="P269" s="34">
        <f>N269*O269</f>
        <v/>
      </c>
      <c r="Q269" s="117" t="n">
        <v>0</v>
      </c>
      <c r="R269" s="34">
        <f>F269</f>
        <v/>
      </c>
      <c r="S269" s="34">
        <f>R269*Q269</f>
        <v/>
      </c>
      <c r="T269" s="34">
        <f>SUMIFS('[1]GİP VERİLERİ'!$C:$C,'[1]GİP VERİLERİ'!$B:$B,A269,'[1]GİP VERİLERİ'!$M:$M,"40X000000104782K",'[1]GİP VERİLERİ'!$G:$G,"SELL")</f>
        <v/>
      </c>
      <c r="U269" s="34">
        <f>IFERROR(W269/T269,0)</f>
        <v/>
      </c>
      <c r="V269" s="34">
        <f>IF(U269=0,0,U269-F269)</f>
        <v/>
      </c>
      <c r="W269" s="34">
        <f>SUMIFS('[1]GİP VERİLERİ'!$O:$O,'[1]GİP VERİLERİ'!$B:$B,A269,'[1]GİP VERİLERİ'!$M:$M,"40X000000104782K",'[1]GİP VERİLERİ'!$G:$G,"SELL")</f>
        <v/>
      </c>
      <c r="X269" s="34">
        <f>SUMIFS('[1]GİP VERİLERİ'!$C:$C,'[1]GİP VERİLERİ'!$B:$B,A269,'[1]GİP VERİLERİ'!$M:$M,"40X000000104782K",'[1]GİP VERİLERİ'!$G:$G,"BUY")</f>
        <v/>
      </c>
      <c r="Y269" s="34">
        <f>IFERROR(AA269/X269,0)</f>
        <v/>
      </c>
      <c r="Z269" s="34">
        <f>IF(Y269=0,0,F269-Y269)</f>
        <v/>
      </c>
      <c r="AA269" s="34">
        <f>SUMIFS('[1]GİP VERİLERİ'!$O:$O,'[1]GİP VERİLERİ'!$B:$B,A269,'[1]GİP VERİLERİ'!$M:$M,"40X000000104782K",'[1]GİP VERİLERİ'!$G:$G,"BUY")</f>
        <v/>
      </c>
      <c r="AB269" s="34">
        <f>'[1]GÖP VERİLERİ'!H270</f>
        <v/>
      </c>
      <c r="AC269" s="34">
        <f>'[1]GÖP VERİLERİ'!I270</f>
        <v/>
      </c>
      <c r="AD269" s="34">
        <f>IF(AB269&gt;AC269*1.05,AB269-AC269*1.05,IF(AB269&lt;AC269*0.95,AC269*0.95-AB269,0))</f>
        <v/>
      </c>
      <c r="AE269" s="34">
        <f>MAX(F269,G269,750)*0.05*AD269</f>
        <v/>
      </c>
      <c r="AF269" s="34">
        <f>'[1]GÖP VERİLERİ'!J270</f>
        <v/>
      </c>
      <c r="AG269" s="34">
        <f>IF(AB269&gt;AF269*1.05,AB269-AF269*1.05,IF(AB269&lt;AF269*0.95,AF269*0.95-AB269,0))</f>
        <v/>
      </c>
      <c r="AH269" s="34">
        <f>MAX(I269,J269,750)*0.05*AG269</f>
        <v/>
      </c>
      <c r="AI269">
        <f>'[1]GÖP VERİLERİ'!E270</f>
        <v/>
      </c>
      <c r="AJ269">
        <f>'[1]GÖP VERİLERİ'!F270</f>
        <v/>
      </c>
      <c r="AK269" s="34">
        <f>IF(AI269&gt;AJ269*1.05,AI269-AJ269*1.05,IF(AI269&lt;AJ269*0.95,AJ269*0.95-AI269,0))</f>
        <v/>
      </c>
      <c r="AL269" s="34">
        <f>MAX(F269,G269,750)*0.05*AK269</f>
        <v/>
      </c>
      <c r="AM269" s="39">
        <f>'[1]GÖP VERİLERİ'!G270</f>
        <v/>
      </c>
      <c r="AN269" s="34">
        <f>IF(AI269&gt;AM269*1.05,AI269-AM269*1.05,IF(AI269&lt;AM269*0.95,AM269*0.95-AI269,0))</f>
        <v/>
      </c>
      <c r="AO269" s="34">
        <f>MAX(F269,G269,750)*0.05*AN269</f>
        <v/>
      </c>
      <c r="AP269" s="34">
        <f>'[1]GÖP VERİLERİ'!B270</f>
        <v/>
      </c>
      <c r="AQ269" s="34">
        <f>'[1]GÖP VERİLERİ'!C270</f>
        <v/>
      </c>
      <c r="AR269" s="34">
        <f>IF(AP269&gt;AQ269*1.05,AP269-AQ269*1.05,IF(AP269&lt;AQ269*0.95,AQ269*0.95-AP269,0))</f>
        <v/>
      </c>
      <c r="AS269" s="34">
        <f>MAX(F269:G269,750)*0.05*AR269</f>
        <v/>
      </c>
      <c r="AT269">
        <f>'[1]GÖP VERİLERİ'!D270</f>
        <v/>
      </c>
      <c r="AU269" s="34">
        <f>IF(AP269&gt;AT269*1.05,AP269-AT269*1.05,IF(AP269&lt;AT269*0.95,AT269*0.95-AP269,0))</f>
        <v/>
      </c>
      <c r="AV269" s="34">
        <f>MAX(F269:G269,750)*0.05*AU269</f>
        <v/>
      </c>
      <c r="AW269" s="34">
        <f>AC269+AJ269+AQ269</f>
        <v/>
      </c>
      <c r="AX269" s="34">
        <f>AF269+AM269+AT269</f>
        <v/>
      </c>
      <c r="AY269" s="34">
        <f>AB269+AI269+AP269</f>
        <v/>
      </c>
      <c r="AZ269" s="34" t="n">
        <v>0</v>
      </c>
      <c r="BA269" s="34">
        <f>AD269+AK269+AR269</f>
        <v/>
      </c>
      <c r="BB269" s="34">
        <f>MAX(F269:G269,750)*0.05*BA269</f>
        <v/>
      </c>
      <c r="BC269" s="34">
        <f>AG269+AN269+AU269</f>
        <v/>
      </c>
      <c r="BD269" s="34">
        <f>MAX(F269:G269,750)*0.05*BC269</f>
        <v/>
      </c>
      <c r="BE269" s="34">
        <f>F269*AY269</f>
        <v/>
      </c>
      <c r="BF269" s="34">
        <f>K269-M269</f>
        <v/>
      </c>
      <c r="BG269" s="34">
        <f>P269-S269</f>
        <v/>
      </c>
      <c r="BH269" s="34">
        <f>W269-AA269</f>
        <v/>
      </c>
      <c r="BI269" s="34">
        <f>BF269+BG269+BL269-BN269</f>
        <v/>
      </c>
      <c r="BJ269" s="34">
        <f>ABS(BK269)</f>
        <v/>
      </c>
      <c r="BK269" s="34">
        <f>AY269-(J269-L269+N269-Q269)</f>
        <v/>
      </c>
      <c r="BL269" s="34">
        <f>IF(AND(BK269&gt;0,MIN($F269:$G269)&lt;150,$E269="Enerji Açığı"),-100*BK269*1.03,IF(AND(BK269&gt;0,MIN($F269:$G269)&lt;150,$E269="Enerji Fazlası"),-100*BK269*1.06,IF(AND(BK269&gt;0,MIN($F269:$G269)&gt;=150,$E269="Enerji Açığı"),BK269*MIN($F269:$G269)*0.97,IF(AND(BK269&gt;0,MIN($F269:$G269)&gt;=150,$E269="Enerji Fazlası"),BK269*MIN($F269:$G269)*0.94,IF(AND(BK269&lt;0,MAX($F269:$G269)=4500,$E269="Enerji Açığı"),4500*1.05*1.06*BK269,IF(AND(BK269&lt;0,MAX($F269:$G269)=4500,$E269="Enerji Fazlası"),4500*1.05*1.03*BK269,IF(AND(BK269&lt;0,$E269="Enerji Açığı"),MAX($F269,$G269,150)*BK269*1.06,IF(AND(BK269&lt;0,$E269="Enerji Fazlası"),MAX($F269,$G269,150)*BK269*1.03,IF(AND(BK269&lt;0,$E269="Dengede"),MAX($F269:$G269,150)*1.03*BK269,MIN($F269:$G269)*0.97*BK269)))))))))</f>
        <v/>
      </c>
      <c r="BM269" s="34">
        <f>BE269-BI269-BN269</f>
        <v/>
      </c>
      <c r="BN269" s="34">
        <f>BB269</f>
        <v/>
      </c>
      <c r="BO269" s="34">
        <f>BE269-BI269</f>
        <v/>
      </c>
      <c r="BP269" s="34">
        <f>IF(AY269=0,0,BO269/AY269)</f>
        <v/>
      </c>
      <c r="BQ269" s="34">
        <f>MAX((AY269+MAX((-J269+L269-N269+Q269),0)),(MAX((J269-L269+N269-Q269),0)))</f>
        <v/>
      </c>
      <c r="BR269" s="82">
        <f>IFERROR(ABS(BK269/BQ269),0)</f>
        <v/>
      </c>
      <c r="BS269" s="34">
        <f>IF(BR269&lt;=0.1,0,BK269/BR269*(BR269-0.1))</f>
        <v/>
      </c>
      <c r="BT269" s="34">
        <f>IF((BS269)&lt;0,MAX(F269:G269)*(BS269)*1.03,MIN(F269:G269)*(BS269)*0.97)</f>
        <v/>
      </c>
      <c r="BU269" s="34">
        <f>IF(BR269&gt;0.1,1,0)</f>
        <v/>
      </c>
      <c r="BV269" s="34">
        <f>BF269+BG269+BH269+BY269-CA269</f>
        <v/>
      </c>
      <c r="BW269" s="34">
        <f>ABS(BX269)</f>
        <v/>
      </c>
      <c r="BX269" s="34">
        <f>AY269-(J269-L269+N269-Q269+T269-X269)</f>
        <v/>
      </c>
      <c r="BY269" s="34">
        <f>IF(AND(BX269&gt;0,MIN($F269:$G269)&lt;150,$E269="Enerji Açığı"),-100*BX269*1.03,IF(AND(BX269&gt;0,MIN($F269:$G269)&lt;150,$E269="Enerji Fazlası"),-100*BX269*1.06,IF(AND(BX269&gt;0,MIN($F269:$G269)&gt;=150,$E269="Enerji Açığı"),BX269*MIN($F269:$G269)*0.97,IF(AND(BX269&gt;0,MIN($F269:$G269)&gt;=150,$E269="Enerji Fazlası"),BX269*MIN($F269:$G269)*0.94,IF(AND(BX269&lt;0,MAX($F269:$G269)=4500,$E269="Enerji Açığı"),4500*1.05*1.06*BX269,IF(AND(BX269&lt;0,MAX($F269:$G269)=4500,$E269="Enerji Fazlası"),4500*1.05*1.03*BX269,IF(AND(BX269&lt;0,$E269="Enerji Açığı"),MAX($F269,$G269,150)*BX269*1.06,IF(AND(BX269&lt;0,$E269="Enerji Fazlası"),MAX($F269,$G269,150)*BX269*1.03,IF(AND(BX269&lt;0,$E269="Dengede"),MAX($F269:$G269,150)*1.03*BX269,MIN($F269:$G269)*0.97*BX269)))))))))</f>
        <v/>
      </c>
      <c r="BZ269" s="34">
        <f>BE269-BV269-CA269</f>
        <v/>
      </c>
      <c r="CA269" s="34">
        <f>BD269</f>
        <v/>
      </c>
      <c r="CB269" s="33">
        <f>BE269-BV269</f>
        <v/>
      </c>
      <c r="CC269" s="34">
        <f>IF(AY269=0,0,CB269/AY269)</f>
        <v/>
      </c>
      <c r="CD269" s="34">
        <f>MAX((AY269+MAX((-J269+L269-N269+Q269-T269+X269),0)),(MAX((J269-L269+N269-Q269+T269-X269),0)))</f>
        <v/>
      </c>
      <c r="CE269" s="82">
        <f>IFERROR(ABS(BX269/CD269),0)</f>
        <v/>
      </c>
      <c r="CF269" s="34">
        <f>IF(CE269&lt;=0.1,0,BX269/CE269*(CE269-0.1))</f>
        <v/>
      </c>
      <c r="CG269" s="34">
        <f>IF((CF269)&lt;0,MAX(F269:G269)*(CF269)*1.03,MIN(F269:G269)*(CF269)*0.97)</f>
        <v/>
      </c>
      <c r="CH269" s="34">
        <f>IF(CE269&gt;0.1,1,0)</f>
        <v/>
      </c>
      <c r="CI269" s="34">
        <f>(F269*BX269)-BY269</f>
        <v/>
      </c>
      <c r="CJ269" s="34">
        <f>IF(AY269=0,0,CI269/AY269)</f>
        <v/>
      </c>
    </row>
    <row r="270">
      <c r="A270" s="29">
        <f>[1]FİYATLAR!A245</f>
        <v/>
      </c>
      <c r="B270" s="29">
        <f>[1]FİYATLAR!B245</f>
        <v/>
      </c>
      <c r="C270" s="35">
        <f>INT(A270)</f>
        <v/>
      </c>
      <c r="D270" s="36">
        <f>MONTH(A270)</f>
        <v/>
      </c>
      <c r="E270" s="147">
        <f>[1]FİYATLAR!G245</f>
        <v/>
      </c>
      <c r="F270" s="30">
        <f>[1]FİYATLAR!C245</f>
        <v/>
      </c>
      <c r="G270" s="30">
        <f>[1]FİYATLAR!E245</f>
        <v/>
      </c>
      <c r="H270" s="30">
        <f>[1]FİYATLAR!D245</f>
        <v/>
      </c>
      <c r="I270" s="30">
        <f>[1]FİYATLAR!F245</f>
        <v/>
      </c>
      <c r="J270" s="119" t="n">
        <v>0</v>
      </c>
      <c r="K270" s="34">
        <f>F270*J270</f>
        <v/>
      </c>
      <c r="L270" s="119" t="n"/>
      <c r="M270" s="34">
        <f>L270*F270</f>
        <v/>
      </c>
      <c r="N270" s="119" t="n"/>
      <c r="O270" s="34">
        <f>F270</f>
        <v/>
      </c>
      <c r="P270" s="34">
        <f>N270*O270</f>
        <v/>
      </c>
      <c r="Q270" s="117" t="n">
        <v>0</v>
      </c>
      <c r="R270" s="34">
        <f>F270</f>
        <v/>
      </c>
      <c r="S270" s="34">
        <f>R270*Q270</f>
        <v/>
      </c>
      <c r="T270" s="34">
        <f>SUMIFS('[1]GİP VERİLERİ'!$C:$C,'[1]GİP VERİLERİ'!$B:$B,A270,'[1]GİP VERİLERİ'!$M:$M,"40X000000104782K",'[1]GİP VERİLERİ'!$G:$G,"SELL")</f>
        <v/>
      </c>
      <c r="U270" s="34">
        <f>IFERROR(W270/T270,0)</f>
        <v/>
      </c>
      <c r="V270" s="34">
        <f>IF(U270=0,0,U270-F270)</f>
        <v/>
      </c>
      <c r="W270" s="34">
        <f>SUMIFS('[1]GİP VERİLERİ'!$O:$O,'[1]GİP VERİLERİ'!$B:$B,A270,'[1]GİP VERİLERİ'!$M:$M,"40X000000104782K",'[1]GİP VERİLERİ'!$G:$G,"SELL")</f>
        <v/>
      </c>
      <c r="X270" s="34">
        <f>SUMIFS('[1]GİP VERİLERİ'!$C:$C,'[1]GİP VERİLERİ'!$B:$B,A270,'[1]GİP VERİLERİ'!$M:$M,"40X000000104782K",'[1]GİP VERİLERİ'!$G:$G,"BUY")</f>
        <v/>
      </c>
      <c r="Y270" s="34">
        <f>IFERROR(AA270/X270,0)</f>
        <v/>
      </c>
      <c r="Z270" s="34">
        <f>IF(Y270=0,0,F270-Y270)</f>
        <v/>
      </c>
      <c r="AA270" s="34">
        <f>SUMIFS('[1]GİP VERİLERİ'!$O:$O,'[1]GİP VERİLERİ'!$B:$B,A270,'[1]GİP VERİLERİ'!$M:$M,"40X000000104782K",'[1]GİP VERİLERİ'!$G:$G,"BUY")</f>
        <v/>
      </c>
      <c r="AB270" s="34">
        <f>'[1]GÖP VERİLERİ'!H271</f>
        <v/>
      </c>
      <c r="AC270" s="34">
        <f>'[1]GÖP VERİLERİ'!I271</f>
        <v/>
      </c>
      <c r="AD270" s="34">
        <f>IF(AB270&gt;AC270*1.05,AB270-AC270*1.05,IF(AB270&lt;AC270*0.95,AC270*0.95-AB270,0))</f>
        <v/>
      </c>
      <c r="AE270" s="34">
        <f>MAX(F270,G270,750)*0.05*AD270</f>
        <v/>
      </c>
      <c r="AF270" s="34">
        <f>'[1]GÖP VERİLERİ'!J271</f>
        <v/>
      </c>
      <c r="AG270" s="34">
        <f>IF(AB270&gt;AF270*1.05,AB270-AF270*1.05,IF(AB270&lt;AF270*0.95,AF270*0.95-AB270,0))</f>
        <v/>
      </c>
      <c r="AH270" s="34">
        <f>MAX(I270,J270,750)*0.05*AG270</f>
        <v/>
      </c>
      <c r="AI270">
        <f>'[1]GÖP VERİLERİ'!E271</f>
        <v/>
      </c>
      <c r="AJ270">
        <f>'[1]GÖP VERİLERİ'!F271</f>
        <v/>
      </c>
      <c r="AK270" s="34">
        <f>IF(AI270&gt;AJ270*1.05,AI270-AJ270*1.05,IF(AI270&lt;AJ270*0.95,AJ270*0.95-AI270,0))</f>
        <v/>
      </c>
      <c r="AL270" s="34">
        <f>MAX(F270,G270,750)*0.05*AK270</f>
        <v/>
      </c>
      <c r="AM270" s="39">
        <f>'[1]GÖP VERİLERİ'!G271</f>
        <v/>
      </c>
      <c r="AN270" s="34">
        <f>IF(AI270&gt;AM270*1.05,AI270-AM270*1.05,IF(AI270&lt;AM270*0.95,AM270*0.95-AI270,0))</f>
        <v/>
      </c>
      <c r="AO270" s="34">
        <f>MAX(F270,G270,750)*0.05*AN270</f>
        <v/>
      </c>
      <c r="AP270" s="34">
        <f>'[1]GÖP VERİLERİ'!B271</f>
        <v/>
      </c>
      <c r="AQ270" s="34">
        <f>'[1]GÖP VERİLERİ'!C271</f>
        <v/>
      </c>
      <c r="AR270" s="34">
        <f>IF(AP270&gt;AQ270*1.05,AP270-AQ270*1.05,IF(AP270&lt;AQ270*0.95,AQ270*0.95-AP270,0))</f>
        <v/>
      </c>
      <c r="AS270" s="34">
        <f>MAX(F270:G270,750)*0.05*AR270</f>
        <v/>
      </c>
      <c r="AT270">
        <f>'[1]GÖP VERİLERİ'!D271</f>
        <v/>
      </c>
      <c r="AU270" s="34">
        <f>IF(AP270&gt;AT270*1.05,AP270-AT270*1.05,IF(AP270&lt;AT270*0.95,AT270*0.95-AP270,0))</f>
        <v/>
      </c>
      <c r="AV270" s="34">
        <f>MAX(F270:G270,750)*0.05*AU270</f>
        <v/>
      </c>
      <c r="AW270" s="34">
        <f>AC270+AJ270+AQ270</f>
        <v/>
      </c>
      <c r="AX270" s="34">
        <f>AF270+AM270+AT270</f>
        <v/>
      </c>
      <c r="AY270" s="34">
        <f>AB270+AI270+AP270</f>
        <v/>
      </c>
      <c r="AZ270" s="34" t="n">
        <v>0</v>
      </c>
      <c r="BA270" s="34">
        <f>AD270+AK270+AR270</f>
        <v/>
      </c>
      <c r="BB270" s="34">
        <f>MAX(F270:G270,750)*0.05*BA270</f>
        <v/>
      </c>
      <c r="BC270" s="34">
        <f>AG270+AN270+AU270</f>
        <v/>
      </c>
      <c r="BD270" s="34">
        <f>MAX(F270:G270,750)*0.05*BC270</f>
        <v/>
      </c>
      <c r="BE270" s="34">
        <f>F270*AY270</f>
        <v/>
      </c>
      <c r="BF270" s="34">
        <f>K270-M270</f>
        <v/>
      </c>
      <c r="BG270" s="34">
        <f>P270-S270</f>
        <v/>
      </c>
      <c r="BH270" s="34">
        <f>W270-AA270</f>
        <v/>
      </c>
      <c r="BI270" s="34">
        <f>BF270+BG270+BL270-BN270</f>
        <v/>
      </c>
      <c r="BJ270" s="34">
        <f>ABS(BK270)</f>
        <v/>
      </c>
      <c r="BK270" s="34">
        <f>AY270-(J270-L270+N270-Q270)</f>
        <v/>
      </c>
      <c r="BL270" s="34">
        <f>IF(AND(BK270&gt;0,MIN($F270:$G270)&lt;150,$E270="Enerji Açığı"),-100*BK270*1.03,IF(AND(BK270&gt;0,MIN($F270:$G270)&lt;150,$E270="Enerji Fazlası"),-100*BK270*1.06,IF(AND(BK270&gt;0,MIN($F270:$G270)&gt;=150,$E270="Enerji Açığı"),BK270*MIN($F270:$G270)*0.97,IF(AND(BK270&gt;0,MIN($F270:$G270)&gt;=150,$E270="Enerji Fazlası"),BK270*MIN($F270:$G270)*0.94,IF(AND(BK270&lt;0,MAX($F270:$G270)=4500,$E270="Enerji Açığı"),4500*1.05*1.06*BK270,IF(AND(BK270&lt;0,MAX($F270:$G270)=4500,$E270="Enerji Fazlası"),4500*1.05*1.03*BK270,IF(AND(BK270&lt;0,$E270="Enerji Açığı"),MAX($F270,$G270,150)*BK270*1.06,IF(AND(BK270&lt;0,$E270="Enerji Fazlası"),MAX($F270,$G270,150)*BK270*1.03,IF(AND(BK270&lt;0,$E270="Dengede"),MAX($F270:$G270,150)*1.03*BK270,MIN($F270:$G270)*0.97*BK270)))))))))</f>
        <v/>
      </c>
      <c r="BM270" s="34">
        <f>BE270-BI270-BN270</f>
        <v/>
      </c>
      <c r="BN270" s="34">
        <f>BB270</f>
        <v/>
      </c>
      <c r="BO270" s="34">
        <f>BE270-BI270</f>
        <v/>
      </c>
      <c r="BP270" s="34">
        <f>IF(AY270=0,0,BO270/AY270)</f>
        <v/>
      </c>
      <c r="BQ270" s="34">
        <f>MAX((AY270+MAX((-J270+L270-N270+Q270),0)),(MAX((J270-L270+N270-Q270),0)))</f>
        <v/>
      </c>
      <c r="BR270" s="82">
        <f>IFERROR(ABS(BK270/BQ270),0)</f>
        <v/>
      </c>
      <c r="BS270" s="34">
        <f>IF(BR270&lt;=0.1,0,BK270/BR270*(BR270-0.1))</f>
        <v/>
      </c>
      <c r="BT270" s="34">
        <f>IF((BS270)&lt;0,MAX(F270:G270)*(BS270)*1.03,MIN(F270:G270)*(BS270)*0.97)</f>
        <v/>
      </c>
      <c r="BU270" s="34">
        <f>IF(BR270&gt;0.1,1,0)</f>
        <v/>
      </c>
      <c r="BV270" s="34">
        <f>BF270+BG270+BH270+BY270-CA270</f>
        <v/>
      </c>
      <c r="BW270" s="34">
        <f>ABS(BX270)</f>
        <v/>
      </c>
      <c r="BX270" s="34">
        <f>AY270-(J270-L270+N270-Q270+T270-X270)</f>
        <v/>
      </c>
      <c r="BY270" s="34">
        <f>IF(AND(BX270&gt;0,MIN($F270:$G270)&lt;150,$E270="Enerji Açığı"),-100*BX270*1.03,IF(AND(BX270&gt;0,MIN($F270:$G270)&lt;150,$E270="Enerji Fazlası"),-100*BX270*1.06,IF(AND(BX270&gt;0,MIN($F270:$G270)&gt;=150,$E270="Enerji Açığı"),BX270*MIN($F270:$G270)*0.97,IF(AND(BX270&gt;0,MIN($F270:$G270)&gt;=150,$E270="Enerji Fazlası"),BX270*MIN($F270:$G270)*0.94,IF(AND(BX270&lt;0,MAX($F270:$G270)=4500,$E270="Enerji Açığı"),4500*1.05*1.06*BX270,IF(AND(BX270&lt;0,MAX($F270:$G270)=4500,$E270="Enerji Fazlası"),4500*1.05*1.03*BX270,IF(AND(BX270&lt;0,$E270="Enerji Açığı"),MAX($F270,$G270,150)*BX270*1.06,IF(AND(BX270&lt;0,$E270="Enerji Fazlası"),MAX($F270,$G270,150)*BX270*1.03,IF(AND(BX270&lt;0,$E270="Dengede"),MAX($F270:$G270,150)*1.03*BX270,MIN($F270:$G270)*0.97*BX270)))))))))</f>
        <v/>
      </c>
      <c r="BZ270" s="34">
        <f>BE270-BV270-CA270</f>
        <v/>
      </c>
      <c r="CA270" s="34">
        <f>BD270</f>
        <v/>
      </c>
      <c r="CB270" s="33">
        <f>BE270-BV270</f>
        <v/>
      </c>
      <c r="CC270" s="34">
        <f>IF(AY270=0,0,CB270/AY270)</f>
        <v/>
      </c>
      <c r="CD270" s="34">
        <f>MAX((AY270+MAX((-J270+L270-N270+Q270-T270+X270),0)),(MAX((J270-L270+N270-Q270+T270-X270),0)))</f>
        <v/>
      </c>
      <c r="CE270" s="82">
        <f>IFERROR(ABS(BX270/CD270),0)</f>
        <v/>
      </c>
      <c r="CF270" s="34">
        <f>IF(CE270&lt;=0.1,0,BX270/CE270*(CE270-0.1))</f>
        <v/>
      </c>
      <c r="CG270" s="34">
        <f>IF((CF270)&lt;0,MAX(F270:G270)*(CF270)*1.03,MIN(F270:G270)*(CF270)*0.97)</f>
        <v/>
      </c>
      <c r="CH270" s="34">
        <f>IF(CE270&gt;0.1,1,0)</f>
        <v/>
      </c>
      <c r="CI270" s="34">
        <f>(F270*BX270)-BY270</f>
        <v/>
      </c>
      <c r="CJ270" s="34">
        <f>IF(AY270=0,0,CI270/AY270)</f>
        <v/>
      </c>
    </row>
    <row r="271">
      <c r="A271" s="29">
        <f>[1]FİYATLAR!A246</f>
        <v/>
      </c>
      <c r="B271" s="29">
        <f>[1]FİYATLAR!B246</f>
        <v/>
      </c>
      <c r="C271" s="35">
        <f>INT(A271)</f>
        <v/>
      </c>
      <c r="D271" s="36">
        <f>MONTH(A271)</f>
        <v/>
      </c>
      <c r="E271" s="147">
        <f>[1]FİYATLAR!G246</f>
        <v/>
      </c>
      <c r="F271" s="30">
        <f>[1]FİYATLAR!C246</f>
        <v/>
      </c>
      <c r="G271" s="30">
        <f>[1]FİYATLAR!E246</f>
        <v/>
      </c>
      <c r="H271" s="30">
        <f>[1]FİYATLAR!D246</f>
        <v/>
      </c>
      <c r="I271" s="30">
        <f>[1]FİYATLAR!F246</f>
        <v/>
      </c>
      <c r="J271" s="119" t="n">
        <v>0</v>
      </c>
      <c r="K271" s="34">
        <f>F271*J271</f>
        <v/>
      </c>
      <c r="L271" s="119" t="n"/>
      <c r="M271" s="34">
        <f>L271*F271</f>
        <v/>
      </c>
      <c r="N271" s="119" t="n"/>
      <c r="O271" s="34">
        <f>F271</f>
        <v/>
      </c>
      <c r="P271" s="34">
        <f>N271*O271</f>
        <v/>
      </c>
      <c r="Q271" s="117" t="n">
        <v>0</v>
      </c>
      <c r="R271" s="34">
        <f>F271</f>
        <v/>
      </c>
      <c r="S271" s="34">
        <f>R271*Q271</f>
        <v/>
      </c>
      <c r="T271" s="34">
        <f>SUMIFS('[1]GİP VERİLERİ'!$C:$C,'[1]GİP VERİLERİ'!$B:$B,A271,'[1]GİP VERİLERİ'!$M:$M,"40X000000104782K",'[1]GİP VERİLERİ'!$G:$G,"SELL")</f>
        <v/>
      </c>
      <c r="U271" s="34">
        <f>IFERROR(W271/T271,0)</f>
        <v/>
      </c>
      <c r="V271" s="34">
        <f>IF(U271=0,0,U271-F271)</f>
        <v/>
      </c>
      <c r="W271" s="34">
        <f>SUMIFS('[1]GİP VERİLERİ'!$O:$O,'[1]GİP VERİLERİ'!$B:$B,A271,'[1]GİP VERİLERİ'!$M:$M,"40X000000104782K",'[1]GİP VERİLERİ'!$G:$G,"SELL")</f>
        <v/>
      </c>
      <c r="X271" s="34">
        <f>SUMIFS('[1]GİP VERİLERİ'!$C:$C,'[1]GİP VERİLERİ'!$B:$B,A271,'[1]GİP VERİLERİ'!$M:$M,"40X000000104782K",'[1]GİP VERİLERİ'!$G:$G,"BUY")</f>
        <v/>
      </c>
      <c r="Y271" s="34">
        <f>IFERROR(AA271/X271,0)</f>
        <v/>
      </c>
      <c r="Z271" s="34">
        <f>IF(Y271=0,0,F271-Y271)</f>
        <v/>
      </c>
      <c r="AA271" s="34">
        <f>SUMIFS('[1]GİP VERİLERİ'!$O:$O,'[1]GİP VERİLERİ'!$B:$B,A271,'[1]GİP VERİLERİ'!$M:$M,"40X000000104782K",'[1]GİP VERİLERİ'!$G:$G,"BUY")</f>
        <v/>
      </c>
      <c r="AB271" s="34">
        <f>'[1]GÖP VERİLERİ'!H272</f>
        <v/>
      </c>
      <c r="AC271" s="34">
        <f>'[1]GÖP VERİLERİ'!I272</f>
        <v/>
      </c>
      <c r="AD271" s="34">
        <f>IF(AB271&gt;AC271*1.05,AB271-AC271*1.05,IF(AB271&lt;AC271*0.95,AC271*0.95-AB271,0))</f>
        <v/>
      </c>
      <c r="AE271" s="34">
        <f>MAX(F271,G271,750)*0.05*AD271</f>
        <v/>
      </c>
      <c r="AF271" s="34">
        <f>'[1]GÖP VERİLERİ'!J272</f>
        <v/>
      </c>
      <c r="AG271" s="34">
        <f>IF(AB271&gt;AF271*1.05,AB271-AF271*1.05,IF(AB271&lt;AF271*0.95,AF271*0.95-AB271,0))</f>
        <v/>
      </c>
      <c r="AH271" s="34">
        <f>MAX(I271,J271,750)*0.05*AG271</f>
        <v/>
      </c>
      <c r="AI271">
        <f>'[1]GÖP VERİLERİ'!E272</f>
        <v/>
      </c>
      <c r="AJ271">
        <f>'[1]GÖP VERİLERİ'!F272</f>
        <v/>
      </c>
      <c r="AK271" s="34">
        <f>IF(AI271&gt;AJ271*1.05,AI271-AJ271*1.05,IF(AI271&lt;AJ271*0.95,AJ271*0.95-AI271,0))</f>
        <v/>
      </c>
      <c r="AL271" s="34">
        <f>MAX(F271,G271,750)*0.05*AK271</f>
        <v/>
      </c>
      <c r="AM271" s="39">
        <f>'[1]GÖP VERİLERİ'!G272</f>
        <v/>
      </c>
      <c r="AN271" s="34">
        <f>IF(AI271&gt;AM271*1.05,AI271-AM271*1.05,IF(AI271&lt;AM271*0.95,AM271*0.95-AI271,0))</f>
        <v/>
      </c>
      <c r="AO271" s="34">
        <f>MAX(F271,G271,750)*0.05*AN271</f>
        <v/>
      </c>
      <c r="AP271" s="34">
        <f>'[1]GÖP VERİLERİ'!B272</f>
        <v/>
      </c>
      <c r="AQ271" s="34">
        <f>'[1]GÖP VERİLERİ'!C272</f>
        <v/>
      </c>
      <c r="AR271" s="34">
        <f>IF(AP271&gt;AQ271*1.05,AP271-AQ271*1.05,IF(AP271&lt;AQ271*0.95,AQ271*0.95-AP271,0))</f>
        <v/>
      </c>
      <c r="AS271" s="34">
        <f>MAX(F271:G271,750)*0.05*AR271</f>
        <v/>
      </c>
      <c r="AT271">
        <f>'[1]GÖP VERİLERİ'!D272</f>
        <v/>
      </c>
      <c r="AU271" s="34">
        <f>IF(AP271&gt;AT271*1.05,AP271-AT271*1.05,IF(AP271&lt;AT271*0.95,AT271*0.95-AP271,0))</f>
        <v/>
      </c>
      <c r="AV271" s="34">
        <f>MAX(F271:G271,750)*0.05*AU271</f>
        <v/>
      </c>
      <c r="AW271" s="34">
        <f>AC271+AJ271+AQ271</f>
        <v/>
      </c>
      <c r="AX271" s="34">
        <f>AF271+AM271+AT271</f>
        <v/>
      </c>
      <c r="AY271" s="34">
        <f>AB271+AI271+AP271</f>
        <v/>
      </c>
      <c r="AZ271" s="34" t="n">
        <v>0</v>
      </c>
      <c r="BA271" s="34">
        <f>AD271+AK271+AR271</f>
        <v/>
      </c>
      <c r="BB271" s="34">
        <f>MAX(F271:G271,750)*0.05*BA271</f>
        <v/>
      </c>
      <c r="BC271" s="34">
        <f>AG271+AN271+AU271</f>
        <v/>
      </c>
      <c r="BD271" s="34">
        <f>MAX(F271:G271,750)*0.05*BC271</f>
        <v/>
      </c>
      <c r="BE271" s="34">
        <f>F271*AY271</f>
        <v/>
      </c>
      <c r="BF271" s="34">
        <f>K271-M271</f>
        <v/>
      </c>
      <c r="BG271" s="34">
        <f>P271-S271</f>
        <v/>
      </c>
      <c r="BH271" s="34">
        <f>W271-AA271</f>
        <v/>
      </c>
      <c r="BI271" s="34">
        <f>BF271+BG271+BL271-BN271</f>
        <v/>
      </c>
      <c r="BJ271" s="34">
        <f>ABS(BK271)</f>
        <v/>
      </c>
      <c r="BK271" s="34">
        <f>AY271-(J271-L271+N271-Q271)</f>
        <v/>
      </c>
      <c r="BL271" s="34">
        <f>IF(AND(BK271&gt;0,MIN($F271:$G271)&lt;150,$E271="Enerji Açığı"),-100*BK271*1.03,IF(AND(BK271&gt;0,MIN($F271:$G271)&lt;150,$E271="Enerji Fazlası"),-100*BK271*1.06,IF(AND(BK271&gt;0,MIN($F271:$G271)&gt;=150,$E271="Enerji Açığı"),BK271*MIN($F271:$G271)*0.97,IF(AND(BK271&gt;0,MIN($F271:$G271)&gt;=150,$E271="Enerji Fazlası"),BK271*MIN($F271:$G271)*0.94,IF(AND(BK271&lt;0,MAX($F271:$G271)=4500,$E271="Enerji Açığı"),4500*1.05*1.06*BK271,IF(AND(BK271&lt;0,MAX($F271:$G271)=4500,$E271="Enerji Fazlası"),4500*1.05*1.03*BK271,IF(AND(BK271&lt;0,$E271="Enerji Açığı"),MAX($F271,$G271,150)*BK271*1.06,IF(AND(BK271&lt;0,$E271="Enerji Fazlası"),MAX($F271,$G271,150)*BK271*1.03,IF(AND(BK271&lt;0,$E271="Dengede"),MAX($F271:$G271,150)*1.03*BK271,MIN($F271:$G271)*0.97*BK271)))))))))</f>
        <v/>
      </c>
      <c r="BM271" s="34">
        <f>BE271-BI271-BN271</f>
        <v/>
      </c>
      <c r="BN271" s="34">
        <f>BB271</f>
        <v/>
      </c>
      <c r="BO271" s="34">
        <f>BE271-BI271</f>
        <v/>
      </c>
      <c r="BP271" s="34">
        <f>IF(AY271=0,0,BO271/AY271)</f>
        <v/>
      </c>
      <c r="BQ271" s="34">
        <f>MAX((AY271+MAX((-J271+L271-N271+Q271),0)),(MAX((J271-L271+N271-Q271),0)))</f>
        <v/>
      </c>
      <c r="BR271" s="82">
        <f>IFERROR(ABS(BK271/BQ271),0)</f>
        <v/>
      </c>
      <c r="BS271" s="34">
        <f>IF(BR271&lt;=0.1,0,BK271/BR271*(BR271-0.1))</f>
        <v/>
      </c>
      <c r="BT271" s="34">
        <f>IF((BS271)&lt;0,MAX(F271:G271)*(BS271)*1.03,MIN(F271:G271)*(BS271)*0.97)</f>
        <v/>
      </c>
      <c r="BU271" s="34">
        <f>IF(BR271&gt;0.1,1,0)</f>
        <v/>
      </c>
      <c r="BV271" s="34">
        <f>BF271+BG271+BH271+BY271-CA271</f>
        <v/>
      </c>
      <c r="BW271" s="34">
        <f>ABS(BX271)</f>
        <v/>
      </c>
      <c r="BX271" s="34">
        <f>AY271-(J271-L271+N271-Q271+T271-X271)</f>
        <v/>
      </c>
      <c r="BY271" s="34">
        <f>IF(AND(BX271&gt;0,MIN($F271:$G271)&lt;150,$E271="Enerji Açığı"),-100*BX271*1.03,IF(AND(BX271&gt;0,MIN($F271:$G271)&lt;150,$E271="Enerji Fazlası"),-100*BX271*1.06,IF(AND(BX271&gt;0,MIN($F271:$G271)&gt;=150,$E271="Enerji Açığı"),BX271*MIN($F271:$G271)*0.97,IF(AND(BX271&gt;0,MIN($F271:$G271)&gt;=150,$E271="Enerji Fazlası"),BX271*MIN($F271:$G271)*0.94,IF(AND(BX271&lt;0,MAX($F271:$G271)=4500,$E271="Enerji Açığı"),4500*1.05*1.06*BX271,IF(AND(BX271&lt;0,MAX($F271:$G271)=4500,$E271="Enerji Fazlası"),4500*1.05*1.03*BX271,IF(AND(BX271&lt;0,$E271="Enerji Açığı"),MAX($F271,$G271,150)*BX271*1.06,IF(AND(BX271&lt;0,$E271="Enerji Fazlası"),MAX($F271,$G271,150)*BX271*1.03,IF(AND(BX271&lt;0,$E271="Dengede"),MAX($F271:$G271,150)*1.03*BX271,MIN($F271:$G271)*0.97*BX271)))))))))</f>
        <v/>
      </c>
      <c r="BZ271" s="34">
        <f>BE271-BV271-CA271</f>
        <v/>
      </c>
      <c r="CA271" s="34">
        <f>BD271</f>
        <v/>
      </c>
      <c r="CB271" s="33">
        <f>BE271-BV271</f>
        <v/>
      </c>
      <c r="CC271" s="34">
        <f>IF(AY271=0,0,CB271/AY271)</f>
        <v/>
      </c>
      <c r="CD271" s="34">
        <f>MAX((AY271+MAX((-J271+L271-N271+Q271-T271+X271),0)),(MAX((J271-L271+N271-Q271+T271-X271),0)))</f>
        <v/>
      </c>
      <c r="CE271" s="82">
        <f>IFERROR(ABS(BX271/CD271),0)</f>
        <v/>
      </c>
      <c r="CF271" s="34">
        <f>IF(CE271&lt;=0.1,0,BX271/CE271*(CE271-0.1))</f>
        <v/>
      </c>
      <c r="CG271" s="34">
        <f>IF((CF271)&lt;0,MAX(F271:G271)*(CF271)*1.03,MIN(F271:G271)*(CF271)*0.97)</f>
        <v/>
      </c>
      <c r="CH271" s="34">
        <f>IF(CE271&gt;0.1,1,0)</f>
        <v/>
      </c>
      <c r="CI271" s="34">
        <f>(F271*BX271)-BY271</f>
        <v/>
      </c>
      <c r="CJ271" s="34">
        <f>IF(AY271=0,0,CI271/AY271)</f>
        <v/>
      </c>
    </row>
    <row r="272">
      <c r="A272" s="29">
        <f>[1]FİYATLAR!A247</f>
        <v/>
      </c>
      <c r="B272" s="29">
        <f>[1]FİYATLAR!B247</f>
        <v/>
      </c>
      <c r="C272" s="35">
        <f>INT(A272)</f>
        <v/>
      </c>
      <c r="D272" s="36">
        <f>MONTH(A272)</f>
        <v/>
      </c>
      <c r="E272" s="147">
        <f>[1]FİYATLAR!G247</f>
        <v/>
      </c>
      <c r="F272" s="30">
        <f>[1]FİYATLAR!C247</f>
        <v/>
      </c>
      <c r="G272" s="30">
        <f>[1]FİYATLAR!E247</f>
        <v/>
      </c>
      <c r="H272" s="30">
        <f>[1]FİYATLAR!D247</f>
        <v/>
      </c>
      <c r="I272" s="30">
        <f>[1]FİYATLAR!F247</f>
        <v/>
      </c>
      <c r="J272" s="119" t="n">
        <v>0</v>
      </c>
      <c r="K272" s="34">
        <f>F272*J272</f>
        <v/>
      </c>
      <c r="L272" s="119" t="n"/>
      <c r="M272" s="34">
        <f>L272*F272</f>
        <v/>
      </c>
      <c r="N272" s="119" t="n"/>
      <c r="O272" s="34">
        <f>F272</f>
        <v/>
      </c>
      <c r="P272" s="34">
        <f>N272*O272</f>
        <v/>
      </c>
      <c r="Q272" s="117" t="n">
        <v>0</v>
      </c>
      <c r="R272" s="34">
        <f>F272</f>
        <v/>
      </c>
      <c r="S272" s="34">
        <f>R272*Q272</f>
        <v/>
      </c>
      <c r="T272" s="34">
        <f>SUMIFS('[1]GİP VERİLERİ'!$C:$C,'[1]GİP VERİLERİ'!$B:$B,A272,'[1]GİP VERİLERİ'!$M:$M,"40X000000104782K",'[1]GİP VERİLERİ'!$G:$G,"SELL")</f>
        <v/>
      </c>
      <c r="U272" s="34">
        <f>IFERROR(W272/T272,0)</f>
        <v/>
      </c>
      <c r="V272" s="34">
        <f>IF(U272=0,0,U272-F272)</f>
        <v/>
      </c>
      <c r="W272" s="34">
        <f>SUMIFS('[1]GİP VERİLERİ'!$O:$O,'[1]GİP VERİLERİ'!$B:$B,A272,'[1]GİP VERİLERİ'!$M:$M,"40X000000104782K",'[1]GİP VERİLERİ'!$G:$G,"SELL")</f>
        <v/>
      </c>
      <c r="X272" s="34">
        <f>SUMIFS('[1]GİP VERİLERİ'!$C:$C,'[1]GİP VERİLERİ'!$B:$B,A272,'[1]GİP VERİLERİ'!$M:$M,"40X000000104782K",'[1]GİP VERİLERİ'!$G:$G,"BUY")</f>
        <v/>
      </c>
      <c r="Y272" s="34">
        <f>IFERROR(AA272/X272,0)</f>
        <v/>
      </c>
      <c r="Z272" s="34">
        <f>IF(Y272=0,0,F272-Y272)</f>
        <v/>
      </c>
      <c r="AA272" s="34">
        <f>SUMIFS('[1]GİP VERİLERİ'!$O:$O,'[1]GİP VERİLERİ'!$B:$B,A272,'[1]GİP VERİLERİ'!$M:$M,"40X000000104782K",'[1]GİP VERİLERİ'!$G:$G,"BUY")</f>
        <v/>
      </c>
      <c r="AB272" s="34">
        <f>'[1]GÖP VERİLERİ'!H273</f>
        <v/>
      </c>
      <c r="AC272" s="34">
        <f>'[1]GÖP VERİLERİ'!I273</f>
        <v/>
      </c>
      <c r="AD272" s="34">
        <f>IF(AB272&gt;AC272*1.05,AB272-AC272*1.05,IF(AB272&lt;AC272*0.95,AC272*0.95-AB272,0))</f>
        <v/>
      </c>
      <c r="AE272" s="34">
        <f>MAX(F272,G272,750)*0.05*AD272</f>
        <v/>
      </c>
      <c r="AF272" s="34">
        <f>'[1]GÖP VERİLERİ'!J273</f>
        <v/>
      </c>
      <c r="AG272" s="34">
        <f>IF(AB272&gt;AF272*1.05,AB272-AF272*1.05,IF(AB272&lt;AF272*0.95,AF272*0.95-AB272,0))</f>
        <v/>
      </c>
      <c r="AH272" s="34">
        <f>MAX(I272,J272,750)*0.05*AG272</f>
        <v/>
      </c>
      <c r="AI272">
        <f>'[1]GÖP VERİLERİ'!E273</f>
        <v/>
      </c>
      <c r="AJ272">
        <f>'[1]GÖP VERİLERİ'!F273</f>
        <v/>
      </c>
      <c r="AK272" s="34">
        <f>IF(AI272&gt;AJ272*1.05,AI272-AJ272*1.05,IF(AI272&lt;AJ272*0.95,AJ272*0.95-AI272,0))</f>
        <v/>
      </c>
      <c r="AL272" s="34">
        <f>MAX(F272,G272,750)*0.05*AK272</f>
        <v/>
      </c>
      <c r="AM272" s="39">
        <f>'[1]GÖP VERİLERİ'!G273</f>
        <v/>
      </c>
      <c r="AN272" s="34">
        <f>IF(AI272&gt;AM272*1.05,AI272-AM272*1.05,IF(AI272&lt;AM272*0.95,AM272*0.95-AI272,0))</f>
        <v/>
      </c>
      <c r="AO272" s="34">
        <f>MAX(F272,G272,750)*0.05*AN272</f>
        <v/>
      </c>
      <c r="AP272" s="34">
        <f>'[1]GÖP VERİLERİ'!B273</f>
        <v/>
      </c>
      <c r="AQ272" s="34">
        <f>'[1]GÖP VERİLERİ'!C273</f>
        <v/>
      </c>
      <c r="AR272" s="34">
        <f>IF(AP272&gt;AQ272*1.05,AP272-AQ272*1.05,IF(AP272&lt;AQ272*0.95,AQ272*0.95-AP272,0))</f>
        <v/>
      </c>
      <c r="AS272" s="34">
        <f>MAX(F272:G272,750)*0.05*AR272</f>
        <v/>
      </c>
      <c r="AT272">
        <f>'[1]GÖP VERİLERİ'!D273</f>
        <v/>
      </c>
      <c r="AU272" s="34">
        <f>IF(AP272&gt;AT272*1.05,AP272-AT272*1.05,IF(AP272&lt;AT272*0.95,AT272*0.95-AP272,0))</f>
        <v/>
      </c>
      <c r="AV272" s="34">
        <f>MAX(F272:G272,750)*0.05*AU272</f>
        <v/>
      </c>
      <c r="AW272" s="34">
        <f>AC272+AJ272+AQ272</f>
        <v/>
      </c>
      <c r="AX272" s="34">
        <f>AF272+AM272+AT272</f>
        <v/>
      </c>
      <c r="AY272" s="34">
        <f>AB272+AI272+AP272</f>
        <v/>
      </c>
      <c r="AZ272" s="34" t="n">
        <v>0</v>
      </c>
      <c r="BA272" s="34">
        <f>AD272+AK272+AR272</f>
        <v/>
      </c>
      <c r="BB272" s="34">
        <f>MAX(F272:G272,750)*0.05*BA272</f>
        <v/>
      </c>
      <c r="BC272" s="34">
        <f>AG272+AN272+AU272</f>
        <v/>
      </c>
      <c r="BD272" s="34">
        <f>MAX(F272:G272,750)*0.05*BC272</f>
        <v/>
      </c>
      <c r="BE272" s="34">
        <f>F272*AY272</f>
        <v/>
      </c>
      <c r="BF272" s="34">
        <f>K272-M272</f>
        <v/>
      </c>
      <c r="BG272" s="34">
        <f>P272-S272</f>
        <v/>
      </c>
      <c r="BH272" s="34">
        <f>W272-AA272</f>
        <v/>
      </c>
      <c r="BI272" s="34">
        <f>BF272+BG272+BL272-BN272</f>
        <v/>
      </c>
      <c r="BJ272" s="34">
        <f>ABS(BK272)</f>
        <v/>
      </c>
      <c r="BK272" s="34">
        <f>AY272-(J272-L272+N272-Q272)</f>
        <v/>
      </c>
      <c r="BL272" s="34">
        <f>IF(AND(BK272&gt;0,MIN($F272:$G272)&lt;150,$E272="Enerji Açığı"),-100*BK272*1.03,IF(AND(BK272&gt;0,MIN($F272:$G272)&lt;150,$E272="Enerji Fazlası"),-100*BK272*1.06,IF(AND(BK272&gt;0,MIN($F272:$G272)&gt;=150,$E272="Enerji Açığı"),BK272*MIN($F272:$G272)*0.97,IF(AND(BK272&gt;0,MIN($F272:$G272)&gt;=150,$E272="Enerji Fazlası"),BK272*MIN($F272:$G272)*0.94,IF(AND(BK272&lt;0,MAX($F272:$G272)=4500,$E272="Enerji Açığı"),4500*1.05*1.06*BK272,IF(AND(BK272&lt;0,MAX($F272:$G272)=4500,$E272="Enerji Fazlası"),4500*1.05*1.03*BK272,IF(AND(BK272&lt;0,$E272="Enerji Açığı"),MAX($F272,$G272,150)*BK272*1.06,IF(AND(BK272&lt;0,$E272="Enerji Fazlası"),MAX($F272,$G272,150)*BK272*1.03,IF(AND(BK272&lt;0,$E272="Dengede"),MAX($F272:$G272,150)*1.03*BK272,MIN($F272:$G272)*0.97*BK272)))))))))</f>
        <v/>
      </c>
      <c r="BM272" s="34">
        <f>BE272-BI272-BN272</f>
        <v/>
      </c>
      <c r="BN272" s="34">
        <f>BB272</f>
        <v/>
      </c>
      <c r="BO272" s="34">
        <f>BE272-BI272</f>
        <v/>
      </c>
      <c r="BP272" s="34">
        <f>IF(AY272=0,0,BO272/AY272)</f>
        <v/>
      </c>
      <c r="BQ272" s="34">
        <f>MAX((AY272+MAX((-J272+L272-N272+Q272),0)),(MAX((J272-L272+N272-Q272),0)))</f>
        <v/>
      </c>
      <c r="BR272" s="82">
        <f>IFERROR(ABS(BK272/BQ272),0)</f>
        <v/>
      </c>
      <c r="BS272" s="34">
        <f>IF(BR272&lt;=0.1,0,BK272/BR272*(BR272-0.1))</f>
        <v/>
      </c>
      <c r="BT272" s="34">
        <f>IF((BS272)&lt;0,MAX(F272:G272)*(BS272)*1.03,MIN(F272:G272)*(BS272)*0.97)</f>
        <v/>
      </c>
      <c r="BU272" s="34">
        <f>IF(BR272&gt;0.1,1,0)</f>
        <v/>
      </c>
      <c r="BV272" s="34">
        <f>BF272+BG272+BH272+BY272-CA272</f>
        <v/>
      </c>
      <c r="BW272" s="34">
        <f>ABS(BX272)</f>
        <v/>
      </c>
      <c r="BX272" s="34">
        <f>AY272-(J272-L272+N272-Q272+T272-X272)</f>
        <v/>
      </c>
      <c r="BY272" s="34">
        <f>IF(AND(BX272&gt;0,MIN($F272:$G272)&lt;150,$E272="Enerji Açığı"),-100*BX272*1.03,IF(AND(BX272&gt;0,MIN($F272:$G272)&lt;150,$E272="Enerji Fazlası"),-100*BX272*1.06,IF(AND(BX272&gt;0,MIN($F272:$G272)&gt;=150,$E272="Enerji Açığı"),BX272*MIN($F272:$G272)*0.97,IF(AND(BX272&gt;0,MIN($F272:$G272)&gt;=150,$E272="Enerji Fazlası"),BX272*MIN($F272:$G272)*0.94,IF(AND(BX272&lt;0,MAX($F272:$G272)=4500,$E272="Enerji Açığı"),4500*1.05*1.06*BX272,IF(AND(BX272&lt;0,MAX($F272:$G272)=4500,$E272="Enerji Fazlası"),4500*1.05*1.03*BX272,IF(AND(BX272&lt;0,$E272="Enerji Açığı"),MAX($F272,$G272,150)*BX272*1.06,IF(AND(BX272&lt;0,$E272="Enerji Fazlası"),MAX($F272,$G272,150)*BX272*1.03,IF(AND(BX272&lt;0,$E272="Dengede"),MAX($F272:$G272,150)*1.03*BX272,MIN($F272:$G272)*0.97*BX272)))))))))</f>
        <v/>
      </c>
      <c r="BZ272" s="34">
        <f>BE272-BV272-CA272</f>
        <v/>
      </c>
      <c r="CA272" s="34">
        <f>BD272</f>
        <v/>
      </c>
      <c r="CB272" s="33">
        <f>BE272-BV272</f>
        <v/>
      </c>
      <c r="CC272" s="34">
        <f>IF(AY272=0,0,CB272/AY272)</f>
        <v/>
      </c>
      <c r="CD272" s="34">
        <f>MAX((AY272+MAX((-J272+L272-N272+Q272-T272+X272),0)),(MAX((J272-L272+N272-Q272+T272-X272),0)))</f>
        <v/>
      </c>
      <c r="CE272" s="82">
        <f>IFERROR(ABS(BX272/CD272),0)</f>
        <v/>
      </c>
      <c r="CF272" s="34">
        <f>IF(CE272&lt;=0.1,0,BX272/CE272*(CE272-0.1))</f>
        <v/>
      </c>
      <c r="CG272" s="34">
        <f>IF((CF272)&lt;0,MAX(F272:G272)*(CF272)*1.03,MIN(F272:G272)*(CF272)*0.97)</f>
        <v/>
      </c>
      <c r="CH272" s="34">
        <f>IF(CE272&gt;0.1,1,0)</f>
        <v/>
      </c>
      <c r="CI272" s="34">
        <f>(F272*BX272)-BY272</f>
        <v/>
      </c>
      <c r="CJ272" s="34">
        <f>IF(AY272=0,0,CI272/AY272)</f>
        <v/>
      </c>
    </row>
    <row r="273">
      <c r="A273" s="29">
        <f>[1]FİYATLAR!A248</f>
        <v/>
      </c>
      <c r="B273" s="29">
        <f>[1]FİYATLAR!B248</f>
        <v/>
      </c>
      <c r="C273" s="35">
        <f>INT(A273)</f>
        <v/>
      </c>
      <c r="D273" s="36">
        <f>MONTH(A273)</f>
        <v/>
      </c>
      <c r="E273" s="147">
        <f>[1]FİYATLAR!G248</f>
        <v/>
      </c>
      <c r="F273" s="30">
        <f>[1]FİYATLAR!C248</f>
        <v/>
      </c>
      <c r="G273" s="30">
        <f>[1]FİYATLAR!E248</f>
        <v/>
      </c>
      <c r="H273" s="30">
        <f>[1]FİYATLAR!D248</f>
        <v/>
      </c>
      <c r="I273" s="30">
        <f>[1]FİYATLAR!F248</f>
        <v/>
      </c>
      <c r="J273" s="119" t="n">
        <v>0</v>
      </c>
      <c r="K273" s="34">
        <f>F273*J273</f>
        <v/>
      </c>
      <c r="L273" s="119" t="n"/>
      <c r="M273" s="34">
        <f>L273*F273</f>
        <v/>
      </c>
      <c r="N273" s="119" t="n"/>
      <c r="O273" s="34">
        <f>F273</f>
        <v/>
      </c>
      <c r="P273" s="34">
        <f>N273*O273</f>
        <v/>
      </c>
      <c r="Q273" s="117" t="n">
        <v>0</v>
      </c>
      <c r="R273" s="34">
        <f>F273</f>
        <v/>
      </c>
      <c r="S273" s="34">
        <f>R273*Q273</f>
        <v/>
      </c>
      <c r="T273" s="34">
        <f>SUMIFS('[1]GİP VERİLERİ'!$C:$C,'[1]GİP VERİLERİ'!$B:$B,A273,'[1]GİP VERİLERİ'!$M:$M,"40X000000104782K",'[1]GİP VERİLERİ'!$G:$G,"SELL")</f>
        <v/>
      </c>
      <c r="U273" s="34">
        <f>IFERROR(W273/T273,0)</f>
        <v/>
      </c>
      <c r="V273" s="34">
        <f>IF(U273=0,0,U273-F273)</f>
        <v/>
      </c>
      <c r="W273" s="34">
        <f>SUMIFS('[1]GİP VERİLERİ'!$O:$O,'[1]GİP VERİLERİ'!$B:$B,A273,'[1]GİP VERİLERİ'!$M:$M,"40X000000104782K",'[1]GİP VERİLERİ'!$G:$G,"SELL")</f>
        <v/>
      </c>
      <c r="X273" s="34">
        <f>SUMIFS('[1]GİP VERİLERİ'!$C:$C,'[1]GİP VERİLERİ'!$B:$B,A273,'[1]GİP VERİLERİ'!$M:$M,"40X000000104782K",'[1]GİP VERİLERİ'!$G:$G,"BUY")</f>
        <v/>
      </c>
      <c r="Y273" s="34">
        <f>IFERROR(AA273/X273,0)</f>
        <v/>
      </c>
      <c r="Z273" s="34">
        <f>IF(Y273=0,0,F273-Y273)</f>
        <v/>
      </c>
      <c r="AA273" s="34">
        <f>SUMIFS('[1]GİP VERİLERİ'!$O:$O,'[1]GİP VERİLERİ'!$B:$B,A273,'[1]GİP VERİLERİ'!$M:$M,"40X000000104782K",'[1]GİP VERİLERİ'!$G:$G,"BUY")</f>
        <v/>
      </c>
      <c r="AB273" s="34">
        <f>'[1]GÖP VERİLERİ'!H274</f>
        <v/>
      </c>
      <c r="AC273" s="34">
        <f>'[1]GÖP VERİLERİ'!I274</f>
        <v/>
      </c>
      <c r="AD273" s="34">
        <f>IF(AB273&gt;AC273*1.05,AB273-AC273*1.05,IF(AB273&lt;AC273*0.95,AC273*0.95-AB273,0))</f>
        <v/>
      </c>
      <c r="AE273" s="34">
        <f>MAX(F273,G273,750)*0.05*AD273</f>
        <v/>
      </c>
      <c r="AF273" s="34">
        <f>'[1]GÖP VERİLERİ'!J274</f>
        <v/>
      </c>
      <c r="AG273" s="34">
        <f>IF(AB273&gt;AF273*1.05,AB273-AF273*1.05,IF(AB273&lt;AF273*0.95,AF273*0.95-AB273,0))</f>
        <v/>
      </c>
      <c r="AH273" s="34">
        <f>MAX(I273,J273,750)*0.05*AG273</f>
        <v/>
      </c>
      <c r="AI273">
        <f>'[1]GÖP VERİLERİ'!E274</f>
        <v/>
      </c>
      <c r="AJ273">
        <f>'[1]GÖP VERİLERİ'!F274</f>
        <v/>
      </c>
      <c r="AK273" s="34">
        <f>IF(AI273&gt;AJ273*1.05,AI273-AJ273*1.05,IF(AI273&lt;AJ273*0.95,AJ273*0.95-AI273,0))</f>
        <v/>
      </c>
      <c r="AL273" s="34">
        <f>MAX(F273,G273,750)*0.05*AK273</f>
        <v/>
      </c>
      <c r="AM273" s="39">
        <f>'[1]GÖP VERİLERİ'!G274</f>
        <v/>
      </c>
      <c r="AN273" s="34">
        <f>IF(AI273&gt;AM273*1.05,AI273-AM273*1.05,IF(AI273&lt;AM273*0.95,AM273*0.95-AI273,0))</f>
        <v/>
      </c>
      <c r="AO273" s="34">
        <f>MAX(F273,G273,750)*0.05*AN273</f>
        <v/>
      </c>
      <c r="AP273" s="34">
        <f>'[1]GÖP VERİLERİ'!B274</f>
        <v/>
      </c>
      <c r="AQ273" s="34">
        <f>'[1]GÖP VERİLERİ'!C274</f>
        <v/>
      </c>
      <c r="AR273" s="34">
        <f>IF(AP273&gt;AQ273*1.05,AP273-AQ273*1.05,IF(AP273&lt;AQ273*0.95,AQ273*0.95-AP273,0))</f>
        <v/>
      </c>
      <c r="AS273" s="34">
        <f>MAX(F273:G273,750)*0.05*AR273</f>
        <v/>
      </c>
      <c r="AT273">
        <f>'[1]GÖP VERİLERİ'!D274</f>
        <v/>
      </c>
      <c r="AU273" s="34">
        <f>IF(AP273&gt;AT273*1.05,AP273-AT273*1.05,IF(AP273&lt;AT273*0.95,AT273*0.95-AP273,0))</f>
        <v/>
      </c>
      <c r="AV273" s="34">
        <f>MAX(F273:G273,750)*0.05*AU273</f>
        <v/>
      </c>
      <c r="AW273" s="34">
        <f>AC273+AJ273+AQ273</f>
        <v/>
      </c>
      <c r="AX273" s="34">
        <f>AF273+AM273+AT273</f>
        <v/>
      </c>
      <c r="AY273" s="34">
        <f>AB273+AI273+AP273</f>
        <v/>
      </c>
      <c r="AZ273" s="34" t="n">
        <v>0</v>
      </c>
      <c r="BA273" s="34">
        <f>AD273+AK273+AR273</f>
        <v/>
      </c>
      <c r="BB273" s="34">
        <f>MAX(F273:G273,750)*0.05*BA273</f>
        <v/>
      </c>
      <c r="BC273" s="34">
        <f>AG273+AN273+AU273</f>
        <v/>
      </c>
      <c r="BD273" s="34">
        <f>MAX(F273:G273,750)*0.05*BC273</f>
        <v/>
      </c>
      <c r="BE273" s="34">
        <f>F273*AY273</f>
        <v/>
      </c>
      <c r="BF273" s="34">
        <f>K273-M273</f>
        <v/>
      </c>
      <c r="BG273" s="34">
        <f>P273-S273</f>
        <v/>
      </c>
      <c r="BH273" s="34">
        <f>W273-AA273</f>
        <v/>
      </c>
      <c r="BI273" s="34">
        <f>BF273+BG273+BL273-BN273</f>
        <v/>
      </c>
      <c r="BJ273" s="34">
        <f>ABS(BK273)</f>
        <v/>
      </c>
      <c r="BK273" s="34">
        <f>AY273-(J273-L273+N273-Q273)</f>
        <v/>
      </c>
      <c r="BL273" s="34">
        <f>IF(AND(BK273&gt;0,MIN($F273:$G273)&lt;150,$E273="Enerji Açığı"),-100*BK273*1.03,IF(AND(BK273&gt;0,MIN($F273:$G273)&lt;150,$E273="Enerji Fazlası"),-100*BK273*1.06,IF(AND(BK273&gt;0,MIN($F273:$G273)&gt;=150,$E273="Enerji Açığı"),BK273*MIN($F273:$G273)*0.97,IF(AND(BK273&gt;0,MIN($F273:$G273)&gt;=150,$E273="Enerji Fazlası"),BK273*MIN($F273:$G273)*0.94,IF(AND(BK273&lt;0,MAX($F273:$G273)=4500,$E273="Enerji Açığı"),4500*1.05*1.06*BK273,IF(AND(BK273&lt;0,MAX($F273:$G273)=4500,$E273="Enerji Fazlası"),4500*1.05*1.03*BK273,IF(AND(BK273&lt;0,$E273="Enerji Açığı"),MAX($F273,$G273,150)*BK273*1.06,IF(AND(BK273&lt;0,$E273="Enerji Fazlası"),MAX($F273,$G273,150)*BK273*1.03,IF(AND(BK273&lt;0,$E273="Dengede"),MAX($F273:$G273,150)*1.03*BK273,MIN($F273:$G273)*0.97*BK273)))))))))</f>
        <v/>
      </c>
      <c r="BM273" s="34">
        <f>BE273-BI273-BN273</f>
        <v/>
      </c>
      <c r="BN273" s="34">
        <f>BB273</f>
        <v/>
      </c>
      <c r="BO273" s="34">
        <f>BE273-BI273</f>
        <v/>
      </c>
      <c r="BP273" s="34">
        <f>IF(AY273=0,0,BO273/AY273)</f>
        <v/>
      </c>
      <c r="BQ273" s="34">
        <f>MAX((AY273+MAX((-J273+L273-N273+Q273),0)),(MAX((J273-L273+N273-Q273),0)))</f>
        <v/>
      </c>
      <c r="BR273" s="82">
        <f>IFERROR(ABS(BK273/BQ273),0)</f>
        <v/>
      </c>
      <c r="BS273" s="34">
        <f>IF(BR273&lt;=0.1,0,BK273/BR273*(BR273-0.1))</f>
        <v/>
      </c>
      <c r="BT273" s="34">
        <f>IF((BS273)&lt;0,MAX(F273:G273)*(BS273)*1.03,MIN(F273:G273)*(BS273)*0.97)</f>
        <v/>
      </c>
      <c r="BU273" s="34">
        <f>IF(BR273&gt;0.1,1,0)</f>
        <v/>
      </c>
      <c r="BV273" s="34">
        <f>BF273+BG273+BH273+BY273-CA273</f>
        <v/>
      </c>
      <c r="BW273" s="34">
        <f>ABS(BX273)</f>
        <v/>
      </c>
      <c r="BX273" s="34">
        <f>AY273-(J273-L273+N273-Q273+T273-X273)</f>
        <v/>
      </c>
      <c r="BY273" s="34">
        <f>IF(AND(BX273&gt;0,MIN($F273:$G273)&lt;150,$E273="Enerji Açığı"),-100*BX273*1.03,IF(AND(BX273&gt;0,MIN($F273:$G273)&lt;150,$E273="Enerji Fazlası"),-100*BX273*1.06,IF(AND(BX273&gt;0,MIN($F273:$G273)&gt;=150,$E273="Enerji Açığı"),BX273*MIN($F273:$G273)*0.97,IF(AND(BX273&gt;0,MIN($F273:$G273)&gt;=150,$E273="Enerji Fazlası"),BX273*MIN($F273:$G273)*0.94,IF(AND(BX273&lt;0,MAX($F273:$G273)=4500,$E273="Enerji Açığı"),4500*1.05*1.06*BX273,IF(AND(BX273&lt;0,MAX($F273:$G273)=4500,$E273="Enerji Fazlası"),4500*1.05*1.03*BX273,IF(AND(BX273&lt;0,$E273="Enerji Açığı"),MAX($F273,$G273,150)*BX273*1.06,IF(AND(BX273&lt;0,$E273="Enerji Fazlası"),MAX($F273,$G273,150)*BX273*1.03,IF(AND(BX273&lt;0,$E273="Dengede"),MAX($F273:$G273,150)*1.03*BX273,MIN($F273:$G273)*0.97*BX273)))))))))</f>
        <v/>
      </c>
      <c r="BZ273" s="34">
        <f>BE273-BV273-CA273</f>
        <v/>
      </c>
      <c r="CA273" s="34">
        <f>BD273</f>
        <v/>
      </c>
      <c r="CB273" s="33">
        <f>BE273-BV273</f>
        <v/>
      </c>
      <c r="CC273" s="34">
        <f>IF(AY273=0,0,CB273/AY273)</f>
        <v/>
      </c>
      <c r="CD273" s="34">
        <f>MAX((AY273+MAX((-J273+L273-N273+Q273-T273+X273),0)),(MAX((J273-L273+N273-Q273+T273-X273),0)))</f>
        <v/>
      </c>
      <c r="CE273" s="82">
        <f>IFERROR(ABS(BX273/CD273),0)</f>
        <v/>
      </c>
      <c r="CF273" s="34">
        <f>IF(CE273&lt;=0.1,0,BX273/CE273*(CE273-0.1))</f>
        <v/>
      </c>
      <c r="CG273" s="34">
        <f>IF((CF273)&lt;0,MAX(F273:G273)*(CF273)*1.03,MIN(F273:G273)*(CF273)*0.97)</f>
        <v/>
      </c>
      <c r="CH273" s="34">
        <f>IF(CE273&gt;0.1,1,0)</f>
        <v/>
      </c>
      <c r="CI273" s="34">
        <f>(F273*BX273)-BY273</f>
        <v/>
      </c>
      <c r="CJ273" s="34">
        <f>IF(AY273=0,0,CI273/AY273)</f>
        <v/>
      </c>
    </row>
    <row r="274">
      <c r="A274" s="29">
        <f>[1]FİYATLAR!A249</f>
        <v/>
      </c>
      <c r="B274" s="29">
        <f>[1]FİYATLAR!B249</f>
        <v/>
      </c>
      <c r="C274" s="35">
        <f>INT(A274)</f>
        <v/>
      </c>
      <c r="D274" s="36">
        <f>MONTH(A274)</f>
        <v/>
      </c>
      <c r="E274" s="147">
        <f>[1]FİYATLAR!G249</f>
        <v/>
      </c>
      <c r="F274" s="30">
        <f>[1]FİYATLAR!C249</f>
        <v/>
      </c>
      <c r="G274" s="30">
        <f>[1]FİYATLAR!E249</f>
        <v/>
      </c>
      <c r="H274" s="30">
        <f>[1]FİYATLAR!D249</f>
        <v/>
      </c>
      <c r="I274" s="30">
        <f>[1]FİYATLAR!F249</f>
        <v/>
      </c>
      <c r="J274" s="119" t="n">
        <v>0</v>
      </c>
      <c r="K274" s="34">
        <f>F274*J274</f>
        <v/>
      </c>
      <c r="L274" s="119" t="n"/>
      <c r="M274" s="34">
        <f>L274*F274</f>
        <v/>
      </c>
      <c r="N274" s="119" t="n"/>
      <c r="O274" s="34">
        <f>F274</f>
        <v/>
      </c>
      <c r="P274" s="34">
        <f>N274*O274</f>
        <v/>
      </c>
      <c r="Q274" s="117" t="n">
        <v>0</v>
      </c>
      <c r="R274" s="34">
        <f>F274</f>
        <v/>
      </c>
      <c r="S274" s="34">
        <f>R274*Q274</f>
        <v/>
      </c>
      <c r="T274" s="34">
        <f>SUMIFS('[1]GİP VERİLERİ'!$C:$C,'[1]GİP VERİLERİ'!$B:$B,A274,'[1]GİP VERİLERİ'!$M:$M,"40X000000104782K",'[1]GİP VERİLERİ'!$G:$G,"SELL")</f>
        <v/>
      </c>
      <c r="U274" s="34">
        <f>IFERROR(W274/T274,0)</f>
        <v/>
      </c>
      <c r="V274" s="34">
        <f>IF(U274=0,0,U274-F274)</f>
        <v/>
      </c>
      <c r="W274" s="34">
        <f>SUMIFS('[1]GİP VERİLERİ'!$O:$O,'[1]GİP VERİLERİ'!$B:$B,A274,'[1]GİP VERİLERİ'!$M:$M,"40X000000104782K",'[1]GİP VERİLERİ'!$G:$G,"SELL")</f>
        <v/>
      </c>
      <c r="X274" s="34">
        <f>SUMIFS('[1]GİP VERİLERİ'!$C:$C,'[1]GİP VERİLERİ'!$B:$B,A274,'[1]GİP VERİLERİ'!$M:$M,"40X000000104782K",'[1]GİP VERİLERİ'!$G:$G,"BUY")</f>
        <v/>
      </c>
      <c r="Y274" s="34">
        <f>IFERROR(AA274/X274,0)</f>
        <v/>
      </c>
      <c r="Z274" s="34">
        <f>IF(Y274=0,0,F274-Y274)</f>
        <v/>
      </c>
      <c r="AA274" s="34">
        <f>SUMIFS('[1]GİP VERİLERİ'!$O:$O,'[1]GİP VERİLERİ'!$B:$B,A274,'[1]GİP VERİLERİ'!$M:$M,"40X000000104782K",'[1]GİP VERİLERİ'!$G:$G,"BUY")</f>
        <v/>
      </c>
      <c r="AB274" s="34">
        <f>'[1]GÖP VERİLERİ'!H275</f>
        <v/>
      </c>
      <c r="AC274" s="34">
        <f>'[1]GÖP VERİLERİ'!I275</f>
        <v/>
      </c>
      <c r="AD274" s="34">
        <f>IF(AB274&gt;AC274*1.05,AB274-AC274*1.05,IF(AB274&lt;AC274*0.95,AC274*0.95-AB274,0))</f>
        <v/>
      </c>
      <c r="AE274" s="34">
        <f>MAX(F274,G274,750)*0.05*AD274</f>
        <v/>
      </c>
      <c r="AF274" s="34">
        <f>'[1]GÖP VERİLERİ'!J275</f>
        <v/>
      </c>
      <c r="AG274" s="34">
        <f>IF(AB274&gt;AF274*1.05,AB274-AF274*1.05,IF(AB274&lt;AF274*0.95,AF274*0.95-AB274,0))</f>
        <v/>
      </c>
      <c r="AH274" s="34">
        <f>MAX(I274,J274,750)*0.05*AG274</f>
        <v/>
      </c>
      <c r="AI274">
        <f>'[1]GÖP VERİLERİ'!E275</f>
        <v/>
      </c>
      <c r="AJ274">
        <f>'[1]GÖP VERİLERİ'!F275</f>
        <v/>
      </c>
      <c r="AK274" s="34">
        <f>IF(AI274&gt;AJ274*1.05,AI274-AJ274*1.05,IF(AI274&lt;AJ274*0.95,AJ274*0.95-AI274,0))</f>
        <v/>
      </c>
      <c r="AL274" s="34">
        <f>MAX(F274,G274,750)*0.05*AK274</f>
        <v/>
      </c>
      <c r="AM274" s="39">
        <f>'[1]GÖP VERİLERİ'!G275</f>
        <v/>
      </c>
      <c r="AN274" s="34">
        <f>IF(AI274&gt;AM274*1.05,AI274-AM274*1.05,IF(AI274&lt;AM274*0.95,AM274*0.95-AI274,0))</f>
        <v/>
      </c>
      <c r="AO274" s="34">
        <f>MAX(F274,G274,750)*0.05*AN274</f>
        <v/>
      </c>
      <c r="AP274" s="34">
        <f>'[1]GÖP VERİLERİ'!B275</f>
        <v/>
      </c>
      <c r="AQ274" s="34">
        <f>'[1]GÖP VERİLERİ'!C275</f>
        <v/>
      </c>
      <c r="AR274" s="34">
        <f>IF(AP274&gt;AQ274*1.05,AP274-AQ274*1.05,IF(AP274&lt;AQ274*0.95,AQ274*0.95-AP274,0))</f>
        <v/>
      </c>
      <c r="AS274" s="34">
        <f>MAX(F274:G274,750)*0.05*AR274</f>
        <v/>
      </c>
      <c r="AT274">
        <f>'[1]GÖP VERİLERİ'!D275</f>
        <v/>
      </c>
      <c r="AU274" s="34">
        <f>IF(AP274&gt;AT274*1.05,AP274-AT274*1.05,IF(AP274&lt;AT274*0.95,AT274*0.95-AP274,0))</f>
        <v/>
      </c>
      <c r="AV274" s="34">
        <f>MAX(F274:G274,750)*0.05*AU274</f>
        <v/>
      </c>
      <c r="AW274" s="34">
        <f>AC274+AJ274+AQ274</f>
        <v/>
      </c>
      <c r="AX274" s="34">
        <f>AF274+AM274+AT274</f>
        <v/>
      </c>
      <c r="AY274" s="34">
        <f>AB274+AI274+AP274</f>
        <v/>
      </c>
      <c r="AZ274" s="34" t="n">
        <v>0</v>
      </c>
      <c r="BA274" s="34">
        <f>AD274+AK274+AR274</f>
        <v/>
      </c>
      <c r="BB274" s="34">
        <f>MAX(F274:G274,750)*0.05*BA274</f>
        <v/>
      </c>
      <c r="BC274" s="34">
        <f>AG274+AN274+AU274</f>
        <v/>
      </c>
      <c r="BD274" s="34">
        <f>MAX(F274:G274,750)*0.05*BC274</f>
        <v/>
      </c>
      <c r="BE274" s="34">
        <f>F274*AY274</f>
        <v/>
      </c>
      <c r="BF274" s="34">
        <f>K274-M274</f>
        <v/>
      </c>
      <c r="BG274" s="34">
        <f>P274-S274</f>
        <v/>
      </c>
      <c r="BH274" s="34">
        <f>W274-AA274</f>
        <v/>
      </c>
      <c r="BI274" s="34">
        <f>BF274+BG274+BL274-BN274</f>
        <v/>
      </c>
      <c r="BJ274" s="34">
        <f>ABS(BK274)</f>
        <v/>
      </c>
      <c r="BK274" s="34">
        <f>AY274-(J274-L274+N274-Q274)</f>
        <v/>
      </c>
      <c r="BL274" s="34">
        <f>IF(AND(BK274&gt;0,MIN($F274:$G274)&lt;150,$E274="Enerji Açığı"),-100*BK274*1.03,IF(AND(BK274&gt;0,MIN($F274:$G274)&lt;150,$E274="Enerji Fazlası"),-100*BK274*1.06,IF(AND(BK274&gt;0,MIN($F274:$G274)&gt;=150,$E274="Enerji Açığı"),BK274*MIN($F274:$G274)*0.97,IF(AND(BK274&gt;0,MIN($F274:$G274)&gt;=150,$E274="Enerji Fazlası"),BK274*MIN($F274:$G274)*0.94,IF(AND(BK274&lt;0,MAX($F274:$G274)=4500,$E274="Enerji Açığı"),4500*1.05*1.06*BK274,IF(AND(BK274&lt;0,MAX($F274:$G274)=4500,$E274="Enerji Fazlası"),4500*1.05*1.03*BK274,IF(AND(BK274&lt;0,$E274="Enerji Açığı"),MAX($F274,$G274,150)*BK274*1.06,IF(AND(BK274&lt;0,$E274="Enerji Fazlası"),MAX($F274,$G274,150)*BK274*1.03,IF(AND(BK274&lt;0,$E274="Dengede"),MAX($F274:$G274,150)*1.03*BK274,MIN($F274:$G274)*0.97*BK274)))))))))</f>
        <v/>
      </c>
      <c r="BM274" s="34">
        <f>BE274-BI274-BN274</f>
        <v/>
      </c>
      <c r="BN274" s="34">
        <f>BB274</f>
        <v/>
      </c>
      <c r="BO274" s="34">
        <f>BE274-BI274</f>
        <v/>
      </c>
      <c r="BP274" s="34">
        <f>IF(AY274=0,0,BO274/AY274)</f>
        <v/>
      </c>
      <c r="BQ274" s="34">
        <f>MAX((AY274+MAX((-J274+L274-N274+Q274),0)),(MAX((J274-L274+N274-Q274),0)))</f>
        <v/>
      </c>
      <c r="BR274" s="82">
        <f>IFERROR(ABS(BK274/BQ274),0)</f>
        <v/>
      </c>
      <c r="BS274" s="34">
        <f>IF(BR274&lt;=0.1,0,BK274/BR274*(BR274-0.1))</f>
        <v/>
      </c>
      <c r="BT274" s="34">
        <f>IF((BS274)&lt;0,MAX(F274:G274)*(BS274)*1.03,MIN(F274:G274)*(BS274)*0.97)</f>
        <v/>
      </c>
      <c r="BU274" s="34">
        <f>IF(BR274&gt;0.1,1,0)</f>
        <v/>
      </c>
      <c r="BV274" s="34">
        <f>BF274+BG274+BH274+BY274-CA274</f>
        <v/>
      </c>
      <c r="BW274" s="34">
        <f>ABS(BX274)</f>
        <v/>
      </c>
      <c r="BX274" s="34">
        <f>AY274-(J274-L274+N274-Q274+T274-X274)</f>
        <v/>
      </c>
      <c r="BY274" s="34">
        <f>IF(AND(BX274&gt;0,MIN($F274:$G274)&lt;150,$E274="Enerji Açığı"),-100*BX274*1.03,IF(AND(BX274&gt;0,MIN($F274:$G274)&lt;150,$E274="Enerji Fazlası"),-100*BX274*1.06,IF(AND(BX274&gt;0,MIN($F274:$G274)&gt;=150,$E274="Enerji Açığı"),BX274*MIN($F274:$G274)*0.97,IF(AND(BX274&gt;0,MIN($F274:$G274)&gt;=150,$E274="Enerji Fazlası"),BX274*MIN($F274:$G274)*0.94,IF(AND(BX274&lt;0,MAX($F274:$G274)=4500,$E274="Enerji Açığı"),4500*1.05*1.06*BX274,IF(AND(BX274&lt;0,MAX($F274:$G274)=4500,$E274="Enerji Fazlası"),4500*1.05*1.03*BX274,IF(AND(BX274&lt;0,$E274="Enerji Açığı"),MAX($F274,$G274,150)*BX274*1.06,IF(AND(BX274&lt;0,$E274="Enerji Fazlası"),MAX($F274,$G274,150)*BX274*1.03,IF(AND(BX274&lt;0,$E274="Dengede"),MAX($F274:$G274,150)*1.03*BX274,MIN($F274:$G274)*0.97*BX274)))))))))</f>
        <v/>
      </c>
      <c r="BZ274" s="34">
        <f>BE274-BV274-CA274</f>
        <v/>
      </c>
      <c r="CA274" s="34">
        <f>BD274</f>
        <v/>
      </c>
      <c r="CB274" s="33">
        <f>BE274-BV274</f>
        <v/>
      </c>
      <c r="CC274" s="34">
        <f>IF(AY274=0,0,CB274/AY274)</f>
        <v/>
      </c>
      <c r="CD274" s="34">
        <f>MAX((AY274+MAX((-J274+L274-N274+Q274-T274+X274),0)),(MAX((J274-L274+N274-Q274+T274-X274),0)))</f>
        <v/>
      </c>
      <c r="CE274" s="82">
        <f>IFERROR(ABS(BX274/CD274),0)</f>
        <v/>
      </c>
      <c r="CF274" s="34">
        <f>IF(CE274&lt;=0.1,0,BX274/CE274*(CE274-0.1))</f>
        <v/>
      </c>
      <c r="CG274" s="34">
        <f>IF((CF274)&lt;0,MAX(F274:G274)*(CF274)*1.03,MIN(F274:G274)*(CF274)*0.97)</f>
        <v/>
      </c>
      <c r="CH274" s="34">
        <f>IF(CE274&gt;0.1,1,0)</f>
        <v/>
      </c>
      <c r="CI274" s="34">
        <f>(F274*BX274)-BY274</f>
        <v/>
      </c>
      <c r="CJ274" s="34">
        <f>IF(AY274=0,0,CI274/AY274)</f>
        <v/>
      </c>
    </row>
    <row r="275">
      <c r="A275" s="29">
        <f>[1]FİYATLAR!A250</f>
        <v/>
      </c>
      <c r="B275" s="29">
        <f>[1]FİYATLAR!B250</f>
        <v/>
      </c>
      <c r="C275" s="35">
        <f>INT(A275)</f>
        <v/>
      </c>
      <c r="D275" s="36">
        <f>MONTH(A275)</f>
        <v/>
      </c>
      <c r="E275" s="147">
        <f>[1]FİYATLAR!G250</f>
        <v/>
      </c>
      <c r="F275" s="30">
        <f>[1]FİYATLAR!C250</f>
        <v/>
      </c>
      <c r="G275" s="30">
        <f>[1]FİYATLAR!E250</f>
        <v/>
      </c>
      <c r="H275" s="30">
        <f>[1]FİYATLAR!D250</f>
        <v/>
      </c>
      <c r="I275" s="30">
        <f>[1]FİYATLAR!F250</f>
        <v/>
      </c>
      <c r="J275" s="119" t="n">
        <v>0</v>
      </c>
      <c r="K275" s="34">
        <f>F275*J275</f>
        <v/>
      </c>
      <c r="L275" s="119" t="n"/>
      <c r="M275" s="34">
        <f>L275*F275</f>
        <v/>
      </c>
      <c r="N275" s="119" t="n"/>
      <c r="O275" s="34">
        <f>F275</f>
        <v/>
      </c>
      <c r="P275" s="34">
        <f>N275*O275</f>
        <v/>
      </c>
      <c r="Q275" s="117" t="n">
        <v>0</v>
      </c>
      <c r="R275" s="34">
        <f>F275</f>
        <v/>
      </c>
      <c r="S275" s="34">
        <f>R275*Q275</f>
        <v/>
      </c>
      <c r="T275" s="34">
        <f>SUMIFS('[1]GİP VERİLERİ'!$C:$C,'[1]GİP VERİLERİ'!$B:$B,A275,'[1]GİP VERİLERİ'!$M:$M,"40X000000104782K",'[1]GİP VERİLERİ'!$G:$G,"SELL")</f>
        <v/>
      </c>
      <c r="U275" s="34">
        <f>IFERROR(W275/T275,0)</f>
        <v/>
      </c>
      <c r="V275" s="34">
        <f>IF(U275=0,0,U275-F275)</f>
        <v/>
      </c>
      <c r="W275" s="34">
        <f>SUMIFS('[1]GİP VERİLERİ'!$O:$O,'[1]GİP VERİLERİ'!$B:$B,A275,'[1]GİP VERİLERİ'!$M:$M,"40X000000104782K",'[1]GİP VERİLERİ'!$G:$G,"SELL")</f>
        <v/>
      </c>
      <c r="X275" s="34">
        <f>SUMIFS('[1]GİP VERİLERİ'!$C:$C,'[1]GİP VERİLERİ'!$B:$B,A275,'[1]GİP VERİLERİ'!$M:$M,"40X000000104782K",'[1]GİP VERİLERİ'!$G:$G,"BUY")</f>
        <v/>
      </c>
      <c r="Y275" s="34">
        <f>IFERROR(AA275/X275,0)</f>
        <v/>
      </c>
      <c r="Z275" s="34">
        <f>IF(Y275=0,0,F275-Y275)</f>
        <v/>
      </c>
      <c r="AA275" s="34">
        <f>SUMIFS('[1]GİP VERİLERİ'!$O:$O,'[1]GİP VERİLERİ'!$B:$B,A275,'[1]GİP VERİLERİ'!$M:$M,"40X000000104782K",'[1]GİP VERİLERİ'!$G:$G,"BUY")</f>
        <v/>
      </c>
      <c r="AB275" s="34">
        <f>'[1]GÖP VERİLERİ'!H276</f>
        <v/>
      </c>
      <c r="AC275" s="34">
        <f>'[1]GÖP VERİLERİ'!I276</f>
        <v/>
      </c>
      <c r="AD275" s="34">
        <f>IF(AB275&gt;AC275*1.05,AB275-AC275*1.05,IF(AB275&lt;AC275*0.95,AC275*0.95-AB275,0))</f>
        <v/>
      </c>
      <c r="AE275" s="34">
        <f>MAX(F275,G275,750)*0.05*AD275</f>
        <v/>
      </c>
      <c r="AF275" s="34">
        <f>'[1]GÖP VERİLERİ'!J276</f>
        <v/>
      </c>
      <c r="AG275" s="34">
        <f>IF(AB275&gt;AF275*1.05,AB275-AF275*1.05,IF(AB275&lt;AF275*0.95,AF275*0.95-AB275,0))</f>
        <v/>
      </c>
      <c r="AH275" s="34">
        <f>MAX(I275,J275,750)*0.05*AG275</f>
        <v/>
      </c>
      <c r="AI275">
        <f>'[1]GÖP VERİLERİ'!E276</f>
        <v/>
      </c>
      <c r="AJ275">
        <f>'[1]GÖP VERİLERİ'!F276</f>
        <v/>
      </c>
      <c r="AK275" s="34">
        <f>IF(AI275&gt;AJ275*1.05,AI275-AJ275*1.05,IF(AI275&lt;AJ275*0.95,AJ275*0.95-AI275,0))</f>
        <v/>
      </c>
      <c r="AL275" s="34">
        <f>MAX(F275,G275,750)*0.05*AK275</f>
        <v/>
      </c>
      <c r="AM275" s="39">
        <f>'[1]GÖP VERİLERİ'!G276</f>
        <v/>
      </c>
      <c r="AN275" s="34">
        <f>IF(AI275&gt;AM275*1.05,AI275-AM275*1.05,IF(AI275&lt;AM275*0.95,AM275*0.95-AI275,0))</f>
        <v/>
      </c>
      <c r="AO275" s="34">
        <f>MAX(F275,G275,750)*0.05*AN275</f>
        <v/>
      </c>
      <c r="AP275" s="34">
        <f>'[1]GÖP VERİLERİ'!B276</f>
        <v/>
      </c>
      <c r="AQ275" s="34">
        <f>'[1]GÖP VERİLERİ'!C276</f>
        <v/>
      </c>
      <c r="AR275" s="34">
        <f>IF(AP275&gt;AQ275*1.05,AP275-AQ275*1.05,IF(AP275&lt;AQ275*0.95,AQ275*0.95-AP275,0))</f>
        <v/>
      </c>
      <c r="AS275" s="34">
        <f>MAX(F275:G275,750)*0.05*AR275</f>
        <v/>
      </c>
      <c r="AT275">
        <f>'[1]GÖP VERİLERİ'!D276</f>
        <v/>
      </c>
      <c r="AU275" s="34">
        <f>IF(AP275&gt;AT275*1.05,AP275-AT275*1.05,IF(AP275&lt;AT275*0.95,AT275*0.95-AP275,0))</f>
        <v/>
      </c>
      <c r="AV275" s="34">
        <f>MAX(F275:G275,750)*0.05*AU275</f>
        <v/>
      </c>
      <c r="AW275" s="34">
        <f>AC275+AJ275+AQ275</f>
        <v/>
      </c>
      <c r="AX275" s="34">
        <f>AF275+AM275+AT275</f>
        <v/>
      </c>
      <c r="AY275" s="34">
        <f>AB275+AI275+AP275</f>
        <v/>
      </c>
      <c r="AZ275" s="34" t="n">
        <v>0</v>
      </c>
      <c r="BA275" s="34">
        <f>AD275+AK275+AR275</f>
        <v/>
      </c>
      <c r="BB275" s="34">
        <f>MAX(F275:G275,750)*0.05*BA275</f>
        <v/>
      </c>
      <c r="BC275" s="34">
        <f>AG275+AN275+AU275</f>
        <v/>
      </c>
      <c r="BD275" s="34">
        <f>MAX(F275:G275,750)*0.05*BC275</f>
        <v/>
      </c>
      <c r="BE275" s="34">
        <f>F275*AY275</f>
        <v/>
      </c>
      <c r="BF275" s="34">
        <f>K275-M275</f>
        <v/>
      </c>
      <c r="BG275" s="34">
        <f>P275-S275</f>
        <v/>
      </c>
      <c r="BH275" s="34">
        <f>W275-AA275</f>
        <v/>
      </c>
      <c r="BI275" s="34">
        <f>BF275+BG275+BL275-BN275</f>
        <v/>
      </c>
      <c r="BJ275" s="34">
        <f>ABS(BK275)</f>
        <v/>
      </c>
      <c r="BK275" s="34">
        <f>AY275-(J275-L275+N275-Q275)</f>
        <v/>
      </c>
      <c r="BL275" s="34">
        <f>IF(AND(BK275&gt;0,MIN($F275:$G275)&lt;150,$E275="Enerji Açığı"),-100*BK275*1.03,IF(AND(BK275&gt;0,MIN($F275:$G275)&lt;150,$E275="Enerji Fazlası"),-100*BK275*1.06,IF(AND(BK275&gt;0,MIN($F275:$G275)&gt;=150,$E275="Enerji Açığı"),BK275*MIN($F275:$G275)*0.97,IF(AND(BK275&gt;0,MIN($F275:$G275)&gt;=150,$E275="Enerji Fazlası"),BK275*MIN($F275:$G275)*0.94,IF(AND(BK275&lt;0,MAX($F275:$G275)=4500,$E275="Enerji Açığı"),4500*1.05*1.06*BK275,IF(AND(BK275&lt;0,MAX($F275:$G275)=4500,$E275="Enerji Fazlası"),4500*1.05*1.03*BK275,IF(AND(BK275&lt;0,$E275="Enerji Açığı"),MAX($F275,$G275,150)*BK275*1.06,IF(AND(BK275&lt;0,$E275="Enerji Fazlası"),MAX($F275,$G275,150)*BK275*1.03,IF(AND(BK275&lt;0,$E275="Dengede"),MAX($F275:$G275,150)*1.03*BK275,MIN($F275:$G275)*0.97*BK275)))))))))</f>
        <v/>
      </c>
      <c r="BM275" s="34">
        <f>BE275-BI275-BN275</f>
        <v/>
      </c>
      <c r="BN275" s="34">
        <f>BB275</f>
        <v/>
      </c>
      <c r="BO275" s="34">
        <f>BE275-BI275</f>
        <v/>
      </c>
      <c r="BP275" s="34">
        <f>IF(AY275=0,0,BO275/AY275)</f>
        <v/>
      </c>
      <c r="BQ275" s="34">
        <f>MAX((AY275+MAX((-J275+L275-N275+Q275),0)),(MAX((J275-L275+N275-Q275),0)))</f>
        <v/>
      </c>
      <c r="BR275" s="82">
        <f>IFERROR(ABS(BK275/BQ275),0)</f>
        <v/>
      </c>
      <c r="BS275" s="34">
        <f>IF(BR275&lt;=0.1,0,BK275/BR275*(BR275-0.1))</f>
        <v/>
      </c>
      <c r="BT275" s="34">
        <f>IF((BS275)&lt;0,MAX(F275:G275)*(BS275)*1.03,MIN(F275:G275)*(BS275)*0.97)</f>
        <v/>
      </c>
      <c r="BU275" s="34">
        <f>IF(BR275&gt;0.1,1,0)</f>
        <v/>
      </c>
      <c r="BV275" s="34">
        <f>BF275+BG275+BH275+BY275-CA275</f>
        <v/>
      </c>
      <c r="BW275" s="34">
        <f>ABS(BX275)</f>
        <v/>
      </c>
      <c r="BX275" s="34">
        <f>AY275-(J275-L275+N275-Q275+T275-X275)</f>
        <v/>
      </c>
      <c r="BY275" s="34">
        <f>IF(AND(BX275&gt;0,MIN($F275:$G275)&lt;150,$E275="Enerji Açığı"),-100*BX275*1.03,IF(AND(BX275&gt;0,MIN($F275:$G275)&lt;150,$E275="Enerji Fazlası"),-100*BX275*1.06,IF(AND(BX275&gt;0,MIN($F275:$G275)&gt;=150,$E275="Enerji Açığı"),BX275*MIN($F275:$G275)*0.97,IF(AND(BX275&gt;0,MIN($F275:$G275)&gt;=150,$E275="Enerji Fazlası"),BX275*MIN($F275:$G275)*0.94,IF(AND(BX275&lt;0,MAX($F275:$G275)=4500,$E275="Enerji Açığı"),4500*1.05*1.06*BX275,IF(AND(BX275&lt;0,MAX($F275:$G275)=4500,$E275="Enerji Fazlası"),4500*1.05*1.03*BX275,IF(AND(BX275&lt;0,$E275="Enerji Açığı"),MAX($F275,$G275,150)*BX275*1.06,IF(AND(BX275&lt;0,$E275="Enerji Fazlası"),MAX($F275,$G275,150)*BX275*1.03,IF(AND(BX275&lt;0,$E275="Dengede"),MAX($F275:$G275,150)*1.03*BX275,MIN($F275:$G275)*0.97*BX275)))))))))</f>
        <v/>
      </c>
      <c r="BZ275" s="34">
        <f>BE275-BV275-CA275</f>
        <v/>
      </c>
      <c r="CA275" s="34">
        <f>BD275</f>
        <v/>
      </c>
      <c r="CB275" s="33">
        <f>BE275-BV275</f>
        <v/>
      </c>
      <c r="CC275" s="34">
        <f>IF(AY275=0,0,CB275/AY275)</f>
        <v/>
      </c>
      <c r="CD275" s="34">
        <f>MAX((AY275+MAX((-J275+L275-N275+Q275-T275+X275),0)),(MAX((J275-L275+N275-Q275+T275-X275),0)))</f>
        <v/>
      </c>
      <c r="CE275" s="82">
        <f>IFERROR(ABS(BX275/CD275),0)</f>
        <v/>
      </c>
      <c r="CF275" s="34">
        <f>IF(CE275&lt;=0.1,0,BX275/CE275*(CE275-0.1))</f>
        <v/>
      </c>
      <c r="CG275" s="34">
        <f>IF((CF275)&lt;0,MAX(F275:G275)*(CF275)*1.03,MIN(F275:G275)*(CF275)*0.97)</f>
        <v/>
      </c>
      <c r="CH275" s="34">
        <f>IF(CE275&gt;0.1,1,0)</f>
        <v/>
      </c>
      <c r="CI275" s="34">
        <f>(F275*BX275)-BY275</f>
        <v/>
      </c>
      <c r="CJ275" s="34">
        <f>IF(AY275=0,0,CI275/AY275)</f>
        <v/>
      </c>
    </row>
    <row r="276">
      <c r="A276" s="29">
        <f>[1]FİYATLAR!A251</f>
        <v/>
      </c>
      <c r="B276" s="29">
        <f>[1]FİYATLAR!B251</f>
        <v/>
      </c>
      <c r="C276" s="35">
        <f>INT(A276)</f>
        <v/>
      </c>
      <c r="D276" s="36">
        <f>MONTH(A276)</f>
        <v/>
      </c>
      <c r="E276" s="147">
        <f>[1]FİYATLAR!G251</f>
        <v/>
      </c>
      <c r="F276" s="30">
        <f>[1]FİYATLAR!C251</f>
        <v/>
      </c>
      <c r="G276" s="30">
        <f>[1]FİYATLAR!E251</f>
        <v/>
      </c>
      <c r="H276" s="30">
        <f>[1]FİYATLAR!D251</f>
        <v/>
      </c>
      <c r="I276" s="30">
        <f>[1]FİYATLAR!F251</f>
        <v/>
      </c>
      <c r="J276" s="119" t="n">
        <v>0</v>
      </c>
      <c r="K276" s="34">
        <f>F276*J276</f>
        <v/>
      </c>
      <c r="L276" s="119" t="n"/>
      <c r="M276" s="34">
        <f>L276*F276</f>
        <v/>
      </c>
      <c r="N276" s="119" t="n"/>
      <c r="O276" s="34">
        <f>F276</f>
        <v/>
      </c>
      <c r="P276" s="34">
        <f>N276*O276</f>
        <v/>
      </c>
      <c r="Q276" s="117" t="n">
        <v>0</v>
      </c>
      <c r="R276" s="34">
        <f>F276</f>
        <v/>
      </c>
      <c r="S276" s="34">
        <f>R276*Q276</f>
        <v/>
      </c>
      <c r="T276" s="34">
        <f>SUMIFS('[1]GİP VERİLERİ'!$C:$C,'[1]GİP VERİLERİ'!$B:$B,A276,'[1]GİP VERİLERİ'!$M:$M,"40X000000104782K",'[1]GİP VERİLERİ'!$G:$G,"SELL")</f>
        <v/>
      </c>
      <c r="U276" s="34">
        <f>IFERROR(W276/T276,0)</f>
        <v/>
      </c>
      <c r="V276" s="34">
        <f>IF(U276=0,0,U276-F276)</f>
        <v/>
      </c>
      <c r="W276" s="34">
        <f>SUMIFS('[1]GİP VERİLERİ'!$O:$O,'[1]GİP VERİLERİ'!$B:$B,A276,'[1]GİP VERİLERİ'!$M:$M,"40X000000104782K",'[1]GİP VERİLERİ'!$G:$G,"SELL")</f>
        <v/>
      </c>
      <c r="X276" s="34">
        <f>SUMIFS('[1]GİP VERİLERİ'!$C:$C,'[1]GİP VERİLERİ'!$B:$B,A276,'[1]GİP VERİLERİ'!$M:$M,"40X000000104782K",'[1]GİP VERİLERİ'!$G:$G,"BUY")</f>
        <v/>
      </c>
      <c r="Y276" s="34">
        <f>IFERROR(AA276/X276,0)</f>
        <v/>
      </c>
      <c r="Z276" s="34">
        <f>IF(Y276=0,0,F276-Y276)</f>
        <v/>
      </c>
      <c r="AA276" s="34">
        <f>SUMIFS('[1]GİP VERİLERİ'!$O:$O,'[1]GİP VERİLERİ'!$B:$B,A276,'[1]GİP VERİLERİ'!$M:$M,"40X000000104782K",'[1]GİP VERİLERİ'!$G:$G,"BUY")</f>
        <v/>
      </c>
      <c r="AB276" s="34">
        <f>'[1]GÖP VERİLERİ'!H277</f>
        <v/>
      </c>
      <c r="AC276" s="34">
        <f>'[1]GÖP VERİLERİ'!I277</f>
        <v/>
      </c>
      <c r="AD276" s="34">
        <f>IF(AB276&gt;AC276*1.05,AB276-AC276*1.05,IF(AB276&lt;AC276*0.95,AC276*0.95-AB276,0))</f>
        <v/>
      </c>
      <c r="AE276" s="34">
        <f>MAX(F276,G276,750)*0.05*AD276</f>
        <v/>
      </c>
      <c r="AF276" s="34">
        <f>'[1]GÖP VERİLERİ'!J277</f>
        <v/>
      </c>
      <c r="AG276" s="34">
        <f>IF(AB276&gt;AF276*1.05,AB276-AF276*1.05,IF(AB276&lt;AF276*0.95,AF276*0.95-AB276,0))</f>
        <v/>
      </c>
      <c r="AH276" s="34">
        <f>MAX(I276,J276,750)*0.05*AG276</f>
        <v/>
      </c>
      <c r="AI276">
        <f>'[1]GÖP VERİLERİ'!E277</f>
        <v/>
      </c>
      <c r="AJ276">
        <f>'[1]GÖP VERİLERİ'!F277</f>
        <v/>
      </c>
      <c r="AK276" s="34">
        <f>IF(AI276&gt;AJ276*1.05,AI276-AJ276*1.05,IF(AI276&lt;AJ276*0.95,AJ276*0.95-AI276,0))</f>
        <v/>
      </c>
      <c r="AL276" s="34">
        <f>MAX(F276,G276,750)*0.05*AK276</f>
        <v/>
      </c>
      <c r="AM276" s="39">
        <f>'[1]GÖP VERİLERİ'!G277</f>
        <v/>
      </c>
      <c r="AN276" s="34">
        <f>IF(AI276&gt;AM276*1.05,AI276-AM276*1.05,IF(AI276&lt;AM276*0.95,AM276*0.95-AI276,0))</f>
        <v/>
      </c>
      <c r="AO276" s="34">
        <f>MAX(F276,G276,750)*0.05*AN276</f>
        <v/>
      </c>
      <c r="AP276" s="34">
        <f>'[1]GÖP VERİLERİ'!B277</f>
        <v/>
      </c>
      <c r="AQ276" s="34">
        <f>'[1]GÖP VERİLERİ'!C277</f>
        <v/>
      </c>
      <c r="AR276" s="34">
        <f>IF(AP276&gt;AQ276*1.05,AP276-AQ276*1.05,IF(AP276&lt;AQ276*0.95,AQ276*0.95-AP276,0))</f>
        <v/>
      </c>
      <c r="AS276" s="34">
        <f>MAX(F276:G276,750)*0.05*AR276</f>
        <v/>
      </c>
      <c r="AT276">
        <f>'[1]GÖP VERİLERİ'!D277</f>
        <v/>
      </c>
      <c r="AU276" s="34">
        <f>IF(AP276&gt;AT276*1.05,AP276-AT276*1.05,IF(AP276&lt;AT276*0.95,AT276*0.95-AP276,0))</f>
        <v/>
      </c>
      <c r="AV276" s="34">
        <f>MAX(F276:G276,750)*0.05*AU276</f>
        <v/>
      </c>
      <c r="AW276" s="34">
        <f>AC276+AJ276+AQ276</f>
        <v/>
      </c>
      <c r="AX276" s="34">
        <f>AF276+AM276+AT276</f>
        <v/>
      </c>
      <c r="AY276" s="34">
        <f>AB276+AI276+AP276</f>
        <v/>
      </c>
      <c r="AZ276" s="34" t="n">
        <v>0</v>
      </c>
      <c r="BA276" s="34">
        <f>AD276+AK276+AR276</f>
        <v/>
      </c>
      <c r="BB276" s="34">
        <f>MAX(F276:G276,750)*0.05*BA276</f>
        <v/>
      </c>
      <c r="BC276" s="34">
        <f>AG276+AN276+AU276</f>
        <v/>
      </c>
      <c r="BD276" s="34">
        <f>MAX(F276:G276,750)*0.05*BC276</f>
        <v/>
      </c>
      <c r="BE276" s="34">
        <f>F276*AY276</f>
        <v/>
      </c>
      <c r="BF276" s="34">
        <f>K276-M276</f>
        <v/>
      </c>
      <c r="BG276" s="34">
        <f>P276-S276</f>
        <v/>
      </c>
      <c r="BH276" s="34">
        <f>W276-AA276</f>
        <v/>
      </c>
      <c r="BI276" s="34">
        <f>BF276+BG276+BL276-BN276</f>
        <v/>
      </c>
      <c r="BJ276" s="34">
        <f>ABS(BK276)</f>
        <v/>
      </c>
      <c r="BK276" s="34">
        <f>AY276-(J276-L276+N276-Q276)</f>
        <v/>
      </c>
      <c r="BL276" s="34">
        <f>IF(AND(BK276&gt;0,MIN($F276:$G276)&lt;150,$E276="Enerji Açığı"),-100*BK276*1.03,IF(AND(BK276&gt;0,MIN($F276:$G276)&lt;150,$E276="Enerji Fazlası"),-100*BK276*1.06,IF(AND(BK276&gt;0,MIN($F276:$G276)&gt;=150,$E276="Enerji Açığı"),BK276*MIN($F276:$G276)*0.97,IF(AND(BK276&gt;0,MIN($F276:$G276)&gt;=150,$E276="Enerji Fazlası"),BK276*MIN($F276:$G276)*0.94,IF(AND(BK276&lt;0,MAX($F276:$G276)=4500,$E276="Enerji Açığı"),4500*1.05*1.06*BK276,IF(AND(BK276&lt;0,MAX($F276:$G276)=4500,$E276="Enerji Fazlası"),4500*1.05*1.03*BK276,IF(AND(BK276&lt;0,$E276="Enerji Açığı"),MAX($F276,$G276,150)*BK276*1.06,IF(AND(BK276&lt;0,$E276="Enerji Fazlası"),MAX($F276,$G276,150)*BK276*1.03,IF(AND(BK276&lt;0,$E276="Dengede"),MAX($F276:$G276,150)*1.03*BK276,MIN($F276:$G276)*0.97*BK276)))))))))</f>
        <v/>
      </c>
      <c r="BM276" s="34">
        <f>BE276-BI276-BN276</f>
        <v/>
      </c>
      <c r="BN276" s="34">
        <f>BB276</f>
        <v/>
      </c>
      <c r="BO276" s="34">
        <f>BE276-BI276</f>
        <v/>
      </c>
      <c r="BP276" s="34">
        <f>IF(AY276=0,0,BO276/AY276)</f>
        <v/>
      </c>
      <c r="BQ276" s="34">
        <f>MAX((AY276+MAX((-J276+L276-N276+Q276),0)),(MAX((J276-L276+N276-Q276),0)))</f>
        <v/>
      </c>
      <c r="BR276" s="82">
        <f>IFERROR(ABS(BK276/BQ276),0)</f>
        <v/>
      </c>
      <c r="BS276" s="34">
        <f>IF(BR276&lt;=0.1,0,BK276/BR276*(BR276-0.1))</f>
        <v/>
      </c>
      <c r="BT276" s="34">
        <f>IF((BS276)&lt;0,MAX(F276:G276)*(BS276)*1.03,MIN(F276:G276)*(BS276)*0.97)</f>
        <v/>
      </c>
      <c r="BU276" s="34">
        <f>IF(BR276&gt;0.1,1,0)</f>
        <v/>
      </c>
      <c r="BV276" s="34">
        <f>BF276+BG276+BH276+BY276-CA276</f>
        <v/>
      </c>
      <c r="BW276" s="34">
        <f>ABS(BX276)</f>
        <v/>
      </c>
      <c r="BX276" s="34">
        <f>AY276-(J276-L276+N276-Q276+T276-X276)</f>
        <v/>
      </c>
      <c r="BY276" s="34">
        <f>IF(AND(BX276&gt;0,MIN($F276:$G276)&lt;150,$E276="Enerji Açığı"),-100*BX276*1.03,IF(AND(BX276&gt;0,MIN($F276:$G276)&lt;150,$E276="Enerji Fazlası"),-100*BX276*1.06,IF(AND(BX276&gt;0,MIN($F276:$G276)&gt;=150,$E276="Enerji Açığı"),BX276*MIN($F276:$G276)*0.97,IF(AND(BX276&gt;0,MIN($F276:$G276)&gt;=150,$E276="Enerji Fazlası"),BX276*MIN($F276:$G276)*0.94,IF(AND(BX276&lt;0,MAX($F276:$G276)=4500,$E276="Enerji Açığı"),4500*1.05*1.06*BX276,IF(AND(BX276&lt;0,MAX($F276:$G276)=4500,$E276="Enerji Fazlası"),4500*1.05*1.03*BX276,IF(AND(BX276&lt;0,$E276="Enerji Açığı"),MAX($F276,$G276,150)*BX276*1.06,IF(AND(BX276&lt;0,$E276="Enerji Fazlası"),MAX($F276,$G276,150)*BX276*1.03,IF(AND(BX276&lt;0,$E276="Dengede"),MAX($F276:$G276,150)*1.03*BX276,MIN($F276:$G276)*0.97*BX276)))))))))</f>
        <v/>
      </c>
      <c r="BZ276" s="34">
        <f>BE276-BV276-CA276</f>
        <v/>
      </c>
      <c r="CA276" s="34">
        <f>BD276</f>
        <v/>
      </c>
      <c r="CB276" s="33">
        <f>BE276-BV276</f>
        <v/>
      </c>
      <c r="CC276" s="34">
        <f>IF(AY276=0,0,CB276/AY276)</f>
        <v/>
      </c>
      <c r="CD276" s="34">
        <f>MAX((AY276+MAX((-J276+L276-N276+Q276-T276+X276),0)),(MAX((J276-L276+N276-Q276+T276-X276),0)))</f>
        <v/>
      </c>
      <c r="CE276" s="82">
        <f>IFERROR(ABS(BX276/CD276),0)</f>
        <v/>
      </c>
      <c r="CF276" s="34">
        <f>IF(CE276&lt;=0.1,0,BX276/CE276*(CE276-0.1))</f>
        <v/>
      </c>
      <c r="CG276" s="34">
        <f>IF((CF276)&lt;0,MAX(F276:G276)*(CF276)*1.03,MIN(F276:G276)*(CF276)*0.97)</f>
        <v/>
      </c>
      <c r="CH276" s="34">
        <f>IF(CE276&gt;0.1,1,0)</f>
        <v/>
      </c>
      <c r="CI276" s="34">
        <f>(F276*BX276)-BY276</f>
        <v/>
      </c>
      <c r="CJ276" s="34">
        <f>IF(AY276=0,0,CI276/AY276)</f>
        <v/>
      </c>
    </row>
    <row r="277">
      <c r="A277" s="29">
        <f>[1]FİYATLAR!A252</f>
        <v/>
      </c>
      <c r="B277" s="29">
        <f>[1]FİYATLAR!B252</f>
        <v/>
      </c>
      <c r="C277" s="35">
        <f>INT(A277)</f>
        <v/>
      </c>
      <c r="D277" s="36">
        <f>MONTH(A277)</f>
        <v/>
      </c>
      <c r="E277" s="147">
        <f>[1]FİYATLAR!G252</f>
        <v/>
      </c>
      <c r="F277" s="30">
        <f>[1]FİYATLAR!C252</f>
        <v/>
      </c>
      <c r="G277" s="30">
        <f>[1]FİYATLAR!E252</f>
        <v/>
      </c>
      <c r="H277" s="30">
        <f>[1]FİYATLAR!D252</f>
        <v/>
      </c>
      <c r="I277" s="30">
        <f>[1]FİYATLAR!F252</f>
        <v/>
      </c>
      <c r="J277" s="119" t="n">
        <v>0</v>
      </c>
      <c r="K277" s="34">
        <f>F277*J277</f>
        <v/>
      </c>
      <c r="L277" s="119" t="n"/>
      <c r="M277" s="34">
        <f>L277*F277</f>
        <v/>
      </c>
      <c r="N277" s="119" t="n"/>
      <c r="O277" s="34">
        <f>F277</f>
        <v/>
      </c>
      <c r="P277" s="34">
        <f>N277*O277</f>
        <v/>
      </c>
      <c r="Q277" s="117" t="n">
        <v>0</v>
      </c>
      <c r="R277" s="34">
        <f>F277</f>
        <v/>
      </c>
      <c r="S277" s="34">
        <f>R277*Q277</f>
        <v/>
      </c>
      <c r="T277" s="34">
        <f>SUMIFS('[1]GİP VERİLERİ'!$C:$C,'[1]GİP VERİLERİ'!$B:$B,A277,'[1]GİP VERİLERİ'!$M:$M,"40X000000104782K",'[1]GİP VERİLERİ'!$G:$G,"SELL")</f>
        <v/>
      </c>
      <c r="U277" s="34">
        <f>IFERROR(W277/T277,0)</f>
        <v/>
      </c>
      <c r="V277" s="34">
        <f>IF(U277=0,0,U277-F277)</f>
        <v/>
      </c>
      <c r="W277" s="34">
        <f>SUMIFS('[1]GİP VERİLERİ'!$O:$O,'[1]GİP VERİLERİ'!$B:$B,A277,'[1]GİP VERİLERİ'!$M:$M,"40X000000104782K",'[1]GİP VERİLERİ'!$G:$G,"SELL")</f>
        <v/>
      </c>
      <c r="X277" s="34">
        <f>SUMIFS('[1]GİP VERİLERİ'!$C:$C,'[1]GİP VERİLERİ'!$B:$B,A277,'[1]GİP VERİLERİ'!$M:$M,"40X000000104782K",'[1]GİP VERİLERİ'!$G:$G,"BUY")</f>
        <v/>
      </c>
      <c r="Y277" s="34">
        <f>IFERROR(AA277/X277,0)</f>
        <v/>
      </c>
      <c r="Z277" s="34">
        <f>IF(Y277=0,0,F277-Y277)</f>
        <v/>
      </c>
      <c r="AA277" s="34">
        <f>SUMIFS('[1]GİP VERİLERİ'!$O:$O,'[1]GİP VERİLERİ'!$B:$B,A277,'[1]GİP VERİLERİ'!$M:$M,"40X000000104782K",'[1]GİP VERİLERİ'!$G:$G,"BUY")</f>
        <v/>
      </c>
      <c r="AB277" s="34">
        <f>'[1]GÖP VERİLERİ'!H278</f>
        <v/>
      </c>
      <c r="AC277" s="34">
        <f>'[1]GÖP VERİLERİ'!I278</f>
        <v/>
      </c>
      <c r="AD277" s="34">
        <f>IF(AB277&gt;AC277*1.05,AB277-AC277*1.05,IF(AB277&lt;AC277*0.95,AC277*0.95-AB277,0))</f>
        <v/>
      </c>
      <c r="AE277" s="34">
        <f>MAX(F277,G277,750)*0.05*AD277</f>
        <v/>
      </c>
      <c r="AF277" s="34">
        <f>'[1]GÖP VERİLERİ'!J278</f>
        <v/>
      </c>
      <c r="AG277" s="34">
        <f>IF(AB277&gt;AF277*1.05,AB277-AF277*1.05,IF(AB277&lt;AF277*0.95,AF277*0.95-AB277,0))</f>
        <v/>
      </c>
      <c r="AH277" s="34">
        <f>MAX(I277,J277,750)*0.05*AG277</f>
        <v/>
      </c>
      <c r="AI277">
        <f>'[1]GÖP VERİLERİ'!E278</f>
        <v/>
      </c>
      <c r="AJ277">
        <f>'[1]GÖP VERİLERİ'!F278</f>
        <v/>
      </c>
      <c r="AK277" s="34">
        <f>IF(AI277&gt;AJ277*1.05,AI277-AJ277*1.05,IF(AI277&lt;AJ277*0.95,AJ277*0.95-AI277,0))</f>
        <v/>
      </c>
      <c r="AL277" s="34">
        <f>MAX(F277,G277,750)*0.05*AK277</f>
        <v/>
      </c>
      <c r="AM277" s="39">
        <f>'[1]GÖP VERİLERİ'!G278</f>
        <v/>
      </c>
      <c r="AN277" s="34">
        <f>IF(AI277&gt;AM277*1.05,AI277-AM277*1.05,IF(AI277&lt;AM277*0.95,AM277*0.95-AI277,0))</f>
        <v/>
      </c>
      <c r="AO277" s="34">
        <f>MAX(F277,G277,750)*0.05*AN277</f>
        <v/>
      </c>
      <c r="AP277" s="34">
        <f>'[1]GÖP VERİLERİ'!B278</f>
        <v/>
      </c>
      <c r="AQ277" s="34">
        <f>'[1]GÖP VERİLERİ'!C278</f>
        <v/>
      </c>
      <c r="AR277" s="34">
        <f>IF(AP277&gt;AQ277*1.05,AP277-AQ277*1.05,IF(AP277&lt;AQ277*0.95,AQ277*0.95-AP277,0))</f>
        <v/>
      </c>
      <c r="AS277" s="34">
        <f>MAX(F277:G277,750)*0.05*AR277</f>
        <v/>
      </c>
      <c r="AT277">
        <f>'[1]GÖP VERİLERİ'!D278</f>
        <v/>
      </c>
      <c r="AU277" s="34">
        <f>IF(AP277&gt;AT277*1.05,AP277-AT277*1.05,IF(AP277&lt;AT277*0.95,AT277*0.95-AP277,0))</f>
        <v/>
      </c>
      <c r="AV277" s="34">
        <f>MAX(F277:G277,750)*0.05*AU277</f>
        <v/>
      </c>
      <c r="AW277" s="34">
        <f>AC277+AJ277+AQ277</f>
        <v/>
      </c>
      <c r="AX277" s="34">
        <f>AF277+AM277+AT277</f>
        <v/>
      </c>
      <c r="AY277" s="34">
        <f>AB277+AI277+AP277</f>
        <v/>
      </c>
      <c r="AZ277" s="34" t="n">
        <v>0</v>
      </c>
      <c r="BA277" s="34">
        <f>AD277+AK277+AR277</f>
        <v/>
      </c>
      <c r="BB277" s="34">
        <f>MAX(F277:G277,750)*0.05*BA277</f>
        <v/>
      </c>
      <c r="BC277" s="34">
        <f>AG277+AN277+AU277</f>
        <v/>
      </c>
      <c r="BD277" s="34">
        <f>MAX(F277:G277,750)*0.05*BC277</f>
        <v/>
      </c>
      <c r="BE277" s="34">
        <f>F277*AY277</f>
        <v/>
      </c>
      <c r="BF277" s="34">
        <f>K277-M277</f>
        <v/>
      </c>
      <c r="BG277" s="34">
        <f>P277-S277</f>
        <v/>
      </c>
      <c r="BH277" s="34">
        <f>W277-AA277</f>
        <v/>
      </c>
      <c r="BI277" s="34">
        <f>BF277+BG277+BL277-BN277</f>
        <v/>
      </c>
      <c r="BJ277" s="34">
        <f>ABS(BK277)</f>
        <v/>
      </c>
      <c r="BK277" s="34">
        <f>AY277-(J277-L277+N277-Q277)</f>
        <v/>
      </c>
      <c r="BL277" s="34">
        <f>IF(AND(BK277&gt;0,MIN($F277:$G277)&lt;150,$E277="Enerji Açığı"),-100*BK277*1.03,IF(AND(BK277&gt;0,MIN($F277:$G277)&lt;150,$E277="Enerji Fazlası"),-100*BK277*1.06,IF(AND(BK277&gt;0,MIN($F277:$G277)&gt;=150,$E277="Enerji Açığı"),BK277*MIN($F277:$G277)*0.97,IF(AND(BK277&gt;0,MIN($F277:$G277)&gt;=150,$E277="Enerji Fazlası"),BK277*MIN($F277:$G277)*0.94,IF(AND(BK277&lt;0,MAX($F277:$G277)=4500,$E277="Enerji Açığı"),4500*1.05*1.06*BK277,IF(AND(BK277&lt;0,MAX($F277:$G277)=4500,$E277="Enerji Fazlası"),4500*1.05*1.03*BK277,IF(AND(BK277&lt;0,$E277="Enerji Açığı"),MAX($F277,$G277,150)*BK277*1.06,IF(AND(BK277&lt;0,$E277="Enerji Fazlası"),MAX($F277,$G277,150)*BK277*1.03,IF(AND(BK277&lt;0,$E277="Dengede"),MAX($F277:$G277,150)*1.03*BK277,MIN($F277:$G277)*0.97*BK277)))))))))</f>
        <v/>
      </c>
      <c r="BM277" s="34">
        <f>BE277-BI277-BN277</f>
        <v/>
      </c>
      <c r="BN277" s="34">
        <f>BB277</f>
        <v/>
      </c>
      <c r="BO277" s="34">
        <f>BE277-BI277</f>
        <v/>
      </c>
      <c r="BP277" s="34">
        <f>IF(AY277=0,0,BO277/AY277)</f>
        <v/>
      </c>
      <c r="BQ277" s="34">
        <f>MAX((AY277+MAX((-J277+L277-N277+Q277),0)),(MAX((J277-L277+N277-Q277),0)))</f>
        <v/>
      </c>
      <c r="BR277" s="82">
        <f>IFERROR(ABS(BK277/BQ277),0)</f>
        <v/>
      </c>
      <c r="BS277" s="34">
        <f>IF(BR277&lt;=0.1,0,BK277/BR277*(BR277-0.1))</f>
        <v/>
      </c>
      <c r="BT277" s="34">
        <f>IF((BS277)&lt;0,MAX(F277:G277)*(BS277)*1.03,MIN(F277:G277)*(BS277)*0.97)</f>
        <v/>
      </c>
      <c r="BU277" s="34">
        <f>IF(BR277&gt;0.1,1,0)</f>
        <v/>
      </c>
      <c r="BV277" s="34">
        <f>BF277+BG277+BH277+BY277-CA277</f>
        <v/>
      </c>
      <c r="BW277" s="34">
        <f>ABS(BX277)</f>
        <v/>
      </c>
      <c r="BX277" s="34">
        <f>AY277-(J277-L277+N277-Q277+T277-X277)</f>
        <v/>
      </c>
      <c r="BY277" s="34">
        <f>IF(AND(BX277&gt;0,MIN($F277:$G277)&lt;150,$E277="Enerji Açığı"),-100*BX277*1.03,IF(AND(BX277&gt;0,MIN($F277:$G277)&lt;150,$E277="Enerji Fazlası"),-100*BX277*1.06,IF(AND(BX277&gt;0,MIN($F277:$G277)&gt;=150,$E277="Enerji Açığı"),BX277*MIN($F277:$G277)*0.97,IF(AND(BX277&gt;0,MIN($F277:$G277)&gt;=150,$E277="Enerji Fazlası"),BX277*MIN($F277:$G277)*0.94,IF(AND(BX277&lt;0,MAX($F277:$G277)=4500,$E277="Enerji Açığı"),4500*1.05*1.06*BX277,IF(AND(BX277&lt;0,MAX($F277:$G277)=4500,$E277="Enerji Fazlası"),4500*1.05*1.03*BX277,IF(AND(BX277&lt;0,$E277="Enerji Açığı"),MAX($F277,$G277,150)*BX277*1.06,IF(AND(BX277&lt;0,$E277="Enerji Fazlası"),MAX($F277,$G277,150)*BX277*1.03,IF(AND(BX277&lt;0,$E277="Dengede"),MAX($F277:$G277,150)*1.03*BX277,MIN($F277:$G277)*0.97*BX277)))))))))</f>
        <v/>
      </c>
      <c r="BZ277" s="34">
        <f>BE277-BV277-CA277</f>
        <v/>
      </c>
      <c r="CA277" s="34">
        <f>BD277</f>
        <v/>
      </c>
      <c r="CB277" s="33">
        <f>BE277-BV277</f>
        <v/>
      </c>
      <c r="CC277" s="34">
        <f>IF(AY277=0,0,CB277/AY277)</f>
        <v/>
      </c>
      <c r="CD277" s="34">
        <f>MAX((AY277+MAX((-J277+L277-N277+Q277-T277+X277),0)),(MAX((J277-L277+N277-Q277+T277-X277),0)))</f>
        <v/>
      </c>
      <c r="CE277" s="82">
        <f>IFERROR(ABS(BX277/CD277),0)</f>
        <v/>
      </c>
      <c r="CF277" s="34">
        <f>IF(CE277&lt;=0.1,0,BX277/CE277*(CE277-0.1))</f>
        <v/>
      </c>
      <c r="CG277" s="34">
        <f>IF((CF277)&lt;0,MAX(F277:G277)*(CF277)*1.03,MIN(F277:G277)*(CF277)*0.97)</f>
        <v/>
      </c>
      <c r="CH277" s="34">
        <f>IF(CE277&gt;0.1,1,0)</f>
        <v/>
      </c>
      <c r="CI277" s="34">
        <f>(F277*BX277)-BY277</f>
        <v/>
      </c>
      <c r="CJ277" s="34">
        <f>IF(AY277=0,0,CI277/AY277)</f>
        <v/>
      </c>
    </row>
    <row r="278">
      <c r="A278" s="29">
        <f>[1]FİYATLAR!A253</f>
        <v/>
      </c>
      <c r="B278" s="29">
        <f>[1]FİYATLAR!B253</f>
        <v/>
      </c>
      <c r="C278" s="35">
        <f>INT(A278)</f>
        <v/>
      </c>
      <c r="D278" s="36">
        <f>MONTH(A278)</f>
        <v/>
      </c>
      <c r="E278" s="147">
        <f>[1]FİYATLAR!G253</f>
        <v/>
      </c>
      <c r="F278" s="30">
        <f>[1]FİYATLAR!C253</f>
        <v/>
      </c>
      <c r="G278" s="30">
        <f>[1]FİYATLAR!E253</f>
        <v/>
      </c>
      <c r="H278" s="30">
        <f>[1]FİYATLAR!D253</f>
        <v/>
      </c>
      <c r="I278" s="30">
        <f>[1]FİYATLAR!F253</f>
        <v/>
      </c>
      <c r="J278" s="119" t="n">
        <v>0</v>
      </c>
      <c r="K278" s="34">
        <f>F278*J278</f>
        <v/>
      </c>
      <c r="L278" s="119" t="n"/>
      <c r="M278" s="34">
        <f>L278*F278</f>
        <v/>
      </c>
      <c r="N278" s="119" t="n"/>
      <c r="O278" s="34">
        <f>F278</f>
        <v/>
      </c>
      <c r="P278" s="34">
        <f>N278*O278</f>
        <v/>
      </c>
      <c r="Q278" s="117" t="n">
        <v>0</v>
      </c>
      <c r="R278" s="34">
        <f>F278</f>
        <v/>
      </c>
      <c r="S278" s="34">
        <f>R278*Q278</f>
        <v/>
      </c>
      <c r="T278" s="34">
        <f>SUMIFS('[1]GİP VERİLERİ'!$C:$C,'[1]GİP VERİLERİ'!$B:$B,A278,'[1]GİP VERİLERİ'!$M:$M,"40X000000104782K",'[1]GİP VERİLERİ'!$G:$G,"SELL")</f>
        <v/>
      </c>
      <c r="U278" s="34">
        <f>IFERROR(W278/T278,0)</f>
        <v/>
      </c>
      <c r="V278" s="34">
        <f>IF(U278=0,0,U278-F278)</f>
        <v/>
      </c>
      <c r="W278" s="34">
        <f>SUMIFS('[1]GİP VERİLERİ'!$O:$O,'[1]GİP VERİLERİ'!$B:$B,A278,'[1]GİP VERİLERİ'!$M:$M,"40X000000104782K",'[1]GİP VERİLERİ'!$G:$G,"SELL")</f>
        <v/>
      </c>
      <c r="X278" s="34">
        <f>SUMIFS('[1]GİP VERİLERİ'!$C:$C,'[1]GİP VERİLERİ'!$B:$B,A278,'[1]GİP VERİLERİ'!$M:$M,"40X000000104782K",'[1]GİP VERİLERİ'!$G:$G,"BUY")</f>
        <v/>
      </c>
      <c r="Y278" s="34">
        <f>IFERROR(AA278/X278,0)</f>
        <v/>
      </c>
      <c r="Z278" s="34">
        <f>IF(Y278=0,0,F278-Y278)</f>
        <v/>
      </c>
      <c r="AA278" s="34">
        <f>SUMIFS('[1]GİP VERİLERİ'!$O:$O,'[1]GİP VERİLERİ'!$B:$B,A278,'[1]GİP VERİLERİ'!$M:$M,"40X000000104782K",'[1]GİP VERİLERİ'!$G:$G,"BUY")</f>
        <v/>
      </c>
      <c r="AB278" s="34">
        <f>'[1]GÖP VERİLERİ'!H279</f>
        <v/>
      </c>
      <c r="AC278" s="34">
        <f>'[1]GÖP VERİLERİ'!I279</f>
        <v/>
      </c>
      <c r="AD278" s="34">
        <f>IF(AB278&gt;AC278*1.05,AB278-AC278*1.05,IF(AB278&lt;AC278*0.95,AC278*0.95-AB278,0))</f>
        <v/>
      </c>
      <c r="AE278" s="34">
        <f>MAX(F278,G278,750)*0.05*AD278</f>
        <v/>
      </c>
      <c r="AF278" s="34">
        <f>'[1]GÖP VERİLERİ'!J279</f>
        <v/>
      </c>
      <c r="AG278" s="34">
        <f>IF(AB278&gt;AF278*1.05,AB278-AF278*1.05,IF(AB278&lt;AF278*0.95,AF278*0.95-AB278,0))</f>
        <v/>
      </c>
      <c r="AH278" s="34">
        <f>MAX(I278,J278,750)*0.05*AG278</f>
        <v/>
      </c>
      <c r="AI278">
        <f>'[1]GÖP VERİLERİ'!E279</f>
        <v/>
      </c>
      <c r="AJ278">
        <f>'[1]GÖP VERİLERİ'!F279</f>
        <v/>
      </c>
      <c r="AK278" s="34">
        <f>IF(AI278&gt;AJ278*1.05,AI278-AJ278*1.05,IF(AI278&lt;AJ278*0.95,AJ278*0.95-AI278,0))</f>
        <v/>
      </c>
      <c r="AL278" s="34">
        <f>MAX(F278,G278,750)*0.05*AK278</f>
        <v/>
      </c>
      <c r="AM278" s="39">
        <f>'[1]GÖP VERİLERİ'!G279</f>
        <v/>
      </c>
      <c r="AN278" s="34">
        <f>IF(AI278&gt;AM278*1.05,AI278-AM278*1.05,IF(AI278&lt;AM278*0.95,AM278*0.95-AI278,0))</f>
        <v/>
      </c>
      <c r="AO278" s="34">
        <f>MAX(F278,G278,750)*0.05*AN278</f>
        <v/>
      </c>
      <c r="AP278" s="34">
        <f>'[1]GÖP VERİLERİ'!B279</f>
        <v/>
      </c>
      <c r="AQ278" s="34">
        <f>'[1]GÖP VERİLERİ'!C279</f>
        <v/>
      </c>
      <c r="AR278" s="34">
        <f>IF(AP278&gt;AQ278*1.05,AP278-AQ278*1.05,IF(AP278&lt;AQ278*0.95,AQ278*0.95-AP278,0))</f>
        <v/>
      </c>
      <c r="AS278" s="34">
        <f>MAX(F278:G278,750)*0.05*AR278</f>
        <v/>
      </c>
      <c r="AT278">
        <f>'[1]GÖP VERİLERİ'!D279</f>
        <v/>
      </c>
      <c r="AU278" s="34">
        <f>IF(AP278&gt;AT278*1.05,AP278-AT278*1.05,IF(AP278&lt;AT278*0.95,AT278*0.95-AP278,0))</f>
        <v/>
      </c>
      <c r="AV278" s="34">
        <f>MAX(F278:G278,750)*0.05*AU278</f>
        <v/>
      </c>
      <c r="AW278" s="34">
        <f>AC278+AJ278+AQ278</f>
        <v/>
      </c>
      <c r="AX278" s="34">
        <f>AF278+AM278+AT278</f>
        <v/>
      </c>
      <c r="AY278" s="34">
        <f>AB278+AI278+AP278</f>
        <v/>
      </c>
      <c r="AZ278" s="34" t="n">
        <v>0</v>
      </c>
      <c r="BA278" s="34">
        <f>AD278+AK278+AR278</f>
        <v/>
      </c>
      <c r="BB278" s="34">
        <f>MAX(F278:G278,750)*0.05*BA278</f>
        <v/>
      </c>
      <c r="BC278" s="34">
        <f>AG278+AN278+AU278</f>
        <v/>
      </c>
      <c r="BD278" s="34">
        <f>MAX(F278:G278,750)*0.05*BC278</f>
        <v/>
      </c>
      <c r="BE278" s="34">
        <f>F278*AY278</f>
        <v/>
      </c>
      <c r="BF278" s="34">
        <f>K278-M278</f>
        <v/>
      </c>
      <c r="BG278" s="34">
        <f>P278-S278</f>
        <v/>
      </c>
      <c r="BH278" s="34">
        <f>W278-AA278</f>
        <v/>
      </c>
      <c r="BI278" s="34">
        <f>BF278+BG278+BL278-BN278</f>
        <v/>
      </c>
      <c r="BJ278" s="34">
        <f>ABS(BK278)</f>
        <v/>
      </c>
      <c r="BK278" s="34">
        <f>AY278-(J278-L278+N278-Q278)</f>
        <v/>
      </c>
      <c r="BL278" s="34">
        <f>IF(AND(BK278&gt;0,MIN($F278:$G278)&lt;150,$E278="Enerji Açığı"),-100*BK278*1.03,IF(AND(BK278&gt;0,MIN($F278:$G278)&lt;150,$E278="Enerji Fazlası"),-100*BK278*1.06,IF(AND(BK278&gt;0,MIN($F278:$G278)&gt;=150,$E278="Enerji Açığı"),BK278*MIN($F278:$G278)*0.97,IF(AND(BK278&gt;0,MIN($F278:$G278)&gt;=150,$E278="Enerji Fazlası"),BK278*MIN($F278:$G278)*0.94,IF(AND(BK278&lt;0,MAX($F278:$G278)=4500,$E278="Enerji Açığı"),4500*1.05*1.06*BK278,IF(AND(BK278&lt;0,MAX($F278:$G278)=4500,$E278="Enerji Fazlası"),4500*1.05*1.03*BK278,IF(AND(BK278&lt;0,$E278="Enerji Açığı"),MAX($F278,$G278,150)*BK278*1.06,IF(AND(BK278&lt;0,$E278="Enerji Fazlası"),MAX($F278,$G278,150)*BK278*1.03,IF(AND(BK278&lt;0,$E278="Dengede"),MAX($F278:$G278,150)*1.03*BK278,MIN($F278:$G278)*0.97*BK278)))))))))</f>
        <v/>
      </c>
      <c r="BM278" s="34">
        <f>BE278-BI278-BN278</f>
        <v/>
      </c>
      <c r="BN278" s="34">
        <f>BB278</f>
        <v/>
      </c>
      <c r="BO278" s="34">
        <f>BE278-BI278</f>
        <v/>
      </c>
      <c r="BP278" s="34">
        <f>IF(AY278=0,0,BO278/AY278)</f>
        <v/>
      </c>
      <c r="BQ278" s="34">
        <f>MAX((AY278+MAX((-J278+L278-N278+Q278),0)),(MAX((J278-L278+N278-Q278),0)))</f>
        <v/>
      </c>
      <c r="BR278" s="82">
        <f>IFERROR(ABS(BK278/BQ278),0)</f>
        <v/>
      </c>
      <c r="BS278" s="34">
        <f>IF(BR278&lt;=0.1,0,BK278/BR278*(BR278-0.1))</f>
        <v/>
      </c>
      <c r="BT278" s="34">
        <f>IF((BS278)&lt;0,MAX(F278:G278)*(BS278)*1.03,MIN(F278:G278)*(BS278)*0.97)</f>
        <v/>
      </c>
      <c r="BU278" s="34">
        <f>IF(BR278&gt;0.1,1,0)</f>
        <v/>
      </c>
      <c r="BV278" s="34">
        <f>BF278+BG278+BH278+BY278-CA278</f>
        <v/>
      </c>
      <c r="BW278" s="34">
        <f>ABS(BX278)</f>
        <v/>
      </c>
      <c r="BX278" s="34">
        <f>AY278-(J278-L278+N278-Q278+T278-X278)</f>
        <v/>
      </c>
      <c r="BY278" s="34">
        <f>IF(AND(BX278&gt;0,MIN($F278:$G278)&lt;150,$E278="Enerji Açığı"),-100*BX278*1.03,IF(AND(BX278&gt;0,MIN($F278:$G278)&lt;150,$E278="Enerji Fazlası"),-100*BX278*1.06,IF(AND(BX278&gt;0,MIN($F278:$G278)&gt;=150,$E278="Enerji Açığı"),BX278*MIN($F278:$G278)*0.97,IF(AND(BX278&gt;0,MIN($F278:$G278)&gt;=150,$E278="Enerji Fazlası"),BX278*MIN($F278:$G278)*0.94,IF(AND(BX278&lt;0,MAX($F278:$G278)=4500,$E278="Enerji Açığı"),4500*1.05*1.06*BX278,IF(AND(BX278&lt;0,MAX($F278:$G278)=4500,$E278="Enerji Fazlası"),4500*1.05*1.03*BX278,IF(AND(BX278&lt;0,$E278="Enerji Açığı"),MAX($F278,$G278,150)*BX278*1.06,IF(AND(BX278&lt;0,$E278="Enerji Fazlası"),MAX($F278,$G278,150)*BX278*1.03,IF(AND(BX278&lt;0,$E278="Dengede"),MAX($F278:$G278,150)*1.03*BX278,MIN($F278:$G278)*0.97*BX278)))))))))</f>
        <v/>
      </c>
      <c r="BZ278" s="34">
        <f>BE278-BV278-CA278</f>
        <v/>
      </c>
      <c r="CA278" s="34">
        <f>BD278</f>
        <v/>
      </c>
      <c r="CB278" s="33">
        <f>BE278-BV278</f>
        <v/>
      </c>
      <c r="CC278" s="34">
        <f>IF(AY278=0,0,CB278/AY278)</f>
        <v/>
      </c>
      <c r="CD278" s="34">
        <f>MAX((AY278+MAX((-J278+L278-N278+Q278-T278+X278),0)),(MAX((J278-L278+N278-Q278+T278-X278),0)))</f>
        <v/>
      </c>
      <c r="CE278" s="82">
        <f>IFERROR(ABS(BX278/CD278),0)</f>
        <v/>
      </c>
      <c r="CF278" s="34">
        <f>IF(CE278&lt;=0.1,0,BX278/CE278*(CE278-0.1))</f>
        <v/>
      </c>
      <c r="CG278" s="34">
        <f>IF((CF278)&lt;0,MAX(F278:G278)*(CF278)*1.03,MIN(F278:G278)*(CF278)*0.97)</f>
        <v/>
      </c>
      <c r="CH278" s="34">
        <f>IF(CE278&gt;0.1,1,0)</f>
        <v/>
      </c>
      <c r="CI278" s="34">
        <f>(F278*BX278)-BY278</f>
        <v/>
      </c>
      <c r="CJ278" s="34">
        <f>IF(AY278=0,0,CI278/AY278)</f>
        <v/>
      </c>
    </row>
    <row r="279">
      <c r="A279" s="29">
        <f>[1]FİYATLAR!A254</f>
        <v/>
      </c>
      <c r="B279" s="29">
        <f>[1]FİYATLAR!B254</f>
        <v/>
      </c>
      <c r="C279" s="35">
        <f>INT(A279)</f>
        <v/>
      </c>
      <c r="D279" s="36">
        <f>MONTH(A279)</f>
        <v/>
      </c>
      <c r="E279" s="147">
        <f>[1]FİYATLAR!G254</f>
        <v/>
      </c>
      <c r="F279" s="30">
        <f>[1]FİYATLAR!C254</f>
        <v/>
      </c>
      <c r="G279" s="30">
        <f>[1]FİYATLAR!E254</f>
        <v/>
      </c>
      <c r="H279" s="30">
        <f>[1]FİYATLAR!D254</f>
        <v/>
      </c>
      <c r="I279" s="30">
        <f>[1]FİYATLAR!F254</f>
        <v/>
      </c>
      <c r="J279" s="119" t="n">
        <v>0</v>
      </c>
      <c r="K279" s="34">
        <f>F279*J279</f>
        <v/>
      </c>
      <c r="L279" s="119" t="n"/>
      <c r="M279" s="34">
        <f>L279*F279</f>
        <v/>
      </c>
      <c r="N279" s="119" t="n"/>
      <c r="O279" s="34">
        <f>F279</f>
        <v/>
      </c>
      <c r="P279" s="34">
        <f>N279*O279</f>
        <v/>
      </c>
      <c r="Q279" s="117" t="n">
        <v>0</v>
      </c>
      <c r="R279" s="34">
        <f>F279</f>
        <v/>
      </c>
      <c r="S279" s="34">
        <f>R279*Q279</f>
        <v/>
      </c>
      <c r="T279" s="34">
        <f>SUMIFS('[1]GİP VERİLERİ'!$C:$C,'[1]GİP VERİLERİ'!$B:$B,A279,'[1]GİP VERİLERİ'!$M:$M,"40X000000104782K",'[1]GİP VERİLERİ'!$G:$G,"SELL")</f>
        <v/>
      </c>
      <c r="U279" s="34">
        <f>IFERROR(W279/T279,0)</f>
        <v/>
      </c>
      <c r="V279" s="34">
        <f>IF(U279=0,0,U279-F279)</f>
        <v/>
      </c>
      <c r="W279" s="34">
        <f>SUMIFS('[1]GİP VERİLERİ'!$O:$O,'[1]GİP VERİLERİ'!$B:$B,A279,'[1]GİP VERİLERİ'!$M:$M,"40X000000104782K",'[1]GİP VERİLERİ'!$G:$G,"SELL")</f>
        <v/>
      </c>
      <c r="X279" s="34">
        <f>SUMIFS('[1]GİP VERİLERİ'!$C:$C,'[1]GİP VERİLERİ'!$B:$B,A279,'[1]GİP VERİLERİ'!$M:$M,"40X000000104782K",'[1]GİP VERİLERİ'!$G:$G,"BUY")</f>
        <v/>
      </c>
      <c r="Y279" s="34">
        <f>IFERROR(AA279/X279,0)</f>
        <v/>
      </c>
      <c r="Z279" s="34">
        <f>IF(Y279=0,0,F279-Y279)</f>
        <v/>
      </c>
      <c r="AA279" s="34">
        <f>SUMIFS('[1]GİP VERİLERİ'!$O:$O,'[1]GİP VERİLERİ'!$B:$B,A279,'[1]GİP VERİLERİ'!$M:$M,"40X000000104782K",'[1]GİP VERİLERİ'!$G:$G,"BUY")</f>
        <v/>
      </c>
      <c r="AB279" s="34">
        <f>'[1]GÖP VERİLERİ'!H280</f>
        <v/>
      </c>
      <c r="AC279" s="34">
        <f>'[1]GÖP VERİLERİ'!I280</f>
        <v/>
      </c>
      <c r="AD279" s="34">
        <f>IF(AB279&gt;AC279*1.05,AB279-AC279*1.05,IF(AB279&lt;AC279*0.95,AC279*0.95-AB279,0))</f>
        <v/>
      </c>
      <c r="AE279" s="34">
        <f>MAX(F279,G279,750)*0.05*AD279</f>
        <v/>
      </c>
      <c r="AF279" s="34">
        <f>'[1]GÖP VERİLERİ'!J280</f>
        <v/>
      </c>
      <c r="AG279" s="34">
        <f>IF(AB279&gt;AF279*1.05,AB279-AF279*1.05,IF(AB279&lt;AF279*0.95,AF279*0.95-AB279,0))</f>
        <v/>
      </c>
      <c r="AH279" s="34">
        <f>MAX(I279,J279,750)*0.05*AG279</f>
        <v/>
      </c>
      <c r="AI279">
        <f>'[1]GÖP VERİLERİ'!E280</f>
        <v/>
      </c>
      <c r="AJ279">
        <f>'[1]GÖP VERİLERİ'!F280</f>
        <v/>
      </c>
      <c r="AK279" s="34">
        <f>IF(AI279&gt;AJ279*1.05,AI279-AJ279*1.05,IF(AI279&lt;AJ279*0.95,AJ279*0.95-AI279,0))</f>
        <v/>
      </c>
      <c r="AL279" s="34">
        <f>MAX(F279,G279,750)*0.05*AK279</f>
        <v/>
      </c>
      <c r="AM279" s="39">
        <f>'[1]GÖP VERİLERİ'!G280</f>
        <v/>
      </c>
      <c r="AN279" s="34">
        <f>IF(AI279&gt;AM279*1.05,AI279-AM279*1.05,IF(AI279&lt;AM279*0.95,AM279*0.95-AI279,0))</f>
        <v/>
      </c>
      <c r="AO279" s="34">
        <f>MAX(F279,G279,750)*0.05*AN279</f>
        <v/>
      </c>
      <c r="AP279" s="34">
        <f>'[1]GÖP VERİLERİ'!B280</f>
        <v/>
      </c>
      <c r="AQ279" s="34">
        <f>'[1]GÖP VERİLERİ'!C280</f>
        <v/>
      </c>
      <c r="AR279" s="34">
        <f>IF(AP279&gt;AQ279*1.05,AP279-AQ279*1.05,IF(AP279&lt;AQ279*0.95,AQ279*0.95-AP279,0))</f>
        <v/>
      </c>
      <c r="AS279" s="34">
        <f>MAX(F279:G279,750)*0.05*AR279</f>
        <v/>
      </c>
      <c r="AT279">
        <f>'[1]GÖP VERİLERİ'!D280</f>
        <v/>
      </c>
      <c r="AU279" s="34">
        <f>IF(AP279&gt;AT279*1.05,AP279-AT279*1.05,IF(AP279&lt;AT279*0.95,AT279*0.95-AP279,0))</f>
        <v/>
      </c>
      <c r="AV279" s="34">
        <f>MAX(F279:G279,750)*0.05*AU279</f>
        <v/>
      </c>
      <c r="AW279" s="34">
        <f>AC279+AJ279+AQ279</f>
        <v/>
      </c>
      <c r="AX279" s="34">
        <f>AF279+AM279+AT279</f>
        <v/>
      </c>
      <c r="AY279" s="34">
        <f>AB279+AI279+AP279</f>
        <v/>
      </c>
      <c r="AZ279" s="34" t="n">
        <v>0</v>
      </c>
      <c r="BA279" s="34">
        <f>AD279+AK279+AR279</f>
        <v/>
      </c>
      <c r="BB279" s="34">
        <f>MAX(F279:G279,750)*0.05*BA279</f>
        <v/>
      </c>
      <c r="BC279" s="34">
        <f>AG279+AN279+AU279</f>
        <v/>
      </c>
      <c r="BD279" s="34">
        <f>MAX(F279:G279,750)*0.05*BC279</f>
        <v/>
      </c>
      <c r="BE279" s="34">
        <f>F279*AY279</f>
        <v/>
      </c>
      <c r="BF279" s="34">
        <f>K279-M279</f>
        <v/>
      </c>
      <c r="BG279" s="34">
        <f>P279-S279</f>
        <v/>
      </c>
      <c r="BH279" s="34">
        <f>W279-AA279</f>
        <v/>
      </c>
      <c r="BI279" s="34">
        <f>BF279+BG279+BL279-BN279</f>
        <v/>
      </c>
      <c r="BJ279" s="34">
        <f>ABS(BK279)</f>
        <v/>
      </c>
      <c r="BK279" s="34">
        <f>AY279-(J279-L279+N279-Q279)</f>
        <v/>
      </c>
      <c r="BL279" s="34">
        <f>IF(AND(BK279&gt;0,MIN($F279:$G279)&lt;150,$E279="Enerji Açığı"),-100*BK279*1.03,IF(AND(BK279&gt;0,MIN($F279:$G279)&lt;150,$E279="Enerji Fazlası"),-100*BK279*1.06,IF(AND(BK279&gt;0,MIN($F279:$G279)&gt;=150,$E279="Enerji Açığı"),BK279*MIN($F279:$G279)*0.97,IF(AND(BK279&gt;0,MIN($F279:$G279)&gt;=150,$E279="Enerji Fazlası"),BK279*MIN($F279:$G279)*0.94,IF(AND(BK279&lt;0,MAX($F279:$G279)=4500,$E279="Enerji Açığı"),4500*1.05*1.06*BK279,IF(AND(BK279&lt;0,MAX($F279:$G279)=4500,$E279="Enerji Fazlası"),4500*1.05*1.03*BK279,IF(AND(BK279&lt;0,$E279="Enerji Açığı"),MAX($F279,$G279,150)*BK279*1.06,IF(AND(BK279&lt;0,$E279="Enerji Fazlası"),MAX($F279,$G279,150)*BK279*1.03,IF(AND(BK279&lt;0,$E279="Dengede"),MAX($F279:$G279,150)*1.03*BK279,MIN($F279:$G279)*0.97*BK279)))))))))</f>
        <v/>
      </c>
      <c r="BM279" s="34">
        <f>BE279-BI279-BN279</f>
        <v/>
      </c>
      <c r="BN279" s="34">
        <f>BB279</f>
        <v/>
      </c>
      <c r="BO279" s="34">
        <f>BE279-BI279</f>
        <v/>
      </c>
      <c r="BP279" s="34">
        <f>IF(AY279=0,0,BO279/AY279)</f>
        <v/>
      </c>
      <c r="BQ279" s="34">
        <f>MAX((AY279+MAX((-J279+L279-N279+Q279),0)),(MAX((J279-L279+N279-Q279),0)))</f>
        <v/>
      </c>
      <c r="BR279" s="82">
        <f>IFERROR(ABS(BK279/BQ279),0)</f>
        <v/>
      </c>
      <c r="BS279" s="34">
        <f>IF(BR279&lt;=0.1,0,BK279/BR279*(BR279-0.1))</f>
        <v/>
      </c>
      <c r="BT279" s="34">
        <f>IF((BS279)&lt;0,MAX(F279:G279)*(BS279)*1.03,MIN(F279:G279)*(BS279)*0.97)</f>
        <v/>
      </c>
      <c r="BU279" s="34">
        <f>IF(BR279&gt;0.1,1,0)</f>
        <v/>
      </c>
      <c r="BV279" s="34">
        <f>BF279+BG279+BH279+BY279-CA279</f>
        <v/>
      </c>
      <c r="BW279" s="34">
        <f>ABS(BX279)</f>
        <v/>
      </c>
      <c r="BX279" s="34">
        <f>AY279-(J279-L279+N279-Q279+T279-X279)</f>
        <v/>
      </c>
      <c r="BY279" s="34">
        <f>IF(AND(BX279&gt;0,MIN($F279:$G279)&lt;150,$E279="Enerji Açığı"),-100*BX279*1.03,IF(AND(BX279&gt;0,MIN($F279:$G279)&lt;150,$E279="Enerji Fazlası"),-100*BX279*1.06,IF(AND(BX279&gt;0,MIN($F279:$G279)&gt;=150,$E279="Enerji Açığı"),BX279*MIN($F279:$G279)*0.97,IF(AND(BX279&gt;0,MIN($F279:$G279)&gt;=150,$E279="Enerji Fazlası"),BX279*MIN($F279:$G279)*0.94,IF(AND(BX279&lt;0,MAX($F279:$G279)=4500,$E279="Enerji Açığı"),4500*1.05*1.06*BX279,IF(AND(BX279&lt;0,MAX($F279:$G279)=4500,$E279="Enerji Fazlası"),4500*1.05*1.03*BX279,IF(AND(BX279&lt;0,$E279="Enerji Açığı"),MAX($F279,$G279,150)*BX279*1.06,IF(AND(BX279&lt;0,$E279="Enerji Fazlası"),MAX($F279,$G279,150)*BX279*1.03,IF(AND(BX279&lt;0,$E279="Dengede"),MAX($F279:$G279,150)*1.03*BX279,MIN($F279:$G279)*0.97*BX279)))))))))</f>
        <v/>
      </c>
      <c r="BZ279" s="34">
        <f>BE279-BV279-CA279</f>
        <v/>
      </c>
      <c r="CA279" s="34">
        <f>BD279</f>
        <v/>
      </c>
      <c r="CB279" s="33">
        <f>BE279-BV279</f>
        <v/>
      </c>
      <c r="CC279" s="34">
        <f>IF(AY279=0,0,CB279/AY279)</f>
        <v/>
      </c>
      <c r="CD279" s="34">
        <f>MAX((AY279+MAX((-J279+L279-N279+Q279-T279+X279),0)),(MAX((J279-L279+N279-Q279+T279-X279),0)))</f>
        <v/>
      </c>
      <c r="CE279" s="82">
        <f>IFERROR(ABS(BX279/CD279),0)</f>
        <v/>
      </c>
      <c r="CF279" s="34">
        <f>IF(CE279&lt;=0.1,0,BX279/CE279*(CE279-0.1))</f>
        <v/>
      </c>
      <c r="CG279" s="34">
        <f>IF((CF279)&lt;0,MAX(F279:G279)*(CF279)*1.03,MIN(F279:G279)*(CF279)*0.97)</f>
        <v/>
      </c>
      <c r="CH279" s="34">
        <f>IF(CE279&gt;0.1,1,0)</f>
        <v/>
      </c>
      <c r="CI279" s="34">
        <f>(F279*BX279)-BY279</f>
        <v/>
      </c>
      <c r="CJ279" s="34">
        <f>IF(AY279=0,0,CI279/AY279)</f>
        <v/>
      </c>
    </row>
    <row r="280">
      <c r="A280" s="29">
        <f>[1]FİYATLAR!A255</f>
        <v/>
      </c>
      <c r="B280" s="29">
        <f>[1]FİYATLAR!B255</f>
        <v/>
      </c>
      <c r="C280" s="35">
        <f>INT(A280)</f>
        <v/>
      </c>
      <c r="D280" s="36">
        <f>MONTH(A280)</f>
        <v/>
      </c>
      <c r="E280" s="147">
        <f>[1]FİYATLAR!G255</f>
        <v/>
      </c>
      <c r="F280" s="30">
        <f>[1]FİYATLAR!C255</f>
        <v/>
      </c>
      <c r="G280" s="30">
        <f>[1]FİYATLAR!E255</f>
        <v/>
      </c>
      <c r="H280" s="30">
        <f>[1]FİYATLAR!D255</f>
        <v/>
      </c>
      <c r="I280" s="30">
        <f>[1]FİYATLAR!F255</f>
        <v/>
      </c>
      <c r="J280" s="119" t="n">
        <v>0</v>
      </c>
      <c r="K280" s="34">
        <f>F280*J280</f>
        <v/>
      </c>
      <c r="L280" s="119" t="n"/>
      <c r="M280" s="34">
        <f>L280*F280</f>
        <v/>
      </c>
      <c r="N280" s="119" t="n"/>
      <c r="O280" s="34">
        <f>F280</f>
        <v/>
      </c>
      <c r="P280" s="34">
        <f>N280*O280</f>
        <v/>
      </c>
      <c r="Q280" s="117" t="n">
        <v>0</v>
      </c>
      <c r="R280" s="34">
        <f>F280</f>
        <v/>
      </c>
      <c r="S280" s="34">
        <f>R280*Q280</f>
        <v/>
      </c>
      <c r="T280" s="34">
        <f>SUMIFS('[1]GİP VERİLERİ'!$C:$C,'[1]GİP VERİLERİ'!$B:$B,A280,'[1]GİP VERİLERİ'!$M:$M,"40X000000104782K",'[1]GİP VERİLERİ'!$G:$G,"SELL")</f>
        <v/>
      </c>
      <c r="U280" s="34">
        <f>IFERROR(W280/T280,0)</f>
        <v/>
      </c>
      <c r="V280" s="34">
        <f>IF(U280=0,0,U280-F280)</f>
        <v/>
      </c>
      <c r="W280" s="34">
        <f>SUMIFS('[1]GİP VERİLERİ'!$O:$O,'[1]GİP VERİLERİ'!$B:$B,A280,'[1]GİP VERİLERİ'!$M:$M,"40X000000104782K",'[1]GİP VERİLERİ'!$G:$G,"SELL")</f>
        <v/>
      </c>
      <c r="X280" s="34">
        <f>SUMIFS('[1]GİP VERİLERİ'!$C:$C,'[1]GİP VERİLERİ'!$B:$B,A280,'[1]GİP VERİLERİ'!$M:$M,"40X000000104782K",'[1]GİP VERİLERİ'!$G:$G,"BUY")</f>
        <v/>
      </c>
      <c r="Y280" s="34">
        <f>IFERROR(AA280/X280,0)</f>
        <v/>
      </c>
      <c r="Z280" s="34">
        <f>IF(Y280=0,0,F280-Y280)</f>
        <v/>
      </c>
      <c r="AA280" s="34">
        <f>SUMIFS('[1]GİP VERİLERİ'!$O:$O,'[1]GİP VERİLERİ'!$B:$B,A280,'[1]GİP VERİLERİ'!$M:$M,"40X000000104782K",'[1]GİP VERİLERİ'!$G:$G,"BUY")</f>
        <v/>
      </c>
      <c r="AB280" s="34">
        <f>'[1]GÖP VERİLERİ'!H281</f>
        <v/>
      </c>
      <c r="AC280" s="34">
        <f>'[1]GÖP VERİLERİ'!I281</f>
        <v/>
      </c>
      <c r="AD280" s="34">
        <f>IF(AB280&gt;AC280*1.05,AB280-AC280*1.05,IF(AB280&lt;AC280*0.95,AC280*0.95-AB280,0))</f>
        <v/>
      </c>
      <c r="AE280" s="34">
        <f>MAX(F280,G280,750)*0.05*AD280</f>
        <v/>
      </c>
      <c r="AF280" s="34">
        <f>'[1]GÖP VERİLERİ'!J281</f>
        <v/>
      </c>
      <c r="AG280" s="34">
        <f>IF(AB280&gt;AF280*1.05,AB280-AF280*1.05,IF(AB280&lt;AF280*0.95,AF280*0.95-AB280,0))</f>
        <v/>
      </c>
      <c r="AH280" s="34">
        <f>MAX(I280,J280,750)*0.05*AG280</f>
        <v/>
      </c>
      <c r="AI280">
        <f>'[1]GÖP VERİLERİ'!E281</f>
        <v/>
      </c>
      <c r="AJ280">
        <f>'[1]GÖP VERİLERİ'!F281</f>
        <v/>
      </c>
      <c r="AK280" s="34">
        <f>IF(AI280&gt;AJ280*1.05,AI280-AJ280*1.05,IF(AI280&lt;AJ280*0.95,AJ280*0.95-AI280,0))</f>
        <v/>
      </c>
      <c r="AL280" s="34">
        <f>MAX(F280,G280,750)*0.05*AK280</f>
        <v/>
      </c>
      <c r="AM280" s="39">
        <f>'[1]GÖP VERİLERİ'!G281</f>
        <v/>
      </c>
      <c r="AN280" s="34">
        <f>IF(AI280&gt;AM280*1.05,AI280-AM280*1.05,IF(AI280&lt;AM280*0.95,AM280*0.95-AI280,0))</f>
        <v/>
      </c>
      <c r="AO280" s="34">
        <f>MAX(F280,G280,750)*0.05*AN280</f>
        <v/>
      </c>
      <c r="AP280" s="34">
        <f>'[1]GÖP VERİLERİ'!B281</f>
        <v/>
      </c>
      <c r="AQ280" s="34">
        <f>'[1]GÖP VERİLERİ'!C281</f>
        <v/>
      </c>
      <c r="AR280" s="34">
        <f>IF(AP280&gt;AQ280*1.05,AP280-AQ280*1.05,IF(AP280&lt;AQ280*0.95,AQ280*0.95-AP280,0))</f>
        <v/>
      </c>
      <c r="AS280" s="34">
        <f>MAX(F280:G280,750)*0.05*AR280</f>
        <v/>
      </c>
      <c r="AT280">
        <f>'[1]GÖP VERİLERİ'!D281</f>
        <v/>
      </c>
      <c r="AU280" s="34">
        <f>IF(AP280&gt;AT280*1.05,AP280-AT280*1.05,IF(AP280&lt;AT280*0.95,AT280*0.95-AP280,0))</f>
        <v/>
      </c>
      <c r="AV280" s="34">
        <f>MAX(F280:G280,750)*0.05*AU280</f>
        <v/>
      </c>
      <c r="AW280" s="34">
        <f>AC280+AJ280+AQ280</f>
        <v/>
      </c>
      <c r="AX280" s="34">
        <f>AF280+AM280+AT280</f>
        <v/>
      </c>
      <c r="AY280" s="34">
        <f>AB280+AI280+AP280</f>
        <v/>
      </c>
      <c r="AZ280" s="34" t="n">
        <v>0</v>
      </c>
      <c r="BA280" s="34">
        <f>AD280+AK280+AR280</f>
        <v/>
      </c>
      <c r="BB280" s="34">
        <f>MAX(F280:G280,750)*0.05*BA280</f>
        <v/>
      </c>
      <c r="BC280" s="34">
        <f>AG280+AN280+AU280</f>
        <v/>
      </c>
      <c r="BD280" s="34">
        <f>MAX(F280:G280,750)*0.05*BC280</f>
        <v/>
      </c>
      <c r="BE280" s="34">
        <f>F280*AY280</f>
        <v/>
      </c>
      <c r="BF280" s="34">
        <f>K280-M280</f>
        <v/>
      </c>
      <c r="BG280" s="34">
        <f>P280-S280</f>
        <v/>
      </c>
      <c r="BH280" s="34">
        <f>W280-AA280</f>
        <v/>
      </c>
      <c r="BI280" s="34">
        <f>BF280+BG280+BL280-BN280</f>
        <v/>
      </c>
      <c r="BJ280" s="34">
        <f>ABS(BK280)</f>
        <v/>
      </c>
      <c r="BK280" s="34">
        <f>AY280-(J280-L280+N280-Q280)</f>
        <v/>
      </c>
      <c r="BL280" s="34">
        <f>IF(AND(BK280&gt;0,MIN($F280:$G280)&lt;150,$E280="Enerji Açığı"),-100*BK280*1.03,IF(AND(BK280&gt;0,MIN($F280:$G280)&lt;150,$E280="Enerji Fazlası"),-100*BK280*1.06,IF(AND(BK280&gt;0,MIN($F280:$G280)&gt;=150,$E280="Enerji Açığı"),BK280*MIN($F280:$G280)*0.97,IF(AND(BK280&gt;0,MIN($F280:$G280)&gt;=150,$E280="Enerji Fazlası"),BK280*MIN($F280:$G280)*0.94,IF(AND(BK280&lt;0,MAX($F280:$G280)=4500,$E280="Enerji Açığı"),4500*1.05*1.06*BK280,IF(AND(BK280&lt;0,MAX($F280:$G280)=4500,$E280="Enerji Fazlası"),4500*1.05*1.03*BK280,IF(AND(BK280&lt;0,$E280="Enerji Açığı"),MAX($F280,$G280,150)*BK280*1.06,IF(AND(BK280&lt;0,$E280="Enerji Fazlası"),MAX($F280,$G280,150)*BK280*1.03,IF(AND(BK280&lt;0,$E280="Dengede"),MAX($F280:$G280,150)*1.03*BK280,MIN($F280:$G280)*0.97*BK280)))))))))</f>
        <v/>
      </c>
      <c r="BM280" s="34">
        <f>BE280-BI280-BN280</f>
        <v/>
      </c>
      <c r="BN280" s="34">
        <f>BB280</f>
        <v/>
      </c>
      <c r="BO280" s="34">
        <f>BE280-BI280</f>
        <v/>
      </c>
      <c r="BP280" s="34">
        <f>IF(AY280=0,0,BO280/AY280)</f>
        <v/>
      </c>
      <c r="BQ280" s="34">
        <f>MAX((AY280+MAX((-J280+L280-N280+Q280),0)),(MAX((J280-L280+N280-Q280),0)))</f>
        <v/>
      </c>
      <c r="BR280" s="82">
        <f>IFERROR(ABS(BK280/BQ280),0)</f>
        <v/>
      </c>
      <c r="BS280" s="34">
        <f>IF(BR280&lt;=0.1,0,BK280/BR280*(BR280-0.1))</f>
        <v/>
      </c>
      <c r="BT280" s="34">
        <f>IF((BS280)&lt;0,MAX(F280:G280)*(BS280)*1.03,MIN(F280:G280)*(BS280)*0.97)</f>
        <v/>
      </c>
      <c r="BU280" s="34">
        <f>IF(BR280&gt;0.1,1,0)</f>
        <v/>
      </c>
      <c r="BV280" s="34">
        <f>BF280+BG280+BH280+BY280-CA280</f>
        <v/>
      </c>
      <c r="BW280" s="34">
        <f>ABS(BX280)</f>
        <v/>
      </c>
      <c r="BX280" s="34">
        <f>AY280-(J280-L280+N280-Q280+T280-X280)</f>
        <v/>
      </c>
      <c r="BY280" s="34">
        <f>IF(AND(BX280&gt;0,MIN($F280:$G280)&lt;150,$E280="Enerji Açığı"),-100*BX280*1.03,IF(AND(BX280&gt;0,MIN($F280:$G280)&lt;150,$E280="Enerji Fazlası"),-100*BX280*1.06,IF(AND(BX280&gt;0,MIN($F280:$G280)&gt;=150,$E280="Enerji Açığı"),BX280*MIN($F280:$G280)*0.97,IF(AND(BX280&gt;0,MIN($F280:$G280)&gt;=150,$E280="Enerji Fazlası"),BX280*MIN($F280:$G280)*0.94,IF(AND(BX280&lt;0,MAX($F280:$G280)=4500,$E280="Enerji Açığı"),4500*1.05*1.06*BX280,IF(AND(BX280&lt;0,MAX($F280:$G280)=4500,$E280="Enerji Fazlası"),4500*1.05*1.03*BX280,IF(AND(BX280&lt;0,$E280="Enerji Açığı"),MAX($F280,$G280,150)*BX280*1.06,IF(AND(BX280&lt;0,$E280="Enerji Fazlası"),MAX($F280,$G280,150)*BX280*1.03,IF(AND(BX280&lt;0,$E280="Dengede"),MAX($F280:$G280,150)*1.03*BX280,MIN($F280:$G280)*0.97*BX280)))))))))</f>
        <v/>
      </c>
      <c r="BZ280" s="34">
        <f>BE280-BV280-CA280</f>
        <v/>
      </c>
      <c r="CA280" s="34">
        <f>BD280</f>
        <v/>
      </c>
      <c r="CB280" s="33">
        <f>BE280-BV280</f>
        <v/>
      </c>
      <c r="CC280" s="34">
        <f>IF(AY280=0,0,CB280/AY280)</f>
        <v/>
      </c>
      <c r="CD280" s="34">
        <f>MAX((AY280+MAX((-J280+L280-N280+Q280-T280+X280),0)),(MAX((J280-L280+N280-Q280+T280-X280),0)))</f>
        <v/>
      </c>
      <c r="CE280" s="82">
        <f>IFERROR(ABS(BX280/CD280),0)</f>
        <v/>
      </c>
      <c r="CF280" s="34">
        <f>IF(CE280&lt;=0.1,0,BX280/CE280*(CE280-0.1))</f>
        <v/>
      </c>
      <c r="CG280" s="34">
        <f>IF((CF280)&lt;0,MAX(F280:G280)*(CF280)*1.03,MIN(F280:G280)*(CF280)*0.97)</f>
        <v/>
      </c>
      <c r="CH280" s="34">
        <f>IF(CE280&gt;0.1,1,0)</f>
        <v/>
      </c>
      <c r="CI280" s="34">
        <f>(F280*BX280)-BY280</f>
        <v/>
      </c>
      <c r="CJ280" s="34">
        <f>IF(AY280=0,0,CI280/AY280)</f>
        <v/>
      </c>
    </row>
    <row r="281">
      <c r="A281" s="29">
        <f>[1]FİYATLAR!A256</f>
        <v/>
      </c>
      <c r="B281" s="29">
        <f>[1]FİYATLAR!B256</f>
        <v/>
      </c>
      <c r="C281" s="35">
        <f>INT(A281)</f>
        <v/>
      </c>
      <c r="D281" s="36">
        <f>MONTH(A281)</f>
        <v/>
      </c>
      <c r="E281" s="147">
        <f>[1]FİYATLAR!G256</f>
        <v/>
      </c>
      <c r="F281" s="30">
        <f>[1]FİYATLAR!C256</f>
        <v/>
      </c>
      <c r="G281" s="30">
        <f>[1]FİYATLAR!E256</f>
        <v/>
      </c>
      <c r="H281" s="30">
        <f>[1]FİYATLAR!D256</f>
        <v/>
      </c>
      <c r="I281" s="30">
        <f>[1]FİYATLAR!F256</f>
        <v/>
      </c>
      <c r="J281" s="119" t="n">
        <v>0</v>
      </c>
      <c r="K281" s="34">
        <f>F281*J281</f>
        <v/>
      </c>
      <c r="L281" s="119" t="n"/>
      <c r="M281" s="34">
        <f>L281*F281</f>
        <v/>
      </c>
      <c r="N281" s="119" t="n"/>
      <c r="O281" s="34">
        <f>F281</f>
        <v/>
      </c>
      <c r="P281" s="34">
        <f>N281*O281</f>
        <v/>
      </c>
      <c r="Q281" s="117" t="n">
        <v>0</v>
      </c>
      <c r="R281" s="34">
        <f>F281</f>
        <v/>
      </c>
      <c r="S281" s="34">
        <f>R281*Q281</f>
        <v/>
      </c>
      <c r="T281" s="34">
        <f>SUMIFS('[1]GİP VERİLERİ'!$C:$C,'[1]GİP VERİLERİ'!$B:$B,A281,'[1]GİP VERİLERİ'!$M:$M,"40X000000104782K",'[1]GİP VERİLERİ'!$G:$G,"SELL")</f>
        <v/>
      </c>
      <c r="U281" s="34">
        <f>IFERROR(W281/T281,0)</f>
        <v/>
      </c>
      <c r="V281" s="34">
        <f>IF(U281=0,0,U281-F281)</f>
        <v/>
      </c>
      <c r="W281" s="34">
        <f>SUMIFS('[1]GİP VERİLERİ'!$O:$O,'[1]GİP VERİLERİ'!$B:$B,A281,'[1]GİP VERİLERİ'!$M:$M,"40X000000104782K",'[1]GİP VERİLERİ'!$G:$G,"SELL")</f>
        <v/>
      </c>
      <c r="X281" s="34">
        <f>SUMIFS('[1]GİP VERİLERİ'!$C:$C,'[1]GİP VERİLERİ'!$B:$B,A281,'[1]GİP VERİLERİ'!$M:$M,"40X000000104782K",'[1]GİP VERİLERİ'!$G:$G,"BUY")</f>
        <v/>
      </c>
      <c r="Y281" s="34">
        <f>IFERROR(AA281/X281,0)</f>
        <v/>
      </c>
      <c r="Z281" s="34">
        <f>IF(Y281=0,0,F281-Y281)</f>
        <v/>
      </c>
      <c r="AA281" s="34">
        <f>SUMIFS('[1]GİP VERİLERİ'!$O:$O,'[1]GİP VERİLERİ'!$B:$B,A281,'[1]GİP VERİLERİ'!$M:$M,"40X000000104782K",'[1]GİP VERİLERİ'!$G:$G,"BUY")</f>
        <v/>
      </c>
      <c r="AB281" s="34">
        <f>'[1]GÖP VERİLERİ'!H282</f>
        <v/>
      </c>
      <c r="AC281" s="34">
        <f>'[1]GÖP VERİLERİ'!I282</f>
        <v/>
      </c>
      <c r="AD281" s="34">
        <f>IF(AB281&gt;AC281*1.05,AB281-AC281*1.05,IF(AB281&lt;AC281*0.95,AC281*0.95-AB281,0))</f>
        <v/>
      </c>
      <c r="AE281" s="34">
        <f>MAX(F281,G281,750)*0.05*AD281</f>
        <v/>
      </c>
      <c r="AF281" s="34">
        <f>'[1]GÖP VERİLERİ'!J282</f>
        <v/>
      </c>
      <c r="AG281" s="34">
        <f>IF(AB281&gt;AF281*1.05,AB281-AF281*1.05,IF(AB281&lt;AF281*0.95,AF281*0.95-AB281,0))</f>
        <v/>
      </c>
      <c r="AH281" s="34">
        <f>MAX(I281,J281,750)*0.05*AG281</f>
        <v/>
      </c>
      <c r="AI281">
        <f>'[1]GÖP VERİLERİ'!E282</f>
        <v/>
      </c>
      <c r="AJ281">
        <f>'[1]GÖP VERİLERİ'!F282</f>
        <v/>
      </c>
      <c r="AK281" s="34">
        <f>IF(AI281&gt;AJ281*1.05,AI281-AJ281*1.05,IF(AI281&lt;AJ281*0.95,AJ281*0.95-AI281,0))</f>
        <v/>
      </c>
      <c r="AL281" s="34">
        <f>MAX(F281,G281,750)*0.05*AK281</f>
        <v/>
      </c>
      <c r="AM281" s="39">
        <f>'[1]GÖP VERİLERİ'!G282</f>
        <v/>
      </c>
      <c r="AN281" s="34">
        <f>IF(AI281&gt;AM281*1.05,AI281-AM281*1.05,IF(AI281&lt;AM281*0.95,AM281*0.95-AI281,0))</f>
        <v/>
      </c>
      <c r="AO281" s="34">
        <f>MAX(F281,G281,750)*0.05*AN281</f>
        <v/>
      </c>
      <c r="AP281" s="34">
        <f>'[1]GÖP VERİLERİ'!B282</f>
        <v/>
      </c>
      <c r="AQ281" s="34">
        <f>'[1]GÖP VERİLERİ'!C282</f>
        <v/>
      </c>
      <c r="AR281" s="34">
        <f>IF(AP281&gt;AQ281*1.05,AP281-AQ281*1.05,IF(AP281&lt;AQ281*0.95,AQ281*0.95-AP281,0))</f>
        <v/>
      </c>
      <c r="AS281" s="34">
        <f>MAX(F281:G281,750)*0.05*AR281</f>
        <v/>
      </c>
      <c r="AT281">
        <f>'[1]GÖP VERİLERİ'!D282</f>
        <v/>
      </c>
      <c r="AU281" s="34">
        <f>IF(AP281&gt;AT281*1.05,AP281-AT281*1.05,IF(AP281&lt;AT281*0.95,AT281*0.95-AP281,0))</f>
        <v/>
      </c>
      <c r="AV281" s="34">
        <f>MAX(F281:G281,750)*0.05*AU281</f>
        <v/>
      </c>
      <c r="AW281" s="34">
        <f>AC281+AJ281+AQ281</f>
        <v/>
      </c>
      <c r="AX281" s="34">
        <f>AF281+AM281+AT281</f>
        <v/>
      </c>
      <c r="AY281" s="34">
        <f>AB281+AI281+AP281</f>
        <v/>
      </c>
      <c r="AZ281" s="34" t="n">
        <v>0</v>
      </c>
      <c r="BA281" s="34">
        <f>AD281+AK281+AR281</f>
        <v/>
      </c>
      <c r="BB281" s="34">
        <f>MAX(F281:G281,750)*0.05*BA281</f>
        <v/>
      </c>
      <c r="BC281" s="34">
        <f>AG281+AN281+AU281</f>
        <v/>
      </c>
      <c r="BD281" s="34">
        <f>MAX(F281:G281,750)*0.05*BC281</f>
        <v/>
      </c>
      <c r="BE281" s="34">
        <f>F281*AY281</f>
        <v/>
      </c>
      <c r="BF281" s="34">
        <f>K281-M281</f>
        <v/>
      </c>
      <c r="BG281" s="34">
        <f>P281-S281</f>
        <v/>
      </c>
      <c r="BH281" s="34">
        <f>W281-AA281</f>
        <v/>
      </c>
      <c r="BI281" s="34">
        <f>BF281+BG281+BL281-BN281</f>
        <v/>
      </c>
      <c r="BJ281" s="34">
        <f>ABS(BK281)</f>
        <v/>
      </c>
      <c r="BK281" s="34">
        <f>AY281-(J281-L281+N281-Q281)</f>
        <v/>
      </c>
      <c r="BL281" s="34">
        <f>IF(AND(BK281&gt;0,MIN($F281:$G281)&lt;150,$E281="Enerji Açığı"),-100*BK281*1.03,IF(AND(BK281&gt;0,MIN($F281:$G281)&lt;150,$E281="Enerji Fazlası"),-100*BK281*1.06,IF(AND(BK281&gt;0,MIN($F281:$G281)&gt;=150,$E281="Enerji Açığı"),BK281*MIN($F281:$G281)*0.97,IF(AND(BK281&gt;0,MIN($F281:$G281)&gt;=150,$E281="Enerji Fazlası"),BK281*MIN($F281:$G281)*0.94,IF(AND(BK281&lt;0,MAX($F281:$G281)=4500,$E281="Enerji Açığı"),4500*1.05*1.06*BK281,IF(AND(BK281&lt;0,MAX($F281:$G281)=4500,$E281="Enerji Fazlası"),4500*1.05*1.03*BK281,IF(AND(BK281&lt;0,$E281="Enerji Açığı"),MAX($F281,$G281,150)*BK281*1.06,IF(AND(BK281&lt;0,$E281="Enerji Fazlası"),MAX($F281,$G281,150)*BK281*1.03,IF(AND(BK281&lt;0,$E281="Dengede"),MAX($F281:$G281,150)*1.03*BK281,MIN($F281:$G281)*0.97*BK281)))))))))</f>
        <v/>
      </c>
      <c r="BM281" s="34">
        <f>BE281-BI281-BN281</f>
        <v/>
      </c>
      <c r="BN281" s="34">
        <f>BB281</f>
        <v/>
      </c>
      <c r="BO281" s="34">
        <f>BE281-BI281</f>
        <v/>
      </c>
      <c r="BP281" s="34">
        <f>IF(AY281=0,0,BO281/AY281)</f>
        <v/>
      </c>
      <c r="BQ281" s="34">
        <f>MAX((AY281+MAX((-J281+L281-N281+Q281),0)),(MAX((J281-L281+N281-Q281),0)))</f>
        <v/>
      </c>
      <c r="BR281" s="82">
        <f>IFERROR(ABS(BK281/BQ281),0)</f>
        <v/>
      </c>
      <c r="BS281" s="34">
        <f>IF(BR281&lt;=0.1,0,BK281/BR281*(BR281-0.1))</f>
        <v/>
      </c>
      <c r="BT281" s="34">
        <f>IF((BS281)&lt;0,MAX(F281:G281)*(BS281)*1.03,MIN(F281:G281)*(BS281)*0.97)</f>
        <v/>
      </c>
      <c r="BU281" s="34">
        <f>IF(BR281&gt;0.1,1,0)</f>
        <v/>
      </c>
      <c r="BV281" s="34">
        <f>BF281+BG281+BH281+BY281-CA281</f>
        <v/>
      </c>
      <c r="BW281" s="34">
        <f>ABS(BX281)</f>
        <v/>
      </c>
      <c r="BX281" s="34">
        <f>AY281-(J281-L281+N281-Q281+T281-X281)</f>
        <v/>
      </c>
      <c r="BY281" s="34">
        <f>IF(AND(BX281&gt;0,MIN($F281:$G281)&lt;150,$E281="Enerji Açığı"),-100*BX281*1.03,IF(AND(BX281&gt;0,MIN($F281:$G281)&lt;150,$E281="Enerji Fazlası"),-100*BX281*1.06,IF(AND(BX281&gt;0,MIN($F281:$G281)&gt;=150,$E281="Enerji Açığı"),BX281*MIN($F281:$G281)*0.97,IF(AND(BX281&gt;0,MIN($F281:$G281)&gt;=150,$E281="Enerji Fazlası"),BX281*MIN($F281:$G281)*0.94,IF(AND(BX281&lt;0,MAX($F281:$G281)=4500,$E281="Enerji Açığı"),4500*1.05*1.06*BX281,IF(AND(BX281&lt;0,MAX($F281:$G281)=4500,$E281="Enerji Fazlası"),4500*1.05*1.03*BX281,IF(AND(BX281&lt;0,$E281="Enerji Açığı"),MAX($F281,$G281,150)*BX281*1.06,IF(AND(BX281&lt;0,$E281="Enerji Fazlası"),MAX($F281,$G281,150)*BX281*1.03,IF(AND(BX281&lt;0,$E281="Dengede"),MAX($F281:$G281,150)*1.03*BX281,MIN($F281:$G281)*0.97*BX281)))))))))</f>
        <v/>
      </c>
      <c r="BZ281" s="34">
        <f>BE281-BV281-CA281</f>
        <v/>
      </c>
      <c r="CA281" s="34">
        <f>BD281</f>
        <v/>
      </c>
      <c r="CB281" s="33">
        <f>BE281-BV281</f>
        <v/>
      </c>
      <c r="CC281" s="34">
        <f>IF(AY281=0,0,CB281/AY281)</f>
        <v/>
      </c>
      <c r="CD281" s="34">
        <f>MAX((AY281+MAX((-J281+L281-N281+Q281-T281+X281),0)),(MAX((J281-L281+N281-Q281+T281-X281),0)))</f>
        <v/>
      </c>
      <c r="CE281" s="82">
        <f>IFERROR(ABS(BX281/CD281),0)</f>
        <v/>
      </c>
      <c r="CF281" s="34">
        <f>IF(CE281&lt;=0.1,0,BX281/CE281*(CE281-0.1))</f>
        <v/>
      </c>
      <c r="CG281" s="34">
        <f>IF((CF281)&lt;0,MAX(F281:G281)*(CF281)*1.03,MIN(F281:G281)*(CF281)*0.97)</f>
        <v/>
      </c>
      <c r="CH281" s="34">
        <f>IF(CE281&gt;0.1,1,0)</f>
        <v/>
      </c>
      <c r="CI281" s="34">
        <f>(F281*BX281)-BY281</f>
        <v/>
      </c>
      <c r="CJ281" s="34">
        <f>IF(AY281=0,0,CI281/AY281)</f>
        <v/>
      </c>
    </row>
    <row r="282">
      <c r="A282" s="29">
        <f>[1]FİYATLAR!A257</f>
        <v/>
      </c>
      <c r="B282" s="29">
        <f>[1]FİYATLAR!B257</f>
        <v/>
      </c>
      <c r="C282" s="35">
        <f>INT(A282)</f>
        <v/>
      </c>
      <c r="D282" s="36">
        <f>MONTH(A282)</f>
        <v/>
      </c>
      <c r="E282" s="147">
        <f>[1]FİYATLAR!G257</f>
        <v/>
      </c>
      <c r="F282" s="30">
        <f>[1]FİYATLAR!C257</f>
        <v/>
      </c>
      <c r="G282" s="30">
        <f>[1]FİYATLAR!E257</f>
        <v/>
      </c>
      <c r="H282" s="30">
        <f>[1]FİYATLAR!D257</f>
        <v/>
      </c>
      <c r="I282" s="30">
        <f>[1]FİYATLAR!F257</f>
        <v/>
      </c>
      <c r="J282" s="119" t="n">
        <v>0</v>
      </c>
      <c r="K282" s="34">
        <f>F282*J282</f>
        <v/>
      </c>
      <c r="L282" s="119" t="n"/>
      <c r="M282" s="34">
        <f>L282*F282</f>
        <v/>
      </c>
      <c r="N282" s="119" t="n"/>
      <c r="O282" s="34">
        <f>F282</f>
        <v/>
      </c>
      <c r="P282" s="34">
        <f>N282*O282</f>
        <v/>
      </c>
      <c r="Q282" s="117" t="n">
        <v>0</v>
      </c>
      <c r="R282" s="34">
        <f>F282</f>
        <v/>
      </c>
      <c r="S282" s="34">
        <f>R282*Q282</f>
        <v/>
      </c>
      <c r="T282" s="34">
        <f>SUMIFS('[1]GİP VERİLERİ'!$C:$C,'[1]GİP VERİLERİ'!$B:$B,A282,'[1]GİP VERİLERİ'!$M:$M,"40X000000104782K",'[1]GİP VERİLERİ'!$G:$G,"SELL")</f>
        <v/>
      </c>
      <c r="U282" s="34">
        <f>IFERROR(W282/T282,0)</f>
        <v/>
      </c>
      <c r="V282" s="34">
        <f>IF(U282=0,0,U282-F282)</f>
        <v/>
      </c>
      <c r="W282" s="34">
        <f>SUMIFS('[1]GİP VERİLERİ'!$O:$O,'[1]GİP VERİLERİ'!$B:$B,A282,'[1]GİP VERİLERİ'!$M:$M,"40X000000104782K",'[1]GİP VERİLERİ'!$G:$G,"SELL")</f>
        <v/>
      </c>
      <c r="X282" s="34">
        <f>SUMIFS('[1]GİP VERİLERİ'!$C:$C,'[1]GİP VERİLERİ'!$B:$B,A282,'[1]GİP VERİLERİ'!$M:$M,"40X000000104782K",'[1]GİP VERİLERİ'!$G:$G,"BUY")</f>
        <v/>
      </c>
      <c r="Y282" s="34">
        <f>IFERROR(AA282/X282,0)</f>
        <v/>
      </c>
      <c r="Z282" s="34">
        <f>IF(Y282=0,0,F282-Y282)</f>
        <v/>
      </c>
      <c r="AA282" s="34">
        <f>SUMIFS('[1]GİP VERİLERİ'!$O:$O,'[1]GİP VERİLERİ'!$B:$B,A282,'[1]GİP VERİLERİ'!$M:$M,"40X000000104782K",'[1]GİP VERİLERİ'!$G:$G,"BUY")</f>
        <v/>
      </c>
      <c r="AB282" s="34">
        <f>'[1]GÖP VERİLERİ'!H283</f>
        <v/>
      </c>
      <c r="AC282" s="34">
        <f>'[1]GÖP VERİLERİ'!I283</f>
        <v/>
      </c>
      <c r="AD282" s="34">
        <f>IF(AB282&gt;AC282*1.05,AB282-AC282*1.05,IF(AB282&lt;AC282*0.95,AC282*0.95-AB282,0))</f>
        <v/>
      </c>
      <c r="AE282" s="34">
        <f>MAX(F282,G282,750)*0.05*AD282</f>
        <v/>
      </c>
      <c r="AF282" s="34">
        <f>'[1]GÖP VERİLERİ'!J283</f>
        <v/>
      </c>
      <c r="AG282" s="34">
        <f>IF(AB282&gt;AF282*1.05,AB282-AF282*1.05,IF(AB282&lt;AF282*0.95,AF282*0.95-AB282,0))</f>
        <v/>
      </c>
      <c r="AH282" s="34">
        <f>MAX(I282,J282,750)*0.05*AG282</f>
        <v/>
      </c>
      <c r="AI282">
        <f>'[1]GÖP VERİLERİ'!E283</f>
        <v/>
      </c>
      <c r="AJ282">
        <f>'[1]GÖP VERİLERİ'!F283</f>
        <v/>
      </c>
      <c r="AK282" s="34">
        <f>IF(AI282&gt;AJ282*1.05,AI282-AJ282*1.05,IF(AI282&lt;AJ282*0.95,AJ282*0.95-AI282,0))</f>
        <v/>
      </c>
      <c r="AL282" s="34">
        <f>MAX(F282,G282,750)*0.05*AK282</f>
        <v/>
      </c>
      <c r="AM282" s="39">
        <f>'[1]GÖP VERİLERİ'!G283</f>
        <v/>
      </c>
      <c r="AN282" s="34">
        <f>IF(AI282&gt;AM282*1.05,AI282-AM282*1.05,IF(AI282&lt;AM282*0.95,AM282*0.95-AI282,0))</f>
        <v/>
      </c>
      <c r="AO282" s="34">
        <f>MAX(F282,G282,750)*0.05*AN282</f>
        <v/>
      </c>
      <c r="AP282" s="34">
        <f>'[1]GÖP VERİLERİ'!B283</f>
        <v/>
      </c>
      <c r="AQ282" s="34">
        <f>'[1]GÖP VERİLERİ'!C283</f>
        <v/>
      </c>
      <c r="AR282" s="34">
        <f>IF(AP282&gt;AQ282*1.05,AP282-AQ282*1.05,IF(AP282&lt;AQ282*0.95,AQ282*0.95-AP282,0))</f>
        <v/>
      </c>
      <c r="AS282" s="34">
        <f>MAX(F282:G282,750)*0.05*AR282</f>
        <v/>
      </c>
      <c r="AT282">
        <f>'[1]GÖP VERİLERİ'!D283</f>
        <v/>
      </c>
      <c r="AU282" s="34">
        <f>IF(AP282&gt;AT282*1.05,AP282-AT282*1.05,IF(AP282&lt;AT282*0.95,AT282*0.95-AP282,0))</f>
        <v/>
      </c>
      <c r="AV282" s="34">
        <f>MAX(F282:G282,750)*0.05*AU282</f>
        <v/>
      </c>
      <c r="AW282" s="34">
        <f>AC282+AJ282+AQ282</f>
        <v/>
      </c>
      <c r="AX282" s="34">
        <f>AF282+AM282+AT282</f>
        <v/>
      </c>
      <c r="AY282" s="34">
        <f>AB282+AI282+AP282</f>
        <v/>
      </c>
      <c r="AZ282" s="34" t="n">
        <v>0</v>
      </c>
      <c r="BA282" s="34">
        <f>AD282+AK282+AR282</f>
        <v/>
      </c>
      <c r="BB282" s="34">
        <f>MAX(F282:G282,750)*0.05*BA282</f>
        <v/>
      </c>
      <c r="BC282" s="34">
        <f>AG282+AN282+AU282</f>
        <v/>
      </c>
      <c r="BD282" s="34">
        <f>MAX(F282:G282,750)*0.05*BC282</f>
        <v/>
      </c>
      <c r="BE282" s="34">
        <f>F282*AY282</f>
        <v/>
      </c>
      <c r="BF282" s="34">
        <f>K282-M282</f>
        <v/>
      </c>
      <c r="BG282" s="34">
        <f>P282-S282</f>
        <v/>
      </c>
      <c r="BH282" s="34">
        <f>W282-AA282</f>
        <v/>
      </c>
      <c r="BI282" s="34">
        <f>BF282+BG282+BL282-BN282</f>
        <v/>
      </c>
      <c r="BJ282" s="34">
        <f>ABS(BK282)</f>
        <v/>
      </c>
      <c r="BK282" s="34">
        <f>AY282-(J282-L282+N282-Q282)</f>
        <v/>
      </c>
      <c r="BL282" s="34">
        <f>IF(AND(BK282&gt;0,MIN($F282:$G282)&lt;150,$E282="Enerji Açığı"),-100*BK282*1.03,IF(AND(BK282&gt;0,MIN($F282:$G282)&lt;150,$E282="Enerji Fazlası"),-100*BK282*1.06,IF(AND(BK282&gt;0,MIN($F282:$G282)&gt;=150,$E282="Enerji Açığı"),BK282*MIN($F282:$G282)*0.97,IF(AND(BK282&gt;0,MIN($F282:$G282)&gt;=150,$E282="Enerji Fazlası"),BK282*MIN($F282:$G282)*0.94,IF(AND(BK282&lt;0,MAX($F282:$G282)=4500,$E282="Enerji Açığı"),4500*1.05*1.06*BK282,IF(AND(BK282&lt;0,MAX($F282:$G282)=4500,$E282="Enerji Fazlası"),4500*1.05*1.03*BK282,IF(AND(BK282&lt;0,$E282="Enerji Açığı"),MAX($F282,$G282,150)*BK282*1.06,IF(AND(BK282&lt;0,$E282="Enerji Fazlası"),MAX($F282,$G282,150)*BK282*1.03,IF(AND(BK282&lt;0,$E282="Dengede"),MAX($F282:$G282,150)*1.03*BK282,MIN($F282:$G282)*0.97*BK282)))))))))</f>
        <v/>
      </c>
      <c r="BM282" s="34">
        <f>BE282-BI282-BN282</f>
        <v/>
      </c>
      <c r="BN282" s="34">
        <f>BB282</f>
        <v/>
      </c>
      <c r="BO282" s="34">
        <f>BE282-BI282</f>
        <v/>
      </c>
      <c r="BP282" s="34">
        <f>IF(AY282=0,0,BO282/AY282)</f>
        <v/>
      </c>
      <c r="BQ282" s="34">
        <f>MAX((AY282+MAX((-J282+L282-N282+Q282),0)),(MAX((J282-L282+N282-Q282),0)))</f>
        <v/>
      </c>
      <c r="BR282" s="82">
        <f>IFERROR(ABS(BK282/BQ282),0)</f>
        <v/>
      </c>
      <c r="BS282" s="34">
        <f>IF(BR282&lt;=0.1,0,BK282/BR282*(BR282-0.1))</f>
        <v/>
      </c>
      <c r="BT282" s="34">
        <f>IF((BS282)&lt;0,MAX(F282:G282)*(BS282)*1.03,MIN(F282:G282)*(BS282)*0.97)</f>
        <v/>
      </c>
      <c r="BU282" s="34">
        <f>IF(BR282&gt;0.1,1,0)</f>
        <v/>
      </c>
      <c r="BV282" s="34">
        <f>BF282+BG282+BH282+BY282-CA282</f>
        <v/>
      </c>
      <c r="BW282" s="34">
        <f>ABS(BX282)</f>
        <v/>
      </c>
      <c r="BX282" s="34">
        <f>AY282-(J282-L282+N282-Q282+T282-X282)</f>
        <v/>
      </c>
      <c r="BY282" s="34">
        <f>IF(AND(BX282&gt;0,MIN($F282:$G282)&lt;150,$E282="Enerji Açığı"),-100*BX282*1.03,IF(AND(BX282&gt;0,MIN($F282:$G282)&lt;150,$E282="Enerji Fazlası"),-100*BX282*1.06,IF(AND(BX282&gt;0,MIN($F282:$G282)&gt;=150,$E282="Enerji Açığı"),BX282*MIN($F282:$G282)*0.97,IF(AND(BX282&gt;0,MIN($F282:$G282)&gt;=150,$E282="Enerji Fazlası"),BX282*MIN($F282:$G282)*0.94,IF(AND(BX282&lt;0,MAX($F282:$G282)=4500,$E282="Enerji Açığı"),4500*1.05*1.06*BX282,IF(AND(BX282&lt;0,MAX($F282:$G282)=4500,$E282="Enerji Fazlası"),4500*1.05*1.03*BX282,IF(AND(BX282&lt;0,$E282="Enerji Açığı"),MAX($F282,$G282,150)*BX282*1.06,IF(AND(BX282&lt;0,$E282="Enerji Fazlası"),MAX($F282,$G282,150)*BX282*1.03,IF(AND(BX282&lt;0,$E282="Dengede"),MAX($F282:$G282,150)*1.03*BX282,MIN($F282:$G282)*0.97*BX282)))))))))</f>
        <v/>
      </c>
      <c r="BZ282" s="34">
        <f>BE282-BV282-CA282</f>
        <v/>
      </c>
      <c r="CA282" s="34">
        <f>BD282</f>
        <v/>
      </c>
      <c r="CB282" s="33">
        <f>BE282-BV282</f>
        <v/>
      </c>
      <c r="CC282" s="34">
        <f>IF(AY282=0,0,CB282/AY282)</f>
        <v/>
      </c>
      <c r="CD282" s="34">
        <f>MAX((AY282+MAX((-J282+L282-N282+Q282-T282+X282),0)),(MAX((J282-L282+N282-Q282+T282-X282),0)))</f>
        <v/>
      </c>
      <c r="CE282" s="82">
        <f>IFERROR(ABS(BX282/CD282),0)</f>
        <v/>
      </c>
      <c r="CF282" s="34">
        <f>IF(CE282&lt;=0.1,0,BX282/CE282*(CE282-0.1))</f>
        <v/>
      </c>
      <c r="CG282" s="34">
        <f>IF((CF282)&lt;0,MAX(F282:G282)*(CF282)*1.03,MIN(F282:G282)*(CF282)*0.97)</f>
        <v/>
      </c>
      <c r="CH282" s="34">
        <f>IF(CE282&gt;0.1,1,0)</f>
        <v/>
      </c>
      <c r="CI282" s="34">
        <f>(F282*BX282)-BY282</f>
        <v/>
      </c>
      <c r="CJ282" s="34">
        <f>IF(AY282=0,0,CI282/AY282)</f>
        <v/>
      </c>
    </row>
    <row r="283">
      <c r="A283" s="29">
        <f>[1]FİYATLAR!A258</f>
        <v/>
      </c>
      <c r="B283" s="29">
        <f>[1]FİYATLAR!B258</f>
        <v/>
      </c>
      <c r="C283" s="35">
        <f>INT(A283)</f>
        <v/>
      </c>
      <c r="D283" s="36">
        <f>MONTH(A283)</f>
        <v/>
      </c>
      <c r="E283" s="147">
        <f>[1]FİYATLAR!G258</f>
        <v/>
      </c>
      <c r="F283" s="30">
        <f>[1]FİYATLAR!C258</f>
        <v/>
      </c>
      <c r="G283" s="30">
        <f>[1]FİYATLAR!E258</f>
        <v/>
      </c>
      <c r="H283" s="30">
        <f>[1]FİYATLAR!D258</f>
        <v/>
      </c>
      <c r="I283" s="30">
        <f>[1]FİYATLAR!F258</f>
        <v/>
      </c>
      <c r="J283" s="119" t="n">
        <v>0</v>
      </c>
      <c r="K283" s="34">
        <f>F283*J283</f>
        <v/>
      </c>
      <c r="L283" s="119" t="n"/>
      <c r="M283" s="34">
        <f>L283*F283</f>
        <v/>
      </c>
      <c r="N283" s="119" t="n"/>
      <c r="O283" s="34">
        <f>F283</f>
        <v/>
      </c>
      <c r="P283" s="34">
        <f>N283*O283</f>
        <v/>
      </c>
      <c r="Q283" s="117" t="n">
        <v>0</v>
      </c>
      <c r="R283" s="34">
        <f>F283</f>
        <v/>
      </c>
      <c r="S283" s="34">
        <f>R283*Q283</f>
        <v/>
      </c>
      <c r="T283" s="34">
        <f>SUMIFS('[1]GİP VERİLERİ'!$C:$C,'[1]GİP VERİLERİ'!$B:$B,A283,'[1]GİP VERİLERİ'!$M:$M,"40X000000104782K",'[1]GİP VERİLERİ'!$G:$G,"SELL")</f>
        <v/>
      </c>
      <c r="U283" s="34">
        <f>IFERROR(W283/T283,0)</f>
        <v/>
      </c>
      <c r="V283" s="34">
        <f>IF(U283=0,0,U283-F283)</f>
        <v/>
      </c>
      <c r="W283" s="34">
        <f>SUMIFS('[1]GİP VERİLERİ'!$O:$O,'[1]GİP VERİLERİ'!$B:$B,A283,'[1]GİP VERİLERİ'!$M:$M,"40X000000104782K",'[1]GİP VERİLERİ'!$G:$G,"SELL")</f>
        <v/>
      </c>
      <c r="X283" s="34">
        <f>SUMIFS('[1]GİP VERİLERİ'!$C:$C,'[1]GİP VERİLERİ'!$B:$B,A283,'[1]GİP VERİLERİ'!$M:$M,"40X000000104782K",'[1]GİP VERİLERİ'!$G:$G,"BUY")</f>
        <v/>
      </c>
      <c r="Y283" s="34">
        <f>IFERROR(AA283/X283,0)</f>
        <v/>
      </c>
      <c r="Z283" s="34">
        <f>IF(Y283=0,0,F283-Y283)</f>
        <v/>
      </c>
      <c r="AA283" s="34">
        <f>SUMIFS('[1]GİP VERİLERİ'!$O:$O,'[1]GİP VERİLERİ'!$B:$B,A283,'[1]GİP VERİLERİ'!$M:$M,"40X000000104782K",'[1]GİP VERİLERİ'!$G:$G,"BUY")</f>
        <v/>
      </c>
      <c r="AB283" s="34">
        <f>'[1]GÖP VERİLERİ'!H284</f>
        <v/>
      </c>
      <c r="AC283" s="34">
        <f>'[1]GÖP VERİLERİ'!I284</f>
        <v/>
      </c>
      <c r="AD283" s="34">
        <f>IF(AB283&gt;AC283*1.05,AB283-AC283*1.05,IF(AB283&lt;AC283*0.95,AC283*0.95-AB283,0))</f>
        <v/>
      </c>
      <c r="AE283" s="34">
        <f>MAX(F283,G283,750)*0.05*AD283</f>
        <v/>
      </c>
      <c r="AF283" s="34">
        <f>'[1]GÖP VERİLERİ'!J284</f>
        <v/>
      </c>
      <c r="AG283" s="34">
        <f>IF(AB283&gt;AF283*1.05,AB283-AF283*1.05,IF(AB283&lt;AF283*0.95,AF283*0.95-AB283,0))</f>
        <v/>
      </c>
      <c r="AH283" s="34">
        <f>MAX(I283,J283,750)*0.05*AG283</f>
        <v/>
      </c>
      <c r="AI283">
        <f>'[1]GÖP VERİLERİ'!E284</f>
        <v/>
      </c>
      <c r="AJ283">
        <f>'[1]GÖP VERİLERİ'!F284</f>
        <v/>
      </c>
      <c r="AK283" s="34">
        <f>IF(AI283&gt;AJ283*1.05,AI283-AJ283*1.05,IF(AI283&lt;AJ283*0.95,AJ283*0.95-AI283,0))</f>
        <v/>
      </c>
      <c r="AL283" s="34">
        <f>MAX(F283,G283,750)*0.05*AK283</f>
        <v/>
      </c>
      <c r="AM283" s="39">
        <f>'[1]GÖP VERİLERİ'!G284</f>
        <v/>
      </c>
      <c r="AN283" s="34">
        <f>IF(AI283&gt;AM283*1.05,AI283-AM283*1.05,IF(AI283&lt;AM283*0.95,AM283*0.95-AI283,0))</f>
        <v/>
      </c>
      <c r="AO283" s="34">
        <f>MAX(F283,G283,750)*0.05*AN283</f>
        <v/>
      </c>
      <c r="AP283" s="34">
        <f>'[1]GÖP VERİLERİ'!B284</f>
        <v/>
      </c>
      <c r="AQ283" s="34">
        <f>'[1]GÖP VERİLERİ'!C284</f>
        <v/>
      </c>
      <c r="AR283" s="34">
        <f>IF(AP283&gt;AQ283*1.05,AP283-AQ283*1.05,IF(AP283&lt;AQ283*0.95,AQ283*0.95-AP283,0))</f>
        <v/>
      </c>
      <c r="AS283" s="34">
        <f>MAX(F283:G283,750)*0.05*AR283</f>
        <v/>
      </c>
      <c r="AT283">
        <f>'[1]GÖP VERİLERİ'!D284</f>
        <v/>
      </c>
      <c r="AU283" s="34">
        <f>IF(AP283&gt;AT283*1.05,AP283-AT283*1.05,IF(AP283&lt;AT283*0.95,AT283*0.95-AP283,0))</f>
        <v/>
      </c>
      <c r="AV283" s="34">
        <f>MAX(F283:G283,750)*0.05*AU283</f>
        <v/>
      </c>
      <c r="AW283" s="34">
        <f>AC283+AJ283+AQ283</f>
        <v/>
      </c>
      <c r="AX283" s="34">
        <f>AF283+AM283+AT283</f>
        <v/>
      </c>
      <c r="AY283" s="34">
        <f>AB283+AI283+AP283</f>
        <v/>
      </c>
      <c r="AZ283" s="34" t="n">
        <v>0</v>
      </c>
      <c r="BA283" s="34">
        <f>AD283+AK283+AR283</f>
        <v/>
      </c>
      <c r="BB283" s="34">
        <f>MAX(F283:G283,750)*0.05*BA283</f>
        <v/>
      </c>
      <c r="BC283" s="34">
        <f>AG283+AN283+AU283</f>
        <v/>
      </c>
      <c r="BD283" s="34">
        <f>MAX(F283:G283,750)*0.05*BC283</f>
        <v/>
      </c>
      <c r="BE283" s="34">
        <f>F283*AY283</f>
        <v/>
      </c>
      <c r="BF283" s="34">
        <f>K283-M283</f>
        <v/>
      </c>
      <c r="BG283" s="34">
        <f>P283-S283</f>
        <v/>
      </c>
      <c r="BH283" s="34">
        <f>W283-AA283</f>
        <v/>
      </c>
      <c r="BI283" s="34">
        <f>BF283+BG283+BL283-BN283</f>
        <v/>
      </c>
      <c r="BJ283" s="34">
        <f>ABS(BK283)</f>
        <v/>
      </c>
      <c r="BK283" s="34">
        <f>AY283-(J283-L283+N283-Q283)</f>
        <v/>
      </c>
      <c r="BL283" s="34">
        <f>IF(AND(BK283&gt;0,MIN($F283:$G283)&lt;150,$E283="Enerji Açığı"),-100*BK283*1.03,IF(AND(BK283&gt;0,MIN($F283:$G283)&lt;150,$E283="Enerji Fazlası"),-100*BK283*1.06,IF(AND(BK283&gt;0,MIN($F283:$G283)&gt;=150,$E283="Enerji Açığı"),BK283*MIN($F283:$G283)*0.97,IF(AND(BK283&gt;0,MIN($F283:$G283)&gt;=150,$E283="Enerji Fazlası"),BK283*MIN($F283:$G283)*0.94,IF(AND(BK283&lt;0,MAX($F283:$G283)=4500,$E283="Enerji Açığı"),4500*1.05*1.06*BK283,IF(AND(BK283&lt;0,MAX($F283:$G283)=4500,$E283="Enerji Fazlası"),4500*1.05*1.03*BK283,IF(AND(BK283&lt;0,$E283="Enerji Açığı"),MAX($F283,$G283,150)*BK283*1.06,IF(AND(BK283&lt;0,$E283="Enerji Fazlası"),MAX($F283,$G283,150)*BK283*1.03,IF(AND(BK283&lt;0,$E283="Dengede"),MAX($F283:$G283,150)*1.03*BK283,MIN($F283:$G283)*0.97*BK283)))))))))</f>
        <v/>
      </c>
      <c r="BM283" s="34">
        <f>BE283-BI283-BN283</f>
        <v/>
      </c>
      <c r="BN283" s="34">
        <f>BB283</f>
        <v/>
      </c>
      <c r="BO283" s="34">
        <f>BE283-BI283</f>
        <v/>
      </c>
      <c r="BP283" s="34">
        <f>IF(AY283=0,0,BO283/AY283)</f>
        <v/>
      </c>
      <c r="BQ283" s="34">
        <f>MAX((AY283+MAX((-J283+L283-N283+Q283),0)),(MAX((J283-L283+N283-Q283),0)))</f>
        <v/>
      </c>
      <c r="BR283" s="82">
        <f>IFERROR(ABS(BK283/BQ283),0)</f>
        <v/>
      </c>
      <c r="BS283" s="34">
        <f>IF(BR283&lt;=0.1,0,BK283/BR283*(BR283-0.1))</f>
        <v/>
      </c>
      <c r="BT283" s="34">
        <f>IF((BS283)&lt;0,MAX(F283:G283)*(BS283)*1.03,MIN(F283:G283)*(BS283)*0.97)</f>
        <v/>
      </c>
      <c r="BU283" s="34">
        <f>IF(BR283&gt;0.1,1,0)</f>
        <v/>
      </c>
      <c r="BV283" s="34">
        <f>BF283+BG283+BH283+BY283-CA283</f>
        <v/>
      </c>
      <c r="BW283" s="34">
        <f>ABS(BX283)</f>
        <v/>
      </c>
      <c r="BX283" s="34">
        <f>AY283-(J283-L283+N283-Q283+T283-X283)</f>
        <v/>
      </c>
      <c r="BY283" s="34">
        <f>IF(AND(BX283&gt;0,MIN($F283:$G283)&lt;150,$E283="Enerji Açığı"),-100*BX283*1.03,IF(AND(BX283&gt;0,MIN($F283:$G283)&lt;150,$E283="Enerji Fazlası"),-100*BX283*1.06,IF(AND(BX283&gt;0,MIN($F283:$G283)&gt;=150,$E283="Enerji Açığı"),BX283*MIN($F283:$G283)*0.97,IF(AND(BX283&gt;0,MIN($F283:$G283)&gt;=150,$E283="Enerji Fazlası"),BX283*MIN($F283:$G283)*0.94,IF(AND(BX283&lt;0,MAX($F283:$G283)=4500,$E283="Enerji Açığı"),4500*1.05*1.06*BX283,IF(AND(BX283&lt;0,MAX($F283:$G283)=4500,$E283="Enerji Fazlası"),4500*1.05*1.03*BX283,IF(AND(BX283&lt;0,$E283="Enerji Açığı"),MAX($F283,$G283,150)*BX283*1.06,IF(AND(BX283&lt;0,$E283="Enerji Fazlası"),MAX($F283,$G283,150)*BX283*1.03,IF(AND(BX283&lt;0,$E283="Dengede"),MAX($F283:$G283,150)*1.03*BX283,MIN($F283:$G283)*0.97*BX283)))))))))</f>
        <v/>
      </c>
      <c r="BZ283" s="34">
        <f>BE283-BV283-CA283</f>
        <v/>
      </c>
      <c r="CA283" s="34">
        <f>BD283</f>
        <v/>
      </c>
      <c r="CB283" s="33">
        <f>BE283-BV283</f>
        <v/>
      </c>
      <c r="CC283" s="34">
        <f>IF(AY283=0,0,CB283/AY283)</f>
        <v/>
      </c>
      <c r="CD283" s="34">
        <f>MAX((AY283+MAX((-J283+L283-N283+Q283-T283+X283),0)),(MAX((J283-L283+N283-Q283+T283-X283),0)))</f>
        <v/>
      </c>
      <c r="CE283" s="82">
        <f>IFERROR(ABS(BX283/CD283),0)</f>
        <v/>
      </c>
      <c r="CF283" s="34">
        <f>IF(CE283&lt;=0.1,0,BX283/CE283*(CE283-0.1))</f>
        <v/>
      </c>
      <c r="CG283" s="34">
        <f>IF((CF283)&lt;0,MAX(F283:G283)*(CF283)*1.03,MIN(F283:G283)*(CF283)*0.97)</f>
        <v/>
      </c>
      <c r="CH283" s="34">
        <f>IF(CE283&gt;0.1,1,0)</f>
        <v/>
      </c>
      <c r="CI283" s="34">
        <f>(F283*BX283)-BY283</f>
        <v/>
      </c>
      <c r="CJ283" s="34">
        <f>IF(AY283=0,0,CI283/AY283)</f>
        <v/>
      </c>
    </row>
    <row r="284">
      <c r="A284" s="29">
        <f>[1]FİYATLAR!A259</f>
        <v/>
      </c>
      <c r="B284" s="29">
        <f>[1]FİYATLAR!B259</f>
        <v/>
      </c>
      <c r="C284" s="35">
        <f>INT(A284)</f>
        <v/>
      </c>
      <c r="D284" s="36">
        <f>MONTH(A284)</f>
        <v/>
      </c>
      <c r="E284" s="147">
        <f>[1]FİYATLAR!G259</f>
        <v/>
      </c>
      <c r="F284" s="30">
        <f>[1]FİYATLAR!C259</f>
        <v/>
      </c>
      <c r="G284" s="30">
        <f>[1]FİYATLAR!E259</f>
        <v/>
      </c>
      <c r="H284" s="30">
        <f>[1]FİYATLAR!D259</f>
        <v/>
      </c>
      <c r="I284" s="30">
        <f>[1]FİYATLAR!F259</f>
        <v/>
      </c>
      <c r="J284" s="119" t="n">
        <v>0</v>
      </c>
      <c r="K284" s="34">
        <f>F284*J284</f>
        <v/>
      </c>
      <c r="L284" s="119" t="n"/>
      <c r="M284" s="34">
        <f>L284*F284</f>
        <v/>
      </c>
      <c r="N284" s="119" t="n"/>
      <c r="O284" s="34">
        <f>F284</f>
        <v/>
      </c>
      <c r="P284" s="34">
        <f>N284*O284</f>
        <v/>
      </c>
      <c r="Q284" s="117" t="n">
        <v>0</v>
      </c>
      <c r="R284" s="34">
        <f>F284</f>
        <v/>
      </c>
      <c r="S284" s="34">
        <f>R284*Q284</f>
        <v/>
      </c>
      <c r="T284" s="34">
        <f>SUMIFS('[1]GİP VERİLERİ'!$C:$C,'[1]GİP VERİLERİ'!$B:$B,A284,'[1]GİP VERİLERİ'!$M:$M,"40X000000104782K",'[1]GİP VERİLERİ'!$G:$G,"SELL")</f>
        <v/>
      </c>
      <c r="U284" s="34">
        <f>IFERROR(W284/T284,0)</f>
        <v/>
      </c>
      <c r="V284" s="34">
        <f>IF(U284=0,0,U284-F284)</f>
        <v/>
      </c>
      <c r="W284" s="34">
        <f>SUMIFS('[1]GİP VERİLERİ'!$O:$O,'[1]GİP VERİLERİ'!$B:$B,A284,'[1]GİP VERİLERİ'!$M:$M,"40X000000104782K",'[1]GİP VERİLERİ'!$G:$G,"SELL")</f>
        <v/>
      </c>
      <c r="X284" s="34">
        <f>SUMIFS('[1]GİP VERİLERİ'!$C:$C,'[1]GİP VERİLERİ'!$B:$B,A284,'[1]GİP VERİLERİ'!$M:$M,"40X000000104782K",'[1]GİP VERİLERİ'!$G:$G,"BUY")</f>
        <v/>
      </c>
      <c r="Y284" s="34">
        <f>IFERROR(AA284/X284,0)</f>
        <v/>
      </c>
      <c r="Z284" s="34">
        <f>IF(Y284=0,0,F284-Y284)</f>
        <v/>
      </c>
      <c r="AA284" s="34">
        <f>SUMIFS('[1]GİP VERİLERİ'!$O:$O,'[1]GİP VERİLERİ'!$B:$B,A284,'[1]GİP VERİLERİ'!$M:$M,"40X000000104782K",'[1]GİP VERİLERİ'!$G:$G,"BUY")</f>
        <v/>
      </c>
      <c r="AB284" s="34">
        <f>'[1]GÖP VERİLERİ'!H285</f>
        <v/>
      </c>
      <c r="AC284" s="34">
        <f>'[1]GÖP VERİLERİ'!I285</f>
        <v/>
      </c>
      <c r="AD284" s="34">
        <f>IF(AB284&gt;AC284*1.05,AB284-AC284*1.05,IF(AB284&lt;AC284*0.95,AC284*0.95-AB284,0))</f>
        <v/>
      </c>
      <c r="AE284" s="34">
        <f>MAX(F284,G284,750)*0.05*AD284</f>
        <v/>
      </c>
      <c r="AF284" s="34">
        <f>'[1]GÖP VERİLERİ'!J285</f>
        <v/>
      </c>
      <c r="AG284" s="34">
        <f>IF(AB284&gt;AF284*1.05,AB284-AF284*1.05,IF(AB284&lt;AF284*0.95,AF284*0.95-AB284,0))</f>
        <v/>
      </c>
      <c r="AH284" s="34">
        <f>MAX(I284,J284,750)*0.05*AG284</f>
        <v/>
      </c>
      <c r="AI284">
        <f>'[1]GÖP VERİLERİ'!E285</f>
        <v/>
      </c>
      <c r="AJ284">
        <f>'[1]GÖP VERİLERİ'!F285</f>
        <v/>
      </c>
      <c r="AK284" s="34">
        <f>IF(AI284&gt;AJ284*1.05,AI284-AJ284*1.05,IF(AI284&lt;AJ284*0.95,AJ284*0.95-AI284,0))</f>
        <v/>
      </c>
      <c r="AL284" s="34">
        <f>MAX(F284,G284,750)*0.05*AK284</f>
        <v/>
      </c>
      <c r="AM284" s="39">
        <f>'[1]GÖP VERİLERİ'!G285</f>
        <v/>
      </c>
      <c r="AN284" s="34">
        <f>IF(AI284&gt;AM284*1.05,AI284-AM284*1.05,IF(AI284&lt;AM284*0.95,AM284*0.95-AI284,0))</f>
        <v/>
      </c>
      <c r="AO284" s="34">
        <f>MAX(F284,G284,750)*0.05*AN284</f>
        <v/>
      </c>
      <c r="AP284" s="34">
        <f>'[1]GÖP VERİLERİ'!B285</f>
        <v/>
      </c>
      <c r="AQ284" s="34">
        <f>'[1]GÖP VERİLERİ'!C285</f>
        <v/>
      </c>
      <c r="AR284" s="34">
        <f>IF(AP284&gt;AQ284*1.05,AP284-AQ284*1.05,IF(AP284&lt;AQ284*0.95,AQ284*0.95-AP284,0))</f>
        <v/>
      </c>
      <c r="AS284" s="34">
        <f>MAX(F284:G284,750)*0.05*AR284</f>
        <v/>
      </c>
      <c r="AT284">
        <f>'[1]GÖP VERİLERİ'!D285</f>
        <v/>
      </c>
      <c r="AU284" s="34">
        <f>IF(AP284&gt;AT284*1.05,AP284-AT284*1.05,IF(AP284&lt;AT284*0.95,AT284*0.95-AP284,0))</f>
        <v/>
      </c>
      <c r="AV284" s="34">
        <f>MAX(F284:G284,750)*0.05*AU284</f>
        <v/>
      </c>
      <c r="AW284" s="34">
        <f>AC284+AJ284+AQ284</f>
        <v/>
      </c>
      <c r="AX284" s="34">
        <f>AF284+AM284+AT284</f>
        <v/>
      </c>
      <c r="AY284" s="34">
        <f>AB284+AI284+AP284</f>
        <v/>
      </c>
      <c r="AZ284" s="34" t="n">
        <v>0</v>
      </c>
      <c r="BA284" s="34">
        <f>AD284+AK284+AR284</f>
        <v/>
      </c>
      <c r="BB284" s="34">
        <f>MAX(F284:G284,750)*0.05*BA284</f>
        <v/>
      </c>
      <c r="BC284" s="34">
        <f>AG284+AN284+AU284</f>
        <v/>
      </c>
      <c r="BD284" s="34">
        <f>MAX(F284:G284,750)*0.05*BC284</f>
        <v/>
      </c>
      <c r="BE284" s="34">
        <f>F284*AY284</f>
        <v/>
      </c>
      <c r="BF284" s="34">
        <f>K284-M284</f>
        <v/>
      </c>
      <c r="BG284" s="34">
        <f>P284-S284</f>
        <v/>
      </c>
      <c r="BH284" s="34">
        <f>W284-AA284</f>
        <v/>
      </c>
      <c r="BI284" s="34">
        <f>BF284+BG284+BL284-BN284</f>
        <v/>
      </c>
      <c r="BJ284" s="34">
        <f>ABS(BK284)</f>
        <v/>
      </c>
      <c r="BK284" s="34">
        <f>AY284-(J284-L284+N284-Q284)</f>
        <v/>
      </c>
      <c r="BL284" s="34">
        <f>IF(AND(BK284&gt;0,MIN($F284:$G284)&lt;150,$E284="Enerji Açığı"),-100*BK284*1.03,IF(AND(BK284&gt;0,MIN($F284:$G284)&lt;150,$E284="Enerji Fazlası"),-100*BK284*1.06,IF(AND(BK284&gt;0,MIN($F284:$G284)&gt;=150,$E284="Enerji Açığı"),BK284*MIN($F284:$G284)*0.97,IF(AND(BK284&gt;0,MIN($F284:$G284)&gt;=150,$E284="Enerji Fazlası"),BK284*MIN($F284:$G284)*0.94,IF(AND(BK284&lt;0,MAX($F284:$G284)=4500,$E284="Enerji Açığı"),4500*1.05*1.06*BK284,IF(AND(BK284&lt;0,MAX($F284:$G284)=4500,$E284="Enerji Fazlası"),4500*1.05*1.03*BK284,IF(AND(BK284&lt;0,$E284="Enerji Açığı"),MAX($F284,$G284,150)*BK284*1.06,IF(AND(BK284&lt;0,$E284="Enerji Fazlası"),MAX($F284,$G284,150)*BK284*1.03,IF(AND(BK284&lt;0,$E284="Dengede"),MAX($F284:$G284,150)*1.03*BK284,MIN($F284:$G284)*0.97*BK284)))))))))</f>
        <v/>
      </c>
      <c r="BM284" s="34">
        <f>BE284-BI284-BN284</f>
        <v/>
      </c>
      <c r="BN284" s="34">
        <f>BB284</f>
        <v/>
      </c>
      <c r="BO284" s="34">
        <f>BE284-BI284</f>
        <v/>
      </c>
      <c r="BP284" s="34">
        <f>IF(AY284=0,0,BO284/AY284)</f>
        <v/>
      </c>
      <c r="BQ284" s="34">
        <f>MAX((AY284+MAX((-J284+L284-N284+Q284),0)),(MAX((J284-L284+N284-Q284),0)))</f>
        <v/>
      </c>
      <c r="BR284" s="82">
        <f>IFERROR(ABS(BK284/BQ284),0)</f>
        <v/>
      </c>
      <c r="BS284" s="34">
        <f>IF(BR284&lt;=0.1,0,BK284/BR284*(BR284-0.1))</f>
        <v/>
      </c>
      <c r="BT284" s="34">
        <f>IF((BS284)&lt;0,MAX(F284:G284)*(BS284)*1.03,MIN(F284:G284)*(BS284)*0.97)</f>
        <v/>
      </c>
      <c r="BU284" s="34">
        <f>IF(BR284&gt;0.1,1,0)</f>
        <v/>
      </c>
      <c r="BV284" s="34">
        <f>BF284+BG284+BH284+BY284-CA284</f>
        <v/>
      </c>
      <c r="BW284" s="34">
        <f>ABS(BX284)</f>
        <v/>
      </c>
      <c r="BX284" s="34">
        <f>AY284-(J284-L284+N284-Q284+T284-X284)</f>
        <v/>
      </c>
      <c r="BY284" s="34">
        <f>IF(AND(BX284&gt;0,MIN($F284:$G284)&lt;150,$E284="Enerji Açığı"),-100*BX284*1.03,IF(AND(BX284&gt;0,MIN($F284:$G284)&lt;150,$E284="Enerji Fazlası"),-100*BX284*1.06,IF(AND(BX284&gt;0,MIN($F284:$G284)&gt;=150,$E284="Enerji Açığı"),BX284*MIN($F284:$G284)*0.97,IF(AND(BX284&gt;0,MIN($F284:$G284)&gt;=150,$E284="Enerji Fazlası"),BX284*MIN($F284:$G284)*0.94,IF(AND(BX284&lt;0,MAX($F284:$G284)=4500,$E284="Enerji Açığı"),4500*1.05*1.06*BX284,IF(AND(BX284&lt;0,MAX($F284:$G284)=4500,$E284="Enerji Fazlası"),4500*1.05*1.03*BX284,IF(AND(BX284&lt;0,$E284="Enerji Açığı"),MAX($F284,$G284,150)*BX284*1.06,IF(AND(BX284&lt;0,$E284="Enerji Fazlası"),MAX($F284,$G284,150)*BX284*1.03,IF(AND(BX284&lt;0,$E284="Dengede"),MAX($F284:$G284,150)*1.03*BX284,MIN($F284:$G284)*0.97*BX284)))))))))</f>
        <v/>
      </c>
      <c r="BZ284" s="34">
        <f>BE284-BV284-CA284</f>
        <v/>
      </c>
      <c r="CA284" s="34">
        <f>BD284</f>
        <v/>
      </c>
      <c r="CB284" s="33">
        <f>BE284-BV284</f>
        <v/>
      </c>
      <c r="CC284" s="34">
        <f>IF(AY284=0,0,CB284/AY284)</f>
        <v/>
      </c>
      <c r="CD284" s="34">
        <f>MAX((AY284+MAX((-J284+L284-N284+Q284-T284+X284),0)),(MAX((J284-L284+N284-Q284+T284-X284),0)))</f>
        <v/>
      </c>
      <c r="CE284" s="82">
        <f>IFERROR(ABS(BX284/CD284),0)</f>
        <v/>
      </c>
      <c r="CF284" s="34">
        <f>IF(CE284&lt;=0.1,0,BX284/CE284*(CE284-0.1))</f>
        <v/>
      </c>
      <c r="CG284" s="34">
        <f>IF((CF284)&lt;0,MAX(F284:G284)*(CF284)*1.03,MIN(F284:G284)*(CF284)*0.97)</f>
        <v/>
      </c>
      <c r="CH284" s="34">
        <f>IF(CE284&gt;0.1,1,0)</f>
        <v/>
      </c>
      <c r="CI284" s="34">
        <f>(F284*BX284)-BY284</f>
        <v/>
      </c>
      <c r="CJ284" s="34">
        <f>IF(AY284=0,0,CI284/AY284)</f>
        <v/>
      </c>
    </row>
    <row r="285">
      <c r="A285" s="29">
        <f>[1]FİYATLAR!A260</f>
        <v/>
      </c>
      <c r="B285" s="29">
        <f>[1]FİYATLAR!B260</f>
        <v/>
      </c>
      <c r="C285" s="35">
        <f>INT(A285)</f>
        <v/>
      </c>
      <c r="D285" s="36">
        <f>MONTH(A285)</f>
        <v/>
      </c>
      <c r="E285" s="147">
        <f>[1]FİYATLAR!G260</f>
        <v/>
      </c>
      <c r="F285" s="30">
        <f>[1]FİYATLAR!C260</f>
        <v/>
      </c>
      <c r="G285" s="30">
        <f>[1]FİYATLAR!E260</f>
        <v/>
      </c>
      <c r="H285" s="30">
        <f>[1]FİYATLAR!D260</f>
        <v/>
      </c>
      <c r="I285" s="30">
        <f>[1]FİYATLAR!F260</f>
        <v/>
      </c>
      <c r="J285" s="119" t="n">
        <v>0</v>
      </c>
      <c r="K285" s="34">
        <f>F285*J285</f>
        <v/>
      </c>
      <c r="L285" s="119" t="n"/>
      <c r="M285" s="34">
        <f>L285*F285</f>
        <v/>
      </c>
      <c r="N285" s="119" t="n"/>
      <c r="O285" s="34">
        <f>F285</f>
        <v/>
      </c>
      <c r="P285" s="34">
        <f>N285*O285</f>
        <v/>
      </c>
      <c r="Q285" s="117" t="n">
        <v>0</v>
      </c>
      <c r="R285" s="34">
        <f>F285</f>
        <v/>
      </c>
      <c r="S285" s="34">
        <f>R285*Q285</f>
        <v/>
      </c>
      <c r="T285" s="34">
        <f>SUMIFS('[1]GİP VERİLERİ'!$C:$C,'[1]GİP VERİLERİ'!$B:$B,A285,'[1]GİP VERİLERİ'!$M:$M,"40X000000104782K",'[1]GİP VERİLERİ'!$G:$G,"SELL")</f>
        <v/>
      </c>
      <c r="U285" s="34">
        <f>IFERROR(W285/T285,0)</f>
        <v/>
      </c>
      <c r="V285" s="34">
        <f>IF(U285=0,0,U285-F285)</f>
        <v/>
      </c>
      <c r="W285" s="34">
        <f>SUMIFS('[1]GİP VERİLERİ'!$O:$O,'[1]GİP VERİLERİ'!$B:$B,A285,'[1]GİP VERİLERİ'!$M:$M,"40X000000104782K",'[1]GİP VERİLERİ'!$G:$G,"SELL")</f>
        <v/>
      </c>
      <c r="X285" s="34">
        <f>SUMIFS('[1]GİP VERİLERİ'!$C:$C,'[1]GİP VERİLERİ'!$B:$B,A285,'[1]GİP VERİLERİ'!$M:$M,"40X000000104782K",'[1]GİP VERİLERİ'!$G:$G,"BUY")</f>
        <v/>
      </c>
      <c r="Y285" s="34">
        <f>IFERROR(AA285/X285,0)</f>
        <v/>
      </c>
      <c r="Z285" s="34">
        <f>IF(Y285=0,0,F285-Y285)</f>
        <v/>
      </c>
      <c r="AA285" s="34">
        <f>SUMIFS('[1]GİP VERİLERİ'!$O:$O,'[1]GİP VERİLERİ'!$B:$B,A285,'[1]GİP VERİLERİ'!$M:$M,"40X000000104782K",'[1]GİP VERİLERİ'!$G:$G,"BUY")</f>
        <v/>
      </c>
      <c r="AB285" s="34">
        <f>'[1]GÖP VERİLERİ'!H286</f>
        <v/>
      </c>
      <c r="AC285" s="34">
        <f>'[1]GÖP VERİLERİ'!I286</f>
        <v/>
      </c>
      <c r="AD285" s="34">
        <f>IF(AB285&gt;AC285*1.05,AB285-AC285*1.05,IF(AB285&lt;AC285*0.95,AC285*0.95-AB285,0))</f>
        <v/>
      </c>
      <c r="AE285" s="34">
        <f>MAX(F285,G285,750)*0.05*AD285</f>
        <v/>
      </c>
      <c r="AF285" s="34">
        <f>'[1]GÖP VERİLERİ'!J286</f>
        <v/>
      </c>
      <c r="AG285" s="34">
        <f>IF(AB285&gt;AF285*1.05,AB285-AF285*1.05,IF(AB285&lt;AF285*0.95,AF285*0.95-AB285,0))</f>
        <v/>
      </c>
      <c r="AH285" s="34">
        <f>MAX(I285,J285,750)*0.05*AG285</f>
        <v/>
      </c>
      <c r="AI285">
        <f>'[1]GÖP VERİLERİ'!E286</f>
        <v/>
      </c>
      <c r="AJ285">
        <f>'[1]GÖP VERİLERİ'!F286</f>
        <v/>
      </c>
      <c r="AK285" s="34">
        <f>IF(AI285&gt;AJ285*1.05,AI285-AJ285*1.05,IF(AI285&lt;AJ285*0.95,AJ285*0.95-AI285,0))</f>
        <v/>
      </c>
      <c r="AL285" s="34">
        <f>MAX(F285,G285,750)*0.05*AK285</f>
        <v/>
      </c>
      <c r="AM285" s="39">
        <f>'[1]GÖP VERİLERİ'!G286</f>
        <v/>
      </c>
      <c r="AN285" s="34">
        <f>IF(AI285&gt;AM285*1.05,AI285-AM285*1.05,IF(AI285&lt;AM285*0.95,AM285*0.95-AI285,0))</f>
        <v/>
      </c>
      <c r="AO285" s="34">
        <f>MAX(F285,G285,750)*0.05*AN285</f>
        <v/>
      </c>
      <c r="AP285" s="34">
        <f>'[1]GÖP VERİLERİ'!B286</f>
        <v/>
      </c>
      <c r="AQ285" s="34">
        <f>'[1]GÖP VERİLERİ'!C286</f>
        <v/>
      </c>
      <c r="AR285" s="34">
        <f>IF(AP285&gt;AQ285*1.05,AP285-AQ285*1.05,IF(AP285&lt;AQ285*0.95,AQ285*0.95-AP285,0))</f>
        <v/>
      </c>
      <c r="AS285" s="34">
        <f>MAX(F285:G285,750)*0.05*AR285</f>
        <v/>
      </c>
      <c r="AT285">
        <f>'[1]GÖP VERİLERİ'!D286</f>
        <v/>
      </c>
      <c r="AU285" s="34">
        <f>IF(AP285&gt;AT285*1.05,AP285-AT285*1.05,IF(AP285&lt;AT285*0.95,AT285*0.95-AP285,0))</f>
        <v/>
      </c>
      <c r="AV285" s="34">
        <f>MAX(F285:G285,750)*0.05*AU285</f>
        <v/>
      </c>
      <c r="AW285" s="34">
        <f>AC285+AJ285+AQ285</f>
        <v/>
      </c>
      <c r="AX285" s="34">
        <f>AF285+AM285+AT285</f>
        <v/>
      </c>
      <c r="AY285" s="34">
        <f>AB285+AI285+AP285</f>
        <v/>
      </c>
      <c r="AZ285" s="34" t="n">
        <v>0</v>
      </c>
      <c r="BA285" s="34">
        <f>AD285+AK285+AR285</f>
        <v/>
      </c>
      <c r="BB285" s="34">
        <f>MAX(F285:G285,750)*0.05*BA285</f>
        <v/>
      </c>
      <c r="BC285" s="34">
        <f>AG285+AN285+AU285</f>
        <v/>
      </c>
      <c r="BD285" s="34">
        <f>MAX(F285:G285,750)*0.05*BC285</f>
        <v/>
      </c>
      <c r="BE285" s="34">
        <f>F285*AY285</f>
        <v/>
      </c>
      <c r="BF285" s="34">
        <f>K285-M285</f>
        <v/>
      </c>
      <c r="BG285" s="34">
        <f>P285-S285</f>
        <v/>
      </c>
      <c r="BH285" s="34">
        <f>W285-AA285</f>
        <v/>
      </c>
      <c r="BI285" s="34">
        <f>BF285+BG285+BL285-BN285</f>
        <v/>
      </c>
      <c r="BJ285" s="34">
        <f>ABS(BK285)</f>
        <v/>
      </c>
      <c r="BK285" s="34">
        <f>AY285-(J285-L285+N285-Q285)</f>
        <v/>
      </c>
      <c r="BL285" s="34">
        <f>IF(AND(BK285&gt;0,MIN($F285:$G285)&lt;150,$E285="Enerji Açığı"),-100*BK285*1.03,IF(AND(BK285&gt;0,MIN($F285:$G285)&lt;150,$E285="Enerji Fazlası"),-100*BK285*1.06,IF(AND(BK285&gt;0,MIN($F285:$G285)&gt;=150,$E285="Enerji Açığı"),BK285*MIN($F285:$G285)*0.97,IF(AND(BK285&gt;0,MIN($F285:$G285)&gt;=150,$E285="Enerji Fazlası"),BK285*MIN($F285:$G285)*0.94,IF(AND(BK285&lt;0,MAX($F285:$G285)=4500,$E285="Enerji Açığı"),4500*1.05*1.06*BK285,IF(AND(BK285&lt;0,MAX($F285:$G285)=4500,$E285="Enerji Fazlası"),4500*1.05*1.03*BK285,IF(AND(BK285&lt;0,$E285="Enerji Açığı"),MAX($F285,$G285,150)*BK285*1.06,IF(AND(BK285&lt;0,$E285="Enerji Fazlası"),MAX($F285,$G285,150)*BK285*1.03,IF(AND(BK285&lt;0,$E285="Dengede"),MAX($F285:$G285,150)*1.03*BK285,MIN($F285:$G285)*0.97*BK285)))))))))</f>
        <v/>
      </c>
      <c r="BM285" s="34">
        <f>BE285-BI285-BN285</f>
        <v/>
      </c>
      <c r="BN285" s="34">
        <f>BB285</f>
        <v/>
      </c>
      <c r="BO285" s="34">
        <f>BE285-BI285</f>
        <v/>
      </c>
      <c r="BP285" s="34">
        <f>IF(AY285=0,0,BO285/AY285)</f>
        <v/>
      </c>
      <c r="BQ285" s="34">
        <f>MAX((AY285+MAX((-J285+L285-N285+Q285),0)),(MAX((J285-L285+N285-Q285),0)))</f>
        <v/>
      </c>
      <c r="BR285" s="82">
        <f>IFERROR(ABS(BK285/BQ285),0)</f>
        <v/>
      </c>
      <c r="BS285" s="34">
        <f>IF(BR285&lt;=0.1,0,BK285/BR285*(BR285-0.1))</f>
        <v/>
      </c>
      <c r="BT285" s="34">
        <f>IF((BS285)&lt;0,MAX(F285:G285)*(BS285)*1.03,MIN(F285:G285)*(BS285)*0.97)</f>
        <v/>
      </c>
      <c r="BU285" s="34">
        <f>IF(BR285&gt;0.1,1,0)</f>
        <v/>
      </c>
      <c r="BV285" s="34">
        <f>BF285+BG285+BH285+BY285-CA285</f>
        <v/>
      </c>
      <c r="BW285" s="34">
        <f>ABS(BX285)</f>
        <v/>
      </c>
      <c r="BX285" s="34">
        <f>AY285-(J285-L285+N285-Q285+T285-X285)</f>
        <v/>
      </c>
      <c r="BY285" s="34">
        <f>IF(AND(BX285&gt;0,MIN($F285:$G285)&lt;150,$E285="Enerji Açığı"),-100*BX285*1.03,IF(AND(BX285&gt;0,MIN($F285:$G285)&lt;150,$E285="Enerji Fazlası"),-100*BX285*1.06,IF(AND(BX285&gt;0,MIN($F285:$G285)&gt;=150,$E285="Enerji Açığı"),BX285*MIN($F285:$G285)*0.97,IF(AND(BX285&gt;0,MIN($F285:$G285)&gt;=150,$E285="Enerji Fazlası"),BX285*MIN($F285:$G285)*0.94,IF(AND(BX285&lt;0,MAX($F285:$G285)=4500,$E285="Enerji Açığı"),4500*1.05*1.06*BX285,IF(AND(BX285&lt;0,MAX($F285:$G285)=4500,$E285="Enerji Fazlası"),4500*1.05*1.03*BX285,IF(AND(BX285&lt;0,$E285="Enerji Açığı"),MAX($F285,$G285,150)*BX285*1.06,IF(AND(BX285&lt;0,$E285="Enerji Fazlası"),MAX($F285,$G285,150)*BX285*1.03,IF(AND(BX285&lt;0,$E285="Dengede"),MAX($F285:$G285,150)*1.03*BX285,MIN($F285:$G285)*0.97*BX285)))))))))</f>
        <v/>
      </c>
      <c r="BZ285" s="34">
        <f>BE285-BV285-CA285</f>
        <v/>
      </c>
      <c r="CA285" s="34">
        <f>BD285</f>
        <v/>
      </c>
      <c r="CB285" s="33">
        <f>BE285-BV285</f>
        <v/>
      </c>
      <c r="CC285" s="34">
        <f>IF(AY285=0,0,CB285/AY285)</f>
        <v/>
      </c>
      <c r="CD285" s="34">
        <f>MAX((AY285+MAX((-J285+L285-N285+Q285-T285+X285),0)),(MAX((J285-L285+N285-Q285+T285-X285),0)))</f>
        <v/>
      </c>
      <c r="CE285" s="82">
        <f>IFERROR(ABS(BX285/CD285),0)</f>
        <v/>
      </c>
      <c r="CF285" s="34">
        <f>IF(CE285&lt;=0.1,0,BX285/CE285*(CE285-0.1))</f>
        <v/>
      </c>
      <c r="CG285" s="34">
        <f>IF((CF285)&lt;0,MAX(F285:G285)*(CF285)*1.03,MIN(F285:G285)*(CF285)*0.97)</f>
        <v/>
      </c>
      <c r="CH285" s="34">
        <f>IF(CE285&gt;0.1,1,0)</f>
        <v/>
      </c>
      <c r="CI285" s="34">
        <f>(F285*BX285)-BY285</f>
        <v/>
      </c>
      <c r="CJ285" s="34">
        <f>IF(AY285=0,0,CI285/AY285)</f>
        <v/>
      </c>
    </row>
    <row r="286">
      <c r="A286" s="29">
        <f>[1]FİYATLAR!A261</f>
        <v/>
      </c>
      <c r="B286" s="29">
        <f>[1]FİYATLAR!B261</f>
        <v/>
      </c>
      <c r="C286" s="35">
        <f>INT(A286)</f>
        <v/>
      </c>
      <c r="D286" s="36">
        <f>MONTH(A286)</f>
        <v/>
      </c>
      <c r="E286" s="147">
        <f>[1]FİYATLAR!G261</f>
        <v/>
      </c>
      <c r="F286" s="30">
        <f>[1]FİYATLAR!C261</f>
        <v/>
      </c>
      <c r="G286" s="30">
        <f>[1]FİYATLAR!E261</f>
        <v/>
      </c>
      <c r="H286" s="30">
        <f>[1]FİYATLAR!D261</f>
        <v/>
      </c>
      <c r="I286" s="30">
        <f>[1]FİYATLAR!F261</f>
        <v/>
      </c>
      <c r="J286" s="119" t="n">
        <v>0</v>
      </c>
      <c r="K286" s="34">
        <f>F286*J286</f>
        <v/>
      </c>
      <c r="L286" s="119" t="n"/>
      <c r="M286" s="34">
        <f>L286*F286</f>
        <v/>
      </c>
      <c r="N286" s="119" t="n"/>
      <c r="O286" s="34">
        <f>F286</f>
        <v/>
      </c>
      <c r="P286" s="34">
        <f>N286*O286</f>
        <v/>
      </c>
      <c r="Q286" s="117" t="n">
        <v>0</v>
      </c>
      <c r="R286" s="34">
        <f>F286</f>
        <v/>
      </c>
      <c r="S286" s="34">
        <f>R286*Q286</f>
        <v/>
      </c>
      <c r="T286" s="34">
        <f>SUMIFS('[1]GİP VERİLERİ'!$C:$C,'[1]GİP VERİLERİ'!$B:$B,A286,'[1]GİP VERİLERİ'!$M:$M,"40X000000104782K",'[1]GİP VERİLERİ'!$G:$G,"SELL")</f>
        <v/>
      </c>
      <c r="U286" s="34">
        <f>IFERROR(W286/T286,0)</f>
        <v/>
      </c>
      <c r="V286" s="34">
        <f>IF(U286=0,0,U286-F286)</f>
        <v/>
      </c>
      <c r="W286" s="34">
        <f>SUMIFS('[1]GİP VERİLERİ'!$O:$O,'[1]GİP VERİLERİ'!$B:$B,A286,'[1]GİP VERİLERİ'!$M:$M,"40X000000104782K",'[1]GİP VERİLERİ'!$G:$G,"SELL")</f>
        <v/>
      </c>
      <c r="X286" s="34">
        <f>SUMIFS('[1]GİP VERİLERİ'!$C:$C,'[1]GİP VERİLERİ'!$B:$B,A286,'[1]GİP VERİLERİ'!$M:$M,"40X000000104782K",'[1]GİP VERİLERİ'!$G:$G,"BUY")</f>
        <v/>
      </c>
      <c r="Y286" s="34">
        <f>IFERROR(AA286/X286,0)</f>
        <v/>
      </c>
      <c r="Z286" s="34">
        <f>IF(Y286=0,0,F286-Y286)</f>
        <v/>
      </c>
      <c r="AA286" s="34">
        <f>SUMIFS('[1]GİP VERİLERİ'!$O:$O,'[1]GİP VERİLERİ'!$B:$B,A286,'[1]GİP VERİLERİ'!$M:$M,"40X000000104782K",'[1]GİP VERİLERİ'!$G:$G,"BUY")</f>
        <v/>
      </c>
      <c r="AB286" s="34">
        <f>'[1]GÖP VERİLERİ'!H287</f>
        <v/>
      </c>
      <c r="AC286" s="34">
        <f>'[1]GÖP VERİLERİ'!I287</f>
        <v/>
      </c>
      <c r="AD286" s="34">
        <f>IF(AB286&gt;AC286*1.05,AB286-AC286*1.05,IF(AB286&lt;AC286*0.95,AC286*0.95-AB286,0))</f>
        <v/>
      </c>
      <c r="AE286" s="34">
        <f>MAX(F286,G286,750)*0.05*AD286</f>
        <v/>
      </c>
      <c r="AF286" s="34">
        <f>'[1]GÖP VERİLERİ'!J287</f>
        <v/>
      </c>
      <c r="AG286" s="34">
        <f>IF(AB286&gt;AF286*1.05,AB286-AF286*1.05,IF(AB286&lt;AF286*0.95,AF286*0.95-AB286,0))</f>
        <v/>
      </c>
      <c r="AH286" s="34">
        <f>MAX(I286,J286,750)*0.05*AG286</f>
        <v/>
      </c>
      <c r="AI286">
        <f>'[1]GÖP VERİLERİ'!E287</f>
        <v/>
      </c>
      <c r="AJ286">
        <f>'[1]GÖP VERİLERİ'!F287</f>
        <v/>
      </c>
      <c r="AK286" s="34">
        <f>IF(AI286&gt;AJ286*1.05,AI286-AJ286*1.05,IF(AI286&lt;AJ286*0.95,AJ286*0.95-AI286,0))</f>
        <v/>
      </c>
      <c r="AL286" s="34">
        <f>MAX(F286,G286,750)*0.05*AK286</f>
        <v/>
      </c>
      <c r="AM286" s="39">
        <f>'[1]GÖP VERİLERİ'!G287</f>
        <v/>
      </c>
      <c r="AN286" s="34">
        <f>IF(AI286&gt;AM286*1.05,AI286-AM286*1.05,IF(AI286&lt;AM286*0.95,AM286*0.95-AI286,0))</f>
        <v/>
      </c>
      <c r="AO286" s="34">
        <f>MAX(F286,G286,750)*0.05*AN286</f>
        <v/>
      </c>
      <c r="AP286" s="34">
        <f>'[1]GÖP VERİLERİ'!B287</f>
        <v/>
      </c>
      <c r="AQ286" s="34">
        <f>'[1]GÖP VERİLERİ'!C287</f>
        <v/>
      </c>
      <c r="AR286" s="34">
        <f>IF(AP286&gt;AQ286*1.05,AP286-AQ286*1.05,IF(AP286&lt;AQ286*0.95,AQ286*0.95-AP286,0))</f>
        <v/>
      </c>
      <c r="AS286" s="34">
        <f>MAX(F286:G286,750)*0.05*AR286</f>
        <v/>
      </c>
      <c r="AT286">
        <f>'[1]GÖP VERİLERİ'!D287</f>
        <v/>
      </c>
      <c r="AU286" s="34">
        <f>IF(AP286&gt;AT286*1.05,AP286-AT286*1.05,IF(AP286&lt;AT286*0.95,AT286*0.95-AP286,0))</f>
        <v/>
      </c>
      <c r="AV286" s="34">
        <f>MAX(F286:G286,750)*0.05*AU286</f>
        <v/>
      </c>
      <c r="AW286" s="34">
        <f>AC286+AJ286+AQ286</f>
        <v/>
      </c>
      <c r="AX286" s="34">
        <f>AF286+AM286+AT286</f>
        <v/>
      </c>
      <c r="AY286" s="34">
        <f>AB286+AI286+AP286</f>
        <v/>
      </c>
      <c r="AZ286" s="34" t="n">
        <v>0</v>
      </c>
      <c r="BA286" s="34">
        <f>AD286+AK286+AR286</f>
        <v/>
      </c>
      <c r="BB286" s="34">
        <f>MAX(F286:G286,750)*0.05*BA286</f>
        <v/>
      </c>
      <c r="BC286" s="34">
        <f>AG286+AN286+AU286</f>
        <v/>
      </c>
      <c r="BD286" s="34">
        <f>MAX(F286:G286,750)*0.05*BC286</f>
        <v/>
      </c>
      <c r="BE286" s="34">
        <f>F286*AY286</f>
        <v/>
      </c>
      <c r="BF286" s="34">
        <f>K286-M286</f>
        <v/>
      </c>
      <c r="BG286" s="34">
        <f>P286-S286</f>
        <v/>
      </c>
      <c r="BH286" s="34">
        <f>W286-AA286</f>
        <v/>
      </c>
      <c r="BI286" s="34">
        <f>BF286+BG286+BL286-BN286</f>
        <v/>
      </c>
      <c r="BJ286" s="34">
        <f>ABS(BK286)</f>
        <v/>
      </c>
      <c r="BK286" s="34">
        <f>AY286-(J286-L286+N286-Q286)</f>
        <v/>
      </c>
      <c r="BL286" s="34">
        <f>IF(AND(BK286&gt;0,MIN($F286:$G286)&lt;150,$E286="Enerji Açığı"),-100*BK286*1.03,IF(AND(BK286&gt;0,MIN($F286:$G286)&lt;150,$E286="Enerji Fazlası"),-100*BK286*1.06,IF(AND(BK286&gt;0,MIN($F286:$G286)&gt;=150,$E286="Enerji Açığı"),BK286*MIN($F286:$G286)*0.97,IF(AND(BK286&gt;0,MIN($F286:$G286)&gt;=150,$E286="Enerji Fazlası"),BK286*MIN($F286:$G286)*0.94,IF(AND(BK286&lt;0,MAX($F286:$G286)=4500,$E286="Enerji Açığı"),4500*1.05*1.06*BK286,IF(AND(BK286&lt;0,MAX($F286:$G286)=4500,$E286="Enerji Fazlası"),4500*1.05*1.03*BK286,IF(AND(BK286&lt;0,$E286="Enerji Açığı"),MAX($F286,$G286,150)*BK286*1.06,IF(AND(BK286&lt;0,$E286="Enerji Fazlası"),MAX($F286,$G286,150)*BK286*1.03,IF(AND(BK286&lt;0,$E286="Dengede"),MAX($F286:$G286,150)*1.03*BK286,MIN($F286:$G286)*0.97*BK286)))))))))</f>
        <v/>
      </c>
      <c r="BM286" s="34">
        <f>BE286-BI286-BN286</f>
        <v/>
      </c>
      <c r="BN286" s="34">
        <f>BB286</f>
        <v/>
      </c>
      <c r="BO286" s="34">
        <f>BE286-BI286</f>
        <v/>
      </c>
      <c r="BP286" s="34">
        <f>IF(AY286=0,0,BO286/AY286)</f>
        <v/>
      </c>
      <c r="BQ286" s="34">
        <f>MAX((AY286+MAX((-J286+L286-N286+Q286),0)),(MAX((J286-L286+N286-Q286),0)))</f>
        <v/>
      </c>
      <c r="BR286" s="82">
        <f>IFERROR(ABS(BK286/BQ286),0)</f>
        <v/>
      </c>
      <c r="BS286" s="34">
        <f>IF(BR286&lt;=0.1,0,BK286/BR286*(BR286-0.1))</f>
        <v/>
      </c>
      <c r="BT286" s="34">
        <f>IF((BS286)&lt;0,MAX(F286:G286)*(BS286)*1.03,MIN(F286:G286)*(BS286)*0.97)</f>
        <v/>
      </c>
      <c r="BU286" s="34">
        <f>IF(BR286&gt;0.1,1,0)</f>
        <v/>
      </c>
      <c r="BV286" s="34">
        <f>BF286+BG286+BH286+BY286-CA286</f>
        <v/>
      </c>
      <c r="BW286" s="34">
        <f>ABS(BX286)</f>
        <v/>
      </c>
      <c r="BX286" s="34">
        <f>AY286-(J286-L286+N286-Q286+T286-X286)</f>
        <v/>
      </c>
      <c r="BY286" s="34">
        <f>IF(AND(BX286&gt;0,MIN($F286:$G286)&lt;150,$E286="Enerji Açığı"),-100*BX286*1.03,IF(AND(BX286&gt;0,MIN($F286:$G286)&lt;150,$E286="Enerji Fazlası"),-100*BX286*1.06,IF(AND(BX286&gt;0,MIN($F286:$G286)&gt;=150,$E286="Enerji Açığı"),BX286*MIN($F286:$G286)*0.97,IF(AND(BX286&gt;0,MIN($F286:$G286)&gt;=150,$E286="Enerji Fazlası"),BX286*MIN($F286:$G286)*0.94,IF(AND(BX286&lt;0,MAX($F286:$G286)=4500,$E286="Enerji Açığı"),4500*1.05*1.06*BX286,IF(AND(BX286&lt;0,MAX($F286:$G286)=4500,$E286="Enerji Fazlası"),4500*1.05*1.03*BX286,IF(AND(BX286&lt;0,$E286="Enerji Açığı"),MAX($F286,$G286,150)*BX286*1.06,IF(AND(BX286&lt;0,$E286="Enerji Fazlası"),MAX($F286,$G286,150)*BX286*1.03,IF(AND(BX286&lt;0,$E286="Dengede"),MAX($F286:$G286,150)*1.03*BX286,MIN($F286:$G286)*0.97*BX286)))))))))</f>
        <v/>
      </c>
      <c r="BZ286" s="34">
        <f>BE286-BV286-CA286</f>
        <v/>
      </c>
      <c r="CA286" s="34">
        <f>BD286</f>
        <v/>
      </c>
      <c r="CB286" s="33">
        <f>BE286-BV286</f>
        <v/>
      </c>
      <c r="CC286" s="34">
        <f>IF(AY286=0,0,CB286/AY286)</f>
        <v/>
      </c>
      <c r="CD286" s="34">
        <f>MAX((AY286+MAX((-J286+L286-N286+Q286-T286+X286),0)),(MAX((J286-L286+N286-Q286+T286-X286),0)))</f>
        <v/>
      </c>
      <c r="CE286" s="82">
        <f>IFERROR(ABS(BX286/CD286),0)</f>
        <v/>
      </c>
      <c r="CF286" s="34">
        <f>IF(CE286&lt;=0.1,0,BX286/CE286*(CE286-0.1))</f>
        <v/>
      </c>
      <c r="CG286" s="34">
        <f>IF((CF286)&lt;0,MAX(F286:G286)*(CF286)*1.03,MIN(F286:G286)*(CF286)*0.97)</f>
        <v/>
      </c>
      <c r="CH286" s="34">
        <f>IF(CE286&gt;0.1,1,0)</f>
        <v/>
      </c>
      <c r="CI286" s="34">
        <f>(F286*BX286)-BY286</f>
        <v/>
      </c>
      <c r="CJ286" s="34">
        <f>IF(AY286=0,0,CI286/AY286)</f>
        <v/>
      </c>
    </row>
    <row r="287">
      <c r="A287" s="29">
        <f>[1]FİYATLAR!A262</f>
        <v/>
      </c>
      <c r="B287" s="29">
        <f>[1]FİYATLAR!B262</f>
        <v/>
      </c>
      <c r="C287" s="35">
        <f>INT(A287)</f>
        <v/>
      </c>
      <c r="D287" s="36">
        <f>MONTH(A287)</f>
        <v/>
      </c>
      <c r="E287" s="147">
        <f>[1]FİYATLAR!G262</f>
        <v/>
      </c>
      <c r="F287" s="30">
        <f>[1]FİYATLAR!C262</f>
        <v/>
      </c>
      <c r="G287" s="30">
        <f>[1]FİYATLAR!E262</f>
        <v/>
      </c>
      <c r="H287" s="30">
        <f>[1]FİYATLAR!D262</f>
        <v/>
      </c>
      <c r="I287" s="30">
        <f>[1]FİYATLAR!F262</f>
        <v/>
      </c>
      <c r="J287" s="119" t="n">
        <v>0</v>
      </c>
      <c r="K287" s="34">
        <f>F287*J287</f>
        <v/>
      </c>
      <c r="L287" s="119" t="n"/>
      <c r="M287" s="34">
        <f>L287*F287</f>
        <v/>
      </c>
      <c r="N287" s="119" t="n"/>
      <c r="O287" s="34">
        <f>F287</f>
        <v/>
      </c>
      <c r="P287" s="34">
        <f>N287*O287</f>
        <v/>
      </c>
      <c r="Q287" s="117" t="n">
        <v>0</v>
      </c>
      <c r="R287" s="34">
        <f>F287</f>
        <v/>
      </c>
      <c r="S287" s="34">
        <f>R287*Q287</f>
        <v/>
      </c>
      <c r="T287" s="34">
        <f>SUMIFS('[1]GİP VERİLERİ'!$C:$C,'[1]GİP VERİLERİ'!$B:$B,A287,'[1]GİP VERİLERİ'!$M:$M,"40X000000104782K",'[1]GİP VERİLERİ'!$G:$G,"SELL")</f>
        <v/>
      </c>
      <c r="U287" s="34">
        <f>IFERROR(W287/T287,0)</f>
        <v/>
      </c>
      <c r="V287" s="34">
        <f>IF(U287=0,0,U287-F287)</f>
        <v/>
      </c>
      <c r="W287" s="34">
        <f>SUMIFS('[1]GİP VERİLERİ'!$O:$O,'[1]GİP VERİLERİ'!$B:$B,A287,'[1]GİP VERİLERİ'!$M:$M,"40X000000104782K",'[1]GİP VERİLERİ'!$G:$G,"SELL")</f>
        <v/>
      </c>
      <c r="X287" s="34">
        <f>SUMIFS('[1]GİP VERİLERİ'!$C:$C,'[1]GİP VERİLERİ'!$B:$B,A287,'[1]GİP VERİLERİ'!$M:$M,"40X000000104782K",'[1]GİP VERİLERİ'!$G:$G,"BUY")</f>
        <v/>
      </c>
      <c r="Y287" s="34">
        <f>IFERROR(AA287/X287,0)</f>
        <v/>
      </c>
      <c r="Z287" s="34">
        <f>IF(Y287=0,0,F287-Y287)</f>
        <v/>
      </c>
      <c r="AA287" s="34">
        <f>SUMIFS('[1]GİP VERİLERİ'!$O:$O,'[1]GİP VERİLERİ'!$B:$B,A287,'[1]GİP VERİLERİ'!$M:$M,"40X000000104782K",'[1]GİP VERİLERİ'!$G:$G,"BUY")</f>
        <v/>
      </c>
      <c r="AB287" s="34">
        <f>'[1]GÖP VERİLERİ'!H288</f>
        <v/>
      </c>
      <c r="AC287" s="34">
        <f>'[1]GÖP VERİLERİ'!I288</f>
        <v/>
      </c>
      <c r="AD287" s="34">
        <f>IF(AB287&gt;AC287*1.05,AB287-AC287*1.05,IF(AB287&lt;AC287*0.95,AC287*0.95-AB287,0))</f>
        <v/>
      </c>
      <c r="AE287" s="34">
        <f>MAX(F287,G287,750)*0.05*AD287</f>
        <v/>
      </c>
      <c r="AF287" s="34">
        <f>'[1]GÖP VERİLERİ'!J288</f>
        <v/>
      </c>
      <c r="AG287" s="34">
        <f>IF(AB287&gt;AF287*1.05,AB287-AF287*1.05,IF(AB287&lt;AF287*0.95,AF287*0.95-AB287,0))</f>
        <v/>
      </c>
      <c r="AH287" s="34">
        <f>MAX(I287,J287,750)*0.05*AG287</f>
        <v/>
      </c>
      <c r="AI287">
        <f>'[1]GÖP VERİLERİ'!E288</f>
        <v/>
      </c>
      <c r="AJ287">
        <f>'[1]GÖP VERİLERİ'!F288</f>
        <v/>
      </c>
      <c r="AK287" s="34">
        <f>IF(AI287&gt;AJ287*1.05,AI287-AJ287*1.05,IF(AI287&lt;AJ287*0.95,AJ287*0.95-AI287,0))</f>
        <v/>
      </c>
      <c r="AL287" s="34">
        <f>MAX(F287,G287,750)*0.05*AK287</f>
        <v/>
      </c>
      <c r="AM287" s="39">
        <f>'[1]GÖP VERİLERİ'!G288</f>
        <v/>
      </c>
      <c r="AN287" s="34">
        <f>IF(AI287&gt;AM287*1.05,AI287-AM287*1.05,IF(AI287&lt;AM287*0.95,AM287*0.95-AI287,0))</f>
        <v/>
      </c>
      <c r="AO287" s="34">
        <f>MAX(F287,G287,750)*0.05*AN287</f>
        <v/>
      </c>
      <c r="AP287" s="34">
        <f>'[1]GÖP VERİLERİ'!B288</f>
        <v/>
      </c>
      <c r="AQ287" s="34">
        <f>'[1]GÖP VERİLERİ'!C288</f>
        <v/>
      </c>
      <c r="AR287" s="34">
        <f>IF(AP287&gt;AQ287*1.05,AP287-AQ287*1.05,IF(AP287&lt;AQ287*0.95,AQ287*0.95-AP287,0))</f>
        <v/>
      </c>
      <c r="AS287" s="34">
        <f>MAX(F287:G287,750)*0.05*AR287</f>
        <v/>
      </c>
      <c r="AT287">
        <f>'[1]GÖP VERİLERİ'!D288</f>
        <v/>
      </c>
      <c r="AU287" s="34">
        <f>IF(AP287&gt;AT287*1.05,AP287-AT287*1.05,IF(AP287&lt;AT287*0.95,AT287*0.95-AP287,0))</f>
        <v/>
      </c>
      <c r="AV287" s="34">
        <f>MAX(F287:G287,750)*0.05*AU287</f>
        <v/>
      </c>
      <c r="AW287" s="34">
        <f>AC287+AJ287+AQ287</f>
        <v/>
      </c>
      <c r="AX287" s="34">
        <f>AF287+AM287+AT287</f>
        <v/>
      </c>
      <c r="AY287" s="34">
        <f>AB287+AI287+AP287</f>
        <v/>
      </c>
      <c r="AZ287" s="34" t="n">
        <v>0</v>
      </c>
      <c r="BA287" s="34">
        <f>AD287+AK287+AR287</f>
        <v/>
      </c>
      <c r="BB287" s="34">
        <f>MAX(F287:G287,750)*0.05*BA287</f>
        <v/>
      </c>
      <c r="BC287" s="34">
        <f>AG287+AN287+AU287</f>
        <v/>
      </c>
      <c r="BD287" s="34">
        <f>MAX(F287:G287,750)*0.05*BC287</f>
        <v/>
      </c>
      <c r="BE287" s="34">
        <f>F287*AY287</f>
        <v/>
      </c>
      <c r="BF287" s="34">
        <f>K287-M287</f>
        <v/>
      </c>
      <c r="BG287" s="34">
        <f>P287-S287</f>
        <v/>
      </c>
      <c r="BH287" s="34">
        <f>W287-AA287</f>
        <v/>
      </c>
      <c r="BI287" s="34">
        <f>BF287+BG287+BL287-BN287</f>
        <v/>
      </c>
      <c r="BJ287" s="34">
        <f>ABS(BK287)</f>
        <v/>
      </c>
      <c r="BK287" s="34">
        <f>AY287-(J287-L287+N287-Q287)</f>
        <v/>
      </c>
      <c r="BL287" s="34">
        <f>IF(AND(BK287&gt;0,MIN($F287:$G287)&lt;150,$E287="Enerji Açığı"),-100*BK287*1.03,IF(AND(BK287&gt;0,MIN($F287:$G287)&lt;150,$E287="Enerji Fazlası"),-100*BK287*1.06,IF(AND(BK287&gt;0,MIN($F287:$G287)&gt;=150,$E287="Enerji Açığı"),BK287*MIN($F287:$G287)*0.97,IF(AND(BK287&gt;0,MIN($F287:$G287)&gt;=150,$E287="Enerji Fazlası"),BK287*MIN($F287:$G287)*0.94,IF(AND(BK287&lt;0,MAX($F287:$G287)=4500,$E287="Enerji Açığı"),4500*1.05*1.06*BK287,IF(AND(BK287&lt;0,MAX($F287:$G287)=4500,$E287="Enerji Fazlası"),4500*1.05*1.03*BK287,IF(AND(BK287&lt;0,$E287="Enerji Açığı"),MAX($F287,$G287,150)*BK287*1.06,IF(AND(BK287&lt;0,$E287="Enerji Fazlası"),MAX($F287,$G287,150)*BK287*1.03,IF(AND(BK287&lt;0,$E287="Dengede"),MAX($F287:$G287,150)*1.03*BK287,MIN($F287:$G287)*0.97*BK287)))))))))</f>
        <v/>
      </c>
      <c r="BM287" s="34">
        <f>BE287-BI287-BN287</f>
        <v/>
      </c>
      <c r="BN287" s="34">
        <f>BB287</f>
        <v/>
      </c>
      <c r="BO287" s="34">
        <f>BE287-BI287</f>
        <v/>
      </c>
      <c r="BP287" s="34">
        <f>IF(AY287=0,0,BO287/AY287)</f>
        <v/>
      </c>
      <c r="BQ287" s="34">
        <f>MAX((AY287+MAX((-J287+L287-N287+Q287),0)),(MAX((J287-L287+N287-Q287),0)))</f>
        <v/>
      </c>
      <c r="BR287" s="82">
        <f>IFERROR(ABS(BK287/BQ287),0)</f>
        <v/>
      </c>
      <c r="BS287" s="34">
        <f>IF(BR287&lt;=0.1,0,BK287/BR287*(BR287-0.1))</f>
        <v/>
      </c>
      <c r="BT287" s="34">
        <f>IF((BS287)&lt;0,MAX(F287:G287)*(BS287)*1.03,MIN(F287:G287)*(BS287)*0.97)</f>
        <v/>
      </c>
      <c r="BU287" s="34">
        <f>IF(BR287&gt;0.1,1,0)</f>
        <v/>
      </c>
      <c r="BV287" s="34">
        <f>BF287+BG287+BH287+BY287-CA287</f>
        <v/>
      </c>
      <c r="BW287" s="34">
        <f>ABS(BX287)</f>
        <v/>
      </c>
      <c r="BX287" s="34">
        <f>AY287-(J287-L287+N287-Q287+T287-X287)</f>
        <v/>
      </c>
      <c r="BY287" s="34">
        <f>IF(AND(BX287&gt;0,MIN($F287:$G287)&lt;150,$E287="Enerji Açığı"),-100*BX287*1.03,IF(AND(BX287&gt;0,MIN($F287:$G287)&lt;150,$E287="Enerji Fazlası"),-100*BX287*1.06,IF(AND(BX287&gt;0,MIN($F287:$G287)&gt;=150,$E287="Enerji Açığı"),BX287*MIN($F287:$G287)*0.97,IF(AND(BX287&gt;0,MIN($F287:$G287)&gt;=150,$E287="Enerji Fazlası"),BX287*MIN($F287:$G287)*0.94,IF(AND(BX287&lt;0,MAX($F287:$G287)=4500,$E287="Enerji Açığı"),4500*1.05*1.06*BX287,IF(AND(BX287&lt;0,MAX($F287:$G287)=4500,$E287="Enerji Fazlası"),4500*1.05*1.03*BX287,IF(AND(BX287&lt;0,$E287="Enerji Açığı"),MAX($F287,$G287,150)*BX287*1.06,IF(AND(BX287&lt;0,$E287="Enerji Fazlası"),MAX($F287,$G287,150)*BX287*1.03,IF(AND(BX287&lt;0,$E287="Dengede"),MAX($F287:$G287,150)*1.03*BX287,MIN($F287:$G287)*0.97*BX287)))))))))</f>
        <v/>
      </c>
      <c r="BZ287" s="34">
        <f>BE287-BV287-CA287</f>
        <v/>
      </c>
      <c r="CA287" s="34">
        <f>BD287</f>
        <v/>
      </c>
      <c r="CB287" s="33">
        <f>BE287-BV287</f>
        <v/>
      </c>
      <c r="CC287" s="34">
        <f>IF(AY287=0,0,CB287/AY287)</f>
        <v/>
      </c>
      <c r="CD287" s="34">
        <f>MAX((AY287+MAX((-J287+L287-N287+Q287-T287+X287),0)),(MAX((J287-L287+N287-Q287+T287-X287),0)))</f>
        <v/>
      </c>
      <c r="CE287" s="82">
        <f>IFERROR(ABS(BX287/CD287),0)</f>
        <v/>
      </c>
      <c r="CF287" s="34">
        <f>IF(CE287&lt;=0.1,0,BX287/CE287*(CE287-0.1))</f>
        <v/>
      </c>
      <c r="CG287" s="34">
        <f>IF((CF287)&lt;0,MAX(F287:G287)*(CF287)*1.03,MIN(F287:G287)*(CF287)*0.97)</f>
        <v/>
      </c>
      <c r="CH287" s="34">
        <f>IF(CE287&gt;0.1,1,0)</f>
        <v/>
      </c>
      <c r="CI287" s="34">
        <f>(F287*BX287)-BY287</f>
        <v/>
      </c>
      <c r="CJ287" s="34">
        <f>IF(AY287=0,0,CI287/AY287)</f>
        <v/>
      </c>
    </row>
    <row r="288">
      <c r="A288" s="29">
        <f>[1]FİYATLAR!A263</f>
        <v/>
      </c>
      <c r="B288" s="29">
        <f>[1]FİYATLAR!B263</f>
        <v/>
      </c>
      <c r="C288" s="35">
        <f>INT(A288)</f>
        <v/>
      </c>
      <c r="D288" s="36">
        <f>MONTH(A288)</f>
        <v/>
      </c>
      <c r="E288" s="147">
        <f>[1]FİYATLAR!G263</f>
        <v/>
      </c>
      <c r="F288" s="30">
        <f>[1]FİYATLAR!C263</f>
        <v/>
      </c>
      <c r="G288" s="30">
        <f>[1]FİYATLAR!E263</f>
        <v/>
      </c>
      <c r="H288" s="30">
        <f>[1]FİYATLAR!D263</f>
        <v/>
      </c>
      <c r="I288" s="30">
        <f>[1]FİYATLAR!F263</f>
        <v/>
      </c>
      <c r="J288" s="119" t="n">
        <v>0</v>
      </c>
      <c r="K288" s="34">
        <f>F288*J288</f>
        <v/>
      </c>
      <c r="L288" s="119" t="n"/>
      <c r="M288" s="34">
        <f>L288*F288</f>
        <v/>
      </c>
      <c r="N288" s="119" t="n"/>
      <c r="O288" s="34">
        <f>F288</f>
        <v/>
      </c>
      <c r="P288" s="34">
        <f>N288*O288</f>
        <v/>
      </c>
      <c r="Q288" s="117" t="n">
        <v>0</v>
      </c>
      <c r="R288" s="34">
        <f>F288</f>
        <v/>
      </c>
      <c r="S288" s="34">
        <f>R288*Q288</f>
        <v/>
      </c>
      <c r="T288" s="34">
        <f>SUMIFS('[1]GİP VERİLERİ'!$C:$C,'[1]GİP VERİLERİ'!$B:$B,A288,'[1]GİP VERİLERİ'!$M:$M,"40X000000104782K",'[1]GİP VERİLERİ'!$G:$G,"SELL")</f>
        <v/>
      </c>
      <c r="U288" s="34">
        <f>IFERROR(W288/T288,0)</f>
        <v/>
      </c>
      <c r="V288" s="34">
        <f>IF(U288=0,0,U288-F288)</f>
        <v/>
      </c>
      <c r="W288" s="34">
        <f>SUMIFS('[1]GİP VERİLERİ'!$O:$O,'[1]GİP VERİLERİ'!$B:$B,A288,'[1]GİP VERİLERİ'!$M:$M,"40X000000104782K",'[1]GİP VERİLERİ'!$G:$G,"SELL")</f>
        <v/>
      </c>
      <c r="X288" s="34">
        <f>SUMIFS('[1]GİP VERİLERİ'!$C:$C,'[1]GİP VERİLERİ'!$B:$B,A288,'[1]GİP VERİLERİ'!$M:$M,"40X000000104782K",'[1]GİP VERİLERİ'!$G:$G,"BUY")</f>
        <v/>
      </c>
      <c r="Y288" s="34">
        <f>IFERROR(AA288/X288,0)</f>
        <v/>
      </c>
      <c r="Z288" s="34">
        <f>IF(Y288=0,0,F288-Y288)</f>
        <v/>
      </c>
      <c r="AA288" s="34">
        <f>SUMIFS('[1]GİP VERİLERİ'!$O:$O,'[1]GİP VERİLERİ'!$B:$B,A288,'[1]GİP VERİLERİ'!$M:$M,"40X000000104782K",'[1]GİP VERİLERİ'!$G:$G,"BUY")</f>
        <v/>
      </c>
      <c r="AB288" s="34">
        <f>'[1]GÖP VERİLERİ'!H289</f>
        <v/>
      </c>
      <c r="AC288" s="34">
        <f>'[1]GÖP VERİLERİ'!I289</f>
        <v/>
      </c>
      <c r="AD288" s="34">
        <f>IF(AB288&gt;AC288*1.05,AB288-AC288*1.05,IF(AB288&lt;AC288*0.95,AC288*0.95-AB288,0))</f>
        <v/>
      </c>
      <c r="AE288" s="34">
        <f>MAX(F288,G288,750)*0.05*AD288</f>
        <v/>
      </c>
      <c r="AF288" s="34">
        <f>'[1]GÖP VERİLERİ'!J289</f>
        <v/>
      </c>
      <c r="AG288" s="34">
        <f>IF(AB288&gt;AF288*1.05,AB288-AF288*1.05,IF(AB288&lt;AF288*0.95,AF288*0.95-AB288,0))</f>
        <v/>
      </c>
      <c r="AH288" s="34">
        <f>MAX(I288,J288,750)*0.05*AG288</f>
        <v/>
      </c>
      <c r="AI288">
        <f>'[1]GÖP VERİLERİ'!E289</f>
        <v/>
      </c>
      <c r="AJ288">
        <f>'[1]GÖP VERİLERİ'!F289</f>
        <v/>
      </c>
      <c r="AK288" s="34">
        <f>IF(AI288&gt;AJ288*1.05,AI288-AJ288*1.05,IF(AI288&lt;AJ288*0.95,AJ288*0.95-AI288,0))</f>
        <v/>
      </c>
      <c r="AL288" s="34">
        <f>MAX(F288,G288,750)*0.05*AK288</f>
        <v/>
      </c>
      <c r="AM288" s="39">
        <f>'[1]GÖP VERİLERİ'!G289</f>
        <v/>
      </c>
      <c r="AN288" s="34">
        <f>IF(AI288&gt;AM288*1.05,AI288-AM288*1.05,IF(AI288&lt;AM288*0.95,AM288*0.95-AI288,0))</f>
        <v/>
      </c>
      <c r="AO288" s="34">
        <f>MAX(F288,G288,750)*0.05*AN288</f>
        <v/>
      </c>
      <c r="AP288" s="34">
        <f>'[1]GÖP VERİLERİ'!B289</f>
        <v/>
      </c>
      <c r="AQ288" s="34">
        <f>'[1]GÖP VERİLERİ'!C289</f>
        <v/>
      </c>
      <c r="AR288" s="34">
        <f>IF(AP288&gt;AQ288*1.05,AP288-AQ288*1.05,IF(AP288&lt;AQ288*0.95,AQ288*0.95-AP288,0))</f>
        <v/>
      </c>
      <c r="AS288" s="34">
        <f>MAX(F288:G288,750)*0.05*AR288</f>
        <v/>
      </c>
      <c r="AT288">
        <f>'[1]GÖP VERİLERİ'!D289</f>
        <v/>
      </c>
      <c r="AU288" s="34">
        <f>IF(AP288&gt;AT288*1.05,AP288-AT288*1.05,IF(AP288&lt;AT288*0.95,AT288*0.95-AP288,0))</f>
        <v/>
      </c>
      <c r="AV288" s="34">
        <f>MAX(F288:G288,750)*0.05*AU288</f>
        <v/>
      </c>
      <c r="AW288" s="34">
        <f>AC288+AJ288+AQ288</f>
        <v/>
      </c>
      <c r="AX288" s="34">
        <f>AF288+AM288+AT288</f>
        <v/>
      </c>
      <c r="AY288" s="34">
        <f>AB288+AI288+AP288</f>
        <v/>
      </c>
      <c r="AZ288" s="34" t="n">
        <v>0</v>
      </c>
      <c r="BA288" s="34">
        <f>AD288+AK288+AR288</f>
        <v/>
      </c>
      <c r="BB288" s="34">
        <f>MAX(F288:G288,750)*0.05*BA288</f>
        <v/>
      </c>
      <c r="BC288" s="34">
        <f>AG288+AN288+AU288</f>
        <v/>
      </c>
      <c r="BD288" s="34">
        <f>MAX(F288:G288,750)*0.05*BC288</f>
        <v/>
      </c>
      <c r="BE288" s="34">
        <f>F288*AY288</f>
        <v/>
      </c>
      <c r="BF288" s="34">
        <f>K288-M288</f>
        <v/>
      </c>
      <c r="BG288" s="34">
        <f>P288-S288</f>
        <v/>
      </c>
      <c r="BH288" s="34">
        <f>W288-AA288</f>
        <v/>
      </c>
      <c r="BI288" s="34">
        <f>BF288+BG288+BL288-BN288</f>
        <v/>
      </c>
      <c r="BJ288" s="34">
        <f>ABS(BK288)</f>
        <v/>
      </c>
      <c r="BK288" s="34">
        <f>AY288-(J288-L288+N288-Q288)</f>
        <v/>
      </c>
      <c r="BL288" s="34">
        <f>IF(AND(BK288&gt;0,MIN($F288:$G288)&lt;150,$E288="Enerji Açığı"),-100*BK288*1.03,IF(AND(BK288&gt;0,MIN($F288:$G288)&lt;150,$E288="Enerji Fazlası"),-100*BK288*1.06,IF(AND(BK288&gt;0,MIN($F288:$G288)&gt;=150,$E288="Enerji Açığı"),BK288*MIN($F288:$G288)*0.97,IF(AND(BK288&gt;0,MIN($F288:$G288)&gt;=150,$E288="Enerji Fazlası"),BK288*MIN($F288:$G288)*0.94,IF(AND(BK288&lt;0,MAX($F288:$G288)=4500,$E288="Enerji Açığı"),4500*1.05*1.06*BK288,IF(AND(BK288&lt;0,MAX($F288:$G288)=4500,$E288="Enerji Fazlası"),4500*1.05*1.03*BK288,IF(AND(BK288&lt;0,$E288="Enerji Açığı"),MAX($F288,$G288,150)*BK288*1.06,IF(AND(BK288&lt;0,$E288="Enerji Fazlası"),MAX($F288,$G288,150)*BK288*1.03,IF(AND(BK288&lt;0,$E288="Dengede"),MAX($F288:$G288,150)*1.03*BK288,MIN($F288:$G288)*0.97*BK288)))))))))</f>
        <v/>
      </c>
      <c r="BM288" s="34">
        <f>BE288-BI288-BN288</f>
        <v/>
      </c>
      <c r="BN288" s="34">
        <f>BB288</f>
        <v/>
      </c>
      <c r="BO288" s="34">
        <f>BE288-BI288</f>
        <v/>
      </c>
      <c r="BP288" s="34">
        <f>IF(AY288=0,0,BO288/AY288)</f>
        <v/>
      </c>
      <c r="BQ288" s="34">
        <f>MAX((AY288+MAX((-J288+L288-N288+Q288),0)),(MAX((J288-L288+N288-Q288),0)))</f>
        <v/>
      </c>
      <c r="BR288" s="82">
        <f>IFERROR(ABS(BK288/BQ288),0)</f>
        <v/>
      </c>
      <c r="BS288" s="34">
        <f>IF(BR288&lt;=0.1,0,BK288/BR288*(BR288-0.1))</f>
        <v/>
      </c>
      <c r="BT288" s="34">
        <f>IF((BS288)&lt;0,MAX(F288:G288)*(BS288)*1.03,MIN(F288:G288)*(BS288)*0.97)</f>
        <v/>
      </c>
      <c r="BU288" s="34">
        <f>IF(BR288&gt;0.1,1,0)</f>
        <v/>
      </c>
      <c r="BV288" s="34">
        <f>BF288+BG288+BH288+BY288-CA288</f>
        <v/>
      </c>
      <c r="BW288" s="34">
        <f>ABS(BX288)</f>
        <v/>
      </c>
      <c r="BX288" s="34">
        <f>AY288-(J288-L288+N288-Q288+T288-X288)</f>
        <v/>
      </c>
      <c r="BY288" s="34">
        <f>IF(AND(BX288&gt;0,MIN($F288:$G288)&lt;150,$E288="Enerji Açığı"),-100*BX288*1.03,IF(AND(BX288&gt;0,MIN($F288:$G288)&lt;150,$E288="Enerji Fazlası"),-100*BX288*1.06,IF(AND(BX288&gt;0,MIN($F288:$G288)&gt;=150,$E288="Enerji Açığı"),BX288*MIN($F288:$G288)*0.97,IF(AND(BX288&gt;0,MIN($F288:$G288)&gt;=150,$E288="Enerji Fazlası"),BX288*MIN($F288:$G288)*0.94,IF(AND(BX288&lt;0,MAX($F288:$G288)=4500,$E288="Enerji Açığı"),4500*1.05*1.06*BX288,IF(AND(BX288&lt;0,MAX($F288:$G288)=4500,$E288="Enerji Fazlası"),4500*1.05*1.03*BX288,IF(AND(BX288&lt;0,$E288="Enerji Açığı"),MAX($F288,$G288,150)*BX288*1.06,IF(AND(BX288&lt;0,$E288="Enerji Fazlası"),MAX($F288,$G288,150)*BX288*1.03,IF(AND(BX288&lt;0,$E288="Dengede"),MAX($F288:$G288,150)*1.03*BX288,MIN($F288:$G288)*0.97*BX288)))))))))</f>
        <v/>
      </c>
      <c r="BZ288" s="34">
        <f>BE288-BV288-CA288</f>
        <v/>
      </c>
      <c r="CA288" s="34">
        <f>BD288</f>
        <v/>
      </c>
      <c r="CB288" s="33">
        <f>BE288-BV288</f>
        <v/>
      </c>
      <c r="CC288" s="34">
        <f>IF(AY288=0,0,CB288/AY288)</f>
        <v/>
      </c>
      <c r="CD288" s="34">
        <f>MAX((AY288+MAX((-J288+L288-N288+Q288-T288+X288),0)),(MAX((J288-L288+N288-Q288+T288-X288),0)))</f>
        <v/>
      </c>
      <c r="CE288" s="82">
        <f>IFERROR(ABS(BX288/CD288),0)</f>
        <v/>
      </c>
      <c r="CF288" s="34">
        <f>IF(CE288&lt;=0.1,0,BX288/CE288*(CE288-0.1))</f>
        <v/>
      </c>
      <c r="CG288" s="34">
        <f>IF((CF288)&lt;0,MAX(F288:G288)*(CF288)*1.03,MIN(F288:G288)*(CF288)*0.97)</f>
        <v/>
      </c>
      <c r="CH288" s="34">
        <f>IF(CE288&gt;0.1,1,0)</f>
        <v/>
      </c>
      <c r="CI288" s="34">
        <f>(F288*BX288)-BY288</f>
        <v/>
      </c>
      <c r="CJ288" s="34">
        <f>IF(AY288=0,0,CI288/AY288)</f>
        <v/>
      </c>
    </row>
    <row r="289">
      <c r="A289" s="29">
        <f>[1]FİYATLAR!A264</f>
        <v/>
      </c>
      <c r="B289" s="29">
        <f>[1]FİYATLAR!B264</f>
        <v/>
      </c>
      <c r="C289" s="35">
        <f>INT(A289)</f>
        <v/>
      </c>
      <c r="D289" s="36">
        <f>MONTH(A289)</f>
        <v/>
      </c>
      <c r="E289" s="147">
        <f>[1]FİYATLAR!G264</f>
        <v/>
      </c>
      <c r="F289" s="30">
        <f>[1]FİYATLAR!C264</f>
        <v/>
      </c>
      <c r="G289" s="30">
        <f>[1]FİYATLAR!E264</f>
        <v/>
      </c>
      <c r="H289" s="30">
        <f>[1]FİYATLAR!D264</f>
        <v/>
      </c>
      <c r="I289" s="30">
        <f>[1]FİYATLAR!F264</f>
        <v/>
      </c>
      <c r="J289" s="119" t="n">
        <v>0</v>
      </c>
      <c r="K289" s="34">
        <f>F289*J289</f>
        <v/>
      </c>
      <c r="L289" s="119" t="n"/>
      <c r="M289" s="34">
        <f>L289*F289</f>
        <v/>
      </c>
      <c r="N289" s="119" t="n"/>
      <c r="O289" s="34">
        <f>F289</f>
        <v/>
      </c>
      <c r="P289" s="34">
        <f>N289*O289</f>
        <v/>
      </c>
      <c r="Q289" s="117" t="n">
        <v>0</v>
      </c>
      <c r="R289" s="34">
        <f>F289</f>
        <v/>
      </c>
      <c r="S289" s="34">
        <f>R289*Q289</f>
        <v/>
      </c>
      <c r="T289" s="34">
        <f>SUMIFS('[1]GİP VERİLERİ'!$C:$C,'[1]GİP VERİLERİ'!$B:$B,A289,'[1]GİP VERİLERİ'!$M:$M,"40X000000104782K",'[1]GİP VERİLERİ'!$G:$G,"SELL")</f>
        <v/>
      </c>
      <c r="U289" s="34">
        <f>IFERROR(W289/T289,0)</f>
        <v/>
      </c>
      <c r="V289" s="34">
        <f>IF(U289=0,0,U289-F289)</f>
        <v/>
      </c>
      <c r="W289" s="34">
        <f>SUMIFS('[1]GİP VERİLERİ'!$O:$O,'[1]GİP VERİLERİ'!$B:$B,A289,'[1]GİP VERİLERİ'!$M:$M,"40X000000104782K",'[1]GİP VERİLERİ'!$G:$G,"SELL")</f>
        <v/>
      </c>
      <c r="X289" s="34">
        <f>SUMIFS('[1]GİP VERİLERİ'!$C:$C,'[1]GİP VERİLERİ'!$B:$B,A289,'[1]GİP VERİLERİ'!$M:$M,"40X000000104782K",'[1]GİP VERİLERİ'!$G:$G,"BUY")</f>
        <v/>
      </c>
      <c r="Y289" s="34">
        <f>IFERROR(AA289/X289,0)</f>
        <v/>
      </c>
      <c r="Z289" s="34">
        <f>IF(Y289=0,0,F289-Y289)</f>
        <v/>
      </c>
      <c r="AA289" s="34">
        <f>SUMIFS('[1]GİP VERİLERİ'!$O:$O,'[1]GİP VERİLERİ'!$B:$B,A289,'[1]GİP VERİLERİ'!$M:$M,"40X000000104782K",'[1]GİP VERİLERİ'!$G:$G,"BUY")</f>
        <v/>
      </c>
      <c r="AB289" s="34">
        <f>'[1]GÖP VERİLERİ'!H290</f>
        <v/>
      </c>
      <c r="AC289" s="34">
        <f>'[1]GÖP VERİLERİ'!I290</f>
        <v/>
      </c>
      <c r="AD289" s="34">
        <f>IF(AB289&gt;AC289*1.05,AB289-AC289*1.05,IF(AB289&lt;AC289*0.95,AC289*0.95-AB289,0))</f>
        <v/>
      </c>
      <c r="AE289" s="34">
        <f>MAX(F289,G289,750)*0.05*AD289</f>
        <v/>
      </c>
      <c r="AF289" s="34">
        <f>'[1]GÖP VERİLERİ'!J290</f>
        <v/>
      </c>
      <c r="AG289" s="34">
        <f>IF(AB289&gt;AF289*1.05,AB289-AF289*1.05,IF(AB289&lt;AF289*0.95,AF289*0.95-AB289,0))</f>
        <v/>
      </c>
      <c r="AH289" s="34">
        <f>MAX(I289,J289,750)*0.05*AG289</f>
        <v/>
      </c>
      <c r="AI289">
        <f>'[1]GÖP VERİLERİ'!E290</f>
        <v/>
      </c>
      <c r="AJ289">
        <f>'[1]GÖP VERİLERİ'!F290</f>
        <v/>
      </c>
      <c r="AK289" s="34">
        <f>IF(AI289&gt;AJ289*1.05,AI289-AJ289*1.05,IF(AI289&lt;AJ289*0.95,AJ289*0.95-AI289,0))</f>
        <v/>
      </c>
      <c r="AL289" s="34">
        <f>MAX(F289,G289,750)*0.05*AK289</f>
        <v/>
      </c>
      <c r="AM289" s="39">
        <f>'[1]GÖP VERİLERİ'!G290</f>
        <v/>
      </c>
      <c r="AN289" s="34">
        <f>IF(AI289&gt;AM289*1.05,AI289-AM289*1.05,IF(AI289&lt;AM289*0.95,AM289*0.95-AI289,0))</f>
        <v/>
      </c>
      <c r="AO289" s="34">
        <f>MAX(F289,G289,750)*0.05*AN289</f>
        <v/>
      </c>
      <c r="AP289" s="34">
        <f>'[1]GÖP VERİLERİ'!B290</f>
        <v/>
      </c>
      <c r="AQ289" s="34">
        <f>'[1]GÖP VERİLERİ'!C290</f>
        <v/>
      </c>
      <c r="AR289" s="34">
        <f>IF(AP289&gt;AQ289*1.05,AP289-AQ289*1.05,IF(AP289&lt;AQ289*0.95,AQ289*0.95-AP289,0))</f>
        <v/>
      </c>
      <c r="AS289" s="34">
        <f>MAX(F289:G289,750)*0.05*AR289</f>
        <v/>
      </c>
      <c r="AT289">
        <f>'[1]GÖP VERİLERİ'!D290</f>
        <v/>
      </c>
      <c r="AU289" s="34">
        <f>IF(AP289&gt;AT289*1.05,AP289-AT289*1.05,IF(AP289&lt;AT289*0.95,AT289*0.95-AP289,0))</f>
        <v/>
      </c>
      <c r="AV289" s="34">
        <f>MAX(F289:G289,750)*0.05*AU289</f>
        <v/>
      </c>
      <c r="AW289" s="34">
        <f>AC289+AJ289+AQ289</f>
        <v/>
      </c>
      <c r="AX289" s="34">
        <f>AF289+AM289+AT289</f>
        <v/>
      </c>
      <c r="AY289" s="34">
        <f>AB289+AI289+AP289</f>
        <v/>
      </c>
      <c r="AZ289" s="34" t="n">
        <v>0</v>
      </c>
      <c r="BA289" s="34">
        <f>AD289+AK289+AR289</f>
        <v/>
      </c>
      <c r="BB289" s="34">
        <f>MAX(F289:G289,750)*0.05*BA289</f>
        <v/>
      </c>
      <c r="BC289" s="34">
        <f>AG289+AN289+AU289</f>
        <v/>
      </c>
      <c r="BD289" s="34">
        <f>MAX(F289:G289,750)*0.05*BC289</f>
        <v/>
      </c>
      <c r="BE289" s="34">
        <f>F289*AY289</f>
        <v/>
      </c>
      <c r="BF289" s="34">
        <f>K289-M289</f>
        <v/>
      </c>
      <c r="BG289" s="34">
        <f>P289-S289</f>
        <v/>
      </c>
      <c r="BH289" s="34">
        <f>W289-AA289</f>
        <v/>
      </c>
      <c r="BI289" s="34">
        <f>BF289+BG289+BL289-BN289</f>
        <v/>
      </c>
      <c r="BJ289" s="34">
        <f>ABS(BK289)</f>
        <v/>
      </c>
      <c r="BK289" s="34">
        <f>AY289-(J289-L289+N289-Q289)</f>
        <v/>
      </c>
      <c r="BL289" s="34">
        <f>IF(AND(BK289&gt;0,MIN($F289:$G289)&lt;150,$E289="Enerji Açığı"),-100*BK289*1.03,IF(AND(BK289&gt;0,MIN($F289:$G289)&lt;150,$E289="Enerji Fazlası"),-100*BK289*1.06,IF(AND(BK289&gt;0,MIN($F289:$G289)&gt;=150,$E289="Enerji Açığı"),BK289*MIN($F289:$G289)*0.97,IF(AND(BK289&gt;0,MIN($F289:$G289)&gt;=150,$E289="Enerji Fazlası"),BK289*MIN($F289:$G289)*0.94,IF(AND(BK289&lt;0,MAX($F289:$G289)=4500,$E289="Enerji Açığı"),4500*1.05*1.06*BK289,IF(AND(BK289&lt;0,MAX($F289:$G289)=4500,$E289="Enerji Fazlası"),4500*1.05*1.03*BK289,IF(AND(BK289&lt;0,$E289="Enerji Açığı"),MAX($F289,$G289,150)*BK289*1.06,IF(AND(BK289&lt;0,$E289="Enerji Fazlası"),MAX($F289,$G289,150)*BK289*1.03,IF(AND(BK289&lt;0,$E289="Dengede"),MAX($F289:$G289,150)*1.03*BK289,MIN($F289:$G289)*0.97*BK289)))))))))</f>
        <v/>
      </c>
      <c r="BM289" s="34">
        <f>BE289-BI289-BN289</f>
        <v/>
      </c>
      <c r="BN289" s="34">
        <f>BB289</f>
        <v/>
      </c>
      <c r="BO289" s="34">
        <f>BE289-BI289</f>
        <v/>
      </c>
      <c r="BP289" s="34">
        <f>IF(AY289=0,0,BO289/AY289)</f>
        <v/>
      </c>
      <c r="BQ289" s="34">
        <f>MAX((AY289+MAX((-J289+L289-N289+Q289),0)),(MAX((J289-L289+N289-Q289),0)))</f>
        <v/>
      </c>
      <c r="BR289" s="82">
        <f>IFERROR(ABS(BK289/BQ289),0)</f>
        <v/>
      </c>
      <c r="BS289" s="34">
        <f>IF(BR289&lt;=0.1,0,BK289/BR289*(BR289-0.1))</f>
        <v/>
      </c>
      <c r="BT289" s="34">
        <f>IF((BS289)&lt;0,MAX(F289:G289)*(BS289)*1.03,MIN(F289:G289)*(BS289)*0.97)</f>
        <v/>
      </c>
      <c r="BU289" s="34">
        <f>IF(BR289&gt;0.1,1,0)</f>
        <v/>
      </c>
      <c r="BV289" s="34">
        <f>BF289+BG289+BH289+BY289-CA289</f>
        <v/>
      </c>
      <c r="BW289" s="34">
        <f>ABS(BX289)</f>
        <v/>
      </c>
      <c r="BX289" s="34">
        <f>AY289-(J289-L289+N289-Q289+T289-X289)</f>
        <v/>
      </c>
      <c r="BY289" s="34">
        <f>IF(AND(BX289&gt;0,MIN($F289:$G289)&lt;150,$E289="Enerji Açığı"),-100*BX289*1.03,IF(AND(BX289&gt;0,MIN($F289:$G289)&lt;150,$E289="Enerji Fazlası"),-100*BX289*1.06,IF(AND(BX289&gt;0,MIN($F289:$G289)&gt;=150,$E289="Enerji Açığı"),BX289*MIN($F289:$G289)*0.97,IF(AND(BX289&gt;0,MIN($F289:$G289)&gt;=150,$E289="Enerji Fazlası"),BX289*MIN($F289:$G289)*0.94,IF(AND(BX289&lt;0,MAX($F289:$G289)=4500,$E289="Enerji Açığı"),4500*1.05*1.06*BX289,IF(AND(BX289&lt;0,MAX($F289:$G289)=4500,$E289="Enerji Fazlası"),4500*1.05*1.03*BX289,IF(AND(BX289&lt;0,$E289="Enerji Açığı"),MAX($F289,$G289,150)*BX289*1.06,IF(AND(BX289&lt;0,$E289="Enerji Fazlası"),MAX($F289,$G289,150)*BX289*1.03,IF(AND(BX289&lt;0,$E289="Dengede"),MAX($F289:$G289,150)*1.03*BX289,MIN($F289:$G289)*0.97*BX289)))))))))</f>
        <v/>
      </c>
      <c r="BZ289" s="34">
        <f>BE289-BV289-CA289</f>
        <v/>
      </c>
      <c r="CA289" s="34">
        <f>BD289</f>
        <v/>
      </c>
      <c r="CB289" s="33">
        <f>BE289-BV289</f>
        <v/>
      </c>
      <c r="CC289" s="34">
        <f>IF(AY289=0,0,CB289/AY289)</f>
        <v/>
      </c>
      <c r="CD289" s="34">
        <f>MAX((AY289+MAX((-J289+L289-N289+Q289-T289+X289),0)),(MAX((J289-L289+N289-Q289+T289-X289),0)))</f>
        <v/>
      </c>
      <c r="CE289" s="82">
        <f>IFERROR(ABS(BX289/CD289),0)</f>
        <v/>
      </c>
      <c r="CF289" s="34">
        <f>IF(CE289&lt;=0.1,0,BX289/CE289*(CE289-0.1))</f>
        <v/>
      </c>
      <c r="CG289" s="34">
        <f>IF((CF289)&lt;0,MAX(F289:G289)*(CF289)*1.03,MIN(F289:G289)*(CF289)*0.97)</f>
        <v/>
      </c>
      <c r="CH289" s="34">
        <f>IF(CE289&gt;0.1,1,0)</f>
        <v/>
      </c>
      <c r="CI289" s="34">
        <f>(F289*BX289)-BY289</f>
        <v/>
      </c>
      <c r="CJ289" s="34">
        <f>IF(AY289=0,0,CI289/AY289)</f>
        <v/>
      </c>
    </row>
    <row r="290">
      <c r="A290" s="29">
        <f>[1]FİYATLAR!A265</f>
        <v/>
      </c>
      <c r="B290" s="29">
        <f>[1]FİYATLAR!B265</f>
        <v/>
      </c>
      <c r="C290" s="35">
        <f>INT(A290)</f>
        <v/>
      </c>
      <c r="D290" s="36">
        <f>MONTH(A290)</f>
        <v/>
      </c>
      <c r="E290" s="147">
        <f>[1]FİYATLAR!G265</f>
        <v/>
      </c>
      <c r="F290" s="30">
        <f>[1]FİYATLAR!C265</f>
        <v/>
      </c>
      <c r="G290" s="30">
        <f>[1]FİYATLAR!E265</f>
        <v/>
      </c>
      <c r="H290" s="30">
        <f>[1]FİYATLAR!D265</f>
        <v/>
      </c>
      <c r="I290" s="30">
        <f>[1]FİYATLAR!F265</f>
        <v/>
      </c>
      <c r="J290" s="119" t="n">
        <v>0</v>
      </c>
      <c r="K290" s="34">
        <f>F290*J290</f>
        <v/>
      </c>
      <c r="L290" s="119" t="n"/>
      <c r="M290" s="34">
        <f>L290*F290</f>
        <v/>
      </c>
      <c r="N290" s="119" t="n"/>
      <c r="O290" s="34">
        <f>F290</f>
        <v/>
      </c>
      <c r="P290" s="34">
        <f>N290*O290</f>
        <v/>
      </c>
      <c r="Q290" s="117" t="n">
        <v>0</v>
      </c>
      <c r="R290" s="34">
        <f>F290</f>
        <v/>
      </c>
      <c r="S290" s="34">
        <f>R290*Q290</f>
        <v/>
      </c>
      <c r="T290" s="34">
        <f>SUMIFS('[1]GİP VERİLERİ'!$C:$C,'[1]GİP VERİLERİ'!$B:$B,A290,'[1]GİP VERİLERİ'!$M:$M,"40X000000104782K",'[1]GİP VERİLERİ'!$G:$G,"SELL")</f>
        <v/>
      </c>
      <c r="U290" s="34">
        <f>IFERROR(W290/T290,0)</f>
        <v/>
      </c>
      <c r="V290" s="34">
        <f>IF(U290=0,0,U290-F290)</f>
        <v/>
      </c>
      <c r="W290" s="34">
        <f>SUMIFS('[1]GİP VERİLERİ'!$O:$O,'[1]GİP VERİLERİ'!$B:$B,A290,'[1]GİP VERİLERİ'!$M:$M,"40X000000104782K",'[1]GİP VERİLERİ'!$G:$G,"SELL")</f>
        <v/>
      </c>
      <c r="X290" s="34">
        <f>SUMIFS('[1]GİP VERİLERİ'!$C:$C,'[1]GİP VERİLERİ'!$B:$B,A290,'[1]GİP VERİLERİ'!$M:$M,"40X000000104782K",'[1]GİP VERİLERİ'!$G:$G,"BUY")</f>
        <v/>
      </c>
      <c r="Y290" s="34">
        <f>IFERROR(AA290/X290,0)</f>
        <v/>
      </c>
      <c r="Z290" s="34">
        <f>IF(Y290=0,0,F290-Y290)</f>
        <v/>
      </c>
      <c r="AA290" s="34">
        <f>SUMIFS('[1]GİP VERİLERİ'!$O:$O,'[1]GİP VERİLERİ'!$B:$B,A290,'[1]GİP VERİLERİ'!$M:$M,"40X000000104782K",'[1]GİP VERİLERİ'!$G:$G,"BUY")</f>
        <v/>
      </c>
      <c r="AB290" s="34">
        <f>'[1]GÖP VERİLERİ'!H291</f>
        <v/>
      </c>
      <c r="AC290" s="34">
        <f>'[1]GÖP VERİLERİ'!I291</f>
        <v/>
      </c>
      <c r="AD290" s="34">
        <f>IF(AB290&gt;AC290*1.05,AB290-AC290*1.05,IF(AB290&lt;AC290*0.95,AC290*0.95-AB290,0))</f>
        <v/>
      </c>
      <c r="AE290" s="34">
        <f>MAX(F290,G290,750)*0.05*AD290</f>
        <v/>
      </c>
      <c r="AF290" s="34">
        <f>'[1]GÖP VERİLERİ'!J291</f>
        <v/>
      </c>
      <c r="AG290" s="34">
        <f>IF(AB290&gt;AF290*1.05,AB290-AF290*1.05,IF(AB290&lt;AF290*0.95,AF290*0.95-AB290,0))</f>
        <v/>
      </c>
      <c r="AH290" s="34">
        <f>MAX(I290,J290,750)*0.05*AG290</f>
        <v/>
      </c>
      <c r="AI290">
        <f>'[1]GÖP VERİLERİ'!E291</f>
        <v/>
      </c>
      <c r="AJ290">
        <f>'[1]GÖP VERİLERİ'!F291</f>
        <v/>
      </c>
      <c r="AK290" s="34">
        <f>IF(AI290&gt;AJ290*1.05,AI290-AJ290*1.05,IF(AI290&lt;AJ290*0.95,AJ290*0.95-AI290,0))</f>
        <v/>
      </c>
      <c r="AL290" s="34">
        <f>MAX(F290,G290,750)*0.05*AK290</f>
        <v/>
      </c>
      <c r="AM290" s="39">
        <f>'[1]GÖP VERİLERİ'!G291</f>
        <v/>
      </c>
      <c r="AN290" s="34">
        <f>IF(AI290&gt;AM290*1.05,AI290-AM290*1.05,IF(AI290&lt;AM290*0.95,AM290*0.95-AI290,0))</f>
        <v/>
      </c>
      <c r="AO290" s="34">
        <f>MAX(F290,G290,750)*0.05*AN290</f>
        <v/>
      </c>
      <c r="AP290" s="34">
        <f>'[1]GÖP VERİLERİ'!B291</f>
        <v/>
      </c>
      <c r="AQ290" s="34">
        <f>'[1]GÖP VERİLERİ'!C291</f>
        <v/>
      </c>
      <c r="AR290" s="34">
        <f>IF(AP290&gt;AQ290*1.05,AP290-AQ290*1.05,IF(AP290&lt;AQ290*0.95,AQ290*0.95-AP290,0))</f>
        <v/>
      </c>
      <c r="AS290" s="34">
        <f>MAX(F290:G290,750)*0.05*AR290</f>
        <v/>
      </c>
      <c r="AT290">
        <f>'[1]GÖP VERİLERİ'!D291</f>
        <v/>
      </c>
      <c r="AU290" s="34">
        <f>IF(AP290&gt;AT290*1.05,AP290-AT290*1.05,IF(AP290&lt;AT290*0.95,AT290*0.95-AP290,0))</f>
        <v/>
      </c>
      <c r="AV290" s="34">
        <f>MAX(F290:G290,750)*0.05*AU290</f>
        <v/>
      </c>
      <c r="AW290" s="34">
        <f>AC290+AJ290+AQ290</f>
        <v/>
      </c>
      <c r="AX290" s="34">
        <f>AF290+AM290+AT290</f>
        <v/>
      </c>
      <c r="AY290" s="34">
        <f>AB290+AI290+AP290</f>
        <v/>
      </c>
      <c r="AZ290" s="34" t="n">
        <v>0</v>
      </c>
      <c r="BA290" s="34">
        <f>AD290+AK290+AR290</f>
        <v/>
      </c>
      <c r="BB290" s="34">
        <f>MAX(F290:G290,750)*0.05*BA290</f>
        <v/>
      </c>
      <c r="BC290" s="34">
        <f>AG290+AN290+AU290</f>
        <v/>
      </c>
      <c r="BD290" s="34">
        <f>MAX(F290:G290,750)*0.05*BC290</f>
        <v/>
      </c>
      <c r="BE290" s="34">
        <f>F290*AY290</f>
        <v/>
      </c>
      <c r="BF290" s="34">
        <f>K290-M290</f>
        <v/>
      </c>
      <c r="BG290" s="34">
        <f>P290-S290</f>
        <v/>
      </c>
      <c r="BH290" s="34">
        <f>W290-AA290</f>
        <v/>
      </c>
      <c r="BI290" s="34">
        <f>BF290+BG290+BL290-BN290</f>
        <v/>
      </c>
      <c r="BJ290" s="34">
        <f>ABS(BK290)</f>
        <v/>
      </c>
      <c r="BK290" s="34">
        <f>AY290-(J290-L290+N290-Q290)</f>
        <v/>
      </c>
      <c r="BL290" s="34">
        <f>IF(AND(BK290&gt;0,MIN($F290:$G290)&lt;150,$E290="Enerji Açığı"),-100*BK290*1.03,IF(AND(BK290&gt;0,MIN($F290:$G290)&lt;150,$E290="Enerji Fazlası"),-100*BK290*1.06,IF(AND(BK290&gt;0,MIN($F290:$G290)&gt;=150,$E290="Enerji Açığı"),BK290*MIN($F290:$G290)*0.97,IF(AND(BK290&gt;0,MIN($F290:$G290)&gt;=150,$E290="Enerji Fazlası"),BK290*MIN($F290:$G290)*0.94,IF(AND(BK290&lt;0,MAX($F290:$G290)=4500,$E290="Enerji Açığı"),4500*1.05*1.06*BK290,IF(AND(BK290&lt;0,MAX($F290:$G290)=4500,$E290="Enerji Fazlası"),4500*1.05*1.03*BK290,IF(AND(BK290&lt;0,$E290="Enerji Açığı"),MAX($F290,$G290,150)*BK290*1.06,IF(AND(BK290&lt;0,$E290="Enerji Fazlası"),MAX($F290,$G290,150)*BK290*1.03,IF(AND(BK290&lt;0,$E290="Dengede"),MAX($F290:$G290,150)*1.03*BK290,MIN($F290:$G290)*0.97*BK290)))))))))</f>
        <v/>
      </c>
      <c r="BM290" s="34">
        <f>BE290-BI290-BN290</f>
        <v/>
      </c>
      <c r="BN290" s="34">
        <f>BB290</f>
        <v/>
      </c>
      <c r="BO290" s="34">
        <f>BE290-BI290</f>
        <v/>
      </c>
      <c r="BP290" s="34">
        <f>IF(AY290=0,0,BO290/AY290)</f>
        <v/>
      </c>
      <c r="BQ290" s="34">
        <f>MAX((AY290+MAX((-J290+L290-N290+Q290),0)),(MAX((J290-L290+N290-Q290),0)))</f>
        <v/>
      </c>
      <c r="BR290" s="82">
        <f>IFERROR(ABS(BK290/BQ290),0)</f>
        <v/>
      </c>
      <c r="BS290" s="34">
        <f>IF(BR290&lt;=0.1,0,BK290/BR290*(BR290-0.1))</f>
        <v/>
      </c>
      <c r="BT290" s="34">
        <f>IF((BS290)&lt;0,MAX(F290:G290)*(BS290)*1.03,MIN(F290:G290)*(BS290)*0.97)</f>
        <v/>
      </c>
      <c r="BU290" s="34">
        <f>IF(BR290&gt;0.1,1,0)</f>
        <v/>
      </c>
      <c r="BV290" s="34">
        <f>BF290+BG290+BH290+BY290-CA290</f>
        <v/>
      </c>
      <c r="BW290" s="34">
        <f>ABS(BX290)</f>
        <v/>
      </c>
      <c r="BX290" s="34">
        <f>AY290-(J290-L290+N290-Q290+T290-X290)</f>
        <v/>
      </c>
      <c r="BY290" s="34">
        <f>IF(AND(BX290&gt;0,MIN($F290:$G290)&lt;150,$E290="Enerji Açığı"),-100*BX290*1.03,IF(AND(BX290&gt;0,MIN($F290:$G290)&lt;150,$E290="Enerji Fazlası"),-100*BX290*1.06,IF(AND(BX290&gt;0,MIN($F290:$G290)&gt;=150,$E290="Enerji Açığı"),BX290*MIN($F290:$G290)*0.97,IF(AND(BX290&gt;0,MIN($F290:$G290)&gt;=150,$E290="Enerji Fazlası"),BX290*MIN($F290:$G290)*0.94,IF(AND(BX290&lt;0,MAX($F290:$G290)=4500,$E290="Enerji Açığı"),4500*1.05*1.06*BX290,IF(AND(BX290&lt;0,MAX($F290:$G290)=4500,$E290="Enerji Fazlası"),4500*1.05*1.03*BX290,IF(AND(BX290&lt;0,$E290="Enerji Açığı"),MAX($F290,$G290,150)*BX290*1.06,IF(AND(BX290&lt;0,$E290="Enerji Fazlası"),MAX($F290,$G290,150)*BX290*1.03,IF(AND(BX290&lt;0,$E290="Dengede"),MAX($F290:$G290,150)*1.03*BX290,MIN($F290:$G290)*0.97*BX290)))))))))</f>
        <v/>
      </c>
      <c r="BZ290" s="34">
        <f>BE290-BV290-CA290</f>
        <v/>
      </c>
      <c r="CA290" s="34">
        <f>BD290</f>
        <v/>
      </c>
      <c r="CB290" s="33">
        <f>BE290-BV290</f>
        <v/>
      </c>
      <c r="CC290" s="34">
        <f>IF(AY290=0,0,CB290/AY290)</f>
        <v/>
      </c>
      <c r="CD290" s="34">
        <f>MAX((AY290+MAX((-J290+L290-N290+Q290-T290+X290),0)),(MAX((J290-L290+N290-Q290+T290-X290),0)))</f>
        <v/>
      </c>
      <c r="CE290" s="82">
        <f>IFERROR(ABS(BX290/CD290),0)</f>
        <v/>
      </c>
      <c r="CF290" s="34">
        <f>IF(CE290&lt;=0.1,0,BX290/CE290*(CE290-0.1))</f>
        <v/>
      </c>
      <c r="CG290" s="34">
        <f>IF((CF290)&lt;0,MAX(F290:G290)*(CF290)*1.03,MIN(F290:G290)*(CF290)*0.97)</f>
        <v/>
      </c>
      <c r="CH290" s="34">
        <f>IF(CE290&gt;0.1,1,0)</f>
        <v/>
      </c>
      <c r="CI290" s="34">
        <f>(F290*BX290)-BY290</f>
        <v/>
      </c>
      <c r="CJ290" s="34">
        <f>IF(AY290=0,0,CI290/AY290)</f>
        <v/>
      </c>
    </row>
    <row r="291">
      <c r="A291" s="29">
        <f>[1]FİYATLAR!A266</f>
        <v/>
      </c>
      <c r="B291" s="29">
        <f>[1]FİYATLAR!B266</f>
        <v/>
      </c>
      <c r="C291" s="35">
        <f>INT(A291)</f>
        <v/>
      </c>
      <c r="D291" s="36">
        <f>MONTH(A291)</f>
        <v/>
      </c>
      <c r="E291" s="147">
        <f>[1]FİYATLAR!G266</f>
        <v/>
      </c>
      <c r="F291" s="30">
        <f>[1]FİYATLAR!C266</f>
        <v/>
      </c>
      <c r="G291" s="30">
        <f>[1]FİYATLAR!E266</f>
        <v/>
      </c>
      <c r="H291" s="30">
        <f>[1]FİYATLAR!D266</f>
        <v/>
      </c>
      <c r="I291" s="30">
        <f>[1]FİYATLAR!F266</f>
        <v/>
      </c>
      <c r="J291" s="119" t="n">
        <v>0</v>
      </c>
      <c r="K291" s="34">
        <f>F291*J291</f>
        <v/>
      </c>
      <c r="L291" s="119" t="n"/>
      <c r="M291" s="34">
        <f>L291*F291</f>
        <v/>
      </c>
      <c r="N291" s="119" t="n"/>
      <c r="O291" s="34">
        <f>F291</f>
        <v/>
      </c>
      <c r="P291" s="34">
        <f>N291*O291</f>
        <v/>
      </c>
      <c r="Q291" s="117" t="n">
        <v>0</v>
      </c>
      <c r="R291" s="34">
        <f>F291</f>
        <v/>
      </c>
      <c r="S291" s="34">
        <f>R291*Q291</f>
        <v/>
      </c>
      <c r="T291" s="34">
        <f>SUMIFS('[1]GİP VERİLERİ'!$C:$C,'[1]GİP VERİLERİ'!$B:$B,A291,'[1]GİP VERİLERİ'!$M:$M,"40X000000104782K",'[1]GİP VERİLERİ'!$G:$G,"SELL")</f>
        <v/>
      </c>
      <c r="U291" s="34">
        <f>IFERROR(W291/T291,0)</f>
        <v/>
      </c>
      <c r="V291" s="34">
        <f>IF(U291=0,0,U291-F291)</f>
        <v/>
      </c>
      <c r="W291" s="34">
        <f>SUMIFS('[1]GİP VERİLERİ'!$O:$O,'[1]GİP VERİLERİ'!$B:$B,A291,'[1]GİP VERİLERİ'!$M:$M,"40X000000104782K",'[1]GİP VERİLERİ'!$G:$G,"SELL")</f>
        <v/>
      </c>
      <c r="X291" s="34">
        <f>SUMIFS('[1]GİP VERİLERİ'!$C:$C,'[1]GİP VERİLERİ'!$B:$B,A291,'[1]GİP VERİLERİ'!$M:$M,"40X000000104782K",'[1]GİP VERİLERİ'!$G:$G,"BUY")</f>
        <v/>
      </c>
      <c r="Y291" s="34">
        <f>IFERROR(AA291/X291,0)</f>
        <v/>
      </c>
      <c r="Z291" s="34">
        <f>IF(Y291=0,0,F291-Y291)</f>
        <v/>
      </c>
      <c r="AA291" s="34">
        <f>SUMIFS('[1]GİP VERİLERİ'!$O:$O,'[1]GİP VERİLERİ'!$B:$B,A291,'[1]GİP VERİLERİ'!$M:$M,"40X000000104782K",'[1]GİP VERİLERİ'!$G:$G,"BUY")</f>
        <v/>
      </c>
      <c r="AB291" s="34">
        <f>'[1]GÖP VERİLERİ'!H292</f>
        <v/>
      </c>
      <c r="AC291" s="34">
        <f>'[1]GÖP VERİLERİ'!I292</f>
        <v/>
      </c>
      <c r="AD291" s="34">
        <f>IF(AB291&gt;AC291*1.05,AB291-AC291*1.05,IF(AB291&lt;AC291*0.95,AC291*0.95-AB291,0))</f>
        <v/>
      </c>
      <c r="AE291" s="34">
        <f>MAX(F291,G291,750)*0.05*AD291</f>
        <v/>
      </c>
      <c r="AF291" s="34">
        <f>'[1]GÖP VERİLERİ'!J292</f>
        <v/>
      </c>
      <c r="AG291" s="34">
        <f>IF(AB291&gt;AF291*1.05,AB291-AF291*1.05,IF(AB291&lt;AF291*0.95,AF291*0.95-AB291,0))</f>
        <v/>
      </c>
      <c r="AH291" s="34">
        <f>MAX(I291,J291,750)*0.05*AG291</f>
        <v/>
      </c>
      <c r="AI291">
        <f>'[1]GÖP VERİLERİ'!E292</f>
        <v/>
      </c>
      <c r="AJ291">
        <f>'[1]GÖP VERİLERİ'!F292</f>
        <v/>
      </c>
      <c r="AK291" s="34">
        <f>IF(AI291&gt;AJ291*1.05,AI291-AJ291*1.05,IF(AI291&lt;AJ291*0.95,AJ291*0.95-AI291,0))</f>
        <v/>
      </c>
      <c r="AL291" s="34">
        <f>MAX(F291,G291,750)*0.05*AK291</f>
        <v/>
      </c>
      <c r="AM291" s="39">
        <f>'[1]GÖP VERİLERİ'!G292</f>
        <v/>
      </c>
      <c r="AN291" s="34">
        <f>IF(AI291&gt;AM291*1.05,AI291-AM291*1.05,IF(AI291&lt;AM291*0.95,AM291*0.95-AI291,0))</f>
        <v/>
      </c>
      <c r="AO291" s="34">
        <f>MAX(F291,G291,750)*0.05*AN291</f>
        <v/>
      </c>
      <c r="AP291" s="34">
        <f>'[1]GÖP VERİLERİ'!B292</f>
        <v/>
      </c>
      <c r="AQ291" s="34">
        <f>'[1]GÖP VERİLERİ'!C292</f>
        <v/>
      </c>
      <c r="AR291" s="34">
        <f>IF(AP291&gt;AQ291*1.05,AP291-AQ291*1.05,IF(AP291&lt;AQ291*0.95,AQ291*0.95-AP291,0))</f>
        <v/>
      </c>
      <c r="AS291" s="34">
        <f>MAX(F291:G291,750)*0.05*AR291</f>
        <v/>
      </c>
      <c r="AT291">
        <f>'[1]GÖP VERİLERİ'!D292</f>
        <v/>
      </c>
      <c r="AU291" s="34">
        <f>IF(AP291&gt;AT291*1.05,AP291-AT291*1.05,IF(AP291&lt;AT291*0.95,AT291*0.95-AP291,0))</f>
        <v/>
      </c>
      <c r="AV291" s="34">
        <f>MAX(F291:G291,750)*0.05*AU291</f>
        <v/>
      </c>
      <c r="AW291" s="34">
        <f>AC291+AJ291+AQ291</f>
        <v/>
      </c>
      <c r="AX291" s="34">
        <f>AF291+AM291+AT291</f>
        <v/>
      </c>
      <c r="AY291" s="34">
        <f>AB291+AI291+AP291</f>
        <v/>
      </c>
      <c r="AZ291" s="34" t="n">
        <v>0</v>
      </c>
      <c r="BA291" s="34">
        <f>AD291+AK291+AR291</f>
        <v/>
      </c>
      <c r="BB291" s="34">
        <f>MAX(F291:G291,750)*0.05*BA291</f>
        <v/>
      </c>
      <c r="BC291" s="34">
        <f>AG291+AN291+AU291</f>
        <v/>
      </c>
      <c r="BD291" s="34">
        <f>MAX(F291:G291,750)*0.05*BC291</f>
        <v/>
      </c>
      <c r="BE291" s="34">
        <f>F291*AY291</f>
        <v/>
      </c>
      <c r="BF291" s="34">
        <f>K291-M291</f>
        <v/>
      </c>
      <c r="BG291" s="34">
        <f>P291-S291</f>
        <v/>
      </c>
      <c r="BH291" s="34">
        <f>W291-AA291</f>
        <v/>
      </c>
      <c r="BI291" s="34">
        <f>BF291+BG291+BL291-BN291</f>
        <v/>
      </c>
      <c r="BJ291" s="34">
        <f>ABS(BK291)</f>
        <v/>
      </c>
      <c r="BK291" s="34">
        <f>AY291-(J291-L291+N291-Q291)</f>
        <v/>
      </c>
      <c r="BL291" s="34">
        <f>IF(AND(BK291&gt;0,MIN($F291:$G291)&lt;150,$E291="Enerji Açığı"),-100*BK291*1.03,IF(AND(BK291&gt;0,MIN($F291:$G291)&lt;150,$E291="Enerji Fazlası"),-100*BK291*1.06,IF(AND(BK291&gt;0,MIN($F291:$G291)&gt;=150,$E291="Enerji Açığı"),BK291*MIN($F291:$G291)*0.97,IF(AND(BK291&gt;0,MIN($F291:$G291)&gt;=150,$E291="Enerji Fazlası"),BK291*MIN($F291:$G291)*0.94,IF(AND(BK291&lt;0,MAX($F291:$G291)=4500,$E291="Enerji Açığı"),4500*1.05*1.06*BK291,IF(AND(BK291&lt;0,MAX($F291:$G291)=4500,$E291="Enerji Fazlası"),4500*1.05*1.03*BK291,IF(AND(BK291&lt;0,$E291="Enerji Açığı"),MAX($F291,$G291,150)*BK291*1.06,IF(AND(BK291&lt;0,$E291="Enerji Fazlası"),MAX($F291,$G291,150)*BK291*1.03,IF(AND(BK291&lt;0,$E291="Dengede"),MAX($F291:$G291,150)*1.03*BK291,MIN($F291:$G291)*0.97*BK291)))))))))</f>
        <v/>
      </c>
      <c r="BM291" s="34">
        <f>BE291-BI291-BN291</f>
        <v/>
      </c>
      <c r="BN291" s="34">
        <f>BB291</f>
        <v/>
      </c>
      <c r="BO291" s="34">
        <f>BE291-BI291</f>
        <v/>
      </c>
      <c r="BP291" s="34">
        <f>IF(AY291=0,0,BO291/AY291)</f>
        <v/>
      </c>
      <c r="BQ291" s="34">
        <f>MAX((AY291+MAX((-J291+L291-N291+Q291),0)),(MAX((J291-L291+N291-Q291),0)))</f>
        <v/>
      </c>
      <c r="BR291" s="82">
        <f>IFERROR(ABS(BK291/BQ291),0)</f>
        <v/>
      </c>
      <c r="BS291" s="34">
        <f>IF(BR291&lt;=0.1,0,BK291/BR291*(BR291-0.1))</f>
        <v/>
      </c>
      <c r="BT291" s="34">
        <f>IF((BS291)&lt;0,MAX(F291:G291)*(BS291)*1.03,MIN(F291:G291)*(BS291)*0.97)</f>
        <v/>
      </c>
      <c r="BU291" s="34">
        <f>IF(BR291&gt;0.1,1,0)</f>
        <v/>
      </c>
      <c r="BV291" s="34">
        <f>BF291+BG291+BH291+BY291-CA291</f>
        <v/>
      </c>
      <c r="BW291" s="34">
        <f>ABS(BX291)</f>
        <v/>
      </c>
      <c r="BX291" s="34">
        <f>AY291-(J291-L291+N291-Q291+T291-X291)</f>
        <v/>
      </c>
      <c r="BY291" s="34">
        <f>IF(AND(BX291&gt;0,MIN($F291:$G291)&lt;150,$E291="Enerji Açığı"),-100*BX291*1.03,IF(AND(BX291&gt;0,MIN($F291:$G291)&lt;150,$E291="Enerji Fazlası"),-100*BX291*1.06,IF(AND(BX291&gt;0,MIN($F291:$G291)&gt;=150,$E291="Enerji Açığı"),BX291*MIN($F291:$G291)*0.97,IF(AND(BX291&gt;0,MIN($F291:$G291)&gt;=150,$E291="Enerji Fazlası"),BX291*MIN($F291:$G291)*0.94,IF(AND(BX291&lt;0,MAX($F291:$G291)=4500,$E291="Enerji Açığı"),4500*1.05*1.06*BX291,IF(AND(BX291&lt;0,MAX($F291:$G291)=4500,$E291="Enerji Fazlası"),4500*1.05*1.03*BX291,IF(AND(BX291&lt;0,$E291="Enerji Açığı"),MAX($F291,$G291,150)*BX291*1.06,IF(AND(BX291&lt;0,$E291="Enerji Fazlası"),MAX($F291,$G291,150)*BX291*1.03,IF(AND(BX291&lt;0,$E291="Dengede"),MAX($F291:$G291,150)*1.03*BX291,MIN($F291:$G291)*0.97*BX291)))))))))</f>
        <v/>
      </c>
      <c r="BZ291" s="34">
        <f>BE291-BV291-CA291</f>
        <v/>
      </c>
      <c r="CA291" s="34">
        <f>BD291</f>
        <v/>
      </c>
      <c r="CB291" s="33">
        <f>BE291-BV291</f>
        <v/>
      </c>
      <c r="CC291" s="34">
        <f>IF(AY291=0,0,CB291/AY291)</f>
        <v/>
      </c>
      <c r="CD291" s="34">
        <f>MAX((AY291+MAX((-J291+L291-N291+Q291-T291+X291),0)),(MAX((J291-L291+N291-Q291+T291-X291),0)))</f>
        <v/>
      </c>
      <c r="CE291" s="82">
        <f>IFERROR(ABS(BX291/CD291),0)</f>
        <v/>
      </c>
      <c r="CF291" s="34">
        <f>IF(CE291&lt;=0.1,0,BX291/CE291*(CE291-0.1))</f>
        <v/>
      </c>
      <c r="CG291" s="34">
        <f>IF((CF291)&lt;0,MAX(F291:G291)*(CF291)*1.03,MIN(F291:G291)*(CF291)*0.97)</f>
        <v/>
      </c>
      <c r="CH291" s="34">
        <f>IF(CE291&gt;0.1,1,0)</f>
        <v/>
      </c>
      <c r="CI291" s="34">
        <f>(F291*BX291)-BY291</f>
        <v/>
      </c>
      <c r="CJ291" s="34">
        <f>IF(AY291=0,0,CI291/AY291)</f>
        <v/>
      </c>
    </row>
    <row r="292">
      <c r="A292" s="29">
        <f>[1]FİYATLAR!A267</f>
        <v/>
      </c>
      <c r="B292" s="29">
        <f>[1]FİYATLAR!B267</f>
        <v/>
      </c>
      <c r="C292" s="35">
        <f>INT(A292)</f>
        <v/>
      </c>
      <c r="D292" s="36">
        <f>MONTH(A292)</f>
        <v/>
      </c>
      <c r="E292" s="147">
        <f>[1]FİYATLAR!G267</f>
        <v/>
      </c>
      <c r="F292" s="30">
        <f>[1]FİYATLAR!C267</f>
        <v/>
      </c>
      <c r="G292" s="30">
        <f>[1]FİYATLAR!E267</f>
        <v/>
      </c>
      <c r="H292" s="30">
        <f>[1]FİYATLAR!D267</f>
        <v/>
      </c>
      <c r="I292" s="30">
        <f>[1]FİYATLAR!F267</f>
        <v/>
      </c>
      <c r="J292" s="119" t="n">
        <v>0</v>
      </c>
      <c r="K292" s="34">
        <f>F292*J292</f>
        <v/>
      </c>
      <c r="L292" s="119" t="n"/>
      <c r="M292" s="34">
        <f>L292*F292</f>
        <v/>
      </c>
      <c r="N292" s="119" t="n"/>
      <c r="O292" s="34">
        <f>F292</f>
        <v/>
      </c>
      <c r="P292" s="34">
        <f>N292*O292</f>
        <v/>
      </c>
      <c r="Q292" s="117" t="n">
        <v>0</v>
      </c>
      <c r="R292" s="34">
        <f>F292</f>
        <v/>
      </c>
      <c r="S292" s="34">
        <f>R292*Q292</f>
        <v/>
      </c>
      <c r="T292" s="34">
        <f>SUMIFS('[1]GİP VERİLERİ'!$C:$C,'[1]GİP VERİLERİ'!$B:$B,A292,'[1]GİP VERİLERİ'!$M:$M,"40X000000104782K",'[1]GİP VERİLERİ'!$G:$G,"SELL")</f>
        <v/>
      </c>
      <c r="U292" s="34">
        <f>IFERROR(W292/T292,0)</f>
        <v/>
      </c>
      <c r="V292" s="34">
        <f>IF(U292=0,0,U292-F292)</f>
        <v/>
      </c>
      <c r="W292" s="34">
        <f>SUMIFS('[1]GİP VERİLERİ'!$O:$O,'[1]GİP VERİLERİ'!$B:$B,A292,'[1]GİP VERİLERİ'!$M:$M,"40X000000104782K",'[1]GİP VERİLERİ'!$G:$G,"SELL")</f>
        <v/>
      </c>
      <c r="X292" s="34">
        <f>SUMIFS('[1]GİP VERİLERİ'!$C:$C,'[1]GİP VERİLERİ'!$B:$B,A292,'[1]GİP VERİLERİ'!$M:$M,"40X000000104782K",'[1]GİP VERİLERİ'!$G:$G,"BUY")</f>
        <v/>
      </c>
      <c r="Y292" s="34">
        <f>IFERROR(AA292/X292,0)</f>
        <v/>
      </c>
      <c r="Z292" s="34">
        <f>IF(Y292=0,0,F292-Y292)</f>
        <v/>
      </c>
      <c r="AA292" s="34">
        <f>SUMIFS('[1]GİP VERİLERİ'!$O:$O,'[1]GİP VERİLERİ'!$B:$B,A292,'[1]GİP VERİLERİ'!$M:$M,"40X000000104782K",'[1]GİP VERİLERİ'!$G:$G,"BUY")</f>
        <v/>
      </c>
      <c r="AB292" s="34">
        <f>'[1]GÖP VERİLERİ'!H293</f>
        <v/>
      </c>
      <c r="AC292" s="34">
        <f>'[1]GÖP VERİLERİ'!I293</f>
        <v/>
      </c>
      <c r="AD292" s="34">
        <f>IF(AB292&gt;AC292*1.05,AB292-AC292*1.05,IF(AB292&lt;AC292*0.95,AC292*0.95-AB292,0))</f>
        <v/>
      </c>
      <c r="AE292" s="34">
        <f>MAX(F292,G292,750)*0.05*AD292</f>
        <v/>
      </c>
      <c r="AF292" s="34">
        <f>'[1]GÖP VERİLERİ'!J293</f>
        <v/>
      </c>
      <c r="AG292" s="34">
        <f>IF(AB292&gt;AF292*1.05,AB292-AF292*1.05,IF(AB292&lt;AF292*0.95,AF292*0.95-AB292,0))</f>
        <v/>
      </c>
      <c r="AH292" s="34">
        <f>MAX(I292,J292,750)*0.05*AG292</f>
        <v/>
      </c>
      <c r="AI292">
        <f>'[1]GÖP VERİLERİ'!E293</f>
        <v/>
      </c>
      <c r="AJ292">
        <f>'[1]GÖP VERİLERİ'!F293</f>
        <v/>
      </c>
      <c r="AK292" s="34">
        <f>IF(AI292&gt;AJ292*1.05,AI292-AJ292*1.05,IF(AI292&lt;AJ292*0.95,AJ292*0.95-AI292,0))</f>
        <v/>
      </c>
      <c r="AL292" s="34">
        <f>MAX(F292,G292,750)*0.05*AK292</f>
        <v/>
      </c>
      <c r="AM292" s="39">
        <f>'[1]GÖP VERİLERİ'!G293</f>
        <v/>
      </c>
      <c r="AN292" s="34">
        <f>IF(AI292&gt;AM292*1.05,AI292-AM292*1.05,IF(AI292&lt;AM292*0.95,AM292*0.95-AI292,0))</f>
        <v/>
      </c>
      <c r="AO292" s="34">
        <f>MAX(F292,G292,750)*0.05*AN292</f>
        <v/>
      </c>
      <c r="AP292" s="34">
        <f>'[1]GÖP VERİLERİ'!B293</f>
        <v/>
      </c>
      <c r="AQ292" s="34">
        <f>'[1]GÖP VERİLERİ'!C293</f>
        <v/>
      </c>
      <c r="AR292" s="34">
        <f>IF(AP292&gt;AQ292*1.05,AP292-AQ292*1.05,IF(AP292&lt;AQ292*0.95,AQ292*0.95-AP292,0))</f>
        <v/>
      </c>
      <c r="AS292" s="34">
        <f>MAX(F292:G292,750)*0.05*AR292</f>
        <v/>
      </c>
      <c r="AT292">
        <f>'[1]GÖP VERİLERİ'!D293</f>
        <v/>
      </c>
      <c r="AU292" s="34">
        <f>IF(AP292&gt;AT292*1.05,AP292-AT292*1.05,IF(AP292&lt;AT292*0.95,AT292*0.95-AP292,0))</f>
        <v/>
      </c>
      <c r="AV292" s="34">
        <f>MAX(F292:G292,750)*0.05*AU292</f>
        <v/>
      </c>
      <c r="AW292" s="34">
        <f>AC292+AJ292+AQ292</f>
        <v/>
      </c>
      <c r="AX292" s="34">
        <f>AF292+AM292+AT292</f>
        <v/>
      </c>
      <c r="AY292" s="34">
        <f>AB292+AI292+AP292</f>
        <v/>
      </c>
      <c r="AZ292" s="34" t="n">
        <v>0</v>
      </c>
      <c r="BA292" s="34">
        <f>AD292+AK292+AR292</f>
        <v/>
      </c>
      <c r="BB292" s="34">
        <f>MAX(F292:G292,750)*0.05*BA292</f>
        <v/>
      </c>
      <c r="BC292" s="34">
        <f>AG292+AN292+AU292</f>
        <v/>
      </c>
      <c r="BD292" s="34">
        <f>MAX(F292:G292,750)*0.05*BC292</f>
        <v/>
      </c>
      <c r="BE292" s="34">
        <f>F292*AY292</f>
        <v/>
      </c>
      <c r="BF292" s="34">
        <f>K292-M292</f>
        <v/>
      </c>
      <c r="BG292" s="34">
        <f>P292-S292</f>
        <v/>
      </c>
      <c r="BH292" s="34">
        <f>W292-AA292</f>
        <v/>
      </c>
      <c r="BI292" s="34">
        <f>BF292+BG292+BL292-BN292</f>
        <v/>
      </c>
      <c r="BJ292" s="34">
        <f>ABS(BK292)</f>
        <v/>
      </c>
      <c r="BK292" s="34">
        <f>AY292-(J292-L292+N292-Q292)</f>
        <v/>
      </c>
      <c r="BL292" s="34">
        <f>IF(AND(BK292&gt;0,MIN($F292:$G292)&lt;150,$E292="Enerji Açığı"),-100*BK292*1.03,IF(AND(BK292&gt;0,MIN($F292:$G292)&lt;150,$E292="Enerji Fazlası"),-100*BK292*1.06,IF(AND(BK292&gt;0,MIN($F292:$G292)&gt;=150,$E292="Enerji Açığı"),BK292*MIN($F292:$G292)*0.97,IF(AND(BK292&gt;0,MIN($F292:$G292)&gt;=150,$E292="Enerji Fazlası"),BK292*MIN($F292:$G292)*0.94,IF(AND(BK292&lt;0,MAX($F292:$G292)=4500,$E292="Enerji Açığı"),4500*1.05*1.06*BK292,IF(AND(BK292&lt;0,MAX($F292:$G292)=4500,$E292="Enerji Fazlası"),4500*1.05*1.03*BK292,IF(AND(BK292&lt;0,$E292="Enerji Açığı"),MAX($F292,$G292,150)*BK292*1.06,IF(AND(BK292&lt;0,$E292="Enerji Fazlası"),MAX($F292,$G292,150)*BK292*1.03,IF(AND(BK292&lt;0,$E292="Dengede"),MAX($F292:$G292,150)*1.03*BK292,MIN($F292:$G292)*0.97*BK292)))))))))</f>
        <v/>
      </c>
      <c r="BM292" s="34">
        <f>BE292-BI292-BN292</f>
        <v/>
      </c>
      <c r="BN292" s="34">
        <f>BB292</f>
        <v/>
      </c>
      <c r="BO292" s="34">
        <f>BE292-BI292</f>
        <v/>
      </c>
      <c r="BP292" s="34">
        <f>IF(AY292=0,0,BO292/AY292)</f>
        <v/>
      </c>
      <c r="BQ292" s="34">
        <f>MAX((AY292+MAX((-J292+L292-N292+Q292),0)),(MAX((J292-L292+N292-Q292),0)))</f>
        <v/>
      </c>
      <c r="BR292" s="82">
        <f>IFERROR(ABS(BK292/BQ292),0)</f>
        <v/>
      </c>
      <c r="BS292" s="34">
        <f>IF(BR292&lt;=0.1,0,BK292/BR292*(BR292-0.1))</f>
        <v/>
      </c>
      <c r="BT292" s="34">
        <f>IF((BS292)&lt;0,MAX(F292:G292)*(BS292)*1.03,MIN(F292:G292)*(BS292)*0.97)</f>
        <v/>
      </c>
      <c r="BU292" s="34">
        <f>IF(BR292&gt;0.1,1,0)</f>
        <v/>
      </c>
      <c r="BV292" s="34">
        <f>BF292+BG292+BH292+BY292-CA292</f>
        <v/>
      </c>
      <c r="BW292" s="34">
        <f>ABS(BX292)</f>
        <v/>
      </c>
      <c r="BX292" s="34">
        <f>AY292-(J292-L292+N292-Q292+T292-X292)</f>
        <v/>
      </c>
      <c r="BY292" s="34">
        <f>IF(AND(BX292&gt;0,MIN($F292:$G292)&lt;150,$E292="Enerji Açığı"),-100*BX292*1.03,IF(AND(BX292&gt;0,MIN($F292:$G292)&lt;150,$E292="Enerji Fazlası"),-100*BX292*1.06,IF(AND(BX292&gt;0,MIN($F292:$G292)&gt;=150,$E292="Enerji Açığı"),BX292*MIN($F292:$G292)*0.97,IF(AND(BX292&gt;0,MIN($F292:$G292)&gt;=150,$E292="Enerji Fazlası"),BX292*MIN($F292:$G292)*0.94,IF(AND(BX292&lt;0,MAX($F292:$G292)=4500,$E292="Enerji Açığı"),4500*1.05*1.06*BX292,IF(AND(BX292&lt;0,MAX($F292:$G292)=4500,$E292="Enerji Fazlası"),4500*1.05*1.03*BX292,IF(AND(BX292&lt;0,$E292="Enerji Açığı"),MAX($F292,$G292,150)*BX292*1.06,IF(AND(BX292&lt;0,$E292="Enerji Fazlası"),MAX($F292,$G292,150)*BX292*1.03,IF(AND(BX292&lt;0,$E292="Dengede"),MAX($F292:$G292,150)*1.03*BX292,MIN($F292:$G292)*0.97*BX292)))))))))</f>
        <v/>
      </c>
      <c r="BZ292" s="34">
        <f>BE292-BV292-CA292</f>
        <v/>
      </c>
      <c r="CA292" s="34">
        <f>BD292</f>
        <v/>
      </c>
      <c r="CB292" s="33">
        <f>BE292-BV292</f>
        <v/>
      </c>
      <c r="CC292" s="34">
        <f>IF(AY292=0,0,CB292/AY292)</f>
        <v/>
      </c>
      <c r="CD292" s="34">
        <f>MAX((AY292+MAX((-J292+L292-N292+Q292-T292+X292),0)),(MAX((J292-L292+N292-Q292+T292-X292),0)))</f>
        <v/>
      </c>
      <c r="CE292" s="82">
        <f>IFERROR(ABS(BX292/CD292),0)</f>
        <v/>
      </c>
      <c r="CF292" s="34">
        <f>IF(CE292&lt;=0.1,0,BX292/CE292*(CE292-0.1))</f>
        <v/>
      </c>
      <c r="CG292" s="34">
        <f>IF((CF292)&lt;0,MAX(F292:G292)*(CF292)*1.03,MIN(F292:G292)*(CF292)*0.97)</f>
        <v/>
      </c>
      <c r="CH292" s="34">
        <f>IF(CE292&gt;0.1,1,0)</f>
        <v/>
      </c>
      <c r="CI292" s="34">
        <f>(F292*BX292)-BY292</f>
        <v/>
      </c>
      <c r="CJ292" s="34">
        <f>IF(AY292=0,0,CI292/AY292)</f>
        <v/>
      </c>
    </row>
    <row r="293">
      <c r="A293" s="29">
        <f>[1]FİYATLAR!A268</f>
        <v/>
      </c>
      <c r="B293" s="29">
        <f>[1]FİYATLAR!B268</f>
        <v/>
      </c>
      <c r="C293" s="35">
        <f>INT(A293)</f>
        <v/>
      </c>
      <c r="D293" s="36">
        <f>MONTH(A293)</f>
        <v/>
      </c>
      <c r="E293" s="147">
        <f>[1]FİYATLAR!G268</f>
        <v/>
      </c>
      <c r="F293" s="30">
        <f>[1]FİYATLAR!C268</f>
        <v/>
      </c>
      <c r="G293" s="30">
        <f>[1]FİYATLAR!E268</f>
        <v/>
      </c>
      <c r="H293" s="30">
        <f>[1]FİYATLAR!D268</f>
        <v/>
      </c>
      <c r="I293" s="30">
        <f>[1]FİYATLAR!F268</f>
        <v/>
      </c>
      <c r="J293" s="119" t="n">
        <v>0</v>
      </c>
      <c r="K293" s="34">
        <f>F293*J293</f>
        <v/>
      </c>
      <c r="L293" s="119" t="n"/>
      <c r="M293" s="34">
        <f>L293*F293</f>
        <v/>
      </c>
      <c r="N293" s="119" t="n"/>
      <c r="O293" s="34">
        <f>F293</f>
        <v/>
      </c>
      <c r="P293" s="34">
        <f>N293*O293</f>
        <v/>
      </c>
      <c r="Q293" s="117" t="n">
        <v>0</v>
      </c>
      <c r="R293" s="34">
        <f>F293</f>
        <v/>
      </c>
      <c r="S293" s="34">
        <f>R293*Q293</f>
        <v/>
      </c>
      <c r="T293" s="34">
        <f>SUMIFS('[1]GİP VERİLERİ'!$C:$C,'[1]GİP VERİLERİ'!$B:$B,A293,'[1]GİP VERİLERİ'!$M:$M,"40X000000104782K",'[1]GİP VERİLERİ'!$G:$G,"SELL")</f>
        <v/>
      </c>
      <c r="U293" s="34">
        <f>IFERROR(W293/T293,0)</f>
        <v/>
      </c>
      <c r="V293" s="34">
        <f>IF(U293=0,0,U293-F293)</f>
        <v/>
      </c>
      <c r="W293" s="34">
        <f>SUMIFS('[1]GİP VERİLERİ'!$O:$O,'[1]GİP VERİLERİ'!$B:$B,A293,'[1]GİP VERİLERİ'!$M:$M,"40X000000104782K",'[1]GİP VERİLERİ'!$G:$G,"SELL")</f>
        <v/>
      </c>
      <c r="X293" s="34">
        <f>SUMIFS('[1]GİP VERİLERİ'!$C:$C,'[1]GİP VERİLERİ'!$B:$B,A293,'[1]GİP VERİLERİ'!$M:$M,"40X000000104782K",'[1]GİP VERİLERİ'!$G:$G,"BUY")</f>
        <v/>
      </c>
      <c r="Y293" s="34">
        <f>IFERROR(AA293/X293,0)</f>
        <v/>
      </c>
      <c r="Z293" s="34">
        <f>IF(Y293=0,0,F293-Y293)</f>
        <v/>
      </c>
      <c r="AA293" s="34">
        <f>SUMIFS('[1]GİP VERİLERİ'!$O:$O,'[1]GİP VERİLERİ'!$B:$B,A293,'[1]GİP VERİLERİ'!$M:$M,"40X000000104782K",'[1]GİP VERİLERİ'!$G:$G,"BUY")</f>
        <v/>
      </c>
      <c r="AB293" s="34">
        <f>'[1]GÖP VERİLERİ'!H294</f>
        <v/>
      </c>
      <c r="AC293" s="34">
        <f>'[1]GÖP VERİLERİ'!I294</f>
        <v/>
      </c>
      <c r="AD293" s="34">
        <f>IF(AB293&gt;AC293*1.05,AB293-AC293*1.05,IF(AB293&lt;AC293*0.95,AC293*0.95-AB293,0))</f>
        <v/>
      </c>
      <c r="AE293" s="34">
        <f>MAX(F293,G293,750)*0.05*AD293</f>
        <v/>
      </c>
      <c r="AF293" s="34">
        <f>'[1]GÖP VERİLERİ'!J294</f>
        <v/>
      </c>
      <c r="AG293" s="34">
        <f>IF(AB293&gt;AF293*1.05,AB293-AF293*1.05,IF(AB293&lt;AF293*0.95,AF293*0.95-AB293,0))</f>
        <v/>
      </c>
      <c r="AH293" s="34">
        <f>MAX(I293,J293,750)*0.05*AG293</f>
        <v/>
      </c>
      <c r="AI293">
        <f>'[1]GÖP VERİLERİ'!E294</f>
        <v/>
      </c>
      <c r="AJ293">
        <f>'[1]GÖP VERİLERİ'!F294</f>
        <v/>
      </c>
      <c r="AK293" s="34">
        <f>IF(AI293&gt;AJ293*1.05,AI293-AJ293*1.05,IF(AI293&lt;AJ293*0.95,AJ293*0.95-AI293,0))</f>
        <v/>
      </c>
      <c r="AL293" s="34">
        <f>MAX(F293,G293,750)*0.05*AK293</f>
        <v/>
      </c>
      <c r="AM293" s="39">
        <f>'[1]GÖP VERİLERİ'!G294</f>
        <v/>
      </c>
      <c r="AN293" s="34">
        <f>IF(AI293&gt;AM293*1.05,AI293-AM293*1.05,IF(AI293&lt;AM293*0.95,AM293*0.95-AI293,0))</f>
        <v/>
      </c>
      <c r="AO293" s="34">
        <f>MAX(F293,G293,750)*0.05*AN293</f>
        <v/>
      </c>
      <c r="AP293" s="34">
        <f>'[1]GÖP VERİLERİ'!B294</f>
        <v/>
      </c>
      <c r="AQ293" s="34">
        <f>'[1]GÖP VERİLERİ'!C294</f>
        <v/>
      </c>
      <c r="AR293" s="34">
        <f>IF(AP293&gt;AQ293*1.05,AP293-AQ293*1.05,IF(AP293&lt;AQ293*0.95,AQ293*0.95-AP293,0))</f>
        <v/>
      </c>
      <c r="AS293" s="34">
        <f>MAX(F293:G293,750)*0.05*AR293</f>
        <v/>
      </c>
      <c r="AT293">
        <f>'[1]GÖP VERİLERİ'!D294</f>
        <v/>
      </c>
      <c r="AU293" s="34">
        <f>IF(AP293&gt;AT293*1.05,AP293-AT293*1.05,IF(AP293&lt;AT293*0.95,AT293*0.95-AP293,0))</f>
        <v/>
      </c>
      <c r="AV293" s="34">
        <f>MAX(F293:G293,750)*0.05*AU293</f>
        <v/>
      </c>
      <c r="AW293" s="34">
        <f>AC293+AJ293+AQ293</f>
        <v/>
      </c>
      <c r="AX293" s="34">
        <f>AF293+AM293+AT293</f>
        <v/>
      </c>
      <c r="AY293" s="34">
        <f>AB293+AI293+AP293</f>
        <v/>
      </c>
      <c r="AZ293" s="34" t="n">
        <v>0</v>
      </c>
      <c r="BA293" s="34">
        <f>AD293+AK293+AR293</f>
        <v/>
      </c>
      <c r="BB293" s="34">
        <f>MAX(F293:G293,750)*0.05*BA293</f>
        <v/>
      </c>
      <c r="BC293" s="34">
        <f>AG293+AN293+AU293</f>
        <v/>
      </c>
      <c r="BD293" s="34">
        <f>MAX(F293:G293,750)*0.05*BC293</f>
        <v/>
      </c>
      <c r="BE293" s="34">
        <f>F293*AY293</f>
        <v/>
      </c>
      <c r="BF293" s="34">
        <f>K293-M293</f>
        <v/>
      </c>
      <c r="BG293" s="34">
        <f>P293-S293</f>
        <v/>
      </c>
      <c r="BH293" s="34">
        <f>W293-AA293</f>
        <v/>
      </c>
      <c r="BI293" s="34">
        <f>BF293+BG293+BL293-BN293</f>
        <v/>
      </c>
      <c r="BJ293" s="34">
        <f>ABS(BK293)</f>
        <v/>
      </c>
      <c r="BK293" s="34">
        <f>AY293-(J293-L293+N293-Q293)</f>
        <v/>
      </c>
      <c r="BL293" s="34">
        <f>IF(AND(BK293&gt;0,MIN($F293:$G293)&lt;150,$E293="Enerji Açığı"),-100*BK293*1.03,IF(AND(BK293&gt;0,MIN($F293:$G293)&lt;150,$E293="Enerji Fazlası"),-100*BK293*1.06,IF(AND(BK293&gt;0,MIN($F293:$G293)&gt;=150,$E293="Enerji Açığı"),BK293*MIN($F293:$G293)*0.97,IF(AND(BK293&gt;0,MIN($F293:$G293)&gt;=150,$E293="Enerji Fazlası"),BK293*MIN($F293:$G293)*0.94,IF(AND(BK293&lt;0,MAX($F293:$G293)=4500,$E293="Enerji Açığı"),4500*1.05*1.06*BK293,IF(AND(BK293&lt;0,MAX($F293:$G293)=4500,$E293="Enerji Fazlası"),4500*1.05*1.03*BK293,IF(AND(BK293&lt;0,$E293="Enerji Açığı"),MAX($F293,$G293,150)*BK293*1.06,IF(AND(BK293&lt;0,$E293="Enerji Fazlası"),MAX($F293,$G293,150)*BK293*1.03,IF(AND(BK293&lt;0,$E293="Dengede"),MAX($F293:$G293,150)*1.03*BK293,MIN($F293:$G293)*0.97*BK293)))))))))</f>
        <v/>
      </c>
      <c r="BM293" s="34">
        <f>BE293-BI293-BN293</f>
        <v/>
      </c>
      <c r="BN293" s="34">
        <f>BB293</f>
        <v/>
      </c>
      <c r="BO293" s="34">
        <f>BE293-BI293</f>
        <v/>
      </c>
      <c r="BP293" s="34">
        <f>IF(AY293=0,0,BO293/AY293)</f>
        <v/>
      </c>
      <c r="BQ293" s="34">
        <f>MAX((AY293+MAX((-J293+L293-N293+Q293),0)),(MAX((J293-L293+N293-Q293),0)))</f>
        <v/>
      </c>
      <c r="BR293" s="82">
        <f>IFERROR(ABS(BK293/BQ293),0)</f>
        <v/>
      </c>
      <c r="BS293" s="34">
        <f>IF(BR293&lt;=0.1,0,BK293/BR293*(BR293-0.1))</f>
        <v/>
      </c>
      <c r="BT293" s="34">
        <f>IF((BS293)&lt;0,MAX(F293:G293)*(BS293)*1.03,MIN(F293:G293)*(BS293)*0.97)</f>
        <v/>
      </c>
      <c r="BU293" s="34">
        <f>IF(BR293&gt;0.1,1,0)</f>
        <v/>
      </c>
      <c r="BV293" s="34">
        <f>BF293+BG293+BH293+BY293-CA293</f>
        <v/>
      </c>
      <c r="BW293" s="34">
        <f>ABS(BX293)</f>
        <v/>
      </c>
      <c r="BX293" s="34">
        <f>AY293-(J293-L293+N293-Q293+T293-X293)</f>
        <v/>
      </c>
      <c r="BY293" s="34">
        <f>IF(AND(BX293&gt;0,MIN($F293:$G293)&lt;150,$E293="Enerji Açığı"),-100*BX293*1.03,IF(AND(BX293&gt;0,MIN($F293:$G293)&lt;150,$E293="Enerji Fazlası"),-100*BX293*1.06,IF(AND(BX293&gt;0,MIN($F293:$G293)&gt;=150,$E293="Enerji Açığı"),BX293*MIN($F293:$G293)*0.97,IF(AND(BX293&gt;0,MIN($F293:$G293)&gt;=150,$E293="Enerji Fazlası"),BX293*MIN($F293:$G293)*0.94,IF(AND(BX293&lt;0,MAX($F293:$G293)=4500,$E293="Enerji Açığı"),4500*1.05*1.06*BX293,IF(AND(BX293&lt;0,MAX($F293:$G293)=4500,$E293="Enerji Fazlası"),4500*1.05*1.03*BX293,IF(AND(BX293&lt;0,$E293="Enerji Açığı"),MAX($F293,$G293,150)*BX293*1.06,IF(AND(BX293&lt;0,$E293="Enerji Fazlası"),MAX($F293,$G293,150)*BX293*1.03,IF(AND(BX293&lt;0,$E293="Dengede"),MAX($F293:$G293,150)*1.03*BX293,MIN($F293:$G293)*0.97*BX293)))))))))</f>
        <v/>
      </c>
      <c r="BZ293" s="34">
        <f>BE293-BV293-CA293</f>
        <v/>
      </c>
      <c r="CA293" s="34">
        <f>BD293</f>
        <v/>
      </c>
      <c r="CB293" s="33">
        <f>BE293-BV293</f>
        <v/>
      </c>
      <c r="CC293" s="34">
        <f>IF(AY293=0,0,CB293/AY293)</f>
        <v/>
      </c>
      <c r="CD293" s="34">
        <f>MAX((AY293+MAX((-J293+L293-N293+Q293-T293+X293),0)),(MAX((J293-L293+N293-Q293+T293-X293),0)))</f>
        <v/>
      </c>
      <c r="CE293" s="82">
        <f>IFERROR(ABS(BX293/CD293),0)</f>
        <v/>
      </c>
      <c r="CF293" s="34">
        <f>IF(CE293&lt;=0.1,0,BX293/CE293*(CE293-0.1))</f>
        <v/>
      </c>
      <c r="CG293" s="34">
        <f>IF((CF293)&lt;0,MAX(F293:G293)*(CF293)*1.03,MIN(F293:G293)*(CF293)*0.97)</f>
        <v/>
      </c>
      <c r="CH293" s="34">
        <f>IF(CE293&gt;0.1,1,0)</f>
        <v/>
      </c>
      <c r="CI293" s="34">
        <f>(F293*BX293)-BY293</f>
        <v/>
      </c>
      <c r="CJ293" s="34">
        <f>IF(AY293=0,0,CI293/AY293)</f>
        <v/>
      </c>
    </row>
    <row r="294">
      <c r="A294" s="29">
        <f>[1]FİYATLAR!A269</f>
        <v/>
      </c>
      <c r="B294" s="29">
        <f>[1]FİYATLAR!B269</f>
        <v/>
      </c>
      <c r="C294" s="35">
        <f>INT(A294)</f>
        <v/>
      </c>
      <c r="D294" s="36">
        <f>MONTH(A294)</f>
        <v/>
      </c>
      <c r="E294" s="147">
        <f>[1]FİYATLAR!G269</f>
        <v/>
      </c>
      <c r="F294" s="30">
        <f>[1]FİYATLAR!C269</f>
        <v/>
      </c>
      <c r="G294" s="30">
        <f>[1]FİYATLAR!E269</f>
        <v/>
      </c>
      <c r="H294" s="30">
        <f>[1]FİYATLAR!D269</f>
        <v/>
      </c>
      <c r="I294" s="30">
        <f>[1]FİYATLAR!F269</f>
        <v/>
      </c>
      <c r="J294" s="119" t="n">
        <v>0</v>
      </c>
      <c r="K294" s="34">
        <f>F294*J294</f>
        <v/>
      </c>
      <c r="L294" s="119" t="n"/>
      <c r="M294" s="34">
        <f>L294*F294</f>
        <v/>
      </c>
      <c r="N294" s="119" t="n"/>
      <c r="O294" s="34">
        <f>F294</f>
        <v/>
      </c>
      <c r="P294" s="34">
        <f>N294*O294</f>
        <v/>
      </c>
      <c r="Q294" s="117" t="n">
        <v>0</v>
      </c>
      <c r="R294" s="34">
        <f>F294</f>
        <v/>
      </c>
      <c r="S294" s="34">
        <f>R294*Q294</f>
        <v/>
      </c>
      <c r="T294" s="34">
        <f>SUMIFS('[1]GİP VERİLERİ'!$C:$C,'[1]GİP VERİLERİ'!$B:$B,A294,'[1]GİP VERİLERİ'!$M:$M,"40X000000104782K",'[1]GİP VERİLERİ'!$G:$G,"SELL")</f>
        <v/>
      </c>
      <c r="U294" s="34">
        <f>IFERROR(W294/T294,0)</f>
        <v/>
      </c>
      <c r="V294" s="34">
        <f>IF(U294=0,0,U294-F294)</f>
        <v/>
      </c>
      <c r="W294" s="34">
        <f>SUMIFS('[1]GİP VERİLERİ'!$O:$O,'[1]GİP VERİLERİ'!$B:$B,A294,'[1]GİP VERİLERİ'!$M:$M,"40X000000104782K",'[1]GİP VERİLERİ'!$G:$G,"SELL")</f>
        <v/>
      </c>
      <c r="X294" s="34">
        <f>SUMIFS('[1]GİP VERİLERİ'!$C:$C,'[1]GİP VERİLERİ'!$B:$B,A294,'[1]GİP VERİLERİ'!$M:$M,"40X000000104782K",'[1]GİP VERİLERİ'!$G:$G,"BUY")</f>
        <v/>
      </c>
      <c r="Y294" s="34">
        <f>IFERROR(AA294/X294,0)</f>
        <v/>
      </c>
      <c r="Z294" s="34">
        <f>IF(Y294=0,0,F294-Y294)</f>
        <v/>
      </c>
      <c r="AA294" s="34">
        <f>SUMIFS('[1]GİP VERİLERİ'!$O:$O,'[1]GİP VERİLERİ'!$B:$B,A294,'[1]GİP VERİLERİ'!$M:$M,"40X000000104782K",'[1]GİP VERİLERİ'!$G:$G,"BUY")</f>
        <v/>
      </c>
      <c r="AB294" s="34">
        <f>'[1]GÖP VERİLERİ'!H295</f>
        <v/>
      </c>
      <c r="AC294" s="34">
        <f>'[1]GÖP VERİLERİ'!I295</f>
        <v/>
      </c>
      <c r="AD294" s="34">
        <f>IF(AB294&gt;AC294*1.05,AB294-AC294*1.05,IF(AB294&lt;AC294*0.95,AC294*0.95-AB294,0))</f>
        <v/>
      </c>
      <c r="AE294" s="34">
        <f>MAX(F294,G294,750)*0.05*AD294</f>
        <v/>
      </c>
      <c r="AF294" s="34">
        <f>'[1]GÖP VERİLERİ'!J295</f>
        <v/>
      </c>
      <c r="AG294" s="34">
        <f>IF(AB294&gt;AF294*1.05,AB294-AF294*1.05,IF(AB294&lt;AF294*0.95,AF294*0.95-AB294,0))</f>
        <v/>
      </c>
      <c r="AH294" s="34">
        <f>MAX(I294,J294,750)*0.05*AG294</f>
        <v/>
      </c>
      <c r="AI294">
        <f>'[1]GÖP VERİLERİ'!E295</f>
        <v/>
      </c>
      <c r="AJ294">
        <f>'[1]GÖP VERİLERİ'!F295</f>
        <v/>
      </c>
      <c r="AK294" s="34">
        <f>IF(AI294&gt;AJ294*1.05,AI294-AJ294*1.05,IF(AI294&lt;AJ294*0.95,AJ294*0.95-AI294,0))</f>
        <v/>
      </c>
      <c r="AL294" s="34">
        <f>MAX(F294,G294,750)*0.05*AK294</f>
        <v/>
      </c>
      <c r="AM294" s="39">
        <f>'[1]GÖP VERİLERİ'!G295</f>
        <v/>
      </c>
      <c r="AN294" s="34">
        <f>IF(AI294&gt;AM294*1.05,AI294-AM294*1.05,IF(AI294&lt;AM294*0.95,AM294*0.95-AI294,0))</f>
        <v/>
      </c>
      <c r="AO294" s="34">
        <f>MAX(F294,G294,750)*0.05*AN294</f>
        <v/>
      </c>
      <c r="AP294" s="34">
        <f>'[1]GÖP VERİLERİ'!B295</f>
        <v/>
      </c>
      <c r="AQ294" s="34">
        <f>'[1]GÖP VERİLERİ'!C295</f>
        <v/>
      </c>
      <c r="AR294" s="34">
        <f>IF(AP294&gt;AQ294*1.05,AP294-AQ294*1.05,IF(AP294&lt;AQ294*0.95,AQ294*0.95-AP294,0))</f>
        <v/>
      </c>
      <c r="AS294" s="34">
        <f>MAX(F294:G294,750)*0.05*AR294</f>
        <v/>
      </c>
      <c r="AT294">
        <f>'[1]GÖP VERİLERİ'!D295</f>
        <v/>
      </c>
      <c r="AU294" s="34">
        <f>IF(AP294&gt;AT294*1.05,AP294-AT294*1.05,IF(AP294&lt;AT294*0.95,AT294*0.95-AP294,0))</f>
        <v/>
      </c>
      <c r="AV294" s="34">
        <f>MAX(F294:G294,750)*0.05*AU294</f>
        <v/>
      </c>
      <c r="AW294" s="34">
        <f>AC294+AJ294+AQ294</f>
        <v/>
      </c>
      <c r="AX294" s="34">
        <f>AF294+AM294+AT294</f>
        <v/>
      </c>
      <c r="AY294" s="34">
        <f>AB294+AI294+AP294</f>
        <v/>
      </c>
      <c r="AZ294" s="34" t="n">
        <v>0</v>
      </c>
      <c r="BA294" s="34">
        <f>AD294+AK294+AR294</f>
        <v/>
      </c>
      <c r="BB294" s="34">
        <f>MAX(F294:G294,750)*0.05*BA294</f>
        <v/>
      </c>
      <c r="BC294" s="34">
        <f>AG294+AN294+AU294</f>
        <v/>
      </c>
      <c r="BD294" s="34">
        <f>MAX(F294:G294,750)*0.05*BC294</f>
        <v/>
      </c>
      <c r="BE294" s="34">
        <f>F294*AY294</f>
        <v/>
      </c>
      <c r="BF294" s="34">
        <f>K294-M294</f>
        <v/>
      </c>
      <c r="BG294" s="34">
        <f>P294-S294</f>
        <v/>
      </c>
      <c r="BH294" s="34">
        <f>W294-AA294</f>
        <v/>
      </c>
      <c r="BI294" s="34">
        <f>BF294+BG294+BL294-BN294</f>
        <v/>
      </c>
      <c r="BJ294" s="34">
        <f>ABS(BK294)</f>
        <v/>
      </c>
      <c r="BK294" s="34">
        <f>AY294-(J294-L294+N294-Q294)</f>
        <v/>
      </c>
      <c r="BL294" s="34">
        <f>IF(AND(BK294&gt;0,MIN($F294:$G294)&lt;150,$E294="Enerji Açığı"),-100*BK294*1.03,IF(AND(BK294&gt;0,MIN($F294:$G294)&lt;150,$E294="Enerji Fazlası"),-100*BK294*1.06,IF(AND(BK294&gt;0,MIN($F294:$G294)&gt;=150,$E294="Enerji Açığı"),BK294*MIN($F294:$G294)*0.97,IF(AND(BK294&gt;0,MIN($F294:$G294)&gt;=150,$E294="Enerji Fazlası"),BK294*MIN($F294:$G294)*0.94,IF(AND(BK294&lt;0,MAX($F294:$G294)=4500,$E294="Enerji Açığı"),4500*1.05*1.06*BK294,IF(AND(BK294&lt;0,MAX($F294:$G294)=4500,$E294="Enerji Fazlası"),4500*1.05*1.03*BK294,IF(AND(BK294&lt;0,$E294="Enerji Açığı"),MAX($F294,$G294,150)*BK294*1.06,IF(AND(BK294&lt;0,$E294="Enerji Fazlası"),MAX($F294,$G294,150)*BK294*1.03,IF(AND(BK294&lt;0,$E294="Dengede"),MAX($F294:$G294,150)*1.03*BK294,MIN($F294:$G294)*0.97*BK294)))))))))</f>
        <v/>
      </c>
      <c r="BM294" s="34">
        <f>BE294-BI294-BN294</f>
        <v/>
      </c>
      <c r="BN294" s="34">
        <f>BB294</f>
        <v/>
      </c>
      <c r="BO294" s="34">
        <f>BE294-BI294</f>
        <v/>
      </c>
      <c r="BP294" s="34">
        <f>IF(AY294=0,0,BO294/AY294)</f>
        <v/>
      </c>
      <c r="BQ294" s="34">
        <f>MAX((AY294+MAX((-J294+L294-N294+Q294),0)),(MAX((J294-L294+N294-Q294),0)))</f>
        <v/>
      </c>
      <c r="BR294" s="82">
        <f>IFERROR(ABS(BK294/BQ294),0)</f>
        <v/>
      </c>
      <c r="BS294" s="34">
        <f>IF(BR294&lt;=0.1,0,BK294/BR294*(BR294-0.1))</f>
        <v/>
      </c>
      <c r="BT294" s="34">
        <f>IF((BS294)&lt;0,MAX(F294:G294)*(BS294)*1.03,MIN(F294:G294)*(BS294)*0.97)</f>
        <v/>
      </c>
      <c r="BU294" s="34">
        <f>IF(BR294&gt;0.1,1,0)</f>
        <v/>
      </c>
      <c r="BV294" s="34">
        <f>BF294+BG294+BH294+BY294-CA294</f>
        <v/>
      </c>
      <c r="BW294" s="34">
        <f>ABS(BX294)</f>
        <v/>
      </c>
      <c r="BX294" s="34">
        <f>AY294-(J294-L294+N294-Q294+T294-X294)</f>
        <v/>
      </c>
      <c r="BY294" s="34">
        <f>IF(AND(BX294&gt;0,MIN($F294:$G294)&lt;150,$E294="Enerji Açığı"),-100*BX294*1.03,IF(AND(BX294&gt;0,MIN($F294:$G294)&lt;150,$E294="Enerji Fazlası"),-100*BX294*1.06,IF(AND(BX294&gt;0,MIN($F294:$G294)&gt;=150,$E294="Enerji Açığı"),BX294*MIN($F294:$G294)*0.97,IF(AND(BX294&gt;0,MIN($F294:$G294)&gt;=150,$E294="Enerji Fazlası"),BX294*MIN($F294:$G294)*0.94,IF(AND(BX294&lt;0,MAX($F294:$G294)=4500,$E294="Enerji Açığı"),4500*1.05*1.06*BX294,IF(AND(BX294&lt;0,MAX($F294:$G294)=4500,$E294="Enerji Fazlası"),4500*1.05*1.03*BX294,IF(AND(BX294&lt;0,$E294="Enerji Açığı"),MAX($F294,$G294,150)*BX294*1.06,IF(AND(BX294&lt;0,$E294="Enerji Fazlası"),MAX($F294,$G294,150)*BX294*1.03,IF(AND(BX294&lt;0,$E294="Dengede"),MAX($F294:$G294,150)*1.03*BX294,MIN($F294:$G294)*0.97*BX294)))))))))</f>
        <v/>
      </c>
      <c r="BZ294" s="34">
        <f>BE294-BV294-CA294</f>
        <v/>
      </c>
      <c r="CA294" s="34">
        <f>BD294</f>
        <v/>
      </c>
      <c r="CB294" s="33">
        <f>BE294-BV294</f>
        <v/>
      </c>
      <c r="CC294" s="34">
        <f>IF(AY294=0,0,CB294/AY294)</f>
        <v/>
      </c>
      <c r="CD294" s="34">
        <f>MAX((AY294+MAX((-J294+L294-N294+Q294-T294+X294),0)),(MAX((J294-L294+N294-Q294+T294-X294),0)))</f>
        <v/>
      </c>
      <c r="CE294" s="82">
        <f>IFERROR(ABS(BX294/CD294),0)</f>
        <v/>
      </c>
      <c r="CF294" s="34">
        <f>IF(CE294&lt;=0.1,0,BX294/CE294*(CE294-0.1))</f>
        <v/>
      </c>
      <c r="CG294" s="34">
        <f>IF((CF294)&lt;0,MAX(F294:G294)*(CF294)*1.03,MIN(F294:G294)*(CF294)*0.97)</f>
        <v/>
      </c>
      <c r="CH294" s="34">
        <f>IF(CE294&gt;0.1,1,0)</f>
        <v/>
      </c>
      <c r="CI294" s="34">
        <f>(F294*BX294)-BY294</f>
        <v/>
      </c>
      <c r="CJ294" s="34">
        <f>IF(AY294=0,0,CI294/AY294)</f>
        <v/>
      </c>
    </row>
    <row r="295">
      <c r="A295" s="29">
        <f>[1]FİYATLAR!A270</f>
        <v/>
      </c>
      <c r="B295" s="29">
        <f>[1]FİYATLAR!B270</f>
        <v/>
      </c>
      <c r="C295" s="35">
        <f>INT(A295)</f>
        <v/>
      </c>
      <c r="D295" s="36">
        <f>MONTH(A295)</f>
        <v/>
      </c>
      <c r="E295" s="147">
        <f>[1]FİYATLAR!G270</f>
        <v/>
      </c>
      <c r="F295" s="30">
        <f>[1]FİYATLAR!C270</f>
        <v/>
      </c>
      <c r="G295" s="30">
        <f>[1]FİYATLAR!E270</f>
        <v/>
      </c>
      <c r="H295" s="30">
        <f>[1]FİYATLAR!D270</f>
        <v/>
      </c>
      <c r="I295" s="30">
        <f>[1]FİYATLAR!F270</f>
        <v/>
      </c>
      <c r="J295" s="119" t="n">
        <v>0</v>
      </c>
      <c r="K295" s="34">
        <f>F295*J295</f>
        <v/>
      </c>
      <c r="L295" s="119" t="n"/>
      <c r="M295" s="34">
        <f>L295*F295</f>
        <v/>
      </c>
      <c r="N295" s="119" t="n"/>
      <c r="O295" s="34">
        <f>F295</f>
        <v/>
      </c>
      <c r="P295" s="34">
        <f>N295*O295</f>
        <v/>
      </c>
      <c r="Q295" s="117" t="n">
        <v>0</v>
      </c>
      <c r="R295" s="34">
        <f>F295</f>
        <v/>
      </c>
      <c r="S295" s="34">
        <f>R295*Q295</f>
        <v/>
      </c>
      <c r="T295" s="34">
        <f>SUMIFS('[1]GİP VERİLERİ'!$C:$C,'[1]GİP VERİLERİ'!$B:$B,A295,'[1]GİP VERİLERİ'!$M:$M,"40X000000104782K",'[1]GİP VERİLERİ'!$G:$G,"SELL")</f>
        <v/>
      </c>
      <c r="U295" s="34">
        <f>IFERROR(W295/T295,0)</f>
        <v/>
      </c>
      <c r="V295" s="34">
        <f>IF(U295=0,0,U295-F295)</f>
        <v/>
      </c>
      <c r="W295" s="34">
        <f>SUMIFS('[1]GİP VERİLERİ'!$O:$O,'[1]GİP VERİLERİ'!$B:$B,A295,'[1]GİP VERİLERİ'!$M:$M,"40X000000104782K",'[1]GİP VERİLERİ'!$G:$G,"SELL")</f>
        <v/>
      </c>
      <c r="X295" s="34">
        <f>SUMIFS('[1]GİP VERİLERİ'!$C:$C,'[1]GİP VERİLERİ'!$B:$B,A295,'[1]GİP VERİLERİ'!$M:$M,"40X000000104782K",'[1]GİP VERİLERİ'!$G:$G,"BUY")</f>
        <v/>
      </c>
      <c r="Y295" s="34">
        <f>IFERROR(AA295/X295,0)</f>
        <v/>
      </c>
      <c r="Z295" s="34">
        <f>IF(Y295=0,0,F295-Y295)</f>
        <v/>
      </c>
      <c r="AA295" s="34">
        <f>SUMIFS('[1]GİP VERİLERİ'!$O:$O,'[1]GİP VERİLERİ'!$B:$B,A295,'[1]GİP VERİLERİ'!$M:$M,"40X000000104782K",'[1]GİP VERİLERİ'!$G:$G,"BUY")</f>
        <v/>
      </c>
      <c r="AB295" s="34">
        <f>'[1]GÖP VERİLERİ'!H296</f>
        <v/>
      </c>
      <c r="AC295" s="34">
        <f>'[1]GÖP VERİLERİ'!I296</f>
        <v/>
      </c>
      <c r="AD295" s="34">
        <f>IF(AB295&gt;AC295*1.05,AB295-AC295*1.05,IF(AB295&lt;AC295*0.95,AC295*0.95-AB295,0))</f>
        <v/>
      </c>
      <c r="AE295" s="34">
        <f>MAX(F295,G295,750)*0.05*AD295</f>
        <v/>
      </c>
      <c r="AF295" s="34">
        <f>'[1]GÖP VERİLERİ'!J296</f>
        <v/>
      </c>
      <c r="AG295" s="34">
        <f>IF(AB295&gt;AF295*1.05,AB295-AF295*1.05,IF(AB295&lt;AF295*0.95,AF295*0.95-AB295,0))</f>
        <v/>
      </c>
      <c r="AH295" s="34">
        <f>MAX(I295,J295,750)*0.05*AG295</f>
        <v/>
      </c>
      <c r="AI295">
        <f>'[1]GÖP VERİLERİ'!E296</f>
        <v/>
      </c>
      <c r="AJ295">
        <f>'[1]GÖP VERİLERİ'!F296</f>
        <v/>
      </c>
      <c r="AK295" s="34">
        <f>IF(AI295&gt;AJ295*1.05,AI295-AJ295*1.05,IF(AI295&lt;AJ295*0.95,AJ295*0.95-AI295,0))</f>
        <v/>
      </c>
      <c r="AL295" s="34">
        <f>MAX(F295,G295,750)*0.05*AK295</f>
        <v/>
      </c>
      <c r="AM295" s="39">
        <f>'[1]GÖP VERİLERİ'!G296</f>
        <v/>
      </c>
      <c r="AN295" s="34">
        <f>IF(AI295&gt;AM295*1.05,AI295-AM295*1.05,IF(AI295&lt;AM295*0.95,AM295*0.95-AI295,0))</f>
        <v/>
      </c>
      <c r="AO295" s="34">
        <f>MAX(F295,G295,750)*0.05*AN295</f>
        <v/>
      </c>
      <c r="AP295" s="34">
        <f>'[1]GÖP VERİLERİ'!B296</f>
        <v/>
      </c>
      <c r="AQ295" s="34">
        <f>'[1]GÖP VERİLERİ'!C296</f>
        <v/>
      </c>
      <c r="AR295" s="34">
        <f>IF(AP295&gt;AQ295*1.05,AP295-AQ295*1.05,IF(AP295&lt;AQ295*0.95,AQ295*0.95-AP295,0))</f>
        <v/>
      </c>
      <c r="AS295" s="34">
        <f>MAX(F295:G295,750)*0.05*AR295</f>
        <v/>
      </c>
      <c r="AT295">
        <f>'[1]GÖP VERİLERİ'!D296</f>
        <v/>
      </c>
      <c r="AU295" s="34">
        <f>IF(AP295&gt;AT295*1.05,AP295-AT295*1.05,IF(AP295&lt;AT295*0.95,AT295*0.95-AP295,0))</f>
        <v/>
      </c>
      <c r="AV295" s="34">
        <f>MAX(F295:G295,750)*0.05*AU295</f>
        <v/>
      </c>
      <c r="AW295" s="34">
        <f>AC295+AJ295+AQ295</f>
        <v/>
      </c>
      <c r="AX295" s="34">
        <f>AF295+AM295+AT295</f>
        <v/>
      </c>
      <c r="AY295" s="34">
        <f>AB295+AI295+AP295</f>
        <v/>
      </c>
      <c r="AZ295" s="34" t="n">
        <v>0</v>
      </c>
      <c r="BA295" s="34">
        <f>AD295+AK295+AR295</f>
        <v/>
      </c>
      <c r="BB295" s="34">
        <f>MAX(F295:G295,750)*0.05*BA295</f>
        <v/>
      </c>
      <c r="BC295" s="34">
        <f>AG295+AN295+AU295</f>
        <v/>
      </c>
      <c r="BD295" s="34">
        <f>MAX(F295:G295,750)*0.05*BC295</f>
        <v/>
      </c>
      <c r="BE295" s="34">
        <f>F295*AY295</f>
        <v/>
      </c>
      <c r="BF295" s="34">
        <f>K295-M295</f>
        <v/>
      </c>
      <c r="BG295" s="34">
        <f>P295-S295</f>
        <v/>
      </c>
      <c r="BH295" s="34">
        <f>W295-AA295</f>
        <v/>
      </c>
      <c r="BI295" s="34">
        <f>BF295+BG295+BL295-BN295</f>
        <v/>
      </c>
      <c r="BJ295" s="34">
        <f>ABS(BK295)</f>
        <v/>
      </c>
      <c r="BK295" s="34">
        <f>AY295-(J295-L295+N295-Q295)</f>
        <v/>
      </c>
      <c r="BL295" s="34">
        <f>IF(AND(BK295&gt;0,MIN($F295:$G295)&lt;150,$E295="Enerji Açığı"),-100*BK295*1.03,IF(AND(BK295&gt;0,MIN($F295:$G295)&lt;150,$E295="Enerji Fazlası"),-100*BK295*1.06,IF(AND(BK295&gt;0,MIN($F295:$G295)&gt;=150,$E295="Enerji Açığı"),BK295*MIN($F295:$G295)*0.97,IF(AND(BK295&gt;0,MIN($F295:$G295)&gt;=150,$E295="Enerji Fazlası"),BK295*MIN($F295:$G295)*0.94,IF(AND(BK295&lt;0,MAX($F295:$G295)=4500,$E295="Enerji Açığı"),4500*1.05*1.06*BK295,IF(AND(BK295&lt;0,MAX($F295:$G295)=4500,$E295="Enerji Fazlası"),4500*1.05*1.03*BK295,IF(AND(BK295&lt;0,$E295="Enerji Açığı"),MAX($F295,$G295,150)*BK295*1.06,IF(AND(BK295&lt;0,$E295="Enerji Fazlası"),MAX($F295,$G295,150)*BK295*1.03,IF(AND(BK295&lt;0,$E295="Dengede"),MAX($F295:$G295,150)*1.03*BK295,MIN($F295:$G295)*0.97*BK295)))))))))</f>
        <v/>
      </c>
      <c r="BM295" s="34">
        <f>BE295-BI295-BN295</f>
        <v/>
      </c>
      <c r="BN295" s="34">
        <f>BB295</f>
        <v/>
      </c>
      <c r="BO295" s="34">
        <f>BE295-BI295</f>
        <v/>
      </c>
      <c r="BP295" s="34">
        <f>IF(AY295=0,0,BO295/AY295)</f>
        <v/>
      </c>
      <c r="BQ295" s="34">
        <f>MAX((AY295+MAX((-J295+L295-N295+Q295),0)),(MAX((J295-L295+N295-Q295),0)))</f>
        <v/>
      </c>
      <c r="BR295" s="82">
        <f>IFERROR(ABS(BK295/BQ295),0)</f>
        <v/>
      </c>
      <c r="BS295" s="34">
        <f>IF(BR295&lt;=0.1,0,BK295/BR295*(BR295-0.1))</f>
        <v/>
      </c>
      <c r="BT295" s="34">
        <f>IF((BS295)&lt;0,MAX(F295:G295)*(BS295)*1.03,MIN(F295:G295)*(BS295)*0.97)</f>
        <v/>
      </c>
      <c r="BU295" s="34">
        <f>IF(BR295&gt;0.1,1,0)</f>
        <v/>
      </c>
      <c r="BV295" s="34">
        <f>BF295+BG295+BH295+BY295-CA295</f>
        <v/>
      </c>
      <c r="BW295" s="34">
        <f>ABS(BX295)</f>
        <v/>
      </c>
      <c r="BX295" s="34">
        <f>AY295-(J295-L295+N295-Q295+T295-X295)</f>
        <v/>
      </c>
      <c r="BY295" s="34">
        <f>IF(AND(BX295&gt;0,MIN($F295:$G295)&lt;150,$E295="Enerji Açığı"),-100*BX295*1.03,IF(AND(BX295&gt;0,MIN($F295:$G295)&lt;150,$E295="Enerji Fazlası"),-100*BX295*1.06,IF(AND(BX295&gt;0,MIN($F295:$G295)&gt;=150,$E295="Enerji Açığı"),BX295*MIN($F295:$G295)*0.97,IF(AND(BX295&gt;0,MIN($F295:$G295)&gt;=150,$E295="Enerji Fazlası"),BX295*MIN($F295:$G295)*0.94,IF(AND(BX295&lt;0,MAX($F295:$G295)=4500,$E295="Enerji Açığı"),4500*1.05*1.06*BX295,IF(AND(BX295&lt;0,MAX($F295:$G295)=4500,$E295="Enerji Fazlası"),4500*1.05*1.03*BX295,IF(AND(BX295&lt;0,$E295="Enerji Açığı"),MAX($F295,$G295,150)*BX295*1.06,IF(AND(BX295&lt;0,$E295="Enerji Fazlası"),MAX($F295,$G295,150)*BX295*1.03,IF(AND(BX295&lt;0,$E295="Dengede"),MAX($F295:$G295,150)*1.03*BX295,MIN($F295:$G295)*0.97*BX295)))))))))</f>
        <v/>
      </c>
      <c r="BZ295" s="34">
        <f>BE295-BV295-CA295</f>
        <v/>
      </c>
      <c r="CA295" s="34">
        <f>BD295</f>
        <v/>
      </c>
      <c r="CB295" s="33">
        <f>BE295-BV295</f>
        <v/>
      </c>
      <c r="CC295" s="34">
        <f>IF(AY295=0,0,CB295/AY295)</f>
        <v/>
      </c>
      <c r="CD295" s="34">
        <f>MAX((AY295+MAX((-J295+L295-N295+Q295-T295+X295),0)),(MAX((J295-L295+N295-Q295+T295-X295),0)))</f>
        <v/>
      </c>
      <c r="CE295" s="82">
        <f>IFERROR(ABS(BX295/CD295),0)</f>
        <v/>
      </c>
      <c r="CF295" s="34">
        <f>IF(CE295&lt;=0.1,0,BX295/CE295*(CE295-0.1))</f>
        <v/>
      </c>
      <c r="CG295" s="34">
        <f>IF((CF295)&lt;0,MAX(F295:G295)*(CF295)*1.03,MIN(F295:G295)*(CF295)*0.97)</f>
        <v/>
      </c>
      <c r="CH295" s="34">
        <f>IF(CE295&gt;0.1,1,0)</f>
        <v/>
      </c>
      <c r="CI295" s="34">
        <f>(F295*BX295)-BY295</f>
        <v/>
      </c>
      <c r="CJ295" s="34">
        <f>IF(AY295=0,0,CI295/AY295)</f>
        <v/>
      </c>
    </row>
    <row r="296">
      <c r="A296" s="29">
        <f>[1]FİYATLAR!A271</f>
        <v/>
      </c>
      <c r="B296" s="29">
        <f>[1]FİYATLAR!B271</f>
        <v/>
      </c>
      <c r="C296" s="35">
        <f>INT(A296)</f>
        <v/>
      </c>
      <c r="D296" s="36">
        <f>MONTH(A296)</f>
        <v/>
      </c>
      <c r="E296" s="147">
        <f>[1]FİYATLAR!G271</f>
        <v/>
      </c>
      <c r="F296" s="30">
        <f>[1]FİYATLAR!C271</f>
        <v/>
      </c>
      <c r="G296" s="30">
        <f>[1]FİYATLAR!E271</f>
        <v/>
      </c>
      <c r="H296" s="30">
        <f>[1]FİYATLAR!D271</f>
        <v/>
      </c>
      <c r="I296" s="30">
        <f>[1]FİYATLAR!F271</f>
        <v/>
      </c>
      <c r="J296" s="119" t="n">
        <v>0</v>
      </c>
      <c r="K296" s="34">
        <f>F296*J296</f>
        <v/>
      </c>
      <c r="L296" s="119" t="n"/>
      <c r="M296" s="34">
        <f>L296*F296</f>
        <v/>
      </c>
      <c r="N296" s="119" t="n"/>
      <c r="O296" s="34">
        <f>F296</f>
        <v/>
      </c>
      <c r="P296" s="34">
        <f>N296*O296</f>
        <v/>
      </c>
      <c r="Q296" s="117" t="n">
        <v>0</v>
      </c>
      <c r="R296" s="34">
        <f>F296</f>
        <v/>
      </c>
      <c r="S296" s="34">
        <f>R296*Q296</f>
        <v/>
      </c>
      <c r="T296" s="34">
        <f>SUMIFS('[1]GİP VERİLERİ'!$C:$C,'[1]GİP VERİLERİ'!$B:$B,A296,'[1]GİP VERİLERİ'!$M:$M,"40X000000104782K",'[1]GİP VERİLERİ'!$G:$G,"SELL")</f>
        <v/>
      </c>
      <c r="U296" s="34">
        <f>IFERROR(W296/T296,0)</f>
        <v/>
      </c>
      <c r="V296" s="34">
        <f>IF(U296=0,0,U296-F296)</f>
        <v/>
      </c>
      <c r="W296" s="34">
        <f>SUMIFS('[1]GİP VERİLERİ'!$O:$O,'[1]GİP VERİLERİ'!$B:$B,A296,'[1]GİP VERİLERİ'!$M:$M,"40X000000104782K",'[1]GİP VERİLERİ'!$G:$G,"SELL")</f>
        <v/>
      </c>
      <c r="X296" s="34">
        <f>SUMIFS('[1]GİP VERİLERİ'!$C:$C,'[1]GİP VERİLERİ'!$B:$B,A296,'[1]GİP VERİLERİ'!$M:$M,"40X000000104782K",'[1]GİP VERİLERİ'!$G:$G,"BUY")</f>
        <v/>
      </c>
      <c r="Y296" s="34">
        <f>IFERROR(AA296/X296,0)</f>
        <v/>
      </c>
      <c r="Z296" s="34">
        <f>IF(Y296=0,0,F296-Y296)</f>
        <v/>
      </c>
      <c r="AA296" s="34">
        <f>SUMIFS('[1]GİP VERİLERİ'!$O:$O,'[1]GİP VERİLERİ'!$B:$B,A296,'[1]GİP VERİLERİ'!$M:$M,"40X000000104782K",'[1]GİP VERİLERİ'!$G:$G,"BUY")</f>
        <v/>
      </c>
      <c r="AB296" s="34">
        <f>'[1]GÖP VERİLERİ'!H297</f>
        <v/>
      </c>
      <c r="AC296" s="34">
        <f>'[1]GÖP VERİLERİ'!I297</f>
        <v/>
      </c>
      <c r="AD296" s="34">
        <f>IF(AB296&gt;AC296*1.05,AB296-AC296*1.05,IF(AB296&lt;AC296*0.95,AC296*0.95-AB296,0))</f>
        <v/>
      </c>
      <c r="AE296" s="34">
        <f>MAX(F296,G296,750)*0.05*AD296</f>
        <v/>
      </c>
      <c r="AF296" s="34">
        <f>'[1]GÖP VERİLERİ'!J297</f>
        <v/>
      </c>
      <c r="AG296" s="34">
        <f>IF(AB296&gt;AF296*1.05,AB296-AF296*1.05,IF(AB296&lt;AF296*0.95,AF296*0.95-AB296,0))</f>
        <v/>
      </c>
      <c r="AH296" s="34">
        <f>MAX(I296,J296,750)*0.05*AG296</f>
        <v/>
      </c>
      <c r="AI296">
        <f>'[1]GÖP VERİLERİ'!E297</f>
        <v/>
      </c>
      <c r="AJ296">
        <f>'[1]GÖP VERİLERİ'!F297</f>
        <v/>
      </c>
      <c r="AK296" s="34">
        <f>IF(AI296&gt;AJ296*1.05,AI296-AJ296*1.05,IF(AI296&lt;AJ296*0.95,AJ296*0.95-AI296,0))</f>
        <v/>
      </c>
      <c r="AL296" s="34">
        <f>MAX(F296,G296,750)*0.05*AK296</f>
        <v/>
      </c>
      <c r="AM296" s="39">
        <f>'[1]GÖP VERİLERİ'!G297</f>
        <v/>
      </c>
      <c r="AN296" s="34">
        <f>IF(AI296&gt;AM296*1.05,AI296-AM296*1.05,IF(AI296&lt;AM296*0.95,AM296*0.95-AI296,0))</f>
        <v/>
      </c>
      <c r="AO296" s="34">
        <f>MAX(F296,G296,750)*0.05*AN296</f>
        <v/>
      </c>
      <c r="AP296" s="34">
        <f>'[1]GÖP VERİLERİ'!B297</f>
        <v/>
      </c>
      <c r="AQ296" s="34">
        <f>'[1]GÖP VERİLERİ'!C297</f>
        <v/>
      </c>
      <c r="AR296" s="34">
        <f>IF(AP296&gt;AQ296*1.05,AP296-AQ296*1.05,IF(AP296&lt;AQ296*0.95,AQ296*0.95-AP296,0))</f>
        <v/>
      </c>
      <c r="AS296" s="34">
        <f>MAX(F296:G296,750)*0.05*AR296</f>
        <v/>
      </c>
      <c r="AT296">
        <f>'[1]GÖP VERİLERİ'!D297</f>
        <v/>
      </c>
      <c r="AU296" s="34">
        <f>IF(AP296&gt;AT296*1.05,AP296-AT296*1.05,IF(AP296&lt;AT296*0.95,AT296*0.95-AP296,0))</f>
        <v/>
      </c>
      <c r="AV296" s="34">
        <f>MAX(F296:G296,750)*0.05*AU296</f>
        <v/>
      </c>
      <c r="AW296" s="34">
        <f>AC296+AJ296+AQ296</f>
        <v/>
      </c>
      <c r="AX296" s="34">
        <f>AF296+AM296+AT296</f>
        <v/>
      </c>
      <c r="AY296" s="34">
        <f>AB296+AI296+AP296</f>
        <v/>
      </c>
      <c r="AZ296" s="34" t="n">
        <v>0</v>
      </c>
      <c r="BA296" s="34">
        <f>AD296+AK296+AR296</f>
        <v/>
      </c>
      <c r="BB296" s="34">
        <f>MAX(F296:G296,750)*0.05*BA296</f>
        <v/>
      </c>
      <c r="BC296" s="34">
        <f>AG296+AN296+AU296</f>
        <v/>
      </c>
      <c r="BD296" s="34">
        <f>MAX(F296:G296,750)*0.05*BC296</f>
        <v/>
      </c>
      <c r="BE296" s="34">
        <f>F296*AY296</f>
        <v/>
      </c>
      <c r="BF296" s="34">
        <f>K296-M296</f>
        <v/>
      </c>
      <c r="BG296" s="34">
        <f>P296-S296</f>
        <v/>
      </c>
      <c r="BH296" s="34">
        <f>W296-AA296</f>
        <v/>
      </c>
      <c r="BI296" s="34">
        <f>BF296+BG296+BL296-BN296</f>
        <v/>
      </c>
      <c r="BJ296" s="34">
        <f>ABS(BK296)</f>
        <v/>
      </c>
      <c r="BK296" s="34">
        <f>AY296-(J296-L296+N296-Q296)</f>
        <v/>
      </c>
      <c r="BL296" s="34">
        <f>IF(AND(BK296&gt;0,MIN($F296:$G296)&lt;150,$E296="Enerji Açığı"),-100*BK296*1.03,IF(AND(BK296&gt;0,MIN($F296:$G296)&lt;150,$E296="Enerji Fazlası"),-100*BK296*1.06,IF(AND(BK296&gt;0,MIN($F296:$G296)&gt;=150,$E296="Enerji Açığı"),BK296*MIN($F296:$G296)*0.97,IF(AND(BK296&gt;0,MIN($F296:$G296)&gt;=150,$E296="Enerji Fazlası"),BK296*MIN($F296:$G296)*0.94,IF(AND(BK296&lt;0,MAX($F296:$G296)=4500,$E296="Enerji Açığı"),4500*1.05*1.06*BK296,IF(AND(BK296&lt;0,MAX($F296:$G296)=4500,$E296="Enerji Fazlası"),4500*1.05*1.03*BK296,IF(AND(BK296&lt;0,$E296="Enerji Açığı"),MAX($F296,$G296,150)*BK296*1.06,IF(AND(BK296&lt;0,$E296="Enerji Fazlası"),MAX($F296,$G296,150)*BK296*1.03,IF(AND(BK296&lt;0,$E296="Dengede"),MAX($F296:$G296,150)*1.03*BK296,MIN($F296:$G296)*0.97*BK296)))))))))</f>
        <v/>
      </c>
      <c r="BM296" s="34">
        <f>BE296-BI296-BN296</f>
        <v/>
      </c>
      <c r="BN296" s="34">
        <f>BB296</f>
        <v/>
      </c>
      <c r="BO296" s="34">
        <f>BE296-BI296</f>
        <v/>
      </c>
      <c r="BP296" s="34">
        <f>IF(AY296=0,0,BO296/AY296)</f>
        <v/>
      </c>
      <c r="BQ296" s="34">
        <f>MAX((AY296+MAX((-J296+L296-N296+Q296),0)),(MAX((J296-L296+N296-Q296),0)))</f>
        <v/>
      </c>
      <c r="BR296" s="82">
        <f>IFERROR(ABS(BK296/BQ296),0)</f>
        <v/>
      </c>
      <c r="BS296" s="34">
        <f>IF(BR296&lt;=0.1,0,BK296/BR296*(BR296-0.1))</f>
        <v/>
      </c>
      <c r="BT296" s="34">
        <f>IF((BS296)&lt;0,MAX(F296:G296)*(BS296)*1.03,MIN(F296:G296)*(BS296)*0.97)</f>
        <v/>
      </c>
      <c r="BU296" s="34">
        <f>IF(BR296&gt;0.1,1,0)</f>
        <v/>
      </c>
      <c r="BV296" s="34">
        <f>BF296+BG296+BH296+BY296-CA296</f>
        <v/>
      </c>
      <c r="BW296" s="34">
        <f>ABS(BX296)</f>
        <v/>
      </c>
      <c r="BX296" s="34">
        <f>AY296-(J296-L296+N296-Q296+T296-X296)</f>
        <v/>
      </c>
      <c r="BY296" s="34">
        <f>IF(AND(BX296&gt;0,MIN($F296:$G296)&lt;150,$E296="Enerji Açığı"),-100*BX296*1.03,IF(AND(BX296&gt;0,MIN($F296:$G296)&lt;150,$E296="Enerji Fazlası"),-100*BX296*1.06,IF(AND(BX296&gt;0,MIN($F296:$G296)&gt;=150,$E296="Enerji Açığı"),BX296*MIN($F296:$G296)*0.97,IF(AND(BX296&gt;0,MIN($F296:$G296)&gt;=150,$E296="Enerji Fazlası"),BX296*MIN($F296:$G296)*0.94,IF(AND(BX296&lt;0,MAX($F296:$G296)=4500,$E296="Enerji Açığı"),4500*1.05*1.06*BX296,IF(AND(BX296&lt;0,MAX($F296:$G296)=4500,$E296="Enerji Fazlası"),4500*1.05*1.03*BX296,IF(AND(BX296&lt;0,$E296="Enerji Açığı"),MAX($F296,$G296,150)*BX296*1.06,IF(AND(BX296&lt;0,$E296="Enerji Fazlası"),MAX($F296,$G296,150)*BX296*1.03,IF(AND(BX296&lt;0,$E296="Dengede"),MAX($F296:$G296,150)*1.03*BX296,MIN($F296:$G296)*0.97*BX296)))))))))</f>
        <v/>
      </c>
      <c r="BZ296" s="34">
        <f>BE296-BV296-CA296</f>
        <v/>
      </c>
      <c r="CA296" s="34">
        <f>BD296</f>
        <v/>
      </c>
      <c r="CB296" s="33">
        <f>BE296-BV296</f>
        <v/>
      </c>
      <c r="CC296" s="34">
        <f>IF(AY296=0,0,CB296/AY296)</f>
        <v/>
      </c>
      <c r="CD296" s="34">
        <f>MAX((AY296+MAX((-J296+L296-N296+Q296-T296+X296),0)),(MAX((J296-L296+N296-Q296+T296-X296),0)))</f>
        <v/>
      </c>
      <c r="CE296" s="82">
        <f>IFERROR(ABS(BX296/CD296),0)</f>
        <v/>
      </c>
      <c r="CF296" s="34">
        <f>IF(CE296&lt;=0.1,0,BX296/CE296*(CE296-0.1))</f>
        <v/>
      </c>
      <c r="CG296" s="34">
        <f>IF((CF296)&lt;0,MAX(F296:G296)*(CF296)*1.03,MIN(F296:G296)*(CF296)*0.97)</f>
        <v/>
      </c>
      <c r="CH296" s="34">
        <f>IF(CE296&gt;0.1,1,0)</f>
        <v/>
      </c>
      <c r="CI296" s="34">
        <f>(F296*BX296)-BY296</f>
        <v/>
      </c>
      <c r="CJ296" s="34">
        <f>IF(AY296=0,0,CI296/AY296)</f>
        <v/>
      </c>
    </row>
    <row r="297">
      <c r="A297" s="29">
        <f>[1]FİYATLAR!A272</f>
        <v/>
      </c>
      <c r="B297" s="29">
        <f>[1]FİYATLAR!B272</f>
        <v/>
      </c>
      <c r="C297" s="35">
        <f>INT(A297)</f>
        <v/>
      </c>
      <c r="D297" s="36">
        <f>MONTH(A297)</f>
        <v/>
      </c>
      <c r="E297" s="147">
        <f>[1]FİYATLAR!G272</f>
        <v/>
      </c>
      <c r="F297" s="30">
        <f>[1]FİYATLAR!C272</f>
        <v/>
      </c>
      <c r="G297" s="30">
        <f>[1]FİYATLAR!E272</f>
        <v/>
      </c>
      <c r="H297" s="30">
        <f>[1]FİYATLAR!D272</f>
        <v/>
      </c>
      <c r="I297" s="30">
        <f>[1]FİYATLAR!F272</f>
        <v/>
      </c>
      <c r="J297" s="119" t="n">
        <v>0</v>
      </c>
      <c r="K297" s="34">
        <f>F297*J297</f>
        <v/>
      </c>
      <c r="L297" s="119" t="n"/>
      <c r="M297" s="34">
        <f>L297*F297</f>
        <v/>
      </c>
      <c r="N297" s="119" t="n"/>
      <c r="O297" s="34">
        <f>F297</f>
        <v/>
      </c>
      <c r="P297" s="34">
        <f>N297*O297</f>
        <v/>
      </c>
      <c r="Q297" s="117" t="n">
        <v>0</v>
      </c>
      <c r="R297" s="34">
        <f>F297</f>
        <v/>
      </c>
      <c r="S297" s="34">
        <f>R297*Q297</f>
        <v/>
      </c>
      <c r="T297" s="34">
        <f>SUMIFS('[1]GİP VERİLERİ'!$C:$C,'[1]GİP VERİLERİ'!$B:$B,A297,'[1]GİP VERİLERİ'!$M:$M,"40X000000104782K",'[1]GİP VERİLERİ'!$G:$G,"SELL")</f>
        <v/>
      </c>
      <c r="U297" s="34">
        <f>IFERROR(W297/T297,0)</f>
        <v/>
      </c>
      <c r="V297" s="34">
        <f>IF(U297=0,0,U297-F297)</f>
        <v/>
      </c>
      <c r="W297" s="34">
        <f>SUMIFS('[1]GİP VERİLERİ'!$O:$O,'[1]GİP VERİLERİ'!$B:$B,A297,'[1]GİP VERİLERİ'!$M:$M,"40X000000104782K",'[1]GİP VERİLERİ'!$G:$G,"SELL")</f>
        <v/>
      </c>
      <c r="X297" s="34">
        <f>SUMIFS('[1]GİP VERİLERİ'!$C:$C,'[1]GİP VERİLERİ'!$B:$B,A297,'[1]GİP VERİLERİ'!$M:$M,"40X000000104782K",'[1]GİP VERİLERİ'!$G:$G,"BUY")</f>
        <v/>
      </c>
      <c r="Y297" s="34">
        <f>IFERROR(AA297/X297,0)</f>
        <v/>
      </c>
      <c r="Z297" s="34">
        <f>IF(Y297=0,0,F297-Y297)</f>
        <v/>
      </c>
      <c r="AA297" s="34">
        <f>SUMIFS('[1]GİP VERİLERİ'!$O:$O,'[1]GİP VERİLERİ'!$B:$B,A297,'[1]GİP VERİLERİ'!$M:$M,"40X000000104782K",'[1]GİP VERİLERİ'!$G:$G,"BUY")</f>
        <v/>
      </c>
      <c r="AB297" s="34">
        <f>'[1]GÖP VERİLERİ'!H298</f>
        <v/>
      </c>
      <c r="AC297" s="34">
        <f>'[1]GÖP VERİLERİ'!I298</f>
        <v/>
      </c>
      <c r="AD297" s="34">
        <f>IF(AB297&gt;AC297*1.05,AB297-AC297*1.05,IF(AB297&lt;AC297*0.95,AC297*0.95-AB297,0))</f>
        <v/>
      </c>
      <c r="AE297" s="34">
        <f>MAX(F297,G297,750)*0.05*AD297</f>
        <v/>
      </c>
      <c r="AF297" s="34">
        <f>'[1]GÖP VERİLERİ'!J298</f>
        <v/>
      </c>
      <c r="AG297" s="34">
        <f>IF(AB297&gt;AF297*1.05,AB297-AF297*1.05,IF(AB297&lt;AF297*0.95,AF297*0.95-AB297,0))</f>
        <v/>
      </c>
      <c r="AH297" s="34">
        <f>MAX(I297,J297,750)*0.05*AG297</f>
        <v/>
      </c>
      <c r="AI297">
        <f>'[1]GÖP VERİLERİ'!E298</f>
        <v/>
      </c>
      <c r="AJ297">
        <f>'[1]GÖP VERİLERİ'!F298</f>
        <v/>
      </c>
      <c r="AK297" s="34">
        <f>IF(AI297&gt;AJ297*1.05,AI297-AJ297*1.05,IF(AI297&lt;AJ297*0.95,AJ297*0.95-AI297,0))</f>
        <v/>
      </c>
      <c r="AL297" s="34">
        <f>MAX(F297,G297,750)*0.05*AK297</f>
        <v/>
      </c>
      <c r="AM297" s="39">
        <f>'[1]GÖP VERİLERİ'!G298</f>
        <v/>
      </c>
      <c r="AN297" s="34">
        <f>IF(AI297&gt;AM297*1.05,AI297-AM297*1.05,IF(AI297&lt;AM297*0.95,AM297*0.95-AI297,0))</f>
        <v/>
      </c>
      <c r="AO297" s="34">
        <f>MAX(F297,G297,750)*0.05*AN297</f>
        <v/>
      </c>
      <c r="AP297" s="34">
        <f>'[1]GÖP VERİLERİ'!B298</f>
        <v/>
      </c>
      <c r="AQ297" s="34">
        <f>'[1]GÖP VERİLERİ'!C298</f>
        <v/>
      </c>
      <c r="AR297" s="34">
        <f>IF(AP297&gt;AQ297*1.05,AP297-AQ297*1.05,IF(AP297&lt;AQ297*0.95,AQ297*0.95-AP297,0))</f>
        <v/>
      </c>
      <c r="AS297" s="34">
        <f>MAX(F297:G297,750)*0.05*AR297</f>
        <v/>
      </c>
      <c r="AT297">
        <f>'[1]GÖP VERİLERİ'!D298</f>
        <v/>
      </c>
      <c r="AU297" s="34">
        <f>IF(AP297&gt;AT297*1.05,AP297-AT297*1.05,IF(AP297&lt;AT297*0.95,AT297*0.95-AP297,0))</f>
        <v/>
      </c>
      <c r="AV297" s="34">
        <f>MAX(F297:G297,750)*0.05*AU297</f>
        <v/>
      </c>
      <c r="AW297" s="34">
        <f>AC297+AJ297+AQ297</f>
        <v/>
      </c>
      <c r="AX297" s="34">
        <f>AF297+AM297+AT297</f>
        <v/>
      </c>
      <c r="AY297" s="34">
        <f>AB297+AI297+AP297</f>
        <v/>
      </c>
      <c r="AZ297" s="34" t="n">
        <v>0</v>
      </c>
      <c r="BA297" s="34">
        <f>AD297+AK297+AR297</f>
        <v/>
      </c>
      <c r="BB297" s="34">
        <f>MAX(F297:G297,750)*0.05*BA297</f>
        <v/>
      </c>
      <c r="BC297" s="34">
        <f>AG297+AN297+AU297</f>
        <v/>
      </c>
      <c r="BD297" s="34">
        <f>MAX(F297:G297,750)*0.05*BC297</f>
        <v/>
      </c>
      <c r="BE297" s="34">
        <f>F297*AY297</f>
        <v/>
      </c>
      <c r="BF297" s="34">
        <f>K297-M297</f>
        <v/>
      </c>
      <c r="BG297" s="34">
        <f>P297-S297</f>
        <v/>
      </c>
      <c r="BH297" s="34">
        <f>W297-AA297</f>
        <v/>
      </c>
      <c r="BI297" s="34">
        <f>BF297+BG297+BL297-BN297</f>
        <v/>
      </c>
      <c r="BJ297" s="34">
        <f>ABS(BK297)</f>
        <v/>
      </c>
      <c r="BK297" s="34">
        <f>AY297-(J297-L297+N297-Q297)</f>
        <v/>
      </c>
      <c r="BL297" s="34">
        <f>IF(AND(BK297&gt;0,MIN($F297:$G297)&lt;150,$E297="Enerji Açığı"),-100*BK297*1.03,IF(AND(BK297&gt;0,MIN($F297:$G297)&lt;150,$E297="Enerji Fazlası"),-100*BK297*1.06,IF(AND(BK297&gt;0,MIN($F297:$G297)&gt;=150,$E297="Enerji Açığı"),BK297*MIN($F297:$G297)*0.97,IF(AND(BK297&gt;0,MIN($F297:$G297)&gt;=150,$E297="Enerji Fazlası"),BK297*MIN($F297:$G297)*0.94,IF(AND(BK297&lt;0,MAX($F297:$G297)=4500,$E297="Enerji Açığı"),4500*1.05*1.06*BK297,IF(AND(BK297&lt;0,MAX($F297:$G297)=4500,$E297="Enerji Fazlası"),4500*1.05*1.03*BK297,IF(AND(BK297&lt;0,$E297="Enerji Açığı"),MAX($F297,$G297,150)*BK297*1.06,IF(AND(BK297&lt;0,$E297="Enerji Fazlası"),MAX($F297,$G297,150)*BK297*1.03,IF(AND(BK297&lt;0,$E297="Dengede"),MAX($F297:$G297,150)*1.03*BK297,MIN($F297:$G297)*0.97*BK297)))))))))</f>
        <v/>
      </c>
      <c r="BM297" s="34">
        <f>BE297-BI297-BN297</f>
        <v/>
      </c>
      <c r="BN297" s="34">
        <f>BB297</f>
        <v/>
      </c>
      <c r="BO297" s="34">
        <f>BE297-BI297</f>
        <v/>
      </c>
      <c r="BP297" s="34">
        <f>IF(AY297=0,0,BO297/AY297)</f>
        <v/>
      </c>
      <c r="BQ297" s="34">
        <f>MAX((AY297+MAX((-J297+L297-N297+Q297),0)),(MAX((J297-L297+N297-Q297),0)))</f>
        <v/>
      </c>
      <c r="BR297" s="82">
        <f>IFERROR(ABS(BK297/BQ297),0)</f>
        <v/>
      </c>
      <c r="BS297" s="34">
        <f>IF(BR297&lt;=0.1,0,BK297/BR297*(BR297-0.1))</f>
        <v/>
      </c>
      <c r="BT297" s="34">
        <f>IF((BS297)&lt;0,MAX(F297:G297)*(BS297)*1.03,MIN(F297:G297)*(BS297)*0.97)</f>
        <v/>
      </c>
      <c r="BU297" s="34">
        <f>IF(BR297&gt;0.1,1,0)</f>
        <v/>
      </c>
      <c r="BV297" s="34">
        <f>BF297+BG297+BH297+BY297-CA297</f>
        <v/>
      </c>
      <c r="BW297" s="34">
        <f>ABS(BX297)</f>
        <v/>
      </c>
      <c r="BX297" s="34">
        <f>AY297-(J297-L297+N297-Q297+T297-X297)</f>
        <v/>
      </c>
      <c r="BY297" s="34">
        <f>IF(AND(BX297&gt;0,MIN($F297:$G297)&lt;150,$E297="Enerji Açığı"),-100*BX297*1.03,IF(AND(BX297&gt;0,MIN($F297:$G297)&lt;150,$E297="Enerji Fazlası"),-100*BX297*1.06,IF(AND(BX297&gt;0,MIN($F297:$G297)&gt;=150,$E297="Enerji Açığı"),BX297*MIN($F297:$G297)*0.97,IF(AND(BX297&gt;0,MIN($F297:$G297)&gt;=150,$E297="Enerji Fazlası"),BX297*MIN($F297:$G297)*0.94,IF(AND(BX297&lt;0,MAX($F297:$G297)=4500,$E297="Enerji Açığı"),4500*1.05*1.06*BX297,IF(AND(BX297&lt;0,MAX($F297:$G297)=4500,$E297="Enerji Fazlası"),4500*1.05*1.03*BX297,IF(AND(BX297&lt;0,$E297="Enerji Açığı"),MAX($F297,$G297,150)*BX297*1.06,IF(AND(BX297&lt;0,$E297="Enerji Fazlası"),MAX($F297,$G297,150)*BX297*1.03,IF(AND(BX297&lt;0,$E297="Dengede"),MAX($F297:$G297,150)*1.03*BX297,MIN($F297:$G297)*0.97*BX297)))))))))</f>
        <v/>
      </c>
      <c r="BZ297" s="34">
        <f>BE297-BV297-CA297</f>
        <v/>
      </c>
      <c r="CA297" s="34">
        <f>BD297</f>
        <v/>
      </c>
      <c r="CB297" s="33">
        <f>BE297-BV297</f>
        <v/>
      </c>
      <c r="CC297" s="34">
        <f>IF(AY297=0,0,CB297/AY297)</f>
        <v/>
      </c>
      <c r="CD297" s="34">
        <f>MAX((AY297+MAX((-J297+L297-N297+Q297-T297+X297),0)),(MAX((J297-L297+N297-Q297+T297-X297),0)))</f>
        <v/>
      </c>
      <c r="CE297" s="82">
        <f>IFERROR(ABS(BX297/CD297),0)</f>
        <v/>
      </c>
      <c r="CF297" s="34">
        <f>IF(CE297&lt;=0.1,0,BX297/CE297*(CE297-0.1))</f>
        <v/>
      </c>
      <c r="CG297" s="34">
        <f>IF((CF297)&lt;0,MAX(F297:G297)*(CF297)*1.03,MIN(F297:G297)*(CF297)*0.97)</f>
        <v/>
      </c>
      <c r="CH297" s="34">
        <f>IF(CE297&gt;0.1,1,0)</f>
        <v/>
      </c>
      <c r="CI297" s="34">
        <f>(F297*BX297)-BY297</f>
        <v/>
      </c>
      <c r="CJ297" s="34">
        <f>IF(AY297=0,0,CI297/AY297)</f>
        <v/>
      </c>
    </row>
    <row r="298">
      <c r="A298" s="29">
        <f>[1]FİYATLAR!A273</f>
        <v/>
      </c>
      <c r="B298" s="29">
        <f>[1]FİYATLAR!B273</f>
        <v/>
      </c>
      <c r="C298" s="35">
        <f>INT(A298)</f>
        <v/>
      </c>
      <c r="D298" s="36">
        <f>MONTH(A298)</f>
        <v/>
      </c>
      <c r="E298" s="147">
        <f>[1]FİYATLAR!G273</f>
        <v/>
      </c>
      <c r="F298" s="30">
        <f>[1]FİYATLAR!C273</f>
        <v/>
      </c>
      <c r="G298" s="30">
        <f>[1]FİYATLAR!E273</f>
        <v/>
      </c>
      <c r="H298" s="30">
        <f>[1]FİYATLAR!D273</f>
        <v/>
      </c>
      <c r="I298" s="30">
        <f>[1]FİYATLAR!F273</f>
        <v/>
      </c>
      <c r="J298" s="119" t="n">
        <v>0</v>
      </c>
      <c r="K298" s="34">
        <f>F298*J298</f>
        <v/>
      </c>
      <c r="L298" s="119" t="n"/>
      <c r="M298" s="34">
        <f>L298*F298</f>
        <v/>
      </c>
      <c r="N298" s="119" t="n"/>
      <c r="O298" s="34">
        <f>F298</f>
        <v/>
      </c>
      <c r="P298" s="34">
        <f>N298*O298</f>
        <v/>
      </c>
      <c r="Q298" s="117" t="n">
        <v>0</v>
      </c>
      <c r="R298" s="34">
        <f>F298</f>
        <v/>
      </c>
      <c r="S298" s="34">
        <f>R298*Q298</f>
        <v/>
      </c>
      <c r="T298" s="34">
        <f>SUMIFS('[1]GİP VERİLERİ'!$C:$C,'[1]GİP VERİLERİ'!$B:$B,A298,'[1]GİP VERİLERİ'!$M:$M,"40X000000104782K",'[1]GİP VERİLERİ'!$G:$G,"SELL")</f>
        <v/>
      </c>
      <c r="U298" s="34">
        <f>IFERROR(W298/T298,0)</f>
        <v/>
      </c>
      <c r="V298" s="34">
        <f>IF(U298=0,0,U298-F298)</f>
        <v/>
      </c>
      <c r="W298" s="34">
        <f>SUMIFS('[1]GİP VERİLERİ'!$O:$O,'[1]GİP VERİLERİ'!$B:$B,A298,'[1]GİP VERİLERİ'!$M:$M,"40X000000104782K",'[1]GİP VERİLERİ'!$G:$G,"SELL")</f>
        <v/>
      </c>
      <c r="X298" s="34">
        <f>SUMIFS('[1]GİP VERİLERİ'!$C:$C,'[1]GİP VERİLERİ'!$B:$B,A298,'[1]GİP VERİLERİ'!$M:$M,"40X000000104782K",'[1]GİP VERİLERİ'!$G:$G,"BUY")</f>
        <v/>
      </c>
      <c r="Y298" s="34">
        <f>IFERROR(AA298/X298,0)</f>
        <v/>
      </c>
      <c r="Z298" s="34">
        <f>IF(Y298=0,0,F298-Y298)</f>
        <v/>
      </c>
      <c r="AA298" s="34">
        <f>SUMIFS('[1]GİP VERİLERİ'!$O:$O,'[1]GİP VERİLERİ'!$B:$B,A298,'[1]GİP VERİLERİ'!$M:$M,"40X000000104782K",'[1]GİP VERİLERİ'!$G:$G,"BUY")</f>
        <v/>
      </c>
      <c r="AB298" s="34">
        <f>'[1]GÖP VERİLERİ'!H299</f>
        <v/>
      </c>
      <c r="AC298" s="34">
        <f>'[1]GÖP VERİLERİ'!I299</f>
        <v/>
      </c>
      <c r="AD298" s="34">
        <f>IF(AB298&gt;AC298*1.05,AB298-AC298*1.05,IF(AB298&lt;AC298*0.95,AC298*0.95-AB298,0))</f>
        <v/>
      </c>
      <c r="AE298" s="34">
        <f>MAX(F298,G298,750)*0.05*AD298</f>
        <v/>
      </c>
      <c r="AF298" s="34">
        <f>'[1]GÖP VERİLERİ'!J299</f>
        <v/>
      </c>
      <c r="AG298" s="34">
        <f>IF(AB298&gt;AF298*1.05,AB298-AF298*1.05,IF(AB298&lt;AF298*0.95,AF298*0.95-AB298,0))</f>
        <v/>
      </c>
      <c r="AH298" s="34">
        <f>MAX(I298,J298,750)*0.05*AG298</f>
        <v/>
      </c>
      <c r="AI298">
        <f>'[1]GÖP VERİLERİ'!E299</f>
        <v/>
      </c>
      <c r="AJ298">
        <f>'[1]GÖP VERİLERİ'!F299</f>
        <v/>
      </c>
      <c r="AK298" s="34">
        <f>IF(AI298&gt;AJ298*1.05,AI298-AJ298*1.05,IF(AI298&lt;AJ298*0.95,AJ298*0.95-AI298,0))</f>
        <v/>
      </c>
      <c r="AL298" s="34">
        <f>MAX(F298,G298,750)*0.05*AK298</f>
        <v/>
      </c>
      <c r="AM298" s="39">
        <f>'[1]GÖP VERİLERİ'!G299</f>
        <v/>
      </c>
      <c r="AN298" s="34">
        <f>IF(AI298&gt;AM298*1.05,AI298-AM298*1.05,IF(AI298&lt;AM298*0.95,AM298*0.95-AI298,0))</f>
        <v/>
      </c>
      <c r="AO298" s="34">
        <f>MAX(F298,G298,750)*0.05*AN298</f>
        <v/>
      </c>
      <c r="AP298" s="34">
        <f>'[1]GÖP VERİLERİ'!B299</f>
        <v/>
      </c>
      <c r="AQ298" s="34">
        <f>'[1]GÖP VERİLERİ'!C299</f>
        <v/>
      </c>
      <c r="AR298" s="34">
        <f>IF(AP298&gt;AQ298*1.05,AP298-AQ298*1.05,IF(AP298&lt;AQ298*0.95,AQ298*0.95-AP298,0))</f>
        <v/>
      </c>
      <c r="AS298" s="34">
        <f>MAX(F298:G298,750)*0.05*AR298</f>
        <v/>
      </c>
      <c r="AT298">
        <f>'[1]GÖP VERİLERİ'!D299</f>
        <v/>
      </c>
      <c r="AU298" s="34">
        <f>IF(AP298&gt;AT298*1.05,AP298-AT298*1.05,IF(AP298&lt;AT298*0.95,AT298*0.95-AP298,0))</f>
        <v/>
      </c>
      <c r="AV298" s="34">
        <f>MAX(F298:G298,750)*0.05*AU298</f>
        <v/>
      </c>
      <c r="AW298" s="34">
        <f>AC298+AJ298+AQ298</f>
        <v/>
      </c>
      <c r="AX298" s="34">
        <f>AF298+AM298+AT298</f>
        <v/>
      </c>
      <c r="AY298" s="34">
        <f>AB298+AI298+AP298</f>
        <v/>
      </c>
      <c r="AZ298" s="34" t="n">
        <v>0</v>
      </c>
      <c r="BA298" s="34">
        <f>AD298+AK298+AR298</f>
        <v/>
      </c>
      <c r="BB298" s="34">
        <f>MAX(F298:G298,750)*0.05*BA298</f>
        <v/>
      </c>
      <c r="BC298" s="34">
        <f>AG298+AN298+AU298</f>
        <v/>
      </c>
      <c r="BD298" s="34">
        <f>MAX(F298:G298,750)*0.05*BC298</f>
        <v/>
      </c>
      <c r="BE298" s="34">
        <f>F298*AY298</f>
        <v/>
      </c>
      <c r="BF298" s="34">
        <f>K298-M298</f>
        <v/>
      </c>
      <c r="BG298" s="34">
        <f>P298-S298</f>
        <v/>
      </c>
      <c r="BH298" s="34">
        <f>W298-AA298</f>
        <v/>
      </c>
      <c r="BI298" s="34">
        <f>BF298+BG298+BL298-BN298</f>
        <v/>
      </c>
      <c r="BJ298" s="34">
        <f>ABS(BK298)</f>
        <v/>
      </c>
      <c r="BK298" s="34">
        <f>AY298-(J298-L298+N298-Q298)</f>
        <v/>
      </c>
      <c r="BL298" s="34">
        <f>IF(AND(BK298&gt;0,MIN($F298:$G298)&lt;150,$E298="Enerji Açığı"),-100*BK298*1.03,IF(AND(BK298&gt;0,MIN($F298:$G298)&lt;150,$E298="Enerji Fazlası"),-100*BK298*1.06,IF(AND(BK298&gt;0,MIN($F298:$G298)&gt;=150,$E298="Enerji Açığı"),BK298*MIN($F298:$G298)*0.97,IF(AND(BK298&gt;0,MIN($F298:$G298)&gt;=150,$E298="Enerji Fazlası"),BK298*MIN($F298:$G298)*0.94,IF(AND(BK298&lt;0,MAX($F298:$G298)=4500,$E298="Enerji Açığı"),4500*1.05*1.06*BK298,IF(AND(BK298&lt;0,MAX($F298:$G298)=4500,$E298="Enerji Fazlası"),4500*1.05*1.03*BK298,IF(AND(BK298&lt;0,$E298="Enerji Açığı"),MAX($F298,$G298,150)*BK298*1.06,IF(AND(BK298&lt;0,$E298="Enerji Fazlası"),MAX($F298,$G298,150)*BK298*1.03,IF(AND(BK298&lt;0,$E298="Dengede"),MAX($F298:$G298,150)*1.03*BK298,MIN($F298:$G298)*0.97*BK298)))))))))</f>
        <v/>
      </c>
      <c r="BM298" s="34">
        <f>BE298-BI298-BN298</f>
        <v/>
      </c>
      <c r="BN298" s="34">
        <f>BB298</f>
        <v/>
      </c>
      <c r="BO298" s="34">
        <f>BE298-BI298</f>
        <v/>
      </c>
      <c r="BP298" s="34">
        <f>IF(AY298=0,0,BO298/AY298)</f>
        <v/>
      </c>
      <c r="BQ298" s="34">
        <f>MAX((AY298+MAX((-J298+L298-N298+Q298),0)),(MAX((J298-L298+N298-Q298),0)))</f>
        <v/>
      </c>
      <c r="BR298" s="82">
        <f>IFERROR(ABS(BK298/BQ298),0)</f>
        <v/>
      </c>
      <c r="BS298" s="34">
        <f>IF(BR298&lt;=0.1,0,BK298/BR298*(BR298-0.1))</f>
        <v/>
      </c>
      <c r="BT298" s="34">
        <f>IF((BS298)&lt;0,MAX(F298:G298)*(BS298)*1.03,MIN(F298:G298)*(BS298)*0.97)</f>
        <v/>
      </c>
      <c r="BU298" s="34">
        <f>IF(BR298&gt;0.1,1,0)</f>
        <v/>
      </c>
      <c r="BV298" s="34">
        <f>BF298+BG298+BH298+BY298-CA298</f>
        <v/>
      </c>
      <c r="BW298" s="34">
        <f>ABS(BX298)</f>
        <v/>
      </c>
      <c r="BX298" s="34">
        <f>AY298-(J298-L298+N298-Q298+T298-X298)</f>
        <v/>
      </c>
      <c r="BY298" s="34">
        <f>IF(AND(BX298&gt;0,MIN($F298:$G298)&lt;150,$E298="Enerji Açığı"),-100*BX298*1.03,IF(AND(BX298&gt;0,MIN($F298:$G298)&lt;150,$E298="Enerji Fazlası"),-100*BX298*1.06,IF(AND(BX298&gt;0,MIN($F298:$G298)&gt;=150,$E298="Enerji Açığı"),BX298*MIN($F298:$G298)*0.97,IF(AND(BX298&gt;0,MIN($F298:$G298)&gt;=150,$E298="Enerji Fazlası"),BX298*MIN($F298:$G298)*0.94,IF(AND(BX298&lt;0,MAX($F298:$G298)=4500,$E298="Enerji Açığı"),4500*1.05*1.06*BX298,IF(AND(BX298&lt;0,MAX($F298:$G298)=4500,$E298="Enerji Fazlası"),4500*1.05*1.03*BX298,IF(AND(BX298&lt;0,$E298="Enerji Açığı"),MAX($F298,$G298,150)*BX298*1.06,IF(AND(BX298&lt;0,$E298="Enerji Fazlası"),MAX($F298,$G298,150)*BX298*1.03,IF(AND(BX298&lt;0,$E298="Dengede"),MAX($F298:$G298,150)*1.03*BX298,MIN($F298:$G298)*0.97*BX298)))))))))</f>
        <v/>
      </c>
      <c r="BZ298" s="34">
        <f>BE298-BV298-CA298</f>
        <v/>
      </c>
      <c r="CA298" s="34">
        <f>BD298</f>
        <v/>
      </c>
      <c r="CB298" s="33">
        <f>BE298-BV298</f>
        <v/>
      </c>
      <c r="CC298" s="34">
        <f>IF(AY298=0,0,CB298/AY298)</f>
        <v/>
      </c>
      <c r="CD298" s="34">
        <f>MAX((AY298+MAX((-J298+L298-N298+Q298-T298+X298),0)),(MAX((J298-L298+N298-Q298+T298-X298),0)))</f>
        <v/>
      </c>
      <c r="CE298" s="82">
        <f>IFERROR(ABS(BX298/CD298),0)</f>
        <v/>
      </c>
      <c r="CF298" s="34">
        <f>IF(CE298&lt;=0.1,0,BX298/CE298*(CE298-0.1))</f>
        <v/>
      </c>
      <c r="CG298" s="34">
        <f>IF((CF298)&lt;0,MAX(F298:G298)*(CF298)*1.03,MIN(F298:G298)*(CF298)*0.97)</f>
        <v/>
      </c>
      <c r="CH298" s="34">
        <f>IF(CE298&gt;0.1,1,0)</f>
        <v/>
      </c>
      <c r="CI298" s="34">
        <f>(F298*BX298)-BY298</f>
        <v/>
      </c>
      <c r="CJ298" s="34">
        <f>IF(AY298=0,0,CI298/AY298)</f>
        <v/>
      </c>
    </row>
    <row r="299">
      <c r="A299" s="29">
        <f>[1]FİYATLAR!A274</f>
        <v/>
      </c>
      <c r="B299" s="29">
        <f>[1]FİYATLAR!B274</f>
        <v/>
      </c>
      <c r="C299" s="35">
        <f>INT(A299)</f>
        <v/>
      </c>
      <c r="D299" s="36">
        <f>MONTH(A299)</f>
        <v/>
      </c>
      <c r="E299" s="147">
        <f>[1]FİYATLAR!G274</f>
        <v/>
      </c>
      <c r="F299" s="30">
        <f>[1]FİYATLAR!C274</f>
        <v/>
      </c>
      <c r="G299" s="30">
        <f>[1]FİYATLAR!E274</f>
        <v/>
      </c>
      <c r="H299" s="30">
        <f>[1]FİYATLAR!D274</f>
        <v/>
      </c>
      <c r="I299" s="30">
        <f>[1]FİYATLAR!F274</f>
        <v/>
      </c>
      <c r="J299" s="119" t="n">
        <v>0</v>
      </c>
      <c r="K299" s="34">
        <f>F299*J299</f>
        <v/>
      </c>
      <c r="L299" s="119" t="n"/>
      <c r="M299" s="34">
        <f>L299*F299</f>
        <v/>
      </c>
      <c r="N299" s="119" t="n"/>
      <c r="O299" s="34">
        <f>F299</f>
        <v/>
      </c>
      <c r="P299" s="34">
        <f>N299*O299</f>
        <v/>
      </c>
      <c r="Q299" s="117" t="n">
        <v>0</v>
      </c>
      <c r="R299" s="34">
        <f>F299</f>
        <v/>
      </c>
      <c r="S299" s="34">
        <f>R299*Q299</f>
        <v/>
      </c>
      <c r="T299" s="34">
        <f>SUMIFS('[1]GİP VERİLERİ'!$C:$C,'[1]GİP VERİLERİ'!$B:$B,A299,'[1]GİP VERİLERİ'!$M:$M,"40X000000104782K",'[1]GİP VERİLERİ'!$G:$G,"SELL")</f>
        <v/>
      </c>
      <c r="U299" s="34">
        <f>IFERROR(W299/T299,0)</f>
        <v/>
      </c>
      <c r="V299" s="34">
        <f>IF(U299=0,0,U299-F299)</f>
        <v/>
      </c>
      <c r="W299" s="34">
        <f>SUMIFS('[1]GİP VERİLERİ'!$O:$O,'[1]GİP VERİLERİ'!$B:$B,A299,'[1]GİP VERİLERİ'!$M:$M,"40X000000104782K",'[1]GİP VERİLERİ'!$G:$G,"SELL")</f>
        <v/>
      </c>
      <c r="X299" s="34">
        <f>SUMIFS('[1]GİP VERİLERİ'!$C:$C,'[1]GİP VERİLERİ'!$B:$B,A299,'[1]GİP VERİLERİ'!$M:$M,"40X000000104782K",'[1]GİP VERİLERİ'!$G:$G,"BUY")</f>
        <v/>
      </c>
      <c r="Y299" s="34">
        <f>IFERROR(AA299/X299,0)</f>
        <v/>
      </c>
      <c r="Z299" s="34">
        <f>IF(Y299=0,0,F299-Y299)</f>
        <v/>
      </c>
      <c r="AA299" s="34">
        <f>SUMIFS('[1]GİP VERİLERİ'!$O:$O,'[1]GİP VERİLERİ'!$B:$B,A299,'[1]GİP VERİLERİ'!$M:$M,"40X000000104782K",'[1]GİP VERİLERİ'!$G:$G,"BUY")</f>
        <v/>
      </c>
      <c r="AB299" s="34">
        <f>'[1]GÖP VERİLERİ'!H300</f>
        <v/>
      </c>
      <c r="AC299" s="34">
        <f>'[1]GÖP VERİLERİ'!I300</f>
        <v/>
      </c>
      <c r="AD299" s="34">
        <f>IF(AB299&gt;AC299*1.05,AB299-AC299*1.05,IF(AB299&lt;AC299*0.95,AC299*0.95-AB299,0))</f>
        <v/>
      </c>
      <c r="AE299" s="34">
        <f>MAX(F299,G299,750)*0.05*AD299</f>
        <v/>
      </c>
      <c r="AF299" s="34">
        <f>'[1]GÖP VERİLERİ'!J300</f>
        <v/>
      </c>
      <c r="AG299" s="34">
        <f>IF(AB299&gt;AF299*1.05,AB299-AF299*1.05,IF(AB299&lt;AF299*0.95,AF299*0.95-AB299,0))</f>
        <v/>
      </c>
      <c r="AH299" s="34">
        <f>MAX(I299,J299,750)*0.05*AG299</f>
        <v/>
      </c>
      <c r="AI299">
        <f>'[1]GÖP VERİLERİ'!E300</f>
        <v/>
      </c>
      <c r="AJ299">
        <f>'[1]GÖP VERİLERİ'!F300</f>
        <v/>
      </c>
      <c r="AK299" s="34">
        <f>IF(AI299&gt;AJ299*1.05,AI299-AJ299*1.05,IF(AI299&lt;AJ299*0.95,AJ299*0.95-AI299,0))</f>
        <v/>
      </c>
      <c r="AL299" s="34">
        <f>MAX(F299,G299,750)*0.05*AK299</f>
        <v/>
      </c>
      <c r="AM299" s="39">
        <f>'[1]GÖP VERİLERİ'!G300</f>
        <v/>
      </c>
      <c r="AN299" s="34">
        <f>IF(AI299&gt;AM299*1.05,AI299-AM299*1.05,IF(AI299&lt;AM299*0.95,AM299*0.95-AI299,0))</f>
        <v/>
      </c>
      <c r="AO299" s="34">
        <f>MAX(F299,G299,750)*0.05*AN299</f>
        <v/>
      </c>
      <c r="AP299" s="34">
        <f>'[1]GÖP VERİLERİ'!B300</f>
        <v/>
      </c>
      <c r="AQ299" s="34">
        <f>'[1]GÖP VERİLERİ'!C300</f>
        <v/>
      </c>
      <c r="AR299" s="34">
        <f>IF(AP299&gt;AQ299*1.05,AP299-AQ299*1.05,IF(AP299&lt;AQ299*0.95,AQ299*0.95-AP299,0))</f>
        <v/>
      </c>
      <c r="AS299" s="34">
        <f>MAX(F299:G299,750)*0.05*AR299</f>
        <v/>
      </c>
      <c r="AT299">
        <f>'[1]GÖP VERİLERİ'!D300</f>
        <v/>
      </c>
      <c r="AU299" s="34">
        <f>IF(AP299&gt;AT299*1.05,AP299-AT299*1.05,IF(AP299&lt;AT299*0.95,AT299*0.95-AP299,0))</f>
        <v/>
      </c>
      <c r="AV299" s="34">
        <f>MAX(F299:G299,750)*0.05*AU299</f>
        <v/>
      </c>
      <c r="AW299" s="34">
        <f>AC299+AJ299+AQ299</f>
        <v/>
      </c>
      <c r="AX299" s="34">
        <f>AF299+AM299+AT299</f>
        <v/>
      </c>
      <c r="AY299" s="34">
        <f>AB299+AI299+AP299</f>
        <v/>
      </c>
      <c r="AZ299" s="34" t="n">
        <v>0</v>
      </c>
      <c r="BA299" s="34">
        <f>AD299+AK299+AR299</f>
        <v/>
      </c>
      <c r="BB299" s="34">
        <f>MAX(F299:G299,750)*0.05*BA299</f>
        <v/>
      </c>
      <c r="BC299" s="34">
        <f>AG299+AN299+AU299</f>
        <v/>
      </c>
      <c r="BD299" s="34">
        <f>MAX(F299:G299,750)*0.05*BC299</f>
        <v/>
      </c>
      <c r="BE299" s="34">
        <f>F299*AY299</f>
        <v/>
      </c>
      <c r="BF299" s="34">
        <f>K299-M299</f>
        <v/>
      </c>
      <c r="BG299" s="34">
        <f>P299-S299</f>
        <v/>
      </c>
      <c r="BH299" s="34">
        <f>W299-AA299</f>
        <v/>
      </c>
      <c r="BI299" s="34">
        <f>BF299+BG299+BL299-BN299</f>
        <v/>
      </c>
      <c r="BJ299" s="34">
        <f>ABS(BK299)</f>
        <v/>
      </c>
      <c r="BK299" s="34">
        <f>AY299-(J299-L299+N299-Q299)</f>
        <v/>
      </c>
      <c r="BL299" s="34">
        <f>IF(AND(BK299&gt;0,MIN($F299:$G299)&lt;150,$E299="Enerji Açığı"),-100*BK299*1.03,IF(AND(BK299&gt;0,MIN($F299:$G299)&lt;150,$E299="Enerji Fazlası"),-100*BK299*1.06,IF(AND(BK299&gt;0,MIN($F299:$G299)&gt;=150,$E299="Enerji Açığı"),BK299*MIN($F299:$G299)*0.97,IF(AND(BK299&gt;0,MIN($F299:$G299)&gt;=150,$E299="Enerji Fazlası"),BK299*MIN($F299:$G299)*0.94,IF(AND(BK299&lt;0,MAX($F299:$G299)=4500,$E299="Enerji Açığı"),4500*1.05*1.06*BK299,IF(AND(BK299&lt;0,MAX($F299:$G299)=4500,$E299="Enerji Fazlası"),4500*1.05*1.03*BK299,IF(AND(BK299&lt;0,$E299="Enerji Açığı"),MAX($F299,$G299,150)*BK299*1.06,IF(AND(BK299&lt;0,$E299="Enerji Fazlası"),MAX($F299,$G299,150)*BK299*1.03,IF(AND(BK299&lt;0,$E299="Dengede"),MAX($F299:$G299,150)*1.03*BK299,MIN($F299:$G299)*0.97*BK299)))))))))</f>
        <v/>
      </c>
      <c r="BM299" s="34">
        <f>BE299-BI299-BN299</f>
        <v/>
      </c>
      <c r="BN299" s="34">
        <f>BB299</f>
        <v/>
      </c>
      <c r="BO299" s="34">
        <f>BE299-BI299</f>
        <v/>
      </c>
      <c r="BP299" s="34">
        <f>IF(AY299=0,0,BO299/AY299)</f>
        <v/>
      </c>
      <c r="BQ299" s="34">
        <f>MAX((AY299+MAX((-J299+L299-N299+Q299),0)),(MAX((J299-L299+N299-Q299),0)))</f>
        <v/>
      </c>
      <c r="BR299" s="82">
        <f>IFERROR(ABS(BK299/BQ299),0)</f>
        <v/>
      </c>
      <c r="BS299" s="34">
        <f>IF(BR299&lt;=0.1,0,BK299/BR299*(BR299-0.1))</f>
        <v/>
      </c>
      <c r="BT299" s="34">
        <f>IF((BS299)&lt;0,MAX(F299:G299)*(BS299)*1.03,MIN(F299:G299)*(BS299)*0.97)</f>
        <v/>
      </c>
      <c r="BU299" s="34">
        <f>IF(BR299&gt;0.1,1,0)</f>
        <v/>
      </c>
      <c r="BV299" s="34">
        <f>BF299+BG299+BH299+BY299-CA299</f>
        <v/>
      </c>
      <c r="BW299" s="34">
        <f>ABS(BX299)</f>
        <v/>
      </c>
      <c r="BX299" s="34">
        <f>AY299-(J299-L299+N299-Q299+T299-X299)</f>
        <v/>
      </c>
      <c r="BY299" s="34">
        <f>IF(AND(BX299&gt;0,MIN($F299:$G299)&lt;150,$E299="Enerji Açığı"),-100*BX299*1.03,IF(AND(BX299&gt;0,MIN($F299:$G299)&lt;150,$E299="Enerji Fazlası"),-100*BX299*1.06,IF(AND(BX299&gt;0,MIN($F299:$G299)&gt;=150,$E299="Enerji Açığı"),BX299*MIN($F299:$G299)*0.97,IF(AND(BX299&gt;0,MIN($F299:$G299)&gt;=150,$E299="Enerji Fazlası"),BX299*MIN($F299:$G299)*0.94,IF(AND(BX299&lt;0,MAX($F299:$G299)=4500,$E299="Enerji Açığı"),4500*1.05*1.06*BX299,IF(AND(BX299&lt;0,MAX($F299:$G299)=4500,$E299="Enerji Fazlası"),4500*1.05*1.03*BX299,IF(AND(BX299&lt;0,$E299="Enerji Açığı"),MAX($F299,$G299,150)*BX299*1.06,IF(AND(BX299&lt;0,$E299="Enerji Fazlası"),MAX($F299,$G299,150)*BX299*1.03,IF(AND(BX299&lt;0,$E299="Dengede"),MAX($F299:$G299,150)*1.03*BX299,MIN($F299:$G299)*0.97*BX299)))))))))</f>
        <v/>
      </c>
      <c r="BZ299" s="34">
        <f>BE299-BV299-CA299</f>
        <v/>
      </c>
      <c r="CA299" s="34">
        <f>BD299</f>
        <v/>
      </c>
      <c r="CB299" s="33">
        <f>BE299-BV299</f>
        <v/>
      </c>
      <c r="CC299" s="34">
        <f>IF(AY299=0,0,CB299/AY299)</f>
        <v/>
      </c>
      <c r="CD299" s="34">
        <f>MAX((AY299+MAX((-J299+L299-N299+Q299-T299+X299),0)),(MAX((J299-L299+N299-Q299+T299-X299),0)))</f>
        <v/>
      </c>
      <c r="CE299" s="82">
        <f>IFERROR(ABS(BX299/CD299),0)</f>
        <v/>
      </c>
      <c r="CF299" s="34">
        <f>IF(CE299&lt;=0.1,0,BX299/CE299*(CE299-0.1))</f>
        <v/>
      </c>
      <c r="CG299" s="34">
        <f>IF((CF299)&lt;0,MAX(F299:G299)*(CF299)*1.03,MIN(F299:G299)*(CF299)*0.97)</f>
        <v/>
      </c>
      <c r="CH299" s="34">
        <f>IF(CE299&gt;0.1,1,0)</f>
        <v/>
      </c>
      <c r="CI299" s="34">
        <f>(F299*BX299)-BY299</f>
        <v/>
      </c>
      <c r="CJ299" s="34">
        <f>IF(AY299=0,0,CI299/AY299)</f>
        <v/>
      </c>
    </row>
    <row r="300">
      <c r="A300" s="29">
        <f>[1]FİYATLAR!A275</f>
        <v/>
      </c>
      <c r="B300" s="29">
        <f>[1]FİYATLAR!B275</f>
        <v/>
      </c>
      <c r="C300" s="35">
        <f>INT(A300)</f>
        <v/>
      </c>
      <c r="D300" s="36">
        <f>MONTH(A300)</f>
        <v/>
      </c>
      <c r="E300" s="147">
        <f>[1]FİYATLAR!G275</f>
        <v/>
      </c>
      <c r="F300" s="30">
        <f>[1]FİYATLAR!C275</f>
        <v/>
      </c>
      <c r="G300" s="30">
        <f>[1]FİYATLAR!E275</f>
        <v/>
      </c>
      <c r="H300" s="30">
        <f>[1]FİYATLAR!D275</f>
        <v/>
      </c>
      <c r="I300" s="30">
        <f>[1]FİYATLAR!F275</f>
        <v/>
      </c>
      <c r="J300" s="119" t="n">
        <v>0</v>
      </c>
      <c r="K300" s="34">
        <f>F300*J300</f>
        <v/>
      </c>
      <c r="L300" s="119" t="n"/>
      <c r="M300" s="34">
        <f>L300*F300</f>
        <v/>
      </c>
      <c r="N300" s="119" t="n"/>
      <c r="O300" s="34">
        <f>F300</f>
        <v/>
      </c>
      <c r="P300" s="34">
        <f>N300*O300</f>
        <v/>
      </c>
      <c r="Q300" s="117" t="n">
        <v>0</v>
      </c>
      <c r="R300" s="34">
        <f>F300</f>
        <v/>
      </c>
      <c r="S300" s="34">
        <f>R300*Q300</f>
        <v/>
      </c>
      <c r="T300" s="34">
        <f>SUMIFS('[1]GİP VERİLERİ'!$C:$C,'[1]GİP VERİLERİ'!$B:$B,A300,'[1]GİP VERİLERİ'!$M:$M,"40X000000104782K",'[1]GİP VERİLERİ'!$G:$G,"SELL")</f>
        <v/>
      </c>
      <c r="U300" s="34">
        <f>IFERROR(W300/T300,0)</f>
        <v/>
      </c>
      <c r="V300" s="34">
        <f>IF(U300=0,0,U300-F300)</f>
        <v/>
      </c>
      <c r="W300" s="34">
        <f>SUMIFS('[1]GİP VERİLERİ'!$O:$O,'[1]GİP VERİLERİ'!$B:$B,A300,'[1]GİP VERİLERİ'!$M:$M,"40X000000104782K",'[1]GİP VERİLERİ'!$G:$G,"SELL")</f>
        <v/>
      </c>
      <c r="X300" s="34">
        <f>SUMIFS('[1]GİP VERİLERİ'!$C:$C,'[1]GİP VERİLERİ'!$B:$B,A300,'[1]GİP VERİLERİ'!$M:$M,"40X000000104782K",'[1]GİP VERİLERİ'!$G:$G,"BUY")</f>
        <v/>
      </c>
      <c r="Y300" s="34">
        <f>IFERROR(AA300/X300,0)</f>
        <v/>
      </c>
      <c r="Z300" s="34">
        <f>IF(Y300=0,0,F300-Y300)</f>
        <v/>
      </c>
      <c r="AA300" s="34">
        <f>SUMIFS('[1]GİP VERİLERİ'!$O:$O,'[1]GİP VERİLERİ'!$B:$B,A300,'[1]GİP VERİLERİ'!$M:$M,"40X000000104782K",'[1]GİP VERİLERİ'!$G:$G,"BUY")</f>
        <v/>
      </c>
      <c r="AB300" s="34">
        <f>'[1]GÖP VERİLERİ'!H301</f>
        <v/>
      </c>
      <c r="AC300" s="34">
        <f>'[1]GÖP VERİLERİ'!I301</f>
        <v/>
      </c>
      <c r="AD300" s="34">
        <f>IF(AB300&gt;AC300*1.05,AB300-AC300*1.05,IF(AB300&lt;AC300*0.95,AC300*0.95-AB300,0))</f>
        <v/>
      </c>
      <c r="AE300" s="34">
        <f>MAX(F300,G300,750)*0.05*AD300</f>
        <v/>
      </c>
      <c r="AF300" s="34">
        <f>'[1]GÖP VERİLERİ'!J301</f>
        <v/>
      </c>
      <c r="AG300" s="34">
        <f>IF(AB300&gt;AF300*1.05,AB300-AF300*1.05,IF(AB300&lt;AF300*0.95,AF300*0.95-AB300,0))</f>
        <v/>
      </c>
      <c r="AH300" s="34">
        <f>MAX(I300,J300,750)*0.05*AG300</f>
        <v/>
      </c>
      <c r="AI300">
        <f>'[1]GÖP VERİLERİ'!E301</f>
        <v/>
      </c>
      <c r="AJ300">
        <f>'[1]GÖP VERİLERİ'!F301</f>
        <v/>
      </c>
      <c r="AK300" s="34">
        <f>IF(AI300&gt;AJ300*1.05,AI300-AJ300*1.05,IF(AI300&lt;AJ300*0.95,AJ300*0.95-AI300,0))</f>
        <v/>
      </c>
      <c r="AL300" s="34">
        <f>MAX(F300,G300,750)*0.05*AK300</f>
        <v/>
      </c>
      <c r="AM300" s="39">
        <f>'[1]GÖP VERİLERİ'!G301</f>
        <v/>
      </c>
      <c r="AN300" s="34">
        <f>IF(AI300&gt;AM300*1.05,AI300-AM300*1.05,IF(AI300&lt;AM300*0.95,AM300*0.95-AI300,0))</f>
        <v/>
      </c>
      <c r="AO300" s="34">
        <f>MAX(F300,G300,750)*0.05*AN300</f>
        <v/>
      </c>
      <c r="AP300" s="34">
        <f>'[1]GÖP VERİLERİ'!B301</f>
        <v/>
      </c>
      <c r="AQ300" s="34">
        <f>'[1]GÖP VERİLERİ'!C301</f>
        <v/>
      </c>
      <c r="AR300" s="34">
        <f>IF(AP300&gt;AQ300*1.05,AP300-AQ300*1.05,IF(AP300&lt;AQ300*0.95,AQ300*0.95-AP300,0))</f>
        <v/>
      </c>
      <c r="AS300" s="34">
        <f>MAX(F300:G300,750)*0.05*AR300</f>
        <v/>
      </c>
      <c r="AT300">
        <f>'[1]GÖP VERİLERİ'!D301</f>
        <v/>
      </c>
      <c r="AU300" s="34">
        <f>IF(AP300&gt;AT300*1.05,AP300-AT300*1.05,IF(AP300&lt;AT300*0.95,AT300*0.95-AP300,0))</f>
        <v/>
      </c>
      <c r="AV300" s="34">
        <f>MAX(F300:G300,750)*0.05*AU300</f>
        <v/>
      </c>
      <c r="AW300" s="34">
        <f>AC300+AJ300+AQ300</f>
        <v/>
      </c>
      <c r="AX300" s="34">
        <f>AF300+AM300+AT300</f>
        <v/>
      </c>
      <c r="AY300" s="34">
        <f>AB300+AI300+AP300</f>
        <v/>
      </c>
      <c r="AZ300" s="34" t="n">
        <v>0</v>
      </c>
      <c r="BA300" s="34">
        <f>AD300+AK300+AR300</f>
        <v/>
      </c>
      <c r="BB300" s="34">
        <f>MAX(F300:G300,750)*0.05*BA300</f>
        <v/>
      </c>
      <c r="BC300" s="34">
        <f>AG300+AN300+AU300</f>
        <v/>
      </c>
      <c r="BD300" s="34">
        <f>MAX(F300:G300,750)*0.05*BC300</f>
        <v/>
      </c>
      <c r="BE300" s="34">
        <f>F300*AY300</f>
        <v/>
      </c>
      <c r="BF300" s="34">
        <f>K300-M300</f>
        <v/>
      </c>
      <c r="BG300" s="34">
        <f>P300-S300</f>
        <v/>
      </c>
      <c r="BH300" s="34">
        <f>W300-AA300</f>
        <v/>
      </c>
      <c r="BI300" s="34">
        <f>BF300+BG300+BL300-BN300</f>
        <v/>
      </c>
      <c r="BJ300" s="34">
        <f>ABS(BK300)</f>
        <v/>
      </c>
      <c r="BK300" s="34">
        <f>AY300-(J300-L300+N300-Q300)</f>
        <v/>
      </c>
      <c r="BL300" s="34">
        <f>IF(AND(BK300&gt;0,MIN($F300:$G300)&lt;150,$E300="Enerji Açığı"),-100*BK300*1.03,IF(AND(BK300&gt;0,MIN($F300:$G300)&lt;150,$E300="Enerji Fazlası"),-100*BK300*1.06,IF(AND(BK300&gt;0,MIN($F300:$G300)&gt;=150,$E300="Enerji Açığı"),BK300*MIN($F300:$G300)*0.97,IF(AND(BK300&gt;0,MIN($F300:$G300)&gt;=150,$E300="Enerji Fazlası"),BK300*MIN($F300:$G300)*0.94,IF(AND(BK300&lt;0,MAX($F300:$G300)=4500,$E300="Enerji Açığı"),4500*1.05*1.06*BK300,IF(AND(BK300&lt;0,MAX($F300:$G300)=4500,$E300="Enerji Fazlası"),4500*1.05*1.03*BK300,IF(AND(BK300&lt;0,$E300="Enerji Açığı"),MAX($F300,$G300,150)*BK300*1.06,IF(AND(BK300&lt;0,$E300="Enerji Fazlası"),MAX($F300,$G300,150)*BK300*1.03,IF(AND(BK300&lt;0,$E300="Dengede"),MAX($F300:$G300,150)*1.03*BK300,MIN($F300:$G300)*0.97*BK300)))))))))</f>
        <v/>
      </c>
      <c r="BM300" s="34">
        <f>BE300-BI300-BN300</f>
        <v/>
      </c>
      <c r="BN300" s="34">
        <f>BB300</f>
        <v/>
      </c>
      <c r="BO300" s="34">
        <f>BE300-BI300</f>
        <v/>
      </c>
      <c r="BP300" s="34">
        <f>IF(AY300=0,0,BO300/AY300)</f>
        <v/>
      </c>
      <c r="BQ300" s="34">
        <f>MAX((AY300+MAX((-J300+L300-N300+Q300),0)),(MAX((J300-L300+N300-Q300),0)))</f>
        <v/>
      </c>
      <c r="BR300" s="82">
        <f>IFERROR(ABS(BK300/BQ300),0)</f>
        <v/>
      </c>
      <c r="BS300" s="34">
        <f>IF(BR300&lt;=0.1,0,BK300/BR300*(BR300-0.1))</f>
        <v/>
      </c>
      <c r="BT300" s="34">
        <f>IF((BS300)&lt;0,MAX(F300:G300)*(BS300)*1.03,MIN(F300:G300)*(BS300)*0.97)</f>
        <v/>
      </c>
      <c r="BU300" s="34">
        <f>IF(BR300&gt;0.1,1,0)</f>
        <v/>
      </c>
      <c r="BV300" s="34">
        <f>BF300+BG300+BH300+BY300-CA300</f>
        <v/>
      </c>
      <c r="BW300" s="34">
        <f>ABS(BX300)</f>
        <v/>
      </c>
      <c r="BX300" s="34">
        <f>AY300-(J300-L300+N300-Q300+T300-X300)</f>
        <v/>
      </c>
      <c r="BY300" s="34">
        <f>IF(AND(BX300&gt;0,MIN($F300:$G300)&lt;150,$E300="Enerji Açığı"),-100*BX300*1.03,IF(AND(BX300&gt;0,MIN($F300:$G300)&lt;150,$E300="Enerji Fazlası"),-100*BX300*1.06,IF(AND(BX300&gt;0,MIN($F300:$G300)&gt;=150,$E300="Enerji Açığı"),BX300*MIN($F300:$G300)*0.97,IF(AND(BX300&gt;0,MIN($F300:$G300)&gt;=150,$E300="Enerji Fazlası"),BX300*MIN($F300:$G300)*0.94,IF(AND(BX300&lt;0,MAX($F300:$G300)=4500,$E300="Enerji Açığı"),4500*1.05*1.06*BX300,IF(AND(BX300&lt;0,MAX($F300:$G300)=4500,$E300="Enerji Fazlası"),4500*1.05*1.03*BX300,IF(AND(BX300&lt;0,$E300="Enerji Açığı"),MAX($F300,$G300,150)*BX300*1.06,IF(AND(BX300&lt;0,$E300="Enerji Fazlası"),MAX($F300,$G300,150)*BX300*1.03,IF(AND(BX300&lt;0,$E300="Dengede"),MAX($F300:$G300,150)*1.03*BX300,MIN($F300:$G300)*0.97*BX300)))))))))</f>
        <v/>
      </c>
      <c r="BZ300" s="34">
        <f>BE300-BV300-CA300</f>
        <v/>
      </c>
      <c r="CA300" s="34">
        <f>BD300</f>
        <v/>
      </c>
      <c r="CB300" s="33">
        <f>BE300-BV300</f>
        <v/>
      </c>
      <c r="CC300" s="34">
        <f>IF(AY300=0,0,CB300/AY300)</f>
        <v/>
      </c>
      <c r="CD300" s="34">
        <f>MAX((AY300+MAX((-J300+L300-N300+Q300-T300+X300),0)),(MAX((J300-L300+N300-Q300+T300-X300),0)))</f>
        <v/>
      </c>
      <c r="CE300" s="82">
        <f>IFERROR(ABS(BX300/CD300),0)</f>
        <v/>
      </c>
      <c r="CF300" s="34">
        <f>IF(CE300&lt;=0.1,0,BX300/CE300*(CE300-0.1))</f>
        <v/>
      </c>
      <c r="CG300" s="34">
        <f>IF((CF300)&lt;0,MAX(F300:G300)*(CF300)*1.03,MIN(F300:G300)*(CF300)*0.97)</f>
        <v/>
      </c>
      <c r="CH300" s="34">
        <f>IF(CE300&gt;0.1,1,0)</f>
        <v/>
      </c>
      <c r="CI300" s="34">
        <f>(F300*BX300)-BY300</f>
        <v/>
      </c>
      <c r="CJ300" s="34">
        <f>IF(AY300=0,0,CI300/AY300)</f>
        <v/>
      </c>
    </row>
    <row r="301">
      <c r="A301" s="29">
        <f>[1]FİYATLAR!A276</f>
        <v/>
      </c>
      <c r="B301" s="29">
        <f>[1]FİYATLAR!B276</f>
        <v/>
      </c>
      <c r="C301" s="35">
        <f>INT(A301)</f>
        <v/>
      </c>
      <c r="D301" s="36">
        <f>MONTH(A301)</f>
        <v/>
      </c>
      <c r="E301" s="147">
        <f>[1]FİYATLAR!G276</f>
        <v/>
      </c>
      <c r="F301" s="30">
        <f>[1]FİYATLAR!C276</f>
        <v/>
      </c>
      <c r="G301" s="30">
        <f>[1]FİYATLAR!E276</f>
        <v/>
      </c>
      <c r="H301" s="30">
        <f>[1]FİYATLAR!D276</f>
        <v/>
      </c>
      <c r="I301" s="30">
        <f>[1]FİYATLAR!F276</f>
        <v/>
      </c>
      <c r="J301" s="119" t="n">
        <v>0</v>
      </c>
      <c r="K301" s="34">
        <f>F301*J301</f>
        <v/>
      </c>
      <c r="L301" s="119" t="n"/>
      <c r="M301" s="34">
        <f>L301*F301</f>
        <v/>
      </c>
      <c r="N301" s="119" t="n"/>
      <c r="O301" s="34">
        <f>F301</f>
        <v/>
      </c>
      <c r="P301" s="34">
        <f>N301*O301</f>
        <v/>
      </c>
      <c r="Q301" s="117" t="n">
        <v>0</v>
      </c>
      <c r="R301" s="34">
        <f>F301</f>
        <v/>
      </c>
      <c r="S301" s="34">
        <f>R301*Q301</f>
        <v/>
      </c>
      <c r="T301" s="34">
        <f>SUMIFS('[1]GİP VERİLERİ'!$C:$C,'[1]GİP VERİLERİ'!$B:$B,A301,'[1]GİP VERİLERİ'!$M:$M,"40X000000104782K",'[1]GİP VERİLERİ'!$G:$G,"SELL")</f>
        <v/>
      </c>
      <c r="U301" s="34">
        <f>IFERROR(W301/T301,0)</f>
        <v/>
      </c>
      <c r="V301" s="34">
        <f>IF(U301=0,0,U301-F301)</f>
        <v/>
      </c>
      <c r="W301" s="34">
        <f>SUMIFS('[1]GİP VERİLERİ'!$O:$O,'[1]GİP VERİLERİ'!$B:$B,A301,'[1]GİP VERİLERİ'!$M:$M,"40X000000104782K",'[1]GİP VERİLERİ'!$G:$G,"SELL")</f>
        <v/>
      </c>
      <c r="X301" s="34">
        <f>SUMIFS('[1]GİP VERİLERİ'!$C:$C,'[1]GİP VERİLERİ'!$B:$B,A301,'[1]GİP VERİLERİ'!$M:$M,"40X000000104782K",'[1]GİP VERİLERİ'!$G:$G,"BUY")</f>
        <v/>
      </c>
      <c r="Y301" s="34">
        <f>IFERROR(AA301/X301,0)</f>
        <v/>
      </c>
      <c r="Z301" s="34">
        <f>IF(Y301=0,0,F301-Y301)</f>
        <v/>
      </c>
      <c r="AA301" s="34">
        <f>SUMIFS('[1]GİP VERİLERİ'!$O:$O,'[1]GİP VERİLERİ'!$B:$B,A301,'[1]GİP VERİLERİ'!$M:$M,"40X000000104782K",'[1]GİP VERİLERİ'!$G:$G,"BUY")</f>
        <v/>
      </c>
      <c r="AB301" s="34">
        <f>'[1]GÖP VERİLERİ'!H302</f>
        <v/>
      </c>
      <c r="AC301" s="34">
        <f>'[1]GÖP VERİLERİ'!I302</f>
        <v/>
      </c>
      <c r="AD301" s="34">
        <f>IF(AB301&gt;AC301*1.05,AB301-AC301*1.05,IF(AB301&lt;AC301*0.95,AC301*0.95-AB301,0))</f>
        <v/>
      </c>
      <c r="AE301" s="34">
        <f>MAX(F301,G301,750)*0.05*AD301</f>
        <v/>
      </c>
      <c r="AF301" s="34">
        <f>'[1]GÖP VERİLERİ'!J302</f>
        <v/>
      </c>
      <c r="AG301" s="34">
        <f>IF(AB301&gt;AF301*1.05,AB301-AF301*1.05,IF(AB301&lt;AF301*0.95,AF301*0.95-AB301,0))</f>
        <v/>
      </c>
      <c r="AH301" s="34">
        <f>MAX(I301,J301,750)*0.05*AG301</f>
        <v/>
      </c>
      <c r="AI301">
        <f>'[1]GÖP VERİLERİ'!E302</f>
        <v/>
      </c>
      <c r="AJ301">
        <f>'[1]GÖP VERİLERİ'!F302</f>
        <v/>
      </c>
      <c r="AK301" s="34">
        <f>IF(AI301&gt;AJ301*1.05,AI301-AJ301*1.05,IF(AI301&lt;AJ301*0.95,AJ301*0.95-AI301,0))</f>
        <v/>
      </c>
      <c r="AL301" s="34">
        <f>MAX(F301,G301,750)*0.05*AK301</f>
        <v/>
      </c>
      <c r="AM301" s="39">
        <f>'[1]GÖP VERİLERİ'!G302</f>
        <v/>
      </c>
      <c r="AN301" s="34">
        <f>IF(AI301&gt;AM301*1.05,AI301-AM301*1.05,IF(AI301&lt;AM301*0.95,AM301*0.95-AI301,0))</f>
        <v/>
      </c>
      <c r="AO301" s="34">
        <f>MAX(F301,G301,750)*0.05*AN301</f>
        <v/>
      </c>
      <c r="AP301" s="34">
        <f>'[1]GÖP VERİLERİ'!B302</f>
        <v/>
      </c>
      <c r="AQ301" s="34">
        <f>'[1]GÖP VERİLERİ'!C302</f>
        <v/>
      </c>
      <c r="AR301" s="34">
        <f>IF(AP301&gt;AQ301*1.05,AP301-AQ301*1.05,IF(AP301&lt;AQ301*0.95,AQ301*0.95-AP301,0))</f>
        <v/>
      </c>
      <c r="AS301" s="34">
        <f>MAX(F301:G301,750)*0.05*AR301</f>
        <v/>
      </c>
      <c r="AT301">
        <f>'[1]GÖP VERİLERİ'!D302</f>
        <v/>
      </c>
      <c r="AU301" s="34">
        <f>IF(AP301&gt;AT301*1.05,AP301-AT301*1.05,IF(AP301&lt;AT301*0.95,AT301*0.95-AP301,0))</f>
        <v/>
      </c>
      <c r="AV301" s="34">
        <f>MAX(F301:G301,750)*0.05*AU301</f>
        <v/>
      </c>
      <c r="AW301" s="34">
        <f>AC301+AJ301+AQ301</f>
        <v/>
      </c>
      <c r="AX301" s="34">
        <f>AF301+AM301+AT301</f>
        <v/>
      </c>
      <c r="AY301" s="34">
        <f>AB301+AI301+AP301</f>
        <v/>
      </c>
      <c r="AZ301" s="34" t="n">
        <v>0</v>
      </c>
      <c r="BA301" s="34">
        <f>AD301+AK301+AR301</f>
        <v/>
      </c>
      <c r="BB301" s="34">
        <f>MAX(F301:G301,750)*0.05*BA301</f>
        <v/>
      </c>
      <c r="BC301" s="34">
        <f>AG301+AN301+AU301</f>
        <v/>
      </c>
      <c r="BD301" s="34">
        <f>MAX(F301:G301,750)*0.05*BC301</f>
        <v/>
      </c>
      <c r="BE301" s="34">
        <f>F301*AY301</f>
        <v/>
      </c>
      <c r="BF301" s="34">
        <f>K301-M301</f>
        <v/>
      </c>
      <c r="BG301" s="34">
        <f>P301-S301</f>
        <v/>
      </c>
      <c r="BH301" s="34">
        <f>W301-AA301</f>
        <v/>
      </c>
      <c r="BI301" s="34">
        <f>BF301+BG301+BL301-BN301</f>
        <v/>
      </c>
      <c r="BJ301" s="34">
        <f>ABS(BK301)</f>
        <v/>
      </c>
      <c r="BK301" s="34">
        <f>AY301-(J301-L301+N301-Q301)</f>
        <v/>
      </c>
      <c r="BL301" s="34">
        <f>IF(AND(BK301&gt;0,MIN($F301:$G301)&lt;150,$E301="Enerji Açığı"),-100*BK301*1.03,IF(AND(BK301&gt;0,MIN($F301:$G301)&lt;150,$E301="Enerji Fazlası"),-100*BK301*1.06,IF(AND(BK301&gt;0,MIN($F301:$G301)&gt;=150,$E301="Enerji Açığı"),BK301*MIN($F301:$G301)*0.97,IF(AND(BK301&gt;0,MIN($F301:$G301)&gt;=150,$E301="Enerji Fazlası"),BK301*MIN($F301:$G301)*0.94,IF(AND(BK301&lt;0,MAX($F301:$G301)=4500,$E301="Enerji Açığı"),4500*1.05*1.06*BK301,IF(AND(BK301&lt;0,MAX($F301:$G301)=4500,$E301="Enerji Fazlası"),4500*1.05*1.03*BK301,IF(AND(BK301&lt;0,$E301="Enerji Açığı"),MAX($F301,$G301,150)*BK301*1.06,IF(AND(BK301&lt;0,$E301="Enerji Fazlası"),MAX($F301,$G301,150)*BK301*1.03,IF(AND(BK301&lt;0,$E301="Dengede"),MAX($F301:$G301,150)*1.03*BK301,MIN($F301:$G301)*0.97*BK301)))))))))</f>
        <v/>
      </c>
      <c r="BM301" s="34">
        <f>BE301-BI301-BN301</f>
        <v/>
      </c>
      <c r="BN301" s="34">
        <f>BB301</f>
        <v/>
      </c>
      <c r="BO301" s="34">
        <f>BE301-BI301</f>
        <v/>
      </c>
      <c r="BP301" s="34">
        <f>IF(AY301=0,0,BO301/AY301)</f>
        <v/>
      </c>
      <c r="BQ301" s="34">
        <f>MAX((AY301+MAX((-J301+L301-N301+Q301),0)),(MAX((J301-L301+N301-Q301),0)))</f>
        <v/>
      </c>
      <c r="BR301" s="82">
        <f>IFERROR(ABS(BK301/BQ301),0)</f>
        <v/>
      </c>
      <c r="BS301" s="34">
        <f>IF(BR301&lt;=0.1,0,BK301/BR301*(BR301-0.1))</f>
        <v/>
      </c>
      <c r="BT301" s="34">
        <f>IF((BS301)&lt;0,MAX(F301:G301)*(BS301)*1.03,MIN(F301:G301)*(BS301)*0.97)</f>
        <v/>
      </c>
      <c r="BU301" s="34">
        <f>IF(BR301&gt;0.1,1,0)</f>
        <v/>
      </c>
      <c r="BV301" s="34">
        <f>BF301+BG301+BH301+BY301-CA301</f>
        <v/>
      </c>
      <c r="BW301" s="34">
        <f>ABS(BX301)</f>
        <v/>
      </c>
      <c r="BX301" s="34">
        <f>AY301-(J301-L301+N301-Q301+T301-X301)</f>
        <v/>
      </c>
      <c r="BY301" s="34">
        <f>IF(AND(BX301&gt;0,MIN($F301:$G301)&lt;150,$E301="Enerji Açığı"),-100*BX301*1.03,IF(AND(BX301&gt;0,MIN($F301:$G301)&lt;150,$E301="Enerji Fazlası"),-100*BX301*1.06,IF(AND(BX301&gt;0,MIN($F301:$G301)&gt;=150,$E301="Enerji Açığı"),BX301*MIN($F301:$G301)*0.97,IF(AND(BX301&gt;0,MIN($F301:$G301)&gt;=150,$E301="Enerji Fazlası"),BX301*MIN($F301:$G301)*0.94,IF(AND(BX301&lt;0,MAX($F301:$G301)=4500,$E301="Enerji Açığı"),4500*1.05*1.06*BX301,IF(AND(BX301&lt;0,MAX($F301:$G301)=4500,$E301="Enerji Fazlası"),4500*1.05*1.03*BX301,IF(AND(BX301&lt;0,$E301="Enerji Açığı"),MAX($F301,$G301,150)*BX301*1.06,IF(AND(BX301&lt;0,$E301="Enerji Fazlası"),MAX($F301,$G301,150)*BX301*1.03,IF(AND(BX301&lt;0,$E301="Dengede"),MAX($F301:$G301,150)*1.03*BX301,MIN($F301:$G301)*0.97*BX301)))))))))</f>
        <v/>
      </c>
      <c r="BZ301" s="34">
        <f>BE301-BV301-CA301</f>
        <v/>
      </c>
      <c r="CA301" s="34">
        <f>BD301</f>
        <v/>
      </c>
      <c r="CB301" s="33">
        <f>BE301-BV301</f>
        <v/>
      </c>
      <c r="CC301" s="34">
        <f>IF(AY301=0,0,CB301/AY301)</f>
        <v/>
      </c>
      <c r="CD301" s="34">
        <f>MAX((AY301+MAX((-J301+L301-N301+Q301-T301+X301),0)),(MAX((J301-L301+N301-Q301+T301-X301),0)))</f>
        <v/>
      </c>
      <c r="CE301" s="82">
        <f>IFERROR(ABS(BX301/CD301),0)</f>
        <v/>
      </c>
      <c r="CF301" s="34">
        <f>IF(CE301&lt;=0.1,0,BX301/CE301*(CE301-0.1))</f>
        <v/>
      </c>
      <c r="CG301" s="34">
        <f>IF((CF301)&lt;0,MAX(F301:G301)*(CF301)*1.03,MIN(F301:G301)*(CF301)*0.97)</f>
        <v/>
      </c>
      <c r="CH301" s="34">
        <f>IF(CE301&gt;0.1,1,0)</f>
        <v/>
      </c>
      <c r="CI301" s="34">
        <f>(F301*BX301)-BY301</f>
        <v/>
      </c>
      <c r="CJ301" s="34">
        <f>IF(AY301=0,0,CI301/AY301)</f>
        <v/>
      </c>
    </row>
    <row r="302">
      <c r="A302" s="29">
        <f>[1]FİYATLAR!A277</f>
        <v/>
      </c>
      <c r="B302" s="29">
        <f>[1]FİYATLAR!B277</f>
        <v/>
      </c>
      <c r="C302" s="35">
        <f>INT(A302)</f>
        <v/>
      </c>
      <c r="D302" s="36">
        <f>MONTH(A302)</f>
        <v/>
      </c>
      <c r="E302" s="147">
        <f>[1]FİYATLAR!G277</f>
        <v/>
      </c>
      <c r="F302" s="30">
        <f>[1]FİYATLAR!C277</f>
        <v/>
      </c>
      <c r="G302" s="30">
        <f>[1]FİYATLAR!E277</f>
        <v/>
      </c>
      <c r="H302" s="30">
        <f>[1]FİYATLAR!D277</f>
        <v/>
      </c>
      <c r="I302" s="30">
        <f>[1]FİYATLAR!F277</f>
        <v/>
      </c>
      <c r="J302" s="119" t="n">
        <v>0</v>
      </c>
      <c r="K302" s="34">
        <f>F302*J302</f>
        <v/>
      </c>
      <c r="L302" s="119" t="n"/>
      <c r="M302" s="34">
        <f>L302*F302</f>
        <v/>
      </c>
      <c r="N302" s="119" t="n"/>
      <c r="O302" s="34">
        <f>F302</f>
        <v/>
      </c>
      <c r="P302" s="34">
        <f>N302*O302</f>
        <v/>
      </c>
      <c r="Q302" s="117" t="n">
        <v>0</v>
      </c>
      <c r="R302" s="34">
        <f>F302</f>
        <v/>
      </c>
      <c r="S302" s="34">
        <f>R302*Q302</f>
        <v/>
      </c>
      <c r="T302" s="34">
        <f>SUMIFS('[1]GİP VERİLERİ'!$C:$C,'[1]GİP VERİLERİ'!$B:$B,A302,'[1]GİP VERİLERİ'!$M:$M,"40X000000104782K",'[1]GİP VERİLERİ'!$G:$G,"SELL")</f>
        <v/>
      </c>
      <c r="U302" s="34">
        <f>IFERROR(W302/T302,0)</f>
        <v/>
      </c>
      <c r="V302" s="34">
        <f>IF(U302=0,0,U302-F302)</f>
        <v/>
      </c>
      <c r="W302" s="34">
        <f>SUMIFS('[1]GİP VERİLERİ'!$O:$O,'[1]GİP VERİLERİ'!$B:$B,A302,'[1]GİP VERİLERİ'!$M:$M,"40X000000104782K",'[1]GİP VERİLERİ'!$G:$G,"SELL")</f>
        <v/>
      </c>
      <c r="X302" s="34">
        <f>SUMIFS('[1]GİP VERİLERİ'!$C:$C,'[1]GİP VERİLERİ'!$B:$B,A302,'[1]GİP VERİLERİ'!$M:$M,"40X000000104782K",'[1]GİP VERİLERİ'!$G:$G,"BUY")</f>
        <v/>
      </c>
      <c r="Y302" s="34">
        <f>IFERROR(AA302/X302,0)</f>
        <v/>
      </c>
      <c r="Z302" s="34">
        <f>IF(Y302=0,0,F302-Y302)</f>
        <v/>
      </c>
      <c r="AA302" s="34">
        <f>SUMIFS('[1]GİP VERİLERİ'!$O:$O,'[1]GİP VERİLERİ'!$B:$B,A302,'[1]GİP VERİLERİ'!$M:$M,"40X000000104782K",'[1]GİP VERİLERİ'!$G:$G,"BUY")</f>
        <v/>
      </c>
      <c r="AB302" s="34">
        <f>'[1]GÖP VERİLERİ'!H303</f>
        <v/>
      </c>
      <c r="AC302" s="34">
        <f>'[1]GÖP VERİLERİ'!I303</f>
        <v/>
      </c>
      <c r="AD302" s="34">
        <f>IF(AB302&gt;AC302*1.05,AB302-AC302*1.05,IF(AB302&lt;AC302*0.95,AC302*0.95-AB302,0))</f>
        <v/>
      </c>
      <c r="AE302" s="34">
        <f>MAX(F302,G302,750)*0.05*AD302</f>
        <v/>
      </c>
      <c r="AF302" s="34">
        <f>'[1]GÖP VERİLERİ'!J303</f>
        <v/>
      </c>
      <c r="AG302" s="34">
        <f>IF(AB302&gt;AF302*1.05,AB302-AF302*1.05,IF(AB302&lt;AF302*0.95,AF302*0.95-AB302,0))</f>
        <v/>
      </c>
      <c r="AH302" s="34">
        <f>MAX(I302,J302,750)*0.05*AG302</f>
        <v/>
      </c>
      <c r="AI302">
        <f>'[1]GÖP VERİLERİ'!E303</f>
        <v/>
      </c>
      <c r="AJ302">
        <f>'[1]GÖP VERİLERİ'!F303</f>
        <v/>
      </c>
      <c r="AK302" s="34">
        <f>IF(AI302&gt;AJ302*1.05,AI302-AJ302*1.05,IF(AI302&lt;AJ302*0.95,AJ302*0.95-AI302,0))</f>
        <v/>
      </c>
      <c r="AL302" s="34">
        <f>MAX(F302,G302,750)*0.05*AK302</f>
        <v/>
      </c>
      <c r="AM302" s="39">
        <f>'[1]GÖP VERİLERİ'!G303</f>
        <v/>
      </c>
      <c r="AN302" s="34">
        <f>IF(AI302&gt;AM302*1.05,AI302-AM302*1.05,IF(AI302&lt;AM302*0.95,AM302*0.95-AI302,0))</f>
        <v/>
      </c>
      <c r="AO302" s="34">
        <f>MAX(F302,G302,750)*0.05*AN302</f>
        <v/>
      </c>
      <c r="AP302" s="34">
        <f>'[1]GÖP VERİLERİ'!B303</f>
        <v/>
      </c>
      <c r="AQ302" s="34">
        <f>'[1]GÖP VERİLERİ'!C303</f>
        <v/>
      </c>
      <c r="AR302" s="34">
        <f>IF(AP302&gt;AQ302*1.05,AP302-AQ302*1.05,IF(AP302&lt;AQ302*0.95,AQ302*0.95-AP302,0))</f>
        <v/>
      </c>
      <c r="AS302" s="34">
        <f>MAX(F302:G302,750)*0.05*AR302</f>
        <v/>
      </c>
      <c r="AT302">
        <f>'[1]GÖP VERİLERİ'!D303</f>
        <v/>
      </c>
      <c r="AU302" s="34">
        <f>IF(AP302&gt;AT302*1.05,AP302-AT302*1.05,IF(AP302&lt;AT302*0.95,AT302*0.95-AP302,0))</f>
        <v/>
      </c>
      <c r="AV302" s="34">
        <f>MAX(F302:G302,750)*0.05*AU302</f>
        <v/>
      </c>
      <c r="AW302" s="34">
        <f>AC302+AJ302+AQ302</f>
        <v/>
      </c>
      <c r="AX302" s="34">
        <f>AF302+AM302+AT302</f>
        <v/>
      </c>
      <c r="AY302" s="34">
        <f>AB302+AI302+AP302</f>
        <v/>
      </c>
      <c r="AZ302" s="34" t="n">
        <v>0</v>
      </c>
      <c r="BA302" s="34">
        <f>AD302+AK302+AR302</f>
        <v/>
      </c>
      <c r="BB302" s="34">
        <f>MAX(F302:G302,750)*0.05*BA302</f>
        <v/>
      </c>
      <c r="BC302" s="34">
        <f>AG302+AN302+AU302</f>
        <v/>
      </c>
      <c r="BD302" s="34">
        <f>MAX(F302:G302,750)*0.05*BC302</f>
        <v/>
      </c>
      <c r="BE302" s="34">
        <f>F302*AY302</f>
        <v/>
      </c>
      <c r="BF302" s="34">
        <f>K302-M302</f>
        <v/>
      </c>
      <c r="BG302" s="34">
        <f>P302-S302</f>
        <v/>
      </c>
      <c r="BH302" s="34">
        <f>W302-AA302</f>
        <v/>
      </c>
      <c r="BI302" s="34">
        <f>BF302+BG302+BL302-BN302</f>
        <v/>
      </c>
      <c r="BJ302" s="34">
        <f>ABS(BK302)</f>
        <v/>
      </c>
      <c r="BK302" s="34">
        <f>AY302-(J302-L302+N302-Q302)</f>
        <v/>
      </c>
      <c r="BL302" s="34">
        <f>IF(AND(BK302&gt;0,MIN($F302:$G302)&lt;150,$E302="Enerji Açığı"),-100*BK302*1.03,IF(AND(BK302&gt;0,MIN($F302:$G302)&lt;150,$E302="Enerji Fazlası"),-100*BK302*1.06,IF(AND(BK302&gt;0,MIN($F302:$G302)&gt;=150,$E302="Enerji Açığı"),BK302*MIN($F302:$G302)*0.97,IF(AND(BK302&gt;0,MIN($F302:$G302)&gt;=150,$E302="Enerji Fazlası"),BK302*MIN($F302:$G302)*0.94,IF(AND(BK302&lt;0,MAX($F302:$G302)=4500,$E302="Enerji Açığı"),4500*1.05*1.06*BK302,IF(AND(BK302&lt;0,MAX($F302:$G302)=4500,$E302="Enerji Fazlası"),4500*1.05*1.03*BK302,IF(AND(BK302&lt;0,$E302="Enerji Açığı"),MAX($F302,$G302,150)*BK302*1.06,IF(AND(BK302&lt;0,$E302="Enerji Fazlası"),MAX($F302,$G302,150)*BK302*1.03,IF(AND(BK302&lt;0,$E302="Dengede"),MAX($F302:$G302,150)*1.03*BK302,MIN($F302:$G302)*0.97*BK302)))))))))</f>
        <v/>
      </c>
      <c r="BM302" s="34">
        <f>BE302-BI302-BN302</f>
        <v/>
      </c>
      <c r="BN302" s="34">
        <f>BB302</f>
        <v/>
      </c>
      <c r="BO302" s="34">
        <f>BE302-BI302</f>
        <v/>
      </c>
      <c r="BP302" s="34">
        <f>IF(AY302=0,0,BO302/AY302)</f>
        <v/>
      </c>
      <c r="BQ302" s="34">
        <f>MAX((AY302+MAX((-J302+L302-N302+Q302),0)),(MAX((J302-L302+N302-Q302),0)))</f>
        <v/>
      </c>
      <c r="BR302" s="82">
        <f>IFERROR(ABS(BK302/BQ302),0)</f>
        <v/>
      </c>
      <c r="BS302" s="34">
        <f>IF(BR302&lt;=0.1,0,BK302/BR302*(BR302-0.1))</f>
        <v/>
      </c>
      <c r="BT302" s="34">
        <f>IF((BS302)&lt;0,MAX(F302:G302)*(BS302)*1.03,MIN(F302:G302)*(BS302)*0.97)</f>
        <v/>
      </c>
      <c r="BU302" s="34">
        <f>IF(BR302&gt;0.1,1,0)</f>
        <v/>
      </c>
      <c r="BV302" s="34">
        <f>BF302+BG302+BH302+BY302-CA302</f>
        <v/>
      </c>
      <c r="BW302" s="34">
        <f>ABS(BX302)</f>
        <v/>
      </c>
      <c r="BX302" s="34">
        <f>AY302-(J302-L302+N302-Q302+T302-X302)</f>
        <v/>
      </c>
      <c r="BY302" s="34">
        <f>IF(AND(BX302&gt;0,MIN($F302:$G302)&lt;150,$E302="Enerji Açığı"),-100*BX302*1.03,IF(AND(BX302&gt;0,MIN($F302:$G302)&lt;150,$E302="Enerji Fazlası"),-100*BX302*1.06,IF(AND(BX302&gt;0,MIN($F302:$G302)&gt;=150,$E302="Enerji Açığı"),BX302*MIN($F302:$G302)*0.97,IF(AND(BX302&gt;0,MIN($F302:$G302)&gt;=150,$E302="Enerji Fazlası"),BX302*MIN($F302:$G302)*0.94,IF(AND(BX302&lt;0,MAX($F302:$G302)=4500,$E302="Enerji Açığı"),4500*1.05*1.06*BX302,IF(AND(BX302&lt;0,MAX($F302:$G302)=4500,$E302="Enerji Fazlası"),4500*1.05*1.03*BX302,IF(AND(BX302&lt;0,$E302="Enerji Açığı"),MAX($F302,$G302,150)*BX302*1.06,IF(AND(BX302&lt;0,$E302="Enerji Fazlası"),MAX($F302,$G302,150)*BX302*1.03,IF(AND(BX302&lt;0,$E302="Dengede"),MAX($F302:$G302,150)*1.03*BX302,MIN($F302:$G302)*0.97*BX302)))))))))</f>
        <v/>
      </c>
      <c r="BZ302" s="34">
        <f>BE302-BV302-CA302</f>
        <v/>
      </c>
      <c r="CA302" s="34">
        <f>BD302</f>
        <v/>
      </c>
      <c r="CB302" s="33">
        <f>BE302-BV302</f>
        <v/>
      </c>
      <c r="CC302" s="34">
        <f>IF(AY302=0,0,CB302/AY302)</f>
        <v/>
      </c>
      <c r="CD302" s="34">
        <f>MAX((AY302+MAX((-J302+L302-N302+Q302-T302+X302),0)),(MAX((J302-L302+N302-Q302+T302-X302),0)))</f>
        <v/>
      </c>
      <c r="CE302" s="82">
        <f>IFERROR(ABS(BX302/CD302),0)</f>
        <v/>
      </c>
      <c r="CF302" s="34">
        <f>IF(CE302&lt;=0.1,0,BX302/CE302*(CE302-0.1))</f>
        <v/>
      </c>
      <c r="CG302" s="34">
        <f>IF((CF302)&lt;0,MAX(F302:G302)*(CF302)*1.03,MIN(F302:G302)*(CF302)*0.97)</f>
        <v/>
      </c>
      <c r="CH302" s="34">
        <f>IF(CE302&gt;0.1,1,0)</f>
        <v/>
      </c>
      <c r="CI302" s="34">
        <f>(F302*BX302)-BY302</f>
        <v/>
      </c>
      <c r="CJ302" s="34">
        <f>IF(AY302=0,0,CI302/AY302)</f>
        <v/>
      </c>
    </row>
    <row r="303">
      <c r="A303" s="29">
        <f>[1]FİYATLAR!A278</f>
        <v/>
      </c>
      <c r="B303" s="29">
        <f>[1]FİYATLAR!B278</f>
        <v/>
      </c>
      <c r="C303" s="35">
        <f>INT(A303)</f>
        <v/>
      </c>
      <c r="D303" s="36">
        <f>MONTH(A303)</f>
        <v/>
      </c>
      <c r="E303" s="147">
        <f>[1]FİYATLAR!G278</f>
        <v/>
      </c>
      <c r="F303" s="30">
        <f>[1]FİYATLAR!C278</f>
        <v/>
      </c>
      <c r="G303" s="30">
        <f>[1]FİYATLAR!E278</f>
        <v/>
      </c>
      <c r="H303" s="30">
        <f>[1]FİYATLAR!D278</f>
        <v/>
      </c>
      <c r="I303" s="30">
        <f>[1]FİYATLAR!F278</f>
        <v/>
      </c>
      <c r="J303" s="119" t="n">
        <v>0</v>
      </c>
      <c r="K303" s="34">
        <f>F303*J303</f>
        <v/>
      </c>
      <c r="L303" s="119" t="n"/>
      <c r="M303" s="34">
        <f>L303*F303</f>
        <v/>
      </c>
      <c r="N303" s="119" t="n"/>
      <c r="O303" s="34">
        <f>F303</f>
        <v/>
      </c>
      <c r="P303" s="34">
        <f>N303*O303</f>
        <v/>
      </c>
      <c r="Q303" s="117" t="n">
        <v>0</v>
      </c>
      <c r="R303" s="34">
        <f>F303</f>
        <v/>
      </c>
      <c r="S303" s="34">
        <f>R303*Q303</f>
        <v/>
      </c>
      <c r="T303" s="34">
        <f>SUMIFS('[1]GİP VERİLERİ'!$C:$C,'[1]GİP VERİLERİ'!$B:$B,A303,'[1]GİP VERİLERİ'!$M:$M,"40X000000104782K",'[1]GİP VERİLERİ'!$G:$G,"SELL")</f>
        <v/>
      </c>
      <c r="U303" s="34">
        <f>IFERROR(W303/T303,0)</f>
        <v/>
      </c>
      <c r="V303" s="34">
        <f>IF(U303=0,0,U303-F303)</f>
        <v/>
      </c>
      <c r="W303" s="34">
        <f>SUMIFS('[1]GİP VERİLERİ'!$O:$O,'[1]GİP VERİLERİ'!$B:$B,A303,'[1]GİP VERİLERİ'!$M:$M,"40X000000104782K",'[1]GİP VERİLERİ'!$G:$G,"SELL")</f>
        <v/>
      </c>
      <c r="X303" s="34">
        <f>SUMIFS('[1]GİP VERİLERİ'!$C:$C,'[1]GİP VERİLERİ'!$B:$B,A303,'[1]GİP VERİLERİ'!$M:$M,"40X000000104782K",'[1]GİP VERİLERİ'!$G:$G,"BUY")</f>
        <v/>
      </c>
      <c r="Y303" s="34">
        <f>IFERROR(AA303/X303,0)</f>
        <v/>
      </c>
      <c r="Z303" s="34">
        <f>IF(Y303=0,0,F303-Y303)</f>
        <v/>
      </c>
      <c r="AA303" s="34">
        <f>SUMIFS('[1]GİP VERİLERİ'!$O:$O,'[1]GİP VERİLERİ'!$B:$B,A303,'[1]GİP VERİLERİ'!$M:$M,"40X000000104782K",'[1]GİP VERİLERİ'!$G:$G,"BUY")</f>
        <v/>
      </c>
      <c r="AB303" s="34">
        <f>'[1]GÖP VERİLERİ'!H304</f>
        <v/>
      </c>
      <c r="AC303" s="34">
        <f>'[1]GÖP VERİLERİ'!I304</f>
        <v/>
      </c>
      <c r="AD303" s="34">
        <f>IF(AB303&gt;AC303*1.05,AB303-AC303*1.05,IF(AB303&lt;AC303*0.95,AC303*0.95-AB303,0))</f>
        <v/>
      </c>
      <c r="AE303" s="34">
        <f>MAX(F303,G303,750)*0.05*AD303</f>
        <v/>
      </c>
      <c r="AF303" s="34">
        <f>'[1]GÖP VERİLERİ'!J304</f>
        <v/>
      </c>
      <c r="AG303" s="34">
        <f>IF(AB303&gt;AF303*1.05,AB303-AF303*1.05,IF(AB303&lt;AF303*0.95,AF303*0.95-AB303,0))</f>
        <v/>
      </c>
      <c r="AH303" s="34">
        <f>MAX(I303,J303,750)*0.05*AG303</f>
        <v/>
      </c>
      <c r="AI303">
        <f>'[1]GÖP VERİLERİ'!E304</f>
        <v/>
      </c>
      <c r="AJ303">
        <f>'[1]GÖP VERİLERİ'!F304</f>
        <v/>
      </c>
      <c r="AK303" s="34">
        <f>IF(AI303&gt;AJ303*1.05,AI303-AJ303*1.05,IF(AI303&lt;AJ303*0.95,AJ303*0.95-AI303,0))</f>
        <v/>
      </c>
      <c r="AL303" s="34">
        <f>MAX(F303,G303,750)*0.05*AK303</f>
        <v/>
      </c>
      <c r="AM303" s="39">
        <f>'[1]GÖP VERİLERİ'!G304</f>
        <v/>
      </c>
      <c r="AN303" s="34">
        <f>IF(AI303&gt;AM303*1.05,AI303-AM303*1.05,IF(AI303&lt;AM303*0.95,AM303*0.95-AI303,0))</f>
        <v/>
      </c>
      <c r="AO303" s="34">
        <f>MAX(F303,G303,750)*0.05*AN303</f>
        <v/>
      </c>
      <c r="AP303" s="34">
        <f>'[1]GÖP VERİLERİ'!B304</f>
        <v/>
      </c>
      <c r="AQ303" s="34">
        <f>'[1]GÖP VERİLERİ'!C304</f>
        <v/>
      </c>
      <c r="AR303" s="34">
        <f>IF(AP303&gt;AQ303*1.05,AP303-AQ303*1.05,IF(AP303&lt;AQ303*0.95,AQ303*0.95-AP303,0))</f>
        <v/>
      </c>
      <c r="AS303" s="34">
        <f>MAX(F303:G303,750)*0.05*AR303</f>
        <v/>
      </c>
      <c r="AT303">
        <f>'[1]GÖP VERİLERİ'!D304</f>
        <v/>
      </c>
      <c r="AU303" s="34">
        <f>IF(AP303&gt;AT303*1.05,AP303-AT303*1.05,IF(AP303&lt;AT303*0.95,AT303*0.95-AP303,0))</f>
        <v/>
      </c>
      <c r="AV303" s="34">
        <f>MAX(F303:G303,750)*0.05*AU303</f>
        <v/>
      </c>
      <c r="AW303" s="34">
        <f>AC303+AJ303+AQ303</f>
        <v/>
      </c>
      <c r="AX303" s="34">
        <f>AF303+AM303+AT303</f>
        <v/>
      </c>
      <c r="AY303" s="34">
        <f>AB303+AI303+AP303</f>
        <v/>
      </c>
      <c r="AZ303" s="34" t="n">
        <v>0</v>
      </c>
      <c r="BA303" s="34">
        <f>AD303+AK303+AR303</f>
        <v/>
      </c>
      <c r="BB303" s="34">
        <f>MAX(F303:G303,750)*0.05*BA303</f>
        <v/>
      </c>
      <c r="BC303" s="34">
        <f>AG303+AN303+AU303</f>
        <v/>
      </c>
      <c r="BD303" s="34">
        <f>MAX(F303:G303,750)*0.05*BC303</f>
        <v/>
      </c>
      <c r="BE303" s="34">
        <f>F303*AY303</f>
        <v/>
      </c>
      <c r="BF303" s="34">
        <f>K303-M303</f>
        <v/>
      </c>
      <c r="BG303" s="34">
        <f>P303-S303</f>
        <v/>
      </c>
      <c r="BH303" s="34">
        <f>W303-AA303</f>
        <v/>
      </c>
      <c r="BI303" s="34">
        <f>BF303+BG303+BL303-BN303</f>
        <v/>
      </c>
      <c r="BJ303" s="34">
        <f>ABS(BK303)</f>
        <v/>
      </c>
      <c r="BK303" s="34">
        <f>AY303-(J303-L303+N303-Q303)</f>
        <v/>
      </c>
      <c r="BL303" s="34">
        <f>IF(AND(BK303&gt;0,MIN($F303:$G303)&lt;150,$E303="Enerji Açığı"),-100*BK303*1.03,IF(AND(BK303&gt;0,MIN($F303:$G303)&lt;150,$E303="Enerji Fazlası"),-100*BK303*1.06,IF(AND(BK303&gt;0,MIN($F303:$G303)&gt;=150,$E303="Enerji Açığı"),BK303*MIN($F303:$G303)*0.97,IF(AND(BK303&gt;0,MIN($F303:$G303)&gt;=150,$E303="Enerji Fazlası"),BK303*MIN($F303:$G303)*0.94,IF(AND(BK303&lt;0,MAX($F303:$G303)=4500,$E303="Enerji Açığı"),4500*1.05*1.06*BK303,IF(AND(BK303&lt;0,MAX($F303:$G303)=4500,$E303="Enerji Fazlası"),4500*1.05*1.03*BK303,IF(AND(BK303&lt;0,$E303="Enerji Açığı"),MAX($F303,$G303,150)*BK303*1.06,IF(AND(BK303&lt;0,$E303="Enerji Fazlası"),MAX($F303,$G303,150)*BK303*1.03,IF(AND(BK303&lt;0,$E303="Dengede"),MAX($F303:$G303,150)*1.03*BK303,MIN($F303:$G303)*0.97*BK303)))))))))</f>
        <v/>
      </c>
      <c r="BM303" s="34">
        <f>BE303-BI303-BN303</f>
        <v/>
      </c>
      <c r="BN303" s="34">
        <f>BB303</f>
        <v/>
      </c>
      <c r="BO303" s="34">
        <f>BE303-BI303</f>
        <v/>
      </c>
      <c r="BP303" s="34">
        <f>IF(AY303=0,0,BO303/AY303)</f>
        <v/>
      </c>
      <c r="BQ303" s="34">
        <f>MAX((AY303+MAX((-J303+L303-N303+Q303),0)),(MAX((J303-L303+N303-Q303),0)))</f>
        <v/>
      </c>
      <c r="BR303" s="82">
        <f>IFERROR(ABS(BK303/BQ303),0)</f>
        <v/>
      </c>
      <c r="BS303" s="34">
        <f>IF(BR303&lt;=0.1,0,BK303/BR303*(BR303-0.1))</f>
        <v/>
      </c>
      <c r="BT303" s="34">
        <f>IF((BS303)&lt;0,MAX(F303:G303)*(BS303)*1.03,MIN(F303:G303)*(BS303)*0.97)</f>
        <v/>
      </c>
      <c r="BU303" s="34">
        <f>IF(BR303&gt;0.1,1,0)</f>
        <v/>
      </c>
      <c r="BV303" s="34">
        <f>BF303+BG303+BH303+BY303-CA303</f>
        <v/>
      </c>
      <c r="BW303" s="34">
        <f>ABS(BX303)</f>
        <v/>
      </c>
      <c r="BX303" s="34">
        <f>AY303-(J303-L303+N303-Q303+T303-X303)</f>
        <v/>
      </c>
      <c r="BY303" s="34">
        <f>IF(AND(BX303&gt;0,MIN($F303:$G303)&lt;150,$E303="Enerji Açığı"),-100*BX303*1.03,IF(AND(BX303&gt;0,MIN($F303:$G303)&lt;150,$E303="Enerji Fazlası"),-100*BX303*1.06,IF(AND(BX303&gt;0,MIN($F303:$G303)&gt;=150,$E303="Enerji Açığı"),BX303*MIN($F303:$G303)*0.97,IF(AND(BX303&gt;0,MIN($F303:$G303)&gt;=150,$E303="Enerji Fazlası"),BX303*MIN($F303:$G303)*0.94,IF(AND(BX303&lt;0,MAX($F303:$G303)=4500,$E303="Enerji Açığı"),4500*1.05*1.06*BX303,IF(AND(BX303&lt;0,MAX($F303:$G303)=4500,$E303="Enerji Fazlası"),4500*1.05*1.03*BX303,IF(AND(BX303&lt;0,$E303="Enerji Açığı"),MAX($F303,$G303,150)*BX303*1.06,IF(AND(BX303&lt;0,$E303="Enerji Fazlası"),MAX($F303,$G303,150)*BX303*1.03,IF(AND(BX303&lt;0,$E303="Dengede"),MAX($F303:$G303,150)*1.03*BX303,MIN($F303:$G303)*0.97*BX303)))))))))</f>
        <v/>
      </c>
      <c r="BZ303" s="34">
        <f>BE303-BV303-CA303</f>
        <v/>
      </c>
      <c r="CA303" s="34">
        <f>BD303</f>
        <v/>
      </c>
      <c r="CB303" s="33">
        <f>BE303-BV303</f>
        <v/>
      </c>
      <c r="CC303" s="34">
        <f>IF(AY303=0,0,CB303/AY303)</f>
        <v/>
      </c>
      <c r="CD303" s="34">
        <f>MAX((AY303+MAX((-J303+L303-N303+Q303-T303+X303),0)),(MAX((J303-L303+N303-Q303+T303-X303),0)))</f>
        <v/>
      </c>
      <c r="CE303" s="82">
        <f>IFERROR(ABS(BX303/CD303),0)</f>
        <v/>
      </c>
      <c r="CF303" s="34">
        <f>IF(CE303&lt;=0.1,0,BX303/CE303*(CE303-0.1))</f>
        <v/>
      </c>
      <c r="CG303" s="34">
        <f>IF((CF303)&lt;0,MAX(F303:G303)*(CF303)*1.03,MIN(F303:G303)*(CF303)*0.97)</f>
        <v/>
      </c>
      <c r="CH303" s="34">
        <f>IF(CE303&gt;0.1,1,0)</f>
        <v/>
      </c>
      <c r="CI303" s="34">
        <f>(F303*BX303)-BY303</f>
        <v/>
      </c>
      <c r="CJ303" s="34">
        <f>IF(AY303=0,0,CI303/AY303)</f>
        <v/>
      </c>
    </row>
    <row r="304">
      <c r="A304" s="29">
        <f>[1]FİYATLAR!A279</f>
        <v/>
      </c>
      <c r="B304" s="29">
        <f>[1]FİYATLAR!B279</f>
        <v/>
      </c>
      <c r="C304" s="35">
        <f>INT(A304)</f>
        <v/>
      </c>
      <c r="D304" s="36">
        <f>MONTH(A304)</f>
        <v/>
      </c>
      <c r="E304" s="147">
        <f>[1]FİYATLAR!G279</f>
        <v/>
      </c>
      <c r="F304" s="30">
        <f>[1]FİYATLAR!C279</f>
        <v/>
      </c>
      <c r="G304" s="30">
        <f>[1]FİYATLAR!E279</f>
        <v/>
      </c>
      <c r="H304" s="30">
        <f>[1]FİYATLAR!D279</f>
        <v/>
      </c>
      <c r="I304" s="30">
        <f>[1]FİYATLAR!F279</f>
        <v/>
      </c>
      <c r="J304" s="119" t="n">
        <v>0</v>
      </c>
      <c r="K304" s="34">
        <f>F304*J304</f>
        <v/>
      </c>
      <c r="L304" s="119" t="n"/>
      <c r="M304" s="34">
        <f>L304*F304</f>
        <v/>
      </c>
      <c r="N304" s="119" t="n"/>
      <c r="O304" s="34">
        <f>F304</f>
        <v/>
      </c>
      <c r="P304" s="34">
        <f>N304*O304</f>
        <v/>
      </c>
      <c r="Q304" s="117" t="n">
        <v>0</v>
      </c>
      <c r="R304" s="34">
        <f>F304</f>
        <v/>
      </c>
      <c r="S304" s="34">
        <f>R304*Q304</f>
        <v/>
      </c>
      <c r="T304" s="34">
        <f>SUMIFS('[1]GİP VERİLERİ'!$C:$C,'[1]GİP VERİLERİ'!$B:$B,A304,'[1]GİP VERİLERİ'!$M:$M,"40X000000104782K",'[1]GİP VERİLERİ'!$G:$G,"SELL")</f>
        <v/>
      </c>
      <c r="U304" s="34">
        <f>IFERROR(W304/T304,0)</f>
        <v/>
      </c>
      <c r="V304" s="34">
        <f>IF(U304=0,0,U304-F304)</f>
        <v/>
      </c>
      <c r="W304" s="34">
        <f>SUMIFS('[1]GİP VERİLERİ'!$O:$O,'[1]GİP VERİLERİ'!$B:$B,A304,'[1]GİP VERİLERİ'!$M:$M,"40X000000104782K",'[1]GİP VERİLERİ'!$G:$G,"SELL")</f>
        <v/>
      </c>
      <c r="X304" s="34">
        <f>SUMIFS('[1]GİP VERİLERİ'!$C:$C,'[1]GİP VERİLERİ'!$B:$B,A304,'[1]GİP VERİLERİ'!$M:$M,"40X000000104782K",'[1]GİP VERİLERİ'!$G:$G,"BUY")</f>
        <v/>
      </c>
      <c r="Y304" s="34">
        <f>IFERROR(AA304/X304,0)</f>
        <v/>
      </c>
      <c r="Z304" s="34">
        <f>IF(Y304=0,0,F304-Y304)</f>
        <v/>
      </c>
      <c r="AA304" s="34">
        <f>SUMIFS('[1]GİP VERİLERİ'!$O:$O,'[1]GİP VERİLERİ'!$B:$B,A304,'[1]GİP VERİLERİ'!$M:$M,"40X000000104782K",'[1]GİP VERİLERİ'!$G:$G,"BUY")</f>
        <v/>
      </c>
      <c r="AB304" s="34">
        <f>'[1]GÖP VERİLERİ'!H305</f>
        <v/>
      </c>
      <c r="AC304" s="34">
        <f>'[1]GÖP VERİLERİ'!I305</f>
        <v/>
      </c>
      <c r="AD304" s="34">
        <f>IF(AB304&gt;AC304*1.05,AB304-AC304*1.05,IF(AB304&lt;AC304*0.95,AC304*0.95-AB304,0))</f>
        <v/>
      </c>
      <c r="AE304" s="34">
        <f>MAX(F304,G304,750)*0.05*AD304</f>
        <v/>
      </c>
      <c r="AF304" s="34">
        <f>'[1]GÖP VERİLERİ'!J305</f>
        <v/>
      </c>
      <c r="AG304" s="34">
        <f>IF(AB304&gt;AF304*1.05,AB304-AF304*1.05,IF(AB304&lt;AF304*0.95,AF304*0.95-AB304,0))</f>
        <v/>
      </c>
      <c r="AH304" s="34">
        <f>MAX(I304,J304,750)*0.05*AG304</f>
        <v/>
      </c>
      <c r="AI304">
        <f>'[1]GÖP VERİLERİ'!E305</f>
        <v/>
      </c>
      <c r="AJ304">
        <f>'[1]GÖP VERİLERİ'!F305</f>
        <v/>
      </c>
      <c r="AK304" s="34">
        <f>IF(AI304&gt;AJ304*1.05,AI304-AJ304*1.05,IF(AI304&lt;AJ304*0.95,AJ304*0.95-AI304,0))</f>
        <v/>
      </c>
      <c r="AL304" s="34">
        <f>MAX(F304,G304,750)*0.05*AK304</f>
        <v/>
      </c>
      <c r="AM304" s="39">
        <f>'[1]GÖP VERİLERİ'!G305</f>
        <v/>
      </c>
      <c r="AN304" s="34">
        <f>IF(AI304&gt;AM304*1.05,AI304-AM304*1.05,IF(AI304&lt;AM304*0.95,AM304*0.95-AI304,0))</f>
        <v/>
      </c>
      <c r="AO304" s="34">
        <f>MAX(F304,G304,750)*0.05*AN304</f>
        <v/>
      </c>
      <c r="AP304" s="34">
        <f>'[1]GÖP VERİLERİ'!B305</f>
        <v/>
      </c>
      <c r="AQ304" s="34">
        <f>'[1]GÖP VERİLERİ'!C305</f>
        <v/>
      </c>
      <c r="AR304" s="34">
        <f>IF(AP304&gt;AQ304*1.05,AP304-AQ304*1.05,IF(AP304&lt;AQ304*0.95,AQ304*0.95-AP304,0))</f>
        <v/>
      </c>
      <c r="AS304" s="34">
        <f>MAX(F304:G304,750)*0.05*AR304</f>
        <v/>
      </c>
      <c r="AT304">
        <f>'[1]GÖP VERİLERİ'!D305</f>
        <v/>
      </c>
      <c r="AU304" s="34">
        <f>IF(AP304&gt;AT304*1.05,AP304-AT304*1.05,IF(AP304&lt;AT304*0.95,AT304*0.95-AP304,0))</f>
        <v/>
      </c>
      <c r="AV304" s="34">
        <f>MAX(F304:G304,750)*0.05*AU304</f>
        <v/>
      </c>
      <c r="AW304" s="34">
        <f>AC304+AJ304+AQ304</f>
        <v/>
      </c>
      <c r="AX304" s="34">
        <f>AF304+AM304+AT304</f>
        <v/>
      </c>
      <c r="AY304" s="34">
        <f>AB304+AI304+AP304</f>
        <v/>
      </c>
      <c r="AZ304" s="34" t="n">
        <v>0</v>
      </c>
      <c r="BA304" s="34">
        <f>AD304+AK304+AR304</f>
        <v/>
      </c>
      <c r="BB304" s="34">
        <f>MAX(F304:G304,750)*0.05*BA304</f>
        <v/>
      </c>
      <c r="BC304" s="34">
        <f>AG304+AN304+AU304</f>
        <v/>
      </c>
      <c r="BD304" s="34">
        <f>MAX(F304:G304,750)*0.05*BC304</f>
        <v/>
      </c>
      <c r="BE304" s="34">
        <f>F304*AY304</f>
        <v/>
      </c>
      <c r="BF304" s="34">
        <f>K304-M304</f>
        <v/>
      </c>
      <c r="BG304" s="34">
        <f>P304-S304</f>
        <v/>
      </c>
      <c r="BH304" s="34">
        <f>W304-AA304</f>
        <v/>
      </c>
      <c r="BI304" s="34">
        <f>BF304+BG304+BL304-BN304</f>
        <v/>
      </c>
      <c r="BJ304" s="34">
        <f>ABS(BK304)</f>
        <v/>
      </c>
      <c r="BK304" s="34">
        <f>AY304-(J304-L304+N304-Q304)</f>
        <v/>
      </c>
      <c r="BL304" s="34">
        <f>IF(AND(BK304&gt;0,MIN($F304:$G304)&lt;150,$E304="Enerji Açığı"),-100*BK304*1.03,IF(AND(BK304&gt;0,MIN($F304:$G304)&lt;150,$E304="Enerji Fazlası"),-100*BK304*1.06,IF(AND(BK304&gt;0,MIN($F304:$G304)&gt;=150,$E304="Enerji Açığı"),BK304*MIN($F304:$G304)*0.97,IF(AND(BK304&gt;0,MIN($F304:$G304)&gt;=150,$E304="Enerji Fazlası"),BK304*MIN($F304:$G304)*0.94,IF(AND(BK304&lt;0,MAX($F304:$G304)=4500,$E304="Enerji Açığı"),4500*1.05*1.06*BK304,IF(AND(BK304&lt;0,MAX($F304:$G304)=4500,$E304="Enerji Fazlası"),4500*1.05*1.03*BK304,IF(AND(BK304&lt;0,$E304="Enerji Açığı"),MAX($F304,$G304,150)*BK304*1.06,IF(AND(BK304&lt;0,$E304="Enerji Fazlası"),MAX($F304,$G304,150)*BK304*1.03,IF(AND(BK304&lt;0,$E304="Dengede"),MAX($F304:$G304,150)*1.03*BK304,MIN($F304:$G304)*0.97*BK304)))))))))</f>
        <v/>
      </c>
      <c r="BM304" s="34">
        <f>BE304-BI304-BN304</f>
        <v/>
      </c>
      <c r="BN304" s="34">
        <f>BB304</f>
        <v/>
      </c>
      <c r="BO304" s="34">
        <f>BE304-BI304</f>
        <v/>
      </c>
      <c r="BP304" s="34">
        <f>IF(AY304=0,0,BO304/AY304)</f>
        <v/>
      </c>
      <c r="BQ304" s="34">
        <f>MAX((AY304+MAX((-J304+L304-N304+Q304),0)),(MAX((J304-L304+N304-Q304),0)))</f>
        <v/>
      </c>
      <c r="BR304" s="82">
        <f>IFERROR(ABS(BK304/BQ304),0)</f>
        <v/>
      </c>
      <c r="BS304" s="34">
        <f>IF(BR304&lt;=0.1,0,BK304/BR304*(BR304-0.1))</f>
        <v/>
      </c>
      <c r="BT304" s="34">
        <f>IF((BS304)&lt;0,MAX(F304:G304)*(BS304)*1.03,MIN(F304:G304)*(BS304)*0.97)</f>
        <v/>
      </c>
      <c r="BU304" s="34">
        <f>IF(BR304&gt;0.1,1,0)</f>
        <v/>
      </c>
      <c r="BV304" s="34">
        <f>BF304+BG304+BH304+BY304-CA304</f>
        <v/>
      </c>
      <c r="BW304" s="34">
        <f>ABS(BX304)</f>
        <v/>
      </c>
      <c r="BX304" s="34">
        <f>AY304-(J304-L304+N304-Q304+T304-X304)</f>
        <v/>
      </c>
      <c r="BY304" s="34">
        <f>IF(AND(BX304&gt;0,MIN($F304:$G304)&lt;150,$E304="Enerji Açığı"),-100*BX304*1.03,IF(AND(BX304&gt;0,MIN($F304:$G304)&lt;150,$E304="Enerji Fazlası"),-100*BX304*1.06,IF(AND(BX304&gt;0,MIN($F304:$G304)&gt;=150,$E304="Enerji Açığı"),BX304*MIN($F304:$G304)*0.97,IF(AND(BX304&gt;0,MIN($F304:$G304)&gt;=150,$E304="Enerji Fazlası"),BX304*MIN($F304:$G304)*0.94,IF(AND(BX304&lt;0,MAX($F304:$G304)=4500,$E304="Enerji Açığı"),4500*1.05*1.06*BX304,IF(AND(BX304&lt;0,MAX($F304:$G304)=4500,$E304="Enerji Fazlası"),4500*1.05*1.03*BX304,IF(AND(BX304&lt;0,$E304="Enerji Açığı"),MAX($F304,$G304,150)*BX304*1.06,IF(AND(BX304&lt;0,$E304="Enerji Fazlası"),MAX($F304,$G304,150)*BX304*1.03,IF(AND(BX304&lt;0,$E304="Dengede"),MAX($F304:$G304,150)*1.03*BX304,MIN($F304:$G304)*0.97*BX304)))))))))</f>
        <v/>
      </c>
      <c r="BZ304" s="34">
        <f>BE304-BV304-CA304</f>
        <v/>
      </c>
      <c r="CA304" s="34">
        <f>BD304</f>
        <v/>
      </c>
      <c r="CB304" s="33">
        <f>BE304-BV304</f>
        <v/>
      </c>
      <c r="CC304" s="34">
        <f>IF(AY304=0,0,CB304/AY304)</f>
        <v/>
      </c>
      <c r="CD304" s="34">
        <f>MAX((AY304+MAX((-J304+L304-N304+Q304-T304+X304),0)),(MAX((J304-L304+N304-Q304+T304-X304),0)))</f>
        <v/>
      </c>
      <c r="CE304" s="82">
        <f>IFERROR(ABS(BX304/CD304),0)</f>
        <v/>
      </c>
      <c r="CF304" s="34">
        <f>IF(CE304&lt;=0.1,0,BX304/CE304*(CE304-0.1))</f>
        <v/>
      </c>
      <c r="CG304" s="34">
        <f>IF((CF304)&lt;0,MAX(F304:G304)*(CF304)*1.03,MIN(F304:G304)*(CF304)*0.97)</f>
        <v/>
      </c>
      <c r="CH304" s="34">
        <f>IF(CE304&gt;0.1,1,0)</f>
        <v/>
      </c>
      <c r="CI304" s="34">
        <f>(F304*BX304)-BY304</f>
        <v/>
      </c>
      <c r="CJ304" s="34">
        <f>IF(AY304=0,0,CI304/AY304)</f>
        <v/>
      </c>
    </row>
    <row r="305">
      <c r="A305" s="29">
        <f>[1]FİYATLAR!A280</f>
        <v/>
      </c>
      <c r="B305" s="29">
        <f>[1]FİYATLAR!B280</f>
        <v/>
      </c>
      <c r="C305" s="35">
        <f>INT(A305)</f>
        <v/>
      </c>
      <c r="D305" s="36">
        <f>MONTH(A305)</f>
        <v/>
      </c>
      <c r="E305" s="147">
        <f>[1]FİYATLAR!G280</f>
        <v/>
      </c>
      <c r="F305" s="30">
        <f>[1]FİYATLAR!C280</f>
        <v/>
      </c>
      <c r="G305" s="30">
        <f>[1]FİYATLAR!E280</f>
        <v/>
      </c>
      <c r="H305" s="30">
        <f>[1]FİYATLAR!D280</f>
        <v/>
      </c>
      <c r="I305" s="30">
        <f>[1]FİYATLAR!F280</f>
        <v/>
      </c>
      <c r="J305" s="119" t="n">
        <v>0</v>
      </c>
      <c r="K305" s="34">
        <f>F305*J305</f>
        <v/>
      </c>
      <c r="L305" s="119" t="n"/>
      <c r="M305" s="34">
        <f>L305*F305</f>
        <v/>
      </c>
      <c r="N305" s="119" t="n"/>
      <c r="O305" s="34">
        <f>F305</f>
        <v/>
      </c>
      <c r="P305" s="34">
        <f>N305*O305</f>
        <v/>
      </c>
      <c r="Q305" s="117" t="n">
        <v>0</v>
      </c>
      <c r="R305" s="34">
        <f>F305</f>
        <v/>
      </c>
      <c r="S305" s="34">
        <f>R305*Q305</f>
        <v/>
      </c>
      <c r="T305" s="34">
        <f>SUMIFS('[1]GİP VERİLERİ'!$C:$C,'[1]GİP VERİLERİ'!$B:$B,A305,'[1]GİP VERİLERİ'!$M:$M,"40X000000104782K",'[1]GİP VERİLERİ'!$G:$G,"SELL")</f>
        <v/>
      </c>
      <c r="U305" s="34">
        <f>IFERROR(W305/T305,0)</f>
        <v/>
      </c>
      <c r="V305" s="34">
        <f>IF(U305=0,0,U305-F305)</f>
        <v/>
      </c>
      <c r="W305" s="34">
        <f>SUMIFS('[1]GİP VERİLERİ'!$O:$O,'[1]GİP VERİLERİ'!$B:$B,A305,'[1]GİP VERİLERİ'!$M:$M,"40X000000104782K",'[1]GİP VERİLERİ'!$G:$G,"SELL")</f>
        <v/>
      </c>
      <c r="X305" s="34">
        <f>SUMIFS('[1]GİP VERİLERİ'!$C:$C,'[1]GİP VERİLERİ'!$B:$B,A305,'[1]GİP VERİLERİ'!$M:$M,"40X000000104782K",'[1]GİP VERİLERİ'!$G:$G,"BUY")</f>
        <v/>
      </c>
      <c r="Y305" s="34">
        <f>IFERROR(AA305/X305,0)</f>
        <v/>
      </c>
      <c r="Z305" s="34">
        <f>IF(Y305=0,0,F305-Y305)</f>
        <v/>
      </c>
      <c r="AA305" s="34">
        <f>SUMIFS('[1]GİP VERİLERİ'!$O:$O,'[1]GİP VERİLERİ'!$B:$B,A305,'[1]GİP VERİLERİ'!$M:$M,"40X000000104782K",'[1]GİP VERİLERİ'!$G:$G,"BUY")</f>
        <v/>
      </c>
      <c r="AB305" s="34">
        <f>'[1]GÖP VERİLERİ'!H306</f>
        <v/>
      </c>
      <c r="AC305" s="34">
        <f>'[1]GÖP VERİLERİ'!I306</f>
        <v/>
      </c>
      <c r="AD305" s="34">
        <f>IF(AB305&gt;AC305*1.05,AB305-AC305*1.05,IF(AB305&lt;AC305*0.95,AC305*0.95-AB305,0))</f>
        <v/>
      </c>
      <c r="AE305" s="34">
        <f>MAX(F305,G305,750)*0.05*AD305</f>
        <v/>
      </c>
      <c r="AF305" s="34">
        <f>'[1]GÖP VERİLERİ'!J306</f>
        <v/>
      </c>
      <c r="AG305" s="34">
        <f>IF(AB305&gt;AF305*1.05,AB305-AF305*1.05,IF(AB305&lt;AF305*0.95,AF305*0.95-AB305,0))</f>
        <v/>
      </c>
      <c r="AH305" s="34">
        <f>MAX(I305,J305,750)*0.05*AG305</f>
        <v/>
      </c>
      <c r="AI305">
        <f>'[1]GÖP VERİLERİ'!E306</f>
        <v/>
      </c>
      <c r="AJ305">
        <f>'[1]GÖP VERİLERİ'!F306</f>
        <v/>
      </c>
      <c r="AK305" s="34">
        <f>IF(AI305&gt;AJ305*1.05,AI305-AJ305*1.05,IF(AI305&lt;AJ305*0.95,AJ305*0.95-AI305,0))</f>
        <v/>
      </c>
      <c r="AL305" s="34">
        <f>MAX(F305,G305,750)*0.05*AK305</f>
        <v/>
      </c>
      <c r="AM305" s="39">
        <f>'[1]GÖP VERİLERİ'!G306</f>
        <v/>
      </c>
      <c r="AN305" s="34">
        <f>IF(AI305&gt;AM305*1.05,AI305-AM305*1.05,IF(AI305&lt;AM305*0.95,AM305*0.95-AI305,0))</f>
        <v/>
      </c>
      <c r="AO305" s="34">
        <f>MAX(F305,G305,750)*0.05*AN305</f>
        <v/>
      </c>
      <c r="AP305" s="34">
        <f>'[1]GÖP VERİLERİ'!B306</f>
        <v/>
      </c>
      <c r="AQ305" s="34">
        <f>'[1]GÖP VERİLERİ'!C306</f>
        <v/>
      </c>
      <c r="AR305" s="34">
        <f>IF(AP305&gt;AQ305*1.05,AP305-AQ305*1.05,IF(AP305&lt;AQ305*0.95,AQ305*0.95-AP305,0))</f>
        <v/>
      </c>
      <c r="AS305" s="34">
        <f>MAX(F305:G305,750)*0.05*AR305</f>
        <v/>
      </c>
      <c r="AT305">
        <f>'[1]GÖP VERİLERİ'!D306</f>
        <v/>
      </c>
      <c r="AU305" s="34">
        <f>IF(AP305&gt;AT305*1.05,AP305-AT305*1.05,IF(AP305&lt;AT305*0.95,AT305*0.95-AP305,0))</f>
        <v/>
      </c>
      <c r="AV305" s="34">
        <f>MAX(F305:G305,750)*0.05*AU305</f>
        <v/>
      </c>
      <c r="AW305" s="34">
        <f>AC305+AJ305+AQ305</f>
        <v/>
      </c>
      <c r="AX305" s="34">
        <f>AF305+AM305+AT305</f>
        <v/>
      </c>
      <c r="AY305" s="34">
        <f>AB305+AI305+AP305</f>
        <v/>
      </c>
      <c r="AZ305" s="34" t="n">
        <v>0</v>
      </c>
      <c r="BA305" s="34">
        <f>AD305+AK305+AR305</f>
        <v/>
      </c>
      <c r="BB305" s="34">
        <f>MAX(F305:G305,750)*0.05*BA305</f>
        <v/>
      </c>
      <c r="BC305" s="34">
        <f>AG305+AN305+AU305</f>
        <v/>
      </c>
      <c r="BD305" s="34">
        <f>MAX(F305:G305,750)*0.05*BC305</f>
        <v/>
      </c>
      <c r="BE305" s="34">
        <f>F305*AY305</f>
        <v/>
      </c>
      <c r="BF305" s="34">
        <f>K305-M305</f>
        <v/>
      </c>
      <c r="BG305" s="34">
        <f>P305-S305</f>
        <v/>
      </c>
      <c r="BH305" s="34">
        <f>W305-AA305</f>
        <v/>
      </c>
      <c r="BI305" s="34">
        <f>BF305+BG305+BL305-BN305</f>
        <v/>
      </c>
      <c r="BJ305" s="34">
        <f>ABS(BK305)</f>
        <v/>
      </c>
      <c r="BK305" s="34">
        <f>AY305-(J305-L305+N305-Q305)</f>
        <v/>
      </c>
      <c r="BL305" s="34">
        <f>IF(AND(BK305&gt;0,MIN($F305:$G305)&lt;150,$E305="Enerji Açığı"),-100*BK305*1.03,IF(AND(BK305&gt;0,MIN($F305:$G305)&lt;150,$E305="Enerji Fazlası"),-100*BK305*1.06,IF(AND(BK305&gt;0,MIN($F305:$G305)&gt;=150,$E305="Enerji Açığı"),BK305*MIN($F305:$G305)*0.97,IF(AND(BK305&gt;0,MIN($F305:$G305)&gt;=150,$E305="Enerji Fazlası"),BK305*MIN($F305:$G305)*0.94,IF(AND(BK305&lt;0,MAX($F305:$G305)=4500,$E305="Enerji Açığı"),4500*1.05*1.06*BK305,IF(AND(BK305&lt;0,MAX($F305:$G305)=4500,$E305="Enerji Fazlası"),4500*1.05*1.03*BK305,IF(AND(BK305&lt;0,$E305="Enerji Açığı"),MAX($F305,$G305,150)*BK305*1.06,IF(AND(BK305&lt;0,$E305="Enerji Fazlası"),MAX($F305,$G305,150)*BK305*1.03,IF(AND(BK305&lt;0,$E305="Dengede"),MAX($F305:$G305,150)*1.03*BK305,MIN($F305:$G305)*0.97*BK305)))))))))</f>
        <v/>
      </c>
      <c r="BM305" s="34">
        <f>BE305-BI305-BN305</f>
        <v/>
      </c>
      <c r="BN305" s="34">
        <f>BB305</f>
        <v/>
      </c>
      <c r="BO305" s="34">
        <f>BE305-BI305</f>
        <v/>
      </c>
      <c r="BP305" s="34">
        <f>IF(AY305=0,0,BO305/AY305)</f>
        <v/>
      </c>
      <c r="BQ305" s="34">
        <f>MAX((AY305+MAX((-J305+L305-N305+Q305),0)),(MAX((J305-L305+N305-Q305),0)))</f>
        <v/>
      </c>
      <c r="BR305" s="82">
        <f>IFERROR(ABS(BK305/BQ305),0)</f>
        <v/>
      </c>
      <c r="BS305" s="34">
        <f>IF(BR305&lt;=0.1,0,BK305/BR305*(BR305-0.1))</f>
        <v/>
      </c>
      <c r="BT305" s="34">
        <f>IF((BS305)&lt;0,MAX(F305:G305)*(BS305)*1.03,MIN(F305:G305)*(BS305)*0.97)</f>
        <v/>
      </c>
      <c r="BU305" s="34">
        <f>IF(BR305&gt;0.1,1,0)</f>
        <v/>
      </c>
      <c r="BV305" s="34">
        <f>BF305+BG305+BH305+BY305-CA305</f>
        <v/>
      </c>
      <c r="BW305" s="34">
        <f>ABS(BX305)</f>
        <v/>
      </c>
      <c r="BX305" s="34">
        <f>AY305-(J305-L305+N305-Q305+T305-X305)</f>
        <v/>
      </c>
      <c r="BY305" s="34">
        <f>IF(AND(BX305&gt;0,MIN($F305:$G305)&lt;150,$E305="Enerji Açığı"),-100*BX305*1.03,IF(AND(BX305&gt;0,MIN($F305:$G305)&lt;150,$E305="Enerji Fazlası"),-100*BX305*1.06,IF(AND(BX305&gt;0,MIN($F305:$G305)&gt;=150,$E305="Enerji Açığı"),BX305*MIN($F305:$G305)*0.97,IF(AND(BX305&gt;0,MIN($F305:$G305)&gt;=150,$E305="Enerji Fazlası"),BX305*MIN($F305:$G305)*0.94,IF(AND(BX305&lt;0,MAX($F305:$G305)=4500,$E305="Enerji Açığı"),4500*1.05*1.06*BX305,IF(AND(BX305&lt;0,MAX($F305:$G305)=4500,$E305="Enerji Fazlası"),4500*1.05*1.03*BX305,IF(AND(BX305&lt;0,$E305="Enerji Açığı"),MAX($F305,$G305,150)*BX305*1.06,IF(AND(BX305&lt;0,$E305="Enerji Fazlası"),MAX($F305,$G305,150)*BX305*1.03,IF(AND(BX305&lt;0,$E305="Dengede"),MAX($F305:$G305,150)*1.03*BX305,MIN($F305:$G305)*0.97*BX305)))))))))</f>
        <v/>
      </c>
      <c r="BZ305" s="34">
        <f>BE305-BV305-CA305</f>
        <v/>
      </c>
      <c r="CA305" s="34">
        <f>BD305</f>
        <v/>
      </c>
      <c r="CB305" s="33">
        <f>BE305-BV305</f>
        <v/>
      </c>
      <c r="CC305" s="34">
        <f>IF(AY305=0,0,CB305/AY305)</f>
        <v/>
      </c>
      <c r="CD305" s="34">
        <f>MAX((AY305+MAX((-J305+L305-N305+Q305-T305+X305),0)),(MAX((J305-L305+N305-Q305+T305-X305),0)))</f>
        <v/>
      </c>
      <c r="CE305" s="82">
        <f>IFERROR(ABS(BX305/CD305),0)</f>
        <v/>
      </c>
      <c r="CF305" s="34">
        <f>IF(CE305&lt;=0.1,0,BX305/CE305*(CE305-0.1))</f>
        <v/>
      </c>
      <c r="CG305" s="34">
        <f>IF((CF305)&lt;0,MAX(F305:G305)*(CF305)*1.03,MIN(F305:G305)*(CF305)*0.97)</f>
        <v/>
      </c>
      <c r="CH305" s="34">
        <f>IF(CE305&gt;0.1,1,0)</f>
        <v/>
      </c>
      <c r="CI305" s="34">
        <f>(F305*BX305)-BY305</f>
        <v/>
      </c>
      <c r="CJ305" s="34">
        <f>IF(AY305=0,0,CI305/AY305)</f>
        <v/>
      </c>
    </row>
    <row r="306">
      <c r="A306" s="29">
        <f>[1]FİYATLAR!A281</f>
        <v/>
      </c>
      <c r="B306" s="29">
        <f>[1]FİYATLAR!B281</f>
        <v/>
      </c>
      <c r="C306" s="35">
        <f>INT(A306)</f>
        <v/>
      </c>
      <c r="D306" s="36">
        <f>MONTH(A306)</f>
        <v/>
      </c>
      <c r="E306" s="147">
        <f>[1]FİYATLAR!G281</f>
        <v/>
      </c>
      <c r="F306" s="30">
        <f>[1]FİYATLAR!C281</f>
        <v/>
      </c>
      <c r="G306" s="30">
        <f>[1]FİYATLAR!E281</f>
        <v/>
      </c>
      <c r="H306" s="30">
        <f>[1]FİYATLAR!D281</f>
        <v/>
      </c>
      <c r="I306" s="30">
        <f>[1]FİYATLAR!F281</f>
        <v/>
      </c>
      <c r="J306" s="119" t="n">
        <v>0</v>
      </c>
      <c r="K306" s="34">
        <f>F306*J306</f>
        <v/>
      </c>
      <c r="L306" s="119" t="n"/>
      <c r="M306" s="34">
        <f>L306*F306</f>
        <v/>
      </c>
      <c r="N306" s="119" t="n"/>
      <c r="O306" s="34">
        <f>F306</f>
        <v/>
      </c>
      <c r="P306" s="34">
        <f>N306*O306</f>
        <v/>
      </c>
      <c r="Q306" s="117" t="n">
        <v>0</v>
      </c>
      <c r="R306" s="34">
        <f>F306</f>
        <v/>
      </c>
      <c r="S306" s="34">
        <f>R306*Q306</f>
        <v/>
      </c>
      <c r="T306" s="34">
        <f>SUMIFS('[1]GİP VERİLERİ'!$C:$C,'[1]GİP VERİLERİ'!$B:$B,A306,'[1]GİP VERİLERİ'!$M:$M,"40X000000104782K",'[1]GİP VERİLERİ'!$G:$G,"SELL")</f>
        <v/>
      </c>
      <c r="U306" s="34">
        <f>IFERROR(W306/T306,0)</f>
        <v/>
      </c>
      <c r="V306" s="34">
        <f>IF(U306=0,0,U306-F306)</f>
        <v/>
      </c>
      <c r="W306" s="34">
        <f>SUMIFS('[1]GİP VERİLERİ'!$O:$O,'[1]GİP VERİLERİ'!$B:$B,A306,'[1]GİP VERİLERİ'!$M:$M,"40X000000104782K",'[1]GİP VERİLERİ'!$G:$G,"SELL")</f>
        <v/>
      </c>
      <c r="X306" s="34">
        <f>SUMIFS('[1]GİP VERİLERİ'!$C:$C,'[1]GİP VERİLERİ'!$B:$B,A306,'[1]GİP VERİLERİ'!$M:$M,"40X000000104782K",'[1]GİP VERİLERİ'!$G:$G,"BUY")</f>
        <v/>
      </c>
      <c r="Y306" s="34">
        <f>IFERROR(AA306/X306,0)</f>
        <v/>
      </c>
      <c r="Z306" s="34">
        <f>IF(Y306=0,0,F306-Y306)</f>
        <v/>
      </c>
      <c r="AA306" s="34">
        <f>SUMIFS('[1]GİP VERİLERİ'!$O:$O,'[1]GİP VERİLERİ'!$B:$B,A306,'[1]GİP VERİLERİ'!$M:$M,"40X000000104782K",'[1]GİP VERİLERİ'!$G:$G,"BUY")</f>
        <v/>
      </c>
      <c r="AB306" s="34">
        <f>'[1]GÖP VERİLERİ'!H307</f>
        <v/>
      </c>
      <c r="AC306" s="34">
        <f>'[1]GÖP VERİLERİ'!I307</f>
        <v/>
      </c>
      <c r="AD306" s="34">
        <f>IF(AB306&gt;AC306*1.05,AB306-AC306*1.05,IF(AB306&lt;AC306*0.95,AC306*0.95-AB306,0))</f>
        <v/>
      </c>
      <c r="AE306" s="34">
        <f>MAX(F306,G306,750)*0.05*AD306</f>
        <v/>
      </c>
      <c r="AF306" s="34">
        <f>'[1]GÖP VERİLERİ'!J307</f>
        <v/>
      </c>
      <c r="AG306" s="34">
        <f>IF(AB306&gt;AF306*1.05,AB306-AF306*1.05,IF(AB306&lt;AF306*0.95,AF306*0.95-AB306,0))</f>
        <v/>
      </c>
      <c r="AH306" s="34">
        <f>MAX(I306,J306,750)*0.05*AG306</f>
        <v/>
      </c>
      <c r="AI306">
        <f>'[1]GÖP VERİLERİ'!E307</f>
        <v/>
      </c>
      <c r="AJ306">
        <f>'[1]GÖP VERİLERİ'!F307</f>
        <v/>
      </c>
      <c r="AK306" s="34">
        <f>IF(AI306&gt;AJ306*1.05,AI306-AJ306*1.05,IF(AI306&lt;AJ306*0.95,AJ306*0.95-AI306,0))</f>
        <v/>
      </c>
      <c r="AL306" s="34">
        <f>MAX(F306,G306,750)*0.05*AK306</f>
        <v/>
      </c>
      <c r="AM306" s="39">
        <f>'[1]GÖP VERİLERİ'!G307</f>
        <v/>
      </c>
      <c r="AN306" s="34">
        <f>IF(AI306&gt;AM306*1.05,AI306-AM306*1.05,IF(AI306&lt;AM306*0.95,AM306*0.95-AI306,0))</f>
        <v/>
      </c>
      <c r="AO306" s="34">
        <f>MAX(F306,G306,750)*0.05*AN306</f>
        <v/>
      </c>
      <c r="AP306" s="34">
        <f>'[1]GÖP VERİLERİ'!B307</f>
        <v/>
      </c>
      <c r="AQ306" s="34">
        <f>'[1]GÖP VERİLERİ'!C307</f>
        <v/>
      </c>
      <c r="AR306" s="34">
        <f>IF(AP306&gt;AQ306*1.05,AP306-AQ306*1.05,IF(AP306&lt;AQ306*0.95,AQ306*0.95-AP306,0))</f>
        <v/>
      </c>
      <c r="AS306" s="34">
        <f>MAX(F306:G306,750)*0.05*AR306</f>
        <v/>
      </c>
      <c r="AT306">
        <f>'[1]GÖP VERİLERİ'!D307</f>
        <v/>
      </c>
      <c r="AU306" s="34">
        <f>IF(AP306&gt;AT306*1.05,AP306-AT306*1.05,IF(AP306&lt;AT306*0.95,AT306*0.95-AP306,0))</f>
        <v/>
      </c>
      <c r="AV306" s="34">
        <f>MAX(F306:G306,750)*0.05*AU306</f>
        <v/>
      </c>
      <c r="AW306" s="34">
        <f>AC306+AJ306+AQ306</f>
        <v/>
      </c>
      <c r="AX306" s="34">
        <f>AF306+AM306+AT306</f>
        <v/>
      </c>
      <c r="AY306" s="34">
        <f>AB306+AI306+AP306</f>
        <v/>
      </c>
      <c r="AZ306" s="34" t="n">
        <v>0</v>
      </c>
      <c r="BA306" s="34">
        <f>AD306+AK306+AR306</f>
        <v/>
      </c>
      <c r="BB306" s="34">
        <f>MAX(F306:G306,750)*0.05*BA306</f>
        <v/>
      </c>
      <c r="BC306" s="34">
        <f>AG306+AN306+AU306</f>
        <v/>
      </c>
      <c r="BD306" s="34">
        <f>MAX(F306:G306,750)*0.05*BC306</f>
        <v/>
      </c>
      <c r="BE306" s="34">
        <f>F306*AY306</f>
        <v/>
      </c>
      <c r="BF306" s="34">
        <f>K306-M306</f>
        <v/>
      </c>
      <c r="BG306" s="34">
        <f>P306-S306</f>
        <v/>
      </c>
      <c r="BH306" s="34">
        <f>W306-AA306</f>
        <v/>
      </c>
      <c r="BI306" s="34">
        <f>BF306+BG306+BL306-BN306</f>
        <v/>
      </c>
      <c r="BJ306" s="34">
        <f>ABS(BK306)</f>
        <v/>
      </c>
      <c r="BK306" s="34">
        <f>AY306-(J306-L306+N306-Q306)</f>
        <v/>
      </c>
      <c r="BL306" s="34">
        <f>IF(AND(BK306&gt;0,MIN($F306:$G306)&lt;150,$E306="Enerji Açığı"),-100*BK306*1.03,IF(AND(BK306&gt;0,MIN($F306:$G306)&lt;150,$E306="Enerji Fazlası"),-100*BK306*1.06,IF(AND(BK306&gt;0,MIN($F306:$G306)&gt;=150,$E306="Enerji Açığı"),BK306*MIN($F306:$G306)*0.97,IF(AND(BK306&gt;0,MIN($F306:$G306)&gt;=150,$E306="Enerji Fazlası"),BK306*MIN($F306:$G306)*0.94,IF(AND(BK306&lt;0,MAX($F306:$G306)=4500,$E306="Enerji Açığı"),4500*1.05*1.06*BK306,IF(AND(BK306&lt;0,MAX($F306:$G306)=4500,$E306="Enerji Fazlası"),4500*1.05*1.03*BK306,IF(AND(BK306&lt;0,$E306="Enerji Açığı"),MAX($F306,$G306,150)*BK306*1.06,IF(AND(BK306&lt;0,$E306="Enerji Fazlası"),MAX($F306,$G306,150)*BK306*1.03,IF(AND(BK306&lt;0,$E306="Dengede"),MAX($F306:$G306,150)*1.03*BK306,MIN($F306:$G306)*0.97*BK306)))))))))</f>
        <v/>
      </c>
      <c r="BM306" s="34">
        <f>BE306-BI306-BN306</f>
        <v/>
      </c>
      <c r="BN306" s="34">
        <f>BB306</f>
        <v/>
      </c>
      <c r="BO306" s="34">
        <f>BE306-BI306</f>
        <v/>
      </c>
      <c r="BP306" s="34">
        <f>IF(AY306=0,0,BO306/AY306)</f>
        <v/>
      </c>
      <c r="BQ306" s="34">
        <f>MAX((AY306+MAX((-J306+L306-N306+Q306),0)),(MAX((J306-L306+N306-Q306),0)))</f>
        <v/>
      </c>
      <c r="BR306" s="82">
        <f>IFERROR(ABS(BK306/BQ306),0)</f>
        <v/>
      </c>
      <c r="BS306" s="34">
        <f>IF(BR306&lt;=0.1,0,BK306/BR306*(BR306-0.1))</f>
        <v/>
      </c>
      <c r="BT306" s="34">
        <f>IF((BS306)&lt;0,MAX(F306:G306)*(BS306)*1.03,MIN(F306:G306)*(BS306)*0.97)</f>
        <v/>
      </c>
      <c r="BU306" s="34">
        <f>IF(BR306&gt;0.1,1,0)</f>
        <v/>
      </c>
      <c r="BV306" s="34">
        <f>BF306+BG306+BH306+BY306-CA306</f>
        <v/>
      </c>
      <c r="BW306" s="34">
        <f>ABS(BX306)</f>
        <v/>
      </c>
      <c r="BX306" s="34">
        <f>AY306-(J306-L306+N306-Q306+T306-X306)</f>
        <v/>
      </c>
      <c r="BY306" s="34">
        <f>IF(AND(BX306&gt;0,MIN($F306:$G306)&lt;150,$E306="Enerji Açığı"),-100*BX306*1.03,IF(AND(BX306&gt;0,MIN($F306:$G306)&lt;150,$E306="Enerji Fazlası"),-100*BX306*1.06,IF(AND(BX306&gt;0,MIN($F306:$G306)&gt;=150,$E306="Enerji Açığı"),BX306*MIN($F306:$G306)*0.97,IF(AND(BX306&gt;0,MIN($F306:$G306)&gt;=150,$E306="Enerji Fazlası"),BX306*MIN($F306:$G306)*0.94,IF(AND(BX306&lt;0,MAX($F306:$G306)=4500,$E306="Enerji Açığı"),4500*1.05*1.06*BX306,IF(AND(BX306&lt;0,MAX($F306:$G306)=4500,$E306="Enerji Fazlası"),4500*1.05*1.03*BX306,IF(AND(BX306&lt;0,$E306="Enerji Açığı"),MAX($F306,$G306,150)*BX306*1.06,IF(AND(BX306&lt;0,$E306="Enerji Fazlası"),MAX($F306,$G306,150)*BX306*1.03,IF(AND(BX306&lt;0,$E306="Dengede"),MAX($F306:$G306,150)*1.03*BX306,MIN($F306:$G306)*0.97*BX306)))))))))</f>
        <v/>
      </c>
      <c r="BZ306" s="34">
        <f>BE306-BV306-CA306</f>
        <v/>
      </c>
      <c r="CA306" s="34">
        <f>BD306</f>
        <v/>
      </c>
      <c r="CB306" s="33">
        <f>BE306-BV306</f>
        <v/>
      </c>
      <c r="CC306" s="34">
        <f>IF(AY306=0,0,CB306/AY306)</f>
        <v/>
      </c>
      <c r="CD306" s="34">
        <f>MAX((AY306+MAX((-J306+L306-N306+Q306-T306+X306),0)),(MAX((J306-L306+N306-Q306+T306-X306),0)))</f>
        <v/>
      </c>
      <c r="CE306" s="82">
        <f>IFERROR(ABS(BX306/CD306),0)</f>
        <v/>
      </c>
      <c r="CF306" s="34">
        <f>IF(CE306&lt;=0.1,0,BX306/CE306*(CE306-0.1))</f>
        <v/>
      </c>
      <c r="CG306" s="34">
        <f>IF((CF306)&lt;0,MAX(F306:G306)*(CF306)*1.03,MIN(F306:G306)*(CF306)*0.97)</f>
        <v/>
      </c>
      <c r="CH306" s="34">
        <f>IF(CE306&gt;0.1,1,0)</f>
        <v/>
      </c>
      <c r="CI306" s="34">
        <f>(F306*BX306)-BY306</f>
        <v/>
      </c>
      <c r="CJ306" s="34">
        <f>IF(AY306=0,0,CI306/AY306)</f>
        <v/>
      </c>
    </row>
    <row r="307">
      <c r="A307" s="29">
        <f>[1]FİYATLAR!A282</f>
        <v/>
      </c>
      <c r="B307" s="29">
        <f>[1]FİYATLAR!B282</f>
        <v/>
      </c>
      <c r="C307" s="35">
        <f>INT(A307)</f>
        <v/>
      </c>
      <c r="D307" s="36">
        <f>MONTH(A307)</f>
        <v/>
      </c>
      <c r="E307" s="147">
        <f>[1]FİYATLAR!G282</f>
        <v/>
      </c>
      <c r="F307" s="30">
        <f>[1]FİYATLAR!C282</f>
        <v/>
      </c>
      <c r="G307" s="30">
        <f>[1]FİYATLAR!E282</f>
        <v/>
      </c>
      <c r="H307" s="30">
        <f>[1]FİYATLAR!D282</f>
        <v/>
      </c>
      <c r="I307" s="30">
        <f>[1]FİYATLAR!F282</f>
        <v/>
      </c>
      <c r="J307" s="119" t="n">
        <v>0</v>
      </c>
      <c r="K307" s="34">
        <f>F307*J307</f>
        <v/>
      </c>
      <c r="L307" s="119" t="n"/>
      <c r="M307" s="34">
        <f>L307*F307</f>
        <v/>
      </c>
      <c r="N307" s="119" t="n"/>
      <c r="O307" s="34">
        <f>F307</f>
        <v/>
      </c>
      <c r="P307" s="34">
        <f>N307*O307</f>
        <v/>
      </c>
      <c r="Q307" s="117" t="n">
        <v>0</v>
      </c>
      <c r="R307" s="34">
        <f>F307</f>
        <v/>
      </c>
      <c r="S307" s="34">
        <f>R307*Q307</f>
        <v/>
      </c>
      <c r="T307" s="34">
        <f>SUMIFS('[1]GİP VERİLERİ'!$C:$C,'[1]GİP VERİLERİ'!$B:$B,A307,'[1]GİP VERİLERİ'!$M:$M,"40X000000104782K",'[1]GİP VERİLERİ'!$G:$G,"SELL")</f>
        <v/>
      </c>
      <c r="U307" s="34">
        <f>IFERROR(W307/T307,0)</f>
        <v/>
      </c>
      <c r="V307" s="34">
        <f>IF(U307=0,0,U307-F307)</f>
        <v/>
      </c>
      <c r="W307" s="34">
        <f>SUMIFS('[1]GİP VERİLERİ'!$O:$O,'[1]GİP VERİLERİ'!$B:$B,A307,'[1]GİP VERİLERİ'!$M:$M,"40X000000104782K",'[1]GİP VERİLERİ'!$G:$G,"SELL")</f>
        <v/>
      </c>
      <c r="X307" s="34">
        <f>SUMIFS('[1]GİP VERİLERİ'!$C:$C,'[1]GİP VERİLERİ'!$B:$B,A307,'[1]GİP VERİLERİ'!$M:$M,"40X000000104782K",'[1]GİP VERİLERİ'!$G:$G,"BUY")</f>
        <v/>
      </c>
      <c r="Y307" s="34">
        <f>IFERROR(AA307/X307,0)</f>
        <v/>
      </c>
      <c r="Z307" s="34">
        <f>IF(Y307=0,0,F307-Y307)</f>
        <v/>
      </c>
      <c r="AA307" s="34">
        <f>SUMIFS('[1]GİP VERİLERİ'!$O:$O,'[1]GİP VERİLERİ'!$B:$B,A307,'[1]GİP VERİLERİ'!$M:$M,"40X000000104782K",'[1]GİP VERİLERİ'!$G:$G,"BUY")</f>
        <v/>
      </c>
      <c r="AB307" s="34">
        <f>'[1]GÖP VERİLERİ'!H308</f>
        <v/>
      </c>
      <c r="AC307" s="34">
        <f>'[1]GÖP VERİLERİ'!I308</f>
        <v/>
      </c>
      <c r="AD307" s="34">
        <f>IF(AB307&gt;AC307*1.05,AB307-AC307*1.05,IF(AB307&lt;AC307*0.95,AC307*0.95-AB307,0))</f>
        <v/>
      </c>
      <c r="AE307" s="34">
        <f>MAX(F307,G307,750)*0.05*AD307</f>
        <v/>
      </c>
      <c r="AF307" s="34">
        <f>'[1]GÖP VERİLERİ'!J308</f>
        <v/>
      </c>
      <c r="AG307" s="34">
        <f>IF(AB307&gt;AF307*1.05,AB307-AF307*1.05,IF(AB307&lt;AF307*0.95,AF307*0.95-AB307,0))</f>
        <v/>
      </c>
      <c r="AH307" s="34">
        <f>MAX(I307,J307,750)*0.05*AG307</f>
        <v/>
      </c>
      <c r="AI307">
        <f>'[1]GÖP VERİLERİ'!E308</f>
        <v/>
      </c>
      <c r="AJ307">
        <f>'[1]GÖP VERİLERİ'!F308</f>
        <v/>
      </c>
      <c r="AK307" s="34">
        <f>IF(AI307&gt;AJ307*1.05,AI307-AJ307*1.05,IF(AI307&lt;AJ307*0.95,AJ307*0.95-AI307,0))</f>
        <v/>
      </c>
      <c r="AL307" s="34">
        <f>MAX(F307,G307,750)*0.05*AK307</f>
        <v/>
      </c>
      <c r="AM307" s="39">
        <f>'[1]GÖP VERİLERİ'!G308</f>
        <v/>
      </c>
      <c r="AN307" s="34">
        <f>IF(AI307&gt;AM307*1.05,AI307-AM307*1.05,IF(AI307&lt;AM307*0.95,AM307*0.95-AI307,0))</f>
        <v/>
      </c>
      <c r="AO307" s="34">
        <f>MAX(F307,G307,750)*0.05*AN307</f>
        <v/>
      </c>
      <c r="AP307" s="34">
        <f>'[1]GÖP VERİLERİ'!B308</f>
        <v/>
      </c>
      <c r="AQ307" s="34">
        <f>'[1]GÖP VERİLERİ'!C308</f>
        <v/>
      </c>
      <c r="AR307" s="34">
        <f>IF(AP307&gt;AQ307*1.05,AP307-AQ307*1.05,IF(AP307&lt;AQ307*0.95,AQ307*0.95-AP307,0))</f>
        <v/>
      </c>
      <c r="AS307" s="34">
        <f>MAX(F307:G307,750)*0.05*AR307</f>
        <v/>
      </c>
      <c r="AT307">
        <f>'[1]GÖP VERİLERİ'!D308</f>
        <v/>
      </c>
      <c r="AU307" s="34">
        <f>IF(AP307&gt;AT307*1.05,AP307-AT307*1.05,IF(AP307&lt;AT307*0.95,AT307*0.95-AP307,0))</f>
        <v/>
      </c>
      <c r="AV307" s="34">
        <f>MAX(F307:G307,750)*0.05*AU307</f>
        <v/>
      </c>
      <c r="AW307" s="34">
        <f>AC307+AJ307+AQ307</f>
        <v/>
      </c>
      <c r="AX307" s="34">
        <f>AF307+AM307+AT307</f>
        <v/>
      </c>
      <c r="AY307" s="34">
        <f>AB307+AI307+AP307</f>
        <v/>
      </c>
      <c r="AZ307" s="34" t="n">
        <v>0</v>
      </c>
      <c r="BA307" s="34">
        <f>AD307+AK307+AR307</f>
        <v/>
      </c>
      <c r="BB307" s="34">
        <f>MAX(F307:G307,750)*0.05*BA307</f>
        <v/>
      </c>
      <c r="BC307" s="34">
        <f>AG307+AN307+AU307</f>
        <v/>
      </c>
      <c r="BD307" s="34">
        <f>MAX(F307:G307,750)*0.05*BC307</f>
        <v/>
      </c>
      <c r="BE307" s="34">
        <f>F307*AY307</f>
        <v/>
      </c>
      <c r="BF307" s="34">
        <f>K307-M307</f>
        <v/>
      </c>
      <c r="BG307" s="34">
        <f>P307-S307</f>
        <v/>
      </c>
      <c r="BH307" s="34">
        <f>W307-AA307</f>
        <v/>
      </c>
      <c r="BI307" s="34">
        <f>BF307+BG307+BL307-BN307</f>
        <v/>
      </c>
      <c r="BJ307" s="34">
        <f>ABS(BK307)</f>
        <v/>
      </c>
      <c r="BK307" s="34">
        <f>AY307-(J307-L307+N307-Q307)</f>
        <v/>
      </c>
      <c r="BL307" s="34">
        <f>IF(AND(BK307&gt;0,MIN($F307:$G307)&lt;150,$E307="Enerji Açığı"),-100*BK307*1.03,IF(AND(BK307&gt;0,MIN($F307:$G307)&lt;150,$E307="Enerji Fazlası"),-100*BK307*1.06,IF(AND(BK307&gt;0,MIN($F307:$G307)&gt;=150,$E307="Enerji Açığı"),BK307*MIN($F307:$G307)*0.97,IF(AND(BK307&gt;0,MIN($F307:$G307)&gt;=150,$E307="Enerji Fazlası"),BK307*MIN($F307:$G307)*0.94,IF(AND(BK307&lt;0,MAX($F307:$G307)=4500,$E307="Enerji Açığı"),4500*1.05*1.06*BK307,IF(AND(BK307&lt;0,MAX($F307:$G307)=4500,$E307="Enerji Fazlası"),4500*1.05*1.03*BK307,IF(AND(BK307&lt;0,$E307="Enerji Açığı"),MAX($F307,$G307,150)*BK307*1.06,IF(AND(BK307&lt;0,$E307="Enerji Fazlası"),MAX($F307,$G307,150)*BK307*1.03,IF(AND(BK307&lt;0,$E307="Dengede"),MAX($F307:$G307,150)*1.03*BK307,MIN($F307:$G307)*0.97*BK307)))))))))</f>
        <v/>
      </c>
      <c r="BM307" s="34">
        <f>BE307-BI307-BN307</f>
        <v/>
      </c>
      <c r="BN307" s="34">
        <f>BB307</f>
        <v/>
      </c>
      <c r="BO307" s="34">
        <f>BE307-BI307</f>
        <v/>
      </c>
      <c r="BP307" s="34">
        <f>IF(AY307=0,0,BO307/AY307)</f>
        <v/>
      </c>
      <c r="BQ307" s="34">
        <f>MAX((AY307+MAX((-J307+L307-N307+Q307),0)),(MAX((J307-L307+N307-Q307),0)))</f>
        <v/>
      </c>
      <c r="BR307" s="82">
        <f>IFERROR(ABS(BK307/BQ307),0)</f>
        <v/>
      </c>
      <c r="BS307" s="34">
        <f>IF(BR307&lt;=0.1,0,BK307/BR307*(BR307-0.1))</f>
        <v/>
      </c>
      <c r="BT307" s="34">
        <f>IF((BS307)&lt;0,MAX(F307:G307)*(BS307)*1.03,MIN(F307:G307)*(BS307)*0.97)</f>
        <v/>
      </c>
      <c r="BU307" s="34">
        <f>IF(BR307&gt;0.1,1,0)</f>
        <v/>
      </c>
      <c r="BV307" s="34">
        <f>BF307+BG307+BH307+BY307-CA307</f>
        <v/>
      </c>
      <c r="BW307" s="34">
        <f>ABS(BX307)</f>
        <v/>
      </c>
      <c r="BX307" s="34">
        <f>AY307-(J307-L307+N307-Q307+T307-X307)</f>
        <v/>
      </c>
      <c r="BY307" s="34">
        <f>IF(AND(BX307&gt;0,MIN($F307:$G307)&lt;150,$E307="Enerji Açığı"),-100*BX307*1.03,IF(AND(BX307&gt;0,MIN($F307:$G307)&lt;150,$E307="Enerji Fazlası"),-100*BX307*1.06,IF(AND(BX307&gt;0,MIN($F307:$G307)&gt;=150,$E307="Enerji Açığı"),BX307*MIN($F307:$G307)*0.97,IF(AND(BX307&gt;0,MIN($F307:$G307)&gt;=150,$E307="Enerji Fazlası"),BX307*MIN($F307:$G307)*0.94,IF(AND(BX307&lt;0,MAX($F307:$G307)=4500,$E307="Enerji Açığı"),4500*1.05*1.06*BX307,IF(AND(BX307&lt;0,MAX($F307:$G307)=4500,$E307="Enerji Fazlası"),4500*1.05*1.03*BX307,IF(AND(BX307&lt;0,$E307="Enerji Açığı"),MAX($F307,$G307,150)*BX307*1.06,IF(AND(BX307&lt;0,$E307="Enerji Fazlası"),MAX($F307,$G307,150)*BX307*1.03,IF(AND(BX307&lt;0,$E307="Dengede"),MAX($F307:$G307,150)*1.03*BX307,MIN($F307:$G307)*0.97*BX307)))))))))</f>
        <v/>
      </c>
      <c r="BZ307" s="34">
        <f>BE307-BV307-CA307</f>
        <v/>
      </c>
      <c r="CA307" s="34">
        <f>BD307</f>
        <v/>
      </c>
      <c r="CB307" s="33">
        <f>BE307-BV307</f>
        <v/>
      </c>
      <c r="CC307" s="34">
        <f>IF(AY307=0,0,CB307/AY307)</f>
        <v/>
      </c>
      <c r="CD307" s="34">
        <f>MAX((AY307+MAX((-J307+L307-N307+Q307-T307+X307),0)),(MAX((J307-L307+N307-Q307+T307-X307),0)))</f>
        <v/>
      </c>
      <c r="CE307" s="82">
        <f>IFERROR(ABS(BX307/CD307),0)</f>
        <v/>
      </c>
      <c r="CF307" s="34">
        <f>IF(CE307&lt;=0.1,0,BX307/CE307*(CE307-0.1))</f>
        <v/>
      </c>
      <c r="CG307" s="34">
        <f>IF((CF307)&lt;0,MAX(F307:G307)*(CF307)*1.03,MIN(F307:G307)*(CF307)*0.97)</f>
        <v/>
      </c>
      <c r="CH307" s="34">
        <f>IF(CE307&gt;0.1,1,0)</f>
        <v/>
      </c>
      <c r="CI307" s="34">
        <f>(F307*BX307)-BY307</f>
        <v/>
      </c>
      <c r="CJ307" s="34">
        <f>IF(AY307=0,0,CI307/AY307)</f>
        <v/>
      </c>
    </row>
    <row r="308">
      <c r="A308" s="29">
        <f>[1]FİYATLAR!A283</f>
        <v/>
      </c>
      <c r="B308" s="29">
        <f>[1]FİYATLAR!B283</f>
        <v/>
      </c>
      <c r="C308" s="35">
        <f>INT(A308)</f>
        <v/>
      </c>
      <c r="D308" s="36">
        <f>MONTH(A308)</f>
        <v/>
      </c>
      <c r="E308" s="147">
        <f>[1]FİYATLAR!G283</f>
        <v/>
      </c>
      <c r="F308" s="30">
        <f>[1]FİYATLAR!C283</f>
        <v/>
      </c>
      <c r="G308" s="30">
        <f>[1]FİYATLAR!E283</f>
        <v/>
      </c>
      <c r="H308" s="30">
        <f>[1]FİYATLAR!D283</f>
        <v/>
      </c>
      <c r="I308" s="30">
        <f>[1]FİYATLAR!F283</f>
        <v/>
      </c>
      <c r="J308" s="119" t="n">
        <v>0</v>
      </c>
      <c r="K308" s="34">
        <f>F308*J308</f>
        <v/>
      </c>
      <c r="L308" s="119" t="n"/>
      <c r="M308" s="34">
        <f>L308*F308</f>
        <v/>
      </c>
      <c r="N308" s="119" t="n"/>
      <c r="O308" s="34">
        <f>F308</f>
        <v/>
      </c>
      <c r="P308" s="34">
        <f>N308*O308</f>
        <v/>
      </c>
      <c r="Q308" s="117" t="n">
        <v>0</v>
      </c>
      <c r="R308" s="34">
        <f>F308</f>
        <v/>
      </c>
      <c r="S308" s="34">
        <f>R308*Q308</f>
        <v/>
      </c>
      <c r="T308" s="34">
        <f>SUMIFS('[1]GİP VERİLERİ'!$C:$C,'[1]GİP VERİLERİ'!$B:$B,A308,'[1]GİP VERİLERİ'!$M:$M,"40X000000104782K",'[1]GİP VERİLERİ'!$G:$G,"SELL")</f>
        <v/>
      </c>
      <c r="U308" s="34">
        <f>IFERROR(W308/T308,0)</f>
        <v/>
      </c>
      <c r="V308" s="34">
        <f>IF(U308=0,0,U308-F308)</f>
        <v/>
      </c>
      <c r="W308" s="34">
        <f>SUMIFS('[1]GİP VERİLERİ'!$O:$O,'[1]GİP VERİLERİ'!$B:$B,A308,'[1]GİP VERİLERİ'!$M:$M,"40X000000104782K",'[1]GİP VERİLERİ'!$G:$G,"SELL")</f>
        <v/>
      </c>
      <c r="X308" s="34">
        <f>SUMIFS('[1]GİP VERİLERİ'!$C:$C,'[1]GİP VERİLERİ'!$B:$B,A308,'[1]GİP VERİLERİ'!$M:$M,"40X000000104782K",'[1]GİP VERİLERİ'!$G:$G,"BUY")</f>
        <v/>
      </c>
      <c r="Y308" s="34">
        <f>IFERROR(AA308/X308,0)</f>
        <v/>
      </c>
      <c r="Z308" s="34">
        <f>IF(Y308=0,0,F308-Y308)</f>
        <v/>
      </c>
      <c r="AA308" s="34">
        <f>SUMIFS('[1]GİP VERİLERİ'!$O:$O,'[1]GİP VERİLERİ'!$B:$B,A308,'[1]GİP VERİLERİ'!$M:$M,"40X000000104782K",'[1]GİP VERİLERİ'!$G:$G,"BUY")</f>
        <v/>
      </c>
      <c r="AB308" s="34">
        <f>'[1]GÖP VERİLERİ'!H309</f>
        <v/>
      </c>
      <c r="AC308" s="34">
        <f>'[1]GÖP VERİLERİ'!I309</f>
        <v/>
      </c>
      <c r="AD308" s="34">
        <f>IF(AB308&gt;AC308*1.05,AB308-AC308*1.05,IF(AB308&lt;AC308*0.95,AC308*0.95-AB308,0))</f>
        <v/>
      </c>
      <c r="AE308" s="34">
        <f>MAX(F308,G308,750)*0.05*AD308</f>
        <v/>
      </c>
      <c r="AF308" s="34">
        <f>'[1]GÖP VERİLERİ'!J309</f>
        <v/>
      </c>
      <c r="AG308" s="34">
        <f>IF(AB308&gt;AF308*1.05,AB308-AF308*1.05,IF(AB308&lt;AF308*0.95,AF308*0.95-AB308,0))</f>
        <v/>
      </c>
      <c r="AH308" s="34">
        <f>MAX(I308,J308,750)*0.05*AG308</f>
        <v/>
      </c>
      <c r="AI308">
        <f>'[1]GÖP VERİLERİ'!E309</f>
        <v/>
      </c>
      <c r="AJ308">
        <f>'[1]GÖP VERİLERİ'!F309</f>
        <v/>
      </c>
      <c r="AK308" s="34">
        <f>IF(AI308&gt;AJ308*1.05,AI308-AJ308*1.05,IF(AI308&lt;AJ308*0.95,AJ308*0.95-AI308,0))</f>
        <v/>
      </c>
      <c r="AL308" s="34">
        <f>MAX(F308,G308,750)*0.05*AK308</f>
        <v/>
      </c>
      <c r="AM308" s="39">
        <f>'[1]GÖP VERİLERİ'!G309</f>
        <v/>
      </c>
      <c r="AN308" s="34">
        <f>IF(AI308&gt;AM308*1.05,AI308-AM308*1.05,IF(AI308&lt;AM308*0.95,AM308*0.95-AI308,0))</f>
        <v/>
      </c>
      <c r="AO308" s="34">
        <f>MAX(F308,G308,750)*0.05*AN308</f>
        <v/>
      </c>
      <c r="AP308" s="34">
        <f>'[1]GÖP VERİLERİ'!B309</f>
        <v/>
      </c>
      <c r="AQ308" s="34">
        <f>'[1]GÖP VERİLERİ'!C309</f>
        <v/>
      </c>
      <c r="AR308" s="34">
        <f>IF(AP308&gt;AQ308*1.05,AP308-AQ308*1.05,IF(AP308&lt;AQ308*0.95,AQ308*0.95-AP308,0))</f>
        <v/>
      </c>
      <c r="AS308" s="34">
        <f>MAX(F308:G308,750)*0.05*AR308</f>
        <v/>
      </c>
      <c r="AT308">
        <f>'[1]GÖP VERİLERİ'!D309</f>
        <v/>
      </c>
      <c r="AU308" s="34">
        <f>IF(AP308&gt;AT308*1.05,AP308-AT308*1.05,IF(AP308&lt;AT308*0.95,AT308*0.95-AP308,0))</f>
        <v/>
      </c>
      <c r="AV308" s="34">
        <f>MAX(F308:G308,750)*0.05*AU308</f>
        <v/>
      </c>
      <c r="AW308" s="34">
        <f>AC308+AJ308+AQ308</f>
        <v/>
      </c>
      <c r="AX308" s="34">
        <f>AF308+AM308+AT308</f>
        <v/>
      </c>
      <c r="AY308" s="34">
        <f>AB308+AI308+AP308</f>
        <v/>
      </c>
      <c r="AZ308" s="34" t="n">
        <v>0</v>
      </c>
      <c r="BA308" s="34">
        <f>AD308+AK308+AR308</f>
        <v/>
      </c>
      <c r="BB308" s="34">
        <f>MAX(F308:G308,750)*0.05*BA308</f>
        <v/>
      </c>
      <c r="BC308" s="34">
        <f>AG308+AN308+AU308</f>
        <v/>
      </c>
      <c r="BD308" s="34">
        <f>MAX(F308:G308,750)*0.05*BC308</f>
        <v/>
      </c>
      <c r="BE308" s="34">
        <f>F308*AY308</f>
        <v/>
      </c>
      <c r="BF308" s="34">
        <f>K308-M308</f>
        <v/>
      </c>
      <c r="BG308" s="34">
        <f>P308-S308</f>
        <v/>
      </c>
      <c r="BH308" s="34">
        <f>W308-AA308</f>
        <v/>
      </c>
      <c r="BI308" s="34">
        <f>BF308+BG308+BL308-BN308</f>
        <v/>
      </c>
      <c r="BJ308" s="34">
        <f>ABS(BK308)</f>
        <v/>
      </c>
      <c r="BK308" s="34">
        <f>AY308-(J308-L308+N308-Q308)</f>
        <v/>
      </c>
      <c r="BL308" s="34">
        <f>IF(AND(BK308&gt;0,MIN($F308:$G308)&lt;150,$E308="Enerji Açığı"),-100*BK308*1.03,IF(AND(BK308&gt;0,MIN($F308:$G308)&lt;150,$E308="Enerji Fazlası"),-100*BK308*1.06,IF(AND(BK308&gt;0,MIN($F308:$G308)&gt;=150,$E308="Enerji Açığı"),BK308*MIN($F308:$G308)*0.97,IF(AND(BK308&gt;0,MIN($F308:$G308)&gt;=150,$E308="Enerji Fazlası"),BK308*MIN($F308:$G308)*0.94,IF(AND(BK308&lt;0,MAX($F308:$G308)=4500,$E308="Enerji Açığı"),4500*1.05*1.06*BK308,IF(AND(BK308&lt;0,MAX($F308:$G308)=4500,$E308="Enerji Fazlası"),4500*1.05*1.03*BK308,IF(AND(BK308&lt;0,$E308="Enerji Açığı"),MAX($F308,$G308,150)*BK308*1.06,IF(AND(BK308&lt;0,$E308="Enerji Fazlası"),MAX($F308,$G308,150)*BK308*1.03,IF(AND(BK308&lt;0,$E308="Dengede"),MAX($F308:$G308,150)*1.03*BK308,MIN($F308:$G308)*0.97*BK308)))))))))</f>
        <v/>
      </c>
      <c r="BM308" s="34">
        <f>BE308-BI308-BN308</f>
        <v/>
      </c>
      <c r="BN308" s="34">
        <f>BB308</f>
        <v/>
      </c>
      <c r="BO308" s="34">
        <f>BE308-BI308</f>
        <v/>
      </c>
      <c r="BP308" s="34">
        <f>IF(AY308=0,0,BO308/AY308)</f>
        <v/>
      </c>
      <c r="BQ308" s="34">
        <f>MAX((AY308+MAX((-J308+L308-N308+Q308),0)),(MAX((J308-L308+N308-Q308),0)))</f>
        <v/>
      </c>
      <c r="BR308" s="82">
        <f>IFERROR(ABS(BK308/BQ308),0)</f>
        <v/>
      </c>
      <c r="BS308" s="34">
        <f>IF(BR308&lt;=0.1,0,BK308/BR308*(BR308-0.1))</f>
        <v/>
      </c>
      <c r="BT308" s="34">
        <f>IF((BS308)&lt;0,MAX(F308:G308)*(BS308)*1.03,MIN(F308:G308)*(BS308)*0.97)</f>
        <v/>
      </c>
      <c r="BU308" s="34">
        <f>IF(BR308&gt;0.1,1,0)</f>
        <v/>
      </c>
      <c r="BV308" s="34">
        <f>BF308+BG308+BH308+BY308-CA308</f>
        <v/>
      </c>
      <c r="BW308" s="34">
        <f>ABS(BX308)</f>
        <v/>
      </c>
      <c r="BX308" s="34">
        <f>AY308-(J308-L308+N308-Q308+T308-X308)</f>
        <v/>
      </c>
      <c r="BY308" s="34">
        <f>IF(AND(BX308&gt;0,MIN($F308:$G308)&lt;150,$E308="Enerji Açığı"),-100*BX308*1.03,IF(AND(BX308&gt;0,MIN($F308:$G308)&lt;150,$E308="Enerji Fazlası"),-100*BX308*1.06,IF(AND(BX308&gt;0,MIN($F308:$G308)&gt;=150,$E308="Enerji Açığı"),BX308*MIN($F308:$G308)*0.97,IF(AND(BX308&gt;0,MIN($F308:$G308)&gt;=150,$E308="Enerji Fazlası"),BX308*MIN($F308:$G308)*0.94,IF(AND(BX308&lt;0,MAX($F308:$G308)=4500,$E308="Enerji Açığı"),4500*1.05*1.06*BX308,IF(AND(BX308&lt;0,MAX($F308:$G308)=4500,$E308="Enerji Fazlası"),4500*1.05*1.03*BX308,IF(AND(BX308&lt;0,$E308="Enerji Açığı"),MAX($F308,$G308,150)*BX308*1.06,IF(AND(BX308&lt;0,$E308="Enerji Fazlası"),MAX($F308,$G308,150)*BX308*1.03,IF(AND(BX308&lt;0,$E308="Dengede"),MAX($F308:$G308,150)*1.03*BX308,MIN($F308:$G308)*0.97*BX308)))))))))</f>
        <v/>
      </c>
      <c r="BZ308" s="34">
        <f>BE308-BV308-CA308</f>
        <v/>
      </c>
      <c r="CA308" s="34">
        <f>BD308</f>
        <v/>
      </c>
      <c r="CB308" s="33">
        <f>BE308-BV308</f>
        <v/>
      </c>
      <c r="CC308" s="34">
        <f>IF(AY308=0,0,CB308/AY308)</f>
        <v/>
      </c>
      <c r="CD308" s="34">
        <f>MAX((AY308+MAX((-J308+L308-N308+Q308-T308+X308),0)),(MAX((J308-L308+N308-Q308+T308-X308),0)))</f>
        <v/>
      </c>
      <c r="CE308" s="82">
        <f>IFERROR(ABS(BX308/CD308),0)</f>
        <v/>
      </c>
      <c r="CF308" s="34">
        <f>IF(CE308&lt;=0.1,0,BX308/CE308*(CE308-0.1))</f>
        <v/>
      </c>
      <c r="CG308" s="34">
        <f>IF((CF308)&lt;0,MAX(F308:G308)*(CF308)*1.03,MIN(F308:G308)*(CF308)*0.97)</f>
        <v/>
      </c>
      <c r="CH308" s="34">
        <f>IF(CE308&gt;0.1,1,0)</f>
        <v/>
      </c>
      <c r="CI308" s="34">
        <f>(F308*BX308)-BY308</f>
        <v/>
      </c>
      <c r="CJ308" s="34">
        <f>IF(AY308=0,0,CI308/AY308)</f>
        <v/>
      </c>
    </row>
    <row r="309">
      <c r="A309" s="29">
        <f>[1]FİYATLAR!A284</f>
        <v/>
      </c>
      <c r="B309" s="29">
        <f>[1]FİYATLAR!B284</f>
        <v/>
      </c>
      <c r="C309" s="35">
        <f>INT(A309)</f>
        <v/>
      </c>
      <c r="D309" s="36">
        <f>MONTH(A309)</f>
        <v/>
      </c>
      <c r="E309" s="147">
        <f>[1]FİYATLAR!G284</f>
        <v/>
      </c>
      <c r="F309" s="30">
        <f>[1]FİYATLAR!C284</f>
        <v/>
      </c>
      <c r="G309" s="30">
        <f>[1]FİYATLAR!E284</f>
        <v/>
      </c>
      <c r="H309" s="30">
        <f>[1]FİYATLAR!D284</f>
        <v/>
      </c>
      <c r="I309" s="30">
        <f>[1]FİYATLAR!F284</f>
        <v/>
      </c>
      <c r="J309" s="119" t="n">
        <v>0</v>
      </c>
      <c r="K309" s="34">
        <f>F309*J309</f>
        <v/>
      </c>
      <c r="L309" s="119" t="n"/>
      <c r="M309" s="34">
        <f>L309*F309</f>
        <v/>
      </c>
      <c r="N309" s="119" t="n"/>
      <c r="O309" s="34">
        <f>F309</f>
        <v/>
      </c>
      <c r="P309" s="34">
        <f>N309*O309</f>
        <v/>
      </c>
      <c r="Q309" s="117" t="n">
        <v>0</v>
      </c>
      <c r="R309" s="34">
        <f>F309</f>
        <v/>
      </c>
      <c r="S309" s="34">
        <f>R309*Q309</f>
        <v/>
      </c>
      <c r="T309" s="34">
        <f>SUMIFS('[1]GİP VERİLERİ'!$C:$C,'[1]GİP VERİLERİ'!$B:$B,A309,'[1]GİP VERİLERİ'!$M:$M,"40X000000104782K",'[1]GİP VERİLERİ'!$G:$G,"SELL")</f>
        <v/>
      </c>
      <c r="U309" s="34">
        <f>IFERROR(W309/T309,0)</f>
        <v/>
      </c>
      <c r="V309" s="34">
        <f>IF(U309=0,0,U309-F309)</f>
        <v/>
      </c>
      <c r="W309" s="34">
        <f>SUMIFS('[1]GİP VERİLERİ'!$O:$O,'[1]GİP VERİLERİ'!$B:$B,A309,'[1]GİP VERİLERİ'!$M:$M,"40X000000104782K",'[1]GİP VERİLERİ'!$G:$G,"SELL")</f>
        <v/>
      </c>
      <c r="X309" s="34">
        <f>SUMIFS('[1]GİP VERİLERİ'!$C:$C,'[1]GİP VERİLERİ'!$B:$B,A309,'[1]GİP VERİLERİ'!$M:$M,"40X000000104782K",'[1]GİP VERİLERİ'!$G:$G,"BUY")</f>
        <v/>
      </c>
      <c r="Y309" s="34">
        <f>IFERROR(AA309/X309,0)</f>
        <v/>
      </c>
      <c r="Z309" s="34">
        <f>IF(Y309=0,0,F309-Y309)</f>
        <v/>
      </c>
      <c r="AA309" s="34">
        <f>SUMIFS('[1]GİP VERİLERİ'!$O:$O,'[1]GİP VERİLERİ'!$B:$B,A309,'[1]GİP VERİLERİ'!$M:$M,"40X000000104782K",'[1]GİP VERİLERİ'!$G:$G,"BUY")</f>
        <v/>
      </c>
      <c r="AB309" s="34">
        <f>'[1]GÖP VERİLERİ'!H310</f>
        <v/>
      </c>
      <c r="AC309" s="34">
        <f>'[1]GÖP VERİLERİ'!I310</f>
        <v/>
      </c>
      <c r="AD309" s="34">
        <f>IF(AB309&gt;AC309*1.05,AB309-AC309*1.05,IF(AB309&lt;AC309*0.95,AC309*0.95-AB309,0))</f>
        <v/>
      </c>
      <c r="AE309" s="34">
        <f>MAX(F309,G309,750)*0.05*AD309</f>
        <v/>
      </c>
      <c r="AF309" s="34">
        <f>'[1]GÖP VERİLERİ'!J310</f>
        <v/>
      </c>
      <c r="AG309" s="34">
        <f>IF(AB309&gt;AF309*1.05,AB309-AF309*1.05,IF(AB309&lt;AF309*0.95,AF309*0.95-AB309,0))</f>
        <v/>
      </c>
      <c r="AH309" s="34">
        <f>MAX(I309,J309,750)*0.05*AG309</f>
        <v/>
      </c>
      <c r="AI309">
        <f>'[1]GÖP VERİLERİ'!E310</f>
        <v/>
      </c>
      <c r="AJ309">
        <f>'[1]GÖP VERİLERİ'!F310</f>
        <v/>
      </c>
      <c r="AK309" s="34">
        <f>IF(AI309&gt;AJ309*1.05,AI309-AJ309*1.05,IF(AI309&lt;AJ309*0.95,AJ309*0.95-AI309,0))</f>
        <v/>
      </c>
      <c r="AL309" s="34">
        <f>MAX(F309,G309,750)*0.05*AK309</f>
        <v/>
      </c>
      <c r="AM309" s="39">
        <f>'[1]GÖP VERİLERİ'!G310</f>
        <v/>
      </c>
      <c r="AN309" s="34">
        <f>IF(AI309&gt;AM309*1.05,AI309-AM309*1.05,IF(AI309&lt;AM309*0.95,AM309*0.95-AI309,0))</f>
        <v/>
      </c>
      <c r="AO309" s="34">
        <f>MAX(F309,G309,750)*0.05*AN309</f>
        <v/>
      </c>
      <c r="AP309" s="34">
        <f>'[1]GÖP VERİLERİ'!B310</f>
        <v/>
      </c>
      <c r="AQ309" s="34">
        <f>'[1]GÖP VERİLERİ'!C310</f>
        <v/>
      </c>
      <c r="AR309" s="34">
        <f>IF(AP309&gt;AQ309*1.05,AP309-AQ309*1.05,IF(AP309&lt;AQ309*0.95,AQ309*0.95-AP309,0))</f>
        <v/>
      </c>
      <c r="AS309" s="34">
        <f>MAX(F309:G309,750)*0.05*AR309</f>
        <v/>
      </c>
      <c r="AT309">
        <f>'[1]GÖP VERİLERİ'!D310</f>
        <v/>
      </c>
      <c r="AU309" s="34">
        <f>IF(AP309&gt;AT309*1.05,AP309-AT309*1.05,IF(AP309&lt;AT309*0.95,AT309*0.95-AP309,0))</f>
        <v/>
      </c>
      <c r="AV309" s="34">
        <f>MAX(F309:G309,750)*0.05*AU309</f>
        <v/>
      </c>
      <c r="AW309" s="34">
        <f>AC309+AJ309+AQ309</f>
        <v/>
      </c>
      <c r="AX309" s="34">
        <f>AF309+AM309+AT309</f>
        <v/>
      </c>
      <c r="AY309" s="34">
        <f>AB309+AI309+AP309</f>
        <v/>
      </c>
      <c r="AZ309" s="34" t="n">
        <v>0</v>
      </c>
      <c r="BA309" s="34">
        <f>AD309+AK309+AR309</f>
        <v/>
      </c>
      <c r="BB309" s="34">
        <f>MAX(F309:G309,750)*0.05*BA309</f>
        <v/>
      </c>
      <c r="BC309" s="34">
        <f>AG309+AN309+AU309</f>
        <v/>
      </c>
      <c r="BD309" s="34">
        <f>MAX(F309:G309,750)*0.05*BC309</f>
        <v/>
      </c>
      <c r="BE309" s="34">
        <f>F309*AY309</f>
        <v/>
      </c>
      <c r="BF309" s="34">
        <f>K309-M309</f>
        <v/>
      </c>
      <c r="BG309" s="34">
        <f>P309-S309</f>
        <v/>
      </c>
      <c r="BH309" s="34">
        <f>W309-AA309</f>
        <v/>
      </c>
      <c r="BI309" s="34">
        <f>BF309+BG309+BL309-BN309</f>
        <v/>
      </c>
      <c r="BJ309" s="34">
        <f>ABS(BK309)</f>
        <v/>
      </c>
      <c r="BK309" s="34">
        <f>AY309-(J309-L309+N309-Q309)</f>
        <v/>
      </c>
      <c r="BL309" s="34">
        <f>IF(AND(BK309&gt;0,MIN($F309:$G309)&lt;150,$E309="Enerji Açığı"),-100*BK309*1.03,IF(AND(BK309&gt;0,MIN($F309:$G309)&lt;150,$E309="Enerji Fazlası"),-100*BK309*1.06,IF(AND(BK309&gt;0,MIN($F309:$G309)&gt;=150,$E309="Enerji Açığı"),BK309*MIN($F309:$G309)*0.97,IF(AND(BK309&gt;0,MIN($F309:$G309)&gt;=150,$E309="Enerji Fazlası"),BK309*MIN($F309:$G309)*0.94,IF(AND(BK309&lt;0,MAX($F309:$G309)=4500,$E309="Enerji Açığı"),4500*1.05*1.06*BK309,IF(AND(BK309&lt;0,MAX($F309:$G309)=4500,$E309="Enerji Fazlası"),4500*1.05*1.03*BK309,IF(AND(BK309&lt;0,$E309="Enerji Açığı"),MAX($F309,$G309,150)*BK309*1.06,IF(AND(BK309&lt;0,$E309="Enerji Fazlası"),MAX($F309,$G309,150)*BK309*1.03,IF(AND(BK309&lt;0,$E309="Dengede"),MAX($F309:$G309,150)*1.03*BK309,MIN($F309:$G309)*0.97*BK309)))))))))</f>
        <v/>
      </c>
      <c r="BM309" s="34">
        <f>BE309-BI309-BN309</f>
        <v/>
      </c>
      <c r="BN309" s="34">
        <f>BB309</f>
        <v/>
      </c>
      <c r="BO309" s="34">
        <f>BE309-BI309</f>
        <v/>
      </c>
      <c r="BP309" s="34">
        <f>IF(AY309=0,0,BO309/AY309)</f>
        <v/>
      </c>
      <c r="BQ309" s="34">
        <f>MAX((AY309+MAX((-J309+L309-N309+Q309),0)),(MAX((J309-L309+N309-Q309),0)))</f>
        <v/>
      </c>
      <c r="BR309" s="82">
        <f>IFERROR(ABS(BK309/BQ309),0)</f>
        <v/>
      </c>
      <c r="BS309" s="34">
        <f>IF(BR309&lt;=0.1,0,BK309/BR309*(BR309-0.1))</f>
        <v/>
      </c>
      <c r="BT309" s="34">
        <f>IF((BS309)&lt;0,MAX(F309:G309)*(BS309)*1.03,MIN(F309:G309)*(BS309)*0.97)</f>
        <v/>
      </c>
      <c r="BU309" s="34">
        <f>IF(BR309&gt;0.1,1,0)</f>
        <v/>
      </c>
      <c r="BV309" s="34">
        <f>BF309+BG309+BH309+BY309-CA309</f>
        <v/>
      </c>
      <c r="BW309" s="34">
        <f>ABS(BX309)</f>
        <v/>
      </c>
      <c r="BX309" s="34">
        <f>AY309-(J309-L309+N309-Q309+T309-X309)</f>
        <v/>
      </c>
      <c r="BY309" s="34">
        <f>IF(AND(BX309&gt;0,MIN($F309:$G309)&lt;150,$E309="Enerji Açığı"),-100*BX309*1.03,IF(AND(BX309&gt;0,MIN($F309:$G309)&lt;150,$E309="Enerji Fazlası"),-100*BX309*1.06,IF(AND(BX309&gt;0,MIN($F309:$G309)&gt;=150,$E309="Enerji Açığı"),BX309*MIN($F309:$G309)*0.97,IF(AND(BX309&gt;0,MIN($F309:$G309)&gt;=150,$E309="Enerji Fazlası"),BX309*MIN($F309:$G309)*0.94,IF(AND(BX309&lt;0,MAX($F309:$G309)=4500,$E309="Enerji Açığı"),4500*1.05*1.06*BX309,IF(AND(BX309&lt;0,MAX($F309:$G309)=4500,$E309="Enerji Fazlası"),4500*1.05*1.03*BX309,IF(AND(BX309&lt;0,$E309="Enerji Açığı"),MAX($F309,$G309,150)*BX309*1.06,IF(AND(BX309&lt;0,$E309="Enerji Fazlası"),MAX($F309,$G309,150)*BX309*1.03,IF(AND(BX309&lt;0,$E309="Dengede"),MAX($F309:$G309,150)*1.03*BX309,MIN($F309:$G309)*0.97*BX309)))))))))</f>
        <v/>
      </c>
      <c r="BZ309" s="34">
        <f>BE309-BV309-CA309</f>
        <v/>
      </c>
      <c r="CA309" s="34">
        <f>BD309</f>
        <v/>
      </c>
      <c r="CB309" s="33">
        <f>BE309-BV309</f>
        <v/>
      </c>
      <c r="CC309" s="34">
        <f>IF(AY309=0,0,CB309/AY309)</f>
        <v/>
      </c>
      <c r="CD309" s="34">
        <f>MAX((AY309+MAX((-J309+L309-N309+Q309-T309+X309),0)),(MAX((J309-L309+N309-Q309+T309-X309),0)))</f>
        <v/>
      </c>
      <c r="CE309" s="82">
        <f>IFERROR(ABS(BX309/CD309),0)</f>
        <v/>
      </c>
      <c r="CF309" s="34">
        <f>IF(CE309&lt;=0.1,0,BX309/CE309*(CE309-0.1))</f>
        <v/>
      </c>
      <c r="CG309" s="34">
        <f>IF((CF309)&lt;0,MAX(F309:G309)*(CF309)*1.03,MIN(F309:G309)*(CF309)*0.97)</f>
        <v/>
      </c>
      <c r="CH309" s="34">
        <f>IF(CE309&gt;0.1,1,0)</f>
        <v/>
      </c>
      <c r="CI309" s="34">
        <f>(F309*BX309)-BY309</f>
        <v/>
      </c>
      <c r="CJ309" s="34">
        <f>IF(AY309=0,0,CI309/AY309)</f>
        <v/>
      </c>
    </row>
    <row r="310">
      <c r="A310" s="29">
        <f>[1]FİYATLAR!A285</f>
        <v/>
      </c>
      <c r="B310" s="29">
        <f>[1]FİYATLAR!B285</f>
        <v/>
      </c>
      <c r="C310" s="35">
        <f>INT(A310)</f>
        <v/>
      </c>
      <c r="D310" s="36">
        <f>MONTH(A310)</f>
        <v/>
      </c>
      <c r="E310" s="147">
        <f>[1]FİYATLAR!G285</f>
        <v/>
      </c>
      <c r="F310" s="30">
        <f>[1]FİYATLAR!C285</f>
        <v/>
      </c>
      <c r="G310" s="30">
        <f>[1]FİYATLAR!E285</f>
        <v/>
      </c>
      <c r="H310" s="30">
        <f>[1]FİYATLAR!D285</f>
        <v/>
      </c>
      <c r="I310" s="30">
        <f>[1]FİYATLAR!F285</f>
        <v/>
      </c>
      <c r="J310" s="119" t="n">
        <v>0</v>
      </c>
      <c r="K310" s="34">
        <f>F310*J310</f>
        <v/>
      </c>
      <c r="L310" s="119" t="n"/>
      <c r="M310" s="34">
        <f>L310*F310</f>
        <v/>
      </c>
      <c r="N310" s="119" t="n"/>
      <c r="O310" s="34">
        <f>F310</f>
        <v/>
      </c>
      <c r="P310" s="34">
        <f>N310*O310</f>
        <v/>
      </c>
      <c r="Q310" s="117" t="n">
        <v>0</v>
      </c>
      <c r="R310" s="34">
        <f>F310</f>
        <v/>
      </c>
      <c r="S310" s="34">
        <f>R310*Q310</f>
        <v/>
      </c>
      <c r="T310" s="34">
        <f>SUMIFS('[1]GİP VERİLERİ'!$C:$C,'[1]GİP VERİLERİ'!$B:$B,A310,'[1]GİP VERİLERİ'!$M:$M,"40X000000104782K",'[1]GİP VERİLERİ'!$G:$G,"SELL")</f>
        <v/>
      </c>
      <c r="U310" s="34">
        <f>IFERROR(W310/T310,0)</f>
        <v/>
      </c>
      <c r="V310" s="34">
        <f>IF(U310=0,0,U310-F310)</f>
        <v/>
      </c>
      <c r="W310" s="34">
        <f>SUMIFS('[1]GİP VERİLERİ'!$O:$O,'[1]GİP VERİLERİ'!$B:$B,A310,'[1]GİP VERİLERİ'!$M:$M,"40X000000104782K",'[1]GİP VERİLERİ'!$G:$G,"SELL")</f>
        <v/>
      </c>
      <c r="X310" s="34">
        <f>SUMIFS('[1]GİP VERİLERİ'!$C:$C,'[1]GİP VERİLERİ'!$B:$B,A310,'[1]GİP VERİLERİ'!$M:$M,"40X000000104782K",'[1]GİP VERİLERİ'!$G:$G,"BUY")</f>
        <v/>
      </c>
      <c r="Y310" s="34">
        <f>IFERROR(AA310/X310,0)</f>
        <v/>
      </c>
      <c r="Z310" s="34">
        <f>IF(Y310=0,0,F310-Y310)</f>
        <v/>
      </c>
      <c r="AA310" s="34">
        <f>SUMIFS('[1]GİP VERİLERİ'!$O:$O,'[1]GİP VERİLERİ'!$B:$B,A310,'[1]GİP VERİLERİ'!$M:$M,"40X000000104782K",'[1]GİP VERİLERİ'!$G:$G,"BUY")</f>
        <v/>
      </c>
      <c r="AB310" s="34">
        <f>'[1]GÖP VERİLERİ'!H311</f>
        <v/>
      </c>
      <c r="AC310" s="34">
        <f>'[1]GÖP VERİLERİ'!I311</f>
        <v/>
      </c>
      <c r="AD310" s="34">
        <f>IF(AB310&gt;AC310*1.05,AB310-AC310*1.05,IF(AB310&lt;AC310*0.95,AC310*0.95-AB310,0))</f>
        <v/>
      </c>
      <c r="AE310" s="34">
        <f>MAX(F310,G310,750)*0.05*AD310</f>
        <v/>
      </c>
      <c r="AF310" s="34">
        <f>'[1]GÖP VERİLERİ'!J311</f>
        <v/>
      </c>
      <c r="AG310" s="34">
        <f>IF(AB310&gt;AF310*1.05,AB310-AF310*1.05,IF(AB310&lt;AF310*0.95,AF310*0.95-AB310,0))</f>
        <v/>
      </c>
      <c r="AH310" s="34">
        <f>MAX(I310,J310,750)*0.05*AG310</f>
        <v/>
      </c>
      <c r="AI310">
        <f>'[1]GÖP VERİLERİ'!E311</f>
        <v/>
      </c>
      <c r="AJ310">
        <f>'[1]GÖP VERİLERİ'!F311</f>
        <v/>
      </c>
      <c r="AK310" s="34">
        <f>IF(AI310&gt;AJ310*1.05,AI310-AJ310*1.05,IF(AI310&lt;AJ310*0.95,AJ310*0.95-AI310,0))</f>
        <v/>
      </c>
      <c r="AL310" s="34">
        <f>MAX(F310,G310,750)*0.05*AK310</f>
        <v/>
      </c>
      <c r="AM310" s="39">
        <f>'[1]GÖP VERİLERİ'!G311</f>
        <v/>
      </c>
      <c r="AN310" s="34">
        <f>IF(AI310&gt;AM310*1.05,AI310-AM310*1.05,IF(AI310&lt;AM310*0.95,AM310*0.95-AI310,0))</f>
        <v/>
      </c>
      <c r="AO310" s="34">
        <f>MAX(F310,G310,750)*0.05*AN310</f>
        <v/>
      </c>
      <c r="AP310" s="34">
        <f>'[1]GÖP VERİLERİ'!B311</f>
        <v/>
      </c>
      <c r="AQ310" s="34">
        <f>'[1]GÖP VERİLERİ'!C311</f>
        <v/>
      </c>
      <c r="AR310" s="34">
        <f>IF(AP310&gt;AQ310*1.05,AP310-AQ310*1.05,IF(AP310&lt;AQ310*0.95,AQ310*0.95-AP310,0))</f>
        <v/>
      </c>
      <c r="AS310" s="34">
        <f>MAX(F310:G310,750)*0.05*AR310</f>
        <v/>
      </c>
      <c r="AT310">
        <f>'[1]GÖP VERİLERİ'!D311</f>
        <v/>
      </c>
      <c r="AU310" s="34">
        <f>IF(AP310&gt;AT310*1.05,AP310-AT310*1.05,IF(AP310&lt;AT310*0.95,AT310*0.95-AP310,0))</f>
        <v/>
      </c>
      <c r="AV310" s="34">
        <f>MAX(F310:G310,750)*0.05*AU310</f>
        <v/>
      </c>
      <c r="AW310" s="34">
        <f>AC310+AJ310+AQ310</f>
        <v/>
      </c>
      <c r="AX310" s="34">
        <f>AF310+AM310+AT310</f>
        <v/>
      </c>
      <c r="AY310" s="34">
        <f>AB310+AI310+AP310</f>
        <v/>
      </c>
      <c r="AZ310" s="34" t="n">
        <v>0</v>
      </c>
      <c r="BA310" s="34">
        <f>AD310+AK310+AR310</f>
        <v/>
      </c>
      <c r="BB310" s="34">
        <f>MAX(F310:G310,750)*0.05*BA310</f>
        <v/>
      </c>
      <c r="BC310" s="34">
        <f>AG310+AN310+AU310</f>
        <v/>
      </c>
      <c r="BD310" s="34">
        <f>MAX(F310:G310,750)*0.05*BC310</f>
        <v/>
      </c>
      <c r="BE310" s="34">
        <f>F310*AY310</f>
        <v/>
      </c>
      <c r="BF310" s="34">
        <f>K310-M310</f>
        <v/>
      </c>
      <c r="BG310" s="34">
        <f>P310-S310</f>
        <v/>
      </c>
      <c r="BH310" s="34">
        <f>W310-AA310</f>
        <v/>
      </c>
      <c r="BI310" s="34">
        <f>BF310+BG310+BL310-BN310</f>
        <v/>
      </c>
      <c r="BJ310" s="34">
        <f>ABS(BK310)</f>
        <v/>
      </c>
      <c r="BK310" s="34">
        <f>AY310-(J310-L310+N310-Q310)</f>
        <v/>
      </c>
      <c r="BL310" s="34">
        <f>IF(AND(BK310&gt;0,MIN($F310:$G310)&lt;150,$E310="Enerji Açığı"),-100*BK310*1.03,IF(AND(BK310&gt;0,MIN($F310:$G310)&lt;150,$E310="Enerji Fazlası"),-100*BK310*1.06,IF(AND(BK310&gt;0,MIN($F310:$G310)&gt;=150,$E310="Enerji Açığı"),BK310*MIN($F310:$G310)*0.97,IF(AND(BK310&gt;0,MIN($F310:$G310)&gt;=150,$E310="Enerji Fazlası"),BK310*MIN($F310:$G310)*0.94,IF(AND(BK310&lt;0,MAX($F310:$G310)=4500,$E310="Enerji Açığı"),4500*1.05*1.06*BK310,IF(AND(BK310&lt;0,MAX($F310:$G310)=4500,$E310="Enerji Fazlası"),4500*1.05*1.03*BK310,IF(AND(BK310&lt;0,$E310="Enerji Açığı"),MAX($F310,$G310,150)*BK310*1.06,IF(AND(BK310&lt;0,$E310="Enerji Fazlası"),MAX($F310,$G310,150)*BK310*1.03,IF(AND(BK310&lt;0,$E310="Dengede"),MAX($F310:$G310,150)*1.03*BK310,MIN($F310:$G310)*0.97*BK310)))))))))</f>
        <v/>
      </c>
      <c r="BM310" s="34">
        <f>BE310-BI310-BN310</f>
        <v/>
      </c>
      <c r="BN310" s="34">
        <f>BB310</f>
        <v/>
      </c>
      <c r="BO310" s="34">
        <f>BE310-BI310</f>
        <v/>
      </c>
      <c r="BP310" s="34">
        <f>IF(AY310=0,0,BO310/AY310)</f>
        <v/>
      </c>
      <c r="BQ310" s="34">
        <f>MAX((AY310+MAX((-J310+L310-N310+Q310),0)),(MAX((J310-L310+N310-Q310),0)))</f>
        <v/>
      </c>
      <c r="BR310" s="82">
        <f>IFERROR(ABS(BK310/BQ310),0)</f>
        <v/>
      </c>
      <c r="BS310" s="34">
        <f>IF(BR310&lt;=0.1,0,BK310/BR310*(BR310-0.1))</f>
        <v/>
      </c>
      <c r="BT310" s="34">
        <f>IF((BS310)&lt;0,MAX(F310:G310)*(BS310)*1.03,MIN(F310:G310)*(BS310)*0.97)</f>
        <v/>
      </c>
      <c r="BU310" s="34">
        <f>IF(BR310&gt;0.1,1,0)</f>
        <v/>
      </c>
      <c r="BV310" s="34">
        <f>BF310+BG310+BH310+BY310-CA310</f>
        <v/>
      </c>
      <c r="BW310" s="34">
        <f>ABS(BX310)</f>
        <v/>
      </c>
      <c r="BX310" s="34">
        <f>AY310-(J310-L310+N310-Q310+T310-X310)</f>
        <v/>
      </c>
      <c r="BY310" s="34">
        <f>IF(AND(BX310&gt;0,MIN($F310:$G310)&lt;150,$E310="Enerji Açığı"),-100*BX310*1.03,IF(AND(BX310&gt;0,MIN($F310:$G310)&lt;150,$E310="Enerji Fazlası"),-100*BX310*1.06,IF(AND(BX310&gt;0,MIN($F310:$G310)&gt;=150,$E310="Enerji Açığı"),BX310*MIN($F310:$G310)*0.97,IF(AND(BX310&gt;0,MIN($F310:$G310)&gt;=150,$E310="Enerji Fazlası"),BX310*MIN($F310:$G310)*0.94,IF(AND(BX310&lt;0,MAX($F310:$G310)=4500,$E310="Enerji Açığı"),4500*1.05*1.06*BX310,IF(AND(BX310&lt;0,MAX($F310:$G310)=4500,$E310="Enerji Fazlası"),4500*1.05*1.03*BX310,IF(AND(BX310&lt;0,$E310="Enerji Açığı"),MAX($F310,$G310,150)*BX310*1.06,IF(AND(BX310&lt;0,$E310="Enerji Fazlası"),MAX($F310,$G310,150)*BX310*1.03,IF(AND(BX310&lt;0,$E310="Dengede"),MAX($F310:$G310,150)*1.03*BX310,MIN($F310:$G310)*0.97*BX310)))))))))</f>
        <v/>
      </c>
      <c r="BZ310" s="34">
        <f>BE310-BV310-CA310</f>
        <v/>
      </c>
      <c r="CA310" s="34">
        <f>BD310</f>
        <v/>
      </c>
      <c r="CB310" s="33">
        <f>BE310-BV310</f>
        <v/>
      </c>
      <c r="CC310" s="34">
        <f>IF(AY310=0,0,CB310/AY310)</f>
        <v/>
      </c>
      <c r="CD310" s="34">
        <f>MAX((AY310+MAX((-J310+L310-N310+Q310-T310+X310),0)),(MAX((J310-L310+N310-Q310+T310-X310),0)))</f>
        <v/>
      </c>
      <c r="CE310" s="82">
        <f>IFERROR(ABS(BX310/CD310),0)</f>
        <v/>
      </c>
      <c r="CF310" s="34">
        <f>IF(CE310&lt;=0.1,0,BX310/CE310*(CE310-0.1))</f>
        <v/>
      </c>
      <c r="CG310" s="34">
        <f>IF((CF310)&lt;0,MAX(F310:G310)*(CF310)*1.03,MIN(F310:G310)*(CF310)*0.97)</f>
        <v/>
      </c>
      <c r="CH310" s="34">
        <f>IF(CE310&gt;0.1,1,0)</f>
        <v/>
      </c>
      <c r="CI310" s="34">
        <f>(F310*BX310)-BY310</f>
        <v/>
      </c>
      <c r="CJ310" s="34">
        <f>IF(AY310=0,0,CI310/AY310)</f>
        <v/>
      </c>
    </row>
    <row r="311">
      <c r="A311" s="29">
        <f>[1]FİYATLAR!A286</f>
        <v/>
      </c>
      <c r="B311" s="29">
        <f>[1]FİYATLAR!B286</f>
        <v/>
      </c>
      <c r="C311" s="35">
        <f>INT(A311)</f>
        <v/>
      </c>
      <c r="D311" s="36">
        <f>MONTH(A311)</f>
        <v/>
      </c>
      <c r="E311" s="147">
        <f>[1]FİYATLAR!G286</f>
        <v/>
      </c>
      <c r="F311" s="30">
        <f>[1]FİYATLAR!C286</f>
        <v/>
      </c>
      <c r="G311" s="30">
        <f>[1]FİYATLAR!E286</f>
        <v/>
      </c>
      <c r="H311" s="30">
        <f>[1]FİYATLAR!D286</f>
        <v/>
      </c>
      <c r="I311" s="30">
        <f>[1]FİYATLAR!F286</f>
        <v/>
      </c>
      <c r="J311" s="119" t="n">
        <v>0</v>
      </c>
      <c r="K311" s="34">
        <f>F311*J311</f>
        <v/>
      </c>
      <c r="L311" s="119" t="n"/>
      <c r="M311" s="34">
        <f>L311*F311</f>
        <v/>
      </c>
      <c r="N311" s="119" t="n"/>
      <c r="O311" s="34">
        <f>F311</f>
        <v/>
      </c>
      <c r="P311" s="34">
        <f>N311*O311</f>
        <v/>
      </c>
      <c r="Q311" s="117" t="n">
        <v>0</v>
      </c>
      <c r="R311" s="34">
        <f>F311</f>
        <v/>
      </c>
      <c r="S311" s="34">
        <f>R311*Q311</f>
        <v/>
      </c>
      <c r="T311" s="34">
        <f>SUMIFS('[1]GİP VERİLERİ'!$C:$C,'[1]GİP VERİLERİ'!$B:$B,A311,'[1]GİP VERİLERİ'!$M:$M,"40X000000104782K",'[1]GİP VERİLERİ'!$G:$G,"SELL")</f>
        <v/>
      </c>
      <c r="U311" s="34">
        <f>IFERROR(W311/T311,0)</f>
        <v/>
      </c>
      <c r="V311" s="34">
        <f>IF(U311=0,0,U311-F311)</f>
        <v/>
      </c>
      <c r="W311" s="34">
        <f>SUMIFS('[1]GİP VERİLERİ'!$O:$O,'[1]GİP VERİLERİ'!$B:$B,A311,'[1]GİP VERİLERİ'!$M:$M,"40X000000104782K",'[1]GİP VERİLERİ'!$G:$G,"SELL")</f>
        <v/>
      </c>
      <c r="X311" s="34">
        <f>SUMIFS('[1]GİP VERİLERİ'!$C:$C,'[1]GİP VERİLERİ'!$B:$B,A311,'[1]GİP VERİLERİ'!$M:$M,"40X000000104782K",'[1]GİP VERİLERİ'!$G:$G,"BUY")</f>
        <v/>
      </c>
      <c r="Y311" s="34">
        <f>IFERROR(AA311/X311,0)</f>
        <v/>
      </c>
      <c r="Z311" s="34">
        <f>IF(Y311=0,0,F311-Y311)</f>
        <v/>
      </c>
      <c r="AA311" s="34">
        <f>SUMIFS('[1]GİP VERİLERİ'!$O:$O,'[1]GİP VERİLERİ'!$B:$B,A311,'[1]GİP VERİLERİ'!$M:$M,"40X000000104782K",'[1]GİP VERİLERİ'!$G:$G,"BUY")</f>
        <v/>
      </c>
      <c r="AB311" s="34">
        <f>'[1]GÖP VERİLERİ'!H312</f>
        <v/>
      </c>
      <c r="AC311" s="34">
        <f>'[1]GÖP VERİLERİ'!I312</f>
        <v/>
      </c>
      <c r="AD311" s="34">
        <f>IF(AB311&gt;AC311*1.05,AB311-AC311*1.05,IF(AB311&lt;AC311*0.95,AC311*0.95-AB311,0))</f>
        <v/>
      </c>
      <c r="AE311" s="34">
        <f>MAX(F311,G311,750)*0.05*AD311</f>
        <v/>
      </c>
      <c r="AF311" s="34">
        <f>'[1]GÖP VERİLERİ'!J312</f>
        <v/>
      </c>
      <c r="AG311" s="34">
        <f>IF(AB311&gt;AF311*1.05,AB311-AF311*1.05,IF(AB311&lt;AF311*0.95,AF311*0.95-AB311,0))</f>
        <v/>
      </c>
      <c r="AH311" s="34">
        <f>MAX(I311,J311,750)*0.05*AG311</f>
        <v/>
      </c>
      <c r="AI311">
        <f>'[1]GÖP VERİLERİ'!E312</f>
        <v/>
      </c>
      <c r="AJ311">
        <f>'[1]GÖP VERİLERİ'!F312</f>
        <v/>
      </c>
      <c r="AK311" s="34">
        <f>IF(AI311&gt;AJ311*1.05,AI311-AJ311*1.05,IF(AI311&lt;AJ311*0.95,AJ311*0.95-AI311,0))</f>
        <v/>
      </c>
      <c r="AL311" s="34">
        <f>MAX(F311,G311,750)*0.05*AK311</f>
        <v/>
      </c>
      <c r="AM311" s="39">
        <f>'[1]GÖP VERİLERİ'!G312</f>
        <v/>
      </c>
      <c r="AN311" s="34">
        <f>IF(AI311&gt;AM311*1.05,AI311-AM311*1.05,IF(AI311&lt;AM311*0.95,AM311*0.95-AI311,0))</f>
        <v/>
      </c>
      <c r="AO311" s="34">
        <f>MAX(F311,G311,750)*0.05*AN311</f>
        <v/>
      </c>
      <c r="AP311" s="34">
        <f>'[1]GÖP VERİLERİ'!B312</f>
        <v/>
      </c>
      <c r="AQ311" s="34">
        <f>'[1]GÖP VERİLERİ'!C312</f>
        <v/>
      </c>
      <c r="AR311" s="34">
        <f>IF(AP311&gt;AQ311*1.05,AP311-AQ311*1.05,IF(AP311&lt;AQ311*0.95,AQ311*0.95-AP311,0))</f>
        <v/>
      </c>
      <c r="AS311" s="34">
        <f>MAX(F311:G311,750)*0.05*AR311</f>
        <v/>
      </c>
      <c r="AT311">
        <f>'[1]GÖP VERİLERİ'!D312</f>
        <v/>
      </c>
      <c r="AU311" s="34">
        <f>IF(AP311&gt;AT311*1.05,AP311-AT311*1.05,IF(AP311&lt;AT311*0.95,AT311*0.95-AP311,0))</f>
        <v/>
      </c>
      <c r="AV311" s="34">
        <f>MAX(F311:G311,750)*0.05*AU311</f>
        <v/>
      </c>
      <c r="AW311" s="34">
        <f>AC311+AJ311+AQ311</f>
        <v/>
      </c>
      <c r="AX311" s="34">
        <f>AF311+AM311+AT311</f>
        <v/>
      </c>
      <c r="AY311" s="34">
        <f>AB311+AI311+AP311</f>
        <v/>
      </c>
      <c r="AZ311" s="34" t="n">
        <v>0</v>
      </c>
      <c r="BA311" s="34">
        <f>AD311+AK311+AR311</f>
        <v/>
      </c>
      <c r="BB311" s="34">
        <f>MAX(F311:G311,750)*0.05*BA311</f>
        <v/>
      </c>
      <c r="BC311" s="34">
        <f>AG311+AN311+AU311</f>
        <v/>
      </c>
      <c r="BD311" s="34">
        <f>MAX(F311:G311,750)*0.05*BC311</f>
        <v/>
      </c>
      <c r="BE311" s="34">
        <f>F311*AY311</f>
        <v/>
      </c>
      <c r="BF311" s="34">
        <f>K311-M311</f>
        <v/>
      </c>
      <c r="BG311" s="34">
        <f>P311-S311</f>
        <v/>
      </c>
      <c r="BH311" s="34">
        <f>W311-AA311</f>
        <v/>
      </c>
      <c r="BI311" s="34">
        <f>BF311+BG311+BL311-BN311</f>
        <v/>
      </c>
      <c r="BJ311" s="34">
        <f>ABS(BK311)</f>
        <v/>
      </c>
      <c r="BK311" s="34">
        <f>AY311-(J311-L311+N311-Q311)</f>
        <v/>
      </c>
      <c r="BL311" s="34">
        <f>IF(AND(BK311&gt;0,MIN($F311:$G311)&lt;150,$E311="Enerji Açığı"),-100*BK311*1.03,IF(AND(BK311&gt;0,MIN($F311:$G311)&lt;150,$E311="Enerji Fazlası"),-100*BK311*1.06,IF(AND(BK311&gt;0,MIN($F311:$G311)&gt;=150,$E311="Enerji Açığı"),BK311*MIN($F311:$G311)*0.97,IF(AND(BK311&gt;0,MIN($F311:$G311)&gt;=150,$E311="Enerji Fazlası"),BK311*MIN($F311:$G311)*0.94,IF(AND(BK311&lt;0,MAX($F311:$G311)=4500,$E311="Enerji Açığı"),4500*1.05*1.06*BK311,IF(AND(BK311&lt;0,MAX($F311:$G311)=4500,$E311="Enerji Fazlası"),4500*1.05*1.03*BK311,IF(AND(BK311&lt;0,$E311="Enerji Açığı"),MAX($F311,$G311,150)*BK311*1.06,IF(AND(BK311&lt;0,$E311="Enerji Fazlası"),MAX($F311,$G311,150)*BK311*1.03,IF(AND(BK311&lt;0,$E311="Dengede"),MAX($F311:$G311,150)*1.03*BK311,MIN($F311:$G311)*0.97*BK311)))))))))</f>
        <v/>
      </c>
      <c r="BM311" s="34">
        <f>BE311-BI311-BN311</f>
        <v/>
      </c>
      <c r="BN311" s="34">
        <f>BB311</f>
        <v/>
      </c>
      <c r="BO311" s="34">
        <f>BE311-BI311</f>
        <v/>
      </c>
      <c r="BP311" s="34">
        <f>IF(AY311=0,0,BO311/AY311)</f>
        <v/>
      </c>
      <c r="BQ311" s="34">
        <f>MAX((AY311+MAX((-J311+L311-N311+Q311),0)),(MAX((J311-L311+N311-Q311),0)))</f>
        <v/>
      </c>
      <c r="BR311" s="82">
        <f>IFERROR(ABS(BK311/BQ311),0)</f>
        <v/>
      </c>
      <c r="BS311" s="34">
        <f>IF(BR311&lt;=0.1,0,BK311/BR311*(BR311-0.1))</f>
        <v/>
      </c>
      <c r="BT311" s="34">
        <f>IF((BS311)&lt;0,MAX(F311:G311)*(BS311)*1.03,MIN(F311:G311)*(BS311)*0.97)</f>
        <v/>
      </c>
      <c r="BU311" s="34">
        <f>IF(BR311&gt;0.1,1,0)</f>
        <v/>
      </c>
      <c r="BV311" s="34">
        <f>BF311+BG311+BH311+BY311-CA311</f>
        <v/>
      </c>
      <c r="BW311" s="34">
        <f>ABS(BX311)</f>
        <v/>
      </c>
      <c r="BX311" s="34">
        <f>AY311-(J311-L311+N311-Q311+T311-X311)</f>
        <v/>
      </c>
      <c r="BY311" s="34">
        <f>IF(AND(BX311&gt;0,MIN($F311:$G311)&lt;150,$E311="Enerji Açığı"),-100*BX311*1.03,IF(AND(BX311&gt;0,MIN($F311:$G311)&lt;150,$E311="Enerji Fazlası"),-100*BX311*1.06,IF(AND(BX311&gt;0,MIN($F311:$G311)&gt;=150,$E311="Enerji Açığı"),BX311*MIN($F311:$G311)*0.97,IF(AND(BX311&gt;0,MIN($F311:$G311)&gt;=150,$E311="Enerji Fazlası"),BX311*MIN($F311:$G311)*0.94,IF(AND(BX311&lt;0,MAX($F311:$G311)=4500,$E311="Enerji Açığı"),4500*1.05*1.06*BX311,IF(AND(BX311&lt;0,MAX($F311:$G311)=4500,$E311="Enerji Fazlası"),4500*1.05*1.03*BX311,IF(AND(BX311&lt;0,$E311="Enerji Açığı"),MAX($F311,$G311,150)*BX311*1.06,IF(AND(BX311&lt;0,$E311="Enerji Fazlası"),MAX($F311,$G311,150)*BX311*1.03,IF(AND(BX311&lt;0,$E311="Dengede"),MAX($F311:$G311,150)*1.03*BX311,MIN($F311:$G311)*0.97*BX311)))))))))</f>
        <v/>
      </c>
      <c r="BZ311" s="34">
        <f>BE311-BV311-CA311</f>
        <v/>
      </c>
      <c r="CA311" s="34">
        <f>BD311</f>
        <v/>
      </c>
      <c r="CB311" s="33">
        <f>BE311-BV311</f>
        <v/>
      </c>
      <c r="CC311" s="34">
        <f>IF(AY311=0,0,CB311/AY311)</f>
        <v/>
      </c>
      <c r="CD311" s="34">
        <f>MAX((AY311+MAX((-J311+L311-N311+Q311-T311+X311),0)),(MAX((J311-L311+N311-Q311+T311-X311),0)))</f>
        <v/>
      </c>
      <c r="CE311" s="82">
        <f>IFERROR(ABS(BX311/CD311),0)</f>
        <v/>
      </c>
      <c r="CF311" s="34">
        <f>IF(CE311&lt;=0.1,0,BX311/CE311*(CE311-0.1))</f>
        <v/>
      </c>
      <c r="CG311" s="34">
        <f>IF((CF311)&lt;0,MAX(F311:G311)*(CF311)*1.03,MIN(F311:G311)*(CF311)*0.97)</f>
        <v/>
      </c>
      <c r="CH311" s="34">
        <f>IF(CE311&gt;0.1,1,0)</f>
        <v/>
      </c>
      <c r="CI311" s="34">
        <f>(F311*BX311)-BY311</f>
        <v/>
      </c>
      <c r="CJ311" s="34">
        <f>IF(AY311=0,0,CI311/AY311)</f>
        <v/>
      </c>
    </row>
    <row r="312">
      <c r="A312" s="29">
        <f>[1]FİYATLAR!A287</f>
        <v/>
      </c>
      <c r="B312" s="29">
        <f>[1]FİYATLAR!B287</f>
        <v/>
      </c>
      <c r="C312" s="35">
        <f>INT(A312)</f>
        <v/>
      </c>
      <c r="D312" s="36">
        <f>MONTH(A312)</f>
        <v/>
      </c>
      <c r="E312" s="147">
        <f>[1]FİYATLAR!G287</f>
        <v/>
      </c>
      <c r="F312" s="30">
        <f>[1]FİYATLAR!C287</f>
        <v/>
      </c>
      <c r="G312" s="30">
        <f>[1]FİYATLAR!E287</f>
        <v/>
      </c>
      <c r="H312" s="30">
        <f>[1]FİYATLAR!D287</f>
        <v/>
      </c>
      <c r="I312" s="30">
        <f>[1]FİYATLAR!F287</f>
        <v/>
      </c>
      <c r="J312" s="119" t="n">
        <v>0</v>
      </c>
      <c r="K312" s="34">
        <f>F312*J312</f>
        <v/>
      </c>
      <c r="L312" s="119" t="n"/>
      <c r="M312" s="34">
        <f>L312*F312</f>
        <v/>
      </c>
      <c r="N312" s="119" t="n"/>
      <c r="O312" s="34">
        <f>F312</f>
        <v/>
      </c>
      <c r="P312" s="34">
        <f>N312*O312</f>
        <v/>
      </c>
      <c r="Q312" s="117" t="n">
        <v>0</v>
      </c>
      <c r="R312" s="34">
        <f>F312</f>
        <v/>
      </c>
      <c r="S312" s="34">
        <f>R312*Q312</f>
        <v/>
      </c>
      <c r="T312" s="34">
        <f>SUMIFS('[1]GİP VERİLERİ'!$C:$C,'[1]GİP VERİLERİ'!$B:$B,A312,'[1]GİP VERİLERİ'!$M:$M,"40X000000104782K",'[1]GİP VERİLERİ'!$G:$G,"SELL")</f>
        <v/>
      </c>
      <c r="U312" s="34">
        <f>IFERROR(W312/T312,0)</f>
        <v/>
      </c>
      <c r="V312" s="34">
        <f>IF(U312=0,0,U312-F312)</f>
        <v/>
      </c>
      <c r="W312" s="34">
        <f>SUMIFS('[1]GİP VERİLERİ'!$O:$O,'[1]GİP VERİLERİ'!$B:$B,A312,'[1]GİP VERİLERİ'!$M:$M,"40X000000104782K",'[1]GİP VERİLERİ'!$G:$G,"SELL")</f>
        <v/>
      </c>
      <c r="X312" s="34">
        <f>SUMIFS('[1]GİP VERİLERİ'!$C:$C,'[1]GİP VERİLERİ'!$B:$B,A312,'[1]GİP VERİLERİ'!$M:$M,"40X000000104782K",'[1]GİP VERİLERİ'!$G:$G,"BUY")</f>
        <v/>
      </c>
      <c r="Y312" s="34">
        <f>IFERROR(AA312/X312,0)</f>
        <v/>
      </c>
      <c r="Z312" s="34">
        <f>IF(Y312=0,0,F312-Y312)</f>
        <v/>
      </c>
      <c r="AA312" s="34">
        <f>SUMIFS('[1]GİP VERİLERİ'!$O:$O,'[1]GİP VERİLERİ'!$B:$B,A312,'[1]GİP VERİLERİ'!$M:$M,"40X000000104782K",'[1]GİP VERİLERİ'!$G:$G,"BUY")</f>
        <v/>
      </c>
      <c r="AB312" s="34">
        <f>'[1]GÖP VERİLERİ'!H313</f>
        <v/>
      </c>
      <c r="AC312" s="34">
        <f>'[1]GÖP VERİLERİ'!I313</f>
        <v/>
      </c>
      <c r="AD312" s="34">
        <f>IF(AB312&gt;AC312*1.05,AB312-AC312*1.05,IF(AB312&lt;AC312*0.95,AC312*0.95-AB312,0))</f>
        <v/>
      </c>
      <c r="AE312" s="34">
        <f>MAX(F312,G312,750)*0.05*AD312</f>
        <v/>
      </c>
      <c r="AF312" s="34">
        <f>'[1]GÖP VERİLERİ'!J313</f>
        <v/>
      </c>
      <c r="AG312" s="34">
        <f>IF(AB312&gt;AF312*1.05,AB312-AF312*1.05,IF(AB312&lt;AF312*0.95,AF312*0.95-AB312,0))</f>
        <v/>
      </c>
      <c r="AH312" s="34">
        <f>MAX(I312,J312,750)*0.05*AG312</f>
        <v/>
      </c>
      <c r="AI312">
        <f>'[1]GÖP VERİLERİ'!E313</f>
        <v/>
      </c>
      <c r="AJ312">
        <f>'[1]GÖP VERİLERİ'!F313</f>
        <v/>
      </c>
      <c r="AK312" s="34">
        <f>IF(AI312&gt;AJ312*1.05,AI312-AJ312*1.05,IF(AI312&lt;AJ312*0.95,AJ312*0.95-AI312,0))</f>
        <v/>
      </c>
      <c r="AL312" s="34">
        <f>MAX(F312,G312,750)*0.05*AK312</f>
        <v/>
      </c>
      <c r="AM312" s="39">
        <f>'[1]GÖP VERİLERİ'!G313</f>
        <v/>
      </c>
      <c r="AN312" s="34">
        <f>IF(AI312&gt;AM312*1.05,AI312-AM312*1.05,IF(AI312&lt;AM312*0.95,AM312*0.95-AI312,0))</f>
        <v/>
      </c>
      <c r="AO312" s="34">
        <f>MAX(F312,G312,750)*0.05*AN312</f>
        <v/>
      </c>
      <c r="AP312" s="34">
        <f>'[1]GÖP VERİLERİ'!B313</f>
        <v/>
      </c>
      <c r="AQ312" s="34">
        <f>'[1]GÖP VERİLERİ'!C313</f>
        <v/>
      </c>
      <c r="AR312" s="34">
        <f>IF(AP312&gt;AQ312*1.05,AP312-AQ312*1.05,IF(AP312&lt;AQ312*0.95,AQ312*0.95-AP312,0))</f>
        <v/>
      </c>
      <c r="AS312" s="34">
        <f>MAX(F312:G312,750)*0.05*AR312</f>
        <v/>
      </c>
      <c r="AT312">
        <f>'[1]GÖP VERİLERİ'!D313</f>
        <v/>
      </c>
      <c r="AU312" s="34">
        <f>IF(AP312&gt;AT312*1.05,AP312-AT312*1.05,IF(AP312&lt;AT312*0.95,AT312*0.95-AP312,0))</f>
        <v/>
      </c>
      <c r="AV312" s="34">
        <f>MAX(F312:G312,750)*0.05*AU312</f>
        <v/>
      </c>
      <c r="AW312" s="34">
        <f>AC312+AJ312+AQ312</f>
        <v/>
      </c>
      <c r="AX312" s="34">
        <f>AF312+AM312+AT312</f>
        <v/>
      </c>
      <c r="AY312" s="34">
        <f>AB312+AI312+AP312</f>
        <v/>
      </c>
      <c r="AZ312" s="34" t="n">
        <v>0</v>
      </c>
      <c r="BA312" s="34">
        <f>AD312+AK312+AR312</f>
        <v/>
      </c>
      <c r="BB312" s="34">
        <f>MAX(F312:G312,750)*0.05*BA312</f>
        <v/>
      </c>
      <c r="BC312" s="34">
        <f>AG312+AN312+AU312</f>
        <v/>
      </c>
      <c r="BD312" s="34">
        <f>MAX(F312:G312,750)*0.05*BC312</f>
        <v/>
      </c>
      <c r="BE312" s="34">
        <f>F312*AY312</f>
        <v/>
      </c>
      <c r="BF312" s="34">
        <f>K312-M312</f>
        <v/>
      </c>
      <c r="BG312" s="34">
        <f>P312-S312</f>
        <v/>
      </c>
      <c r="BH312" s="34">
        <f>W312-AA312</f>
        <v/>
      </c>
      <c r="BI312" s="34">
        <f>BF312+BG312+BL312-BN312</f>
        <v/>
      </c>
      <c r="BJ312" s="34">
        <f>ABS(BK312)</f>
        <v/>
      </c>
      <c r="BK312" s="34">
        <f>AY312-(J312-L312+N312-Q312)</f>
        <v/>
      </c>
      <c r="BL312" s="34">
        <f>IF(AND(BK312&gt;0,MIN($F312:$G312)&lt;150,$E312="Enerji Açığı"),-100*BK312*1.03,IF(AND(BK312&gt;0,MIN($F312:$G312)&lt;150,$E312="Enerji Fazlası"),-100*BK312*1.06,IF(AND(BK312&gt;0,MIN($F312:$G312)&gt;=150,$E312="Enerji Açığı"),BK312*MIN($F312:$G312)*0.97,IF(AND(BK312&gt;0,MIN($F312:$G312)&gt;=150,$E312="Enerji Fazlası"),BK312*MIN($F312:$G312)*0.94,IF(AND(BK312&lt;0,MAX($F312:$G312)=4500,$E312="Enerji Açığı"),4500*1.05*1.06*BK312,IF(AND(BK312&lt;0,MAX($F312:$G312)=4500,$E312="Enerji Fazlası"),4500*1.05*1.03*BK312,IF(AND(BK312&lt;0,$E312="Enerji Açığı"),MAX($F312,$G312,150)*BK312*1.06,IF(AND(BK312&lt;0,$E312="Enerji Fazlası"),MAX($F312,$G312,150)*BK312*1.03,IF(AND(BK312&lt;0,$E312="Dengede"),MAX($F312:$G312,150)*1.03*BK312,MIN($F312:$G312)*0.97*BK312)))))))))</f>
        <v/>
      </c>
      <c r="BM312" s="34">
        <f>BE312-BI312-BN312</f>
        <v/>
      </c>
      <c r="BN312" s="34">
        <f>BB312</f>
        <v/>
      </c>
      <c r="BO312" s="34">
        <f>BE312-BI312</f>
        <v/>
      </c>
      <c r="BP312" s="34">
        <f>IF(AY312=0,0,BO312/AY312)</f>
        <v/>
      </c>
      <c r="BQ312" s="34">
        <f>MAX((AY312+MAX((-J312+L312-N312+Q312),0)),(MAX((J312-L312+N312-Q312),0)))</f>
        <v/>
      </c>
      <c r="BR312" s="82">
        <f>IFERROR(ABS(BK312/BQ312),0)</f>
        <v/>
      </c>
      <c r="BS312" s="34">
        <f>IF(BR312&lt;=0.1,0,BK312/BR312*(BR312-0.1))</f>
        <v/>
      </c>
      <c r="BT312" s="34">
        <f>IF((BS312)&lt;0,MAX(F312:G312)*(BS312)*1.03,MIN(F312:G312)*(BS312)*0.97)</f>
        <v/>
      </c>
      <c r="BU312" s="34">
        <f>IF(BR312&gt;0.1,1,0)</f>
        <v/>
      </c>
      <c r="BV312" s="34">
        <f>BF312+BG312+BH312+BY312-CA312</f>
        <v/>
      </c>
      <c r="BW312" s="34">
        <f>ABS(BX312)</f>
        <v/>
      </c>
      <c r="BX312" s="34">
        <f>AY312-(J312-L312+N312-Q312+T312-X312)</f>
        <v/>
      </c>
      <c r="BY312" s="34">
        <f>IF(AND(BX312&gt;0,MIN($F312:$G312)&lt;150,$E312="Enerji Açığı"),-100*BX312*1.03,IF(AND(BX312&gt;0,MIN($F312:$G312)&lt;150,$E312="Enerji Fazlası"),-100*BX312*1.06,IF(AND(BX312&gt;0,MIN($F312:$G312)&gt;=150,$E312="Enerji Açığı"),BX312*MIN($F312:$G312)*0.97,IF(AND(BX312&gt;0,MIN($F312:$G312)&gt;=150,$E312="Enerji Fazlası"),BX312*MIN($F312:$G312)*0.94,IF(AND(BX312&lt;0,MAX($F312:$G312)=4500,$E312="Enerji Açığı"),4500*1.05*1.06*BX312,IF(AND(BX312&lt;0,MAX($F312:$G312)=4500,$E312="Enerji Fazlası"),4500*1.05*1.03*BX312,IF(AND(BX312&lt;0,$E312="Enerji Açığı"),MAX($F312,$G312,150)*BX312*1.06,IF(AND(BX312&lt;0,$E312="Enerji Fazlası"),MAX($F312,$G312,150)*BX312*1.03,IF(AND(BX312&lt;0,$E312="Dengede"),MAX($F312:$G312,150)*1.03*BX312,MIN($F312:$G312)*0.97*BX312)))))))))</f>
        <v/>
      </c>
      <c r="BZ312" s="34">
        <f>BE312-BV312-CA312</f>
        <v/>
      </c>
      <c r="CA312" s="34">
        <f>BD312</f>
        <v/>
      </c>
      <c r="CB312" s="33">
        <f>BE312-BV312</f>
        <v/>
      </c>
      <c r="CC312" s="34">
        <f>IF(AY312=0,0,CB312/AY312)</f>
        <v/>
      </c>
      <c r="CD312" s="34">
        <f>MAX((AY312+MAX((-J312+L312-N312+Q312-T312+X312),0)),(MAX((J312-L312+N312-Q312+T312-X312),0)))</f>
        <v/>
      </c>
      <c r="CE312" s="82">
        <f>IFERROR(ABS(BX312/CD312),0)</f>
        <v/>
      </c>
      <c r="CF312" s="34">
        <f>IF(CE312&lt;=0.1,0,BX312/CE312*(CE312-0.1))</f>
        <v/>
      </c>
      <c r="CG312" s="34">
        <f>IF((CF312)&lt;0,MAX(F312:G312)*(CF312)*1.03,MIN(F312:G312)*(CF312)*0.97)</f>
        <v/>
      </c>
      <c r="CH312" s="34">
        <f>IF(CE312&gt;0.1,1,0)</f>
        <v/>
      </c>
      <c r="CI312" s="34">
        <f>(F312*BX312)-BY312</f>
        <v/>
      </c>
      <c r="CJ312" s="34">
        <f>IF(AY312=0,0,CI312/AY312)</f>
        <v/>
      </c>
    </row>
    <row r="313">
      <c r="A313" s="29">
        <f>[1]FİYATLAR!A288</f>
        <v/>
      </c>
      <c r="B313" s="29">
        <f>[1]FİYATLAR!B288</f>
        <v/>
      </c>
      <c r="C313" s="35">
        <f>INT(A313)</f>
        <v/>
      </c>
      <c r="D313" s="36">
        <f>MONTH(A313)</f>
        <v/>
      </c>
      <c r="E313" s="147">
        <f>[1]FİYATLAR!G288</f>
        <v/>
      </c>
      <c r="F313" s="30">
        <f>[1]FİYATLAR!C288</f>
        <v/>
      </c>
      <c r="G313" s="30">
        <f>[1]FİYATLAR!E288</f>
        <v/>
      </c>
      <c r="H313" s="30">
        <f>[1]FİYATLAR!D288</f>
        <v/>
      </c>
      <c r="I313" s="30">
        <f>[1]FİYATLAR!F288</f>
        <v/>
      </c>
      <c r="J313" s="119" t="n">
        <v>0</v>
      </c>
      <c r="K313" s="34">
        <f>F313*J313</f>
        <v/>
      </c>
      <c r="L313" s="119" t="n"/>
      <c r="M313" s="34">
        <f>L313*F313</f>
        <v/>
      </c>
      <c r="N313" s="119" t="n"/>
      <c r="O313" s="34">
        <f>F313</f>
        <v/>
      </c>
      <c r="P313" s="34">
        <f>N313*O313</f>
        <v/>
      </c>
      <c r="Q313" s="117" t="n">
        <v>0</v>
      </c>
      <c r="R313" s="34">
        <f>F313</f>
        <v/>
      </c>
      <c r="S313" s="34">
        <f>R313*Q313</f>
        <v/>
      </c>
      <c r="T313" s="34">
        <f>SUMIFS('[1]GİP VERİLERİ'!$C:$C,'[1]GİP VERİLERİ'!$B:$B,A313,'[1]GİP VERİLERİ'!$M:$M,"40X000000104782K",'[1]GİP VERİLERİ'!$G:$G,"SELL")</f>
        <v/>
      </c>
      <c r="U313" s="34">
        <f>IFERROR(W313/T313,0)</f>
        <v/>
      </c>
      <c r="V313" s="34">
        <f>IF(U313=0,0,U313-F313)</f>
        <v/>
      </c>
      <c r="W313" s="34">
        <f>SUMIFS('[1]GİP VERİLERİ'!$O:$O,'[1]GİP VERİLERİ'!$B:$B,A313,'[1]GİP VERİLERİ'!$M:$M,"40X000000104782K",'[1]GİP VERİLERİ'!$G:$G,"SELL")</f>
        <v/>
      </c>
      <c r="X313" s="34">
        <f>SUMIFS('[1]GİP VERİLERİ'!$C:$C,'[1]GİP VERİLERİ'!$B:$B,A313,'[1]GİP VERİLERİ'!$M:$M,"40X000000104782K",'[1]GİP VERİLERİ'!$G:$G,"BUY")</f>
        <v/>
      </c>
      <c r="Y313" s="34">
        <f>IFERROR(AA313/X313,0)</f>
        <v/>
      </c>
      <c r="Z313" s="34">
        <f>IF(Y313=0,0,F313-Y313)</f>
        <v/>
      </c>
      <c r="AA313" s="34">
        <f>SUMIFS('[1]GİP VERİLERİ'!$O:$O,'[1]GİP VERİLERİ'!$B:$B,A313,'[1]GİP VERİLERİ'!$M:$M,"40X000000104782K",'[1]GİP VERİLERİ'!$G:$G,"BUY")</f>
        <v/>
      </c>
      <c r="AB313" s="34">
        <f>'[1]GÖP VERİLERİ'!H314</f>
        <v/>
      </c>
      <c r="AC313" s="34">
        <f>'[1]GÖP VERİLERİ'!I314</f>
        <v/>
      </c>
      <c r="AD313" s="34">
        <f>IF(AB313&gt;AC313*1.05,AB313-AC313*1.05,IF(AB313&lt;AC313*0.95,AC313*0.95-AB313,0))</f>
        <v/>
      </c>
      <c r="AE313" s="34">
        <f>MAX(F313,G313,750)*0.05*AD313</f>
        <v/>
      </c>
      <c r="AF313" s="34">
        <f>'[1]GÖP VERİLERİ'!J314</f>
        <v/>
      </c>
      <c r="AG313" s="34">
        <f>IF(AB313&gt;AF313*1.05,AB313-AF313*1.05,IF(AB313&lt;AF313*0.95,AF313*0.95-AB313,0))</f>
        <v/>
      </c>
      <c r="AH313" s="34">
        <f>MAX(I313,J313,750)*0.05*AG313</f>
        <v/>
      </c>
      <c r="AI313">
        <f>'[1]GÖP VERİLERİ'!E314</f>
        <v/>
      </c>
      <c r="AJ313">
        <f>'[1]GÖP VERİLERİ'!F314</f>
        <v/>
      </c>
      <c r="AK313" s="34">
        <f>IF(AI313&gt;AJ313*1.05,AI313-AJ313*1.05,IF(AI313&lt;AJ313*0.95,AJ313*0.95-AI313,0))</f>
        <v/>
      </c>
      <c r="AL313" s="34">
        <f>MAX(F313,G313,750)*0.05*AK313</f>
        <v/>
      </c>
      <c r="AM313" s="39">
        <f>'[1]GÖP VERİLERİ'!G314</f>
        <v/>
      </c>
      <c r="AN313" s="34">
        <f>IF(AI313&gt;AM313*1.05,AI313-AM313*1.05,IF(AI313&lt;AM313*0.95,AM313*0.95-AI313,0))</f>
        <v/>
      </c>
      <c r="AO313" s="34">
        <f>MAX(F313,G313,750)*0.05*AN313</f>
        <v/>
      </c>
      <c r="AP313" s="34">
        <f>'[1]GÖP VERİLERİ'!B314</f>
        <v/>
      </c>
      <c r="AQ313" s="34">
        <f>'[1]GÖP VERİLERİ'!C314</f>
        <v/>
      </c>
      <c r="AR313" s="34">
        <f>IF(AP313&gt;AQ313*1.05,AP313-AQ313*1.05,IF(AP313&lt;AQ313*0.95,AQ313*0.95-AP313,0))</f>
        <v/>
      </c>
      <c r="AS313" s="34">
        <f>MAX(F313:G313,750)*0.05*AR313</f>
        <v/>
      </c>
      <c r="AT313">
        <f>'[1]GÖP VERİLERİ'!D314</f>
        <v/>
      </c>
      <c r="AU313" s="34">
        <f>IF(AP313&gt;AT313*1.05,AP313-AT313*1.05,IF(AP313&lt;AT313*0.95,AT313*0.95-AP313,0))</f>
        <v/>
      </c>
      <c r="AV313" s="34">
        <f>MAX(F313:G313,750)*0.05*AU313</f>
        <v/>
      </c>
      <c r="AW313" s="34">
        <f>AC313+AJ313+AQ313</f>
        <v/>
      </c>
      <c r="AX313" s="34">
        <f>AF313+AM313+AT313</f>
        <v/>
      </c>
      <c r="AY313" s="34">
        <f>AB313+AI313+AP313</f>
        <v/>
      </c>
      <c r="AZ313" s="34" t="n">
        <v>0</v>
      </c>
      <c r="BA313" s="34">
        <f>AD313+AK313+AR313</f>
        <v/>
      </c>
      <c r="BB313" s="34">
        <f>MAX(F313:G313,750)*0.05*BA313</f>
        <v/>
      </c>
      <c r="BC313" s="34">
        <f>AG313+AN313+AU313</f>
        <v/>
      </c>
      <c r="BD313" s="34">
        <f>MAX(F313:G313,750)*0.05*BC313</f>
        <v/>
      </c>
      <c r="BE313" s="34">
        <f>F313*AY313</f>
        <v/>
      </c>
      <c r="BF313" s="34">
        <f>K313-M313</f>
        <v/>
      </c>
      <c r="BG313" s="34">
        <f>P313-S313</f>
        <v/>
      </c>
      <c r="BH313" s="34">
        <f>W313-AA313</f>
        <v/>
      </c>
      <c r="BI313" s="34">
        <f>BF313+BG313+BL313-BN313</f>
        <v/>
      </c>
      <c r="BJ313" s="34">
        <f>ABS(BK313)</f>
        <v/>
      </c>
      <c r="BK313" s="34">
        <f>AY313-(J313-L313+N313-Q313)</f>
        <v/>
      </c>
      <c r="BL313" s="34">
        <f>IF(AND(BK313&gt;0,MIN($F313:$G313)&lt;150,$E313="Enerji Açığı"),-100*BK313*1.03,IF(AND(BK313&gt;0,MIN($F313:$G313)&lt;150,$E313="Enerji Fazlası"),-100*BK313*1.06,IF(AND(BK313&gt;0,MIN($F313:$G313)&gt;=150,$E313="Enerji Açığı"),BK313*MIN($F313:$G313)*0.97,IF(AND(BK313&gt;0,MIN($F313:$G313)&gt;=150,$E313="Enerji Fazlası"),BK313*MIN($F313:$G313)*0.94,IF(AND(BK313&lt;0,MAX($F313:$G313)=4500,$E313="Enerji Açığı"),4500*1.05*1.06*BK313,IF(AND(BK313&lt;0,MAX($F313:$G313)=4500,$E313="Enerji Fazlası"),4500*1.05*1.03*BK313,IF(AND(BK313&lt;0,$E313="Enerji Açığı"),MAX($F313,$G313,150)*BK313*1.06,IF(AND(BK313&lt;0,$E313="Enerji Fazlası"),MAX($F313,$G313,150)*BK313*1.03,IF(AND(BK313&lt;0,$E313="Dengede"),MAX($F313:$G313,150)*1.03*BK313,MIN($F313:$G313)*0.97*BK313)))))))))</f>
        <v/>
      </c>
      <c r="BM313" s="34">
        <f>BE313-BI313-BN313</f>
        <v/>
      </c>
      <c r="BN313" s="34">
        <f>BB313</f>
        <v/>
      </c>
      <c r="BO313" s="34">
        <f>BE313-BI313</f>
        <v/>
      </c>
      <c r="BP313" s="34">
        <f>IF(AY313=0,0,BO313/AY313)</f>
        <v/>
      </c>
      <c r="BQ313" s="34">
        <f>MAX((AY313+MAX((-J313+L313-N313+Q313),0)),(MAX((J313-L313+N313-Q313),0)))</f>
        <v/>
      </c>
      <c r="BR313" s="82">
        <f>IFERROR(ABS(BK313/BQ313),0)</f>
        <v/>
      </c>
      <c r="BS313" s="34">
        <f>IF(BR313&lt;=0.1,0,BK313/BR313*(BR313-0.1))</f>
        <v/>
      </c>
      <c r="BT313" s="34">
        <f>IF((BS313)&lt;0,MAX(F313:G313)*(BS313)*1.03,MIN(F313:G313)*(BS313)*0.97)</f>
        <v/>
      </c>
      <c r="BU313" s="34">
        <f>IF(BR313&gt;0.1,1,0)</f>
        <v/>
      </c>
      <c r="BV313" s="34">
        <f>BF313+BG313+BH313+BY313-CA313</f>
        <v/>
      </c>
      <c r="BW313" s="34">
        <f>ABS(BX313)</f>
        <v/>
      </c>
      <c r="BX313" s="34">
        <f>AY313-(J313-L313+N313-Q313+T313-X313)</f>
        <v/>
      </c>
      <c r="BY313" s="34">
        <f>IF(AND(BX313&gt;0,MIN($F313:$G313)&lt;150,$E313="Enerji Açığı"),-100*BX313*1.03,IF(AND(BX313&gt;0,MIN($F313:$G313)&lt;150,$E313="Enerji Fazlası"),-100*BX313*1.06,IF(AND(BX313&gt;0,MIN($F313:$G313)&gt;=150,$E313="Enerji Açığı"),BX313*MIN($F313:$G313)*0.97,IF(AND(BX313&gt;0,MIN($F313:$G313)&gt;=150,$E313="Enerji Fazlası"),BX313*MIN($F313:$G313)*0.94,IF(AND(BX313&lt;0,MAX($F313:$G313)=4500,$E313="Enerji Açığı"),4500*1.05*1.06*BX313,IF(AND(BX313&lt;0,MAX($F313:$G313)=4500,$E313="Enerji Fazlası"),4500*1.05*1.03*BX313,IF(AND(BX313&lt;0,$E313="Enerji Açığı"),MAX($F313,$G313,150)*BX313*1.06,IF(AND(BX313&lt;0,$E313="Enerji Fazlası"),MAX($F313,$G313,150)*BX313*1.03,IF(AND(BX313&lt;0,$E313="Dengede"),MAX($F313:$G313,150)*1.03*BX313,MIN($F313:$G313)*0.97*BX313)))))))))</f>
        <v/>
      </c>
      <c r="BZ313" s="34">
        <f>BE313-BV313-CA313</f>
        <v/>
      </c>
      <c r="CA313" s="34">
        <f>BD313</f>
        <v/>
      </c>
      <c r="CB313" s="33">
        <f>BE313-BV313</f>
        <v/>
      </c>
      <c r="CC313" s="34">
        <f>IF(AY313=0,0,CB313/AY313)</f>
        <v/>
      </c>
      <c r="CD313" s="34">
        <f>MAX((AY313+MAX((-J313+L313-N313+Q313-T313+X313),0)),(MAX((J313-L313+N313-Q313+T313-X313),0)))</f>
        <v/>
      </c>
      <c r="CE313" s="82">
        <f>IFERROR(ABS(BX313/CD313),0)</f>
        <v/>
      </c>
      <c r="CF313" s="34">
        <f>IF(CE313&lt;=0.1,0,BX313/CE313*(CE313-0.1))</f>
        <v/>
      </c>
      <c r="CG313" s="34">
        <f>IF((CF313)&lt;0,MAX(F313:G313)*(CF313)*1.03,MIN(F313:G313)*(CF313)*0.97)</f>
        <v/>
      </c>
      <c r="CH313" s="34">
        <f>IF(CE313&gt;0.1,1,0)</f>
        <v/>
      </c>
      <c r="CI313" s="34">
        <f>(F313*BX313)-BY313</f>
        <v/>
      </c>
      <c r="CJ313" s="34">
        <f>IF(AY313=0,0,CI313/AY313)</f>
        <v/>
      </c>
    </row>
    <row r="314">
      <c r="A314" s="29">
        <f>[1]FİYATLAR!A289</f>
        <v/>
      </c>
      <c r="B314" s="29">
        <f>[1]FİYATLAR!B289</f>
        <v/>
      </c>
      <c r="C314" s="35">
        <f>INT(A314)</f>
        <v/>
      </c>
      <c r="D314" s="36">
        <f>MONTH(A314)</f>
        <v/>
      </c>
      <c r="E314" s="147">
        <f>[1]FİYATLAR!G289</f>
        <v/>
      </c>
      <c r="F314" s="30">
        <f>[1]FİYATLAR!C289</f>
        <v/>
      </c>
      <c r="G314" s="30">
        <f>[1]FİYATLAR!E289</f>
        <v/>
      </c>
      <c r="H314" s="30">
        <f>[1]FİYATLAR!D289</f>
        <v/>
      </c>
      <c r="I314" s="30">
        <f>[1]FİYATLAR!F289</f>
        <v/>
      </c>
      <c r="J314" s="119" t="n">
        <v>0</v>
      </c>
      <c r="K314" s="34">
        <f>F314*J314</f>
        <v/>
      </c>
      <c r="L314" s="119" t="n"/>
      <c r="M314" s="34">
        <f>L314*F314</f>
        <v/>
      </c>
      <c r="N314" s="119" t="n"/>
      <c r="O314" s="34">
        <f>F314</f>
        <v/>
      </c>
      <c r="P314" s="34">
        <f>N314*O314</f>
        <v/>
      </c>
      <c r="Q314" s="117" t="n">
        <v>0</v>
      </c>
      <c r="R314" s="34">
        <f>F314</f>
        <v/>
      </c>
      <c r="S314" s="34">
        <f>R314*Q314</f>
        <v/>
      </c>
      <c r="T314" s="34">
        <f>SUMIFS('[1]GİP VERİLERİ'!$C:$C,'[1]GİP VERİLERİ'!$B:$B,A314,'[1]GİP VERİLERİ'!$M:$M,"40X000000104782K",'[1]GİP VERİLERİ'!$G:$G,"SELL")</f>
        <v/>
      </c>
      <c r="U314" s="34">
        <f>IFERROR(W314/T314,0)</f>
        <v/>
      </c>
      <c r="V314" s="34">
        <f>IF(U314=0,0,U314-F314)</f>
        <v/>
      </c>
      <c r="W314" s="34">
        <f>SUMIFS('[1]GİP VERİLERİ'!$O:$O,'[1]GİP VERİLERİ'!$B:$B,A314,'[1]GİP VERİLERİ'!$M:$M,"40X000000104782K",'[1]GİP VERİLERİ'!$G:$G,"SELL")</f>
        <v/>
      </c>
      <c r="X314" s="34">
        <f>SUMIFS('[1]GİP VERİLERİ'!$C:$C,'[1]GİP VERİLERİ'!$B:$B,A314,'[1]GİP VERİLERİ'!$M:$M,"40X000000104782K",'[1]GİP VERİLERİ'!$G:$G,"BUY")</f>
        <v/>
      </c>
      <c r="Y314" s="34">
        <f>IFERROR(AA314/X314,0)</f>
        <v/>
      </c>
      <c r="Z314" s="34">
        <f>IF(Y314=0,0,F314-Y314)</f>
        <v/>
      </c>
      <c r="AA314" s="34">
        <f>SUMIFS('[1]GİP VERİLERİ'!$O:$O,'[1]GİP VERİLERİ'!$B:$B,A314,'[1]GİP VERİLERİ'!$M:$M,"40X000000104782K",'[1]GİP VERİLERİ'!$G:$G,"BUY")</f>
        <v/>
      </c>
      <c r="AB314" s="34">
        <f>'[1]GÖP VERİLERİ'!H315</f>
        <v/>
      </c>
      <c r="AC314" s="34">
        <f>'[1]GÖP VERİLERİ'!I315</f>
        <v/>
      </c>
      <c r="AD314" s="34">
        <f>IF(AB314&gt;AC314*1.05,AB314-AC314*1.05,IF(AB314&lt;AC314*0.95,AC314*0.95-AB314,0))</f>
        <v/>
      </c>
      <c r="AE314" s="34">
        <f>MAX(F314,G314,750)*0.05*AD314</f>
        <v/>
      </c>
      <c r="AF314" s="34">
        <f>'[1]GÖP VERİLERİ'!J315</f>
        <v/>
      </c>
      <c r="AG314" s="34">
        <f>IF(AB314&gt;AF314*1.05,AB314-AF314*1.05,IF(AB314&lt;AF314*0.95,AF314*0.95-AB314,0))</f>
        <v/>
      </c>
      <c r="AH314" s="34">
        <f>MAX(I314,J314,750)*0.05*AG314</f>
        <v/>
      </c>
      <c r="AI314">
        <f>'[1]GÖP VERİLERİ'!E315</f>
        <v/>
      </c>
      <c r="AJ314">
        <f>'[1]GÖP VERİLERİ'!F315</f>
        <v/>
      </c>
      <c r="AK314" s="34">
        <f>IF(AI314&gt;AJ314*1.05,AI314-AJ314*1.05,IF(AI314&lt;AJ314*0.95,AJ314*0.95-AI314,0))</f>
        <v/>
      </c>
      <c r="AL314" s="34">
        <f>MAX(F314,G314,750)*0.05*AK314</f>
        <v/>
      </c>
      <c r="AM314" s="39">
        <f>'[1]GÖP VERİLERİ'!G315</f>
        <v/>
      </c>
      <c r="AN314" s="34">
        <f>IF(AI314&gt;AM314*1.05,AI314-AM314*1.05,IF(AI314&lt;AM314*0.95,AM314*0.95-AI314,0))</f>
        <v/>
      </c>
      <c r="AO314" s="34">
        <f>MAX(F314,G314,750)*0.05*AN314</f>
        <v/>
      </c>
      <c r="AP314" s="34">
        <f>'[1]GÖP VERİLERİ'!B315</f>
        <v/>
      </c>
      <c r="AQ314" s="34">
        <f>'[1]GÖP VERİLERİ'!C315</f>
        <v/>
      </c>
      <c r="AR314" s="34">
        <f>IF(AP314&gt;AQ314*1.05,AP314-AQ314*1.05,IF(AP314&lt;AQ314*0.95,AQ314*0.95-AP314,0))</f>
        <v/>
      </c>
      <c r="AS314" s="34">
        <f>MAX(F314:G314,750)*0.05*AR314</f>
        <v/>
      </c>
      <c r="AT314">
        <f>'[1]GÖP VERİLERİ'!D315</f>
        <v/>
      </c>
      <c r="AU314" s="34">
        <f>IF(AP314&gt;AT314*1.05,AP314-AT314*1.05,IF(AP314&lt;AT314*0.95,AT314*0.95-AP314,0))</f>
        <v/>
      </c>
      <c r="AV314" s="34">
        <f>MAX(F314:G314,750)*0.05*AU314</f>
        <v/>
      </c>
      <c r="AW314" s="34">
        <f>AC314+AJ314+AQ314</f>
        <v/>
      </c>
      <c r="AX314" s="34">
        <f>AF314+AM314+AT314</f>
        <v/>
      </c>
      <c r="AY314" s="34">
        <f>AB314+AI314+AP314</f>
        <v/>
      </c>
      <c r="AZ314" s="34" t="n">
        <v>0</v>
      </c>
      <c r="BA314" s="34">
        <f>AD314+AK314+AR314</f>
        <v/>
      </c>
      <c r="BB314" s="34">
        <f>MAX(F314:G314,750)*0.05*BA314</f>
        <v/>
      </c>
      <c r="BC314" s="34">
        <f>AG314+AN314+AU314</f>
        <v/>
      </c>
      <c r="BD314" s="34">
        <f>MAX(F314:G314,750)*0.05*BC314</f>
        <v/>
      </c>
      <c r="BE314" s="34">
        <f>F314*AY314</f>
        <v/>
      </c>
      <c r="BF314" s="34">
        <f>K314-M314</f>
        <v/>
      </c>
      <c r="BG314" s="34">
        <f>P314-S314</f>
        <v/>
      </c>
      <c r="BH314" s="34">
        <f>W314-AA314</f>
        <v/>
      </c>
      <c r="BI314" s="34">
        <f>BF314+BG314+BL314-BN314</f>
        <v/>
      </c>
      <c r="BJ314" s="34">
        <f>ABS(BK314)</f>
        <v/>
      </c>
      <c r="BK314" s="34">
        <f>AY314-(J314-L314+N314-Q314)</f>
        <v/>
      </c>
      <c r="BL314" s="34">
        <f>IF(AND(BK314&gt;0,MIN($F314:$G314)&lt;150,$E314="Enerji Açığı"),-100*BK314*1.03,IF(AND(BK314&gt;0,MIN($F314:$G314)&lt;150,$E314="Enerji Fazlası"),-100*BK314*1.06,IF(AND(BK314&gt;0,MIN($F314:$G314)&gt;=150,$E314="Enerji Açığı"),BK314*MIN($F314:$G314)*0.97,IF(AND(BK314&gt;0,MIN($F314:$G314)&gt;=150,$E314="Enerji Fazlası"),BK314*MIN($F314:$G314)*0.94,IF(AND(BK314&lt;0,MAX($F314:$G314)=4500,$E314="Enerji Açığı"),4500*1.05*1.06*BK314,IF(AND(BK314&lt;0,MAX($F314:$G314)=4500,$E314="Enerji Fazlası"),4500*1.05*1.03*BK314,IF(AND(BK314&lt;0,$E314="Enerji Açığı"),MAX($F314,$G314,150)*BK314*1.06,IF(AND(BK314&lt;0,$E314="Enerji Fazlası"),MAX($F314,$G314,150)*BK314*1.03,IF(AND(BK314&lt;0,$E314="Dengede"),MAX($F314:$G314,150)*1.03*BK314,MIN($F314:$G314)*0.97*BK314)))))))))</f>
        <v/>
      </c>
      <c r="BM314" s="34">
        <f>BE314-BI314-BN314</f>
        <v/>
      </c>
      <c r="BN314" s="34">
        <f>BB314</f>
        <v/>
      </c>
      <c r="BO314" s="34">
        <f>BE314-BI314</f>
        <v/>
      </c>
      <c r="BP314" s="34">
        <f>IF(AY314=0,0,BO314/AY314)</f>
        <v/>
      </c>
      <c r="BQ314" s="34">
        <f>MAX((AY314+MAX((-J314+L314-N314+Q314),0)),(MAX((J314-L314+N314-Q314),0)))</f>
        <v/>
      </c>
      <c r="BR314" s="82">
        <f>IFERROR(ABS(BK314/BQ314),0)</f>
        <v/>
      </c>
      <c r="BS314" s="34">
        <f>IF(BR314&lt;=0.1,0,BK314/BR314*(BR314-0.1))</f>
        <v/>
      </c>
      <c r="BT314" s="34">
        <f>IF((BS314)&lt;0,MAX(F314:G314)*(BS314)*1.03,MIN(F314:G314)*(BS314)*0.97)</f>
        <v/>
      </c>
      <c r="BU314" s="34">
        <f>IF(BR314&gt;0.1,1,0)</f>
        <v/>
      </c>
      <c r="BV314" s="34">
        <f>BF314+BG314+BH314+BY314-CA314</f>
        <v/>
      </c>
      <c r="BW314" s="34">
        <f>ABS(BX314)</f>
        <v/>
      </c>
      <c r="BX314" s="34">
        <f>AY314-(J314-L314+N314-Q314+T314-X314)</f>
        <v/>
      </c>
      <c r="BY314" s="34">
        <f>IF(AND(BX314&gt;0,MIN($F314:$G314)&lt;150,$E314="Enerji Açığı"),-100*BX314*1.03,IF(AND(BX314&gt;0,MIN($F314:$G314)&lt;150,$E314="Enerji Fazlası"),-100*BX314*1.06,IF(AND(BX314&gt;0,MIN($F314:$G314)&gt;=150,$E314="Enerji Açığı"),BX314*MIN($F314:$G314)*0.97,IF(AND(BX314&gt;0,MIN($F314:$G314)&gt;=150,$E314="Enerji Fazlası"),BX314*MIN($F314:$G314)*0.94,IF(AND(BX314&lt;0,MAX($F314:$G314)=4500,$E314="Enerji Açığı"),4500*1.05*1.06*BX314,IF(AND(BX314&lt;0,MAX($F314:$G314)=4500,$E314="Enerji Fazlası"),4500*1.05*1.03*BX314,IF(AND(BX314&lt;0,$E314="Enerji Açığı"),MAX($F314,$G314,150)*BX314*1.06,IF(AND(BX314&lt;0,$E314="Enerji Fazlası"),MAX($F314,$G314,150)*BX314*1.03,IF(AND(BX314&lt;0,$E314="Dengede"),MAX($F314:$G314,150)*1.03*BX314,MIN($F314:$G314)*0.97*BX314)))))))))</f>
        <v/>
      </c>
      <c r="BZ314" s="34">
        <f>BE314-BV314-CA314</f>
        <v/>
      </c>
      <c r="CA314" s="34">
        <f>BD314</f>
        <v/>
      </c>
      <c r="CB314" s="33">
        <f>BE314-BV314</f>
        <v/>
      </c>
      <c r="CC314" s="34">
        <f>IF(AY314=0,0,CB314/AY314)</f>
        <v/>
      </c>
      <c r="CD314" s="34">
        <f>MAX((AY314+MAX((-J314+L314-N314+Q314-T314+X314),0)),(MAX((J314-L314+N314-Q314+T314-X314),0)))</f>
        <v/>
      </c>
      <c r="CE314" s="82">
        <f>IFERROR(ABS(BX314/CD314),0)</f>
        <v/>
      </c>
      <c r="CF314" s="34">
        <f>IF(CE314&lt;=0.1,0,BX314/CE314*(CE314-0.1))</f>
        <v/>
      </c>
      <c r="CG314" s="34">
        <f>IF((CF314)&lt;0,MAX(F314:G314)*(CF314)*1.03,MIN(F314:G314)*(CF314)*0.97)</f>
        <v/>
      </c>
      <c r="CH314" s="34">
        <f>IF(CE314&gt;0.1,1,0)</f>
        <v/>
      </c>
      <c r="CI314" s="34">
        <f>(F314*BX314)-BY314</f>
        <v/>
      </c>
      <c r="CJ314" s="34">
        <f>IF(AY314=0,0,CI314/AY314)</f>
        <v/>
      </c>
    </row>
    <row r="315">
      <c r="A315" s="29">
        <f>[1]FİYATLAR!A290</f>
        <v/>
      </c>
      <c r="B315" s="29">
        <f>[1]FİYATLAR!B290</f>
        <v/>
      </c>
      <c r="C315" s="35">
        <f>INT(A315)</f>
        <v/>
      </c>
      <c r="D315" s="36">
        <f>MONTH(A315)</f>
        <v/>
      </c>
      <c r="E315" s="147">
        <f>[1]FİYATLAR!G290</f>
        <v/>
      </c>
      <c r="F315" s="30">
        <f>[1]FİYATLAR!C290</f>
        <v/>
      </c>
      <c r="G315" s="30">
        <f>[1]FİYATLAR!E290</f>
        <v/>
      </c>
      <c r="H315" s="30">
        <f>[1]FİYATLAR!D290</f>
        <v/>
      </c>
      <c r="I315" s="30">
        <f>[1]FİYATLAR!F290</f>
        <v/>
      </c>
      <c r="J315" s="119" t="n">
        <v>0</v>
      </c>
      <c r="K315" s="34">
        <f>F315*J315</f>
        <v/>
      </c>
      <c r="L315" s="119" t="n"/>
      <c r="M315" s="34">
        <f>L315*F315</f>
        <v/>
      </c>
      <c r="N315" s="119" t="n"/>
      <c r="O315" s="34">
        <f>F315</f>
        <v/>
      </c>
      <c r="P315" s="34">
        <f>N315*O315</f>
        <v/>
      </c>
      <c r="Q315" s="117" t="n">
        <v>0</v>
      </c>
      <c r="R315" s="34">
        <f>F315</f>
        <v/>
      </c>
      <c r="S315" s="34">
        <f>R315*Q315</f>
        <v/>
      </c>
      <c r="T315" s="34">
        <f>SUMIFS('[1]GİP VERİLERİ'!$C:$C,'[1]GİP VERİLERİ'!$B:$B,A315,'[1]GİP VERİLERİ'!$M:$M,"40X000000104782K",'[1]GİP VERİLERİ'!$G:$G,"SELL")</f>
        <v/>
      </c>
      <c r="U315" s="34">
        <f>IFERROR(W315/T315,0)</f>
        <v/>
      </c>
      <c r="V315" s="34">
        <f>IF(U315=0,0,U315-F315)</f>
        <v/>
      </c>
      <c r="W315" s="34">
        <f>SUMIFS('[1]GİP VERİLERİ'!$O:$O,'[1]GİP VERİLERİ'!$B:$B,A315,'[1]GİP VERİLERİ'!$M:$M,"40X000000104782K",'[1]GİP VERİLERİ'!$G:$G,"SELL")</f>
        <v/>
      </c>
      <c r="X315" s="34">
        <f>SUMIFS('[1]GİP VERİLERİ'!$C:$C,'[1]GİP VERİLERİ'!$B:$B,A315,'[1]GİP VERİLERİ'!$M:$M,"40X000000104782K",'[1]GİP VERİLERİ'!$G:$G,"BUY")</f>
        <v/>
      </c>
      <c r="Y315" s="34">
        <f>IFERROR(AA315/X315,0)</f>
        <v/>
      </c>
      <c r="Z315" s="34">
        <f>IF(Y315=0,0,F315-Y315)</f>
        <v/>
      </c>
      <c r="AA315" s="34">
        <f>SUMIFS('[1]GİP VERİLERİ'!$O:$O,'[1]GİP VERİLERİ'!$B:$B,A315,'[1]GİP VERİLERİ'!$M:$M,"40X000000104782K",'[1]GİP VERİLERİ'!$G:$G,"BUY")</f>
        <v/>
      </c>
      <c r="AB315" s="34">
        <f>'[1]GÖP VERİLERİ'!H316</f>
        <v/>
      </c>
      <c r="AC315" s="34">
        <f>'[1]GÖP VERİLERİ'!I316</f>
        <v/>
      </c>
      <c r="AD315" s="34">
        <f>IF(AB315&gt;AC315*1.05,AB315-AC315*1.05,IF(AB315&lt;AC315*0.95,AC315*0.95-AB315,0))</f>
        <v/>
      </c>
      <c r="AE315" s="34">
        <f>MAX(F315,G315,750)*0.05*AD315</f>
        <v/>
      </c>
      <c r="AF315" s="34">
        <f>'[1]GÖP VERİLERİ'!J316</f>
        <v/>
      </c>
      <c r="AG315" s="34">
        <f>IF(AB315&gt;AF315*1.05,AB315-AF315*1.05,IF(AB315&lt;AF315*0.95,AF315*0.95-AB315,0))</f>
        <v/>
      </c>
      <c r="AH315" s="34">
        <f>MAX(I315,J315,750)*0.05*AG315</f>
        <v/>
      </c>
      <c r="AI315">
        <f>'[1]GÖP VERİLERİ'!E316</f>
        <v/>
      </c>
      <c r="AJ315">
        <f>'[1]GÖP VERİLERİ'!F316</f>
        <v/>
      </c>
      <c r="AK315" s="34">
        <f>IF(AI315&gt;AJ315*1.05,AI315-AJ315*1.05,IF(AI315&lt;AJ315*0.95,AJ315*0.95-AI315,0))</f>
        <v/>
      </c>
      <c r="AL315" s="34">
        <f>MAX(F315,G315,750)*0.05*AK315</f>
        <v/>
      </c>
      <c r="AM315" s="39">
        <f>'[1]GÖP VERİLERİ'!G316</f>
        <v/>
      </c>
      <c r="AN315" s="34">
        <f>IF(AI315&gt;AM315*1.05,AI315-AM315*1.05,IF(AI315&lt;AM315*0.95,AM315*0.95-AI315,0))</f>
        <v/>
      </c>
      <c r="AO315" s="34">
        <f>MAX(F315,G315,750)*0.05*AN315</f>
        <v/>
      </c>
      <c r="AP315" s="34">
        <f>'[1]GÖP VERİLERİ'!B316</f>
        <v/>
      </c>
      <c r="AQ315" s="34">
        <f>'[1]GÖP VERİLERİ'!C316</f>
        <v/>
      </c>
      <c r="AR315" s="34">
        <f>IF(AP315&gt;AQ315*1.05,AP315-AQ315*1.05,IF(AP315&lt;AQ315*0.95,AQ315*0.95-AP315,0))</f>
        <v/>
      </c>
      <c r="AS315" s="34">
        <f>MAX(F315:G315,750)*0.05*AR315</f>
        <v/>
      </c>
      <c r="AT315">
        <f>'[1]GÖP VERİLERİ'!D316</f>
        <v/>
      </c>
      <c r="AU315" s="34">
        <f>IF(AP315&gt;AT315*1.05,AP315-AT315*1.05,IF(AP315&lt;AT315*0.95,AT315*0.95-AP315,0))</f>
        <v/>
      </c>
      <c r="AV315" s="34">
        <f>MAX(F315:G315,750)*0.05*AU315</f>
        <v/>
      </c>
      <c r="AW315" s="34">
        <f>AC315+AJ315+AQ315</f>
        <v/>
      </c>
      <c r="AX315" s="34">
        <f>AF315+AM315+AT315</f>
        <v/>
      </c>
      <c r="AY315" s="34">
        <f>AB315+AI315+AP315</f>
        <v/>
      </c>
      <c r="AZ315" s="34" t="n">
        <v>0</v>
      </c>
      <c r="BA315" s="34">
        <f>AD315+AK315+AR315</f>
        <v/>
      </c>
      <c r="BB315" s="34">
        <f>MAX(F315:G315,750)*0.05*BA315</f>
        <v/>
      </c>
      <c r="BC315" s="34">
        <f>AG315+AN315+AU315</f>
        <v/>
      </c>
      <c r="BD315" s="34">
        <f>MAX(F315:G315,750)*0.05*BC315</f>
        <v/>
      </c>
      <c r="BE315" s="34">
        <f>F315*AY315</f>
        <v/>
      </c>
      <c r="BF315" s="34">
        <f>K315-M315</f>
        <v/>
      </c>
      <c r="BG315" s="34">
        <f>P315-S315</f>
        <v/>
      </c>
      <c r="BH315" s="34">
        <f>W315-AA315</f>
        <v/>
      </c>
      <c r="BI315" s="34">
        <f>BF315+BG315+BL315-BN315</f>
        <v/>
      </c>
      <c r="BJ315" s="34">
        <f>ABS(BK315)</f>
        <v/>
      </c>
      <c r="BK315" s="34">
        <f>AY315-(J315-L315+N315-Q315)</f>
        <v/>
      </c>
      <c r="BL315" s="34">
        <f>IF(AND(BK315&gt;0,MIN($F315:$G315)&lt;150,$E315="Enerji Açığı"),-100*BK315*1.03,IF(AND(BK315&gt;0,MIN($F315:$G315)&lt;150,$E315="Enerji Fazlası"),-100*BK315*1.06,IF(AND(BK315&gt;0,MIN($F315:$G315)&gt;=150,$E315="Enerji Açığı"),BK315*MIN($F315:$G315)*0.97,IF(AND(BK315&gt;0,MIN($F315:$G315)&gt;=150,$E315="Enerji Fazlası"),BK315*MIN($F315:$G315)*0.94,IF(AND(BK315&lt;0,MAX($F315:$G315)=4500,$E315="Enerji Açığı"),4500*1.05*1.06*BK315,IF(AND(BK315&lt;0,MAX($F315:$G315)=4500,$E315="Enerji Fazlası"),4500*1.05*1.03*BK315,IF(AND(BK315&lt;0,$E315="Enerji Açığı"),MAX($F315,$G315,150)*BK315*1.06,IF(AND(BK315&lt;0,$E315="Enerji Fazlası"),MAX($F315,$G315,150)*BK315*1.03,IF(AND(BK315&lt;0,$E315="Dengede"),MAX($F315:$G315,150)*1.03*BK315,MIN($F315:$G315)*0.97*BK315)))))))))</f>
        <v/>
      </c>
      <c r="BM315" s="34">
        <f>BE315-BI315-BN315</f>
        <v/>
      </c>
      <c r="BN315" s="34">
        <f>BB315</f>
        <v/>
      </c>
      <c r="BO315" s="34">
        <f>BE315-BI315</f>
        <v/>
      </c>
      <c r="BP315" s="34">
        <f>IF(AY315=0,0,BO315/AY315)</f>
        <v/>
      </c>
      <c r="BQ315" s="34">
        <f>MAX((AY315+MAX((-J315+L315-N315+Q315),0)),(MAX((J315-L315+N315-Q315),0)))</f>
        <v/>
      </c>
      <c r="BR315" s="82">
        <f>IFERROR(ABS(BK315/BQ315),0)</f>
        <v/>
      </c>
      <c r="BS315" s="34">
        <f>IF(BR315&lt;=0.1,0,BK315/BR315*(BR315-0.1))</f>
        <v/>
      </c>
      <c r="BT315" s="34">
        <f>IF((BS315)&lt;0,MAX(F315:G315)*(BS315)*1.03,MIN(F315:G315)*(BS315)*0.97)</f>
        <v/>
      </c>
      <c r="BU315" s="34">
        <f>IF(BR315&gt;0.1,1,0)</f>
        <v/>
      </c>
      <c r="BV315" s="34">
        <f>BF315+BG315+BH315+BY315-CA315</f>
        <v/>
      </c>
      <c r="BW315" s="34">
        <f>ABS(BX315)</f>
        <v/>
      </c>
      <c r="BX315" s="34">
        <f>AY315-(J315-L315+N315-Q315+T315-X315)</f>
        <v/>
      </c>
      <c r="BY315" s="34">
        <f>IF(AND(BX315&gt;0,MIN($F315:$G315)&lt;150,$E315="Enerji Açığı"),-100*BX315*1.03,IF(AND(BX315&gt;0,MIN($F315:$G315)&lt;150,$E315="Enerji Fazlası"),-100*BX315*1.06,IF(AND(BX315&gt;0,MIN($F315:$G315)&gt;=150,$E315="Enerji Açığı"),BX315*MIN($F315:$G315)*0.97,IF(AND(BX315&gt;0,MIN($F315:$G315)&gt;=150,$E315="Enerji Fazlası"),BX315*MIN($F315:$G315)*0.94,IF(AND(BX315&lt;0,MAX($F315:$G315)=4500,$E315="Enerji Açığı"),4500*1.05*1.06*BX315,IF(AND(BX315&lt;0,MAX($F315:$G315)=4500,$E315="Enerji Fazlası"),4500*1.05*1.03*BX315,IF(AND(BX315&lt;0,$E315="Enerji Açığı"),MAX($F315,$G315,150)*BX315*1.06,IF(AND(BX315&lt;0,$E315="Enerji Fazlası"),MAX($F315,$G315,150)*BX315*1.03,IF(AND(BX315&lt;0,$E315="Dengede"),MAX($F315:$G315,150)*1.03*BX315,MIN($F315:$G315)*0.97*BX315)))))))))</f>
        <v/>
      </c>
      <c r="BZ315" s="34">
        <f>BE315-BV315-CA315</f>
        <v/>
      </c>
      <c r="CA315" s="34">
        <f>BD315</f>
        <v/>
      </c>
      <c r="CB315" s="33">
        <f>BE315-BV315</f>
        <v/>
      </c>
      <c r="CC315" s="34">
        <f>IF(AY315=0,0,CB315/AY315)</f>
        <v/>
      </c>
      <c r="CD315" s="34">
        <f>MAX((AY315+MAX((-J315+L315-N315+Q315-T315+X315),0)),(MAX((J315-L315+N315-Q315+T315-X315),0)))</f>
        <v/>
      </c>
      <c r="CE315" s="82">
        <f>IFERROR(ABS(BX315/CD315),0)</f>
        <v/>
      </c>
      <c r="CF315" s="34">
        <f>IF(CE315&lt;=0.1,0,BX315/CE315*(CE315-0.1))</f>
        <v/>
      </c>
      <c r="CG315" s="34">
        <f>IF((CF315)&lt;0,MAX(F315:G315)*(CF315)*1.03,MIN(F315:G315)*(CF315)*0.97)</f>
        <v/>
      </c>
      <c r="CH315" s="34">
        <f>IF(CE315&gt;0.1,1,0)</f>
        <v/>
      </c>
      <c r="CI315" s="34">
        <f>(F315*BX315)-BY315</f>
        <v/>
      </c>
      <c r="CJ315" s="34">
        <f>IF(AY315=0,0,CI315/AY315)</f>
        <v/>
      </c>
    </row>
    <row r="316">
      <c r="A316" s="29">
        <f>[1]FİYATLAR!A291</f>
        <v/>
      </c>
      <c r="B316" s="29">
        <f>[1]FİYATLAR!B291</f>
        <v/>
      </c>
      <c r="C316" s="35">
        <f>INT(A316)</f>
        <v/>
      </c>
      <c r="D316" s="36">
        <f>MONTH(A316)</f>
        <v/>
      </c>
      <c r="E316" s="147">
        <f>[1]FİYATLAR!G291</f>
        <v/>
      </c>
      <c r="F316" s="30">
        <f>[1]FİYATLAR!C291</f>
        <v/>
      </c>
      <c r="G316" s="30">
        <f>[1]FİYATLAR!E291</f>
        <v/>
      </c>
      <c r="H316" s="30">
        <f>[1]FİYATLAR!D291</f>
        <v/>
      </c>
      <c r="I316" s="30">
        <f>[1]FİYATLAR!F291</f>
        <v/>
      </c>
      <c r="J316" s="119" t="n">
        <v>0</v>
      </c>
      <c r="K316" s="34">
        <f>F316*J316</f>
        <v/>
      </c>
      <c r="L316" s="119" t="n"/>
      <c r="M316" s="34">
        <f>L316*F316</f>
        <v/>
      </c>
      <c r="N316" s="119" t="n"/>
      <c r="O316" s="34">
        <f>F316</f>
        <v/>
      </c>
      <c r="P316" s="34">
        <f>N316*O316</f>
        <v/>
      </c>
      <c r="Q316" s="117" t="n">
        <v>0</v>
      </c>
      <c r="R316" s="34">
        <f>F316</f>
        <v/>
      </c>
      <c r="S316" s="34">
        <f>R316*Q316</f>
        <v/>
      </c>
      <c r="T316" s="34">
        <f>SUMIFS('[1]GİP VERİLERİ'!$C:$C,'[1]GİP VERİLERİ'!$B:$B,A316,'[1]GİP VERİLERİ'!$M:$M,"40X000000104782K",'[1]GİP VERİLERİ'!$G:$G,"SELL")</f>
        <v/>
      </c>
      <c r="U316" s="34">
        <f>IFERROR(W316/T316,0)</f>
        <v/>
      </c>
      <c r="V316" s="34">
        <f>IF(U316=0,0,U316-F316)</f>
        <v/>
      </c>
      <c r="W316" s="34">
        <f>SUMIFS('[1]GİP VERİLERİ'!$O:$O,'[1]GİP VERİLERİ'!$B:$B,A316,'[1]GİP VERİLERİ'!$M:$M,"40X000000104782K",'[1]GİP VERİLERİ'!$G:$G,"SELL")</f>
        <v/>
      </c>
      <c r="X316" s="34">
        <f>SUMIFS('[1]GİP VERİLERİ'!$C:$C,'[1]GİP VERİLERİ'!$B:$B,A316,'[1]GİP VERİLERİ'!$M:$M,"40X000000104782K",'[1]GİP VERİLERİ'!$G:$G,"BUY")</f>
        <v/>
      </c>
      <c r="Y316" s="34">
        <f>IFERROR(AA316/X316,0)</f>
        <v/>
      </c>
      <c r="Z316" s="34">
        <f>IF(Y316=0,0,F316-Y316)</f>
        <v/>
      </c>
      <c r="AA316" s="34">
        <f>SUMIFS('[1]GİP VERİLERİ'!$O:$O,'[1]GİP VERİLERİ'!$B:$B,A316,'[1]GİP VERİLERİ'!$M:$M,"40X000000104782K",'[1]GİP VERİLERİ'!$G:$G,"BUY")</f>
        <v/>
      </c>
      <c r="AB316" s="34">
        <f>'[1]GÖP VERİLERİ'!H317</f>
        <v/>
      </c>
      <c r="AC316" s="34">
        <f>'[1]GÖP VERİLERİ'!I317</f>
        <v/>
      </c>
      <c r="AD316" s="34">
        <f>IF(AB316&gt;AC316*1.05,AB316-AC316*1.05,IF(AB316&lt;AC316*0.95,AC316*0.95-AB316,0))</f>
        <v/>
      </c>
      <c r="AE316" s="34">
        <f>MAX(F316,G316,750)*0.05*AD316</f>
        <v/>
      </c>
      <c r="AF316" s="34">
        <f>'[1]GÖP VERİLERİ'!J317</f>
        <v/>
      </c>
      <c r="AG316" s="34">
        <f>IF(AB316&gt;AF316*1.05,AB316-AF316*1.05,IF(AB316&lt;AF316*0.95,AF316*0.95-AB316,0))</f>
        <v/>
      </c>
      <c r="AH316" s="34">
        <f>MAX(I316,J316,750)*0.05*AG316</f>
        <v/>
      </c>
      <c r="AI316">
        <f>'[1]GÖP VERİLERİ'!E317</f>
        <v/>
      </c>
      <c r="AJ316">
        <f>'[1]GÖP VERİLERİ'!F317</f>
        <v/>
      </c>
      <c r="AK316" s="34">
        <f>IF(AI316&gt;AJ316*1.05,AI316-AJ316*1.05,IF(AI316&lt;AJ316*0.95,AJ316*0.95-AI316,0))</f>
        <v/>
      </c>
      <c r="AL316" s="34">
        <f>MAX(F316,G316,750)*0.05*AK316</f>
        <v/>
      </c>
      <c r="AM316" s="39">
        <f>'[1]GÖP VERİLERİ'!G317</f>
        <v/>
      </c>
      <c r="AN316" s="34">
        <f>IF(AI316&gt;AM316*1.05,AI316-AM316*1.05,IF(AI316&lt;AM316*0.95,AM316*0.95-AI316,0))</f>
        <v/>
      </c>
      <c r="AO316" s="34">
        <f>MAX(F316,G316,750)*0.05*AN316</f>
        <v/>
      </c>
      <c r="AP316" s="34">
        <f>'[1]GÖP VERİLERİ'!B317</f>
        <v/>
      </c>
      <c r="AQ316" s="34">
        <f>'[1]GÖP VERİLERİ'!C317</f>
        <v/>
      </c>
      <c r="AR316" s="34">
        <f>IF(AP316&gt;AQ316*1.05,AP316-AQ316*1.05,IF(AP316&lt;AQ316*0.95,AQ316*0.95-AP316,0))</f>
        <v/>
      </c>
      <c r="AS316" s="34">
        <f>MAX(F316:G316,750)*0.05*AR316</f>
        <v/>
      </c>
      <c r="AT316">
        <f>'[1]GÖP VERİLERİ'!D317</f>
        <v/>
      </c>
      <c r="AU316" s="34">
        <f>IF(AP316&gt;AT316*1.05,AP316-AT316*1.05,IF(AP316&lt;AT316*0.95,AT316*0.95-AP316,0))</f>
        <v/>
      </c>
      <c r="AV316" s="34">
        <f>MAX(F316:G316,750)*0.05*AU316</f>
        <v/>
      </c>
      <c r="AW316" s="34">
        <f>AC316+AJ316+AQ316</f>
        <v/>
      </c>
      <c r="AX316" s="34">
        <f>AF316+AM316+AT316</f>
        <v/>
      </c>
      <c r="AY316" s="34">
        <f>AB316+AI316+AP316</f>
        <v/>
      </c>
      <c r="AZ316" s="34" t="n">
        <v>0</v>
      </c>
      <c r="BA316" s="34">
        <f>AD316+AK316+AR316</f>
        <v/>
      </c>
      <c r="BB316" s="34">
        <f>MAX(F316:G316,750)*0.05*BA316</f>
        <v/>
      </c>
      <c r="BC316" s="34">
        <f>AG316+AN316+AU316</f>
        <v/>
      </c>
      <c r="BD316" s="34">
        <f>MAX(F316:G316,750)*0.05*BC316</f>
        <v/>
      </c>
      <c r="BE316" s="34">
        <f>F316*AY316</f>
        <v/>
      </c>
      <c r="BF316" s="34">
        <f>K316-M316</f>
        <v/>
      </c>
      <c r="BG316" s="34">
        <f>P316-S316</f>
        <v/>
      </c>
      <c r="BH316" s="34">
        <f>W316-AA316</f>
        <v/>
      </c>
      <c r="BI316" s="34">
        <f>BF316+BG316+BL316-BN316</f>
        <v/>
      </c>
      <c r="BJ316" s="34">
        <f>ABS(BK316)</f>
        <v/>
      </c>
      <c r="BK316" s="34">
        <f>AY316-(J316-L316+N316-Q316)</f>
        <v/>
      </c>
      <c r="BL316" s="34">
        <f>IF(AND(BK316&gt;0,MIN($F316:$G316)&lt;150,$E316="Enerji Açığı"),-100*BK316*1.03,IF(AND(BK316&gt;0,MIN($F316:$G316)&lt;150,$E316="Enerji Fazlası"),-100*BK316*1.06,IF(AND(BK316&gt;0,MIN($F316:$G316)&gt;=150,$E316="Enerji Açığı"),BK316*MIN($F316:$G316)*0.97,IF(AND(BK316&gt;0,MIN($F316:$G316)&gt;=150,$E316="Enerji Fazlası"),BK316*MIN($F316:$G316)*0.94,IF(AND(BK316&lt;0,MAX($F316:$G316)=4500,$E316="Enerji Açığı"),4500*1.05*1.06*BK316,IF(AND(BK316&lt;0,MAX($F316:$G316)=4500,$E316="Enerji Fazlası"),4500*1.05*1.03*BK316,IF(AND(BK316&lt;0,$E316="Enerji Açığı"),MAX($F316,$G316,150)*BK316*1.06,IF(AND(BK316&lt;0,$E316="Enerji Fazlası"),MAX($F316,$G316,150)*BK316*1.03,IF(AND(BK316&lt;0,$E316="Dengede"),MAX($F316:$G316,150)*1.03*BK316,MIN($F316:$G316)*0.97*BK316)))))))))</f>
        <v/>
      </c>
      <c r="BM316" s="34">
        <f>BE316-BI316-BN316</f>
        <v/>
      </c>
      <c r="BN316" s="34">
        <f>BB316</f>
        <v/>
      </c>
      <c r="BO316" s="34">
        <f>BE316-BI316</f>
        <v/>
      </c>
      <c r="BP316" s="34">
        <f>IF(AY316=0,0,BO316/AY316)</f>
        <v/>
      </c>
      <c r="BQ316" s="34">
        <f>MAX((AY316+MAX((-J316+L316-N316+Q316),0)),(MAX((J316-L316+N316-Q316),0)))</f>
        <v/>
      </c>
      <c r="BR316" s="82">
        <f>IFERROR(ABS(BK316/BQ316),0)</f>
        <v/>
      </c>
      <c r="BS316" s="34">
        <f>IF(BR316&lt;=0.1,0,BK316/BR316*(BR316-0.1))</f>
        <v/>
      </c>
      <c r="BT316" s="34">
        <f>IF((BS316)&lt;0,MAX(F316:G316)*(BS316)*1.03,MIN(F316:G316)*(BS316)*0.97)</f>
        <v/>
      </c>
      <c r="BU316" s="34">
        <f>IF(BR316&gt;0.1,1,0)</f>
        <v/>
      </c>
      <c r="BV316" s="34">
        <f>BF316+BG316+BH316+BY316-CA316</f>
        <v/>
      </c>
      <c r="BW316" s="34">
        <f>ABS(BX316)</f>
        <v/>
      </c>
      <c r="BX316" s="34">
        <f>AY316-(J316-L316+N316-Q316+T316-X316)</f>
        <v/>
      </c>
      <c r="BY316" s="34">
        <f>IF(AND(BX316&gt;0,MIN($F316:$G316)&lt;150,$E316="Enerji Açığı"),-100*BX316*1.03,IF(AND(BX316&gt;0,MIN($F316:$G316)&lt;150,$E316="Enerji Fazlası"),-100*BX316*1.06,IF(AND(BX316&gt;0,MIN($F316:$G316)&gt;=150,$E316="Enerji Açığı"),BX316*MIN($F316:$G316)*0.97,IF(AND(BX316&gt;0,MIN($F316:$G316)&gt;=150,$E316="Enerji Fazlası"),BX316*MIN($F316:$G316)*0.94,IF(AND(BX316&lt;0,MAX($F316:$G316)=4500,$E316="Enerji Açığı"),4500*1.05*1.06*BX316,IF(AND(BX316&lt;0,MAX($F316:$G316)=4500,$E316="Enerji Fazlası"),4500*1.05*1.03*BX316,IF(AND(BX316&lt;0,$E316="Enerji Açığı"),MAX($F316,$G316,150)*BX316*1.06,IF(AND(BX316&lt;0,$E316="Enerji Fazlası"),MAX($F316,$G316,150)*BX316*1.03,IF(AND(BX316&lt;0,$E316="Dengede"),MAX($F316:$G316,150)*1.03*BX316,MIN($F316:$G316)*0.97*BX316)))))))))</f>
        <v/>
      </c>
      <c r="BZ316" s="34">
        <f>BE316-BV316-CA316</f>
        <v/>
      </c>
      <c r="CA316" s="34">
        <f>BD316</f>
        <v/>
      </c>
      <c r="CB316" s="33">
        <f>BE316-BV316</f>
        <v/>
      </c>
      <c r="CC316" s="34">
        <f>IF(AY316=0,0,CB316/AY316)</f>
        <v/>
      </c>
      <c r="CD316" s="34">
        <f>MAX((AY316+MAX((-J316+L316-N316+Q316-T316+X316),0)),(MAX((J316-L316+N316-Q316+T316-X316),0)))</f>
        <v/>
      </c>
      <c r="CE316" s="82">
        <f>IFERROR(ABS(BX316/CD316),0)</f>
        <v/>
      </c>
      <c r="CF316" s="34">
        <f>IF(CE316&lt;=0.1,0,BX316/CE316*(CE316-0.1))</f>
        <v/>
      </c>
      <c r="CG316" s="34">
        <f>IF((CF316)&lt;0,MAX(F316:G316)*(CF316)*1.03,MIN(F316:G316)*(CF316)*0.97)</f>
        <v/>
      </c>
      <c r="CH316" s="34">
        <f>IF(CE316&gt;0.1,1,0)</f>
        <v/>
      </c>
      <c r="CI316" s="34">
        <f>(F316*BX316)-BY316</f>
        <v/>
      </c>
      <c r="CJ316" s="34">
        <f>IF(AY316=0,0,CI316/AY316)</f>
        <v/>
      </c>
    </row>
    <row r="317">
      <c r="A317" s="29">
        <f>[1]FİYATLAR!A292</f>
        <v/>
      </c>
      <c r="B317" s="29">
        <f>[1]FİYATLAR!B292</f>
        <v/>
      </c>
      <c r="C317" s="35">
        <f>INT(A317)</f>
        <v/>
      </c>
      <c r="D317" s="36">
        <f>MONTH(A317)</f>
        <v/>
      </c>
      <c r="E317" s="147">
        <f>[1]FİYATLAR!G292</f>
        <v/>
      </c>
      <c r="F317" s="30">
        <f>[1]FİYATLAR!C292</f>
        <v/>
      </c>
      <c r="G317" s="30">
        <f>[1]FİYATLAR!E292</f>
        <v/>
      </c>
      <c r="H317" s="30">
        <f>[1]FİYATLAR!D292</f>
        <v/>
      </c>
      <c r="I317" s="30">
        <f>[1]FİYATLAR!F292</f>
        <v/>
      </c>
      <c r="J317" s="119" t="n">
        <v>0</v>
      </c>
      <c r="K317" s="34">
        <f>F317*J317</f>
        <v/>
      </c>
      <c r="L317" s="119" t="n"/>
      <c r="M317" s="34">
        <f>L317*F317</f>
        <v/>
      </c>
      <c r="N317" s="119" t="n"/>
      <c r="O317" s="34">
        <f>F317</f>
        <v/>
      </c>
      <c r="P317" s="34">
        <f>N317*O317</f>
        <v/>
      </c>
      <c r="Q317" s="117" t="n">
        <v>0</v>
      </c>
      <c r="R317" s="34">
        <f>F317</f>
        <v/>
      </c>
      <c r="S317" s="34">
        <f>R317*Q317</f>
        <v/>
      </c>
      <c r="T317" s="34">
        <f>SUMIFS('[1]GİP VERİLERİ'!$C:$C,'[1]GİP VERİLERİ'!$B:$B,A317,'[1]GİP VERİLERİ'!$M:$M,"40X000000104782K",'[1]GİP VERİLERİ'!$G:$G,"SELL")</f>
        <v/>
      </c>
      <c r="U317" s="34">
        <f>IFERROR(W317/T317,0)</f>
        <v/>
      </c>
      <c r="V317" s="34">
        <f>IF(U317=0,0,U317-F317)</f>
        <v/>
      </c>
      <c r="W317" s="34">
        <f>SUMIFS('[1]GİP VERİLERİ'!$O:$O,'[1]GİP VERİLERİ'!$B:$B,A317,'[1]GİP VERİLERİ'!$M:$M,"40X000000104782K",'[1]GİP VERİLERİ'!$G:$G,"SELL")</f>
        <v/>
      </c>
      <c r="X317" s="34">
        <f>SUMIFS('[1]GİP VERİLERİ'!$C:$C,'[1]GİP VERİLERİ'!$B:$B,A317,'[1]GİP VERİLERİ'!$M:$M,"40X000000104782K",'[1]GİP VERİLERİ'!$G:$G,"BUY")</f>
        <v/>
      </c>
      <c r="Y317" s="34">
        <f>IFERROR(AA317/X317,0)</f>
        <v/>
      </c>
      <c r="Z317" s="34">
        <f>IF(Y317=0,0,F317-Y317)</f>
        <v/>
      </c>
      <c r="AA317" s="34">
        <f>SUMIFS('[1]GİP VERİLERİ'!$O:$O,'[1]GİP VERİLERİ'!$B:$B,A317,'[1]GİP VERİLERİ'!$M:$M,"40X000000104782K",'[1]GİP VERİLERİ'!$G:$G,"BUY")</f>
        <v/>
      </c>
      <c r="AB317" s="34">
        <f>'[1]GÖP VERİLERİ'!H318</f>
        <v/>
      </c>
      <c r="AC317" s="34">
        <f>'[1]GÖP VERİLERİ'!I318</f>
        <v/>
      </c>
      <c r="AD317" s="34">
        <f>IF(AB317&gt;AC317*1.05,AB317-AC317*1.05,IF(AB317&lt;AC317*0.95,AC317*0.95-AB317,0))</f>
        <v/>
      </c>
      <c r="AE317" s="34">
        <f>MAX(F317,G317,750)*0.05*AD317</f>
        <v/>
      </c>
      <c r="AF317" s="34">
        <f>'[1]GÖP VERİLERİ'!J318</f>
        <v/>
      </c>
      <c r="AG317" s="34">
        <f>IF(AB317&gt;AF317*1.05,AB317-AF317*1.05,IF(AB317&lt;AF317*0.95,AF317*0.95-AB317,0))</f>
        <v/>
      </c>
      <c r="AH317" s="34">
        <f>MAX(I317,J317,750)*0.05*AG317</f>
        <v/>
      </c>
      <c r="AI317">
        <f>'[1]GÖP VERİLERİ'!E318</f>
        <v/>
      </c>
      <c r="AJ317">
        <f>'[1]GÖP VERİLERİ'!F318</f>
        <v/>
      </c>
      <c r="AK317" s="34">
        <f>IF(AI317&gt;AJ317*1.05,AI317-AJ317*1.05,IF(AI317&lt;AJ317*0.95,AJ317*0.95-AI317,0))</f>
        <v/>
      </c>
      <c r="AL317" s="34">
        <f>MAX(F317,G317,750)*0.05*AK317</f>
        <v/>
      </c>
      <c r="AM317" s="39">
        <f>'[1]GÖP VERİLERİ'!G318</f>
        <v/>
      </c>
      <c r="AN317" s="34">
        <f>IF(AI317&gt;AM317*1.05,AI317-AM317*1.05,IF(AI317&lt;AM317*0.95,AM317*0.95-AI317,0))</f>
        <v/>
      </c>
      <c r="AO317" s="34">
        <f>MAX(F317,G317,750)*0.05*AN317</f>
        <v/>
      </c>
      <c r="AP317" s="34">
        <f>'[1]GÖP VERİLERİ'!B318</f>
        <v/>
      </c>
      <c r="AQ317" s="34">
        <f>'[1]GÖP VERİLERİ'!C318</f>
        <v/>
      </c>
      <c r="AR317" s="34">
        <f>IF(AP317&gt;AQ317*1.05,AP317-AQ317*1.05,IF(AP317&lt;AQ317*0.95,AQ317*0.95-AP317,0))</f>
        <v/>
      </c>
      <c r="AS317" s="34">
        <f>MAX(F317:G317,750)*0.05*AR317</f>
        <v/>
      </c>
      <c r="AT317">
        <f>'[1]GÖP VERİLERİ'!D318</f>
        <v/>
      </c>
      <c r="AU317" s="34">
        <f>IF(AP317&gt;AT317*1.05,AP317-AT317*1.05,IF(AP317&lt;AT317*0.95,AT317*0.95-AP317,0))</f>
        <v/>
      </c>
      <c r="AV317" s="34">
        <f>MAX(F317:G317,750)*0.05*AU317</f>
        <v/>
      </c>
      <c r="AW317" s="34">
        <f>AC317+AJ317+AQ317</f>
        <v/>
      </c>
      <c r="AX317" s="34">
        <f>AF317+AM317+AT317</f>
        <v/>
      </c>
      <c r="AY317" s="34">
        <f>AB317+AI317+AP317</f>
        <v/>
      </c>
      <c r="AZ317" s="34" t="n">
        <v>0</v>
      </c>
      <c r="BA317" s="34">
        <f>AD317+AK317+AR317</f>
        <v/>
      </c>
      <c r="BB317" s="34">
        <f>MAX(F317:G317,750)*0.05*BA317</f>
        <v/>
      </c>
      <c r="BC317" s="34">
        <f>AG317+AN317+AU317</f>
        <v/>
      </c>
      <c r="BD317" s="34">
        <f>MAX(F317:G317,750)*0.05*BC317</f>
        <v/>
      </c>
      <c r="BE317" s="34">
        <f>F317*AY317</f>
        <v/>
      </c>
      <c r="BF317" s="34">
        <f>K317-M317</f>
        <v/>
      </c>
      <c r="BG317" s="34">
        <f>P317-S317</f>
        <v/>
      </c>
      <c r="BH317" s="34">
        <f>W317-AA317</f>
        <v/>
      </c>
      <c r="BI317" s="34">
        <f>BF317+BG317+BL317-BN317</f>
        <v/>
      </c>
      <c r="BJ317" s="34">
        <f>ABS(BK317)</f>
        <v/>
      </c>
      <c r="BK317" s="34">
        <f>AY317-(J317-L317+N317-Q317)</f>
        <v/>
      </c>
      <c r="BL317" s="34">
        <f>IF(AND(BK317&gt;0,MIN($F317:$G317)&lt;150,$E317="Enerji Açığı"),-100*BK317*1.03,IF(AND(BK317&gt;0,MIN($F317:$G317)&lt;150,$E317="Enerji Fazlası"),-100*BK317*1.06,IF(AND(BK317&gt;0,MIN($F317:$G317)&gt;=150,$E317="Enerji Açığı"),BK317*MIN($F317:$G317)*0.97,IF(AND(BK317&gt;0,MIN($F317:$G317)&gt;=150,$E317="Enerji Fazlası"),BK317*MIN($F317:$G317)*0.94,IF(AND(BK317&lt;0,MAX($F317:$G317)=4500,$E317="Enerji Açığı"),4500*1.05*1.06*BK317,IF(AND(BK317&lt;0,MAX($F317:$G317)=4500,$E317="Enerji Fazlası"),4500*1.05*1.03*BK317,IF(AND(BK317&lt;0,$E317="Enerji Açığı"),MAX($F317,$G317,150)*BK317*1.06,IF(AND(BK317&lt;0,$E317="Enerji Fazlası"),MAX($F317,$G317,150)*BK317*1.03,IF(AND(BK317&lt;0,$E317="Dengede"),MAX($F317:$G317,150)*1.03*BK317,MIN($F317:$G317)*0.97*BK317)))))))))</f>
        <v/>
      </c>
      <c r="BM317" s="34">
        <f>BE317-BI317-BN317</f>
        <v/>
      </c>
      <c r="BN317" s="34">
        <f>BB317</f>
        <v/>
      </c>
      <c r="BO317" s="34">
        <f>BE317-BI317</f>
        <v/>
      </c>
      <c r="BP317" s="34">
        <f>IF(AY317=0,0,BO317/AY317)</f>
        <v/>
      </c>
      <c r="BQ317" s="34">
        <f>MAX((AY317+MAX((-J317+L317-N317+Q317),0)),(MAX((J317-L317+N317-Q317),0)))</f>
        <v/>
      </c>
      <c r="BR317" s="82">
        <f>IFERROR(ABS(BK317/BQ317),0)</f>
        <v/>
      </c>
      <c r="BS317" s="34">
        <f>IF(BR317&lt;=0.1,0,BK317/BR317*(BR317-0.1))</f>
        <v/>
      </c>
      <c r="BT317" s="34">
        <f>IF((BS317)&lt;0,MAX(F317:G317)*(BS317)*1.03,MIN(F317:G317)*(BS317)*0.97)</f>
        <v/>
      </c>
      <c r="BU317" s="34">
        <f>IF(BR317&gt;0.1,1,0)</f>
        <v/>
      </c>
      <c r="BV317" s="34">
        <f>BF317+BG317+BH317+BY317-CA317</f>
        <v/>
      </c>
      <c r="BW317" s="34">
        <f>ABS(BX317)</f>
        <v/>
      </c>
      <c r="BX317" s="34">
        <f>AY317-(J317-L317+N317-Q317+T317-X317)</f>
        <v/>
      </c>
      <c r="BY317" s="34">
        <f>IF(AND(BX317&gt;0,MIN($F317:$G317)&lt;150,$E317="Enerji Açığı"),-100*BX317*1.03,IF(AND(BX317&gt;0,MIN($F317:$G317)&lt;150,$E317="Enerji Fazlası"),-100*BX317*1.06,IF(AND(BX317&gt;0,MIN($F317:$G317)&gt;=150,$E317="Enerji Açığı"),BX317*MIN($F317:$G317)*0.97,IF(AND(BX317&gt;0,MIN($F317:$G317)&gt;=150,$E317="Enerji Fazlası"),BX317*MIN($F317:$G317)*0.94,IF(AND(BX317&lt;0,MAX($F317:$G317)=4500,$E317="Enerji Açığı"),4500*1.05*1.06*BX317,IF(AND(BX317&lt;0,MAX($F317:$G317)=4500,$E317="Enerji Fazlası"),4500*1.05*1.03*BX317,IF(AND(BX317&lt;0,$E317="Enerji Açığı"),MAX($F317,$G317,150)*BX317*1.06,IF(AND(BX317&lt;0,$E317="Enerji Fazlası"),MAX($F317,$G317,150)*BX317*1.03,IF(AND(BX317&lt;0,$E317="Dengede"),MAX($F317:$G317,150)*1.03*BX317,MIN($F317:$G317)*0.97*BX317)))))))))</f>
        <v/>
      </c>
      <c r="BZ317" s="34">
        <f>BE317-BV317-CA317</f>
        <v/>
      </c>
      <c r="CA317" s="34">
        <f>BD317</f>
        <v/>
      </c>
      <c r="CB317" s="33">
        <f>BE317-BV317</f>
        <v/>
      </c>
      <c r="CC317" s="34">
        <f>IF(AY317=0,0,CB317/AY317)</f>
        <v/>
      </c>
      <c r="CD317" s="34">
        <f>MAX((AY317+MAX((-J317+L317-N317+Q317-T317+X317),0)),(MAX((J317-L317+N317-Q317+T317-X317),0)))</f>
        <v/>
      </c>
      <c r="CE317" s="82">
        <f>IFERROR(ABS(BX317/CD317),0)</f>
        <v/>
      </c>
      <c r="CF317" s="34">
        <f>IF(CE317&lt;=0.1,0,BX317/CE317*(CE317-0.1))</f>
        <v/>
      </c>
      <c r="CG317" s="34">
        <f>IF((CF317)&lt;0,MAX(F317:G317)*(CF317)*1.03,MIN(F317:G317)*(CF317)*0.97)</f>
        <v/>
      </c>
      <c r="CH317" s="34">
        <f>IF(CE317&gt;0.1,1,0)</f>
        <v/>
      </c>
      <c r="CI317" s="34">
        <f>(F317*BX317)-BY317</f>
        <v/>
      </c>
      <c r="CJ317" s="34">
        <f>IF(AY317=0,0,CI317/AY317)</f>
        <v/>
      </c>
    </row>
    <row r="318">
      <c r="A318" s="29">
        <f>[1]FİYATLAR!A293</f>
        <v/>
      </c>
      <c r="B318" s="29">
        <f>[1]FİYATLAR!B293</f>
        <v/>
      </c>
      <c r="C318" s="35">
        <f>INT(A318)</f>
        <v/>
      </c>
      <c r="D318" s="36">
        <f>MONTH(A318)</f>
        <v/>
      </c>
      <c r="E318" s="147">
        <f>[1]FİYATLAR!G293</f>
        <v/>
      </c>
      <c r="F318" s="30">
        <f>[1]FİYATLAR!C293</f>
        <v/>
      </c>
      <c r="G318" s="30">
        <f>[1]FİYATLAR!E293</f>
        <v/>
      </c>
      <c r="H318" s="30">
        <f>[1]FİYATLAR!D293</f>
        <v/>
      </c>
      <c r="I318" s="30">
        <f>[1]FİYATLAR!F293</f>
        <v/>
      </c>
      <c r="J318" s="119" t="n">
        <v>0</v>
      </c>
      <c r="K318" s="34">
        <f>F318*J318</f>
        <v/>
      </c>
      <c r="L318" s="119" t="n"/>
      <c r="M318" s="34">
        <f>L318*F318</f>
        <v/>
      </c>
      <c r="N318" s="119" t="n"/>
      <c r="O318" s="34">
        <f>F318</f>
        <v/>
      </c>
      <c r="P318" s="34">
        <f>N318*O318</f>
        <v/>
      </c>
      <c r="Q318" s="117" t="n">
        <v>0</v>
      </c>
      <c r="R318" s="34">
        <f>F318</f>
        <v/>
      </c>
      <c r="S318" s="34">
        <f>R318*Q318</f>
        <v/>
      </c>
      <c r="T318" s="34">
        <f>SUMIFS('[1]GİP VERİLERİ'!$C:$C,'[1]GİP VERİLERİ'!$B:$B,A318,'[1]GİP VERİLERİ'!$M:$M,"40X000000104782K",'[1]GİP VERİLERİ'!$G:$G,"SELL")</f>
        <v/>
      </c>
      <c r="U318" s="34">
        <f>IFERROR(W318/T318,0)</f>
        <v/>
      </c>
      <c r="V318" s="34">
        <f>IF(U318=0,0,U318-F318)</f>
        <v/>
      </c>
      <c r="W318" s="34">
        <f>SUMIFS('[1]GİP VERİLERİ'!$O:$O,'[1]GİP VERİLERİ'!$B:$B,A318,'[1]GİP VERİLERİ'!$M:$M,"40X000000104782K",'[1]GİP VERİLERİ'!$G:$G,"SELL")</f>
        <v/>
      </c>
      <c r="X318" s="34">
        <f>SUMIFS('[1]GİP VERİLERİ'!$C:$C,'[1]GİP VERİLERİ'!$B:$B,A318,'[1]GİP VERİLERİ'!$M:$M,"40X000000104782K",'[1]GİP VERİLERİ'!$G:$G,"BUY")</f>
        <v/>
      </c>
      <c r="Y318" s="34">
        <f>IFERROR(AA318/X318,0)</f>
        <v/>
      </c>
      <c r="Z318" s="34">
        <f>IF(Y318=0,0,F318-Y318)</f>
        <v/>
      </c>
      <c r="AA318" s="34">
        <f>SUMIFS('[1]GİP VERİLERİ'!$O:$O,'[1]GİP VERİLERİ'!$B:$B,A318,'[1]GİP VERİLERİ'!$M:$M,"40X000000104782K",'[1]GİP VERİLERİ'!$G:$G,"BUY")</f>
        <v/>
      </c>
      <c r="AB318" s="34">
        <f>'[1]GÖP VERİLERİ'!H319</f>
        <v/>
      </c>
      <c r="AC318" s="34">
        <f>'[1]GÖP VERİLERİ'!I319</f>
        <v/>
      </c>
      <c r="AD318" s="34">
        <f>IF(AB318&gt;AC318*1.05,AB318-AC318*1.05,IF(AB318&lt;AC318*0.95,AC318*0.95-AB318,0))</f>
        <v/>
      </c>
      <c r="AE318" s="34">
        <f>MAX(F318,G318,750)*0.05*AD318</f>
        <v/>
      </c>
      <c r="AF318" s="34">
        <f>'[1]GÖP VERİLERİ'!J319</f>
        <v/>
      </c>
      <c r="AG318" s="34">
        <f>IF(AB318&gt;AF318*1.05,AB318-AF318*1.05,IF(AB318&lt;AF318*0.95,AF318*0.95-AB318,0))</f>
        <v/>
      </c>
      <c r="AH318" s="34">
        <f>MAX(I318,J318,750)*0.05*AG318</f>
        <v/>
      </c>
      <c r="AI318">
        <f>'[1]GÖP VERİLERİ'!E319</f>
        <v/>
      </c>
      <c r="AJ318">
        <f>'[1]GÖP VERİLERİ'!F319</f>
        <v/>
      </c>
      <c r="AK318" s="34">
        <f>IF(AI318&gt;AJ318*1.05,AI318-AJ318*1.05,IF(AI318&lt;AJ318*0.95,AJ318*0.95-AI318,0))</f>
        <v/>
      </c>
      <c r="AL318" s="34">
        <f>MAX(F318,G318,750)*0.05*AK318</f>
        <v/>
      </c>
      <c r="AM318" s="39">
        <f>'[1]GÖP VERİLERİ'!G319</f>
        <v/>
      </c>
      <c r="AN318" s="34">
        <f>IF(AI318&gt;AM318*1.05,AI318-AM318*1.05,IF(AI318&lt;AM318*0.95,AM318*0.95-AI318,0))</f>
        <v/>
      </c>
      <c r="AO318" s="34">
        <f>MAX(F318,G318,750)*0.05*AN318</f>
        <v/>
      </c>
      <c r="AP318" s="34">
        <f>'[1]GÖP VERİLERİ'!B319</f>
        <v/>
      </c>
      <c r="AQ318" s="34">
        <f>'[1]GÖP VERİLERİ'!C319</f>
        <v/>
      </c>
      <c r="AR318" s="34">
        <f>IF(AP318&gt;AQ318*1.05,AP318-AQ318*1.05,IF(AP318&lt;AQ318*0.95,AQ318*0.95-AP318,0))</f>
        <v/>
      </c>
      <c r="AS318" s="34">
        <f>MAX(F318:G318,750)*0.05*AR318</f>
        <v/>
      </c>
      <c r="AT318">
        <f>'[1]GÖP VERİLERİ'!D319</f>
        <v/>
      </c>
      <c r="AU318" s="34">
        <f>IF(AP318&gt;AT318*1.05,AP318-AT318*1.05,IF(AP318&lt;AT318*0.95,AT318*0.95-AP318,0))</f>
        <v/>
      </c>
      <c r="AV318" s="34">
        <f>MAX(F318:G318,750)*0.05*AU318</f>
        <v/>
      </c>
      <c r="AW318" s="34">
        <f>AC318+AJ318+AQ318</f>
        <v/>
      </c>
      <c r="AX318" s="34">
        <f>AF318+AM318+AT318</f>
        <v/>
      </c>
      <c r="AY318" s="34">
        <f>AB318+AI318+AP318</f>
        <v/>
      </c>
      <c r="AZ318" s="34" t="n">
        <v>0</v>
      </c>
      <c r="BA318" s="34">
        <f>AD318+AK318+AR318</f>
        <v/>
      </c>
      <c r="BB318" s="34">
        <f>MAX(F318:G318,750)*0.05*BA318</f>
        <v/>
      </c>
      <c r="BC318" s="34">
        <f>AG318+AN318+AU318</f>
        <v/>
      </c>
      <c r="BD318" s="34">
        <f>MAX(F318:G318,750)*0.05*BC318</f>
        <v/>
      </c>
      <c r="BE318" s="34">
        <f>F318*AY318</f>
        <v/>
      </c>
      <c r="BF318" s="34">
        <f>K318-M318</f>
        <v/>
      </c>
      <c r="BG318" s="34">
        <f>P318-S318</f>
        <v/>
      </c>
      <c r="BH318" s="34">
        <f>W318-AA318</f>
        <v/>
      </c>
      <c r="BI318" s="34">
        <f>BF318+BG318+BL318-BN318</f>
        <v/>
      </c>
      <c r="BJ318" s="34">
        <f>ABS(BK318)</f>
        <v/>
      </c>
      <c r="BK318" s="34">
        <f>AY318-(J318-L318+N318-Q318)</f>
        <v/>
      </c>
      <c r="BL318" s="34">
        <f>IF(AND(BK318&gt;0,MIN($F318:$G318)&lt;150,$E318="Enerji Açığı"),-100*BK318*1.03,IF(AND(BK318&gt;0,MIN($F318:$G318)&lt;150,$E318="Enerji Fazlası"),-100*BK318*1.06,IF(AND(BK318&gt;0,MIN($F318:$G318)&gt;=150,$E318="Enerji Açığı"),BK318*MIN($F318:$G318)*0.97,IF(AND(BK318&gt;0,MIN($F318:$G318)&gt;=150,$E318="Enerji Fazlası"),BK318*MIN($F318:$G318)*0.94,IF(AND(BK318&lt;0,MAX($F318:$G318)=4500,$E318="Enerji Açığı"),4500*1.05*1.06*BK318,IF(AND(BK318&lt;0,MAX($F318:$G318)=4500,$E318="Enerji Fazlası"),4500*1.05*1.03*BK318,IF(AND(BK318&lt;0,$E318="Enerji Açığı"),MAX($F318,$G318,150)*BK318*1.06,IF(AND(BK318&lt;0,$E318="Enerji Fazlası"),MAX($F318,$G318,150)*BK318*1.03,IF(AND(BK318&lt;0,$E318="Dengede"),MAX($F318:$G318,150)*1.03*BK318,MIN($F318:$G318)*0.97*BK318)))))))))</f>
        <v/>
      </c>
      <c r="BM318" s="34">
        <f>BE318-BI318-BN318</f>
        <v/>
      </c>
      <c r="BN318" s="34">
        <f>BB318</f>
        <v/>
      </c>
      <c r="BO318" s="34">
        <f>BE318-BI318</f>
        <v/>
      </c>
      <c r="BP318" s="34">
        <f>IF(AY318=0,0,BO318/AY318)</f>
        <v/>
      </c>
      <c r="BQ318" s="34">
        <f>MAX((AY318+MAX((-J318+L318-N318+Q318),0)),(MAX((J318-L318+N318-Q318),0)))</f>
        <v/>
      </c>
      <c r="BR318" s="82">
        <f>IFERROR(ABS(BK318/BQ318),0)</f>
        <v/>
      </c>
      <c r="BS318" s="34">
        <f>IF(BR318&lt;=0.1,0,BK318/BR318*(BR318-0.1))</f>
        <v/>
      </c>
      <c r="BT318" s="34">
        <f>IF((BS318)&lt;0,MAX(F318:G318)*(BS318)*1.03,MIN(F318:G318)*(BS318)*0.97)</f>
        <v/>
      </c>
      <c r="BU318" s="34">
        <f>IF(BR318&gt;0.1,1,0)</f>
        <v/>
      </c>
      <c r="BV318" s="34">
        <f>BF318+BG318+BH318+BY318-CA318</f>
        <v/>
      </c>
      <c r="BW318" s="34">
        <f>ABS(BX318)</f>
        <v/>
      </c>
      <c r="BX318" s="34">
        <f>AY318-(J318-L318+N318-Q318+T318-X318)</f>
        <v/>
      </c>
      <c r="BY318" s="34">
        <f>IF(AND(BX318&gt;0,MIN($F318:$G318)&lt;150,$E318="Enerji Açığı"),-100*BX318*1.03,IF(AND(BX318&gt;0,MIN($F318:$G318)&lt;150,$E318="Enerji Fazlası"),-100*BX318*1.06,IF(AND(BX318&gt;0,MIN($F318:$G318)&gt;=150,$E318="Enerji Açığı"),BX318*MIN($F318:$G318)*0.97,IF(AND(BX318&gt;0,MIN($F318:$G318)&gt;=150,$E318="Enerji Fazlası"),BX318*MIN($F318:$G318)*0.94,IF(AND(BX318&lt;0,MAX($F318:$G318)=4500,$E318="Enerji Açığı"),4500*1.05*1.06*BX318,IF(AND(BX318&lt;0,MAX($F318:$G318)=4500,$E318="Enerji Fazlası"),4500*1.05*1.03*BX318,IF(AND(BX318&lt;0,$E318="Enerji Açığı"),MAX($F318,$G318,150)*BX318*1.06,IF(AND(BX318&lt;0,$E318="Enerji Fazlası"),MAX($F318,$G318,150)*BX318*1.03,IF(AND(BX318&lt;0,$E318="Dengede"),MAX($F318:$G318,150)*1.03*BX318,MIN($F318:$G318)*0.97*BX318)))))))))</f>
        <v/>
      </c>
      <c r="BZ318" s="34">
        <f>BE318-BV318-CA318</f>
        <v/>
      </c>
      <c r="CA318" s="34">
        <f>BD318</f>
        <v/>
      </c>
      <c r="CB318" s="33">
        <f>BE318-BV318</f>
        <v/>
      </c>
      <c r="CC318" s="34">
        <f>IF(AY318=0,0,CB318/AY318)</f>
        <v/>
      </c>
      <c r="CD318" s="34">
        <f>MAX((AY318+MAX((-J318+L318-N318+Q318-T318+X318),0)),(MAX((J318-L318+N318-Q318+T318-X318),0)))</f>
        <v/>
      </c>
      <c r="CE318" s="82">
        <f>IFERROR(ABS(BX318/CD318),0)</f>
        <v/>
      </c>
      <c r="CF318" s="34">
        <f>IF(CE318&lt;=0.1,0,BX318/CE318*(CE318-0.1))</f>
        <v/>
      </c>
      <c r="CG318" s="34">
        <f>IF((CF318)&lt;0,MAX(F318:G318)*(CF318)*1.03,MIN(F318:G318)*(CF318)*0.97)</f>
        <v/>
      </c>
      <c r="CH318" s="34">
        <f>IF(CE318&gt;0.1,1,0)</f>
        <v/>
      </c>
      <c r="CI318" s="34">
        <f>(F318*BX318)-BY318</f>
        <v/>
      </c>
      <c r="CJ318" s="34">
        <f>IF(AY318=0,0,CI318/AY318)</f>
        <v/>
      </c>
    </row>
    <row r="319">
      <c r="A319" s="29">
        <f>[1]FİYATLAR!A294</f>
        <v/>
      </c>
      <c r="B319" s="29">
        <f>[1]FİYATLAR!B294</f>
        <v/>
      </c>
      <c r="C319" s="35">
        <f>INT(A319)</f>
        <v/>
      </c>
      <c r="D319" s="36">
        <f>MONTH(A319)</f>
        <v/>
      </c>
      <c r="E319" s="147">
        <f>[1]FİYATLAR!G294</f>
        <v/>
      </c>
      <c r="F319" s="30">
        <f>[1]FİYATLAR!C294</f>
        <v/>
      </c>
      <c r="G319" s="30">
        <f>[1]FİYATLAR!E294</f>
        <v/>
      </c>
      <c r="H319" s="30">
        <f>[1]FİYATLAR!D294</f>
        <v/>
      </c>
      <c r="I319" s="30">
        <f>[1]FİYATLAR!F294</f>
        <v/>
      </c>
      <c r="J319" s="119" t="n">
        <v>0</v>
      </c>
      <c r="K319" s="34">
        <f>F319*J319</f>
        <v/>
      </c>
      <c r="L319" s="119" t="n"/>
      <c r="M319" s="34">
        <f>L319*F319</f>
        <v/>
      </c>
      <c r="N319" s="119" t="n"/>
      <c r="O319" s="34">
        <f>F319</f>
        <v/>
      </c>
      <c r="P319" s="34">
        <f>N319*O319</f>
        <v/>
      </c>
      <c r="Q319" s="117" t="n">
        <v>0</v>
      </c>
      <c r="R319" s="34">
        <f>F319</f>
        <v/>
      </c>
      <c r="S319" s="34">
        <f>R319*Q319</f>
        <v/>
      </c>
      <c r="T319" s="34">
        <f>SUMIFS('[1]GİP VERİLERİ'!$C:$C,'[1]GİP VERİLERİ'!$B:$B,A319,'[1]GİP VERİLERİ'!$M:$M,"40X000000104782K",'[1]GİP VERİLERİ'!$G:$G,"SELL")</f>
        <v/>
      </c>
      <c r="U319" s="34">
        <f>IFERROR(W319/T319,0)</f>
        <v/>
      </c>
      <c r="V319" s="34">
        <f>IF(U319=0,0,U319-F319)</f>
        <v/>
      </c>
      <c r="W319" s="34">
        <f>SUMIFS('[1]GİP VERİLERİ'!$O:$O,'[1]GİP VERİLERİ'!$B:$B,A319,'[1]GİP VERİLERİ'!$M:$M,"40X000000104782K",'[1]GİP VERİLERİ'!$G:$G,"SELL")</f>
        <v/>
      </c>
      <c r="X319" s="34">
        <f>SUMIFS('[1]GİP VERİLERİ'!$C:$C,'[1]GİP VERİLERİ'!$B:$B,A319,'[1]GİP VERİLERİ'!$M:$M,"40X000000104782K",'[1]GİP VERİLERİ'!$G:$G,"BUY")</f>
        <v/>
      </c>
      <c r="Y319" s="34">
        <f>IFERROR(AA319/X319,0)</f>
        <v/>
      </c>
      <c r="Z319" s="34">
        <f>IF(Y319=0,0,F319-Y319)</f>
        <v/>
      </c>
      <c r="AA319" s="34">
        <f>SUMIFS('[1]GİP VERİLERİ'!$O:$O,'[1]GİP VERİLERİ'!$B:$B,A319,'[1]GİP VERİLERİ'!$M:$M,"40X000000104782K",'[1]GİP VERİLERİ'!$G:$G,"BUY")</f>
        <v/>
      </c>
      <c r="AB319" s="34">
        <f>'[1]GÖP VERİLERİ'!H320</f>
        <v/>
      </c>
      <c r="AC319" s="34">
        <f>'[1]GÖP VERİLERİ'!I320</f>
        <v/>
      </c>
      <c r="AD319" s="34">
        <f>IF(AB319&gt;AC319*1.05,AB319-AC319*1.05,IF(AB319&lt;AC319*0.95,AC319*0.95-AB319,0))</f>
        <v/>
      </c>
      <c r="AE319" s="34">
        <f>MAX(F319,G319,750)*0.05*AD319</f>
        <v/>
      </c>
      <c r="AF319" s="34">
        <f>'[1]GÖP VERİLERİ'!J320</f>
        <v/>
      </c>
      <c r="AG319" s="34">
        <f>IF(AB319&gt;AF319*1.05,AB319-AF319*1.05,IF(AB319&lt;AF319*0.95,AF319*0.95-AB319,0))</f>
        <v/>
      </c>
      <c r="AH319" s="34">
        <f>MAX(I319,J319,750)*0.05*AG319</f>
        <v/>
      </c>
      <c r="AI319">
        <f>'[1]GÖP VERİLERİ'!E320</f>
        <v/>
      </c>
      <c r="AJ319">
        <f>'[1]GÖP VERİLERİ'!F320</f>
        <v/>
      </c>
      <c r="AK319" s="34">
        <f>IF(AI319&gt;AJ319*1.05,AI319-AJ319*1.05,IF(AI319&lt;AJ319*0.95,AJ319*0.95-AI319,0))</f>
        <v/>
      </c>
      <c r="AL319" s="34">
        <f>MAX(F319,G319,750)*0.05*AK319</f>
        <v/>
      </c>
      <c r="AM319" s="39">
        <f>'[1]GÖP VERİLERİ'!G320</f>
        <v/>
      </c>
      <c r="AN319" s="34">
        <f>IF(AI319&gt;AM319*1.05,AI319-AM319*1.05,IF(AI319&lt;AM319*0.95,AM319*0.95-AI319,0))</f>
        <v/>
      </c>
      <c r="AO319" s="34">
        <f>MAX(F319,G319,750)*0.05*AN319</f>
        <v/>
      </c>
      <c r="AP319" s="34">
        <f>'[1]GÖP VERİLERİ'!B320</f>
        <v/>
      </c>
      <c r="AQ319" s="34">
        <f>'[1]GÖP VERİLERİ'!C320</f>
        <v/>
      </c>
      <c r="AR319" s="34">
        <f>IF(AP319&gt;AQ319*1.05,AP319-AQ319*1.05,IF(AP319&lt;AQ319*0.95,AQ319*0.95-AP319,0))</f>
        <v/>
      </c>
      <c r="AS319" s="34">
        <f>MAX(F319:G319,750)*0.05*AR319</f>
        <v/>
      </c>
      <c r="AT319">
        <f>'[1]GÖP VERİLERİ'!D320</f>
        <v/>
      </c>
      <c r="AU319" s="34">
        <f>IF(AP319&gt;AT319*1.05,AP319-AT319*1.05,IF(AP319&lt;AT319*0.95,AT319*0.95-AP319,0))</f>
        <v/>
      </c>
      <c r="AV319" s="34">
        <f>MAX(F319:G319,750)*0.05*AU319</f>
        <v/>
      </c>
      <c r="AW319" s="34">
        <f>AC319+AJ319+AQ319</f>
        <v/>
      </c>
      <c r="AX319" s="34">
        <f>AF319+AM319+AT319</f>
        <v/>
      </c>
      <c r="AY319" s="34">
        <f>AB319+AI319+AP319</f>
        <v/>
      </c>
      <c r="AZ319" s="34" t="n">
        <v>0</v>
      </c>
      <c r="BA319" s="34">
        <f>AD319+AK319+AR319</f>
        <v/>
      </c>
      <c r="BB319" s="34">
        <f>MAX(F319:G319,750)*0.05*BA319</f>
        <v/>
      </c>
      <c r="BC319" s="34">
        <f>AG319+AN319+AU319</f>
        <v/>
      </c>
      <c r="BD319" s="34">
        <f>MAX(F319:G319,750)*0.05*BC319</f>
        <v/>
      </c>
      <c r="BE319" s="34">
        <f>F319*AY319</f>
        <v/>
      </c>
      <c r="BF319" s="34">
        <f>K319-M319</f>
        <v/>
      </c>
      <c r="BG319" s="34">
        <f>P319-S319</f>
        <v/>
      </c>
      <c r="BH319" s="34">
        <f>W319-AA319</f>
        <v/>
      </c>
      <c r="BI319" s="34">
        <f>BF319+BG319+BL319-BN319</f>
        <v/>
      </c>
      <c r="BJ319" s="34">
        <f>ABS(BK319)</f>
        <v/>
      </c>
      <c r="BK319" s="34">
        <f>AY319-(J319-L319+N319-Q319)</f>
        <v/>
      </c>
      <c r="BL319" s="34">
        <f>IF(AND(BK319&gt;0,MIN($F319:$G319)&lt;150,$E319="Enerji Açığı"),-100*BK319*1.03,IF(AND(BK319&gt;0,MIN($F319:$G319)&lt;150,$E319="Enerji Fazlası"),-100*BK319*1.06,IF(AND(BK319&gt;0,MIN($F319:$G319)&gt;=150,$E319="Enerji Açığı"),BK319*MIN($F319:$G319)*0.97,IF(AND(BK319&gt;0,MIN($F319:$G319)&gt;=150,$E319="Enerji Fazlası"),BK319*MIN($F319:$G319)*0.94,IF(AND(BK319&lt;0,MAX($F319:$G319)=4500,$E319="Enerji Açığı"),4500*1.05*1.06*BK319,IF(AND(BK319&lt;0,MAX($F319:$G319)=4500,$E319="Enerji Fazlası"),4500*1.05*1.03*BK319,IF(AND(BK319&lt;0,$E319="Enerji Açığı"),MAX($F319,$G319,150)*BK319*1.06,IF(AND(BK319&lt;0,$E319="Enerji Fazlası"),MAX($F319,$G319,150)*BK319*1.03,IF(AND(BK319&lt;0,$E319="Dengede"),MAX($F319:$G319,150)*1.03*BK319,MIN($F319:$G319)*0.97*BK319)))))))))</f>
        <v/>
      </c>
      <c r="BM319" s="34">
        <f>BE319-BI319-BN319</f>
        <v/>
      </c>
      <c r="BN319" s="34">
        <f>BB319</f>
        <v/>
      </c>
      <c r="BO319" s="34">
        <f>BE319-BI319</f>
        <v/>
      </c>
      <c r="BP319" s="34">
        <f>IF(AY319=0,0,BO319/AY319)</f>
        <v/>
      </c>
      <c r="BQ319" s="34">
        <f>MAX((AY319+MAX((-J319+L319-N319+Q319),0)),(MAX((J319-L319+N319-Q319),0)))</f>
        <v/>
      </c>
      <c r="BR319" s="82">
        <f>IFERROR(ABS(BK319/BQ319),0)</f>
        <v/>
      </c>
      <c r="BS319" s="34">
        <f>IF(BR319&lt;=0.1,0,BK319/BR319*(BR319-0.1))</f>
        <v/>
      </c>
      <c r="BT319" s="34">
        <f>IF((BS319)&lt;0,MAX(F319:G319)*(BS319)*1.03,MIN(F319:G319)*(BS319)*0.97)</f>
        <v/>
      </c>
      <c r="BU319" s="34">
        <f>IF(BR319&gt;0.1,1,0)</f>
        <v/>
      </c>
      <c r="BV319" s="34">
        <f>BF319+BG319+BH319+BY319-CA319</f>
        <v/>
      </c>
      <c r="BW319" s="34">
        <f>ABS(BX319)</f>
        <v/>
      </c>
      <c r="BX319" s="34">
        <f>AY319-(J319-L319+N319-Q319+T319-X319)</f>
        <v/>
      </c>
      <c r="BY319" s="34">
        <f>IF(AND(BX319&gt;0,MIN($F319:$G319)&lt;150,$E319="Enerji Açığı"),-100*BX319*1.03,IF(AND(BX319&gt;0,MIN($F319:$G319)&lt;150,$E319="Enerji Fazlası"),-100*BX319*1.06,IF(AND(BX319&gt;0,MIN($F319:$G319)&gt;=150,$E319="Enerji Açığı"),BX319*MIN($F319:$G319)*0.97,IF(AND(BX319&gt;0,MIN($F319:$G319)&gt;=150,$E319="Enerji Fazlası"),BX319*MIN($F319:$G319)*0.94,IF(AND(BX319&lt;0,MAX($F319:$G319)=4500,$E319="Enerji Açığı"),4500*1.05*1.06*BX319,IF(AND(BX319&lt;0,MAX($F319:$G319)=4500,$E319="Enerji Fazlası"),4500*1.05*1.03*BX319,IF(AND(BX319&lt;0,$E319="Enerji Açığı"),MAX($F319,$G319,150)*BX319*1.06,IF(AND(BX319&lt;0,$E319="Enerji Fazlası"),MAX($F319,$G319,150)*BX319*1.03,IF(AND(BX319&lt;0,$E319="Dengede"),MAX($F319:$G319,150)*1.03*BX319,MIN($F319:$G319)*0.97*BX319)))))))))</f>
        <v/>
      </c>
      <c r="BZ319" s="34">
        <f>BE319-BV319-CA319</f>
        <v/>
      </c>
      <c r="CA319" s="34">
        <f>BD319</f>
        <v/>
      </c>
      <c r="CB319" s="33">
        <f>BE319-BV319</f>
        <v/>
      </c>
      <c r="CC319" s="34">
        <f>IF(AY319=0,0,CB319/AY319)</f>
        <v/>
      </c>
      <c r="CD319" s="34">
        <f>MAX((AY319+MAX((-J319+L319-N319+Q319-T319+X319),0)),(MAX((J319-L319+N319-Q319+T319-X319),0)))</f>
        <v/>
      </c>
      <c r="CE319" s="82">
        <f>IFERROR(ABS(BX319/CD319),0)</f>
        <v/>
      </c>
      <c r="CF319" s="34">
        <f>IF(CE319&lt;=0.1,0,BX319/CE319*(CE319-0.1))</f>
        <v/>
      </c>
      <c r="CG319" s="34">
        <f>IF((CF319)&lt;0,MAX(F319:G319)*(CF319)*1.03,MIN(F319:G319)*(CF319)*0.97)</f>
        <v/>
      </c>
      <c r="CH319" s="34">
        <f>IF(CE319&gt;0.1,1,0)</f>
        <v/>
      </c>
      <c r="CI319" s="34">
        <f>(F319*BX319)-BY319</f>
        <v/>
      </c>
      <c r="CJ319" s="34">
        <f>IF(AY319=0,0,CI319/AY319)</f>
        <v/>
      </c>
    </row>
    <row r="320">
      <c r="A320" s="29">
        <f>[1]FİYATLAR!A295</f>
        <v/>
      </c>
      <c r="B320" s="29">
        <f>[1]FİYATLAR!B295</f>
        <v/>
      </c>
      <c r="C320" s="35">
        <f>INT(A320)</f>
        <v/>
      </c>
      <c r="D320" s="36">
        <f>MONTH(A320)</f>
        <v/>
      </c>
      <c r="E320" s="147">
        <f>[1]FİYATLAR!G295</f>
        <v/>
      </c>
      <c r="F320" s="30">
        <f>[1]FİYATLAR!C295</f>
        <v/>
      </c>
      <c r="G320" s="30">
        <f>[1]FİYATLAR!E295</f>
        <v/>
      </c>
      <c r="H320" s="30">
        <f>[1]FİYATLAR!D295</f>
        <v/>
      </c>
      <c r="I320" s="30">
        <f>[1]FİYATLAR!F295</f>
        <v/>
      </c>
      <c r="J320" s="119" t="n">
        <v>0</v>
      </c>
      <c r="K320" s="34">
        <f>F320*J320</f>
        <v/>
      </c>
      <c r="L320" s="119" t="n"/>
      <c r="M320" s="34">
        <f>L320*F320</f>
        <v/>
      </c>
      <c r="N320" s="119" t="n"/>
      <c r="O320" s="34">
        <f>F320</f>
        <v/>
      </c>
      <c r="P320" s="34">
        <f>N320*O320</f>
        <v/>
      </c>
      <c r="Q320" s="117" t="n">
        <v>0</v>
      </c>
      <c r="R320" s="34">
        <f>F320</f>
        <v/>
      </c>
      <c r="S320" s="34">
        <f>R320*Q320</f>
        <v/>
      </c>
      <c r="T320" s="34">
        <f>SUMIFS('[1]GİP VERİLERİ'!$C:$C,'[1]GİP VERİLERİ'!$B:$B,A320,'[1]GİP VERİLERİ'!$M:$M,"40X000000104782K",'[1]GİP VERİLERİ'!$G:$G,"SELL")</f>
        <v/>
      </c>
      <c r="U320" s="34">
        <f>IFERROR(W320/T320,0)</f>
        <v/>
      </c>
      <c r="V320" s="34">
        <f>IF(U320=0,0,U320-F320)</f>
        <v/>
      </c>
      <c r="W320" s="34">
        <f>SUMIFS('[1]GİP VERİLERİ'!$O:$O,'[1]GİP VERİLERİ'!$B:$B,A320,'[1]GİP VERİLERİ'!$M:$M,"40X000000104782K",'[1]GİP VERİLERİ'!$G:$G,"SELL")</f>
        <v/>
      </c>
      <c r="X320" s="34">
        <f>SUMIFS('[1]GİP VERİLERİ'!$C:$C,'[1]GİP VERİLERİ'!$B:$B,A320,'[1]GİP VERİLERİ'!$M:$M,"40X000000104782K",'[1]GİP VERİLERİ'!$G:$G,"BUY")</f>
        <v/>
      </c>
      <c r="Y320" s="34">
        <f>IFERROR(AA320/X320,0)</f>
        <v/>
      </c>
      <c r="Z320" s="34">
        <f>IF(Y320=0,0,F320-Y320)</f>
        <v/>
      </c>
      <c r="AA320" s="34">
        <f>SUMIFS('[1]GİP VERİLERİ'!$O:$O,'[1]GİP VERİLERİ'!$B:$B,A320,'[1]GİP VERİLERİ'!$M:$M,"40X000000104782K",'[1]GİP VERİLERİ'!$G:$G,"BUY")</f>
        <v/>
      </c>
      <c r="AB320" s="34">
        <f>'[1]GÖP VERİLERİ'!H321</f>
        <v/>
      </c>
      <c r="AC320" s="34">
        <f>'[1]GÖP VERİLERİ'!I321</f>
        <v/>
      </c>
      <c r="AD320" s="34">
        <f>IF(AB320&gt;AC320*1.05,AB320-AC320*1.05,IF(AB320&lt;AC320*0.95,AC320*0.95-AB320,0))</f>
        <v/>
      </c>
      <c r="AE320" s="34">
        <f>MAX(F320,G320,750)*0.05*AD320</f>
        <v/>
      </c>
      <c r="AF320" s="34">
        <f>'[1]GÖP VERİLERİ'!J321</f>
        <v/>
      </c>
      <c r="AG320" s="34">
        <f>IF(AB320&gt;AF320*1.05,AB320-AF320*1.05,IF(AB320&lt;AF320*0.95,AF320*0.95-AB320,0))</f>
        <v/>
      </c>
      <c r="AH320" s="34">
        <f>MAX(I320,J320,750)*0.05*AG320</f>
        <v/>
      </c>
      <c r="AI320">
        <f>'[1]GÖP VERİLERİ'!E321</f>
        <v/>
      </c>
      <c r="AJ320">
        <f>'[1]GÖP VERİLERİ'!F321</f>
        <v/>
      </c>
      <c r="AK320" s="34">
        <f>IF(AI320&gt;AJ320*1.05,AI320-AJ320*1.05,IF(AI320&lt;AJ320*0.95,AJ320*0.95-AI320,0))</f>
        <v/>
      </c>
      <c r="AL320" s="34">
        <f>MAX(F320,G320,750)*0.05*AK320</f>
        <v/>
      </c>
      <c r="AM320" s="39">
        <f>'[1]GÖP VERİLERİ'!G321</f>
        <v/>
      </c>
      <c r="AN320" s="34">
        <f>IF(AI320&gt;AM320*1.05,AI320-AM320*1.05,IF(AI320&lt;AM320*0.95,AM320*0.95-AI320,0))</f>
        <v/>
      </c>
      <c r="AO320" s="34">
        <f>MAX(F320,G320,750)*0.05*AN320</f>
        <v/>
      </c>
      <c r="AP320" s="34">
        <f>'[1]GÖP VERİLERİ'!B321</f>
        <v/>
      </c>
      <c r="AQ320" s="34">
        <f>'[1]GÖP VERİLERİ'!C321</f>
        <v/>
      </c>
      <c r="AR320" s="34">
        <f>IF(AP320&gt;AQ320*1.05,AP320-AQ320*1.05,IF(AP320&lt;AQ320*0.95,AQ320*0.95-AP320,0))</f>
        <v/>
      </c>
      <c r="AS320" s="34">
        <f>MAX(F320:G320,750)*0.05*AR320</f>
        <v/>
      </c>
      <c r="AT320">
        <f>'[1]GÖP VERİLERİ'!D321</f>
        <v/>
      </c>
      <c r="AU320" s="34">
        <f>IF(AP320&gt;AT320*1.05,AP320-AT320*1.05,IF(AP320&lt;AT320*0.95,AT320*0.95-AP320,0))</f>
        <v/>
      </c>
      <c r="AV320" s="34">
        <f>MAX(F320:G320,750)*0.05*AU320</f>
        <v/>
      </c>
      <c r="AW320" s="34">
        <f>AC320+AJ320+AQ320</f>
        <v/>
      </c>
      <c r="AX320" s="34">
        <f>AF320+AM320+AT320</f>
        <v/>
      </c>
      <c r="AY320" s="34">
        <f>AB320+AI320+AP320</f>
        <v/>
      </c>
      <c r="AZ320" s="34" t="n">
        <v>0</v>
      </c>
      <c r="BA320" s="34">
        <f>AD320+AK320+AR320</f>
        <v/>
      </c>
      <c r="BB320" s="34">
        <f>MAX(F320:G320,750)*0.05*BA320</f>
        <v/>
      </c>
      <c r="BC320" s="34">
        <f>AG320+AN320+AU320</f>
        <v/>
      </c>
      <c r="BD320" s="34">
        <f>MAX(F320:G320,750)*0.05*BC320</f>
        <v/>
      </c>
      <c r="BE320" s="34">
        <f>F320*AY320</f>
        <v/>
      </c>
      <c r="BF320" s="34">
        <f>K320-M320</f>
        <v/>
      </c>
      <c r="BG320" s="34">
        <f>P320-S320</f>
        <v/>
      </c>
      <c r="BH320" s="34">
        <f>W320-AA320</f>
        <v/>
      </c>
      <c r="BI320" s="34">
        <f>BF320+BG320+BL320-BN320</f>
        <v/>
      </c>
      <c r="BJ320" s="34">
        <f>ABS(BK320)</f>
        <v/>
      </c>
      <c r="BK320" s="34">
        <f>AY320-(J320-L320+N320-Q320)</f>
        <v/>
      </c>
      <c r="BL320" s="34">
        <f>IF(AND(BK320&gt;0,MIN($F320:$G320)&lt;150,$E320="Enerji Açığı"),-100*BK320*1.03,IF(AND(BK320&gt;0,MIN($F320:$G320)&lt;150,$E320="Enerji Fazlası"),-100*BK320*1.06,IF(AND(BK320&gt;0,MIN($F320:$G320)&gt;=150,$E320="Enerji Açığı"),BK320*MIN($F320:$G320)*0.97,IF(AND(BK320&gt;0,MIN($F320:$G320)&gt;=150,$E320="Enerji Fazlası"),BK320*MIN($F320:$G320)*0.94,IF(AND(BK320&lt;0,MAX($F320:$G320)=4500,$E320="Enerji Açığı"),4500*1.05*1.06*BK320,IF(AND(BK320&lt;0,MAX($F320:$G320)=4500,$E320="Enerji Fazlası"),4500*1.05*1.03*BK320,IF(AND(BK320&lt;0,$E320="Enerji Açığı"),MAX($F320,$G320,150)*BK320*1.06,IF(AND(BK320&lt;0,$E320="Enerji Fazlası"),MAX($F320,$G320,150)*BK320*1.03,IF(AND(BK320&lt;0,$E320="Dengede"),MAX($F320:$G320,150)*1.03*BK320,MIN($F320:$G320)*0.97*BK320)))))))))</f>
        <v/>
      </c>
      <c r="BM320" s="34">
        <f>BE320-BI320-BN320</f>
        <v/>
      </c>
      <c r="BN320" s="34">
        <f>BB320</f>
        <v/>
      </c>
      <c r="BO320" s="34">
        <f>BE320-BI320</f>
        <v/>
      </c>
      <c r="BP320" s="34">
        <f>IF(AY320=0,0,BO320/AY320)</f>
        <v/>
      </c>
      <c r="BQ320" s="34">
        <f>MAX((AY320+MAX((-J320+L320-N320+Q320),0)),(MAX((J320-L320+N320-Q320),0)))</f>
        <v/>
      </c>
      <c r="BR320" s="82">
        <f>IFERROR(ABS(BK320/BQ320),0)</f>
        <v/>
      </c>
      <c r="BS320" s="34">
        <f>IF(BR320&lt;=0.1,0,BK320/BR320*(BR320-0.1))</f>
        <v/>
      </c>
      <c r="BT320" s="34">
        <f>IF((BS320)&lt;0,MAX(F320:G320)*(BS320)*1.03,MIN(F320:G320)*(BS320)*0.97)</f>
        <v/>
      </c>
      <c r="BU320" s="34">
        <f>IF(BR320&gt;0.1,1,0)</f>
        <v/>
      </c>
      <c r="BV320" s="34">
        <f>BF320+BG320+BH320+BY320-CA320</f>
        <v/>
      </c>
      <c r="BW320" s="34">
        <f>ABS(BX320)</f>
        <v/>
      </c>
      <c r="BX320" s="34">
        <f>AY320-(J320-L320+N320-Q320+T320-X320)</f>
        <v/>
      </c>
      <c r="BY320" s="34">
        <f>IF(AND(BX320&gt;0,MIN($F320:$G320)&lt;150,$E320="Enerji Açığı"),-100*BX320*1.03,IF(AND(BX320&gt;0,MIN($F320:$G320)&lt;150,$E320="Enerji Fazlası"),-100*BX320*1.06,IF(AND(BX320&gt;0,MIN($F320:$G320)&gt;=150,$E320="Enerji Açığı"),BX320*MIN($F320:$G320)*0.97,IF(AND(BX320&gt;0,MIN($F320:$G320)&gt;=150,$E320="Enerji Fazlası"),BX320*MIN($F320:$G320)*0.94,IF(AND(BX320&lt;0,MAX($F320:$G320)=4500,$E320="Enerji Açığı"),4500*1.05*1.06*BX320,IF(AND(BX320&lt;0,MAX($F320:$G320)=4500,$E320="Enerji Fazlası"),4500*1.05*1.03*BX320,IF(AND(BX320&lt;0,$E320="Enerji Açığı"),MAX($F320,$G320,150)*BX320*1.06,IF(AND(BX320&lt;0,$E320="Enerji Fazlası"),MAX($F320,$G320,150)*BX320*1.03,IF(AND(BX320&lt;0,$E320="Dengede"),MAX($F320:$G320,150)*1.03*BX320,MIN($F320:$G320)*0.97*BX320)))))))))</f>
        <v/>
      </c>
      <c r="BZ320" s="34">
        <f>BE320-BV320-CA320</f>
        <v/>
      </c>
      <c r="CA320" s="34">
        <f>BD320</f>
        <v/>
      </c>
      <c r="CB320" s="33">
        <f>BE320-BV320</f>
        <v/>
      </c>
      <c r="CC320" s="34">
        <f>IF(AY320=0,0,CB320/AY320)</f>
        <v/>
      </c>
      <c r="CD320" s="34">
        <f>MAX((AY320+MAX((-J320+L320-N320+Q320-T320+X320),0)),(MAX((J320-L320+N320-Q320+T320-X320),0)))</f>
        <v/>
      </c>
      <c r="CE320" s="82">
        <f>IFERROR(ABS(BX320/CD320),0)</f>
        <v/>
      </c>
      <c r="CF320" s="34">
        <f>IF(CE320&lt;=0.1,0,BX320/CE320*(CE320-0.1))</f>
        <v/>
      </c>
      <c r="CG320" s="34">
        <f>IF((CF320)&lt;0,MAX(F320:G320)*(CF320)*1.03,MIN(F320:G320)*(CF320)*0.97)</f>
        <v/>
      </c>
      <c r="CH320" s="34">
        <f>IF(CE320&gt;0.1,1,0)</f>
        <v/>
      </c>
      <c r="CI320" s="34">
        <f>(F320*BX320)-BY320</f>
        <v/>
      </c>
      <c r="CJ320" s="34">
        <f>IF(AY320=0,0,CI320/AY320)</f>
        <v/>
      </c>
    </row>
    <row r="321">
      <c r="A321" s="29">
        <f>[1]FİYATLAR!A296</f>
        <v/>
      </c>
      <c r="B321" s="29">
        <f>[1]FİYATLAR!B296</f>
        <v/>
      </c>
      <c r="C321" s="35">
        <f>INT(A321)</f>
        <v/>
      </c>
      <c r="D321" s="36">
        <f>MONTH(A321)</f>
        <v/>
      </c>
      <c r="E321" s="147">
        <f>[1]FİYATLAR!G296</f>
        <v/>
      </c>
      <c r="F321" s="30">
        <f>[1]FİYATLAR!C296</f>
        <v/>
      </c>
      <c r="G321" s="30">
        <f>[1]FİYATLAR!E296</f>
        <v/>
      </c>
      <c r="H321" s="30">
        <f>[1]FİYATLAR!D296</f>
        <v/>
      </c>
      <c r="I321" s="30">
        <f>[1]FİYATLAR!F296</f>
        <v/>
      </c>
      <c r="J321" s="119" t="n">
        <v>0</v>
      </c>
      <c r="K321" s="34">
        <f>F321*J321</f>
        <v/>
      </c>
      <c r="L321" s="119" t="n"/>
      <c r="M321" s="34">
        <f>L321*F321</f>
        <v/>
      </c>
      <c r="N321" s="119" t="n"/>
      <c r="O321" s="34">
        <f>F321</f>
        <v/>
      </c>
      <c r="P321" s="34">
        <f>N321*O321</f>
        <v/>
      </c>
      <c r="Q321" s="117" t="n">
        <v>0</v>
      </c>
      <c r="R321" s="34">
        <f>F321</f>
        <v/>
      </c>
      <c r="S321" s="34">
        <f>R321*Q321</f>
        <v/>
      </c>
      <c r="T321" s="34">
        <f>SUMIFS('[1]GİP VERİLERİ'!$C:$C,'[1]GİP VERİLERİ'!$B:$B,A321,'[1]GİP VERİLERİ'!$M:$M,"40X000000104782K",'[1]GİP VERİLERİ'!$G:$G,"SELL")</f>
        <v/>
      </c>
      <c r="U321" s="34">
        <f>IFERROR(W321/T321,0)</f>
        <v/>
      </c>
      <c r="V321" s="34">
        <f>IF(U321=0,0,U321-F321)</f>
        <v/>
      </c>
      <c r="W321" s="34">
        <f>SUMIFS('[1]GİP VERİLERİ'!$O:$O,'[1]GİP VERİLERİ'!$B:$B,A321,'[1]GİP VERİLERİ'!$M:$M,"40X000000104782K",'[1]GİP VERİLERİ'!$G:$G,"SELL")</f>
        <v/>
      </c>
      <c r="X321" s="34">
        <f>SUMIFS('[1]GİP VERİLERİ'!$C:$C,'[1]GİP VERİLERİ'!$B:$B,A321,'[1]GİP VERİLERİ'!$M:$M,"40X000000104782K",'[1]GİP VERİLERİ'!$G:$G,"BUY")</f>
        <v/>
      </c>
      <c r="Y321" s="34">
        <f>IFERROR(AA321/X321,0)</f>
        <v/>
      </c>
      <c r="Z321" s="34">
        <f>IF(Y321=0,0,F321-Y321)</f>
        <v/>
      </c>
      <c r="AA321" s="34">
        <f>SUMIFS('[1]GİP VERİLERİ'!$O:$O,'[1]GİP VERİLERİ'!$B:$B,A321,'[1]GİP VERİLERİ'!$M:$M,"40X000000104782K",'[1]GİP VERİLERİ'!$G:$G,"BUY")</f>
        <v/>
      </c>
      <c r="AB321" s="34">
        <f>'[1]GÖP VERİLERİ'!H322</f>
        <v/>
      </c>
      <c r="AC321" s="34">
        <f>'[1]GÖP VERİLERİ'!I322</f>
        <v/>
      </c>
      <c r="AD321" s="34">
        <f>IF(AB321&gt;AC321*1.05,AB321-AC321*1.05,IF(AB321&lt;AC321*0.95,AC321*0.95-AB321,0))</f>
        <v/>
      </c>
      <c r="AE321" s="34">
        <f>MAX(F321,G321,750)*0.05*AD321</f>
        <v/>
      </c>
      <c r="AF321" s="34">
        <f>'[1]GÖP VERİLERİ'!J322</f>
        <v/>
      </c>
      <c r="AG321" s="34">
        <f>IF(AB321&gt;AF321*1.05,AB321-AF321*1.05,IF(AB321&lt;AF321*0.95,AF321*0.95-AB321,0))</f>
        <v/>
      </c>
      <c r="AH321" s="34">
        <f>MAX(I321,J321,750)*0.05*AG321</f>
        <v/>
      </c>
      <c r="AI321">
        <f>'[1]GÖP VERİLERİ'!E322</f>
        <v/>
      </c>
      <c r="AJ321">
        <f>'[1]GÖP VERİLERİ'!F322</f>
        <v/>
      </c>
      <c r="AK321" s="34">
        <f>IF(AI321&gt;AJ321*1.05,AI321-AJ321*1.05,IF(AI321&lt;AJ321*0.95,AJ321*0.95-AI321,0))</f>
        <v/>
      </c>
      <c r="AL321" s="34">
        <f>MAX(F321,G321,750)*0.05*AK321</f>
        <v/>
      </c>
      <c r="AM321" s="39">
        <f>'[1]GÖP VERİLERİ'!G322</f>
        <v/>
      </c>
      <c r="AN321" s="34">
        <f>IF(AI321&gt;AM321*1.05,AI321-AM321*1.05,IF(AI321&lt;AM321*0.95,AM321*0.95-AI321,0))</f>
        <v/>
      </c>
      <c r="AO321" s="34">
        <f>MAX(F321,G321,750)*0.05*AN321</f>
        <v/>
      </c>
      <c r="AP321" s="34">
        <f>'[1]GÖP VERİLERİ'!B322</f>
        <v/>
      </c>
      <c r="AQ321" s="34">
        <f>'[1]GÖP VERİLERİ'!C322</f>
        <v/>
      </c>
      <c r="AR321" s="34">
        <f>IF(AP321&gt;AQ321*1.05,AP321-AQ321*1.05,IF(AP321&lt;AQ321*0.95,AQ321*0.95-AP321,0))</f>
        <v/>
      </c>
      <c r="AS321" s="34">
        <f>MAX(F321:G321,750)*0.05*AR321</f>
        <v/>
      </c>
      <c r="AT321">
        <f>'[1]GÖP VERİLERİ'!D322</f>
        <v/>
      </c>
      <c r="AU321" s="34">
        <f>IF(AP321&gt;AT321*1.05,AP321-AT321*1.05,IF(AP321&lt;AT321*0.95,AT321*0.95-AP321,0))</f>
        <v/>
      </c>
      <c r="AV321" s="34">
        <f>MAX(F321:G321,750)*0.05*AU321</f>
        <v/>
      </c>
      <c r="AW321" s="34">
        <f>AC321+AJ321+AQ321</f>
        <v/>
      </c>
      <c r="AX321" s="34">
        <f>AF321+AM321+AT321</f>
        <v/>
      </c>
      <c r="AY321" s="34">
        <f>AB321+AI321+AP321</f>
        <v/>
      </c>
      <c r="AZ321" s="34" t="n">
        <v>0</v>
      </c>
      <c r="BA321" s="34">
        <f>AD321+AK321+AR321</f>
        <v/>
      </c>
      <c r="BB321" s="34">
        <f>MAX(F321:G321,750)*0.05*BA321</f>
        <v/>
      </c>
      <c r="BC321" s="34">
        <f>AG321+AN321+AU321</f>
        <v/>
      </c>
      <c r="BD321" s="34">
        <f>MAX(F321:G321,750)*0.05*BC321</f>
        <v/>
      </c>
      <c r="BE321" s="34">
        <f>F321*AY321</f>
        <v/>
      </c>
      <c r="BF321" s="34">
        <f>K321-M321</f>
        <v/>
      </c>
      <c r="BG321" s="34">
        <f>P321-S321</f>
        <v/>
      </c>
      <c r="BH321" s="34">
        <f>W321-AA321</f>
        <v/>
      </c>
      <c r="BI321" s="34">
        <f>BF321+BG321+BL321-BN321</f>
        <v/>
      </c>
      <c r="BJ321" s="34">
        <f>ABS(BK321)</f>
        <v/>
      </c>
      <c r="BK321" s="34">
        <f>AY321-(J321-L321+N321-Q321)</f>
        <v/>
      </c>
      <c r="BL321" s="34">
        <f>IF(AND(BK321&gt;0,MIN($F321:$G321)&lt;150,$E321="Enerji Açığı"),-100*BK321*1.03,IF(AND(BK321&gt;0,MIN($F321:$G321)&lt;150,$E321="Enerji Fazlası"),-100*BK321*1.06,IF(AND(BK321&gt;0,MIN($F321:$G321)&gt;=150,$E321="Enerji Açığı"),BK321*MIN($F321:$G321)*0.97,IF(AND(BK321&gt;0,MIN($F321:$G321)&gt;=150,$E321="Enerji Fazlası"),BK321*MIN($F321:$G321)*0.94,IF(AND(BK321&lt;0,MAX($F321:$G321)=4500,$E321="Enerji Açığı"),4500*1.05*1.06*BK321,IF(AND(BK321&lt;0,MAX($F321:$G321)=4500,$E321="Enerji Fazlası"),4500*1.05*1.03*BK321,IF(AND(BK321&lt;0,$E321="Enerji Açığı"),MAX($F321,$G321,150)*BK321*1.06,IF(AND(BK321&lt;0,$E321="Enerji Fazlası"),MAX($F321,$G321,150)*BK321*1.03,IF(AND(BK321&lt;0,$E321="Dengede"),MAX($F321:$G321,150)*1.03*BK321,MIN($F321:$G321)*0.97*BK321)))))))))</f>
        <v/>
      </c>
      <c r="BM321" s="34">
        <f>BE321-BI321-BN321</f>
        <v/>
      </c>
      <c r="BN321" s="34">
        <f>BB321</f>
        <v/>
      </c>
      <c r="BO321" s="34">
        <f>BE321-BI321</f>
        <v/>
      </c>
      <c r="BP321" s="34">
        <f>IF(AY321=0,0,BO321/AY321)</f>
        <v/>
      </c>
      <c r="BQ321" s="34">
        <f>MAX((AY321+MAX((-J321+L321-N321+Q321),0)),(MAX((J321-L321+N321-Q321),0)))</f>
        <v/>
      </c>
      <c r="BR321" s="82">
        <f>IFERROR(ABS(BK321/BQ321),0)</f>
        <v/>
      </c>
      <c r="BS321" s="34">
        <f>IF(BR321&lt;=0.1,0,BK321/BR321*(BR321-0.1))</f>
        <v/>
      </c>
      <c r="BT321" s="34">
        <f>IF((BS321)&lt;0,MAX(F321:G321)*(BS321)*1.03,MIN(F321:G321)*(BS321)*0.97)</f>
        <v/>
      </c>
      <c r="BU321" s="34">
        <f>IF(BR321&gt;0.1,1,0)</f>
        <v/>
      </c>
      <c r="BV321" s="34">
        <f>BF321+BG321+BH321+BY321-CA321</f>
        <v/>
      </c>
      <c r="BW321" s="34">
        <f>ABS(BX321)</f>
        <v/>
      </c>
      <c r="BX321" s="34">
        <f>AY321-(J321-L321+N321-Q321+T321-X321)</f>
        <v/>
      </c>
      <c r="BY321" s="34">
        <f>IF(AND(BX321&gt;0,MIN($F321:$G321)&lt;150,$E321="Enerji Açığı"),-100*BX321*1.03,IF(AND(BX321&gt;0,MIN($F321:$G321)&lt;150,$E321="Enerji Fazlası"),-100*BX321*1.06,IF(AND(BX321&gt;0,MIN($F321:$G321)&gt;=150,$E321="Enerji Açığı"),BX321*MIN($F321:$G321)*0.97,IF(AND(BX321&gt;0,MIN($F321:$G321)&gt;=150,$E321="Enerji Fazlası"),BX321*MIN($F321:$G321)*0.94,IF(AND(BX321&lt;0,MAX($F321:$G321)=4500,$E321="Enerji Açığı"),4500*1.05*1.06*BX321,IF(AND(BX321&lt;0,MAX($F321:$G321)=4500,$E321="Enerji Fazlası"),4500*1.05*1.03*BX321,IF(AND(BX321&lt;0,$E321="Enerji Açığı"),MAX($F321,$G321,150)*BX321*1.06,IF(AND(BX321&lt;0,$E321="Enerji Fazlası"),MAX($F321,$G321,150)*BX321*1.03,IF(AND(BX321&lt;0,$E321="Dengede"),MAX($F321:$G321,150)*1.03*BX321,MIN($F321:$G321)*0.97*BX321)))))))))</f>
        <v/>
      </c>
      <c r="BZ321" s="34">
        <f>BE321-BV321-CA321</f>
        <v/>
      </c>
      <c r="CA321" s="34">
        <f>BD321</f>
        <v/>
      </c>
      <c r="CB321" s="33">
        <f>BE321-BV321</f>
        <v/>
      </c>
      <c r="CC321" s="34">
        <f>IF(AY321=0,0,CB321/AY321)</f>
        <v/>
      </c>
      <c r="CD321" s="34">
        <f>MAX((AY321+MAX((-J321+L321-N321+Q321-T321+X321),0)),(MAX((J321-L321+N321-Q321+T321-X321),0)))</f>
        <v/>
      </c>
      <c r="CE321" s="82">
        <f>IFERROR(ABS(BX321/CD321),0)</f>
        <v/>
      </c>
      <c r="CF321" s="34">
        <f>IF(CE321&lt;=0.1,0,BX321/CE321*(CE321-0.1))</f>
        <v/>
      </c>
      <c r="CG321" s="34">
        <f>IF((CF321)&lt;0,MAX(F321:G321)*(CF321)*1.03,MIN(F321:G321)*(CF321)*0.97)</f>
        <v/>
      </c>
      <c r="CH321" s="34">
        <f>IF(CE321&gt;0.1,1,0)</f>
        <v/>
      </c>
      <c r="CI321" s="34">
        <f>(F321*BX321)-BY321</f>
        <v/>
      </c>
      <c r="CJ321" s="34">
        <f>IF(AY321=0,0,CI321/AY321)</f>
        <v/>
      </c>
    </row>
    <row r="322">
      <c r="A322" s="29">
        <f>[1]FİYATLAR!A297</f>
        <v/>
      </c>
      <c r="B322" s="29">
        <f>[1]FİYATLAR!B297</f>
        <v/>
      </c>
      <c r="C322" s="35">
        <f>INT(A322)</f>
        <v/>
      </c>
      <c r="D322" s="36">
        <f>MONTH(A322)</f>
        <v/>
      </c>
      <c r="E322" s="147">
        <f>[1]FİYATLAR!G297</f>
        <v/>
      </c>
      <c r="F322" s="30">
        <f>[1]FİYATLAR!C297</f>
        <v/>
      </c>
      <c r="G322" s="30">
        <f>[1]FİYATLAR!E297</f>
        <v/>
      </c>
      <c r="H322" s="30">
        <f>[1]FİYATLAR!D297</f>
        <v/>
      </c>
      <c r="I322" s="30">
        <f>[1]FİYATLAR!F297</f>
        <v/>
      </c>
      <c r="J322" s="119" t="n">
        <v>0</v>
      </c>
      <c r="K322" s="34">
        <f>F322*J322</f>
        <v/>
      </c>
      <c r="L322" s="119" t="n"/>
      <c r="M322" s="34">
        <f>L322*F322</f>
        <v/>
      </c>
      <c r="N322" s="119" t="n"/>
      <c r="O322" s="34">
        <f>F322</f>
        <v/>
      </c>
      <c r="P322" s="34">
        <f>N322*O322</f>
        <v/>
      </c>
      <c r="Q322" s="117" t="n">
        <v>0</v>
      </c>
      <c r="R322" s="34">
        <f>F322</f>
        <v/>
      </c>
      <c r="S322" s="34">
        <f>R322*Q322</f>
        <v/>
      </c>
      <c r="T322" s="34">
        <f>SUMIFS('[1]GİP VERİLERİ'!$C:$C,'[1]GİP VERİLERİ'!$B:$B,A322,'[1]GİP VERİLERİ'!$M:$M,"40X000000104782K",'[1]GİP VERİLERİ'!$G:$G,"SELL")</f>
        <v/>
      </c>
      <c r="U322" s="34">
        <f>IFERROR(W322/T322,0)</f>
        <v/>
      </c>
      <c r="V322" s="34">
        <f>IF(U322=0,0,U322-F322)</f>
        <v/>
      </c>
      <c r="W322" s="34">
        <f>SUMIFS('[1]GİP VERİLERİ'!$O:$O,'[1]GİP VERİLERİ'!$B:$B,A322,'[1]GİP VERİLERİ'!$M:$M,"40X000000104782K",'[1]GİP VERİLERİ'!$G:$G,"SELL")</f>
        <v/>
      </c>
      <c r="X322" s="34">
        <f>SUMIFS('[1]GİP VERİLERİ'!$C:$C,'[1]GİP VERİLERİ'!$B:$B,A322,'[1]GİP VERİLERİ'!$M:$M,"40X000000104782K",'[1]GİP VERİLERİ'!$G:$G,"BUY")</f>
        <v/>
      </c>
      <c r="Y322" s="34">
        <f>IFERROR(AA322/X322,0)</f>
        <v/>
      </c>
      <c r="Z322" s="34">
        <f>IF(Y322=0,0,F322-Y322)</f>
        <v/>
      </c>
      <c r="AA322" s="34">
        <f>SUMIFS('[1]GİP VERİLERİ'!$O:$O,'[1]GİP VERİLERİ'!$B:$B,A322,'[1]GİP VERİLERİ'!$M:$M,"40X000000104782K",'[1]GİP VERİLERİ'!$G:$G,"BUY")</f>
        <v/>
      </c>
      <c r="AB322" s="34">
        <f>'[1]GÖP VERİLERİ'!H323</f>
        <v/>
      </c>
      <c r="AC322" s="34">
        <f>'[1]GÖP VERİLERİ'!I323</f>
        <v/>
      </c>
      <c r="AD322" s="34">
        <f>IF(AB322&gt;AC322*1.05,AB322-AC322*1.05,IF(AB322&lt;AC322*0.95,AC322*0.95-AB322,0))</f>
        <v/>
      </c>
      <c r="AE322" s="34">
        <f>MAX(F322,G322,750)*0.05*AD322</f>
        <v/>
      </c>
      <c r="AF322" s="34">
        <f>'[1]GÖP VERİLERİ'!J323</f>
        <v/>
      </c>
      <c r="AG322" s="34">
        <f>IF(AB322&gt;AF322*1.05,AB322-AF322*1.05,IF(AB322&lt;AF322*0.95,AF322*0.95-AB322,0))</f>
        <v/>
      </c>
      <c r="AH322" s="34">
        <f>MAX(I322,J322,750)*0.05*AG322</f>
        <v/>
      </c>
      <c r="AI322">
        <f>'[1]GÖP VERİLERİ'!E323</f>
        <v/>
      </c>
      <c r="AJ322">
        <f>'[1]GÖP VERİLERİ'!F323</f>
        <v/>
      </c>
      <c r="AK322" s="34">
        <f>IF(AI322&gt;AJ322*1.05,AI322-AJ322*1.05,IF(AI322&lt;AJ322*0.95,AJ322*0.95-AI322,0))</f>
        <v/>
      </c>
      <c r="AL322" s="34">
        <f>MAX(F322,G322,750)*0.05*AK322</f>
        <v/>
      </c>
      <c r="AM322" s="39">
        <f>'[1]GÖP VERİLERİ'!G323</f>
        <v/>
      </c>
      <c r="AN322" s="34">
        <f>IF(AI322&gt;AM322*1.05,AI322-AM322*1.05,IF(AI322&lt;AM322*0.95,AM322*0.95-AI322,0))</f>
        <v/>
      </c>
      <c r="AO322" s="34">
        <f>MAX(F322,G322,750)*0.05*AN322</f>
        <v/>
      </c>
      <c r="AP322" s="34">
        <f>'[1]GÖP VERİLERİ'!B323</f>
        <v/>
      </c>
      <c r="AQ322" s="34">
        <f>'[1]GÖP VERİLERİ'!C323</f>
        <v/>
      </c>
      <c r="AR322" s="34">
        <f>IF(AP322&gt;AQ322*1.05,AP322-AQ322*1.05,IF(AP322&lt;AQ322*0.95,AQ322*0.95-AP322,0))</f>
        <v/>
      </c>
      <c r="AS322" s="34">
        <f>MAX(F322:G322,750)*0.05*AR322</f>
        <v/>
      </c>
      <c r="AT322">
        <f>'[1]GÖP VERİLERİ'!D323</f>
        <v/>
      </c>
      <c r="AU322" s="34">
        <f>IF(AP322&gt;AT322*1.05,AP322-AT322*1.05,IF(AP322&lt;AT322*0.95,AT322*0.95-AP322,0))</f>
        <v/>
      </c>
      <c r="AV322" s="34">
        <f>MAX(F322:G322,750)*0.05*AU322</f>
        <v/>
      </c>
      <c r="AW322" s="34">
        <f>AC322+AJ322+AQ322</f>
        <v/>
      </c>
      <c r="AX322" s="34">
        <f>AF322+AM322+AT322</f>
        <v/>
      </c>
      <c r="AY322" s="34">
        <f>AB322+AI322+AP322</f>
        <v/>
      </c>
      <c r="AZ322" s="34" t="n">
        <v>0</v>
      </c>
      <c r="BA322" s="34">
        <f>AD322+AK322+AR322</f>
        <v/>
      </c>
      <c r="BB322" s="34">
        <f>MAX(F322:G322,750)*0.05*BA322</f>
        <v/>
      </c>
      <c r="BC322" s="34">
        <f>AG322+AN322+AU322</f>
        <v/>
      </c>
      <c r="BD322" s="34">
        <f>MAX(F322:G322,750)*0.05*BC322</f>
        <v/>
      </c>
      <c r="BE322" s="34">
        <f>F322*AY322</f>
        <v/>
      </c>
      <c r="BF322" s="34">
        <f>K322-M322</f>
        <v/>
      </c>
      <c r="BG322" s="34">
        <f>P322-S322</f>
        <v/>
      </c>
      <c r="BH322" s="34">
        <f>W322-AA322</f>
        <v/>
      </c>
      <c r="BI322" s="34">
        <f>BF322+BG322+BL322-BN322</f>
        <v/>
      </c>
      <c r="BJ322" s="34">
        <f>ABS(BK322)</f>
        <v/>
      </c>
      <c r="BK322" s="34">
        <f>AY322-(J322-L322+N322-Q322)</f>
        <v/>
      </c>
      <c r="BL322" s="34">
        <f>IF(AND(BK322&gt;0,MIN($F322:$G322)&lt;150,$E322="Enerji Açığı"),-100*BK322*1.03,IF(AND(BK322&gt;0,MIN($F322:$G322)&lt;150,$E322="Enerji Fazlası"),-100*BK322*1.06,IF(AND(BK322&gt;0,MIN($F322:$G322)&gt;=150,$E322="Enerji Açığı"),BK322*MIN($F322:$G322)*0.97,IF(AND(BK322&gt;0,MIN($F322:$G322)&gt;=150,$E322="Enerji Fazlası"),BK322*MIN($F322:$G322)*0.94,IF(AND(BK322&lt;0,MAX($F322:$G322)=4500,$E322="Enerji Açığı"),4500*1.05*1.06*BK322,IF(AND(BK322&lt;0,MAX($F322:$G322)=4500,$E322="Enerji Fazlası"),4500*1.05*1.03*BK322,IF(AND(BK322&lt;0,$E322="Enerji Açığı"),MAX($F322,$G322,150)*BK322*1.06,IF(AND(BK322&lt;0,$E322="Enerji Fazlası"),MAX($F322,$G322,150)*BK322*1.03,IF(AND(BK322&lt;0,$E322="Dengede"),MAX($F322:$G322,150)*1.03*BK322,MIN($F322:$G322)*0.97*BK322)))))))))</f>
        <v/>
      </c>
      <c r="BM322" s="34">
        <f>BE322-BI322-BN322</f>
        <v/>
      </c>
      <c r="BN322" s="34">
        <f>BB322</f>
        <v/>
      </c>
      <c r="BO322" s="34">
        <f>BE322-BI322</f>
        <v/>
      </c>
      <c r="BP322" s="34">
        <f>IF(AY322=0,0,BO322/AY322)</f>
        <v/>
      </c>
      <c r="BQ322" s="34">
        <f>MAX((AY322+MAX((-J322+L322-N322+Q322),0)),(MAX((J322-L322+N322-Q322),0)))</f>
        <v/>
      </c>
      <c r="BR322" s="82">
        <f>IFERROR(ABS(BK322/BQ322),0)</f>
        <v/>
      </c>
      <c r="BS322" s="34">
        <f>IF(BR322&lt;=0.1,0,BK322/BR322*(BR322-0.1))</f>
        <v/>
      </c>
      <c r="BT322" s="34">
        <f>IF((BS322)&lt;0,MAX(F322:G322)*(BS322)*1.03,MIN(F322:G322)*(BS322)*0.97)</f>
        <v/>
      </c>
      <c r="BU322" s="34">
        <f>IF(BR322&gt;0.1,1,0)</f>
        <v/>
      </c>
      <c r="BV322" s="34">
        <f>BF322+BG322+BH322+BY322-CA322</f>
        <v/>
      </c>
      <c r="BW322" s="34">
        <f>ABS(BX322)</f>
        <v/>
      </c>
      <c r="BX322" s="34">
        <f>AY322-(J322-L322+N322-Q322+T322-X322)</f>
        <v/>
      </c>
      <c r="BY322" s="34">
        <f>IF(AND(BX322&gt;0,MIN($F322:$G322)&lt;150,$E322="Enerji Açığı"),-100*BX322*1.03,IF(AND(BX322&gt;0,MIN($F322:$G322)&lt;150,$E322="Enerji Fazlası"),-100*BX322*1.06,IF(AND(BX322&gt;0,MIN($F322:$G322)&gt;=150,$E322="Enerji Açığı"),BX322*MIN($F322:$G322)*0.97,IF(AND(BX322&gt;0,MIN($F322:$G322)&gt;=150,$E322="Enerji Fazlası"),BX322*MIN($F322:$G322)*0.94,IF(AND(BX322&lt;0,MAX($F322:$G322)=4500,$E322="Enerji Açığı"),4500*1.05*1.06*BX322,IF(AND(BX322&lt;0,MAX($F322:$G322)=4500,$E322="Enerji Fazlası"),4500*1.05*1.03*BX322,IF(AND(BX322&lt;0,$E322="Enerji Açığı"),MAX($F322,$G322,150)*BX322*1.06,IF(AND(BX322&lt;0,$E322="Enerji Fazlası"),MAX($F322,$G322,150)*BX322*1.03,IF(AND(BX322&lt;0,$E322="Dengede"),MAX($F322:$G322,150)*1.03*BX322,MIN($F322:$G322)*0.97*BX322)))))))))</f>
        <v/>
      </c>
      <c r="BZ322" s="34">
        <f>BE322-BV322-CA322</f>
        <v/>
      </c>
      <c r="CA322" s="34">
        <f>BD322</f>
        <v/>
      </c>
      <c r="CB322" s="33">
        <f>BE322-BV322</f>
        <v/>
      </c>
      <c r="CC322" s="34">
        <f>IF(AY322=0,0,CB322/AY322)</f>
        <v/>
      </c>
      <c r="CD322" s="34">
        <f>MAX((AY322+MAX((-J322+L322-N322+Q322-T322+X322),0)),(MAX((J322-L322+N322-Q322+T322-X322),0)))</f>
        <v/>
      </c>
      <c r="CE322" s="82">
        <f>IFERROR(ABS(BX322/CD322),0)</f>
        <v/>
      </c>
      <c r="CF322" s="34">
        <f>IF(CE322&lt;=0.1,0,BX322/CE322*(CE322-0.1))</f>
        <v/>
      </c>
      <c r="CG322" s="34">
        <f>IF((CF322)&lt;0,MAX(F322:G322)*(CF322)*1.03,MIN(F322:G322)*(CF322)*0.97)</f>
        <v/>
      </c>
      <c r="CH322" s="34">
        <f>IF(CE322&gt;0.1,1,0)</f>
        <v/>
      </c>
      <c r="CI322" s="34">
        <f>(F322*BX322)-BY322</f>
        <v/>
      </c>
      <c r="CJ322" s="34">
        <f>IF(AY322=0,0,CI322/AY322)</f>
        <v/>
      </c>
    </row>
    <row r="323">
      <c r="A323" s="29">
        <f>[1]FİYATLAR!A298</f>
        <v/>
      </c>
      <c r="B323" s="29">
        <f>[1]FİYATLAR!B298</f>
        <v/>
      </c>
      <c r="C323" s="35">
        <f>INT(A323)</f>
        <v/>
      </c>
      <c r="D323" s="36">
        <f>MONTH(A323)</f>
        <v/>
      </c>
      <c r="E323" s="147">
        <f>[1]FİYATLAR!G298</f>
        <v/>
      </c>
      <c r="F323" s="30">
        <f>[1]FİYATLAR!C298</f>
        <v/>
      </c>
      <c r="G323" s="30">
        <f>[1]FİYATLAR!E298</f>
        <v/>
      </c>
      <c r="H323" s="30">
        <f>[1]FİYATLAR!D298</f>
        <v/>
      </c>
      <c r="I323" s="30">
        <f>[1]FİYATLAR!F298</f>
        <v/>
      </c>
      <c r="J323" s="119" t="n">
        <v>0</v>
      </c>
      <c r="K323" s="34">
        <f>F323*J323</f>
        <v/>
      </c>
      <c r="L323" s="119" t="n"/>
      <c r="M323" s="34">
        <f>L323*F323</f>
        <v/>
      </c>
      <c r="N323" s="119" t="n"/>
      <c r="O323" s="34">
        <f>F323</f>
        <v/>
      </c>
      <c r="P323" s="34">
        <f>N323*O323</f>
        <v/>
      </c>
      <c r="Q323" s="117" t="n">
        <v>0</v>
      </c>
      <c r="R323" s="34">
        <f>F323</f>
        <v/>
      </c>
      <c r="S323" s="34">
        <f>R323*Q323</f>
        <v/>
      </c>
      <c r="T323" s="34">
        <f>SUMIFS('[1]GİP VERİLERİ'!$C:$C,'[1]GİP VERİLERİ'!$B:$B,A323,'[1]GİP VERİLERİ'!$M:$M,"40X000000104782K",'[1]GİP VERİLERİ'!$G:$G,"SELL")</f>
        <v/>
      </c>
      <c r="U323" s="34">
        <f>IFERROR(W323/T323,0)</f>
        <v/>
      </c>
      <c r="V323" s="34">
        <f>IF(U323=0,0,U323-F323)</f>
        <v/>
      </c>
      <c r="W323" s="34">
        <f>SUMIFS('[1]GİP VERİLERİ'!$O:$O,'[1]GİP VERİLERİ'!$B:$B,A323,'[1]GİP VERİLERİ'!$M:$M,"40X000000104782K",'[1]GİP VERİLERİ'!$G:$G,"SELL")</f>
        <v/>
      </c>
      <c r="X323" s="34">
        <f>SUMIFS('[1]GİP VERİLERİ'!$C:$C,'[1]GİP VERİLERİ'!$B:$B,A323,'[1]GİP VERİLERİ'!$M:$M,"40X000000104782K",'[1]GİP VERİLERİ'!$G:$G,"BUY")</f>
        <v/>
      </c>
      <c r="Y323" s="34">
        <f>IFERROR(AA323/X323,0)</f>
        <v/>
      </c>
      <c r="Z323" s="34">
        <f>IF(Y323=0,0,F323-Y323)</f>
        <v/>
      </c>
      <c r="AA323" s="34">
        <f>SUMIFS('[1]GİP VERİLERİ'!$O:$O,'[1]GİP VERİLERİ'!$B:$B,A323,'[1]GİP VERİLERİ'!$M:$M,"40X000000104782K",'[1]GİP VERİLERİ'!$G:$G,"BUY")</f>
        <v/>
      </c>
      <c r="AB323" s="34">
        <f>'[1]GÖP VERİLERİ'!H324</f>
        <v/>
      </c>
      <c r="AC323" s="34">
        <f>'[1]GÖP VERİLERİ'!I324</f>
        <v/>
      </c>
      <c r="AD323" s="34">
        <f>IF(AB323&gt;AC323*1.05,AB323-AC323*1.05,IF(AB323&lt;AC323*0.95,AC323*0.95-AB323,0))</f>
        <v/>
      </c>
      <c r="AE323" s="34">
        <f>MAX(F323,G323,750)*0.05*AD323</f>
        <v/>
      </c>
      <c r="AF323" s="34">
        <f>'[1]GÖP VERİLERİ'!J324</f>
        <v/>
      </c>
      <c r="AG323" s="34">
        <f>IF(AB323&gt;AF323*1.05,AB323-AF323*1.05,IF(AB323&lt;AF323*0.95,AF323*0.95-AB323,0))</f>
        <v/>
      </c>
      <c r="AH323" s="34">
        <f>MAX(I323,J323,750)*0.05*AG323</f>
        <v/>
      </c>
      <c r="AI323">
        <f>'[1]GÖP VERİLERİ'!E324</f>
        <v/>
      </c>
      <c r="AJ323">
        <f>'[1]GÖP VERİLERİ'!F324</f>
        <v/>
      </c>
      <c r="AK323" s="34">
        <f>IF(AI323&gt;AJ323*1.05,AI323-AJ323*1.05,IF(AI323&lt;AJ323*0.95,AJ323*0.95-AI323,0))</f>
        <v/>
      </c>
      <c r="AL323" s="34">
        <f>MAX(F323,G323,750)*0.05*AK323</f>
        <v/>
      </c>
      <c r="AM323" s="39">
        <f>'[1]GÖP VERİLERİ'!G324</f>
        <v/>
      </c>
      <c r="AN323" s="34">
        <f>IF(AI323&gt;AM323*1.05,AI323-AM323*1.05,IF(AI323&lt;AM323*0.95,AM323*0.95-AI323,0))</f>
        <v/>
      </c>
      <c r="AO323" s="34">
        <f>MAX(F323,G323,750)*0.05*AN323</f>
        <v/>
      </c>
      <c r="AP323" s="34">
        <f>'[1]GÖP VERİLERİ'!B324</f>
        <v/>
      </c>
      <c r="AQ323" s="34">
        <f>'[1]GÖP VERİLERİ'!C324</f>
        <v/>
      </c>
      <c r="AR323" s="34">
        <f>IF(AP323&gt;AQ323*1.05,AP323-AQ323*1.05,IF(AP323&lt;AQ323*0.95,AQ323*0.95-AP323,0))</f>
        <v/>
      </c>
      <c r="AS323" s="34">
        <f>MAX(F323:G323,750)*0.05*AR323</f>
        <v/>
      </c>
      <c r="AT323">
        <f>'[1]GÖP VERİLERİ'!D324</f>
        <v/>
      </c>
      <c r="AU323" s="34">
        <f>IF(AP323&gt;AT323*1.05,AP323-AT323*1.05,IF(AP323&lt;AT323*0.95,AT323*0.95-AP323,0))</f>
        <v/>
      </c>
      <c r="AV323" s="34">
        <f>MAX(F323:G323,750)*0.05*AU323</f>
        <v/>
      </c>
      <c r="AW323" s="34">
        <f>AC323+AJ323+AQ323</f>
        <v/>
      </c>
      <c r="AX323" s="34">
        <f>AF323+AM323+AT323</f>
        <v/>
      </c>
      <c r="AY323" s="34">
        <f>AB323+AI323+AP323</f>
        <v/>
      </c>
      <c r="AZ323" s="34" t="n">
        <v>0</v>
      </c>
      <c r="BA323" s="34">
        <f>AD323+AK323+AR323</f>
        <v/>
      </c>
      <c r="BB323" s="34">
        <f>MAX(F323:G323,750)*0.05*BA323</f>
        <v/>
      </c>
      <c r="BC323" s="34">
        <f>AG323+AN323+AU323</f>
        <v/>
      </c>
      <c r="BD323" s="34">
        <f>MAX(F323:G323,750)*0.05*BC323</f>
        <v/>
      </c>
      <c r="BE323" s="34">
        <f>F323*AY323</f>
        <v/>
      </c>
      <c r="BF323" s="34">
        <f>K323-M323</f>
        <v/>
      </c>
      <c r="BG323" s="34">
        <f>P323-S323</f>
        <v/>
      </c>
      <c r="BH323" s="34">
        <f>W323-AA323</f>
        <v/>
      </c>
      <c r="BI323" s="34">
        <f>BF323+BG323+BL323-BN323</f>
        <v/>
      </c>
      <c r="BJ323" s="34">
        <f>ABS(BK323)</f>
        <v/>
      </c>
      <c r="BK323" s="34">
        <f>AY323-(J323-L323+N323-Q323)</f>
        <v/>
      </c>
      <c r="BL323" s="34">
        <f>IF(AND(BK323&gt;0,MIN($F323:$G323)&lt;150,$E323="Enerji Açığı"),-100*BK323*1.03,IF(AND(BK323&gt;0,MIN($F323:$G323)&lt;150,$E323="Enerji Fazlası"),-100*BK323*1.06,IF(AND(BK323&gt;0,MIN($F323:$G323)&gt;=150,$E323="Enerji Açığı"),BK323*MIN($F323:$G323)*0.97,IF(AND(BK323&gt;0,MIN($F323:$G323)&gt;=150,$E323="Enerji Fazlası"),BK323*MIN($F323:$G323)*0.94,IF(AND(BK323&lt;0,MAX($F323:$G323)=4500,$E323="Enerji Açığı"),4500*1.05*1.06*BK323,IF(AND(BK323&lt;0,MAX($F323:$G323)=4500,$E323="Enerji Fazlası"),4500*1.05*1.03*BK323,IF(AND(BK323&lt;0,$E323="Enerji Açığı"),MAX($F323,$G323,150)*BK323*1.06,IF(AND(BK323&lt;0,$E323="Enerji Fazlası"),MAX($F323,$G323,150)*BK323*1.03,IF(AND(BK323&lt;0,$E323="Dengede"),MAX($F323:$G323,150)*1.03*BK323,MIN($F323:$G323)*0.97*BK323)))))))))</f>
        <v/>
      </c>
      <c r="BM323" s="34">
        <f>BE323-BI323-BN323</f>
        <v/>
      </c>
      <c r="BN323" s="34">
        <f>BB323</f>
        <v/>
      </c>
      <c r="BO323" s="34">
        <f>BE323-BI323</f>
        <v/>
      </c>
      <c r="BP323" s="34">
        <f>IF(AY323=0,0,BO323/AY323)</f>
        <v/>
      </c>
      <c r="BQ323" s="34">
        <f>MAX((AY323+MAX((-J323+L323-N323+Q323),0)),(MAX((J323-L323+N323-Q323),0)))</f>
        <v/>
      </c>
      <c r="BR323" s="82">
        <f>IFERROR(ABS(BK323/BQ323),0)</f>
        <v/>
      </c>
      <c r="BS323" s="34">
        <f>IF(BR323&lt;=0.1,0,BK323/BR323*(BR323-0.1))</f>
        <v/>
      </c>
      <c r="BT323" s="34">
        <f>IF((BS323)&lt;0,MAX(F323:G323)*(BS323)*1.03,MIN(F323:G323)*(BS323)*0.97)</f>
        <v/>
      </c>
      <c r="BU323" s="34">
        <f>IF(BR323&gt;0.1,1,0)</f>
        <v/>
      </c>
      <c r="BV323" s="34">
        <f>BF323+BG323+BH323+BY323-CA323</f>
        <v/>
      </c>
      <c r="BW323" s="34">
        <f>ABS(BX323)</f>
        <v/>
      </c>
      <c r="BX323" s="34">
        <f>AY323-(J323-L323+N323-Q323+T323-X323)</f>
        <v/>
      </c>
      <c r="BY323" s="34">
        <f>IF(AND(BX323&gt;0,MIN($F323:$G323)&lt;150,$E323="Enerji Açığı"),-100*BX323*1.03,IF(AND(BX323&gt;0,MIN($F323:$G323)&lt;150,$E323="Enerji Fazlası"),-100*BX323*1.06,IF(AND(BX323&gt;0,MIN($F323:$G323)&gt;=150,$E323="Enerji Açığı"),BX323*MIN($F323:$G323)*0.97,IF(AND(BX323&gt;0,MIN($F323:$G323)&gt;=150,$E323="Enerji Fazlası"),BX323*MIN($F323:$G323)*0.94,IF(AND(BX323&lt;0,MAX($F323:$G323)=4500,$E323="Enerji Açığı"),4500*1.05*1.06*BX323,IF(AND(BX323&lt;0,MAX($F323:$G323)=4500,$E323="Enerji Fazlası"),4500*1.05*1.03*BX323,IF(AND(BX323&lt;0,$E323="Enerji Açığı"),MAX($F323,$G323,150)*BX323*1.06,IF(AND(BX323&lt;0,$E323="Enerji Fazlası"),MAX($F323,$G323,150)*BX323*1.03,IF(AND(BX323&lt;0,$E323="Dengede"),MAX($F323:$G323,150)*1.03*BX323,MIN($F323:$G323)*0.97*BX323)))))))))</f>
        <v/>
      </c>
      <c r="BZ323" s="34">
        <f>BE323-BV323-CA323</f>
        <v/>
      </c>
      <c r="CA323" s="34">
        <f>BD323</f>
        <v/>
      </c>
      <c r="CB323" s="33">
        <f>BE323-BV323</f>
        <v/>
      </c>
      <c r="CC323" s="34">
        <f>IF(AY323=0,0,CB323/AY323)</f>
        <v/>
      </c>
      <c r="CD323" s="34">
        <f>MAX((AY323+MAX((-J323+L323-N323+Q323-T323+X323),0)),(MAX((J323-L323+N323-Q323+T323-X323),0)))</f>
        <v/>
      </c>
      <c r="CE323" s="82">
        <f>IFERROR(ABS(BX323/CD323),0)</f>
        <v/>
      </c>
      <c r="CF323" s="34">
        <f>IF(CE323&lt;=0.1,0,BX323/CE323*(CE323-0.1))</f>
        <v/>
      </c>
      <c r="CG323" s="34">
        <f>IF((CF323)&lt;0,MAX(F323:G323)*(CF323)*1.03,MIN(F323:G323)*(CF323)*0.97)</f>
        <v/>
      </c>
      <c r="CH323" s="34">
        <f>IF(CE323&gt;0.1,1,0)</f>
        <v/>
      </c>
      <c r="CI323" s="34">
        <f>(F323*BX323)-BY323</f>
        <v/>
      </c>
      <c r="CJ323" s="34">
        <f>IF(AY323=0,0,CI323/AY323)</f>
        <v/>
      </c>
    </row>
    <row r="324">
      <c r="A324" s="29">
        <f>[1]FİYATLAR!A299</f>
        <v/>
      </c>
      <c r="B324" s="29">
        <f>[1]FİYATLAR!B299</f>
        <v/>
      </c>
      <c r="C324" s="35">
        <f>INT(A324)</f>
        <v/>
      </c>
      <c r="D324" s="36">
        <f>MONTH(A324)</f>
        <v/>
      </c>
      <c r="E324" s="147">
        <f>[1]FİYATLAR!G299</f>
        <v/>
      </c>
      <c r="F324" s="30">
        <f>[1]FİYATLAR!C299</f>
        <v/>
      </c>
      <c r="G324" s="30">
        <f>[1]FİYATLAR!E299</f>
        <v/>
      </c>
      <c r="H324" s="30">
        <f>[1]FİYATLAR!D299</f>
        <v/>
      </c>
      <c r="I324" s="30">
        <f>[1]FİYATLAR!F299</f>
        <v/>
      </c>
      <c r="J324" s="119" t="n">
        <v>0</v>
      </c>
      <c r="K324" s="34">
        <f>F324*J324</f>
        <v/>
      </c>
      <c r="L324" s="119" t="n"/>
      <c r="M324" s="34">
        <f>L324*F324</f>
        <v/>
      </c>
      <c r="N324" s="119" t="n"/>
      <c r="O324" s="34">
        <f>F324</f>
        <v/>
      </c>
      <c r="P324" s="34">
        <f>N324*O324</f>
        <v/>
      </c>
      <c r="Q324" s="117" t="n">
        <v>0</v>
      </c>
      <c r="R324" s="34">
        <f>F324</f>
        <v/>
      </c>
      <c r="S324" s="34">
        <f>R324*Q324</f>
        <v/>
      </c>
      <c r="T324" s="34">
        <f>SUMIFS('[1]GİP VERİLERİ'!$C:$C,'[1]GİP VERİLERİ'!$B:$B,A324,'[1]GİP VERİLERİ'!$M:$M,"40X000000104782K",'[1]GİP VERİLERİ'!$G:$G,"SELL")</f>
        <v/>
      </c>
      <c r="U324" s="34">
        <f>IFERROR(W324/T324,0)</f>
        <v/>
      </c>
      <c r="V324" s="34">
        <f>IF(U324=0,0,U324-F324)</f>
        <v/>
      </c>
      <c r="W324" s="34">
        <f>SUMIFS('[1]GİP VERİLERİ'!$O:$O,'[1]GİP VERİLERİ'!$B:$B,A324,'[1]GİP VERİLERİ'!$M:$M,"40X000000104782K",'[1]GİP VERİLERİ'!$G:$G,"SELL")</f>
        <v/>
      </c>
      <c r="X324" s="34">
        <f>SUMIFS('[1]GİP VERİLERİ'!$C:$C,'[1]GİP VERİLERİ'!$B:$B,A324,'[1]GİP VERİLERİ'!$M:$M,"40X000000104782K",'[1]GİP VERİLERİ'!$G:$G,"BUY")</f>
        <v/>
      </c>
      <c r="Y324" s="34">
        <f>IFERROR(AA324/X324,0)</f>
        <v/>
      </c>
      <c r="Z324" s="34">
        <f>IF(Y324=0,0,F324-Y324)</f>
        <v/>
      </c>
      <c r="AA324" s="34">
        <f>SUMIFS('[1]GİP VERİLERİ'!$O:$O,'[1]GİP VERİLERİ'!$B:$B,A324,'[1]GİP VERİLERİ'!$M:$M,"40X000000104782K",'[1]GİP VERİLERİ'!$G:$G,"BUY")</f>
        <v/>
      </c>
      <c r="AB324" s="34">
        <f>'[1]GÖP VERİLERİ'!H325</f>
        <v/>
      </c>
      <c r="AC324" s="34">
        <f>'[1]GÖP VERİLERİ'!I325</f>
        <v/>
      </c>
      <c r="AD324" s="34">
        <f>IF(AB324&gt;AC324*1.05,AB324-AC324*1.05,IF(AB324&lt;AC324*0.95,AC324*0.95-AB324,0))</f>
        <v/>
      </c>
      <c r="AE324" s="34">
        <f>MAX(F324,G324,750)*0.05*AD324</f>
        <v/>
      </c>
      <c r="AF324" s="34">
        <f>'[1]GÖP VERİLERİ'!J325</f>
        <v/>
      </c>
      <c r="AG324" s="34">
        <f>IF(AB324&gt;AF324*1.05,AB324-AF324*1.05,IF(AB324&lt;AF324*0.95,AF324*0.95-AB324,0))</f>
        <v/>
      </c>
      <c r="AH324" s="34">
        <f>MAX(I324,J324,750)*0.05*AG324</f>
        <v/>
      </c>
      <c r="AI324">
        <f>'[1]GÖP VERİLERİ'!E325</f>
        <v/>
      </c>
      <c r="AJ324">
        <f>'[1]GÖP VERİLERİ'!F325</f>
        <v/>
      </c>
      <c r="AK324" s="34">
        <f>IF(AI324&gt;AJ324*1.05,AI324-AJ324*1.05,IF(AI324&lt;AJ324*0.95,AJ324*0.95-AI324,0))</f>
        <v/>
      </c>
      <c r="AL324" s="34">
        <f>MAX(F324,G324,750)*0.05*AK324</f>
        <v/>
      </c>
      <c r="AM324" s="39">
        <f>'[1]GÖP VERİLERİ'!G325</f>
        <v/>
      </c>
      <c r="AN324" s="34">
        <f>IF(AI324&gt;AM324*1.05,AI324-AM324*1.05,IF(AI324&lt;AM324*0.95,AM324*0.95-AI324,0))</f>
        <v/>
      </c>
      <c r="AO324" s="34">
        <f>MAX(F324,G324,750)*0.05*AN324</f>
        <v/>
      </c>
      <c r="AP324" s="34">
        <f>'[1]GÖP VERİLERİ'!B325</f>
        <v/>
      </c>
      <c r="AQ324" s="34">
        <f>'[1]GÖP VERİLERİ'!C325</f>
        <v/>
      </c>
      <c r="AR324" s="34">
        <f>IF(AP324&gt;AQ324*1.05,AP324-AQ324*1.05,IF(AP324&lt;AQ324*0.95,AQ324*0.95-AP324,0))</f>
        <v/>
      </c>
      <c r="AS324" s="34">
        <f>MAX(F324:G324,750)*0.05*AR324</f>
        <v/>
      </c>
      <c r="AT324">
        <f>'[1]GÖP VERİLERİ'!D325</f>
        <v/>
      </c>
      <c r="AU324" s="34">
        <f>IF(AP324&gt;AT324*1.05,AP324-AT324*1.05,IF(AP324&lt;AT324*0.95,AT324*0.95-AP324,0))</f>
        <v/>
      </c>
      <c r="AV324" s="34">
        <f>MAX(F324:G324,750)*0.05*AU324</f>
        <v/>
      </c>
      <c r="AW324" s="34">
        <f>AC324+AJ324+AQ324</f>
        <v/>
      </c>
      <c r="AX324" s="34">
        <f>AF324+AM324+AT324</f>
        <v/>
      </c>
      <c r="AY324" s="34">
        <f>AB324+AI324+AP324</f>
        <v/>
      </c>
      <c r="AZ324" s="34" t="n">
        <v>0</v>
      </c>
      <c r="BA324" s="34">
        <f>AD324+AK324+AR324</f>
        <v/>
      </c>
      <c r="BB324" s="34">
        <f>MAX(F324:G324,750)*0.05*BA324</f>
        <v/>
      </c>
      <c r="BC324" s="34">
        <f>AG324+AN324+AU324</f>
        <v/>
      </c>
      <c r="BD324" s="34">
        <f>MAX(F324:G324,750)*0.05*BC324</f>
        <v/>
      </c>
      <c r="BE324" s="34">
        <f>F324*AY324</f>
        <v/>
      </c>
      <c r="BF324" s="34">
        <f>K324-M324</f>
        <v/>
      </c>
      <c r="BG324" s="34">
        <f>P324-S324</f>
        <v/>
      </c>
      <c r="BH324" s="34">
        <f>W324-AA324</f>
        <v/>
      </c>
      <c r="BI324" s="34">
        <f>BF324+BG324+BL324-BN324</f>
        <v/>
      </c>
      <c r="BJ324" s="34">
        <f>ABS(BK324)</f>
        <v/>
      </c>
      <c r="BK324" s="34">
        <f>AY324-(J324-L324+N324-Q324)</f>
        <v/>
      </c>
      <c r="BL324" s="34">
        <f>IF(AND(BK324&gt;0,MIN($F324:$G324)&lt;150,$E324="Enerji Açığı"),-100*BK324*1.03,IF(AND(BK324&gt;0,MIN($F324:$G324)&lt;150,$E324="Enerji Fazlası"),-100*BK324*1.06,IF(AND(BK324&gt;0,MIN($F324:$G324)&gt;=150,$E324="Enerji Açığı"),BK324*MIN($F324:$G324)*0.97,IF(AND(BK324&gt;0,MIN($F324:$G324)&gt;=150,$E324="Enerji Fazlası"),BK324*MIN($F324:$G324)*0.94,IF(AND(BK324&lt;0,MAX($F324:$G324)=4500,$E324="Enerji Açığı"),4500*1.05*1.06*BK324,IF(AND(BK324&lt;0,MAX($F324:$G324)=4500,$E324="Enerji Fazlası"),4500*1.05*1.03*BK324,IF(AND(BK324&lt;0,$E324="Enerji Açığı"),MAX($F324,$G324,150)*BK324*1.06,IF(AND(BK324&lt;0,$E324="Enerji Fazlası"),MAX($F324,$G324,150)*BK324*1.03,IF(AND(BK324&lt;0,$E324="Dengede"),MAX($F324:$G324,150)*1.03*BK324,MIN($F324:$G324)*0.97*BK324)))))))))</f>
        <v/>
      </c>
      <c r="BM324" s="34">
        <f>BE324-BI324-BN324</f>
        <v/>
      </c>
      <c r="BN324" s="34">
        <f>BB324</f>
        <v/>
      </c>
      <c r="BO324" s="34">
        <f>BE324-BI324</f>
        <v/>
      </c>
      <c r="BP324" s="34">
        <f>IF(AY324=0,0,BO324/AY324)</f>
        <v/>
      </c>
      <c r="BQ324" s="34">
        <f>MAX((AY324+MAX((-J324+L324-N324+Q324),0)),(MAX((J324-L324+N324-Q324),0)))</f>
        <v/>
      </c>
      <c r="BR324" s="82">
        <f>IFERROR(ABS(BK324/BQ324),0)</f>
        <v/>
      </c>
      <c r="BS324" s="34">
        <f>IF(BR324&lt;=0.1,0,BK324/BR324*(BR324-0.1))</f>
        <v/>
      </c>
      <c r="BT324" s="34">
        <f>IF((BS324)&lt;0,MAX(F324:G324)*(BS324)*1.03,MIN(F324:G324)*(BS324)*0.97)</f>
        <v/>
      </c>
      <c r="BU324" s="34">
        <f>IF(BR324&gt;0.1,1,0)</f>
        <v/>
      </c>
      <c r="BV324" s="34">
        <f>BF324+BG324+BH324+BY324-CA324</f>
        <v/>
      </c>
      <c r="BW324" s="34">
        <f>ABS(BX324)</f>
        <v/>
      </c>
      <c r="BX324" s="34">
        <f>AY324-(J324-L324+N324-Q324+T324-X324)</f>
        <v/>
      </c>
      <c r="BY324" s="34">
        <f>IF(AND(BX324&gt;0,MIN($F324:$G324)&lt;150,$E324="Enerji Açığı"),-100*BX324*1.03,IF(AND(BX324&gt;0,MIN($F324:$G324)&lt;150,$E324="Enerji Fazlası"),-100*BX324*1.06,IF(AND(BX324&gt;0,MIN($F324:$G324)&gt;=150,$E324="Enerji Açığı"),BX324*MIN($F324:$G324)*0.97,IF(AND(BX324&gt;0,MIN($F324:$G324)&gt;=150,$E324="Enerji Fazlası"),BX324*MIN($F324:$G324)*0.94,IF(AND(BX324&lt;0,MAX($F324:$G324)=4500,$E324="Enerji Açığı"),4500*1.05*1.06*BX324,IF(AND(BX324&lt;0,MAX($F324:$G324)=4500,$E324="Enerji Fazlası"),4500*1.05*1.03*BX324,IF(AND(BX324&lt;0,$E324="Enerji Açığı"),MAX($F324,$G324,150)*BX324*1.06,IF(AND(BX324&lt;0,$E324="Enerji Fazlası"),MAX($F324,$G324,150)*BX324*1.03,IF(AND(BX324&lt;0,$E324="Dengede"),MAX($F324:$G324,150)*1.03*BX324,MIN($F324:$G324)*0.97*BX324)))))))))</f>
        <v/>
      </c>
      <c r="BZ324" s="34">
        <f>BE324-BV324-CA324</f>
        <v/>
      </c>
      <c r="CA324" s="34">
        <f>BD324</f>
        <v/>
      </c>
      <c r="CB324" s="33">
        <f>BE324-BV324</f>
        <v/>
      </c>
      <c r="CC324" s="34">
        <f>IF(AY324=0,0,CB324/AY324)</f>
        <v/>
      </c>
      <c r="CD324" s="34">
        <f>MAX((AY324+MAX((-J324+L324-N324+Q324-T324+X324),0)),(MAX((J324-L324+N324-Q324+T324-X324),0)))</f>
        <v/>
      </c>
      <c r="CE324" s="82">
        <f>IFERROR(ABS(BX324/CD324),0)</f>
        <v/>
      </c>
      <c r="CF324" s="34">
        <f>IF(CE324&lt;=0.1,0,BX324/CE324*(CE324-0.1))</f>
        <v/>
      </c>
      <c r="CG324" s="34">
        <f>IF((CF324)&lt;0,MAX(F324:G324)*(CF324)*1.03,MIN(F324:G324)*(CF324)*0.97)</f>
        <v/>
      </c>
      <c r="CH324" s="34">
        <f>IF(CE324&gt;0.1,1,0)</f>
        <v/>
      </c>
      <c r="CI324" s="34">
        <f>(F324*BX324)-BY324</f>
        <v/>
      </c>
      <c r="CJ324" s="34">
        <f>IF(AY324=0,0,CI324/AY324)</f>
        <v/>
      </c>
    </row>
    <row r="325">
      <c r="A325" s="29">
        <f>[1]FİYATLAR!A300</f>
        <v/>
      </c>
      <c r="B325" s="29">
        <f>[1]FİYATLAR!B300</f>
        <v/>
      </c>
      <c r="C325" s="35">
        <f>INT(A325)</f>
        <v/>
      </c>
      <c r="D325" s="36">
        <f>MONTH(A325)</f>
        <v/>
      </c>
      <c r="E325" s="147">
        <f>[1]FİYATLAR!G300</f>
        <v/>
      </c>
      <c r="F325" s="30">
        <f>[1]FİYATLAR!C300</f>
        <v/>
      </c>
      <c r="G325" s="30">
        <f>[1]FİYATLAR!E300</f>
        <v/>
      </c>
      <c r="H325" s="30">
        <f>[1]FİYATLAR!D300</f>
        <v/>
      </c>
      <c r="I325" s="30">
        <f>[1]FİYATLAR!F300</f>
        <v/>
      </c>
      <c r="J325" s="119" t="n">
        <v>0</v>
      </c>
      <c r="K325" s="34">
        <f>F325*J325</f>
        <v/>
      </c>
      <c r="L325" s="119" t="n"/>
      <c r="M325" s="34">
        <f>L325*F325</f>
        <v/>
      </c>
      <c r="N325" s="119" t="n"/>
      <c r="O325" s="34">
        <f>F325</f>
        <v/>
      </c>
      <c r="P325" s="34">
        <f>N325*O325</f>
        <v/>
      </c>
      <c r="Q325" s="117" t="n">
        <v>0</v>
      </c>
      <c r="R325" s="34">
        <f>F325</f>
        <v/>
      </c>
      <c r="S325" s="34">
        <f>R325*Q325</f>
        <v/>
      </c>
      <c r="T325" s="34">
        <f>SUMIFS('[1]GİP VERİLERİ'!$C:$C,'[1]GİP VERİLERİ'!$B:$B,A325,'[1]GİP VERİLERİ'!$M:$M,"40X000000104782K",'[1]GİP VERİLERİ'!$G:$G,"SELL")</f>
        <v/>
      </c>
      <c r="U325" s="34">
        <f>IFERROR(W325/T325,0)</f>
        <v/>
      </c>
      <c r="V325" s="34">
        <f>IF(U325=0,0,U325-F325)</f>
        <v/>
      </c>
      <c r="W325" s="34">
        <f>SUMIFS('[1]GİP VERİLERİ'!$O:$O,'[1]GİP VERİLERİ'!$B:$B,A325,'[1]GİP VERİLERİ'!$M:$M,"40X000000104782K",'[1]GİP VERİLERİ'!$G:$G,"SELL")</f>
        <v/>
      </c>
      <c r="X325" s="34">
        <f>SUMIFS('[1]GİP VERİLERİ'!$C:$C,'[1]GİP VERİLERİ'!$B:$B,A325,'[1]GİP VERİLERİ'!$M:$M,"40X000000104782K",'[1]GİP VERİLERİ'!$G:$G,"BUY")</f>
        <v/>
      </c>
      <c r="Y325" s="34">
        <f>IFERROR(AA325/X325,0)</f>
        <v/>
      </c>
      <c r="Z325" s="34">
        <f>IF(Y325=0,0,F325-Y325)</f>
        <v/>
      </c>
      <c r="AA325" s="34">
        <f>SUMIFS('[1]GİP VERİLERİ'!$O:$O,'[1]GİP VERİLERİ'!$B:$B,A325,'[1]GİP VERİLERİ'!$M:$M,"40X000000104782K",'[1]GİP VERİLERİ'!$G:$G,"BUY")</f>
        <v/>
      </c>
      <c r="AB325" s="34">
        <f>'[1]GÖP VERİLERİ'!H326</f>
        <v/>
      </c>
      <c r="AC325" s="34">
        <f>'[1]GÖP VERİLERİ'!I326</f>
        <v/>
      </c>
      <c r="AD325" s="34">
        <f>IF(AB325&gt;AC325*1.05,AB325-AC325*1.05,IF(AB325&lt;AC325*0.95,AC325*0.95-AB325,0))</f>
        <v/>
      </c>
      <c r="AE325" s="34">
        <f>MAX(F325,G325,750)*0.05*AD325</f>
        <v/>
      </c>
      <c r="AF325" s="34">
        <f>'[1]GÖP VERİLERİ'!J326</f>
        <v/>
      </c>
      <c r="AG325" s="34">
        <f>IF(AB325&gt;AF325*1.05,AB325-AF325*1.05,IF(AB325&lt;AF325*0.95,AF325*0.95-AB325,0))</f>
        <v/>
      </c>
      <c r="AH325" s="34">
        <f>MAX(I325,J325,750)*0.05*AG325</f>
        <v/>
      </c>
      <c r="AI325">
        <f>'[1]GÖP VERİLERİ'!E326</f>
        <v/>
      </c>
      <c r="AJ325">
        <f>'[1]GÖP VERİLERİ'!F326</f>
        <v/>
      </c>
      <c r="AK325" s="34">
        <f>IF(AI325&gt;AJ325*1.05,AI325-AJ325*1.05,IF(AI325&lt;AJ325*0.95,AJ325*0.95-AI325,0))</f>
        <v/>
      </c>
      <c r="AL325" s="34">
        <f>MAX(F325,G325,750)*0.05*AK325</f>
        <v/>
      </c>
      <c r="AM325" s="39">
        <f>'[1]GÖP VERİLERİ'!G326</f>
        <v/>
      </c>
      <c r="AN325" s="34">
        <f>IF(AI325&gt;AM325*1.05,AI325-AM325*1.05,IF(AI325&lt;AM325*0.95,AM325*0.95-AI325,0))</f>
        <v/>
      </c>
      <c r="AO325" s="34">
        <f>MAX(F325,G325,750)*0.05*AN325</f>
        <v/>
      </c>
      <c r="AP325" s="34">
        <f>'[1]GÖP VERİLERİ'!B326</f>
        <v/>
      </c>
      <c r="AQ325" s="34">
        <f>'[1]GÖP VERİLERİ'!C326</f>
        <v/>
      </c>
      <c r="AR325" s="34">
        <f>IF(AP325&gt;AQ325*1.05,AP325-AQ325*1.05,IF(AP325&lt;AQ325*0.95,AQ325*0.95-AP325,0))</f>
        <v/>
      </c>
      <c r="AS325" s="34">
        <f>MAX(F325:G325,750)*0.05*AR325</f>
        <v/>
      </c>
      <c r="AT325">
        <f>'[1]GÖP VERİLERİ'!D326</f>
        <v/>
      </c>
      <c r="AU325" s="34">
        <f>IF(AP325&gt;AT325*1.05,AP325-AT325*1.05,IF(AP325&lt;AT325*0.95,AT325*0.95-AP325,0))</f>
        <v/>
      </c>
      <c r="AV325" s="34">
        <f>MAX(F325:G325,750)*0.05*AU325</f>
        <v/>
      </c>
      <c r="AW325" s="34">
        <f>AC325+AJ325+AQ325</f>
        <v/>
      </c>
      <c r="AX325" s="34">
        <f>AF325+AM325+AT325</f>
        <v/>
      </c>
      <c r="AY325" s="34">
        <f>AB325+AI325+AP325</f>
        <v/>
      </c>
      <c r="AZ325" s="34" t="n">
        <v>0</v>
      </c>
      <c r="BA325" s="34">
        <f>AD325+AK325+AR325</f>
        <v/>
      </c>
      <c r="BB325" s="34">
        <f>MAX(F325:G325,750)*0.05*BA325</f>
        <v/>
      </c>
      <c r="BC325" s="34">
        <f>AG325+AN325+AU325</f>
        <v/>
      </c>
      <c r="BD325" s="34">
        <f>MAX(F325:G325,750)*0.05*BC325</f>
        <v/>
      </c>
      <c r="BE325" s="34">
        <f>F325*AY325</f>
        <v/>
      </c>
      <c r="BF325" s="34">
        <f>K325-M325</f>
        <v/>
      </c>
      <c r="BG325" s="34">
        <f>P325-S325</f>
        <v/>
      </c>
      <c r="BH325" s="34">
        <f>W325-AA325</f>
        <v/>
      </c>
      <c r="BI325" s="34">
        <f>BF325+BG325+BL325-BN325</f>
        <v/>
      </c>
      <c r="BJ325" s="34">
        <f>ABS(BK325)</f>
        <v/>
      </c>
      <c r="BK325" s="34">
        <f>AY325-(J325-L325+N325-Q325)</f>
        <v/>
      </c>
      <c r="BL325" s="34">
        <f>IF(AND(BK325&gt;0,MIN($F325:$G325)&lt;150,$E325="Enerji Açığı"),-100*BK325*1.03,IF(AND(BK325&gt;0,MIN($F325:$G325)&lt;150,$E325="Enerji Fazlası"),-100*BK325*1.06,IF(AND(BK325&gt;0,MIN($F325:$G325)&gt;=150,$E325="Enerji Açığı"),BK325*MIN($F325:$G325)*0.97,IF(AND(BK325&gt;0,MIN($F325:$G325)&gt;=150,$E325="Enerji Fazlası"),BK325*MIN($F325:$G325)*0.94,IF(AND(BK325&lt;0,MAX($F325:$G325)=4500,$E325="Enerji Açığı"),4500*1.05*1.06*BK325,IF(AND(BK325&lt;0,MAX($F325:$G325)=4500,$E325="Enerji Fazlası"),4500*1.05*1.03*BK325,IF(AND(BK325&lt;0,$E325="Enerji Açığı"),MAX($F325,$G325,150)*BK325*1.06,IF(AND(BK325&lt;0,$E325="Enerji Fazlası"),MAX($F325,$G325,150)*BK325*1.03,IF(AND(BK325&lt;0,$E325="Dengede"),MAX($F325:$G325,150)*1.03*BK325,MIN($F325:$G325)*0.97*BK325)))))))))</f>
        <v/>
      </c>
      <c r="BM325" s="34">
        <f>BE325-BI325-BN325</f>
        <v/>
      </c>
      <c r="BN325" s="34">
        <f>BB325</f>
        <v/>
      </c>
      <c r="BO325" s="34">
        <f>BE325-BI325</f>
        <v/>
      </c>
      <c r="BP325" s="34">
        <f>IF(AY325=0,0,BO325/AY325)</f>
        <v/>
      </c>
      <c r="BQ325" s="34">
        <f>MAX((AY325+MAX((-J325+L325-N325+Q325),0)),(MAX((J325-L325+N325-Q325),0)))</f>
        <v/>
      </c>
      <c r="BR325" s="82">
        <f>IFERROR(ABS(BK325/BQ325),0)</f>
        <v/>
      </c>
      <c r="BS325" s="34">
        <f>IF(BR325&lt;=0.1,0,BK325/BR325*(BR325-0.1))</f>
        <v/>
      </c>
      <c r="BT325" s="34">
        <f>IF((BS325)&lt;0,MAX(F325:G325)*(BS325)*1.03,MIN(F325:G325)*(BS325)*0.97)</f>
        <v/>
      </c>
      <c r="BU325" s="34">
        <f>IF(BR325&gt;0.1,1,0)</f>
        <v/>
      </c>
      <c r="BV325" s="34">
        <f>BF325+BG325+BH325+BY325-CA325</f>
        <v/>
      </c>
      <c r="BW325" s="34">
        <f>ABS(BX325)</f>
        <v/>
      </c>
      <c r="BX325" s="34">
        <f>AY325-(J325-L325+N325-Q325+T325-X325)</f>
        <v/>
      </c>
      <c r="BY325" s="34">
        <f>IF(AND(BX325&gt;0,MIN($F325:$G325)&lt;150,$E325="Enerji Açığı"),-100*BX325*1.03,IF(AND(BX325&gt;0,MIN($F325:$G325)&lt;150,$E325="Enerji Fazlası"),-100*BX325*1.06,IF(AND(BX325&gt;0,MIN($F325:$G325)&gt;=150,$E325="Enerji Açığı"),BX325*MIN($F325:$G325)*0.97,IF(AND(BX325&gt;0,MIN($F325:$G325)&gt;=150,$E325="Enerji Fazlası"),BX325*MIN($F325:$G325)*0.94,IF(AND(BX325&lt;0,MAX($F325:$G325)=4500,$E325="Enerji Açığı"),4500*1.05*1.06*BX325,IF(AND(BX325&lt;0,MAX($F325:$G325)=4500,$E325="Enerji Fazlası"),4500*1.05*1.03*BX325,IF(AND(BX325&lt;0,$E325="Enerji Açığı"),MAX($F325,$G325,150)*BX325*1.06,IF(AND(BX325&lt;0,$E325="Enerji Fazlası"),MAX($F325,$G325,150)*BX325*1.03,IF(AND(BX325&lt;0,$E325="Dengede"),MAX($F325:$G325,150)*1.03*BX325,MIN($F325:$G325)*0.97*BX325)))))))))</f>
        <v/>
      </c>
      <c r="BZ325" s="34">
        <f>BE325-BV325-CA325</f>
        <v/>
      </c>
      <c r="CA325" s="34">
        <f>BD325</f>
        <v/>
      </c>
      <c r="CB325" s="33">
        <f>BE325-BV325</f>
        <v/>
      </c>
      <c r="CC325" s="34">
        <f>IF(AY325=0,0,CB325/AY325)</f>
        <v/>
      </c>
      <c r="CD325" s="34">
        <f>MAX((AY325+MAX((-J325+L325-N325+Q325-T325+X325),0)),(MAX((J325-L325+N325-Q325+T325-X325),0)))</f>
        <v/>
      </c>
      <c r="CE325" s="82">
        <f>IFERROR(ABS(BX325/CD325),0)</f>
        <v/>
      </c>
      <c r="CF325" s="34">
        <f>IF(CE325&lt;=0.1,0,BX325/CE325*(CE325-0.1))</f>
        <v/>
      </c>
      <c r="CG325" s="34">
        <f>IF((CF325)&lt;0,MAX(F325:G325)*(CF325)*1.03,MIN(F325:G325)*(CF325)*0.97)</f>
        <v/>
      </c>
      <c r="CH325" s="34">
        <f>IF(CE325&gt;0.1,1,0)</f>
        <v/>
      </c>
      <c r="CI325" s="34">
        <f>(F325*BX325)-BY325</f>
        <v/>
      </c>
      <c r="CJ325" s="34">
        <f>IF(AY325=0,0,CI325/AY325)</f>
        <v/>
      </c>
    </row>
    <row r="326">
      <c r="A326" s="29">
        <f>[1]FİYATLAR!A301</f>
        <v/>
      </c>
      <c r="B326" s="29">
        <f>[1]FİYATLAR!B301</f>
        <v/>
      </c>
      <c r="C326" s="35">
        <f>INT(A326)</f>
        <v/>
      </c>
      <c r="D326" s="36">
        <f>MONTH(A326)</f>
        <v/>
      </c>
      <c r="E326" s="147">
        <f>[1]FİYATLAR!G301</f>
        <v/>
      </c>
      <c r="F326" s="30">
        <f>[1]FİYATLAR!C301</f>
        <v/>
      </c>
      <c r="G326" s="30">
        <f>[1]FİYATLAR!E301</f>
        <v/>
      </c>
      <c r="H326" s="30">
        <f>[1]FİYATLAR!D301</f>
        <v/>
      </c>
      <c r="I326" s="30">
        <f>[1]FİYATLAR!F301</f>
        <v/>
      </c>
      <c r="J326" s="119" t="n">
        <v>0</v>
      </c>
      <c r="K326" s="34">
        <f>F326*J326</f>
        <v/>
      </c>
      <c r="L326" s="119" t="n"/>
      <c r="M326" s="34">
        <f>L326*F326</f>
        <v/>
      </c>
      <c r="N326" s="119" t="n"/>
      <c r="O326" s="34">
        <f>F326</f>
        <v/>
      </c>
      <c r="P326" s="34">
        <f>N326*O326</f>
        <v/>
      </c>
      <c r="Q326" s="117" t="n">
        <v>0</v>
      </c>
      <c r="R326" s="34">
        <f>F326</f>
        <v/>
      </c>
      <c r="S326" s="34">
        <f>R326*Q326</f>
        <v/>
      </c>
      <c r="T326" s="34">
        <f>SUMIFS('[1]GİP VERİLERİ'!$C:$C,'[1]GİP VERİLERİ'!$B:$B,A326,'[1]GİP VERİLERİ'!$M:$M,"40X000000104782K",'[1]GİP VERİLERİ'!$G:$G,"SELL")</f>
        <v/>
      </c>
      <c r="U326" s="34">
        <f>IFERROR(W326/T326,0)</f>
        <v/>
      </c>
      <c r="V326" s="34">
        <f>IF(U326=0,0,U326-F326)</f>
        <v/>
      </c>
      <c r="W326" s="34">
        <f>SUMIFS('[1]GİP VERİLERİ'!$O:$O,'[1]GİP VERİLERİ'!$B:$B,A326,'[1]GİP VERİLERİ'!$M:$M,"40X000000104782K",'[1]GİP VERİLERİ'!$G:$G,"SELL")</f>
        <v/>
      </c>
      <c r="X326" s="34">
        <f>SUMIFS('[1]GİP VERİLERİ'!$C:$C,'[1]GİP VERİLERİ'!$B:$B,A326,'[1]GİP VERİLERİ'!$M:$M,"40X000000104782K",'[1]GİP VERİLERİ'!$G:$G,"BUY")</f>
        <v/>
      </c>
      <c r="Y326" s="34">
        <f>IFERROR(AA326/X326,0)</f>
        <v/>
      </c>
      <c r="Z326" s="34">
        <f>IF(Y326=0,0,F326-Y326)</f>
        <v/>
      </c>
      <c r="AA326" s="34">
        <f>SUMIFS('[1]GİP VERİLERİ'!$O:$O,'[1]GİP VERİLERİ'!$B:$B,A326,'[1]GİP VERİLERİ'!$M:$M,"40X000000104782K",'[1]GİP VERİLERİ'!$G:$G,"BUY")</f>
        <v/>
      </c>
      <c r="AB326" s="34">
        <f>'[1]GÖP VERİLERİ'!H327</f>
        <v/>
      </c>
      <c r="AC326" s="34">
        <f>'[1]GÖP VERİLERİ'!I327</f>
        <v/>
      </c>
      <c r="AD326" s="34">
        <f>IF(AB326&gt;AC326*1.05,AB326-AC326*1.05,IF(AB326&lt;AC326*0.95,AC326*0.95-AB326,0))</f>
        <v/>
      </c>
      <c r="AE326" s="34">
        <f>MAX(F326,G326,750)*0.05*AD326</f>
        <v/>
      </c>
      <c r="AF326" s="34">
        <f>'[1]GÖP VERİLERİ'!J327</f>
        <v/>
      </c>
      <c r="AG326" s="34">
        <f>IF(AB326&gt;AF326*1.05,AB326-AF326*1.05,IF(AB326&lt;AF326*0.95,AF326*0.95-AB326,0))</f>
        <v/>
      </c>
      <c r="AH326" s="34">
        <f>MAX(I326,J326,750)*0.05*AG326</f>
        <v/>
      </c>
      <c r="AI326">
        <f>'[1]GÖP VERİLERİ'!E327</f>
        <v/>
      </c>
      <c r="AJ326">
        <f>'[1]GÖP VERİLERİ'!F327</f>
        <v/>
      </c>
      <c r="AK326" s="34">
        <f>IF(AI326&gt;AJ326*1.05,AI326-AJ326*1.05,IF(AI326&lt;AJ326*0.95,AJ326*0.95-AI326,0))</f>
        <v/>
      </c>
      <c r="AL326" s="34">
        <f>MAX(F326,G326,750)*0.05*AK326</f>
        <v/>
      </c>
      <c r="AM326" s="39">
        <f>'[1]GÖP VERİLERİ'!G327</f>
        <v/>
      </c>
      <c r="AN326" s="34">
        <f>IF(AI326&gt;AM326*1.05,AI326-AM326*1.05,IF(AI326&lt;AM326*0.95,AM326*0.95-AI326,0))</f>
        <v/>
      </c>
      <c r="AO326" s="34">
        <f>MAX(F326,G326,750)*0.05*AN326</f>
        <v/>
      </c>
      <c r="AP326" s="34">
        <f>'[1]GÖP VERİLERİ'!B327</f>
        <v/>
      </c>
      <c r="AQ326" s="34">
        <f>'[1]GÖP VERİLERİ'!C327</f>
        <v/>
      </c>
      <c r="AR326" s="34">
        <f>IF(AP326&gt;AQ326*1.05,AP326-AQ326*1.05,IF(AP326&lt;AQ326*0.95,AQ326*0.95-AP326,0))</f>
        <v/>
      </c>
      <c r="AS326" s="34">
        <f>MAX(F326:G326,750)*0.05*AR326</f>
        <v/>
      </c>
      <c r="AT326">
        <f>'[1]GÖP VERİLERİ'!D327</f>
        <v/>
      </c>
      <c r="AU326" s="34">
        <f>IF(AP326&gt;AT326*1.05,AP326-AT326*1.05,IF(AP326&lt;AT326*0.95,AT326*0.95-AP326,0))</f>
        <v/>
      </c>
      <c r="AV326" s="34">
        <f>MAX(F326:G326,750)*0.05*AU326</f>
        <v/>
      </c>
      <c r="AW326" s="34">
        <f>AC326+AJ326+AQ326</f>
        <v/>
      </c>
      <c r="AX326" s="34">
        <f>AF326+AM326+AT326</f>
        <v/>
      </c>
      <c r="AY326" s="34">
        <f>AB326+AI326+AP326</f>
        <v/>
      </c>
      <c r="AZ326" s="34" t="n">
        <v>0</v>
      </c>
      <c r="BA326" s="34">
        <f>AD326+AK326+AR326</f>
        <v/>
      </c>
      <c r="BB326" s="34">
        <f>MAX(F326:G326,750)*0.05*BA326</f>
        <v/>
      </c>
      <c r="BC326" s="34">
        <f>AG326+AN326+AU326</f>
        <v/>
      </c>
      <c r="BD326" s="34">
        <f>MAX(F326:G326,750)*0.05*BC326</f>
        <v/>
      </c>
      <c r="BE326" s="34">
        <f>F326*AY326</f>
        <v/>
      </c>
      <c r="BF326" s="34">
        <f>K326-M326</f>
        <v/>
      </c>
      <c r="BG326" s="34">
        <f>P326-S326</f>
        <v/>
      </c>
      <c r="BH326" s="34">
        <f>W326-AA326</f>
        <v/>
      </c>
      <c r="BI326" s="34">
        <f>BF326+BG326+BL326-BN326</f>
        <v/>
      </c>
      <c r="BJ326" s="34">
        <f>ABS(BK326)</f>
        <v/>
      </c>
      <c r="BK326" s="34">
        <f>AY326-(J326-L326+N326-Q326)</f>
        <v/>
      </c>
      <c r="BL326" s="34">
        <f>IF(AND(BK326&gt;0,MIN($F326:$G326)&lt;150,$E326="Enerji Açığı"),-100*BK326*1.03,IF(AND(BK326&gt;0,MIN($F326:$G326)&lt;150,$E326="Enerji Fazlası"),-100*BK326*1.06,IF(AND(BK326&gt;0,MIN($F326:$G326)&gt;=150,$E326="Enerji Açığı"),BK326*MIN($F326:$G326)*0.97,IF(AND(BK326&gt;0,MIN($F326:$G326)&gt;=150,$E326="Enerji Fazlası"),BK326*MIN($F326:$G326)*0.94,IF(AND(BK326&lt;0,MAX($F326:$G326)=4500,$E326="Enerji Açığı"),4500*1.05*1.06*BK326,IF(AND(BK326&lt;0,MAX($F326:$G326)=4500,$E326="Enerji Fazlası"),4500*1.05*1.03*BK326,IF(AND(BK326&lt;0,$E326="Enerji Açığı"),MAX($F326,$G326,150)*BK326*1.06,IF(AND(BK326&lt;0,$E326="Enerji Fazlası"),MAX($F326,$G326,150)*BK326*1.03,IF(AND(BK326&lt;0,$E326="Dengede"),MAX($F326:$G326,150)*1.03*BK326,MIN($F326:$G326)*0.97*BK326)))))))))</f>
        <v/>
      </c>
      <c r="BM326" s="34">
        <f>BE326-BI326-BN326</f>
        <v/>
      </c>
      <c r="BN326" s="34">
        <f>BB326</f>
        <v/>
      </c>
      <c r="BO326" s="34">
        <f>BE326-BI326</f>
        <v/>
      </c>
      <c r="BP326" s="34">
        <f>IF(AY326=0,0,BO326/AY326)</f>
        <v/>
      </c>
      <c r="BQ326" s="34">
        <f>MAX((AY326+MAX((-J326+L326-N326+Q326),0)),(MAX((J326-L326+N326-Q326),0)))</f>
        <v/>
      </c>
      <c r="BR326" s="82">
        <f>IFERROR(ABS(BK326/BQ326),0)</f>
        <v/>
      </c>
      <c r="BS326" s="34">
        <f>IF(BR326&lt;=0.1,0,BK326/BR326*(BR326-0.1))</f>
        <v/>
      </c>
      <c r="BT326" s="34">
        <f>IF((BS326)&lt;0,MAX(F326:G326)*(BS326)*1.03,MIN(F326:G326)*(BS326)*0.97)</f>
        <v/>
      </c>
      <c r="BU326" s="34">
        <f>IF(BR326&gt;0.1,1,0)</f>
        <v/>
      </c>
      <c r="BV326" s="34">
        <f>BF326+BG326+BH326+BY326-CA326</f>
        <v/>
      </c>
      <c r="BW326" s="34">
        <f>ABS(BX326)</f>
        <v/>
      </c>
      <c r="BX326" s="34">
        <f>AY326-(J326-L326+N326-Q326+T326-X326)</f>
        <v/>
      </c>
      <c r="BY326" s="34">
        <f>IF(AND(BX326&gt;0,MIN($F326:$G326)&lt;150,$E326="Enerji Açığı"),-100*BX326*1.03,IF(AND(BX326&gt;0,MIN($F326:$G326)&lt;150,$E326="Enerji Fazlası"),-100*BX326*1.06,IF(AND(BX326&gt;0,MIN($F326:$G326)&gt;=150,$E326="Enerji Açığı"),BX326*MIN($F326:$G326)*0.97,IF(AND(BX326&gt;0,MIN($F326:$G326)&gt;=150,$E326="Enerji Fazlası"),BX326*MIN($F326:$G326)*0.94,IF(AND(BX326&lt;0,MAX($F326:$G326)=4500,$E326="Enerji Açığı"),4500*1.05*1.06*BX326,IF(AND(BX326&lt;0,MAX($F326:$G326)=4500,$E326="Enerji Fazlası"),4500*1.05*1.03*BX326,IF(AND(BX326&lt;0,$E326="Enerji Açığı"),MAX($F326,$G326,150)*BX326*1.06,IF(AND(BX326&lt;0,$E326="Enerji Fazlası"),MAX($F326,$G326,150)*BX326*1.03,IF(AND(BX326&lt;0,$E326="Dengede"),MAX($F326:$G326,150)*1.03*BX326,MIN($F326:$G326)*0.97*BX326)))))))))</f>
        <v/>
      </c>
      <c r="BZ326" s="34">
        <f>BE326-BV326-CA326</f>
        <v/>
      </c>
      <c r="CA326" s="34">
        <f>BD326</f>
        <v/>
      </c>
      <c r="CB326" s="33">
        <f>BE326-BV326</f>
        <v/>
      </c>
      <c r="CC326" s="34">
        <f>IF(AY326=0,0,CB326/AY326)</f>
        <v/>
      </c>
      <c r="CD326" s="34">
        <f>MAX((AY326+MAX((-J326+L326-N326+Q326-T326+X326),0)),(MAX((J326-L326+N326-Q326+T326-X326),0)))</f>
        <v/>
      </c>
      <c r="CE326" s="82">
        <f>IFERROR(ABS(BX326/CD326),0)</f>
        <v/>
      </c>
      <c r="CF326" s="34">
        <f>IF(CE326&lt;=0.1,0,BX326/CE326*(CE326-0.1))</f>
        <v/>
      </c>
      <c r="CG326" s="34">
        <f>IF((CF326)&lt;0,MAX(F326:G326)*(CF326)*1.03,MIN(F326:G326)*(CF326)*0.97)</f>
        <v/>
      </c>
      <c r="CH326" s="34">
        <f>IF(CE326&gt;0.1,1,0)</f>
        <v/>
      </c>
      <c r="CI326" s="34">
        <f>(F326*BX326)-BY326</f>
        <v/>
      </c>
      <c r="CJ326" s="34">
        <f>IF(AY326=0,0,CI326/AY326)</f>
        <v/>
      </c>
    </row>
    <row r="327">
      <c r="A327" s="29">
        <f>[1]FİYATLAR!A302</f>
        <v/>
      </c>
      <c r="B327" s="29">
        <f>[1]FİYATLAR!B302</f>
        <v/>
      </c>
      <c r="C327" s="35">
        <f>INT(A327)</f>
        <v/>
      </c>
      <c r="D327" s="36">
        <f>MONTH(A327)</f>
        <v/>
      </c>
      <c r="E327" s="147">
        <f>[1]FİYATLAR!G302</f>
        <v/>
      </c>
      <c r="F327" s="30">
        <f>[1]FİYATLAR!C302</f>
        <v/>
      </c>
      <c r="G327" s="30">
        <f>[1]FİYATLAR!E302</f>
        <v/>
      </c>
      <c r="H327" s="30">
        <f>[1]FİYATLAR!D302</f>
        <v/>
      </c>
      <c r="I327" s="30">
        <f>[1]FİYATLAR!F302</f>
        <v/>
      </c>
      <c r="J327" s="119" t="n">
        <v>0</v>
      </c>
      <c r="K327" s="34">
        <f>F327*J327</f>
        <v/>
      </c>
      <c r="L327" s="119" t="n"/>
      <c r="M327" s="34">
        <f>L327*F327</f>
        <v/>
      </c>
      <c r="N327" s="119" t="n"/>
      <c r="O327" s="34">
        <f>F327</f>
        <v/>
      </c>
      <c r="P327" s="34">
        <f>N327*O327</f>
        <v/>
      </c>
      <c r="Q327" s="117" t="n">
        <v>0</v>
      </c>
      <c r="R327" s="34">
        <f>F327</f>
        <v/>
      </c>
      <c r="S327" s="34">
        <f>R327*Q327</f>
        <v/>
      </c>
      <c r="T327" s="34">
        <f>SUMIFS('[1]GİP VERİLERİ'!$C:$C,'[1]GİP VERİLERİ'!$B:$B,A327,'[1]GİP VERİLERİ'!$M:$M,"40X000000104782K",'[1]GİP VERİLERİ'!$G:$G,"SELL")</f>
        <v/>
      </c>
      <c r="U327" s="34">
        <f>IFERROR(W327/T327,0)</f>
        <v/>
      </c>
      <c r="V327" s="34">
        <f>IF(U327=0,0,U327-F327)</f>
        <v/>
      </c>
      <c r="W327" s="34">
        <f>SUMIFS('[1]GİP VERİLERİ'!$O:$O,'[1]GİP VERİLERİ'!$B:$B,A327,'[1]GİP VERİLERİ'!$M:$M,"40X000000104782K",'[1]GİP VERİLERİ'!$G:$G,"SELL")</f>
        <v/>
      </c>
      <c r="X327" s="34">
        <f>SUMIFS('[1]GİP VERİLERİ'!$C:$C,'[1]GİP VERİLERİ'!$B:$B,A327,'[1]GİP VERİLERİ'!$M:$M,"40X000000104782K",'[1]GİP VERİLERİ'!$G:$G,"BUY")</f>
        <v/>
      </c>
      <c r="Y327" s="34">
        <f>IFERROR(AA327/X327,0)</f>
        <v/>
      </c>
      <c r="Z327" s="34">
        <f>IF(Y327=0,0,F327-Y327)</f>
        <v/>
      </c>
      <c r="AA327" s="34">
        <f>SUMIFS('[1]GİP VERİLERİ'!$O:$O,'[1]GİP VERİLERİ'!$B:$B,A327,'[1]GİP VERİLERİ'!$M:$M,"40X000000104782K",'[1]GİP VERİLERİ'!$G:$G,"BUY")</f>
        <v/>
      </c>
      <c r="AB327" s="34">
        <f>'[1]GÖP VERİLERİ'!H328</f>
        <v/>
      </c>
      <c r="AC327" s="34">
        <f>'[1]GÖP VERİLERİ'!I328</f>
        <v/>
      </c>
      <c r="AD327" s="34">
        <f>IF(AB327&gt;AC327*1.05,AB327-AC327*1.05,IF(AB327&lt;AC327*0.95,AC327*0.95-AB327,0))</f>
        <v/>
      </c>
      <c r="AE327" s="34">
        <f>MAX(F327,G327,750)*0.05*AD327</f>
        <v/>
      </c>
      <c r="AF327" s="34">
        <f>'[1]GÖP VERİLERİ'!J328</f>
        <v/>
      </c>
      <c r="AG327" s="34">
        <f>IF(AB327&gt;AF327*1.05,AB327-AF327*1.05,IF(AB327&lt;AF327*0.95,AF327*0.95-AB327,0))</f>
        <v/>
      </c>
      <c r="AH327" s="34">
        <f>MAX(I327,J327,750)*0.05*AG327</f>
        <v/>
      </c>
      <c r="AI327">
        <f>'[1]GÖP VERİLERİ'!E328</f>
        <v/>
      </c>
      <c r="AJ327">
        <f>'[1]GÖP VERİLERİ'!F328</f>
        <v/>
      </c>
      <c r="AK327" s="34">
        <f>IF(AI327&gt;AJ327*1.05,AI327-AJ327*1.05,IF(AI327&lt;AJ327*0.95,AJ327*0.95-AI327,0))</f>
        <v/>
      </c>
      <c r="AL327" s="34">
        <f>MAX(F327,G327,750)*0.05*AK327</f>
        <v/>
      </c>
      <c r="AM327" s="39">
        <f>'[1]GÖP VERİLERİ'!G328</f>
        <v/>
      </c>
      <c r="AN327" s="34">
        <f>IF(AI327&gt;AM327*1.05,AI327-AM327*1.05,IF(AI327&lt;AM327*0.95,AM327*0.95-AI327,0))</f>
        <v/>
      </c>
      <c r="AO327" s="34">
        <f>MAX(F327,G327,750)*0.05*AN327</f>
        <v/>
      </c>
      <c r="AP327" s="34">
        <f>'[1]GÖP VERİLERİ'!B328</f>
        <v/>
      </c>
      <c r="AQ327" s="34">
        <f>'[1]GÖP VERİLERİ'!C328</f>
        <v/>
      </c>
      <c r="AR327" s="34">
        <f>IF(AP327&gt;AQ327*1.05,AP327-AQ327*1.05,IF(AP327&lt;AQ327*0.95,AQ327*0.95-AP327,0))</f>
        <v/>
      </c>
      <c r="AS327" s="34">
        <f>MAX(F327:G327,750)*0.05*AR327</f>
        <v/>
      </c>
      <c r="AT327">
        <f>'[1]GÖP VERİLERİ'!D328</f>
        <v/>
      </c>
      <c r="AU327" s="34">
        <f>IF(AP327&gt;AT327*1.05,AP327-AT327*1.05,IF(AP327&lt;AT327*0.95,AT327*0.95-AP327,0))</f>
        <v/>
      </c>
      <c r="AV327" s="34">
        <f>MAX(F327:G327,750)*0.05*AU327</f>
        <v/>
      </c>
      <c r="AW327" s="34">
        <f>AC327+AJ327+AQ327</f>
        <v/>
      </c>
      <c r="AX327" s="34">
        <f>AF327+AM327+AT327</f>
        <v/>
      </c>
      <c r="AY327" s="34">
        <f>AB327+AI327+AP327</f>
        <v/>
      </c>
      <c r="AZ327" s="34" t="n">
        <v>0</v>
      </c>
      <c r="BA327" s="34">
        <f>AD327+AK327+AR327</f>
        <v/>
      </c>
      <c r="BB327" s="34">
        <f>MAX(F327:G327,750)*0.05*BA327</f>
        <v/>
      </c>
      <c r="BC327" s="34">
        <f>AG327+AN327+AU327</f>
        <v/>
      </c>
      <c r="BD327" s="34">
        <f>MAX(F327:G327,750)*0.05*BC327</f>
        <v/>
      </c>
      <c r="BE327" s="34">
        <f>F327*AY327</f>
        <v/>
      </c>
      <c r="BF327" s="34">
        <f>K327-M327</f>
        <v/>
      </c>
      <c r="BG327" s="34">
        <f>P327-S327</f>
        <v/>
      </c>
      <c r="BH327" s="34">
        <f>W327-AA327</f>
        <v/>
      </c>
      <c r="BI327" s="34">
        <f>BF327+BG327+BL327-BN327</f>
        <v/>
      </c>
      <c r="BJ327" s="34">
        <f>ABS(BK327)</f>
        <v/>
      </c>
      <c r="BK327" s="34">
        <f>AY327-(J327-L327+N327-Q327)</f>
        <v/>
      </c>
      <c r="BL327" s="34">
        <f>IF(AND(BK327&gt;0,MIN($F327:$G327)&lt;150,$E327="Enerji Açığı"),-100*BK327*1.03,IF(AND(BK327&gt;0,MIN($F327:$G327)&lt;150,$E327="Enerji Fazlası"),-100*BK327*1.06,IF(AND(BK327&gt;0,MIN($F327:$G327)&gt;=150,$E327="Enerji Açığı"),BK327*MIN($F327:$G327)*0.97,IF(AND(BK327&gt;0,MIN($F327:$G327)&gt;=150,$E327="Enerji Fazlası"),BK327*MIN($F327:$G327)*0.94,IF(AND(BK327&lt;0,MAX($F327:$G327)=4500,$E327="Enerji Açığı"),4500*1.05*1.06*BK327,IF(AND(BK327&lt;0,MAX($F327:$G327)=4500,$E327="Enerji Fazlası"),4500*1.05*1.03*BK327,IF(AND(BK327&lt;0,$E327="Enerji Açığı"),MAX($F327,$G327,150)*BK327*1.06,IF(AND(BK327&lt;0,$E327="Enerji Fazlası"),MAX($F327,$G327,150)*BK327*1.03,IF(AND(BK327&lt;0,$E327="Dengede"),MAX($F327:$G327,150)*1.03*BK327,MIN($F327:$G327)*0.97*BK327)))))))))</f>
        <v/>
      </c>
      <c r="BM327" s="34">
        <f>BE327-BI327-BN327</f>
        <v/>
      </c>
      <c r="BN327" s="34">
        <f>BB327</f>
        <v/>
      </c>
      <c r="BO327" s="34">
        <f>BE327-BI327</f>
        <v/>
      </c>
      <c r="BP327" s="34">
        <f>IF(AY327=0,0,BO327/AY327)</f>
        <v/>
      </c>
      <c r="BQ327" s="34">
        <f>MAX((AY327+MAX((-J327+L327-N327+Q327),0)),(MAX((J327-L327+N327-Q327),0)))</f>
        <v/>
      </c>
      <c r="BR327" s="82">
        <f>IFERROR(ABS(BK327/BQ327),0)</f>
        <v/>
      </c>
      <c r="BS327" s="34">
        <f>IF(BR327&lt;=0.1,0,BK327/BR327*(BR327-0.1))</f>
        <v/>
      </c>
      <c r="BT327" s="34">
        <f>IF((BS327)&lt;0,MAX(F327:G327)*(BS327)*1.03,MIN(F327:G327)*(BS327)*0.97)</f>
        <v/>
      </c>
      <c r="BU327" s="34">
        <f>IF(BR327&gt;0.1,1,0)</f>
        <v/>
      </c>
      <c r="BV327" s="34">
        <f>BF327+BG327+BH327+BY327-CA327</f>
        <v/>
      </c>
      <c r="BW327" s="34">
        <f>ABS(BX327)</f>
        <v/>
      </c>
      <c r="BX327" s="34">
        <f>AY327-(J327-L327+N327-Q327+T327-X327)</f>
        <v/>
      </c>
      <c r="BY327" s="34">
        <f>IF(AND(BX327&gt;0,MIN($F327:$G327)&lt;150,$E327="Enerji Açığı"),-100*BX327*1.03,IF(AND(BX327&gt;0,MIN($F327:$G327)&lt;150,$E327="Enerji Fazlası"),-100*BX327*1.06,IF(AND(BX327&gt;0,MIN($F327:$G327)&gt;=150,$E327="Enerji Açığı"),BX327*MIN($F327:$G327)*0.97,IF(AND(BX327&gt;0,MIN($F327:$G327)&gt;=150,$E327="Enerji Fazlası"),BX327*MIN($F327:$G327)*0.94,IF(AND(BX327&lt;0,MAX($F327:$G327)=4500,$E327="Enerji Açığı"),4500*1.05*1.06*BX327,IF(AND(BX327&lt;0,MAX($F327:$G327)=4500,$E327="Enerji Fazlası"),4500*1.05*1.03*BX327,IF(AND(BX327&lt;0,$E327="Enerji Açığı"),MAX($F327,$G327,150)*BX327*1.06,IF(AND(BX327&lt;0,$E327="Enerji Fazlası"),MAX($F327,$G327,150)*BX327*1.03,IF(AND(BX327&lt;0,$E327="Dengede"),MAX($F327:$G327,150)*1.03*BX327,MIN($F327:$G327)*0.97*BX327)))))))))</f>
        <v/>
      </c>
      <c r="BZ327" s="34">
        <f>BE327-BV327-CA327</f>
        <v/>
      </c>
      <c r="CA327" s="34">
        <f>BD327</f>
        <v/>
      </c>
      <c r="CB327" s="33">
        <f>BE327-BV327</f>
        <v/>
      </c>
      <c r="CC327" s="34">
        <f>IF(AY327=0,0,CB327/AY327)</f>
        <v/>
      </c>
      <c r="CD327" s="34">
        <f>MAX((AY327+MAX((-J327+L327-N327+Q327-T327+X327),0)),(MAX((J327-L327+N327-Q327+T327-X327),0)))</f>
        <v/>
      </c>
      <c r="CE327" s="82">
        <f>IFERROR(ABS(BX327/CD327),0)</f>
        <v/>
      </c>
      <c r="CF327" s="34">
        <f>IF(CE327&lt;=0.1,0,BX327/CE327*(CE327-0.1))</f>
        <v/>
      </c>
      <c r="CG327" s="34">
        <f>IF((CF327)&lt;0,MAX(F327:G327)*(CF327)*1.03,MIN(F327:G327)*(CF327)*0.97)</f>
        <v/>
      </c>
      <c r="CH327" s="34">
        <f>IF(CE327&gt;0.1,1,0)</f>
        <v/>
      </c>
      <c r="CI327" s="34">
        <f>(F327*BX327)-BY327</f>
        <v/>
      </c>
      <c r="CJ327" s="34">
        <f>IF(AY327=0,0,CI327/AY327)</f>
        <v/>
      </c>
    </row>
    <row r="328">
      <c r="A328" s="29">
        <f>[1]FİYATLAR!A303</f>
        <v/>
      </c>
      <c r="B328" s="29">
        <f>[1]FİYATLAR!B303</f>
        <v/>
      </c>
      <c r="C328" s="35">
        <f>INT(A328)</f>
        <v/>
      </c>
      <c r="D328" s="36">
        <f>MONTH(A328)</f>
        <v/>
      </c>
      <c r="E328" s="147">
        <f>[1]FİYATLAR!G303</f>
        <v/>
      </c>
      <c r="F328" s="30">
        <f>[1]FİYATLAR!C303</f>
        <v/>
      </c>
      <c r="G328" s="30">
        <f>[1]FİYATLAR!E303</f>
        <v/>
      </c>
      <c r="H328" s="30">
        <f>[1]FİYATLAR!D303</f>
        <v/>
      </c>
      <c r="I328" s="30">
        <f>[1]FİYATLAR!F303</f>
        <v/>
      </c>
      <c r="J328" s="119" t="n">
        <v>0</v>
      </c>
      <c r="K328" s="34">
        <f>F328*J328</f>
        <v/>
      </c>
      <c r="L328" s="119" t="n"/>
      <c r="M328" s="34">
        <f>L328*F328</f>
        <v/>
      </c>
      <c r="N328" s="119" t="n"/>
      <c r="O328" s="34">
        <f>F328</f>
        <v/>
      </c>
      <c r="P328" s="34">
        <f>N328*O328</f>
        <v/>
      </c>
      <c r="Q328" s="117" t="n">
        <v>0</v>
      </c>
      <c r="R328" s="34">
        <f>F328</f>
        <v/>
      </c>
      <c r="S328" s="34">
        <f>R328*Q328</f>
        <v/>
      </c>
      <c r="T328" s="34">
        <f>SUMIFS('[1]GİP VERİLERİ'!$C:$C,'[1]GİP VERİLERİ'!$B:$B,A328,'[1]GİP VERİLERİ'!$M:$M,"40X000000104782K",'[1]GİP VERİLERİ'!$G:$G,"SELL")</f>
        <v/>
      </c>
      <c r="U328" s="34">
        <f>IFERROR(W328/T328,0)</f>
        <v/>
      </c>
      <c r="V328" s="34">
        <f>IF(U328=0,0,U328-F328)</f>
        <v/>
      </c>
      <c r="W328" s="34">
        <f>SUMIFS('[1]GİP VERİLERİ'!$O:$O,'[1]GİP VERİLERİ'!$B:$B,A328,'[1]GİP VERİLERİ'!$M:$M,"40X000000104782K",'[1]GİP VERİLERİ'!$G:$G,"SELL")</f>
        <v/>
      </c>
      <c r="X328" s="34">
        <f>SUMIFS('[1]GİP VERİLERİ'!$C:$C,'[1]GİP VERİLERİ'!$B:$B,A328,'[1]GİP VERİLERİ'!$M:$M,"40X000000104782K",'[1]GİP VERİLERİ'!$G:$G,"BUY")</f>
        <v/>
      </c>
      <c r="Y328" s="34">
        <f>IFERROR(AA328/X328,0)</f>
        <v/>
      </c>
      <c r="Z328" s="34">
        <f>IF(Y328=0,0,F328-Y328)</f>
        <v/>
      </c>
      <c r="AA328" s="34">
        <f>SUMIFS('[1]GİP VERİLERİ'!$O:$O,'[1]GİP VERİLERİ'!$B:$B,A328,'[1]GİP VERİLERİ'!$M:$M,"40X000000104782K",'[1]GİP VERİLERİ'!$G:$G,"BUY")</f>
        <v/>
      </c>
      <c r="AB328" s="34">
        <f>'[1]GÖP VERİLERİ'!H329</f>
        <v/>
      </c>
      <c r="AC328" s="34">
        <f>'[1]GÖP VERİLERİ'!I329</f>
        <v/>
      </c>
      <c r="AD328" s="34">
        <f>IF(AB328&gt;AC328*1.05,AB328-AC328*1.05,IF(AB328&lt;AC328*0.95,AC328*0.95-AB328,0))</f>
        <v/>
      </c>
      <c r="AE328" s="34">
        <f>MAX(F328,G328,750)*0.05*AD328</f>
        <v/>
      </c>
      <c r="AF328" s="34">
        <f>'[1]GÖP VERİLERİ'!J329</f>
        <v/>
      </c>
      <c r="AG328" s="34">
        <f>IF(AB328&gt;AF328*1.05,AB328-AF328*1.05,IF(AB328&lt;AF328*0.95,AF328*0.95-AB328,0))</f>
        <v/>
      </c>
      <c r="AH328" s="34">
        <f>MAX(I328,J328,750)*0.05*AG328</f>
        <v/>
      </c>
      <c r="AI328">
        <f>'[1]GÖP VERİLERİ'!E329</f>
        <v/>
      </c>
      <c r="AJ328">
        <f>'[1]GÖP VERİLERİ'!F329</f>
        <v/>
      </c>
      <c r="AK328" s="34">
        <f>IF(AI328&gt;AJ328*1.05,AI328-AJ328*1.05,IF(AI328&lt;AJ328*0.95,AJ328*0.95-AI328,0))</f>
        <v/>
      </c>
      <c r="AL328" s="34">
        <f>MAX(F328,G328,750)*0.05*AK328</f>
        <v/>
      </c>
      <c r="AM328" s="39">
        <f>'[1]GÖP VERİLERİ'!G329</f>
        <v/>
      </c>
      <c r="AN328" s="34">
        <f>IF(AI328&gt;AM328*1.05,AI328-AM328*1.05,IF(AI328&lt;AM328*0.95,AM328*0.95-AI328,0))</f>
        <v/>
      </c>
      <c r="AO328" s="34">
        <f>MAX(F328,G328,750)*0.05*AN328</f>
        <v/>
      </c>
      <c r="AP328" s="34">
        <f>'[1]GÖP VERİLERİ'!B329</f>
        <v/>
      </c>
      <c r="AQ328" s="34">
        <f>'[1]GÖP VERİLERİ'!C329</f>
        <v/>
      </c>
      <c r="AR328" s="34">
        <f>IF(AP328&gt;AQ328*1.05,AP328-AQ328*1.05,IF(AP328&lt;AQ328*0.95,AQ328*0.95-AP328,0))</f>
        <v/>
      </c>
      <c r="AS328" s="34">
        <f>MAX(F328:G328,750)*0.05*AR328</f>
        <v/>
      </c>
      <c r="AT328">
        <f>'[1]GÖP VERİLERİ'!D329</f>
        <v/>
      </c>
      <c r="AU328" s="34">
        <f>IF(AP328&gt;AT328*1.05,AP328-AT328*1.05,IF(AP328&lt;AT328*0.95,AT328*0.95-AP328,0))</f>
        <v/>
      </c>
      <c r="AV328" s="34">
        <f>MAX(F328:G328,750)*0.05*AU328</f>
        <v/>
      </c>
      <c r="AW328" s="34">
        <f>AC328+AJ328+AQ328</f>
        <v/>
      </c>
      <c r="AX328" s="34">
        <f>AF328+AM328+AT328</f>
        <v/>
      </c>
      <c r="AY328" s="34">
        <f>AB328+AI328+AP328</f>
        <v/>
      </c>
      <c r="AZ328" s="34" t="n">
        <v>0</v>
      </c>
      <c r="BA328" s="34">
        <f>AD328+AK328+AR328</f>
        <v/>
      </c>
      <c r="BB328" s="34">
        <f>MAX(F328:G328,750)*0.05*BA328</f>
        <v/>
      </c>
      <c r="BC328" s="34">
        <f>AG328+AN328+AU328</f>
        <v/>
      </c>
      <c r="BD328" s="34">
        <f>MAX(F328:G328,750)*0.05*BC328</f>
        <v/>
      </c>
      <c r="BE328" s="34">
        <f>F328*AY328</f>
        <v/>
      </c>
      <c r="BF328" s="34">
        <f>K328-M328</f>
        <v/>
      </c>
      <c r="BG328" s="34">
        <f>P328-S328</f>
        <v/>
      </c>
      <c r="BH328" s="34">
        <f>W328-AA328</f>
        <v/>
      </c>
      <c r="BI328" s="34">
        <f>BF328+BG328+BL328-BN328</f>
        <v/>
      </c>
      <c r="BJ328" s="34">
        <f>ABS(BK328)</f>
        <v/>
      </c>
      <c r="BK328" s="34">
        <f>AY328-(J328-L328+N328-Q328)</f>
        <v/>
      </c>
      <c r="BL328" s="34">
        <f>IF(AND(BK328&gt;0,MIN($F328:$G328)&lt;150,$E328="Enerji Açığı"),-100*BK328*1.03,IF(AND(BK328&gt;0,MIN($F328:$G328)&lt;150,$E328="Enerji Fazlası"),-100*BK328*1.06,IF(AND(BK328&gt;0,MIN($F328:$G328)&gt;=150,$E328="Enerji Açığı"),BK328*MIN($F328:$G328)*0.97,IF(AND(BK328&gt;0,MIN($F328:$G328)&gt;=150,$E328="Enerji Fazlası"),BK328*MIN($F328:$G328)*0.94,IF(AND(BK328&lt;0,MAX($F328:$G328)=4500,$E328="Enerji Açığı"),4500*1.05*1.06*BK328,IF(AND(BK328&lt;0,MAX($F328:$G328)=4500,$E328="Enerji Fazlası"),4500*1.05*1.03*BK328,IF(AND(BK328&lt;0,$E328="Enerji Açığı"),MAX($F328,$G328,150)*BK328*1.06,IF(AND(BK328&lt;0,$E328="Enerji Fazlası"),MAX($F328,$G328,150)*BK328*1.03,IF(AND(BK328&lt;0,$E328="Dengede"),MAX($F328:$G328,150)*1.03*BK328,MIN($F328:$G328)*0.97*BK328)))))))))</f>
        <v/>
      </c>
      <c r="BM328" s="34">
        <f>BE328-BI328-BN328</f>
        <v/>
      </c>
      <c r="BN328" s="34">
        <f>BB328</f>
        <v/>
      </c>
      <c r="BO328" s="34">
        <f>BE328-BI328</f>
        <v/>
      </c>
      <c r="BP328" s="34">
        <f>IF(AY328=0,0,BO328/AY328)</f>
        <v/>
      </c>
      <c r="BQ328" s="34">
        <f>MAX((AY328+MAX((-J328+L328-N328+Q328),0)),(MAX((J328-L328+N328-Q328),0)))</f>
        <v/>
      </c>
      <c r="BR328" s="82">
        <f>IFERROR(ABS(BK328/BQ328),0)</f>
        <v/>
      </c>
      <c r="BS328" s="34">
        <f>IF(BR328&lt;=0.1,0,BK328/BR328*(BR328-0.1))</f>
        <v/>
      </c>
      <c r="BT328" s="34">
        <f>IF((BS328)&lt;0,MAX(F328:G328)*(BS328)*1.03,MIN(F328:G328)*(BS328)*0.97)</f>
        <v/>
      </c>
      <c r="BU328" s="34">
        <f>IF(BR328&gt;0.1,1,0)</f>
        <v/>
      </c>
      <c r="BV328" s="34">
        <f>BF328+BG328+BH328+BY328-CA328</f>
        <v/>
      </c>
      <c r="BW328" s="34">
        <f>ABS(BX328)</f>
        <v/>
      </c>
      <c r="BX328" s="34">
        <f>AY328-(J328-L328+N328-Q328+T328-X328)</f>
        <v/>
      </c>
      <c r="BY328" s="34">
        <f>IF(AND(BX328&gt;0,MIN($F328:$G328)&lt;150,$E328="Enerji Açığı"),-100*BX328*1.03,IF(AND(BX328&gt;0,MIN($F328:$G328)&lt;150,$E328="Enerji Fazlası"),-100*BX328*1.06,IF(AND(BX328&gt;0,MIN($F328:$G328)&gt;=150,$E328="Enerji Açığı"),BX328*MIN($F328:$G328)*0.97,IF(AND(BX328&gt;0,MIN($F328:$G328)&gt;=150,$E328="Enerji Fazlası"),BX328*MIN($F328:$G328)*0.94,IF(AND(BX328&lt;0,MAX($F328:$G328)=4500,$E328="Enerji Açığı"),4500*1.05*1.06*BX328,IF(AND(BX328&lt;0,MAX($F328:$G328)=4500,$E328="Enerji Fazlası"),4500*1.05*1.03*BX328,IF(AND(BX328&lt;0,$E328="Enerji Açığı"),MAX($F328,$G328,150)*BX328*1.06,IF(AND(BX328&lt;0,$E328="Enerji Fazlası"),MAX($F328,$G328,150)*BX328*1.03,IF(AND(BX328&lt;0,$E328="Dengede"),MAX($F328:$G328,150)*1.03*BX328,MIN($F328:$G328)*0.97*BX328)))))))))</f>
        <v/>
      </c>
      <c r="BZ328" s="34">
        <f>BE328-BV328-CA328</f>
        <v/>
      </c>
      <c r="CA328" s="34">
        <f>BD328</f>
        <v/>
      </c>
      <c r="CB328" s="33">
        <f>BE328-BV328</f>
        <v/>
      </c>
      <c r="CC328" s="34">
        <f>IF(AY328=0,0,CB328/AY328)</f>
        <v/>
      </c>
      <c r="CD328" s="34">
        <f>MAX((AY328+MAX((-J328+L328-N328+Q328-T328+X328),0)),(MAX((J328-L328+N328-Q328+T328-X328),0)))</f>
        <v/>
      </c>
      <c r="CE328" s="82">
        <f>IFERROR(ABS(BX328/CD328),0)</f>
        <v/>
      </c>
      <c r="CF328" s="34">
        <f>IF(CE328&lt;=0.1,0,BX328/CE328*(CE328-0.1))</f>
        <v/>
      </c>
      <c r="CG328" s="34">
        <f>IF((CF328)&lt;0,MAX(F328:G328)*(CF328)*1.03,MIN(F328:G328)*(CF328)*0.97)</f>
        <v/>
      </c>
      <c r="CH328" s="34">
        <f>IF(CE328&gt;0.1,1,0)</f>
        <v/>
      </c>
      <c r="CI328" s="34">
        <f>(F328*BX328)-BY328</f>
        <v/>
      </c>
      <c r="CJ328" s="34">
        <f>IF(AY328=0,0,CI328/AY328)</f>
        <v/>
      </c>
    </row>
    <row r="329">
      <c r="A329" s="29">
        <f>[1]FİYATLAR!A304</f>
        <v/>
      </c>
      <c r="B329" s="29">
        <f>[1]FİYATLAR!B304</f>
        <v/>
      </c>
      <c r="C329" s="35">
        <f>INT(A329)</f>
        <v/>
      </c>
      <c r="D329" s="36">
        <f>MONTH(A329)</f>
        <v/>
      </c>
      <c r="E329" s="147">
        <f>[1]FİYATLAR!G304</f>
        <v/>
      </c>
      <c r="F329" s="30">
        <f>[1]FİYATLAR!C304</f>
        <v/>
      </c>
      <c r="G329" s="30">
        <f>[1]FİYATLAR!E304</f>
        <v/>
      </c>
      <c r="H329" s="30">
        <f>[1]FİYATLAR!D304</f>
        <v/>
      </c>
      <c r="I329" s="30">
        <f>[1]FİYATLAR!F304</f>
        <v/>
      </c>
      <c r="J329" s="119" t="n">
        <v>0</v>
      </c>
      <c r="K329" s="34">
        <f>F329*J329</f>
        <v/>
      </c>
      <c r="L329" s="119" t="n"/>
      <c r="M329" s="34">
        <f>L329*F329</f>
        <v/>
      </c>
      <c r="N329" s="119" t="n"/>
      <c r="O329" s="34">
        <f>F329</f>
        <v/>
      </c>
      <c r="P329" s="34">
        <f>N329*O329</f>
        <v/>
      </c>
      <c r="Q329" s="117" t="n">
        <v>0</v>
      </c>
      <c r="R329" s="34">
        <f>F329</f>
        <v/>
      </c>
      <c r="S329" s="34">
        <f>R329*Q329</f>
        <v/>
      </c>
      <c r="T329" s="34">
        <f>SUMIFS('[1]GİP VERİLERİ'!$C:$C,'[1]GİP VERİLERİ'!$B:$B,A329,'[1]GİP VERİLERİ'!$M:$M,"40X000000104782K",'[1]GİP VERİLERİ'!$G:$G,"SELL")</f>
        <v/>
      </c>
      <c r="U329" s="34">
        <f>IFERROR(W329/T329,0)</f>
        <v/>
      </c>
      <c r="V329" s="34">
        <f>IF(U329=0,0,U329-F329)</f>
        <v/>
      </c>
      <c r="W329" s="34">
        <f>SUMIFS('[1]GİP VERİLERİ'!$O:$O,'[1]GİP VERİLERİ'!$B:$B,A329,'[1]GİP VERİLERİ'!$M:$M,"40X000000104782K",'[1]GİP VERİLERİ'!$G:$G,"SELL")</f>
        <v/>
      </c>
      <c r="X329" s="34">
        <f>SUMIFS('[1]GİP VERİLERİ'!$C:$C,'[1]GİP VERİLERİ'!$B:$B,A329,'[1]GİP VERİLERİ'!$M:$M,"40X000000104782K",'[1]GİP VERİLERİ'!$G:$G,"BUY")</f>
        <v/>
      </c>
      <c r="Y329" s="34">
        <f>IFERROR(AA329/X329,0)</f>
        <v/>
      </c>
      <c r="Z329" s="34">
        <f>IF(Y329=0,0,F329-Y329)</f>
        <v/>
      </c>
      <c r="AA329" s="34">
        <f>SUMIFS('[1]GİP VERİLERİ'!$O:$O,'[1]GİP VERİLERİ'!$B:$B,A329,'[1]GİP VERİLERİ'!$M:$M,"40X000000104782K",'[1]GİP VERİLERİ'!$G:$G,"BUY")</f>
        <v/>
      </c>
      <c r="AB329" s="34">
        <f>'[1]GÖP VERİLERİ'!H330</f>
        <v/>
      </c>
      <c r="AC329" s="34">
        <f>'[1]GÖP VERİLERİ'!I330</f>
        <v/>
      </c>
      <c r="AD329" s="34">
        <f>IF(AB329&gt;AC329*1.05,AB329-AC329*1.05,IF(AB329&lt;AC329*0.95,AC329*0.95-AB329,0))</f>
        <v/>
      </c>
      <c r="AE329" s="34">
        <f>MAX(F329,G329,750)*0.05*AD329</f>
        <v/>
      </c>
      <c r="AF329" s="34">
        <f>'[1]GÖP VERİLERİ'!J330</f>
        <v/>
      </c>
      <c r="AG329" s="34">
        <f>IF(AB329&gt;AF329*1.05,AB329-AF329*1.05,IF(AB329&lt;AF329*0.95,AF329*0.95-AB329,0))</f>
        <v/>
      </c>
      <c r="AH329" s="34">
        <f>MAX(I329,J329,750)*0.05*AG329</f>
        <v/>
      </c>
      <c r="AI329">
        <f>'[1]GÖP VERİLERİ'!E330</f>
        <v/>
      </c>
      <c r="AJ329">
        <f>'[1]GÖP VERİLERİ'!F330</f>
        <v/>
      </c>
      <c r="AK329" s="34">
        <f>IF(AI329&gt;AJ329*1.05,AI329-AJ329*1.05,IF(AI329&lt;AJ329*0.95,AJ329*0.95-AI329,0))</f>
        <v/>
      </c>
      <c r="AL329" s="34">
        <f>MAX(F329,G329,750)*0.05*AK329</f>
        <v/>
      </c>
      <c r="AM329" s="39">
        <f>'[1]GÖP VERİLERİ'!G330</f>
        <v/>
      </c>
      <c r="AN329" s="34">
        <f>IF(AI329&gt;AM329*1.05,AI329-AM329*1.05,IF(AI329&lt;AM329*0.95,AM329*0.95-AI329,0))</f>
        <v/>
      </c>
      <c r="AO329" s="34">
        <f>MAX(F329,G329,750)*0.05*AN329</f>
        <v/>
      </c>
      <c r="AP329" s="34">
        <f>'[1]GÖP VERİLERİ'!B330</f>
        <v/>
      </c>
      <c r="AQ329" s="34">
        <f>'[1]GÖP VERİLERİ'!C330</f>
        <v/>
      </c>
      <c r="AR329" s="34">
        <f>IF(AP329&gt;AQ329*1.05,AP329-AQ329*1.05,IF(AP329&lt;AQ329*0.95,AQ329*0.95-AP329,0))</f>
        <v/>
      </c>
      <c r="AS329" s="34">
        <f>MAX(F329:G329,750)*0.05*AR329</f>
        <v/>
      </c>
      <c r="AT329">
        <f>'[1]GÖP VERİLERİ'!D330</f>
        <v/>
      </c>
      <c r="AU329" s="34">
        <f>IF(AP329&gt;AT329*1.05,AP329-AT329*1.05,IF(AP329&lt;AT329*0.95,AT329*0.95-AP329,0))</f>
        <v/>
      </c>
      <c r="AV329" s="34">
        <f>MAX(F329:G329,750)*0.05*AU329</f>
        <v/>
      </c>
      <c r="AW329" s="34">
        <f>AC329+AJ329+AQ329</f>
        <v/>
      </c>
      <c r="AX329" s="34">
        <f>AF329+AM329+AT329</f>
        <v/>
      </c>
      <c r="AY329" s="34">
        <f>AB329+AI329+AP329</f>
        <v/>
      </c>
      <c r="AZ329" s="34" t="n">
        <v>0</v>
      </c>
      <c r="BA329" s="34">
        <f>AD329+AK329+AR329</f>
        <v/>
      </c>
      <c r="BB329" s="34">
        <f>MAX(F329:G329,750)*0.05*BA329</f>
        <v/>
      </c>
      <c r="BC329" s="34">
        <f>AG329+AN329+AU329</f>
        <v/>
      </c>
      <c r="BD329" s="34">
        <f>MAX(F329:G329,750)*0.05*BC329</f>
        <v/>
      </c>
      <c r="BE329" s="34">
        <f>F329*AY329</f>
        <v/>
      </c>
      <c r="BF329" s="34">
        <f>K329-M329</f>
        <v/>
      </c>
      <c r="BG329" s="34">
        <f>P329-S329</f>
        <v/>
      </c>
      <c r="BH329" s="34">
        <f>W329-AA329</f>
        <v/>
      </c>
      <c r="BI329" s="34">
        <f>BF329+BG329+BL329-BN329</f>
        <v/>
      </c>
      <c r="BJ329" s="34">
        <f>ABS(BK329)</f>
        <v/>
      </c>
      <c r="BK329" s="34">
        <f>AY329-(J329-L329+N329-Q329)</f>
        <v/>
      </c>
      <c r="BL329" s="34">
        <f>IF(AND(BK329&gt;0,MIN($F329:$G329)&lt;150,$E329="Enerji Açığı"),-100*BK329*1.03,IF(AND(BK329&gt;0,MIN($F329:$G329)&lt;150,$E329="Enerji Fazlası"),-100*BK329*1.06,IF(AND(BK329&gt;0,MIN($F329:$G329)&gt;=150,$E329="Enerji Açığı"),BK329*MIN($F329:$G329)*0.97,IF(AND(BK329&gt;0,MIN($F329:$G329)&gt;=150,$E329="Enerji Fazlası"),BK329*MIN($F329:$G329)*0.94,IF(AND(BK329&lt;0,MAX($F329:$G329)=4500,$E329="Enerji Açığı"),4500*1.05*1.06*BK329,IF(AND(BK329&lt;0,MAX($F329:$G329)=4500,$E329="Enerji Fazlası"),4500*1.05*1.03*BK329,IF(AND(BK329&lt;0,$E329="Enerji Açığı"),MAX($F329,$G329,150)*BK329*1.06,IF(AND(BK329&lt;0,$E329="Enerji Fazlası"),MAX($F329,$G329,150)*BK329*1.03,IF(AND(BK329&lt;0,$E329="Dengede"),MAX($F329:$G329,150)*1.03*BK329,MIN($F329:$G329)*0.97*BK329)))))))))</f>
        <v/>
      </c>
      <c r="BM329" s="34">
        <f>BE329-BI329-BN329</f>
        <v/>
      </c>
      <c r="BN329" s="34">
        <f>BB329</f>
        <v/>
      </c>
      <c r="BO329" s="34">
        <f>BE329-BI329</f>
        <v/>
      </c>
      <c r="BP329" s="34">
        <f>IF(AY329=0,0,BO329/AY329)</f>
        <v/>
      </c>
      <c r="BQ329" s="34">
        <f>MAX((AY329+MAX((-J329+L329-N329+Q329),0)),(MAX((J329-L329+N329-Q329),0)))</f>
        <v/>
      </c>
      <c r="BR329" s="82">
        <f>IFERROR(ABS(BK329/BQ329),0)</f>
        <v/>
      </c>
      <c r="BS329" s="34">
        <f>IF(BR329&lt;=0.1,0,BK329/BR329*(BR329-0.1))</f>
        <v/>
      </c>
      <c r="BT329" s="34">
        <f>IF((BS329)&lt;0,MAX(F329:G329)*(BS329)*1.03,MIN(F329:G329)*(BS329)*0.97)</f>
        <v/>
      </c>
      <c r="BU329" s="34">
        <f>IF(BR329&gt;0.1,1,0)</f>
        <v/>
      </c>
      <c r="BV329" s="34">
        <f>BF329+BG329+BH329+BY329-CA329</f>
        <v/>
      </c>
      <c r="BW329" s="34">
        <f>ABS(BX329)</f>
        <v/>
      </c>
      <c r="BX329" s="34">
        <f>AY329-(J329-L329+N329-Q329+T329-X329)</f>
        <v/>
      </c>
      <c r="BY329" s="34">
        <f>IF(AND(BX329&gt;0,MIN($F329:$G329)&lt;150,$E329="Enerji Açığı"),-100*BX329*1.03,IF(AND(BX329&gt;0,MIN($F329:$G329)&lt;150,$E329="Enerji Fazlası"),-100*BX329*1.06,IF(AND(BX329&gt;0,MIN($F329:$G329)&gt;=150,$E329="Enerji Açığı"),BX329*MIN($F329:$G329)*0.97,IF(AND(BX329&gt;0,MIN($F329:$G329)&gt;=150,$E329="Enerji Fazlası"),BX329*MIN($F329:$G329)*0.94,IF(AND(BX329&lt;0,MAX($F329:$G329)=4500,$E329="Enerji Açığı"),4500*1.05*1.06*BX329,IF(AND(BX329&lt;0,MAX($F329:$G329)=4500,$E329="Enerji Fazlası"),4500*1.05*1.03*BX329,IF(AND(BX329&lt;0,$E329="Enerji Açığı"),MAX($F329,$G329,150)*BX329*1.06,IF(AND(BX329&lt;0,$E329="Enerji Fazlası"),MAX($F329,$G329,150)*BX329*1.03,IF(AND(BX329&lt;0,$E329="Dengede"),MAX($F329:$G329,150)*1.03*BX329,MIN($F329:$G329)*0.97*BX329)))))))))</f>
        <v/>
      </c>
      <c r="BZ329" s="34">
        <f>BE329-BV329-CA329</f>
        <v/>
      </c>
      <c r="CA329" s="34">
        <f>BD329</f>
        <v/>
      </c>
      <c r="CB329" s="33">
        <f>BE329-BV329</f>
        <v/>
      </c>
      <c r="CC329" s="34">
        <f>IF(AY329=0,0,CB329/AY329)</f>
        <v/>
      </c>
      <c r="CD329" s="34">
        <f>MAX((AY329+MAX((-J329+L329-N329+Q329-T329+X329),0)),(MAX((J329-L329+N329-Q329+T329-X329),0)))</f>
        <v/>
      </c>
      <c r="CE329" s="82">
        <f>IFERROR(ABS(BX329/CD329),0)</f>
        <v/>
      </c>
      <c r="CF329" s="34">
        <f>IF(CE329&lt;=0.1,0,BX329/CE329*(CE329-0.1))</f>
        <v/>
      </c>
      <c r="CG329" s="34">
        <f>IF((CF329)&lt;0,MAX(F329:G329)*(CF329)*1.03,MIN(F329:G329)*(CF329)*0.97)</f>
        <v/>
      </c>
      <c r="CH329" s="34">
        <f>IF(CE329&gt;0.1,1,0)</f>
        <v/>
      </c>
      <c r="CI329" s="34">
        <f>(F329*BX329)-BY329</f>
        <v/>
      </c>
      <c r="CJ329" s="34">
        <f>IF(AY329=0,0,CI329/AY329)</f>
        <v/>
      </c>
    </row>
    <row r="330">
      <c r="A330" s="29">
        <f>[1]FİYATLAR!A305</f>
        <v/>
      </c>
      <c r="B330" s="29">
        <f>[1]FİYATLAR!B305</f>
        <v/>
      </c>
      <c r="C330" s="35">
        <f>INT(A330)</f>
        <v/>
      </c>
      <c r="D330" s="36">
        <f>MONTH(A330)</f>
        <v/>
      </c>
      <c r="E330" s="147">
        <f>[1]FİYATLAR!G305</f>
        <v/>
      </c>
      <c r="F330" s="30">
        <f>[1]FİYATLAR!C305</f>
        <v/>
      </c>
      <c r="G330" s="30">
        <f>[1]FİYATLAR!E305</f>
        <v/>
      </c>
      <c r="H330" s="30">
        <f>[1]FİYATLAR!D305</f>
        <v/>
      </c>
      <c r="I330" s="30">
        <f>[1]FİYATLAR!F305</f>
        <v/>
      </c>
      <c r="J330" s="119" t="n">
        <v>0</v>
      </c>
      <c r="K330" s="34">
        <f>F330*J330</f>
        <v/>
      </c>
      <c r="L330" s="119" t="n"/>
      <c r="M330" s="34">
        <f>L330*F330</f>
        <v/>
      </c>
      <c r="N330" s="119" t="n"/>
      <c r="O330" s="34">
        <f>F330</f>
        <v/>
      </c>
      <c r="P330" s="34">
        <f>N330*O330</f>
        <v/>
      </c>
      <c r="Q330" s="117" t="n">
        <v>0</v>
      </c>
      <c r="R330" s="34">
        <f>F330</f>
        <v/>
      </c>
      <c r="S330" s="34">
        <f>R330*Q330</f>
        <v/>
      </c>
      <c r="T330" s="34">
        <f>SUMIFS('[1]GİP VERİLERİ'!$C:$C,'[1]GİP VERİLERİ'!$B:$B,A330,'[1]GİP VERİLERİ'!$M:$M,"40X000000104782K",'[1]GİP VERİLERİ'!$G:$G,"SELL")</f>
        <v/>
      </c>
      <c r="U330" s="34">
        <f>IFERROR(W330/T330,0)</f>
        <v/>
      </c>
      <c r="V330" s="34">
        <f>IF(U330=0,0,U330-F330)</f>
        <v/>
      </c>
      <c r="W330" s="34">
        <f>SUMIFS('[1]GİP VERİLERİ'!$O:$O,'[1]GİP VERİLERİ'!$B:$B,A330,'[1]GİP VERİLERİ'!$M:$M,"40X000000104782K",'[1]GİP VERİLERİ'!$G:$G,"SELL")</f>
        <v/>
      </c>
      <c r="X330" s="34">
        <f>SUMIFS('[1]GİP VERİLERİ'!$C:$C,'[1]GİP VERİLERİ'!$B:$B,A330,'[1]GİP VERİLERİ'!$M:$M,"40X000000104782K",'[1]GİP VERİLERİ'!$G:$G,"BUY")</f>
        <v/>
      </c>
      <c r="Y330" s="34">
        <f>IFERROR(AA330/X330,0)</f>
        <v/>
      </c>
      <c r="Z330" s="34">
        <f>IF(Y330=0,0,F330-Y330)</f>
        <v/>
      </c>
      <c r="AA330" s="34">
        <f>SUMIFS('[1]GİP VERİLERİ'!$O:$O,'[1]GİP VERİLERİ'!$B:$B,A330,'[1]GİP VERİLERİ'!$M:$M,"40X000000104782K",'[1]GİP VERİLERİ'!$G:$G,"BUY")</f>
        <v/>
      </c>
      <c r="AB330" s="34">
        <f>'[1]GÖP VERİLERİ'!H331</f>
        <v/>
      </c>
      <c r="AC330" s="34">
        <f>'[1]GÖP VERİLERİ'!I331</f>
        <v/>
      </c>
      <c r="AD330" s="34">
        <f>IF(AB330&gt;AC330*1.05,AB330-AC330*1.05,IF(AB330&lt;AC330*0.95,AC330*0.95-AB330,0))</f>
        <v/>
      </c>
      <c r="AE330" s="34">
        <f>MAX(F330,G330,750)*0.05*AD330</f>
        <v/>
      </c>
      <c r="AF330" s="34">
        <f>'[1]GÖP VERİLERİ'!J331</f>
        <v/>
      </c>
      <c r="AG330" s="34">
        <f>IF(AB330&gt;AF330*1.05,AB330-AF330*1.05,IF(AB330&lt;AF330*0.95,AF330*0.95-AB330,0))</f>
        <v/>
      </c>
      <c r="AH330" s="34">
        <f>MAX(I330,J330,750)*0.05*AG330</f>
        <v/>
      </c>
      <c r="AI330">
        <f>'[1]GÖP VERİLERİ'!E331</f>
        <v/>
      </c>
      <c r="AJ330">
        <f>'[1]GÖP VERİLERİ'!F331</f>
        <v/>
      </c>
      <c r="AK330" s="34">
        <f>IF(AI330&gt;AJ330*1.05,AI330-AJ330*1.05,IF(AI330&lt;AJ330*0.95,AJ330*0.95-AI330,0))</f>
        <v/>
      </c>
      <c r="AL330" s="34">
        <f>MAX(F330,G330,750)*0.05*AK330</f>
        <v/>
      </c>
      <c r="AM330" s="39">
        <f>'[1]GÖP VERİLERİ'!G331</f>
        <v/>
      </c>
      <c r="AN330" s="34">
        <f>IF(AI330&gt;AM330*1.05,AI330-AM330*1.05,IF(AI330&lt;AM330*0.95,AM330*0.95-AI330,0))</f>
        <v/>
      </c>
      <c r="AO330" s="34">
        <f>MAX(F330,G330,750)*0.05*AN330</f>
        <v/>
      </c>
      <c r="AP330" s="34">
        <f>'[1]GÖP VERİLERİ'!B331</f>
        <v/>
      </c>
      <c r="AQ330" s="34">
        <f>'[1]GÖP VERİLERİ'!C331</f>
        <v/>
      </c>
      <c r="AR330" s="34">
        <f>IF(AP330&gt;AQ330*1.05,AP330-AQ330*1.05,IF(AP330&lt;AQ330*0.95,AQ330*0.95-AP330,0))</f>
        <v/>
      </c>
      <c r="AS330" s="34">
        <f>MAX(F330:G330,750)*0.05*AR330</f>
        <v/>
      </c>
      <c r="AT330">
        <f>'[1]GÖP VERİLERİ'!D331</f>
        <v/>
      </c>
      <c r="AU330" s="34">
        <f>IF(AP330&gt;AT330*1.05,AP330-AT330*1.05,IF(AP330&lt;AT330*0.95,AT330*0.95-AP330,0))</f>
        <v/>
      </c>
      <c r="AV330" s="34">
        <f>MAX(F330:G330,750)*0.05*AU330</f>
        <v/>
      </c>
      <c r="AW330" s="34">
        <f>AC330+AJ330+AQ330</f>
        <v/>
      </c>
      <c r="AX330" s="34">
        <f>AF330+AM330+AT330</f>
        <v/>
      </c>
      <c r="AY330" s="34">
        <f>AB330+AI330+AP330</f>
        <v/>
      </c>
      <c r="AZ330" s="34" t="n">
        <v>0</v>
      </c>
      <c r="BA330" s="34">
        <f>AD330+AK330+AR330</f>
        <v/>
      </c>
      <c r="BB330" s="34">
        <f>MAX(F330:G330,750)*0.05*BA330</f>
        <v/>
      </c>
      <c r="BC330" s="34">
        <f>AG330+AN330+AU330</f>
        <v/>
      </c>
      <c r="BD330" s="34">
        <f>MAX(F330:G330,750)*0.05*BC330</f>
        <v/>
      </c>
      <c r="BE330" s="34">
        <f>F330*AY330</f>
        <v/>
      </c>
      <c r="BF330" s="34">
        <f>K330-M330</f>
        <v/>
      </c>
      <c r="BG330" s="34">
        <f>P330-S330</f>
        <v/>
      </c>
      <c r="BH330" s="34">
        <f>W330-AA330</f>
        <v/>
      </c>
      <c r="BI330" s="34">
        <f>BF330+BG330+BL330-BN330</f>
        <v/>
      </c>
      <c r="BJ330" s="34">
        <f>ABS(BK330)</f>
        <v/>
      </c>
      <c r="BK330" s="34">
        <f>AY330-(J330-L330+N330-Q330)</f>
        <v/>
      </c>
      <c r="BL330" s="34">
        <f>IF(AND(BK330&gt;0,MIN($F330:$G330)&lt;150,$E330="Enerji Açığı"),-100*BK330*1.03,IF(AND(BK330&gt;0,MIN($F330:$G330)&lt;150,$E330="Enerji Fazlası"),-100*BK330*1.06,IF(AND(BK330&gt;0,MIN($F330:$G330)&gt;=150,$E330="Enerji Açığı"),BK330*MIN($F330:$G330)*0.97,IF(AND(BK330&gt;0,MIN($F330:$G330)&gt;=150,$E330="Enerji Fazlası"),BK330*MIN($F330:$G330)*0.94,IF(AND(BK330&lt;0,MAX($F330:$G330)=4500,$E330="Enerji Açığı"),4500*1.05*1.06*BK330,IF(AND(BK330&lt;0,MAX($F330:$G330)=4500,$E330="Enerji Fazlası"),4500*1.05*1.03*BK330,IF(AND(BK330&lt;0,$E330="Enerji Açığı"),MAX($F330,$G330,150)*BK330*1.06,IF(AND(BK330&lt;0,$E330="Enerji Fazlası"),MAX($F330,$G330,150)*BK330*1.03,IF(AND(BK330&lt;0,$E330="Dengede"),MAX($F330:$G330,150)*1.03*BK330,MIN($F330:$G330)*0.97*BK330)))))))))</f>
        <v/>
      </c>
      <c r="BM330" s="34">
        <f>BE330-BI330-BN330</f>
        <v/>
      </c>
      <c r="BN330" s="34">
        <f>BB330</f>
        <v/>
      </c>
      <c r="BO330" s="34">
        <f>BE330-BI330</f>
        <v/>
      </c>
      <c r="BP330" s="34">
        <f>IF(AY330=0,0,BO330/AY330)</f>
        <v/>
      </c>
      <c r="BQ330" s="34">
        <f>MAX((AY330+MAX((-J330+L330-N330+Q330),0)),(MAX((J330-L330+N330-Q330),0)))</f>
        <v/>
      </c>
      <c r="BR330" s="82">
        <f>IFERROR(ABS(BK330/BQ330),0)</f>
        <v/>
      </c>
      <c r="BS330" s="34">
        <f>IF(BR330&lt;=0.1,0,BK330/BR330*(BR330-0.1))</f>
        <v/>
      </c>
      <c r="BT330" s="34">
        <f>IF((BS330)&lt;0,MAX(F330:G330)*(BS330)*1.03,MIN(F330:G330)*(BS330)*0.97)</f>
        <v/>
      </c>
      <c r="BU330" s="34">
        <f>IF(BR330&gt;0.1,1,0)</f>
        <v/>
      </c>
      <c r="BV330" s="34">
        <f>BF330+BG330+BH330+BY330-CA330</f>
        <v/>
      </c>
      <c r="BW330" s="34">
        <f>ABS(BX330)</f>
        <v/>
      </c>
      <c r="BX330" s="34">
        <f>AY330-(J330-L330+N330-Q330+T330-X330)</f>
        <v/>
      </c>
      <c r="BY330" s="34">
        <f>IF(AND(BX330&gt;0,MIN($F330:$G330)&lt;150,$E330="Enerji Açığı"),-100*BX330*1.03,IF(AND(BX330&gt;0,MIN($F330:$G330)&lt;150,$E330="Enerji Fazlası"),-100*BX330*1.06,IF(AND(BX330&gt;0,MIN($F330:$G330)&gt;=150,$E330="Enerji Açığı"),BX330*MIN($F330:$G330)*0.97,IF(AND(BX330&gt;0,MIN($F330:$G330)&gt;=150,$E330="Enerji Fazlası"),BX330*MIN($F330:$G330)*0.94,IF(AND(BX330&lt;0,MAX($F330:$G330)=4500,$E330="Enerji Açığı"),4500*1.05*1.06*BX330,IF(AND(BX330&lt;0,MAX($F330:$G330)=4500,$E330="Enerji Fazlası"),4500*1.05*1.03*BX330,IF(AND(BX330&lt;0,$E330="Enerji Açığı"),MAX($F330,$G330,150)*BX330*1.06,IF(AND(BX330&lt;0,$E330="Enerji Fazlası"),MAX($F330,$G330,150)*BX330*1.03,IF(AND(BX330&lt;0,$E330="Dengede"),MAX($F330:$G330,150)*1.03*BX330,MIN($F330:$G330)*0.97*BX330)))))))))</f>
        <v/>
      </c>
      <c r="BZ330" s="34">
        <f>BE330-BV330-CA330</f>
        <v/>
      </c>
      <c r="CA330" s="34">
        <f>BD330</f>
        <v/>
      </c>
      <c r="CB330" s="33">
        <f>BE330-BV330</f>
        <v/>
      </c>
      <c r="CC330" s="34">
        <f>IF(AY330=0,0,CB330/AY330)</f>
        <v/>
      </c>
      <c r="CD330" s="34">
        <f>MAX((AY330+MAX((-J330+L330-N330+Q330-T330+X330),0)),(MAX((J330-L330+N330-Q330+T330-X330),0)))</f>
        <v/>
      </c>
      <c r="CE330" s="82">
        <f>IFERROR(ABS(BX330/CD330),0)</f>
        <v/>
      </c>
      <c r="CF330" s="34">
        <f>IF(CE330&lt;=0.1,0,BX330/CE330*(CE330-0.1))</f>
        <v/>
      </c>
      <c r="CG330" s="34">
        <f>IF((CF330)&lt;0,MAX(F330:G330)*(CF330)*1.03,MIN(F330:G330)*(CF330)*0.97)</f>
        <v/>
      </c>
      <c r="CH330" s="34">
        <f>IF(CE330&gt;0.1,1,0)</f>
        <v/>
      </c>
      <c r="CI330" s="34">
        <f>(F330*BX330)-BY330</f>
        <v/>
      </c>
      <c r="CJ330" s="34">
        <f>IF(AY330=0,0,CI330/AY330)</f>
        <v/>
      </c>
    </row>
    <row r="331">
      <c r="A331" s="29">
        <f>[1]FİYATLAR!A306</f>
        <v/>
      </c>
      <c r="B331" s="29">
        <f>[1]FİYATLAR!B306</f>
        <v/>
      </c>
      <c r="C331" s="35">
        <f>INT(A331)</f>
        <v/>
      </c>
      <c r="D331" s="36">
        <f>MONTH(A331)</f>
        <v/>
      </c>
      <c r="E331" s="147">
        <f>[1]FİYATLAR!G306</f>
        <v/>
      </c>
      <c r="F331" s="30">
        <f>[1]FİYATLAR!C306</f>
        <v/>
      </c>
      <c r="G331" s="30">
        <f>[1]FİYATLAR!E306</f>
        <v/>
      </c>
      <c r="H331" s="30">
        <f>[1]FİYATLAR!D306</f>
        <v/>
      </c>
      <c r="I331" s="30">
        <f>[1]FİYATLAR!F306</f>
        <v/>
      </c>
      <c r="J331" s="119" t="n">
        <v>0</v>
      </c>
      <c r="K331" s="34">
        <f>F331*J331</f>
        <v/>
      </c>
      <c r="L331" s="119" t="n"/>
      <c r="M331" s="34">
        <f>L331*F331</f>
        <v/>
      </c>
      <c r="N331" s="119" t="n"/>
      <c r="O331" s="34">
        <f>F331</f>
        <v/>
      </c>
      <c r="P331" s="34">
        <f>N331*O331</f>
        <v/>
      </c>
      <c r="Q331" s="117" t="n">
        <v>0</v>
      </c>
      <c r="R331" s="34">
        <f>F331</f>
        <v/>
      </c>
      <c r="S331" s="34">
        <f>R331*Q331</f>
        <v/>
      </c>
      <c r="T331" s="34">
        <f>SUMIFS('[1]GİP VERİLERİ'!$C:$C,'[1]GİP VERİLERİ'!$B:$B,A331,'[1]GİP VERİLERİ'!$M:$M,"40X000000104782K",'[1]GİP VERİLERİ'!$G:$G,"SELL")</f>
        <v/>
      </c>
      <c r="U331" s="34">
        <f>IFERROR(W331/T331,0)</f>
        <v/>
      </c>
      <c r="V331" s="34">
        <f>IF(U331=0,0,U331-F331)</f>
        <v/>
      </c>
      <c r="W331" s="34">
        <f>SUMIFS('[1]GİP VERİLERİ'!$O:$O,'[1]GİP VERİLERİ'!$B:$B,A331,'[1]GİP VERİLERİ'!$M:$M,"40X000000104782K",'[1]GİP VERİLERİ'!$G:$G,"SELL")</f>
        <v/>
      </c>
      <c r="X331" s="34">
        <f>SUMIFS('[1]GİP VERİLERİ'!$C:$C,'[1]GİP VERİLERİ'!$B:$B,A331,'[1]GİP VERİLERİ'!$M:$M,"40X000000104782K",'[1]GİP VERİLERİ'!$G:$G,"BUY")</f>
        <v/>
      </c>
      <c r="Y331" s="34">
        <f>IFERROR(AA331/X331,0)</f>
        <v/>
      </c>
      <c r="Z331" s="34">
        <f>IF(Y331=0,0,F331-Y331)</f>
        <v/>
      </c>
      <c r="AA331" s="34">
        <f>SUMIFS('[1]GİP VERİLERİ'!$O:$O,'[1]GİP VERİLERİ'!$B:$B,A331,'[1]GİP VERİLERİ'!$M:$M,"40X000000104782K",'[1]GİP VERİLERİ'!$G:$G,"BUY")</f>
        <v/>
      </c>
      <c r="AB331" s="34">
        <f>'[1]GÖP VERİLERİ'!H332</f>
        <v/>
      </c>
      <c r="AC331" s="34">
        <f>'[1]GÖP VERİLERİ'!I332</f>
        <v/>
      </c>
      <c r="AD331" s="34">
        <f>IF(AB331&gt;AC331*1.05,AB331-AC331*1.05,IF(AB331&lt;AC331*0.95,AC331*0.95-AB331,0))</f>
        <v/>
      </c>
      <c r="AE331" s="34">
        <f>MAX(F331,G331,750)*0.05*AD331</f>
        <v/>
      </c>
      <c r="AF331" s="34">
        <f>'[1]GÖP VERİLERİ'!J332</f>
        <v/>
      </c>
      <c r="AG331" s="34">
        <f>IF(AB331&gt;AF331*1.05,AB331-AF331*1.05,IF(AB331&lt;AF331*0.95,AF331*0.95-AB331,0))</f>
        <v/>
      </c>
      <c r="AH331" s="34">
        <f>MAX(I331,J331,750)*0.05*AG331</f>
        <v/>
      </c>
      <c r="AI331">
        <f>'[1]GÖP VERİLERİ'!E332</f>
        <v/>
      </c>
      <c r="AJ331">
        <f>'[1]GÖP VERİLERİ'!F332</f>
        <v/>
      </c>
      <c r="AK331" s="34">
        <f>IF(AI331&gt;AJ331*1.05,AI331-AJ331*1.05,IF(AI331&lt;AJ331*0.95,AJ331*0.95-AI331,0))</f>
        <v/>
      </c>
      <c r="AL331" s="34">
        <f>MAX(F331,G331,750)*0.05*AK331</f>
        <v/>
      </c>
      <c r="AM331" s="39">
        <f>'[1]GÖP VERİLERİ'!G332</f>
        <v/>
      </c>
      <c r="AN331" s="34">
        <f>IF(AI331&gt;AM331*1.05,AI331-AM331*1.05,IF(AI331&lt;AM331*0.95,AM331*0.95-AI331,0))</f>
        <v/>
      </c>
      <c r="AO331" s="34">
        <f>MAX(F331,G331,750)*0.05*AN331</f>
        <v/>
      </c>
      <c r="AP331" s="34">
        <f>'[1]GÖP VERİLERİ'!B332</f>
        <v/>
      </c>
      <c r="AQ331" s="34">
        <f>'[1]GÖP VERİLERİ'!C332</f>
        <v/>
      </c>
      <c r="AR331" s="34">
        <f>IF(AP331&gt;AQ331*1.05,AP331-AQ331*1.05,IF(AP331&lt;AQ331*0.95,AQ331*0.95-AP331,0))</f>
        <v/>
      </c>
      <c r="AS331" s="34">
        <f>MAX(F331:G331,750)*0.05*AR331</f>
        <v/>
      </c>
      <c r="AT331">
        <f>'[1]GÖP VERİLERİ'!D332</f>
        <v/>
      </c>
      <c r="AU331" s="34">
        <f>IF(AP331&gt;AT331*1.05,AP331-AT331*1.05,IF(AP331&lt;AT331*0.95,AT331*0.95-AP331,0))</f>
        <v/>
      </c>
      <c r="AV331" s="34">
        <f>MAX(F331:G331,750)*0.05*AU331</f>
        <v/>
      </c>
      <c r="AW331" s="34">
        <f>AC331+AJ331+AQ331</f>
        <v/>
      </c>
      <c r="AX331" s="34">
        <f>AF331+AM331+AT331</f>
        <v/>
      </c>
      <c r="AY331" s="34">
        <f>AB331+AI331+AP331</f>
        <v/>
      </c>
      <c r="AZ331" s="34" t="n">
        <v>0</v>
      </c>
      <c r="BA331" s="34">
        <f>AD331+AK331+AR331</f>
        <v/>
      </c>
      <c r="BB331" s="34">
        <f>MAX(F331:G331,750)*0.05*BA331</f>
        <v/>
      </c>
      <c r="BC331" s="34">
        <f>AG331+AN331+AU331</f>
        <v/>
      </c>
      <c r="BD331" s="34">
        <f>MAX(F331:G331,750)*0.05*BC331</f>
        <v/>
      </c>
      <c r="BE331" s="34">
        <f>F331*AY331</f>
        <v/>
      </c>
      <c r="BF331" s="34">
        <f>K331-M331</f>
        <v/>
      </c>
      <c r="BG331" s="34">
        <f>P331-S331</f>
        <v/>
      </c>
      <c r="BH331" s="34">
        <f>W331-AA331</f>
        <v/>
      </c>
      <c r="BI331" s="34">
        <f>BF331+BG331+BL331-BN331</f>
        <v/>
      </c>
      <c r="BJ331" s="34">
        <f>ABS(BK331)</f>
        <v/>
      </c>
      <c r="BK331" s="34">
        <f>AY331-(J331-L331+N331-Q331)</f>
        <v/>
      </c>
      <c r="BL331" s="34">
        <f>IF(AND(BK331&gt;0,MIN($F331:$G331)&lt;150,$E331="Enerji Açığı"),-100*BK331*1.03,IF(AND(BK331&gt;0,MIN($F331:$G331)&lt;150,$E331="Enerji Fazlası"),-100*BK331*1.06,IF(AND(BK331&gt;0,MIN($F331:$G331)&gt;=150,$E331="Enerji Açığı"),BK331*MIN($F331:$G331)*0.97,IF(AND(BK331&gt;0,MIN($F331:$G331)&gt;=150,$E331="Enerji Fazlası"),BK331*MIN($F331:$G331)*0.94,IF(AND(BK331&lt;0,MAX($F331:$G331)=4500,$E331="Enerji Açığı"),4500*1.05*1.06*BK331,IF(AND(BK331&lt;0,MAX($F331:$G331)=4500,$E331="Enerji Fazlası"),4500*1.05*1.03*BK331,IF(AND(BK331&lt;0,$E331="Enerji Açığı"),MAX($F331,$G331,150)*BK331*1.06,IF(AND(BK331&lt;0,$E331="Enerji Fazlası"),MAX($F331,$G331,150)*BK331*1.03,IF(AND(BK331&lt;0,$E331="Dengede"),MAX($F331:$G331,150)*1.03*BK331,MIN($F331:$G331)*0.97*BK331)))))))))</f>
        <v/>
      </c>
      <c r="BM331" s="34">
        <f>BE331-BI331-BN331</f>
        <v/>
      </c>
      <c r="BN331" s="34">
        <f>BB331</f>
        <v/>
      </c>
      <c r="BO331" s="34">
        <f>BE331-BI331</f>
        <v/>
      </c>
      <c r="BP331" s="34">
        <f>IF(AY331=0,0,BO331/AY331)</f>
        <v/>
      </c>
      <c r="BQ331" s="34">
        <f>MAX((AY331+MAX((-J331+L331-N331+Q331),0)),(MAX((J331-L331+N331-Q331),0)))</f>
        <v/>
      </c>
      <c r="BR331" s="82">
        <f>IFERROR(ABS(BK331/BQ331),0)</f>
        <v/>
      </c>
      <c r="BS331" s="34">
        <f>IF(BR331&lt;=0.1,0,BK331/BR331*(BR331-0.1))</f>
        <v/>
      </c>
      <c r="BT331" s="34">
        <f>IF((BS331)&lt;0,MAX(F331:G331)*(BS331)*1.03,MIN(F331:G331)*(BS331)*0.97)</f>
        <v/>
      </c>
      <c r="BU331" s="34">
        <f>IF(BR331&gt;0.1,1,0)</f>
        <v/>
      </c>
      <c r="BV331" s="34">
        <f>BF331+BG331+BH331+BY331-CA331</f>
        <v/>
      </c>
      <c r="BW331" s="34">
        <f>ABS(BX331)</f>
        <v/>
      </c>
      <c r="BX331" s="34">
        <f>AY331-(J331-L331+N331-Q331+T331-X331)</f>
        <v/>
      </c>
      <c r="BY331" s="34">
        <f>IF(AND(BX331&gt;0,MIN($F331:$G331)&lt;150,$E331="Enerji Açığı"),-100*BX331*1.03,IF(AND(BX331&gt;0,MIN($F331:$G331)&lt;150,$E331="Enerji Fazlası"),-100*BX331*1.06,IF(AND(BX331&gt;0,MIN($F331:$G331)&gt;=150,$E331="Enerji Açığı"),BX331*MIN($F331:$G331)*0.97,IF(AND(BX331&gt;0,MIN($F331:$G331)&gt;=150,$E331="Enerji Fazlası"),BX331*MIN($F331:$G331)*0.94,IF(AND(BX331&lt;0,MAX($F331:$G331)=4500,$E331="Enerji Açığı"),4500*1.05*1.06*BX331,IF(AND(BX331&lt;0,MAX($F331:$G331)=4500,$E331="Enerji Fazlası"),4500*1.05*1.03*BX331,IF(AND(BX331&lt;0,$E331="Enerji Açığı"),MAX($F331,$G331,150)*BX331*1.06,IF(AND(BX331&lt;0,$E331="Enerji Fazlası"),MAX($F331,$G331,150)*BX331*1.03,IF(AND(BX331&lt;0,$E331="Dengede"),MAX($F331:$G331,150)*1.03*BX331,MIN($F331:$G331)*0.97*BX331)))))))))</f>
        <v/>
      </c>
      <c r="BZ331" s="34">
        <f>BE331-BV331-CA331</f>
        <v/>
      </c>
      <c r="CA331" s="34">
        <f>BD331</f>
        <v/>
      </c>
      <c r="CB331" s="33">
        <f>BE331-BV331</f>
        <v/>
      </c>
      <c r="CC331" s="34">
        <f>IF(AY331=0,0,CB331/AY331)</f>
        <v/>
      </c>
      <c r="CD331" s="34">
        <f>MAX((AY331+MAX((-J331+L331-N331+Q331-T331+X331),0)),(MAX((J331-L331+N331-Q331+T331-X331),0)))</f>
        <v/>
      </c>
      <c r="CE331" s="82">
        <f>IFERROR(ABS(BX331/CD331),0)</f>
        <v/>
      </c>
      <c r="CF331" s="34">
        <f>IF(CE331&lt;=0.1,0,BX331/CE331*(CE331-0.1))</f>
        <v/>
      </c>
      <c r="CG331" s="34">
        <f>IF((CF331)&lt;0,MAX(F331:G331)*(CF331)*1.03,MIN(F331:G331)*(CF331)*0.97)</f>
        <v/>
      </c>
      <c r="CH331" s="34">
        <f>IF(CE331&gt;0.1,1,0)</f>
        <v/>
      </c>
      <c r="CI331" s="34">
        <f>(F331*BX331)-BY331</f>
        <v/>
      </c>
      <c r="CJ331" s="34">
        <f>IF(AY331=0,0,CI331/AY331)</f>
        <v/>
      </c>
    </row>
    <row r="332">
      <c r="A332" s="29">
        <f>[1]FİYATLAR!A307</f>
        <v/>
      </c>
      <c r="B332" s="29">
        <f>[1]FİYATLAR!B307</f>
        <v/>
      </c>
      <c r="C332" s="35">
        <f>INT(A332)</f>
        <v/>
      </c>
      <c r="D332" s="36">
        <f>MONTH(A332)</f>
        <v/>
      </c>
      <c r="E332" s="147">
        <f>[1]FİYATLAR!G307</f>
        <v/>
      </c>
      <c r="F332" s="30">
        <f>[1]FİYATLAR!C307</f>
        <v/>
      </c>
      <c r="G332" s="30">
        <f>[1]FİYATLAR!E307</f>
        <v/>
      </c>
      <c r="H332" s="30">
        <f>[1]FİYATLAR!D307</f>
        <v/>
      </c>
      <c r="I332" s="30">
        <f>[1]FİYATLAR!F307</f>
        <v/>
      </c>
      <c r="J332" s="119" t="n">
        <v>0</v>
      </c>
      <c r="K332" s="34">
        <f>F332*J332</f>
        <v/>
      </c>
      <c r="L332" s="119" t="n"/>
      <c r="M332" s="34">
        <f>L332*F332</f>
        <v/>
      </c>
      <c r="N332" s="119" t="n"/>
      <c r="O332" s="34">
        <f>F332</f>
        <v/>
      </c>
      <c r="P332" s="34">
        <f>N332*O332</f>
        <v/>
      </c>
      <c r="Q332" s="117" t="n">
        <v>0</v>
      </c>
      <c r="R332" s="34">
        <f>F332</f>
        <v/>
      </c>
      <c r="S332" s="34">
        <f>R332*Q332</f>
        <v/>
      </c>
      <c r="T332" s="34">
        <f>SUMIFS('[1]GİP VERİLERİ'!$C:$C,'[1]GİP VERİLERİ'!$B:$B,A332,'[1]GİP VERİLERİ'!$M:$M,"40X000000104782K",'[1]GİP VERİLERİ'!$G:$G,"SELL")</f>
        <v/>
      </c>
      <c r="U332" s="34">
        <f>IFERROR(W332/T332,0)</f>
        <v/>
      </c>
      <c r="V332" s="34">
        <f>IF(U332=0,0,U332-F332)</f>
        <v/>
      </c>
      <c r="W332" s="34">
        <f>SUMIFS('[1]GİP VERİLERİ'!$O:$O,'[1]GİP VERİLERİ'!$B:$B,A332,'[1]GİP VERİLERİ'!$M:$M,"40X000000104782K",'[1]GİP VERİLERİ'!$G:$G,"SELL")</f>
        <v/>
      </c>
      <c r="X332" s="34">
        <f>SUMIFS('[1]GİP VERİLERİ'!$C:$C,'[1]GİP VERİLERİ'!$B:$B,A332,'[1]GİP VERİLERİ'!$M:$M,"40X000000104782K",'[1]GİP VERİLERİ'!$G:$G,"BUY")</f>
        <v/>
      </c>
      <c r="Y332" s="34">
        <f>IFERROR(AA332/X332,0)</f>
        <v/>
      </c>
      <c r="Z332" s="34">
        <f>IF(Y332=0,0,F332-Y332)</f>
        <v/>
      </c>
      <c r="AA332" s="34">
        <f>SUMIFS('[1]GİP VERİLERİ'!$O:$O,'[1]GİP VERİLERİ'!$B:$B,A332,'[1]GİP VERİLERİ'!$M:$M,"40X000000104782K",'[1]GİP VERİLERİ'!$G:$G,"BUY")</f>
        <v/>
      </c>
      <c r="AB332" s="34">
        <f>'[1]GÖP VERİLERİ'!H333</f>
        <v/>
      </c>
      <c r="AC332" s="34">
        <f>'[1]GÖP VERİLERİ'!I333</f>
        <v/>
      </c>
      <c r="AD332" s="34">
        <f>IF(AB332&gt;AC332*1.05,AB332-AC332*1.05,IF(AB332&lt;AC332*0.95,AC332*0.95-AB332,0))</f>
        <v/>
      </c>
      <c r="AE332" s="34">
        <f>MAX(F332,G332,750)*0.05*AD332</f>
        <v/>
      </c>
      <c r="AF332" s="34">
        <f>'[1]GÖP VERİLERİ'!J333</f>
        <v/>
      </c>
      <c r="AG332" s="34">
        <f>IF(AB332&gt;AF332*1.05,AB332-AF332*1.05,IF(AB332&lt;AF332*0.95,AF332*0.95-AB332,0))</f>
        <v/>
      </c>
      <c r="AH332" s="34">
        <f>MAX(I332,J332,750)*0.05*AG332</f>
        <v/>
      </c>
      <c r="AI332">
        <f>'[1]GÖP VERİLERİ'!E333</f>
        <v/>
      </c>
      <c r="AJ332">
        <f>'[1]GÖP VERİLERİ'!F333</f>
        <v/>
      </c>
      <c r="AK332" s="34">
        <f>IF(AI332&gt;AJ332*1.05,AI332-AJ332*1.05,IF(AI332&lt;AJ332*0.95,AJ332*0.95-AI332,0))</f>
        <v/>
      </c>
      <c r="AL332" s="34">
        <f>MAX(F332,G332,750)*0.05*AK332</f>
        <v/>
      </c>
      <c r="AM332" s="39">
        <f>'[1]GÖP VERİLERİ'!G333</f>
        <v/>
      </c>
      <c r="AN332" s="34">
        <f>IF(AI332&gt;AM332*1.05,AI332-AM332*1.05,IF(AI332&lt;AM332*0.95,AM332*0.95-AI332,0))</f>
        <v/>
      </c>
      <c r="AO332" s="34">
        <f>MAX(F332,G332,750)*0.05*AN332</f>
        <v/>
      </c>
      <c r="AP332" s="34">
        <f>'[1]GÖP VERİLERİ'!B333</f>
        <v/>
      </c>
      <c r="AQ332" s="34">
        <f>'[1]GÖP VERİLERİ'!C333</f>
        <v/>
      </c>
      <c r="AR332" s="34">
        <f>IF(AP332&gt;AQ332*1.05,AP332-AQ332*1.05,IF(AP332&lt;AQ332*0.95,AQ332*0.95-AP332,0))</f>
        <v/>
      </c>
      <c r="AS332" s="34">
        <f>MAX(F332:G332,750)*0.05*AR332</f>
        <v/>
      </c>
      <c r="AT332">
        <f>'[1]GÖP VERİLERİ'!D333</f>
        <v/>
      </c>
      <c r="AU332" s="34">
        <f>IF(AP332&gt;AT332*1.05,AP332-AT332*1.05,IF(AP332&lt;AT332*0.95,AT332*0.95-AP332,0))</f>
        <v/>
      </c>
      <c r="AV332" s="34">
        <f>MAX(F332:G332,750)*0.05*AU332</f>
        <v/>
      </c>
      <c r="AW332" s="34">
        <f>AC332+AJ332+AQ332</f>
        <v/>
      </c>
      <c r="AX332" s="34">
        <f>AF332+AM332+AT332</f>
        <v/>
      </c>
      <c r="AY332" s="34">
        <f>AB332+AI332+AP332</f>
        <v/>
      </c>
      <c r="AZ332" s="34" t="n">
        <v>0</v>
      </c>
      <c r="BA332" s="34">
        <f>AD332+AK332+AR332</f>
        <v/>
      </c>
      <c r="BB332" s="34">
        <f>MAX(F332:G332,750)*0.05*BA332</f>
        <v/>
      </c>
      <c r="BC332" s="34">
        <f>AG332+AN332+AU332</f>
        <v/>
      </c>
      <c r="BD332" s="34">
        <f>MAX(F332:G332,750)*0.05*BC332</f>
        <v/>
      </c>
      <c r="BE332" s="34">
        <f>F332*AY332</f>
        <v/>
      </c>
      <c r="BF332" s="34">
        <f>K332-M332</f>
        <v/>
      </c>
      <c r="BG332" s="34">
        <f>P332-S332</f>
        <v/>
      </c>
      <c r="BH332" s="34">
        <f>W332-AA332</f>
        <v/>
      </c>
      <c r="BI332" s="34">
        <f>BF332+BG332+BL332-BN332</f>
        <v/>
      </c>
      <c r="BJ332" s="34">
        <f>ABS(BK332)</f>
        <v/>
      </c>
      <c r="BK332" s="34">
        <f>AY332-(J332-L332+N332-Q332)</f>
        <v/>
      </c>
      <c r="BL332" s="34">
        <f>IF(AND(BK332&gt;0,MIN($F332:$G332)&lt;150,$E332="Enerji Açığı"),-100*BK332*1.03,IF(AND(BK332&gt;0,MIN($F332:$G332)&lt;150,$E332="Enerji Fazlası"),-100*BK332*1.06,IF(AND(BK332&gt;0,MIN($F332:$G332)&gt;=150,$E332="Enerji Açığı"),BK332*MIN($F332:$G332)*0.97,IF(AND(BK332&gt;0,MIN($F332:$G332)&gt;=150,$E332="Enerji Fazlası"),BK332*MIN($F332:$G332)*0.94,IF(AND(BK332&lt;0,MAX($F332:$G332)=4500,$E332="Enerji Açığı"),4500*1.05*1.06*BK332,IF(AND(BK332&lt;0,MAX($F332:$G332)=4500,$E332="Enerji Fazlası"),4500*1.05*1.03*BK332,IF(AND(BK332&lt;0,$E332="Enerji Açığı"),MAX($F332,$G332,150)*BK332*1.06,IF(AND(BK332&lt;0,$E332="Enerji Fazlası"),MAX($F332,$G332,150)*BK332*1.03,IF(AND(BK332&lt;0,$E332="Dengede"),MAX($F332:$G332,150)*1.03*BK332,MIN($F332:$G332)*0.97*BK332)))))))))</f>
        <v/>
      </c>
      <c r="BM332" s="34">
        <f>BE332-BI332-BN332</f>
        <v/>
      </c>
      <c r="BN332" s="34">
        <f>BB332</f>
        <v/>
      </c>
      <c r="BO332" s="34">
        <f>BE332-BI332</f>
        <v/>
      </c>
      <c r="BP332" s="34">
        <f>IF(AY332=0,0,BO332/AY332)</f>
        <v/>
      </c>
      <c r="BQ332" s="34">
        <f>MAX((AY332+MAX((-J332+L332-N332+Q332),0)),(MAX((J332-L332+N332-Q332),0)))</f>
        <v/>
      </c>
      <c r="BR332" s="82">
        <f>IFERROR(ABS(BK332/BQ332),0)</f>
        <v/>
      </c>
      <c r="BS332" s="34">
        <f>IF(BR332&lt;=0.1,0,BK332/BR332*(BR332-0.1))</f>
        <v/>
      </c>
      <c r="BT332" s="34">
        <f>IF((BS332)&lt;0,MAX(F332:G332)*(BS332)*1.03,MIN(F332:G332)*(BS332)*0.97)</f>
        <v/>
      </c>
      <c r="BU332" s="34">
        <f>IF(BR332&gt;0.1,1,0)</f>
        <v/>
      </c>
      <c r="BV332" s="34">
        <f>BF332+BG332+BH332+BY332-CA332</f>
        <v/>
      </c>
      <c r="BW332" s="34">
        <f>ABS(BX332)</f>
        <v/>
      </c>
      <c r="BX332" s="34">
        <f>AY332-(J332-L332+N332-Q332+T332-X332)</f>
        <v/>
      </c>
      <c r="BY332" s="34">
        <f>IF(AND(BX332&gt;0,MIN($F332:$G332)&lt;150,$E332="Enerji Açığı"),-100*BX332*1.03,IF(AND(BX332&gt;0,MIN($F332:$G332)&lt;150,$E332="Enerji Fazlası"),-100*BX332*1.06,IF(AND(BX332&gt;0,MIN($F332:$G332)&gt;=150,$E332="Enerji Açığı"),BX332*MIN($F332:$G332)*0.97,IF(AND(BX332&gt;0,MIN($F332:$G332)&gt;=150,$E332="Enerji Fazlası"),BX332*MIN($F332:$G332)*0.94,IF(AND(BX332&lt;0,MAX($F332:$G332)=4500,$E332="Enerji Açığı"),4500*1.05*1.06*BX332,IF(AND(BX332&lt;0,MAX($F332:$G332)=4500,$E332="Enerji Fazlası"),4500*1.05*1.03*BX332,IF(AND(BX332&lt;0,$E332="Enerji Açığı"),MAX($F332,$G332,150)*BX332*1.06,IF(AND(BX332&lt;0,$E332="Enerji Fazlası"),MAX($F332,$G332,150)*BX332*1.03,IF(AND(BX332&lt;0,$E332="Dengede"),MAX($F332:$G332,150)*1.03*BX332,MIN($F332:$G332)*0.97*BX332)))))))))</f>
        <v/>
      </c>
      <c r="BZ332" s="34">
        <f>BE332-BV332-CA332</f>
        <v/>
      </c>
      <c r="CA332" s="34">
        <f>BD332</f>
        <v/>
      </c>
      <c r="CB332" s="33">
        <f>BE332-BV332</f>
        <v/>
      </c>
      <c r="CC332" s="34">
        <f>IF(AY332=0,0,CB332/AY332)</f>
        <v/>
      </c>
      <c r="CD332" s="34">
        <f>MAX((AY332+MAX((-J332+L332-N332+Q332-T332+X332),0)),(MAX((J332-L332+N332-Q332+T332-X332),0)))</f>
        <v/>
      </c>
      <c r="CE332" s="82">
        <f>IFERROR(ABS(BX332/CD332),0)</f>
        <v/>
      </c>
      <c r="CF332" s="34">
        <f>IF(CE332&lt;=0.1,0,BX332/CE332*(CE332-0.1))</f>
        <v/>
      </c>
      <c r="CG332" s="34">
        <f>IF((CF332)&lt;0,MAX(F332:G332)*(CF332)*1.03,MIN(F332:G332)*(CF332)*0.97)</f>
        <v/>
      </c>
      <c r="CH332" s="34">
        <f>IF(CE332&gt;0.1,1,0)</f>
        <v/>
      </c>
      <c r="CI332" s="34">
        <f>(F332*BX332)-BY332</f>
        <v/>
      </c>
      <c r="CJ332" s="34">
        <f>IF(AY332=0,0,CI332/AY332)</f>
        <v/>
      </c>
    </row>
    <row r="333">
      <c r="A333" s="29">
        <f>[1]FİYATLAR!A308</f>
        <v/>
      </c>
      <c r="B333" s="29">
        <f>[1]FİYATLAR!B308</f>
        <v/>
      </c>
      <c r="C333" s="35">
        <f>INT(A333)</f>
        <v/>
      </c>
      <c r="D333" s="36">
        <f>MONTH(A333)</f>
        <v/>
      </c>
      <c r="E333" s="147">
        <f>[1]FİYATLAR!G308</f>
        <v/>
      </c>
      <c r="F333" s="30">
        <f>[1]FİYATLAR!C308</f>
        <v/>
      </c>
      <c r="G333" s="30">
        <f>[1]FİYATLAR!E308</f>
        <v/>
      </c>
      <c r="H333" s="30">
        <f>[1]FİYATLAR!D308</f>
        <v/>
      </c>
      <c r="I333" s="30">
        <f>[1]FİYATLAR!F308</f>
        <v/>
      </c>
      <c r="J333" s="119" t="n">
        <v>0</v>
      </c>
      <c r="K333" s="34">
        <f>F333*J333</f>
        <v/>
      </c>
      <c r="L333" s="119" t="n"/>
      <c r="M333" s="34">
        <f>L333*F333</f>
        <v/>
      </c>
      <c r="N333" s="119" t="n"/>
      <c r="O333" s="34">
        <f>F333</f>
        <v/>
      </c>
      <c r="P333" s="34">
        <f>N333*O333</f>
        <v/>
      </c>
      <c r="Q333" s="117" t="n">
        <v>0</v>
      </c>
      <c r="R333" s="34">
        <f>F333</f>
        <v/>
      </c>
      <c r="S333" s="34">
        <f>R333*Q333</f>
        <v/>
      </c>
      <c r="T333" s="34">
        <f>SUMIFS('[1]GİP VERİLERİ'!$C:$C,'[1]GİP VERİLERİ'!$B:$B,A333,'[1]GİP VERİLERİ'!$M:$M,"40X000000104782K",'[1]GİP VERİLERİ'!$G:$G,"SELL")</f>
        <v/>
      </c>
      <c r="U333" s="34">
        <f>IFERROR(W333/T333,0)</f>
        <v/>
      </c>
      <c r="V333" s="34">
        <f>IF(U333=0,0,U333-F333)</f>
        <v/>
      </c>
      <c r="W333" s="34">
        <f>SUMIFS('[1]GİP VERİLERİ'!$O:$O,'[1]GİP VERİLERİ'!$B:$B,A333,'[1]GİP VERİLERİ'!$M:$M,"40X000000104782K",'[1]GİP VERİLERİ'!$G:$G,"SELL")</f>
        <v/>
      </c>
      <c r="X333" s="34">
        <f>SUMIFS('[1]GİP VERİLERİ'!$C:$C,'[1]GİP VERİLERİ'!$B:$B,A333,'[1]GİP VERİLERİ'!$M:$M,"40X000000104782K",'[1]GİP VERİLERİ'!$G:$G,"BUY")</f>
        <v/>
      </c>
      <c r="Y333" s="34">
        <f>IFERROR(AA333/X333,0)</f>
        <v/>
      </c>
      <c r="Z333" s="34">
        <f>IF(Y333=0,0,F333-Y333)</f>
        <v/>
      </c>
      <c r="AA333" s="34">
        <f>SUMIFS('[1]GİP VERİLERİ'!$O:$O,'[1]GİP VERİLERİ'!$B:$B,A333,'[1]GİP VERİLERİ'!$M:$M,"40X000000104782K",'[1]GİP VERİLERİ'!$G:$G,"BUY")</f>
        <v/>
      </c>
      <c r="AB333" s="34">
        <f>'[1]GÖP VERİLERİ'!H334</f>
        <v/>
      </c>
      <c r="AC333" s="34">
        <f>'[1]GÖP VERİLERİ'!I334</f>
        <v/>
      </c>
      <c r="AD333" s="34">
        <f>IF(AB333&gt;AC333*1.05,AB333-AC333*1.05,IF(AB333&lt;AC333*0.95,AC333*0.95-AB333,0))</f>
        <v/>
      </c>
      <c r="AE333" s="34">
        <f>MAX(F333,G333,750)*0.05*AD333</f>
        <v/>
      </c>
      <c r="AF333" s="34">
        <f>'[1]GÖP VERİLERİ'!J334</f>
        <v/>
      </c>
      <c r="AG333" s="34">
        <f>IF(AB333&gt;AF333*1.05,AB333-AF333*1.05,IF(AB333&lt;AF333*0.95,AF333*0.95-AB333,0))</f>
        <v/>
      </c>
      <c r="AH333" s="34">
        <f>MAX(I333,J333,750)*0.05*AG333</f>
        <v/>
      </c>
      <c r="AI333">
        <f>'[1]GÖP VERİLERİ'!E334</f>
        <v/>
      </c>
      <c r="AJ333">
        <f>'[1]GÖP VERİLERİ'!F334</f>
        <v/>
      </c>
      <c r="AK333" s="34">
        <f>IF(AI333&gt;AJ333*1.05,AI333-AJ333*1.05,IF(AI333&lt;AJ333*0.95,AJ333*0.95-AI333,0))</f>
        <v/>
      </c>
      <c r="AL333" s="34">
        <f>MAX(F333,G333,750)*0.05*AK333</f>
        <v/>
      </c>
      <c r="AM333" s="39">
        <f>'[1]GÖP VERİLERİ'!G334</f>
        <v/>
      </c>
      <c r="AN333" s="34">
        <f>IF(AI333&gt;AM333*1.05,AI333-AM333*1.05,IF(AI333&lt;AM333*0.95,AM333*0.95-AI333,0))</f>
        <v/>
      </c>
      <c r="AO333" s="34">
        <f>MAX(F333,G333,750)*0.05*AN333</f>
        <v/>
      </c>
      <c r="AP333" s="34">
        <f>'[1]GÖP VERİLERİ'!B334</f>
        <v/>
      </c>
      <c r="AQ333" s="34">
        <f>'[1]GÖP VERİLERİ'!C334</f>
        <v/>
      </c>
      <c r="AR333" s="34">
        <f>IF(AP333&gt;AQ333*1.05,AP333-AQ333*1.05,IF(AP333&lt;AQ333*0.95,AQ333*0.95-AP333,0))</f>
        <v/>
      </c>
      <c r="AS333" s="34">
        <f>MAX(F333:G333,750)*0.05*AR333</f>
        <v/>
      </c>
      <c r="AT333">
        <f>'[1]GÖP VERİLERİ'!D334</f>
        <v/>
      </c>
      <c r="AU333" s="34">
        <f>IF(AP333&gt;AT333*1.05,AP333-AT333*1.05,IF(AP333&lt;AT333*0.95,AT333*0.95-AP333,0))</f>
        <v/>
      </c>
      <c r="AV333" s="34">
        <f>MAX(F333:G333,750)*0.05*AU333</f>
        <v/>
      </c>
      <c r="AW333" s="34">
        <f>AC333+AJ333+AQ333</f>
        <v/>
      </c>
      <c r="AX333" s="34">
        <f>AF333+AM333+AT333</f>
        <v/>
      </c>
      <c r="AY333" s="34">
        <f>AB333+AI333+AP333</f>
        <v/>
      </c>
      <c r="AZ333" s="34" t="n">
        <v>0</v>
      </c>
      <c r="BA333" s="34">
        <f>AD333+AK333+AR333</f>
        <v/>
      </c>
      <c r="BB333" s="34">
        <f>MAX(F333:G333,750)*0.05*BA333</f>
        <v/>
      </c>
      <c r="BC333" s="34">
        <f>AG333+AN333+AU333</f>
        <v/>
      </c>
      <c r="BD333" s="34">
        <f>MAX(F333:G333,750)*0.05*BC333</f>
        <v/>
      </c>
      <c r="BE333" s="34">
        <f>F333*AY333</f>
        <v/>
      </c>
      <c r="BF333" s="34">
        <f>K333-M333</f>
        <v/>
      </c>
      <c r="BG333" s="34">
        <f>P333-S333</f>
        <v/>
      </c>
      <c r="BH333" s="34">
        <f>W333-AA333</f>
        <v/>
      </c>
      <c r="BI333" s="34">
        <f>BF333+BG333+BL333-BN333</f>
        <v/>
      </c>
      <c r="BJ333" s="34">
        <f>ABS(BK333)</f>
        <v/>
      </c>
      <c r="BK333" s="34">
        <f>AY333-(J333-L333+N333-Q333)</f>
        <v/>
      </c>
      <c r="BL333" s="34">
        <f>IF(AND(BK333&gt;0,MIN($F333:$G333)&lt;150,$E333="Enerji Açığı"),-100*BK333*1.03,IF(AND(BK333&gt;0,MIN($F333:$G333)&lt;150,$E333="Enerji Fazlası"),-100*BK333*1.06,IF(AND(BK333&gt;0,MIN($F333:$G333)&gt;=150,$E333="Enerji Açığı"),BK333*MIN($F333:$G333)*0.97,IF(AND(BK333&gt;0,MIN($F333:$G333)&gt;=150,$E333="Enerji Fazlası"),BK333*MIN($F333:$G333)*0.94,IF(AND(BK333&lt;0,MAX($F333:$G333)=4500,$E333="Enerji Açığı"),4500*1.05*1.06*BK333,IF(AND(BK333&lt;0,MAX($F333:$G333)=4500,$E333="Enerji Fazlası"),4500*1.05*1.03*BK333,IF(AND(BK333&lt;0,$E333="Enerji Açığı"),MAX($F333,$G333,150)*BK333*1.06,IF(AND(BK333&lt;0,$E333="Enerji Fazlası"),MAX($F333,$G333,150)*BK333*1.03,IF(AND(BK333&lt;0,$E333="Dengede"),MAX($F333:$G333,150)*1.03*BK333,MIN($F333:$G333)*0.97*BK333)))))))))</f>
        <v/>
      </c>
      <c r="BM333" s="34">
        <f>BE333-BI333-BN333</f>
        <v/>
      </c>
      <c r="BN333" s="34">
        <f>BB333</f>
        <v/>
      </c>
      <c r="BO333" s="34">
        <f>BE333-BI333</f>
        <v/>
      </c>
      <c r="BP333" s="34">
        <f>IF(AY333=0,0,BO333/AY333)</f>
        <v/>
      </c>
      <c r="BQ333" s="34">
        <f>MAX((AY333+MAX((-J333+L333-N333+Q333),0)),(MAX((J333-L333+N333-Q333),0)))</f>
        <v/>
      </c>
      <c r="BR333" s="82">
        <f>IFERROR(ABS(BK333/BQ333),0)</f>
        <v/>
      </c>
      <c r="BS333" s="34">
        <f>IF(BR333&lt;=0.1,0,BK333/BR333*(BR333-0.1))</f>
        <v/>
      </c>
      <c r="BT333" s="34">
        <f>IF((BS333)&lt;0,MAX(F333:G333)*(BS333)*1.03,MIN(F333:G333)*(BS333)*0.97)</f>
        <v/>
      </c>
      <c r="BU333" s="34">
        <f>IF(BR333&gt;0.1,1,0)</f>
        <v/>
      </c>
      <c r="BV333" s="34">
        <f>BF333+BG333+BH333+BY333-CA333</f>
        <v/>
      </c>
      <c r="BW333" s="34">
        <f>ABS(BX333)</f>
        <v/>
      </c>
      <c r="BX333" s="34">
        <f>AY333-(J333-L333+N333-Q333+T333-X333)</f>
        <v/>
      </c>
      <c r="BY333" s="34">
        <f>IF(AND(BX333&gt;0,MIN($F333:$G333)&lt;150,$E333="Enerji Açığı"),-100*BX333*1.03,IF(AND(BX333&gt;0,MIN($F333:$G333)&lt;150,$E333="Enerji Fazlası"),-100*BX333*1.06,IF(AND(BX333&gt;0,MIN($F333:$G333)&gt;=150,$E333="Enerji Açığı"),BX333*MIN($F333:$G333)*0.97,IF(AND(BX333&gt;0,MIN($F333:$G333)&gt;=150,$E333="Enerji Fazlası"),BX333*MIN($F333:$G333)*0.94,IF(AND(BX333&lt;0,MAX($F333:$G333)=4500,$E333="Enerji Açığı"),4500*1.05*1.06*BX333,IF(AND(BX333&lt;0,MAX($F333:$G333)=4500,$E333="Enerji Fazlası"),4500*1.05*1.03*BX333,IF(AND(BX333&lt;0,$E333="Enerji Açığı"),MAX($F333,$G333,150)*BX333*1.06,IF(AND(BX333&lt;0,$E333="Enerji Fazlası"),MAX($F333,$G333,150)*BX333*1.03,IF(AND(BX333&lt;0,$E333="Dengede"),MAX($F333:$G333,150)*1.03*BX333,MIN($F333:$G333)*0.97*BX333)))))))))</f>
        <v/>
      </c>
      <c r="BZ333" s="34">
        <f>BE333-BV333-CA333</f>
        <v/>
      </c>
      <c r="CA333" s="34">
        <f>BD333</f>
        <v/>
      </c>
      <c r="CB333" s="33">
        <f>BE333-BV333</f>
        <v/>
      </c>
      <c r="CC333" s="34">
        <f>IF(AY333=0,0,CB333/AY333)</f>
        <v/>
      </c>
      <c r="CD333" s="34">
        <f>MAX((AY333+MAX((-J333+L333-N333+Q333-T333+X333),0)),(MAX((J333-L333+N333-Q333+T333-X333),0)))</f>
        <v/>
      </c>
      <c r="CE333" s="82">
        <f>IFERROR(ABS(BX333/CD333),0)</f>
        <v/>
      </c>
      <c r="CF333" s="34">
        <f>IF(CE333&lt;=0.1,0,BX333/CE333*(CE333-0.1))</f>
        <v/>
      </c>
      <c r="CG333" s="34">
        <f>IF((CF333)&lt;0,MAX(F333:G333)*(CF333)*1.03,MIN(F333:G333)*(CF333)*0.97)</f>
        <v/>
      </c>
      <c r="CH333" s="34">
        <f>IF(CE333&gt;0.1,1,0)</f>
        <v/>
      </c>
      <c r="CI333" s="34">
        <f>(F333*BX333)-BY333</f>
        <v/>
      </c>
      <c r="CJ333" s="34">
        <f>IF(AY333=0,0,CI333/AY333)</f>
        <v/>
      </c>
    </row>
    <row r="334">
      <c r="A334" s="29">
        <f>[1]FİYATLAR!A309</f>
        <v/>
      </c>
      <c r="B334" s="29">
        <f>[1]FİYATLAR!B309</f>
        <v/>
      </c>
      <c r="C334" s="35">
        <f>INT(A334)</f>
        <v/>
      </c>
      <c r="D334" s="36">
        <f>MONTH(A334)</f>
        <v/>
      </c>
      <c r="E334" s="147">
        <f>[1]FİYATLAR!G309</f>
        <v/>
      </c>
      <c r="F334" s="30">
        <f>[1]FİYATLAR!C309</f>
        <v/>
      </c>
      <c r="G334" s="30">
        <f>[1]FİYATLAR!E309</f>
        <v/>
      </c>
      <c r="H334" s="30">
        <f>[1]FİYATLAR!D309</f>
        <v/>
      </c>
      <c r="I334" s="30">
        <f>[1]FİYATLAR!F309</f>
        <v/>
      </c>
      <c r="J334" s="119" t="n">
        <v>0</v>
      </c>
      <c r="K334" s="34">
        <f>F334*J334</f>
        <v/>
      </c>
      <c r="L334" s="119" t="n"/>
      <c r="M334" s="34">
        <f>L334*F334</f>
        <v/>
      </c>
      <c r="N334" s="119" t="n"/>
      <c r="O334" s="34">
        <f>F334</f>
        <v/>
      </c>
      <c r="P334" s="34">
        <f>N334*O334</f>
        <v/>
      </c>
      <c r="Q334" s="117" t="n">
        <v>0</v>
      </c>
      <c r="R334" s="34">
        <f>F334</f>
        <v/>
      </c>
      <c r="S334" s="34">
        <f>R334*Q334</f>
        <v/>
      </c>
      <c r="T334" s="34">
        <f>SUMIFS('[1]GİP VERİLERİ'!$C:$C,'[1]GİP VERİLERİ'!$B:$B,A334,'[1]GİP VERİLERİ'!$M:$M,"40X000000104782K",'[1]GİP VERİLERİ'!$G:$G,"SELL")</f>
        <v/>
      </c>
      <c r="U334" s="34">
        <f>IFERROR(W334/T334,0)</f>
        <v/>
      </c>
      <c r="V334" s="34">
        <f>IF(U334=0,0,U334-F334)</f>
        <v/>
      </c>
      <c r="W334" s="34">
        <f>SUMIFS('[1]GİP VERİLERİ'!$O:$O,'[1]GİP VERİLERİ'!$B:$B,A334,'[1]GİP VERİLERİ'!$M:$M,"40X000000104782K",'[1]GİP VERİLERİ'!$G:$G,"SELL")</f>
        <v/>
      </c>
      <c r="X334" s="34">
        <f>SUMIFS('[1]GİP VERİLERİ'!$C:$C,'[1]GİP VERİLERİ'!$B:$B,A334,'[1]GİP VERİLERİ'!$M:$M,"40X000000104782K",'[1]GİP VERİLERİ'!$G:$G,"BUY")</f>
        <v/>
      </c>
      <c r="Y334" s="34">
        <f>IFERROR(AA334/X334,0)</f>
        <v/>
      </c>
      <c r="Z334" s="34">
        <f>IF(Y334=0,0,F334-Y334)</f>
        <v/>
      </c>
      <c r="AA334" s="34">
        <f>SUMIFS('[1]GİP VERİLERİ'!$O:$O,'[1]GİP VERİLERİ'!$B:$B,A334,'[1]GİP VERİLERİ'!$M:$M,"40X000000104782K",'[1]GİP VERİLERİ'!$G:$G,"BUY")</f>
        <v/>
      </c>
      <c r="AB334" s="34">
        <f>'[1]GÖP VERİLERİ'!H335</f>
        <v/>
      </c>
      <c r="AC334" s="34">
        <f>'[1]GÖP VERİLERİ'!I335</f>
        <v/>
      </c>
      <c r="AD334" s="34">
        <f>IF(AB334&gt;AC334*1.05,AB334-AC334*1.05,IF(AB334&lt;AC334*0.95,AC334*0.95-AB334,0))</f>
        <v/>
      </c>
      <c r="AE334" s="34">
        <f>MAX(F334,G334,750)*0.05*AD334</f>
        <v/>
      </c>
      <c r="AF334" s="34">
        <f>'[1]GÖP VERİLERİ'!J335</f>
        <v/>
      </c>
      <c r="AG334" s="34">
        <f>IF(AB334&gt;AF334*1.05,AB334-AF334*1.05,IF(AB334&lt;AF334*0.95,AF334*0.95-AB334,0))</f>
        <v/>
      </c>
      <c r="AH334" s="34">
        <f>MAX(I334,J334,750)*0.05*AG334</f>
        <v/>
      </c>
      <c r="AI334">
        <f>'[1]GÖP VERİLERİ'!E335</f>
        <v/>
      </c>
      <c r="AJ334">
        <f>'[1]GÖP VERİLERİ'!F335</f>
        <v/>
      </c>
      <c r="AK334" s="34">
        <f>IF(AI334&gt;AJ334*1.05,AI334-AJ334*1.05,IF(AI334&lt;AJ334*0.95,AJ334*0.95-AI334,0))</f>
        <v/>
      </c>
      <c r="AL334" s="34">
        <f>MAX(F334,G334,750)*0.05*AK334</f>
        <v/>
      </c>
      <c r="AM334" s="39">
        <f>'[1]GÖP VERİLERİ'!G335</f>
        <v/>
      </c>
      <c r="AN334" s="34">
        <f>IF(AI334&gt;AM334*1.05,AI334-AM334*1.05,IF(AI334&lt;AM334*0.95,AM334*0.95-AI334,0))</f>
        <v/>
      </c>
      <c r="AO334" s="34">
        <f>MAX(F334,G334,750)*0.05*AN334</f>
        <v/>
      </c>
      <c r="AP334" s="34">
        <f>'[1]GÖP VERİLERİ'!B335</f>
        <v/>
      </c>
      <c r="AQ334" s="34">
        <f>'[1]GÖP VERİLERİ'!C335</f>
        <v/>
      </c>
      <c r="AR334" s="34">
        <f>IF(AP334&gt;AQ334*1.05,AP334-AQ334*1.05,IF(AP334&lt;AQ334*0.95,AQ334*0.95-AP334,0))</f>
        <v/>
      </c>
      <c r="AS334" s="34">
        <f>MAX(F334:G334,750)*0.05*AR334</f>
        <v/>
      </c>
      <c r="AT334">
        <f>'[1]GÖP VERİLERİ'!D335</f>
        <v/>
      </c>
      <c r="AU334" s="34">
        <f>IF(AP334&gt;AT334*1.05,AP334-AT334*1.05,IF(AP334&lt;AT334*0.95,AT334*0.95-AP334,0))</f>
        <v/>
      </c>
      <c r="AV334" s="34">
        <f>MAX(F334:G334,750)*0.05*AU334</f>
        <v/>
      </c>
      <c r="AW334" s="34">
        <f>AC334+AJ334+AQ334</f>
        <v/>
      </c>
      <c r="AX334" s="34">
        <f>AF334+AM334+AT334</f>
        <v/>
      </c>
      <c r="AY334" s="34">
        <f>AB334+AI334+AP334</f>
        <v/>
      </c>
      <c r="AZ334" s="34" t="n">
        <v>0</v>
      </c>
      <c r="BA334" s="34">
        <f>AD334+AK334+AR334</f>
        <v/>
      </c>
      <c r="BB334" s="34">
        <f>MAX(F334:G334,750)*0.05*BA334</f>
        <v/>
      </c>
      <c r="BC334" s="34">
        <f>AG334+AN334+AU334</f>
        <v/>
      </c>
      <c r="BD334" s="34">
        <f>MAX(F334:G334,750)*0.05*BC334</f>
        <v/>
      </c>
      <c r="BE334" s="34">
        <f>F334*AY334</f>
        <v/>
      </c>
      <c r="BF334" s="34">
        <f>K334-M334</f>
        <v/>
      </c>
      <c r="BG334" s="34">
        <f>P334-S334</f>
        <v/>
      </c>
      <c r="BH334" s="34">
        <f>W334-AA334</f>
        <v/>
      </c>
      <c r="BI334" s="34">
        <f>BF334+BG334+BL334-BN334</f>
        <v/>
      </c>
      <c r="BJ334" s="34">
        <f>ABS(BK334)</f>
        <v/>
      </c>
      <c r="BK334" s="34">
        <f>AY334-(J334-L334+N334-Q334)</f>
        <v/>
      </c>
      <c r="BL334" s="34">
        <f>IF(AND(BK334&gt;0,MIN($F334:$G334)&lt;150,$E334="Enerji Açığı"),-100*BK334*1.03,IF(AND(BK334&gt;0,MIN($F334:$G334)&lt;150,$E334="Enerji Fazlası"),-100*BK334*1.06,IF(AND(BK334&gt;0,MIN($F334:$G334)&gt;=150,$E334="Enerji Açığı"),BK334*MIN($F334:$G334)*0.97,IF(AND(BK334&gt;0,MIN($F334:$G334)&gt;=150,$E334="Enerji Fazlası"),BK334*MIN($F334:$G334)*0.94,IF(AND(BK334&lt;0,MAX($F334:$G334)=4500,$E334="Enerji Açığı"),4500*1.05*1.06*BK334,IF(AND(BK334&lt;0,MAX($F334:$G334)=4500,$E334="Enerji Fazlası"),4500*1.05*1.03*BK334,IF(AND(BK334&lt;0,$E334="Enerji Açığı"),MAX($F334,$G334,150)*BK334*1.06,IF(AND(BK334&lt;0,$E334="Enerji Fazlası"),MAX($F334,$G334,150)*BK334*1.03,IF(AND(BK334&lt;0,$E334="Dengede"),MAX($F334:$G334,150)*1.03*BK334,MIN($F334:$G334)*0.97*BK334)))))))))</f>
        <v/>
      </c>
      <c r="BM334" s="34">
        <f>BE334-BI334-BN334</f>
        <v/>
      </c>
      <c r="BN334" s="34">
        <f>BB334</f>
        <v/>
      </c>
      <c r="BO334" s="34">
        <f>BE334-BI334</f>
        <v/>
      </c>
      <c r="BP334" s="34">
        <f>IF(AY334=0,0,BO334/AY334)</f>
        <v/>
      </c>
      <c r="BQ334" s="34">
        <f>MAX((AY334+MAX((-J334+L334-N334+Q334),0)),(MAX((J334-L334+N334-Q334),0)))</f>
        <v/>
      </c>
      <c r="BR334" s="82">
        <f>IFERROR(ABS(BK334/BQ334),0)</f>
        <v/>
      </c>
      <c r="BS334" s="34">
        <f>IF(BR334&lt;=0.1,0,BK334/BR334*(BR334-0.1))</f>
        <v/>
      </c>
      <c r="BT334" s="34">
        <f>IF((BS334)&lt;0,MAX(F334:G334)*(BS334)*1.03,MIN(F334:G334)*(BS334)*0.97)</f>
        <v/>
      </c>
      <c r="BU334" s="34">
        <f>IF(BR334&gt;0.1,1,0)</f>
        <v/>
      </c>
      <c r="BV334" s="34">
        <f>BF334+BG334+BH334+BY334-CA334</f>
        <v/>
      </c>
      <c r="BW334" s="34">
        <f>ABS(BX334)</f>
        <v/>
      </c>
      <c r="BX334" s="34">
        <f>AY334-(J334-L334+N334-Q334+T334-X334)</f>
        <v/>
      </c>
      <c r="BY334" s="34">
        <f>IF(AND(BX334&gt;0,MIN($F334:$G334)&lt;150,$E334="Enerji Açığı"),-100*BX334*1.03,IF(AND(BX334&gt;0,MIN($F334:$G334)&lt;150,$E334="Enerji Fazlası"),-100*BX334*1.06,IF(AND(BX334&gt;0,MIN($F334:$G334)&gt;=150,$E334="Enerji Açığı"),BX334*MIN($F334:$G334)*0.97,IF(AND(BX334&gt;0,MIN($F334:$G334)&gt;=150,$E334="Enerji Fazlası"),BX334*MIN($F334:$G334)*0.94,IF(AND(BX334&lt;0,MAX($F334:$G334)=4500,$E334="Enerji Açığı"),4500*1.05*1.06*BX334,IF(AND(BX334&lt;0,MAX($F334:$G334)=4500,$E334="Enerji Fazlası"),4500*1.05*1.03*BX334,IF(AND(BX334&lt;0,$E334="Enerji Açığı"),MAX($F334,$G334,150)*BX334*1.06,IF(AND(BX334&lt;0,$E334="Enerji Fazlası"),MAX($F334,$G334,150)*BX334*1.03,IF(AND(BX334&lt;0,$E334="Dengede"),MAX($F334:$G334,150)*1.03*BX334,MIN($F334:$G334)*0.97*BX334)))))))))</f>
        <v/>
      </c>
      <c r="BZ334" s="34">
        <f>BE334-BV334-CA334</f>
        <v/>
      </c>
      <c r="CA334" s="34">
        <f>BD334</f>
        <v/>
      </c>
      <c r="CB334" s="33">
        <f>BE334-BV334</f>
        <v/>
      </c>
      <c r="CC334" s="34">
        <f>IF(AY334=0,0,CB334/AY334)</f>
        <v/>
      </c>
      <c r="CD334" s="34">
        <f>MAX((AY334+MAX((-J334+L334-N334+Q334-T334+X334),0)),(MAX((J334-L334+N334-Q334+T334-X334),0)))</f>
        <v/>
      </c>
      <c r="CE334" s="82">
        <f>IFERROR(ABS(BX334/CD334),0)</f>
        <v/>
      </c>
      <c r="CF334" s="34">
        <f>IF(CE334&lt;=0.1,0,BX334/CE334*(CE334-0.1))</f>
        <v/>
      </c>
      <c r="CG334" s="34">
        <f>IF((CF334)&lt;0,MAX(F334:G334)*(CF334)*1.03,MIN(F334:G334)*(CF334)*0.97)</f>
        <v/>
      </c>
      <c r="CH334" s="34">
        <f>IF(CE334&gt;0.1,1,0)</f>
        <v/>
      </c>
      <c r="CI334" s="34">
        <f>(F334*BX334)-BY334</f>
        <v/>
      </c>
      <c r="CJ334" s="34">
        <f>IF(AY334=0,0,CI334/AY334)</f>
        <v/>
      </c>
    </row>
    <row r="335">
      <c r="A335" s="29">
        <f>[1]FİYATLAR!A310</f>
        <v/>
      </c>
      <c r="B335" s="29">
        <f>[1]FİYATLAR!B310</f>
        <v/>
      </c>
      <c r="C335" s="35">
        <f>INT(A335)</f>
        <v/>
      </c>
      <c r="D335" s="36">
        <f>MONTH(A335)</f>
        <v/>
      </c>
      <c r="E335" s="147">
        <f>[1]FİYATLAR!G310</f>
        <v/>
      </c>
      <c r="F335" s="30">
        <f>[1]FİYATLAR!C310</f>
        <v/>
      </c>
      <c r="G335" s="30">
        <f>[1]FİYATLAR!E310</f>
        <v/>
      </c>
      <c r="H335" s="30">
        <f>[1]FİYATLAR!D310</f>
        <v/>
      </c>
      <c r="I335" s="30">
        <f>[1]FİYATLAR!F310</f>
        <v/>
      </c>
      <c r="J335" s="119" t="n">
        <v>0</v>
      </c>
      <c r="K335" s="34">
        <f>F335*J335</f>
        <v/>
      </c>
      <c r="L335" s="119" t="n"/>
      <c r="M335" s="34">
        <f>L335*F335</f>
        <v/>
      </c>
      <c r="N335" s="119" t="n"/>
      <c r="O335" s="34">
        <f>F335</f>
        <v/>
      </c>
      <c r="P335" s="34">
        <f>N335*O335</f>
        <v/>
      </c>
      <c r="Q335" s="117" t="n">
        <v>0</v>
      </c>
      <c r="R335" s="34">
        <f>F335</f>
        <v/>
      </c>
      <c r="S335" s="34">
        <f>R335*Q335</f>
        <v/>
      </c>
      <c r="T335" s="34">
        <f>SUMIFS('[1]GİP VERİLERİ'!$C:$C,'[1]GİP VERİLERİ'!$B:$B,A335,'[1]GİP VERİLERİ'!$M:$M,"40X000000104782K",'[1]GİP VERİLERİ'!$G:$G,"SELL")</f>
        <v/>
      </c>
      <c r="U335" s="34">
        <f>IFERROR(W335/T335,0)</f>
        <v/>
      </c>
      <c r="V335" s="34">
        <f>IF(U335=0,0,U335-F335)</f>
        <v/>
      </c>
      <c r="W335" s="34">
        <f>SUMIFS('[1]GİP VERİLERİ'!$O:$O,'[1]GİP VERİLERİ'!$B:$B,A335,'[1]GİP VERİLERİ'!$M:$M,"40X000000104782K",'[1]GİP VERİLERİ'!$G:$G,"SELL")</f>
        <v/>
      </c>
      <c r="X335" s="34">
        <f>SUMIFS('[1]GİP VERİLERİ'!$C:$C,'[1]GİP VERİLERİ'!$B:$B,A335,'[1]GİP VERİLERİ'!$M:$M,"40X000000104782K",'[1]GİP VERİLERİ'!$G:$G,"BUY")</f>
        <v/>
      </c>
      <c r="Y335" s="34">
        <f>IFERROR(AA335/X335,0)</f>
        <v/>
      </c>
      <c r="Z335" s="34">
        <f>IF(Y335=0,0,F335-Y335)</f>
        <v/>
      </c>
      <c r="AA335" s="34">
        <f>SUMIFS('[1]GİP VERİLERİ'!$O:$O,'[1]GİP VERİLERİ'!$B:$B,A335,'[1]GİP VERİLERİ'!$M:$M,"40X000000104782K",'[1]GİP VERİLERİ'!$G:$G,"BUY")</f>
        <v/>
      </c>
      <c r="AB335" s="34">
        <f>'[1]GÖP VERİLERİ'!H336</f>
        <v/>
      </c>
      <c r="AC335" s="34">
        <f>'[1]GÖP VERİLERİ'!I336</f>
        <v/>
      </c>
      <c r="AD335" s="34">
        <f>IF(AB335&gt;AC335*1.05,AB335-AC335*1.05,IF(AB335&lt;AC335*0.95,AC335*0.95-AB335,0))</f>
        <v/>
      </c>
      <c r="AE335" s="34">
        <f>MAX(F335,G335,750)*0.05*AD335</f>
        <v/>
      </c>
      <c r="AF335" s="34">
        <f>'[1]GÖP VERİLERİ'!J336</f>
        <v/>
      </c>
      <c r="AG335" s="34">
        <f>IF(AB335&gt;AF335*1.05,AB335-AF335*1.05,IF(AB335&lt;AF335*0.95,AF335*0.95-AB335,0))</f>
        <v/>
      </c>
      <c r="AH335" s="34">
        <f>MAX(I335,J335,750)*0.05*AG335</f>
        <v/>
      </c>
      <c r="AI335">
        <f>'[1]GÖP VERİLERİ'!E336</f>
        <v/>
      </c>
      <c r="AJ335">
        <f>'[1]GÖP VERİLERİ'!F336</f>
        <v/>
      </c>
      <c r="AK335" s="34">
        <f>IF(AI335&gt;AJ335*1.05,AI335-AJ335*1.05,IF(AI335&lt;AJ335*0.95,AJ335*0.95-AI335,0))</f>
        <v/>
      </c>
      <c r="AL335" s="34">
        <f>MAX(F335,G335,750)*0.05*AK335</f>
        <v/>
      </c>
      <c r="AM335" s="39">
        <f>'[1]GÖP VERİLERİ'!G336</f>
        <v/>
      </c>
      <c r="AN335" s="34">
        <f>IF(AI335&gt;AM335*1.05,AI335-AM335*1.05,IF(AI335&lt;AM335*0.95,AM335*0.95-AI335,0))</f>
        <v/>
      </c>
      <c r="AO335" s="34">
        <f>MAX(F335,G335,750)*0.05*AN335</f>
        <v/>
      </c>
      <c r="AP335" s="34">
        <f>'[1]GÖP VERİLERİ'!B336</f>
        <v/>
      </c>
      <c r="AQ335" s="34">
        <f>'[1]GÖP VERİLERİ'!C336</f>
        <v/>
      </c>
      <c r="AR335" s="34">
        <f>IF(AP335&gt;AQ335*1.05,AP335-AQ335*1.05,IF(AP335&lt;AQ335*0.95,AQ335*0.95-AP335,0))</f>
        <v/>
      </c>
      <c r="AS335" s="34">
        <f>MAX(F335:G335,750)*0.05*AR335</f>
        <v/>
      </c>
      <c r="AT335">
        <f>'[1]GÖP VERİLERİ'!D336</f>
        <v/>
      </c>
      <c r="AU335" s="34">
        <f>IF(AP335&gt;AT335*1.05,AP335-AT335*1.05,IF(AP335&lt;AT335*0.95,AT335*0.95-AP335,0))</f>
        <v/>
      </c>
      <c r="AV335" s="34">
        <f>MAX(F335:G335,750)*0.05*AU335</f>
        <v/>
      </c>
      <c r="AW335" s="34">
        <f>AC335+AJ335+AQ335</f>
        <v/>
      </c>
      <c r="AX335" s="34">
        <f>AF335+AM335+AT335</f>
        <v/>
      </c>
      <c r="AY335" s="34">
        <f>AB335+AI335+AP335</f>
        <v/>
      </c>
      <c r="AZ335" s="34" t="n">
        <v>0</v>
      </c>
      <c r="BA335" s="34">
        <f>AD335+AK335+AR335</f>
        <v/>
      </c>
      <c r="BB335" s="34">
        <f>MAX(F335:G335,750)*0.05*BA335</f>
        <v/>
      </c>
      <c r="BC335" s="34">
        <f>AG335+AN335+AU335</f>
        <v/>
      </c>
      <c r="BD335" s="34">
        <f>MAX(F335:G335,750)*0.05*BC335</f>
        <v/>
      </c>
      <c r="BE335" s="34">
        <f>F335*AY335</f>
        <v/>
      </c>
      <c r="BF335" s="34">
        <f>K335-M335</f>
        <v/>
      </c>
      <c r="BG335" s="34">
        <f>P335-S335</f>
        <v/>
      </c>
      <c r="BH335" s="34">
        <f>W335-AA335</f>
        <v/>
      </c>
      <c r="BI335" s="34">
        <f>BF335+BG335+BL335-BN335</f>
        <v/>
      </c>
      <c r="BJ335" s="34">
        <f>ABS(BK335)</f>
        <v/>
      </c>
      <c r="BK335" s="34">
        <f>AY335-(J335-L335+N335-Q335)</f>
        <v/>
      </c>
      <c r="BL335" s="34">
        <f>IF(AND(BK335&gt;0,MIN($F335:$G335)&lt;150,$E335="Enerji Açığı"),-100*BK335*1.03,IF(AND(BK335&gt;0,MIN($F335:$G335)&lt;150,$E335="Enerji Fazlası"),-100*BK335*1.06,IF(AND(BK335&gt;0,MIN($F335:$G335)&gt;=150,$E335="Enerji Açığı"),BK335*MIN($F335:$G335)*0.97,IF(AND(BK335&gt;0,MIN($F335:$G335)&gt;=150,$E335="Enerji Fazlası"),BK335*MIN($F335:$G335)*0.94,IF(AND(BK335&lt;0,MAX($F335:$G335)=4500,$E335="Enerji Açığı"),4500*1.05*1.06*BK335,IF(AND(BK335&lt;0,MAX($F335:$G335)=4500,$E335="Enerji Fazlası"),4500*1.05*1.03*BK335,IF(AND(BK335&lt;0,$E335="Enerji Açığı"),MAX($F335,$G335,150)*BK335*1.06,IF(AND(BK335&lt;0,$E335="Enerji Fazlası"),MAX($F335,$G335,150)*BK335*1.03,IF(AND(BK335&lt;0,$E335="Dengede"),MAX($F335:$G335,150)*1.03*BK335,MIN($F335:$G335)*0.97*BK335)))))))))</f>
        <v/>
      </c>
      <c r="BM335" s="34">
        <f>BE335-BI335-BN335</f>
        <v/>
      </c>
      <c r="BN335" s="34">
        <f>BB335</f>
        <v/>
      </c>
      <c r="BO335" s="34">
        <f>BE335-BI335</f>
        <v/>
      </c>
      <c r="BP335" s="34">
        <f>IF(AY335=0,0,BO335/AY335)</f>
        <v/>
      </c>
      <c r="BQ335" s="34">
        <f>MAX((AY335+MAX((-J335+L335-N335+Q335),0)),(MAX((J335-L335+N335-Q335),0)))</f>
        <v/>
      </c>
      <c r="BR335" s="82">
        <f>IFERROR(ABS(BK335/BQ335),0)</f>
        <v/>
      </c>
      <c r="BS335" s="34">
        <f>IF(BR335&lt;=0.1,0,BK335/BR335*(BR335-0.1))</f>
        <v/>
      </c>
      <c r="BT335" s="34">
        <f>IF((BS335)&lt;0,MAX(F335:G335)*(BS335)*1.03,MIN(F335:G335)*(BS335)*0.97)</f>
        <v/>
      </c>
      <c r="BU335" s="34">
        <f>IF(BR335&gt;0.1,1,0)</f>
        <v/>
      </c>
      <c r="BV335" s="34">
        <f>BF335+BG335+BH335+BY335-CA335</f>
        <v/>
      </c>
      <c r="BW335" s="34">
        <f>ABS(BX335)</f>
        <v/>
      </c>
      <c r="BX335" s="34">
        <f>AY335-(J335-L335+N335-Q335+T335-X335)</f>
        <v/>
      </c>
      <c r="BY335" s="34">
        <f>IF(AND(BX335&gt;0,MIN($F335:$G335)&lt;150,$E335="Enerji Açığı"),-100*BX335*1.03,IF(AND(BX335&gt;0,MIN($F335:$G335)&lt;150,$E335="Enerji Fazlası"),-100*BX335*1.06,IF(AND(BX335&gt;0,MIN($F335:$G335)&gt;=150,$E335="Enerji Açığı"),BX335*MIN($F335:$G335)*0.97,IF(AND(BX335&gt;0,MIN($F335:$G335)&gt;=150,$E335="Enerji Fazlası"),BX335*MIN($F335:$G335)*0.94,IF(AND(BX335&lt;0,MAX($F335:$G335)=4500,$E335="Enerji Açığı"),4500*1.05*1.06*BX335,IF(AND(BX335&lt;0,MAX($F335:$G335)=4500,$E335="Enerji Fazlası"),4500*1.05*1.03*BX335,IF(AND(BX335&lt;0,$E335="Enerji Açığı"),MAX($F335,$G335,150)*BX335*1.06,IF(AND(BX335&lt;0,$E335="Enerji Fazlası"),MAX($F335,$G335,150)*BX335*1.03,IF(AND(BX335&lt;0,$E335="Dengede"),MAX($F335:$G335,150)*1.03*BX335,MIN($F335:$G335)*0.97*BX335)))))))))</f>
        <v/>
      </c>
      <c r="BZ335" s="34">
        <f>BE335-BV335-CA335</f>
        <v/>
      </c>
      <c r="CA335" s="34">
        <f>BD335</f>
        <v/>
      </c>
      <c r="CB335" s="33">
        <f>BE335-BV335</f>
        <v/>
      </c>
      <c r="CC335" s="34">
        <f>IF(AY335=0,0,CB335/AY335)</f>
        <v/>
      </c>
      <c r="CD335" s="34">
        <f>MAX((AY335+MAX((-J335+L335-N335+Q335-T335+X335),0)),(MAX((J335-L335+N335-Q335+T335-X335),0)))</f>
        <v/>
      </c>
      <c r="CE335" s="82">
        <f>IFERROR(ABS(BX335/CD335),0)</f>
        <v/>
      </c>
      <c r="CF335" s="34">
        <f>IF(CE335&lt;=0.1,0,BX335/CE335*(CE335-0.1))</f>
        <v/>
      </c>
      <c r="CG335" s="34">
        <f>IF((CF335)&lt;0,MAX(F335:G335)*(CF335)*1.03,MIN(F335:G335)*(CF335)*0.97)</f>
        <v/>
      </c>
      <c r="CH335" s="34">
        <f>IF(CE335&gt;0.1,1,0)</f>
        <v/>
      </c>
      <c r="CI335" s="34">
        <f>(F335*BX335)-BY335</f>
        <v/>
      </c>
      <c r="CJ335" s="34">
        <f>IF(AY335=0,0,CI335/AY335)</f>
        <v/>
      </c>
    </row>
    <row r="336">
      <c r="A336" s="29">
        <f>[1]FİYATLAR!A311</f>
        <v/>
      </c>
      <c r="B336" s="29">
        <f>[1]FİYATLAR!B311</f>
        <v/>
      </c>
      <c r="C336" s="35">
        <f>INT(A336)</f>
        <v/>
      </c>
      <c r="D336" s="36">
        <f>MONTH(A336)</f>
        <v/>
      </c>
      <c r="E336" s="147">
        <f>[1]FİYATLAR!G311</f>
        <v/>
      </c>
      <c r="F336" s="30">
        <f>[1]FİYATLAR!C311</f>
        <v/>
      </c>
      <c r="G336" s="30">
        <f>[1]FİYATLAR!E311</f>
        <v/>
      </c>
      <c r="H336" s="30">
        <f>[1]FİYATLAR!D311</f>
        <v/>
      </c>
      <c r="I336" s="30">
        <f>[1]FİYATLAR!F311</f>
        <v/>
      </c>
      <c r="J336" s="119" t="n">
        <v>0</v>
      </c>
      <c r="K336" s="34">
        <f>F336*J336</f>
        <v/>
      </c>
      <c r="L336" s="119" t="n"/>
      <c r="M336" s="34">
        <f>L336*F336</f>
        <v/>
      </c>
      <c r="N336" s="119" t="n"/>
      <c r="O336" s="34">
        <f>F336</f>
        <v/>
      </c>
      <c r="P336" s="34">
        <f>N336*O336</f>
        <v/>
      </c>
      <c r="Q336" s="117" t="n">
        <v>0</v>
      </c>
      <c r="R336" s="34">
        <f>F336</f>
        <v/>
      </c>
      <c r="S336" s="34">
        <f>R336*Q336</f>
        <v/>
      </c>
      <c r="T336" s="34">
        <f>SUMIFS('[1]GİP VERİLERİ'!$C:$C,'[1]GİP VERİLERİ'!$B:$B,A336,'[1]GİP VERİLERİ'!$M:$M,"40X000000104782K",'[1]GİP VERİLERİ'!$G:$G,"SELL")</f>
        <v/>
      </c>
      <c r="U336" s="34">
        <f>IFERROR(W336/T336,0)</f>
        <v/>
      </c>
      <c r="V336" s="34">
        <f>IF(U336=0,0,U336-F336)</f>
        <v/>
      </c>
      <c r="W336" s="34">
        <f>SUMIFS('[1]GİP VERİLERİ'!$O:$O,'[1]GİP VERİLERİ'!$B:$B,A336,'[1]GİP VERİLERİ'!$M:$M,"40X000000104782K",'[1]GİP VERİLERİ'!$G:$G,"SELL")</f>
        <v/>
      </c>
      <c r="X336" s="34">
        <f>SUMIFS('[1]GİP VERİLERİ'!$C:$C,'[1]GİP VERİLERİ'!$B:$B,A336,'[1]GİP VERİLERİ'!$M:$M,"40X000000104782K",'[1]GİP VERİLERİ'!$G:$G,"BUY")</f>
        <v/>
      </c>
      <c r="Y336" s="34">
        <f>IFERROR(AA336/X336,0)</f>
        <v/>
      </c>
      <c r="Z336" s="34">
        <f>IF(Y336=0,0,F336-Y336)</f>
        <v/>
      </c>
      <c r="AA336" s="34">
        <f>SUMIFS('[1]GİP VERİLERİ'!$O:$O,'[1]GİP VERİLERİ'!$B:$B,A336,'[1]GİP VERİLERİ'!$M:$M,"40X000000104782K",'[1]GİP VERİLERİ'!$G:$G,"BUY")</f>
        <v/>
      </c>
      <c r="AB336" s="34">
        <f>'[1]GÖP VERİLERİ'!H337</f>
        <v/>
      </c>
      <c r="AC336" s="34">
        <f>'[1]GÖP VERİLERİ'!I337</f>
        <v/>
      </c>
      <c r="AD336" s="34">
        <f>IF(AB336&gt;AC336*1.05,AB336-AC336*1.05,IF(AB336&lt;AC336*0.95,AC336*0.95-AB336,0))</f>
        <v/>
      </c>
      <c r="AE336" s="34">
        <f>MAX(F336,G336,750)*0.05*AD336</f>
        <v/>
      </c>
      <c r="AF336" s="34">
        <f>'[1]GÖP VERİLERİ'!J337</f>
        <v/>
      </c>
      <c r="AG336" s="34">
        <f>IF(AB336&gt;AF336*1.05,AB336-AF336*1.05,IF(AB336&lt;AF336*0.95,AF336*0.95-AB336,0))</f>
        <v/>
      </c>
      <c r="AH336" s="34">
        <f>MAX(I336,J336,750)*0.05*AG336</f>
        <v/>
      </c>
      <c r="AI336">
        <f>'[1]GÖP VERİLERİ'!E337</f>
        <v/>
      </c>
      <c r="AJ336">
        <f>'[1]GÖP VERİLERİ'!F337</f>
        <v/>
      </c>
      <c r="AK336" s="34">
        <f>IF(AI336&gt;AJ336*1.05,AI336-AJ336*1.05,IF(AI336&lt;AJ336*0.95,AJ336*0.95-AI336,0))</f>
        <v/>
      </c>
      <c r="AL336" s="34">
        <f>MAX(F336,G336,750)*0.05*AK336</f>
        <v/>
      </c>
      <c r="AM336" s="39">
        <f>'[1]GÖP VERİLERİ'!G337</f>
        <v/>
      </c>
      <c r="AN336" s="34">
        <f>IF(AI336&gt;AM336*1.05,AI336-AM336*1.05,IF(AI336&lt;AM336*0.95,AM336*0.95-AI336,0))</f>
        <v/>
      </c>
      <c r="AO336" s="34">
        <f>MAX(F336,G336,750)*0.05*AN336</f>
        <v/>
      </c>
      <c r="AP336" s="34">
        <f>'[1]GÖP VERİLERİ'!B337</f>
        <v/>
      </c>
      <c r="AQ336" s="34">
        <f>'[1]GÖP VERİLERİ'!C337</f>
        <v/>
      </c>
      <c r="AR336" s="34">
        <f>IF(AP336&gt;AQ336*1.05,AP336-AQ336*1.05,IF(AP336&lt;AQ336*0.95,AQ336*0.95-AP336,0))</f>
        <v/>
      </c>
      <c r="AS336" s="34">
        <f>MAX(F336:G336,750)*0.05*AR336</f>
        <v/>
      </c>
      <c r="AT336">
        <f>'[1]GÖP VERİLERİ'!D337</f>
        <v/>
      </c>
      <c r="AU336" s="34">
        <f>IF(AP336&gt;AT336*1.05,AP336-AT336*1.05,IF(AP336&lt;AT336*0.95,AT336*0.95-AP336,0))</f>
        <v/>
      </c>
      <c r="AV336" s="34">
        <f>MAX(F336:G336,750)*0.05*AU336</f>
        <v/>
      </c>
      <c r="AW336" s="34">
        <f>AC336+AJ336+AQ336</f>
        <v/>
      </c>
      <c r="AX336" s="34">
        <f>AF336+AM336+AT336</f>
        <v/>
      </c>
      <c r="AY336" s="34">
        <f>AB336+AI336+AP336</f>
        <v/>
      </c>
      <c r="AZ336" s="34" t="n">
        <v>0</v>
      </c>
      <c r="BA336" s="34">
        <f>AD336+AK336+AR336</f>
        <v/>
      </c>
      <c r="BB336" s="34">
        <f>MAX(F336:G336,750)*0.05*BA336</f>
        <v/>
      </c>
      <c r="BC336" s="34">
        <f>AG336+AN336+AU336</f>
        <v/>
      </c>
      <c r="BD336" s="34">
        <f>MAX(F336:G336,750)*0.05*BC336</f>
        <v/>
      </c>
      <c r="BE336" s="34">
        <f>F336*AY336</f>
        <v/>
      </c>
      <c r="BF336" s="34">
        <f>K336-M336</f>
        <v/>
      </c>
      <c r="BG336" s="34">
        <f>P336-S336</f>
        <v/>
      </c>
      <c r="BH336" s="34">
        <f>W336-AA336</f>
        <v/>
      </c>
      <c r="BI336" s="34">
        <f>BF336+BG336+BL336-BN336</f>
        <v/>
      </c>
      <c r="BJ336" s="34">
        <f>ABS(BK336)</f>
        <v/>
      </c>
      <c r="BK336" s="34">
        <f>AY336-(J336-L336+N336-Q336)</f>
        <v/>
      </c>
      <c r="BL336" s="34">
        <f>IF(AND(BK336&gt;0,MIN($F336:$G336)&lt;150,$E336="Enerji Açığı"),-100*BK336*1.03,IF(AND(BK336&gt;0,MIN($F336:$G336)&lt;150,$E336="Enerji Fazlası"),-100*BK336*1.06,IF(AND(BK336&gt;0,MIN($F336:$G336)&gt;=150,$E336="Enerji Açığı"),BK336*MIN($F336:$G336)*0.97,IF(AND(BK336&gt;0,MIN($F336:$G336)&gt;=150,$E336="Enerji Fazlası"),BK336*MIN($F336:$G336)*0.94,IF(AND(BK336&lt;0,MAX($F336:$G336)=4500,$E336="Enerji Açığı"),4500*1.05*1.06*BK336,IF(AND(BK336&lt;0,MAX($F336:$G336)=4500,$E336="Enerji Fazlası"),4500*1.05*1.03*BK336,IF(AND(BK336&lt;0,$E336="Enerji Açığı"),MAX($F336,$G336,150)*BK336*1.06,IF(AND(BK336&lt;0,$E336="Enerji Fazlası"),MAX($F336,$G336,150)*BK336*1.03,IF(AND(BK336&lt;0,$E336="Dengede"),MAX($F336:$G336,150)*1.03*BK336,MIN($F336:$G336)*0.97*BK336)))))))))</f>
        <v/>
      </c>
      <c r="BM336" s="34">
        <f>BE336-BI336-BN336</f>
        <v/>
      </c>
      <c r="BN336" s="34">
        <f>BB336</f>
        <v/>
      </c>
      <c r="BO336" s="34">
        <f>BE336-BI336</f>
        <v/>
      </c>
      <c r="BP336" s="34">
        <f>IF(AY336=0,0,BO336/AY336)</f>
        <v/>
      </c>
      <c r="BQ336" s="34">
        <f>MAX((AY336+MAX((-J336+L336-N336+Q336),0)),(MAX((J336-L336+N336-Q336),0)))</f>
        <v/>
      </c>
      <c r="BR336" s="82">
        <f>IFERROR(ABS(BK336/BQ336),0)</f>
        <v/>
      </c>
      <c r="BS336" s="34">
        <f>IF(BR336&lt;=0.1,0,BK336/BR336*(BR336-0.1))</f>
        <v/>
      </c>
      <c r="BT336" s="34">
        <f>IF((BS336)&lt;0,MAX(F336:G336)*(BS336)*1.03,MIN(F336:G336)*(BS336)*0.97)</f>
        <v/>
      </c>
      <c r="BU336" s="34">
        <f>IF(BR336&gt;0.1,1,0)</f>
        <v/>
      </c>
      <c r="BV336" s="34">
        <f>BF336+BG336+BH336+BY336-CA336</f>
        <v/>
      </c>
      <c r="BW336" s="34">
        <f>ABS(BX336)</f>
        <v/>
      </c>
      <c r="BX336" s="34">
        <f>AY336-(J336-L336+N336-Q336+T336-X336)</f>
        <v/>
      </c>
      <c r="BY336" s="34">
        <f>IF(AND(BX336&gt;0,MIN($F336:$G336)&lt;150,$E336="Enerji Açığı"),-100*BX336*1.03,IF(AND(BX336&gt;0,MIN($F336:$G336)&lt;150,$E336="Enerji Fazlası"),-100*BX336*1.06,IF(AND(BX336&gt;0,MIN($F336:$G336)&gt;=150,$E336="Enerji Açığı"),BX336*MIN($F336:$G336)*0.97,IF(AND(BX336&gt;0,MIN($F336:$G336)&gt;=150,$E336="Enerji Fazlası"),BX336*MIN($F336:$G336)*0.94,IF(AND(BX336&lt;0,MAX($F336:$G336)=4500,$E336="Enerji Açığı"),4500*1.05*1.06*BX336,IF(AND(BX336&lt;0,MAX($F336:$G336)=4500,$E336="Enerji Fazlası"),4500*1.05*1.03*BX336,IF(AND(BX336&lt;0,$E336="Enerji Açığı"),MAX($F336,$G336,150)*BX336*1.06,IF(AND(BX336&lt;0,$E336="Enerji Fazlası"),MAX($F336,$G336,150)*BX336*1.03,IF(AND(BX336&lt;0,$E336="Dengede"),MAX($F336:$G336,150)*1.03*BX336,MIN($F336:$G336)*0.97*BX336)))))))))</f>
        <v/>
      </c>
      <c r="BZ336" s="34">
        <f>BE336-BV336-CA336</f>
        <v/>
      </c>
      <c r="CA336" s="34">
        <f>BD336</f>
        <v/>
      </c>
      <c r="CB336" s="33">
        <f>BE336-BV336</f>
        <v/>
      </c>
      <c r="CC336" s="34">
        <f>IF(AY336=0,0,CB336/AY336)</f>
        <v/>
      </c>
      <c r="CD336" s="34">
        <f>MAX((AY336+MAX((-J336+L336-N336+Q336-T336+X336),0)),(MAX((J336-L336+N336-Q336+T336-X336),0)))</f>
        <v/>
      </c>
      <c r="CE336" s="82">
        <f>IFERROR(ABS(BX336/CD336),0)</f>
        <v/>
      </c>
      <c r="CF336" s="34">
        <f>IF(CE336&lt;=0.1,0,BX336/CE336*(CE336-0.1))</f>
        <v/>
      </c>
      <c r="CG336" s="34">
        <f>IF((CF336)&lt;0,MAX(F336:G336)*(CF336)*1.03,MIN(F336:G336)*(CF336)*0.97)</f>
        <v/>
      </c>
      <c r="CH336" s="34">
        <f>IF(CE336&gt;0.1,1,0)</f>
        <v/>
      </c>
      <c r="CI336" s="34">
        <f>(F336*BX336)-BY336</f>
        <v/>
      </c>
      <c r="CJ336" s="34">
        <f>IF(AY336=0,0,CI336/AY336)</f>
        <v/>
      </c>
    </row>
    <row r="337">
      <c r="A337" s="29">
        <f>[1]FİYATLAR!A312</f>
        <v/>
      </c>
      <c r="B337" s="29">
        <f>[1]FİYATLAR!B312</f>
        <v/>
      </c>
      <c r="C337" s="35">
        <f>INT(A337)</f>
        <v/>
      </c>
      <c r="D337" s="36">
        <f>MONTH(A337)</f>
        <v/>
      </c>
      <c r="E337" s="147">
        <f>[1]FİYATLAR!G312</f>
        <v/>
      </c>
      <c r="F337" s="30">
        <f>[1]FİYATLAR!C312</f>
        <v/>
      </c>
      <c r="G337" s="30">
        <f>[1]FİYATLAR!E312</f>
        <v/>
      </c>
      <c r="H337" s="30">
        <f>[1]FİYATLAR!D312</f>
        <v/>
      </c>
      <c r="I337" s="30">
        <f>[1]FİYATLAR!F312</f>
        <v/>
      </c>
      <c r="J337" s="119" t="n">
        <v>0</v>
      </c>
      <c r="K337" s="34">
        <f>F337*J337</f>
        <v/>
      </c>
      <c r="L337" s="119" t="n"/>
      <c r="M337" s="34">
        <f>L337*F337</f>
        <v/>
      </c>
      <c r="N337" s="119" t="n"/>
      <c r="O337" s="34">
        <f>F337</f>
        <v/>
      </c>
      <c r="P337" s="34">
        <f>N337*O337</f>
        <v/>
      </c>
      <c r="Q337" s="117" t="n">
        <v>0</v>
      </c>
      <c r="R337" s="34">
        <f>F337</f>
        <v/>
      </c>
      <c r="S337" s="34">
        <f>R337*Q337</f>
        <v/>
      </c>
      <c r="T337" s="34">
        <f>SUMIFS('[1]GİP VERİLERİ'!$C:$C,'[1]GİP VERİLERİ'!$B:$B,A337,'[1]GİP VERİLERİ'!$M:$M,"40X000000104782K",'[1]GİP VERİLERİ'!$G:$G,"SELL")</f>
        <v/>
      </c>
      <c r="U337" s="34">
        <f>IFERROR(W337/T337,0)</f>
        <v/>
      </c>
      <c r="V337" s="34">
        <f>IF(U337=0,0,U337-F337)</f>
        <v/>
      </c>
      <c r="W337" s="34">
        <f>SUMIFS('[1]GİP VERİLERİ'!$O:$O,'[1]GİP VERİLERİ'!$B:$B,A337,'[1]GİP VERİLERİ'!$M:$M,"40X000000104782K",'[1]GİP VERİLERİ'!$G:$G,"SELL")</f>
        <v/>
      </c>
      <c r="X337" s="34">
        <f>SUMIFS('[1]GİP VERİLERİ'!$C:$C,'[1]GİP VERİLERİ'!$B:$B,A337,'[1]GİP VERİLERİ'!$M:$M,"40X000000104782K",'[1]GİP VERİLERİ'!$G:$G,"BUY")</f>
        <v/>
      </c>
      <c r="Y337" s="34">
        <f>IFERROR(AA337/X337,0)</f>
        <v/>
      </c>
      <c r="Z337" s="34">
        <f>IF(Y337=0,0,F337-Y337)</f>
        <v/>
      </c>
      <c r="AA337" s="34">
        <f>SUMIFS('[1]GİP VERİLERİ'!$O:$O,'[1]GİP VERİLERİ'!$B:$B,A337,'[1]GİP VERİLERİ'!$M:$M,"40X000000104782K",'[1]GİP VERİLERİ'!$G:$G,"BUY")</f>
        <v/>
      </c>
      <c r="AB337" s="34">
        <f>'[1]GÖP VERİLERİ'!H338</f>
        <v/>
      </c>
      <c r="AC337" s="34">
        <f>'[1]GÖP VERİLERİ'!I338</f>
        <v/>
      </c>
      <c r="AD337" s="34">
        <f>IF(AB337&gt;AC337*1.05,AB337-AC337*1.05,IF(AB337&lt;AC337*0.95,AC337*0.95-AB337,0))</f>
        <v/>
      </c>
      <c r="AE337" s="34">
        <f>MAX(F337,G337,750)*0.05*AD337</f>
        <v/>
      </c>
      <c r="AF337" s="34">
        <f>'[1]GÖP VERİLERİ'!J338</f>
        <v/>
      </c>
      <c r="AG337" s="34">
        <f>IF(AB337&gt;AF337*1.05,AB337-AF337*1.05,IF(AB337&lt;AF337*0.95,AF337*0.95-AB337,0))</f>
        <v/>
      </c>
      <c r="AH337" s="34">
        <f>MAX(I337,J337,750)*0.05*AG337</f>
        <v/>
      </c>
      <c r="AI337">
        <f>'[1]GÖP VERİLERİ'!E338</f>
        <v/>
      </c>
      <c r="AJ337">
        <f>'[1]GÖP VERİLERİ'!F338</f>
        <v/>
      </c>
      <c r="AK337" s="34">
        <f>IF(AI337&gt;AJ337*1.05,AI337-AJ337*1.05,IF(AI337&lt;AJ337*0.95,AJ337*0.95-AI337,0))</f>
        <v/>
      </c>
      <c r="AL337" s="34">
        <f>MAX(F337,G337,750)*0.05*AK337</f>
        <v/>
      </c>
      <c r="AM337" s="39">
        <f>'[1]GÖP VERİLERİ'!G338</f>
        <v/>
      </c>
      <c r="AN337" s="34">
        <f>IF(AI337&gt;AM337*1.05,AI337-AM337*1.05,IF(AI337&lt;AM337*0.95,AM337*0.95-AI337,0))</f>
        <v/>
      </c>
      <c r="AO337" s="34">
        <f>MAX(F337,G337,750)*0.05*AN337</f>
        <v/>
      </c>
      <c r="AP337" s="34">
        <f>'[1]GÖP VERİLERİ'!B338</f>
        <v/>
      </c>
      <c r="AQ337" s="34">
        <f>'[1]GÖP VERİLERİ'!C338</f>
        <v/>
      </c>
      <c r="AR337" s="34">
        <f>IF(AP337&gt;AQ337*1.05,AP337-AQ337*1.05,IF(AP337&lt;AQ337*0.95,AQ337*0.95-AP337,0))</f>
        <v/>
      </c>
      <c r="AS337" s="34">
        <f>MAX(F337:G337,750)*0.05*AR337</f>
        <v/>
      </c>
      <c r="AT337">
        <f>'[1]GÖP VERİLERİ'!D338</f>
        <v/>
      </c>
      <c r="AU337" s="34">
        <f>IF(AP337&gt;AT337*1.05,AP337-AT337*1.05,IF(AP337&lt;AT337*0.95,AT337*0.95-AP337,0))</f>
        <v/>
      </c>
      <c r="AV337" s="34">
        <f>MAX(F337:G337,750)*0.05*AU337</f>
        <v/>
      </c>
      <c r="AW337" s="34">
        <f>AC337+AJ337+AQ337</f>
        <v/>
      </c>
      <c r="AX337" s="34">
        <f>AF337+AM337+AT337</f>
        <v/>
      </c>
      <c r="AY337" s="34">
        <f>AB337+AI337+AP337</f>
        <v/>
      </c>
      <c r="AZ337" s="34" t="n">
        <v>0</v>
      </c>
      <c r="BA337" s="34">
        <f>AD337+AK337+AR337</f>
        <v/>
      </c>
      <c r="BB337" s="34">
        <f>MAX(F337:G337,750)*0.05*BA337</f>
        <v/>
      </c>
      <c r="BC337" s="34">
        <f>AG337+AN337+AU337</f>
        <v/>
      </c>
      <c r="BD337" s="34">
        <f>MAX(F337:G337,750)*0.05*BC337</f>
        <v/>
      </c>
      <c r="BE337" s="34">
        <f>F337*AY337</f>
        <v/>
      </c>
      <c r="BF337" s="34">
        <f>K337-M337</f>
        <v/>
      </c>
      <c r="BG337" s="34">
        <f>P337-S337</f>
        <v/>
      </c>
      <c r="BH337" s="34">
        <f>W337-AA337</f>
        <v/>
      </c>
      <c r="BI337" s="34">
        <f>BF337+BG337+BL337-BN337</f>
        <v/>
      </c>
      <c r="BJ337" s="34">
        <f>ABS(BK337)</f>
        <v/>
      </c>
      <c r="BK337" s="34">
        <f>AY337-(J337-L337+N337-Q337)</f>
        <v/>
      </c>
      <c r="BL337" s="34">
        <f>IF(AND(BK337&gt;0,MIN($F337:$G337)&lt;150,$E337="Enerji Açığı"),-100*BK337*1.03,IF(AND(BK337&gt;0,MIN($F337:$G337)&lt;150,$E337="Enerji Fazlası"),-100*BK337*1.06,IF(AND(BK337&gt;0,MIN($F337:$G337)&gt;=150,$E337="Enerji Açığı"),BK337*MIN($F337:$G337)*0.97,IF(AND(BK337&gt;0,MIN($F337:$G337)&gt;=150,$E337="Enerji Fazlası"),BK337*MIN($F337:$G337)*0.94,IF(AND(BK337&lt;0,MAX($F337:$G337)=4500,$E337="Enerji Açığı"),4500*1.05*1.06*BK337,IF(AND(BK337&lt;0,MAX($F337:$G337)=4500,$E337="Enerji Fazlası"),4500*1.05*1.03*BK337,IF(AND(BK337&lt;0,$E337="Enerji Açığı"),MAX($F337,$G337,150)*BK337*1.06,IF(AND(BK337&lt;0,$E337="Enerji Fazlası"),MAX($F337,$G337,150)*BK337*1.03,IF(AND(BK337&lt;0,$E337="Dengede"),MAX($F337:$G337,150)*1.03*BK337,MIN($F337:$G337)*0.97*BK337)))))))))</f>
        <v/>
      </c>
      <c r="BM337" s="34">
        <f>BE337-BI337-BN337</f>
        <v/>
      </c>
      <c r="BN337" s="34">
        <f>BB337</f>
        <v/>
      </c>
      <c r="BO337" s="34">
        <f>BE337-BI337</f>
        <v/>
      </c>
      <c r="BP337" s="34">
        <f>IF(AY337=0,0,BO337/AY337)</f>
        <v/>
      </c>
      <c r="BQ337" s="34">
        <f>MAX((AY337+MAX((-J337+L337-N337+Q337),0)),(MAX((J337-L337+N337-Q337),0)))</f>
        <v/>
      </c>
      <c r="BR337" s="82">
        <f>IFERROR(ABS(BK337/BQ337),0)</f>
        <v/>
      </c>
      <c r="BS337" s="34">
        <f>IF(BR337&lt;=0.1,0,BK337/BR337*(BR337-0.1))</f>
        <v/>
      </c>
      <c r="BT337" s="34">
        <f>IF((BS337)&lt;0,MAX(F337:G337)*(BS337)*1.03,MIN(F337:G337)*(BS337)*0.97)</f>
        <v/>
      </c>
      <c r="BU337" s="34">
        <f>IF(BR337&gt;0.1,1,0)</f>
        <v/>
      </c>
      <c r="BV337" s="34">
        <f>BF337+BG337+BH337+BY337-CA337</f>
        <v/>
      </c>
      <c r="BW337" s="34">
        <f>ABS(BX337)</f>
        <v/>
      </c>
      <c r="BX337" s="34">
        <f>AY337-(J337-L337+N337-Q337+T337-X337)</f>
        <v/>
      </c>
      <c r="BY337" s="34">
        <f>IF(AND(BX337&gt;0,MIN($F337:$G337)&lt;150,$E337="Enerji Açığı"),-100*BX337*1.03,IF(AND(BX337&gt;0,MIN($F337:$G337)&lt;150,$E337="Enerji Fazlası"),-100*BX337*1.06,IF(AND(BX337&gt;0,MIN($F337:$G337)&gt;=150,$E337="Enerji Açığı"),BX337*MIN($F337:$G337)*0.97,IF(AND(BX337&gt;0,MIN($F337:$G337)&gt;=150,$E337="Enerji Fazlası"),BX337*MIN($F337:$G337)*0.94,IF(AND(BX337&lt;0,MAX($F337:$G337)=4500,$E337="Enerji Açığı"),4500*1.05*1.06*BX337,IF(AND(BX337&lt;0,MAX($F337:$G337)=4500,$E337="Enerji Fazlası"),4500*1.05*1.03*BX337,IF(AND(BX337&lt;0,$E337="Enerji Açığı"),MAX($F337,$G337,150)*BX337*1.06,IF(AND(BX337&lt;0,$E337="Enerji Fazlası"),MAX($F337,$G337,150)*BX337*1.03,IF(AND(BX337&lt;0,$E337="Dengede"),MAX($F337:$G337,150)*1.03*BX337,MIN($F337:$G337)*0.97*BX337)))))))))</f>
        <v/>
      </c>
      <c r="BZ337" s="34">
        <f>BE337-BV337-CA337</f>
        <v/>
      </c>
      <c r="CA337" s="34">
        <f>BD337</f>
        <v/>
      </c>
      <c r="CB337" s="33">
        <f>BE337-BV337</f>
        <v/>
      </c>
      <c r="CC337" s="34">
        <f>IF(AY337=0,0,CB337/AY337)</f>
        <v/>
      </c>
      <c r="CD337" s="34">
        <f>MAX((AY337+MAX((-J337+L337-N337+Q337-T337+X337),0)),(MAX((J337-L337+N337-Q337+T337-X337),0)))</f>
        <v/>
      </c>
      <c r="CE337" s="82">
        <f>IFERROR(ABS(BX337/CD337),0)</f>
        <v/>
      </c>
      <c r="CF337" s="34">
        <f>IF(CE337&lt;=0.1,0,BX337/CE337*(CE337-0.1))</f>
        <v/>
      </c>
      <c r="CG337" s="34">
        <f>IF((CF337)&lt;0,MAX(F337:G337)*(CF337)*1.03,MIN(F337:G337)*(CF337)*0.97)</f>
        <v/>
      </c>
      <c r="CH337" s="34">
        <f>IF(CE337&gt;0.1,1,0)</f>
        <v/>
      </c>
      <c r="CI337" s="34">
        <f>(F337*BX337)-BY337</f>
        <v/>
      </c>
      <c r="CJ337" s="34">
        <f>IF(AY337=0,0,CI337/AY337)</f>
        <v/>
      </c>
    </row>
    <row r="338">
      <c r="A338" s="29">
        <f>[1]FİYATLAR!A313</f>
        <v/>
      </c>
      <c r="B338" s="29">
        <f>[1]FİYATLAR!B313</f>
        <v/>
      </c>
      <c r="C338" s="35">
        <f>INT(A338)</f>
        <v/>
      </c>
      <c r="D338" s="36">
        <f>MONTH(A338)</f>
        <v/>
      </c>
      <c r="E338" s="147">
        <f>[1]FİYATLAR!G313</f>
        <v/>
      </c>
      <c r="F338" s="30">
        <f>[1]FİYATLAR!C313</f>
        <v/>
      </c>
      <c r="G338" s="30">
        <f>[1]FİYATLAR!E313</f>
        <v/>
      </c>
      <c r="H338" s="30">
        <f>[1]FİYATLAR!D313</f>
        <v/>
      </c>
      <c r="I338" s="30">
        <f>[1]FİYATLAR!F313</f>
        <v/>
      </c>
      <c r="J338" s="119" t="n">
        <v>0</v>
      </c>
      <c r="K338" s="34">
        <f>F338*J338</f>
        <v/>
      </c>
      <c r="L338" s="119" t="n"/>
      <c r="M338" s="34">
        <f>L338*F338</f>
        <v/>
      </c>
      <c r="N338" s="119" t="n"/>
      <c r="O338" s="34">
        <f>F338</f>
        <v/>
      </c>
      <c r="P338" s="34">
        <f>N338*O338</f>
        <v/>
      </c>
      <c r="Q338" s="117" t="n">
        <v>0</v>
      </c>
      <c r="R338" s="34">
        <f>F338</f>
        <v/>
      </c>
      <c r="S338" s="34">
        <f>R338*Q338</f>
        <v/>
      </c>
      <c r="T338" s="34">
        <f>SUMIFS('[1]GİP VERİLERİ'!$C:$C,'[1]GİP VERİLERİ'!$B:$B,A338,'[1]GİP VERİLERİ'!$M:$M,"40X000000104782K",'[1]GİP VERİLERİ'!$G:$G,"SELL")</f>
        <v/>
      </c>
      <c r="U338" s="34">
        <f>IFERROR(W338/T338,0)</f>
        <v/>
      </c>
      <c r="V338" s="34">
        <f>IF(U338=0,0,U338-F338)</f>
        <v/>
      </c>
      <c r="W338" s="34">
        <f>SUMIFS('[1]GİP VERİLERİ'!$O:$O,'[1]GİP VERİLERİ'!$B:$B,A338,'[1]GİP VERİLERİ'!$M:$M,"40X000000104782K",'[1]GİP VERİLERİ'!$G:$G,"SELL")</f>
        <v/>
      </c>
      <c r="X338" s="34">
        <f>SUMIFS('[1]GİP VERİLERİ'!$C:$C,'[1]GİP VERİLERİ'!$B:$B,A338,'[1]GİP VERİLERİ'!$M:$M,"40X000000104782K",'[1]GİP VERİLERİ'!$G:$G,"BUY")</f>
        <v/>
      </c>
      <c r="Y338" s="34">
        <f>IFERROR(AA338/X338,0)</f>
        <v/>
      </c>
      <c r="Z338" s="34">
        <f>IF(Y338=0,0,F338-Y338)</f>
        <v/>
      </c>
      <c r="AA338" s="34">
        <f>SUMIFS('[1]GİP VERİLERİ'!$O:$O,'[1]GİP VERİLERİ'!$B:$B,A338,'[1]GİP VERİLERİ'!$M:$M,"40X000000104782K",'[1]GİP VERİLERİ'!$G:$G,"BUY")</f>
        <v/>
      </c>
      <c r="AB338" s="34">
        <f>'[1]GÖP VERİLERİ'!H339</f>
        <v/>
      </c>
      <c r="AC338" s="34">
        <f>'[1]GÖP VERİLERİ'!I339</f>
        <v/>
      </c>
      <c r="AD338" s="34">
        <f>IF(AB338&gt;AC338*1.05,AB338-AC338*1.05,IF(AB338&lt;AC338*0.95,AC338*0.95-AB338,0))</f>
        <v/>
      </c>
      <c r="AE338" s="34">
        <f>MAX(F338,G338,750)*0.05*AD338</f>
        <v/>
      </c>
      <c r="AF338" s="34">
        <f>'[1]GÖP VERİLERİ'!J339</f>
        <v/>
      </c>
      <c r="AG338" s="34">
        <f>IF(AB338&gt;AF338*1.05,AB338-AF338*1.05,IF(AB338&lt;AF338*0.95,AF338*0.95-AB338,0))</f>
        <v/>
      </c>
      <c r="AH338" s="34">
        <f>MAX(I338,J338,750)*0.05*AG338</f>
        <v/>
      </c>
      <c r="AI338">
        <f>'[1]GÖP VERİLERİ'!E339</f>
        <v/>
      </c>
      <c r="AJ338">
        <f>'[1]GÖP VERİLERİ'!F339</f>
        <v/>
      </c>
      <c r="AK338" s="34">
        <f>IF(AI338&gt;AJ338*1.05,AI338-AJ338*1.05,IF(AI338&lt;AJ338*0.95,AJ338*0.95-AI338,0))</f>
        <v/>
      </c>
      <c r="AL338" s="34">
        <f>MAX(F338,G338,750)*0.05*AK338</f>
        <v/>
      </c>
      <c r="AM338" s="39">
        <f>'[1]GÖP VERİLERİ'!G339</f>
        <v/>
      </c>
      <c r="AN338" s="34">
        <f>IF(AI338&gt;AM338*1.05,AI338-AM338*1.05,IF(AI338&lt;AM338*0.95,AM338*0.95-AI338,0))</f>
        <v/>
      </c>
      <c r="AO338" s="34">
        <f>MAX(F338,G338,750)*0.05*AN338</f>
        <v/>
      </c>
      <c r="AP338" s="34">
        <f>'[1]GÖP VERİLERİ'!B339</f>
        <v/>
      </c>
      <c r="AQ338" s="34">
        <f>'[1]GÖP VERİLERİ'!C339</f>
        <v/>
      </c>
      <c r="AR338" s="34">
        <f>IF(AP338&gt;AQ338*1.05,AP338-AQ338*1.05,IF(AP338&lt;AQ338*0.95,AQ338*0.95-AP338,0))</f>
        <v/>
      </c>
      <c r="AS338" s="34">
        <f>MAX(F338:G338,750)*0.05*AR338</f>
        <v/>
      </c>
      <c r="AT338">
        <f>'[1]GÖP VERİLERİ'!D339</f>
        <v/>
      </c>
      <c r="AU338" s="34">
        <f>IF(AP338&gt;AT338*1.05,AP338-AT338*1.05,IF(AP338&lt;AT338*0.95,AT338*0.95-AP338,0))</f>
        <v/>
      </c>
      <c r="AV338" s="34">
        <f>MAX(F338:G338,750)*0.05*AU338</f>
        <v/>
      </c>
      <c r="AW338" s="34">
        <f>AC338+AJ338+AQ338</f>
        <v/>
      </c>
      <c r="AX338" s="34">
        <f>AF338+AM338+AT338</f>
        <v/>
      </c>
      <c r="AY338" s="34">
        <f>AB338+AI338+AP338</f>
        <v/>
      </c>
      <c r="AZ338" s="34" t="n">
        <v>0</v>
      </c>
      <c r="BA338" s="34">
        <f>AD338+AK338+AR338</f>
        <v/>
      </c>
      <c r="BB338" s="34">
        <f>MAX(F338:G338,750)*0.05*BA338</f>
        <v/>
      </c>
      <c r="BC338" s="34">
        <f>AG338+AN338+AU338</f>
        <v/>
      </c>
      <c r="BD338" s="34">
        <f>MAX(F338:G338,750)*0.05*BC338</f>
        <v/>
      </c>
      <c r="BE338" s="34">
        <f>F338*AY338</f>
        <v/>
      </c>
      <c r="BF338" s="34">
        <f>K338-M338</f>
        <v/>
      </c>
      <c r="BG338" s="34">
        <f>P338-S338</f>
        <v/>
      </c>
      <c r="BH338" s="34">
        <f>W338-AA338</f>
        <v/>
      </c>
      <c r="BI338" s="34">
        <f>BF338+BG338+BL338-BN338</f>
        <v/>
      </c>
      <c r="BJ338" s="34">
        <f>ABS(BK338)</f>
        <v/>
      </c>
      <c r="BK338" s="34">
        <f>AY338-(J338-L338+N338-Q338)</f>
        <v/>
      </c>
      <c r="BL338" s="34">
        <f>IF(AND(BK338&gt;0,MIN($F338:$G338)&lt;150,$E338="Enerji Açığı"),-100*BK338*1.03,IF(AND(BK338&gt;0,MIN($F338:$G338)&lt;150,$E338="Enerji Fazlası"),-100*BK338*1.06,IF(AND(BK338&gt;0,MIN($F338:$G338)&gt;=150,$E338="Enerji Açığı"),BK338*MIN($F338:$G338)*0.97,IF(AND(BK338&gt;0,MIN($F338:$G338)&gt;=150,$E338="Enerji Fazlası"),BK338*MIN($F338:$G338)*0.94,IF(AND(BK338&lt;0,MAX($F338:$G338)=4500,$E338="Enerji Açığı"),4500*1.05*1.06*BK338,IF(AND(BK338&lt;0,MAX($F338:$G338)=4500,$E338="Enerji Fazlası"),4500*1.05*1.03*BK338,IF(AND(BK338&lt;0,$E338="Enerji Açığı"),MAX($F338,$G338,150)*BK338*1.06,IF(AND(BK338&lt;0,$E338="Enerji Fazlası"),MAX($F338,$G338,150)*BK338*1.03,IF(AND(BK338&lt;0,$E338="Dengede"),MAX($F338:$G338,150)*1.03*BK338,MIN($F338:$G338)*0.97*BK338)))))))))</f>
        <v/>
      </c>
      <c r="BM338" s="34">
        <f>BE338-BI338-BN338</f>
        <v/>
      </c>
      <c r="BN338" s="34">
        <f>BB338</f>
        <v/>
      </c>
      <c r="BO338" s="34">
        <f>BE338-BI338</f>
        <v/>
      </c>
      <c r="BP338" s="34">
        <f>IF(AY338=0,0,BO338/AY338)</f>
        <v/>
      </c>
      <c r="BQ338" s="34">
        <f>MAX((AY338+MAX((-J338+L338-N338+Q338),0)),(MAX((J338-L338+N338-Q338),0)))</f>
        <v/>
      </c>
      <c r="BR338" s="82">
        <f>IFERROR(ABS(BK338/BQ338),0)</f>
        <v/>
      </c>
      <c r="BS338" s="34">
        <f>IF(BR338&lt;=0.1,0,BK338/BR338*(BR338-0.1))</f>
        <v/>
      </c>
      <c r="BT338" s="34">
        <f>IF((BS338)&lt;0,MAX(F338:G338)*(BS338)*1.03,MIN(F338:G338)*(BS338)*0.97)</f>
        <v/>
      </c>
      <c r="BU338" s="34">
        <f>IF(BR338&gt;0.1,1,0)</f>
        <v/>
      </c>
      <c r="BV338" s="34">
        <f>BF338+BG338+BH338+BY338-CA338</f>
        <v/>
      </c>
      <c r="BW338" s="34">
        <f>ABS(BX338)</f>
        <v/>
      </c>
      <c r="BX338" s="34">
        <f>AY338-(J338-L338+N338-Q338+T338-X338)</f>
        <v/>
      </c>
      <c r="BY338" s="34">
        <f>IF(AND(BX338&gt;0,MIN($F338:$G338)&lt;150,$E338="Enerji Açığı"),-100*BX338*1.03,IF(AND(BX338&gt;0,MIN($F338:$G338)&lt;150,$E338="Enerji Fazlası"),-100*BX338*1.06,IF(AND(BX338&gt;0,MIN($F338:$G338)&gt;=150,$E338="Enerji Açığı"),BX338*MIN($F338:$G338)*0.97,IF(AND(BX338&gt;0,MIN($F338:$G338)&gt;=150,$E338="Enerji Fazlası"),BX338*MIN($F338:$G338)*0.94,IF(AND(BX338&lt;0,MAX($F338:$G338)=4500,$E338="Enerji Açığı"),4500*1.05*1.06*BX338,IF(AND(BX338&lt;0,MAX($F338:$G338)=4500,$E338="Enerji Fazlası"),4500*1.05*1.03*BX338,IF(AND(BX338&lt;0,$E338="Enerji Açığı"),MAX($F338,$G338,150)*BX338*1.06,IF(AND(BX338&lt;0,$E338="Enerji Fazlası"),MAX($F338,$G338,150)*BX338*1.03,IF(AND(BX338&lt;0,$E338="Dengede"),MAX($F338:$G338,150)*1.03*BX338,MIN($F338:$G338)*0.97*BX338)))))))))</f>
        <v/>
      </c>
      <c r="BZ338" s="34">
        <f>BE338-BV338-CA338</f>
        <v/>
      </c>
      <c r="CA338" s="34">
        <f>BD338</f>
        <v/>
      </c>
      <c r="CB338" s="33">
        <f>BE338-BV338</f>
        <v/>
      </c>
      <c r="CC338" s="34">
        <f>IF(AY338=0,0,CB338/AY338)</f>
        <v/>
      </c>
      <c r="CD338" s="34">
        <f>MAX((AY338+MAX((-J338+L338-N338+Q338-T338+X338),0)),(MAX((J338-L338+N338-Q338+T338-X338),0)))</f>
        <v/>
      </c>
      <c r="CE338" s="82">
        <f>IFERROR(ABS(BX338/CD338),0)</f>
        <v/>
      </c>
      <c r="CF338" s="34">
        <f>IF(CE338&lt;=0.1,0,BX338/CE338*(CE338-0.1))</f>
        <v/>
      </c>
      <c r="CG338" s="34">
        <f>IF((CF338)&lt;0,MAX(F338:G338)*(CF338)*1.03,MIN(F338:G338)*(CF338)*0.97)</f>
        <v/>
      </c>
      <c r="CH338" s="34">
        <f>IF(CE338&gt;0.1,1,0)</f>
        <v/>
      </c>
      <c r="CI338" s="34">
        <f>(F338*BX338)-BY338</f>
        <v/>
      </c>
      <c r="CJ338" s="34">
        <f>IF(AY338=0,0,CI338/AY338)</f>
        <v/>
      </c>
    </row>
    <row r="339">
      <c r="A339" s="29">
        <f>[1]FİYATLAR!A314</f>
        <v/>
      </c>
      <c r="B339" s="29">
        <f>[1]FİYATLAR!B314</f>
        <v/>
      </c>
      <c r="C339" s="35">
        <f>INT(A339)</f>
        <v/>
      </c>
      <c r="D339" s="36">
        <f>MONTH(A339)</f>
        <v/>
      </c>
      <c r="E339" s="147">
        <f>[1]FİYATLAR!G314</f>
        <v/>
      </c>
      <c r="F339" s="30">
        <f>[1]FİYATLAR!C314</f>
        <v/>
      </c>
      <c r="G339" s="30">
        <f>[1]FİYATLAR!E314</f>
        <v/>
      </c>
      <c r="H339" s="30">
        <f>[1]FİYATLAR!D314</f>
        <v/>
      </c>
      <c r="I339" s="30">
        <f>[1]FİYATLAR!F314</f>
        <v/>
      </c>
      <c r="J339" s="119" t="n">
        <v>0</v>
      </c>
      <c r="K339" s="34">
        <f>F339*J339</f>
        <v/>
      </c>
      <c r="L339" s="119" t="n"/>
      <c r="M339" s="34">
        <f>L339*F339</f>
        <v/>
      </c>
      <c r="N339" s="119" t="n"/>
      <c r="O339" s="34">
        <f>F339</f>
        <v/>
      </c>
      <c r="P339" s="34">
        <f>N339*O339</f>
        <v/>
      </c>
      <c r="Q339" s="117" t="n">
        <v>0</v>
      </c>
      <c r="R339" s="34">
        <f>F339</f>
        <v/>
      </c>
      <c r="S339" s="34">
        <f>R339*Q339</f>
        <v/>
      </c>
      <c r="T339" s="34">
        <f>SUMIFS('[1]GİP VERİLERİ'!$C:$C,'[1]GİP VERİLERİ'!$B:$B,A339,'[1]GİP VERİLERİ'!$M:$M,"40X000000104782K",'[1]GİP VERİLERİ'!$G:$G,"SELL")</f>
        <v/>
      </c>
      <c r="U339" s="34">
        <f>IFERROR(W339/T339,0)</f>
        <v/>
      </c>
      <c r="V339" s="34">
        <f>IF(U339=0,0,U339-F339)</f>
        <v/>
      </c>
      <c r="W339" s="34">
        <f>SUMIFS('[1]GİP VERİLERİ'!$O:$O,'[1]GİP VERİLERİ'!$B:$B,A339,'[1]GİP VERİLERİ'!$M:$M,"40X000000104782K",'[1]GİP VERİLERİ'!$G:$G,"SELL")</f>
        <v/>
      </c>
      <c r="X339" s="34">
        <f>SUMIFS('[1]GİP VERİLERİ'!$C:$C,'[1]GİP VERİLERİ'!$B:$B,A339,'[1]GİP VERİLERİ'!$M:$M,"40X000000104782K",'[1]GİP VERİLERİ'!$G:$G,"BUY")</f>
        <v/>
      </c>
      <c r="Y339" s="34">
        <f>IFERROR(AA339/X339,0)</f>
        <v/>
      </c>
      <c r="Z339" s="34">
        <f>IF(Y339=0,0,F339-Y339)</f>
        <v/>
      </c>
      <c r="AA339" s="34">
        <f>SUMIFS('[1]GİP VERİLERİ'!$O:$O,'[1]GİP VERİLERİ'!$B:$B,A339,'[1]GİP VERİLERİ'!$M:$M,"40X000000104782K",'[1]GİP VERİLERİ'!$G:$G,"BUY")</f>
        <v/>
      </c>
      <c r="AB339" s="34">
        <f>'[1]GÖP VERİLERİ'!H340</f>
        <v/>
      </c>
      <c r="AC339" s="34">
        <f>'[1]GÖP VERİLERİ'!I340</f>
        <v/>
      </c>
      <c r="AD339" s="34">
        <f>IF(AB339&gt;AC339*1.05,AB339-AC339*1.05,IF(AB339&lt;AC339*0.95,AC339*0.95-AB339,0))</f>
        <v/>
      </c>
      <c r="AE339" s="34">
        <f>MAX(F339,G339,750)*0.05*AD339</f>
        <v/>
      </c>
      <c r="AF339" s="34">
        <f>'[1]GÖP VERİLERİ'!J340</f>
        <v/>
      </c>
      <c r="AG339" s="34">
        <f>IF(AB339&gt;AF339*1.05,AB339-AF339*1.05,IF(AB339&lt;AF339*0.95,AF339*0.95-AB339,0))</f>
        <v/>
      </c>
      <c r="AH339" s="34">
        <f>MAX(I339,J339,750)*0.05*AG339</f>
        <v/>
      </c>
      <c r="AI339">
        <f>'[1]GÖP VERİLERİ'!E340</f>
        <v/>
      </c>
      <c r="AJ339">
        <f>'[1]GÖP VERİLERİ'!F340</f>
        <v/>
      </c>
      <c r="AK339" s="34">
        <f>IF(AI339&gt;AJ339*1.05,AI339-AJ339*1.05,IF(AI339&lt;AJ339*0.95,AJ339*0.95-AI339,0))</f>
        <v/>
      </c>
      <c r="AL339" s="34">
        <f>MAX(F339,G339,750)*0.05*AK339</f>
        <v/>
      </c>
      <c r="AM339" s="39">
        <f>'[1]GÖP VERİLERİ'!G340</f>
        <v/>
      </c>
      <c r="AN339" s="34">
        <f>IF(AI339&gt;AM339*1.05,AI339-AM339*1.05,IF(AI339&lt;AM339*0.95,AM339*0.95-AI339,0))</f>
        <v/>
      </c>
      <c r="AO339" s="34">
        <f>MAX(F339,G339,750)*0.05*AN339</f>
        <v/>
      </c>
      <c r="AP339" s="34">
        <f>'[1]GÖP VERİLERİ'!B340</f>
        <v/>
      </c>
      <c r="AQ339" s="34">
        <f>'[1]GÖP VERİLERİ'!C340</f>
        <v/>
      </c>
      <c r="AR339" s="34">
        <f>IF(AP339&gt;AQ339*1.05,AP339-AQ339*1.05,IF(AP339&lt;AQ339*0.95,AQ339*0.95-AP339,0))</f>
        <v/>
      </c>
      <c r="AS339" s="34">
        <f>MAX(F339:G339,750)*0.05*AR339</f>
        <v/>
      </c>
      <c r="AT339">
        <f>'[1]GÖP VERİLERİ'!D340</f>
        <v/>
      </c>
      <c r="AU339" s="34">
        <f>IF(AP339&gt;AT339*1.05,AP339-AT339*1.05,IF(AP339&lt;AT339*0.95,AT339*0.95-AP339,0))</f>
        <v/>
      </c>
      <c r="AV339" s="34">
        <f>MAX(F339:G339,750)*0.05*AU339</f>
        <v/>
      </c>
      <c r="AW339" s="34">
        <f>AC339+AJ339+AQ339</f>
        <v/>
      </c>
      <c r="AX339" s="34">
        <f>AF339+AM339+AT339</f>
        <v/>
      </c>
      <c r="AY339" s="34">
        <f>AB339+AI339+AP339</f>
        <v/>
      </c>
      <c r="AZ339" s="34" t="n">
        <v>0</v>
      </c>
      <c r="BA339" s="34">
        <f>AD339+AK339+AR339</f>
        <v/>
      </c>
      <c r="BB339" s="34">
        <f>MAX(F339:G339,750)*0.05*BA339</f>
        <v/>
      </c>
      <c r="BC339" s="34">
        <f>AG339+AN339+AU339</f>
        <v/>
      </c>
      <c r="BD339" s="34">
        <f>MAX(F339:G339,750)*0.05*BC339</f>
        <v/>
      </c>
      <c r="BE339" s="34">
        <f>F339*AY339</f>
        <v/>
      </c>
      <c r="BF339" s="34">
        <f>K339-M339</f>
        <v/>
      </c>
      <c r="BG339" s="34">
        <f>P339-S339</f>
        <v/>
      </c>
      <c r="BH339" s="34">
        <f>W339-AA339</f>
        <v/>
      </c>
      <c r="BI339" s="34">
        <f>BF339+BG339+BL339-BN339</f>
        <v/>
      </c>
      <c r="BJ339" s="34">
        <f>ABS(BK339)</f>
        <v/>
      </c>
      <c r="BK339" s="34">
        <f>AY339-(J339-L339+N339-Q339)</f>
        <v/>
      </c>
      <c r="BL339" s="34">
        <f>IF(AND(BK339&gt;0,MIN($F339:$G339)&lt;150,$E339="Enerji Açığı"),-100*BK339*1.03,IF(AND(BK339&gt;0,MIN($F339:$G339)&lt;150,$E339="Enerji Fazlası"),-100*BK339*1.06,IF(AND(BK339&gt;0,MIN($F339:$G339)&gt;=150,$E339="Enerji Açığı"),BK339*MIN($F339:$G339)*0.97,IF(AND(BK339&gt;0,MIN($F339:$G339)&gt;=150,$E339="Enerji Fazlası"),BK339*MIN($F339:$G339)*0.94,IF(AND(BK339&lt;0,MAX($F339:$G339)=4500,$E339="Enerji Açığı"),4500*1.05*1.06*BK339,IF(AND(BK339&lt;0,MAX($F339:$G339)=4500,$E339="Enerji Fazlası"),4500*1.05*1.03*BK339,IF(AND(BK339&lt;0,$E339="Enerji Açığı"),MAX($F339,$G339,150)*BK339*1.06,IF(AND(BK339&lt;0,$E339="Enerji Fazlası"),MAX($F339,$G339,150)*BK339*1.03,IF(AND(BK339&lt;0,$E339="Dengede"),MAX($F339:$G339,150)*1.03*BK339,MIN($F339:$G339)*0.97*BK339)))))))))</f>
        <v/>
      </c>
      <c r="BM339" s="34">
        <f>BE339-BI339-BN339</f>
        <v/>
      </c>
      <c r="BN339" s="34">
        <f>BB339</f>
        <v/>
      </c>
      <c r="BO339" s="34">
        <f>BE339-BI339</f>
        <v/>
      </c>
      <c r="BP339" s="34">
        <f>IF(AY339=0,0,BO339/AY339)</f>
        <v/>
      </c>
      <c r="BQ339" s="34">
        <f>MAX((AY339+MAX((-J339+L339-N339+Q339),0)),(MAX((J339-L339+N339-Q339),0)))</f>
        <v/>
      </c>
      <c r="BR339" s="82">
        <f>IFERROR(ABS(BK339/BQ339),0)</f>
        <v/>
      </c>
      <c r="BS339" s="34">
        <f>IF(BR339&lt;=0.1,0,BK339/BR339*(BR339-0.1))</f>
        <v/>
      </c>
      <c r="BT339" s="34">
        <f>IF((BS339)&lt;0,MAX(F339:G339)*(BS339)*1.03,MIN(F339:G339)*(BS339)*0.97)</f>
        <v/>
      </c>
      <c r="BU339" s="34">
        <f>IF(BR339&gt;0.1,1,0)</f>
        <v/>
      </c>
      <c r="BV339" s="34">
        <f>BF339+BG339+BH339+BY339-CA339</f>
        <v/>
      </c>
      <c r="BW339" s="34">
        <f>ABS(BX339)</f>
        <v/>
      </c>
      <c r="BX339" s="34">
        <f>AY339-(J339-L339+N339-Q339+T339-X339)</f>
        <v/>
      </c>
      <c r="BY339" s="34">
        <f>IF(AND(BX339&gt;0,MIN($F339:$G339)&lt;150,$E339="Enerji Açığı"),-100*BX339*1.03,IF(AND(BX339&gt;0,MIN($F339:$G339)&lt;150,$E339="Enerji Fazlası"),-100*BX339*1.06,IF(AND(BX339&gt;0,MIN($F339:$G339)&gt;=150,$E339="Enerji Açığı"),BX339*MIN($F339:$G339)*0.97,IF(AND(BX339&gt;0,MIN($F339:$G339)&gt;=150,$E339="Enerji Fazlası"),BX339*MIN($F339:$G339)*0.94,IF(AND(BX339&lt;0,MAX($F339:$G339)=4500,$E339="Enerji Açığı"),4500*1.05*1.06*BX339,IF(AND(BX339&lt;0,MAX($F339:$G339)=4500,$E339="Enerji Fazlası"),4500*1.05*1.03*BX339,IF(AND(BX339&lt;0,$E339="Enerji Açığı"),MAX($F339,$G339,150)*BX339*1.06,IF(AND(BX339&lt;0,$E339="Enerji Fazlası"),MAX($F339,$G339,150)*BX339*1.03,IF(AND(BX339&lt;0,$E339="Dengede"),MAX($F339:$G339,150)*1.03*BX339,MIN($F339:$G339)*0.97*BX339)))))))))</f>
        <v/>
      </c>
      <c r="BZ339" s="34">
        <f>BE339-BV339-CA339</f>
        <v/>
      </c>
      <c r="CA339" s="34">
        <f>BD339</f>
        <v/>
      </c>
      <c r="CB339" s="33">
        <f>BE339-BV339</f>
        <v/>
      </c>
      <c r="CC339" s="34">
        <f>IF(AY339=0,0,CB339/AY339)</f>
        <v/>
      </c>
      <c r="CD339" s="34">
        <f>MAX((AY339+MAX((-J339+L339-N339+Q339-T339+X339),0)),(MAX((J339-L339+N339-Q339+T339-X339),0)))</f>
        <v/>
      </c>
      <c r="CE339" s="82">
        <f>IFERROR(ABS(BX339/CD339),0)</f>
        <v/>
      </c>
      <c r="CF339" s="34">
        <f>IF(CE339&lt;=0.1,0,BX339/CE339*(CE339-0.1))</f>
        <v/>
      </c>
      <c r="CG339" s="34">
        <f>IF((CF339)&lt;0,MAX(F339:G339)*(CF339)*1.03,MIN(F339:G339)*(CF339)*0.97)</f>
        <v/>
      </c>
      <c r="CH339" s="34">
        <f>IF(CE339&gt;0.1,1,0)</f>
        <v/>
      </c>
      <c r="CI339" s="34">
        <f>(F339*BX339)-BY339</f>
        <v/>
      </c>
      <c r="CJ339" s="34">
        <f>IF(AY339=0,0,CI339/AY339)</f>
        <v/>
      </c>
    </row>
    <row r="340">
      <c r="A340" s="29">
        <f>[1]FİYATLAR!A315</f>
        <v/>
      </c>
      <c r="B340" s="29">
        <f>[1]FİYATLAR!B315</f>
        <v/>
      </c>
      <c r="C340" s="35">
        <f>INT(A340)</f>
        <v/>
      </c>
      <c r="D340" s="36">
        <f>MONTH(A340)</f>
        <v/>
      </c>
      <c r="E340" s="147">
        <f>[1]FİYATLAR!G315</f>
        <v/>
      </c>
      <c r="F340" s="30">
        <f>[1]FİYATLAR!C315</f>
        <v/>
      </c>
      <c r="G340" s="30">
        <f>[1]FİYATLAR!E315</f>
        <v/>
      </c>
      <c r="H340" s="30">
        <f>[1]FİYATLAR!D315</f>
        <v/>
      </c>
      <c r="I340" s="30">
        <f>[1]FİYATLAR!F315</f>
        <v/>
      </c>
      <c r="J340" s="119" t="n">
        <v>0</v>
      </c>
      <c r="K340" s="34">
        <f>F340*J340</f>
        <v/>
      </c>
      <c r="L340" s="119" t="n"/>
      <c r="M340" s="34">
        <f>L340*F340</f>
        <v/>
      </c>
      <c r="N340" s="119" t="n"/>
      <c r="O340" s="34">
        <f>F340</f>
        <v/>
      </c>
      <c r="P340" s="34">
        <f>N340*O340</f>
        <v/>
      </c>
      <c r="Q340" s="117" t="n">
        <v>0</v>
      </c>
      <c r="R340" s="34">
        <f>F340</f>
        <v/>
      </c>
      <c r="S340" s="34">
        <f>R340*Q340</f>
        <v/>
      </c>
      <c r="T340" s="34">
        <f>SUMIFS('[1]GİP VERİLERİ'!$C:$C,'[1]GİP VERİLERİ'!$B:$B,A340,'[1]GİP VERİLERİ'!$M:$M,"40X000000104782K",'[1]GİP VERİLERİ'!$G:$G,"SELL")</f>
        <v/>
      </c>
      <c r="U340" s="34">
        <f>IFERROR(W340/T340,0)</f>
        <v/>
      </c>
      <c r="V340" s="34">
        <f>IF(U340=0,0,U340-F340)</f>
        <v/>
      </c>
      <c r="W340" s="34">
        <f>SUMIFS('[1]GİP VERİLERİ'!$O:$O,'[1]GİP VERİLERİ'!$B:$B,A340,'[1]GİP VERİLERİ'!$M:$M,"40X000000104782K",'[1]GİP VERİLERİ'!$G:$G,"SELL")</f>
        <v/>
      </c>
      <c r="X340" s="34">
        <f>SUMIFS('[1]GİP VERİLERİ'!$C:$C,'[1]GİP VERİLERİ'!$B:$B,A340,'[1]GİP VERİLERİ'!$M:$M,"40X000000104782K",'[1]GİP VERİLERİ'!$G:$G,"BUY")</f>
        <v/>
      </c>
      <c r="Y340" s="34">
        <f>IFERROR(AA340/X340,0)</f>
        <v/>
      </c>
      <c r="Z340" s="34">
        <f>IF(Y340=0,0,F340-Y340)</f>
        <v/>
      </c>
      <c r="AA340" s="34">
        <f>SUMIFS('[1]GİP VERİLERİ'!$O:$O,'[1]GİP VERİLERİ'!$B:$B,A340,'[1]GİP VERİLERİ'!$M:$M,"40X000000104782K",'[1]GİP VERİLERİ'!$G:$G,"BUY")</f>
        <v/>
      </c>
      <c r="AB340" s="34">
        <f>'[1]GÖP VERİLERİ'!H341</f>
        <v/>
      </c>
      <c r="AC340" s="34">
        <f>'[1]GÖP VERİLERİ'!I341</f>
        <v/>
      </c>
      <c r="AD340" s="34">
        <f>IF(AB340&gt;AC340*1.05,AB340-AC340*1.05,IF(AB340&lt;AC340*0.95,AC340*0.95-AB340,0))</f>
        <v/>
      </c>
      <c r="AE340" s="34">
        <f>MAX(F340,G340,750)*0.05*AD340</f>
        <v/>
      </c>
      <c r="AF340" s="34">
        <f>'[1]GÖP VERİLERİ'!J341</f>
        <v/>
      </c>
      <c r="AG340" s="34">
        <f>IF(AB340&gt;AF340*1.05,AB340-AF340*1.05,IF(AB340&lt;AF340*0.95,AF340*0.95-AB340,0))</f>
        <v/>
      </c>
      <c r="AH340" s="34">
        <f>MAX(I340,J340,750)*0.05*AG340</f>
        <v/>
      </c>
      <c r="AI340">
        <f>'[1]GÖP VERİLERİ'!E341</f>
        <v/>
      </c>
      <c r="AJ340">
        <f>'[1]GÖP VERİLERİ'!F341</f>
        <v/>
      </c>
      <c r="AK340" s="34">
        <f>IF(AI340&gt;AJ340*1.05,AI340-AJ340*1.05,IF(AI340&lt;AJ340*0.95,AJ340*0.95-AI340,0))</f>
        <v/>
      </c>
      <c r="AL340" s="34">
        <f>MAX(F340,G340,750)*0.05*AK340</f>
        <v/>
      </c>
      <c r="AM340" s="39">
        <f>'[1]GÖP VERİLERİ'!G341</f>
        <v/>
      </c>
      <c r="AN340" s="34">
        <f>IF(AI340&gt;AM340*1.05,AI340-AM340*1.05,IF(AI340&lt;AM340*0.95,AM340*0.95-AI340,0))</f>
        <v/>
      </c>
      <c r="AO340" s="34">
        <f>MAX(F340,G340,750)*0.05*AN340</f>
        <v/>
      </c>
      <c r="AP340" s="34">
        <f>'[1]GÖP VERİLERİ'!B341</f>
        <v/>
      </c>
      <c r="AQ340" s="34">
        <f>'[1]GÖP VERİLERİ'!C341</f>
        <v/>
      </c>
      <c r="AR340" s="34">
        <f>IF(AP340&gt;AQ340*1.05,AP340-AQ340*1.05,IF(AP340&lt;AQ340*0.95,AQ340*0.95-AP340,0))</f>
        <v/>
      </c>
      <c r="AS340" s="34">
        <f>MAX(F340:G340,750)*0.05*AR340</f>
        <v/>
      </c>
      <c r="AT340">
        <f>'[1]GÖP VERİLERİ'!D341</f>
        <v/>
      </c>
      <c r="AU340" s="34">
        <f>IF(AP340&gt;AT340*1.05,AP340-AT340*1.05,IF(AP340&lt;AT340*0.95,AT340*0.95-AP340,0))</f>
        <v/>
      </c>
      <c r="AV340" s="34">
        <f>MAX(F340:G340,750)*0.05*AU340</f>
        <v/>
      </c>
      <c r="AW340" s="34">
        <f>AC340+AJ340+AQ340</f>
        <v/>
      </c>
      <c r="AX340" s="34">
        <f>AF340+AM340+AT340</f>
        <v/>
      </c>
      <c r="AY340" s="34">
        <f>AB340+AI340+AP340</f>
        <v/>
      </c>
      <c r="AZ340" s="34" t="n">
        <v>0</v>
      </c>
      <c r="BA340" s="34">
        <f>AD340+AK340+AR340</f>
        <v/>
      </c>
      <c r="BB340" s="34">
        <f>MAX(F340:G340,750)*0.05*BA340</f>
        <v/>
      </c>
      <c r="BC340" s="34">
        <f>AG340+AN340+AU340</f>
        <v/>
      </c>
      <c r="BD340" s="34">
        <f>MAX(F340:G340,750)*0.05*BC340</f>
        <v/>
      </c>
      <c r="BE340" s="34">
        <f>F340*AY340</f>
        <v/>
      </c>
      <c r="BF340" s="34">
        <f>K340-M340</f>
        <v/>
      </c>
      <c r="BG340" s="34">
        <f>P340-S340</f>
        <v/>
      </c>
      <c r="BH340" s="34">
        <f>W340-AA340</f>
        <v/>
      </c>
      <c r="BI340" s="34">
        <f>BF340+BG340+BL340-BN340</f>
        <v/>
      </c>
      <c r="BJ340" s="34">
        <f>ABS(BK340)</f>
        <v/>
      </c>
      <c r="BK340" s="34">
        <f>AY340-(J340-L340+N340-Q340)</f>
        <v/>
      </c>
      <c r="BL340" s="34">
        <f>IF(AND(BK340&gt;0,MIN($F340:$G340)&lt;150,$E340="Enerji Açığı"),-100*BK340*1.03,IF(AND(BK340&gt;0,MIN($F340:$G340)&lt;150,$E340="Enerji Fazlası"),-100*BK340*1.06,IF(AND(BK340&gt;0,MIN($F340:$G340)&gt;=150,$E340="Enerji Açığı"),BK340*MIN($F340:$G340)*0.97,IF(AND(BK340&gt;0,MIN($F340:$G340)&gt;=150,$E340="Enerji Fazlası"),BK340*MIN($F340:$G340)*0.94,IF(AND(BK340&lt;0,MAX($F340:$G340)=4500,$E340="Enerji Açığı"),4500*1.05*1.06*BK340,IF(AND(BK340&lt;0,MAX($F340:$G340)=4500,$E340="Enerji Fazlası"),4500*1.05*1.03*BK340,IF(AND(BK340&lt;0,$E340="Enerji Açığı"),MAX($F340,$G340,150)*BK340*1.06,IF(AND(BK340&lt;0,$E340="Enerji Fazlası"),MAX($F340,$G340,150)*BK340*1.03,IF(AND(BK340&lt;0,$E340="Dengede"),MAX($F340:$G340,150)*1.03*BK340,MIN($F340:$G340)*0.97*BK340)))))))))</f>
        <v/>
      </c>
      <c r="BM340" s="34">
        <f>BE340-BI340-BN340</f>
        <v/>
      </c>
      <c r="BN340" s="34">
        <f>BB340</f>
        <v/>
      </c>
      <c r="BO340" s="34">
        <f>BE340-BI340</f>
        <v/>
      </c>
      <c r="BP340" s="34">
        <f>IF(AY340=0,0,BO340/AY340)</f>
        <v/>
      </c>
      <c r="BQ340" s="34">
        <f>MAX((AY340+MAX((-J340+L340-N340+Q340),0)),(MAX((J340-L340+N340-Q340),0)))</f>
        <v/>
      </c>
      <c r="BR340" s="82">
        <f>IFERROR(ABS(BK340/BQ340),0)</f>
        <v/>
      </c>
      <c r="BS340" s="34">
        <f>IF(BR340&lt;=0.1,0,BK340/BR340*(BR340-0.1))</f>
        <v/>
      </c>
      <c r="BT340" s="34">
        <f>IF((BS340)&lt;0,MAX(F340:G340)*(BS340)*1.03,MIN(F340:G340)*(BS340)*0.97)</f>
        <v/>
      </c>
      <c r="BU340" s="34">
        <f>IF(BR340&gt;0.1,1,0)</f>
        <v/>
      </c>
      <c r="BV340" s="34">
        <f>BF340+BG340+BH340+BY340-CA340</f>
        <v/>
      </c>
      <c r="BW340" s="34">
        <f>ABS(BX340)</f>
        <v/>
      </c>
      <c r="BX340" s="34">
        <f>AY340-(J340-L340+N340-Q340+T340-X340)</f>
        <v/>
      </c>
      <c r="BY340" s="34">
        <f>IF(AND(BX340&gt;0,MIN($F340:$G340)&lt;150,$E340="Enerji Açığı"),-100*BX340*1.03,IF(AND(BX340&gt;0,MIN($F340:$G340)&lt;150,$E340="Enerji Fazlası"),-100*BX340*1.06,IF(AND(BX340&gt;0,MIN($F340:$G340)&gt;=150,$E340="Enerji Açığı"),BX340*MIN($F340:$G340)*0.97,IF(AND(BX340&gt;0,MIN($F340:$G340)&gt;=150,$E340="Enerji Fazlası"),BX340*MIN($F340:$G340)*0.94,IF(AND(BX340&lt;0,MAX($F340:$G340)=4500,$E340="Enerji Açığı"),4500*1.05*1.06*BX340,IF(AND(BX340&lt;0,MAX($F340:$G340)=4500,$E340="Enerji Fazlası"),4500*1.05*1.03*BX340,IF(AND(BX340&lt;0,$E340="Enerji Açığı"),MAX($F340,$G340,150)*BX340*1.06,IF(AND(BX340&lt;0,$E340="Enerji Fazlası"),MAX($F340,$G340,150)*BX340*1.03,IF(AND(BX340&lt;0,$E340="Dengede"),MAX($F340:$G340,150)*1.03*BX340,MIN($F340:$G340)*0.97*BX340)))))))))</f>
        <v/>
      </c>
      <c r="BZ340" s="34">
        <f>BE340-BV340-CA340</f>
        <v/>
      </c>
      <c r="CA340" s="34">
        <f>BD340</f>
        <v/>
      </c>
      <c r="CB340" s="33">
        <f>BE340-BV340</f>
        <v/>
      </c>
      <c r="CC340" s="34">
        <f>IF(AY340=0,0,CB340/AY340)</f>
        <v/>
      </c>
      <c r="CD340" s="34">
        <f>MAX((AY340+MAX((-J340+L340-N340+Q340-T340+X340),0)),(MAX((J340-L340+N340-Q340+T340-X340),0)))</f>
        <v/>
      </c>
      <c r="CE340" s="82">
        <f>IFERROR(ABS(BX340/CD340),0)</f>
        <v/>
      </c>
      <c r="CF340" s="34">
        <f>IF(CE340&lt;=0.1,0,BX340/CE340*(CE340-0.1))</f>
        <v/>
      </c>
      <c r="CG340" s="34">
        <f>IF((CF340)&lt;0,MAX(F340:G340)*(CF340)*1.03,MIN(F340:G340)*(CF340)*0.97)</f>
        <v/>
      </c>
      <c r="CH340" s="34">
        <f>IF(CE340&gt;0.1,1,0)</f>
        <v/>
      </c>
      <c r="CI340" s="34">
        <f>(F340*BX340)-BY340</f>
        <v/>
      </c>
      <c r="CJ340" s="34">
        <f>IF(AY340=0,0,CI340/AY340)</f>
        <v/>
      </c>
    </row>
    <row r="341">
      <c r="A341" s="29">
        <f>[1]FİYATLAR!A316</f>
        <v/>
      </c>
      <c r="B341" s="29">
        <f>[1]FİYATLAR!B316</f>
        <v/>
      </c>
      <c r="C341" s="35">
        <f>INT(A341)</f>
        <v/>
      </c>
      <c r="D341" s="36">
        <f>MONTH(A341)</f>
        <v/>
      </c>
      <c r="E341" s="147">
        <f>[1]FİYATLAR!G316</f>
        <v/>
      </c>
      <c r="F341" s="30">
        <f>[1]FİYATLAR!C316</f>
        <v/>
      </c>
      <c r="G341" s="30">
        <f>[1]FİYATLAR!E316</f>
        <v/>
      </c>
      <c r="H341" s="30">
        <f>[1]FİYATLAR!D316</f>
        <v/>
      </c>
      <c r="I341" s="30">
        <f>[1]FİYATLAR!F316</f>
        <v/>
      </c>
      <c r="J341" s="119" t="n">
        <v>0</v>
      </c>
      <c r="K341" s="34">
        <f>F341*J341</f>
        <v/>
      </c>
      <c r="L341" s="119" t="n"/>
      <c r="M341" s="34">
        <f>L341*F341</f>
        <v/>
      </c>
      <c r="N341" s="119" t="n"/>
      <c r="O341" s="34">
        <f>F341</f>
        <v/>
      </c>
      <c r="P341" s="34">
        <f>N341*O341</f>
        <v/>
      </c>
      <c r="Q341" s="117" t="n">
        <v>0</v>
      </c>
      <c r="R341" s="34">
        <f>F341</f>
        <v/>
      </c>
      <c r="S341" s="34">
        <f>R341*Q341</f>
        <v/>
      </c>
      <c r="T341" s="34">
        <f>SUMIFS('[1]GİP VERİLERİ'!$C:$C,'[1]GİP VERİLERİ'!$B:$B,A341,'[1]GİP VERİLERİ'!$M:$M,"40X000000104782K",'[1]GİP VERİLERİ'!$G:$G,"SELL")</f>
        <v/>
      </c>
      <c r="U341" s="34">
        <f>IFERROR(W341/T341,0)</f>
        <v/>
      </c>
      <c r="V341" s="34">
        <f>IF(U341=0,0,U341-F341)</f>
        <v/>
      </c>
      <c r="W341" s="34">
        <f>SUMIFS('[1]GİP VERİLERİ'!$O:$O,'[1]GİP VERİLERİ'!$B:$B,A341,'[1]GİP VERİLERİ'!$M:$M,"40X000000104782K",'[1]GİP VERİLERİ'!$G:$G,"SELL")</f>
        <v/>
      </c>
      <c r="X341" s="34">
        <f>SUMIFS('[1]GİP VERİLERİ'!$C:$C,'[1]GİP VERİLERİ'!$B:$B,A341,'[1]GİP VERİLERİ'!$M:$M,"40X000000104782K",'[1]GİP VERİLERİ'!$G:$G,"BUY")</f>
        <v/>
      </c>
      <c r="Y341" s="34">
        <f>IFERROR(AA341/X341,0)</f>
        <v/>
      </c>
      <c r="Z341" s="34">
        <f>IF(Y341=0,0,F341-Y341)</f>
        <v/>
      </c>
      <c r="AA341" s="34">
        <f>SUMIFS('[1]GİP VERİLERİ'!$O:$O,'[1]GİP VERİLERİ'!$B:$B,A341,'[1]GİP VERİLERİ'!$M:$M,"40X000000104782K",'[1]GİP VERİLERİ'!$G:$G,"BUY")</f>
        <v/>
      </c>
      <c r="AB341" s="34">
        <f>'[1]GÖP VERİLERİ'!H342</f>
        <v/>
      </c>
      <c r="AC341" s="34">
        <f>'[1]GÖP VERİLERİ'!I342</f>
        <v/>
      </c>
      <c r="AD341" s="34">
        <f>IF(AB341&gt;AC341*1.05,AB341-AC341*1.05,IF(AB341&lt;AC341*0.95,AC341*0.95-AB341,0))</f>
        <v/>
      </c>
      <c r="AE341" s="34">
        <f>MAX(F341,G341,750)*0.05*AD341</f>
        <v/>
      </c>
      <c r="AF341" s="34">
        <f>'[1]GÖP VERİLERİ'!J342</f>
        <v/>
      </c>
      <c r="AG341" s="34">
        <f>IF(AB341&gt;AF341*1.05,AB341-AF341*1.05,IF(AB341&lt;AF341*0.95,AF341*0.95-AB341,0))</f>
        <v/>
      </c>
      <c r="AH341" s="34">
        <f>MAX(I341,J341,750)*0.05*AG341</f>
        <v/>
      </c>
      <c r="AI341">
        <f>'[1]GÖP VERİLERİ'!E342</f>
        <v/>
      </c>
      <c r="AJ341">
        <f>'[1]GÖP VERİLERİ'!F342</f>
        <v/>
      </c>
      <c r="AK341" s="34">
        <f>IF(AI341&gt;AJ341*1.05,AI341-AJ341*1.05,IF(AI341&lt;AJ341*0.95,AJ341*0.95-AI341,0))</f>
        <v/>
      </c>
      <c r="AL341" s="34">
        <f>MAX(F341,G341,750)*0.05*AK341</f>
        <v/>
      </c>
      <c r="AM341" s="39">
        <f>'[1]GÖP VERİLERİ'!G342</f>
        <v/>
      </c>
      <c r="AN341" s="34">
        <f>IF(AI341&gt;AM341*1.05,AI341-AM341*1.05,IF(AI341&lt;AM341*0.95,AM341*0.95-AI341,0))</f>
        <v/>
      </c>
      <c r="AO341" s="34">
        <f>MAX(F341,G341,750)*0.05*AN341</f>
        <v/>
      </c>
      <c r="AP341" s="34">
        <f>'[1]GÖP VERİLERİ'!B342</f>
        <v/>
      </c>
      <c r="AQ341" s="34">
        <f>'[1]GÖP VERİLERİ'!C342</f>
        <v/>
      </c>
      <c r="AR341" s="34">
        <f>IF(AP341&gt;AQ341*1.05,AP341-AQ341*1.05,IF(AP341&lt;AQ341*0.95,AQ341*0.95-AP341,0))</f>
        <v/>
      </c>
      <c r="AS341" s="34">
        <f>MAX(F341:G341,750)*0.05*AR341</f>
        <v/>
      </c>
      <c r="AT341">
        <f>'[1]GÖP VERİLERİ'!D342</f>
        <v/>
      </c>
      <c r="AU341" s="34">
        <f>IF(AP341&gt;AT341*1.05,AP341-AT341*1.05,IF(AP341&lt;AT341*0.95,AT341*0.95-AP341,0))</f>
        <v/>
      </c>
      <c r="AV341" s="34">
        <f>MAX(F341:G341,750)*0.05*AU341</f>
        <v/>
      </c>
      <c r="AW341" s="34">
        <f>AC341+AJ341+AQ341</f>
        <v/>
      </c>
      <c r="AX341" s="34">
        <f>AF341+AM341+AT341</f>
        <v/>
      </c>
      <c r="AY341" s="34">
        <f>AB341+AI341+AP341</f>
        <v/>
      </c>
      <c r="AZ341" s="34" t="n">
        <v>0</v>
      </c>
      <c r="BA341" s="34">
        <f>AD341+AK341+AR341</f>
        <v/>
      </c>
      <c r="BB341" s="34">
        <f>MAX(F341:G341,750)*0.05*BA341</f>
        <v/>
      </c>
      <c r="BC341" s="34">
        <f>AG341+AN341+AU341</f>
        <v/>
      </c>
      <c r="BD341" s="34">
        <f>MAX(F341:G341,750)*0.05*BC341</f>
        <v/>
      </c>
      <c r="BE341" s="34">
        <f>F341*AY341</f>
        <v/>
      </c>
      <c r="BF341" s="34">
        <f>K341-M341</f>
        <v/>
      </c>
      <c r="BG341" s="34">
        <f>P341-S341</f>
        <v/>
      </c>
      <c r="BH341" s="34">
        <f>W341-AA341</f>
        <v/>
      </c>
      <c r="BI341" s="34">
        <f>BF341+BG341+BL341-BN341</f>
        <v/>
      </c>
      <c r="BJ341" s="34">
        <f>ABS(BK341)</f>
        <v/>
      </c>
      <c r="BK341" s="34">
        <f>AY341-(J341-L341+N341-Q341)</f>
        <v/>
      </c>
      <c r="BL341" s="34">
        <f>IF(AND(BK341&gt;0,MIN($F341:$G341)&lt;150,$E341="Enerji Açığı"),-100*BK341*1.03,IF(AND(BK341&gt;0,MIN($F341:$G341)&lt;150,$E341="Enerji Fazlası"),-100*BK341*1.06,IF(AND(BK341&gt;0,MIN($F341:$G341)&gt;=150,$E341="Enerji Açığı"),BK341*MIN($F341:$G341)*0.97,IF(AND(BK341&gt;0,MIN($F341:$G341)&gt;=150,$E341="Enerji Fazlası"),BK341*MIN($F341:$G341)*0.94,IF(AND(BK341&lt;0,MAX($F341:$G341)=4500,$E341="Enerji Açığı"),4500*1.05*1.06*BK341,IF(AND(BK341&lt;0,MAX($F341:$G341)=4500,$E341="Enerji Fazlası"),4500*1.05*1.03*BK341,IF(AND(BK341&lt;0,$E341="Enerji Açığı"),MAX($F341,$G341,150)*BK341*1.06,IF(AND(BK341&lt;0,$E341="Enerji Fazlası"),MAX($F341,$G341,150)*BK341*1.03,IF(AND(BK341&lt;0,$E341="Dengede"),MAX($F341:$G341,150)*1.03*BK341,MIN($F341:$G341)*0.97*BK341)))))))))</f>
        <v/>
      </c>
      <c r="BM341" s="34">
        <f>BE341-BI341-BN341</f>
        <v/>
      </c>
      <c r="BN341" s="34">
        <f>BB341</f>
        <v/>
      </c>
      <c r="BO341" s="34">
        <f>BE341-BI341</f>
        <v/>
      </c>
      <c r="BP341" s="34">
        <f>IF(AY341=0,0,BO341/AY341)</f>
        <v/>
      </c>
      <c r="BQ341" s="34">
        <f>MAX((AY341+MAX((-J341+L341-N341+Q341),0)),(MAX((J341-L341+N341-Q341),0)))</f>
        <v/>
      </c>
      <c r="BR341" s="82">
        <f>IFERROR(ABS(BK341/BQ341),0)</f>
        <v/>
      </c>
      <c r="BS341" s="34">
        <f>IF(BR341&lt;=0.1,0,BK341/BR341*(BR341-0.1))</f>
        <v/>
      </c>
      <c r="BT341" s="34">
        <f>IF((BS341)&lt;0,MAX(F341:G341)*(BS341)*1.03,MIN(F341:G341)*(BS341)*0.97)</f>
        <v/>
      </c>
      <c r="BU341" s="34">
        <f>IF(BR341&gt;0.1,1,0)</f>
        <v/>
      </c>
      <c r="BV341" s="34">
        <f>BF341+BG341+BH341+BY341-CA341</f>
        <v/>
      </c>
      <c r="BW341" s="34">
        <f>ABS(BX341)</f>
        <v/>
      </c>
      <c r="BX341" s="34">
        <f>AY341-(J341-L341+N341-Q341+T341-X341)</f>
        <v/>
      </c>
      <c r="BY341" s="34">
        <f>IF(AND(BX341&gt;0,MIN($F341:$G341)&lt;150,$E341="Enerji Açığı"),-100*BX341*1.03,IF(AND(BX341&gt;0,MIN($F341:$G341)&lt;150,$E341="Enerji Fazlası"),-100*BX341*1.06,IF(AND(BX341&gt;0,MIN($F341:$G341)&gt;=150,$E341="Enerji Açığı"),BX341*MIN($F341:$G341)*0.97,IF(AND(BX341&gt;0,MIN($F341:$G341)&gt;=150,$E341="Enerji Fazlası"),BX341*MIN($F341:$G341)*0.94,IF(AND(BX341&lt;0,MAX($F341:$G341)=4500,$E341="Enerji Açığı"),4500*1.05*1.06*BX341,IF(AND(BX341&lt;0,MAX($F341:$G341)=4500,$E341="Enerji Fazlası"),4500*1.05*1.03*BX341,IF(AND(BX341&lt;0,$E341="Enerji Açığı"),MAX($F341,$G341,150)*BX341*1.06,IF(AND(BX341&lt;0,$E341="Enerji Fazlası"),MAX($F341,$G341,150)*BX341*1.03,IF(AND(BX341&lt;0,$E341="Dengede"),MAX($F341:$G341,150)*1.03*BX341,MIN($F341:$G341)*0.97*BX341)))))))))</f>
        <v/>
      </c>
      <c r="BZ341" s="34">
        <f>BE341-BV341-CA341</f>
        <v/>
      </c>
      <c r="CA341" s="34">
        <f>BD341</f>
        <v/>
      </c>
      <c r="CB341" s="33">
        <f>BE341-BV341</f>
        <v/>
      </c>
      <c r="CC341" s="34">
        <f>IF(AY341=0,0,CB341/AY341)</f>
        <v/>
      </c>
      <c r="CD341" s="34">
        <f>MAX((AY341+MAX((-J341+L341-N341+Q341-T341+X341),0)),(MAX((J341-L341+N341-Q341+T341-X341),0)))</f>
        <v/>
      </c>
      <c r="CE341" s="82">
        <f>IFERROR(ABS(BX341/CD341),0)</f>
        <v/>
      </c>
      <c r="CF341" s="34">
        <f>IF(CE341&lt;=0.1,0,BX341/CE341*(CE341-0.1))</f>
        <v/>
      </c>
      <c r="CG341" s="34">
        <f>IF((CF341)&lt;0,MAX(F341:G341)*(CF341)*1.03,MIN(F341:G341)*(CF341)*0.97)</f>
        <v/>
      </c>
      <c r="CH341" s="34">
        <f>IF(CE341&gt;0.1,1,0)</f>
        <v/>
      </c>
      <c r="CI341" s="34">
        <f>(F341*BX341)-BY341</f>
        <v/>
      </c>
      <c r="CJ341" s="34">
        <f>IF(AY341=0,0,CI341/AY341)</f>
        <v/>
      </c>
    </row>
    <row r="342">
      <c r="A342" s="29">
        <f>[1]FİYATLAR!A317</f>
        <v/>
      </c>
      <c r="B342" s="29">
        <f>[1]FİYATLAR!B317</f>
        <v/>
      </c>
      <c r="C342" s="35">
        <f>INT(A342)</f>
        <v/>
      </c>
      <c r="D342" s="36">
        <f>MONTH(A342)</f>
        <v/>
      </c>
      <c r="E342" s="147">
        <f>[1]FİYATLAR!G317</f>
        <v/>
      </c>
      <c r="F342" s="30">
        <f>[1]FİYATLAR!C317</f>
        <v/>
      </c>
      <c r="G342" s="30">
        <f>[1]FİYATLAR!E317</f>
        <v/>
      </c>
      <c r="H342" s="30">
        <f>[1]FİYATLAR!D317</f>
        <v/>
      </c>
      <c r="I342" s="30">
        <f>[1]FİYATLAR!F317</f>
        <v/>
      </c>
      <c r="J342" s="119" t="n">
        <v>0</v>
      </c>
      <c r="K342" s="34">
        <f>F342*J342</f>
        <v/>
      </c>
      <c r="L342" s="119" t="n"/>
      <c r="M342" s="34">
        <f>L342*F342</f>
        <v/>
      </c>
      <c r="N342" s="119" t="n"/>
      <c r="O342" s="34">
        <f>F342</f>
        <v/>
      </c>
      <c r="P342" s="34">
        <f>N342*O342</f>
        <v/>
      </c>
      <c r="Q342" s="117" t="n">
        <v>0</v>
      </c>
      <c r="R342" s="34">
        <f>F342</f>
        <v/>
      </c>
      <c r="S342" s="34">
        <f>R342*Q342</f>
        <v/>
      </c>
      <c r="T342" s="34">
        <f>SUMIFS('[1]GİP VERİLERİ'!$C:$C,'[1]GİP VERİLERİ'!$B:$B,A342,'[1]GİP VERİLERİ'!$M:$M,"40X000000104782K",'[1]GİP VERİLERİ'!$G:$G,"SELL")</f>
        <v/>
      </c>
      <c r="U342" s="34">
        <f>IFERROR(W342/T342,0)</f>
        <v/>
      </c>
      <c r="V342" s="34">
        <f>IF(U342=0,0,U342-F342)</f>
        <v/>
      </c>
      <c r="W342" s="34">
        <f>SUMIFS('[1]GİP VERİLERİ'!$O:$O,'[1]GİP VERİLERİ'!$B:$B,A342,'[1]GİP VERİLERİ'!$M:$M,"40X000000104782K",'[1]GİP VERİLERİ'!$G:$G,"SELL")</f>
        <v/>
      </c>
      <c r="X342" s="34">
        <f>SUMIFS('[1]GİP VERİLERİ'!$C:$C,'[1]GİP VERİLERİ'!$B:$B,A342,'[1]GİP VERİLERİ'!$M:$M,"40X000000104782K",'[1]GİP VERİLERİ'!$G:$G,"BUY")</f>
        <v/>
      </c>
      <c r="Y342" s="34">
        <f>IFERROR(AA342/X342,0)</f>
        <v/>
      </c>
      <c r="Z342" s="34">
        <f>IF(Y342=0,0,F342-Y342)</f>
        <v/>
      </c>
      <c r="AA342" s="34">
        <f>SUMIFS('[1]GİP VERİLERİ'!$O:$O,'[1]GİP VERİLERİ'!$B:$B,A342,'[1]GİP VERİLERİ'!$M:$M,"40X000000104782K",'[1]GİP VERİLERİ'!$G:$G,"BUY")</f>
        <v/>
      </c>
      <c r="AB342" s="34">
        <f>'[1]GÖP VERİLERİ'!H343</f>
        <v/>
      </c>
      <c r="AC342" s="34">
        <f>'[1]GÖP VERİLERİ'!I343</f>
        <v/>
      </c>
      <c r="AD342" s="34">
        <f>IF(AB342&gt;AC342*1.05,AB342-AC342*1.05,IF(AB342&lt;AC342*0.95,AC342*0.95-AB342,0))</f>
        <v/>
      </c>
      <c r="AE342" s="34">
        <f>MAX(F342,G342,750)*0.05*AD342</f>
        <v/>
      </c>
      <c r="AF342" s="34">
        <f>'[1]GÖP VERİLERİ'!J343</f>
        <v/>
      </c>
      <c r="AG342" s="34">
        <f>IF(AB342&gt;AF342*1.05,AB342-AF342*1.05,IF(AB342&lt;AF342*0.95,AF342*0.95-AB342,0))</f>
        <v/>
      </c>
      <c r="AH342" s="34">
        <f>MAX(I342,J342,750)*0.05*AG342</f>
        <v/>
      </c>
      <c r="AI342">
        <f>'[1]GÖP VERİLERİ'!E343</f>
        <v/>
      </c>
      <c r="AJ342">
        <f>'[1]GÖP VERİLERİ'!F343</f>
        <v/>
      </c>
      <c r="AK342" s="34">
        <f>IF(AI342&gt;AJ342*1.05,AI342-AJ342*1.05,IF(AI342&lt;AJ342*0.95,AJ342*0.95-AI342,0))</f>
        <v/>
      </c>
      <c r="AL342" s="34">
        <f>MAX(F342,G342,750)*0.05*AK342</f>
        <v/>
      </c>
      <c r="AM342" s="39">
        <f>'[1]GÖP VERİLERİ'!G343</f>
        <v/>
      </c>
      <c r="AN342" s="34">
        <f>IF(AI342&gt;AM342*1.05,AI342-AM342*1.05,IF(AI342&lt;AM342*0.95,AM342*0.95-AI342,0))</f>
        <v/>
      </c>
      <c r="AO342" s="34">
        <f>MAX(F342,G342,750)*0.05*AN342</f>
        <v/>
      </c>
      <c r="AP342" s="34">
        <f>'[1]GÖP VERİLERİ'!B343</f>
        <v/>
      </c>
      <c r="AQ342" s="34">
        <f>'[1]GÖP VERİLERİ'!C343</f>
        <v/>
      </c>
      <c r="AR342" s="34">
        <f>IF(AP342&gt;AQ342*1.05,AP342-AQ342*1.05,IF(AP342&lt;AQ342*0.95,AQ342*0.95-AP342,0))</f>
        <v/>
      </c>
      <c r="AS342" s="34">
        <f>MAX(F342:G342,750)*0.05*AR342</f>
        <v/>
      </c>
      <c r="AT342">
        <f>'[1]GÖP VERİLERİ'!D343</f>
        <v/>
      </c>
      <c r="AU342" s="34">
        <f>IF(AP342&gt;AT342*1.05,AP342-AT342*1.05,IF(AP342&lt;AT342*0.95,AT342*0.95-AP342,0))</f>
        <v/>
      </c>
      <c r="AV342" s="34">
        <f>MAX(F342:G342,750)*0.05*AU342</f>
        <v/>
      </c>
      <c r="AW342" s="34">
        <f>AC342+AJ342+AQ342</f>
        <v/>
      </c>
      <c r="AX342" s="34">
        <f>AF342+AM342+AT342</f>
        <v/>
      </c>
      <c r="AY342" s="34">
        <f>AB342+AI342+AP342</f>
        <v/>
      </c>
      <c r="AZ342" s="34" t="n">
        <v>0</v>
      </c>
      <c r="BA342" s="34">
        <f>AD342+AK342+AR342</f>
        <v/>
      </c>
      <c r="BB342" s="34">
        <f>MAX(F342:G342,750)*0.05*BA342</f>
        <v/>
      </c>
      <c r="BC342" s="34">
        <f>AG342+AN342+AU342</f>
        <v/>
      </c>
      <c r="BD342" s="34">
        <f>MAX(F342:G342,750)*0.05*BC342</f>
        <v/>
      </c>
      <c r="BE342" s="34">
        <f>F342*AY342</f>
        <v/>
      </c>
      <c r="BF342" s="34">
        <f>K342-M342</f>
        <v/>
      </c>
      <c r="BG342" s="34">
        <f>P342-S342</f>
        <v/>
      </c>
      <c r="BH342" s="34">
        <f>W342-AA342</f>
        <v/>
      </c>
      <c r="BI342" s="34">
        <f>BF342+BG342+BL342-BN342</f>
        <v/>
      </c>
      <c r="BJ342" s="34">
        <f>ABS(BK342)</f>
        <v/>
      </c>
      <c r="BK342" s="34">
        <f>AY342-(J342-L342+N342-Q342)</f>
        <v/>
      </c>
      <c r="BL342" s="34">
        <f>IF(AND(BK342&gt;0,MIN($F342:$G342)&lt;150,$E342="Enerji Açığı"),-100*BK342*1.03,IF(AND(BK342&gt;0,MIN($F342:$G342)&lt;150,$E342="Enerji Fazlası"),-100*BK342*1.06,IF(AND(BK342&gt;0,MIN($F342:$G342)&gt;=150,$E342="Enerji Açığı"),BK342*MIN($F342:$G342)*0.97,IF(AND(BK342&gt;0,MIN($F342:$G342)&gt;=150,$E342="Enerji Fazlası"),BK342*MIN($F342:$G342)*0.94,IF(AND(BK342&lt;0,MAX($F342:$G342)=4500,$E342="Enerji Açığı"),4500*1.05*1.06*BK342,IF(AND(BK342&lt;0,MAX($F342:$G342)=4500,$E342="Enerji Fazlası"),4500*1.05*1.03*BK342,IF(AND(BK342&lt;0,$E342="Enerji Açığı"),MAX($F342,$G342,150)*BK342*1.06,IF(AND(BK342&lt;0,$E342="Enerji Fazlası"),MAX($F342,$G342,150)*BK342*1.03,IF(AND(BK342&lt;0,$E342="Dengede"),MAX($F342:$G342,150)*1.03*BK342,MIN($F342:$G342)*0.97*BK342)))))))))</f>
        <v/>
      </c>
      <c r="BM342" s="34">
        <f>BE342-BI342-BN342</f>
        <v/>
      </c>
      <c r="BN342" s="34">
        <f>BB342</f>
        <v/>
      </c>
      <c r="BO342" s="34">
        <f>BE342-BI342</f>
        <v/>
      </c>
      <c r="BP342" s="34">
        <f>IF(AY342=0,0,BO342/AY342)</f>
        <v/>
      </c>
      <c r="BQ342" s="34">
        <f>MAX((AY342+MAX((-J342+L342-N342+Q342),0)),(MAX((J342-L342+N342-Q342),0)))</f>
        <v/>
      </c>
      <c r="BR342" s="82">
        <f>IFERROR(ABS(BK342/BQ342),0)</f>
        <v/>
      </c>
      <c r="BS342" s="34">
        <f>IF(BR342&lt;=0.1,0,BK342/BR342*(BR342-0.1))</f>
        <v/>
      </c>
      <c r="BT342" s="34">
        <f>IF((BS342)&lt;0,MAX(F342:G342)*(BS342)*1.03,MIN(F342:G342)*(BS342)*0.97)</f>
        <v/>
      </c>
      <c r="BU342" s="34">
        <f>IF(BR342&gt;0.1,1,0)</f>
        <v/>
      </c>
      <c r="BV342" s="34">
        <f>BF342+BG342+BH342+BY342-CA342</f>
        <v/>
      </c>
      <c r="BW342" s="34">
        <f>ABS(BX342)</f>
        <v/>
      </c>
      <c r="BX342" s="34">
        <f>AY342-(J342-L342+N342-Q342+T342-X342)</f>
        <v/>
      </c>
      <c r="BY342" s="34">
        <f>IF(AND(BX342&gt;0,MIN($F342:$G342)&lt;150,$E342="Enerji Açığı"),-100*BX342*1.03,IF(AND(BX342&gt;0,MIN($F342:$G342)&lt;150,$E342="Enerji Fazlası"),-100*BX342*1.06,IF(AND(BX342&gt;0,MIN($F342:$G342)&gt;=150,$E342="Enerji Açığı"),BX342*MIN($F342:$G342)*0.97,IF(AND(BX342&gt;0,MIN($F342:$G342)&gt;=150,$E342="Enerji Fazlası"),BX342*MIN($F342:$G342)*0.94,IF(AND(BX342&lt;0,MAX($F342:$G342)=4500,$E342="Enerji Açığı"),4500*1.05*1.06*BX342,IF(AND(BX342&lt;0,MAX($F342:$G342)=4500,$E342="Enerji Fazlası"),4500*1.05*1.03*BX342,IF(AND(BX342&lt;0,$E342="Enerji Açığı"),MAX($F342,$G342,150)*BX342*1.06,IF(AND(BX342&lt;0,$E342="Enerji Fazlası"),MAX($F342,$G342,150)*BX342*1.03,IF(AND(BX342&lt;0,$E342="Dengede"),MAX($F342:$G342,150)*1.03*BX342,MIN($F342:$G342)*0.97*BX342)))))))))</f>
        <v/>
      </c>
      <c r="BZ342" s="34">
        <f>BE342-BV342-CA342</f>
        <v/>
      </c>
      <c r="CA342" s="34">
        <f>BD342</f>
        <v/>
      </c>
      <c r="CB342" s="33">
        <f>BE342-BV342</f>
        <v/>
      </c>
      <c r="CC342" s="34">
        <f>IF(AY342=0,0,CB342/AY342)</f>
        <v/>
      </c>
      <c r="CD342" s="34">
        <f>MAX((AY342+MAX((-J342+L342-N342+Q342-T342+X342),0)),(MAX((J342-L342+N342-Q342+T342-X342),0)))</f>
        <v/>
      </c>
      <c r="CE342" s="82">
        <f>IFERROR(ABS(BX342/CD342),0)</f>
        <v/>
      </c>
      <c r="CF342" s="34">
        <f>IF(CE342&lt;=0.1,0,BX342/CE342*(CE342-0.1))</f>
        <v/>
      </c>
      <c r="CG342" s="34">
        <f>IF((CF342)&lt;0,MAX(F342:G342)*(CF342)*1.03,MIN(F342:G342)*(CF342)*0.97)</f>
        <v/>
      </c>
      <c r="CH342" s="34">
        <f>IF(CE342&gt;0.1,1,0)</f>
        <v/>
      </c>
      <c r="CI342" s="34">
        <f>(F342*BX342)-BY342</f>
        <v/>
      </c>
      <c r="CJ342" s="34">
        <f>IF(AY342=0,0,CI342/AY342)</f>
        <v/>
      </c>
    </row>
    <row r="343">
      <c r="A343" s="29">
        <f>[1]FİYATLAR!A318</f>
        <v/>
      </c>
      <c r="B343" s="29">
        <f>[1]FİYATLAR!B318</f>
        <v/>
      </c>
      <c r="C343" s="35">
        <f>INT(A343)</f>
        <v/>
      </c>
      <c r="D343" s="36">
        <f>MONTH(A343)</f>
        <v/>
      </c>
      <c r="E343" s="147">
        <f>[1]FİYATLAR!G318</f>
        <v/>
      </c>
      <c r="F343" s="30">
        <f>[1]FİYATLAR!C318</f>
        <v/>
      </c>
      <c r="G343" s="30">
        <f>[1]FİYATLAR!E318</f>
        <v/>
      </c>
      <c r="H343" s="30">
        <f>[1]FİYATLAR!D318</f>
        <v/>
      </c>
      <c r="I343" s="30">
        <f>[1]FİYATLAR!F318</f>
        <v/>
      </c>
      <c r="J343" s="119" t="n">
        <v>0</v>
      </c>
      <c r="K343" s="34">
        <f>F343*J343</f>
        <v/>
      </c>
      <c r="L343" s="119" t="n"/>
      <c r="M343" s="34">
        <f>L343*F343</f>
        <v/>
      </c>
      <c r="N343" s="119" t="n"/>
      <c r="O343" s="34">
        <f>F343</f>
        <v/>
      </c>
      <c r="P343" s="34">
        <f>N343*O343</f>
        <v/>
      </c>
      <c r="Q343" s="117" t="n">
        <v>0</v>
      </c>
      <c r="R343" s="34">
        <f>F343</f>
        <v/>
      </c>
      <c r="S343" s="34">
        <f>R343*Q343</f>
        <v/>
      </c>
      <c r="T343" s="34">
        <f>SUMIFS('[1]GİP VERİLERİ'!$C:$C,'[1]GİP VERİLERİ'!$B:$B,A343,'[1]GİP VERİLERİ'!$M:$M,"40X000000104782K",'[1]GİP VERİLERİ'!$G:$G,"SELL")</f>
        <v/>
      </c>
      <c r="U343" s="34">
        <f>IFERROR(W343/T343,0)</f>
        <v/>
      </c>
      <c r="V343" s="34">
        <f>IF(U343=0,0,U343-F343)</f>
        <v/>
      </c>
      <c r="W343" s="34">
        <f>SUMIFS('[1]GİP VERİLERİ'!$O:$O,'[1]GİP VERİLERİ'!$B:$B,A343,'[1]GİP VERİLERİ'!$M:$M,"40X000000104782K",'[1]GİP VERİLERİ'!$G:$G,"SELL")</f>
        <v/>
      </c>
      <c r="X343" s="34">
        <f>SUMIFS('[1]GİP VERİLERİ'!$C:$C,'[1]GİP VERİLERİ'!$B:$B,A343,'[1]GİP VERİLERİ'!$M:$M,"40X000000104782K",'[1]GİP VERİLERİ'!$G:$G,"BUY")</f>
        <v/>
      </c>
      <c r="Y343" s="34">
        <f>IFERROR(AA343/X343,0)</f>
        <v/>
      </c>
      <c r="Z343" s="34">
        <f>IF(Y343=0,0,F343-Y343)</f>
        <v/>
      </c>
      <c r="AA343" s="34">
        <f>SUMIFS('[1]GİP VERİLERİ'!$O:$O,'[1]GİP VERİLERİ'!$B:$B,A343,'[1]GİP VERİLERİ'!$M:$M,"40X000000104782K",'[1]GİP VERİLERİ'!$G:$G,"BUY")</f>
        <v/>
      </c>
      <c r="AB343" s="34">
        <f>'[1]GÖP VERİLERİ'!H344</f>
        <v/>
      </c>
      <c r="AC343" s="34">
        <f>'[1]GÖP VERİLERİ'!I344</f>
        <v/>
      </c>
      <c r="AD343" s="34">
        <f>IF(AB343&gt;AC343*1.05,AB343-AC343*1.05,IF(AB343&lt;AC343*0.95,AC343*0.95-AB343,0))</f>
        <v/>
      </c>
      <c r="AE343" s="34">
        <f>MAX(F343,G343,750)*0.05*AD343</f>
        <v/>
      </c>
      <c r="AF343" s="34">
        <f>'[1]GÖP VERİLERİ'!J344</f>
        <v/>
      </c>
      <c r="AG343" s="34">
        <f>IF(AB343&gt;AF343*1.05,AB343-AF343*1.05,IF(AB343&lt;AF343*0.95,AF343*0.95-AB343,0))</f>
        <v/>
      </c>
      <c r="AH343" s="34">
        <f>MAX(I343,J343,750)*0.05*AG343</f>
        <v/>
      </c>
      <c r="AI343">
        <f>'[1]GÖP VERİLERİ'!E344</f>
        <v/>
      </c>
      <c r="AJ343">
        <f>'[1]GÖP VERİLERİ'!F344</f>
        <v/>
      </c>
      <c r="AK343" s="34">
        <f>IF(AI343&gt;AJ343*1.05,AI343-AJ343*1.05,IF(AI343&lt;AJ343*0.95,AJ343*0.95-AI343,0))</f>
        <v/>
      </c>
      <c r="AL343" s="34">
        <f>MAX(F343,G343,750)*0.05*AK343</f>
        <v/>
      </c>
      <c r="AM343" s="39">
        <f>'[1]GÖP VERİLERİ'!G344</f>
        <v/>
      </c>
      <c r="AN343" s="34">
        <f>IF(AI343&gt;AM343*1.05,AI343-AM343*1.05,IF(AI343&lt;AM343*0.95,AM343*0.95-AI343,0))</f>
        <v/>
      </c>
      <c r="AO343" s="34">
        <f>MAX(F343,G343,750)*0.05*AN343</f>
        <v/>
      </c>
      <c r="AP343" s="34">
        <f>'[1]GÖP VERİLERİ'!B344</f>
        <v/>
      </c>
      <c r="AQ343" s="34">
        <f>'[1]GÖP VERİLERİ'!C344</f>
        <v/>
      </c>
      <c r="AR343" s="34">
        <f>IF(AP343&gt;AQ343*1.05,AP343-AQ343*1.05,IF(AP343&lt;AQ343*0.95,AQ343*0.95-AP343,0))</f>
        <v/>
      </c>
      <c r="AS343" s="34">
        <f>MAX(F343:G343,750)*0.05*AR343</f>
        <v/>
      </c>
      <c r="AT343">
        <f>'[1]GÖP VERİLERİ'!D344</f>
        <v/>
      </c>
      <c r="AU343" s="34">
        <f>IF(AP343&gt;AT343*1.05,AP343-AT343*1.05,IF(AP343&lt;AT343*0.95,AT343*0.95-AP343,0))</f>
        <v/>
      </c>
      <c r="AV343" s="34">
        <f>MAX(F343:G343,750)*0.05*AU343</f>
        <v/>
      </c>
      <c r="AW343" s="34">
        <f>AC343+AJ343+AQ343</f>
        <v/>
      </c>
      <c r="AX343" s="34">
        <f>AF343+AM343+AT343</f>
        <v/>
      </c>
      <c r="AY343" s="34">
        <f>AB343+AI343+AP343</f>
        <v/>
      </c>
      <c r="AZ343" s="34" t="n">
        <v>0</v>
      </c>
      <c r="BA343" s="34">
        <f>AD343+AK343+AR343</f>
        <v/>
      </c>
      <c r="BB343" s="34">
        <f>MAX(F343:G343,750)*0.05*BA343</f>
        <v/>
      </c>
      <c r="BC343" s="34">
        <f>AG343+AN343+AU343</f>
        <v/>
      </c>
      <c r="BD343" s="34">
        <f>MAX(F343:G343,750)*0.05*BC343</f>
        <v/>
      </c>
      <c r="BE343" s="34">
        <f>F343*AY343</f>
        <v/>
      </c>
      <c r="BF343" s="34">
        <f>K343-M343</f>
        <v/>
      </c>
      <c r="BG343" s="34">
        <f>P343-S343</f>
        <v/>
      </c>
      <c r="BH343" s="34">
        <f>W343-AA343</f>
        <v/>
      </c>
      <c r="BI343" s="34">
        <f>BF343+BG343+BL343-BN343</f>
        <v/>
      </c>
      <c r="BJ343" s="34">
        <f>ABS(BK343)</f>
        <v/>
      </c>
      <c r="BK343" s="34">
        <f>AY343-(J343-L343+N343-Q343)</f>
        <v/>
      </c>
      <c r="BL343" s="34">
        <f>IF(AND(BK343&gt;0,MIN($F343:$G343)&lt;150,$E343="Enerji Açığı"),-100*BK343*1.03,IF(AND(BK343&gt;0,MIN($F343:$G343)&lt;150,$E343="Enerji Fazlası"),-100*BK343*1.06,IF(AND(BK343&gt;0,MIN($F343:$G343)&gt;=150,$E343="Enerji Açığı"),BK343*MIN($F343:$G343)*0.97,IF(AND(BK343&gt;0,MIN($F343:$G343)&gt;=150,$E343="Enerji Fazlası"),BK343*MIN($F343:$G343)*0.94,IF(AND(BK343&lt;0,MAX($F343:$G343)=4500,$E343="Enerji Açığı"),4500*1.05*1.06*BK343,IF(AND(BK343&lt;0,MAX($F343:$G343)=4500,$E343="Enerji Fazlası"),4500*1.05*1.03*BK343,IF(AND(BK343&lt;0,$E343="Enerji Açığı"),MAX($F343,$G343,150)*BK343*1.06,IF(AND(BK343&lt;0,$E343="Enerji Fazlası"),MAX($F343,$G343,150)*BK343*1.03,IF(AND(BK343&lt;0,$E343="Dengede"),MAX($F343:$G343,150)*1.03*BK343,MIN($F343:$G343)*0.97*BK343)))))))))</f>
        <v/>
      </c>
      <c r="BM343" s="34">
        <f>BE343-BI343-BN343</f>
        <v/>
      </c>
      <c r="BN343" s="34">
        <f>BB343</f>
        <v/>
      </c>
      <c r="BO343" s="34">
        <f>BE343-BI343</f>
        <v/>
      </c>
      <c r="BP343" s="34">
        <f>IF(AY343=0,0,BO343/AY343)</f>
        <v/>
      </c>
      <c r="BQ343" s="34">
        <f>MAX((AY343+MAX((-J343+L343-N343+Q343),0)),(MAX((J343-L343+N343-Q343),0)))</f>
        <v/>
      </c>
      <c r="BR343" s="82">
        <f>IFERROR(ABS(BK343/BQ343),0)</f>
        <v/>
      </c>
      <c r="BS343" s="34">
        <f>IF(BR343&lt;=0.1,0,BK343/BR343*(BR343-0.1))</f>
        <v/>
      </c>
      <c r="BT343" s="34">
        <f>IF((BS343)&lt;0,MAX(F343:G343)*(BS343)*1.03,MIN(F343:G343)*(BS343)*0.97)</f>
        <v/>
      </c>
      <c r="BU343" s="34">
        <f>IF(BR343&gt;0.1,1,0)</f>
        <v/>
      </c>
      <c r="BV343" s="34">
        <f>BF343+BG343+BH343+BY343-CA343</f>
        <v/>
      </c>
      <c r="BW343" s="34">
        <f>ABS(BX343)</f>
        <v/>
      </c>
      <c r="BX343" s="34">
        <f>AY343-(J343-L343+N343-Q343+T343-X343)</f>
        <v/>
      </c>
      <c r="BY343" s="34">
        <f>IF(AND(BX343&gt;0,MIN($F343:$G343)&lt;150,$E343="Enerji Açığı"),-100*BX343*1.03,IF(AND(BX343&gt;0,MIN($F343:$G343)&lt;150,$E343="Enerji Fazlası"),-100*BX343*1.06,IF(AND(BX343&gt;0,MIN($F343:$G343)&gt;=150,$E343="Enerji Açığı"),BX343*MIN($F343:$G343)*0.97,IF(AND(BX343&gt;0,MIN($F343:$G343)&gt;=150,$E343="Enerji Fazlası"),BX343*MIN($F343:$G343)*0.94,IF(AND(BX343&lt;0,MAX($F343:$G343)=4500,$E343="Enerji Açığı"),4500*1.05*1.06*BX343,IF(AND(BX343&lt;0,MAX($F343:$G343)=4500,$E343="Enerji Fazlası"),4500*1.05*1.03*BX343,IF(AND(BX343&lt;0,$E343="Enerji Açığı"),MAX($F343,$G343,150)*BX343*1.06,IF(AND(BX343&lt;0,$E343="Enerji Fazlası"),MAX($F343,$G343,150)*BX343*1.03,IF(AND(BX343&lt;0,$E343="Dengede"),MAX($F343:$G343,150)*1.03*BX343,MIN($F343:$G343)*0.97*BX343)))))))))</f>
        <v/>
      </c>
      <c r="BZ343" s="34">
        <f>BE343-BV343-CA343</f>
        <v/>
      </c>
      <c r="CA343" s="34">
        <f>BD343</f>
        <v/>
      </c>
      <c r="CB343" s="33">
        <f>BE343-BV343</f>
        <v/>
      </c>
      <c r="CC343" s="34">
        <f>IF(AY343=0,0,CB343/AY343)</f>
        <v/>
      </c>
      <c r="CD343" s="34">
        <f>MAX((AY343+MAX((-J343+L343-N343+Q343-T343+X343),0)),(MAX((J343-L343+N343-Q343+T343-X343),0)))</f>
        <v/>
      </c>
      <c r="CE343" s="82">
        <f>IFERROR(ABS(BX343/CD343),0)</f>
        <v/>
      </c>
      <c r="CF343" s="34">
        <f>IF(CE343&lt;=0.1,0,BX343/CE343*(CE343-0.1))</f>
        <v/>
      </c>
      <c r="CG343" s="34">
        <f>IF((CF343)&lt;0,MAX(F343:G343)*(CF343)*1.03,MIN(F343:G343)*(CF343)*0.97)</f>
        <v/>
      </c>
      <c r="CH343" s="34">
        <f>IF(CE343&gt;0.1,1,0)</f>
        <v/>
      </c>
      <c r="CI343" s="34">
        <f>(F343*BX343)-BY343</f>
        <v/>
      </c>
      <c r="CJ343" s="34">
        <f>IF(AY343=0,0,CI343/AY343)</f>
        <v/>
      </c>
    </row>
    <row r="344">
      <c r="A344" s="29">
        <f>[1]FİYATLAR!A319</f>
        <v/>
      </c>
      <c r="B344" s="29">
        <f>[1]FİYATLAR!B319</f>
        <v/>
      </c>
      <c r="C344" s="35">
        <f>INT(A344)</f>
        <v/>
      </c>
      <c r="D344" s="36">
        <f>MONTH(A344)</f>
        <v/>
      </c>
      <c r="E344" s="147">
        <f>[1]FİYATLAR!G319</f>
        <v/>
      </c>
      <c r="F344" s="30">
        <f>[1]FİYATLAR!C319</f>
        <v/>
      </c>
      <c r="G344" s="30">
        <f>[1]FİYATLAR!E319</f>
        <v/>
      </c>
      <c r="H344" s="30">
        <f>[1]FİYATLAR!D319</f>
        <v/>
      </c>
      <c r="I344" s="30">
        <f>[1]FİYATLAR!F319</f>
        <v/>
      </c>
      <c r="J344" s="119" t="n">
        <v>0</v>
      </c>
      <c r="K344" s="34">
        <f>F344*J344</f>
        <v/>
      </c>
      <c r="L344" s="119" t="n"/>
      <c r="M344" s="34">
        <f>L344*F344</f>
        <v/>
      </c>
      <c r="N344" s="119" t="n"/>
      <c r="O344" s="34">
        <f>F344</f>
        <v/>
      </c>
      <c r="P344" s="34">
        <f>N344*O344</f>
        <v/>
      </c>
      <c r="Q344" s="117" t="n">
        <v>0</v>
      </c>
      <c r="R344" s="34">
        <f>F344</f>
        <v/>
      </c>
      <c r="S344" s="34">
        <f>R344*Q344</f>
        <v/>
      </c>
      <c r="T344" s="34">
        <f>SUMIFS('[1]GİP VERİLERİ'!$C:$C,'[1]GİP VERİLERİ'!$B:$B,A344,'[1]GİP VERİLERİ'!$M:$M,"40X000000104782K",'[1]GİP VERİLERİ'!$G:$G,"SELL")</f>
        <v/>
      </c>
      <c r="U344" s="34">
        <f>IFERROR(W344/T344,0)</f>
        <v/>
      </c>
      <c r="V344" s="34">
        <f>IF(U344=0,0,U344-F344)</f>
        <v/>
      </c>
      <c r="W344" s="34">
        <f>SUMIFS('[1]GİP VERİLERİ'!$O:$O,'[1]GİP VERİLERİ'!$B:$B,A344,'[1]GİP VERİLERİ'!$M:$M,"40X000000104782K",'[1]GİP VERİLERİ'!$G:$G,"SELL")</f>
        <v/>
      </c>
      <c r="X344" s="34">
        <f>SUMIFS('[1]GİP VERİLERİ'!$C:$C,'[1]GİP VERİLERİ'!$B:$B,A344,'[1]GİP VERİLERİ'!$M:$M,"40X000000104782K",'[1]GİP VERİLERİ'!$G:$G,"BUY")</f>
        <v/>
      </c>
      <c r="Y344" s="34">
        <f>IFERROR(AA344/X344,0)</f>
        <v/>
      </c>
      <c r="Z344" s="34">
        <f>IF(Y344=0,0,F344-Y344)</f>
        <v/>
      </c>
      <c r="AA344" s="34">
        <f>SUMIFS('[1]GİP VERİLERİ'!$O:$O,'[1]GİP VERİLERİ'!$B:$B,A344,'[1]GİP VERİLERİ'!$M:$M,"40X000000104782K",'[1]GİP VERİLERİ'!$G:$G,"BUY")</f>
        <v/>
      </c>
      <c r="AB344" s="34">
        <f>'[1]GÖP VERİLERİ'!H345</f>
        <v/>
      </c>
      <c r="AC344" s="34">
        <f>'[1]GÖP VERİLERİ'!I345</f>
        <v/>
      </c>
      <c r="AD344" s="34">
        <f>IF(AB344&gt;AC344*1.05,AB344-AC344*1.05,IF(AB344&lt;AC344*0.95,AC344*0.95-AB344,0))</f>
        <v/>
      </c>
      <c r="AE344" s="34">
        <f>MAX(F344,G344,750)*0.05*AD344</f>
        <v/>
      </c>
      <c r="AF344" s="34">
        <f>'[1]GÖP VERİLERİ'!J345</f>
        <v/>
      </c>
      <c r="AG344" s="34">
        <f>IF(AB344&gt;AF344*1.05,AB344-AF344*1.05,IF(AB344&lt;AF344*0.95,AF344*0.95-AB344,0))</f>
        <v/>
      </c>
      <c r="AH344" s="34">
        <f>MAX(I344,J344,750)*0.05*AG344</f>
        <v/>
      </c>
      <c r="AI344">
        <f>'[1]GÖP VERİLERİ'!E345</f>
        <v/>
      </c>
      <c r="AJ344">
        <f>'[1]GÖP VERİLERİ'!F345</f>
        <v/>
      </c>
      <c r="AK344" s="34">
        <f>IF(AI344&gt;AJ344*1.05,AI344-AJ344*1.05,IF(AI344&lt;AJ344*0.95,AJ344*0.95-AI344,0))</f>
        <v/>
      </c>
      <c r="AL344" s="34">
        <f>MAX(F344,G344,750)*0.05*AK344</f>
        <v/>
      </c>
      <c r="AM344" s="39">
        <f>'[1]GÖP VERİLERİ'!G345</f>
        <v/>
      </c>
      <c r="AN344" s="34">
        <f>IF(AI344&gt;AM344*1.05,AI344-AM344*1.05,IF(AI344&lt;AM344*0.95,AM344*0.95-AI344,0))</f>
        <v/>
      </c>
      <c r="AO344" s="34">
        <f>MAX(F344,G344,750)*0.05*AN344</f>
        <v/>
      </c>
      <c r="AP344" s="34">
        <f>'[1]GÖP VERİLERİ'!B345</f>
        <v/>
      </c>
      <c r="AQ344" s="34">
        <f>'[1]GÖP VERİLERİ'!C345</f>
        <v/>
      </c>
      <c r="AR344" s="34">
        <f>IF(AP344&gt;AQ344*1.05,AP344-AQ344*1.05,IF(AP344&lt;AQ344*0.95,AQ344*0.95-AP344,0))</f>
        <v/>
      </c>
      <c r="AS344" s="34">
        <f>MAX(F344:G344,750)*0.05*AR344</f>
        <v/>
      </c>
      <c r="AT344">
        <f>'[1]GÖP VERİLERİ'!D345</f>
        <v/>
      </c>
      <c r="AU344" s="34">
        <f>IF(AP344&gt;AT344*1.05,AP344-AT344*1.05,IF(AP344&lt;AT344*0.95,AT344*0.95-AP344,0))</f>
        <v/>
      </c>
      <c r="AV344" s="34">
        <f>MAX(F344:G344,750)*0.05*AU344</f>
        <v/>
      </c>
      <c r="AW344" s="34">
        <f>AC344+AJ344+AQ344</f>
        <v/>
      </c>
      <c r="AX344" s="34">
        <f>AF344+AM344+AT344</f>
        <v/>
      </c>
      <c r="AY344" s="34">
        <f>AB344+AI344+AP344</f>
        <v/>
      </c>
      <c r="AZ344" s="34" t="n">
        <v>0</v>
      </c>
      <c r="BA344" s="34">
        <f>AD344+AK344+AR344</f>
        <v/>
      </c>
      <c r="BB344" s="34">
        <f>MAX(F344:G344,750)*0.05*BA344</f>
        <v/>
      </c>
      <c r="BC344" s="34">
        <f>AG344+AN344+AU344</f>
        <v/>
      </c>
      <c r="BD344" s="34">
        <f>MAX(F344:G344,750)*0.05*BC344</f>
        <v/>
      </c>
      <c r="BE344" s="34">
        <f>F344*AY344</f>
        <v/>
      </c>
      <c r="BF344" s="34">
        <f>K344-M344</f>
        <v/>
      </c>
      <c r="BG344" s="34">
        <f>P344-S344</f>
        <v/>
      </c>
      <c r="BH344" s="34">
        <f>W344-AA344</f>
        <v/>
      </c>
      <c r="BI344" s="34">
        <f>BF344+BG344+BL344-BN344</f>
        <v/>
      </c>
      <c r="BJ344" s="34">
        <f>ABS(BK344)</f>
        <v/>
      </c>
      <c r="BK344" s="34">
        <f>AY344-(J344-L344+N344-Q344)</f>
        <v/>
      </c>
      <c r="BL344" s="34">
        <f>IF(AND(BK344&gt;0,MIN($F344:$G344)&lt;150,$E344="Enerji Açığı"),-100*BK344*1.03,IF(AND(BK344&gt;0,MIN($F344:$G344)&lt;150,$E344="Enerji Fazlası"),-100*BK344*1.06,IF(AND(BK344&gt;0,MIN($F344:$G344)&gt;=150,$E344="Enerji Açığı"),BK344*MIN($F344:$G344)*0.97,IF(AND(BK344&gt;0,MIN($F344:$G344)&gt;=150,$E344="Enerji Fazlası"),BK344*MIN($F344:$G344)*0.94,IF(AND(BK344&lt;0,MAX($F344:$G344)=4500,$E344="Enerji Açığı"),4500*1.05*1.06*BK344,IF(AND(BK344&lt;0,MAX($F344:$G344)=4500,$E344="Enerji Fazlası"),4500*1.05*1.03*BK344,IF(AND(BK344&lt;0,$E344="Enerji Açığı"),MAX($F344,$G344,150)*BK344*1.06,IF(AND(BK344&lt;0,$E344="Enerji Fazlası"),MAX($F344,$G344,150)*BK344*1.03,IF(AND(BK344&lt;0,$E344="Dengede"),MAX($F344:$G344,150)*1.03*BK344,MIN($F344:$G344)*0.97*BK344)))))))))</f>
        <v/>
      </c>
      <c r="BM344" s="34">
        <f>BE344-BI344-BN344</f>
        <v/>
      </c>
      <c r="BN344" s="34">
        <f>BB344</f>
        <v/>
      </c>
      <c r="BO344" s="34">
        <f>BE344-BI344</f>
        <v/>
      </c>
      <c r="BP344" s="34">
        <f>IF(AY344=0,0,BO344/AY344)</f>
        <v/>
      </c>
      <c r="BQ344" s="34">
        <f>MAX((AY344+MAX((-J344+L344-N344+Q344),0)),(MAX((J344-L344+N344-Q344),0)))</f>
        <v/>
      </c>
      <c r="BR344" s="82">
        <f>IFERROR(ABS(BK344/BQ344),0)</f>
        <v/>
      </c>
      <c r="BS344" s="34">
        <f>IF(BR344&lt;=0.1,0,BK344/BR344*(BR344-0.1))</f>
        <v/>
      </c>
      <c r="BT344" s="34">
        <f>IF((BS344)&lt;0,MAX(F344:G344)*(BS344)*1.03,MIN(F344:G344)*(BS344)*0.97)</f>
        <v/>
      </c>
      <c r="BU344" s="34">
        <f>IF(BR344&gt;0.1,1,0)</f>
        <v/>
      </c>
      <c r="BV344" s="34">
        <f>BF344+BG344+BH344+BY344-CA344</f>
        <v/>
      </c>
      <c r="BW344" s="34">
        <f>ABS(BX344)</f>
        <v/>
      </c>
      <c r="BX344" s="34">
        <f>AY344-(J344-L344+N344-Q344+T344-X344)</f>
        <v/>
      </c>
      <c r="BY344" s="34">
        <f>IF(AND(BX344&gt;0,MIN($F344:$G344)&lt;150,$E344="Enerji Açığı"),-100*BX344*1.03,IF(AND(BX344&gt;0,MIN($F344:$G344)&lt;150,$E344="Enerji Fazlası"),-100*BX344*1.06,IF(AND(BX344&gt;0,MIN($F344:$G344)&gt;=150,$E344="Enerji Açığı"),BX344*MIN($F344:$G344)*0.97,IF(AND(BX344&gt;0,MIN($F344:$G344)&gt;=150,$E344="Enerji Fazlası"),BX344*MIN($F344:$G344)*0.94,IF(AND(BX344&lt;0,MAX($F344:$G344)=4500,$E344="Enerji Açığı"),4500*1.05*1.06*BX344,IF(AND(BX344&lt;0,MAX($F344:$G344)=4500,$E344="Enerji Fazlası"),4500*1.05*1.03*BX344,IF(AND(BX344&lt;0,$E344="Enerji Açığı"),MAX($F344,$G344,150)*BX344*1.06,IF(AND(BX344&lt;0,$E344="Enerji Fazlası"),MAX($F344,$G344,150)*BX344*1.03,IF(AND(BX344&lt;0,$E344="Dengede"),MAX($F344:$G344,150)*1.03*BX344,MIN($F344:$G344)*0.97*BX344)))))))))</f>
        <v/>
      </c>
      <c r="BZ344" s="34">
        <f>BE344-BV344-CA344</f>
        <v/>
      </c>
      <c r="CA344" s="34">
        <f>BD344</f>
        <v/>
      </c>
      <c r="CB344" s="33">
        <f>BE344-BV344</f>
        <v/>
      </c>
      <c r="CC344" s="34">
        <f>IF(AY344=0,0,CB344/AY344)</f>
        <v/>
      </c>
      <c r="CD344" s="34">
        <f>MAX((AY344+MAX((-J344+L344-N344+Q344-T344+X344),0)),(MAX((J344-L344+N344-Q344+T344-X344),0)))</f>
        <v/>
      </c>
      <c r="CE344" s="82">
        <f>IFERROR(ABS(BX344/CD344),0)</f>
        <v/>
      </c>
      <c r="CF344" s="34">
        <f>IF(CE344&lt;=0.1,0,BX344/CE344*(CE344-0.1))</f>
        <v/>
      </c>
      <c r="CG344" s="34">
        <f>IF((CF344)&lt;0,MAX(F344:G344)*(CF344)*1.03,MIN(F344:G344)*(CF344)*0.97)</f>
        <v/>
      </c>
      <c r="CH344" s="34">
        <f>IF(CE344&gt;0.1,1,0)</f>
        <v/>
      </c>
      <c r="CI344" s="34">
        <f>(F344*BX344)-BY344</f>
        <v/>
      </c>
      <c r="CJ344" s="34">
        <f>IF(AY344=0,0,CI344/AY344)</f>
        <v/>
      </c>
    </row>
    <row r="345">
      <c r="A345" s="29">
        <f>[1]FİYATLAR!A320</f>
        <v/>
      </c>
      <c r="B345" s="29">
        <f>[1]FİYATLAR!B320</f>
        <v/>
      </c>
      <c r="C345" s="35">
        <f>INT(A345)</f>
        <v/>
      </c>
      <c r="D345" s="36">
        <f>MONTH(A345)</f>
        <v/>
      </c>
      <c r="E345" s="147">
        <f>[1]FİYATLAR!G320</f>
        <v/>
      </c>
      <c r="F345" s="30">
        <f>[1]FİYATLAR!C320</f>
        <v/>
      </c>
      <c r="G345" s="30">
        <f>[1]FİYATLAR!E320</f>
        <v/>
      </c>
      <c r="H345" s="30">
        <f>[1]FİYATLAR!D320</f>
        <v/>
      </c>
      <c r="I345" s="30">
        <f>[1]FİYATLAR!F320</f>
        <v/>
      </c>
      <c r="J345" s="119" t="n">
        <v>0</v>
      </c>
      <c r="K345" s="34">
        <f>F345*J345</f>
        <v/>
      </c>
      <c r="L345" s="119" t="n"/>
      <c r="M345" s="34">
        <f>L345*F345</f>
        <v/>
      </c>
      <c r="N345" s="119" t="n"/>
      <c r="O345" s="34">
        <f>F345</f>
        <v/>
      </c>
      <c r="P345" s="34">
        <f>N345*O345</f>
        <v/>
      </c>
      <c r="Q345" s="117" t="n">
        <v>0</v>
      </c>
      <c r="R345" s="34">
        <f>F345</f>
        <v/>
      </c>
      <c r="S345" s="34">
        <f>R345*Q345</f>
        <v/>
      </c>
      <c r="T345" s="34">
        <f>SUMIFS('[1]GİP VERİLERİ'!$C:$C,'[1]GİP VERİLERİ'!$B:$B,A345,'[1]GİP VERİLERİ'!$M:$M,"40X000000104782K",'[1]GİP VERİLERİ'!$G:$G,"SELL")</f>
        <v/>
      </c>
      <c r="U345" s="34">
        <f>IFERROR(W345/T345,0)</f>
        <v/>
      </c>
      <c r="V345" s="34">
        <f>IF(U345=0,0,U345-F345)</f>
        <v/>
      </c>
      <c r="W345" s="34">
        <f>SUMIFS('[1]GİP VERİLERİ'!$O:$O,'[1]GİP VERİLERİ'!$B:$B,A345,'[1]GİP VERİLERİ'!$M:$M,"40X000000104782K",'[1]GİP VERİLERİ'!$G:$G,"SELL")</f>
        <v/>
      </c>
      <c r="X345" s="34">
        <f>SUMIFS('[1]GİP VERİLERİ'!$C:$C,'[1]GİP VERİLERİ'!$B:$B,A345,'[1]GİP VERİLERİ'!$M:$M,"40X000000104782K",'[1]GİP VERİLERİ'!$G:$G,"BUY")</f>
        <v/>
      </c>
      <c r="Y345" s="34">
        <f>IFERROR(AA345/X345,0)</f>
        <v/>
      </c>
      <c r="Z345" s="34">
        <f>IF(Y345=0,0,F345-Y345)</f>
        <v/>
      </c>
      <c r="AA345" s="34">
        <f>SUMIFS('[1]GİP VERİLERİ'!$O:$O,'[1]GİP VERİLERİ'!$B:$B,A345,'[1]GİP VERİLERİ'!$M:$M,"40X000000104782K",'[1]GİP VERİLERİ'!$G:$G,"BUY")</f>
        <v/>
      </c>
      <c r="AB345" s="34">
        <f>'[1]GÖP VERİLERİ'!H346</f>
        <v/>
      </c>
      <c r="AC345" s="34">
        <f>'[1]GÖP VERİLERİ'!I346</f>
        <v/>
      </c>
      <c r="AD345" s="34">
        <f>IF(AB345&gt;AC345*1.05,AB345-AC345*1.05,IF(AB345&lt;AC345*0.95,AC345*0.95-AB345,0))</f>
        <v/>
      </c>
      <c r="AE345" s="34">
        <f>MAX(F345,G345,750)*0.05*AD345</f>
        <v/>
      </c>
      <c r="AF345" s="34">
        <f>'[1]GÖP VERİLERİ'!J346</f>
        <v/>
      </c>
      <c r="AG345" s="34">
        <f>IF(AB345&gt;AF345*1.05,AB345-AF345*1.05,IF(AB345&lt;AF345*0.95,AF345*0.95-AB345,0))</f>
        <v/>
      </c>
      <c r="AH345" s="34">
        <f>MAX(I345,J345,750)*0.05*AG345</f>
        <v/>
      </c>
      <c r="AI345">
        <f>'[1]GÖP VERİLERİ'!E346</f>
        <v/>
      </c>
      <c r="AJ345">
        <f>'[1]GÖP VERİLERİ'!F346</f>
        <v/>
      </c>
      <c r="AK345" s="34">
        <f>IF(AI345&gt;AJ345*1.05,AI345-AJ345*1.05,IF(AI345&lt;AJ345*0.95,AJ345*0.95-AI345,0))</f>
        <v/>
      </c>
      <c r="AL345" s="34">
        <f>MAX(F345,G345,750)*0.05*AK345</f>
        <v/>
      </c>
      <c r="AM345" s="39">
        <f>'[1]GÖP VERİLERİ'!G346</f>
        <v/>
      </c>
      <c r="AN345" s="34">
        <f>IF(AI345&gt;AM345*1.05,AI345-AM345*1.05,IF(AI345&lt;AM345*0.95,AM345*0.95-AI345,0))</f>
        <v/>
      </c>
      <c r="AO345" s="34">
        <f>MAX(F345,G345,750)*0.05*AN345</f>
        <v/>
      </c>
      <c r="AP345" s="34">
        <f>'[1]GÖP VERİLERİ'!B346</f>
        <v/>
      </c>
      <c r="AQ345" s="34">
        <f>'[1]GÖP VERİLERİ'!C346</f>
        <v/>
      </c>
      <c r="AR345" s="34">
        <f>IF(AP345&gt;AQ345*1.05,AP345-AQ345*1.05,IF(AP345&lt;AQ345*0.95,AQ345*0.95-AP345,0))</f>
        <v/>
      </c>
      <c r="AS345" s="34">
        <f>MAX(F345:G345,750)*0.05*AR345</f>
        <v/>
      </c>
      <c r="AT345">
        <f>'[1]GÖP VERİLERİ'!D346</f>
        <v/>
      </c>
      <c r="AU345" s="34">
        <f>IF(AP345&gt;AT345*1.05,AP345-AT345*1.05,IF(AP345&lt;AT345*0.95,AT345*0.95-AP345,0))</f>
        <v/>
      </c>
      <c r="AV345" s="34">
        <f>MAX(F345:G345,750)*0.05*AU345</f>
        <v/>
      </c>
      <c r="AW345" s="34">
        <f>AC345+AJ345+AQ345</f>
        <v/>
      </c>
      <c r="AX345" s="34">
        <f>AF345+AM345+AT345</f>
        <v/>
      </c>
      <c r="AY345" s="34">
        <f>AB345+AI345+AP345</f>
        <v/>
      </c>
      <c r="AZ345" s="34" t="n">
        <v>0</v>
      </c>
      <c r="BA345" s="34">
        <f>AD345+AK345+AR345</f>
        <v/>
      </c>
      <c r="BB345" s="34">
        <f>MAX(F345:G345,750)*0.05*BA345</f>
        <v/>
      </c>
      <c r="BC345" s="34">
        <f>AG345+AN345+AU345</f>
        <v/>
      </c>
      <c r="BD345" s="34">
        <f>MAX(F345:G345,750)*0.05*BC345</f>
        <v/>
      </c>
      <c r="BE345" s="34">
        <f>F345*AY345</f>
        <v/>
      </c>
      <c r="BF345" s="34">
        <f>K345-M345</f>
        <v/>
      </c>
      <c r="BG345" s="34">
        <f>P345-S345</f>
        <v/>
      </c>
      <c r="BH345" s="34">
        <f>W345-AA345</f>
        <v/>
      </c>
      <c r="BI345" s="34">
        <f>BF345+BG345+BL345-BN345</f>
        <v/>
      </c>
      <c r="BJ345" s="34">
        <f>ABS(BK345)</f>
        <v/>
      </c>
      <c r="BK345" s="34">
        <f>AY345-(J345-L345+N345-Q345)</f>
        <v/>
      </c>
      <c r="BL345" s="34">
        <f>IF(AND(BK345&gt;0,MIN($F345:$G345)&lt;150,$E345="Enerji Açığı"),-100*BK345*1.03,IF(AND(BK345&gt;0,MIN($F345:$G345)&lt;150,$E345="Enerji Fazlası"),-100*BK345*1.06,IF(AND(BK345&gt;0,MIN($F345:$G345)&gt;=150,$E345="Enerji Açığı"),BK345*MIN($F345:$G345)*0.97,IF(AND(BK345&gt;0,MIN($F345:$G345)&gt;=150,$E345="Enerji Fazlası"),BK345*MIN($F345:$G345)*0.94,IF(AND(BK345&lt;0,MAX($F345:$G345)=4500,$E345="Enerji Açığı"),4500*1.05*1.06*BK345,IF(AND(BK345&lt;0,MAX($F345:$G345)=4500,$E345="Enerji Fazlası"),4500*1.05*1.03*BK345,IF(AND(BK345&lt;0,$E345="Enerji Açığı"),MAX($F345,$G345,150)*BK345*1.06,IF(AND(BK345&lt;0,$E345="Enerji Fazlası"),MAX($F345,$G345,150)*BK345*1.03,IF(AND(BK345&lt;0,$E345="Dengede"),MAX($F345:$G345,150)*1.03*BK345,MIN($F345:$G345)*0.97*BK345)))))))))</f>
        <v/>
      </c>
      <c r="BM345" s="34">
        <f>BE345-BI345-BN345</f>
        <v/>
      </c>
      <c r="BN345" s="34">
        <f>BB345</f>
        <v/>
      </c>
      <c r="BO345" s="34">
        <f>BE345-BI345</f>
        <v/>
      </c>
      <c r="BP345" s="34">
        <f>IF(AY345=0,0,BO345/AY345)</f>
        <v/>
      </c>
      <c r="BQ345" s="34">
        <f>MAX((AY345+MAX((-J345+L345-N345+Q345),0)),(MAX((J345-L345+N345-Q345),0)))</f>
        <v/>
      </c>
      <c r="BR345" s="82">
        <f>IFERROR(ABS(BK345/BQ345),0)</f>
        <v/>
      </c>
      <c r="BS345" s="34">
        <f>IF(BR345&lt;=0.1,0,BK345/BR345*(BR345-0.1))</f>
        <v/>
      </c>
      <c r="BT345" s="34">
        <f>IF((BS345)&lt;0,MAX(F345:G345)*(BS345)*1.03,MIN(F345:G345)*(BS345)*0.97)</f>
        <v/>
      </c>
      <c r="BU345" s="34">
        <f>IF(BR345&gt;0.1,1,0)</f>
        <v/>
      </c>
      <c r="BV345" s="34">
        <f>BF345+BG345+BH345+BY345-CA345</f>
        <v/>
      </c>
      <c r="BW345" s="34">
        <f>ABS(BX345)</f>
        <v/>
      </c>
      <c r="BX345" s="34">
        <f>AY345-(J345-L345+N345-Q345+T345-X345)</f>
        <v/>
      </c>
      <c r="BY345" s="34">
        <f>IF(AND(BX345&gt;0,MIN($F345:$G345)&lt;150,$E345="Enerji Açığı"),-100*BX345*1.03,IF(AND(BX345&gt;0,MIN($F345:$G345)&lt;150,$E345="Enerji Fazlası"),-100*BX345*1.06,IF(AND(BX345&gt;0,MIN($F345:$G345)&gt;=150,$E345="Enerji Açığı"),BX345*MIN($F345:$G345)*0.97,IF(AND(BX345&gt;0,MIN($F345:$G345)&gt;=150,$E345="Enerji Fazlası"),BX345*MIN($F345:$G345)*0.94,IF(AND(BX345&lt;0,MAX($F345:$G345)=4500,$E345="Enerji Açığı"),4500*1.05*1.06*BX345,IF(AND(BX345&lt;0,MAX($F345:$G345)=4500,$E345="Enerji Fazlası"),4500*1.05*1.03*BX345,IF(AND(BX345&lt;0,$E345="Enerji Açığı"),MAX($F345,$G345,150)*BX345*1.06,IF(AND(BX345&lt;0,$E345="Enerji Fazlası"),MAX($F345,$G345,150)*BX345*1.03,IF(AND(BX345&lt;0,$E345="Dengede"),MAX($F345:$G345,150)*1.03*BX345,MIN($F345:$G345)*0.97*BX345)))))))))</f>
        <v/>
      </c>
      <c r="BZ345" s="34">
        <f>BE345-BV345-CA345</f>
        <v/>
      </c>
      <c r="CA345" s="34">
        <f>BD345</f>
        <v/>
      </c>
      <c r="CB345" s="33">
        <f>BE345-BV345</f>
        <v/>
      </c>
      <c r="CC345" s="34">
        <f>IF(AY345=0,0,CB345/AY345)</f>
        <v/>
      </c>
      <c r="CD345" s="34">
        <f>MAX((AY345+MAX((-J345+L345-N345+Q345-T345+X345),0)),(MAX((J345-L345+N345-Q345+T345-X345),0)))</f>
        <v/>
      </c>
      <c r="CE345" s="82">
        <f>IFERROR(ABS(BX345/CD345),0)</f>
        <v/>
      </c>
      <c r="CF345" s="34">
        <f>IF(CE345&lt;=0.1,0,BX345/CE345*(CE345-0.1))</f>
        <v/>
      </c>
      <c r="CG345" s="34">
        <f>IF((CF345)&lt;0,MAX(F345:G345)*(CF345)*1.03,MIN(F345:G345)*(CF345)*0.97)</f>
        <v/>
      </c>
      <c r="CH345" s="34">
        <f>IF(CE345&gt;0.1,1,0)</f>
        <v/>
      </c>
      <c r="CI345" s="34">
        <f>(F345*BX345)-BY345</f>
        <v/>
      </c>
      <c r="CJ345" s="34">
        <f>IF(AY345=0,0,CI345/AY345)</f>
        <v/>
      </c>
    </row>
    <row r="346">
      <c r="A346" s="29">
        <f>[1]FİYATLAR!A321</f>
        <v/>
      </c>
      <c r="B346" s="29">
        <f>[1]FİYATLAR!B321</f>
        <v/>
      </c>
      <c r="C346" s="35">
        <f>INT(A346)</f>
        <v/>
      </c>
      <c r="D346" s="36">
        <f>MONTH(A346)</f>
        <v/>
      </c>
      <c r="E346" s="147">
        <f>[1]FİYATLAR!G321</f>
        <v/>
      </c>
      <c r="F346" s="30">
        <f>[1]FİYATLAR!C321</f>
        <v/>
      </c>
      <c r="G346" s="30">
        <f>[1]FİYATLAR!E321</f>
        <v/>
      </c>
      <c r="H346" s="30">
        <f>[1]FİYATLAR!D321</f>
        <v/>
      </c>
      <c r="I346" s="30">
        <f>[1]FİYATLAR!F321</f>
        <v/>
      </c>
      <c r="J346" s="119" t="n">
        <v>0</v>
      </c>
      <c r="K346" s="34">
        <f>F346*J346</f>
        <v/>
      </c>
      <c r="L346" s="119" t="n"/>
      <c r="M346" s="34">
        <f>L346*F346</f>
        <v/>
      </c>
      <c r="N346" s="119" t="n"/>
      <c r="O346" s="34">
        <f>F346</f>
        <v/>
      </c>
      <c r="P346" s="34">
        <f>N346*O346</f>
        <v/>
      </c>
      <c r="Q346" s="117" t="n">
        <v>0</v>
      </c>
      <c r="R346" s="34">
        <f>F346</f>
        <v/>
      </c>
      <c r="S346" s="34">
        <f>R346*Q346</f>
        <v/>
      </c>
      <c r="T346" s="34">
        <f>SUMIFS('[1]GİP VERİLERİ'!$C:$C,'[1]GİP VERİLERİ'!$B:$B,A346,'[1]GİP VERİLERİ'!$M:$M,"40X000000104782K",'[1]GİP VERİLERİ'!$G:$G,"SELL")</f>
        <v/>
      </c>
      <c r="U346" s="34">
        <f>IFERROR(W346/T346,0)</f>
        <v/>
      </c>
      <c r="V346" s="34">
        <f>IF(U346=0,0,U346-F346)</f>
        <v/>
      </c>
      <c r="W346" s="34">
        <f>SUMIFS('[1]GİP VERİLERİ'!$O:$O,'[1]GİP VERİLERİ'!$B:$B,A346,'[1]GİP VERİLERİ'!$M:$M,"40X000000104782K",'[1]GİP VERİLERİ'!$G:$G,"SELL")</f>
        <v/>
      </c>
      <c r="X346" s="34">
        <f>SUMIFS('[1]GİP VERİLERİ'!$C:$C,'[1]GİP VERİLERİ'!$B:$B,A346,'[1]GİP VERİLERİ'!$M:$M,"40X000000104782K",'[1]GİP VERİLERİ'!$G:$G,"BUY")</f>
        <v/>
      </c>
      <c r="Y346" s="34">
        <f>IFERROR(AA346/X346,0)</f>
        <v/>
      </c>
      <c r="Z346" s="34">
        <f>IF(Y346=0,0,F346-Y346)</f>
        <v/>
      </c>
      <c r="AA346" s="34">
        <f>SUMIFS('[1]GİP VERİLERİ'!$O:$O,'[1]GİP VERİLERİ'!$B:$B,A346,'[1]GİP VERİLERİ'!$M:$M,"40X000000104782K",'[1]GİP VERİLERİ'!$G:$G,"BUY")</f>
        <v/>
      </c>
      <c r="AB346" s="34">
        <f>'[1]GÖP VERİLERİ'!H347</f>
        <v/>
      </c>
      <c r="AC346" s="34">
        <f>'[1]GÖP VERİLERİ'!I347</f>
        <v/>
      </c>
      <c r="AD346" s="34">
        <f>IF(AB346&gt;AC346*1.05,AB346-AC346*1.05,IF(AB346&lt;AC346*0.95,AC346*0.95-AB346,0))</f>
        <v/>
      </c>
      <c r="AE346" s="34">
        <f>MAX(F346,G346,750)*0.05*AD346</f>
        <v/>
      </c>
      <c r="AF346" s="34">
        <f>'[1]GÖP VERİLERİ'!J347</f>
        <v/>
      </c>
      <c r="AG346" s="34">
        <f>IF(AB346&gt;AF346*1.05,AB346-AF346*1.05,IF(AB346&lt;AF346*0.95,AF346*0.95-AB346,0))</f>
        <v/>
      </c>
      <c r="AH346" s="34">
        <f>MAX(I346,J346,750)*0.05*AG346</f>
        <v/>
      </c>
      <c r="AI346">
        <f>'[1]GÖP VERİLERİ'!E347</f>
        <v/>
      </c>
      <c r="AJ346">
        <f>'[1]GÖP VERİLERİ'!F347</f>
        <v/>
      </c>
      <c r="AK346" s="34">
        <f>IF(AI346&gt;AJ346*1.05,AI346-AJ346*1.05,IF(AI346&lt;AJ346*0.95,AJ346*0.95-AI346,0))</f>
        <v/>
      </c>
      <c r="AL346" s="34">
        <f>MAX(F346,G346,750)*0.05*AK346</f>
        <v/>
      </c>
      <c r="AM346" s="39">
        <f>'[1]GÖP VERİLERİ'!G347</f>
        <v/>
      </c>
      <c r="AN346" s="34">
        <f>IF(AI346&gt;AM346*1.05,AI346-AM346*1.05,IF(AI346&lt;AM346*0.95,AM346*0.95-AI346,0))</f>
        <v/>
      </c>
      <c r="AO346" s="34">
        <f>MAX(F346,G346,750)*0.05*AN346</f>
        <v/>
      </c>
      <c r="AP346" s="34">
        <f>'[1]GÖP VERİLERİ'!B347</f>
        <v/>
      </c>
      <c r="AQ346" s="34">
        <f>'[1]GÖP VERİLERİ'!C347</f>
        <v/>
      </c>
      <c r="AR346" s="34">
        <f>IF(AP346&gt;AQ346*1.05,AP346-AQ346*1.05,IF(AP346&lt;AQ346*0.95,AQ346*0.95-AP346,0))</f>
        <v/>
      </c>
      <c r="AS346" s="34">
        <f>MAX(F346:G346,750)*0.05*AR346</f>
        <v/>
      </c>
      <c r="AT346">
        <f>'[1]GÖP VERİLERİ'!D347</f>
        <v/>
      </c>
      <c r="AU346" s="34">
        <f>IF(AP346&gt;AT346*1.05,AP346-AT346*1.05,IF(AP346&lt;AT346*0.95,AT346*0.95-AP346,0))</f>
        <v/>
      </c>
      <c r="AV346" s="34">
        <f>MAX(F346:G346,750)*0.05*AU346</f>
        <v/>
      </c>
      <c r="AW346" s="34">
        <f>AC346+AJ346+AQ346</f>
        <v/>
      </c>
      <c r="AX346" s="34">
        <f>AF346+AM346+AT346</f>
        <v/>
      </c>
      <c r="AY346" s="34">
        <f>AB346+AI346+AP346</f>
        <v/>
      </c>
      <c r="AZ346" s="34" t="n">
        <v>0</v>
      </c>
      <c r="BA346" s="34">
        <f>AD346+AK346+AR346</f>
        <v/>
      </c>
      <c r="BB346" s="34">
        <f>MAX(F346:G346,750)*0.05*BA346</f>
        <v/>
      </c>
      <c r="BC346" s="34">
        <f>AG346+AN346+AU346</f>
        <v/>
      </c>
      <c r="BD346" s="34">
        <f>MAX(F346:G346,750)*0.05*BC346</f>
        <v/>
      </c>
      <c r="BE346" s="34">
        <f>F346*AY346</f>
        <v/>
      </c>
      <c r="BF346" s="34">
        <f>K346-M346</f>
        <v/>
      </c>
      <c r="BG346" s="34">
        <f>P346-S346</f>
        <v/>
      </c>
      <c r="BH346" s="34">
        <f>W346-AA346</f>
        <v/>
      </c>
      <c r="BI346" s="34">
        <f>BF346+BG346+BL346-BN346</f>
        <v/>
      </c>
      <c r="BJ346" s="34">
        <f>ABS(BK346)</f>
        <v/>
      </c>
      <c r="BK346" s="34">
        <f>AY346-(J346-L346+N346-Q346)</f>
        <v/>
      </c>
      <c r="BL346" s="34">
        <f>IF(AND(BK346&gt;0,MIN($F346:$G346)&lt;150,$E346="Enerji Açığı"),-100*BK346*1.03,IF(AND(BK346&gt;0,MIN($F346:$G346)&lt;150,$E346="Enerji Fazlası"),-100*BK346*1.06,IF(AND(BK346&gt;0,MIN($F346:$G346)&gt;=150,$E346="Enerji Açığı"),BK346*MIN($F346:$G346)*0.97,IF(AND(BK346&gt;0,MIN($F346:$G346)&gt;=150,$E346="Enerji Fazlası"),BK346*MIN($F346:$G346)*0.94,IF(AND(BK346&lt;0,MAX($F346:$G346)=4500,$E346="Enerji Açığı"),4500*1.05*1.06*BK346,IF(AND(BK346&lt;0,MAX($F346:$G346)=4500,$E346="Enerji Fazlası"),4500*1.05*1.03*BK346,IF(AND(BK346&lt;0,$E346="Enerji Açığı"),MAX($F346,$G346,150)*BK346*1.06,IF(AND(BK346&lt;0,$E346="Enerji Fazlası"),MAX($F346,$G346,150)*BK346*1.03,IF(AND(BK346&lt;0,$E346="Dengede"),MAX($F346:$G346,150)*1.03*BK346,MIN($F346:$G346)*0.97*BK346)))))))))</f>
        <v/>
      </c>
      <c r="BM346" s="34">
        <f>BE346-BI346-BN346</f>
        <v/>
      </c>
      <c r="BN346" s="34">
        <f>BB346</f>
        <v/>
      </c>
      <c r="BO346" s="34">
        <f>BE346-BI346</f>
        <v/>
      </c>
      <c r="BP346" s="34">
        <f>IF(AY346=0,0,BO346/AY346)</f>
        <v/>
      </c>
      <c r="BQ346" s="34">
        <f>MAX((AY346+MAX((-J346+L346-N346+Q346),0)),(MAX((J346-L346+N346-Q346),0)))</f>
        <v/>
      </c>
      <c r="BR346" s="82">
        <f>IFERROR(ABS(BK346/BQ346),0)</f>
        <v/>
      </c>
      <c r="BS346" s="34">
        <f>IF(BR346&lt;=0.1,0,BK346/BR346*(BR346-0.1))</f>
        <v/>
      </c>
      <c r="BT346" s="34">
        <f>IF((BS346)&lt;0,MAX(F346:G346)*(BS346)*1.03,MIN(F346:G346)*(BS346)*0.97)</f>
        <v/>
      </c>
      <c r="BU346" s="34">
        <f>IF(BR346&gt;0.1,1,0)</f>
        <v/>
      </c>
      <c r="BV346" s="34">
        <f>BF346+BG346+BH346+BY346-CA346</f>
        <v/>
      </c>
      <c r="BW346" s="34">
        <f>ABS(BX346)</f>
        <v/>
      </c>
      <c r="BX346" s="34">
        <f>AY346-(J346-L346+N346-Q346+T346-X346)</f>
        <v/>
      </c>
      <c r="BY346" s="34">
        <f>IF(AND(BX346&gt;0,MIN($F346:$G346)&lt;150,$E346="Enerji Açığı"),-100*BX346*1.03,IF(AND(BX346&gt;0,MIN($F346:$G346)&lt;150,$E346="Enerji Fazlası"),-100*BX346*1.06,IF(AND(BX346&gt;0,MIN($F346:$G346)&gt;=150,$E346="Enerji Açığı"),BX346*MIN($F346:$G346)*0.97,IF(AND(BX346&gt;0,MIN($F346:$G346)&gt;=150,$E346="Enerji Fazlası"),BX346*MIN($F346:$G346)*0.94,IF(AND(BX346&lt;0,MAX($F346:$G346)=4500,$E346="Enerji Açığı"),4500*1.05*1.06*BX346,IF(AND(BX346&lt;0,MAX($F346:$G346)=4500,$E346="Enerji Fazlası"),4500*1.05*1.03*BX346,IF(AND(BX346&lt;0,$E346="Enerji Açığı"),MAX($F346,$G346,150)*BX346*1.06,IF(AND(BX346&lt;0,$E346="Enerji Fazlası"),MAX($F346,$G346,150)*BX346*1.03,IF(AND(BX346&lt;0,$E346="Dengede"),MAX($F346:$G346,150)*1.03*BX346,MIN($F346:$G346)*0.97*BX346)))))))))</f>
        <v/>
      </c>
      <c r="BZ346" s="34">
        <f>BE346-BV346-CA346</f>
        <v/>
      </c>
      <c r="CA346" s="34">
        <f>BD346</f>
        <v/>
      </c>
      <c r="CB346" s="33">
        <f>BE346-BV346</f>
        <v/>
      </c>
      <c r="CC346" s="34">
        <f>IF(AY346=0,0,CB346/AY346)</f>
        <v/>
      </c>
      <c r="CD346" s="34">
        <f>MAX((AY346+MAX((-J346+L346-N346+Q346-T346+X346),0)),(MAX((J346-L346+N346-Q346+T346-X346),0)))</f>
        <v/>
      </c>
      <c r="CE346" s="82">
        <f>IFERROR(ABS(BX346/CD346),0)</f>
        <v/>
      </c>
      <c r="CF346" s="34">
        <f>IF(CE346&lt;=0.1,0,BX346/CE346*(CE346-0.1))</f>
        <v/>
      </c>
      <c r="CG346" s="34">
        <f>IF((CF346)&lt;0,MAX(F346:G346)*(CF346)*1.03,MIN(F346:G346)*(CF346)*0.97)</f>
        <v/>
      </c>
      <c r="CH346" s="34">
        <f>IF(CE346&gt;0.1,1,0)</f>
        <v/>
      </c>
      <c r="CI346" s="34">
        <f>(F346*BX346)-BY346</f>
        <v/>
      </c>
      <c r="CJ346" s="34">
        <f>IF(AY346=0,0,CI346/AY346)</f>
        <v/>
      </c>
    </row>
    <row r="347">
      <c r="A347" s="29">
        <f>[1]FİYATLAR!A322</f>
        <v/>
      </c>
      <c r="B347" s="29">
        <f>[1]FİYATLAR!B322</f>
        <v/>
      </c>
      <c r="C347" s="35">
        <f>INT(A347)</f>
        <v/>
      </c>
      <c r="D347" s="36">
        <f>MONTH(A347)</f>
        <v/>
      </c>
      <c r="E347" s="147">
        <f>[1]FİYATLAR!G322</f>
        <v/>
      </c>
      <c r="F347" s="30">
        <f>[1]FİYATLAR!C322</f>
        <v/>
      </c>
      <c r="G347" s="30">
        <f>[1]FİYATLAR!E322</f>
        <v/>
      </c>
      <c r="H347" s="30">
        <f>[1]FİYATLAR!D322</f>
        <v/>
      </c>
      <c r="I347" s="30">
        <f>[1]FİYATLAR!F322</f>
        <v/>
      </c>
      <c r="J347" s="119" t="n">
        <v>0</v>
      </c>
      <c r="K347" s="34">
        <f>F347*J347</f>
        <v/>
      </c>
      <c r="L347" s="119" t="n"/>
      <c r="M347" s="34">
        <f>L347*F347</f>
        <v/>
      </c>
      <c r="N347" s="119" t="n"/>
      <c r="O347" s="34">
        <f>F347</f>
        <v/>
      </c>
      <c r="P347" s="34">
        <f>N347*O347</f>
        <v/>
      </c>
      <c r="Q347" s="117" t="n">
        <v>0</v>
      </c>
      <c r="R347" s="34">
        <f>F347</f>
        <v/>
      </c>
      <c r="S347" s="34">
        <f>R347*Q347</f>
        <v/>
      </c>
      <c r="T347" s="34">
        <f>SUMIFS('[1]GİP VERİLERİ'!$C:$C,'[1]GİP VERİLERİ'!$B:$B,A347,'[1]GİP VERİLERİ'!$M:$M,"40X000000104782K",'[1]GİP VERİLERİ'!$G:$G,"SELL")</f>
        <v/>
      </c>
      <c r="U347" s="34">
        <f>IFERROR(W347/T347,0)</f>
        <v/>
      </c>
      <c r="V347" s="34">
        <f>IF(U347=0,0,U347-F347)</f>
        <v/>
      </c>
      <c r="W347" s="34">
        <f>SUMIFS('[1]GİP VERİLERİ'!$O:$O,'[1]GİP VERİLERİ'!$B:$B,A347,'[1]GİP VERİLERİ'!$M:$M,"40X000000104782K",'[1]GİP VERİLERİ'!$G:$G,"SELL")</f>
        <v/>
      </c>
      <c r="X347" s="34">
        <f>SUMIFS('[1]GİP VERİLERİ'!$C:$C,'[1]GİP VERİLERİ'!$B:$B,A347,'[1]GİP VERİLERİ'!$M:$M,"40X000000104782K",'[1]GİP VERİLERİ'!$G:$G,"BUY")</f>
        <v/>
      </c>
      <c r="Y347" s="34">
        <f>IFERROR(AA347/X347,0)</f>
        <v/>
      </c>
      <c r="Z347" s="34">
        <f>IF(Y347=0,0,F347-Y347)</f>
        <v/>
      </c>
      <c r="AA347" s="34">
        <f>SUMIFS('[1]GİP VERİLERİ'!$O:$O,'[1]GİP VERİLERİ'!$B:$B,A347,'[1]GİP VERİLERİ'!$M:$M,"40X000000104782K",'[1]GİP VERİLERİ'!$G:$G,"BUY")</f>
        <v/>
      </c>
      <c r="AB347" s="34">
        <f>'[1]GÖP VERİLERİ'!H348</f>
        <v/>
      </c>
      <c r="AC347" s="34">
        <f>'[1]GÖP VERİLERİ'!I348</f>
        <v/>
      </c>
      <c r="AD347" s="34">
        <f>IF(AB347&gt;AC347*1.05,AB347-AC347*1.05,IF(AB347&lt;AC347*0.95,AC347*0.95-AB347,0))</f>
        <v/>
      </c>
      <c r="AE347" s="34">
        <f>MAX(F347,G347,750)*0.05*AD347</f>
        <v/>
      </c>
      <c r="AF347" s="34">
        <f>'[1]GÖP VERİLERİ'!J348</f>
        <v/>
      </c>
      <c r="AG347" s="34">
        <f>IF(AB347&gt;AF347*1.05,AB347-AF347*1.05,IF(AB347&lt;AF347*0.95,AF347*0.95-AB347,0))</f>
        <v/>
      </c>
      <c r="AH347" s="34">
        <f>MAX(I347,J347,750)*0.05*AG347</f>
        <v/>
      </c>
      <c r="AI347">
        <f>'[1]GÖP VERİLERİ'!E348</f>
        <v/>
      </c>
      <c r="AJ347">
        <f>'[1]GÖP VERİLERİ'!F348</f>
        <v/>
      </c>
      <c r="AK347" s="34">
        <f>IF(AI347&gt;AJ347*1.05,AI347-AJ347*1.05,IF(AI347&lt;AJ347*0.95,AJ347*0.95-AI347,0))</f>
        <v/>
      </c>
      <c r="AL347" s="34">
        <f>MAX(F347,G347,750)*0.05*AK347</f>
        <v/>
      </c>
      <c r="AM347" s="39">
        <f>'[1]GÖP VERİLERİ'!G348</f>
        <v/>
      </c>
      <c r="AN347" s="34">
        <f>IF(AI347&gt;AM347*1.05,AI347-AM347*1.05,IF(AI347&lt;AM347*0.95,AM347*0.95-AI347,0))</f>
        <v/>
      </c>
      <c r="AO347" s="34">
        <f>MAX(F347,G347,750)*0.05*AN347</f>
        <v/>
      </c>
      <c r="AP347" s="34">
        <f>'[1]GÖP VERİLERİ'!B348</f>
        <v/>
      </c>
      <c r="AQ347" s="34">
        <f>'[1]GÖP VERİLERİ'!C348</f>
        <v/>
      </c>
      <c r="AR347" s="34">
        <f>IF(AP347&gt;AQ347*1.05,AP347-AQ347*1.05,IF(AP347&lt;AQ347*0.95,AQ347*0.95-AP347,0))</f>
        <v/>
      </c>
      <c r="AS347" s="34">
        <f>MAX(F347:G347,750)*0.05*AR347</f>
        <v/>
      </c>
      <c r="AT347">
        <f>'[1]GÖP VERİLERİ'!D348</f>
        <v/>
      </c>
      <c r="AU347" s="34">
        <f>IF(AP347&gt;AT347*1.05,AP347-AT347*1.05,IF(AP347&lt;AT347*0.95,AT347*0.95-AP347,0))</f>
        <v/>
      </c>
      <c r="AV347" s="34">
        <f>MAX(F347:G347,750)*0.05*AU347</f>
        <v/>
      </c>
      <c r="AW347" s="34">
        <f>AC347+AJ347+AQ347</f>
        <v/>
      </c>
      <c r="AX347" s="34">
        <f>AF347+AM347+AT347</f>
        <v/>
      </c>
      <c r="AY347" s="34">
        <f>AB347+AI347+AP347</f>
        <v/>
      </c>
      <c r="AZ347" s="34" t="n">
        <v>0</v>
      </c>
      <c r="BA347" s="34">
        <f>AD347+AK347+AR347</f>
        <v/>
      </c>
      <c r="BB347" s="34">
        <f>MAX(F347:G347,750)*0.05*BA347</f>
        <v/>
      </c>
      <c r="BC347" s="34">
        <f>AG347+AN347+AU347</f>
        <v/>
      </c>
      <c r="BD347" s="34">
        <f>MAX(F347:G347,750)*0.05*BC347</f>
        <v/>
      </c>
      <c r="BE347" s="34">
        <f>F347*AY347</f>
        <v/>
      </c>
      <c r="BF347" s="34">
        <f>K347-M347</f>
        <v/>
      </c>
      <c r="BG347" s="34">
        <f>P347-S347</f>
        <v/>
      </c>
      <c r="BH347" s="34">
        <f>W347-AA347</f>
        <v/>
      </c>
      <c r="BI347" s="34">
        <f>BF347+BG347+BL347-BN347</f>
        <v/>
      </c>
      <c r="BJ347" s="34">
        <f>ABS(BK347)</f>
        <v/>
      </c>
      <c r="BK347" s="34">
        <f>AY347-(J347-L347+N347-Q347)</f>
        <v/>
      </c>
      <c r="BL347" s="34">
        <f>IF(AND(BK347&gt;0,MIN($F347:$G347)&lt;150,$E347="Enerji Açığı"),-100*BK347*1.03,IF(AND(BK347&gt;0,MIN($F347:$G347)&lt;150,$E347="Enerji Fazlası"),-100*BK347*1.06,IF(AND(BK347&gt;0,MIN($F347:$G347)&gt;=150,$E347="Enerji Açığı"),BK347*MIN($F347:$G347)*0.97,IF(AND(BK347&gt;0,MIN($F347:$G347)&gt;=150,$E347="Enerji Fazlası"),BK347*MIN($F347:$G347)*0.94,IF(AND(BK347&lt;0,MAX($F347:$G347)=4500,$E347="Enerji Açığı"),4500*1.05*1.06*BK347,IF(AND(BK347&lt;0,MAX($F347:$G347)=4500,$E347="Enerji Fazlası"),4500*1.05*1.03*BK347,IF(AND(BK347&lt;0,$E347="Enerji Açığı"),MAX($F347,$G347,150)*BK347*1.06,IF(AND(BK347&lt;0,$E347="Enerji Fazlası"),MAX($F347,$G347,150)*BK347*1.03,IF(AND(BK347&lt;0,$E347="Dengede"),MAX($F347:$G347,150)*1.03*BK347,MIN($F347:$G347)*0.97*BK347)))))))))</f>
        <v/>
      </c>
      <c r="BM347" s="34">
        <f>BE347-BI347-BN347</f>
        <v/>
      </c>
      <c r="BN347" s="34">
        <f>BB347</f>
        <v/>
      </c>
      <c r="BO347" s="34">
        <f>BE347-BI347</f>
        <v/>
      </c>
      <c r="BP347" s="34">
        <f>IF(AY347=0,0,BO347/AY347)</f>
        <v/>
      </c>
      <c r="BQ347" s="34">
        <f>MAX((AY347+MAX((-J347+L347-N347+Q347),0)),(MAX((J347-L347+N347-Q347),0)))</f>
        <v/>
      </c>
      <c r="BR347" s="82">
        <f>IFERROR(ABS(BK347/BQ347),0)</f>
        <v/>
      </c>
      <c r="BS347" s="34">
        <f>IF(BR347&lt;=0.1,0,BK347/BR347*(BR347-0.1))</f>
        <v/>
      </c>
      <c r="BT347" s="34">
        <f>IF((BS347)&lt;0,MAX(F347:G347)*(BS347)*1.03,MIN(F347:G347)*(BS347)*0.97)</f>
        <v/>
      </c>
      <c r="BU347" s="34">
        <f>IF(BR347&gt;0.1,1,0)</f>
        <v/>
      </c>
      <c r="BV347" s="34">
        <f>BF347+BG347+BH347+BY347-CA347</f>
        <v/>
      </c>
      <c r="BW347" s="34">
        <f>ABS(BX347)</f>
        <v/>
      </c>
      <c r="BX347" s="34">
        <f>AY347-(J347-L347+N347-Q347+T347-X347)</f>
        <v/>
      </c>
      <c r="BY347" s="34">
        <f>IF(AND(BX347&gt;0,MIN($F347:$G347)&lt;150,$E347="Enerji Açığı"),-100*BX347*1.03,IF(AND(BX347&gt;0,MIN($F347:$G347)&lt;150,$E347="Enerji Fazlası"),-100*BX347*1.06,IF(AND(BX347&gt;0,MIN($F347:$G347)&gt;=150,$E347="Enerji Açığı"),BX347*MIN($F347:$G347)*0.97,IF(AND(BX347&gt;0,MIN($F347:$G347)&gt;=150,$E347="Enerji Fazlası"),BX347*MIN($F347:$G347)*0.94,IF(AND(BX347&lt;0,MAX($F347:$G347)=4500,$E347="Enerji Açığı"),4500*1.05*1.06*BX347,IF(AND(BX347&lt;0,MAX($F347:$G347)=4500,$E347="Enerji Fazlası"),4500*1.05*1.03*BX347,IF(AND(BX347&lt;0,$E347="Enerji Açığı"),MAX($F347,$G347,150)*BX347*1.06,IF(AND(BX347&lt;0,$E347="Enerji Fazlası"),MAX($F347,$G347,150)*BX347*1.03,IF(AND(BX347&lt;0,$E347="Dengede"),MAX($F347:$G347,150)*1.03*BX347,MIN($F347:$G347)*0.97*BX347)))))))))</f>
        <v/>
      </c>
      <c r="BZ347" s="34">
        <f>BE347-BV347-CA347</f>
        <v/>
      </c>
      <c r="CA347" s="34">
        <f>BD347</f>
        <v/>
      </c>
      <c r="CB347" s="33">
        <f>BE347-BV347</f>
        <v/>
      </c>
      <c r="CC347" s="34">
        <f>IF(AY347=0,0,CB347/AY347)</f>
        <v/>
      </c>
      <c r="CD347" s="34">
        <f>MAX((AY347+MAX((-J347+L347-N347+Q347-T347+X347),0)),(MAX((J347-L347+N347-Q347+T347-X347),0)))</f>
        <v/>
      </c>
      <c r="CE347" s="82">
        <f>IFERROR(ABS(BX347/CD347),0)</f>
        <v/>
      </c>
      <c r="CF347" s="34">
        <f>IF(CE347&lt;=0.1,0,BX347/CE347*(CE347-0.1))</f>
        <v/>
      </c>
      <c r="CG347" s="34">
        <f>IF((CF347)&lt;0,MAX(F347:G347)*(CF347)*1.03,MIN(F347:G347)*(CF347)*0.97)</f>
        <v/>
      </c>
      <c r="CH347" s="34">
        <f>IF(CE347&gt;0.1,1,0)</f>
        <v/>
      </c>
      <c r="CI347" s="34">
        <f>(F347*BX347)-BY347</f>
        <v/>
      </c>
      <c r="CJ347" s="34">
        <f>IF(AY347=0,0,CI347/AY347)</f>
        <v/>
      </c>
    </row>
    <row r="348">
      <c r="A348" s="29">
        <f>[1]FİYATLAR!A323</f>
        <v/>
      </c>
      <c r="B348" s="29">
        <f>[1]FİYATLAR!B323</f>
        <v/>
      </c>
      <c r="C348" s="35">
        <f>INT(A348)</f>
        <v/>
      </c>
      <c r="D348" s="36">
        <f>MONTH(A348)</f>
        <v/>
      </c>
      <c r="E348" s="147">
        <f>[1]FİYATLAR!G323</f>
        <v/>
      </c>
      <c r="F348" s="30">
        <f>[1]FİYATLAR!C323</f>
        <v/>
      </c>
      <c r="G348" s="30">
        <f>[1]FİYATLAR!E323</f>
        <v/>
      </c>
      <c r="H348" s="30">
        <f>[1]FİYATLAR!D323</f>
        <v/>
      </c>
      <c r="I348" s="30">
        <f>[1]FİYATLAR!F323</f>
        <v/>
      </c>
      <c r="J348" s="119" t="n">
        <v>0</v>
      </c>
      <c r="K348" s="34">
        <f>F348*J348</f>
        <v/>
      </c>
      <c r="L348" s="119" t="n"/>
      <c r="M348" s="34">
        <f>L348*F348</f>
        <v/>
      </c>
      <c r="N348" s="119" t="n"/>
      <c r="O348" s="34">
        <f>F348</f>
        <v/>
      </c>
      <c r="P348" s="34">
        <f>N348*O348</f>
        <v/>
      </c>
      <c r="Q348" s="117" t="n">
        <v>0</v>
      </c>
      <c r="R348" s="34">
        <f>F348</f>
        <v/>
      </c>
      <c r="S348" s="34">
        <f>R348*Q348</f>
        <v/>
      </c>
      <c r="T348" s="34">
        <f>SUMIFS('[1]GİP VERİLERİ'!$C:$C,'[1]GİP VERİLERİ'!$B:$B,A348,'[1]GİP VERİLERİ'!$M:$M,"40X000000104782K",'[1]GİP VERİLERİ'!$G:$G,"SELL")</f>
        <v/>
      </c>
      <c r="U348" s="34">
        <f>IFERROR(W348/T348,0)</f>
        <v/>
      </c>
      <c r="V348" s="34">
        <f>IF(U348=0,0,U348-F348)</f>
        <v/>
      </c>
      <c r="W348" s="34">
        <f>SUMIFS('[1]GİP VERİLERİ'!$O:$O,'[1]GİP VERİLERİ'!$B:$B,A348,'[1]GİP VERİLERİ'!$M:$M,"40X000000104782K",'[1]GİP VERİLERİ'!$G:$G,"SELL")</f>
        <v/>
      </c>
      <c r="X348" s="34">
        <f>SUMIFS('[1]GİP VERİLERİ'!$C:$C,'[1]GİP VERİLERİ'!$B:$B,A348,'[1]GİP VERİLERİ'!$M:$M,"40X000000104782K",'[1]GİP VERİLERİ'!$G:$G,"BUY")</f>
        <v/>
      </c>
      <c r="Y348" s="34">
        <f>IFERROR(AA348/X348,0)</f>
        <v/>
      </c>
      <c r="Z348" s="34">
        <f>IF(Y348=0,0,F348-Y348)</f>
        <v/>
      </c>
      <c r="AA348" s="34">
        <f>SUMIFS('[1]GİP VERİLERİ'!$O:$O,'[1]GİP VERİLERİ'!$B:$B,A348,'[1]GİP VERİLERİ'!$M:$M,"40X000000104782K",'[1]GİP VERİLERİ'!$G:$G,"BUY")</f>
        <v/>
      </c>
      <c r="AB348" s="34">
        <f>'[1]GÖP VERİLERİ'!H349</f>
        <v/>
      </c>
      <c r="AC348" s="34">
        <f>'[1]GÖP VERİLERİ'!I349</f>
        <v/>
      </c>
      <c r="AD348" s="34">
        <f>IF(AB348&gt;AC348*1.05,AB348-AC348*1.05,IF(AB348&lt;AC348*0.95,AC348*0.95-AB348,0))</f>
        <v/>
      </c>
      <c r="AE348" s="34">
        <f>MAX(F348,G348,750)*0.05*AD348</f>
        <v/>
      </c>
      <c r="AF348" s="34">
        <f>'[1]GÖP VERİLERİ'!J349</f>
        <v/>
      </c>
      <c r="AG348" s="34">
        <f>IF(AB348&gt;AF348*1.05,AB348-AF348*1.05,IF(AB348&lt;AF348*0.95,AF348*0.95-AB348,0))</f>
        <v/>
      </c>
      <c r="AH348" s="34">
        <f>MAX(I348,J348,750)*0.05*AG348</f>
        <v/>
      </c>
      <c r="AI348">
        <f>'[1]GÖP VERİLERİ'!E349</f>
        <v/>
      </c>
      <c r="AJ348">
        <f>'[1]GÖP VERİLERİ'!F349</f>
        <v/>
      </c>
      <c r="AK348" s="34">
        <f>IF(AI348&gt;AJ348*1.05,AI348-AJ348*1.05,IF(AI348&lt;AJ348*0.95,AJ348*0.95-AI348,0))</f>
        <v/>
      </c>
      <c r="AL348" s="34">
        <f>MAX(F348,G348,750)*0.05*AK348</f>
        <v/>
      </c>
      <c r="AM348" s="39">
        <f>'[1]GÖP VERİLERİ'!G349</f>
        <v/>
      </c>
      <c r="AN348" s="34">
        <f>IF(AI348&gt;AM348*1.05,AI348-AM348*1.05,IF(AI348&lt;AM348*0.95,AM348*0.95-AI348,0))</f>
        <v/>
      </c>
      <c r="AO348" s="34">
        <f>MAX(F348,G348,750)*0.05*AN348</f>
        <v/>
      </c>
      <c r="AP348" s="34">
        <f>'[1]GÖP VERİLERİ'!B349</f>
        <v/>
      </c>
      <c r="AQ348" s="34">
        <f>'[1]GÖP VERİLERİ'!C349</f>
        <v/>
      </c>
      <c r="AR348" s="34">
        <f>IF(AP348&gt;AQ348*1.05,AP348-AQ348*1.05,IF(AP348&lt;AQ348*0.95,AQ348*0.95-AP348,0))</f>
        <v/>
      </c>
      <c r="AS348" s="34">
        <f>MAX(F348:G348,750)*0.05*AR348</f>
        <v/>
      </c>
      <c r="AT348">
        <f>'[1]GÖP VERİLERİ'!D349</f>
        <v/>
      </c>
      <c r="AU348" s="34">
        <f>IF(AP348&gt;AT348*1.05,AP348-AT348*1.05,IF(AP348&lt;AT348*0.95,AT348*0.95-AP348,0))</f>
        <v/>
      </c>
      <c r="AV348" s="34">
        <f>MAX(F348:G348,750)*0.05*AU348</f>
        <v/>
      </c>
      <c r="AW348" s="34">
        <f>AC348+AJ348+AQ348</f>
        <v/>
      </c>
      <c r="AX348" s="34">
        <f>AF348+AM348+AT348</f>
        <v/>
      </c>
      <c r="AY348" s="34">
        <f>AB348+AI348+AP348</f>
        <v/>
      </c>
      <c r="AZ348" s="34" t="n">
        <v>0</v>
      </c>
      <c r="BA348" s="34">
        <f>AD348+AK348+AR348</f>
        <v/>
      </c>
      <c r="BB348" s="34">
        <f>MAX(F348:G348,750)*0.05*BA348</f>
        <v/>
      </c>
      <c r="BC348" s="34">
        <f>AG348+AN348+AU348</f>
        <v/>
      </c>
      <c r="BD348" s="34">
        <f>MAX(F348:G348,750)*0.05*BC348</f>
        <v/>
      </c>
      <c r="BE348" s="34">
        <f>F348*AY348</f>
        <v/>
      </c>
      <c r="BF348" s="34">
        <f>K348-M348</f>
        <v/>
      </c>
      <c r="BG348" s="34">
        <f>P348-S348</f>
        <v/>
      </c>
      <c r="BH348" s="34">
        <f>W348-AA348</f>
        <v/>
      </c>
      <c r="BI348" s="34">
        <f>BF348+BG348+BL348-BN348</f>
        <v/>
      </c>
      <c r="BJ348" s="34">
        <f>ABS(BK348)</f>
        <v/>
      </c>
      <c r="BK348" s="34">
        <f>AY348-(J348-L348+N348-Q348)</f>
        <v/>
      </c>
      <c r="BL348" s="34">
        <f>IF(AND(BK348&gt;0,MIN($F348:$G348)&lt;150,$E348="Enerji Açığı"),-100*BK348*1.03,IF(AND(BK348&gt;0,MIN($F348:$G348)&lt;150,$E348="Enerji Fazlası"),-100*BK348*1.06,IF(AND(BK348&gt;0,MIN($F348:$G348)&gt;=150,$E348="Enerji Açığı"),BK348*MIN($F348:$G348)*0.97,IF(AND(BK348&gt;0,MIN($F348:$G348)&gt;=150,$E348="Enerji Fazlası"),BK348*MIN($F348:$G348)*0.94,IF(AND(BK348&lt;0,MAX($F348:$G348)=4500,$E348="Enerji Açığı"),4500*1.05*1.06*BK348,IF(AND(BK348&lt;0,MAX($F348:$G348)=4500,$E348="Enerji Fazlası"),4500*1.05*1.03*BK348,IF(AND(BK348&lt;0,$E348="Enerji Açığı"),MAX($F348,$G348,150)*BK348*1.06,IF(AND(BK348&lt;0,$E348="Enerji Fazlası"),MAX($F348,$G348,150)*BK348*1.03,IF(AND(BK348&lt;0,$E348="Dengede"),MAX($F348:$G348,150)*1.03*BK348,MIN($F348:$G348)*0.97*BK348)))))))))</f>
        <v/>
      </c>
      <c r="BM348" s="34">
        <f>BE348-BI348-BN348</f>
        <v/>
      </c>
      <c r="BN348" s="34">
        <f>BB348</f>
        <v/>
      </c>
      <c r="BO348" s="34">
        <f>BE348-BI348</f>
        <v/>
      </c>
      <c r="BP348" s="34">
        <f>IF(AY348=0,0,BO348/AY348)</f>
        <v/>
      </c>
      <c r="BQ348" s="34">
        <f>MAX((AY348+MAX((-J348+L348-N348+Q348),0)),(MAX((J348-L348+N348-Q348),0)))</f>
        <v/>
      </c>
      <c r="BR348" s="82">
        <f>IFERROR(ABS(BK348/BQ348),0)</f>
        <v/>
      </c>
      <c r="BS348" s="34">
        <f>IF(BR348&lt;=0.1,0,BK348/BR348*(BR348-0.1))</f>
        <v/>
      </c>
      <c r="BT348" s="34">
        <f>IF((BS348)&lt;0,MAX(F348:G348)*(BS348)*1.03,MIN(F348:G348)*(BS348)*0.97)</f>
        <v/>
      </c>
      <c r="BU348" s="34">
        <f>IF(BR348&gt;0.1,1,0)</f>
        <v/>
      </c>
      <c r="BV348" s="34">
        <f>BF348+BG348+BH348+BY348-CA348</f>
        <v/>
      </c>
      <c r="BW348" s="34">
        <f>ABS(BX348)</f>
        <v/>
      </c>
      <c r="BX348" s="34">
        <f>AY348-(J348-L348+N348-Q348+T348-X348)</f>
        <v/>
      </c>
      <c r="BY348" s="34">
        <f>IF(AND(BX348&gt;0,MIN($F348:$G348)&lt;150,$E348="Enerji Açığı"),-100*BX348*1.03,IF(AND(BX348&gt;0,MIN($F348:$G348)&lt;150,$E348="Enerji Fazlası"),-100*BX348*1.06,IF(AND(BX348&gt;0,MIN($F348:$G348)&gt;=150,$E348="Enerji Açığı"),BX348*MIN($F348:$G348)*0.97,IF(AND(BX348&gt;0,MIN($F348:$G348)&gt;=150,$E348="Enerji Fazlası"),BX348*MIN($F348:$G348)*0.94,IF(AND(BX348&lt;0,MAX($F348:$G348)=4500,$E348="Enerji Açığı"),4500*1.05*1.06*BX348,IF(AND(BX348&lt;0,MAX($F348:$G348)=4500,$E348="Enerji Fazlası"),4500*1.05*1.03*BX348,IF(AND(BX348&lt;0,$E348="Enerji Açığı"),MAX($F348,$G348,150)*BX348*1.06,IF(AND(BX348&lt;0,$E348="Enerji Fazlası"),MAX($F348,$G348,150)*BX348*1.03,IF(AND(BX348&lt;0,$E348="Dengede"),MAX($F348:$G348,150)*1.03*BX348,MIN($F348:$G348)*0.97*BX348)))))))))</f>
        <v/>
      </c>
      <c r="BZ348" s="34">
        <f>BE348-BV348-CA348</f>
        <v/>
      </c>
      <c r="CA348" s="34">
        <f>BD348</f>
        <v/>
      </c>
      <c r="CB348" s="33">
        <f>BE348-BV348</f>
        <v/>
      </c>
      <c r="CC348" s="34">
        <f>IF(AY348=0,0,CB348/AY348)</f>
        <v/>
      </c>
      <c r="CD348" s="34">
        <f>MAX((AY348+MAX((-J348+L348-N348+Q348-T348+X348),0)),(MAX((J348-L348+N348-Q348+T348-X348),0)))</f>
        <v/>
      </c>
      <c r="CE348" s="82">
        <f>IFERROR(ABS(BX348/CD348),0)</f>
        <v/>
      </c>
      <c r="CF348" s="34">
        <f>IF(CE348&lt;=0.1,0,BX348/CE348*(CE348-0.1))</f>
        <v/>
      </c>
      <c r="CG348" s="34">
        <f>IF((CF348)&lt;0,MAX(F348:G348)*(CF348)*1.03,MIN(F348:G348)*(CF348)*0.97)</f>
        <v/>
      </c>
      <c r="CH348" s="34">
        <f>IF(CE348&gt;0.1,1,0)</f>
        <v/>
      </c>
      <c r="CI348" s="34">
        <f>(F348*BX348)-BY348</f>
        <v/>
      </c>
      <c r="CJ348" s="34">
        <f>IF(AY348=0,0,CI348/AY348)</f>
        <v/>
      </c>
    </row>
    <row r="349">
      <c r="A349" s="29">
        <f>[1]FİYATLAR!A324</f>
        <v/>
      </c>
      <c r="B349" s="29">
        <f>[1]FİYATLAR!B324</f>
        <v/>
      </c>
      <c r="C349" s="35">
        <f>INT(A349)</f>
        <v/>
      </c>
      <c r="D349" s="36">
        <f>MONTH(A349)</f>
        <v/>
      </c>
      <c r="E349" s="147">
        <f>[1]FİYATLAR!G324</f>
        <v/>
      </c>
      <c r="F349" s="30">
        <f>[1]FİYATLAR!C324</f>
        <v/>
      </c>
      <c r="G349" s="30">
        <f>[1]FİYATLAR!E324</f>
        <v/>
      </c>
      <c r="H349" s="30">
        <f>[1]FİYATLAR!D324</f>
        <v/>
      </c>
      <c r="I349" s="30">
        <f>[1]FİYATLAR!F324</f>
        <v/>
      </c>
      <c r="J349" s="119" t="n">
        <v>0</v>
      </c>
      <c r="K349" s="34">
        <f>F349*J349</f>
        <v/>
      </c>
      <c r="L349" s="119" t="n"/>
      <c r="M349" s="34">
        <f>L349*F349</f>
        <v/>
      </c>
      <c r="N349" s="119" t="n"/>
      <c r="O349" s="34">
        <f>F349</f>
        <v/>
      </c>
      <c r="P349" s="34">
        <f>N349*O349</f>
        <v/>
      </c>
      <c r="Q349" s="117" t="n">
        <v>0</v>
      </c>
      <c r="R349" s="34">
        <f>F349</f>
        <v/>
      </c>
      <c r="S349" s="34">
        <f>R349*Q349</f>
        <v/>
      </c>
      <c r="T349" s="34">
        <f>SUMIFS('[1]GİP VERİLERİ'!$C:$C,'[1]GİP VERİLERİ'!$B:$B,A349,'[1]GİP VERİLERİ'!$M:$M,"40X000000104782K",'[1]GİP VERİLERİ'!$G:$G,"SELL")</f>
        <v/>
      </c>
      <c r="U349" s="34">
        <f>IFERROR(W349/T349,0)</f>
        <v/>
      </c>
      <c r="V349" s="34">
        <f>IF(U349=0,0,U349-F349)</f>
        <v/>
      </c>
      <c r="W349" s="34">
        <f>SUMIFS('[1]GİP VERİLERİ'!$O:$O,'[1]GİP VERİLERİ'!$B:$B,A349,'[1]GİP VERİLERİ'!$M:$M,"40X000000104782K",'[1]GİP VERİLERİ'!$G:$G,"SELL")</f>
        <v/>
      </c>
      <c r="X349" s="34">
        <f>SUMIFS('[1]GİP VERİLERİ'!$C:$C,'[1]GİP VERİLERİ'!$B:$B,A349,'[1]GİP VERİLERİ'!$M:$M,"40X000000104782K",'[1]GİP VERİLERİ'!$G:$G,"BUY")</f>
        <v/>
      </c>
      <c r="Y349" s="34">
        <f>IFERROR(AA349/X349,0)</f>
        <v/>
      </c>
      <c r="Z349" s="34">
        <f>IF(Y349=0,0,F349-Y349)</f>
        <v/>
      </c>
      <c r="AA349" s="34">
        <f>SUMIFS('[1]GİP VERİLERİ'!$O:$O,'[1]GİP VERİLERİ'!$B:$B,A349,'[1]GİP VERİLERİ'!$M:$M,"40X000000104782K",'[1]GİP VERİLERİ'!$G:$G,"BUY")</f>
        <v/>
      </c>
      <c r="AB349" s="34">
        <f>'[1]GÖP VERİLERİ'!H350</f>
        <v/>
      </c>
      <c r="AC349" s="34">
        <f>'[1]GÖP VERİLERİ'!I350</f>
        <v/>
      </c>
      <c r="AD349" s="34">
        <f>IF(AB349&gt;AC349*1.05,AB349-AC349*1.05,IF(AB349&lt;AC349*0.95,AC349*0.95-AB349,0))</f>
        <v/>
      </c>
      <c r="AE349" s="34">
        <f>MAX(F349,G349,750)*0.05*AD349</f>
        <v/>
      </c>
      <c r="AF349" s="34">
        <f>'[1]GÖP VERİLERİ'!J350</f>
        <v/>
      </c>
      <c r="AG349" s="34">
        <f>IF(AB349&gt;AF349*1.05,AB349-AF349*1.05,IF(AB349&lt;AF349*0.95,AF349*0.95-AB349,0))</f>
        <v/>
      </c>
      <c r="AH349" s="34">
        <f>MAX(I349,J349,750)*0.05*AG349</f>
        <v/>
      </c>
      <c r="AI349">
        <f>'[1]GÖP VERİLERİ'!E350</f>
        <v/>
      </c>
      <c r="AJ349">
        <f>'[1]GÖP VERİLERİ'!F350</f>
        <v/>
      </c>
      <c r="AK349" s="34">
        <f>IF(AI349&gt;AJ349*1.05,AI349-AJ349*1.05,IF(AI349&lt;AJ349*0.95,AJ349*0.95-AI349,0))</f>
        <v/>
      </c>
      <c r="AL349" s="34">
        <f>MAX(F349,G349,750)*0.05*AK349</f>
        <v/>
      </c>
      <c r="AM349" s="39">
        <f>'[1]GÖP VERİLERİ'!G350</f>
        <v/>
      </c>
      <c r="AN349" s="34">
        <f>IF(AI349&gt;AM349*1.05,AI349-AM349*1.05,IF(AI349&lt;AM349*0.95,AM349*0.95-AI349,0))</f>
        <v/>
      </c>
      <c r="AO349" s="34">
        <f>MAX(F349,G349,750)*0.05*AN349</f>
        <v/>
      </c>
      <c r="AP349" s="34">
        <f>'[1]GÖP VERİLERİ'!B350</f>
        <v/>
      </c>
      <c r="AQ349" s="34">
        <f>'[1]GÖP VERİLERİ'!C350</f>
        <v/>
      </c>
      <c r="AR349" s="34">
        <f>IF(AP349&gt;AQ349*1.05,AP349-AQ349*1.05,IF(AP349&lt;AQ349*0.95,AQ349*0.95-AP349,0))</f>
        <v/>
      </c>
      <c r="AS349" s="34">
        <f>MAX(F349:G349,750)*0.05*AR349</f>
        <v/>
      </c>
      <c r="AT349">
        <f>'[1]GÖP VERİLERİ'!D350</f>
        <v/>
      </c>
      <c r="AU349" s="34">
        <f>IF(AP349&gt;AT349*1.05,AP349-AT349*1.05,IF(AP349&lt;AT349*0.95,AT349*0.95-AP349,0))</f>
        <v/>
      </c>
      <c r="AV349" s="34">
        <f>MAX(F349:G349,750)*0.05*AU349</f>
        <v/>
      </c>
      <c r="AW349" s="34">
        <f>AC349+AJ349+AQ349</f>
        <v/>
      </c>
      <c r="AX349" s="34">
        <f>AF349+AM349+AT349</f>
        <v/>
      </c>
      <c r="AY349" s="34">
        <f>AB349+AI349+AP349</f>
        <v/>
      </c>
      <c r="AZ349" s="34" t="n">
        <v>0</v>
      </c>
      <c r="BA349" s="34">
        <f>AD349+AK349+AR349</f>
        <v/>
      </c>
      <c r="BB349" s="34">
        <f>MAX(F349:G349,750)*0.05*BA349</f>
        <v/>
      </c>
      <c r="BC349" s="34">
        <f>AG349+AN349+AU349</f>
        <v/>
      </c>
      <c r="BD349" s="34">
        <f>MAX(F349:G349,750)*0.05*BC349</f>
        <v/>
      </c>
      <c r="BE349" s="34">
        <f>F349*AY349</f>
        <v/>
      </c>
      <c r="BF349" s="34">
        <f>K349-M349</f>
        <v/>
      </c>
      <c r="BG349" s="34">
        <f>P349-S349</f>
        <v/>
      </c>
      <c r="BH349" s="34">
        <f>W349-AA349</f>
        <v/>
      </c>
      <c r="BI349" s="34">
        <f>BF349+BG349+BL349-BN349</f>
        <v/>
      </c>
      <c r="BJ349" s="34">
        <f>ABS(BK349)</f>
        <v/>
      </c>
      <c r="BK349" s="34">
        <f>AY349-(J349-L349+N349-Q349)</f>
        <v/>
      </c>
      <c r="BL349" s="34">
        <f>IF(AND(BK349&gt;0,MIN($F349:$G349)&lt;150,$E349="Enerji Açığı"),-100*BK349*1.03,IF(AND(BK349&gt;0,MIN($F349:$G349)&lt;150,$E349="Enerji Fazlası"),-100*BK349*1.06,IF(AND(BK349&gt;0,MIN($F349:$G349)&gt;=150,$E349="Enerji Açığı"),BK349*MIN($F349:$G349)*0.97,IF(AND(BK349&gt;0,MIN($F349:$G349)&gt;=150,$E349="Enerji Fazlası"),BK349*MIN($F349:$G349)*0.94,IF(AND(BK349&lt;0,MAX($F349:$G349)=4500,$E349="Enerji Açığı"),4500*1.05*1.06*BK349,IF(AND(BK349&lt;0,MAX($F349:$G349)=4500,$E349="Enerji Fazlası"),4500*1.05*1.03*BK349,IF(AND(BK349&lt;0,$E349="Enerji Açığı"),MAX($F349,$G349,150)*BK349*1.06,IF(AND(BK349&lt;0,$E349="Enerji Fazlası"),MAX($F349,$G349,150)*BK349*1.03,IF(AND(BK349&lt;0,$E349="Dengede"),MAX($F349:$G349,150)*1.03*BK349,MIN($F349:$G349)*0.97*BK349)))))))))</f>
        <v/>
      </c>
      <c r="BM349" s="34">
        <f>BE349-BI349-BN349</f>
        <v/>
      </c>
      <c r="BN349" s="34">
        <f>BB349</f>
        <v/>
      </c>
      <c r="BO349" s="34">
        <f>BE349-BI349</f>
        <v/>
      </c>
      <c r="BP349" s="34">
        <f>IF(AY349=0,0,BO349/AY349)</f>
        <v/>
      </c>
      <c r="BQ349" s="34">
        <f>MAX((AY349+MAX((-J349+L349-N349+Q349),0)),(MAX((J349-L349+N349-Q349),0)))</f>
        <v/>
      </c>
      <c r="BR349" s="82">
        <f>IFERROR(ABS(BK349/BQ349),0)</f>
        <v/>
      </c>
      <c r="BS349" s="34">
        <f>IF(BR349&lt;=0.1,0,BK349/BR349*(BR349-0.1))</f>
        <v/>
      </c>
      <c r="BT349" s="34">
        <f>IF((BS349)&lt;0,MAX(F349:G349)*(BS349)*1.03,MIN(F349:G349)*(BS349)*0.97)</f>
        <v/>
      </c>
      <c r="BU349" s="34">
        <f>IF(BR349&gt;0.1,1,0)</f>
        <v/>
      </c>
      <c r="BV349" s="34">
        <f>BF349+BG349+BH349+BY349-CA349</f>
        <v/>
      </c>
      <c r="BW349" s="34">
        <f>ABS(BX349)</f>
        <v/>
      </c>
      <c r="BX349" s="34">
        <f>AY349-(J349-L349+N349-Q349+T349-X349)</f>
        <v/>
      </c>
      <c r="BY349" s="34">
        <f>IF(AND(BX349&gt;0,MIN($F349:$G349)&lt;150,$E349="Enerji Açığı"),-100*BX349*1.03,IF(AND(BX349&gt;0,MIN($F349:$G349)&lt;150,$E349="Enerji Fazlası"),-100*BX349*1.06,IF(AND(BX349&gt;0,MIN($F349:$G349)&gt;=150,$E349="Enerji Açığı"),BX349*MIN($F349:$G349)*0.97,IF(AND(BX349&gt;0,MIN($F349:$G349)&gt;=150,$E349="Enerji Fazlası"),BX349*MIN($F349:$G349)*0.94,IF(AND(BX349&lt;0,MAX($F349:$G349)=4500,$E349="Enerji Açığı"),4500*1.05*1.06*BX349,IF(AND(BX349&lt;0,MAX($F349:$G349)=4500,$E349="Enerji Fazlası"),4500*1.05*1.03*BX349,IF(AND(BX349&lt;0,$E349="Enerji Açığı"),MAX($F349,$G349,150)*BX349*1.06,IF(AND(BX349&lt;0,$E349="Enerji Fazlası"),MAX($F349,$G349,150)*BX349*1.03,IF(AND(BX349&lt;0,$E349="Dengede"),MAX($F349:$G349,150)*1.03*BX349,MIN($F349:$G349)*0.97*BX349)))))))))</f>
        <v/>
      </c>
      <c r="BZ349" s="34">
        <f>BE349-BV349-CA349</f>
        <v/>
      </c>
      <c r="CA349" s="34">
        <f>BD349</f>
        <v/>
      </c>
      <c r="CB349" s="33">
        <f>BE349-BV349</f>
        <v/>
      </c>
      <c r="CC349" s="34">
        <f>IF(AY349=0,0,CB349/AY349)</f>
        <v/>
      </c>
      <c r="CD349" s="34">
        <f>MAX((AY349+MAX((-J349+L349-N349+Q349-T349+X349),0)),(MAX((J349-L349+N349-Q349+T349-X349),0)))</f>
        <v/>
      </c>
      <c r="CE349" s="82">
        <f>IFERROR(ABS(BX349/CD349),0)</f>
        <v/>
      </c>
      <c r="CF349" s="34">
        <f>IF(CE349&lt;=0.1,0,BX349/CE349*(CE349-0.1))</f>
        <v/>
      </c>
      <c r="CG349" s="34">
        <f>IF((CF349)&lt;0,MAX(F349:G349)*(CF349)*1.03,MIN(F349:G349)*(CF349)*0.97)</f>
        <v/>
      </c>
      <c r="CH349" s="34">
        <f>IF(CE349&gt;0.1,1,0)</f>
        <v/>
      </c>
      <c r="CI349" s="34">
        <f>(F349*BX349)-BY349</f>
        <v/>
      </c>
      <c r="CJ349" s="34">
        <f>IF(AY349=0,0,CI349/AY349)</f>
        <v/>
      </c>
    </row>
    <row r="350">
      <c r="A350" s="29">
        <f>[1]FİYATLAR!A325</f>
        <v/>
      </c>
      <c r="B350" s="29">
        <f>[1]FİYATLAR!B325</f>
        <v/>
      </c>
      <c r="C350" s="35">
        <f>INT(A350)</f>
        <v/>
      </c>
      <c r="D350" s="36">
        <f>MONTH(A350)</f>
        <v/>
      </c>
      <c r="E350" s="147">
        <f>[1]FİYATLAR!G325</f>
        <v/>
      </c>
      <c r="F350" s="30">
        <f>[1]FİYATLAR!C325</f>
        <v/>
      </c>
      <c r="G350" s="30">
        <f>[1]FİYATLAR!E325</f>
        <v/>
      </c>
      <c r="H350" s="30">
        <f>[1]FİYATLAR!D325</f>
        <v/>
      </c>
      <c r="I350" s="30">
        <f>[1]FİYATLAR!F325</f>
        <v/>
      </c>
      <c r="J350" s="119" t="n">
        <v>0</v>
      </c>
      <c r="K350" s="34">
        <f>F350*J350</f>
        <v/>
      </c>
      <c r="L350" s="119" t="n"/>
      <c r="M350" s="34">
        <f>L350*F350</f>
        <v/>
      </c>
      <c r="N350" s="119" t="n"/>
      <c r="O350" s="34">
        <f>F350</f>
        <v/>
      </c>
      <c r="P350" s="34">
        <f>N350*O350</f>
        <v/>
      </c>
      <c r="Q350" s="117" t="n">
        <v>0</v>
      </c>
      <c r="R350" s="34">
        <f>F350</f>
        <v/>
      </c>
      <c r="S350" s="34">
        <f>R350*Q350</f>
        <v/>
      </c>
      <c r="T350" s="34">
        <f>SUMIFS('[1]GİP VERİLERİ'!$C:$C,'[1]GİP VERİLERİ'!$B:$B,A350,'[1]GİP VERİLERİ'!$M:$M,"40X000000104782K",'[1]GİP VERİLERİ'!$G:$G,"SELL")</f>
        <v/>
      </c>
      <c r="U350" s="34">
        <f>IFERROR(W350/T350,0)</f>
        <v/>
      </c>
      <c r="V350" s="34">
        <f>IF(U350=0,0,U350-F350)</f>
        <v/>
      </c>
      <c r="W350" s="34">
        <f>SUMIFS('[1]GİP VERİLERİ'!$O:$O,'[1]GİP VERİLERİ'!$B:$B,A350,'[1]GİP VERİLERİ'!$M:$M,"40X000000104782K",'[1]GİP VERİLERİ'!$G:$G,"SELL")</f>
        <v/>
      </c>
      <c r="X350" s="34">
        <f>SUMIFS('[1]GİP VERİLERİ'!$C:$C,'[1]GİP VERİLERİ'!$B:$B,A350,'[1]GİP VERİLERİ'!$M:$M,"40X000000104782K",'[1]GİP VERİLERİ'!$G:$G,"BUY")</f>
        <v/>
      </c>
      <c r="Y350" s="34">
        <f>IFERROR(AA350/X350,0)</f>
        <v/>
      </c>
      <c r="Z350" s="34">
        <f>IF(Y350=0,0,F350-Y350)</f>
        <v/>
      </c>
      <c r="AA350" s="34">
        <f>SUMIFS('[1]GİP VERİLERİ'!$O:$O,'[1]GİP VERİLERİ'!$B:$B,A350,'[1]GİP VERİLERİ'!$M:$M,"40X000000104782K",'[1]GİP VERİLERİ'!$G:$G,"BUY")</f>
        <v/>
      </c>
      <c r="AB350" s="34">
        <f>'[1]GÖP VERİLERİ'!H351</f>
        <v/>
      </c>
      <c r="AC350" s="34">
        <f>'[1]GÖP VERİLERİ'!I351</f>
        <v/>
      </c>
      <c r="AD350" s="34">
        <f>IF(AB350&gt;AC350*1.05,AB350-AC350*1.05,IF(AB350&lt;AC350*0.95,AC350*0.95-AB350,0))</f>
        <v/>
      </c>
      <c r="AE350" s="34">
        <f>MAX(F350,G350,750)*0.05*AD350</f>
        <v/>
      </c>
      <c r="AF350" s="34">
        <f>'[1]GÖP VERİLERİ'!J351</f>
        <v/>
      </c>
      <c r="AG350" s="34">
        <f>IF(AB350&gt;AF350*1.05,AB350-AF350*1.05,IF(AB350&lt;AF350*0.95,AF350*0.95-AB350,0))</f>
        <v/>
      </c>
      <c r="AH350" s="34">
        <f>MAX(I350,J350,750)*0.05*AG350</f>
        <v/>
      </c>
      <c r="AI350">
        <f>'[1]GÖP VERİLERİ'!E351</f>
        <v/>
      </c>
      <c r="AJ350">
        <f>'[1]GÖP VERİLERİ'!F351</f>
        <v/>
      </c>
      <c r="AK350" s="34">
        <f>IF(AI350&gt;AJ350*1.05,AI350-AJ350*1.05,IF(AI350&lt;AJ350*0.95,AJ350*0.95-AI350,0))</f>
        <v/>
      </c>
      <c r="AL350" s="34">
        <f>MAX(F350,G350,750)*0.05*AK350</f>
        <v/>
      </c>
      <c r="AM350" s="39">
        <f>'[1]GÖP VERİLERİ'!G351</f>
        <v/>
      </c>
      <c r="AN350" s="34">
        <f>IF(AI350&gt;AM350*1.05,AI350-AM350*1.05,IF(AI350&lt;AM350*0.95,AM350*0.95-AI350,0))</f>
        <v/>
      </c>
      <c r="AO350" s="34">
        <f>MAX(F350,G350,750)*0.05*AN350</f>
        <v/>
      </c>
      <c r="AP350" s="34">
        <f>'[1]GÖP VERİLERİ'!B351</f>
        <v/>
      </c>
      <c r="AQ350" s="34">
        <f>'[1]GÖP VERİLERİ'!C351</f>
        <v/>
      </c>
      <c r="AR350" s="34">
        <f>IF(AP350&gt;AQ350*1.05,AP350-AQ350*1.05,IF(AP350&lt;AQ350*0.95,AQ350*0.95-AP350,0))</f>
        <v/>
      </c>
      <c r="AS350" s="34">
        <f>MAX(F350:G350,750)*0.05*AR350</f>
        <v/>
      </c>
      <c r="AT350">
        <f>'[1]GÖP VERİLERİ'!D351</f>
        <v/>
      </c>
      <c r="AU350" s="34">
        <f>IF(AP350&gt;AT350*1.05,AP350-AT350*1.05,IF(AP350&lt;AT350*0.95,AT350*0.95-AP350,0))</f>
        <v/>
      </c>
      <c r="AV350" s="34">
        <f>MAX(F350:G350,750)*0.05*AU350</f>
        <v/>
      </c>
      <c r="AW350" s="34">
        <f>AC350+AJ350+AQ350</f>
        <v/>
      </c>
      <c r="AX350" s="34">
        <f>AF350+AM350+AT350</f>
        <v/>
      </c>
      <c r="AY350" s="34">
        <f>AB350+AI350+AP350</f>
        <v/>
      </c>
      <c r="AZ350" s="34" t="n">
        <v>0</v>
      </c>
      <c r="BA350" s="34">
        <f>AD350+AK350+AR350</f>
        <v/>
      </c>
      <c r="BB350" s="34">
        <f>MAX(F350:G350,750)*0.05*BA350</f>
        <v/>
      </c>
      <c r="BC350" s="34">
        <f>AG350+AN350+AU350</f>
        <v/>
      </c>
      <c r="BD350" s="34">
        <f>MAX(F350:G350,750)*0.05*BC350</f>
        <v/>
      </c>
      <c r="BE350" s="34">
        <f>F350*AY350</f>
        <v/>
      </c>
      <c r="BF350" s="34">
        <f>K350-M350</f>
        <v/>
      </c>
      <c r="BG350" s="34">
        <f>P350-S350</f>
        <v/>
      </c>
      <c r="BH350" s="34">
        <f>W350-AA350</f>
        <v/>
      </c>
      <c r="BI350" s="34">
        <f>BF350+BG350+BL350-BN350</f>
        <v/>
      </c>
      <c r="BJ350" s="34">
        <f>ABS(BK350)</f>
        <v/>
      </c>
      <c r="BK350" s="34">
        <f>AY350-(J350-L350+N350-Q350)</f>
        <v/>
      </c>
      <c r="BL350" s="34">
        <f>IF(AND(BK350&gt;0,MIN($F350:$G350)&lt;150,$E350="Enerji Açığı"),-100*BK350*1.03,IF(AND(BK350&gt;0,MIN($F350:$G350)&lt;150,$E350="Enerji Fazlası"),-100*BK350*1.06,IF(AND(BK350&gt;0,MIN($F350:$G350)&gt;=150,$E350="Enerji Açığı"),BK350*MIN($F350:$G350)*0.97,IF(AND(BK350&gt;0,MIN($F350:$G350)&gt;=150,$E350="Enerji Fazlası"),BK350*MIN($F350:$G350)*0.94,IF(AND(BK350&lt;0,MAX($F350:$G350)=4500,$E350="Enerji Açığı"),4500*1.05*1.06*BK350,IF(AND(BK350&lt;0,MAX($F350:$G350)=4500,$E350="Enerji Fazlası"),4500*1.05*1.03*BK350,IF(AND(BK350&lt;0,$E350="Enerji Açığı"),MAX($F350,$G350,150)*BK350*1.06,IF(AND(BK350&lt;0,$E350="Enerji Fazlası"),MAX($F350,$G350,150)*BK350*1.03,IF(AND(BK350&lt;0,$E350="Dengede"),MAX($F350:$G350,150)*1.03*BK350,MIN($F350:$G350)*0.97*BK350)))))))))</f>
        <v/>
      </c>
      <c r="BM350" s="34">
        <f>BE350-BI350-BN350</f>
        <v/>
      </c>
      <c r="BN350" s="34">
        <f>BB350</f>
        <v/>
      </c>
      <c r="BO350" s="34">
        <f>BE350-BI350</f>
        <v/>
      </c>
      <c r="BP350" s="34">
        <f>IF(AY350=0,0,BO350/AY350)</f>
        <v/>
      </c>
      <c r="BQ350" s="34">
        <f>MAX((AY350+MAX((-J350+L350-N350+Q350),0)),(MAX((J350-L350+N350-Q350),0)))</f>
        <v/>
      </c>
      <c r="BR350" s="82">
        <f>IFERROR(ABS(BK350/BQ350),0)</f>
        <v/>
      </c>
      <c r="BS350" s="34">
        <f>IF(BR350&lt;=0.1,0,BK350/BR350*(BR350-0.1))</f>
        <v/>
      </c>
      <c r="BT350" s="34">
        <f>IF((BS350)&lt;0,MAX(F350:G350)*(BS350)*1.03,MIN(F350:G350)*(BS350)*0.97)</f>
        <v/>
      </c>
      <c r="BU350" s="34">
        <f>IF(BR350&gt;0.1,1,0)</f>
        <v/>
      </c>
      <c r="BV350" s="34">
        <f>BF350+BG350+BH350+BY350-CA350</f>
        <v/>
      </c>
      <c r="BW350" s="34">
        <f>ABS(BX350)</f>
        <v/>
      </c>
      <c r="BX350" s="34">
        <f>AY350-(J350-L350+N350-Q350+T350-X350)</f>
        <v/>
      </c>
      <c r="BY350" s="34">
        <f>IF(AND(BX350&gt;0,MIN($F350:$G350)&lt;150,$E350="Enerji Açığı"),-100*BX350*1.03,IF(AND(BX350&gt;0,MIN($F350:$G350)&lt;150,$E350="Enerji Fazlası"),-100*BX350*1.06,IF(AND(BX350&gt;0,MIN($F350:$G350)&gt;=150,$E350="Enerji Açığı"),BX350*MIN($F350:$G350)*0.97,IF(AND(BX350&gt;0,MIN($F350:$G350)&gt;=150,$E350="Enerji Fazlası"),BX350*MIN($F350:$G350)*0.94,IF(AND(BX350&lt;0,MAX($F350:$G350)=4500,$E350="Enerji Açığı"),4500*1.05*1.06*BX350,IF(AND(BX350&lt;0,MAX($F350:$G350)=4500,$E350="Enerji Fazlası"),4500*1.05*1.03*BX350,IF(AND(BX350&lt;0,$E350="Enerji Açığı"),MAX($F350,$G350,150)*BX350*1.06,IF(AND(BX350&lt;0,$E350="Enerji Fazlası"),MAX($F350,$G350,150)*BX350*1.03,IF(AND(BX350&lt;0,$E350="Dengede"),MAX($F350:$G350,150)*1.03*BX350,MIN($F350:$G350)*0.97*BX350)))))))))</f>
        <v/>
      </c>
      <c r="BZ350" s="34">
        <f>BE350-BV350-CA350</f>
        <v/>
      </c>
      <c r="CA350" s="34">
        <f>BD350</f>
        <v/>
      </c>
      <c r="CB350" s="33">
        <f>BE350-BV350</f>
        <v/>
      </c>
      <c r="CC350" s="34">
        <f>IF(AY350=0,0,CB350/AY350)</f>
        <v/>
      </c>
      <c r="CD350" s="34">
        <f>MAX((AY350+MAX((-J350+L350-N350+Q350-T350+X350),0)),(MAX((J350-L350+N350-Q350+T350-X350),0)))</f>
        <v/>
      </c>
      <c r="CE350" s="82">
        <f>IFERROR(ABS(BX350/CD350),0)</f>
        <v/>
      </c>
      <c r="CF350" s="34">
        <f>IF(CE350&lt;=0.1,0,BX350/CE350*(CE350-0.1))</f>
        <v/>
      </c>
      <c r="CG350" s="34">
        <f>IF((CF350)&lt;0,MAX(F350:G350)*(CF350)*1.03,MIN(F350:G350)*(CF350)*0.97)</f>
        <v/>
      </c>
      <c r="CH350" s="34">
        <f>IF(CE350&gt;0.1,1,0)</f>
        <v/>
      </c>
      <c r="CI350" s="34">
        <f>(F350*BX350)-BY350</f>
        <v/>
      </c>
      <c r="CJ350" s="34">
        <f>IF(AY350=0,0,CI350/AY350)</f>
        <v/>
      </c>
    </row>
    <row r="351">
      <c r="A351" s="29">
        <f>[1]FİYATLAR!A326</f>
        <v/>
      </c>
      <c r="B351" s="29">
        <f>[1]FİYATLAR!B326</f>
        <v/>
      </c>
      <c r="C351" s="35">
        <f>INT(A351)</f>
        <v/>
      </c>
      <c r="D351" s="36">
        <f>MONTH(A351)</f>
        <v/>
      </c>
      <c r="E351" s="147">
        <f>[1]FİYATLAR!G326</f>
        <v/>
      </c>
      <c r="F351" s="30">
        <f>[1]FİYATLAR!C326</f>
        <v/>
      </c>
      <c r="G351" s="30">
        <f>[1]FİYATLAR!E326</f>
        <v/>
      </c>
      <c r="H351" s="30">
        <f>[1]FİYATLAR!D326</f>
        <v/>
      </c>
      <c r="I351" s="30">
        <f>[1]FİYATLAR!F326</f>
        <v/>
      </c>
      <c r="J351" s="119" t="n">
        <v>0</v>
      </c>
      <c r="K351" s="34">
        <f>F351*J351</f>
        <v/>
      </c>
      <c r="L351" s="119" t="n"/>
      <c r="M351" s="34">
        <f>L351*F351</f>
        <v/>
      </c>
      <c r="N351" s="119" t="n"/>
      <c r="O351" s="34">
        <f>F351</f>
        <v/>
      </c>
      <c r="P351" s="34">
        <f>N351*O351</f>
        <v/>
      </c>
      <c r="Q351" s="117" t="n">
        <v>0</v>
      </c>
      <c r="R351" s="34">
        <f>F351</f>
        <v/>
      </c>
      <c r="S351" s="34">
        <f>R351*Q351</f>
        <v/>
      </c>
      <c r="T351" s="34">
        <f>SUMIFS('[1]GİP VERİLERİ'!$C:$C,'[1]GİP VERİLERİ'!$B:$B,A351,'[1]GİP VERİLERİ'!$M:$M,"40X000000104782K",'[1]GİP VERİLERİ'!$G:$G,"SELL")</f>
        <v/>
      </c>
      <c r="U351" s="34">
        <f>IFERROR(W351/T351,0)</f>
        <v/>
      </c>
      <c r="V351" s="34">
        <f>IF(U351=0,0,U351-F351)</f>
        <v/>
      </c>
      <c r="W351" s="34">
        <f>SUMIFS('[1]GİP VERİLERİ'!$O:$O,'[1]GİP VERİLERİ'!$B:$B,A351,'[1]GİP VERİLERİ'!$M:$M,"40X000000104782K",'[1]GİP VERİLERİ'!$G:$G,"SELL")</f>
        <v/>
      </c>
      <c r="X351" s="34">
        <f>SUMIFS('[1]GİP VERİLERİ'!$C:$C,'[1]GİP VERİLERİ'!$B:$B,A351,'[1]GİP VERİLERİ'!$M:$M,"40X000000104782K",'[1]GİP VERİLERİ'!$G:$G,"BUY")</f>
        <v/>
      </c>
      <c r="Y351" s="34">
        <f>IFERROR(AA351/X351,0)</f>
        <v/>
      </c>
      <c r="Z351" s="34">
        <f>IF(Y351=0,0,F351-Y351)</f>
        <v/>
      </c>
      <c r="AA351" s="34">
        <f>SUMIFS('[1]GİP VERİLERİ'!$O:$O,'[1]GİP VERİLERİ'!$B:$B,A351,'[1]GİP VERİLERİ'!$M:$M,"40X000000104782K",'[1]GİP VERİLERİ'!$G:$G,"BUY")</f>
        <v/>
      </c>
      <c r="AB351" s="34">
        <f>'[1]GÖP VERİLERİ'!H352</f>
        <v/>
      </c>
      <c r="AC351" s="34">
        <f>'[1]GÖP VERİLERİ'!I352</f>
        <v/>
      </c>
      <c r="AD351" s="34">
        <f>IF(AB351&gt;AC351*1.05,AB351-AC351*1.05,IF(AB351&lt;AC351*0.95,AC351*0.95-AB351,0))</f>
        <v/>
      </c>
      <c r="AE351" s="34">
        <f>MAX(F351,G351,750)*0.05*AD351</f>
        <v/>
      </c>
      <c r="AF351" s="34">
        <f>'[1]GÖP VERİLERİ'!J352</f>
        <v/>
      </c>
      <c r="AG351" s="34">
        <f>IF(AB351&gt;AF351*1.05,AB351-AF351*1.05,IF(AB351&lt;AF351*0.95,AF351*0.95-AB351,0))</f>
        <v/>
      </c>
      <c r="AH351" s="34">
        <f>MAX(I351,J351,750)*0.05*AG351</f>
        <v/>
      </c>
      <c r="AI351">
        <f>'[1]GÖP VERİLERİ'!E352</f>
        <v/>
      </c>
      <c r="AJ351">
        <f>'[1]GÖP VERİLERİ'!F352</f>
        <v/>
      </c>
      <c r="AK351" s="34">
        <f>IF(AI351&gt;AJ351*1.05,AI351-AJ351*1.05,IF(AI351&lt;AJ351*0.95,AJ351*0.95-AI351,0))</f>
        <v/>
      </c>
      <c r="AL351" s="34">
        <f>MAX(F351,G351,750)*0.05*AK351</f>
        <v/>
      </c>
      <c r="AM351" s="39">
        <f>'[1]GÖP VERİLERİ'!G352</f>
        <v/>
      </c>
      <c r="AN351" s="34">
        <f>IF(AI351&gt;AM351*1.05,AI351-AM351*1.05,IF(AI351&lt;AM351*0.95,AM351*0.95-AI351,0))</f>
        <v/>
      </c>
      <c r="AO351" s="34">
        <f>MAX(F351,G351,750)*0.05*AN351</f>
        <v/>
      </c>
      <c r="AP351" s="34">
        <f>'[1]GÖP VERİLERİ'!B352</f>
        <v/>
      </c>
      <c r="AQ351" s="34">
        <f>'[1]GÖP VERİLERİ'!C352</f>
        <v/>
      </c>
      <c r="AR351" s="34">
        <f>IF(AP351&gt;AQ351*1.05,AP351-AQ351*1.05,IF(AP351&lt;AQ351*0.95,AQ351*0.95-AP351,0))</f>
        <v/>
      </c>
      <c r="AS351" s="34">
        <f>MAX(F351:G351,750)*0.05*AR351</f>
        <v/>
      </c>
      <c r="AT351">
        <f>'[1]GÖP VERİLERİ'!D352</f>
        <v/>
      </c>
      <c r="AU351" s="34">
        <f>IF(AP351&gt;AT351*1.05,AP351-AT351*1.05,IF(AP351&lt;AT351*0.95,AT351*0.95-AP351,0))</f>
        <v/>
      </c>
      <c r="AV351" s="34">
        <f>MAX(F351:G351,750)*0.05*AU351</f>
        <v/>
      </c>
      <c r="AW351" s="34">
        <f>AC351+AJ351+AQ351</f>
        <v/>
      </c>
      <c r="AX351" s="34">
        <f>AF351+AM351+AT351</f>
        <v/>
      </c>
      <c r="AY351" s="34">
        <f>AB351+AI351+AP351</f>
        <v/>
      </c>
      <c r="AZ351" s="34" t="n">
        <v>0</v>
      </c>
      <c r="BA351" s="34">
        <f>AD351+AK351+AR351</f>
        <v/>
      </c>
      <c r="BB351" s="34">
        <f>MAX(F351:G351,750)*0.05*BA351</f>
        <v/>
      </c>
      <c r="BC351" s="34">
        <f>AG351+AN351+AU351</f>
        <v/>
      </c>
      <c r="BD351" s="34">
        <f>MAX(F351:G351,750)*0.05*BC351</f>
        <v/>
      </c>
      <c r="BE351" s="34">
        <f>F351*AY351</f>
        <v/>
      </c>
      <c r="BF351" s="34">
        <f>K351-M351</f>
        <v/>
      </c>
      <c r="BG351" s="34">
        <f>P351-S351</f>
        <v/>
      </c>
      <c r="BH351" s="34">
        <f>W351-AA351</f>
        <v/>
      </c>
      <c r="BI351" s="34">
        <f>BF351+BG351+BL351-BN351</f>
        <v/>
      </c>
      <c r="BJ351" s="34">
        <f>ABS(BK351)</f>
        <v/>
      </c>
      <c r="BK351" s="34">
        <f>AY351-(J351-L351+N351-Q351)</f>
        <v/>
      </c>
      <c r="BL351" s="34">
        <f>IF(AND(BK351&gt;0,MIN($F351:$G351)&lt;150,$E351="Enerji Açığı"),-100*BK351*1.03,IF(AND(BK351&gt;0,MIN($F351:$G351)&lt;150,$E351="Enerji Fazlası"),-100*BK351*1.06,IF(AND(BK351&gt;0,MIN($F351:$G351)&gt;=150,$E351="Enerji Açığı"),BK351*MIN($F351:$G351)*0.97,IF(AND(BK351&gt;0,MIN($F351:$G351)&gt;=150,$E351="Enerji Fazlası"),BK351*MIN($F351:$G351)*0.94,IF(AND(BK351&lt;0,MAX($F351:$G351)=4500,$E351="Enerji Açığı"),4500*1.05*1.06*BK351,IF(AND(BK351&lt;0,MAX($F351:$G351)=4500,$E351="Enerji Fazlası"),4500*1.05*1.03*BK351,IF(AND(BK351&lt;0,$E351="Enerji Açığı"),MAX($F351,$G351,150)*BK351*1.06,IF(AND(BK351&lt;0,$E351="Enerji Fazlası"),MAX($F351,$G351,150)*BK351*1.03,IF(AND(BK351&lt;0,$E351="Dengede"),MAX($F351:$G351,150)*1.03*BK351,MIN($F351:$G351)*0.97*BK351)))))))))</f>
        <v/>
      </c>
      <c r="BM351" s="34">
        <f>BE351-BI351-BN351</f>
        <v/>
      </c>
      <c r="BN351" s="34">
        <f>BB351</f>
        <v/>
      </c>
      <c r="BO351" s="34">
        <f>BE351-BI351</f>
        <v/>
      </c>
      <c r="BP351" s="34">
        <f>IF(AY351=0,0,BO351/AY351)</f>
        <v/>
      </c>
      <c r="BQ351" s="34">
        <f>MAX((AY351+MAX((-J351+L351-N351+Q351),0)),(MAX((J351-L351+N351-Q351),0)))</f>
        <v/>
      </c>
      <c r="BR351" s="82">
        <f>IFERROR(ABS(BK351/BQ351),0)</f>
        <v/>
      </c>
      <c r="BS351" s="34">
        <f>IF(BR351&lt;=0.1,0,BK351/BR351*(BR351-0.1))</f>
        <v/>
      </c>
      <c r="BT351" s="34">
        <f>IF((BS351)&lt;0,MAX(F351:G351)*(BS351)*1.03,MIN(F351:G351)*(BS351)*0.97)</f>
        <v/>
      </c>
      <c r="BU351" s="34">
        <f>IF(BR351&gt;0.1,1,0)</f>
        <v/>
      </c>
      <c r="BV351" s="34">
        <f>BF351+BG351+BH351+BY351-CA351</f>
        <v/>
      </c>
      <c r="BW351" s="34">
        <f>ABS(BX351)</f>
        <v/>
      </c>
      <c r="BX351" s="34">
        <f>AY351-(J351-L351+N351-Q351+T351-X351)</f>
        <v/>
      </c>
      <c r="BY351" s="34">
        <f>IF(AND(BX351&gt;0,MIN($F351:$G351)&lt;150,$E351="Enerji Açığı"),-100*BX351*1.03,IF(AND(BX351&gt;0,MIN($F351:$G351)&lt;150,$E351="Enerji Fazlası"),-100*BX351*1.06,IF(AND(BX351&gt;0,MIN($F351:$G351)&gt;=150,$E351="Enerji Açığı"),BX351*MIN($F351:$G351)*0.97,IF(AND(BX351&gt;0,MIN($F351:$G351)&gt;=150,$E351="Enerji Fazlası"),BX351*MIN($F351:$G351)*0.94,IF(AND(BX351&lt;0,MAX($F351:$G351)=4500,$E351="Enerji Açığı"),4500*1.05*1.06*BX351,IF(AND(BX351&lt;0,MAX($F351:$G351)=4500,$E351="Enerji Fazlası"),4500*1.05*1.03*BX351,IF(AND(BX351&lt;0,$E351="Enerji Açığı"),MAX($F351,$G351,150)*BX351*1.06,IF(AND(BX351&lt;0,$E351="Enerji Fazlası"),MAX($F351,$G351,150)*BX351*1.03,IF(AND(BX351&lt;0,$E351="Dengede"),MAX($F351:$G351,150)*1.03*BX351,MIN($F351:$G351)*0.97*BX351)))))))))</f>
        <v/>
      </c>
      <c r="BZ351" s="34">
        <f>BE351-BV351-CA351</f>
        <v/>
      </c>
      <c r="CA351" s="34">
        <f>BD351</f>
        <v/>
      </c>
      <c r="CB351" s="33">
        <f>BE351-BV351</f>
        <v/>
      </c>
      <c r="CC351" s="34">
        <f>IF(AY351=0,0,CB351/AY351)</f>
        <v/>
      </c>
      <c r="CD351" s="34">
        <f>MAX((AY351+MAX((-J351+L351-N351+Q351-T351+X351),0)),(MAX((J351-L351+N351-Q351+T351-X351),0)))</f>
        <v/>
      </c>
      <c r="CE351" s="82">
        <f>IFERROR(ABS(BX351/CD351),0)</f>
        <v/>
      </c>
      <c r="CF351" s="34">
        <f>IF(CE351&lt;=0.1,0,BX351/CE351*(CE351-0.1))</f>
        <v/>
      </c>
      <c r="CG351" s="34">
        <f>IF((CF351)&lt;0,MAX(F351:G351)*(CF351)*1.03,MIN(F351:G351)*(CF351)*0.97)</f>
        <v/>
      </c>
      <c r="CH351" s="34">
        <f>IF(CE351&gt;0.1,1,0)</f>
        <v/>
      </c>
      <c r="CI351" s="34">
        <f>(F351*BX351)-BY351</f>
        <v/>
      </c>
      <c r="CJ351" s="34">
        <f>IF(AY351=0,0,CI351/AY351)</f>
        <v/>
      </c>
    </row>
    <row r="352">
      <c r="A352" s="29">
        <f>[1]FİYATLAR!A327</f>
        <v/>
      </c>
      <c r="B352" s="29">
        <f>[1]FİYATLAR!B327</f>
        <v/>
      </c>
      <c r="C352" s="35">
        <f>INT(A352)</f>
        <v/>
      </c>
      <c r="D352" s="36">
        <f>MONTH(A352)</f>
        <v/>
      </c>
      <c r="E352" s="147">
        <f>[1]FİYATLAR!G327</f>
        <v/>
      </c>
      <c r="F352" s="30">
        <f>[1]FİYATLAR!C327</f>
        <v/>
      </c>
      <c r="G352" s="30">
        <f>[1]FİYATLAR!E327</f>
        <v/>
      </c>
      <c r="H352" s="30">
        <f>[1]FİYATLAR!D327</f>
        <v/>
      </c>
      <c r="I352" s="30">
        <f>[1]FİYATLAR!F327</f>
        <v/>
      </c>
      <c r="J352" s="119" t="n">
        <v>0</v>
      </c>
      <c r="K352" s="34">
        <f>F352*J352</f>
        <v/>
      </c>
      <c r="L352" s="119" t="n"/>
      <c r="M352" s="34">
        <f>L352*F352</f>
        <v/>
      </c>
      <c r="N352" s="119" t="n"/>
      <c r="O352" s="34">
        <f>F352</f>
        <v/>
      </c>
      <c r="P352" s="34">
        <f>N352*O352</f>
        <v/>
      </c>
      <c r="Q352" s="117" t="n">
        <v>0</v>
      </c>
      <c r="R352" s="34">
        <f>F352</f>
        <v/>
      </c>
      <c r="S352" s="34">
        <f>R352*Q352</f>
        <v/>
      </c>
      <c r="T352" s="34">
        <f>SUMIFS('[1]GİP VERİLERİ'!$C:$C,'[1]GİP VERİLERİ'!$B:$B,A352,'[1]GİP VERİLERİ'!$M:$M,"40X000000104782K",'[1]GİP VERİLERİ'!$G:$G,"SELL")</f>
        <v/>
      </c>
      <c r="U352" s="34">
        <f>IFERROR(W352/T352,0)</f>
        <v/>
      </c>
      <c r="V352" s="34">
        <f>IF(U352=0,0,U352-F352)</f>
        <v/>
      </c>
      <c r="W352" s="34">
        <f>SUMIFS('[1]GİP VERİLERİ'!$O:$O,'[1]GİP VERİLERİ'!$B:$B,A352,'[1]GİP VERİLERİ'!$M:$M,"40X000000104782K",'[1]GİP VERİLERİ'!$G:$G,"SELL")</f>
        <v/>
      </c>
      <c r="X352" s="34">
        <f>SUMIFS('[1]GİP VERİLERİ'!$C:$C,'[1]GİP VERİLERİ'!$B:$B,A352,'[1]GİP VERİLERİ'!$M:$M,"40X000000104782K",'[1]GİP VERİLERİ'!$G:$G,"BUY")</f>
        <v/>
      </c>
      <c r="Y352" s="34">
        <f>IFERROR(AA352/X352,0)</f>
        <v/>
      </c>
      <c r="Z352" s="34">
        <f>IF(Y352=0,0,F352-Y352)</f>
        <v/>
      </c>
      <c r="AA352" s="34">
        <f>SUMIFS('[1]GİP VERİLERİ'!$O:$O,'[1]GİP VERİLERİ'!$B:$B,A352,'[1]GİP VERİLERİ'!$M:$M,"40X000000104782K",'[1]GİP VERİLERİ'!$G:$G,"BUY")</f>
        <v/>
      </c>
      <c r="AB352" s="34">
        <f>'[1]GÖP VERİLERİ'!H353</f>
        <v/>
      </c>
      <c r="AC352" s="34">
        <f>'[1]GÖP VERİLERİ'!I353</f>
        <v/>
      </c>
      <c r="AD352" s="34">
        <f>IF(AB352&gt;AC352*1.05,AB352-AC352*1.05,IF(AB352&lt;AC352*0.95,AC352*0.95-AB352,0))</f>
        <v/>
      </c>
      <c r="AE352" s="34">
        <f>MAX(F352,G352,750)*0.05*AD352</f>
        <v/>
      </c>
      <c r="AF352" s="34">
        <f>'[1]GÖP VERİLERİ'!J353</f>
        <v/>
      </c>
      <c r="AG352" s="34">
        <f>IF(AB352&gt;AF352*1.05,AB352-AF352*1.05,IF(AB352&lt;AF352*0.95,AF352*0.95-AB352,0))</f>
        <v/>
      </c>
      <c r="AH352" s="34">
        <f>MAX(I352,J352,750)*0.05*AG352</f>
        <v/>
      </c>
      <c r="AI352">
        <f>'[1]GÖP VERİLERİ'!E353</f>
        <v/>
      </c>
      <c r="AJ352">
        <f>'[1]GÖP VERİLERİ'!F353</f>
        <v/>
      </c>
      <c r="AK352" s="34">
        <f>IF(AI352&gt;AJ352*1.05,AI352-AJ352*1.05,IF(AI352&lt;AJ352*0.95,AJ352*0.95-AI352,0))</f>
        <v/>
      </c>
      <c r="AL352" s="34">
        <f>MAX(F352,G352,750)*0.05*AK352</f>
        <v/>
      </c>
      <c r="AM352" s="39">
        <f>'[1]GÖP VERİLERİ'!G353</f>
        <v/>
      </c>
      <c r="AN352" s="34">
        <f>IF(AI352&gt;AM352*1.05,AI352-AM352*1.05,IF(AI352&lt;AM352*0.95,AM352*0.95-AI352,0))</f>
        <v/>
      </c>
      <c r="AO352" s="34">
        <f>MAX(F352,G352,750)*0.05*AN352</f>
        <v/>
      </c>
      <c r="AP352" s="34">
        <f>'[1]GÖP VERİLERİ'!B353</f>
        <v/>
      </c>
      <c r="AQ352" s="34">
        <f>'[1]GÖP VERİLERİ'!C353</f>
        <v/>
      </c>
      <c r="AR352" s="34">
        <f>IF(AP352&gt;AQ352*1.05,AP352-AQ352*1.05,IF(AP352&lt;AQ352*0.95,AQ352*0.95-AP352,0))</f>
        <v/>
      </c>
      <c r="AS352" s="34">
        <f>MAX(F352:G352,750)*0.05*AR352</f>
        <v/>
      </c>
      <c r="AT352">
        <f>'[1]GÖP VERİLERİ'!D353</f>
        <v/>
      </c>
      <c r="AU352" s="34">
        <f>IF(AP352&gt;AT352*1.05,AP352-AT352*1.05,IF(AP352&lt;AT352*0.95,AT352*0.95-AP352,0))</f>
        <v/>
      </c>
      <c r="AV352" s="34">
        <f>MAX(F352:G352,750)*0.05*AU352</f>
        <v/>
      </c>
      <c r="AW352" s="34">
        <f>AC352+AJ352+AQ352</f>
        <v/>
      </c>
      <c r="AX352" s="34">
        <f>AF352+AM352+AT352</f>
        <v/>
      </c>
      <c r="AY352" s="34">
        <f>AB352+AI352+AP352</f>
        <v/>
      </c>
      <c r="AZ352" s="34" t="n">
        <v>0</v>
      </c>
      <c r="BA352" s="34">
        <f>AD352+AK352+AR352</f>
        <v/>
      </c>
      <c r="BB352" s="34">
        <f>MAX(F352:G352,750)*0.05*BA352</f>
        <v/>
      </c>
      <c r="BC352" s="34">
        <f>AG352+AN352+AU352</f>
        <v/>
      </c>
      <c r="BD352" s="34">
        <f>MAX(F352:G352,750)*0.05*BC352</f>
        <v/>
      </c>
      <c r="BE352" s="34">
        <f>F352*AY352</f>
        <v/>
      </c>
      <c r="BF352" s="34">
        <f>K352-M352</f>
        <v/>
      </c>
      <c r="BG352" s="34">
        <f>P352-S352</f>
        <v/>
      </c>
      <c r="BH352" s="34">
        <f>W352-AA352</f>
        <v/>
      </c>
      <c r="BI352" s="34">
        <f>BF352+BG352+BL352-BN352</f>
        <v/>
      </c>
      <c r="BJ352" s="34">
        <f>ABS(BK352)</f>
        <v/>
      </c>
      <c r="BK352" s="34">
        <f>AY352-(J352-L352+N352-Q352)</f>
        <v/>
      </c>
      <c r="BL352" s="34">
        <f>IF(AND(BK352&gt;0,MIN($F352:$G352)&lt;150,$E352="Enerji Açığı"),-100*BK352*1.03,IF(AND(BK352&gt;0,MIN($F352:$G352)&lt;150,$E352="Enerji Fazlası"),-100*BK352*1.06,IF(AND(BK352&gt;0,MIN($F352:$G352)&gt;=150,$E352="Enerji Açığı"),BK352*MIN($F352:$G352)*0.97,IF(AND(BK352&gt;0,MIN($F352:$G352)&gt;=150,$E352="Enerji Fazlası"),BK352*MIN($F352:$G352)*0.94,IF(AND(BK352&lt;0,MAX($F352:$G352)=4500,$E352="Enerji Açığı"),4500*1.05*1.06*BK352,IF(AND(BK352&lt;0,MAX($F352:$G352)=4500,$E352="Enerji Fazlası"),4500*1.05*1.03*BK352,IF(AND(BK352&lt;0,$E352="Enerji Açığı"),MAX($F352,$G352,150)*BK352*1.06,IF(AND(BK352&lt;0,$E352="Enerji Fazlası"),MAX($F352,$G352,150)*BK352*1.03,IF(AND(BK352&lt;0,$E352="Dengede"),MAX($F352:$G352,150)*1.03*BK352,MIN($F352:$G352)*0.97*BK352)))))))))</f>
        <v/>
      </c>
      <c r="BM352" s="34">
        <f>BE352-BI352-BN352</f>
        <v/>
      </c>
      <c r="BN352" s="34">
        <f>BB352</f>
        <v/>
      </c>
      <c r="BO352" s="34">
        <f>BE352-BI352</f>
        <v/>
      </c>
      <c r="BP352" s="34">
        <f>IF(AY352=0,0,BO352/AY352)</f>
        <v/>
      </c>
      <c r="BQ352" s="34">
        <f>MAX((AY352+MAX((-J352+L352-N352+Q352),0)),(MAX((J352-L352+N352-Q352),0)))</f>
        <v/>
      </c>
      <c r="BR352" s="82">
        <f>IFERROR(ABS(BK352/BQ352),0)</f>
        <v/>
      </c>
      <c r="BS352" s="34">
        <f>IF(BR352&lt;=0.1,0,BK352/BR352*(BR352-0.1))</f>
        <v/>
      </c>
      <c r="BT352" s="34">
        <f>IF((BS352)&lt;0,MAX(F352:G352)*(BS352)*1.03,MIN(F352:G352)*(BS352)*0.97)</f>
        <v/>
      </c>
      <c r="BU352" s="34">
        <f>IF(BR352&gt;0.1,1,0)</f>
        <v/>
      </c>
      <c r="BV352" s="34">
        <f>BF352+BG352+BH352+BY352-CA352</f>
        <v/>
      </c>
      <c r="BW352" s="34">
        <f>ABS(BX352)</f>
        <v/>
      </c>
      <c r="BX352" s="34">
        <f>AY352-(J352-L352+N352-Q352+T352-X352)</f>
        <v/>
      </c>
      <c r="BY352" s="34">
        <f>IF(AND(BX352&gt;0,MIN($F352:$G352)&lt;150,$E352="Enerji Açığı"),-100*BX352*1.03,IF(AND(BX352&gt;0,MIN($F352:$G352)&lt;150,$E352="Enerji Fazlası"),-100*BX352*1.06,IF(AND(BX352&gt;0,MIN($F352:$G352)&gt;=150,$E352="Enerji Açığı"),BX352*MIN($F352:$G352)*0.97,IF(AND(BX352&gt;0,MIN($F352:$G352)&gt;=150,$E352="Enerji Fazlası"),BX352*MIN($F352:$G352)*0.94,IF(AND(BX352&lt;0,MAX($F352:$G352)=4500,$E352="Enerji Açığı"),4500*1.05*1.06*BX352,IF(AND(BX352&lt;0,MAX($F352:$G352)=4500,$E352="Enerji Fazlası"),4500*1.05*1.03*BX352,IF(AND(BX352&lt;0,$E352="Enerji Açığı"),MAX($F352,$G352,150)*BX352*1.06,IF(AND(BX352&lt;0,$E352="Enerji Fazlası"),MAX($F352,$G352,150)*BX352*1.03,IF(AND(BX352&lt;0,$E352="Dengede"),MAX($F352:$G352,150)*1.03*BX352,MIN($F352:$G352)*0.97*BX352)))))))))</f>
        <v/>
      </c>
      <c r="BZ352" s="34">
        <f>BE352-BV352-CA352</f>
        <v/>
      </c>
      <c r="CA352" s="34">
        <f>BD352</f>
        <v/>
      </c>
      <c r="CB352" s="33">
        <f>BE352-BV352</f>
        <v/>
      </c>
      <c r="CC352" s="34">
        <f>IF(AY352=0,0,CB352/AY352)</f>
        <v/>
      </c>
      <c r="CD352" s="34">
        <f>MAX((AY352+MAX((-J352+L352-N352+Q352-T352+X352),0)),(MAX((J352-L352+N352-Q352+T352-X352),0)))</f>
        <v/>
      </c>
      <c r="CE352" s="82">
        <f>IFERROR(ABS(BX352/CD352),0)</f>
        <v/>
      </c>
      <c r="CF352" s="34">
        <f>IF(CE352&lt;=0.1,0,BX352/CE352*(CE352-0.1))</f>
        <v/>
      </c>
      <c r="CG352" s="34">
        <f>IF((CF352)&lt;0,MAX(F352:G352)*(CF352)*1.03,MIN(F352:G352)*(CF352)*0.97)</f>
        <v/>
      </c>
      <c r="CH352" s="34">
        <f>IF(CE352&gt;0.1,1,0)</f>
        <v/>
      </c>
      <c r="CI352" s="34">
        <f>(F352*BX352)-BY352</f>
        <v/>
      </c>
      <c r="CJ352" s="34">
        <f>IF(AY352=0,0,CI352/AY352)</f>
        <v/>
      </c>
    </row>
    <row r="353">
      <c r="A353" s="29">
        <f>[1]FİYATLAR!A328</f>
        <v/>
      </c>
      <c r="B353" s="29">
        <f>[1]FİYATLAR!B328</f>
        <v/>
      </c>
      <c r="C353" s="35">
        <f>INT(A353)</f>
        <v/>
      </c>
      <c r="D353" s="36">
        <f>MONTH(A353)</f>
        <v/>
      </c>
      <c r="E353" s="147">
        <f>[1]FİYATLAR!G328</f>
        <v/>
      </c>
      <c r="F353" s="30">
        <f>[1]FİYATLAR!C328</f>
        <v/>
      </c>
      <c r="G353" s="30">
        <f>[1]FİYATLAR!E328</f>
        <v/>
      </c>
      <c r="H353" s="30">
        <f>[1]FİYATLAR!D328</f>
        <v/>
      </c>
      <c r="I353" s="30">
        <f>[1]FİYATLAR!F328</f>
        <v/>
      </c>
      <c r="J353" s="119" t="n">
        <v>0</v>
      </c>
      <c r="K353" s="34">
        <f>F353*J353</f>
        <v/>
      </c>
      <c r="L353" s="119" t="n"/>
      <c r="M353" s="34">
        <f>L353*F353</f>
        <v/>
      </c>
      <c r="N353" s="119" t="n"/>
      <c r="O353" s="34">
        <f>F353</f>
        <v/>
      </c>
      <c r="P353" s="34">
        <f>N353*O353</f>
        <v/>
      </c>
      <c r="Q353" s="117" t="n">
        <v>0</v>
      </c>
      <c r="R353" s="34">
        <f>F353</f>
        <v/>
      </c>
      <c r="S353" s="34">
        <f>R353*Q353</f>
        <v/>
      </c>
      <c r="T353" s="34">
        <f>SUMIFS('[1]GİP VERİLERİ'!$C:$C,'[1]GİP VERİLERİ'!$B:$B,A353,'[1]GİP VERİLERİ'!$M:$M,"40X000000104782K",'[1]GİP VERİLERİ'!$G:$G,"SELL")</f>
        <v/>
      </c>
      <c r="U353" s="34">
        <f>IFERROR(W353/T353,0)</f>
        <v/>
      </c>
      <c r="V353" s="34">
        <f>IF(U353=0,0,U353-F353)</f>
        <v/>
      </c>
      <c r="W353" s="34">
        <f>SUMIFS('[1]GİP VERİLERİ'!$O:$O,'[1]GİP VERİLERİ'!$B:$B,A353,'[1]GİP VERİLERİ'!$M:$M,"40X000000104782K",'[1]GİP VERİLERİ'!$G:$G,"SELL")</f>
        <v/>
      </c>
      <c r="X353" s="34">
        <f>SUMIFS('[1]GİP VERİLERİ'!$C:$C,'[1]GİP VERİLERİ'!$B:$B,A353,'[1]GİP VERİLERİ'!$M:$M,"40X000000104782K",'[1]GİP VERİLERİ'!$G:$G,"BUY")</f>
        <v/>
      </c>
      <c r="Y353" s="34">
        <f>IFERROR(AA353/X353,0)</f>
        <v/>
      </c>
      <c r="Z353" s="34">
        <f>IF(Y353=0,0,F353-Y353)</f>
        <v/>
      </c>
      <c r="AA353" s="34">
        <f>SUMIFS('[1]GİP VERİLERİ'!$O:$O,'[1]GİP VERİLERİ'!$B:$B,A353,'[1]GİP VERİLERİ'!$M:$M,"40X000000104782K",'[1]GİP VERİLERİ'!$G:$G,"BUY")</f>
        <v/>
      </c>
      <c r="AB353" s="34">
        <f>'[1]GÖP VERİLERİ'!H354</f>
        <v/>
      </c>
      <c r="AC353" s="34">
        <f>'[1]GÖP VERİLERİ'!I354</f>
        <v/>
      </c>
      <c r="AD353" s="34">
        <f>IF(AB353&gt;AC353*1.05,AB353-AC353*1.05,IF(AB353&lt;AC353*0.95,AC353*0.95-AB353,0))</f>
        <v/>
      </c>
      <c r="AE353" s="34">
        <f>MAX(F353,G353,750)*0.05*AD353</f>
        <v/>
      </c>
      <c r="AF353" s="34">
        <f>'[1]GÖP VERİLERİ'!J354</f>
        <v/>
      </c>
      <c r="AG353" s="34">
        <f>IF(AB353&gt;AF353*1.05,AB353-AF353*1.05,IF(AB353&lt;AF353*0.95,AF353*0.95-AB353,0))</f>
        <v/>
      </c>
      <c r="AH353" s="34">
        <f>MAX(I353,J353,750)*0.05*AG353</f>
        <v/>
      </c>
      <c r="AI353">
        <f>'[1]GÖP VERİLERİ'!E354</f>
        <v/>
      </c>
      <c r="AJ353">
        <f>'[1]GÖP VERİLERİ'!F354</f>
        <v/>
      </c>
      <c r="AK353" s="34">
        <f>IF(AI353&gt;AJ353*1.05,AI353-AJ353*1.05,IF(AI353&lt;AJ353*0.95,AJ353*0.95-AI353,0))</f>
        <v/>
      </c>
      <c r="AL353" s="34">
        <f>MAX(F353,G353,750)*0.05*AK353</f>
        <v/>
      </c>
      <c r="AM353" s="39">
        <f>'[1]GÖP VERİLERİ'!G354</f>
        <v/>
      </c>
      <c r="AN353" s="34">
        <f>IF(AI353&gt;AM353*1.05,AI353-AM353*1.05,IF(AI353&lt;AM353*0.95,AM353*0.95-AI353,0))</f>
        <v/>
      </c>
      <c r="AO353" s="34">
        <f>MAX(F353,G353,750)*0.05*AN353</f>
        <v/>
      </c>
      <c r="AP353" s="34">
        <f>'[1]GÖP VERİLERİ'!B354</f>
        <v/>
      </c>
      <c r="AQ353" s="34">
        <f>'[1]GÖP VERİLERİ'!C354</f>
        <v/>
      </c>
      <c r="AR353" s="34">
        <f>IF(AP353&gt;AQ353*1.05,AP353-AQ353*1.05,IF(AP353&lt;AQ353*0.95,AQ353*0.95-AP353,0))</f>
        <v/>
      </c>
      <c r="AS353" s="34">
        <f>MAX(F353:G353,750)*0.05*AR353</f>
        <v/>
      </c>
      <c r="AT353">
        <f>'[1]GÖP VERİLERİ'!D354</f>
        <v/>
      </c>
      <c r="AU353" s="34">
        <f>IF(AP353&gt;AT353*1.05,AP353-AT353*1.05,IF(AP353&lt;AT353*0.95,AT353*0.95-AP353,0))</f>
        <v/>
      </c>
      <c r="AV353" s="34">
        <f>MAX(F353:G353,750)*0.05*AU353</f>
        <v/>
      </c>
      <c r="AW353" s="34">
        <f>AC353+AJ353+AQ353</f>
        <v/>
      </c>
      <c r="AX353" s="34">
        <f>AF353+AM353+AT353</f>
        <v/>
      </c>
      <c r="AY353" s="34">
        <f>AB353+AI353+AP353</f>
        <v/>
      </c>
      <c r="AZ353" s="34" t="n">
        <v>0</v>
      </c>
      <c r="BA353" s="34">
        <f>AD353+AK353+AR353</f>
        <v/>
      </c>
      <c r="BB353" s="34">
        <f>MAX(F353:G353,750)*0.05*BA353</f>
        <v/>
      </c>
      <c r="BC353" s="34">
        <f>AG353+AN353+AU353</f>
        <v/>
      </c>
      <c r="BD353" s="34">
        <f>MAX(F353:G353,750)*0.05*BC353</f>
        <v/>
      </c>
      <c r="BE353" s="34">
        <f>F353*AY353</f>
        <v/>
      </c>
      <c r="BF353" s="34">
        <f>K353-M353</f>
        <v/>
      </c>
      <c r="BG353" s="34">
        <f>P353-S353</f>
        <v/>
      </c>
      <c r="BH353" s="34">
        <f>W353-AA353</f>
        <v/>
      </c>
      <c r="BI353" s="34">
        <f>BF353+BG353+BL353-BN353</f>
        <v/>
      </c>
      <c r="BJ353" s="34">
        <f>ABS(BK353)</f>
        <v/>
      </c>
      <c r="BK353" s="34">
        <f>AY353-(J353-L353+N353-Q353)</f>
        <v/>
      </c>
      <c r="BL353" s="34">
        <f>IF(AND(BK353&gt;0,MIN($F353:$G353)&lt;150,$E353="Enerji Açığı"),-100*BK353*1.03,IF(AND(BK353&gt;0,MIN($F353:$G353)&lt;150,$E353="Enerji Fazlası"),-100*BK353*1.06,IF(AND(BK353&gt;0,MIN($F353:$G353)&gt;=150,$E353="Enerji Açığı"),BK353*MIN($F353:$G353)*0.97,IF(AND(BK353&gt;0,MIN($F353:$G353)&gt;=150,$E353="Enerji Fazlası"),BK353*MIN($F353:$G353)*0.94,IF(AND(BK353&lt;0,MAX($F353:$G353)=4500,$E353="Enerji Açığı"),4500*1.05*1.06*BK353,IF(AND(BK353&lt;0,MAX($F353:$G353)=4500,$E353="Enerji Fazlası"),4500*1.05*1.03*BK353,IF(AND(BK353&lt;0,$E353="Enerji Açığı"),MAX($F353,$G353,150)*BK353*1.06,IF(AND(BK353&lt;0,$E353="Enerji Fazlası"),MAX($F353,$G353,150)*BK353*1.03,IF(AND(BK353&lt;0,$E353="Dengede"),MAX($F353:$G353,150)*1.03*BK353,MIN($F353:$G353)*0.97*BK353)))))))))</f>
        <v/>
      </c>
      <c r="BM353" s="34">
        <f>BE353-BI353-BN353</f>
        <v/>
      </c>
      <c r="BN353" s="34">
        <f>BB353</f>
        <v/>
      </c>
      <c r="BO353" s="34">
        <f>BE353-BI353</f>
        <v/>
      </c>
      <c r="BP353" s="34">
        <f>IF(AY353=0,0,BO353/AY353)</f>
        <v/>
      </c>
      <c r="BQ353" s="34">
        <f>MAX((AY353+MAX((-J353+L353-N353+Q353),0)),(MAX((J353-L353+N353-Q353),0)))</f>
        <v/>
      </c>
      <c r="BR353" s="82">
        <f>IFERROR(ABS(BK353/BQ353),0)</f>
        <v/>
      </c>
      <c r="BS353" s="34">
        <f>IF(BR353&lt;=0.1,0,BK353/BR353*(BR353-0.1))</f>
        <v/>
      </c>
      <c r="BT353" s="34">
        <f>IF((BS353)&lt;0,MAX(F353:G353)*(BS353)*1.03,MIN(F353:G353)*(BS353)*0.97)</f>
        <v/>
      </c>
      <c r="BU353" s="34">
        <f>IF(BR353&gt;0.1,1,0)</f>
        <v/>
      </c>
      <c r="BV353" s="34">
        <f>BF353+BG353+BH353+BY353-CA353</f>
        <v/>
      </c>
      <c r="BW353" s="34">
        <f>ABS(BX353)</f>
        <v/>
      </c>
      <c r="BX353" s="34">
        <f>AY353-(J353-L353+N353-Q353+T353-X353)</f>
        <v/>
      </c>
      <c r="BY353" s="34">
        <f>IF(AND(BX353&gt;0,MIN($F353:$G353)&lt;150,$E353="Enerji Açığı"),-100*BX353*1.03,IF(AND(BX353&gt;0,MIN($F353:$G353)&lt;150,$E353="Enerji Fazlası"),-100*BX353*1.06,IF(AND(BX353&gt;0,MIN($F353:$G353)&gt;=150,$E353="Enerji Açığı"),BX353*MIN($F353:$G353)*0.97,IF(AND(BX353&gt;0,MIN($F353:$G353)&gt;=150,$E353="Enerji Fazlası"),BX353*MIN($F353:$G353)*0.94,IF(AND(BX353&lt;0,MAX($F353:$G353)=4500,$E353="Enerji Açığı"),4500*1.05*1.06*BX353,IF(AND(BX353&lt;0,MAX($F353:$G353)=4500,$E353="Enerji Fazlası"),4500*1.05*1.03*BX353,IF(AND(BX353&lt;0,$E353="Enerji Açığı"),MAX($F353,$G353,150)*BX353*1.06,IF(AND(BX353&lt;0,$E353="Enerji Fazlası"),MAX($F353,$G353,150)*BX353*1.03,IF(AND(BX353&lt;0,$E353="Dengede"),MAX($F353:$G353,150)*1.03*BX353,MIN($F353:$G353)*0.97*BX353)))))))))</f>
        <v/>
      </c>
      <c r="BZ353" s="34">
        <f>BE353-BV353-CA353</f>
        <v/>
      </c>
      <c r="CA353" s="34">
        <f>BD353</f>
        <v/>
      </c>
      <c r="CB353" s="33">
        <f>BE353-BV353</f>
        <v/>
      </c>
      <c r="CC353" s="34">
        <f>IF(AY353=0,0,CB353/AY353)</f>
        <v/>
      </c>
      <c r="CD353" s="34">
        <f>MAX((AY353+MAX((-J353+L353-N353+Q353-T353+X353),0)),(MAX((J353-L353+N353-Q353+T353-X353),0)))</f>
        <v/>
      </c>
      <c r="CE353" s="82">
        <f>IFERROR(ABS(BX353/CD353),0)</f>
        <v/>
      </c>
      <c r="CF353" s="34">
        <f>IF(CE353&lt;=0.1,0,BX353/CE353*(CE353-0.1))</f>
        <v/>
      </c>
      <c r="CG353" s="34">
        <f>IF((CF353)&lt;0,MAX(F353:G353)*(CF353)*1.03,MIN(F353:G353)*(CF353)*0.97)</f>
        <v/>
      </c>
      <c r="CH353" s="34">
        <f>IF(CE353&gt;0.1,1,0)</f>
        <v/>
      </c>
      <c r="CI353" s="34">
        <f>(F353*BX353)-BY353</f>
        <v/>
      </c>
      <c r="CJ353" s="34">
        <f>IF(AY353=0,0,CI353/AY353)</f>
        <v/>
      </c>
    </row>
    <row r="354">
      <c r="A354" s="29">
        <f>[1]FİYATLAR!A329</f>
        <v/>
      </c>
      <c r="B354" s="29">
        <f>[1]FİYATLAR!B329</f>
        <v/>
      </c>
      <c r="C354" s="35">
        <f>INT(A354)</f>
        <v/>
      </c>
      <c r="D354" s="36">
        <f>MONTH(A354)</f>
        <v/>
      </c>
      <c r="E354" s="147">
        <f>[1]FİYATLAR!G329</f>
        <v/>
      </c>
      <c r="F354" s="30">
        <f>[1]FİYATLAR!C329</f>
        <v/>
      </c>
      <c r="G354" s="30">
        <f>[1]FİYATLAR!E329</f>
        <v/>
      </c>
      <c r="H354" s="30">
        <f>[1]FİYATLAR!D329</f>
        <v/>
      </c>
      <c r="I354" s="30">
        <f>[1]FİYATLAR!F329</f>
        <v/>
      </c>
      <c r="J354" s="119" t="n">
        <v>0</v>
      </c>
      <c r="K354" s="34">
        <f>F354*J354</f>
        <v/>
      </c>
      <c r="L354" s="119" t="n"/>
      <c r="M354" s="34">
        <f>L354*F354</f>
        <v/>
      </c>
      <c r="N354" s="119" t="n"/>
      <c r="O354" s="34">
        <f>F354</f>
        <v/>
      </c>
      <c r="P354" s="34">
        <f>N354*O354</f>
        <v/>
      </c>
      <c r="Q354" s="117" t="n">
        <v>0</v>
      </c>
      <c r="R354" s="34">
        <f>F354</f>
        <v/>
      </c>
      <c r="S354" s="34">
        <f>R354*Q354</f>
        <v/>
      </c>
      <c r="T354" s="34">
        <f>SUMIFS('[1]GİP VERİLERİ'!$C:$C,'[1]GİP VERİLERİ'!$B:$B,A354,'[1]GİP VERİLERİ'!$M:$M,"40X000000104782K",'[1]GİP VERİLERİ'!$G:$G,"SELL")</f>
        <v/>
      </c>
      <c r="U354" s="34">
        <f>IFERROR(W354/T354,0)</f>
        <v/>
      </c>
      <c r="V354" s="34">
        <f>IF(U354=0,0,U354-F354)</f>
        <v/>
      </c>
      <c r="W354" s="34">
        <f>SUMIFS('[1]GİP VERİLERİ'!$O:$O,'[1]GİP VERİLERİ'!$B:$B,A354,'[1]GİP VERİLERİ'!$M:$M,"40X000000104782K",'[1]GİP VERİLERİ'!$G:$G,"SELL")</f>
        <v/>
      </c>
      <c r="X354" s="34">
        <f>SUMIFS('[1]GİP VERİLERİ'!$C:$C,'[1]GİP VERİLERİ'!$B:$B,A354,'[1]GİP VERİLERİ'!$M:$M,"40X000000104782K",'[1]GİP VERİLERİ'!$G:$G,"BUY")</f>
        <v/>
      </c>
      <c r="Y354" s="34">
        <f>IFERROR(AA354/X354,0)</f>
        <v/>
      </c>
      <c r="Z354" s="34">
        <f>IF(Y354=0,0,F354-Y354)</f>
        <v/>
      </c>
      <c r="AA354" s="34">
        <f>SUMIFS('[1]GİP VERİLERİ'!$O:$O,'[1]GİP VERİLERİ'!$B:$B,A354,'[1]GİP VERİLERİ'!$M:$M,"40X000000104782K",'[1]GİP VERİLERİ'!$G:$G,"BUY")</f>
        <v/>
      </c>
      <c r="AB354" s="34">
        <f>'[1]GÖP VERİLERİ'!H355</f>
        <v/>
      </c>
      <c r="AC354" s="34">
        <f>'[1]GÖP VERİLERİ'!I355</f>
        <v/>
      </c>
      <c r="AD354" s="34">
        <f>IF(AB354&gt;AC354*1.05,AB354-AC354*1.05,IF(AB354&lt;AC354*0.95,AC354*0.95-AB354,0))</f>
        <v/>
      </c>
      <c r="AE354" s="34">
        <f>MAX(F354,G354,750)*0.05*AD354</f>
        <v/>
      </c>
      <c r="AF354" s="34">
        <f>'[1]GÖP VERİLERİ'!J355</f>
        <v/>
      </c>
      <c r="AG354" s="34">
        <f>IF(AB354&gt;AF354*1.05,AB354-AF354*1.05,IF(AB354&lt;AF354*0.95,AF354*0.95-AB354,0))</f>
        <v/>
      </c>
      <c r="AH354" s="34">
        <f>MAX(I354,J354,750)*0.05*AG354</f>
        <v/>
      </c>
      <c r="AI354">
        <f>'[1]GÖP VERİLERİ'!E355</f>
        <v/>
      </c>
      <c r="AJ354">
        <f>'[1]GÖP VERİLERİ'!F355</f>
        <v/>
      </c>
      <c r="AK354" s="34">
        <f>IF(AI354&gt;AJ354*1.05,AI354-AJ354*1.05,IF(AI354&lt;AJ354*0.95,AJ354*0.95-AI354,0))</f>
        <v/>
      </c>
      <c r="AL354" s="34">
        <f>MAX(F354,G354,750)*0.05*AK354</f>
        <v/>
      </c>
      <c r="AM354" s="39">
        <f>'[1]GÖP VERİLERİ'!G355</f>
        <v/>
      </c>
      <c r="AN354" s="34">
        <f>IF(AI354&gt;AM354*1.05,AI354-AM354*1.05,IF(AI354&lt;AM354*0.95,AM354*0.95-AI354,0))</f>
        <v/>
      </c>
      <c r="AO354" s="34">
        <f>MAX(F354,G354,750)*0.05*AN354</f>
        <v/>
      </c>
      <c r="AP354" s="34">
        <f>'[1]GÖP VERİLERİ'!B355</f>
        <v/>
      </c>
      <c r="AQ354" s="34">
        <f>'[1]GÖP VERİLERİ'!C355</f>
        <v/>
      </c>
      <c r="AR354" s="34">
        <f>IF(AP354&gt;AQ354*1.05,AP354-AQ354*1.05,IF(AP354&lt;AQ354*0.95,AQ354*0.95-AP354,0))</f>
        <v/>
      </c>
      <c r="AS354" s="34">
        <f>MAX(F354:G354,750)*0.05*AR354</f>
        <v/>
      </c>
      <c r="AT354">
        <f>'[1]GÖP VERİLERİ'!D355</f>
        <v/>
      </c>
      <c r="AU354" s="34">
        <f>IF(AP354&gt;AT354*1.05,AP354-AT354*1.05,IF(AP354&lt;AT354*0.95,AT354*0.95-AP354,0))</f>
        <v/>
      </c>
      <c r="AV354" s="34">
        <f>MAX(F354:G354,750)*0.05*AU354</f>
        <v/>
      </c>
      <c r="AW354" s="34">
        <f>AC354+AJ354+AQ354</f>
        <v/>
      </c>
      <c r="AX354" s="34">
        <f>AF354+AM354+AT354</f>
        <v/>
      </c>
      <c r="AY354" s="34">
        <f>AB354+AI354+AP354</f>
        <v/>
      </c>
      <c r="AZ354" s="34" t="n">
        <v>0</v>
      </c>
      <c r="BA354" s="34">
        <f>AD354+AK354+AR354</f>
        <v/>
      </c>
      <c r="BB354" s="34">
        <f>MAX(F354:G354,750)*0.05*BA354</f>
        <v/>
      </c>
      <c r="BC354" s="34">
        <f>AG354+AN354+AU354</f>
        <v/>
      </c>
      <c r="BD354" s="34">
        <f>MAX(F354:G354,750)*0.05*BC354</f>
        <v/>
      </c>
      <c r="BE354" s="34">
        <f>F354*AY354</f>
        <v/>
      </c>
      <c r="BF354" s="34">
        <f>K354-M354</f>
        <v/>
      </c>
      <c r="BG354" s="34">
        <f>P354-S354</f>
        <v/>
      </c>
      <c r="BH354" s="34">
        <f>W354-AA354</f>
        <v/>
      </c>
      <c r="BI354" s="34">
        <f>BF354+BG354+BL354-BN354</f>
        <v/>
      </c>
      <c r="BJ354" s="34">
        <f>ABS(BK354)</f>
        <v/>
      </c>
      <c r="BK354" s="34">
        <f>AY354-(J354-L354+N354-Q354)</f>
        <v/>
      </c>
      <c r="BL354" s="34">
        <f>IF(AND(BK354&gt;0,MIN($F354:$G354)&lt;150,$E354="Enerji Açığı"),-100*BK354*1.03,IF(AND(BK354&gt;0,MIN($F354:$G354)&lt;150,$E354="Enerji Fazlası"),-100*BK354*1.06,IF(AND(BK354&gt;0,MIN($F354:$G354)&gt;=150,$E354="Enerji Açığı"),BK354*MIN($F354:$G354)*0.97,IF(AND(BK354&gt;0,MIN($F354:$G354)&gt;=150,$E354="Enerji Fazlası"),BK354*MIN($F354:$G354)*0.94,IF(AND(BK354&lt;0,MAX($F354:$G354)=4500,$E354="Enerji Açığı"),4500*1.05*1.06*BK354,IF(AND(BK354&lt;0,MAX($F354:$G354)=4500,$E354="Enerji Fazlası"),4500*1.05*1.03*BK354,IF(AND(BK354&lt;0,$E354="Enerji Açığı"),MAX($F354,$G354,150)*BK354*1.06,IF(AND(BK354&lt;0,$E354="Enerji Fazlası"),MAX($F354,$G354,150)*BK354*1.03,IF(AND(BK354&lt;0,$E354="Dengede"),MAX($F354:$G354,150)*1.03*BK354,MIN($F354:$G354)*0.97*BK354)))))))))</f>
        <v/>
      </c>
      <c r="BM354" s="34">
        <f>BE354-BI354-BN354</f>
        <v/>
      </c>
      <c r="BN354" s="34">
        <f>BB354</f>
        <v/>
      </c>
      <c r="BO354" s="34">
        <f>BE354-BI354</f>
        <v/>
      </c>
      <c r="BP354" s="34">
        <f>IF(AY354=0,0,BO354/AY354)</f>
        <v/>
      </c>
      <c r="BQ354" s="34">
        <f>MAX((AY354+MAX((-J354+L354-N354+Q354),0)),(MAX((J354-L354+N354-Q354),0)))</f>
        <v/>
      </c>
      <c r="BR354" s="82">
        <f>IFERROR(ABS(BK354/BQ354),0)</f>
        <v/>
      </c>
      <c r="BS354" s="34">
        <f>IF(BR354&lt;=0.1,0,BK354/BR354*(BR354-0.1))</f>
        <v/>
      </c>
      <c r="BT354" s="34">
        <f>IF((BS354)&lt;0,MAX(F354:G354)*(BS354)*1.03,MIN(F354:G354)*(BS354)*0.97)</f>
        <v/>
      </c>
      <c r="BU354" s="34">
        <f>IF(BR354&gt;0.1,1,0)</f>
        <v/>
      </c>
      <c r="BV354" s="34">
        <f>BF354+BG354+BH354+BY354-CA354</f>
        <v/>
      </c>
      <c r="BW354" s="34">
        <f>ABS(BX354)</f>
        <v/>
      </c>
      <c r="BX354" s="34">
        <f>AY354-(J354-L354+N354-Q354+T354-X354)</f>
        <v/>
      </c>
      <c r="BY354" s="34">
        <f>IF(AND(BX354&gt;0,MIN($F354:$G354)&lt;150,$E354="Enerji Açığı"),-100*BX354*1.03,IF(AND(BX354&gt;0,MIN($F354:$G354)&lt;150,$E354="Enerji Fazlası"),-100*BX354*1.06,IF(AND(BX354&gt;0,MIN($F354:$G354)&gt;=150,$E354="Enerji Açığı"),BX354*MIN($F354:$G354)*0.97,IF(AND(BX354&gt;0,MIN($F354:$G354)&gt;=150,$E354="Enerji Fazlası"),BX354*MIN($F354:$G354)*0.94,IF(AND(BX354&lt;0,MAX($F354:$G354)=4500,$E354="Enerji Açığı"),4500*1.05*1.06*BX354,IF(AND(BX354&lt;0,MAX($F354:$G354)=4500,$E354="Enerji Fazlası"),4500*1.05*1.03*BX354,IF(AND(BX354&lt;0,$E354="Enerji Açığı"),MAX($F354,$G354,150)*BX354*1.06,IF(AND(BX354&lt;0,$E354="Enerji Fazlası"),MAX($F354,$G354,150)*BX354*1.03,IF(AND(BX354&lt;0,$E354="Dengede"),MAX($F354:$G354,150)*1.03*BX354,MIN($F354:$G354)*0.97*BX354)))))))))</f>
        <v/>
      </c>
      <c r="BZ354" s="34">
        <f>BE354-BV354-CA354</f>
        <v/>
      </c>
      <c r="CA354" s="34">
        <f>BD354</f>
        <v/>
      </c>
      <c r="CB354" s="33">
        <f>BE354-BV354</f>
        <v/>
      </c>
      <c r="CC354" s="34">
        <f>IF(AY354=0,0,CB354/AY354)</f>
        <v/>
      </c>
      <c r="CD354" s="34">
        <f>MAX((AY354+MAX((-J354+L354-N354+Q354-T354+X354),0)),(MAX((J354-L354+N354-Q354+T354-X354),0)))</f>
        <v/>
      </c>
      <c r="CE354" s="82">
        <f>IFERROR(ABS(BX354/CD354),0)</f>
        <v/>
      </c>
      <c r="CF354" s="34">
        <f>IF(CE354&lt;=0.1,0,BX354/CE354*(CE354-0.1))</f>
        <v/>
      </c>
      <c r="CG354" s="34">
        <f>IF((CF354)&lt;0,MAX(F354:G354)*(CF354)*1.03,MIN(F354:G354)*(CF354)*0.97)</f>
        <v/>
      </c>
      <c r="CH354" s="34">
        <f>IF(CE354&gt;0.1,1,0)</f>
        <v/>
      </c>
      <c r="CI354" s="34">
        <f>(F354*BX354)-BY354</f>
        <v/>
      </c>
      <c r="CJ354" s="34">
        <f>IF(AY354=0,0,CI354/AY354)</f>
        <v/>
      </c>
    </row>
    <row r="355">
      <c r="A355" s="29">
        <f>[1]FİYATLAR!A330</f>
        <v/>
      </c>
      <c r="B355" s="29">
        <f>[1]FİYATLAR!B330</f>
        <v/>
      </c>
      <c r="C355" s="35">
        <f>INT(A355)</f>
        <v/>
      </c>
      <c r="D355" s="36">
        <f>MONTH(A355)</f>
        <v/>
      </c>
      <c r="E355" s="147">
        <f>[1]FİYATLAR!G330</f>
        <v/>
      </c>
      <c r="F355" s="30">
        <f>[1]FİYATLAR!C330</f>
        <v/>
      </c>
      <c r="G355" s="30">
        <f>[1]FİYATLAR!E330</f>
        <v/>
      </c>
      <c r="H355" s="30">
        <f>[1]FİYATLAR!D330</f>
        <v/>
      </c>
      <c r="I355" s="30">
        <f>[1]FİYATLAR!F330</f>
        <v/>
      </c>
      <c r="J355" s="119" t="n">
        <v>0</v>
      </c>
      <c r="K355" s="34">
        <f>F355*J355</f>
        <v/>
      </c>
      <c r="L355" s="119" t="n"/>
      <c r="M355" s="34">
        <f>L355*F355</f>
        <v/>
      </c>
      <c r="N355" s="119" t="n"/>
      <c r="O355" s="34">
        <f>F355</f>
        <v/>
      </c>
      <c r="P355" s="34">
        <f>N355*O355</f>
        <v/>
      </c>
      <c r="Q355" s="117" t="n">
        <v>0</v>
      </c>
      <c r="R355" s="34">
        <f>F355</f>
        <v/>
      </c>
      <c r="S355" s="34">
        <f>R355*Q355</f>
        <v/>
      </c>
      <c r="T355" s="34">
        <f>SUMIFS('[1]GİP VERİLERİ'!$C:$C,'[1]GİP VERİLERİ'!$B:$B,A355,'[1]GİP VERİLERİ'!$M:$M,"40X000000104782K",'[1]GİP VERİLERİ'!$G:$G,"SELL")</f>
        <v/>
      </c>
      <c r="U355" s="34">
        <f>IFERROR(W355/T355,0)</f>
        <v/>
      </c>
      <c r="V355" s="34">
        <f>IF(U355=0,0,U355-F355)</f>
        <v/>
      </c>
      <c r="W355" s="34">
        <f>SUMIFS('[1]GİP VERİLERİ'!$O:$O,'[1]GİP VERİLERİ'!$B:$B,A355,'[1]GİP VERİLERİ'!$M:$M,"40X000000104782K",'[1]GİP VERİLERİ'!$G:$G,"SELL")</f>
        <v/>
      </c>
      <c r="X355" s="34">
        <f>SUMIFS('[1]GİP VERİLERİ'!$C:$C,'[1]GİP VERİLERİ'!$B:$B,A355,'[1]GİP VERİLERİ'!$M:$M,"40X000000104782K",'[1]GİP VERİLERİ'!$G:$G,"BUY")</f>
        <v/>
      </c>
      <c r="Y355" s="34">
        <f>IFERROR(AA355/X355,0)</f>
        <v/>
      </c>
      <c r="Z355" s="34">
        <f>IF(Y355=0,0,F355-Y355)</f>
        <v/>
      </c>
      <c r="AA355" s="34">
        <f>SUMIFS('[1]GİP VERİLERİ'!$O:$O,'[1]GİP VERİLERİ'!$B:$B,A355,'[1]GİP VERİLERİ'!$M:$M,"40X000000104782K",'[1]GİP VERİLERİ'!$G:$G,"BUY")</f>
        <v/>
      </c>
      <c r="AB355" s="34">
        <f>'[1]GÖP VERİLERİ'!H356</f>
        <v/>
      </c>
      <c r="AC355" s="34">
        <f>'[1]GÖP VERİLERİ'!I356</f>
        <v/>
      </c>
      <c r="AD355" s="34">
        <f>IF(AB355&gt;AC355*1.05,AB355-AC355*1.05,IF(AB355&lt;AC355*0.95,AC355*0.95-AB355,0))</f>
        <v/>
      </c>
      <c r="AE355" s="34">
        <f>MAX(F355,G355,750)*0.05*AD355</f>
        <v/>
      </c>
      <c r="AF355" s="34">
        <f>'[1]GÖP VERİLERİ'!J356</f>
        <v/>
      </c>
      <c r="AG355" s="34">
        <f>IF(AB355&gt;AF355*1.05,AB355-AF355*1.05,IF(AB355&lt;AF355*0.95,AF355*0.95-AB355,0))</f>
        <v/>
      </c>
      <c r="AH355" s="34">
        <f>MAX(I355,J355,750)*0.05*AG355</f>
        <v/>
      </c>
      <c r="AI355">
        <f>'[1]GÖP VERİLERİ'!E356</f>
        <v/>
      </c>
      <c r="AJ355">
        <f>'[1]GÖP VERİLERİ'!F356</f>
        <v/>
      </c>
      <c r="AK355" s="34">
        <f>IF(AI355&gt;AJ355*1.05,AI355-AJ355*1.05,IF(AI355&lt;AJ355*0.95,AJ355*0.95-AI355,0))</f>
        <v/>
      </c>
      <c r="AL355" s="34">
        <f>MAX(F355,G355,750)*0.05*AK355</f>
        <v/>
      </c>
      <c r="AM355" s="39">
        <f>'[1]GÖP VERİLERİ'!G356</f>
        <v/>
      </c>
      <c r="AN355" s="34">
        <f>IF(AI355&gt;AM355*1.05,AI355-AM355*1.05,IF(AI355&lt;AM355*0.95,AM355*0.95-AI355,0))</f>
        <v/>
      </c>
      <c r="AO355" s="34">
        <f>MAX(F355,G355,750)*0.05*AN355</f>
        <v/>
      </c>
      <c r="AP355" s="34">
        <f>'[1]GÖP VERİLERİ'!B356</f>
        <v/>
      </c>
      <c r="AQ355" s="34">
        <f>'[1]GÖP VERİLERİ'!C356</f>
        <v/>
      </c>
      <c r="AR355" s="34">
        <f>IF(AP355&gt;AQ355*1.05,AP355-AQ355*1.05,IF(AP355&lt;AQ355*0.95,AQ355*0.95-AP355,0))</f>
        <v/>
      </c>
      <c r="AS355" s="34">
        <f>MAX(F355:G355,750)*0.05*AR355</f>
        <v/>
      </c>
      <c r="AT355">
        <f>'[1]GÖP VERİLERİ'!D356</f>
        <v/>
      </c>
      <c r="AU355" s="34">
        <f>IF(AP355&gt;AT355*1.05,AP355-AT355*1.05,IF(AP355&lt;AT355*0.95,AT355*0.95-AP355,0))</f>
        <v/>
      </c>
      <c r="AV355" s="34">
        <f>MAX(F355:G355,750)*0.05*AU355</f>
        <v/>
      </c>
      <c r="AW355" s="34">
        <f>AC355+AJ355+AQ355</f>
        <v/>
      </c>
      <c r="AX355" s="34">
        <f>AF355+AM355+AT355</f>
        <v/>
      </c>
      <c r="AY355" s="34">
        <f>AB355+AI355+AP355</f>
        <v/>
      </c>
      <c r="AZ355" s="34" t="n">
        <v>0</v>
      </c>
      <c r="BA355" s="34">
        <f>AD355+AK355+AR355</f>
        <v/>
      </c>
      <c r="BB355" s="34">
        <f>MAX(F355:G355,750)*0.05*BA355</f>
        <v/>
      </c>
      <c r="BC355" s="34">
        <f>AG355+AN355+AU355</f>
        <v/>
      </c>
      <c r="BD355" s="34">
        <f>MAX(F355:G355,750)*0.05*BC355</f>
        <v/>
      </c>
      <c r="BE355" s="34">
        <f>F355*AY355</f>
        <v/>
      </c>
      <c r="BF355" s="34">
        <f>K355-M355</f>
        <v/>
      </c>
      <c r="BG355" s="34">
        <f>P355-S355</f>
        <v/>
      </c>
      <c r="BH355" s="34">
        <f>W355-AA355</f>
        <v/>
      </c>
      <c r="BI355" s="34">
        <f>BF355+BG355+BL355-BN355</f>
        <v/>
      </c>
      <c r="BJ355" s="34">
        <f>ABS(BK355)</f>
        <v/>
      </c>
      <c r="BK355" s="34">
        <f>AY355-(J355-L355+N355-Q355)</f>
        <v/>
      </c>
      <c r="BL355" s="34">
        <f>IF(AND(BK355&gt;0,MIN($F355:$G355)&lt;150,$E355="Enerji Açığı"),-100*BK355*1.03,IF(AND(BK355&gt;0,MIN($F355:$G355)&lt;150,$E355="Enerji Fazlası"),-100*BK355*1.06,IF(AND(BK355&gt;0,MIN($F355:$G355)&gt;=150,$E355="Enerji Açığı"),BK355*MIN($F355:$G355)*0.97,IF(AND(BK355&gt;0,MIN($F355:$G355)&gt;=150,$E355="Enerji Fazlası"),BK355*MIN($F355:$G355)*0.94,IF(AND(BK355&lt;0,MAX($F355:$G355)=4500,$E355="Enerji Açığı"),4500*1.05*1.06*BK355,IF(AND(BK355&lt;0,MAX($F355:$G355)=4500,$E355="Enerji Fazlası"),4500*1.05*1.03*BK355,IF(AND(BK355&lt;0,$E355="Enerji Açığı"),MAX($F355,$G355,150)*BK355*1.06,IF(AND(BK355&lt;0,$E355="Enerji Fazlası"),MAX($F355,$G355,150)*BK355*1.03,IF(AND(BK355&lt;0,$E355="Dengede"),MAX($F355:$G355,150)*1.03*BK355,MIN($F355:$G355)*0.97*BK355)))))))))</f>
        <v/>
      </c>
      <c r="BM355" s="34">
        <f>BE355-BI355-BN355</f>
        <v/>
      </c>
      <c r="BN355" s="34">
        <f>BB355</f>
        <v/>
      </c>
      <c r="BO355" s="34">
        <f>BE355-BI355</f>
        <v/>
      </c>
      <c r="BP355" s="34">
        <f>IF(AY355=0,0,BO355/AY355)</f>
        <v/>
      </c>
      <c r="BQ355" s="34">
        <f>MAX((AY355+MAX((-J355+L355-N355+Q355),0)),(MAX((J355-L355+N355-Q355),0)))</f>
        <v/>
      </c>
      <c r="BR355" s="82">
        <f>IFERROR(ABS(BK355/BQ355),0)</f>
        <v/>
      </c>
      <c r="BS355" s="34">
        <f>IF(BR355&lt;=0.1,0,BK355/BR355*(BR355-0.1))</f>
        <v/>
      </c>
      <c r="BT355" s="34">
        <f>IF((BS355)&lt;0,MAX(F355:G355)*(BS355)*1.03,MIN(F355:G355)*(BS355)*0.97)</f>
        <v/>
      </c>
      <c r="BU355" s="34">
        <f>IF(BR355&gt;0.1,1,0)</f>
        <v/>
      </c>
      <c r="BV355" s="34">
        <f>BF355+BG355+BH355+BY355-CA355</f>
        <v/>
      </c>
      <c r="BW355" s="34">
        <f>ABS(BX355)</f>
        <v/>
      </c>
      <c r="BX355" s="34">
        <f>AY355-(J355-L355+N355-Q355+T355-X355)</f>
        <v/>
      </c>
      <c r="BY355" s="34">
        <f>IF(AND(BX355&gt;0,MIN($F355:$G355)&lt;150,$E355="Enerji Açığı"),-100*BX355*1.03,IF(AND(BX355&gt;0,MIN($F355:$G355)&lt;150,$E355="Enerji Fazlası"),-100*BX355*1.06,IF(AND(BX355&gt;0,MIN($F355:$G355)&gt;=150,$E355="Enerji Açığı"),BX355*MIN($F355:$G355)*0.97,IF(AND(BX355&gt;0,MIN($F355:$G355)&gt;=150,$E355="Enerji Fazlası"),BX355*MIN($F355:$G355)*0.94,IF(AND(BX355&lt;0,MAX($F355:$G355)=4500,$E355="Enerji Açığı"),4500*1.05*1.06*BX355,IF(AND(BX355&lt;0,MAX($F355:$G355)=4500,$E355="Enerji Fazlası"),4500*1.05*1.03*BX355,IF(AND(BX355&lt;0,$E355="Enerji Açığı"),MAX($F355,$G355,150)*BX355*1.06,IF(AND(BX355&lt;0,$E355="Enerji Fazlası"),MAX($F355,$G355,150)*BX355*1.03,IF(AND(BX355&lt;0,$E355="Dengede"),MAX($F355:$G355,150)*1.03*BX355,MIN($F355:$G355)*0.97*BX355)))))))))</f>
        <v/>
      </c>
      <c r="BZ355" s="34">
        <f>BE355-BV355-CA355</f>
        <v/>
      </c>
      <c r="CA355" s="34">
        <f>BD355</f>
        <v/>
      </c>
      <c r="CB355" s="33">
        <f>BE355-BV355</f>
        <v/>
      </c>
      <c r="CC355" s="34">
        <f>IF(AY355=0,0,CB355/AY355)</f>
        <v/>
      </c>
      <c r="CD355" s="34">
        <f>MAX((AY355+MAX((-J355+L355-N355+Q355-T355+X355),0)),(MAX((J355-L355+N355-Q355+T355-X355),0)))</f>
        <v/>
      </c>
      <c r="CE355" s="82">
        <f>IFERROR(ABS(BX355/CD355),0)</f>
        <v/>
      </c>
      <c r="CF355" s="34">
        <f>IF(CE355&lt;=0.1,0,BX355/CE355*(CE355-0.1))</f>
        <v/>
      </c>
      <c r="CG355" s="34">
        <f>IF((CF355)&lt;0,MAX(F355:G355)*(CF355)*1.03,MIN(F355:G355)*(CF355)*0.97)</f>
        <v/>
      </c>
      <c r="CH355" s="34">
        <f>IF(CE355&gt;0.1,1,0)</f>
        <v/>
      </c>
      <c r="CI355" s="34">
        <f>(F355*BX355)-BY355</f>
        <v/>
      </c>
      <c r="CJ355" s="34">
        <f>IF(AY355=0,0,CI355/AY355)</f>
        <v/>
      </c>
    </row>
    <row r="356">
      <c r="A356" s="29">
        <f>[1]FİYATLAR!A331</f>
        <v/>
      </c>
      <c r="B356" s="29">
        <f>[1]FİYATLAR!B331</f>
        <v/>
      </c>
      <c r="C356" s="35">
        <f>INT(A356)</f>
        <v/>
      </c>
      <c r="D356" s="36">
        <f>MONTH(A356)</f>
        <v/>
      </c>
      <c r="E356" s="147">
        <f>[1]FİYATLAR!G331</f>
        <v/>
      </c>
      <c r="F356" s="30">
        <f>[1]FİYATLAR!C331</f>
        <v/>
      </c>
      <c r="G356" s="30">
        <f>[1]FİYATLAR!E331</f>
        <v/>
      </c>
      <c r="H356" s="30">
        <f>[1]FİYATLAR!D331</f>
        <v/>
      </c>
      <c r="I356" s="30">
        <f>[1]FİYATLAR!F331</f>
        <v/>
      </c>
      <c r="J356" s="119" t="n">
        <v>0</v>
      </c>
      <c r="K356" s="34">
        <f>F356*J356</f>
        <v/>
      </c>
      <c r="L356" s="119" t="n"/>
      <c r="M356" s="34">
        <f>L356*F356</f>
        <v/>
      </c>
      <c r="N356" s="119" t="n"/>
      <c r="O356" s="34">
        <f>F356</f>
        <v/>
      </c>
      <c r="P356" s="34">
        <f>N356*O356</f>
        <v/>
      </c>
      <c r="Q356" s="117" t="n">
        <v>0</v>
      </c>
      <c r="R356" s="34">
        <f>F356</f>
        <v/>
      </c>
      <c r="S356" s="34">
        <f>R356*Q356</f>
        <v/>
      </c>
      <c r="T356" s="34">
        <f>SUMIFS('[1]GİP VERİLERİ'!$C:$C,'[1]GİP VERİLERİ'!$B:$B,A356,'[1]GİP VERİLERİ'!$M:$M,"40X000000104782K",'[1]GİP VERİLERİ'!$G:$G,"SELL")</f>
        <v/>
      </c>
      <c r="U356" s="34">
        <f>IFERROR(W356/T356,0)</f>
        <v/>
      </c>
      <c r="V356" s="34">
        <f>IF(U356=0,0,U356-F356)</f>
        <v/>
      </c>
      <c r="W356" s="34">
        <f>SUMIFS('[1]GİP VERİLERİ'!$O:$O,'[1]GİP VERİLERİ'!$B:$B,A356,'[1]GİP VERİLERİ'!$M:$M,"40X000000104782K",'[1]GİP VERİLERİ'!$G:$G,"SELL")</f>
        <v/>
      </c>
      <c r="X356" s="34">
        <f>SUMIFS('[1]GİP VERİLERİ'!$C:$C,'[1]GİP VERİLERİ'!$B:$B,A356,'[1]GİP VERİLERİ'!$M:$M,"40X000000104782K",'[1]GİP VERİLERİ'!$G:$G,"BUY")</f>
        <v/>
      </c>
      <c r="Y356" s="34">
        <f>IFERROR(AA356/X356,0)</f>
        <v/>
      </c>
      <c r="Z356" s="34">
        <f>IF(Y356=0,0,F356-Y356)</f>
        <v/>
      </c>
      <c r="AA356" s="34">
        <f>SUMIFS('[1]GİP VERİLERİ'!$O:$O,'[1]GİP VERİLERİ'!$B:$B,A356,'[1]GİP VERİLERİ'!$M:$M,"40X000000104782K",'[1]GİP VERİLERİ'!$G:$G,"BUY")</f>
        <v/>
      </c>
      <c r="AB356" s="34">
        <f>'[1]GÖP VERİLERİ'!H357</f>
        <v/>
      </c>
      <c r="AC356" s="34">
        <f>'[1]GÖP VERİLERİ'!I357</f>
        <v/>
      </c>
      <c r="AD356" s="34">
        <f>IF(AB356&gt;AC356*1.05,AB356-AC356*1.05,IF(AB356&lt;AC356*0.95,AC356*0.95-AB356,0))</f>
        <v/>
      </c>
      <c r="AE356" s="34">
        <f>MAX(F356,G356,750)*0.05*AD356</f>
        <v/>
      </c>
      <c r="AF356" s="34">
        <f>'[1]GÖP VERİLERİ'!J357</f>
        <v/>
      </c>
      <c r="AG356" s="34">
        <f>IF(AB356&gt;AF356*1.05,AB356-AF356*1.05,IF(AB356&lt;AF356*0.95,AF356*0.95-AB356,0))</f>
        <v/>
      </c>
      <c r="AH356" s="34">
        <f>MAX(I356,J356,750)*0.05*AG356</f>
        <v/>
      </c>
      <c r="AI356">
        <f>'[1]GÖP VERİLERİ'!E357</f>
        <v/>
      </c>
      <c r="AJ356">
        <f>'[1]GÖP VERİLERİ'!F357</f>
        <v/>
      </c>
      <c r="AK356" s="34">
        <f>IF(AI356&gt;AJ356*1.05,AI356-AJ356*1.05,IF(AI356&lt;AJ356*0.95,AJ356*0.95-AI356,0))</f>
        <v/>
      </c>
      <c r="AL356" s="34">
        <f>MAX(F356,G356,750)*0.05*AK356</f>
        <v/>
      </c>
      <c r="AM356" s="39">
        <f>'[1]GÖP VERİLERİ'!G357</f>
        <v/>
      </c>
      <c r="AN356" s="34">
        <f>IF(AI356&gt;AM356*1.05,AI356-AM356*1.05,IF(AI356&lt;AM356*0.95,AM356*0.95-AI356,0))</f>
        <v/>
      </c>
      <c r="AO356" s="34">
        <f>MAX(F356,G356,750)*0.05*AN356</f>
        <v/>
      </c>
      <c r="AP356" s="34">
        <f>'[1]GÖP VERİLERİ'!B357</f>
        <v/>
      </c>
      <c r="AQ356" s="34">
        <f>'[1]GÖP VERİLERİ'!C357</f>
        <v/>
      </c>
      <c r="AR356" s="34">
        <f>IF(AP356&gt;AQ356*1.05,AP356-AQ356*1.05,IF(AP356&lt;AQ356*0.95,AQ356*0.95-AP356,0))</f>
        <v/>
      </c>
      <c r="AS356" s="34">
        <f>MAX(F356:G356,750)*0.05*AR356</f>
        <v/>
      </c>
      <c r="AT356">
        <f>'[1]GÖP VERİLERİ'!D357</f>
        <v/>
      </c>
      <c r="AU356" s="34">
        <f>IF(AP356&gt;AT356*1.05,AP356-AT356*1.05,IF(AP356&lt;AT356*0.95,AT356*0.95-AP356,0))</f>
        <v/>
      </c>
      <c r="AV356" s="34">
        <f>MAX(F356:G356,750)*0.05*AU356</f>
        <v/>
      </c>
      <c r="AW356" s="34">
        <f>AC356+AJ356+AQ356</f>
        <v/>
      </c>
      <c r="AX356" s="34">
        <f>AF356+AM356+AT356</f>
        <v/>
      </c>
      <c r="AY356" s="34">
        <f>AB356+AI356+AP356</f>
        <v/>
      </c>
      <c r="AZ356" s="34" t="n">
        <v>0</v>
      </c>
      <c r="BA356" s="34">
        <f>AD356+AK356+AR356</f>
        <v/>
      </c>
      <c r="BB356" s="34">
        <f>MAX(F356:G356,750)*0.05*BA356</f>
        <v/>
      </c>
      <c r="BC356" s="34">
        <f>AG356+AN356+AU356</f>
        <v/>
      </c>
      <c r="BD356" s="34">
        <f>MAX(F356:G356,750)*0.05*BC356</f>
        <v/>
      </c>
      <c r="BE356" s="34">
        <f>F356*AY356</f>
        <v/>
      </c>
      <c r="BF356" s="34">
        <f>K356-M356</f>
        <v/>
      </c>
      <c r="BG356" s="34">
        <f>P356-S356</f>
        <v/>
      </c>
      <c r="BH356" s="34">
        <f>W356-AA356</f>
        <v/>
      </c>
      <c r="BI356" s="34">
        <f>BF356+BG356+BL356-BN356</f>
        <v/>
      </c>
      <c r="BJ356" s="34">
        <f>ABS(BK356)</f>
        <v/>
      </c>
      <c r="BK356" s="34">
        <f>AY356-(J356-L356+N356-Q356)</f>
        <v/>
      </c>
      <c r="BL356" s="34">
        <f>IF(AND(BK356&gt;0,MIN($F356:$G356)&lt;150,$E356="Enerji Açığı"),-100*BK356*1.03,IF(AND(BK356&gt;0,MIN($F356:$G356)&lt;150,$E356="Enerji Fazlası"),-100*BK356*1.06,IF(AND(BK356&gt;0,MIN($F356:$G356)&gt;=150,$E356="Enerji Açığı"),BK356*MIN($F356:$G356)*0.97,IF(AND(BK356&gt;0,MIN($F356:$G356)&gt;=150,$E356="Enerji Fazlası"),BK356*MIN($F356:$G356)*0.94,IF(AND(BK356&lt;0,MAX($F356:$G356)=4500,$E356="Enerji Açığı"),4500*1.05*1.06*BK356,IF(AND(BK356&lt;0,MAX($F356:$G356)=4500,$E356="Enerji Fazlası"),4500*1.05*1.03*BK356,IF(AND(BK356&lt;0,$E356="Enerji Açığı"),MAX($F356,$G356,150)*BK356*1.06,IF(AND(BK356&lt;0,$E356="Enerji Fazlası"),MAX($F356,$G356,150)*BK356*1.03,IF(AND(BK356&lt;0,$E356="Dengede"),MAX($F356:$G356,150)*1.03*BK356,MIN($F356:$G356)*0.97*BK356)))))))))</f>
        <v/>
      </c>
      <c r="BM356" s="34">
        <f>BE356-BI356-BN356</f>
        <v/>
      </c>
      <c r="BN356" s="34">
        <f>BB356</f>
        <v/>
      </c>
      <c r="BO356" s="34">
        <f>BE356-BI356</f>
        <v/>
      </c>
      <c r="BP356" s="34">
        <f>IF(AY356=0,0,BO356/AY356)</f>
        <v/>
      </c>
      <c r="BQ356" s="34">
        <f>MAX((AY356+MAX((-J356+L356-N356+Q356),0)),(MAX((J356-L356+N356-Q356),0)))</f>
        <v/>
      </c>
      <c r="BR356" s="82">
        <f>IFERROR(ABS(BK356/BQ356),0)</f>
        <v/>
      </c>
      <c r="BS356" s="34">
        <f>IF(BR356&lt;=0.1,0,BK356/BR356*(BR356-0.1))</f>
        <v/>
      </c>
      <c r="BT356" s="34">
        <f>IF((BS356)&lt;0,MAX(F356:G356)*(BS356)*1.03,MIN(F356:G356)*(BS356)*0.97)</f>
        <v/>
      </c>
      <c r="BU356" s="34">
        <f>IF(BR356&gt;0.1,1,0)</f>
        <v/>
      </c>
      <c r="BV356" s="34">
        <f>BF356+BG356+BH356+BY356-CA356</f>
        <v/>
      </c>
      <c r="BW356" s="34">
        <f>ABS(BX356)</f>
        <v/>
      </c>
      <c r="BX356" s="34">
        <f>AY356-(J356-L356+N356-Q356+T356-X356)</f>
        <v/>
      </c>
      <c r="BY356" s="34">
        <f>IF(AND(BX356&gt;0,MIN($F356:$G356)&lt;150,$E356="Enerji Açığı"),-100*BX356*1.03,IF(AND(BX356&gt;0,MIN($F356:$G356)&lt;150,$E356="Enerji Fazlası"),-100*BX356*1.06,IF(AND(BX356&gt;0,MIN($F356:$G356)&gt;=150,$E356="Enerji Açığı"),BX356*MIN($F356:$G356)*0.97,IF(AND(BX356&gt;0,MIN($F356:$G356)&gt;=150,$E356="Enerji Fazlası"),BX356*MIN($F356:$G356)*0.94,IF(AND(BX356&lt;0,MAX($F356:$G356)=4500,$E356="Enerji Açığı"),4500*1.05*1.06*BX356,IF(AND(BX356&lt;0,MAX($F356:$G356)=4500,$E356="Enerji Fazlası"),4500*1.05*1.03*BX356,IF(AND(BX356&lt;0,$E356="Enerji Açığı"),MAX($F356,$G356,150)*BX356*1.06,IF(AND(BX356&lt;0,$E356="Enerji Fazlası"),MAX($F356,$G356,150)*BX356*1.03,IF(AND(BX356&lt;0,$E356="Dengede"),MAX($F356:$G356,150)*1.03*BX356,MIN($F356:$G356)*0.97*BX356)))))))))</f>
        <v/>
      </c>
      <c r="BZ356" s="34">
        <f>BE356-BV356-CA356</f>
        <v/>
      </c>
      <c r="CA356" s="34">
        <f>BD356</f>
        <v/>
      </c>
      <c r="CB356" s="33">
        <f>BE356-BV356</f>
        <v/>
      </c>
      <c r="CC356" s="34">
        <f>IF(AY356=0,0,CB356/AY356)</f>
        <v/>
      </c>
      <c r="CD356" s="34">
        <f>MAX((AY356+MAX((-J356+L356-N356+Q356-T356+X356),0)),(MAX((J356-L356+N356-Q356+T356-X356),0)))</f>
        <v/>
      </c>
      <c r="CE356" s="82">
        <f>IFERROR(ABS(BX356/CD356),0)</f>
        <v/>
      </c>
      <c r="CF356" s="34">
        <f>IF(CE356&lt;=0.1,0,BX356/CE356*(CE356-0.1))</f>
        <v/>
      </c>
      <c r="CG356" s="34">
        <f>IF((CF356)&lt;0,MAX(F356:G356)*(CF356)*1.03,MIN(F356:G356)*(CF356)*0.97)</f>
        <v/>
      </c>
      <c r="CH356" s="34">
        <f>IF(CE356&gt;0.1,1,0)</f>
        <v/>
      </c>
      <c r="CI356" s="34">
        <f>(F356*BX356)-BY356</f>
        <v/>
      </c>
      <c r="CJ356" s="34">
        <f>IF(AY356=0,0,CI356/AY356)</f>
        <v/>
      </c>
    </row>
    <row r="357">
      <c r="A357" s="29">
        <f>[1]FİYATLAR!A332</f>
        <v/>
      </c>
      <c r="B357" s="29">
        <f>[1]FİYATLAR!B332</f>
        <v/>
      </c>
      <c r="C357" s="35">
        <f>INT(A357)</f>
        <v/>
      </c>
      <c r="D357" s="36">
        <f>MONTH(A357)</f>
        <v/>
      </c>
      <c r="E357" s="147">
        <f>[1]FİYATLAR!G332</f>
        <v/>
      </c>
      <c r="F357" s="30">
        <f>[1]FİYATLAR!C332</f>
        <v/>
      </c>
      <c r="G357" s="30">
        <f>[1]FİYATLAR!E332</f>
        <v/>
      </c>
      <c r="H357" s="30">
        <f>[1]FİYATLAR!D332</f>
        <v/>
      </c>
      <c r="I357" s="30">
        <f>[1]FİYATLAR!F332</f>
        <v/>
      </c>
      <c r="J357" s="119" t="n">
        <v>0</v>
      </c>
      <c r="K357" s="34">
        <f>F357*J357</f>
        <v/>
      </c>
      <c r="L357" s="119" t="n"/>
      <c r="M357" s="34">
        <f>L357*F357</f>
        <v/>
      </c>
      <c r="N357" s="119" t="n"/>
      <c r="O357" s="34">
        <f>F357</f>
        <v/>
      </c>
      <c r="P357" s="34">
        <f>N357*O357</f>
        <v/>
      </c>
      <c r="Q357" s="117" t="n">
        <v>0</v>
      </c>
      <c r="R357" s="34">
        <f>F357</f>
        <v/>
      </c>
      <c r="S357" s="34">
        <f>R357*Q357</f>
        <v/>
      </c>
      <c r="T357" s="34">
        <f>SUMIFS('[1]GİP VERİLERİ'!$C:$C,'[1]GİP VERİLERİ'!$B:$B,A357,'[1]GİP VERİLERİ'!$M:$M,"40X000000104782K",'[1]GİP VERİLERİ'!$G:$G,"SELL")</f>
        <v/>
      </c>
      <c r="U357" s="34">
        <f>IFERROR(W357/T357,0)</f>
        <v/>
      </c>
      <c r="V357" s="34">
        <f>IF(U357=0,0,U357-F357)</f>
        <v/>
      </c>
      <c r="W357" s="34">
        <f>SUMIFS('[1]GİP VERİLERİ'!$O:$O,'[1]GİP VERİLERİ'!$B:$B,A357,'[1]GİP VERİLERİ'!$M:$M,"40X000000104782K",'[1]GİP VERİLERİ'!$G:$G,"SELL")</f>
        <v/>
      </c>
      <c r="X357" s="34">
        <f>SUMIFS('[1]GİP VERİLERİ'!$C:$C,'[1]GİP VERİLERİ'!$B:$B,A357,'[1]GİP VERİLERİ'!$M:$M,"40X000000104782K",'[1]GİP VERİLERİ'!$G:$G,"BUY")</f>
        <v/>
      </c>
      <c r="Y357" s="34">
        <f>IFERROR(AA357/X357,0)</f>
        <v/>
      </c>
      <c r="Z357" s="34">
        <f>IF(Y357=0,0,F357-Y357)</f>
        <v/>
      </c>
      <c r="AA357" s="34">
        <f>SUMIFS('[1]GİP VERİLERİ'!$O:$O,'[1]GİP VERİLERİ'!$B:$B,A357,'[1]GİP VERİLERİ'!$M:$M,"40X000000104782K",'[1]GİP VERİLERİ'!$G:$G,"BUY")</f>
        <v/>
      </c>
      <c r="AB357" s="34">
        <f>'[1]GÖP VERİLERİ'!H358</f>
        <v/>
      </c>
      <c r="AC357" s="34">
        <f>'[1]GÖP VERİLERİ'!I358</f>
        <v/>
      </c>
      <c r="AD357" s="34">
        <f>IF(AB357&gt;AC357*1.05,AB357-AC357*1.05,IF(AB357&lt;AC357*0.95,AC357*0.95-AB357,0))</f>
        <v/>
      </c>
      <c r="AE357" s="34">
        <f>MAX(F357,G357,750)*0.05*AD357</f>
        <v/>
      </c>
      <c r="AF357" s="34">
        <f>'[1]GÖP VERİLERİ'!J358</f>
        <v/>
      </c>
      <c r="AG357" s="34">
        <f>IF(AB357&gt;AF357*1.05,AB357-AF357*1.05,IF(AB357&lt;AF357*0.95,AF357*0.95-AB357,0))</f>
        <v/>
      </c>
      <c r="AH357" s="34">
        <f>MAX(I357,J357,750)*0.05*AG357</f>
        <v/>
      </c>
      <c r="AI357">
        <f>'[1]GÖP VERİLERİ'!E358</f>
        <v/>
      </c>
      <c r="AJ357">
        <f>'[1]GÖP VERİLERİ'!F358</f>
        <v/>
      </c>
      <c r="AK357" s="34">
        <f>IF(AI357&gt;AJ357*1.05,AI357-AJ357*1.05,IF(AI357&lt;AJ357*0.95,AJ357*0.95-AI357,0))</f>
        <v/>
      </c>
      <c r="AL357" s="34">
        <f>MAX(F357,G357,750)*0.05*AK357</f>
        <v/>
      </c>
      <c r="AM357" s="39">
        <f>'[1]GÖP VERİLERİ'!G358</f>
        <v/>
      </c>
      <c r="AN357" s="34">
        <f>IF(AI357&gt;AM357*1.05,AI357-AM357*1.05,IF(AI357&lt;AM357*0.95,AM357*0.95-AI357,0))</f>
        <v/>
      </c>
      <c r="AO357" s="34">
        <f>MAX(F357,G357,750)*0.05*AN357</f>
        <v/>
      </c>
      <c r="AP357" s="34">
        <f>'[1]GÖP VERİLERİ'!B358</f>
        <v/>
      </c>
      <c r="AQ357" s="34">
        <f>'[1]GÖP VERİLERİ'!C358</f>
        <v/>
      </c>
      <c r="AR357" s="34">
        <f>IF(AP357&gt;AQ357*1.05,AP357-AQ357*1.05,IF(AP357&lt;AQ357*0.95,AQ357*0.95-AP357,0))</f>
        <v/>
      </c>
      <c r="AS357" s="34">
        <f>MAX(F357:G357,750)*0.05*AR357</f>
        <v/>
      </c>
      <c r="AT357">
        <f>'[1]GÖP VERİLERİ'!D358</f>
        <v/>
      </c>
      <c r="AU357" s="34">
        <f>IF(AP357&gt;AT357*1.05,AP357-AT357*1.05,IF(AP357&lt;AT357*0.95,AT357*0.95-AP357,0))</f>
        <v/>
      </c>
      <c r="AV357" s="34">
        <f>MAX(F357:G357,750)*0.05*AU357</f>
        <v/>
      </c>
      <c r="AW357" s="34">
        <f>AC357+AJ357+AQ357</f>
        <v/>
      </c>
      <c r="AX357" s="34">
        <f>AF357+AM357+AT357</f>
        <v/>
      </c>
      <c r="AY357" s="34">
        <f>AB357+AI357+AP357</f>
        <v/>
      </c>
      <c r="AZ357" s="34" t="n">
        <v>0</v>
      </c>
      <c r="BA357" s="34">
        <f>AD357+AK357+AR357</f>
        <v/>
      </c>
      <c r="BB357" s="34">
        <f>MAX(F357:G357,750)*0.05*BA357</f>
        <v/>
      </c>
      <c r="BC357" s="34">
        <f>AG357+AN357+AU357</f>
        <v/>
      </c>
      <c r="BD357" s="34">
        <f>MAX(F357:G357,750)*0.05*BC357</f>
        <v/>
      </c>
      <c r="BE357" s="34">
        <f>F357*AY357</f>
        <v/>
      </c>
      <c r="BF357" s="34">
        <f>K357-M357</f>
        <v/>
      </c>
      <c r="BG357" s="34">
        <f>P357-S357</f>
        <v/>
      </c>
      <c r="BH357" s="34">
        <f>W357-AA357</f>
        <v/>
      </c>
      <c r="BI357" s="34">
        <f>BF357+BG357+BL357-BN357</f>
        <v/>
      </c>
      <c r="BJ357" s="34">
        <f>ABS(BK357)</f>
        <v/>
      </c>
      <c r="BK357" s="34">
        <f>AY357-(J357-L357+N357-Q357)</f>
        <v/>
      </c>
      <c r="BL357" s="34">
        <f>IF(AND(BK357&gt;0,MIN($F357:$G357)&lt;150,$E357="Enerji Açığı"),-100*BK357*1.03,IF(AND(BK357&gt;0,MIN($F357:$G357)&lt;150,$E357="Enerji Fazlası"),-100*BK357*1.06,IF(AND(BK357&gt;0,MIN($F357:$G357)&gt;=150,$E357="Enerji Açığı"),BK357*MIN($F357:$G357)*0.97,IF(AND(BK357&gt;0,MIN($F357:$G357)&gt;=150,$E357="Enerji Fazlası"),BK357*MIN($F357:$G357)*0.94,IF(AND(BK357&lt;0,MAX($F357:$G357)=4500,$E357="Enerji Açığı"),4500*1.05*1.06*BK357,IF(AND(BK357&lt;0,MAX($F357:$G357)=4500,$E357="Enerji Fazlası"),4500*1.05*1.03*BK357,IF(AND(BK357&lt;0,$E357="Enerji Açığı"),MAX($F357,$G357,150)*BK357*1.06,IF(AND(BK357&lt;0,$E357="Enerji Fazlası"),MAX($F357,$G357,150)*BK357*1.03,IF(AND(BK357&lt;0,$E357="Dengede"),MAX($F357:$G357,150)*1.03*BK357,MIN($F357:$G357)*0.97*BK357)))))))))</f>
        <v/>
      </c>
      <c r="BM357" s="34">
        <f>BE357-BI357-BN357</f>
        <v/>
      </c>
      <c r="BN357" s="34">
        <f>BB357</f>
        <v/>
      </c>
      <c r="BO357" s="34">
        <f>BE357-BI357</f>
        <v/>
      </c>
      <c r="BP357" s="34">
        <f>IF(AY357=0,0,BO357/AY357)</f>
        <v/>
      </c>
      <c r="BQ357" s="34">
        <f>MAX((AY357+MAX((-J357+L357-N357+Q357),0)),(MAX((J357-L357+N357-Q357),0)))</f>
        <v/>
      </c>
      <c r="BR357" s="82">
        <f>IFERROR(ABS(BK357/BQ357),0)</f>
        <v/>
      </c>
      <c r="BS357" s="34">
        <f>IF(BR357&lt;=0.1,0,BK357/BR357*(BR357-0.1))</f>
        <v/>
      </c>
      <c r="BT357" s="34">
        <f>IF((BS357)&lt;0,MAX(F357:G357)*(BS357)*1.03,MIN(F357:G357)*(BS357)*0.97)</f>
        <v/>
      </c>
      <c r="BU357" s="34">
        <f>IF(BR357&gt;0.1,1,0)</f>
        <v/>
      </c>
      <c r="BV357" s="34">
        <f>BF357+BG357+BH357+BY357-CA357</f>
        <v/>
      </c>
      <c r="BW357" s="34">
        <f>ABS(BX357)</f>
        <v/>
      </c>
      <c r="BX357" s="34">
        <f>AY357-(J357-L357+N357-Q357+T357-X357)</f>
        <v/>
      </c>
      <c r="BY357" s="34">
        <f>IF(AND(BX357&gt;0,MIN($F357:$G357)&lt;150,$E357="Enerji Açığı"),-100*BX357*1.03,IF(AND(BX357&gt;0,MIN($F357:$G357)&lt;150,$E357="Enerji Fazlası"),-100*BX357*1.06,IF(AND(BX357&gt;0,MIN($F357:$G357)&gt;=150,$E357="Enerji Açığı"),BX357*MIN($F357:$G357)*0.97,IF(AND(BX357&gt;0,MIN($F357:$G357)&gt;=150,$E357="Enerji Fazlası"),BX357*MIN($F357:$G357)*0.94,IF(AND(BX357&lt;0,MAX($F357:$G357)=4500,$E357="Enerji Açığı"),4500*1.05*1.06*BX357,IF(AND(BX357&lt;0,MAX($F357:$G357)=4500,$E357="Enerji Fazlası"),4500*1.05*1.03*BX357,IF(AND(BX357&lt;0,$E357="Enerji Açığı"),MAX($F357,$G357,150)*BX357*1.06,IF(AND(BX357&lt;0,$E357="Enerji Fazlası"),MAX($F357,$G357,150)*BX357*1.03,IF(AND(BX357&lt;0,$E357="Dengede"),MAX($F357:$G357,150)*1.03*BX357,MIN($F357:$G357)*0.97*BX357)))))))))</f>
        <v/>
      </c>
      <c r="BZ357" s="34">
        <f>BE357-BV357-CA357</f>
        <v/>
      </c>
      <c r="CA357" s="34">
        <f>BD357</f>
        <v/>
      </c>
      <c r="CB357" s="33">
        <f>BE357-BV357</f>
        <v/>
      </c>
      <c r="CC357" s="34">
        <f>IF(AY357=0,0,CB357/AY357)</f>
        <v/>
      </c>
      <c r="CD357" s="34">
        <f>MAX((AY357+MAX((-J357+L357-N357+Q357-T357+X357),0)),(MAX((J357-L357+N357-Q357+T357-X357),0)))</f>
        <v/>
      </c>
      <c r="CE357" s="82">
        <f>IFERROR(ABS(BX357/CD357),0)</f>
        <v/>
      </c>
      <c r="CF357" s="34">
        <f>IF(CE357&lt;=0.1,0,BX357/CE357*(CE357-0.1))</f>
        <v/>
      </c>
      <c r="CG357" s="34">
        <f>IF((CF357)&lt;0,MAX(F357:G357)*(CF357)*1.03,MIN(F357:G357)*(CF357)*0.97)</f>
        <v/>
      </c>
      <c r="CH357" s="34">
        <f>IF(CE357&gt;0.1,1,0)</f>
        <v/>
      </c>
      <c r="CI357" s="34">
        <f>(F357*BX357)-BY357</f>
        <v/>
      </c>
      <c r="CJ357" s="34">
        <f>IF(AY357=0,0,CI357/AY357)</f>
        <v/>
      </c>
    </row>
    <row r="358">
      <c r="A358" s="29">
        <f>[1]FİYATLAR!A333</f>
        <v/>
      </c>
      <c r="B358" s="29">
        <f>[1]FİYATLAR!B333</f>
        <v/>
      </c>
      <c r="C358" s="35">
        <f>INT(A358)</f>
        <v/>
      </c>
      <c r="D358" s="36">
        <f>MONTH(A358)</f>
        <v/>
      </c>
      <c r="E358" s="147">
        <f>[1]FİYATLAR!G333</f>
        <v/>
      </c>
      <c r="F358" s="30">
        <f>[1]FİYATLAR!C333</f>
        <v/>
      </c>
      <c r="G358" s="30">
        <f>[1]FİYATLAR!E333</f>
        <v/>
      </c>
      <c r="H358" s="30">
        <f>[1]FİYATLAR!D333</f>
        <v/>
      </c>
      <c r="I358" s="30">
        <f>[1]FİYATLAR!F333</f>
        <v/>
      </c>
      <c r="J358" s="119" t="n">
        <v>0</v>
      </c>
      <c r="K358" s="34">
        <f>F358*J358</f>
        <v/>
      </c>
      <c r="L358" s="119" t="n"/>
      <c r="M358" s="34">
        <f>L358*F358</f>
        <v/>
      </c>
      <c r="N358" s="119" t="n"/>
      <c r="O358" s="34">
        <f>F358</f>
        <v/>
      </c>
      <c r="P358" s="34">
        <f>N358*O358</f>
        <v/>
      </c>
      <c r="Q358" s="117" t="n">
        <v>0</v>
      </c>
      <c r="R358" s="34">
        <f>F358</f>
        <v/>
      </c>
      <c r="S358" s="34">
        <f>R358*Q358</f>
        <v/>
      </c>
      <c r="T358" s="34">
        <f>SUMIFS('[1]GİP VERİLERİ'!$C:$C,'[1]GİP VERİLERİ'!$B:$B,A358,'[1]GİP VERİLERİ'!$M:$M,"40X000000104782K",'[1]GİP VERİLERİ'!$G:$G,"SELL")</f>
        <v/>
      </c>
      <c r="U358" s="34">
        <f>IFERROR(W358/T358,0)</f>
        <v/>
      </c>
      <c r="V358" s="34">
        <f>IF(U358=0,0,U358-F358)</f>
        <v/>
      </c>
      <c r="W358" s="34">
        <f>SUMIFS('[1]GİP VERİLERİ'!$O:$O,'[1]GİP VERİLERİ'!$B:$B,A358,'[1]GİP VERİLERİ'!$M:$M,"40X000000104782K",'[1]GİP VERİLERİ'!$G:$G,"SELL")</f>
        <v/>
      </c>
      <c r="X358" s="34">
        <f>SUMIFS('[1]GİP VERİLERİ'!$C:$C,'[1]GİP VERİLERİ'!$B:$B,A358,'[1]GİP VERİLERİ'!$M:$M,"40X000000104782K",'[1]GİP VERİLERİ'!$G:$G,"BUY")</f>
        <v/>
      </c>
      <c r="Y358" s="34">
        <f>IFERROR(AA358/X358,0)</f>
        <v/>
      </c>
      <c r="Z358" s="34">
        <f>IF(Y358=0,0,F358-Y358)</f>
        <v/>
      </c>
      <c r="AA358" s="34">
        <f>SUMIFS('[1]GİP VERİLERİ'!$O:$O,'[1]GİP VERİLERİ'!$B:$B,A358,'[1]GİP VERİLERİ'!$M:$M,"40X000000104782K",'[1]GİP VERİLERİ'!$G:$G,"BUY")</f>
        <v/>
      </c>
      <c r="AB358" s="34">
        <f>'[1]GÖP VERİLERİ'!H359</f>
        <v/>
      </c>
      <c r="AC358" s="34">
        <f>'[1]GÖP VERİLERİ'!I359</f>
        <v/>
      </c>
      <c r="AD358" s="34">
        <f>IF(AB358&gt;AC358*1.05,AB358-AC358*1.05,IF(AB358&lt;AC358*0.95,AC358*0.95-AB358,0))</f>
        <v/>
      </c>
      <c r="AE358" s="34">
        <f>MAX(F358,G358,750)*0.05*AD358</f>
        <v/>
      </c>
      <c r="AF358" s="34">
        <f>'[1]GÖP VERİLERİ'!J359</f>
        <v/>
      </c>
      <c r="AG358" s="34">
        <f>IF(AB358&gt;AF358*1.05,AB358-AF358*1.05,IF(AB358&lt;AF358*0.95,AF358*0.95-AB358,0))</f>
        <v/>
      </c>
      <c r="AH358" s="34">
        <f>MAX(I358,J358,750)*0.05*AG358</f>
        <v/>
      </c>
      <c r="AI358">
        <f>'[1]GÖP VERİLERİ'!E359</f>
        <v/>
      </c>
      <c r="AJ358">
        <f>'[1]GÖP VERİLERİ'!F359</f>
        <v/>
      </c>
      <c r="AK358" s="34">
        <f>IF(AI358&gt;AJ358*1.05,AI358-AJ358*1.05,IF(AI358&lt;AJ358*0.95,AJ358*0.95-AI358,0))</f>
        <v/>
      </c>
      <c r="AL358" s="34">
        <f>MAX(F358,G358,750)*0.05*AK358</f>
        <v/>
      </c>
      <c r="AM358" s="39">
        <f>'[1]GÖP VERİLERİ'!G359</f>
        <v/>
      </c>
      <c r="AN358" s="34">
        <f>IF(AI358&gt;AM358*1.05,AI358-AM358*1.05,IF(AI358&lt;AM358*0.95,AM358*0.95-AI358,0))</f>
        <v/>
      </c>
      <c r="AO358" s="34">
        <f>MAX(F358,G358,750)*0.05*AN358</f>
        <v/>
      </c>
      <c r="AP358" s="34">
        <f>'[1]GÖP VERİLERİ'!B359</f>
        <v/>
      </c>
      <c r="AQ358" s="34">
        <f>'[1]GÖP VERİLERİ'!C359</f>
        <v/>
      </c>
      <c r="AR358" s="34">
        <f>IF(AP358&gt;AQ358*1.05,AP358-AQ358*1.05,IF(AP358&lt;AQ358*0.95,AQ358*0.95-AP358,0))</f>
        <v/>
      </c>
      <c r="AS358" s="34">
        <f>MAX(F358:G358,750)*0.05*AR358</f>
        <v/>
      </c>
      <c r="AT358">
        <f>'[1]GÖP VERİLERİ'!D359</f>
        <v/>
      </c>
      <c r="AU358" s="34">
        <f>IF(AP358&gt;AT358*1.05,AP358-AT358*1.05,IF(AP358&lt;AT358*0.95,AT358*0.95-AP358,0))</f>
        <v/>
      </c>
      <c r="AV358" s="34">
        <f>MAX(F358:G358,750)*0.05*AU358</f>
        <v/>
      </c>
      <c r="AW358" s="34">
        <f>AC358+AJ358+AQ358</f>
        <v/>
      </c>
      <c r="AX358" s="34">
        <f>AF358+AM358+AT358</f>
        <v/>
      </c>
      <c r="AY358" s="34">
        <f>AB358+AI358+AP358</f>
        <v/>
      </c>
      <c r="AZ358" s="34" t="n">
        <v>0</v>
      </c>
      <c r="BA358" s="34">
        <f>AD358+AK358+AR358</f>
        <v/>
      </c>
      <c r="BB358" s="34">
        <f>MAX(F358:G358,750)*0.05*BA358</f>
        <v/>
      </c>
      <c r="BC358" s="34">
        <f>AG358+AN358+AU358</f>
        <v/>
      </c>
      <c r="BD358" s="34">
        <f>MAX(F358:G358,750)*0.05*BC358</f>
        <v/>
      </c>
      <c r="BE358" s="34">
        <f>F358*AY358</f>
        <v/>
      </c>
      <c r="BF358" s="34">
        <f>K358-M358</f>
        <v/>
      </c>
      <c r="BG358" s="34">
        <f>P358-S358</f>
        <v/>
      </c>
      <c r="BH358" s="34">
        <f>W358-AA358</f>
        <v/>
      </c>
      <c r="BI358" s="34">
        <f>BF358+BG358+BL358-BN358</f>
        <v/>
      </c>
      <c r="BJ358" s="34">
        <f>ABS(BK358)</f>
        <v/>
      </c>
      <c r="BK358" s="34">
        <f>AY358-(J358-L358+N358-Q358)</f>
        <v/>
      </c>
      <c r="BL358" s="34">
        <f>IF(AND(BK358&gt;0,MIN($F358:$G358)&lt;150,$E358="Enerji Açığı"),-100*BK358*1.03,IF(AND(BK358&gt;0,MIN($F358:$G358)&lt;150,$E358="Enerji Fazlası"),-100*BK358*1.06,IF(AND(BK358&gt;0,MIN($F358:$G358)&gt;=150,$E358="Enerji Açığı"),BK358*MIN($F358:$G358)*0.97,IF(AND(BK358&gt;0,MIN($F358:$G358)&gt;=150,$E358="Enerji Fazlası"),BK358*MIN($F358:$G358)*0.94,IF(AND(BK358&lt;0,MAX($F358:$G358)=4500,$E358="Enerji Açığı"),4500*1.05*1.06*BK358,IF(AND(BK358&lt;0,MAX($F358:$G358)=4500,$E358="Enerji Fazlası"),4500*1.05*1.03*BK358,IF(AND(BK358&lt;0,$E358="Enerji Açığı"),MAX($F358,$G358,150)*BK358*1.06,IF(AND(BK358&lt;0,$E358="Enerji Fazlası"),MAX($F358,$G358,150)*BK358*1.03,IF(AND(BK358&lt;0,$E358="Dengede"),MAX($F358:$G358,150)*1.03*BK358,MIN($F358:$G358)*0.97*BK358)))))))))</f>
        <v/>
      </c>
      <c r="BM358" s="34">
        <f>BE358-BI358-BN358</f>
        <v/>
      </c>
      <c r="BN358" s="34">
        <f>BB358</f>
        <v/>
      </c>
      <c r="BO358" s="34">
        <f>BE358-BI358</f>
        <v/>
      </c>
      <c r="BP358" s="34">
        <f>IF(AY358=0,0,BO358/AY358)</f>
        <v/>
      </c>
      <c r="BQ358" s="34">
        <f>MAX((AY358+MAX((-J358+L358-N358+Q358),0)),(MAX((J358-L358+N358-Q358),0)))</f>
        <v/>
      </c>
      <c r="BR358" s="82">
        <f>IFERROR(ABS(BK358/BQ358),0)</f>
        <v/>
      </c>
      <c r="BS358" s="34">
        <f>IF(BR358&lt;=0.1,0,BK358/BR358*(BR358-0.1))</f>
        <v/>
      </c>
      <c r="BT358" s="34">
        <f>IF((BS358)&lt;0,MAX(F358:G358)*(BS358)*1.03,MIN(F358:G358)*(BS358)*0.97)</f>
        <v/>
      </c>
      <c r="BU358" s="34">
        <f>IF(BR358&gt;0.1,1,0)</f>
        <v/>
      </c>
      <c r="BV358" s="34">
        <f>BF358+BG358+BH358+BY358-CA358</f>
        <v/>
      </c>
      <c r="BW358" s="34">
        <f>ABS(BX358)</f>
        <v/>
      </c>
      <c r="BX358" s="34">
        <f>AY358-(J358-L358+N358-Q358+T358-X358)</f>
        <v/>
      </c>
      <c r="BY358" s="34">
        <f>IF(AND(BX358&gt;0,MIN($F358:$G358)&lt;150,$E358="Enerji Açığı"),-100*BX358*1.03,IF(AND(BX358&gt;0,MIN($F358:$G358)&lt;150,$E358="Enerji Fazlası"),-100*BX358*1.06,IF(AND(BX358&gt;0,MIN($F358:$G358)&gt;=150,$E358="Enerji Açığı"),BX358*MIN($F358:$G358)*0.97,IF(AND(BX358&gt;0,MIN($F358:$G358)&gt;=150,$E358="Enerji Fazlası"),BX358*MIN($F358:$G358)*0.94,IF(AND(BX358&lt;0,MAX($F358:$G358)=4500,$E358="Enerji Açığı"),4500*1.05*1.06*BX358,IF(AND(BX358&lt;0,MAX($F358:$G358)=4500,$E358="Enerji Fazlası"),4500*1.05*1.03*BX358,IF(AND(BX358&lt;0,$E358="Enerji Açığı"),MAX($F358,$G358,150)*BX358*1.06,IF(AND(BX358&lt;0,$E358="Enerji Fazlası"),MAX($F358,$G358,150)*BX358*1.03,IF(AND(BX358&lt;0,$E358="Dengede"),MAX($F358:$G358,150)*1.03*BX358,MIN($F358:$G358)*0.97*BX358)))))))))</f>
        <v/>
      </c>
      <c r="BZ358" s="34">
        <f>BE358-BV358-CA358</f>
        <v/>
      </c>
      <c r="CA358" s="34">
        <f>BD358</f>
        <v/>
      </c>
      <c r="CB358" s="33">
        <f>BE358-BV358</f>
        <v/>
      </c>
      <c r="CC358" s="34">
        <f>IF(AY358=0,0,CB358/AY358)</f>
        <v/>
      </c>
      <c r="CD358" s="34">
        <f>MAX((AY358+MAX((-J358+L358-N358+Q358-T358+X358),0)),(MAX((J358-L358+N358-Q358+T358-X358),0)))</f>
        <v/>
      </c>
      <c r="CE358" s="82">
        <f>IFERROR(ABS(BX358/CD358),0)</f>
        <v/>
      </c>
      <c r="CF358" s="34">
        <f>IF(CE358&lt;=0.1,0,BX358/CE358*(CE358-0.1))</f>
        <v/>
      </c>
      <c r="CG358" s="34">
        <f>IF((CF358)&lt;0,MAX(F358:G358)*(CF358)*1.03,MIN(F358:G358)*(CF358)*0.97)</f>
        <v/>
      </c>
      <c r="CH358" s="34">
        <f>IF(CE358&gt;0.1,1,0)</f>
        <v/>
      </c>
      <c r="CI358" s="34">
        <f>(F358*BX358)-BY358</f>
        <v/>
      </c>
      <c r="CJ358" s="34">
        <f>IF(AY358=0,0,CI358/AY358)</f>
        <v/>
      </c>
    </row>
    <row r="359">
      <c r="A359" s="29">
        <f>[1]FİYATLAR!A334</f>
        <v/>
      </c>
      <c r="B359" s="29">
        <f>[1]FİYATLAR!B334</f>
        <v/>
      </c>
      <c r="C359" s="35">
        <f>INT(A359)</f>
        <v/>
      </c>
      <c r="D359" s="36">
        <f>MONTH(A359)</f>
        <v/>
      </c>
      <c r="E359" s="147">
        <f>[1]FİYATLAR!G334</f>
        <v/>
      </c>
      <c r="F359" s="30">
        <f>[1]FİYATLAR!C334</f>
        <v/>
      </c>
      <c r="G359" s="30">
        <f>[1]FİYATLAR!E334</f>
        <v/>
      </c>
      <c r="H359" s="30">
        <f>[1]FİYATLAR!D334</f>
        <v/>
      </c>
      <c r="I359" s="30">
        <f>[1]FİYATLAR!F334</f>
        <v/>
      </c>
      <c r="J359" s="119" t="n">
        <v>0</v>
      </c>
      <c r="K359" s="34">
        <f>F359*J359</f>
        <v/>
      </c>
      <c r="L359" s="119" t="n"/>
      <c r="M359" s="34">
        <f>L359*F359</f>
        <v/>
      </c>
      <c r="N359" s="119" t="n"/>
      <c r="O359" s="34">
        <f>F359</f>
        <v/>
      </c>
      <c r="P359" s="34">
        <f>N359*O359</f>
        <v/>
      </c>
      <c r="Q359" s="117" t="n">
        <v>0</v>
      </c>
      <c r="R359" s="34">
        <f>F359</f>
        <v/>
      </c>
      <c r="S359" s="34">
        <f>R359*Q359</f>
        <v/>
      </c>
      <c r="T359" s="34">
        <f>SUMIFS('[1]GİP VERİLERİ'!$C:$C,'[1]GİP VERİLERİ'!$B:$B,A359,'[1]GİP VERİLERİ'!$M:$M,"40X000000104782K",'[1]GİP VERİLERİ'!$G:$G,"SELL")</f>
        <v/>
      </c>
      <c r="U359" s="34">
        <f>IFERROR(W359/T359,0)</f>
        <v/>
      </c>
      <c r="V359" s="34">
        <f>IF(U359=0,0,U359-F359)</f>
        <v/>
      </c>
      <c r="W359" s="34">
        <f>SUMIFS('[1]GİP VERİLERİ'!$O:$O,'[1]GİP VERİLERİ'!$B:$B,A359,'[1]GİP VERİLERİ'!$M:$M,"40X000000104782K",'[1]GİP VERİLERİ'!$G:$G,"SELL")</f>
        <v/>
      </c>
      <c r="X359" s="34">
        <f>SUMIFS('[1]GİP VERİLERİ'!$C:$C,'[1]GİP VERİLERİ'!$B:$B,A359,'[1]GİP VERİLERİ'!$M:$M,"40X000000104782K",'[1]GİP VERİLERİ'!$G:$G,"BUY")</f>
        <v/>
      </c>
      <c r="Y359" s="34">
        <f>IFERROR(AA359/X359,0)</f>
        <v/>
      </c>
      <c r="Z359" s="34">
        <f>IF(Y359=0,0,F359-Y359)</f>
        <v/>
      </c>
      <c r="AA359" s="34">
        <f>SUMIFS('[1]GİP VERİLERİ'!$O:$O,'[1]GİP VERİLERİ'!$B:$B,A359,'[1]GİP VERİLERİ'!$M:$M,"40X000000104782K",'[1]GİP VERİLERİ'!$G:$G,"BUY")</f>
        <v/>
      </c>
      <c r="AB359" s="34">
        <f>'[1]GÖP VERİLERİ'!H360</f>
        <v/>
      </c>
      <c r="AC359" s="34">
        <f>'[1]GÖP VERİLERİ'!I360</f>
        <v/>
      </c>
      <c r="AD359" s="34">
        <f>IF(AB359&gt;AC359*1.05,AB359-AC359*1.05,IF(AB359&lt;AC359*0.95,AC359*0.95-AB359,0))</f>
        <v/>
      </c>
      <c r="AE359" s="34">
        <f>MAX(F359,G359,750)*0.05*AD359</f>
        <v/>
      </c>
      <c r="AF359" s="34">
        <f>'[1]GÖP VERİLERİ'!J360</f>
        <v/>
      </c>
      <c r="AG359" s="34">
        <f>IF(AB359&gt;AF359*1.05,AB359-AF359*1.05,IF(AB359&lt;AF359*0.95,AF359*0.95-AB359,0))</f>
        <v/>
      </c>
      <c r="AH359" s="34">
        <f>MAX(I359,J359,750)*0.05*AG359</f>
        <v/>
      </c>
      <c r="AI359">
        <f>'[1]GÖP VERİLERİ'!E360</f>
        <v/>
      </c>
      <c r="AJ359">
        <f>'[1]GÖP VERİLERİ'!F360</f>
        <v/>
      </c>
      <c r="AK359" s="34">
        <f>IF(AI359&gt;AJ359*1.05,AI359-AJ359*1.05,IF(AI359&lt;AJ359*0.95,AJ359*0.95-AI359,0))</f>
        <v/>
      </c>
      <c r="AL359" s="34">
        <f>MAX(F359,G359,750)*0.05*AK359</f>
        <v/>
      </c>
      <c r="AM359" s="39">
        <f>'[1]GÖP VERİLERİ'!G360</f>
        <v/>
      </c>
      <c r="AN359" s="34">
        <f>IF(AI359&gt;AM359*1.05,AI359-AM359*1.05,IF(AI359&lt;AM359*0.95,AM359*0.95-AI359,0))</f>
        <v/>
      </c>
      <c r="AO359" s="34">
        <f>MAX(F359,G359,750)*0.05*AN359</f>
        <v/>
      </c>
      <c r="AP359" s="34">
        <f>'[1]GÖP VERİLERİ'!B360</f>
        <v/>
      </c>
      <c r="AQ359" s="34">
        <f>'[1]GÖP VERİLERİ'!C360</f>
        <v/>
      </c>
      <c r="AR359" s="34">
        <f>IF(AP359&gt;AQ359*1.05,AP359-AQ359*1.05,IF(AP359&lt;AQ359*0.95,AQ359*0.95-AP359,0))</f>
        <v/>
      </c>
      <c r="AS359" s="34">
        <f>MAX(F359:G359,750)*0.05*AR359</f>
        <v/>
      </c>
      <c r="AT359">
        <f>'[1]GÖP VERİLERİ'!D360</f>
        <v/>
      </c>
      <c r="AU359" s="34">
        <f>IF(AP359&gt;AT359*1.05,AP359-AT359*1.05,IF(AP359&lt;AT359*0.95,AT359*0.95-AP359,0))</f>
        <v/>
      </c>
      <c r="AV359" s="34">
        <f>MAX(F359:G359,750)*0.05*AU359</f>
        <v/>
      </c>
      <c r="AW359" s="34">
        <f>AC359+AJ359+AQ359</f>
        <v/>
      </c>
      <c r="AX359" s="34">
        <f>AF359+AM359+AT359</f>
        <v/>
      </c>
      <c r="AY359" s="34">
        <f>AB359+AI359+AP359</f>
        <v/>
      </c>
      <c r="AZ359" s="34" t="n">
        <v>0</v>
      </c>
      <c r="BA359" s="34">
        <f>AD359+AK359+AR359</f>
        <v/>
      </c>
      <c r="BB359" s="34">
        <f>MAX(F359:G359,750)*0.05*BA359</f>
        <v/>
      </c>
      <c r="BC359" s="34">
        <f>AG359+AN359+AU359</f>
        <v/>
      </c>
      <c r="BD359" s="34">
        <f>MAX(F359:G359,750)*0.05*BC359</f>
        <v/>
      </c>
      <c r="BE359" s="34">
        <f>F359*AY359</f>
        <v/>
      </c>
      <c r="BF359" s="34">
        <f>K359-M359</f>
        <v/>
      </c>
      <c r="BG359" s="34">
        <f>P359-S359</f>
        <v/>
      </c>
      <c r="BH359" s="34">
        <f>W359-AA359</f>
        <v/>
      </c>
      <c r="BI359" s="34">
        <f>BF359+BG359+BL359-BN359</f>
        <v/>
      </c>
      <c r="BJ359" s="34">
        <f>ABS(BK359)</f>
        <v/>
      </c>
      <c r="BK359" s="34">
        <f>AY359-(J359-L359+N359-Q359)</f>
        <v/>
      </c>
      <c r="BL359" s="34">
        <f>IF(AND(BK359&gt;0,MIN($F359:$G359)&lt;150,$E359="Enerji Açığı"),-100*BK359*1.03,IF(AND(BK359&gt;0,MIN($F359:$G359)&lt;150,$E359="Enerji Fazlası"),-100*BK359*1.06,IF(AND(BK359&gt;0,MIN($F359:$G359)&gt;=150,$E359="Enerji Açığı"),BK359*MIN($F359:$G359)*0.97,IF(AND(BK359&gt;0,MIN($F359:$G359)&gt;=150,$E359="Enerji Fazlası"),BK359*MIN($F359:$G359)*0.94,IF(AND(BK359&lt;0,MAX($F359:$G359)=4500,$E359="Enerji Açığı"),4500*1.05*1.06*BK359,IF(AND(BK359&lt;0,MAX($F359:$G359)=4500,$E359="Enerji Fazlası"),4500*1.05*1.03*BK359,IF(AND(BK359&lt;0,$E359="Enerji Açığı"),MAX($F359,$G359,150)*BK359*1.06,IF(AND(BK359&lt;0,$E359="Enerji Fazlası"),MAX($F359,$G359,150)*BK359*1.03,IF(AND(BK359&lt;0,$E359="Dengede"),MAX($F359:$G359,150)*1.03*BK359,MIN($F359:$G359)*0.97*BK359)))))))))</f>
        <v/>
      </c>
      <c r="BM359" s="34">
        <f>BE359-BI359-BN359</f>
        <v/>
      </c>
      <c r="BN359" s="34">
        <f>BB359</f>
        <v/>
      </c>
      <c r="BO359" s="34">
        <f>BE359-BI359</f>
        <v/>
      </c>
      <c r="BP359" s="34">
        <f>IF(AY359=0,0,BO359/AY359)</f>
        <v/>
      </c>
      <c r="BQ359" s="34">
        <f>MAX((AY359+MAX((-J359+L359-N359+Q359),0)),(MAX((J359-L359+N359-Q359),0)))</f>
        <v/>
      </c>
      <c r="BR359" s="82">
        <f>IFERROR(ABS(BK359/BQ359),0)</f>
        <v/>
      </c>
      <c r="BS359" s="34">
        <f>IF(BR359&lt;=0.1,0,BK359/BR359*(BR359-0.1))</f>
        <v/>
      </c>
      <c r="BT359" s="34">
        <f>IF((BS359)&lt;0,MAX(F359:G359)*(BS359)*1.03,MIN(F359:G359)*(BS359)*0.97)</f>
        <v/>
      </c>
      <c r="BU359" s="34">
        <f>IF(BR359&gt;0.1,1,0)</f>
        <v/>
      </c>
      <c r="BV359" s="34">
        <f>BF359+BG359+BH359+BY359-CA359</f>
        <v/>
      </c>
      <c r="BW359" s="34">
        <f>ABS(BX359)</f>
        <v/>
      </c>
      <c r="BX359" s="34">
        <f>AY359-(J359-L359+N359-Q359+T359-X359)</f>
        <v/>
      </c>
      <c r="BY359" s="34">
        <f>IF(AND(BX359&gt;0,MIN($F359:$G359)&lt;150,$E359="Enerji Açığı"),-100*BX359*1.03,IF(AND(BX359&gt;0,MIN($F359:$G359)&lt;150,$E359="Enerji Fazlası"),-100*BX359*1.06,IF(AND(BX359&gt;0,MIN($F359:$G359)&gt;=150,$E359="Enerji Açığı"),BX359*MIN($F359:$G359)*0.97,IF(AND(BX359&gt;0,MIN($F359:$G359)&gt;=150,$E359="Enerji Fazlası"),BX359*MIN($F359:$G359)*0.94,IF(AND(BX359&lt;0,MAX($F359:$G359)=4500,$E359="Enerji Açığı"),4500*1.05*1.06*BX359,IF(AND(BX359&lt;0,MAX($F359:$G359)=4500,$E359="Enerji Fazlası"),4500*1.05*1.03*BX359,IF(AND(BX359&lt;0,$E359="Enerji Açığı"),MAX($F359,$G359,150)*BX359*1.06,IF(AND(BX359&lt;0,$E359="Enerji Fazlası"),MAX($F359,$G359,150)*BX359*1.03,IF(AND(BX359&lt;0,$E359="Dengede"),MAX($F359:$G359,150)*1.03*BX359,MIN($F359:$G359)*0.97*BX359)))))))))</f>
        <v/>
      </c>
      <c r="BZ359" s="34">
        <f>BE359-BV359-CA359</f>
        <v/>
      </c>
      <c r="CA359" s="34">
        <f>BD359</f>
        <v/>
      </c>
      <c r="CB359" s="33">
        <f>BE359-BV359</f>
        <v/>
      </c>
      <c r="CC359" s="34">
        <f>IF(AY359=0,0,CB359/AY359)</f>
        <v/>
      </c>
      <c r="CD359" s="34">
        <f>MAX((AY359+MAX((-J359+L359-N359+Q359-T359+X359),0)),(MAX((J359-L359+N359-Q359+T359-X359),0)))</f>
        <v/>
      </c>
      <c r="CE359" s="82">
        <f>IFERROR(ABS(BX359/CD359),0)</f>
        <v/>
      </c>
      <c r="CF359" s="34">
        <f>IF(CE359&lt;=0.1,0,BX359/CE359*(CE359-0.1))</f>
        <v/>
      </c>
      <c r="CG359" s="34">
        <f>IF((CF359)&lt;0,MAX(F359:G359)*(CF359)*1.03,MIN(F359:G359)*(CF359)*0.97)</f>
        <v/>
      </c>
      <c r="CH359" s="34">
        <f>IF(CE359&gt;0.1,1,0)</f>
        <v/>
      </c>
      <c r="CI359" s="34">
        <f>(F359*BX359)-BY359</f>
        <v/>
      </c>
      <c r="CJ359" s="34">
        <f>IF(AY359=0,0,CI359/AY359)</f>
        <v/>
      </c>
    </row>
    <row r="360">
      <c r="A360" s="29">
        <f>[1]FİYATLAR!A335</f>
        <v/>
      </c>
      <c r="B360" s="29">
        <f>[1]FİYATLAR!B335</f>
        <v/>
      </c>
      <c r="C360" s="35">
        <f>INT(A360)</f>
        <v/>
      </c>
      <c r="D360" s="36">
        <f>MONTH(A360)</f>
        <v/>
      </c>
      <c r="E360" s="147">
        <f>[1]FİYATLAR!G335</f>
        <v/>
      </c>
      <c r="F360" s="30">
        <f>[1]FİYATLAR!C335</f>
        <v/>
      </c>
      <c r="G360" s="30">
        <f>[1]FİYATLAR!E335</f>
        <v/>
      </c>
      <c r="H360" s="30">
        <f>[1]FİYATLAR!D335</f>
        <v/>
      </c>
      <c r="I360" s="30">
        <f>[1]FİYATLAR!F335</f>
        <v/>
      </c>
      <c r="J360" s="119" t="n">
        <v>0</v>
      </c>
      <c r="K360" s="34">
        <f>F360*J360</f>
        <v/>
      </c>
      <c r="L360" s="119" t="n"/>
      <c r="M360" s="34">
        <f>L360*F360</f>
        <v/>
      </c>
      <c r="N360" s="119" t="n"/>
      <c r="O360" s="34">
        <f>F360</f>
        <v/>
      </c>
      <c r="P360" s="34">
        <f>N360*O360</f>
        <v/>
      </c>
      <c r="Q360" s="117" t="n">
        <v>0</v>
      </c>
      <c r="R360" s="34">
        <f>F360</f>
        <v/>
      </c>
      <c r="S360" s="34">
        <f>R360*Q360</f>
        <v/>
      </c>
      <c r="T360" s="34">
        <f>SUMIFS('[1]GİP VERİLERİ'!$C:$C,'[1]GİP VERİLERİ'!$B:$B,A360,'[1]GİP VERİLERİ'!$M:$M,"40X000000104782K",'[1]GİP VERİLERİ'!$G:$G,"SELL")</f>
        <v/>
      </c>
      <c r="U360" s="34">
        <f>IFERROR(W360/T360,0)</f>
        <v/>
      </c>
      <c r="V360" s="34">
        <f>IF(U360=0,0,U360-F360)</f>
        <v/>
      </c>
      <c r="W360" s="34">
        <f>SUMIFS('[1]GİP VERİLERİ'!$O:$O,'[1]GİP VERİLERİ'!$B:$B,A360,'[1]GİP VERİLERİ'!$M:$M,"40X000000104782K",'[1]GİP VERİLERİ'!$G:$G,"SELL")</f>
        <v/>
      </c>
      <c r="X360" s="34">
        <f>SUMIFS('[1]GİP VERİLERİ'!$C:$C,'[1]GİP VERİLERİ'!$B:$B,A360,'[1]GİP VERİLERİ'!$M:$M,"40X000000104782K",'[1]GİP VERİLERİ'!$G:$G,"BUY")</f>
        <v/>
      </c>
      <c r="Y360" s="34">
        <f>IFERROR(AA360/X360,0)</f>
        <v/>
      </c>
      <c r="Z360" s="34">
        <f>IF(Y360=0,0,F360-Y360)</f>
        <v/>
      </c>
      <c r="AA360" s="34">
        <f>SUMIFS('[1]GİP VERİLERİ'!$O:$O,'[1]GİP VERİLERİ'!$B:$B,A360,'[1]GİP VERİLERİ'!$M:$M,"40X000000104782K",'[1]GİP VERİLERİ'!$G:$G,"BUY")</f>
        <v/>
      </c>
      <c r="AB360" s="34">
        <f>'[1]GÖP VERİLERİ'!H361</f>
        <v/>
      </c>
      <c r="AC360" s="34">
        <f>'[1]GÖP VERİLERİ'!I361</f>
        <v/>
      </c>
      <c r="AD360" s="34">
        <f>IF(AB360&gt;AC360*1.05,AB360-AC360*1.05,IF(AB360&lt;AC360*0.95,AC360*0.95-AB360,0))</f>
        <v/>
      </c>
      <c r="AE360" s="34">
        <f>MAX(F360,G360,750)*0.05*AD360</f>
        <v/>
      </c>
      <c r="AF360" s="34">
        <f>'[1]GÖP VERİLERİ'!J361</f>
        <v/>
      </c>
      <c r="AG360" s="34">
        <f>IF(AB360&gt;AF360*1.05,AB360-AF360*1.05,IF(AB360&lt;AF360*0.95,AF360*0.95-AB360,0))</f>
        <v/>
      </c>
      <c r="AH360" s="34">
        <f>MAX(I360,J360,750)*0.05*AG360</f>
        <v/>
      </c>
      <c r="AI360">
        <f>'[1]GÖP VERİLERİ'!E361</f>
        <v/>
      </c>
      <c r="AJ360">
        <f>'[1]GÖP VERİLERİ'!F361</f>
        <v/>
      </c>
      <c r="AK360" s="34">
        <f>IF(AI360&gt;AJ360*1.05,AI360-AJ360*1.05,IF(AI360&lt;AJ360*0.95,AJ360*0.95-AI360,0))</f>
        <v/>
      </c>
      <c r="AL360" s="34">
        <f>MAX(F360,G360,750)*0.05*AK360</f>
        <v/>
      </c>
      <c r="AM360" s="39">
        <f>'[1]GÖP VERİLERİ'!G361</f>
        <v/>
      </c>
      <c r="AN360" s="34">
        <f>IF(AI360&gt;AM360*1.05,AI360-AM360*1.05,IF(AI360&lt;AM360*0.95,AM360*0.95-AI360,0))</f>
        <v/>
      </c>
      <c r="AO360" s="34">
        <f>MAX(F360,G360,750)*0.05*AN360</f>
        <v/>
      </c>
      <c r="AP360" s="34">
        <f>'[1]GÖP VERİLERİ'!B361</f>
        <v/>
      </c>
      <c r="AQ360" s="34">
        <f>'[1]GÖP VERİLERİ'!C361</f>
        <v/>
      </c>
      <c r="AR360" s="34">
        <f>IF(AP360&gt;AQ360*1.05,AP360-AQ360*1.05,IF(AP360&lt;AQ360*0.95,AQ360*0.95-AP360,0))</f>
        <v/>
      </c>
      <c r="AS360" s="34">
        <f>MAX(F360:G360,750)*0.05*AR360</f>
        <v/>
      </c>
      <c r="AT360">
        <f>'[1]GÖP VERİLERİ'!D361</f>
        <v/>
      </c>
      <c r="AU360" s="34">
        <f>IF(AP360&gt;AT360*1.05,AP360-AT360*1.05,IF(AP360&lt;AT360*0.95,AT360*0.95-AP360,0))</f>
        <v/>
      </c>
      <c r="AV360" s="34">
        <f>MAX(F360:G360,750)*0.05*AU360</f>
        <v/>
      </c>
      <c r="AW360" s="34">
        <f>AC360+AJ360+AQ360</f>
        <v/>
      </c>
      <c r="AX360" s="34">
        <f>AF360+AM360+AT360</f>
        <v/>
      </c>
      <c r="AY360" s="34">
        <f>AB360+AI360+AP360</f>
        <v/>
      </c>
      <c r="AZ360" s="34" t="n">
        <v>0</v>
      </c>
      <c r="BA360" s="34">
        <f>AD360+AK360+AR360</f>
        <v/>
      </c>
      <c r="BB360" s="34">
        <f>MAX(F360:G360,750)*0.05*BA360</f>
        <v/>
      </c>
      <c r="BC360" s="34">
        <f>AG360+AN360+AU360</f>
        <v/>
      </c>
      <c r="BD360" s="34">
        <f>MAX(F360:G360,750)*0.05*BC360</f>
        <v/>
      </c>
      <c r="BE360" s="34">
        <f>F360*AY360</f>
        <v/>
      </c>
      <c r="BF360" s="34">
        <f>K360-M360</f>
        <v/>
      </c>
      <c r="BG360" s="34">
        <f>P360-S360</f>
        <v/>
      </c>
      <c r="BH360" s="34">
        <f>W360-AA360</f>
        <v/>
      </c>
      <c r="BI360" s="34">
        <f>BF360+BG360+BL360-BN360</f>
        <v/>
      </c>
      <c r="BJ360" s="34">
        <f>ABS(BK360)</f>
        <v/>
      </c>
      <c r="BK360" s="34">
        <f>AY360-(J360-L360+N360-Q360)</f>
        <v/>
      </c>
      <c r="BL360" s="34">
        <f>IF(AND(BK360&gt;0,MIN($F360:$G360)&lt;150,$E360="Enerji Açığı"),-100*BK360*1.03,IF(AND(BK360&gt;0,MIN($F360:$G360)&lt;150,$E360="Enerji Fazlası"),-100*BK360*1.06,IF(AND(BK360&gt;0,MIN($F360:$G360)&gt;=150,$E360="Enerji Açığı"),BK360*MIN($F360:$G360)*0.97,IF(AND(BK360&gt;0,MIN($F360:$G360)&gt;=150,$E360="Enerji Fazlası"),BK360*MIN($F360:$G360)*0.94,IF(AND(BK360&lt;0,MAX($F360:$G360)=4500,$E360="Enerji Açığı"),4500*1.05*1.06*BK360,IF(AND(BK360&lt;0,MAX($F360:$G360)=4500,$E360="Enerji Fazlası"),4500*1.05*1.03*BK360,IF(AND(BK360&lt;0,$E360="Enerji Açığı"),MAX($F360,$G360,150)*BK360*1.06,IF(AND(BK360&lt;0,$E360="Enerji Fazlası"),MAX($F360,$G360,150)*BK360*1.03,IF(AND(BK360&lt;0,$E360="Dengede"),MAX($F360:$G360,150)*1.03*BK360,MIN($F360:$G360)*0.97*BK360)))))))))</f>
        <v/>
      </c>
      <c r="BM360" s="34">
        <f>BE360-BI360-BN360</f>
        <v/>
      </c>
      <c r="BN360" s="34">
        <f>BB360</f>
        <v/>
      </c>
      <c r="BO360" s="34">
        <f>BE360-BI360</f>
        <v/>
      </c>
      <c r="BP360" s="34">
        <f>IF(AY360=0,0,BO360/AY360)</f>
        <v/>
      </c>
      <c r="BQ360" s="34">
        <f>MAX((AY360+MAX((-J360+L360-N360+Q360),0)),(MAX((J360-L360+N360-Q360),0)))</f>
        <v/>
      </c>
      <c r="BR360" s="82">
        <f>IFERROR(ABS(BK360/BQ360),0)</f>
        <v/>
      </c>
      <c r="BS360" s="34">
        <f>IF(BR360&lt;=0.1,0,BK360/BR360*(BR360-0.1))</f>
        <v/>
      </c>
      <c r="BT360" s="34">
        <f>IF((BS360)&lt;0,MAX(F360:G360)*(BS360)*1.03,MIN(F360:G360)*(BS360)*0.97)</f>
        <v/>
      </c>
      <c r="BU360" s="34">
        <f>IF(BR360&gt;0.1,1,0)</f>
        <v/>
      </c>
      <c r="BV360" s="34">
        <f>BF360+BG360+BH360+BY360-CA360</f>
        <v/>
      </c>
      <c r="BW360" s="34">
        <f>ABS(BX360)</f>
        <v/>
      </c>
      <c r="BX360" s="34">
        <f>AY360-(J360-L360+N360-Q360+T360-X360)</f>
        <v/>
      </c>
      <c r="BY360" s="34">
        <f>IF(AND(BX360&gt;0,MIN($F360:$G360)&lt;150,$E360="Enerji Açığı"),-100*BX360*1.03,IF(AND(BX360&gt;0,MIN($F360:$G360)&lt;150,$E360="Enerji Fazlası"),-100*BX360*1.06,IF(AND(BX360&gt;0,MIN($F360:$G360)&gt;=150,$E360="Enerji Açığı"),BX360*MIN($F360:$G360)*0.97,IF(AND(BX360&gt;0,MIN($F360:$G360)&gt;=150,$E360="Enerji Fazlası"),BX360*MIN($F360:$G360)*0.94,IF(AND(BX360&lt;0,MAX($F360:$G360)=4500,$E360="Enerji Açığı"),4500*1.05*1.06*BX360,IF(AND(BX360&lt;0,MAX($F360:$G360)=4500,$E360="Enerji Fazlası"),4500*1.05*1.03*BX360,IF(AND(BX360&lt;0,$E360="Enerji Açığı"),MAX($F360,$G360,150)*BX360*1.06,IF(AND(BX360&lt;0,$E360="Enerji Fazlası"),MAX($F360,$G360,150)*BX360*1.03,IF(AND(BX360&lt;0,$E360="Dengede"),MAX($F360:$G360,150)*1.03*BX360,MIN($F360:$G360)*0.97*BX360)))))))))</f>
        <v/>
      </c>
      <c r="BZ360" s="34">
        <f>BE360-BV360-CA360</f>
        <v/>
      </c>
      <c r="CA360" s="34">
        <f>BD360</f>
        <v/>
      </c>
      <c r="CB360" s="33">
        <f>BE360-BV360</f>
        <v/>
      </c>
      <c r="CC360" s="34">
        <f>IF(AY360=0,0,CB360/AY360)</f>
        <v/>
      </c>
      <c r="CD360" s="34">
        <f>MAX((AY360+MAX((-J360+L360-N360+Q360-T360+X360),0)),(MAX((J360-L360+N360-Q360+T360-X360),0)))</f>
        <v/>
      </c>
      <c r="CE360" s="82">
        <f>IFERROR(ABS(BX360/CD360),0)</f>
        <v/>
      </c>
      <c r="CF360" s="34">
        <f>IF(CE360&lt;=0.1,0,BX360/CE360*(CE360-0.1))</f>
        <v/>
      </c>
      <c r="CG360" s="34">
        <f>IF((CF360)&lt;0,MAX(F360:G360)*(CF360)*1.03,MIN(F360:G360)*(CF360)*0.97)</f>
        <v/>
      </c>
      <c r="CH360" s="34">
        <f>IF(CE360&gt;0.1,1,0)</f>
        <v/>
      </c>
      <c r="CI360" s="34">
        <f>(F360*BX360)-BY360</f>
        <v/>
      </c>
      <c r="CJ360" s="34">
        <f>IF(AY360=0,0,CI360/AY360)</f>
        <v/>
      </c>
    </row>
    <row r="361">
      <c r="A361" s="29">
        <f>[1]FİYATLAR!A336</f>
        <v/>
      </c>
      <c r="B361" s="29">
        <f>[1]FİYATLAR!B336</f>
        <v/>
      </c>
      <c r="C361" s="35">
        <f>INT(A361)</f>
        <v/>
      </c>
      <c r="D361" s="36">
        <f>MONTH(A361)</f>
        <v/>
      </c>
      <c r="E361" s="147">
        <f>[1]FİYATLAR!G336</f>
        <v/>
      </c>
      <c r="F361" s="30">
        <f>[1]FİYATLAR!C336</f>
        <v/>
      </c>
      <c r="G361" s="30">
        <f>[1]FİYATLAR!E336</f>
        <v/>
      </c>
      <c r="H361" s="30">
        <f>[1]FİYATLAR!D336</f>
        <v/>
      </c>
      <c r="I361" s="30">
        <f>[1]FİYATLAR!F336</f>
        <v/>
      </c>
      <c r="J361" s="119" t="n">
        <v>0</v>
      </c>
      <c r="K361" s="34">
        <f>F361*J361</f>
        <v/>
      </c>
      <c r="L361" s="119" t="n"/>
      <c r="M361" s="34">
        <f>L361*F361</f>
        <v/>
      </c>
      <c r="N361" s="119" t="n"/>
      <c r="O361" s="34">
        <f>F361</f>
        <v/>
      </c>
      <c r="P361" s="34">
        <f>N361*O361</f>
        <v/>
      </c>
      <c r="Q361" s="117" t="n">
        <v>0</v>
      </c>
      <c r="R361" s="34">
        <f>F361</f>
        <v/>
      </c>
      <c r="S361" s="34">
        <f>R361*Q361</f>
        <v/>
      </c>
      <c r="T361" s="34">
        <f>SUMIFS('[1]GİP VERİLERİ'!$C:$C,'[1]GİP VERİLERİ'!$B:$B,A361,'[1]GİP VERİLERİ'!$M:$M,"40X000000104782K",'[1]GİP VERİLERİ'!$G:$G,"SELL")</f>
        <v/>
      </c>
      <c r="U361" s="34">
        <f>IFERROR(W361/T361,0)</f>
        <v/>
      </c>
      <c r="V361" s="34">
        <f>IF(U361=0,0,U361-F361)</f>
        <v/>
      </c>
      <c r="W361" s="34">
        <f>SUMIFS('[1]GİP VERİLERİ'!$O:$O,'[1]GİP VERİLERİ'!$B:$B,A361,'[1]GİP VERİLERİ'!$M:$M,"40X000000104782K",'[1]GİP VERİLERİ'!$G:$G,"SELL")</f>
        <v/>
      </c>
      <c r="X361" s="34">
        <f>SUMIFS('[1]GİP VERİLERİ'!$C:$C,'[1]GİP VERİLERİ'!$B:$B,A361,'[1]GİP VERİLERİ'!$M:$M,"40X000000104782K",'[1]GİP VERİLERİ'!$G:$G,"BUY")</f>
        <v/>
      </c>
      <c r="Y361" s="34">
        <f>IFERROR(AA361/X361,0)</f>
        <v/>
      </c>
      <c r="Z361" s="34">
        <f>IF(Y361=0,0,F361-Y361)</f>
        <v/>
      </c>
      <c r="AA361" s="34">
        <f>SUMIFS('[1]GİP VERİLERİ'!$O:$O,'[1]GİP VERİLERİ'!$B:$B,A361,'[1]GİP VERİLERİ'!$M:$M,"40X000000104782K",'[1]GİP VERİLERİ'!$G:$G,"BUY")</f>
        <v/>
      </c>
      <c r="AB361" s="34">
        <f>'[1]GÖP VERİLERİ'!H362</f>
        <v/>
      </c>
      <c r="AC361" s="34">
        <f>'[1]GÖP VERİLERİ'!I362</f>
        <v/>
      </c>
      <c r="AD361" s="34">
        <f>IF(AB361&gt;AC361*1.05,AB361-AC361*1.05,IF(AB361&lt;AC361*0.95,AC361*0.95-AB361,0))</f>
        <v/>
      </c>
      <c r="AE361" s="34">
        <f>MAX(F361,G361,750)*0.05*AD361</f>
        <v/>
      </c>
      <c r="AF361" s="34">
        <f>'[1]GÖP VERİLERİ'!J362</f>
        <v/>
      </c>
      <c r="AG361" s="34">
        <f>IF(AB361&gt;AF361*1.05,AB361-AF361*1.05,IF(AB361&lt;AF361*0.95,AF361*0.95-AB361,0))</f>
        <v/>
      </c>
      <c r="AH361" s="34">
        <f>MAX(I361,J361,750)*0.05*AG361</f>
        <v/>
      </c>
      <c r="AI361">
        <f>'[1]GÖP VERİLERİ'!E362</f>
        <v/>
      </c>
      <c r="AJ361">
        <f>'[1]GÖP VERİLERİ'!F362</f>
        <v/>
      </c>
      <c r="AK361" s="34">
        <f>IF(AI361&gt;AJ361*1.05,AI361-AJ361*1.05,IF(AI361&lt;AJ361*0.95,AJ361*0.95-AI361,0))</f>
        <v/>
      </c>
      <c r="AL361" s="34">
        <f>MAX(F361,G361,750)*0.05*AK361</f>
        <v/>
      </c>
      <c r="AM361" s="39">
        <f>'[1]GÖP VERİLERİ'!G362</f>
        <v/>
      </c>
      <c r="AN361" s="34">
        <f>IF(AI361&gt;AM361*1.05,AI361-AM361*1.05,IF(AI361&lt;AM361*0.95,AM361*0.95-AI361,0))</f>
        <v/>
      </c>
      <c r="AO361" s="34">
        <f>MAX(F361,G361,750)*0.05*AN361</f>
        <v/>
      </c>
      <c r="AP361" s="34">
        <f>'[1]GÖP VERİLERİ'!B362</f>
        <v/>
      </c>
      <c r="AQ361" s="34">
        <f>'[1]GÖP VERİLERİ'!C362</f>
        <v/>
      </c>
      <c r="AR361" s="34">
        <f>IF(AP361&gt;AQ361*1.05,AP361-AQ361*1.05,IF(AP361&lt;AQ361*0.95,AQ361*0.95-AP361,0))</f>
        <v/>
      </c>
      <c r="AS361" s="34">
        <f>MAX(F361:G361,750)*0.05*AR361</f>
        <v/>
      </c>
      <c r="AT361">
        <f>'[1]GÖP VERİLERİ'!D362</f>
        <v/>
      </c>
      <c r="AU361" s="34">
        <f>IF(AP361&gt;AT361*1.05,AP361-AT361*1.05,IF(AP361&lt;AT361*0.95,AT361*0.95-AP361,0))</f>
        <v/>
      </c>
      <c r="AV361" s="34">
        <f>MAX(F361:G361,750)*0.05*AU361</f>
        <v/>
      </c>
      <c r="AW361" s="34">
        <f>AC361+AJ361+AQ361</f>
        <v/>
      </c>
      <c r="AX361" s="34">
        <f>AF361+AM361+AT361</f>
        <v/>
      </c>
      <c r="AY361" s="34">
        <f>AB361+AI361+AP361</f>
        <v/>
      </c>
      <c r="AZ361" s="34" t="n">
        <v>0</v>
      </c>
      <c r="BA361" s="34">
        <f>AD361+AK361+AR361</f>
        <v/>
      </c>
      <c r="BB361" s="34">
        <f>MAX(F361:G361,750)*0.05*BA361</f>
        <v/>
      </c>
      <c r="BC361" s="34">
        <f>AG361+AN361+AU361</f>
        <v/>
      </c>
      <c r="BD361" s="34">
        <f>MAX(F361:G361,750)*0.05*BC361</f>
        <v/>
      </c>
      <c r="BE361" s="34">
        <f>F361*AY361</f>
        <v/>
      </c>
      <c r="BF361" s="34">
        <f>K361-M361</f>
        <v/>
      </c>
      <c r="BG361" s="34">
        <f>P361-S361</f>
        <v/>
      </c>
      <c r="BH361" s="34">
        <f>W361-AA361</f>
        <v/>
      </c>
      <c r="BI361" s="34">
        <f>BF361+BG361+BL361-BN361</f>
        <v/>
      </c>
      <c r="BJ361" s="34">
        <f>ABS(BK361)</f>
        <v/>
      </c>
      <c r="BK361" s="34">
        <f>AY361-(J361-L361+N361-Q361)</f>
        <v/>
      </c>
      <c r="BL361" s="34">
        <f>IF(AND(BK361&gt;0,MIN($F361:$G361)&lt;150,$E361="Enerji Açığı"),-100*BK361*1.03,IF(AND(BK361&gt;0,MIN($F361:$G361)&lt;150,$E361="Enerji Fazlası"),-100*BK361*1.06,IF(AND(BK361&gt;0,MIN($F361:$G361)&gt;=150,$E361="Enerji Açığı"),BK361*MIN($F361:$G361)*0.97,IF(AND(BK361&gt;0,MIN($F361:$G361)&gt;=150,$E361="Enerji Fazlası"),BK361*MIN($F361:$G361)*0.94,IF(AND(BK361&lt;0,MAX($F361:$G361)=4500,$E361="Enerji Açığı"),4500*1.05*1.06*BK361,IF(AND(BK361&lt;0,MAX($F361:$G361)=4500,$E361="Enerji Fazlası"),4500*1.05*1.03*BK361,IF(AND(BK361&lt;0,$E361="Enerji Açığı"),MAX($F361,$G361,150)*BK361*1.06,IF(AND(BK361&lt;0,$E361="Enerji Fazlası"),MAX($F361,$G361,150)*BK361*1.03,IF(AND(BK361&lt;0,$E361="Dengede"),MAX($F361:$G361,150)*1.03*BK361,MIN($F361:$G361)*0.97*BK361)))))))))</f>
        <v/>
      </c>
      <c r="BM361" s="34">
        <f>BE361-BI361-BN361</f>
        <v/>
      </c>
      <c r="BN361" s="34">
        <f>BB361</f>
        <v/>
      </c>
      <c r="BO361" s="34">
        <f>BE361-BI361</f>
        <v/>
      </c>
      <c r="BP361" s="34">
        <f>IF(AY361=0,0,BO361/AY361)</f>
        <v/>
      </c>
      <c r="BQ361" s="34">
        <f>MAX((AY361+MAX((-J361+L361-N361+Q361),0)),(MAX((J361-L361+N361-Q361),0)))</f>
        <v/>
      </c>
      <c r="BR361" s="82">
        <f>IFERROR(ABS(BK361/BQ361),0)</f>
        <v/>
      </c>
      <c r="BS361" s="34">
        <f>IF(BR361&lt;=0.1,0,BK361/BR361*(BR361-0.1))</f>
        <v/>
      </c>
      <c r="BT361" s="34">
        <f>IF((BS361)&lt;0,MAX(F361:G361)*(BS361)*1.03,MIN(F361:G361)*(BS361)*0.97)</f>
        <v/>
      </c>
      <c r="BU361" s="34">
        <f>IF(BR361&gt;0.1,1,0)</f>
        <v/>
      </c>
      <c r="BV361" s="34">
        <f>BF361+BG361+BH361+BY361-CA361</f>
        <v/>
      </c>
      <c r="BW361" s="34">
        <f>ABS(BX361)</f>
        <v/>
      </c>
      <c r="BX361" s="34">
        <f>AY361-(J361-L361+N361-Q361+T361-X361)</f>
        <v/>
      </c>
      <c r="BY361" s="34">
        <f>IF(AND(BX361&gt;0,MIN($F361:$G361)&lt;150,$E361="Enerji Açığı"),-100*BX361*1.03,IF(AND(BX361&gt;0,MIN($F361:$G361)&lt;150,$E361="Enerji Fazlası"),-100*BX361*1.06,IF(AND(BX361&gt;0,MIN($F361:$G361)&gt;=150,$E361="Enerji Açığı"),BX361*MIN($F361:$G361)*0.97,IF(AND(BX361&gt;0,MIN($F361:$G361)&gt;=150,$E361="Enerji Fazlası"),BX361*MIN($F361:$G361)*0.94,IF(AND(BX361&lt;0,MAX($F361:$G361)=4500,$E361="Enerji Açığı"),4500*1.05*1.06*BX361,IF(AND(BX361&lt;0,MAX($F361:$G361)=4500,$E361="Enerji Fazlası"),4500*1.05*1.03*BX361,IF(AND(BX361&lt;0,$E361="Enerji Açığı"),MAX($F361,$G361,150)*BX361*1.06,IF(AND(BX361&lt;0,$E361="Enerji Fazlası"),MAX($F361,$G361,150)*BX361*1.03,IF(AND(BX361&lt;0,$E361="Dengede"),MAX($F361:$G361,150)*1.03*BX361,MIN($F361:$G361)*0.97*BX361)))))))))</f>
        <v/>
      </c>
      <c r="BZ361" s="34">
        <f>BE361-BV361-CA361</f>
        <v/>
      </c>
      <c r="CA361" s="34">
        <f>BD361</f>
        <v/>
      </c>
      <c r="CB361" s="33">
        <f>BE361-BV361</f>
        <v/>
      </c>
      <c r="CC361" s="34">
        <f>IF(AY361=0,0,CB361/AY361)</f>
        <v/>
      </c>
      <c r="CD361" s="34">
        <f>MAX((AY361+MAX((-J361+L361-N361+Q361-T361+X361),0)),(MAX((J361-L361+N361-Q361+T361-X361),0)))</f>
        <v/>
      </c>
      <c r="CE361" s="82">
        <f>IFERROR(ABS(BX361/CD361),0)</f>
        <v/>
      </c>
      <c r="CF361" s="34">
        <f>IF(CE361&lt;=0.1,0,BX361/CE361*(CE361-0.1))</f>
        <v/>
      </c>
      <c r="CG361" s="34">
        <f>IF((CF361)&lt;0,MAX(F361:G361)*(CF361)*1.03,MIN(F361:G361)*(CF361)*0.97)</f>
        <v/>
      </c>
      <c r="CH361" s="34">
        <f>IF(CE361&gt;0.1,1,0)</f>
        <v/>
      </c>
      <c r="CI361" s="34">
        <f>(F361*BX361)-BY361</f>
        <v/>
      </c>
      <c r="CJ361" s="34">
        <f>IF(AY361=0,0,CI361/AY361)</f>
        <v/>
      </c>
    </row>
    <row r="362">
      <c r="A362" s="29">
        <f>[1]FİYATLAR!A337</f>
        <v/>
      </c>
      <c r="B362" s="29">
        <f>[1]FİYATLAR!B337</f>
        <v/>
      </c>
      <c r="C362" s="35">
        <f>INT(A362)</f>
        <v/>
      </c>
      <c r="D362" s="36">
        <f>MONTH(A362)</f>
        <v/>
      </c>
      <c r="E362" s="147">
        <f>[1]FİYATLAR!G337</f>
        <v/>
      </c>
      <c r="F362" s="30">
        <f>[1]FİYATLAR!C337</f>
        <v/>
      </c>
      <c r="G362" s="30">
        <f>[1]FİYATLAR!E337</f>
        <v/>
      </c>
      <c r="H362" s="30">
        <f>[1]FİYATLAR!D337</f>
        <v/>
      </c>
      <c r="I362" s="30">
        <f>[1]FİYATLAR!F337</f>
        <v/>
      </c>
      <c r="J362" s="119" t="n">
        <v>0</v>
      </c>
      <c r="K362" s="34">
        <f>F362*J362</f>
        <v/>
      </c>
      <c r="L362" s="119" t="n"/>
      <c r="M362" s="34">
        <f>L362*F362</f>
        <v/>
      </c>
      <c r="N362" s="119" t="n"/>
      <c r="O362" s="34">
        <f>F362</f>
        <v/>
      </c>
      <c r="P362" s="34">
        <f>N362*O362</f>
        <v/>
      </c>
      <c r="Q362" s="117" t="n">
        <v>0</v>
      </c>
      <c r="R362" s="34">
        <f>F362</f>
        <v/>
      </c>
      <c r="S362" s="34">
        <f>R362*Q362</f>
        <v/>
      </c>
      <c r="T362" s="34">
        <f>SUMIFS('[1]GİP VERİLERİ'!$C:$C,'[1]GİP VERİLERİ'!$B:$B,A362,'[1]GİP VERİLERİ'!$M:$M,"40X000000104782K",'[1]GİP VERİLERİ'!$G:$G,"SELL")</f>
        <v/>
      </c>
      <c r="U362" s="34">
        <f>IFERROR(W362/T362,0)</f>
        <v/>
      </c>
      <c r="V362" s="34">
        <f>IF(U362=0,0,U362-F362)</f>
        <v/>
      </c>
      <c r="W362" s="34">
        <f>SUMIFS('[1]GİP VERİLERİ'!$O:$O,'[1]GİP VERİLERİ'!$B:$B,A362,'[1]GİP VERİLERİ'!$M:$M,"40X000000104782K",'[1]GİP VERİLERİ'!$G:$G,"SELL")</f>
        <v/>
      </c>
      <c r="X362" s="34">
        <f>SUMIFS('[1]GİP VERİLERİ'!$C:$C,'[1]GİP VERİLERİ'!$B:$B,A362,'[1]GİP VERİLERİ'!$M:$M,"40X000000104782K",'[1]GİP VERİLERİ'!$G:$G,"BUY")</f>
        <v/>
      </c>
      <c r="Y362" s="34">
        <f>IFERROR(AA362/X362,0)</f>
        <v/>
      </c>
      <c r="Z362" s="34">
        <f>IF(Y362=0,0,F362-Y362)</f>
        <v/>
      </c>
      <c r="AA362" s="34">
        <f>SUMIFS('[1]GİP VERİLERİ'!$O:$O,'[1]GİP VERİLERİ'!$B:$B,A362,'[1]GİP VERİLERİ'!$M:$M,"40X000000104782K",'[1]GİP VERİLERİ'!$G:$G,"BUY")</f>
        <v/>
      </c>
      <c r="AB362" s="34">
        <f>'[1]GÖP VERİLERİ'!H363</f>
        <v/>
      </c>
      <c r="AC362" s="34">
        <f>'[1]GÖP VERİLERİ'!I363</f>
        <v/>
      </c>
      <c r="AD362" s="34">
        <f>IF(AB362&gt;AC362*1.05,AB362-AC362*1.05,IF(AB362&lt;AC362*0.95,AC362*0.95-AB362,0))</f>
        <v/>
      </c>
      <c r="AE362" s="34">
        <f>MAX(F362,G362,750)*0.05*AD362</f>
        <v/>
      </c>
      <c r="AF362" s="34">
        <f>'[1]GÖP VERİLERİ'!J363</f>
        <v/>
      </c>
      <c r="AG362" s="34">
        <f>IF(AB362&gt;AF362*1.05,AB362-AF362*1.05,IF(AB362&lt;AF362*0.95,AF362*0.95-AB362,0))</f>
        <v/>
      </c>
      <c r="AH362" s="34">
        <f>MAX(I362,J362,750)*0.05*AG362</f>
        <v/>
      </c>
      <c r="AI362">
        <f>'[1]GÖP VERİLERİ'!E363</f>
        <v/>
      </c>
      <c r="AJ362">
        <f>'[1]GÖP VERİLERİ'!F363</f>
        <v/>
      </c>
      <c r="AK362" s="34">
        <f>IF(AI362&gt;AJ362*1.05,AI362-AJ362*1.05,IF(AI362&lt;AJ362*0.95,AJ362*0.95-AI362,0))</f>
        <v/>
      </c>
      <c r="AL362" s="34">
        <f>MAX(F362,G362,750)*0.05*AK362</f>
        <v/>
      </c>
      <c r="AM362" s="39">
        <f>'[1]GÖP VERİLERİ'!G363</f>
        <v/>
      </c>
      <c r="AN362" s="34">
        <f>IF(AI362&gt;AM362*1.05,AI362-AM362*1.05,IF(AI362&lt;AM362*0.95,AM362*0.95-AI362,0))</f>
        <v/>
      </c>
      <c r="AO362" s="34">
        <f>MAX(F362,G362,750)*0.05*AN362</f>
        <v/>
      </c>
      <c r="AP362" s="34">
        <f>'[1]GÖP VERİLERİ'!B363</f>
        <v/>
      </c>
      <c r="AQ362" s="34">
        <f>'[1]GÖP VERİLERİ'!C363</f>
        <v/>
      </c>
      <c r="AR362" s="34">
        <f>IF(AP362&gt;AQ362*1.05,AP362-AQ362*1.05,IF(AP362&lt;AQ362*0.95,AQ362*0.95-AP362,0))</f>
        <v/>
      </c>
      <c r="AS362" s="34">
        <f>MAX(F362:G362,750)*0.05*AR362</f>
        <v/>
      </c>
      <c r="AT362">
        <f>'[1]GÖP VERİLERİ'!D363</f>
        <v/>
      </c>
      <c r="AU362" s="34">
        <f>IF(AP362&gt;AT362*1.05,AP362-AT362*1.05,IF(AP362&lt;AT362*0.95,AT362*0.95-AP362,0))</f>
        <v/>
      </c>
      <c r="AV362" s="34">
        <f>MAX(F362:G362,750)*0.05*AU362</f>
        <v/>
      </c>
      <c r="AW362" s="34">
        <f>AC362+AJ362+AQ362</f>
        <v/>
      </c>
      <c r="AX362" s="34">
        <f>AF362+AM362+AT362</f>
        <v/>
      </c>
      <c r="AY362" s="34">
        <f>AB362+AI362+AP362</f>
        <v/>
      </c>
      <c r="AZ362" s="34" t="n">
        <v>0</v>
      </c>
      <c r="BA362" s="34">
        <f>AD362+AK362+AR362</f>
        <v/>
      </c>
      <c r="BB362" s="34">
        <f>MAX(F362:G362,750)*0.05*BA362</f>
        <v/>
      </c>
      <c r="BC362" s="34">
        <f>AG362+AN362+AU362</f>
        <v/>
      </c>
      <c r="BD362" s="34">
        <f>MAX(F362:G362,750)*0.05*BC362</f>
        <v/>
      </c>
      <c r="BE362" s="34">
        <f>F362*AY362</f>
        <v/>
      </c>
      <c r="BF362" s="34">
        <f>K362-M362</f>
        <v/>
      </c>
      <c r="BG362" s="34">
        <f>P362-S362</f>
        <v/>
      </c>
      <c r="BH362" s="34">
        <f>W362-AA362</f>
        <v/>
      </c>
      <c r="BI362" s="34">
        <f>BF362+BG362+BL362-BN362</f>
        <v/>
      </c>
      <c r="BJ362" s="34">
        <f>ABS(BK362)</f>
        <v/>
      </c>
      <c r="BK362" s="34">
        <f>AY362-(J362-L362+N362-Q362)</f>
        <v/>
      </c>
      <c r="BL362" s="34">
        <f>IF(AND(BK362&gt;0,MIN($F362:$G362)&lt;150,$E362="Enerji Açığı"),-100*BK362*1.03,IF(AND(BK362&gt;0,MIN($F362:$G362)&lt;150,$E362="Enerji Fazlası"),-100*BK362*1.06,IF(AND(BK362&gt;0,MIN($F362:$G362)&gt;=150,$E362="Enerji Açığı"),BK362*MIN($F362:$G362)*0.97,IF(AND(BK362&gt;0,MIN($F362:$G362)&gt;=150,$E362="Enerji Fazlası"),BK362*MIN($F362:$G362)*0.94,IF(AND(BK362&lt;0,MAX($F362:$G362)=4500,$E362="Enerji Açığı"),4500*1.05*1.06*BK362,IF(AND(BK362&lt;0,MAX($F362:$G362)=4500,$E362="Enerji Fazlası"),4500*1.05*1.03*BK362,IF(AND(BK362&lt;0,$E362="Enerji Açığı"),MAX($F362,$G362,150)*BK362*1.06,IF(AND(BK362&lt;0,$E362="Enerji Fazlası"),MAX($F362,$G362,150)*BK362*1.03,IF(AND(BK362&lt;0,$E362="Dengede"),MAX($F362:$G362,150)*1.03*BK362,MIN($F362:$G362)*0.97*BK362)))))))))</f>
        <v/>
      </c>
      <c r="BM362" s="34">
        <f>BE362-BI362-BN362</f>
        <v/>
      </c>
      <c r="BN362" s="34">
        <f>BB362</f>
        <v/>
      </c>
      <c r="BO362" s="34">
        <f>BE362-BI362</f>
        <v/>
      </c>
      <c r="BP362" s="34">
        <f>IF(AY362=0,0,BO362/AY362)</f>
        <v/>
      </c>
      <c r="BQ362" s="34">
        <f>MAX((AY362+MAX((-J362+L362-N362+Q362),0)),(MAX((J362-L362+N362-Q362),0)))</f>
        <v/>
      </c>
      <c r="BR362" s="82">
        <f>IFERROR(ABS(BK362/BQ362),0)</f>
        <v/>
      </c>
      <c r="BS362" s="34">
        <f>IF(BR362&lt;=0.1,0,BK362/BR362*(BR362-0.1))</f>
        <v/>
      </c>
      <c r="BT362" s="34">
        <f>IF((BS362)&lt;0,MAX(F362:G362)*(BS362)*1.03,MIN(F362:G362)*(BS362)*0.97)</f>
        <v/>
      </c>
      <c r="BU362" s="34">
        <f>IF(BR362&gt;0.1,1,0)</f>
        <v/>
      </c>
      <c r="BV362" s="34">
        <f>BF362+BG362+BH362+BY362-CA362</f>
        <v/>
      </c>
      <c r="BW362" s="34">
        <f>ABS(BX362)</f>
        <v/>
      </c>
      <c r="BX362" s="34">
        <f>AY362-(J362-L362+N362-Q362+T362-X362)</f>
        <v/>
      </c>
      <c r="BY362" s="34">
        <f>IF(AND(BX362&gt;0,MIN($F362:$G362)&lt;150,$E362="Enerji Açığı"),-100*BX362*1.03,IF(AND(BX362&gt;0,MIN($F362:$G362)&lt;150,$E362="Enerji Fazlası"),-100*BX362*1.06,IF(AND(BX362&gt;0,MIN($F362:$G362)&gt;=150,$E362="Enerji Açığı"),BX362*MIN($F362:$G362)*0.97,IF(AND(BX362&gt;0,MIN($F362:$G362)&gt;=150,$E362="Enerji Fazlası"),BX362*MIN($F362:$G362)*0.94,IF(AND(BX362&lt;0,MAX($F362:$G362)=4500,$E362="Enerji Açığı"),4500*1.05*1.06*BX362,IF(AND(BX362&lt;0,MAX($F362:$G362)=4500,$E362="Enerji Fazlası"),4500*1.05*1.03*BX362,IF(AND(BX362&lt;0,$E362="Enerji Açığı"),MAX($F362,$G362,150)*BX362*1.06,IF(AND(BX362&lt;0,$E362="Enerji Fazlası"),MAX($F362,$G362,150)*BX362*1.03,IF(AND(BX362&lt;0,$E362="Dengede"),MAX($F362:$G362,150)*1.03*BX362,MIN($F362:$G362)*0.97*BX362)))))))))</f>
        <v/>
      </c>
      <c r="BZ362" s="34">
        <f>BE362-BV362-CA362</f>
        <v/>
      </c>
      <c r="CA362" s="34">
        <f>BD362</f>
        <v/>
      </c>
      <c r="CB362" s="33">
        <f>BE362-BV362</f>
        <v/>
      </c>
      <c r="CC362" s="34">
        <f>IF(AY362=0,0,CB362/AY362)</f>
        <v/>
      </c>
      <c r="CD362" s="34">
        <f>MAX((AY362+MAX((-J362+L362-N362+Q362-T362+X362),0)),(MAX((J362-L362+N362-Q362+T362-X362),0)))</f>
        <v/>
      </c>
      <c r="CE362" s="82">
        <f>IFERROR(ABS(BX362/CD362),0)</f>
        <v/>
      </c>
      <c r="CF362" s="34">
        <f>IF(CE362&lt;=0.1,0,BX362/CE362*(CE362-0.1))</f>
        <v/>
      </c>
      <c r="CG362" s="34">
        <f>IF((CF362)&lt;0,MAX(F362:G362)*(CF362)*1.03,MIN(F362:G362)*(CF362)*0.97)</f>
        <v/>
      </c>
      <c r="CH362" s="34">
        <f>IF(CE362&gt;0.1,1,0)</f>
        <v/>
      </c>
      <c r="CI362" s="34">
        <f>(F362*BX362)-BY362</f>
        <v/>
      </c>
      <c r="CJ362" s="34">
        <f>IF(AY362=0,0,CI362/AY362)</f>
        <v/>
      </c>
    </row>
    <row r="363">
      <c r="A363" s="29">
        <f>[1]FİYATLAR!A338</f>
        <v/>
      </c>
      <c r="B363" s="29">
        <f>[1]FİYATLAR!B338</f>
        <v/>
      </c>
      <c r="C363" s="35">
        <f>INT(A363)</f>
        <v/>
      </c>
      <c r="D363" s="36">
        <f>MONTH(A363)</f>
        <v/>
      </c>
      <c r="E363" s="147">
        <f>[1]FİYATLAR!G338</f>
        <v/>
      </c>
      <c r="F363" s="30">
        <f>[1]FİYATLAR!C338</f>
        <v/>
      </c>
      <c r="G363" s="30">
        <f>[1]FİYATLAR!E338</f>
        <v/>
      </c>
      <c r="H363" s="30">
        <f>[1]FİYATLAR!D338</f>
        <v/>
      </c>
      <c r="I363" s="30">
        <f>[1]FİYATLAR!F338</f>
        <v/>
      </c>
      <c r="J363" s="119" t="n">
        <v>0</v>
      </c>
      <c r="K363" s="34">
        <f>F363*J363</f>
        <v/>
      </c>
      <c r="L363" s="119" t="n"/>
      <c r="M363" s="34">
        <f>L363*F363</f>
        <v/>
      </c>
      <c r="N363" s="119" t="n"/>
      <c r="O363" s="34">
        <f>F363</f>
        <v/>
      </c>
      <c r="P363" s="34">
        <f>N363*O363</f>
        <v/>
      </c>
      <c r="Q363" s="117" t="n">
        <v>0</v>
      </c>
      <c r="R363" s="34">
        <f>F363</f>
        <v/>
      </c>
      <c r="S363" s="34">
        <f>R363*Q363</f>
        <v/>
      </c>
      <c r="T363" s="34">
        <f>SUMIFS('[1]GİP VERİLERİ'!$C:$C,'[1]GİP VERİLERİ'!$B:$B,A363,'[1]GİP VERİLERİ'!$M:$M,"40X000000104782K",'[1]GİP VERİLERİ'!$G:$G,"SELL")</f>
        <v/>
      </c>
      <c r="U363" s="34">
        <f>IFERROR(W363/T363,0)</f>
        <v/>
      </c>
      <c r="V363" s="34">
        <f>IF(U363=0,0,U363-F363)</f>
        <v/>
      </c>
      <c r="W363" s="34">
        <f>SUMIFS('[1]GİP VERİLERİ'!$O:$O,'[1]GİP VERİLERİ'!$B:$B,A363,'[1]GİP VERİLERİ'!$M:$M,"40X000000104782K",'[1]GİP VERİLERİ'!$G:$G,"SELL")</f>
        <v/>
      </c>
      <c r="X363" s="34">
        <f>SUMIFS('[1]GİP VERİLERİ'!$C:$C,'[1]GİP VERİLERİ'!$B:$B,A363,'[1]GİP VERİLERİ'!$M:$M,"40X000000104782K",'[1]GİP VERİLERİ'!$G:$G,"BUY")</f>
        <v/>
      </c>
      <c r="Y363" s="34">
        <f>IFERROR(AA363/X363,0)</f>
        <v/>
      </c>
      <c r="Z363" s="34">
        <f>IF(Y363=0,0,F363-Y363)</f>
        <v/>
      </c>
      <c r="AA363" s="34">
        <f>SUMIFS('[1]GİP VERİLERİ'!$O:$O,'[1]GİP VERİLERİ'!$B:$B,A363,'[1]GİP VERİLERİ'!$M:$M,"40X000000104782K",'[1]GİP VERİLERİ'!$G:$G,"BUY")</f>
        <v/>
      </c>
      <c r="AB363" s="34">
        <f>'[1]GÖP VERİLERİ'!H364</f>
        <v/>
      </c>
      <c r="AC363" s="34">
        <f>'[1]GÖP VERİLERİ'!I364</f>
        <v/>
      </c>
      <c r="AD363" s="34">
        <f>IF(AB363&gt;AC363*1.05,AB363-AC363*1.05,IF(AB363&lt;AC363*0.95,AC363*0.95-AB363,0))</f>
        <v/>
      </c>
      <c r="AE363" s="34">
        <f>MAX(F363,G363,750)*0.05*AD363</f>
        <v/>
      </c>
      <c r="AF363" s="34">
        <f>'[1]GÖP VERİLERİ'!J364</f>
        <v/>
      </c>
      <c r="AG363" s="34">
        <f>IF(AB363&gt;AF363*1.05,AB363-AF363*1.05,IF(AB363&lt;AF363*0.95,AF363*0.95-AB363,0))</f>
        <v/>
      </c>
      <c r="AH363" s="34">
        <f>MAX(I363,J363,750)*0.05*AG363</f>
        <v/>
      </c>
      <c r="AI363">
        <f>'[1]GÖP VERİLERİ'!E364</f>
        <v/>
      </c>
      <c r="AJ363">
        <f>'[1]GÖP VERİLERİ'!F364</f>
        <v/>
      </c>
      <c r="AK363" s="34">
        <f>IF(AI363&gt;AJ363*1.05,AI363-AJ363*1.05,IF(AI363&lt;AJ363*0.95,AJ363*0.95-AI363,0))</f>
        <v/>
      </c>
      <c r="AL363" s="34">
        <f>MAX(F363,G363,750)*0.05*AK363</f>
        <v/>
      </c>
      <c r="AM363" s="39">
        <f>'[1]GÖP VERİLERİ'!G364</f>
        <v/>
      </c>
      <c r="AN363" s="34">
        <f>IF(AI363&gt;AM363*1.05,AI363-AM363*1.05,IF(AI363&lt;AM363*0.95,AM363*0.95-AI363,0))</f>
        <v/>
      </c>
      <c r="AO363" s="34">
        <f>MAX(F363,G363,750)*0.05*AN363</f>
        <v/>
      </c>
      <c r="AP363" s="34">
        <f>'[1]GÖP VERİLERİ'!B364</f>
        <v/>
      </c>
      <c r="AQ363" s="34">
        <f>'[1]GÖP VERİLERİ'!C364</f>
        <v/>
      </c>
      <c r="AR363" s="34">
        <f>IF(AP363&gt;AQ363*1.05,AP363-AQ363*1.05,IF(AP363&lt;AQ363*0.95,AQ363*0.95-AP363,0))</f>
        <v/>
      </c>
      <c r="AS363" s="34">
        <f>MAX(F363:G363,750)*0.05*AR363</f>
        <v/>
      </c>
      <c r="AT363">
        <f>'[1]GÖP VERİLERİ'!D364</f>
        <v/>
      </c>
      <c r="AU363" s="34">
        <f>IF(AP363&gt;AT363*1.05,AP363-AT363*1.05,IF(AP363&lt;AT363*0.95,AT363*0.95-AP363,0))</f>
        <v/>
      </c>
      <c r="AV363" s="34">
        <f>MAX(F363:G363,750)*0.05*AU363</f>
        <v/>
      </c>
      <c r="AW363" s="34">
        <f>AC363+AJ363+AQ363</f>
        <v/>
      </c>
      <c r="AX363" s="34">
        <f>AF363+AM363+AT363</f>
        <v/>
      </c>
      <c r="AY363" s="34">
        <f>AB363+AI363+AP363</f>
        <v/>
      </c>
      <c r="AZ363" s="34" t="n">
        <v>0</v>
      </c>
      <c r="BA363" s="34">
        <f>AD363+AK363+AR363</f>
        <v/>
      </c>
      <c r="BB363" s="34">
        <f>MAX(F363:G363,750)*0.05*BA363</f>
        <v/>
      </c>
      <c r="BC363" s="34">
        <f>AG363+AN363+AU363</f>
        <v/>
      </c>
      <c r="BD363" s="34">
        <f>MAX(F363:G363,750)*0.05*BC363</f>
        <v/>
      </c>
      <c r="BE363" s="34">
        <f>F363*AY363</f>
        <v/>
      </c>
      <c r="BF363" s="34">
        <f>K363-M363</f>
        <v/>
      </c>
      <c r="BG363" s="34">
        <f>P363-S363</f>
        <v/>
      </c>
      <c r="BH363" s="34">
        <f>W363-AA363</f>
        <v/>
      </c>
      <c r="BI363" s="34">
        <f>BF363+BG363+BL363-BN363</f>
        <v/>
      </c>
      <c r="BJ363" s="34">
        <f>ABS(BK363)</f>
        <v/>
      </c>
      <c r="BK363" s="34">
        <f>AY363-(J363-L363+N363-Q363)</f>
        <v/>
      </c>
      <c r="BL363" s="34">
        <f>IF(AND(BK363&gt;0,MIN($F363:$G363)&lt;150,$E363="Enerji Açığı"),-100*BK363*1.03,IF(AND(BK363&gt;0,MIN($F363:$G363)&lt;150,$E363="Enerji Fazlası"),-100*BK363*1.06,IF(AND(BK363&gt;0,MIN($F363:$G363)&gt;=150,$E363="Enerji Açığı"),BK363*MIN($F363:$G363)*0.97,IF(AND(BK363&gt;0,MIN($F363:$G363)&gt;=150,$E363="Enerji Fazlası"),BK363*MIN($F363:$G363)*0.94,IF(AND(BK363&lt;0,MAX($F363:$G363)=4500,$E363="Enerji Açığı"),4500*1.05*1.06*BK363,IF(AND(BK363&lt;0,MAX($F363:$G363)=4500,$E363="Enerji Fazlası"),4500*1.05*1.03*BK363,IF(AND(BK363&lt;0,$E363="Enerji Açığı"),MAX($F363,$G363,150)*BK363*1.06,IF(AND(BK363&lt;0,$E363="Enerji Fazlası"),MAX($F363,$G363,150)*BK363*1.03,IF(AND(BK363&lt;0,$E363="Dengede"),MAX($F363:$G363,150)*1.03*BK363,MIN($F363:$G363)*0.97*BK363)))))))))</f>
        <v/>
      </c>
      <c r="BM363" s="34">
        <f>BE363-BI363-BN363</f>
        <v/>
      </c>
      <c r="BN363" s="34">
        <f>BB363</f>
        <v/>
      </c>
      <c r="BO363" s="34">
        <f>BE363-BI363</f>
        <v/>
      </c>
      <c r="BP363" s="34">
        <f>IF(AY363=0,0,BO363/AY363)</f>
        <v/>
      </c>
      <c r="BQ363" s="34">
        <f>MAX((AY363+MAX((-J363+L363-N363+Q363),0)),(MAX((J363-L363+N363-Q363),0)))</f>
        <v/>
      </c>
      <c r="BR363" s="82">
        <f>IFERROR(ABS(BK363/BQ363),0)</f>
        <v/>
      </c>
      <c r="BS363" s="34">
        <f>IF(BR363&lt;=0.1,0,BK363/BR363*(BR363-0.1))</f>
        <v/>
      </c>
      <c r="BT363" s="34">
        <f>IF((BS363)&lt;0,MAX(F363:G363)*(BS363)*1.03,MIN(F363:G363)*(BS363)*0.97)</f>
        <v/>
      </c>
      <c r="BU363" s="34">
        <f>IF(BR363&gt;0.1,1,0)</f>
        <v/>
      </c>
      <c r="BV363" s="34">
        <f>BF363+BG363+BH363+BY363-CA363</f>
        <v/>
      </c>
      <c r="BW363" s="34">
        <f>ABS(BX363)</f>
        <v/>
      </c>
      <c r="BX363" s="34">
        <f>AY363-(J363-L363+N363-Q363+T363-X363)</f>
        <v/>
      </c>
      <c r="BY363" s="34">
        <f>IF(AND(BX363&gt;0,MIN($F363:$G363)&lt;150,$E363="Enerji Açığı"),-100*BX363*1.03,IF(AND(BX363&gt;0,MIN($F363:$G363)&lt;150,$E363="Enerji Fazlası"),-100*BX363*1.06,IF(AND(BX363&gt;0,MIN($F363:$G363)&gt;=150,$E363="Enerji Açığı"),BX363*MIN($F363:$G363)*0.97,IF(AND(BX363&gt;0,MIN($F363:$G363)&gt;=150,$E363="Enerji Fazlası"),BX363*MIN($F363:$G363)*0.94,IF(AND(BX363&lt;0,MAX($F363:$G363)=4500,$E363="Enerji Açığı"),4500*1.05*1.06*BX363,IF(AND(BX363&lt;0,MAX($F363:$G363)=4500,$E363="Enerji Fazlası"),4500*1.05*1.03*BX363,IF(AND(BX363&lt;0,$E363="Enerji Açığı"),MAX($F363,$G363,150)*BX363*1.06,IF(AND(BX363&lt;0,$E363="Enerji Fazlası"),MAX($F363,$G363,150)*BX363*1.03,IF(AND(BX363&lt;0,$E363="Dengede"),MAX($F363:$G363,150)*1.03*BX363,MIN($F363:$G363)*0.97*BX363)))))))))</f>
        <v/>
      </c>
      <c r="BZ363" s="34">
        <f>BE363-BV363-CA363</f>
        <v/>
      </c>
      <c r="CA363" s="34">
        <f>BD363</f>
        <v/>
      </c>
      <c r="CB363" s="33">
        <f>BE363-BV363</f>
        <v/>
      </c>
      <c r="CC363" s="34">
        <f>IF(AY363=0,0,CB363/AY363)</f>
        <v/>
      </c>
      <c r="CD363" s="34">
        <f>MAX((AY363+MAX((-J363+L363-N363+Q363-T363+X363),0)),(MAX((J363-L363+N363-Q363+T363-X363),0)))</f>
        <v/>
      </c>
      <c r="CE363" s="82">
        <f>IFERROR(ABS(BX363/CD363),0)</f>
        <v/>
      </c>
      <c r="CF363" s="34">
        <f>IF(CE363&lt;=0.1,0,BX363/CE363*(CE363-0.1))</f>
        <v/>
      </c>
      <c r="CG363" s="34">
        <f>IF((CF363)&lt;0,MAX(F363:G363)*(CF363)*1.03,MIN(F363:G363)*(CF363)*0.97)</f>
        <v/>
      </c>
      <c r="CH363" s="34">
        <f>IF(CE363&gt;0.1,1,0)</f>
        <v/>
      </c>
      <c r="CI363" s="34">
        <f>(F363*BX363)-BY363</f>
        <v/>
      </c>
      <c r="CJ363" s="34">
        <f>IF(AY363=0,0,CI363/AY363)</f>
        <v/>
      </c>
    </row>
    <row r="364">
      <c r="A364" s="29">
        <f>[1]FİYATLAR!A339</f>
        <v/>
      </c>
      <c r="B364" s="29">
        <f>[1]FİYATLAR!B339</f>
        <v/>
      </c>
      <c r="C364" s="35">
        <f>INT(A364)</f>
        <v/>
      </c>
      <c r="D364" s="36">
        <f>MONTH(A364)</f>
        <v/>
      </c>
      <c r="E364" s="147">
        <f>[1]FİYATLAR!G339</f>
        <v/>
      </c>
      <c r="F364" s="30">
        <f>[1]FİYATLAR!C339</f>
        <v/>
      </c>
      <c r="G364" s="30">
        <f>[1]FİYATLAR!E339</f>
        <v/>
      </c>
      <c r="H364" s="30">
        <f>[1]FİYATLAR!D339</f>
        <v/>
      </c>
      <c r="I364" s="30">
        <f>[1]FİYATLAR!F339</f>
        <v/>
      </c>
      <c r="J364" s="119" t="n">
        <v>0</v>
      </c>
      <c r="K364" s="34">
        <f>F364*J364</f>
        <v/>
      </c>
      <c r="L364" s="119" t="n"/>
      <c r="M364" s="34">
        <f>L364*F364</f>
        <v/>
      </c>
      <c r="N364" s="119" t="n"/>
      <c r="O364" s="34">
        <f>F364</f>
        <v/>
      </c>
      <c r="P364" s="34">
        <f>N364*O364</f>
        <v/>
      </c>
      <c r="Q364" s="117" t="n">
        <v>0</v>
      </c>
      <c r="R364" s="34">
        <f>F364</f>
        <v/>
      </c>
      <c r="S364" s="34">
        <f>R364*Q364</f>
        <v/>
      </c>
      <c r="T364" s="34">
        <f>SUMIFS('[1]GİP VERİLERİ'!$C:$C,'[1]GİP VERİLERİ'!$B:$B,A364,'[1]GİP VERİLERİ'!$M:$M,"40X000000104782K",'[1]GİP VERİLERİ'!$G:$G,"SELL")</f>
        <v/>
      </c>
      <c r="U364" s="34">
        <f>IFERROR(W364/T364,0)</f>
        <v/>
      </c>
      <c r="V364" s="34">
        <f>IF(U364=0,0,U364-F364)</f>
        <v/>
      </c>
      <c r="W364" s="34">
        <f>SUMIFS('[1]GİP VERİLERİ'!$O:$O,'[1]GİP VERİLERİ'!$B:$B,A364,'[1]GİP VERİLERİ'!$M:$M,"40X000000104782K",'[1]GİP VERİLERİ'!$G:$G,"SELL")</f>
        <v/>
      </c>
      <c r="X364" s="34">
        <f>SUMIFS('[1]GİP VERİLERİ'!$C:$C,'[1]GİP VERİLERİ'!$B:$B,A364,'[1]GİP VERİLERİ'!$M:$M,"40X000000104782K",'[1]GİP VERİLERİ'!$G:$G,"BUY")</f>
        <v/>
      </c>
      <c r="Y364" s="34">
        <f>IFERROR(AA364/X364,0)</f>
        <v/>
      </c>
      <c r="Z364" s="34">
        <f>IF(Y364=0,0,F364-Y364)</f>
        <v/>
      </c>
      <c r="AA364" s="34">
        <f>SUMIFS('[1]GİP VERİLERİ'!$O:$O,'[1]GİP VERİLERİ'!$B:$B,A364,'[1]GİP VERİLERİ'!$M:$M,"40X000000104782K",'[1]GİP VERİLERİ'!$G:$G,"BUY")</f>
        <v/>
      </c>
      <c r="AB364" s="34">
        <f>'[1]GÖP VERİLERİ'!H365</f>
        <v/>
      </c>
      <c r="AC364" s="34">
        <f>'[1]GÖP VERİLERİ'!I365</f>
        <v/>
      </c>
      <c r="AD364" s="34">
        <f>IF(AB364&gt;AC364*1.05,AB364-AC364*1.05,IF(AB364&lt;AC364*0.95,AC364*0.95-AB364,0))</f>
        <v/>
      </c>
      <c r="AE364" s="34">
        <f>MAX(F364,G364,750)*0.05*AD364</f>
        <v/>
      </c>
      <c r="AF364" s="34">
        <f>'[1]GÖP VERİLERİ'!J365</f>
        <v/>
      </c>
      <c r="AG364" s="34">
        <f>IF(AB364&gt;AF364*1.05,AB364-AF364*1.05,IF(AB364&lt;AF364*0.95,AF364*0.95-AB364,0))</f>
        <v/>
      </c>
      <c r="AH364" s="34">
        <f>MAX(I364,J364,750)*0.05*AG364</f>
        <v/>
      </c>
      <c r="AI364">
        <f>'[1]GÖP VERİLERİ'!E365</f>
        <v/>
      </c>
      <c r="AJ364">
        <f>'[1]GÖP VERİLERİ'!F365</f>
        <v/>
      </c>
      <c r="AK364" s="34">
        <f>IF(AI364&gt;AJ364*1.05,AI364-AJ364*1.05,IF(AI364&lt;AJ364*0.95,AJ364*0.95-AI364,0))</f>
        <v/>
      </c>
      <c r="AL364" s="34">
        <f>MAX(F364,G364,750)*0.05*AK364</f>
        <v/>
      </c>
      <c r="AM364" s="39">
        <f>'[1]GÖP VERİLERİ'!G365</f>
        <v/>
      </c>
      <c r="AN364" s="34">
        <f>IF(AI364&gt;AM364*1.05,AI364-AM364*1.05,IF(AI364&lt;AM364*0.95,AM364*0.95-AI364,0))</f>
        <v/>
      </c>
      <c r="AO364" s="34">
        <f>MAX(F364,G364,750)*0.05*AN364</f>
        <v/>
      </c>
      <c r="AP364" s="34">
        <f>'[1]GÖP VERİLERİ'!B365</f>
        <v/>
      </c>
      <c r="AQ364" s="34">
        <f>'[1]GÖP VERİLERİ'!C365</f>
        <v/>
      </c>
      <c r="AR364" s="34">
        <f>IF(AP364&gt;AQ364*1.05,AP364-AQ364*1.05,IF(AP364&lt;AQ364*0.95,AQ364*0.95-AP364,0))</f>
        <v/>
      </c>
      <c r="AS364" s="34">
        <f>MAX(F364:G364,750)*0.05*AR364</f>
        <v/>
      </c>
      <c r="AT364">
        <f>'[1]GÖP VERİLERİ'!D365</f>
        <v/>
      </c>
      <c r="AU364" s="34">
        <f>IF(AP364&gt;AT364*1.05,AP364-AT364*1.05,IF(AP364&lt;AT364*0.95,AT364*0.95-AP364,0))</f>
        <v/>
      </c>
      <c r="AV364" s="34">
        <f>MAX(F364:G364,750)*0.05*AU364</f>
        <v/>
      </c>
      <c r="AW364" s="34">
        <f>AC364+AJ364+AQ364</f>
        <v/>
      </c>
      <c r="AX364" s="34">
        <f>AF364+AM364+AT364</f>
        <v/>
      </c>
      <c r="AY364" s="34">
        <f>AB364+AI364+AP364</f>
        <v/>
      </c>
      <c r="AZ364" s="34" t="n">
        <v>0</v>
      </c>
      <c r="BA364" s="34">
        <f>AD364+AK364+AR364</f>
        <v/>
      </c>
      <c r="BB364" s="34">
        <f>MAX(F364:G364,750)*0.05*BA364</f>
        <v/>
      </c>
      <c r="BC364" s="34">
        <f>AG364+AN364+AU364</f>
        <v/>
      </c>
      <c r="BD364" s="34">
        <f>MAX(F364:G364,750)*0.05*BC364</f>
        <v/>
      </c>
      <c r="BE364" s="34">
        <f>F364*AY364</f>
        <v/>
      </c>
      <c r="BF364" s="34">
        <f>K364-M364</f>
        <v/>
      </c>
      <c r="BG364" s="34">
        <f>P364-S364</f>
        <v/>
      </c>
      <c r="BH364" s="34">
        <f>W364-AA364</f>
        <v/>
      </c>
      <c r="BI364" s="34">
        <f>BF364+BG364+BL364-BN364</f>
        <v/>
      </c>
      <c r="BJ364" s="34">
        <f>ABS(BK364)</f>
        <v/>
      </c>
      <c r="BK364" s="34">
        <f>AY364-(J364-L364+N364-Q364)</f>
        <v/>
      </c>
      <c r="BL364" s="34">
        <f>IF(AND(BK364&gt;0,MIN($F364:$G364)&lt;150,$E364="Enerji Açığı"),-100*BK364*1.03,IF(AND(BK364&gt;0,MIN($F364:$G364)&lt;150,$E364="Enerji Fazlası"),-100*BK364*1.06,IF(AND(BK364&gt;0,MIN($F364:$G364)&gt;=150,$E364="Enerji Açığı"),BK364*MIN($F364:$G364)*0.97,IF(AND(BK364&gt;0,MIN($F364:$G364)&gt;=150,$E364="Enerji Fazlası"),BK364*MIN($F364:$G364)*0.94,IF(AND(BK364&lt;0,MAX($F364:$G364)=4500,$E364="Enerji Açığı"),4500*1.05*1.06*BK364,IF(AND(BK364&lt;0,MAX($F364:$G364)=4500,$E364="Enerji Fazlası"),4500*1.05*1.03*BK364,IF(AND(BK364&lt;0,$E364="Enerji Açığı"),MAX($F364,$G364,150)*BK364*1.06,IF(AND(BK364&lt;0,$E364="Enerji Fazlası"),MAX($F364,$G364,150)*BK364*1.03,IF(AND(BK364&lt;0,$E364="Dengede"),MAX($F364:$G364,150)*1.03*BK364,MIN($F364:$G364)*0.97*BK364)))))))))</f>
        <v/>
      </c>
      <c r="BM364" s="34">
        <f>BE364-BI364-BN364</f>
        <v/>
      </c>
      <c r="BN364" s="34">
        <f>BB364</f>
        <v/>
      </c>
      <c r="BO364" s="34">
        <f>BE364-BI364</f>
        <v/>
      </c>
      <c r="BP364" s="34">
        <f>IF(AY364=0,0,BO364/AY364)</f>
        <v/>
      </c>
      <c r="BQ364" s="34">
        <f>MAX((AY364+MAX((-J364+L364-N364+Q364),0)),(MAX((J364-L364+N364-Q364),0)))</f>
        <v/>
      </c>
      <c r="BR364" s="82">
        <f>IFERROR(ABS(BK364/BQ364),0)</f>
        <v/>
      </c>
      <c r="BS364" s="34">
        <f>IF(BR364&lt;=0.1,0,BK364/BR364*(BR364-0.1))</f>
        <v/>
      </c>
      <c r="BT364" s="34">
        <f>IF((BS364)&lt;0,MAX(F364:G364)*(BS364)*1.03,MIN(F364:G364)*(BS364)*0.97)</f>
        <v/>
      </c>
      <c r="BU364" s="34">
        <f>IF(BR364&gt;0.1,1,0)</f>
        <v/>
      </c>
      <c r="BV364" s="34">
        <f>BF364+BG364+BH364+BY364-CA364</f>
        <v/>
      </c>
      <c r="BW364" s="34">
        <f>ABS(BX364)</f>
        <v/>
      </c>
      <c r="BX364" s="34">
        <f>AY364-(J364-L364+N364-Q364+T364-X364)</f>
        <v/>
      </c>
      <c r="BY364" s="34">
        <f>IF(AND(BX364&gt;0,MIN($F364:$G364)&lt;150,$E364="Enerji Açığı"),-100*BX364*1.03,IF(AND(BX364&gt;0,MIN($F364:$G364)&lt;150,$E364="Enerji Fazlası"),-100*BX364*1.06,IF(AND(BX364&gt;0,MIN($F364:$G364)&gt;=150,$E364="Enerji Açığı"),BX364*MIN($F364:$G364)*0.97,IF(AND(BX364&gt;0,MIN($F364:$G364)&gt;=150,$E364="Enerji Fazlası"),BX364*MIN($F364:$G364)*0.94,IF(AND(BX364&lt;0,MAX($F364:$G364)=4500,$E364="Enerji Açığı"),4500*1.05*1.06*BX364,IF(AND(BX364&lt;0,MAX($F364:$G364)=4500,$E364="Enerji Fazlası"),4500*1.05*1.03*BX364,IF(AND(BX364&lt;0,$E364="Enerji Açığı"),MAX($F364,$G364,150)*BX364*1.06,IF(AND(BX364&lt;0,$E364="Enerji Fazlası"),MAX($F364,$G364,150)*BX364*1.03,IF(AND(BX364&lt;0,$E364="Dengede"),MAX($F364:$G364,150)*1.03*BX364,MIN($F364:$G364)*0.97*BX364)))))))))</f>
        <v/>
      </c>
      <c r="BZ364" s="34">
        <f>BE364-BV364-CA364</f>
        <v/>
      </c>
      <c r="CA364" s="34">
        <f>BD364</f>
        <v/>
      </c>
      <c r="CB364" s="33">
        <f>BE364-BV364</f>
        <v/>
      </c>
      <c r="CC364" s="34">
        <f>IF(AY364=0,0,CB364/AY364)</f>
        <v/>
      </c>
      <c r="CD364" s="34">
        <f>MAX((AY364+MAX((-J364+L364-N364+Q364-T364+X364),0)),(MAX((J364-L364+N364-Q364+T364-X364),0)))</f>
        <v/>
      </c>
      <c r="CE364" s="82">
        <f>IFERROR(ABS(BX364/CD364),0)</f>
        <v/>
      </c>
      <c r="CF364" s="34">
        <f>IF(CE364&lt;=0.1,0,BX364/CE364*(CE364-0.1))</f>
        <v/>
      </c>
      <c r="CG364" s="34">
        <f>IF((CF364)&lt;0,MAX(F364:G364)*(CF364)*1.03,MIN(F364:G364)*(CF364)*0.97)</f>
        <v/>
      </c>
      <c r="CH364" s="34">
        <f>IF(CE364&gt;0.1,1,0)</f>
        <v/>
      </c>
      <c r="CI364" s="34">
        <f>(F364*BX364)-BY364</f>
        <v/>
      </c>
      <c r="CJ364" s="34">
        <f>IF(AY364=0,0,CI364/AY364)</f>
        <v/>
      </c>
    </row>
    <row r="365">
      <c r="A365" s="29">
        <f>[1]FİYATLAR!A340</f>
        <v/>
      </c>
      <c r="B365" s="29">
        <f>[1]FİYATLAR!B340</f>
        <v/>
      </c>
      <c r="C365" s="35">
        <f>INT(A365)</f>
        <v/>
      </c>
      <c r="D365" s="36">
        <f>MONTH(A365)</f>
        <v/>
      </c>
      <c r="E365" s="147">
        <f>[1]FİYATLAR!G340</f>
        <v/>
      </c>
      <c r="F365" s="30">
        <f>[1]FİYATLAR!C340</f>
        <v/>
      </c>
      <c r="G365" s="30">
        <f>[1]FİYATLAR!E340</f>
        <v/>
      </c>
      <c r="H365" s="30">
        <f>[1]FİYATLAR!D340</f>
        <v/>
      </c>
      <c r="I365" s="30">
        <f>[1]FİYATLAR!F340</f>
        <v/>
      </c>
      <c r="J365" s="119" t="n">
        <v>0</v>
      </c>
      <c r="K365" s="34">
        <f>F365*J365</f>
        <v/>
      </c>
      <c r="L365" s="119" t="n"/>
      <c r="M365" s="34">
        <f>L365*F365</f>
        <v/>
      </c>
      <c r="N365" s="119" t="n"/>
      <c r="O365" s="34">
        <f>F365</f>
        <v/>
      </c>
      <c r="P365" s="34">
        <f>N365*O365</f>
        <v/>
      </c>
      <c r="Q365" s="117" t="n">
        <v>0</v>
      </c>
      <c r="R365" s="34">
        <f>F365</f>
        <v/>
      </c>
      <c r="S365" s="34">
        <f>R365*Q365</f>
        <v/>
      </c>
      <c r="T365" s="34">
        <f>SUMIFS('[1]GİP VERİLERİ'!$C:$C,'[1]GİP VERİLERİ'!$B:$B,A365,'[1]GİP VERİLERİ'!$M:$M,"40X000000104782K",'[1]GİP VERİLERİ'!$G:$G,"SELL")</f>
        <v/>
      </c>
      <c r="U365" s="34">
        <f>IFERROR(W365/T365,0)</f>
        <v/>
      </c>
      <c r="V365" s="34">
        <f>IF(U365=0,0,U365-F365)</f>
        <v/>
      </c>
      <c r="W365" s="34">
        <f>SUMIFS('[1]GİP VERİLERİ'!$O:$O,'[1]GİP VERİLERİ'!$B:$B,A365,'[1]GİP VERİLERİ'!$M:$M,"40X000000104782K",'[1]GİP VERİLERİ'!$G:$G,"SELL")</f>
        <v/>
      </c>
      <c r="X365" s="34">
        <f>SUMIFS('[1]GİP VERİLERİ'!$C:$C,'[1]GİP VERİLERİ'!$B:$B,A365,'[1]GİP VERİLERİ'!$M:$M,"40X000000104782K",'[1]GİP VERİLERİ'!$G:$G,"BUY")</f>
        <v/>
      </c>
      <c r="Y365" s="34">
        <f>IFERROR(AA365/X365,0)</f>
        <v/>
      </c>
      <c r="Z365" s="34">
        <f>IF(Y365=0,0,F365-Y365)</f>
        <v/>
      </c>
      <c r="AA365" s="34">
        <f>SUMIFS('[1]GİP VERİLERİ'!$O:$O,'[1]GİP VERİLERİ'!$B:$B,A365,'[1]GİP VERİLERİ'!$M:$M,"40X000000104782K",'[1]GİP VERİLERİ'!$G:$G,"BUY")</f>
        <v/>
      </c>
      <c r="AB365" s="34">
        <f>'[1]GÖP VERİLERİ'!H366</f>
        <v/>
      </c>
      <c r="AC365" s="34">
        <f>'[1]GÖP VERİLERİ'!I366</f>
        <v/>
      </c>
      <c r="AD365" s="34">
        <f>IF(AB365&gt;AC365*1.05,AB365-AC365*1.05,IF(AB365&lt;AC365*0.95,AC365*0.95-AB365,0))</f>
        <v/>
      </c>
      <c r="AE365" s="34">
        <f>MAX(F365,G365,750)*0.05*AD365</f>
        <v/>
      </c>
      <c r="AF365" s="34">
        <f>'[1]GÖP VERİLERİ'!J366</f>
        <v/>
      </c>
      <c r="AG365" s="34">
        <f>IF(AB365&gt;AF365*1.05,AB365-AF365*1.05,IF(AB365&lt;AF365*0.95,AF365*0.95-AB365,0))</f>
        <v/>
      </c>
      <c r="AH365" s="34">
        <f>MAX(I365,J365,750)*0.05*AG365</f>
        <v/>
      </c>
      <c r="AI365">
        <f>'[1]GÖP VERİLERİ'!E366</f>
        <v/>
      </c>
      <c r="AJ365">
        <f>'[1]GÖP VERİLERİ'!F366</f>
        <v/>
      </c>
      <c r="AK365" s="34">
        <f>IF(AI365&gt;AJ365*1.05,AI365-AJ365*1.05,IF(AI365&lt;AJ365*0.95,AJ365*0.95-AI365,0))</f>
        <v/>
      </c>
      <c r="AL365" s="34">
        <f>MAX(F365,G365,750)*0.05*AK365</f>
        <v/>
      </c>
      <c r="AM365" s="39">
        <f>'[1]GÖP VERİLERİ'!G366</f>
        <v/>
      </c>
      <c r="AN365" s="34">
        <f>IF(AI365&gt;AM365*1.05,AI365-AM365*1.05,IF(AI365&lt;AM365*0.95,AM365*0.95-AI365,0))</f>
        <v/>
      </c>
      <c r="AO365" s="34">
        <f>MAX(F365,G365,750)*0.05*AN365</f>
        <v/>
      </c>
      <c r="AP365" s="34">
        <f>'[1]GÖP VERİLERİ'!B366</f>
        <v/>
      </c>
      <c r="AQ365" s="34">
        <f>'[1]GÖP VERİLERİ'!C366</f>
        <v/>
      </c>
      <c r="AR365" s="34">
        <f>IF(AP365&gt;AQ365*1.05,AP365-AQ365*1.05,IF(AP365&lt;AQ365*0.95,AQ365*0.95-AP365,0))</f>
        <v/>
      </c>
      <c r="AS365" s="34">
        <f>MAX(F365:G365,750)*0.05*AR365</f>
        <v/>
      </c>
      <c r="AT365">
        <f>'[1]GÖP VERİLERİ'!D366</f>
        <v/>
      </c>
      <c r="AU365" s="34">
        <f>IF(AP365&gt;AT365*1.05,AP365-AT365*1.05,IF(AP365&lt;AT365*0.95,AT365*0.95-AP365,0))</f>
        <v/>
      </c>
      <c r="AV365" s="34">
        <f>MAX(F365:G365,750)*0.05*AU365</f>
        <v/>
      </c>
      <c r="AW365" s="34">
        <f>AC365+AJ365+AQ365</f>
        <v/>
      </c>
      <c r="AX365" s="34">
        <f>AF365+AM365+AT365</f>
        <v/>
      </c>
      <c r="AY365" s="34">
        <f>AB365+AI365+AP365</f>
        <v/>
      </c>
      <c r="AZ365" s="34" t="n">
        <v>0</v>
      </c>
      <c r="BA365" s="34">
        <f>AD365+AK365+AR365</f>
        <v/>
      </c>
      <c r="BB365" s="34">
        <f>MAX(F365:G365,750)*0.05*BA365</f>
        <v/>
      </c>
      <c r="BC365" s="34">
        <f>AG365+AN365+AU365</f>
        <v/>
      </c>
      <c r="BD365" s="34">
        <f>MAX(F365:G365,750)*0.05*BC365</f>
        <v/>
      </c>
      <c r="BE365" s="34">
        <f>F365*AY365</f>
        <v/>
      </c>
      <c r="BF365" s="34">
        <f>K365-M365</f>
        <v/>
      </c>
      <c r="BG365" s="34">
        <f>P365-S365</f>
        <v/>
      </c>
      <c r="BH365" s="34">
        <f>W365-AA365</f>
        <v/>
      </c>
      <c r="BI365" s="34">
        <f>BF365+BG365+BL365-BN365</f>
        <v/>
      </c>
      <c r="BJ365" s="34">
        <f>ABS(BK365)</f>
        <v/>
      </c>
      <c r="BK365" s="34">
        <f>AY365-(J365-L365+N365-Q365)</f>
        <v/>
      </c>
      <c r="BL365" s="34">
        <f>IF(AND(BK365&gt;0,MIN($F365:$G365)&lt;150,$E365="Enerji Açığı"),-100*BK365*1.03,IF(AND(BK365&gt;0,MIN($F365:$G365)&lt;150,$E365="Enerji Fazlası"),-100*BK365*1.06,IF(AND(BK365&gt;0,MIN($F365:$G365)&gt;=150,$E365="Enerji Açığı"),BK365*MIN($F365:$G365)*0.97,IF(AND(BK365&gt;0,MIN($F365:$G365)&gt;=150,$E365="Enerji Fazlası"),BK365*MIN($F365:$G365)*0.94,IF(AND(BK365&lt;0,MAX($F365:$G365)=4500,$E365="Enerji Açığı"),4500*1.05*1.06*BK365,IF(AND(BK365&lt;0,MAX($F365:$G365)=4500,$E365="Enerji Fazlası"),4500*1.05*1.03*BK365,IF(AND(BK365&lt;0,$E365="Enerji Açığı"),MAX($F365,$G365,150)*BK365*1.06,IF(AND(BK365&lt;0,$E365="Enerji Fazlası"),MAX($F365,$G365,150)*BK365*1.03,IF(AND(BK365&lt;0,$E365="Dengede"),MAX($F365:$G365,150)*1.03*BK365,MIN($F365:$G365)*0.97*BK365)))))))))</f>
        <v/>
      </c>
      <c r="BM365" s="34">
        <f>BE365-BI365-BN365</f>
        <v/>
      </c>
      <c r="BN365" s="34">
        <f>BB365</f>
        <v/>
      </c>
      <c r="BO365" s="34">
        <f>BE365-BI365</f>
        <v/>
      </c>
      <c r="BP365" s="34">
        <f>IF(AY365=0,0,BO365/AY365)</f>
        <v/>
      </c>
      <c r="BQ365" s="34">
        <f>MAX((AY365+MAX((-J365+L365-N365+Q365),0)),(MAX((J365-L365+N365-Q365),0)))</f>
        <v/>
      </c>
      <c r="BR365" s="82">
        <f>IFERROR(ABS(BK365/BQ365),0)</f>
        <v/>
      </c>
      <c r="BS365" s="34">
        <f>IF(BR365&lt;=0.1,0,BK365/BR365*(BR365-0.1))</f>
        <v/>
      </c>
      <c r="BT365" s="34">
        <f>IF((BS365)&lt;0,MAX(F365:G365)*(BS365)*1.03,MIN(F365:G365)*(BS365)*0.97)</f>
        <v/>
      </c>
      <c r="BU365" s="34">
        <f>IF(BR365&gt;0.1,1,0)</f>
        <v/>
      </c>
      <c r="BV365" s="34">
        <f>BF365+BG365+BH365+BY365-CA365</f>
        <v/>
      </c>
      <c r="BW365" s="34">
        <f>ABS(BX365)</f>
        <v/>
      </c>
      <c r="BX365" s="34">
        <f>AY365-(J365-L365+N365-Q365+T365-X365)</f>
        <v/>
      </c>
      <c r="BY365" s="34">
        <f>IF(AND(BX365&gt;0,MIN($F365:$G365)&lt;150,$E365="Enerji Açığı"),-100*BX365*1.03,IF(AND(BX365&gt;0,MIN($F365:$G365)&lt;150,$E365="Enerji Fazlası"),-100*BX365*1.06,IF(AND(BX365&gt;0,MIN($F365:$G365)&gt;=150,$E365="Enerji Açığı"),BX365*MIN($F365:$G365)*0.97,IF(AND(BX365&gt;0,MIN($F365:$G365)&gt;=150,$E365="Enerji Fazlası"),BX365*MIN($F365:$G365)*0.94,IF(AND(BX365&lt;0,MAX($F365:$G365)=4500,$E365="Enerji Açığı"),4500*1.05*1.06*BX365,IF(AND(BX365&lt;0,MAX($F365:$G365)=4500,$E365="Enerji Fazlası"),4500*1.05*1.03*BX365,IF(AND(BX365&lt;0,$E365="Enerji Açığı"),MAX($F365,$G365,150)*BX365*1.06,IF(AND(BX365&lt;0,$E365="Enerji Fazlası"),MAX($F365,$G365,150)*BX365*1.03,IF(AND(BX365&lt;0,$E365="Dengede"),MAX($F365:$G365,150)*1.03*BX365,MIN($F365:$G365)*0.97*BX365)))))))))</f>
        <v/>
      </c>
      <c r="BZ365" s="34">
        <f>BE365-BV365-CA365</f>
        <v/>
      </c>
      <c r="CA365" s="34">
        <f>BD365</f>
        <v/>
      </c>
      <c r="CB365" s="33">
        <f>BE365-BV365</f>
        <v/>
      </c>
      <c r="CC365" s="34">
        <f>IF(AY365=0,0,CB365/AY365)</f>
        <v/>
      </c>
      <c r="CD365" s="34">
        <f>MAX((AY365+MAX((-J365+L365-N365+Q365-T365+X365),0)),(MAX((J365-L365+N365-Q365+T365-X365),0)))</f>
        <v/>
      </c>
      <c r="CE365" s="82">
        <f>IFERROR(ABS(BX365/CD365),0)</f>
        <v/>
      </c>
      <c r="CF365" s="34">
        <f>IF(CE365&lt;=0.1,0,BX365/CE365*(CE365-0.1))</f>
        <v/>
      </c>
      <c r="CG365" s="34">
        <f>IF((CF365)&lt;0,MAX(F365:G365)*(CF365)*1.03,MIN(F365:G365)*(CF365)*0.97)</f>
        <v/>
      </c>
      <c r="CH365" s="34">
        <f>IF(CE365&gt;0.1,1,0)</f>
        <v/>
      </c>
      <c r="CI365" s="34">
        <f>(F365*BX365)-BY365</f>
        <v/>
      </c>
      <c r="CJ365" s="34">
        <f>IF(AY365=0,0,CI365/AY365)</f>
        <v/>
      </c>
    </row>
    <row r="366">
      <c r="A366" s="29">
        <f>[1]FİYATLAR!A341</f>
        <v/>
      </c>
      <c r="B366" s="29">
        <f>[1]FİYATLAR!B341</f>
        <v/>
      </c>
      <c r="C366" s="35">
        <f>INT(A366)</f>
        <v/>
      </c>
      <c r="D366" s="36">
        <f>MONTH(A366)</f>
        <v/>
      </c>
      <c r="E366" s="147">
        <f>[1]FİYATLAR!G341</f>
        <v/>
      </c>
      <c r="F366" s="30">
        <f>[1]FİYATLAR!C341</f>
        <v/>
      </c>
      <c r="G366" s="30">
        <f>[1]FİYATLAR!E341</f>
        <v/>
      </c>
      <c r="H366" s="30">
        <f>[1]FİYATLAR!D341</f>
        <v/>
      </c>
      <c r="I366" s="30">
        <f>[1]FİYATLAR!F341</f>
        <v/>
      </c>
      <c r="J366" s="119" t="n">
        <v>0</v>
      </c>
      <c r="K366" s="34">
        <f>F366*J366</f>
        <v/>
      </c>
      <c r="L366" s="119" t="n"/>
      <c r="M366" s="34">
        <f>L366*F366</f>
        <v/>
      </c>
      <c r="N366" s="119" t="n"/>
      <c r="O366" s="34">
        <f>F366</f>
        <v/>
      </c>
      <c r="P366" s="34">
        <f>N366*O366</f>
        <v/>
      </c>
      <c r="Q366" s="117" t="n">
        <v>0</v>
      </c>
      <c r="R366" s="34">
        <f>F366</f>
        <v/>
      </c>
      <c r="S366" s="34">
        <f>R366*Q366</f>
        <v/>
      </c>
      <c r="T366" s="34">
        <f>SUMIFS('[1]GİP VERİLERİ'!$C:$C,'[1]GİP VERİLERİ'!$B:$B,A366,'[1]GİP VERİLERİ'!$M:$M,"40X000000104782K",'[1]GİP VERİLERİ'!$G:$G,"SELL")</f>
        <v/>
      </c>
      <c r="U366" s="34">
        <f>IFERROR(W366/T366,0)</f>
        <v/>
      </c>
      <c r="V366" s="34">
        <f>IF(U366=0,0,U366-F366)</f>
        <v/>
      </c>
      <c r="W366" s="34">
        <f>SUMIFS('[1]GİP VERİLERİ'!$O:$O,'[1]GİP VERİLERİ'!$B:$B,A366,'[1]GİP VERİLERİ'!$M:$M,"40X000000104782K",'[1]GİP VERİLERİ'!$G:$G,"SELL")</f>
        <v/>
      </c>
      <c r="X366" s="34">
        <f>SUMIFS('[1]GİP VERİLERİ'!$C:$C,'[1]GİP VERİLERİ'!$B:$B,A366,'[1]GİP VERİLERİ'!$M:$M,"40X000000104782K",'[1]GİP VERİLERİ'!$G:$G,"BUY")</f>
        <v/>
      </c>
      <c r="Y366" s="34">
        <f>IFERROR(AA366/X366,0)</f>
        <v/>
      </c>
      <c r="Z366" s="34">
        <f>IF(Y366=0,0,F366-Y366)</f>
        <v/>
      </c>
      <c r="AA366" s="34">
        <f>SUMIFS('[1]GİP VERİLERİ'!$O:$O,'[1]GİP VERİLERİ'!$B:$B,A366,'[1]GİP VERİLERİ'!$M:$M,"40X000000104782K",'[1]GİP VERİLERİ'!$G:$G,"BUY")</f>
        <v/>
      </c>
      <c r="AB366" s="34">
        <f>'[1]GÖP VERİLERİ'!H367</f>
        <v/>
      </c>
      <c r="AC366" s="34">
        <f>'[1]GÖP VERİLERİ'!I367</f>
        <v/>
      </c>
      <c r="AD366" s="34">
        <f>IF(AB366&gt;AC366*1.05,AB366-AC366*1.05,IF(AB366&lt;AC366*0.95,AC366*0.95-AB366,0))</f>
        <v/>
      </c>
      <c r="AE366" s="34">
        <f>MAX(F366,G366,750)*0.05*AD366</f>
        <v/>
      </c>
      <c r="AF366" s="34">
        <f>'[1]GÖP VERİLERİ'!J367</f>
        <v/>
      </c>
      <c r="AG366" s="34">
        <f>IF(AB366&gt;AF366*1.05,AB366-AF366*1.05,IF(AB366&lt;AF366*0.95,AF366*0.95-AB366,0))</f>
        <v/>
      </c>
      <c r="AH366" s="34">
        <f>MAX(I366,J366,750)*0.05*AG366</f>
        <v/>
      </c>
      <c r="AI366">
        <f>'[1]GÖP VERİLERİ'!E367</f>
        <v/>
      </c>
      <c r="AJ366">
        <f>'[1]GÖP VERİLERİ'!F367</f>
        <v/>
      </c>
      <c r="AK366" s="34">
        <f>IF(AI366&gt;AJ366*1.05,AI366-AJ366*1.05,IF(AI366&lt;AJ366*0.95,AJ366*0.95-AI366,0))</f>
        <v/>
      </c>
      <c r="AL366" s="34">
        <f>MAX(F366,G366,750)*0.05*AK366</f>
        <v/>
      </c>
      <c r="AM366" s="39">
        <f>'[1]GÖP VERİLERİ'!G367</f>
        <v/>
      </c>
      <c r="AN366" s="34">
        <f>IF(AI366&gt;AM366*1.05,AI366-AM366*1.05,IF(AI366&lt;AM366*0.95,AM366*0.95-AI366,0))</f>
        <v/>
      </c>
      <c r="AO366" s="34">
        <f>MAX(F366,G366,750)*0.05*AN366</f>
        <v/>
      </c>
      <c r="AP366" s="34">
        <f>'[1]GÖP VERİLERİ'!B367</f>
        <v/>
      </c>
      <c r="AQ366" s="34">
        <f>'[1]GÖP VERİLERİ'!C367</f>
        <v/>
      </c>
      <c r="AR366" s="34">
        <f>IF(AP366&gt;AQ366*1.05,AP366-AQ366*1.05,IF(AP366&lt;AQ366*0.95,AQ366*0.95-AP366,0))</f>
        <v/>
      </c>
      <c r="AS366" s="34">
        <f>MAX(F366:G366,750)*0.05*AR366</f>
        <v/>
      </c>
      <c r="AT366">
        <f>'[1]GÖP VERİLERİ'!D367</f>
        <v/>
      </c>
      <c r="AU366" s="34">
        <f>IF(AP366&gt;AT366*1.05,AP366-AT366*1.05,IF(AP366&lt;AT366*0.95,AT366*0.95-AP366,0))</f>
        <v/>
      </c>
      <c r="AV366" s="34">
        <f>MAX(F366:G366,750)*0.05*AU366</f>
        <v/>
      </c>
      <c r="AW366" s="34">
        <f>AC366+AJ366+AQ366</f>
        <v/>
      </c>
      <c r="AX366" s="34">
        <f>AF366+AM366+AT366</f>
        <v/>
      </c>
      <c r="AY366" s="34">
        <f>AB366+AI366+AP366</f>
        <v/>
      </c>
      <c r="AZ366" s="34" t="n">
        <v>0</v>
      </c>
      <c r="BA366" s="34">
        <f>AD366+AK366+AR366</f>
        <v/>
      </c>
      <c r="BB366" s="34">
        <f>MAX(F366:G366,750)*0.05*BA366</f>
        <v/>
      </c>
      <c r="BC366" s="34">
        <f>AG366+AN366+AU366</f>
        <v/>
      </c>
      <c r="BD366" s="34">
        <f>MAX(F366:G366,750)*0.05*BC366</f>
        <v/>
      </c>
      <c r="BE366" s="34">
        <f>F366*AY366</f>
        <v/>
      </c>
      <c r="BF366" s="34">
        <f>K366-M366</f>
        <v/>
      </c>
      <c r="BG366" s="34">
        <f>P366-S366</f>
        <v/>
      </c>
      <c r="BH366" s="34">
        <f>W366-AA366</f>
        <v/>
      </c>
      <c r="BI366" s="34">
        <f>BF366+BG366+BL366-BN366</f>
        <v/>
      </c>
      <c r="BJ366" s="34">
        <f>ABS(BK366)</f>
        <v/>
      </c>
      <c r="BK366" s="34">
        <f>AY366-(J366-L366+N366-Q366)</f>
        <v/>
      </c>
      <c r="BL366" s="34">
        <f>IF(AND(BK366&gt;0,MIN($F366:$G366)&lt;150,$E366="Enerji Açığı"),-100*BK366*1.03,IF(AND(BK366&gt;0,MIN($F366:$G366)&lt;150,$E366="Enerji Fazlası"),-100*BK366*1.06,IF(AND(BK366&gt;0,MIN($F366:$G366)&gt;=150,$E366="Enerji Açığı"),BK366*MIN($F366:$G366)*0.97,IF(AND(BK366&gt;0,MIN($F366:$G366)&gt;=150,$E366="Enerji Fazlası"),BK366*MIN($F366:$G366)*0.94,IF(AND(BK366&lt;0,MAX($F366:$G366)=4500,$E366="Enerji Açığı"),4500*1.05*1.06*BK366,IF(AND(BK366&lt;0,MAX($F366:$G366)=4500,$E366="Enerji Fazlası"),4500*1.05*1.03*BK366,IF(AND(BK366&lt;0,$E366="Enerji Açığı"),MAX($F366,$G366,150)*BK366*1.06,IF(AND(BK366&lt;0,$E366="Enerji Fazlası"),MAX($F366,$G366,150)*BK366*1.03,IF(AND(BK366&lt;0,$E366="Dengede"),MAX($F366:$G366,150)*1.03*BK366,MIN($F366:$G366)*0.97*BK366)))))))))</f>
        <v/>
      </c>
      <c r="BM366" s="34">
        <f>BE366-BI366-BN366</f>
        <v/>
      </c>
      <c r="BN366" s="34">
        <f>BB366</f>
        <v/>
      </c>
      <c r="BO366" s="34">
        <f>BE366-BI366</f>
        <v/>
      </c>
      <c r="BP366" s="34">
        <f>IF(AY366=0,0,BO366/AY366)</f>
        <v/>
      </c>
      <c r="BQ366" s="34">
        <f>MAX((AY366+MAX((-J366+L366-N366+Q366),0)),(MAX((J366-L366+N366-Q366),0)))</f>
        <v/>
      </c>
      <c r="BR366" s="82">
        <f>IFERROR(ABS(BK366/BQ366),0)</f>
        <v/>
      </c>
      <c r="BS366" s="34">
        <f>IF(BR366&lt;=0.1,0,BK366/BR366*(BR366-0.1))</f>
        <v/>
      </c>
      <c r="BT366" s="34">
        <f>IF((BS366)&lt;0,MAX(F366:G366)*(BS366)*1.03,MIN(F366:G366)*(BS366)*0.97)</f>
        <v/>
      </c>
      <c r="BU366" s="34">
        <f>IF(BR366&gt;0.1,1,0)</f>
        <v/>
      </c>
      <c r="BV366" s="34">
        <f>BF366+BG366+BH366+BY366-CA366</f>
        <v/>
      </c>
      <c r="BW366" s="34">
        <f>ABS(BX366)</f>
        <v/>
      </c>
      <c r="BX366" s="34">
        <f>AY366-(J366-L366+N366-Q366+T366-X366)</f>
        <v/>
      </c>
      <c r="BY366" s="34">
        <f>IF(AND(BX366&gt;0,MIN($F366:$G366)&lt;150,$E366="Enerji Açığı"),-100*BX366*1.03,IF(AND(BX366&gt;0,MIN($F366:$G366)&lt;150,$E366="Enerji Fazlası"),-100*BX366*1.06,IF(AND(BX366&gt;0,MIN($F366:$G366)&gt;=150,$E366="Enerji Açığı"),BX366*MIN($F366:$G366)*0.97,IF(AND(BX366&gt;0,MIN($F366:$G366)&gt;=150,$E366="Enerji Fazlası"),BX366*MIN($F366:$G366)*0.94,IF(AND(BX366&lt;0,MAX($F366:$G366)=4500,$E366="Enerji Açığı"),4500*1.05*1.06*BX366,IF(AND(BX366&lt;0,MAX($F366:$G366)=4500,$E366="Enerji Fazlası"),4500*1.05*1.03*BX366,IF(AND(BX366&lt;0,$E366="Enerji Açığı"),MAX($F366,$G366,150)*BX366*1.06,IF(AND(BX366&lt;0,$E366="Enerji Fazlası"),MAX($F366,$G366,150)*BX366*1.03,IF(AND(BX366&lt;0,$E366="Dengede"),MAX($F366:$G366,150)*1.03*BX366,MIN($F366:$G366)*0.97*BX366)))))))))</f>
        <v/>
      </c>
      <c r="BZ366" s="34">
        <f>BE366-BV366-CA366</f>
        <v/>
      </c>
      <c r="CA366" s="34">
        <f>BD366</f>
        <v/>
      </c>
      <c r="CB366" s="33">
        <f>BE366-BV366</f>
        <v/>
      </c>
      <c r="CC366" s="34">
        <f>IF(AY366=0,0,CB366/AY366)</f>
        <v/>
      </c>
      <c r="CD366" s="34">
        <f>MAX((AY366+MAX((-J366+L366-N366+Q366-T366+X366),0)),(MAX((J366-L366+N366-Q366+T366-X366),0)))</f>
        <v/>
      </c>
      <c r="CE366" s="82">
        <f>IFERROR(ABS(BX366/CD366),0)</f>
        <v/>
      </c>
      <c r="CF366" s="34">
        <f>IF(CE366&lt;=0.1,0,BX366/CE366*(CE366-0.1))</f>
        <v/>
      </c>
      <c r="CG366" s="34">
        <f>IF((CF366)&lt;0,MAX(F366:G366)*(CF366)*1.03,MIN(F366:G366)*(CF366)*0.97)</f>
        <v/>
      </c>
      <c r="CH366" s="34">
        <f>IF(CE366&gt;0.1,1,0)</f>
        <v/>
      </c>
      <c r="CI366" s="34">
        <f>(F366*BX366)-BY366</f>
        <v/>
      </c>
      <c r="CJ366" s="34">
        <f>IF(AY366=0,0,CI366/AY366)</f>
        <v/>
      </c>
    </row>
    <row r="367">
      <c r="A367" s="29">
        <f>[1]FİYATLAR!A342</f>
        <v/>
      </c>
      <c r="B367" s="29">
        <f>[1]FİYATLAR!B342</f>
        <v/>
      </c>
      <c r="C367" s="35">
        <f>INT(A367)</f>
        <v/>
      </c>
      <c r="D367" s="36">
        <f>MONTH(A367)</f>
        <v/>
      </c>
      <c r="E367" s="147">
        <f>[1]FİYATLAR!G342</f>
        <v/>
      </c>
      <c r="F367" s="30">
        <f>[1]FİYATLAR!C342</f>
        <v/>
      </c>
      <c r="G367" s="30">
        <f>[1]FİYATLAR!E342</f>
        <v/>
      </c>
      <c r="H367" s="30">
        <f>[1]FİYATLAR!D342</f>
        <v/>
      </c>
      <c r="I367" s="30">
        <f>[1]FİYATLAR!F342</f>
        <v/>
      </c>
      <c r="J367" s="119" t="n">
        <v>0</v>
      </c>
      <c r="K367" s="34">
        <f>F367*J367</f>
        <v/>
      </c>
      <c r="L367" s="119" t="n"/>
      <c r="M367" s="34">
        <f>L367*F367</f>
        <v/>
      </c>
      <c r="N367" s="119" t="n"/>
      <c r="O367" s="34">
        <f>F367</f>
        <v/>
      </c>
      <c r="P367" s="34">
        <f>N367*O367</f>
        <v/>
      </c>
      <c r="Q367" s="117" t="n">
        <v>0</v>
      </c>
      <c r="R367" s="34">
        <f>F367</f>
        <v/>
      </c>
      <c r="S367" s="34">
        <f>R367*Q367</f>
        <v/>
      </c>
      <c r="T367" s="34">
        <f>SUMIFS('[1]GİP VERİLERİ'!$C:$C,'[1]GİP VERİLERİ'!$B:$B,A367,'[1]GİP VERİLERİ'!$M:$M,"40X000000104782K",'[1]GİP VERİLERİ'!$G:$G,"SELL")</f>
        <v/>
      </c>
      <c r="U367" s="34">
        <f>IFERROR(W367/T367,0)</f>
        <v/>
      </c>
      <c r="V367" s="34">
        <f>IF(U367=0,0,U367-F367)</f>
        <v/>
      </c>
      <c r="W367" s="34">
        <f>SUMIFS('[1]GİP VERİLERİ'!$O:$O,'[1]GİP VERİLERİ'!$B:$B,A367,'[1]GİP VERİLERİ'!$M:$M,"40X000000104782K",'[1]GİP VERİLERİ'!$G:$G,"SELL")</f>
        <v/>
      </c>
      <c r="X367" s="34">
        <f>SUMIFS('[1]GİP VERİLERİ'!$C:$C,'[1]GİP VERİLERİ'!$B:$B,A367,'[1]GİP VERİLERİ'!$M:$M,"40X000000104782K",'[1]GİP VERİLERİ'!$G:$G,"BUY")</f>
        <v/>
      </c>
      <c r="Y367" s="34">
        <f>IFERROR(AA367/X367,0)</f>
        <v/>
      </c>
      <c r="Z367" s="34">
        <f>IF(Y367=0,0,F367-Y367)</f>
        <v/>
      </c>
      <c r="AA367" s="34">
        <f>SUMIFS('[1]GİP VERİLERİ'!$O:$O,'[1]GİP VERİLERİ'!$B:$B,A367,'[1]GİP VERİLERİ'!$M:$M,"40X000000104782K",'[1]GİP VERİLERİ'!$G:$G,"BUY")</f>
        <v/>
      </c>
      <c r="AB367" s="34">
        <f>'[1]GÖP VERİLERİ'!H368</f>
        <v/>
      </c>
      <c r="AC367" s="34">
        <f>'[1]GÖP VERİLERİ'!I368</f>
        <v/>
      </c>
      <c r="AD367" s="34">
        <f>IF(AB367&gt;AC367*1.05,AB367-AC367*1.05,IF(AB367&lt;AC367*0.95,AC367*0.95-AB367,0))</f>
        <v/>
      </c>
      <c r="AE367" s="34">
        <f>MAX(F367,G367,750)*0.05*AD367</f>
        <v/>
      </c>
      <c r="AF367" s="34">
        <f>'[1]GÖP VERİLERİ'!J368</f>
        <v/>
      </c>
      <c r="AG367" s="34">
        <f>IF(AB367&gt;AF367*1.05,AB367-AF367*1.05,IF(AB367&lt;AF367*0.95,AF367*0.95-AB367,0))</f>
        <v/>
      </c>
      <c r="AH367" s="34">
        <f>MAX(I367,J367,750)*0.05*AG367</f>
        <v/>
      </c>
      <c r="AI367">
        <f>'[1]GÖP VERİLERİ'!E368</f>
        <v/>
      </c>
      <c r="AJ367">
        <f>'[1]GÖP VERİLERİ'!F368</f>
        <v/>
      </c>
      <c r="AK367" s="34">
        <f>IF(AI367&gt;AJ367*1.05,AI367-AJ367*1.05,IF(AI367&lt;AJ367*0.95,AJ367*0.95-AI367,0))</f>
        <v/>
      </c>
      <c r="AL367" s="34">
        <f>MAX(F367,G367,750)*0.05*AK367</f>
        <v/>
      </c>
      <c r="AM367" s="39">
        <f>'[1]GÖP VERİLERİ'!G368</f>
        <v/>
      </c>
      <c r="AN367" s="34">
        <f>IF(AI367&gt;AM367*1.05,AI367-AM367*1.05,IF(AI367&lt;AM367*0.95,AM367*0.95-AI367,0))</f>
        <v/>
      </c>
      <c r="AO367" s="34">
        <f>MAX(F367,G367,750)*0.05*AN367</f>
        <v/>
      </c>
      <c r="AP367" s="34">
        <f>'[1]GÖP VERİLERİ'!B368</f>
        <v/>
      </c>
      <c r="AQ367" s="34">
        <f>'[1]GÖP VERİLERİ'!C368</f>
        <v/>
      </c>
      <c r="AR367" s="34">
        <f>IF(AP367&gt;AQ367*1.05,AP367-AQ367*1.05,IF(AP367&lt;AQ367*0.95,AQ367*0.95-AP367,0))</f>
        <v/>
      </c>
      <c r="AS367" s="34">
        <f>MAX(F367:G367,750)*0.05*AR367</f>
        <v/>
      </c>
      <c r="AT367">
        <f>'[1]GÖP VERİLERİ'!D368</f>
        <v/>
      </c>
      <c r="AU367" s="34">
        <f>IF(AP367&gt;AT367*1.05,AP367-AT367*1.05,IF(AP367&lt;AT367*0.95,AT367*0.95-AP367,0))</f>
        <v/>
      </c>
      <c r="AV367" s="34">
        <f>MAX(F367:G367,750)*0.05*AU367</f>
        <v/>
      </c>
      <c r="AW367" s="34">
        <f>AC367+AJ367+AQ367</f>
        <v/>
      </c>
      <c r="AX367" s="34">
        <f>AF367+AM367+AT367</f>
        <v/>
      </c>
      <c r="AY367" s="34">
        <f>AB367+AI367+AP367</f>
        <v/>
      </c>
      <c r="AZ367" s="34" t="n">
        <v>0</v>
      </c>
      <c r="BA367" s="34">
        <f>AD367+AK367+AR367</f>
        <v/>
      </c>
      <c r="BB367" s="34">
        <f>MAX(F367:G367,750)*0.05*BA367</f>
        <v/>
      </c>
      <c r="BC367" s="34">
        <f>AG367+AN367+AU367</f>
        <v/>
      </c>
      <c r="BD367" s="34">
        <f>MAX(F367:G367,750)*0.05*BC367</f>
        <v/>
      </c>
      <c r="BE367" s="34">
        <f>F367*AY367</f>
        <v/>
      </c>
      <c r="BF367" s="34">
        <f>K367-M367</f>
        <v/>
      </c>
      <c r="BG367" s="34">
        <f>P367-S367</f>
        <v/>
      </c>
      <c r="BH367" s="34">
        <f>W367-AA367</f>
        <v/>
      </c>
      <c r="BI367" s="34">
        <f>BF367+BG367+BL367-BN367</f>
        <v/>
      </c>
      <c r="BJ367" s="34">
        <f>ABS(BK367)</f>
        <v/>
      </c>
      <c r="BK367" s="34">
        <f>AY367-(J367-L367+N367-Q367)</f>
        <v/>
      </c>
      <c r="BL367" s="34">
        <f>IF(AND(BK367&gt;0,MIN($F367:$G367)&lt;150,$E367="Enerji Açığı"),-100*BK367*1.03,IF(AND(BK367&gt;0,MIN($F367:$G367)&lt;150,$E367="Enerji Fazlası"),-100*BK367*1.06,IF(AND(BK367&gt;0,MIN($F367:$G367)&gt;=150,$E367="Enerji Açığı"),BK367*MIN($F367:$G367)*0.97,IF(AND(BK367&gt;0,MIN($F367:$G367)&gt;=150,$E367="Enerji Fazlası"),BK367*MIN($F367:$G367)*0.94,IF(AND(BK367&lt;0,MAX($F367:$G367)=4500,$E367="Enerji Açığı"),4500*1.05*1.06*BK367,IF(AND(BK367&lt;0,MAX($F367:$G367)=4500,$E367="Enerji Fazlası"),4500*1.05*1.03*BK367,IF(AND(BK367&lt;0,$E367="Enerji Açığı"),MAX($F367,$G367,150)*BK367*1.06,IF(AND(BK367&lt;0,$E367="Enerji Fazlası"),MAX($F367,$G367,150)*BK367*1.03,IF(AND(BK367&lt;0,$E367="Dengede"),MAX($F367:$G367,150)*1.03*BK367,MIN($F367:$G367)*0.97*BK367)))))))))</f>
        <v/>
      </c>
      <c r="BM367" s="34">
        <f>BE367-BI367-BN367</f>
        <v/>
      </c>
      <c r="BN367" s="34">
        <f>BB367</f>
        <v/>
      </c>
      <c r="BO367" s="34">
        <f>BE367-BI367</f>
        <v/>
      </c>
      <c r="BP367" s="34">
        <f>IF(AY367=0,0,BO367/AY367)</f>
        <v/>
      </c>
      <c r="BQ367" s="34">
        <f>MAX((AY367+MAX((-J367+L367-N367+Q367),0)),(MAX((J367-L367+N367-Q367),0)))</f>
        <v/>
      </c>
      <c r="BR367" s="82">
        <f>IFERROR(ABS(BK367/BQ367),0)</f>
        <v/>
      </c>
      <c r="BS367" s="34">
        <f>IF(BR367&lt;=0.1,0,BK367/BR367*(BR367-0.1))</f>
        <v/>
      </c>
      <c r="BT367" s="34">
        <f>IF((BS367)&lt;0,MAX(F367:G367)*(BS367)*1.03,MIN(F367:G367)*(BS367)*0.97)</f>
        <v/>
      </c>
      <c r="BU367" s="34">
        <f>IF(BR367&gt;0.1,1,0)</f>
        <v/>
      </c>
      <c r="BV367" s="34">
        <f>BF367+BG367+BH367+BY367-CA367</f>
        <v/>
      </c>
      <c r="BW367" s="34">
        <f>ABS(BX367)</f>
        <v/>
      </c>
      <c r="BX367" s="34">
        <f>AY367-(J367-L367+N367-Q367+T367-X367)</f>
        <v/>
      </c>
      <c r="BY367" s="34">
        <f>IF(AND(BX367&gt;0,MIN($F367:$G367)&lt;150,$E367="Enerji Açığı"),-100*BX367*1.03,IF(AND(BX367&gt;0,MIN($F367:$G367)&lt;150,$E367="Enerji Fazlası"),-100*BX367*1.06,IF(AND(BX367&gt;0,MIN($F367:$G367)&gt;=150,$E367="Enerji Açığı"),BX367*MIN($F367:$G367)*0.97,IF(AND(BX367&gt;0,MIN($F367:$G367)&gt;=150,$E367="Enerji Fazlası"),BX367*MIN($F367:$G367)*0.94,IF(AND(BX367&lt;0,MAX($F367:$G367)=4500,$E367="Enerji Açığı"),4500*1.05*1.06*BX367,IF(AND(BX367&lt;0,MAX($F367:$G367)=4500,$E367="Enerji Fazlası"),4500*1.05*1.03*BX367,IF(AND(BX367&lt;0,$E367="Enerji Açığı"),MAX($F367,$G367,150)*BX367*1.06,IF(AND(BX367&lt;0,$E367="Enerji Fazlası"),MAX($F367,$G367,150)*BX367*1.03,IF(AND(BX367&lt;0,$E367="Dengede"),MAX($F367:$G367,150)*1.03*BX367,MIN($F367:$G367)*0.97*BX367)))))))))</f>
        <v/>
      </c>
      <c r="BZ367" s="34">
        <f>BE367-BV367-CA367</f>
        <v/>
      </c>
      <c r="CA367" s="34">
        <f>BD367</f>
        <v/>
      </c>
      <c r="CB367" s="33">
        <f>BE367-BV367</f>
        <v/>
      </c>
      <c r="CC367" s="34">
        <f>IF(AY367=0,0,CB367/AY367)</f>
        <v/>
      </c>
      <c r="CD367" s="34">
        <f>MAX((AY367+MAX((-J367+L367-N367+Q367-T367+X367),0)),(MAX((J367-L367+N367-Q367+T367-X367),0)))</f>
        <v/>
      </c>
      <c r="CE367" s="82">
        <f>IFERROR(ABS(BX367/CD367),0)</f>
        <v/>
      </c>
      <c r="CF367" s="34">
        <f>IF(CE367&lt;=0.1,0,BX367/CE367*(CE367-0.1))</f>
        <v/>
      </c>
      <c r="CG367" s="34">
        <f>IF((CF367)&lt;0,MAX(F367:G367)*(CF367)*1.03,MIN(F367:G367)*(CF367)*0.97)</f>
        <v/>
      </c>
      <c r="CH367" s="34">
        <f>IF(CE367&gt;0.1,1,0)</f>
        <v/>
      </c>
      <c r="CI367" s="34">
        <f>(F367*BX367)-BY367</f>
        <v/>
      </c>
      <c r="CJ367" s="34">
        <f>IF(AY367=0,0,CI367/AY367)</f>
        <v/>
      </c>
    </row>
    <row r="368">
      <c r="A368" s="29">
        <f>[1]FİYATLAR!A343</f>
        <v/>
      </c>
      <c r="B368" s="29">
        <f>[1]FİYATLAR!B343</f>
        <v/>
      </c>
      <c r="C368" s="35">
        <f>INT(A368)</f>
        <v/>
      </c>
      <c r="D368" s="36">
        <f>MONTH(A368)</f>
        <v/>
      </c>
      <c r="E368" s="147">
        <f>[1]FİYATLAR!G343</f>
        <v/>
      </c>
      <c r="F368" s="30">
        <f>[1]FİYATLAR!C343</f>
        <v/>
      </c>
      <c r="G368" s="30">
        <f>[1]FİYATLAR!E343</f>
        <v/>
      </c>
      <c r="H368" s="30">
        <f>[1]FİYATLAR!D343</f>
        <v/>
      </c>
      <c r="I368" s="30">
        <f>[1]FİYATLAR!F343</f>
        <v/>
      </c>
      <c r="J368" s="119" t="n">
        <v>0</v>
      </c>
      <c r="K368" s="34">
        <f>F368*J368</f>
        <v/>
      </c>
      <c r="L368" s="119" t="n"/>
      <c r="M368" s="34">
        <f>L368*F368</f>
        <v/>
      </c>
      <c r="N368" s="119" t="n"/>
      <c r="O368" s="34">
        <f>F368</f>
        <v/>
      </c>
      <c r="P368" s="34">
        <f>N368*O368</f>
        <v/>
      </c>
      <c r="Q368" s="117" t="n">
        <v>0</v>
      </c>
      <c r="R368" s="34">
        <f>F368</f>
        <v/>
      </c>
      <c r="S368" s="34">
        <f>R368*Q368</f>
        <v/>
      </c>
      <c r="T368" s="34">
        <f>SUMIFS('[1]GİP VERİLERİ'!$C:$C,'[1]GİP VERİLERİ'!$B:$B,A368,'[1]GİP VERİLERİ'!$M:$M,"40X000000104782K",'[1]GİP VERİLERİ'!$G:$G,"SELL")</f>
        <v/>
      </c>
      <c r="U368" s="34">
        <f>IFERROR(W368/T368,0)</f>
        <v/>
      </c>
      <c r="V368" s="34">
        <f>IF(U368=0,0,U368-F368)</f>
        <v/>
      </c>
      <c r="W368" s="34">
        <f>SUMIFS('[1]GİP VERİLERİ'!$O:$O,'[1]GİP VERİLERİ'!$B:$B,A368,'[1]GİP VERİLERİ'!$M:$M,"40X000000104782K",'[1]GİP VERİLERİ'!$G:$G,"SELL")</f>
        <v/>
      </c>
      <c r="X368" s="34">
        <f>SUMIFS('[1]GİP VERİLERİ'!$C:$C,'[1]GİP VERİLERİ'!$B:$B,A368,'[1]GİP VERİLERİ'!$M:$M,"40X000000104782K",'[1]GİP VERİLERİ'!$G:$G,"BUY")</f>
        <v/>
      </c>
      <c r="Y368" s="34">
        <f>IFERROR(AA368/X368,0)</f>
        <v/>
      </c>
      <c r="Z368" s="34">
        <f>IF(Y368=0,0,F368-Y368)</f>
        <v/>
      </c>
      <c r="AA368" s="34">
        <f>SUMIFS('[1]GİP VERİLERİ'!$O:$O,'[1]GİP VERİLERİ'!$B:$B,A368,'[1]GİP VERİLERİ'!$M:$M,"40X000000104782K",'[1]GİP VERİLERİ'!$G:$G,"BUY")</f>
        <v/>
      </c>
      <c r="AB368" s="34">
        <f>'[1]GÖP VERİLERİ'!H369</f>
        <v/>
      </c>
      <c r="AC368" s="34">
        <f>'[1]GÖP VERİLERİ'!I369</f>
        <v/>
      </c>
      <c r="AD368" s="34">
        <f>IF(AB368&gt;AC368*1.05,AB368-AC368*1.05,IF(AB368&lt;AC368*0.95,AC368*0.95-AB368,0))</f>
        <v/>
      </c>
      <c r="AE368" s="34">
        <f>MAX(F368,G368,750)*0.05*AD368</f>
        <v/>
      </c>
      <c r="AF368" s="34">
        <f>'[1]GÖP VERİLERİ'!J369</f>
        <v/>
      </c>
      <c r="AG368" s="34">
        <f>IF(AB368&gt;AF368*1.05,AB368-AF368*1.05,IF(AB368&lt;AF368*0.95,AF368*0.95-AB368,0))</f>
        <v/>
      </c>
      <c r="AH368" s="34">
        <f>MAX(I368,J368,750)*0.05*AG368</f>
        <v/>
      </c>
      <c r="AI368">
        <f>'[1]GÖP VERİLERİ'!E369</f>
        <v/>
      </c>
      <c r="AJ368">
        <f>'[1]GÖP VERİLERİ'!F369</f>
        <v/>
      </c>
      <c r="AK368" s="34">
        <f>IF(AI368&gt;AJ368*1.05,AI368-AJ368*1.05,IF(AI368&lt;AJ368*0.95,AJ368*0.95-AI368,0))</f>
        <v/>
      </c>
      <c r="AL368" s="34">
        <f>MAX(F368,G368,750)*0.05*AK368</f>
        <v/>
      </c>
      <c r="AM368" s="39">
        <f>'[1]GÖP VERİLERİ'!G369</f>
        <v/>
      </c>
      <c r="AN368" s="34">
        <f>IF(AI368&gt;AM368*1.05,AI368-AM368*1.05,IF(AI368&lt;AM368*0.95,AM368*0.95-AI368,0))</f>
        <v/>
      </c>
      <c r="AO368" s="34">
        <f>MAX(F368,G368,750)*0.05*AN368</f>
        <v/>
      </c>
      <c r="AP368" s="34">
        <f>'[1]GÖP VERİLERİ'!B369</f>
        <v/>
      </c>
      <c r="AQ368" s="34">
        <f>'[1]GÖP VERİLERİ'!C369</f>
        <v/>
      </c>
      <c r="AR368" s="34">
        <f>IF(AP368&gt;AQ368*1.05,AP368-AQ368*1.05,IF(AP368&lt;AQ368*0.95,AQ368*0.95-AP368,0))</f>
        <v/>
      </c>
      <c r="AS368" s="34">
        <f>MAX(F368:G368,750)*0.05*AR368</f>
        <v/>
      </c>
      <c r="AT368">
        <f>'[1]GÖP VERİLERİ'!D369</f>
        <v/>
      </c>
      <c r="AU368" s="34">
        <f>IF(AP368&gt;AT368*1.05,AP368-AT368*1.05,IF(AP368&lt;AT368*0.95,AT368*0.95-AP368,0))</f>
        <v/>
      </c>
      <c r="AV368" s="34">
        <f>MAX(F368:G368,750)*0.05*AU368</f>
        <v/>
      </c>
      <c r="AW368" s="34">
        <f>AC368+AJ368+AQ368</f>
        <v/>
      </c>
      <c r="AX368" s="34">
        <f>AF368+AM368+AT368</f>
        <v/>
      </c>
      <c r="AY368" s="34">
        <f>AB368+AI368+AP368</f>
        <v/>
      </c>
      <c r="AZ368" s="34" t="n">
        <v>0</v>
      </c>
      <c r="BA368" s="34">
        <f>AD368+AK368+AR368</f>
        <v/>
      </c>
      <c r="BB368" s="34">
        <f>MAX(F368:G368,750)*0.05*BA368</f>
        <v/>
      </c>
      <c r="BC368" s="34">
        <f>AG368+AN368+AU368</f>
        <v/>
      </c>
      <c r="BD368" s="34">
        <f>MAX(F368:G368,750)*0.05*BC368</f>
        <v/>
      </c>
      <c r="BE368" s="34">
        <f>F368*AY368</f>
        <v/>
      </c>
      <c r="BF368" s="34">
        <f>K368-M368</f>
        <v/>
      </c>
      <c r="BG368" s="34">
        <f>P368-S368</f>
        <v/>
      </c>
      <c r="BH368" s="34">
        <f>W368-AA368</f>
        <v/>
      </c>
      <c r="BI368" s="34">
        <f>BF368+BG368+BL368-BN368</f>
        <v/>
      </c>
      <c r="BJ368" s="34">
        <f>ABS(BK368)</f>
        <v/>
      </c>
      <c r="BK368" s="34">
        <f>AY368-(J368-L368+N368-Q368)</f>
        <v/>
      </c>
      <c r="BL368" s="34">
        <f>IF(AND(BK368&gt;0,MIN($F368:$G368)&lt;150,$E368="Enerji Açığı"),-100*BK368*1.03,IF(AND(BK368&gt;0,MIN($F368:$G368)&lt;150,$E368="Enerji Fazlası"),-100*BK368*1.06,IF(AND(BK368&gt;0,MIN($F368:$G368)&gt;=150,$E368="Enerji Açığı"),BK368*MIN($F368:$G368)*0.97,IF(AND(BK368&gt;0,MIN($F368:$G368)&gt;=150,$E368="Enerji Fazlası"),BK368*MIN($F368:$G368)*0.94,IF(AND(BK368&lt;0,MAX($F368:$G368)=4500,$E368="Enerji Açığı"),4500*1.05*1.06*BK368,IF(AND(BK368&lt;0,MAX($F368:$G368)=4500,$E368="Enerji Fazlası"),4500*1.05*1.03*BK368,IF(AND(BK368&lt;0,$E368="Enerji Açığı"),MAX($F368,$G368,150)*BK368*1.06,IF(AND(BK368&lt;0,$E368="Enerji Fazlası"),MAX($F368,$G368,150)*BK368*1.03,IF(AND(BK368&lt;0,$E368="Dengede"),MAX($F368:$G368,150)*1.03*BK368,MIN($F368:$G368)*0.97*BK368)))))))))</f>
        <v/>
      </c>
      <c r="BM368" s="34">
        <f>BE368-BI368-BN368</f>
        <v/>
      </c>
      <c r="BN368" s="34">
        <f>BB368</f>
        <v/>
      </c>
      <c r="BO368" s="34">
        <f>BE368-BI368</f>
        <v/>
      </c>
      <c r="BP368" s="34">
        <f>IF(AY368=0,0,BO368/AY368)</f>
        <v/>
      </c>
      <c r="BQ368" s="34">
        <f>MAX((AY368+MAX((-J368+L368-N368+Q368),0)),(MAX((J368-L368+N368-Q368),0)))</f>
        <v/>
      </c>
      <c r="BR368" s="82">
        <f>IFERROR(ABS(BK368/BQ368),0)</f>
        <v/>
      </c>
      <c r="BS368" s="34">
        <f>IF(BR368&lt;=0.1,0,BK368/BR368*(BR368-0.1))</f>
        <v/>
      </c>
      <c r="BT368" s="34">
        <f>IF((BS368)&lt;0,MAX(F368:G368)*(BS368)*1.03,MIN(F368:G368)*(BS368)*0.97)</f>
        <v/>
      </c>
      <c r="BU368" s="34">
        <f>IF(BR368&gt;0.1,1,0)</f>
        <v/>
      </c>
      <c r="BV368" s="34">
        <f>BF368+BG368+BH368+BY368-CA368</f>
        <v/>
      </c>
      <c r="BW368" s="34">
        <f>ABS(BX368)</f>
        <v/>
      </c>
      <c r="BX368" s="34">
        <f>AY368-(J368-L368+N368-Q368+T368-X368)</f>
        <v/>
      </c>
      <c r="BY368" s="34">
        <f>IF(AND(BX368&gt;0,MIN($F368:$G368)&lt;150,$E368="Enerji Açığı"),-100*BX368*1.03,IF(AND(BX368&gt;0,MIN($F368:$G368)&lt;150,$E368="Enerji Fazlası"),-100*BX368*1.06,IF(AND(BX368&gt;0,MIN($F368:$G368)&gt;=150,$E368="Enerji Açığı"),BX368*MIN($F368:$G368)*0.97,IF(AND(BX368&gt;0,MIN($F368:$G368)&gt;=150,$E368="Enerji Fazlası"),BX368*MIN($F368:$G368)*0.94,IF(AND(BX368&lt;0,MAX($F368:$G368)=4500,$E368="Enerji Açığı"),4500*1.05*1.06*BX368,IF(AND(BX368&lt;0,MAX($F368:$G368)=4500,$E368="Enerji Fazlası"),4500*1.05*1.03*BX368,IF(AND(BX368&lt;0,$E368="Enerji Açığı"),MAX($F368,$G368,150)*BX368*1.06,IF(AND(BX368&lt;0,$E368="Enerji Fazlası"),MAX($F368,$G368,150)*BX368*1.03,IF(AND(BX368&lt;0,$E368="Dengede"),MAX($F368:$G368,150)*1.03*BX368,MIN($F368:$G368)*0.97*BX368)))))))))</f>
        <v/>
      </c>
      <c r="BZ368" s="34">
        <f>BE368-BV368-CA368</f>
        <v/>
      </c>
      <c r="CA368" s="34">
        <f>BD368</f>
        <v/>
      </c>
      <c r="CB368" s="33">
        <f>BE368-BV368</f>
        <v/>
      </c>
      <c r="CC368" s="34">
        <f>IF(AY368=0,0,CB368/AY368)</f>
        <v/>
      </c>
      <c r="CD368" s="34">
        <f>MAX((AY368+MAX((-J368+L368-N368+Q368-T368+X368),0)),(MAX((J368-L368+N368-Q368+T368-X368),0)))</f>
        <v/>
      </c>
      <c r="CE368" s="82">
        <f>IFERROR(ABS(BX368/CD368),0)</f>
        <v/>
      </c>
      <c r="CF368" s="34">
        <f>IF(CE368&lt;=0.1,0,BX368/CE368*(CE368-0.1))</f>
        <v/>
      </c>
      <c r="CG368" s="34">
        <f>IF((CF368)&lt;0,MAX(F368:G368)*(CF368)*1.03,MIN(F368:G368)*(CF368)*0.97)</f>
        <v/>
      </c>
      <c r="CH368" s="34">
        <f>IF(CE368&gt;0.1,1,0)</f>
        <v/>
      </c>
      <c r="CI368" s="34">
        <f>(F368*BX368)-BY368</f>
        <v/>
      </c>
      <c r="CJ368" s="34">
        <f>IF(AY368=0,0,CI368/AY368)</f>
        <v/>
      </c>
    </row>
    <row r="369">
      <c r="A369" s="29">
        <f>[1]FİYATLAR!A344</f>
        <v/>
      </c>
      <c r="B369" s="29">
        <f>[1]FİYATLAR!B344</f>
        <v/>
      </c>
      <c r="C369" s="35">
        <f>INT(A369)</f>
        <v/>
      </c>
      <c r="D369" s="36">
        <f>MONTH(A369)</f>
        <v/>
      </c>
      <c r="E369" s="147">
        <f>[1]FİYATLAR!G344</f>
        <v/>
      </c>
      <c r="F369" s="30">
        <f>[1]FİYATLAR!C344</f>
        <v/>
      </c>
      <c r="G369" s="30">
        <f>[1]FİYATLAR!E344</f>
        <v/>
      </c>
      <c r="H369" s="30">
        <f>[1]FİYATLAR!D344</f>
        <v/>
      </c>
      <c r="I369" s="30">
        <f>[1]FİYATLAR!F344</f>
        <v/>
      </c>
      <c r="J369" s="119" t="n">
        <v>0</v>
      </c>
      <c r="K369" s="34">
        <f>F369*J369</f>
        <v/>
      </c>
      <c r="L369" s="119" t="n"/>
      <c r="M369" s="34">
        <f>L369*F369</f>
        <v/>
      </c>
      <c r="N369" s="119" t="n"/>
      <c r="O369" s="34">
        <f>F369</f>
        <v/>
      </c>
      <c r="P369" s="34">
        <f>N369*O369</f>
        <v/>
      </c>
      <c r="Q369" s="117" t="n">
        <v>0</v>
      </c>
      <c r="R369" s="34">
        <f>F369</f>
        <v/>
      </c>
      <c r="S369" s="34">
        <f>R369*Q369</f>
        <v/>
      </c>
      <c r="T369" s="34">
        <f>SUMIFS('[1]GİP VERİLERİ'!$C:$C,'[1]GİP VERİLERİ'!$B:$B,A369,'[1]GİP VERİLERİ'!$M:$M,"40X000000104782K",'[1]GİP VERİLERİ'!$G:$G,"SELL")</f>
        <v/>
      </c>
      <c r="U369" s="34">
        <f>IFERROR(W369/T369,0)</f>
        <v/>
      </c>
      <c r="V369" s="34">
        <f>IF(U369=0,0,U369-F369)</f>
        <v/>
      </c>
      <c r="W369" s="34">
        <f>SUMIFS('[1]GİP VERİLERİ'!$O:$O,'[1]GİP VERİLERİ'!$B:$B,A369,'[1]GİP VERİLERİ'!$M:$M,"40X000000104782K",'[1]GİP VERİLERİ'!$G:$G,"SELL")</f>
        <v/>
      </c>
      <c r="X369" s="34">
        <f>SUMIFS('[1]GİP VERİLERİ'!$C:$C,'[1]GİP VERİLERİ'!$B:$B,A369,'[1]GİP VERİLERİ'!$M:$M,"40X000000104782K",'[1]GİP VERİLERİ'!$G:$G,"BUY")</f>
        <v/>
      </c>
      <c r="Y369" s="34">
        <f>IFERROR(AA369/X369,0)</f>
        <v/>
      </c>
      <c r="Z369" s="34">
        <f>IF(Y369=0,0,F369-Y369)</f>
        <v/>
      </c>
      <c r="AA369" s="34">
        <f>SUMIFS('[1]GİP VERİLERİ'!$O:$O,'[1]GİP VERİLERİ'!$B:$B,A369,'[1]GİP VERİLERİ'!$M:$M,"40X000000104782K",'[1]GİP VERİLERİ'!$G:$G,"BUY")</f>
        <v/>
      </c>
      <c r="AB369" s="34">
        <f>'[1]GÖP VERİLERİ'!H370</f>
        <v/>
      </c>
      <c r="AC369" s="34">
        <f>'[1]GÖP VERİLERİ'!I370</f>
        <v/>
      </c>
      <c r="AD369" s="34">
        <f>IF(AB369&gt;AC369*1.05,AB369-AC369*1.05,IF(AB369&lt;AC369*0.95,AC369*0.95-AB369,0))</f>
        <v/>
      </c>
      <c r="AE369" s="34">
        <f>MAX(F369,G369,750)*0.05*AD369</f>
        <v/>
      </c>
      <c r="AF369" s="34">
        <f>'[1]GÖP VERİLERİ'!J370</f>
        <v/>
      </c>
      <c r="AG369" s="34">
        <f>IF(AB369&gt;AF369*1.05,AB369-AF369*1.05,IF(AB369&lt;AF369*0.95,AF369*0.95-AB369,0))</f>
        <v/>
      </c>
      <c r="AH369" s="34">
        <f>MAX(I369,J369,750)*0.05*AG369</f>
        <v/>
      </c>
      <c r="AI369">
        <f>'[1]GÖP VERİLERİ'!E370</f>
        <v/>
      </c>
      <c r="AJ369">
        <f>'[1]GÖP VERİLERİ'!F370</f>
        <v/>
      </c>
      <c r="AK369" s="34">
        <f>IF(AI369&gt;AJ369*1.05,AI369-AJ369*1.05,IF(AI369&lt;AJ369*0.95,AJ369*0.95-AI369,0))</f>
        <v/>
      </c>
      <c r="AL369" s="34">
        <f>MAX(F369,G369,750)*0.05*AK369</f>
        <v/>
      </c>
      <c r="AM369" s="39">
        <f>'[1]GÖP VERİLERİ'!G370</f>
        <v/>
      </c>
      <c r="AN369" s="34">
        <f>IF(AI369&gt;AM369*1.05,AI369-AM369*1.05,IF(AI369&lt;AM369*0.95,AM369*0.95-AI369,0))</f>
        <v/>
      </c>
      <c r="AO369" s="34">
        <f>MAX(F369,G369,750)*0.05*AN369</f>
        <v/>
      </c>
      <c r="AP369" s="34">
        <f>'[1]GÖP VERİLERİ'!B370</f>
        <v/>
      </c>
      <c r="AQ369" s="34">
        <f>'[1]GÖP VERİLERİ'!C370</f>
        <v/>
      </c>
      <c r="AR369" s="34">
        <f>IF(AP369&gt;AQ369*1.05,AP369-AQ369*1.05,IF(AP369&lt;AQ369*0.95,AQ369*0.95-AP369,0))</f>
        <v/>
      </c>
      <c r="AS369" s="34">
        <f>MAX(F369:G369,750)*0.05*AR369</f>
        <v/>
      </c>
      <c r="AT369">
        <f>'[1]GÖP VERİLERİ'!D370</f>
        <v/>
      </c>
      <c r="AU369" s="34">
        <f>IF(AP369&gt;AT369*1.05,AP369-AT369*1.05,IF(AP369&lt;AT369*0.95,AT369*0.95-AP369,0))</f>
        <v/>
      </c>
      <c r="AV369" s="34">
        <f>MAX(F369:G369,750)*0.05*AU369</f>
        <v/>
      </c>
      <c r="AW369" s="34">
        <f>AC369+AJ369+AQ369</f>
        <v/>
      </c>
      <c r="AX369" s="34">
        <f>AF369+AM369+AT369</f>
        <v/>
      </c>
      <c r="AY369" s="34">
        <f>AB369+AI369+AP369</f>
        <v/>
      </c>
      <c r="AZ369" s="34" t="n">
        <v>0</v>
      </c>
      <c r="BA369" s="34">
        <f>AD369+AK369+AR369</f>
        <v/>
      </c>
      <c r="BB369" s="34">
        <f>MAX(F369:G369,750)*0.05*BA369</f>
        <v/>
      </c>
      <c r="BC369" s="34">
        <f>AG369+AN369+AU369</f>
        <v/>
      </c>
      <c r="BD369" s="34">
        <f>MAX(F369:G369,750)*0.05*BC369</f>
        <v/>
      </c>
      <c r="BE369" s="34">
        <f>F369*AY369</f>
        <v/>
      </c>
      <c r="BF369" s="34">
        <f>K369-M369</f>
        <v/>
      </c>
      <c r="BG369" s="34">
        <f>P369-S369</f>
        <v/>
      </c>
      <c r="BH369" s="34">
        <f>W369-AA369</f>
        <v/>
      </c>
      <c r="BI369" s="34">
        <f>BF369+BG369+BL369-BN369</f>
        <v/>
      </c>
      <c r="BJ369" s="34">
        <f>ABS(BK369)</f>
        <v/>
      </c>
      <c r="BK369" s="34">
        <f>AY369-(J369-L369+N369-Q369)</f>
        <v/>
      </c>
      <c r="BL369" s="34">
        <f>IF(AND(BK369&gt;0,MIN($F369:$G369)&lt;150,$E369="Enerji Açığı"),-100*BK369*1.03,IF(AND(BK369&gt;0,MIN($F369:$G369)&lt;150,$E369="Enerji Fazlası"),-100*BK369*1.06,IF(AND(BK369&gt;0,MIN($F369:$G369)&gt;=150,$E369="Enerji Açığı"),BK369*MIN($F369:$G369)*0.97,IF(AND(BK369&gt;0,MIN($F369:$G369)&gt;=150,$E369="Enerji Fazlası"),BK369*MIN($F369:$G369)*0.94,IF(AND(BK369&lt;0,MAX($F369:$G369)=4500,$E369="Enerji Açığı"),4500*1.05*1.06*BK369,IF(AND(BK369&lt;0,MAX($F369:$G369)=4500,$E369="Enerji Fazlası"),4500*1.05*1.03*BK369,IF(AND(BK369&lt;0,$E369="Enerji Açığı"),MAX($F369,$G369,150)*BK369*1.06,IF(AND(BK369&lt;0,$E369="Enerji Fazlası"),MAX($F369,$G369,150)*BK369*1.03,IF(AND(BK369&lt;0,$E369="Dengede"),MAX($F369:$G369,150)*1.03*BK369,MIN($F369:$G369)*0.97*BK369)))))))))</f>
        <v/>
      </c>
      <c r="BM369" s="34">
        <f>BE369-BI369-BN369</f>
        <v/>
      </c>
      <c r="BN369" s="34">
        <f>BB369</f>
        <v/>
      </c>
      <c r="BO369" s="34">
        <f>BE369-BI369</f>
        <v/>
      </c>
      <c r="BP369" s="34">
        <f>IF(AY369=0,0,BO369/AY369)</f>
        <v/>
      </c>
      <c r="BQ369" s="34">
        <f>MAX((AY369+MAX((-J369+L369-N369+Q369),0)),(MAX((J369-L369+N369-Q369),0)))</f>
        <v/>
      </c>
      <c r="BR369" s="82">
        <f>IFERROR(ABS(BK369/BQ369),0)</f>
        <v/>
      </c>
      <c r="BS369" s="34">
        <f>IF(BR369&lt;=0.1,0,BK369/BR369*(BR369-0.1))</f>
        <v/>
      </c>
      <c r="BT369" s="34">
        <f>IF((BS369)&lt;0,MAX(F369:G369)*(BS369)*1.03,MIN(F369:G369)*(BS369)*0.97)</f>
        <v/>
      </c>
      <c r="BU369" s="34">
        <f>IF(BR369&gt;0.1,1,0)</f>
        <v/>
      </c>
      <c r="BV369" s="34">
        <f>BF369+BG369+BH369+BY369-CA369</f>
        <v/>
      </c>
      <c r="BW369" s="34">
        <f>ABS(BX369)</f>
        <v/>
      </c>
      <c r="BX369" s="34">
        <f>AY369-(J369-L369+N369-Q369+T369-X369)</f>
        <v/>
      </c>
      <c r="BY369" s="34">
        <f>IF(AND(BX369&gt;0,MIN($F369:$G369)&lt;150,$E369="Enerji Açığı"),-100*BX369*1.03,IF(AND(BX369&gt;0,MIN($F369:$G369)&lt;150,$E369="Enerji Fazlası"),-100*BX369*1.06,IF(AND(BX369&gt;0,MIN($F369:$G369)&gt;=150,$E369="Enerji Açığı"),BX369*MIN($F369:$G369)*0.97,IF(AND(BX369&gt;0,MIN($F369:$G369)&gt;=150,$E369="Enerji Fazlası"),BX369*MIN($F369:$G369)*0.94,IF(AND(BX369&lt;0,MAX($F369:$G369)=4500,$E369="Enerji Açığı"),4500*1.05*1.06*BX369,IF(AND(BX369&lt;0,MAX($F369:$G369)=4500,$E369="Enerji Fazlası"),4500*1.05*1.03*BX369,IF(AND(BX369&lt;0,$E369="Enerji Açığı"),MAX($F369,$G369,150)*BX369*1.06,IF(AND(BX369&lt;0,$E369="Enerji Fazlası"),MAX($F369,$G369,150)*BX369*1.03,IF(AND(BX369&lt;0,$E369="Dengede"),MAX($F369:$G369,150)*1.03*BX369,MIN($F369:$G369)*0.97*BX369)))))))))</f>
        <v/>
      </c>
      <c r="BZ369" s="34">
        <f>BE369-BV369-CA369</f>
        <v/>
      </c>
      <c r="CA369" s="34">
        <f>BD369</f>
        <v/>
      </c>
      <c r="CB369" s="33">
        <f>BE369-BV369</f>
        <v/>
      </c>
      <c r="CC369" s="34">
        <f>IF(AY369=0,0,CB369/AY369)</f>
        <v/>
      </c>
      <c r="CD369" s="34">
        <f>MAX((AY369+MAX((-J369+L369-N369+Q369-T369+X369),0)),(MAX((J369-L369+N369-Q369+T369-X369),0)))</f>
        <v/>
      </c>
      <c r="CE369" s="82">
        <f>IFERROR(ABS(BX369/CD369),0)</f>
        <v/>
      </c>
      <c r="CF369" s="34">
        <f>IF(CE369&lt;=0.1,0,BX369/CE369*(CE369-0.1))</f>
        <v/>
      </c>
      <c r="CG369" s="34">
        <f>IF((CF369)&lt;0,MAX(F369:G369)*(CF369)*1.03,MIN(F369:G369)*(CF369)*0.97)</f>
        <v/>
      </c>
      <c r="CH369" s="34">
        <f>IF(CE369&gt;0.1,1,0)</f>
        <v/>
      </c>
      <c r="CI369" s="34">
        <f>(F369*BX369)-BY369</f>
        <v/>
      </c>
      <c r="CJ369" s="34">
        <f>IF(AY369=0,0,CI369/AY369)</f>
        <v/>
      </c>
    </row>
    <row r="370">
      <c r="A370" s="29">
        <f>[1]FİYATLAR!A345</f>
        <v/>
      </c>
      <c r="B370" s="29">
        <f>[1]FİYATLAR!B345</f>
        <v/>
      </c>
      <c r="C370" s="35">
        <f>INT(A370)</f>
        <v/>
      </c>
      <c r="D370" s="36">
        <f>MONTH(A370)</f>
        <v/>
      </c>
      <c r="E370" s="147">
        <f>[1]FİYATLAR!G345</f>
        <v/>
      </c>
      <c r="F370" s="30">
        <f>[1]FİYATLAR!C345</f>
        <v/>
      </c>
      <c r="G370" s="30">
        <f>[1]FİYATLAR!E345</f>
        <v/>
      </c>
      <c r="H370" s="30">
        <f>[1]FİYATLAR!D345</f>
        <v/>
      </c>
      <c r="I370" s="30">
        <f>[1]FİYATLAR!F345</f>
        <v/>
      </c>
      <c r="J370" s="119" t="n">
        <v>0</v>
      </c>
      <c r="K370" s="34">
        <f>F370*J370</f>
        <v/>
      </c>
      <c r="L370" s="119" t="n"/>
      <c r="M370" s="34">
        <f>L370*F370</f>
        <v/>
      </c>
      <c r="N370" s="119" t="n"/>
      <c r="O370" s="34">
        <f>F370</f>
        <v/>
      </c>
      <c r="P370" s="34">
        <f>N370*O370</f>
        <v/>
      </c>
      <c r="Q370" s="117" t="n">
        <v>0</v>
      </c>
      <c r="R370" s="34">
        <f>F370</f>
        <v/>
      </c>
      <c r="S370" s="34">
        <f>R370*Q370</f>
        <v/>
      </c>
      <c r="T370" s="34">
        <f>SUMIFS('[1]GİP VERİLERİ'!$C:$C,'[1]GİP VERİLERİ'!$B:$B,A370,'[1]GİP VERİLERİ'!$M:$M,"40X000000104782K",'[1]GİP VERİLERİ'!$G:$G,"SELL")</f>
        <v/>
      </c>
      <c r="U370" s="34">
        <f>IFERROR(W370/T370,0)</f>
        <v/>
      </c>
      <c r="V370" s="34">
        <f>IF(U370=0,0,U370-F370)</f>
        <v/>
      </c>
      <c r="W370" s="34">
        <f>SUMIFS('[1]GİP VERİLERİ'!$O:$O,'[1]GİP VERİLERİ'!$B:$B,A370,'[1]GİP VERİLERİ'!$M:$M,"40X000000104782K",'[1]GİP VERİLERİ'!$G:$G,"SELL")</f>
        <v/>
      </c>
      <c r="X370" s="34">
        <f>SUMIFS('[1]GİP VERİLERİ'!$C:$C,'[1]GİP VERİLERİ'!$B:$B,A370,'[1]GİP VERİLERİ'!$M:$M,"40X000000104782K",'[1]GİP VERİLERİ'!$G:$G,"BUY")</f>
        <v/>
      </c>
      <c r="Y370" s="34">
        <f>IFERROR(AA370/X370,0)</f>
        <v/>
      </c>
      <c r="Z370" s="34">
        <f>IF(Y370=0,0,F370-Y370)</f>
        <v/>
      </c>
      <c r="AA370" s="34">
        <f>SUMIFS('[1]GİP VERİLERİ'!$O:$O,'[1]GİP VERİLERİ'!$B:$B,A370,'[1]GİP VERİLERİ'!$M:$M,"40X000000104782K",'[1]GİP VERİLERİ'!$G:$G,"BUY")</f>
        <v/>
      </c>
      <c r="AB370" s="34">
        <f>'[1]GÖP VERİLERİ'!H371</f>
        <v/>
      </c>
      <c r="AC370" s="34">
        <f>'[1]GÖP VERİLERİ'!I371</f>
        <v/>
      </c>
      <c r="AD370" s="34">
        <f>IF(AB370&gt;AC370*1.05,AB370-AC370*1.05,IF(AB370&lt;AC370*0.95,AC370*0.95-AB370,0))</f>
        <v/>
      </c>
      <c r="AE370" s="34">
        <f>MAX(F370,G370,750)*0.05*AD370</f>
        <v/>
      </c>
      <c r="AF370" s="34">
        <f>'[1]GÖP VERİLERİ'!J371</f>
        <v/>
      </c>
      <c r="AG370" s="34">
        <f>IF(AB370&gt;AF370*1.05,AB370-AF370*1.05,IF(AB370&lt;AF370*0.95,AF370*0.95-AB370,0))</f>
        <v/>
      </c>
      <c r="AH370" s="34">
        <f>MAX(I370,J370,750)*0.05*AG370</f>
        <v/>
      </c>
      <c r="AI370">
        <f>'[1]GÖP VERİLERİ'!E371</f>
        <v/>
      </c>
      <c r="AJ370">
        <f>'[1]GÖP VERİLERİ'!F371</f>
        <v/>
      </c>
      <c r="AK370" s="34">
        <f>IF(AI370&gt;AJ370*1.05,AI370-AJ370*1.05,IF(AI370&lt;AJ370*0.95,AJ370*0.95-AI370,0))</f>
        <v/>
      </c>
      <c r="AL370" s="34">
        <f>MAX(F370,G370,750)*0.05*AK370</f>
        <v/>
      </c>
      <c r="AM370" s="39">
        <f>'[1]GÖP VERİLERİ'!G371</f>
        <v/>
      </c>
      <c r="AN370" s="34">
        <f>IF(AI370&gt;AM370*1.05,AI370-AM370*1.05,IF(AI370&lt;AM370*0.95,AM370*0.95-AI370,0))</f>
        <v/>
      </c>
      <c r="AO370" s="34">
        <f>MAX(F370,G370,750)*0.05*AN370</f>
        <v/>
      </c>
      <c r="AP370" s="34">
        <f>'[1]GÖP VERİLERİ'!B371</f>
        <v/>
      </c>
      <c r="AQ370" s="34">
        <f>'[1]GÖP VERİLERİ'!C371</f>
        <v/>
      </c>
      <c r="AR370" s="34">
        <f>IF(AP370&gt;AQ370*1.05,AP370-AQ370*1.05,IF(AP370&lt;AQ370*0.95,AQ370*0.95-AP370,0))</f>
        <v/>
      </c>
      <c r="AS370" s="34">
        <f>MAX(F370:G370,750)*0.05*AR370</f>
        <v/>
      </c>
      <c r="AT370">
        <f>'[1]GÖP VERİLERİ'!D371</f>
        <v/>
      </c>
      <c r="AU370" s="34">
        <f>IF(AP370&gt;AT370*1.05,AP370-AT370*1.05,IF(AP370&lt;AT370*0.95,AT370*0.95-AP370,0))</f>
        <v/>
      </c>
      <c r="AV370" s="34">
        <f>MAX(F370:G370,750)*0.05*AU370</f>
        <v/>
      </c>
      <c r="AW370" s="34">
        <f>AC370+AJ370+AQ370</f>
        <v/>
      </c>
      <c r="AX370" s="34">
        <f>AF370+AM370+AT370</f>
        <v/>
      </c>
      <c r="AY370" s="34">
        <f>AB370+AI370+AP370</f>
        <v/>
      </c>
      <c r="AZ370" s="34" t="n">
        <v>0</v>
      </c>
      <c r="BA370" s="34">
        <f>AD370+AK370+AR370</f>
        <v/>
      </c>
      <c r="BB370" s="34">
        <f>MAX(F370:G370,750)*0.05*BA370</f>
        <v/>
      </c>
      <c r="BC370" s="34">
        <f>AG370+AN370+AU370</f>
        <v/>
      </c>
      <c r="BD370" s="34">
        <f>MAX(F370:G370,750)*0.05*BC370</f>
        <v/>
      </c>
      <c r="BE370" s="34">
        <f>F370*AY370</f>
        <v/>
      </c>
      <c r="BF370" s="34">
        <f>K370-M370</f>
        <v/>
      </c>
      <c r="BG370" s="34">
        <f>P370-S370</f>
        <v/>
      </c>
      <c r="BH370" s="34">
        <f>W370-AA370</f>
        <v/>
      </c>
      <c r="BI370" s="34">
        <f>BF370+BG370+BL370-BN370</f>
        <v/>
      </c>
      <c r="BJ370" s="34">
        <f>ABS(BK370)</f>
        <v/>
      </c>
      <c r="BK370" s="34">
        <f>AY370-(J370-L370+N370-Q370)</f>
        <v/>
      </c>
      <c r="BL370" s="34">
        <f>IF(AND(BK370&gt;0,MIN($F370:$G370)&lt;150,$E370="Enerji Açığı"),-100*BK370*1.03,IF(AND(BK370&gt;0,MIN($F370:$G370)&lt;150,$E370="Enerji Fazlası"),-100*BK370*1.06,IF(AND(BK370&gt;0,MIN($F370:$G370)&gt;=150,$E370="Enerji Açığı"),BK370*MIN($F370:$G370)*0.97,IF(AND(BK370&gt;0,MIN($F370:$G370)&gt;=150,$E370="Enerji Fazlası"),BK370*MIN($F370:$G370)*0.94,IF(AND(BK370&lt;0,MAX($F370:$G370)=4500,$E370="Enerji Açığı"),4500*1.05*1.06*BK370,IF(AND(BK370&lt;0,MAX($F370:$G370)=4500,$E370="Enerji Fazlası"),4500*1.05*1.03*BK370,IF(AND(BK370&lt;0,$E370="Enerji Açığı"),MAX($F370,$G370,150)*BK370*1.06,IF(AND(BK370&lt;0,$E370="Enerji Fazlası"),MAX($F370,$G370,150)*BK370*1.03,IF(AND(BK370&lt;0,$E370="Dengede"),MAX($F370:$G370,150)*1.03*BK370,MIN($F370:$G370)*0.97*BK370)))))))))</f>
        <v/>
      </c>
      <c r="BM370" s="34">
        <f>BE370-BI370-BN370</f>
        <v/>
      </c>
      <c r="BN370" s="34">
        <f>BB370</f>
        <v/>
      </c>
      <c r="BO370" s="34">
        <f>BE370-BI370</f>
        <v/>
      </c>
      <c r="BP370" s="34">
        <f>IF(AY370=0,0,BO370/AY370)</f>
        <v/>
      </c>
      <c r="BQ370" s="34">
        <f>MAX((AY370+MAX((-J370+L370-N370+Q370),0)),(MAX((J370-L370+N370-Q370),0)))</f>
        <v/>
      </c>
      <c r="BR370" s="82">
        <f>IFERROR(ABS(BK370/BQ370),0)</f>
        <v/>
      </c>
      <c r="BS370" s="34">
        <f>IF(BR370&lt;=0.1,0,BK370/BR370*(BR370-0.1))</f>
        <v/>
      </c>
      <c r="BT370" s="34">
        <f>IF((BS370)&lt;0,MAX(F370:G370)*(BS370)*1.03,MIN(F370:G370)*(BS370)*0.97)</f>
        <v/>
      </c>
      <c r="BU370" s="34">
        <f>IF(BR370&gt;0.1,1,0)</f>
        <v/>
      </c>
      <c r="BV370" s="34">
        <f>BF370+BG370+BH370+BY370-CA370</f>
        <v/>
      </c>
      <c r="BW370" s="34">
        <f>ABS(BX370)</f>
        <v/>
      </c>
      <c r="BX370" s="34">
        <f>AY370-(J370-L370+N370-Q370+T370-X370)</f>
        <v/>
      </c>
      <c r="BY370" s="34">
        <f>IF(AND(BX370&gt;0,MIN($F370:$G370)&lt;150,$E370="Enerji Açığı"),-100*BX370*1.03,IF(AND(BX370&gt;0,MIN($F370:$G370)&lt;150,$E370="Enerji Fazlası"),-100*BX370*1.06,IF(AND(BX370&gt;0,MIN($F370:$G370)&gt;=150,$E370="Enerji Açığı"),BX370*MIN($F370:$G370)*0.97,IF(AND(BX370&gt;0,MIN($F370:$G370)&gt;=150,$E370="Enerji Fazlası"),BX370*MIN($F370:$G370)*0.94,IF(AND(BX370&lt;0,MAX($F370:$G370)=4500,$E370="Enerji Açığı"),4500*1.05*1.06*BX370,IF(AND(BX370&lt;0,MAX($F370:$G370)=4500,$E370="Enerji Fazlası"),4500*1.05*1.03*BX370,IF(AND(BX370&lt;0,$E370="Enerji Açığı"),MAX($F370,$G370,150)*BX370*1.06,IF(AND(BX370&lt;0,$E370="Enerji Fazlası"),MAX($F370,$G370,150)*BX370*1.03,IF(AND(BX370&lt;0,$E370="Dengede"),MAX($F370:$G370,150)*1.03*BX370,MIN($F370:$G370)*0.97*BX370)))))))))</f>
        <v/>
      </c>
      <c r="BZ370" s="34">
        <f>BE370-BV370-CA370</f>
        <v/>
      </c>
      <c r="CA370" s="34">
        <f>BD370</f>
        <v/>
      </c>
      <c r="CB370" s="33">
        <f>BE370-BV370</f>
        <v/>
      </c>
      <c r="CC370" s="34">
        <f>IF(AY370=0,0,CB370/AY370)</f>
        <v/>
      </c>
      <c r="CD370" s="34">
        <f>MAX((AY370+MAX((-J370+L370-N370+Q370-T370+X370),0)),(MAX((J370-L370+N370-Q370+T370-X370),0)))</f>
        <v/>
      </c>
      <c r="CE370" s="82">
        <f>IFERROR(ABS(BX370/CD370),0)</f>
        <v/>
      </c>
      <c r="CF370" s="34">
        <f>IF(CE370&lt;=0.1,0,BX370/CE370*(CE370-0.1))</f>
        <v/>
      </c>
      <c r="CG370" s="34">
        <f>IF((CF370)&lt;0,MAX(F370:G370)*(CF370)*1.03,MIN(F370:G370)*(CF370)*0.97)</f>
        <v/>
      </c>
      <c r="CH370" s="34">
        <f>IF(CE370&gt;0.1,1,0)</f>
        <v/>
      </c>
      <c r="CI370" s="34">
        <f>(F370*BX370)-BY370</f>
        <v/>
      </c>
      <c r="CJ370" s="34">
        <f>IF(AY370=0,0,CI370/AY370)</f>
        <v/>
      </c>
    </row>
    <row r="371">
      <c r="A371" s="29">
        <f>[1]FİYATLAR!A346</f>
        <v/>
      </c>
      <c r="B371" s="29">
        <f>[1]FİYATLAR!B346</f>
        <v/>
      </c>
      <c r="C371" s="35">
        <f>INT(A371)</f>
        <v/>
      </c>
      <c r="D371" s="36">
        <f>MONTH(A371)</f>
        <v/>
      </c>
      <c r="E371" s="147">
        <f>[1]FİYATLAR!G346</f>
        <v/>
      </c>
      <c r="F371" s="30">
        <f>[1]FİYATLAR!C346</f>
        <v/>
      </c>
      <c r="G371" s="30">
        <f>[1]FİYATLAR!E346</f>
        <v/>
      </c>
      <c r="H371" s="30">
        <f>[1]FİYATLAR!D346</f>
        <v/>
      </c>
      <c r="I371" s="30">
        <f>[1]FİYATLAR!F346</f>
        <v/>
      </c>
      <c r="J371" s="119" t="n">
        <v>0</v>
      </c>
      <c r="K371" s="34">
        <f>F371*J371</f>
        <v/>
      </c>
      <c r="L371" s="119" t="n"/>
      <c r="M371" s="34">
        <f>L371*F371</f>
        <v/>
      </c>
      <c r="N371" s="119" t="n"/>
      <c r="O371" s="34">
        <f>F371</f>
        <v/>
      </c>
      <c r="P371" s="34">
        <f>N371*O371</f>
        <v/>
      </c>
      <c r="Q371" s="117" t="n">
        <v>0</v>
      </c>
      <c r="R371" s="34">
        <f>F371</f>
        <v/>
      </c>
      <c r="S371" s="34">
        <f>R371*Q371</f>
        <v/>
      </c>
      <c r="T371" s="34">
        <f>SUMIFS('[1]GİP VERİLERİ'!$C:$C,'[1]GİP VERİLERİ'!$B:$B,A371,'[1]GİP VERİLERİ'!$M:$M,"40X000000104782K",'[1]GİP VERİLERİ'!$G:$G,"SELL")</f>
        <v/>
      </c>
      <c r="U371" s="34">
        <f>IFERROR(W371/T371,0)</f>
        <v/>
      </c>
      <c r="V371" s="34">
        <f>IF(U371=0,0,U371-F371)</f>
        <v/>
      </c>
      <c r="W371" s="34">
        <f>SUMIFS('[1]GİP VERİLERİ'!$O:$O,'[1]GİP VERİLERİ'!$B:$B,A371,'[1]GİP VERİLERİ'!$M:$M,"40X000000104782K",'[1]GİP VERİLERİ'!$G:$G,"SELL")</f>
        <v/>
      </c>
      <c r="X371" s="34">
        <f>SUMIFS('[1]GİP VERİLERİ'!$C:$C,'[1]GİP VERİLERİ'!$B:$B,A371,'[1]GİP VERİLERİ'!$M:$M,"40X000000104782K",'[1]GİP VERİLERİ'!$G:$G,"BUY")</f>
        <v/>
      </c>
      <c r="Y371" s="34">
        <f>IFERROR(AA371/X371,0)</f>
        <v/>
      </c>
      <c r="Z371" s="34">
        <f>IF(Y371=0,0,F371-Y371)</f>
        <v/>
      </c>
      <c r="AA371" s="34">
        <f>SUMIFS('[1]GİP VERİLERİ'!$O:$O,'[1]GİP VERİLERİ'!$B:$B,A371,'[1]GİP VERİLERİ'!$M:$M,"40X000000104782K",'[1]GİP VERİLERİ'!$G:$G,"BUY")</f>
        <v/>
      </c>
      <c r="AB371" s="34">
        <f>'[1]GÖP VERİLERİ'!H372</f>
        <v/>
      </c>
      <c r="AC371" s="34">
        <f>'[1]GÖP VERİLERİ'!I372</f>
        <v/>
      </c>
      <c r="AD371" s="34">
        <f>IF(AB371&gt;AC371*1.05,AB371-AC371*1.05,IF(AB371&lt;AC371*0.95,AC371*0.95-AB371,0))</f>
        <v/>
      </c>
      <c r="AE371" s="34">
        <f>MAX(F371,G371,750)*0.05*AD371</f>
        <v/>
      </c>
      <c r="AF371" s="34">
        <f>'[1]GÖP VERİLERİ'!J372</f>
        <v/>
      </c>
      <c r="AG371" s="34">
        <f>IF(AB371&gt;AF371*1.05,AB371-AF371*1.05,IF(AB371&lt;AF371*0.95,AF371*0.95-AB371,0))</f>
        <v/>
      </c>
      <c r="AH371" s="34">
        <f>MAX(I371,J371,750)*0.05*AG371</f>
        <v/>
      </c>
      <c r="AI371">
        <f>'[1]GÖP VERİLERİ'!E372</f>
        <v/>
      </c>
      <c r="AJ371">
        <f>'[1]GÖP VERİLERİ'!F372</f>
        <v/>
      </c>
      <c r="AK371" s="34">
        <f>IF(AI371&gt;AJ371*1.05,AI371-AJ371*1.05,IF(AI371&lt;AJ371*0.95,AJ371*0.95-AI371,0))</f>
        <v/>
      </c>
      <c r="AL371" s="34">
        <f>MAX(F371,G371,750)*0.05*AK371</f>
        <v/>
      </c>
      <c r="AM371" s="39">
        <f>'[1]GÖP VERİLERİ'!G372</f>
        <v/>
      </c>
      <c r="AN371" s="34">
        <f>IF(AI371&gt;AM371*1.05,AI371-AM371*1.05,IF(AI371&lt;AM371*0.95,AM371*0.95-AI371,0))</f>
        <v/>
      </c>
      <c r="AO371" s="34">
        <f>MAX(F371,G371,750)*0.05*AN371</f>
        <v/>
      </c>
      <c r="AP371" s="34">
        <f>'[1]GÖP VERİLERİ'!B372</f>
        <v/>
      </c>
      <c r="AQ371" s="34">
        <f>'[1]GÖP VERİLERİ'!C372</f>
        <v/>
      </c>
      <c r="AR371" s="34">
        <f>IF(AP371&gt;AQ371*1.05,AP371-AQ371*1.05,IF(AP371&lt;AQ371*0.95,AQ371*0.95-AP371,0))</f>
        <v/>
      </c>
      <c r="AS371" s="34">
        <f>MAX(F371:G371,750)*0.05*AR371</f>
        <v/>
      </c>
      <c r="AT371">
        <f>'[1]GÖP VERİLERİ'!D372</f>
        <v/>
      </c>
      <c r="AU371" s="34">
        <f>IF(AP371&gt;AT371*1.05,AP371-AT371*1.05,IF(AP371&lt;AT371*0.95,AT371*0.95-AP371,0))</f>
        <v/>
      </c>
      <c r="AV371" s="34">
        <f>MAX(F371:G371,750)*0.05*AU371</f>
        <v/>
      </c>
      <c r="AW371" s="34">
        <f>AC371+AJ371+AQ371</f>
        <v/>
      </c>
      <c r="AX371" s="34">
        <f>AF371+AM371+AT371</f>
        <v/>
      </c>
      <c r="AY371" s="34">
        <f>AB371+AI371+AP371</f>
        <v/>
      </c>
      <c r="AZ371" s="34" t="n">
        <v>0</v>
      </c>
      <c r="BA371" s="34">
        <f>AD371+AK371+AR371</f>
        <v/>
      </c>
      <c r="BB371" s="34">
        <f>MAX(F371:G371,750)*0.05*BA371</f>
        <v/>
      </c>
      <c r="BC371" s="34">
        <f>AG371+AN371+AU371</f>
        <v/>
      </c>
      <c r="BD371" s="34">
        <f>MAX(F371:G371,750)*0.05*BC371</f>
        <v/>
      </c>
      <c r="BE371" s="34">
        <f>F371*AY371</f>
        <v/>
      </c>
      <c r="BF371" s="34">
        <f>K371-M371</f>
        <v/>
      </c>
      <c r="BG371" s="34">
        <f>P371-S371</f>
        <v/>
      </c>
      <c r="BH371" s="34">
        <f>W371-AA371</f>
        <v/>
      </c>
      <c r="BI371" s="34">
        <f>BF371+BG371+BL371-BN371</f>
        <v/>
      </c>
      <c r="BJ371" s="34">
        <f>ABS(BK371)</f>
        <v/>
      </c>
      <c r="BK371" s="34">
        <f>AY371-(J371-L371+N371-Q371)</f>
        <v/>
      </c>
      <c r="BL371" s="34">
        <f>IF(AND(BK371&gt;0,MIN($F371:$G371)&lt;150,$E371="Enerji Açığı"),-100*BK371*1.03,IF(AND(BK371&gt;0,MIN($F371:$G371)&lt;150,$E371="Enerji Fazlası"),-100*BK371*1.06,IF(AND(BK371&gt;0,MIN($F371:$G371)&gt;=150,$E371="Enerji Açığı"),BK371*MIN($F371:$G371)*0.97,IF(AND(BK371&gt;0,MIN($F371:$G371)&gt;=150,$E371="Enerji Fazlası"),BK371*MIN($F371:$G371)*0.94,IF(AND(BK371&lt;0,MAX($F371:$G371)=4500,$E371="Enerji Açığı"),4500*1.05*1.06*BK371,IF(AND(BK371&lt;0,MAX($F371:$G371)=4500,$E371="Enerji Fazlası"),4500*1.05*1.03*BK371,IF(AND(BK371&lt;0,$E371="Enerji Açığı"),MAX($F371,$G371,150)*BK371*1.06,IF(AND(BK371&lt;0,$E371="Enerji Fazlası"),MAX($F371,$G371,150)*BK371*1.03,IF(AND(BK371&lt;0,$E371="Dengede"),MAX($F371:$G371,150)*1.03*BK371,MIN($F371:$G371)*0.97*BK371)))))))))</f>
        <v/>
      </c>
      <c r="BM371" s="34">
        <f>BE371-BI371-BN371</f>
        <v/>
      </c>
      <c r="BN371" s="34">
        <f>BB371</f>
        <v/>
      </c>
      <c r="BO371" s="34">
        <f>BE371-BI371</f>
        <v/>
      </c>
      <c r="BP371" s="34">
        <f>IF(AY371=0,0,BO371/AY371)</f>
        <v/>
      </c>
      <c r="BQ371" s="34">
        <f>MAX((AY371+MAX((-J371+L371-N371+Q371),0)),(MAX((J371-L371+N371-Q371),0)))</f>
        <v/>
      </c>
      <c r="BR371" s="82">
        <f>IFERROR(ABS(BK371/BQ371),0)</f>
        <v/>
      </c>
      <c r="BS371" s="34">
        <f>IF(BR371&lt;=0.1,0,BK371/BR371*(BR371-0.1))</f>
        <v/>
      </c>
      <c r="BT371" s="34">
        <f>IF((BS371)&lt;0,MAX(F371:G371)*(BS371)*1.03,MIN(F371:G371)*(BS371)*0.97)</f>
        <v/>
      </c>
      <c r="BU371" s="34">
        <f>IF(BR371&gt;0.1,1,0)</f>
        <v/>
      </c>
      <c r="BV371" s="34">
        <f>BF371+BG371+BH371+BY371-CA371</f>
        <v/>
      </c>
      <c r="BW371" s="34">
        <f>ABS(BX371)</f>
        <v/>
      </c>
      <c r="BX371" s="34">
        <f>AY371-(J371-L371+N371-Q371+T371-X371)</f>
        <v/>
      </c>
      <c r="BY371" s="34">
        <f>IF(AND(BX371&gt;0,MIN($F371:$G371)&lt;150,$E371="Enerji Açığı"),-100*BX371*1.03,IF(AND(BX371&gt;0,MIN($F371:$G371)&lt;150,$E371="Enerji Fazlası"),-100*BX371*1.06,IF(AND(BX371&gt;0,MIN($F371:$G371)&gt;=150,$E371="Enerji Açığı"),BX371*MIN($F371:$G371)*0.97,IF(AND(BX371&gt;0,MIN($F371:$G371)&gt;=150,$E371="Enerji Fazlası"),BX371*MIN($F371:$G371)*0.94,IF(AND(BX371&lt;0,MAX($F371:$G371)=4500,$E371="Enerji Açığı"),4500*1.05*1.06*BX371,IF(AND(BX371&lt;0,MAX($F371:$G371)=4500,$E371="Enerji Fazlası"),4500*1.05*1.03*BX371,IF(AND(BX371&lt;0,$E371="Enerji Açığı"),MAX($F371,$G371,150)*BX371*1.06,IF(AND(BX371&lt;0,$E371="Enerji Fazlası"),MAX($F371,$G371,150)*BX371*1.03,IF(AND(BX371&lt;0,$E371="Dengede"),MAX($F371:$G371,150)*1.03*BX371,MIN($F371:$G371)*0.97*BX371)))))))))</f>
        <v/>
      </c>
      <c r="BZ371" s="34">
        <f>BE371-BV371-CA371</f>
        <v/>
      </c>
      <c r="CA371" s="34">
        <f>BD371</f>
        <v/>
      </c>
      <c r="CB371" s="33">
        <f>BE371-BV371</f>
        <v/>
      </c>
      <c r="CC371" s="34">
        <f>IF(AY371=0,0,CB371/AY371)</f>
        <v/>
      </c>
      <c r="CD371" s="34">
        <f>MAX((AY371+MAX((-J371+L371-N371+Q371-T371+X371),0)),(MAX((J371-L371+N371-Q371+T371-X371),0)))</f>
        <v/>
      </c>
      <c r="CE371" s="82">
        <f>IFERROR(ABS(BX371/CD371),0)</f>
        <v/>
      </c>
      <c r="CF371" s="34">
        <f>IF(CE371&lt;=0.1,0,BX371/CE371*(CE371-0.1))</f>
        <v/>
      </c>
      <c r="CG371" s="34">
        <f>IF((CF371)&lt;0,MAX(F371:G371)*(CF371)*1.03,MIN(F371:G371)*(CF371)*0.97)</f>
        <v/>
      </c>
      <c r="CH371" s="34">
        <f>IF(CE371&gt;0.1,1,0)</f>
        <v/>
      </c>
      <c r="CI371" s="34">
        <f>(F371*BX371)-BY371</f>
        <v/>
      </c>
      <c r="CJ371" s="34">
        <f>IF(AY371=0,0,CI371/AY371)</f>
        <v/>
      </c>
    </row>
    <row r="372">
      <c r="A372" s="29">
        <f>[1]FİYATLAR!A347</f>
        <v/>
      </c>
      <c r="B372" s="29">
        <f>[1]FİYATLAR!B347</f>
        <v/>
      </c>
      <c r="C372" s="35">
        <f>INT(A372)</f>
        <v/>
      </c>
      <c r="D372" s="36">
        <f>MONTH(A372)</f>
        <v/>
      </c>
      <c r="E372" s="147">
        <f>[1]FİYATLAR!G347</f>
        <v/>
      </c>
      <c r="F372" s="30">
        <f>[1]FİYATLAR!C347</f>
        <v/>
      </c>
      <c r="G372" s="30">
        <f>[1]FİYATLAR!E347</f>
        <v/>
      </c>
      <c r="H372" s="30">
        <f>[1]FİYATLAR!D347</f>
        <v/>
      </c>
      <c r="I372" s="30">
        <f>[1]FİYATLAR!F347</f>
        <v/>
      </c>
      <c r="J372" s="119" t="n">
        <v>0</v>
      </c>
      <c r="K372" s="34">
        <f>F372*J372</f>
        <v/>
      </c>
      <c r="L372" s="119" t="n"/>
      <c r="M372" s="34">
        <f>L372*F372</f>
        <v/>
      </c>
      <c r="N372" s="119" t="n"/>
      <c r="O372" s="34">
        <f>F372</f>
        <v/>
      </c>
      <c r="P372" s="34">
        <f>N372*O372</f>
        <v/>
      </c>
      <c r="Q372" s="117" t="n">
        <v>0</v>
      </c>
      <c r="R372" s="34">
        <f>F372</f>
        <v/>
      </c>
      <c r="S372" s="34">
        <f>R372*Q372</f>
        <v/>
      </c>
      <c r="T372" s="34">
        <f>SUMIFS('[1]GİP VERİLERİ'!$C:$C,'[1]GİP VERİLERİ'!$B:$B,A372,'[1]GİP VERİLERİ'!$M:$M,"40X000000104782K",'[1]GİP VERİLERİ'!$G:$G,"SELL")</f>
        <v/>
      </c>
      <c r="U372" s="34">
        <f>IFERROR(W372/T372,0)</f>
        <v/>
      </c>
      <c r="V372" s="34">
        <f>IF(U372=0,0,U372-F372)</f>
        <v/>
      </c>
      <c r="W372" s="34">
        <f>SUMIFS('[1]GİP VERİLERİ'!$O:$O,'[1]GİP VERİLERİ'!$B:$B,A372,'[1]GİP VERİLERİ'!$M:$M,"40X000000104782K",'[1]GİP VERİLERİ'!$G:$G,"SELL")</f>
        <v/>
      </c>
      <c r="X372" s="34">
        <f>SUMIFS('[1]GİP VERİLERİ'!$C:$C,'[1]GİP VERİLERİ'!$B:$B,A372,'[1]GİP VERİLERİ'!$M:$M,"40X000000104782K",'[1]GİP VERİLERİ'!$G:$G,"BUY")</f>
        <v/>
      </c>
      <c r="Y372" s="34">
        <f>IFERROR(AA372/X372,0)</f>
        <v/>
      </c>
      <c r="Z372" s="34">
        <f>IF(Y372=0,0,F372-Y372)</f>
        <v/>
      </c>
      <c r="AA372" s="34">
        <f>SUMIFS('[1]GİP VERİLERİ'!$O:$O,'[1]GİP VERİLERİ'!$B:$B,A372,'[1]GİP VERİLERİ'!$M:$M,"40X000000104782K",'[1]GİP VERİLERİ'!$G:$G,"BUY")</f>
        <v/>
      </c>
      <c r="AB372" s="34">
        <f>'[1]GÖP VERİLERİ'!H373</f>
        <v/>
      </c>
      <c r="AC372" s="34">
        <f>'[1]GÖP VERİLERİ'!I373</f>
        <v/>
      </c>
      <c r="AD372" s="34">
        <f>IF(AB372&gt;AC372*1.05,AB372-AC372*1.05,IF(AB372&lt;AC372*0.95,AC372*0.95-AB372,0))</f>
        <v/>
      </c>
      <c r="AE372" s="34">
        <f>MAX(F372,G372,750)*0.05*AD372</f>
        <v/>
      </c>
      <c r="AF372" s="34">
        <f>'[1]GÖP VERİLERİ'!J373</f>
        <v/>
      </c>
      <c r="AG372" s="34">
        <f>IF(AB372&gt;AF372*1.05,AB372-AF372*1.05,IF(AB372&lt;AF372*0.95,AF372*0.95-AB372,0))</f>
        <v/>
      </c>
      <c r="AH372" s="34">
        <f>MAX(I372,J372,750)*0.05*AG372</f>
        <v/>
      </c>
      <c r="AI372">
        <f>'[1]GÖP VERİLERİ'!E373</f>
        <v/>
      </c>
      <c r="AJ372">
        <f>'[1]GÖP VERİLERİ'!F373</f>
        <v/>
      </c>
      <c r="AK372" s="34">
        <f>IF(AI372&gt;AJ372*1.05,AI372-AJ372*1.05,IF(AI372&lt;AJ372*0.95,AJ372*0.95-AI372,0))</f>
        <v/>
      </c>
      <c r="AL372" s="34">
        <f>MAX(F372,G372,750)*0.05*AK372</f>
        <v/>
      </c>
      <c r="AM372" s="39">
        <f>'[1]GÖP VERİLERİ'!G373</f>
        <v/>
      </c>
      <c r="AN372" s="34">
        <f>IF(AI372&gt;AM372*1.05,AI372-AM372*1.05,IF(AI372&lt;AM372*0.95,AM372*0.95-AI372,0))</f>
        <v/>
      </c>
      <c r="AO372" s="34">
        <f>MAX(F372,G372,750)*0.05*AN372</f>
        <v/>
      </c>
      <c r="AP372" s="34">
        <f>'[1]GÖP VERİLERİ'!B373</f>
        <v/>
      </c>
      <c r="AQ372" s="34">
        <f>'[1]GÖP VERİLERİ'!C373</f>
        <v/>
      </c>
      <c r="AR372" s="34">
        <f>IF(AP372&gt;AQ372*1.05,AP372-AQ372*1.05,IF(AP372&lt;AQ372*0.95,AQ372*0.95-AP372,0))</f>
        <v/>
      </c>
      <c r="AS372" s="34">
        <f>MAX(F372:G372,750)*0.05*AR372</f>
        <v/>
      </c>
      <c r="AT372">
        <f>'[1]GÖP VERİLERİ'!D373</f>
        <v/>
      </c>
      <c r="AU372" s="34">
        <f>IF(AP372&gt;AT372*1.05,AP372-AT372*1.05,IF(AP372&lt;AT372*0.95,AT372*0.95-AP372,0))</f>
        <v/>
      </c>
      <c r="AV372" s="34">
        <f>MAX(F372:G372,750)*0.05*AU372</f>
        <v/>
      </c>
      <c r="AW372" s="34">
        <f>AC372+AJ372+AQ372</f>
        <v/>
      </c>
      <c r="AX372" s="34">
        <f>AF372+AM372+AT372</f>
        <v/>
      </c>
      <c r="AY372" s="34">
        <f>AB372+AI372+AP372</f>
        <v/>
      </c>
      <c r="AZ372" s="34" t="n">
        <v>0</v>
      </c>
      <c r="BA372" s="34">
        <f>AD372+AK372+AR372</f>
        <v/>
      </c>
      <c r="BB372" s="34">
        <f>MAX(F372:G372,750)*0.05*BA372</f>
        <v/>
      </c>
      <c r="BC372" s="34">
        <f>AG372+AN372+AU372</f>
        <v/>
      </c>
      <c r="BD372" s="34">
        <f>MAX(F372:G372,750)*0.05*BC372</f>
        <v/>
      </c>
      <c r="BE372" s="34">
        <f>F372*AY372</f>
        <v/>
      </c>
      <c r="BF372" s="34">
        <f>K372-M372</f>
        <v/>
      </c>
      <c r="BG372" s="34">
        <f>P372-S372</f>
        <v/>
      </c>
      <c r="BH372" s="34">
        <f>W372-AA372</f>
        <v/>
      </c>
      <c r="BI372" s="34">
        <f>BF372+BG372+BL372-BN372</f>
        <v/>
      </c>
      <c r="BJ372" s="34">
        <f>ABS(BK372)</f>
        <v/>
      </c>
      <c r="BK372" s="34">
        <f>AY372-(J372-L372+N372-Q372)</f>
        <v/>
      </c>
      <c r="BL372" s="34">
        <f>IF(AND(BK372&gt;0,MIN($F372:$G372)&lt;150,$E372="Enerji Açığı"),-100*BK372*1.03,IF(AND(BK372&gt;0,MIN($F372:$G372)&lt;150,$E372="Enerji Fazlası"),-100*BK372*1.06,IF(AND(BK372&gt;0,MIN($F372:$G372)&gt;=150,$E372="Enerji Açığı"),BK372*MIN($F372:$G372)*0.97,IF(AND(BK372&gt;0,MIN($F372:$G372)&gt;=150,$E372="Enerji Fazlası"),BK372*MIN($F372:$G372)*0.94,IF(AND(BK372&lt;0,MAX($F372:$G372)=4500,$E372="Enerji Açığı"),4500*1.05*1.06*BK372,IF(AND(BK372&lt;0,MAX($F372:$G372)=4500,$E372="Enerji Fazlası"),4500*1.05*1.03*BK372,IF(AND(BK372&lt;0,$E372="Enerji Açığı"),MAX($F372,$G372,150)*BK372*1.06,IF(AND(BK372&lt;0,$E372="Enerji Fazlası"),MAX($F372,$G372,150)*BK372*1.03,IF(AND(BK372&lt;0,$E372="Dengede"),MAX($F372:$G372,150)*1.03*BK372,MIN($F372:$G372)*0.97*BK372)))))))))</f>
        <v/>
      </c>
      <c r="BM372" s="34">
        <f>BE372-BI372-BN372</f>
        <v/>
      </c>
      <c r="BN372" s="34">
        <f>BB372</f>
        <v/>
      </c>
      <c r="BO372" s="34">
        <f>BE372-BI372</f>
        <v/>
      </c>
      <c r="BP372" s="34">
        <f>IF(AY372=0,0,BO372/AY372)</f>
        <v/>
      </c>
      <c r="BQ372" s="34">
        <f>MAX((AY372+MAX((-J372+L372-N372+Q372),0)),(MAX((J372-L372+N372-Q372),0)))</f>
        <v/>
      </c>
      <c r="BR372" s="82">
        <f>IFERROR(ABS(BK372/BQ372),0)</f>
        <v/>
      </c>
      <c r="BS372" s="34">
        <f>IF(BR372&lt;=0.1,0,BK372/BR372*(BR372-0.1))</f>
        <v/>
      </c>
      <c r="BT372" s="34">
        <f>IF((BS372)&lt;0,MAX(F372:G372)*(BS372)*1.03,MIN(F372:G372)*(BS372)*0.97)</f>
        <v/>
      </c>
      <c r="BU372" s="34">
        <f>IF(BR372&gt;0.1,1,0)</f>
        <v/>
      </c>
      <c r="BV372" s="34">
        <f>BF372+BG372+BH372+BY372-CA372</f>
        <v/>
      </c>
      <c r="BW372" s="34">
        <f>ABS(BX372)</f>
        <v/>
      </c>
      <c r="BX372" s="34">
        <f>AY372-(J372-L372+N372-Q372+T372-X372)</f>
        <v/>
      </c>
      <c r="BY372" s="34">
        <f>IF(AND(BX372&gt;0,MIN($F372:$G372)&lt;150,$E372="Enerji Açığı"),-100*BX372*1.03,IF(AND(BX372&gt;0,MIN($F372:$G372)&lt;150,$E372="Enerji Fazlası"),-100*BX372*1.06,IF(AND(BX372&gt;0,MIN($F372:$G372)&gt;=150,$E372="Enerji Açığı"),BX372*MIN($F372:$G372)*0.97,IF(AND(BX372&gt;0,MIN($F372:$G372)&gt;=150,$E372="Enerji Fazlası"),BX372*MIN($F372:$G372)*0.94,IF(AND(BX372&lt;0,MAX($F372:$G372)=4500,$E372="Enerji Açığı"),4500*1.05*1.06*BX372,IF(AND(BX372&lt;0,MAX($F372:$G372)=4500,$E372="Enerji Fazlası"),4500*1.05*1.03*BX372,IF(AND(BX372&lt;0,$E372="Enerji Açığı"),MAX($F372,$G372,150)*BX372*1.06,IF(AND(BX372&lt;0,$E372="Enerji Fazlası"),MAX($F372,$G372,150)*BX372*1.03,IF(AND(BX372&lt;0,$E372="Dengede"),MAX($F372:$G372,150)*1.03*BX372,MIN($F372:$G372)*0.97*BX372)))))))))</f>
        <v/>
      </c>
      <c r="BZ372" s="34">
        <f>BE372-BV372-CA372</f>
        <v/>
      </c>
      <c r="CA372" s="34">
        <f>BD372</f>
        <v/>
      </c>
      <c r="CB372" s="33">
        <f>BE372-BV372</f>
        <v/>
      </c>
      <c r="CC372" s="34">
        <f>IF(AY372=0,0,CB372/AY372)</f>
        <v/>
      </c>
      <c r="CD372" s="34">
        <f>MAX((AY372+MAX((-J372+L372-N372+Q372-T372+X372),0)),(MAX((J372-L372+N372-Q372+T372-X372),0)))</f>
        <v/>
      </c>
      <c r="CE372" s="82">
        <f>IFERROR(ABS(BX372/CD372),0)</f>
        <v/>
      </c>
      <c r="CF372" s="34">
        <f>IF(CE372&lt;=0.1,0,BX372/CE372*(CE372-0.1))</f>
        <v/>
      </c>
      <c r="CG372" s="34">
        <f>IF((CF372)&lt;0,MAX(F372:G372)*(CF372)*1.03,MIN(F372:G372)*(CF372)*0.97)</f>
        <v/>
      </c>
      <c r="CH372" s="34">
        <f>IF(CE372&gt;0.1,1,0)</f>
        <v/>
      </c>
      <c r="CI372" s="34">
        <f>(F372*BX372)-BY372</f>
        <v/>
      </c>
      <c r="CJ372" s="34">
        <f>IF(AY372=0,0,CI372/AY372)</f>
        <v/>
      </c>
    </row>
    <row r="373">
      <c r="A373" s="29">
        <f>[1]FİYATLAR!A348</f>
        <v/>
      </c>
      <c r="B373" s="29">
        <f>[1]FİYATLAR!B348</f>
        <v/>
      </c>
      <c r="C373" s="35">
        <f>INT(A373)</f>
        <v/>
      </c>
      <c r="D373" s="36">
        <f>MONTH(A373)</f>
        <v/>
      </c>
      <c r="E373" s="147">
        <f>[1]FİYATLAR!G348</f>
        <v/>
      </c>
      <c r="F373" s="30">
        <f>[1]FİYATLAR!C348</f>
        <v/>
      </c>
      <c r="G373" s="30">
        <f>[1]FİYATLAR!E348</f>
        <v/>
      </c>
      <c r="H373" s="30">
        <f>[1]FİYATLAR!D348</f>
        <v/>
      </c>
      <c r="I373" s="30">
        <f>[1]FİYATLAR!F348</f>
        <v/>
      </c>
      <c r="J373" s="119" t="n">
        <v>0</v>
      </c>
      <c r="K373" s="34">
        <f>F373*J373</f>
        <v/>
      </c>
      <c r="L373" s="119" t="n"/>
      <c r="M373" s="34">
        <f>L373*F373</f>
        <v/>
      </c>
      <c r="N373" s="119" t="n"/>
      <c r="O373" s="34">
        <f>F373</f>
        <v/>
      </c>
      <c r="P373" s="34">
        <f>N373*O373</f>
        <v/>
      </c>
      <c r="Q373" s="117" t="n">
        <v>0</v>
      </c>
      <c r="R373" s="34">
        <f>F373</f>
        <v/>
      </c>
      <c r="S373" s="34">
        <f>R373*Q373</f>
        <v/>
      </c>
      <c r="T373" s="34">
        <f>SUMIFS('[1]GİP VERİLERİ'!$C:$C,'[1]GİP VERİLERİ'!$B:$B,A373,'[1]GİP VERİLERİ'!$M:$M,"40X000000104782K",'[1]GİP VERİLERİ'!$G:$G,"SELL")</f>
        <v/>
      </c>
      <c r="U373" s="34">
        <f>IFERROR(W373/T373,0)</f>
        <v/>
      </c>
      <c r="V373" s="34">
        <f>IF(U373=0,0,U373-F373)</f>
        <v/>
      </c>
      <c r="W373" s="34">
        <f>SUMIFS('[1]GİP VERİLERİ'!$O:$O,'[1]GİP VERİLERİ'!$B:$B,A373,'[1]GİP VERİLERİ'!$M:$M,"40X000000104782K",'[1]GİP VERİLERİ'!$G:$G,"SELL")</f>
        <v/>
      </c>
      <c r="X373" s="34">
        <f>SUMIFS('[1]GİP VERİLERİ'!$C:$C,'[1]GİP VERİLERİ'!$B:$B,A373,'[1]GİP VERİLERİ'!$M:$M,"40X000000104782K",'[1]GİP VERİLERİ'!$G:$G,"BUY")</f>
        <v/>
      </c>
      <c r="Y373" s="34">
        <f>IFERROR(AA373/X373,0)</f>
        <v/>
      </c>
      <c r="Z373" s="34">
        <f>IF(Y373=0,0,F373-Y373)</f>
        <v/>
      </c>
      <c r="AA373" s="34">
        <f>SUMIFS('[1]GİP VERİLERİ'!$O:$O,'[1]GİP VERİLERİ'!$B:$B,A373,'[1]GİP VERİLERİ'!$M:$M,"40X000000104782K",'[1]GİP VERİLERİ'!$G:$G,"BUY")</f>
        <v/>
      </c>
      <c r="AB373" s="34">
        <f>'[1]GÖP VERİLERİ'!H374</f>
        <v/>
      </c>
      <c r="AC373" s="34">
        <f>'[1]GÖP VERİLERİ'!I374</f>
        <v/>
      </c>
      <c r="AD373" s="34">
        <f>IF(AB373&gt;AC373*1.05,AB373-AC373*1.05,IF(AB373&lt;AC373*0.95,AC373*0.95-AB373,0))</f>
        <v/>
      </c>
      <c r="AE373" s="34">
        <f>MAX(F373,G373,750)*0.05*AD373</f>
        <v/>
      </c>
      <c r="AF373" s="34">
        <f>'[1]GÖP VERİLERİ'!J374</f>
        <v/>
      </c>
      <c r="AG373" s="34">
        <f>IF(AB373&gt;AF373*1.05,AB373-AF373*1.05,IF(AB373&lt;AF373*0.95,AF373*0.95-AB373,0))</f>
        <v/>
      </c>
      <c r="AH373" s="34">
        <f>MAX(I373,J373,750)*0.05*AG373</f>
        <v/>
      </c>
      <c r="AI373">
        <f>'[1]GÖP VERİLERİ'!E374</f>
        <v/>
      </c>
      <c r="AJ373">
        <f>'[1]GÖP VERİLERİ'!F374</f>
        <v/>
      </c>
      <c r="AK373" s="34">
        <f>IF(AI373&gt;AJ373*1.05,AI373-AJ373*1.05,IF(AI373&lt;AJ373*0.95,AJ373*0.95-AI373,0))</f>
        <v/>
      </c>
      <c r="AL373" s="34">
        <f>MAX(F373,G373,750)*0.05*AK373</f>
        <v/>
      </c>
      <c r="AM373" s="39">
        <f>'[1]GÖP VERİLERİ'!G374</f>
        <v/>
      </c>
      <c r="AN373" s="34">
        <f>IF(AI373&gt;AM373*1.05,AI373-AM373*1.05,IF(AI373&lt;AM373*0.95,AM373*0.95-AI373,0))</f>
        <v/>
      </c>
      <c r="AO373" s="34">
        <f>MAX(F373,G373,750)*0.05*AN373</f>
        <v/>
      </c>
      <c r="AP373" s="34">
        <f>'[1]GÖP VERİLERİ'!B374</f>
        <v/>
      </c>
      <c r="AQ373" s="34">
        <f>'[1]GÖP VERİLERİ'!C374</f>
        <v/>
      </c>
      <c r="AR373" s="34">
        <f>IF(AP373&gt;AQ373*1.05,AP373-AQ373*1.05,IF(AP373&lt;AQ373*0.95,AQ373*0.95-AP373,0))</f>
        <v/>
      </c>
      <c r="AS373" s="34">
        <f>MAX(F373:G373,750)*0.05*AR373</f>
        <v/>
      </c>
      <c r="AT373">
        <f>'[1]GÖP VERİLERİ'!D374</f>
        <v/>
      </c>
      <c r="AU373" s="34">
        <f>IF(AP373&gt;AT373*1.05,AP373-AT373*1.05,IF(AP373&lt;AT373*0.95,AT373*0.95-AP373,0))</f>
        <v/>
      </c>
      <c r="AV373" s="34">
        <f>MAX(F373:G373,750)*0.05*AU373</f>
        <v/>
      </c>
      <c r="AW373" s="34">
        <f>AC373+AJ373+AQ373</f>
        <v/>
      </c>
      <c r="AX373" s="34">
        <f>AF373+AM373+AT373</f>
        <v/>
      </c>
      <c r="AY373" s="34">
        <f>AB373+AI373+AP373</f>
        <v/>
      </c>
      <c r="AZ373" s="34" t="n">
        <v>0</v>
      </c>
      <c r="BA373" s="34">
        <f>AD373+AK373+AR373</f>
        <v/>
      </c>
      <c r="BB373" s="34">
        <f>MAX(F373:G373,750)*0.05*BA373</f>
        <v/>
      </c>
      <c r="BC373" s="34">
        <f>AG373+AN373+AU373</f>
        <v/>
      </c>
      <c r="BD373" s="34">
        <f>MAX(F373:G373,750)*0.05*BC373</f>
        <v/>
      </c>
      <c r="BE373" s="34">
        <f>F373*AY373</f>
        <v/>
      </c>
      <c r="BF373" s="34">
        <f>K373-M373</f>
        <v/>
      </c>
      <c r="BG373" s="34">
        <f>P373-S373</f>
        <v/>
      </c>
      <c r="BH373" s="34">
        <f>W373-AA373</f>
        <v/>
      </c>
      <c r="BI373" s="34">
        <f>BF373+BG373+BL373-BN373</f>
        <v/>
      </c>
      <c r="BJ373" s="34">
        <f>ABS(BK373)</f>
        <v/>
      </c>
      <c r="BK373" s="34">
        <f>AY373-(J373-L373+N373-Q373)</f>
        <v/>
      </c>
      <c r="BL373" s="34">
        <f>IF(AND(BK373&gt;0,MIN($F373:$G373)&lt;150,$E373="Enerji Açığı"),-100*BK373*1.03,IF(AND(BK373&gt;0,MIN($F373:$G373)&lt;150,$E373="Enerji Fazlası"),-100*BK373*1.06,IF(AND(BK373&gt;0,MIN($F373:$G373)&gt;=150,$E373="Enerji Açığı"),BK373*MIN($F373:$G373)*0.97,IF(AND(BK373&gt;0,MIN($F373:$G373)&gt;=150,$E373="Enerji Fazlası"),BK373*MIN($F373:$G373)*0.94,IF(AND(BK373&lt;0,MAX($F373:$G373)=4500,$E373="Enerji Açığı"),4500*1.05*1.06*BK373,IF(AND(BK373&lt;0,MAX($F373:$G373)=4500,$E373="Enerji Fazlası"),4500*1.05*1.03*BK373,IF(AND(BK373&lt;0,$E373="Enerji Açığı"),MAX($F373,$G373,150)*BK373*1.06,IF(AND(BK373&lt;0,$E373="Enerji Fazlası"),MAX($F373,$G373,150)*BK373*1.03,IF(AND(BK373&lt;0,$E373="Dengede"),MAX($F373:$G373,150)*1.03*BK373,MIN($F373:$G373)*0.97*BK373)))))))))</f>
        <v/>
      </c>
      <c r="BM373" s="34">
        <f>BE373-BI373-BN373</f>
        <v/>
      </c>
      <c r="BN373" s="34">
        <f>BB373</f>
        <v/>
      </c>
      <c r="BO373" s="34">
        <f>BE373-BI373</f>
        <v/>
      </c>
      <c r="BP373" s="34">
        <f>IF(AY373=0,0,BO373/AY373)</f>
        <v/>
      </c>
      <c r="BQ373" s="34">
        <f>MAX((AY373+MAX((-J373+L373-N373+Q373),0)),(MAX((J373-L373+N373-Q373),0)))</f>
        <v/>
      </c>
      <c r="BR373" s="82">
        <f>IFERROR(ABS(BK373/BQ373),0)</f>
        <v/>
      </c>
      <c r="BS373" s="34">
        <f>IF(BR373&lt;=0.1,0,BK373/BR373*(BR373-0.1))</f>
        <v/>
      </c>
      <c r="BT373" s="34">
        <f>IF((BS373)&lt;0,MAX(F373:G373)*(BS373)*1.03,MIN(F373:G373)*(BS373)*0.97)</f>
        <v/>
      </c>
      <c r="BU373" s="34">
        <f>IF(BR373&gt;0.1,1,0)</f>
        <v/>
      </c>
      <c r="BV373" s="34">
        <f>BF373+BG373+BH373+BY373-CA373</f>
        <v/>
      </c>
      <c r="BW373" s="34">
        <f>ABS(BX373)</f>
        <v/>
      </c>
      <c r="BX373" s="34">
        <f>AY373-(J373-L373+N373-Q373+T373-X373)</f>
        <v/>
      </c>
      <c r="BY373" s="34">
        <f>IF(AND(BX373&gt;0,MIN($F373:$G373)&lt;150,$E373="Enerji Açığı"),-100*BX373*1.03,IF(AND(BX373&gt;0,MIN($F373:$G373)&lt;150,$E373="Enerji Fazlası"),-100*BX373*1.06,IF(AND(BX373&gt;0,MIN($F373:$G373)&gt;=150,$E373="Enerji Açığı"),BX373*MIN($F373:$G373)*0.97,IF(AND(BX373&gt;0,MIN($F373:$G373)&gt;=150,$E373="Enerji Fazlası"),BX373*MIN($F373:$G373)*0.94,IF(AND(BX373&lt;0,MAX($F373:$G373)=4500,$E373="Enerji Açığı"),4500*1.05*1.06*BX373,IF(AND(BX373&lt;0,MAX($F373:$G373)=4500,$E373="Enerji Fazlası"),4500*1.05*1.03*BX373,IF(AND(BX373&lt;0,$E373="Enerji Açığı"),MAX($F373,$G373,150)*BX373*1.06,IF(AND(BX373&lt;0,$E373="Enerji Fazlası"),MAX($F373,$G373,150)*BX373*1.03,IF(AND(BX373&lt;0,$E373="Dengede"),MAX($F373:$G373,150)*1.03*BX373,MIN($F373:$G373)*0.97*BX373)))))))))</f>
        <v/>
      </c>
      <c r="BZ373" s="34">
        <f>BE373-BV373-CA373</f>
        <v/>
      </c>
      <c r="CA373" s="34">
        <f>BD373</f>
        <v/>
      </c>
      <c r="CB373" s="33">
        <f>BE373-BV373</f>
        <v/>
      </c>
      <c r="CC373" s="34">
        <f>IF(AY373=0,0,CB373/AY373)</f>
        <v/>
      </c>
      <c r="CD373" s="34">
        <f>MAX((AY373+MAX((-J373+L373-N373+Q373-T373+X373),0)),(MAX((J373-L373+N373-Q373+T373-X373),0)))</f>
        <v/>
      </c>
      <c r="CE373" s="82">
        <f>IFERROR(ABS(BX373/CD373),0)</f>
        <v/>
      </c>
      <c r="CF373" s="34">
        <f>IF(CE373&lt;=0.1,0,BX373/CE373*(CE373-0.1))</f>
        <v/>
      </c>
      <c r="CG373" s="34">
        <f>IF((CF373)&lt;0,MAX(F373:G373)*(CF373)*1.03,MIN(F373:G373)*(CF373)*0.97)</f>
        <v/>
      </c>
      <c r="CH373" s="34">
        <f>IF(CE373&gt;0.1,1,0)</f>
        <v/>
      </c>
      <c r="CI373" s="34">
        <f>(F373*BX373)-BY373</f>
        <v/>
      </c>
      <c r="CJ373" s="34">
        <f>IF(AY373=0,0,CI373/AY373)</f>
        <v/>
      </c>
    </row>
    <row r="374">
      <c r="A374" s="29">
        <f>[1]FİYATLAR!A349</f>
        <v/>
      </c>
      <c r="B374" s="29">
        <f>[1]FİYATLAR!B349</f>
        <v/>
      </c>
      <c r="C374" s="35">
        <f>INT(A374)</f>
        <v/>
      </c>
      <c r="D374" s="36">
        <f>MONTH(A374)</f>
        <v/>
      </c>
      <c r="E374" s="147">
        <f>[1]FİYATLAR!G349</f>
        <v/>
      </c>
      <c r="F374" s="30">
        <f>[1]FİYATLAR!C349</f>
        <v/>
      </c>
      <c r="G374" s="30">
        <f>[1]FİYATLAR!E349</f>
        <v/>
      </c>
      <c r="H374" s="30">
        <f>[1]FİYATLAR!D349</f>
        <v/>
      </c>
      <c r="I374" s="30">
        <f>[1]FİYATLAR!F349</f>
        <v/>
      </c>
      <c r="J374" s="119" t="n">
        <v>0</v>
      </c>
      <c r="K374" s="34">
        <f>F374*J374</f>
        <v/>
      </c>
      <c r="L374" s="119" t="n"/>
      <c r="M374" s="34">
        <f>L374*F374</f>
        <v/>
      </c>
      <c r="N374" s="119" t="n"/>
      <c r="O374" s="34">
        <f>F374</f>
        <v/>
      </c>
      <c r="P374" s="34">
        <f>N374*O374</f>
        <v/>
      </c>
      <c r="Q374" s="117" t="n">
        <v>0</v>
      </c>
      <c r="R374" s="34">
        <f>F374</f>
        <v/>
      </c>
      <c r="S374" s="34">
        <f>R374*Q374</f>
        <v/>
      </c>
      <c r="T374" s="34">
        <f>SUMIFS('[1]GİP VERİLERİ'!$C:$C,'[1]GİP VERİLERİ'!$B:$B,A374,'[1]GİP VERİLERİ'!$M:$M,"40X000000104782K",'[1]GİP VERİLERİ'!$G:$G,"SELL")</f>
        <v/>
      </c>
      <c r="U374" s="34">
        <f>IFERROR(W374/T374,0)</f>
        <v/>
      </c>
      <c r="V374" s="34">
        <f>IF(U374=0,0,U374-F374)</f>
        <v/>
      </c>
      <c r="W374" s="34">
        <f>SUMIFS('[1]GİP VERİLERİ'!$O:$O,'[1]GİP VERİLERİ'!$B:$B,A374,'[1]GİP VERİLERİ'!$M:$M,"40X000000104782K",'[1]GİP VERİLERİ'!$G:$G,"SELL")</f>
        <v/>
      </c>
      <c r="X374" s="34">
        <f>SUMIFS('[1]GİP VERİLERİ'!$C:$C,'[1]GİP VERİLERİ'!$B:$B,A374,'[1]GİP VERİLERİ'!$M:$M,"40X000000104782K",'[1]GİP VERİLERİ'!$G:$G,"BUY")</f>
        <v/>
      </c>
      <c r="Y374" s="34">
        <f>IFERROR(AA374/X374,0)</f>
        <v/>
      </c>
      <c r="Z374" s="34">
        <f>IF(Y374=0,0,F374-Y374)</f>
        <v/>
      </c>
      <c r="AA374" s="34">
        <f>SUMIFS('[1]GİP VERİLERİ'!$O:$O,'[1]GİP VERİLERİ'!$B:$B,A374,'[1]GİP VERİLERİ'!$M:$M,"40X000000104782K",'[1]GİP VERİLERİ'!$G:$G,"BUY")</f>
        <v/>
      </c>
      <c r="AB374" s="34">
        <f>'[1]GÖP VERİLERİ'!H375</f>
        <v/>
      </c>
      <c r="AC374" s="34">
        <f>'[1]GÖP VERİLERİ'!I375</f>
        <v/>
      </c>
      <c r="AD374" s="34">
        <f>IF(AB374&gt;AC374*1.05,AB374-AC374*1.05,IF(AB374&lt;AC374*0.95,AC374*0.95-AB374,0))</f>
        <v/>
      </c>
      <c r="AE374" s="34">
        <f>MAX(F374,G374,750)*0.05*AD374</f>
        <v/>
      </c>
      <c r="AF374" s="34">
        <f>'[1]GÖP VERİLERİ'!J375</f>
        <v/>
      </c>
      <c r="AG374" s="34">
        <f>IF(AB374&gt;AF374*1.05,AB374-AF374*1.05,IF(AB374&lt;AF374*0.95,AF374*0.95-AB374,0))</f>
        <v/>
      </c>
      <c r="AH374" s="34">
        <f>MAX(I374,J374,750)*0.05*AG374</f>
        <v/>
      </c>
      <c r="AI374">
        <f>'[1]GÖP VERİLERİ'!E375</f>
        <v/>
      </c>
      <c r="AJ374">
        <f>'[1]GÖP VERİLERİ'!F375</f>
        <v/>
      </c>
      <c r="AK374" s="34">
        <f>IF(AI374&gt;AJ374*1.05,AI374-AJ374*1.05,IF(AI374&lt;AJ374*0.95,AJ374*0.95-AI374,0))</f>
        <v/>
      </c>
      <c r="AL374" s="34">
        <f>MAX(F374,G374,750)*0.05*AK374</f>
        <v/>
      </c>
      <c r="AM374" s="39">
        <f>'[1]GÖP VERİLERİ'!G375</f>
        <v/>
      </c>
      <c r="AN374" s="34">
        <f>IF(AI374&gt;AM374*1.05,AI374-AM374*1.05,IF(AI374&lt;AM374*0.95,AM374*0.95-AI374,0))</f>
        <v/>
      </c>
      <c r="AO374" s="34">
        <f>MAX(F374,G374,750)*0.05*AN374</f>
        <v/>
      </c>
      <c r="AP374" s="34">
        <f>'[1]GÖP VERİLERİ'!B375</f>
        <v/>
      </c>
      <c r="AQ374" s="34">
        <f>'[1]GÖP VERİLERİ'!C375</f>
        <v/>
      </c>
      <c r="AR374" s="34">
        <f>IF(AP374&gt;AQ374*1.05,AP374-AQ374*1.05,IF(AP374&lt;AQ374*0.95,AQ374*0.95-AP374,0))</f>
        <v/>
      </c>
      <c r="AS374" s="34">
        <f>MAX(F374:G374,750)*0.05*AR374</f>
        <v/>
      </c>
      <c r="AT374">
        <f>'[1]GÖP VERİLERİ'!D375</f>
        <v/>
      </c>
      <c r="AU374" s="34">
        <f>IF(AP374&gt;AT374*1.05,AP374-AT374*1.05,IF(AP374&lt;AT374*0.95,AT374*0.95-AP374,0))</f>
        <v/>
      </c>
      <c r="AV374" s="34">
        <f>MAX(F374:G374,750)*0.05*AU374</f>
        <v/>
      </c>
      <c r="AW374" s="34">
        <f>AC374+AJ374+AQ374</f>
        <v/>
      </c>
      <c r="AX374" s="34">
        <f>AF374+AM374+AT374</f>
        <v/>
      </c>
      <c r="AY374" s="34">
        <f>AB374+AI374+AP374</f>
        <v/>
      </c>
      <c r="AZ374" s="34" t="n">
        <v>0</v>
      </c>
      <c r="BA374" s="34">
        <f>AD374+AK374+AR374</f>
        <v/>
      </c>
      <c r="BB374" s="34">
        <f>MAX(F374:G374,750)*0.05*BA374</f>
        <v/>
      </c>
      <c r="BC374" s="34">
        <f>AG374+AN374+AU374</f>
        <v/>
      </c>
      <c r="BD374" s="34">
        <f>MAX(F374:G374,750)*0.05*BC374</f>
        <v/>
      </c>
      <c r="BE374" s="34">
        <f>F374*AY374</f>
        <v/>
      </c>
      <c r="BF374" s="34">
        <f>K374-M374</f>
        <v/>
      </c>
      <c r="BG374" s="34">
        <f>P374-S374</f>
        <v/>
      </c>
      <c r="BH374" s="34">
        <f>W374-AA374</f>
        <v/>
      </c>
      <c r="BI374" s="34">
        <f>BF374+BG374+BL374-BN374</f>
        <v/>
      </c>
      <c r="BJ374" s="34">
        <f>ABS(BK374)</f>
        <v/>
      </c>
      <c r="BK374" s="34">
        <f>AY374-(J374-L374+N374-Q374)</f>
        <v/>
      </c>
      <c r="BL374" s="34">
        <f>IF(AND(BK374&gt;0,MIN($F374:$G374)&lt;150,$E374="Enerji Açığı"),-100*BK374*1.03,IF(AND(BK374&gt;0,MIN($F374:$G374)&lt;150,$E374="Enerji Fazlası"),-100*BK374*1.06,IF(AND(BK374&gt;0,MIN($F374:$G374)&gt;=150,$E374="Enerji Açığı"),BK374*MIN($F374:$G374)*0.97,IF(AND(BK374&gt;0,MIN($F374:$G374)&gt;=150,$E374="Enerji Fazlası"),BK374*MIN($F374:$G374)*0.94,IF(AND(BK374&lt;0,MAX($F374:$G374)=4500,$E374="Enerji Açığı"),4500*1.05*1.06*BK374,IF(AND(BK374&lt;0,MAX($F374:$G374)=4500,$E374="Enerji Fazlası"),4500*1.05*1.03*BK374,IF(AND(BK374&lt;0,$E374="Enerji Açığı"),MAX($F374,$G374,150)*BK374*1.06,IF(AND(BK374&lt;0,$E374="Enerji Fazlası"),MAX($F374,$G374,150)*BK374*1.03,IF(AND(BK374&lt;0,$E374="Dengede"),MAX($F374:$G374,150)*1.03*BK374,MIN($F374:$G374)*0.97*BK374)))))))))</f>
        <v/>
      </c>
      <c r="BM374" s="34">
        <f>BE374-BI374-BN374</f>
        <v/>
      </c>
      <c r="BN374" s="34">
        <f>BB374</f>
        <v/>
      </c>
      <c r="BO374" s="34">
        <f>BE374-BI374</f>
        <v/>
      </c>
      <c r="BP374" s="34">
        <f>IF(AY374=0,0,BO374/AY374)</f>
        <v/>
      </c>
      <c r="BQ374" s="34">
        <f>MAX((AY374+MAX((-J374+L374-N374+Q374),0)),(MAX((J374-L374+N374-Q374),0)))</f>
        <v/>
      </c>
      <c r="BR374" s="82">
        <f>IFERROR(ABS(BK374/BQ374),0)</f>
        <v/>
      </c>
      <c r="BS374" s="34">
        <f>IF(BR374&lt;=0.1,0,BK374/BR374*(BR374-0.1))</f>
        <v/>
      </c>
      <c r="BT374" s="34">
        <f>IF((BS374)&lt;0,MAX(F374:G374)*(BS374)*1.03,MIN(F374:G374)*(BS374)*0.97)</f>
        <v/>
      </c>
      <c r="BU374" s="34">
        <f>IF(BR374&gt;0.1,1,0)</f>
        <v/>
      </c>
      <c r="BV374" s="34">
        <f>BF374+BG374+BH374+BY374-CA374</f>
        <v/>
      </c>
      <c r="BW374" s="34">
        <f>ABS(BX374)</f>
        <v/>
      </c>
      <c r="BX374" s="34">
        <f>AY374-(J374-L374+N374-Q374+T374-X374)</f>
        <v/>
      </c>
      <c r="BY374" s="34">
        <f>IF(AND(BX374&gt;0,MIN($F374:$G374)&lt;150,$E374="Enerji Açığı"),-100*BX374*1.03,IF(AND(BX374&gt;0,MIN($F374:$G374)&lt;150,$E374="Enerji Fazlası"),-100*BX374*1.06,IF(AND(BX374&gt;0,MIN($F374:$G374)&gt;=150,$E374="Enerji Açığı"),BX374*MIN($F374:$G374)*0.97,IF(AND(BX374&gt;0,MIN($F374:$G374)&gt;=150,$E374="Enerji Fazlası"),BX374*MIN($F374:$G374)*0.94,IF(AND(BX374&lt;0,MAX($F374:$G374)=4500,$E374="Enerji Açığı"),4500*1.05*1.06*BX374,IF(AND(BX374&lt;0,MAX($F374:$G374)=4500,$E374="Enerji Fazlası"),4500*1.05*1.03*BX374,IF(AND(BX374&lt;0,$E374="Enerji Açığı"),MAX($F374,$G374,150)*BX374*1.06,IF(AND(BX374&lt;0,$E374="Enerji Fazlası"),MAX($F374,$G374,150)*BX374*1.03,IF(AND(BX374&lt;0,$E374="Dengede"),MAX($F374:$G374,150)*1.03*BX374,MIN($F374:$G374)*0.97*BX374)))))))))</f>
        <v/>
      </c>
      <c r="BZ374" s="34">
        <f>BE374-BV374-CA374</f>
        <v/>
      </c>
      <c r="CA374" s="34">
        <f>BD374</f>
        <v/>
      </c>
      <c r="CB374" s="33">
        <f>BE374-BV374</f>
        <v/>
      </c>
      <c r="CC374" s="34">
        <f>IF(AY374=0,0,CB374/AY374)</f>
        <v/>
      </c>
      <c r="CD374" s="34">
        <f>MAX((AY374+MAX((-J374+L374-N374+Q374-T374+X374),0)),(MAX((J374-L374+N374-Q374+T374-X374),0)))</f>
        <v/>
      </c>
      <c r="CE374" s="82">
        <f>IFERROR(ABS(BX374/CD374),0)</f>
        <v/>
      </c>
      <c r="CF374" s="34">
        <f>IF(CE374&lt;=0.1,0,BX374/CE374*(CE374-0.1))</f>
        <v/>
      </c>
      <c r="CG374" s="34">
        <f>IF((CF374)&lt;0,MAX(F374:G374)*(CF374)*1.03,MIN(F374:G374)*(CF374)*0.97)</f>
        <v/>
      </c>
      <c r="CH374" s="34">
        <f>IF(CE374&gt;0.1,1,0)</f>
        <v/>
      </c>
      <c r="CI374" s="34">
        <f>(F374*BX374)-BY374</f>
        <v/>
      </c>
      <c r="CJ374" s="34">
        <f>IF(AY374=0,0,CI374/AY374)</f>
        <v/>
      </c>
    </row>
    <row r="375">
      <c r="A375" s="29">
        <f>[1]FİYATLAR!A350</f>
        <v/>
      </c>
      <c r="B375" s="29">
        <f>[1]FİYATLAR!B350</f>
        <v/>
      </c>
      <c r="C375" s="35">
        <f>INT(A375)</f>
        <v/>
      </c>
      <c r="D375" s="36">
        <f>MONTH(A375)</f>
        <v/>
      </c>
      <c r="E375" s="147">
        <f>[1]FİYATLAR!G350</f>
        <v/>
      </c>
      <c r="F375" s="30">
        <f>[1]FİYATLAR!C350</f>
        <v/>
      </c>
      <c r="G375" s="30">
        <f>[1]FİYATLAR!E350</f>
        <v/>
      </c>
      <c r="H375" s="30">
        <f>[1]FİYATLAR!D350</f>
        <v/>
      </c>
      <c r="I375" s="30">
        <f>[1]FİYATLAR!F350</f>
        <v/>
      </c>
      <c r="J375" s="119" t="n">
        <v>0</v>
      </c>
      <c r="K375" s="34">
        <f>F375*J375</f>
        <v/>
      </c>
      <c r="L375" s="119" t="n"/>
      <c r="M375" s="34">
        <f>L375*F375</f>
        <v/>
      </c>
      <c r="N375" s="119" t="n"/>
      <c r="O375" s="34">
        <f>F375</f>
        <v/>
      </c>
      <c r="P375" s="34">
        <f>N375*O375</f>
        <v/>
      </c>
      <c r="Q375" s="117" t="n">
        <v>0</v>
      </c>
      <c r="R375" s="34">
        <f>F375</f>
        <v/>
      </c>
      <c r="S375" s="34">
        <f>R375*Q375</f>
        <v/>
      </c>
      <c r="T375" s="34">
        <f>SUMIFS('[1]GİP VERİLERİ'!$C:$C,'[1]GİP VERİLERİ'!$B:$B,A375,'[1]GİP VERİLERİ'!$M:$M,"40X000000104782K",'[1]GİP VERİLERİ'!$G:$G,"SELL")</f>
        <v/>
      </c>
      <c r="U375" s="34">
        <f>IFERROR(W375/T375,0)</f>
        <v/>
      </c>
      <c r="V375" s="34">
        <f>IF(U375=0,0,U375-F375)</f>
        <v/>
      </c>
      <c r="W375" s="34">
        <f>SUMIFS('[1]GİP VERİLERİ'!$O:$O,'[1]GİP VERİLERİ'!$B:$B,A375,'[1]GİP VERİLERİ'!$M:$M,"40X000000104782K",'[1]GİP VERİLERİ'!$G:$G,"SELL")</f>
        <v/>
      </c>
      <c r="X375" s="34">
        <f>SUMIFS('[1]GİP VERİLERİ'!$C:$C,'[1]GİP VERİLERİ'!$B:$B,A375,'[1]GİP VERİLERİ'!$M:$M,"40X000000104782K",'[1]GİP VERİLERİ'!$G:$G,"BUY")</f>
        <v/>
      </c>
      <c r="Y375" s="34">
        <f>IFERROR(AA375/X375,0)</f>
        <v/>
      </c>
      <c r="Z375" s="34">
        <f>IF(Y375=0,0,F375-Y375)</f>
        <v/>
      </c>
      <c r="AA375" s="34">
        <f>SUMIFS('[1]GİP VERİLERİ'!$O:$O,'[1]GİP VERİLERİ'!$B:$B,A375,'[1]GİP VERİLERİ'!$M:$M,"40X000000104782K",'[1]GİP VERİLERİ'!$G:$G,"BUY")</f>
        <v/>
      </c>
      <c r="AB375" s="34">
        <f>'[1]GÖP VERİLERİ'!H376</f>
        <v/>
      </c>
      <c r="AC375" s="34">
        <f>'[1]GÖP VERİLERİ'!I376</f>
        <v/>
      </c>
      <c r="AD375" s="34">
        <f>IF(AB375&gt;AC375*1.05,AB375-AC375*1.05,IF(AB375&lt;AC375*0.95,AC375*0.95-AB375,0))</f>
        <v/>
      </c>
      <c r="AE375" s="34">
        <f>MAX(F375,G375,750)*0.05*AD375</f>
        <v/>
      </c>
      <c r="AF375" s="34">
        <f>'[1]GÖP VERİLERİ'!J376</f>
        <v/>
      </c>
      <c r="AG375" s="34">
        <f>IF(AB375&gt;AF375*1.05,AB375-AF375*1.05,IF(AB375&lt;AF375*0.95,AF375*0.95-AB375,0))</f>
        <v/>
      </c>
      <c r="AH375" s="34">
        <f>MAX(I375,J375,750)*0.05*AG375</f>
        <v/>
      </c>
      <c r="AI375">
        <f>'[1]GÖP VERİLERİ'!E376</f>
        <v/>
      </c>
      <c r="AJ375">
        <f>'[1]GÖP VERİLERİ'!F376</f>
        <v/>
      </c>
      <c r="AK375" s="34">
        <f>IF(AI375&gt;AJ375*1.05,AI375-AJ375*1.05,IF(AI375&lt;AJ375*0.95,AJ375*0.95-AI375,0))</f>
        <v/>
      </c>
      <c r="AL375" s="34">
        <f>MAX(F375,G375,750)*0.05*AK375</f>
        <v/>
      </c>
      <c r="AM375" s="39">
        <f>'[1]GÖP VERİLERİ'!G376</f>
        <v/>
      </c>
      <c r="AN375" s="34">
        <f>IF(AI375&gt;AM375*1.05,AI375-AM375*1.05,IF(AI375&lt;AM375*0.95,AM375*0.95-AI375,0))</f>
        <v/>
      </c>
      <c r="AO375" s="34">
        <f>MAX(F375,G375,750)*0.05*AN375</f>
        <v/>
      </c>
      <c r="AP375" s="34">
        <f>'[1]GÖP VERİLERİ'!B376</f>
        <v/>
      </c>
      <c r="AQ375" s="34">
        <f>'[1]GÖP VERİLERİ'!C376</f>
        <v/>
      </c>
      <c r="AR375" s="34">
        <f>IF(AP375&gt;AQ375*1.05,AP375-AQ375*1.05,IF(AP375&lt;AQ375*0.95,AQ375*0.95-AP375,0))</f>
        <v/>
      </c>
      <c r="AS375" s="34">
        <f>MAX(F375:G375,750)*0.05*AR375</f>
        <v/>
      </c>
      <c r="AT375">
        <f>'[1]GÖP VERİLERİ'!D376</f>
        <v/>
      </c>
      <c r="AU375" s="34">
        <f>IF(AP375&gt;AT375*1.05,AP375-AT375*1.05,IF(AP375&lt;AT375*0.95,AT375*0.95-AP375,0))</f>
        <v/>
      </c>
      <c r="AV375" s="34">
        <f>MAX(F375:G375,750)*0.05*AU375</f>
        <v/>
      </c>
      <c r="AW375" s="34">
        <f>AC375+AJ375+AQ375</f>
        <v/>
      </c>
      <c r="AX375" s="34">
        <f>AF375+AM375+AT375</f>
        <v/>
      </c>
      <c r="AY375" s="34">
        <f>AB375+AI375+AP375</f>
        <v/>
      </c>
      <c r="AZ375" s="34" t="n">
        <v>0</v>
      </c>
      <c r="BA375" s="34">
        <f>AD375+AK375+AR375</f>
        <v/>
      </c>
      <c r="BB375" s="34">
        <f>MAX(F375:G375,750)*0.05*BA375</f>
        <v/>
      </c>
      <c r="BC375" s="34">
        <f>AG375+AN375+AU375</f>
        <v/>
      </c>
      <c r="BD375" s="34">
        <f>MAX(F375:G375,750)*0.05*BC375</f>
        <v/>
      </c>
      <c r="BE375" s="34">
        <f>F375*AY375</f>
        <v/>
      </c>
      <c r="BF375" s="34">
        <f>K375-M375</f>
        <v/>
      </c>
      <c r="BG375" s="34">
        <f>P375-S375</f>
        <v/>
      </c>
      <c r="BH375" s="34">
        <f>W375-AA375</f>
        <v/>
      </c>
      <c r="BI375" s="34">
        <f>BF375+BG375+BL375-BN375</f>
        <v/>
      </c>
      <c r="BJ375" s="34">
        <f>ABS(BK375)</f>
        <v/>
      </c>
      <c r="BK375" s="34">
        <f>AY375-(J375-L375+N375-Q375)</f>
        <v/>
      </c>
      <c r="BL375" s="34">
        <f>IF(AND(BK375&gt;0,MIN($F375:$G375)&lt;150,$E375="Enerji Açığı"),-100*BK375*1.03,IF(AND(BK375&gt;0,MIN($F375:$G375)&lt;150,$E375="Enerji Fazlası"),-100*BK375*1.06,IF(AND(BK375&gt;0,MIN($F375:$G375)&gt;=150,$E375="Enerji Açığı"),BK375*MIN($F375:$G375)*0.97,IF(AND(BK375&gt;0,MIN($F375:$G375)&gt;=150,$E375="Enerji Fazlası"),BK375*MIN($F375:$G375)*0.94,IF(AND(BK375&lt;0,MAX($F375:$G375)=4500,$E375="Enerji Açığı"),4500*1.05*1.06*BK375,IF(AND(BK375&lt;0,MAX($F375:$G375)=4500,$E375="Enerji Fazlası"),4500*1.05*1.03*BK375,IF(AND(BK375&lt;0,$E375="Enerji Açığı"),MAX($F375,$G375,150)*BK375*1.06,IF(AND(BK375&lt;0,$E375="Enerji Fazlası"),MAX($F375,$G375,150)*BK375*1.03,IF(AND(BK375&lt;0,$E375="Dengede"),MAX($F375:$G375,150)*1.03*BK375,MIN($F375:$G375)*0.97*BK375)))))))))</f>
        <v/>
      </c>
      <c r="BM375" s="34">
        <f>BE375-BI375-BN375</f>
        <v/>
      </c>
      <c r="BN375" s="34">
        <f>BB375</f>
        <v/>
      </c>
      <c r="BO375" s="34">
        <f>BE375-BI375</f>
        <v/>
      </c>
      <c r="BP375" s="34">
        <f>IF(AY375=0,0,BO375/AY375)</f>
        <v/>
      </c>
      <c r="BQ375" s="34">
        <f>MAX((AY375+MAX((-J375+L375-N375+Q375),0)),(MAX((J375-L375+N375-Q375),0)))</f>
        <v/>
      </c>
      <c r="BR375" s="82">
        <f>IFERROR(ABS(BK375/BQ375),0)</f>
        <v/>
      </c>
      <c r="BS375" s="34">
        <f>IF(BR375&lt;=0.1,0,BK375/BR375*(BR375-0.1))</f>
        <v/>
      </c>
      <c r="BT375" s="34">
        <f>IF((BS375)&lt;0,MAX(F375:G375)*(BS375)*1.03,MIN(F375:G375)*(BS375)*0.97)</f>
        <v/>
      </c>
      <c r="BU375" s="34">
        <f>IF(BR375&gt;0.1,1,0)</f>
        <v/>
      </c>
      <c r="BV375" s="34">
        <f>BF375+BG375+BH375+BY375-CA375</f>
        <v/>
      </c>
      <c r="BW375" s="34">
        <f>ABS(BX375)</f>
        <v/>
      </c>
      <c r="BX375" s="34">
        <f>AY375-(J375-L375+N375-Q375+T375-X375)</f>
        <v/>
      </c>
      <c r="BY375" s="34">
        <f>IF(AND(BX375&gt;0,MIN($F375:$G375)&lt;150,$E375="Enerji Açığı"),-100*BX375*1.03,IF(AND(BX375&gt;0,MIN($F375:$G375)&lt;150,$E375="Enerji Fazlası"),-100*BX375*1.06,IF(AND(BX375&gt;0,MIN($F375:$G375)&gt;=150,$E375="Enerji Açığı"),BX375*MIN($F375:$G375)*0.97,IF(AND(BX375&gt;0,MIN($F375:$G375)&gt;=150,$E375="Enerji Fazlası"),BX375*MIN($F375:$G375)*0.94,IF(AND(BX375&lt;0,MAX($F375:$G375)=4500,$E375="Enerji Açığı"),4500*1.05*1.06*BX375,IF(AND(BX375&lt;0,MAX($F375:$G375)=4500,$E375="Enerji Fazlası"),4500*1.05*1.03*BX375,IF(AND(BX375&lt;0,$E375="Enerji Açığı"),MAX($F375,$G375,150)*BX375*1.06,IF(AND(BX375&lt;0,$E375="Enerji Fazlası"),MAX($F375,$G375,150)*BX375*1.03,IF(AND(BX375&lt;0,$E375="Dengede"),MAX($F375:$G375,150)*1.03*BX375,MIN($F375:$G375)*0.97*BX375)))))))))</f>
        <v/>
      </c>
      <c r="BZ375" s="34">
        <f>BE375-BV375-CA375</f>
        <v/>
      </c>
      <c r="CA375" s="34">
        <f>BD375</f>
        <v/>
      </c>
      <c r="CB375" s="33">
        <f>BE375-BV375</f>
        <v/>
      </c>
      <c r="CC375" s="34">
        <f>IF(AY375=0,0,CB375/AY375)</f>
        <v/>
      </c>
      <c r="CD375" s="34">
        <f>MAX((AY375+MAX((-J375+L375-N375+Q375-T375+X375),0)),(MAX((J375-L375+N375-Q375+T375-X375),0)))</f>
        <v/>
      </c>
      <c r="CE375" s="82">
        <f>IFERROR(ABS(BX375/CD375),0)</f>
        <v/>
      </c>
      <c r="CF375" s="34">
        <f>IF(CE375&lt;=0.1,0,BX375/CE375*(CE375-0.1))</f>
        <v/>
      </c>
      <c r="CG375" s="34">
        <f>IF((CF375)&lt;0,MAX(F375:G375)*(CF375)*1.03,MIN(F375:G375)*(CF375)*0.97)</f>
        <v/>
      </c>
      <c r="CH375" s="34">
        <f>IF(CE375&gt;0.1,1,0)</f>
        <v/>
      </c>
      <c r="CI375" s="34">
        <f>(F375*BX375)-BY375</f>
        <v/>
      </c>
      <c r="CJ375" s="34">
        <f>IF(AY375=0,0,CI375/AY375)</f>
        <v/>
      </c>
    </row>
    <row r="376">
      <c r="A376" s="29">
        <f>[1]FİYATLAR!A351</f>
        <v/>
      </c>
      <c r="B376" s="29">
        <f>[1]FİYATLAR!B351</f>
        <v/>
      </c>
      <c r="C376" s="35">
        <f>INT(A376)</f>
        <v/>
      </c>
      <c r="D376" s="36">
        <f>MONTH(A376)</f>
        <v/>
      </c>
      <c r="E376" s="147">
        <f>[1]FİYATLAR!G351</f>
        <v/>
      </c>
      <c r="F376" s="30">
        <f>[1]FİYATLAR!C351</f>
        <v/>
      </c>
      <c r="G376" s="30">
        <f>[1]FİYATLAR!E351</f>
        <v/>
      </c>
      <c r="H376" s="30">
        <f>[1]FİYATLAR!D351</f>
        <v/>
      </c>
      <c r="I376" s="30">
        <f>[1]FİYATLAR!F351</f>
        <v/>
      </c>
      <c r="J376" s="119" t="n">
        <v>0</v>
      </c>
      <c r="K376" s="34">
        <f>F376*J376</f>
        <v/>
      </c>
      <c r="L376" s="119" t="n"/>
      <c r="M376" s="34">
        <f>L376*F376</f>
        <v/>
      </c>
      <c r="N376" s="119" t="n"/>
      <c r="O376" s="34">
        <f>F376</f>
        <v/>
      </c>
      <c r="P376" s="34">
        <f>N376*O376</f>
        <v/>
      </c>
      <c r="Q376" s="117" t="n">
        <v>0</v>
      </c>
      <c r="R376" s="34">
        <f>F376</f>
        <v/>
      </c>
      <c r="S376" s="34">
        <f>R376*Q376</f>
        <v/>
      </c>
      <c r="T376" s="34">
        <f>SUMIFS('[1]GİP VERİLERİ'!$C:$C,'[1]GİP VERİLERİ'!$B:$B,A376,'[1]GİP VERİLERİ'!$M:$M,"40X000000104782K",'[1]GİP VERİLERİ'!$G:$G,"SELL")</f>
        <v/>
      </c>
      <c r="U376" s="34">
        <f>IFERROR(W376/T376,0)</f>
        <v/>
      </c>
      <c r="V376" s="34">
        <f>IF(U376=0,0,U376-F376)</f>
        <v/>
      </c>
      <c r="W376" s="34">
        <f>SUMIFS('[1]GİP VERİLERİ'!$O:$O,'[1]GİP VERİLERİ'!$B:$B,A376,'[1]GİP VERİLERİ'!$M:$M,"40X000000104782K",'[1]GİP VERİLERİ'!$G:$G,"SELL")</f>
        <v/>
      </c>
      <c r="X376" s="34">
        <f>SUMIFS('[1]GİP VERİLERİ'!$C:$C,'[1]GİP VERİLERİ'!$B:$B,A376,'[1]GİP VERİLERİ'!$M:$M,"40X000000104782K",'[1]GİP VERİLERİ'!$G:$G,"BUY")</f>
        <v/>
      </c>
      <c r="Y376" s="34">
        <f>IFERROR(AA376/X376,0)</f>
        <v/>
      </c>
      <c r="Z376" s="34">
        <f>IF(Y376=0,0,F376-Y376)</f>
        <v/>
      </c>
      <c r="AA376" s="34">
        <f>SUMIFS('[1]GİP VERİLERİ'!$O:$O,'[1]GİP VERİLERİ'!$B:$B,A376,'[1]GİP VERİLERİ'!$M:$M,"40X000000104782K",'[1]GİP VERİLERİ'!$G:$G,"BUY")</f>
        <v/>
      </c>
      <c r="AB376" s="34">
        <f>'[1]GÖP VERİLERİ'!H377</f>
        <v/>
      </c>
      <c r="AC376" s="34">
        <f>'[1]GÖP VERİLERİ'!I377</f>
        <v/>
      </c>
      <c r="AD376" s="34">
        <f>IF(AB376&gt;AC376*1.05,AB376-AC376*1.05,IF(AB376&lt;AC376*0.95,AC376*0.95-AB376,0))</f>
        <v/>
      </c>
      <c r="AE376" s="34">
        <f>MAX(F376,G376,750)*0.05*AD376</f>
        <v/>
      </c>
      <c r="AF376" s="34">
        <f>'[1]GÖP VERİLERİ'!J377</f>
        <v/>
      </c>
      <c r="AG376" s="34">
        <f>IF(AB376&gt;AF376*1.05,AB376-AF376*1.05,IF(AB376&lt;AF376*0.95,AF376*0.95-AB376,0))</f>
        <v/>
      </c>
      <c r="AH376" s="34">
        <f>MAX(I376,J376,750)*0.05*AG376</f>
        <v/>
      </c>
      <c r="AI376">
        <f>'[1]GÖP VERİLERİ'!E377</f>
        <v/>
      </c>
      <c r="AJ376">
        <f>'[1]GÖP VERİLERİ'!F377</f>
        <v/>
      </c>
      <c r="AK376" s="34">
        <f>IF(AI376&gt;AJ376*1.05,AI376-AJ376*1.05,IF(AI376&lt;AJ376*0.95,AJ376*0.95-AI376,0))</f>
        <v/>
      </c>
      <c r="AL376" s="34">
        <f>MAX(F376,G376,750)*0.05*AK376</f>
        <v/>
      </c>
      <c r="AM376" s="39">
        <f>'[1]GÖP VERİLERİ'!G377</f>
        <v/>
      </c>
      <c r="AN376" s="34">
        <f>IF(AI376&gt;AM376*1.05,AI376-AM376*1.05,IF(AI376&lt;AM376*0.95,AM376*0.95-AI376,0))</f>
        <v/>
      </c>
      <c r="AO376" s="34">
        <f>MAX(F376,G376,750)*0.05*AN376</f>
        <v/>
      </c>
      <c r="AP376" s="34">
        <f>'[1]GÖP VERİLERİ'!B377</f>
        <v/>
      </c>
      <c r="AQ376" s="34">
        <f>'[1]GÖP VERİLERİ'!C377</f>
        <v/>
      </c>
      <c r="AR376" s="34">
        <f>IF(AP376&gt;AQ376*1.05,AP376-AQ376*1.05,IF(AP376&lt;AQ376*0.95,AQ376*0.95-AP376,0))</f>
        <v/>
      </c>
      <c r="AS376" s="34">
        <f>MAX(F376:G376,750)*0.05*AR376</f>
        <v/>
      </c>
      <c r="AT376">
        <f>'[1]GÖP VERİLERİ'!D377</f>
        <v/>
      </c>
      <c r="AU376" s="34">
        <f>IF(AP376&gt;AT376*1.05,AP376-AT376*1.05,IF(AP376&lt;AT376*0.95,AT376*0.95-AP376,0))</f>
        <v/>
      </c>
      <c r="AV376" s="34">
        <f>MAX(F376:G376,750)*0.05*AU376</f>
        <v/>
      </c>
      <c r="AW376" s="34">
        <f>AC376+AJ376+AQ376</f>
        <v/>
      </c>
      <c r="AX376" s="34">
        <f>AF376+AM376+AT376</f>
        <v/>
      </c>
      <c r="AY376" s="34">
        <f>AB376+AI376+AP376</f>
        <v/>
      </c>
      <c r="AZ376" s="34" t="n">
        <v>0</v>
      </c>
      <c r="BA376" s="34">
        <f>AD376+AK376+AR376</f>
        <v/>
      </c>
      <c r="BB376" s="34">
        <f>MAX(F376:G376,750)*0.05*BA376</f>
        <v/>
      </c>
      <c r="BC376" s="34">
        <f>AG376+AN376+AU376</f>
        <v/>
      </c>
      <c r="BD376" s="34">
        <f>MAX(F376:G376,750)*0.05*BC376</f>
        <v/>
      </c>
      <c r="BE376" s="34">
        <f>F376*AY376</f>
        <v/>
      </c>
      <c r="BF376" s="34">
        <f>K376-M376</f>
        <v/>
      </c>
      <c r="BG376" s="34">
        <f>P376-S376</f>
        <v/>
      </c>
      <c r="BH376" s="34">
        <f>W376-AA376</f>
        <v/>
      </c>
      <c r="BI376" s="34">
        <f>BF376+BG376+BL376-BN376</f>
        <v/>
      </c>
      <c r="BJ376" s="34">
        <f>ABS(BK376)</f>
        <v/>
      </c>
      <c r="BK376" s="34">
        <f>AY376-(J376-L376+N376-Q376)</f>
        <v/>
      </c>
      <c r="BL376" s="34">
        <f>IF(AND(BK376&gt;0,MIN($F376:$G376)&lt;150,$E376="Enerji Açığı"),-100*BK376*1.03,IF(AND(BK376&gt;0,MIN($F376:$G376)&lt;150,$E376="Enerji Fazlası"),-100*BK376*1.06,IF(AND(BK376&gt;0,MIN($F376:$G376)&gt;=150,$E376="Enerji Açığı"),BK376*MIN($F376:$G376)*0.97,IF(AND(BK376&gt;0,MIN($F376:$G376)&gt;=150,$E376="Enerji Fazlası"),BK376*MIN($F376:$G376)*0.94,IF(AND(BK376&lt;0,MAX($F376:$G376)=4500,$E376="Enerji Açığı"),4500*1.05*1.06*BK376,IF(AND(BK376&lt;0,MAX($F376:$G376)=4500,$E376="Enerji Fazlası"),4500*1.05*1.03*BK376,IF(AND(BK376&lt;0,$E376="Enerji Açığı"),MAX($F376,$G376,150)*BK376*1.06,IF(AND(BK376&lt;0,$E376="Enerji Fazlası"),MAX($F376,$G376,150)*BK376*1.03,IF(AND(BK376&lt;0,$E376="Dengede"),MAX($F376:$G376,150)*1.03*BK376,MIN($F376:$G376)*0.97*BK376)))))))))</f>
        <v/>
      </c>
      <c r="BM376" s="34">
        <f>BE376-BI376-BN376</f>
        <v/>
      </c>
      <c r="BN376" s="34">
        <f>BB376</f>
        <v/>
      </c>
      <c r="BO376" s="34">
        <f>BE376-BI376</f>
        <v/>
      </c>
      <c r="BP376" s="34">
        <f>IF(AY376=0,0,BO376/AY376)</f>
        <v/>
      </c>
      <c r="BQ376" s="34">
        <f>MAX((AY376+MAX((-J376+L376-N376+Q376),0)),(MAX((J376-L376+N376-Q376),0)))</f>
        <v/>
      </c>
      <c r="BR376" s="82">
        <f>IFERROR(ABS(BK376/BQ376),0)</f>
        <v/>
      </c>
      <c r="BS376" s="34">
        <f>IF(BR376&lt;=0.1,0,BK376/BR376*(BR376-0.1))</f>
        <v/>
      </c>
      <c r="BT376" s="34">
        <f>IF((BS376)&lt;0,MAX(F376:G376)*(BS376)*1.03,MIN(F376:G376)*(BS376)*0.97)</f>
        <v/>
      </c>
      <c r="BU376" s="34">
        <f>IF(BR376&gt;0.1,1,0)</f>
        <v/>
      </c>
      <c r="BV376" s="34">
        <f>BF376+BG376+BH376+BY376-CA376</f>
        <v/>
      </c>
      <c r="BW376" s="34">
        <f>ABS(BX376)</f>
        <v/>
      </c>
      <c r="BX376" s="34">
        <f>AY376-(J376-L376+N376-Q376+T376-X376)</f>
        <v/>
      </c>
      <c r="BY376" s="34">
        <f>IF(AND(BX376&gt;0,MIN($F376:$G376)&lt;150,$E376="Enerji Açığı"),-100*BX376*1.03,IF(AND(BX376&gt;0,MIN($F376:$G376)&lt;150,$E376="Enerji Fazlası"),-100*BX376*1.06,IF(AND(BX376&gt;0,MIN($F376:$G376)&gt;=150,$E376="Enerji Açığı"),BX376*MIN($F376:$G376)*0.97,IF(AND(BX376&gt;0,MIN($F376:$G376)&gt;=150,$E376="Enerji Fazlası"),BX376*MIN($F376:$G376)*0.94,IF(AND(BX376&lt;0,MAX($F376:$G376)=4500,$E376="Enerji Açığı"),4500*1.05*1.06*BX376,IF(AND(BX376&lt;0,MAX($F376:$G376)=4500,$E376="Enerji Fazlası"),4500*1.05*1.03*BX376,IF(AND(BX376&lt;0,$E376="Enerji Açığı"),MAX($F376,$G376,150)*BX376*1.06,IF(AND(BX376&lt;0,$E376="Enerji Fazlası"),MAX($F376,$G376,150)*BX376*1.03,IF(AND(BX376&lt;0,$E376="Dengede"),MAX($F376:$G376,150)*1.03*BX376,MIN($F376:$G376)*0.97*BX376)))))))))</f>
        <v/>
      </c>
      <c r="BZ376" s="34">
        <f>BE376-BV376-CA376</f>
        <v/>
      </c>
      <c r="CA376" s="34">
        <f>BD376</f>
        <v/>
      </c>
      <c r="CB376" s="33">
        <f>BE376-BV376</f>
        <v/>
      </c>
      <c r="CC376" s="34">
        <f>IF(AY376=0,0,CB376/AY376)</f>
        <v/>
      </c>
      <c r="CD376" s="34">
        <f>MAX((AY376+MAX((-J376+L376-N376+Q376-T376+X376),0)),(MAX((J376-L376+N376-Q376+T376-X376),0)))</f>
        <v/>
      </c>
      <c r="CE376" s="82">
        <f>IFERROR(ABS(BX376/CD376),0)</f>
        <v/>
      </c>
      <c r="CF376" s="34">
        <f>IF(CE376&lt;=0.1,0,BX376/CE376*(CE376-0.1))</f>
        <v/>
      </c>
      <c r="CG376" s="34">
        <f>IF((CF376)&lt;0,MAX(F376:G376)*(CF376)*1.03,MIN(F376:G376)*(CF376)*0.97)</f>
        <v/>
      </c>
      <c r="CH376" s="34">
        <f>IF(CE376&gt;0.1,1,0)</f>
        <v/>
      </c>
      <c r="CI376" s="34">
        <f>(F376*BX376)-BY376</f>
        <v/>
      </c>
      <c r="CJ376" s="34">
        <f>IF(AY376=0,0,CI376/AY376)</f>
        <v/>
      </c>
    </row>
    <row r="377">
      <c r="A377" s="29">
        <f>[1]FİYATLAR!A352</f>
        <v/>
      </c>
      <c r="B377" s="29">
        <f>[1]FİYATLAR!B352</f>
        <v/>
      </c>
      <c r="C377" s="35">
        <f>INT(A377)</f>
        <v/>
      </c>
      <c r="D377" s="36">
        <f>MONTH(A377)</f>
        <v/>
      </c>
      <c r="E377" s="147">
        <f>[1]FİYATLAR!G352</f>
        <v/>
      </c>
      <c r="F377" s="30">
        <f>[1]FİYATLAR!C352</f>
        <v/>
      </c>
      <c r="G377" s="30">
        <f>[1]FİYATLAR!E352</f>
        <v/>
      </c>
      <c r="H377" s="30">
        <f>[1]FİYATLAR!D352</f>
        <v/>
      </c>
      <c r="I377" s="30">
        <f>[1]FİYATLAR!F352</f>
        <v/>
      </c>
      <c r="J377" s="119" t="n">
        <v>0</v>
      </c>
      <c r="K377" s="34">
        <f>F377*J377</f>
        <v/>
      </c>
      <c r="L377" s="119" t="n"/>
      <c r="M377" s="34">
        <f>L377*F377</f>
        <v/>
      </c>
      <c r="N377" s="119" t="n"/>
      <c r="O377" s="34">
        <f>F377</f>
        <v/>
      </c>
      <c r="P377" s="34">
        <f>N377*O377</f>
        <v/>
      </c>
      <c r="Q377" s="117" t="n">
        <v>0</v>
      </c>
      <c r="R377" s="34">
        <f>F377</f>
        <v/>
      </c>
      <c r="S377" s="34">
        <f>R377*Q377</f>
        <v/>
      </c>
      <c r="T377" s="34">
        <f>SUMIFS('[1]GİP VERİLERİ'!$C:$C,'[1]GİP VERİLERİ'!$B:$B,A377,'[1]GİP VERİLERİ'!$M:$M,"40X000000104782K",'[1]GİP VERİLERİ'!$G:$G,"SELL")</f>
        <v/>
      </c>
      <c r="U377" s="34">
        <f>IFERROR(W377/T377,0)</f>
        <v/>
      </c>
      <c r="V377" s="34">
        <f>IF(U377=0,0,U377-F377)</f>
        <v/>
      </c>
      <c r="W377" s="34">
        <f>SUMIFS('[1]GİP VERİLERİ'!$O:$O,'[1]GİP VERİLERİ'!$B:$B,A377,'[1]GİP VERİLERİ'!$M:$M,"40X000000104782K",'[1]GİP VERİLERİ'!$G:$G,"SELL")</f>
        <v/>
      </c>
      <c r="X377" s="34">
        <f>SUMIFS('[1]GİP VERİLERİ'!$C:$C,'[1]GİP VERİLERİ'!$B:$B,A377,'[1]GİP VERİLERİ'!$M:$M,"40X000000104782K",'[1]GİP VERİLERİ'!$G:$G,"BUY")</f>
        <v/>
      </c>
      <c r="Y377" s="34">
        <f>IFERROR(AA377/X377,0)</f>
        <v/>
      </c>
      <c r="Z377" s="34">
        <f>IF(Y377=0,0,F377-Y377)</f>
        <v/>
      </c>
      <c r="AA377" s="34">
        <f>SUMIFS('[1]GİP VERİLERİ'!$O:$O,'[1]GİP VERİLERİ'!$B:$B,A377,'[1]GİP VERİLERİ'!$M:$M,"40X000000104782K",'[1]GİP VERİLERİ'!$G:$G,"BUY")</f>
        <v/>
      </c>
      <c r="AB377" s="34">
        <f>'[1]GÖP VERİLERİ'!H378</f>
        <v/>
      </c>
      <c r="AC377" s="34">
        <f>'[1]GÖP VERİLERİ'!I378</f>
        <v/>
      </c>
      <c r="AD377" s="34">
        <f>IF(AB377&gt;AC377*1.05,AB377-AC377*1.05,IF(AB377&lt;AC377*0.95,AC377*0.95-AB377,0))</f>
        <v/>
      </c>
      <c r="AE377" s="34">
        <f>MAX(F377,G377,750)*0.05*AD377</f>
        <v/>
      </c>
      <c r="AF377" s="34">
        <f>'[1]GÖP VERİLERİ'!J378</f>
        <v/>
      </c>
      <c r="AG377" s="34">
        <f>IF(AB377&gt;AF377*1.05,AB377-AF377*1.05,IF(AB377&lt;AF377*0.95,AF377*0.95-AB377,0))</f>
        <v/>
      </c>
      <c r="AH377" s="34">
        <f>MAX(I377,J377,750)*0.05*AG377</f>
        <v/>
      </c>
      <c r="AI377">
        <f>'[1]GÖP VERİLERİ'!E378</f>
        <v/>
      </c>
      <c r="AJ377">
        <f>'[1]GÖP VERİLERİ'!F378</f>
        <v/>
      </c>
      <c r="AK377" s="34">
        <f>IF(AI377&gt;AJ377*1.05,AI377-AJ377*1.05,IF(AI377&lt;AJ377*0.95,AJ377*0.95-AI377,0))</f>
        <v/>
      </c>
      <c r="AL377" s="34">
        <f>MAX(F377,G377,750)*0.05*AK377</f>
        <v/>
      </c>
      <c r="AM377" s="39">
        <f>'[1]GÖP VERİLERİ'!G378</f>
        <v/>
      </c>
      <c r="AN377" s="34">
        <f>IF(AI377&gt;AM377*1.05,AI377-AM377*1.05,IF(AI377&lt;AM377*0.95,AM377*0.95-AI377,0))</f>
        <v/>
      </c>
      <c r="AO377" s="34">
        <f>MAX(F377,G377,750)*0.05*AN377</f>
        <v/>
      </c>
      <c r="AP377" s="34">
        <f>'[1]GÖP VERİLERİ'!B378</f>
        <v/>
      </c>
      <c r="AQ377" s="34">
        <f>'[1]GÖP VERİLERİ'!C378</f>
        <v/>
      </c>
      <c r="AR377" s="34">
        <f>IF(AP377&gt;AQ377*1.05,AP377-AQ377*1.05,IF(AP377&lt;AQ377*0.95,AQ377*0.95-AP377,0))</f>
        <v/>
      </c>
      <c r="AS377" s="34">
        <f>MAX(F377:G377,750)*0.05*AR377</f>
        <v/>
      </c>
      <c r="AT377">
        <f>'[1]GÖP VERİLERİ'!D378</f>
        <v/>
      </c>
      <c r="AU377" s="34">
        <f>IF(AP377&gt;AT377*1.05,AP377-AT377*1.05,IF(AP377&lt;AT377*0.95,AT377*0.95-AP377,0))</f>
        <v/>
      </c>
      <c r="AV377" s="34">
        <f>MAX(F377:G377,750)*0.05*AU377</f>
        <v/>
      </c>
      <c r="AW377" s="34">
        <f>AC377+AJ377+AQ377</f>
        <v/>
      </c>
      <c r="AX377" s="34">
        <f>AF377+AM377+AT377</f>
        <v/>
      </c>
      <c r="AY377" s="34">
        <f>AB377+AI377+AP377</f>
        <v/>
      </c>
      <c r="AZ377" s="34" t="n">
        <v>0</v>
      </c>
      <c r="BA377" s="34">
        <f>AD377+AK377+AR377</f>
        <v/>
      </c>
      <c r="BB377" s="34">
        <f>MAX(F377:G377,750)*0.05*BA377</f>
        <v/>
      </c>
      <c r="BC377" s="34">
        <f>AG377+AN377+AU377</f>
        <v/>
      </c>
      <c r="BD377" s="34">
        <f>MAX(F377:G377,750)*0.05*BC377</f>
        <v/>
      </c>
      <c r="BE377" s="34">
        <f>F377*AY377</f>
        <v/>
      </c>
      <c r="BF377" s="34">
        <f>K377-M377</f>
        <v/>
      </c>
      <c r="BG377" s="34">
        <f>P377-S377</f>
        <v/>
      </c>
      <c r="BH377" s="34">
        <f>W377-AA377</f>
        <v/>
      </c>
      <c r="BI377" s="34">
        <f>BF377+BG377+BL377-BN377</f>
        <v/>
      </c>
      <c r="BJ377" s="34">
        <f>ABS(BK377)</f>
        <v/>
      </c>
      <c r="BK377" s="34">
        <f>AY377-(J377-L377+N377-Q377)</f>
        <v/>
      </c>
      <c r="BL377" s="34">
        <f>IF(AND(BK377&gt;0,MIN($F377:$G377)&lt;150,$E377="Enerji Açığı"),-100*BK377*1.03,IF(AND(BK377&gt;0,MIN($F377:$G377)&lt;150,$E377="Enerji Fazlası"),-100*BK377*1.06,IF(AND(BK377&gt;0,MIN($F377:$G377)&gt;=150,$E377="Enerji Açığı"),BK377*MIN($F377:$G377)*0.97,IF(AND(BK377&gt;0,MIN($F377:$G377)&gt;=150,$E377="Enerji Fazlası"),BK377*MIN($F377:$G377)*0.94,IF(AND(BK377&lt;0,MAX($F377:$G377)=4500,$E377="Enerji Açığı"),4500*1.05*1.06*BK377,IF(AND(BK377&lt;0,MAX($F377:$G377)=4500,$E377="Enerji Fazlası"),4500*1.05*1.03*BK377,IF(AND(BK377&lt;0,$E377="Enerji Açığı"),MAX($F377,$G377,150)*BK377*1.06,IF(AND(BK377&lt;0,$E377="Enerji Fazlası"),MAX($F377,$G377,150)*BK377*1.03,IF(AND(BK377&lt;0,$E377="Dengede"),MAX($F377:$G377,150)*1.03*BK377,MIN($F377:$G377)*0.97*BK377)))))))))</f>
        <v/>
      </c>
      <c r="BM377" s="34">
        <f>BE377-BI377-BN377</f>
        <v/>
      </c>
      <c r="BN377" s="34">
        <f>BB377</f>
        <v/>
      </c>
      <c r="BO377" s="34">
        <f>BE377-BI377</f>
        <v/>
      </c>
      <c r="BP377" s="34">
        <f>IF(AY377=0,0,BO377/AY377)</f>
        <v/>
      </c>
      <c r="BQ377" s="34">
        <f>MAX((AY377+MAX((-J377+L377-N377+Q377),0)),(MAX((J377-L377+N377-Q377),0)))</f>
        <v/>
      </c>
      <c r="BR377" s="82">
        <f>IFERROR(ABS(BK377/BQ377),0)</f>
        <v/>
      </c>
      <c r="BS377" s="34">
        <f>IF(BR377&lt;=0.1,0,BK377/BR377*(BR377-0.1))</f>
        <v/>
      </c>
      <c r="BT377" s="34">
        <f>IF((BS377)&lt;0,MAX(F377:G377)*(BS377)*1.03,MIN(F377:G377)*(BS377)*0.97)</f>
        <v/>
      </c>
      <c r="BU377" s="34">
        <f>IF(BR377&gt;0.1,1,0)</f>
        <v/>
      </c>
      <c r="BV377" s="34">
        <f>BF377+BG377+BH377+BY377-CA377</f>
        <v/>
      </c>
      <c r="BW377" s="34">
        <f>ABS(BX377)</f>
        <v/>
      </c>
      <c r="BX377" s="34">
        <f>AY377-(J377-L377+N377-Q377+T377-X377)</f>
        <v/>
      </c>
      <c r="BY377" s="34">
        <f>IF(AND(BX377&gt;0,MIN($F377:$G377)&lt;150,$E377="Enerji Açığı"),-100*BX377*1.03,IF(AND(BX377&gt;0,MIN($F377:$G377)&lt;150,$E377="Enerji Fazlası"),-100*BX377*1.06,IF(AND(BX377&gt;0,MIN($F377:$G377)&gt;=150,$E377="Enerji Açığı"),BX377*MIN($F377:$G377)*0.97,IF(AND(BX377&gt;0,MIN($F377:$G377)&gt;=150,$E377="Enerji Fazlası"),BX377*MIN($F377:$G377)*0.94,IF(AND(BX377&lt;0,MAX($F377:$G377)=4500,$E377="Enerji Açığı"),4500*1.05*1.06*BX377,IF(AND(BX377&lt;0,MAX($F377:$G377)=4500,$E377="Enerji Fazlası"),4500*1.05*1.03*BX377,IF(AND(BX377&lt;0,$E377="Enerji Açığı"),MAX($F377,$G377,150)*BX377*1.06,IF(AND(BX377&lt;0,$E377="Enerji Fazlası"),MAX($F377,$G377,150)*BX377*1.03,IF(AND(BX377&lt;0,$E377="Dengede"),MAX($F377:$G377,150)*1.03*BX377,MIN($F377:$G377)*0.97*BX377)))))))))</f>
        <v/>
      </c>
      <c r="BZ377" s="34">
        <f>BE377-BV377-CA377</f>
        <v/>
      </c>
      <c r="CA377" s="34">
        <f>BD377</f>
        <v/>
      </c>
      <c r="CB377" s="33">
        <f>BE377-BV377</f>
        <v/>
      </c>
      <c r="CC377" s="34">
        <f>IF(AY377=0,0,CB377/AY377)</f>
        <v/>
      </c>
      <c r="CD377" s="34">
        <f>MAX((AY377+MAX((-J377+L377-N377+Q377-T377+X377),0)),(MAX((J377-L377+N377-Q377+T377-X377),0)))</f>
        <v/>
      </c>
      <c r="CE377" s="82">
        <f>IFERROR(ABS(BX377/CD377),0)</f>
        <v/>
      </c>
      <c r="CF377" s="34">
        <f>IF(CE377&lt;=0.1,0,BX377/CE377*(CE377-0.1))</f>
        <v/>
      </c>
      <c r="CG377" s="34">
        <f>IF((CF377)&lt;0,MAX(F377:G377)*(CF377)*1.03,MIN(F377:G377)*(CF377)*0.97)</f>
        <v/>
      </c>
      <c r="CH377" s="34">
        <f>IF(CE377&gt;0.1,1,0)</f>
        <v/>
      </c>
      <c r="CI377" s="34">
        <f>(F377*BX377)-BY377</f>
        <v/>
      </c>
      <c r="CJ377" s="34">
        <f>IF(AY377=0,0,CI377/AY377)</f>
        <v/>
      </c>
    </row>
    <row r="378">
      <c r="A378" s="29">
        <f>[1]FİYATLAR!A353</f>
        <v/>
      </c>
      <c r="B378" s="29">
        <f>[1]FİYATLAR!B353</f>
        <v/>
      </c>
      <c r="C378" s="35">
        <f>INT(A378)</f>
        <v/>
      </c>
      <c r="D378" s="36">
        <f>MONTH(A378)</f>
        <v/>
      </c>
      <c r="E378" s="147">
        <f>[1]FİYATLAR!G353</f>
        <v/>
      </c>
      <c r="F378" s="30">
        <f>[1]FİYATLAR!C353</f>
        <v/>
      </c>
      <c r="G378" s="30">
        <f>[1]FİYATLAR!E353</f>
        <v/>
      </c>
      <c r="H378" s="30">
        <f>[1]FİYATLAR!D353</f>
        <v/>
      </c>
      <c r="I378" s="30">
        <f>[1]FİYATLAR!F353</f>
        <v/>
      </c>
      <c r="J378" s="119" t="n">
        <v>0</v>
      </c>
      <c r="K378" s="34">
        <f>F378*J378</f>
        <v/>
      </c>
      <c r="L378" s="119" t="n"/>
      <c r="M378" s="34">
        <f>L378*F378</f>
        <v/>
      </c>
      <c r="N378" s="119" t="n"/>
      <c r="O378" s="34">
        <f>F378</f>
        <v/>
      </c>
      <c r="P378" s="34">
        <f>N378*O378</f>
        <v/>
      </c>
      <c r="Q378" s="117" t="n">
        <v>0</v>
      </c>
      <c r="R378" s="34">
        <f>F378</f>
        <v/>
      </c>
      <c r="S378" s="34">
        <f>R378*Q378</f>
        <v/>
      </c>
      <c r="T378" s="34">
        <f>SUMIFS('[1]GİP VERİLERİ'!$C:$C,'[1]GİP VERİLERİ'!$B:$B,A378,'[1]GİP VERİLERİ'!$M:$M,"40X000000104782K",'[1]GİP VERİLERİ'!$G:$G,"SELL")</f>
        <v/>
      </c>
      <c r="U378" s="34">
        <f>IFERROR(W378/T378,0)</f>
        <v/>
      </c>
      <c r="V378" s="34">
        <f>IF(U378=0,0,U378-F378)</f>
        <v/>
      </c>
      <c r="W378" s="34">
        <f>SUMIFS('[1]GİP VERİLERİ'!$O:$O,'[1]GİP VERİLERİ'!$B:$B,A378,'[1]GİP VERİLERİ'!$M:$M,"40X000000104782K",'[1]GİP VERİLERİ'!$G:$G,"SELL")</f>
        <v/>
      </c>
      <c r="X378" s="34">
        <f>SUMIFS('[1]GİP VERİLERİ'!$C:$C,'[1]GİP VERİLERİ'!$B:$B,A378,'[1]GİP VERİLERİ'!$M:$M,"40X000000104782K",'[1]GİP VERİLERİ'!$G:$G,"BUY")</f>
        <v/>
      </c>
      <c r="Y378" s="34">
        <f>IFERROR(AA378/X378,0)</f>
        <v/>
      </c>
      <c r="Z378" s="34">
        <f>IF(Y378=0,0,F378-Y378)</f>
        <v/>
      </c>
      <c r="AA378" s="34">
        <f>SUMIFS('[1]GİP VERİLERİ'!$O:$O,'[1]GİP VERİLERİ'!$B:$B,A378,'[1]GİP VERİLERİ'!$M:$M,"40X000000104782K",'[1]GİP VERİLERİ'!$G:$G,"BUY")</f>
        <v/>
      </c>
      <c r="AB378" s="34">
        <f>'[1]GÖP VERİLERİ'!H379</f>
        <v/>
      </c>
      <c r="AC378" s="34">
        <f>'[1]GÖP VERİLERİ'!I379</f>
        <v/>
      </c>
      <c r="AD378" s="34">
        <f>IF(AB378&gt;AC378*1.05,AB378-AC378*1.05,IF(AB378&lt;AC378*0.95,AC378*0.95-AB378,0))</f>
        <v/>
      </c>
      <c r="AE378" s="34">
        <f>MAX(F378,G378,750)*0.05*AD378</f>
        <v/>
      </c>
      <c r="AF378" s="34">
        <f>'[1]GÖP VERİLERİ'!J379</f>
        <v/>
      </c>
      <c r="AG378" s="34">
        <f>IF(AB378&gt;AF378*1.05,AB378-AF378*1.05,IF(AB378&lt;AF378*0.95,AF378*0.95-AB378,0))</f>
        <v/>
      </c>
      <c r="AH378" s="34">
        <f>MAX(I378,J378,750)*0.05*AG378</f>
        <v/>
      </c>
      <c r="AI378">
        <f>'[1]GÖP VERİLERİ'!E379</f>
        <v/>
      </c>
      <c r="AJ378">
        <f>'[1]GÖP VERİLERİ'!F379</f>
        <v/>
      </c>
      <c r="AK378" s="34">
        <f>IF(AI378&gt;AJ378*1.05,AI378-AJ378*1.05,IF(AI378&lt;AJ378*0.95,AJ378*0.95-AI378,0))</f>
        <v/>
      </c>
      <c r="AL378" s="34">
        <f>MAX(F378,G378,750)*0.05*AK378</f>
        <v/>
      </c>
      <c r="AM378" s="39">
        <f>'[1]GÖP VERİLERİ'!G379</f>
        <v/>
      </c>
      <c r="AN378" s="34">
        <f>IF(AI378&gt;AM378*1.05,AI378-AM378*1.05,IF(AI378&lt;AM378*0.95,AM378*0.95-AI378,0))</f>
        <v/>
      </c>
      <c r="AO378" s="34">
        <f>MAX(F378,G378,750)*0.05*AN378</f>
        <v/>
      </c>
      <c r="AP378" s="34">
        <f>'[1]GÖP VERİLERİ'!B379</f>
        <v/>
      </c>
      <c r="AQ378" s="34">
        <f>'[1]GÖP VERİLERİ'!C379</f>
        <v/>
      </c>
      <c r="AR378" s="34">
        <f>IF(AP378&gt;AQ378*1.05,AP378-AQ378*1.05,IF(AP378&lt;AQ378*0.95,AQ378*0.95-AP378,0))</f>
        <v/>
      </c>
      <c r="AS378" s="34">
        <f>MAX(F378:G378,750)*0.05*AR378</f>
        <v/>
      </c>
      <c r="AT378">
        <f>'[1]GÖP VERİLERİ'!D379</f>
        <v/>
      </c>
      <c r="AU378" s="34">
        <f>IF(AP378&gt;AT378*1.05,AP378-AT378*1.05,IF(AP378&lt;AT378*0.95,AT378*0.95-AP378,0))</f>
        <v/>
      </c>
      <c r="AV378" s="34">
        <f>MAX(F378:G378,750)*0.05*AU378</f>
        <v/>
      </c>
      <c r="AW378" s="34">
        <f>AC378+AJ378+AQ378</f>
        <v/>
      </c>
      <c r="AX378" s="34">
        <f>AF378+AM378+AT378</f>
        <v/>
      </c>
      <c r="AY378" s="34">
        <f>AB378+AI378+AP378</f>
        <v/>
      </c>
      <c r="AZ378" s="34" t="n">
        <v>0</v>
      </c>
      <c r="BA378" s="34">
        <f>AD378+AK378+AR378</f>
        <v/>
      </c>
      <c r="BB378" s="34">
        <f>MAX(F378:G378,750)*0.05*BA378</f>
        <v/>
      </c>
      <c r="BC378" s="34">
        <f>AG378+AN378+AU378</f>
        <v/>
      </c>
      <c r="BD378" s="34">
        <f>MAX(F378:G378,750)*0.05*BC378</f>
        <v/>
      </c>
      <c r="BE378" s="34">
        <f>F378*AY378</f>
        <v/>
      </c>
      <c r="BF378" s="34">
        <f>K378-M378</f>
        <v/>
      </c>
      <c r="BG378" s="34">
        <f>P378-S378</f>
        <v/>
      </c>
      <c r="BH378" s="34">
        <f>W378-AA378</f>
        <v/>
      </c>
      <c r="BI378" s="34">
        <f>BF378+BG378+BL378-BN378</f>
        <v/>
      </c>
      <c r="BJ378" s="34">
        <f>ABS(BK378)</f>
        <v/>
      </c>
      <c r="BK378" s="34">
        <f>AY378-(J378-L378+N378-Q378)</f>
        <v/>
      </c>
      <c r="BL378" s="34">
        <f>IF(AND(BK378&gt;0,MIN($F378:$G378)&lt;150,$E378="Enerji Açığı"),-100*BK378*1.03,IF(AND(BK378&gt;0,MIN($F378:$G378)&lt;150,$E378="Enerji Fazlası"),-100*BK378*1.06,IF(AND(BK378&gt;0,MIN($F378:$G378)&gt;=150,$E378="Enerji Açığı"),BK378*MIN($F378:$G378)*0.97,IF(AND(BK378&gt;0,MIN($F378:$G378)&gt;=150,$E378="Enerji Fazlası"),BK378*MIN($F378:$G378)*0.94,IF(AND(BK378&lt;0,MAX($F378:$G378)=4500,$E378="Enerji Açığı"),4500*1.05*1.06*BK378,IF(AND(BK378&lt;0,MAX($F378:$G378)=4500,$E378="Enerji Fazlası"),4500*1.05*1.03*BK378,IF(AND(BK378&lt;0,$E378="Enerji Açığı"),MAX($F378,$G378,150)*BK378*1.06,IF(AND(BK378&lt;0,$E378="Enerji Fazlası"),MAX($F378,$G378,150)*BK378*1.03,IF(AND(BK378&lt;0,$E378="Dengede"),MAX($F378:$G378,150)*1.03*BK378,MIN($F378:$G378)*0.97*BK378)))))))))</f>
        <v/>
      </c>
      <c r="BM378" s="34">
        <f>BE378-BI378-BN378</f>
        <v/>
      </c>
      <c r="BN378" s="34">
        <f>BB378</f>
        <v/>
      </c>
      <c r="BO378" s="34">
        <f>BE378-BI378</f>
        <v/>
      </c>
      <c r="BP378" s="34">
        <f>IF(AY378=0,0,BO378/AY378)</f>
        <v/>
      </c>
      <c r="BQ378" s="34">
        <f>MAX((AY378+MAX((-J378+L378-N378+Q378),0)),(MAX((J378-L378+N378-Q378),0)))</f>
        <v/>
      </c>
      <c r="BR378" s="82">
        <f>IFERROR(ABS(BK378/BQ378),0)</f>
        <v/>
      </c>
      <c r="BS378" s="34">
        <f>IF(BR378&lt;=0.1,0,BK378/BR378*(BR378-0.1))</f>
        <v/>
      </c>
      <c r="BT378" s="34">
        <f>IF((BS378)&lt;0,MAX(F378:G378)*(BS378)*1.03,MIN(F378:G378)*(BS378)*0.97)</f>
        <v/>
      </c>
      <c r="BU378" s="34">
        <f>IF(BR378&gt;0.1,1,0)</f>
        <v/>
      </c>
      <c r="BV378" s="34">
        <f>BF378+BG378+BH378+BY378-CA378</f>
        <v/>
      </c>
      <c r="BW378" s="34">
        <f>ABS(BX378)</f>
        <v/>
      </c>
      <c r="BX378" s="34">
        <f>AY378-(J378-L378+N378-Q378+T378-X378)</f>
        <v/>
      </c>
      <c r="BY378" s="34">
        <f>IF(AND(BX378&gt;0,MIN($F378:$G378)&lt;150,$E378="Enerji Açığı"),-100*BX378*1.03,IF(AND(BX378&gt;0,MIN($F378:$G378)&lt;150,$E378="Enerji Fazlası"),-100*BX378*1.06,IF(AND(BX378&gt;0,MIN($F378:$G378)&gt;=150,$E378="Enerji Açığı"),BX378*MIN($F378:$G378)*0.97,IF(AND(BX378&gt;0,MIN($F378:$G378)&gt;=150,$E378="Enerji Fazlası"),BX378*MIN($F378:$G378)*0.94,IF(AND(BX378&lt;0,MAX($F378:$G378)=4500,$E378="Enerji Açığı"),4500*1.05*1.06*BX378,IF(AND(BX378&lt;0,MAX($F378:$G378)=4500,$E378="Enerji Fazlası"),4500*1.05*1.03*BX378,IF(AND(BX378&lt;0,$E378="Enerji Açığı"),MAX($F378,$G378,150)*BX378*1.06,IF(AND(BX378&lt;0,$E378="Enerji Fazlası"),MAX($F378,$G378,150)*BX378*1.03,IF(AND(BX378&lt;0,$E378="Dengede"),MAX($F378:$G378,150)*1.03*BX378,MIN($F378:$G378)*0.97*BX378)))))))))</f>
        <v/>
      </c>
      <c r="BZ378" s="34">
        <f>BE378-BV378-CA378</f>
        <v/>
      </c>
      <c r="CA378" s="34">
        <f>BD378</f>
        <v/>
      </c>
      <c r="CB378" s="33">
        <f>BE378-BV378</f>
        <v/>
      </c>
      <c r="CC378" s="34">
        <f>IF(AY378=0,0,CB378/AY378)</f>
        <v/>
      </c>
      <c r="CD378" s="34">
        <f>MAX((AY378+MAX((-J378+L378-N378+Q378-T378+X378),0)),(MAX((J378-L378+N378-Q378+T378-X378),0)))</f>
        <v/>
      </c>
      <c r="CE378" s="82">
        <f>IFERROR(ABS(BX378/CD378),0)</f>
        <v/>
      </c>
      <c r="CF378" s="34">
        <f>IF(CE378&lt;=0.1,0,BX378/CE378*(CE378-0.1))</f>
        <v/>
      </c>
      <c r="CG378" s="34">
        <f>IF((CF378)&lt;0,MAX(F378:G378)*(CF378)*1.03,MIN(F378:G378)*(CF378)*0.97)</f>
        <v/>
      </c>
      <c r="CH378" s="34">
        <f>IF(CE378&gt;0.1,1,0)</f>
        <v/>
      </c>
      <c r="CI378" s="34">
        <f>(F378*BX378)-BY378</f>
        <v/>
      </c>
      <c r="CJ378" s="34">
        <f>IF(AY378=0,0,CI378/AY378)</f>
        <v/>
      </c>
    </row>
    <row r="379">
      <c r="A379" s="29">
        <f>[1]FİYATLAR!A354</f>
        <v/>
      </c>
      <c r="B379" s="29">
        <f>[1]FİYATLAR!B354</f>
        <v/>
      </c>
      <c r="C379" s="35">
        <f>INT(A379)</f>
        <v/>
      </c>
      <c r="D379" s="36">
        <f>MONTH(A379)</f>
        <v/>
      </c>
      <c r="E379" s="147">
        <f>[1]FİYATLAR!G354</f>
        <v/>
      </c>
      <c r="F379" s="30">
        <f>[1]FİYATLAR!C354</f>
        <v/>
      </c>
      <c r="G379" s="30">
        <f>[1]FİYATLAR!E354</f>
        <v/>
      </c>
      <c r="H379" s="30">
        <f>[1]FİYATLAR!D354</f>
        <v/>
      </c>
      <c r="I379" s="30">
        <f>[1]FİYATLAR!F354</f>
        <v/>
      </c>
      <c r="J379" s="119" t="n">
        <v>0</v>
      </c>
      <c r="K379" s="34">
        <f>F379*J379</f>
        <v/>
      </c>
      <c r="L379" s="119" t="n"/>
      <c r="M379" s="34">
        <f>L379*F379</f>
        <v/>
      </c>
      <c r="N379" s="119" t="n"/>
      <c r="O379" s="34">
        <f>F379</f>
        <v/>
      </c>
      <c r="P379" s="34">
        <f>N379*O379</f>
        <v/>
      </c>
      <c r="Q379" s="117" t="n">
        <v>0</v>
      </c>
      <c r="R379" s="34">
        <f>F379</f>
        <v/>
      </c>
      <c r="S379" s="34">
        <f>R379*Q379</f>
        <v/>
      </c>
      <c r="T379" s="34">
        <f>SUMIFS('[1]GİP VERİLERİ'!$C:$C,'[1]GİP VERİLERİ'!$B:$B,A379,'[1]GİP VERİLERİ'!$M:$M,"40X000000104782K",'[1]GİP VERİLERİ'!$G:$G,"SELL")</f>
        <v/>
      </c>
      <c r="U379" s="34">
        <f>IFERROR(W379/T379,0)</f>
        <v/>
      </c>
      <c r="V379" s="34">
        <f>IF(U379=0,0,U379-F379)</f>
        <v/>
      </c>
      <c r="W379" s="34">
        <f>SUMIFS('[1]GİP VERİLERİ'!$O:$O,'[1]GİP VERİLERİ'!$B:$B,A379,'[1]GİP VERİLERİ'!$M:$M,"40X000000104782K",'[1]GİP VERİLERİ'!$G:$G,"SELL")</f>
        <v/>
      </c>
      <c r="X379" s="34">
        <f>SUMIFS('[1]GİP VERİLERİ'!$C:$C,'[1]GİP VERİLERİ'!$B:$B,A379,'[1]GİP VERİLERİ'!$M:$M,"40X000000104782K",'[1]GİP VERİLERİ'!$G:$G,"BUY")</f>
        <v/>
      </c>
      <c r="Y379" s="34">
        <f>IFERROR(AA379/X379,0)</f>
        <v/>
      </c>
      <c r="Z379" s="34">
        <f>IF(Y379=0,0,F379-Y379)</f>
        <v/>
      </c>
      <c r="AA379" s="34">
        <f>SUMIFS('[1]GİP VERİLERİ'!$O:$O,'[1]GİP VERİLERİ'!$B:$B,A379,'[1]GİP VERİLERİ'!$M:$M,"40X000000104782K",'[1]GİP VERİLERİ'!$G:$G,"BUY")</f>
        <v/>
      </c>
      <c r="AB379" s="34">
        <f>'[1]GÖP VERİLERİ'!H380</f>
        <v/>
      </c>
      <c r="AC379" s="34">
        <f>'[1]GÖP VERİLERİ'!I380</f>
        <v/>
      </c>
      <c r="AD379" s="34">
        <f>IF(AB379&gt;AC379*1.05,AB379-AC379*1.05,IF(AB379&lt;AC379*0.95,AC379*0.95-AB379,0))</f>
        <v/>
      </c>
      <c r="AE379" s="34">
        <f>MAX(F379,G379,750)*0.05*AD379</f>
        <v/>
      </c>
      <c r="AF379" s="34">
        <f>'[1]GÖP VERİLERİ'!J380</f>
        <v/>
      </c>
      <c r="AG379" s="34">
        <f>IF(AB379&gt;AF379*1.05,AB379-AF379*1.05,IF(AB379&lt;AF379*0.95,AF379*0.95-AB379,0))</f>
        <v/>
      </c>
      <c r="AH379" s="34">
        <f>MAX(I379,J379,750)*0.05*AG379</f>
        <v/>
      </c>
      <c r="AI379">
        <f>'[1]GÖP VERİLERİ'!E380</f>
        <v/>
      </c>
      <c r="AJ379">
        <f>'[1]GÖP VERİLERİ'!F380</f>
        <v/>
      </c>
      <c r="AK379" s="34">
        <f>IF(AI379&gt;AJ379*1.05,AI379-AJ379*1.05,IF(AI379&lt;AJ379*0.95,AJ379*0.95-AI379,0))</f>
        <v/>
      </c>
      <c r="AL379" s="34">
        <f>MAX(F379,G379,750)*0.05*AK379</f>
        <v/>
      </c>
      <c r="AM379" s="39">
        <f>'[1]GÖP VERİLERİ'!G380</f>
        <v/>
      </c>
      <c r="AN379" s="34">
        <f>IF(AI379&gt;AM379*1.05,AI379-AM379*1.05,IF(AI379&lt;AM379*0.95,AM379*0.95-AI379,0))</f>
        <v/>
      </c>
      <c r="AO379" s="34">
        <f>MAX(F379,G379,750)*0.05*AN379</f>
        <v/>
      </c>
      <c r="AP379" s="34">
        <f>'[1]GÖP VERİLERİ'!B380</f>
        <v/>
      </c>
      <c r="AQ379" s="34">
        <f>'[1]GÖP VERİLERİ'!C380</f>
        <v/>
      </c>
      <c r="AR379" s="34">
        <f>IF(AP379&gt;AQ379*1.05,AP379-AQ379*1.05,IF(AP379&lt;AQ379*0.95,AQ379*0.95-AP379,0))</f>
        <v/>
      </c>
      <c r="AS379" s="34">
        <f>MAX(F379:G379,750)*0.05*AR379</f>
        <v/>
      </c>
      <c r="AT379">
        <f>'[1]GÖP VERİLERİ'!D380</f>
        <v/>
      </c>
      <c r="AU379" s="34">
        <f>IF(AP379&gt;AT379*1.05,AP379-AT379*1.05,IF(AP379&lt;AT379*0.95,AT379*0.95-AP379,0))</f>
        <v/>
      </c>
      <c r="AV379" s="34">
        <f>MAX(F379:G379,750)*0.05*AU379</f>
        <v/>
      </c>
      <c r="AW379" s="34">
        <f>AC379+AJ379+AQ379</f>
        <v/>
      </c>
      <c r="AX379" s="34">
        <f>AF379+AM379+AT379</f>
        <v/>
      </c>
      <c r="AY379" s="34">
        <f>AB379+AI379+AP379</f>
        <v/>
      </c>
      <c r="AZ379" s="34" t="n">
        <v>0</v>
      </c>
      <c r="BA379" s="34">
        <f>AD379+AK379+AR379</f>
        <v/>
      </c>
      <c r="BB379" s="34">
        <f>MAX(F379:G379,750)*0.05*BA379</f>
        <v/>
      </c>
      <c r="BC379" s="34">
        <f>AG379+AN379+AU379</f>
        <v/>
      </c>
      <c r="BD379" s="34">
        <f>MAX(F379:G379,750)*0.05*BC379</f>
        <v/>
      </c>
      <c r="BE379" s="34">
        <f>F379*AY379</f>
        <v/>
      </c>
      <c r="BF379" s="34">
        <f>K379-M379</f>
        <v/>
      </c>
      <c r="BG379" s="34">
        <f>P379-S379</f>
        <v/>
      </c>
      <c r="BH379" s="34">
        <f>W379-AA379</f>
        <v/>
      </c>
      <c r="BI379" s="34">
        <f>BF379+BG379+BL379-BN379</f>
        <v/>
      </c>
      <c r="BJ379" s="34">
        <f>ABS(BK379)</f>
        <v/>
      </c>
      <c r="BK379" s="34">
        <f>AY379-(J379-L379+N379-Q379)</f>
        <v/>
      </c>
      <c r="BL379" s="34">
        <f>IF(AND(BK379&gt;0,MIN($F379:$G379)&lt;150,$E379="Enerji Açığı"),-100*BK379*1.03,IF(AND(BK379&gt;0,MIN($F379:$G379)&lt;150,$E379="Enerji Fazlası"),-100*BK379*1.06,IF(AND(BK379&gt;0,MIN($F379:$G379)&gt;=150,$E379="Enerji Açığı"),BK379*MIN($F379:$G379)*0.97,IF(AND(BK379&gt;0,MIN($F379:$G379)&gt;=150,$E379="Enerji Fazlası"),BK379*MIN($F379:$G379)*0.94,IF(AND(BK379&lt;0,MAX($F379:$G379)=4500,$E379="Enerji Açığı"),4500*1.05*1.06*BK379,IF(AND(BK379&lt;0,MAX($F379:$G379)=4500,$E379="Enerji Fazlası"),4500*1.05*1.03*BK379,IF(AND(BK379&lt;0,$E379="Enerji Açığı"),MAX($F379,$G379,150)*BK379*1.06,IF(AND(BK379&lt;0,$E379="Enerji Fazlası"),MAX($F379,$G379,150)*BK379*1.03,IF(AND(BK379&lt;0,$E379="Dengede"),MAX($F379:$G379,150)*1.03*BK379,MIN($F379:$G379)*0.97*BK379)))))))))</f>
        <v/>
      </c>
      <c r="BM379" s="34">
        <f>BE379-BI379-BN379</f>
        <v/>
      </c>
      <c r="BN379" s="34">
        <f>BB379</f>
        <v/>
      </c>
      <c r="BO379" s="34">
        <f>BE379-BI379</f>
        <v/>
      </c>
      <c r="BP379" s="34">
        <f>IF(AY379=0,0,BO379/AY379)</f>
        <v/>
      </c>
      <c r="BQ379" s="34">
        <f>MAX((AY379+MAX((-J379+L379-N379+Q379),0)),(MAX((J379-L379+N379-Q379),0)))</f>
        <v/>
      </c>
      <c r="BR379" s="82">
        <f>IFERROR(ABS(BK379/BQ379),0)</f>
        <v/>
      </c>
      <c r="BS379" s="34">
        <f>IF(BR379&lt;=0.1,0,BK379/BR379*(BR379-0.1))</f>
        <v/>
      </c>
      <c r="BT379" s="34">
        <f>IF((BS379)&lt;0,MAX(F379:G379)*(BS379)*1.03,MIN(F379:G379)*(BS379)*0.97)</f>
        <v/>
      </c>
      <c r="BU379" s="34">
        <f>IF(BR379&gt;0.1,1,0)</f>
        <v/>
      </c>
      <c r="BV379" s="34">
        <f>BF379+BG379+BH379+BY379-CA379</f>
        <v/>
      </c>
      <c r="BW379" s="34">
        <f>ABS(BX379)</f>
        <v/>
      </c>
      <c r="BX379" s="34">
        <f>AY379-(J379-L379+N379-Q379+T379-X379)</f>
        <v/>
      </c>
      <c r="BY379" s="34">
        <f>IF(AND(BX379&gt;0,MIN($F379:$G379)&lt;150,$E379="Enerji Açığı"),-100*BX379*1.03,IF(AND(BX379&gt;0,MIN($F379:$G379)&lt;150,$E379="Enerji Fazlası"),-100*BX379*1.06,IF(AND(BX379&gt;0,MIN($F379:$G379)&gt;=150,$E379="Enerji Açığı"),BX379*MIN($F379:$G379)*0.97,IF(AND(BX379&gt;0,MIN($F379:$G379)&gt;=150,$E379="Enerji Fazlası"),BX379*MIN($F379:$G379)*0.94,IF(AND(BX379&lt;0,MAX($F379:$G379)=4500,$E379="Enerji Açığı"),4500*1.05*1.06*BX379,IF(AND(BX379&lt;0,MAX($F379:$G379)=4500,$E379="Enerji Fazlası"),4500*1.05*1.03*BX379,IF(AND(BX379&lt;0,$E379="Enerji Açığı"),MAX($F379,$G379,150)*BX379*1.06,IF(AND(BX379&lt;0,$E379="Enerji Fazlası"),MAX($F379,$G379,150)*BX379*1.03,IF(AND(BX379&lt;0,$E379="Dengede"),MAX($F379:$G379,150)*1.03*BX379,MIN($F379:$G379)*0.97*BX379)))))))))</f>
        <v/>
      </c>
      <c r="BZ379" s="34">
        <f>BE379-BV379-CA379</f>
        <v/>
      </c>
      <c r="CA379" s="34">
        <f>BD379</f>
        <v/>
      </c>
      <c r="CB379" s="33">
        <f>BE379-BV379</f>
        <v/>
      </c>
      <c r="CC379" s="34">
        <f>IF(AY379=0,0,CB379/AY379)</f>
        <v/>
      </c>
      <c r="CD379" s="34">
        <f>MAX((AY379+MAX((-J379+L379-N379+Q379-T379+X379),0)),(MAX((J379-L379+N379-Q379+T379-X379),0)))</f>
        <v/>
      </c>
      <c r="CE379" s="82">
        <f>IFERROR(ABS(BX379/CD379),0)</f>
        <v/>
      </c>
      <c r="CF379" s="34">
        <f>IF(CE379&lt;=0.1,0,BX379/CE379*(CE379-0.1))</f>
        <v/>
      </c>
      <c r="CG379" s="34">
        <f>IF((CF379)&lt;0,MAX(F379:G379)*(CF379)*1.03,MIN(F379:G379)*(CF379)*0.97)</f>
        <v/>
      </c>
      <c r="CH379" s="34">
        <f>IF(CE379&gt;0.1,1,0)</f>
        <v/>
      </c>
      <c r="CI379" s="34">
        <f>(F379*BX379)-BY379</f>
        <v/>
      </c>
      <c r="CJ379" s="34">
        <f>IF(AY379=0,0,CI379/AY379)</f>
        <v/>
      </c>
    </row>
    <row r="380">
      <c r="A380" s="29">
        <f>[1]FİYATLAR!A355</f>
        <v/>
      </c>
      <c r="B380" s="29">
        <f>[1]FİYATLAR!B355</f>
        <v/>
      </c>
      <c r="C380" s="35">
        <f>INT(A380)</f>
        <v/>
      </c>
      <c r="D380" s="36">
        <f>MONTH(A380)</f>
        <v/>
      </c>
      <c r="E380" s="147">
        <f>[1]FİYATLAR!G355</f>
        <v/>
      </c>
      <c r="F380" s="30">
        <f>[1]FİYATLAR!C355</f>
        <v/>
      </c>
      <c r="G380" s="30">
        <f>[1]FİYATLAR!E355</f>
        <v/>
      </c>
      <c r="H380" s="30">
        <f>[1]FİYATLAR!D355</f>
        <v/>
      </c>
      <c r="I380" s="30">
        <f>[1]FİYATLAR!F355</f>
        <v/>
      </c>
      <c r="J380" s="119" t="n">
        <v>0</v>
      </c>
      <c r="K380" s="34">
        <f>F380*J380</f>
        <v/>
      </c>
      <c r="L380" s="119" t="n"/>
      <c r="M380" s="34">
        <f>L380*F380</f>
        <v/>
      </c>
      <c r="N380" s="119" t="n"/>
      <c r="O380" s="34">
        <f>F380</f>
        <v/>
      </c>
      <c r="P380" s="34">
        <f>N380*O380</f>
        <v/>
      </c>
      <c r="Q380" s="117" t="n">
        <v>0</v>
      </c>
      <c r="R380" s="34">
        <f>F380</f>
        <v/>
      </c>
      <c r="S380" s="34">
        <f>R380*Q380</f>
        <v/>
      </c>
      <c r="T380" s="34">
        <f>SUMIFS('[1]GİP VERİLERİ'!$C:$C,'[1]GİP VERİLERİ'!$B:$B,A380,'[1]GİP VERİLERİ'!$M:$M,"40X000000104782K",'[1]GİP VERİLERİ'!$G:$G,"SELL")</f>
        <v/>
      </c>
      <c r="U380" s="34">
        <f>IFERROR(W380/T380,0)</f>
        <v/>
      </c>
      <c r="V380" s="34">
        <f>IF(U380=0,0,U380-F380)</f>
        <v/>
      </c>
      <c r="W380" s="34">
        <f>SUMIFS('[1]GİP VERİLERİ'!$O:$O,'[1]GİP VERİLERİ'!$B:$B,A380,'[1]GİP VERİLERİ'!$M:$M,"40X000000104782K",'[1]GİP VERİLERİ'!$G:$G,"SELL")</f>
        <v/>
      </c>
      <c r="X380" s="34">
        <f>SUMIFS('[1]GİP VERİLERİ'!$C:$C,'[1]GİP VERİLERİ'!$B:$B,A380,'[1]GİP VERİLERİ'!$M:$M,"40X000000104782K",'[1]GİP VERİLERİ'!$G:$G,"BUY")</f>
        <v/>
      </c>
      <c r="Y380" s="34">
        <f>IFERROR(AA380/X380,0)</f>
        <v/>
      </c>
      <c r="Z380" s="34">
        <f>IF(Y380=0,0,F380-Y380)</f>
        <v/>
      </c>
      <c r="AA380" s="34">
        <f>SUMIFS('[1]GİP VERİLERİ'!$O:$O,'[1]GİP VERİLERİ'!$B:$B,A380,'[1]GİP VERİLERİ'!$M:$M,"40X000000104782K",'[1]GİP VERİLERİ'!$G:$G,"BUY")</f>
        <v/>
      </c>
      <c r="AB380" s="34">
        <f>'[1]GÖP VERİLERİ'!H381</f>
        <v/>
      </c>
      <c r="AC380" s="34">
        <f>'[1]GÖP VERİLERİ'!I381</f>
        <v/>
      </c>
      <c r="AD380" s="34">
        <f>IF(AB380&gt;AC380*1.05,AB380-AC380*1.05,IF(AB380&lt;AC380*0.95,AC380*0.95-AB380,0))</f>
        <v/>
      </c>
      <c r="AE380" s="34">
        <f>MAX(F380,G380,750)*0.05*AD380</f>
        <v/>
      </c>
      <c r="AF380" s="34">
        <f>'[1]GÖP VERİLERİ'!J381</f>
        <v/>
      </c>
      <c r="AG380" s="34">
        <f>IF(AB380&gt;AF380*1.05,AB380-AF380*1.05,IF(AB380&lt;AF380*0.95,AF380*0.95-AB380,0))</f>
        <v/>
      </c>
      <c r="AH380" s="34">
        <f>MAX(I380,J380,750)*0.05*AG380</f>
        <v/>
      </c>
      <c r="AI380">
        <f>'[1]GÖP VERİLERİ'!E381</f>
        <v/>
      </c>
      <c r="AJ380">
        <f>'[1]GÖP VERİLERİ'!F381</f>
        <v/>
      </c>
      <c r="AK380" s="34">
        <f>IF(AI380&gt;AJ380*1.05,AI380-AJ380*1.05,IF(AI380&lt;AJ380*0.95,AJ380*0.95-AI380,0))</f>
        <v/>
      </c>
      <c r="AL380" s="34">
        <f>MAX(F380,G380,750)*0.05*AK380</f>
        <v/>
      </c>
      <c r="AM380" s="39">
        <f>'[1]GÖP VERİLERİ'!G381</f>
        <v/>
      </c>
      <c r="AN380" s="34">
        <f>IF(AI380&gt;AM380*1.05,AI380-AM380*1.05,IF(AI380&lt;AM380*0.95,AM380*0.95-AI380,0))</f>
        <v/>
      </c>
      <c r="AO380" s="34">
        <f>MAX(F380,G380,750)*0.05*AN380</f>
        <v/>
      </c>
      <c r="AP380" s="34">
        <f>'[1]GÖP VERİLERİ'!B381</f>
        <v/>
      </c>
      <c r="AQ380" s="34">
        <f>'[1]GÖP VERİLERİ'!C381</f>
        <v/>
      </c>
      <c r="AR380" s="34">
        <f>IF(AP380&gt;AQ380*1.05,AP380-AQ380*1.05,IF(AP380&lt;AQ380*0.95,AQ380*0.95-AP380,0))</f>
        <v/>
      </c>
      <c r="AS380" s="34">
        <f>MAX(F380:G380,750)*0.05*AR380</f>
        <v/>
      </c>
      <c r="AT380">
        <f>'[1]GÖP VERİLERİ'!D381</f>
        <v/>
      </c>
      <c r="AU380" s="34">
        <f>IF(AP380&gt;AT380*1.05,AP380-AT380*1.05,IF(AP380&lt;AT380*0.95,AT380*0.95-AP380,0))</f>
        <v/>
      </c>
      <c r="AV380" s="34">
        <f>MAX(F380:G380,750)*0.05*AU380</f>
        <v/>
      </c>
      <c r="AW380" s="34">
        <f>AC380+AJ380+AQ380</f>
        <v/>
      </c>
      <c r="AX380" s="34">
        <f>AF380+AM380+AT380</f>
        <v/>
      </c>
      <c r="AY380" s="34">
        <f>AB380+AI380+AP380</f>
        <v/>
      </c>
      <c r="AZ380" s="34" t="n">
        <v>0</v>
      </c>
      <c r="BA380" s="34">
        <f>AD380+AK380+AR380</f>
        <v/>
      </c>
      <c r="BB380" s="34">
        <f>MAX(F380:G380,750)*0.05*BA380</f>
        <v/>
      </c>
      <c r="BC380" s="34">
        <f>AG380+AN380+AU380</f>
        <v/>
      </c>
      <c r="BD380" s="34">
        <f>MAX(F380:G380,750)*0.05*BC380</f>
        <v/>
      </c>
      <c r="BE380" s="34">
        <f>F380*AY380</f>
        <v/>
      </c>
      <c r="BF380" s="34">
        <f>K380-M380</f>
        <v/>
      </c>
      <c r="BG380" s="34">
        <f>P380-S380</f>
        <v/>
      </c>
      <c r="BH380" s="34">
        <f>W380-AA380</f>
        <v/>
      </c>
      <c r="BI380" s="34">
        <f>BF380+BG380+BL380-BN380</f>
        <v/>
      </c>
      <c r="BJ380" s="34">
        <f>ABS(BK380)</f>
        <v/>
      </c>
      <c r="BK380" s="34">
        <f>AY380-(J380-L380+N380-Q380)</f>
        <v/>
      </c>
      <c r="BL380" s="34">
        <f>IF(AND(BK380&gt;0,MIN($F380:$G380)&lt;150,$E380="Enerji Açığı"),-100*BK380*1.03,IF(AND(BK380&gt;0,MIN($F380:$G380)&lt;150,$E380="Enerji Fazlası"),-100*BK380*1.06,IF(AND(BK380&gt;0,MIN($F380:$G380)&gt;=150,$E380="Enerji Açığı"),BK380*MIN($F380:$G380)*0.97,IF(AND(BK380&gt;0,MIN($F380:$G380)&gt;=150,$E380="Enerji Fazlası"),BK380*MIN($F380:$G380)*0.94,IF(AND(BK380&lt;0,MAX($F380:$G380)=4500,$E380="Enerji Açığı"),4500*1.05*1.06*BK380,IF(AND(BK380&lt;0,MAX($F380:$G380)=4500,$E380="Enerji Fazlası"),4500*1.05*1.03*BK380,IF(AND(BK380&lt;0,$E380="Enerji Açığı"),MAX($F380,$G380,150)*BK380*1.06,IF(AND(BK380&lt;0,$E380="Enerji Fazlası"),MAX($F380,$G380,150)*BK380*1.03,IF(AND(BK380&lt;0,$E380="Dengede"),MAX($F380:$G380,150)*1.03*BK380,MIN($F380:$G380)*0.97*BK380)))))))))</f>
        <v/>
      </c>
      <c r="BM380" s="34">
        <f>BE380-BI380-BN380</f>
        <v/>
      </c>
      <c r="BN380" s="34">
        <f>BB380</f>
        <v/>
      </c>
      <c r="BO380" s="34">
        <f>BE380-BI380</f>
        <v/>
      </c>
      <c r="BP380" s="34">
        <f>IF(AY380=0,0,BO380/AY380)</f>
        <v/>
      </c>
      <c r="BQ380" s="34">
        <f>MAX((AY380+MAX((-J380+L380-N380+Q380),0)),(MAX((J380-L380+N380-Q380),0)))</f>
        <v/>
      </c>
      <c r="BR380" s="82">
        <f>IFERROR(ABS(BK380/BQ380),0)</f>
        <v/>
      </c>
      <c r="BS380" s="34">
        <f>IF(BR380&lt;=0.1,0,BK380/BR380*(BR380-0.1))</f>
        <v/>
      </c>
      <c r="BT380" s="34">
        <f>IF((BS380)&lt;0,MAX(F380:G380)*(BS380)*1.03,MIN(F380:G380)*(BS380)*0.97)</f>
        <v/>
      </c>
      <c r="BU380" s="34">
        <f>IF(BR380&gt;0.1,1,0)</f>
        <v/>
      </c>
      <c r="BV380" s="34">
        <f>BF380+BG380+BH380+BY380-CA380</f>
        <v/>
      </c>
      <c r="BW380" s="34">
        <f>ABS(BX380)</f>
        <v/>
      </c>
      <c r="BX380" s="34">
        <f>AY380-(J380-L380+N380-Q380+T380-X380)</f>
        <v/>
      </c>
      <c r="BY380" s="34">
        <f>IF(AND(BX380&gt;0,MIN($F380:$G380)&lt;150,$E380="Enerji Açığı"),-100*BX380*1.03,IF(AND(BX380&gt;0,MIN($F380:$G380)&lt;150,$E380="Enerji Fazlası"),-100*BX380*1.06,IF(AND(BX380&gt;0,MIN($F380:$G380)&gt;=150,$E380="Enerji Açığı"),BX380*MIN($F380:$G380)*0.97,IF(AND(BX380&gt;0,MIN($F380:$G380)&gt;=150,$E380="Enerji Fazlası"),BX380*MIN($F380:$G380)*0.94,IF(AND(BX380&lt;0,MAX($F380:$G380)=4500,$E380="Enerji Açığı"),4500*1.05*1.06*BX380,IF(AND(BX380&lt;0,MAX($F380:$G380)=4500,$E380="Enerji Fazlası"),4500*1.05*1.03*BX380,IF(AND(BX380&lt;0,$E380="Enerji Açığı"),MAX($F380,$G380,150)*BX380*1.06,IF(AND(BX380&lt;0,$E380="Enerji Fazlası"),MAX($F380,$G380,150)*BX380*1.03,IF(AND(BX380&lt;0,$E380="Dengede"),MAX($F380:$G380,150)*1.03*BX380,MIN($F380:$G380)*0.97*BX380)))))))))</f>
        <v/>
      </c>
      <c r="BZ380" s="34">
        <f>BE380-BV380-CA380</f>
        <v/>
      </c>
      <c r="CA380" s="34">
        <f>BD380</f>
        <v/>
      </c>
      <c r="CB380" s="33">
        <f>BE380-BV380</f>
        <v/>
      </c>
      <c r="CC380" s="34">
        <f>IF(AY380=0,0,CB380/AY380)</f>
        <v/>
      </c>
      <c r="CD380" s="34">
        <f>MAX((AY380+MAX((-J380+L380-N380+Q380-T380+X380),0)),(MAX((J380-L380+N380-Q380+T380-X380),0)))</f>
        <v/>
      </c>
      <c r="CE380" s="82">
        <f>IFERROR(ABS(BX380/CD380),0)</f>
        <v/>
      </c>
      <c r="CF380" s="34">
        <f>IF(CE380&lt;=0.1,0,BX380/CE380*(CE380-0.1))</f>
        <v/>
      </c>
      <c r="CG380" s="34">
        <f>IF((CF380)&lt;0,MAX(F380:G380)*(CF380)*1.03,MIN(F380:G380)*(CF380)*0.97)</f>
        <v/>
      </c>
      <c r="CH380" s="34">
        <f>IF(CE380&gt;0.1,1,0)</f>
        <v/>
      </c>
      <c r="CI380" s="34">
        <f>(F380*BX380)-BY380</f>
        <v/>
      </c>
      <c r="CJ380" s="34">
        <f>IF(AY380=0,0,CI380/AY380)</f>
        <v/>
      </c>
    </row>
    <row r="381">
      <c r="A381" s="29">
        <f>[1]FİYATLAR!A356</f>
        <v/>
      </c>
      <c r="B381" s="29">
        <f>[1]FİYATLAR!B356</f>
        <v/>
      </c>
      <c r="C381" s="35">
        <f>INT(A381)</f>
        <v/>
      </c>
      <c r="D381" s="36">
        <f>MONTH(A381)</f>
        <v/>
      </c>
      <c r="E381" s="147">
        <f>[1]FİYATLAR!G356</f>
        <v/>
      </c>
      <c r="F381" s="30">
        <f>[1]FİYATLAR!C356</f>
        <v/>
      </c>
      <c r="G381" s="30">
        <f>[1]FİYATLAR!E356</f>
        <v/>
      </c>
      <c r="H381" s="30">
        <f>[1]FİYATLAR!D356</f>
        <v/>
      </c>
      <c r="I381" s="30">
        <f>[1]FİYATLAR!F356</f>
        <v/>
      </c>
      <c r="J381" s="119" t="n">
        <v>0</v>
      </c>
      <c r="K381" s="34">
        <f>F381*J381</f>
        <v/>
      </c>
      <c r="L381" s="119" t="n"/>
      <c r="M381" s="34">
        <f>L381*F381</f>
        <v/>
      </c>
      <c r="N381" s="119" t="n"/>
      <c r="O381" s="34">
        <f>F381</f>
        <v/>
      </c>
      <c r="P381" s="34">
        <f>N381*O381</f>
        <v/>
      </c>
      <c r="Q381" s="117" t="n">
        <v>0</v>
      </c>
      <c r="R381" s="34">
        <f>F381</f>
        <v/>
      </c>
      <c r="S381" s="34">
        <f>R381*Q381</f>
        <v/>
      </c>
      <c r="T381" s="34">
        <f>SUMIFS('[1]GİP VERİLERİ'!$C:$C,'[1]GİP VERİLERİ'!$B:$B,A381,'[1]GİP VERİLERİ'!$M:$M,"40X000000104782K",'[1]GİP VERİLERİ'!$G:$G,"SELL")</f>
        <v/>
      </c>
      <c r="U381" s="34">
        <f>IFERROR(W381/T381,0)</f>
        <v/>
      </c>
      <c r="V381" s="34">
        <f>IF(U381=0,0,U381-F381)</f>
        <v/>
      </c>
      <c r="W381" s="34">
        <f>SUMIFS('[1]GİP VERİLERİ'!$O:$O,'[1]GİP VERİLERİ'!$B:$B,A381,'[1]GİP VERİLERİ'!$M:$M,"40X000000104782K",'[1]GİP VERİLERİ'!$G:$G,"SELL")</f>
        <v/>
      </c>
      <c r="X381" s="34">
        <f>SUMIFS('[1]GİP VERİLERİ'!$C:$C,'[1]GİP VERİLERİ'!$B:$B,A381,'[1]GİP VERİLERİ'!$M:$M,"40X000000104782K",'[1]GİP VERİLERİ'!$G:$G,"BUY")</f>
        <v/>
      </c>
      <c r="Y381" s="34">
        <f>IFERROR(AA381/X381,0)</f>
        <v/>
      </c>
      <c r="Z381" s="34">
        <f>IF(Y381=0,0,F381-Y381)</f>
        <v/>
      </c>
      <c r="AA381" s="34">
        <f>SUMIFS('[1]GİP VERİLERİ'!$O:$O,'[1]GİP VERİLERİ'!$B:$B,A381,'[1]GİP VERİLERİ'!$M:$M,"40X000000104782K",'[1]GİP VERİLERİ'!$G:$G,"BUY")</f>
        <v/>
      </c>
      <c r="AB381" s="34">
        <f>'[1]GÖP VERİLERİ'!H382</f>
        <v/>
      </c>
      <c r="AC381" s="34">
        <f>'[1]GÖP VERİLERİ'!I382</f>
        <v/>
      </c>
      <c r="AD381" s="34">
        <f>IF(AB381&gt;AC381*1.05,AB381-AC381*1.05,IF(AB381&lt;AC381*0.95,AC381*0.95-AB381,0))</f>
        <v/>
      </c>
      <c r="AE381" s="34">
        <f>MAX(F381,G381,750)*0.05*AD381</f>
        <v/>
      </c>
      <c r="AF381" s="34">
        <f>'[1]GÖP VERİLERİ'!J382</f>
        <v/>
      </c>
      <c r="AG381" s="34">
        <f>IF(AB381&gt;AF381*1.05,AB381-AF381*1.05,IF(AB381&lt;AF381*0.95,AF381*0.95-AB381,0))</f>
        <v/>
      </c>
      <c r="AH381" s="34">
        <f>MAX(I381,J381,750)*0.05*AG381</f>
        <v/>
      </c>
      <c r="AI381">
        <f>'[1]GÖP VERİLERİ'!E382</f>
        <v/>
      </c>
      <c r="AJ381">
        <f>'[1]GÖP VERİLERİ'!F382</f>
        <v/>
      </c>
      <c r="AK381" s="34">
        <f>IF(AI381&gt;AJ381*1.05,AI381-AJ381*1.05,IF(AI381&lt;AJ381*0.95,AJ381*0.95-AI381,0))</f>
        <v/>
      </c>
      <c r="AL381" s="34">
        <f>MAX(F381,G381,750)*0.05*AK381</f>
        <v/>
      </c>
      <c r="AM381" s="39">
        <f>'[1]GÖP VERİLERİ'!G382</f>
        <v/>
      </c>
      <c r="AN381" s="34">
        <f>IF(AI381&gt;AM381*1.05,AI381-AM381*1.05,IF(AI381&lt;AM381*0.95,AM381*0.95-AI381,0))</f>
        <v/>
      </c>
      <c r="AO381" s="34">
        <f>MAX(F381,G381,750)*0.05*AN381</f>
        <v/>
      </c>
      <c r="AP381" s="34">
        <f>'[1]GÖP VERİLERİ'!B382</f>
        <v/>
      </c>
      <c r="AQ381" s="34">
        <f>'[1]GÖP VERİLERİ'!C382</f>
        <v/>
      </c>
      <c r="AR381" s="34">
        <f>IF(AP381&gt;AQ381*1.05,AP381-AQ381*1.05,IF(AP381&lt;AQ381*0.95,AQ381*0.95-AP381,0))</f>
        <v/>
      </c>
      <c r="AS381" s="34">
        <f>MAX(F381:G381,750)*0.05*AR381</f>
        <v/>
      </c>
      <c r="AT381">
        <f>'[1]GÖP VERİLERİ'!D382</f>
        <v/>
      </c>
      <c r="AU381" s="34">
        <f>IF(AP381&gt;AT381*1.05,AP381-AT381*1.05,IF(AP381&lt;AT381*0.95,AT381*0.95-AP381,0))</f>
        <v/>
      </c>
      <c r="AV381" s="34">
        <f>MAX(F381:G381,750)*0.05*AU381</f>
        <v/>
      </c>
      <c r="AW381" s="34">
        <f>AC381+AJ381+AQ381</f>
        <v/>
      </c>
      <c r="AX381" s="34">
        <f>AF381+AM381+AT381</f>
        <v/>
      </c>
      <c r="AY381" s="34">
        <f>AB381+AI381+AP381</f>
        <v/>
      </c>
      <c r="AZ381" s="34" t="n">
        <v>0</v>
      </c>
      <c r="BA381" s="34">
        <f>AD381+AK381+AR381</f>
        <v/>
      </c>
      <c r="BB381" s="34">
        <f>MAX(F381:G381,750)*0.05*BA381</f>
        <v/>
      </c>
      <c r="BC381" s="34">
        <f>AG381+AN381+AU381</f>
        <v/>
      </c>
      <c r="BD381" s="34">
        <f>MAX(F381:G381,750)*0.05*BC381</f>
        <v/>
      </c>
      <c r="BE381" s="34">
        <f>F381*AY381</f>
        <v/>
      </c>
      <c r="BF381" s="34">
        <f>K381-M381</f>
        <v/>
      </c>
      <c r="BG381" s="34">
        <f>P381-S381</f>
        <v/>
      </c>
      <c r="BH381" s="34">
        <f>W381-AA381</f>
        <v/>
      </c>
      <c r="BI381" s="34">
        <f>BF381+BG381+BL381-BN381</f>
        <v/>
      </c>
      <c r="BJ381" s="34">
        <f>ABS(BK381)</f>
        <v/>
      </c>
      <c r="BK381" s="34">
        <f>AY381-(J381-L381+N381-Q381)</f>
        <v/>
      </c>
      <c r="BL381" s="34">
        <f>IF(AND(BK381&gt;0,MIN($F381:$G381)&lt;150,$E381="Enerji Açığı"),-100*BK381*1.03,IF(AND(BK381&gt;0,MIN($F381:$G381)&lt;150,$E381="Enerji Fazlası"),-100*BK381*1.06,IF(AND(BK381&gt;0,MIN($F381:$G381)&gt;=150,$E381="Enerji Açığı"),BK381*MIN($F381:$G381)*0.97,IF(AND(BK381&gt;0,MIN($F381:$G381)&gt;=150,$E381="Enerji Fazlası"),BK381*MIN($F381:$G381)*0.94,IF(AND(BK381&lt;0,MAX($F381:$G381)=4500,$E381="Enerji Açığı"),4500*1.05*1.06*BK381,IF(AND(BK381&lt;0,MAX($F381:$G381)=4500,$E381="Enerji Fazlası"),4500*1.05*1.03*BK381,IF(AND(BK381&lt;0,$E381="Enerji Açığı"),MAX($F381,$G381,150)*BK381*1.06,IF(AND(BK381&lt;0,$E381="Enerji Fazlası"),MAX($F381,$G381,150)*BK381*1.03,IF(AND(BK381&lt;0,$E381="Dengede"),MAX($F381:$G381,150)*1.03*BK381,MIN($F381:$G381)*0.97*BK381)))))))))</f>
        <v/>
      </c>
      <c r="BM381" s="34">
        <f>BE381-BI381-BN381</f>
        <v/>
      </c>
      <c r="BN381" s="34">
        <f>BB381</f>
        <v/>
      </c>
      <c r="BO381" s="34">
        <f>BE381-BI381</f>
        <v/>
      </c>
      <c r="BP381" s="34">
        <f>IF(AY381=0,0,BO381/AY381)</f>
        <v/>
      </c>
      <c r="BQ381" s="34">
        <f>MAX((AY381+MAX((-J381+L381-N381+Q381),0)),(MAX((J381-L381+N381-Q381),0)))</f>
        <v/>
      </c>
      <c r="BR381" s="82">
        <f>IFERROR(ABS(BK381/BQ381),0)</f>
        <v/>
      </c>
      <c r="BS381" s="34">
        <f>IF(BR381&lt;=0.1,0,BK381/BR381*(BR381-0.1))</f>
        <v/>
      </c>
      <c r="BT381" s="34">
        <f>IF((BS381)&lt;0,MAX(F381:G381)*(BS381)*1.03,MIN(F381:G381)*(BS381)*0.97)</f>
        <v/>
      </c>
      <c r="BU381" s="34">
        <f>IF(BR381&gt;0.1,1,0)</f>
        <v/>
      </c>
      <c r="BV381" s="34">
        <f>BF381+BG381+BH381+BY381-CA381</f>
        <v/>
      </c>
      <c r="BW381" s="34">
        <f>ABS(BX381)</f>
        <v/>
      </c>
      <c r="BX381" s="34">
        <f>AY381-(J381-L381+N381-Q381+T381-X381)</f>
        <v/>
      </c>
      <c r="BY381" s="34">
        <f>IF(AND(BX381&gt;0,MIN($F381:$G381)&lt;150,$E381="Enerji Açığı"),-100*BX381*1.03,IF(AND(BX381&gt;0,MIN($F381:$G381)&lt;150,$E381="Enerji Fazlası"),-100*BX381*1.06,IF(AND(BX381&gt;0,MIN($F381:$G381)&gt;=150,$E381="Enerji Açığı"),BX381*MIN($F381:$G381)*0.97,IF(AND(BX381&gt;0,MIN($F381:$G381)&gt;=150,$E381="Enerji Fazlası"),BX381*MIN($F381:$G381)*0.94,IF(AND(BX381&lt;0,MAX($F381:$G381)=4500,$E381="Enerji Açığı"),4500*1.05*1.06*BX381,IF(AND(BX381&lt;0,MAX($F381:$G381)=4500,$E381="Enerji Fazlası"),4500*1.05*1.03*BX381,IF(AND(BX381&lt;0,$E381="Enerji Açığı"),MAX($F381,$G381,150)*BX381*1.06,IF(AND(BX381&lt;0,$E381="Enerji Fazlası"),MAX($F381,$G381,150)*BX381*1.03,IF(AND(BX381&lt;0,$E381="Dengede"),MAX($F381:$G381,150)*1.03*BX381,MIN($F381:$G381)*0.97*BX381)))))))))</f>
        <v/>
      </c>
      <c r="BZ381" s="34">
        <f>BE381-BV381-CA381</f>
        <v/>
      </c>
      <c r="CA381" s="34">
        <f>BD381</f>
        <v/>
      </c>
      <c r="CB381" s="33">
        <f>BE381-BV381</f>
        <v/>
      </c>
      <c r="CC381" s="34">
        <f>IF(AY381=0,0,CB381/AY381)</f>
        <v/>
      </c>
      <c r="CD381" s="34">
        <f>MAX((AY381+MAX((-J381+L381-N381+Q381-T381+X381),0)),(MAX((J381-L381+N381-Q381+T381-X381),0)))</f>
        <v/>
      </c>
      <c r="CE381" s="82">
        <f>IFERROR(ABS(BX381/CD381),0)</f>
        <v/>
      </c>
      <c r="CF381" s="34">
        <f>IF(CE381&lt;=0.1,0,BX381/CE381*(CE381-0.1))</f>
        <v/>
      </c>
      <c r="CG381" s="34">
        <f>IF((CF381)&lt;0,MAX(F381:G381)*(CF381)*1.03,MIN(F381:G381)*(CF381)*0.97)</f>
        <v/>
      </c>
      <c r="CH381" s="34">
        <f>IF(CE381&gt;0.1,1,0)</f>
        <v/>
      </c>
      <c r="CI381" s="34">
        <f>(F381*BX381)-BY381</f>
        <v/>
      </c>
      <c r="CJ381" s="34">
        <f>IF(AY381=0,0,CI381/AY381)</f>
        <v/>
      </c>
    </row>
    <row r="382">
      <c r="A382" s="29">
        <f>[1]FİYATLAR!A357</f>
        <v/>
      </c>
      <c r="B382" s="29">
        <f>[1]FİYATLAR!B357</f>
        <v/>
      </c>
      <c r="C382" s="35">
        <f>INT(A382)</f>
        <v/>
      </c>
      <c r="D382" s="36">
        <f>MONTH(A382)</f>
        <v/>
      </c>
      <c r="E382" s="147">
        <f>[1]FİYATLAR!G357</f>
        <v/>
      </c>
      <c r="F382" s="30">
        <f>[1]FİYATLAR!C357</f>
        <v/>
      </c>
      <c r="G382" s="30">
        <f>[1]FİYATLAR!E357</f>
        <v/>
      </c>
      <c r="H382" s="30">
        <f>[1]FİYATLAR!D357</f>
        <v/>
      </c>
      <c r="I382" s="30">
        <f>[1]FİYATLAR!F357</f>
        <v/>
      </c>
      <c r="J382" s="119" t="n">
        <v>0</v>
      </c>
      <c r="K382" s="34">
        <f>F382*J382</f>
        <v/>
      </c>
      <c r="L382" s="119" t="n"/>
      <c r="M382" s="34">
        <f>L382*F382</f>
        <v/>
      </c>
      <c r="N382" s="119" t="n"/>
      <c r="O382" s="34">
        <f>F382</f>
        <v/>
      </c>
      <c r="P382" s="34">
        <f>N382*O382</f>
        <v/>
      </c>
      <c r="Q382" s="117" t="n">
        <v>0</v>
      </c>
      <c r="R382" s="34">
        <f>F382</f>
        <v/>
      </c>
      <c r="S382" s="34">
        <f>R382*Q382</f>
        <v/>
      </c>
      <c r="T382" s="34">
        <f>SUMIFS('[1]GİP VERİLERİ'!$C:$C,'[1]GİP VERİLERİ'!$B:$B,A382,'[1]GİP VERİLERİ'!$M:$M,"40X000000104782K",'[1]GİP VERİLERİ'!$G:$G,"SELL")</f>
        <v/>
      </c>
      <c r="U382" s="34">
        <f>IFERROR(W382/T382,0)</f>
        <v/>
      </c>
      <c r="V382" s="34">
        <f>IF(U382=0,0,U382-F382)</f>
        <v/>
      </c>
      <c r="W382" s="34">
        <f>SUMIFS('[1]GİP VERİLERİ'!$O:$O,'[1]GİP VERİLERİ'!$B:$B,A382,'[1]GİP VERİLERİ'!$M:$M,"40X000000104782K",'[1]GİP VERİLERİ'!$G:$G,"SELL")</f>
        <v/>
      </c>
      <c r="X382" s="34">
        <f>SUMIFS('[1]GİP VERİLERİ'!$C:$C,'[1]GİP VERİLERİ'!$B:$B,A382,'[1]GİP VERİLERİ'!$M:$M,"40X000000104782K",'[1]GİP VERİLERİ'!$G:$G,"BUY")</f>
        <v/>
      </c>
      <c r="Y382" s="34">
        <f>IFERROR(AA382/X382,0)</f>
        <v/>
      </c>
      <c r="Z382" s="34">
        <f>IF(Y382=0,0,F382-Y382)</f>
        <v/>
      </c>
      <c r="AA382" s="34">
        <f>SUMIFS('[1]GİP VERİLERİ'!$O:$O,'[1]GİP VERİLERİ'!$B:$B,A382,'[1]GİP VERİLERİ'!$M:$M,"40X000000104782K",'[1]GİP VERİLERİ'!$G:$G,"BUY")</f>
        <v/>
      </c>
      <c r="AB382" s="34">
        <f>'[1]GÖP VERİLERİ'!H383</f>
        <v/>
      </c>
      <c r="AC382" s="34">
        <f>'[1]GÖP VERİLERİ'!I383</f>
        <v/>
      </c>
      <c r="AD382" s="34">
        <f>IF(AB382&gt;AC382*1.05,AB382-AC382*1.05,IF(AB382&lt;AC382*0.95,AC382*0.95-AB382,0))</f>
        <v/>
      </c>
      <c r="AE382" s="34">
        <f>MAX(F382,G382,750)*0.05*AD382</f>
        <v/>
      </c>
      <c r="AF382" s="34">
        <f>'[1]GÖP VERİLERİ'!J383</f>
        <v/>
      </c>
      <c r="AG382" s="34">
        <f>IF(AB382&gt;AF382*1.05,AB382-AF382*1.05,IF(AB382&lt;AF382*0.95,AF382*0.95-AB382,0))</f>
        <v/>
      </c>
      <c r="AH382" s="34">
        <f>MAX(I382,J382,750)*0.05*AG382</f>
        <v/>
      </c>
      <c r="AI382">
        <f>'[1]GÖP VERİLERİ'!E383</f>
        <v/>
      </c>
      <c r="AJ382">
        <f>'[1]GÖP VERİLERİ'!F383</f>
        <v/>
      </c>
      <c r="AK382" s="34">
        <f>IF(AI382&gt;AJ382*1.05,AI382-AJ382*1.05,IF(AI382&lt;AJ382*0.95,AJ382*0.95-AI382,0))</f>
        <v/>
      </c>
      <c r="AL382" s="34">
        <f>MAX(F382,G382,750)*0.05*AK382</f>
        <v/>
      </c>
      <c r="AM382" s="39">
        <f>'[1]GÖP VERİLERİ'!G383</f>
        <v/>
      </c>
      <c r="AN382" s="34">
        <f>IF(AI382&gt;AM382*1.05,AI382-AM382*1.05,IF(AI382&lt;AM382*0.95,AM382*0.95-AI382,0))</f>
        <v/>
      </c>
      <c r="AO382" s="34">
        <f>MAX(F382,G382,750)*0.05*AN382</f>
        <v/>
      </c>
      <c r="AP382" s="34">
        <f>'[1]GÖP VERİLERİ'!B383</f>
        <v/>
      </c>
      <c r="AQ382" s="34">
        <f>'[1]GÖP VERİLERİ'!C383</f>
        <v/>
      </c>
      <c r="AR382" s="34">
        <f>IF(AP382&gt;AQ382*1.05,AP382-AQ382*1.05,IF(AP382&lt;AQ382*0.95,AQ382*0.95-AP382,0))</f>
        <v/>
      </c>
      <c r="AS382" s="34">
        <f>MAX(F382:G382,750)*0.05*AR382</f>
        <v/>
      </c>
      <c r="AT382">
        <f>'[1]GÖP VERİLERİ'!D383</f>
        <v/>
      </c>
      <c r="AU382" s="34">
        <f>IF(AP382&gt;AT382*1.05,AP382-AT382*1.05,IF(AP382&lt;AT382*0.95,AT382*0.95-AP382,0))</f>
        <v/>
      </c>
      <c r="AV382" s="34">
        <f>MAX(F382:G382,750)*0.05*AU382</f>
        <v/>
      </c>
      <c r="AW382" s="34">
        <f>AC382+AJ382+AQ382</f>
        <v/>
      </c>
      <c r="AX382" s="34">
        <f>AF382+AM382+AT382</f>
        <v/>
      </c>
      <c r="AY382" s="34">
        <f>AB382+AI382+AP382</f>
        <v/>
      </c>
      <c r="AZ382" s="34" t="n">
        <v>0</v>
      </c>
      <c r="BA382" s="34">
        <f>AD382+AK382+AR382</f>
        <v/>
      </c>
      <c r="BB382" s="34">
        <f>MAX(F382:G382,750)*0.05*BA382</f>
        <v/>
      </c>
      <c r="BC382" s="34">
        <f>AG382+AN382+AU382</f>
        <v/>
      </c>
      <c r="BD382" s="34">
        <f>MAX(F382:G382,750)*0.05*BC382</f>
        <v/>
      </c>
      <c r="BE382" s="34">
        <f>F382*AY382</f>
        <v/>
      </c>
      <c r="BF382" s="34">
        <f>K382-M382</f>
        <v/>
      </c>
      <c r="BG382" s="34">
        <f>P382-S382</f>
        <v/>
      </c>
      <c r="BH382" s="34">
        <f>W382-AA382</f>
        <v/>
      </c>
      <c r="BI382" s="34">
        <f>BF382+BG382+BL382-BN382</f>
        <v/>
      </c>
      <c r="BJ382" s="34">
        <f>ABS(BK382)</f>
        <v/>
      </c>
      <c r="BK382" s="34">
        <f>AY382-(J382-L382+N382-Q382)</f>
        <v/>
      </c>
      <c r="BL382" s="34">
        <f>IF(AND(BK382&gt;0,MIN($F382:$G382)&lt;150,$E382="Enerji Açığı"),-100*BK382*1.03,IF(AND(BK382&gt;0,MIN($F382:$G382)&lt;150,$E382="Enerji Fazlası"),-100*BK382*1.06,IF(AND(BK382&gt;0,MIN($F382:$G382)&gt;=150,$E382="Enerji Açığı"),BK382*MIN($F382:$G382)*0.97,IF(AND(BK382&gt;0,MIN($F382:$G382)&gt;=150,$E382="Enerji Fazlası"),BK382*MIN($F382:$G382)*0.94,IF(AND(BK382&lt;0,MAX($F382:$G382)=4500,$E382="Enerji Açığı"),4500*1.05*1.06*BK382,IF(AND(BK382&lt;0,MAX($F382:$G382)=4500,$E382="Enerji Fazlası"),4500*1.05*1.03*BK382,IF(AND(BK382&lt;0,$E382="Enerji Açığı"),MAX($F382,$G382,150)*BK382*1.06,IF(AND(BK382&lt;0,$E382="Enerji Fazlası"),MAX($F382,$G382,150)*BK382*1.03,IF(AND(BK382&lt;0,$E382="Dengede"),MAX($F382:$G382,150)*1.03*BK382,MIN($F382:$G382)*0.97*BK382)))))))))</f>
        <v/>
      </c>
      <c r="BM382" s="34">
        <f>BE382-BI382-BN382</f>
        <v/>
      </c>
      <c r="BN382" s="34">
        <f>BB382</f>
        <v/>
      </c>
      <c r="BO382" s="34">
        <f>BE382-BI382</f>
        <v/>
      </c>
      <c r="BP382" s="34">
        <f>IF(AY382=0,0,BO382/AY382)</f>
        <v/>
      </c>
      <c r="BQ382" s="34">
        <f>MAX((AY382+MAX((-J382+L382-N382+Q382),0)),(MAX((J382-L382+N382-Q382),0)))</f>
        <v/>
      </c>
      <c r="BR382" s="82">
        <f>IFERROR(ABS(BK382/BQ382),0)</f>
        <v/>
      </c>
      <c r="BS382" s="34">
        <f>IF(BR382&lt;=0.1,0,BK382/BR382*(BR382-0.1))</f>
        <v/>
      </c>
      <c r="BT382" s="34">
        <f>IF((BS382)&lt;0,MAX(F382:G382)*(BS382)*1.03,MIN(F382:G382)*(BS382)*0.97)</f>
        <v/>
      </c>
      <c r="BU382" s="34">
        <f>IF(BR382&gt;0.1,1,0)</f>
        <v/>
      </c>
      <c r="BV382" s="34">
        <f>BF382+BG382+BH382+BY382-CA382</f>
        <v/>
      </c>
      <c r="BW382" s="34">
        <f>ABS(BX382)</f>
        <v/>
      </c>
      <c r="BX382" s="34">
        <f>AY382-(J382-L382+N382-Q382+T382-X382)</f>
        <v/>
      </c>
      <c r="BY382" s="34">
        <f>IF(AND(BX382&gt;0,MIN($F382:$G382)&lt;150,$E382="Enerji Açığı"),-100*BX382*1.03,IF(AND(BX382&gt;0,MIN($F382:$G382)&lt;150,$E382="Enerji Fazlası"),-100*BX382*1.06,IF(AND(BX382&gt;0,MIN($F382:$G382)&gt;=150,$E382="Enerji Açığı"),BX382*MIN($F382:$G382)*0.97,IF(AND(BX382&gt;0,MIN($F382:$G382)&gt;=150,$E382="Enerji Fazlası"),BX382*MIN($F382:$G382)*0.94,IF(AND(BX382&lt;0,MAX($F382:$G382)=4500,$E382="Enerji Açığı"),4500*1.05*1.06*BX382,IF(AND(BX382&lt;0,MAX($F382:$G382)=4500,$E382="Enerji Fazlası"),4500*1.05*1.03*BX382,IF(AND(BX382&lt;0,$E382="Enerji Açığı"),MAX($F382,$G382,150)*BX382*1.06,IF(AND(BX382&lt;0,$E382="Enerji Fazlası"),MAX($F382,$G382,150)*BX382*1.03,IF(AND(BX382&lt;0,$E382="Dengede"),MAX($F382:$G382,150)*1.03*BX382,MIN($F382:$G382)*0.97*BX382)))))))))</f>
        <v/>
      </c>
      <c r="BZ382" s="34">
        <f>BE382-BV382-CA382</f>
        <v/>
      </c>
      <c r="CA382" s="34">
        <f>BD382</f>
        <v/>
      </c>
      <c r="CB382" s="33">
        <f>BE382-BV382</f>
        <v/>
      </c>
      <c r="CC382" s="34">
        <f>IF(AY382=0,0,CB382/AY382)</f>
        <v/>
      </c>
      <c r="CD382" s="34">
        <f>MAX((AY382+MAX((-J382+L382-N382+Q382-T382+X382),0)),(MAX((J382-L382+N382-Q382+T382-X382),0)))</f>
        <v/>
      </c>
      <c r="CE382" s="82">
        <f>IFERROR(ABS(BX382/CD382),0)</f>
        <v/>
      </c>
      <c r="CF382" s="34">
        <f>IF(CE382&lt;=0.1,0,BX382/CE382*(CE382-0.1))</f>
        <v/>
      </c>
      <c r="CG382" s="34">
        <f>IF((CF382)&lt;0,MAX(F382:G382)*(CF382)*1.03,MIN(F382:G382)*(CF382)*0.97)</f>
        <v/>
      </c>
      <c r="CH382" s="34">
        <f>IF(CE382&gt;0.1,1,0)</f>
        <v/>
      </c>
      <c r="CI382" s="34">
        <f>(F382*BX382)-BY382</f>
        <v/>
      </c>
      <c r="CJ382" s="34">
        <f>IF(AY382=0,0,CI382/AY382)</f>
        <v/>
      </c>
    </row>
    <row r="383">
      <c r="A383" s="29">
        <f>[1]FİYATLAR!A358</f>
        <v/>
      </c>
      <c r="B383" s="29">
        <f>[1]FİYATLAR!B358</f>
        <v/>
      </c>
      <c r="C383" s="35">
        <f>INT(A383)</f>
        <v/>
      </c>
      <c r="D383" s="36">
        <f>MONTH(A383)</f>
        <v/>
      </c>
      <c r="E383" s="147">
        <f>[1]FİYATLAR!G358</f>
        <v/>
      </c>
      <c r="F383" s="30">
        <f>[1]FİYATLAR!C358</f>
        <v/>
      </c>
      <c r="G383" s="30">
        <f>[1]FİYATLAR!E358</f>
        <v/>
      </c>
      <c r="H383" s="30">
        <f>[1]FİYATLAR!D358</f>
        <v/>
      </c>
      <c r="I383" s="30">
        <f>[1]FİYATLAR!F358</f>
        <v/>
      </c>
      <c r="J383" s="119" t="n">
        <v>0</v>
      </c>
      <c r="K383" s="34">
        <f>F383*J383</f>
        <v/>
      </c>
      <c r="L383" s="119" t="n"/>
      <c r="M383" s="34">
        <f>L383*F383</f>
        <v/>
      </c>
      <c r="N383" s="119" t="n"/>
      <c r="O383" s="34">
        <f>F383</f>
        <v/>
      </c>
      <c r="P383" s="34">
        <f>N383*O383</f>
        <v/>
      </c>
      <c r="Q383" s="117" t="n">
        <v>0</v>
      </c>
      <c r="R383" s="34">
        <f>F383</f>
        <v/>
      </c>
      <c r="S383" s="34">
        <f>R383*Q383</f>
        <v/>
      </c>
      <c r="T383" s="34">
        <f>SUMIFS('[1]GİP VERİLERİ'!$C:$C,'[1]GİP VERİLERİ'!$B:$B,A383,'[1]GİP VERİLERİ'!$M:$M,"40X000000104782K",'[1]GİP VERİLERİ'!$G:$G,"SELL")</f>
        <v/>
      </c>
      <c r="U383" s="34">
        <f>IFERROR(W383/T383,0)</f>
        <v/>
      </c>
      <c r="V383" s="34">
        <f>IF(U383=0,0,U383-F383)</f>
        <v/>
      </c>
      <c r="W383" s="34">
        <f>SUMIFS('[1]GİP VERİLERİ'!$O:$O,'[1]GİP VERİLERİ'!$B:$B,A383,'[1]GİP VERİLERİ'!$M:$M,"40X000000104782K",'[1]GİP VERİLERİ'!$G:$G,"SELL")</f>
        <v/>
      </c>
      <c r="X383" s="34">
        <f>SUMIFS('[1]GİP VERİLERİ'!$C:$C,'[1]GİP VERİLERİ'!$B:$B,A383,'[1]GİP VERİLERİ'!$M:$M,"40X000000104782K",'[1]GİP VERİLERİ'!$G:$G,"BUY")</f>
        <v/>
      </c>
      <c r="Y383" s="34">
        <f>IFERROR(AA383/X383,0)</f>
        <v/>
      </c>
      <c r="Z383" s="34">
        <f>IF(Y383=0,0,F383-Y383)</f>
        <v/>
      </c>
      <c r="AA383" s="34">
        <f>SUMIFS('[1]GİP VERİLERİ'!$O:$O,'[1]GİP VERİLERİ'!$B:$B,A383,'[1]GİP VERİLERİ'!$M:$M,"40X000000104782K",'[1]GİP VERİLERİ'!$G:$G,"BUY")</f>
        <v/>
      </c>
      <c r="AB383" s="34">
        <f>'[1]GÖP VERİLERİ'!H384</f>
        <v/>
      </c>
      <c r="AC383" s="34">
        <f>'[1]GÖP VERİLERİ'!I384</f>
        <v/>
      </c>
      <c r="AD383" s="34">
        <f>IF(AB383&gt;AC383*1.05,AB383-AC383*1.05,IF(AB383&lt;AC383*0.95,AC383*0.95-AB383,0))</f>
        <v/>
      </c>
      <c r="AE383" s="34">
        <f>MAX(F383,G383,750)*0.05*AD383</f>
        <v/>
      </c>
      <c r="AF383" s="34">
        <f>'[1]GÖP VERİLERİ'!J384</f>
        <v/>
      </c>
      <c r="AG383" s="34">
        <f>IF(AB383&gt;AF383*1.05,AB383-AF383*1.05,IF(AB383&lt;AF383*0.95,AF383*0.95-AB383,0))</f>
        <v/>
      </c>
      <c r="AH383" s="34">
        <f>MAX(I383,J383,750)*0.05*AG383</f>
        <v/>
      </c>
      <c r="AI383">
        <f>'[1]GÖP VERİLERİ'!E384</f>
        <v/>
      </c>
      <c r="AJ383">
        <f>'[1]GÖP VERİLERİ'!F384</f>
        <v/>
      </c>
      <c r="AK383" s="34">
        <f>IF(AI383&gt;AJ383*1.05,AI383-AJ383*1.05,IF(AI383&lt;AJ383*0.95,AJ383*0.95-AI383,0))</f>
        <v/>
      </c>
      <c r="AL383" s="34">
        <f>MAX(F383,G383,750)*0.05*AK383</f>
        <v/>
      </c>
      <c r="AM383" s="39">
        <f>'[1]GÖP VERİLERİ'!G384</f>
        <v/>
      </c>
      <c r="AN383" s="34">
        <f>IF(AI383&gt;AM383*1.05,AI383-AM383*1.05,IF(AI383&lt;AM383*0.95,AM383*0.95-AI383,0))</f>
        <v/>
      </c>
      <c r="AO383" s="34">
        <f>MAX(F383,G383,750)*0.05*AN383</f>
        <v/>
      </c>
      <c r="AP383" s="34">
        <f>'[1]GÖP VERİLERİ'!B384</f>
        <v/>
      </c>
      <c r="AQ383" s="34">
        <f>'[1]GÖP VERİLERİ'!C384</f>
        <v/>
      </c>
      <c r="AR383" s="34">
        <f>IF(AP383&gt;AQ383*1.05,AP383-AQ383*1.05,IF(AP383&lt;AQ383*0.95,AQ383*0.95-AP383,0))</f>
        <v/>
      </c>
      <c r="AS383" s="34">
        <f>MAX(F383:G383,750)*0.05*AR383</f>
        <v/>
      </c>
      <c r="AT383">
        <f>'[1]GÖP VERİLERİ'!D384</f>
        <v/>
      </c>
      <c r="AU383" s="34">
        <f>IF(AP383&gt;AT383*1.05,AP383-AT383*1.05,IF(AP383&lt;AT383*0.95,AT383*0.95-AP383,0))</f>
        <v/>
      </c>
      <c r="AV383" s="34">
        <f>MAX(F383:G383,750)*0.05*AU383</f>
        <v/>
      </c>
      <c r="AW383" s="34">
        <f>AC383+AJ383+AQ383</f>
        <v/>
      </c>
      <c r="AX383" s="34">
        <f>AF383+AM383+AT383</f>
        <v/>
      </c>
      <c r="AY383" s="34">
        <f>AB383+AI383+AP383</f>
        <v/>
      </c>
      <c r="AZ383" s="34" t="n">
        <v>0</v>
      </c>
      <c r="BA383" s="34">
        <f>AD383+AK383+AR383</f>
        <v/>
      </c>
      <c r="BB383" s="34">
        <f>MAX(F383:G383,750)*0.05*BA383</f>
        <v/>
      </c>
      <c r="BC383" s="34">
        <f>AG383+AN383+AU383</f>
        <v/>
      </c>
      <c r="BD383" s="34">
        <f>MAX(F383:G383,750)*0.05*BC383</f>
        <v/>
      </c>
      <c r="BE383" s="34">
        <f>F383*AY383</f>
        <v/>
      </c>
      <c r="BF383" s="34">
        <f>K383-M383</f>
        <v/>
      </c>
      <c r="BG383" s="34">
        <f>P383-S383</f>
        <v/>
      </c>
      <c r="BH383" s="34">
        <f>W383-AA383</f>
        <v/>
      </c>
      <c r="BI383" s="34">
        <f>BF383+BG383+BL383-BN383</f>
        <v/>
      </c>
      <c r="BJ383" s="34">
        <f>ABS(BK383)</f>
        <v/>
      </c>
      <c r="BK383" s="34">
        <f>AY383-(J383-L383+N383-Q383)</f>
        <v/>
      </c>
      <c r="BL383" s="34">
        <f>IF(AND(BK383&gt;0,MIN($F383:$G383)&lt;150,$E383="Enerji Açığı"),-100*BK383*1.03,IF(AND(BK383&gt;0,MIN($F383:$G383)&lt;150,$E383="Enerji Fazlası"),-100*BK383*1.06,IF(AND(BK383&gt;0,MIN($F383:$G383)&gt;=150,$E383="Enerji Açığı"),BK383*MIN($F383:$G383)*0.97,IF(AND(BK383&gt;0,MIN($F383:$G383)&gt;=150,$E383="Enerji Fazlası"),BK383*MIN($F383:$G383)*0.94,IF(AND(BK383&lt;0,MAX($F383:$G383)=4500,$E383="Enerji Açığı"),4500*1.05*1.06*BK383,IF(AND(BK383&lt;0,MAX($F383:$G383)=4500,$E383="Enerji Fazlası"),4500*1.05*1.03*BK383,IF(AND(BK383&lt;0,$E383="Enerji Açığı"),MAX($F383,$G383,150)*BK383*1.06,IF(AND(BK383&lt;0,$E383="Enerji Fazlası"),MAX($F383,$G383,150)*BK383*1.03,IF(AND(BK383&lt;0,$E383="Dengede"),MAX($F383:$G383,150)*1.03*BK383,MIN($F383:$G383)*0.97*BK383)))))))))</f>
        <v/>
      </c>
      <c r="BM383" s="34">
        <f>BE383-BI383-BN383</f>
        <v/>
      </c>
      <c r="BN383" s="34">
        <f>BB383</f>
        <v/>
      </c>
      <c r="BO383" s="34">
        <f>BE383-BI383</f>
        <v/>
      </c>
      <c r="BP383" s="34">
        <f>IF(AY383=0,0,BO383/AY383)</f>
        <v/>
      </c>
      <c r="BQ383" s="34">
        <f>MAX((AY383+MAX((-J383+L383-N383+Q383),0)),(MAX((J383-L383+N383-Q383),0)))</f>
        <v/>
      </c>
      <c r="BR383" s="82">
        <f>IFERROR(ABS(BK383/BQ383),0)</f>
        <v/>
      </c>
      <c r="BS383" s="34">
        <f>IF(BR383&lt;=0.1,0,BK383/BR383*(BR383-0.1))</f>
        <v/>
      </c>
      <c r="BT383" s="34">
        <f>IF((BS383)&lt;0,MAX(F383:G383)*(BS383)*1.03,MIN(F383:G383)*(BS383)*0.97)</f>
        <v/>
      </c>
      <c r="BU383" s="34">
        <f>IF(BR383&gt;0.1,1,0)</f>
        <v/>
      </c>
      <c r="BV383" s="34">
        <f>BF383+BG383+BH383+BY383-CA383</f>
        <v/>
      </c>
      <c r="BW383" s="34">
        <f>ABS(BX383)</f>
        <v/>
      </c>
      <c r="BX383" s="34">
        <f>AY383-(J383-L383+N383-Q383+T383-X383)</f>
        <v/>
      </c>
      <c r="BY383" s="34">
        <f>IF(AND(BX383&gt;0,MIN($F383:$G383)&lt;150,$E383="Enerji Açığı"),-100*BX383*1.03,IF(AND(BX383&gt;0,MIN($F383:$G383)&lt;150,$E383="Enerji Fazlası"),-100*BX383*1.06,IF(AND(BX383&gt;0,MIN($F383:$G383)&gt;=150,$E383="Enerji Açığı"),BX383*MIN($F383:$G383)*0.97,IF(AND(BX383&gt;0,MIN($F383:$G383)&gt;=150,$E383="Enerji Fazlası"),BX383*MIN($F383:$G383)*0.94,IF(AND(BX383&lt;0,MAX($F383:$G383)=4500,$E383="Enerji Açığı"),4500*1.05*1.06*BX383,IF(AND(BX383&lt;0,MAX($F383:$G383)=4500,$E383="Enerji Fazlası"),4500*1.05*1.03*BX383,IF(AND(BX383&lt;0,$E383="Enerji Açığı"),MAX($F383,$G383,150)*BX383*1.06,IF(AND(BX383&lt;0,$E383="Enerji Fazlası"),MAX($F383,$G383,150)*BX383*1.03,IF(AND(BX383&lt;0,$E383="Dengede"),MAX($F383:$G383,150)*1.03*BX383,MIN($F383:$G383)*0.97*BX383)))))))))</f>
        <v/>
      </c>
      <c r="BZ383" s="34">
        <f>BE383-BV383-CA383</f>
        <v/>
      </c>
      <c r="CA383" s="34">
        <f>BD383</f>
        <v/>
      </c>
      <c r="CB383" s="33">
        <f>BE383-BV383</f>
        <v/>
      </c>
      <c r="CC383" s="34">
        <f>IF(AY383=0,0,CB383/AY383)</f>
        <v/>
      </c>
      <c r="CD383" s="34">
        <f>MAX((AY383+MAX((-J383+L383-N383+Q383-T383+X383),0)),(MAX((J383-L383+N383-Q383+T383-X383),0)))</f>
        <v/>
      </c>
      <c r="CE383" s="82">
        <f>IFERROR(ABS(BX383/CD383),0)</f>
        <v/>
      </c>
      <c r="CF383" s="34">
        <f>IF(CE383&lt;=0.1,0,BX383/CE383*(CE383-0.1))</f>
        <v/>
      </c>
      <c r="CG383" s="34">
        <f>IF((CF383)&lt;0,MAX(F383:G383)*(CF383)*1.03,MIN(F383:G383)*(CF383)*0.97)</f>
        <v/>
      </c>
      <c r="CH383" s="34">
        <f>IF(CE383&gt;0.1,1,0)</f>
        <v/>
      </c>
      <c r="CI383" s="34">
        <f>(F383*BX383)-BY383</f>
        <v/>
      </c>
      <c r="CJ383" s="34">
        <f>IF(AY383=0,0,CI383/AY383)</f>
        <v/>
      </c>
    </row>
    <row r="384">
      <c r="A384" s="29">
        <f>[1]FİYATLAR!A359</f>
        <v/>
      </c>
      <c r="B384" s="29">
        <f>[1]FİYATLAR!B359</f>
        <v/>
      </c>
      <c r="C384" s="35">
        <f>INT(A384)</f>
        <v/>
      </c>
      <c r="D384" s="36">
        <f>MONTH(A384)</f>
        <v/>
      </c>
      <c r="E384" s="147">
        <f>[1]FİYATLAR!G359</f>
        <v/>
      </c>
      <c r="F384" s="30">
        <f>[1]FİYATLAR!C359</f>
        <v/>
      </c>
      <c r="G384" s="30">
        <f>[1]FİYATLAR!E359</f>
        <v/>
      </c>
      <c r="H384" s="30">
        <f>[1]FİYATLAR!D359</f>
        <v/>
      </c>
      <c r="I384" s="30">
        <f>[1]FİYATLAR!F359</f>
        <v/>
      </c>
      <c r="J384" s="119" t="n">
        <v>0</v>
      </c>
      <c r="K384" s="34">
        <f>F384*J384</f>
        <v/>
      </c>
      <c r="L384" s="119" t="n"/>
      <c r="M384" s="34">
        <f>L384*F384</f>
        <v/>
      </c>
      <c r="N384" s="119" t="n"/>
      <c r="O384" s="34">
        <f>F384</f>
        <v/>
      </c>
      <c r="P384" s="34">
        <f>N384*O384</f>
        <v/>
      </c>
      <c r="Q384" s="117" t="n">
        <v>0</v>
      </c>
      <c r="R384" s="34">
        <f>F384</f>
        <v/>
      </c>
      <c r="S384" s="34">
        <f>R384*Q384</f>
        <v/>
      </c>
      <c r="T384" s="34">
        <f>SUMIFS('[1]GİP VERİLERİ'!$C:$C,'[1]GİP VERİLERİ'!$B:$B,A384,'[1]GİP VERİLERİ'!$M:$M,"40X000000104782K",'[1]GİP VERİLERİ'!$G:$G,"SELL")</f>
        <v/>
      </c>
      <c r="U384" s="34">
        <f>IFERROR(W384/T384,0)</f>
        <v/>
      </c>
      <c r="V384" s="34">
        <f>IF(U384=0,0,U384-F384)</f>
        <v/>
      </c>
      <c r="W384" s="34">
        <f>SUMIFS('[1]GİP VERİLERİ'!$O:$O,'[1]GİP VERİLERİ'!$B:$B,A384,'[1]GİP VERİLERİ'!$M:$M,"40X000000104782K",'[1]GİP VERİLERİ'!$G:$G,"SELL")</f>
        <v/>
      </c>
      <c r="X384" s="34">
        <f>SUMIFS('[1]GİP VERİLERİ'!$C:$C,'[1]GİP VERİLERİ'!$B:$B,A384,'[1]GİP VERİLERİ'!$M:$M,"40X000000104782K",'[1]GİP VERİLERİ'!$G:$G,"BUY")</f>
        <v/>
      </c>
      <c r="Y384" s="34">
        <f>IFERROR(AA384/X384,0)</f>
        <v/>
      </c>
      <c r="Z384" s="34">
        <f>IF(Y384=0,0,F384-Y384)</f>
        <v/>
      </c>
      <c r="AA384" s="34">
        <f>SUMIFS('[1]GİP VERİLERİ'!$O:$O,'[1]GİP VERİLERİ'!$B:$B,A384,'[1]GİP VERİLERİ'!$M:$M,"40X000000104782K",'[1]GİP VERİLERİ'!$G:$G,"BUY")</f>
        <v/>
      </c>
      <c r="AB384" s="34">
        <f>'[1]GÖP VERİLERİ'!H385</f>
        <v/>
      </c>
      <c r="AC384" s="34">
        <f>'[1]GÖP VERİLERİ'!I385</f>
        <v/>
      </c>
      <c r="AD384" s="34">
        <f>IF(AB384&gt;AC384*1.05,AB384-AC384*1.05,IF(AB384&lt;AC384*0.95,AC384*0.95-AB384,0))</f>
        <v/>
      </c>
      <c r="AE384" s="34">
        <f>MAX(F384,G384,750)*0.05*AD384</f>
        <v/>
      </c>
      <c r="AF384" s="34">
        <f>'[1]GÖP VERİLERİ'!J385</f>
        <v/>
      </c>
      <c r="AG384" s="34">
        <f>IF(AB384&gt;AF384*1.05,AB384-AF384*1.05,IF(AB384&lt;AF384*0.95,AF384*0.95-AB384,0))</f>
        <v/>
      </c>
      <c r="AH384" s="34">
        <f>MAX(I384,J384,750)*0.05*AG384</f>
        <v/>
      </c>
      <c r="AI384">
        <f>'[1]GÖP VERİLERİ'!E385</f>
        <v/>
      </c>
      <c r="AJ384">
        <f>'[1]GÖP VERİLERİ'!F385</f>
        <v/>
      </c>
      <c r="AK384" s="34">
        <f>IF(AI384&gt;AJ384*1.05,AI384-AJ384*1.05,IF(AI384&lt;AJ384*0.95,AJ384*0.95-AI384,0))</f>
        <v/>
      </c>
      <c r="AL384" s="34">
        <f>MAX(F384,G384,750)*0.05*AK384</f>
        <v/>
      </c>
      <c r="AM384" s="39">
        <f>'[1]GÖP VERİLERİ'!G385</f>
        <v/>
      </c>
      <c r="AN384" s="34">
        <f>IF(AI384&gt;AM384*1.05,AI384-AM384*1.05,IF(AI384&lt;AM384*0.95,AM384*0.95-AI384,0))</f>
        <v/>
      </c>
      <c r="AO384" s="34">
        <f>MAX(F384,G384,750)*0.05*AN384</f>
        <v/>
      </c>
      <c r="AP384" s="34">
        <f>'[1]GÖP VERİLERİ'!B385</f>
        <v/>
      </c>
      <c r="AQ384" s="34">
        <f>'[1]GÖP VERİLERİ'!C385</f>
        <v/>
      </c>
      <c r="AR384" s="34">
        <f>IF(AP384&gt;AQ384*1.05,AP384-AQ384*1.05,IF(AP384&lt;AQ384*0.95,AQ384*0.95-AP384,0))</f>
        <v/>
      </c>
      <c r="AS384" s="34">
        <f>MAX(F384:G384,750)*0.05*AR384</f>
        <v/>
      </c>
      <c r="AT384">
        <f>'[1]GÖP VERİLERİ'!D385</f>
        <v/>
      </c>
      <c r="AU384" s="34">
        <f>IF(AP384&gt;AT384*1.05,AP384-AT384*1.05,IF(AP384&lt;AT384*0.95,AT384*0.95-AP384,0))</f>
        <v/>
      </c>
      <c r="AV384" s="34">
        <f>MAX(F384:G384,750)*0.05*AU384</f>
        <v/>
      </c>
      <c r="AW384" s="34">
        <f>AC384+AJ384+AQ384</f>
        <v/>
      </c>
      <c r="AX384" s="34">
        <f>AF384+AM384+AT384</f>
        <v/>
      </c>
      <c r="AY384" s="34">
        <f>AB384+AI384+AP384</f>
        <v/>
      </c>
      <c r="AZ384" s="34" t="n">
        <v>0</v>
      </c>
      <c r="BA384" s="34">
        <f>AD384+AK384+AR384</f>
        <v/>
      </c>
      <c r="BB384" s="34">
        <f>MAX(F384:G384,750)*0.05*BA384</f>
        <v/>
      </c>
      <c r="BC384" s="34">
        <f>AG384+AN384+AU384</f>
        <v/>
      </c>
      <c r="BD384" s="34">
        <f>MAX(F384:G384,750)*0.05*BC384</f>
        <v/>
      </c>
      <c r="BE384" s="34">
        <f>F384*AY384</f>
        <v/>
      </c>
      <c r="BF384" s="34">
        <f>K384-M384</f>
        <v/>
      </c>
      <c r="BG384" s="34">
        <f>P384-S384</f>
        <v/>
      </c>
      <c r="BH384" s="34">
        <f>W384-AA384</f>
        <v/>
      </c>
      <c r="BI384" s="34">
        <f>BF384+BG384+BL384-BN384</f>
        <v/>
      </c>
      <c r="BJ384" s="34">
        <f>ABS(BK384)</f>
        <v/>
      </c>
      <c r="BK384" s="34">
        <f>AY384-(J384-L384+N384-Q384)</f>
        <v/>
      </c>
      <c r="BL384" s="34">
        <f>IF(AND(BK384&gt;0,MIN($F384:$G384)&lt;150,$E384="Enerji Açığı"),-100*BK384*1.03,IF(AND(BK384&gt;0,MIN($F384:$G384)&lt;150,$E384="Enerji Fazlası"),-100*BK384*1.06,IF(AND(BK384&gt;0,MIN($F384:$G384)&gt;=150,$E384="Enerji Açığı"),BK384*MIN($F384:$G384)*0.97,IF(AND(BK384&gt;0,MIN($F384:$G384)&gt;=150,$E384="Enerji Fazlası"),BK384*MIN($F384:$G384)*0.94,IF(AND(BK384&lt;0,MAX($F384:$G384)=4500,$E384="Enerji Açığı"),4500*1.05*1.06*BK384,IF(AND(BK384&lt;0,MAX($F384:$G384)=4500,$E384="Enerji Fazlası"),4500*1.05*1.03*BK384,IF(AND(BK384&lt;0,$E384="Enerji Açığı"),MAX($F384,$G384,150)*BK384*1.06,IF(AND(BK384&lt;0,$E384="Enerji Fazlası"),MAX($F384,$G384,150)*BK384*1.03,IF(AND(BK384&lt;0,$E384="Dengede"),MAX($F384:$G384,150)*1.03*BK384,MIN($F384:$G384)*0.97*BK384)))))))))</f>
        <v/>
      </c>
      <c r="BM384" s="34">
        <f>BE384-BI384-BN384</f>
        <v/>
      </c>
      <c r="BN384" s="34">
        <f>BB384</f>
        <v/>
      </c>
      <c r="BO384" s="34">
        <f>BE384-BI384</f>
        <v/>
      </c>
      <c r="BP384" s="34">
        <f>IF(AY384=0,0,BO384/AY384)</f>
        <v/>
      </c>
      <c r="BQ384" s="34">
        <f>MAX((AY384+MAX((-J384+L384-N384+Q384),0)),(MAX((J384-L384+N384-Q384),0)))</f>
        <v/>
      </c>
      <c r="BR384" s="82">
        <f>IFERROR(ABS(BK384/BQ384),0)</f>
        <v/>
      </c>
      <c r="BS384" s="34">
        <f>IF(BR384&lt;=0.1,0,BK384/BR384*(BR384-0.1))</f>
        <v/>
      </c>
      <c r="BT384" s="34">
        <f>IF((BS384)&lt;0,MAX(F384:G384)*(BS384)*1.03,MIN(F384:G384)*(BS384)*0.97)</f>
        <v/>
      </c>
      <c r="BU384" s="34">
        <f>IF(BR384&gt;0.1,1,0)</f>
        <v/>
      </c>
      <c r="BV384" s="34">
        <f>BF384+BG384+BH384+BY384-CA384</f>
        <v/>
      </c>
      <c r="BW384" s="34">
        <f>ABS(BX384)</f>
        <v/>
      </c>
      <c r="BX384" s="34">
        <f>AY384-(J384-L384+N384-Q384+T384-X384)</f>
        <v/>
      </c>
      <c r="BY384" s="34">
        <f>IF(AND(BX384&gt;0,MIN($F384:$G384)&lt;150,$E384="Enerji Açığı"),-100*BX384*1.03,IF(AND(BX384&gt;0,MIN($F384:$G384)&lt;150,$E384="Enerji Fazlası"),-100*BX384*1.06,IF(AND(BX384&gt;0,MIN($F384:$G384)&gt;=150,$E384="Enerji Açığı"),BX384*MIN($F384:$G384)*0.97,IF(AND(BX384&gt;0,MIN($F384:$G384)&gt;=150,$E384="Enerji Fazlası"),BX384*MIN($F384:$G384)*0.94,IF(AND(BX384&lt;0,MAX($F384:$G384)=4500,$E384="Enerji Açığı"),4500*1.05*1.06*BX384,IF(AND(BX384&lt;0,MAX($F384:$G384)=4500,$E384="Enerji Fazlası"),4500*1.05*1.03*BX384,IF(AND(BX384&lt;0,$E384="Enerji Açığı"),MAX($F384,$G384,150)*BX384*1.06,IF(AND(BX384&lt;0,$E384="Enerji Fazlası"),MAX($F384,$G384,150)*BX384*1.03,IF(AND(BX384&lt;0,$E384="Dengede"),MAX($F384:$G384,150)*1.03*BX384,MIN($F384:$G384)*0.97*BX384)))))))))</f>
        <v/>
      </c>
      <c r="BZ384" s="34">
        <f>BE384-BV384-CA384</f>
        <v/>
      </c>
      <c r="CA384" s="34">
        <f>BD384</f>
        <v/>
      </c>
      <c r="CB384" s="33">
        <f>BE384-BV384</f>
        <v/>
      </c>
      <c r="CC384" s="34">
        <f>IF(AY384=0,0,CB384/AY384)</f>
        <v/>
      </c>
      <c r="CD384" s="34">
        <f>MAX((AY384+MAX((-J384+L384-N384+Q384-T384+X384),0)),(MAX((J384-L384+N384-Q384+T384-X384),0)))</f>
        <v/>
      </c>
      <c r="CE384" s="82">
        <f>IFERROR(ABS(BX384/CD384),0)</f>
        <v/>
      </c>
      <c r="CF384" s="34">
        <f>IF(CE384&lt;=0.1,0,BX384/CE384*(CE384-0.1))</f>
        <v/>
      </c>
      <c r="CG384" s="34">
        <f>IF((CF384)&lt;0,MAX(F384:G384)*(CF384)*1.03,MIN(F384:G384)*(CF384)*0.97)</f>
        <v/>
      </c>
      <c r="CH384" s="34">
        <f>IF(CE384&gt;0.1,1,0)</f>
        <v/>
      </c>
      <c r="CI384" s="34">
        <f>(F384*BX384)-BY384</f>
        <v/>
      </c>
      <c r="CJ384" s="34">
        <f>IF(AY384=0,0,CI384/AY384)</f>
        <v/>
      </c>
    </row>
    <row r="385">
      <c r="A385" s="29">
        <f>[1]FİYATLAR!A360</f>
        <v/>
      </c>
      <c r="B385" s="29">
        <f>[1]FİYATLAR!B360</f>
        <v/>
      </c>
      <c r="C385" s="35">
        <f>INT(A385)</f>
        <v/>
      </c>
      <c r="D385" s="36">
        <f>MONTH(A385)</f>
        <v/>
      </c>
      <c r="E385" s="147">
        <f>[1]FİYATLAR!G360</f>
        <v/>
      </c>
      <c r="F385" s="30">
        <f>[1]FİYATLAR!C360</f>
        <v/>
      </c>
      <c r="G385" s="30">
        <f>[1]FİYATLAR!E360</f>
        <v/>
      </c>
      <c r="H385" s="30">
        <f>[1]FİYATLAR!D360</f>
        <v/>
      </c>
      <c r="I385" s="30">
        <f>[1]FİYATLAR!F360</f>
        <v/>
      </c>
      <c r="J385" s="119" t="n">
        <v>0</v>
      </c>
      <c r="K385" s="34">
        <f>F385*J385</f>
        <v/>
      </c>
      <c r="L385" s="119" t="n"/>
      <c r="M385" s="34">
        <f>L385*F385</f>
        <v/>
      </c>
      <c r="N385" s="119" t="n"/>
      <c r="O385" s="34">
        <f>F385</f>
        <v/>
      </c>
      <c r="P385" s="34">
        <f>N385*O385</f>
        <v/>
      </c>
      <c r="Q385" s="117" t="n">
        <v>0</v>
      </c>
      <c r="R385" s="34">
        <f>F385</f>
        <v/>
      </c>
      <c r="S385" s="34">
        <f>R385*Q385</f>
        <v/>
      </c>
      <c r="T385" s="34">
        <f>SUMIFS('[1]GİP VERİLERİ'!$C:$C,'[1]GİP VERİLERİ'!$B:$B,A385,'[1]GİP VERİLERİ'!$M:$M,"40X000000104782K",'[1]GİP VERİLERİ'!$G:$G,"SELL")</f>
        <v/>
      </c>
      <c r="U385" s="34">
        <f>IFERROR(W385/T385,0)</f>
        <v/>
      </c>
      <c r="V385" s="34">
        <f>IF(U385=0,0,U385-F385)</f>
        <v/>
      </c>
      <c r="W385" s="34">
        <f>SUMIFS('[1]GİP VERİLERİ'!$O:$O,'[1]GİP VERİLERİ'!$B:$B,A385,'[1]GİP VERİLERİ'!$M:$M,"40X000000104782K",'[1]GİP VERİLERİ'!$G:$G,"SELL")</f>
        <v/>
      </c>
      <c r="X385" s="34">
        <f>SUMIFS('[1]GİP VERİLERİ'!$C:$C,'[1]GİP VERİLERİ'!$B:$B,A385,'[1]GİP VERİLERİ'!$M:$M,"40X000000104782K",'[1]GİP VERİLERİ'!$G:$G,"BUY")</f>
        <v/>
      </c>
      <c r="Y385" s="34">
        <f>IFERROR(AA385/X385,0)</f>
        <v/>
      </c>
      <c r="Z385" s="34">
        <f>IF(Y385=0,0,F385-Y385)</f>
        <v/>
      </c>
      <c r="AA385" s="34">
        <f>SUMIFS('[1]GİP VERİLERİ'!$O:$O,'[1]GİP VERİLERİ'!$B:$B,A385,'[1]GİP VERİLERİ'!$M:$M,"40X000000104782K",'[1]GİP VERİLERİ'!$G:$G,"BUY")</f>
        <v/>
      </c>
      <c r="AB385" s="34">
        <f>'[1]GÖP VERİLERİ'!H386</f>
        <v/>
      </c>
      <c r="AC385" s="34">
        <f>'[1]GÖP VERİLERİ'!I386</f>
        <v/>
      </c>
      <c r="AD385" s="34">
        <f>IF(AB385&gt;AC385*1.05,AB385-AC385*1.05,IF(AB385&lt;AC385*0.95,AC385*0.95-AB385,0))</f>
        <v/>
      </c>
      <c r="AE385" s="34">
        <f>MAX(F385,G385,750)*0.05*AD385</f>
        <v/>
      </c>
      <c r="AF385" s="34">
        <f>'[1]GÖP VERİLERİ'!J386</f>
        <v/>
      </c>
      <c r="AG385" s="34">
        <f>IF(AB385&gt;AF385*1.05,AB385-AF385*1.05,IF(AB385&lt;AF385*0.95,AF385*0.95-AB385,0))</f>
        <v/>
      </c>
      <c r="AH385" s="34">
        <f>MAX(I385,J385,750)*0.05*AG385</f>
        <v/>
      </c>
      <c r="AI385">
        <f>'[1]GÖP VERİLERİ'!E386</f>
        <v/>
      </c>
      <c r="AJ385">
        <f>'[1]GÖP VERİLERİ'!F386</f>
        <v/>
      </c>
      <c r="AK385" s="34">
        <f>IF(AI385&gt;AJ385*1.05,AI385-AJ385*1.05,IF(AI385&lt;AJ385*0.95,AJ385*0.95-AI385,0))</f>
        <v/>
      </c>
      <c r="AL385" s="34">
        <f>MAX(F385,G385,750)*0.05*AK385</f>
        <v/>
      </c>
      <c r="AM385" s="39">
        <f>'[1]GÖP VERİLERİ'!G386</f>
        <v/>
      </c>
      <c r="AN385" s="34">
        <f>IF(AI385&gt;AM385*1.05,AI385-AM385*1.05,IF(AI385&lt;AM385*0.95,AM385*0.95-AI385,0))</f>
        <v/>
      </c>
      <c r="AO385" s="34">
        <f>MAX(F385,G385,750)*0.05*AN385</f>
        <v/>
      </c>
      <c r="AP385" s="34">
        <f>'[1]GÖP VERİLERİ'!B386</f>
        <v/>
      </c>
      <c r="AQ385" s="34">
        <f>'[1]GÖP VERİLERİ'!C386</f>
        <v/>
      </c>
      <c r="AR385" s="34">
        <f>IF(AP385&gt;AQ385*1.05,AP385-AQ385*1.05,IF(AP385&lt;AQ385*0.95,AQ385*0.95-AP385,0))</f>
        <v/>
      </c>
      <c r="AS385" s="34">
        <f>MAX(F385:G385,750)*0.05*AR385</f>
        <v/>
      </c>
      <c r="AT385">
        <f>'[1]GÖP VERİLERİ'!D386</f>
        <v/>
      </c>
      <c r="AU385" s="34">
        <f>IF(AP385&gt;AT385*1.05,AP385-AT385*1.05,IF(AP385&lt;AT385*0.95,AT385*0.95-AP385,0))</f>
        <v/>
      </c>
      <c r="AV385" s="34">
        <f>MAX(F385:G385,750)*0.05*AU385</f>
        <v/>
      </c>
      <c r="AW385" s="34">
        <f>AC385+AJ385+AQ385</f>
        <v/>
      </c>
      <c r="AX385" s="34">
        <f>AF385+AM385+AT385</f>
        <v/>
      </c>
      <c r="AY385" s="34">
        <f>AB385+AI385+AP385</f>
        <v/>
      </c>
      <c r="AZ385" s="34" t="n">
        <v>0</v>
      </c>
      <c r="BA385" s="34">
        <f>AD385+AK385+AR385</f>
        <v/>
      </c>
      <c r="BB385" s="34">
        <f>MAX(F385:G385,750)*0.05*BA385</f>
        <v/>
      </c>
      <c r="BC385" s="34">
        <f>AG385+AN385+AU385</f>
        <v/>
      </c>
      <c r="BD385" s="34">
        <f>MAX(F385:G385,750)*0.05*BC385</f>
        <v/>
      </c>
      <c r="BE385" s="34">
        <f>F385*AY385</f>
        <v/>
      </c>
      <c r="BF385" s="34">
        <f>K385-M385</f>
        <v/>
      </c>
      <c r="BG385" s="34">
        <f>P385-S385</f>
        <v/>
      </c>
      <c r="BH385" s="34">
        <f>W385-AA385</f>
        <v/>
      </c>
      <c r="BI385" s="34">
        <f>BF385+BG385+BL385-BN385</f>
        <v/>
      </c>
      <c r="BJ385" s="34">
        <f>ABS(BK385)</f>
        <v/>
      </c>
      <c r="BK385" s="34">
        <f>AY385-(J385-L385+N385-Q385)</f>
        <v/>
      </c>
      <c r="BL385" s="34">
        <f>IF(AND(BK385&gt;0,MIN($F385:$G385)&lt;150,$E385="Enerji Açığı"),-100*BK385*1.03,IF(AND(BK385&gt;0,MIN($F385:$G385)&lt;150,$E385="Enerji Fazlası"),-100*BK385*1.06,IF(AND(BK385&gt;0,MIN($F385:$G385)&gt;=150,$E385="Enerji Açığı"),BK385*MIN($F385:$G385)*0.97,IF(AND(BK385&gt;0,MIN($F385:$G385)&gt;=150,$E385="Enerji Fazlası"),BK385*MIN($F385:$G385)*0.94,IF(AND(BK385&lt;0,MAX($F385:$G385)=4500,$E385="Enerji Açığı"),4500*1.05*1.06*BK385,IF(AND(BK385&lt;0,MAX($F385:$G385)=4500,$E385="Enerji Fazlası"),4500*1.05*1.03*BK385,IF(AND(BK385&lt;0,$E385="Enerji Açığı"),MAX($F385,$G385,150)*BK385*1.06,IF(AND(BK385&lt;0,$E385="Enerji Fazlası"),MAX($F385,$G385,150)*BK385*1.03,IF(AND(BK385&lt;0,$E385="Dengede"),MAX($F385:$G385,150)*1.03*BK385,MIN($F385:$G385)*0.97*BK385)))))))))</f>
        <v/>
      </c>
      <c r="BM385" s="34">
        <f>BE385-BI385-BN385</f>
        <v/>
      </c>
      <c r="BN385" s="34">
        <f>BB385</f>
        <v/>
      </c>
      <c r="BO385" s="34">
        <f>BE385-BI385</f>
        <v/>
      </c>
      <c r="BP385" s="34">
        <f>IF(AY385=0,0,BO385/AY385)</f>
        <v/>
      </c>
      <c r="BQ385" s="34">
        <f>MAX((AY385+MAX((-J385+L385-N385+Q385),0)),(MAX((J385-L385+N385-Q385),0)))</f>
        <v/>
      </c>
      <c r="BR385" s="82">
        <f>IFERROR(ABS(BK385/BQ385),0)</f>
        <v/>
      </c>
      <c r="BS385" s="34">
        <f>IF(BR385&lt;=0.1,0,BK385/BR385*(BR385-0.1))</f>
        <v/>
      </c>
      <c r="BT385" s="34">
        <f>IF((BS385)&lt;0,MAX(F385:G385)*(BS385)*1.03,MIN(F385:G385)*(BS385)*0.97)</f>
        <v/>
      </c>
      <c r="BU385" s="34">
        <f>IF(BR385&gt;0.1,1,0)</f>
        <v/>
      </c>
      <c r="BV385" s="34">
        <f>BF385+BG385+BH385+BY385-CA385</f>
        <v/>
      </c>
      <c r="BW385" s="34">
        <f>ABS(BX385)</f>
        <v/>
      </c>
      <c r="BX385" s="34">
        <f>AY385-(J385-L385+N385-Q385+T385-X385)</f>
        <v/>
      </c>
      <c r="BY385" s="34">
        <f>IF(AND(BX385&gt;0,MIN($F385:$G385)&lt;150,$E385="Enerji Açığı"),-100*BX385*1.03,IF(AND(BX385&gt;0,MIN($F385:$G385)&lt;150,$E385="Enerji Fazlası"),-100*BX385*1.06,IF(AND(BX385&gt;0,MIN($F385:$G385)&gt;=150,$E385="Enerji Açığı"),BX385*MIN($F385:$G385)*0.97,IF(AND(BX385&gt;0,MIN($F385:$G385)&gt;=150,$E385="Enerji Fazlası"),BX385*MIN($F385:$G385)*0.94,IF(AND(BX385&lt;0,MAX($F385:$G385)=4500,$E385="Enerji Açığı"),4500*1.05*1.06*BX385,IF(AND(BX385&lt;0,MAX($F385:$G385)=4500,$E385="Enerji Fazlası"),4500*1.05*1.03*BX385,IF(AND(BX385&lt;0,$E385="Enerji Açığı"),MAX($F385,$G385,150)*BX385*1.06,IF(AND(BX385&lt;0,$E385="Enerji Fazlası"),MAX($F385,$G385,150)*BX385*1.03,IF(AND(BX385&lt;0,$E385="Dengede"),MAX($F385:$G385,150)*1.03*BX385,MIN($F385:$G385)*0.97*BX385)))))))))</f>
        <v/>
      </c>
      <c r="BZ385" s="34">
        <f>BE385-BV385-CA385</f>
        <v/>
      </c>
      <c r="CA385" s="34">
        <f>BD385</f>
        <v/>
      </c>
      <c r="CB385" s="33">
        <f>BE385-BV385</f>
        <v/>
      </c>
      <c r="CC385" s="34">
        <f>IF(AY385=0,0,CB385/AY385)</f>
        <v/>
      </c>
      <c r="CD385" s="34">
        <f>MAX((AY385+MAX((-J385+L385-N385+Q385-T385+X385),0)),(MAX((J385-L385+N385-Q385+T385-X385),0)))</f>
        <v/>
      </c>
      <c r="CE385" s="82">
        <f>IFERROR(ABS(BX385/CD385),0)</f>
        <v/>
      </c>
      <c r="CF385" s="34">
        <f>IF(CE385&lt;=0.1,0,BX385/CE385*(CE385-0.1))</f>
        <v/>
      </c>
      <c r="CG385" s="34">
        <f>IF((CF385)&lt;0,MAX(F385:G385)*(CF385)*1.03,MIN(F385:G385)*(CF385)*0.97)</f>
        <v/>
      </c>
      <c r="CH385" s="34">
        <f>IF(CE385&gt;0.1,1,0)</f>
        <v/>
      </c>
      <c r="CI385" s="34">
        <f>(F385*BX385)-BY385</f>
        <v/>
      </c>
      <c r="CJ385" s="34">
        <f>IF(AY385=0,0,CI385/AY385)</f>
        <v/>
      </c>
    </row>
    <row r="386">
      <c r="A386" s="29">
        <f>[1]FİYATLAR!A361</f>
        <v/>
      </c>
      <c r="B386" s="29">
        <f>[1]FİYATLAR!B361</f>
        <v/>
      </c>
      <c r="C386" s="35">
        <f>INT(A386)</f>
        <v/>
      </c>
      <c r="D386" s="36">
        <f>MONTH(A386)</f>
        <v/>
      </c>
      <c r="E386" s="147">
        <f>[1]FİYATLAR!G361</f>
        <v/>
      </c>
      <c r="F386" s="30">
        <f>[1]FİYATLAR!C361</f>
        <v/>
      </c>
      <c r="G386" s="30">
        <f>[1]FİYATLAR!E361</f>
        <v/>
      </c>
      <c r="H386" s="30">
        <f>[1]FİYATLAR!D361</f>
        <v/>
      </c>
      <c r="I386" s="30">
        <f>[1]FİYATLAR!F361</f>
        <v/>
      </c>
      <c r="J386" s="119" t="n">
        <v>0</v>
      </c>
      <c r="K386" s="34">
        <f>F386*J386</f>
        <v/>
      </c>
      <c r="L386" s="119" t="n"/>
      <c r="M386" s="34">
        <f>L386*F386</f>
        <v/>
      </c>
      <c r="N386" s="119" t="n"/>
      <c r="O386" s="34">
        <f>F386</f>
        <v/>
      </c>
      <c r="P386" s="34">
        <f>N386*O386</f>
        <v/>
      </c>
      <c r="Q386" s="117" t="n">
        <v>0</v>
      </c>
      <c r="R386" s="34">
        <f>F386</f>
        <v/>
      </c>
      <c r="S386" s="34">
        <f>R386*Q386</f>
        <v/>
      </c>
      <c r="T386" s="34">
        <f>SUMIFS('[1]GİP VERİLERİ'!$C:$C,'[1]GİP VERİLERİ'!$B:$B,A386,'[1]GİP VERİLERİ'!$M:$M,"40X000000104782K",'[1]GİP VERİLERİ'!$G:$G,"SELL")</f>
        <v/>
      </c>
      <c r="U386" s="34">
        <f>IFERROR(W386/T386,0)</f>
        <v/>
      </c>
      <c r="V386" s="34">
        <f>IF(U386=0,0,U386-F386)</f>
        <v/>
      </c>
      <c r="W386" s="34">
        <f>SUMIFS('[1]GİP VERİLERİ'!$O:$O,'[1]GİP VERİLERİ'!$B:$B,A386,'[1]GİP VERİLERİ'!$M:$M,"40X000000104782K",'[1]GİP VERİLERİ'!$G:$G,"SELL")</f>
        <v/>
      </c>
      <c r="X386" s="34">
        <f>SUMIFS('[1]GİP VERİLERİ'!$C:$C,'[1]GİP VERİLERİ'!$B:$B,A386,'[1]GİP VERİLERİ'!$M:$M,"40X000000104782K",'[1]GİP VERİLERİ'!$G:$G,"BUY")</f>
        <v/>
      </c>
      <c r="Y386" s="34">
        <f>IFERROR(AA386/X386,0)</f>
        <v/>
      </c>
      <c r="Z386" s="34">
        <f>IF(Y386=0,0,F386-Y386)</f>
        <v/>
      </c>
      <c r="AA386" s="34">
        <f>SUMIFS('[1]GİP VERİLERİ'!$O:$O,'[1]GİP VERİLERİ'!$B:$B,A386,'[1]GİP VERİLERİ'!$M:$M,"40X000000104782K",'[1]GİP VERİLERİ'!$G:$G,"BUY")</f>
        <v/>
      </c>
      <c r="AB386" s="34">
        <f>'[1]GÖP VERİLERİ'!H387</f>
        <v/>
      </c>
      <c r="AC386" s="34">
        <f>'[1]GÖP VERİLERİ'!I387</f>
        <v/>
      </c>
      <c r="AD386" s="34">
        <f>IF(AB386&gt;AC386*1.05,AB386-AC386*1.05,IF(AB386&lt;AC386*0.95,AC386*0.95-AB386,0))</f>
        <v/>
      </c>
      <c r="AE386" s="34">
        <f>MAX(F386,G386,750)*0.05*AD386</f>
        <v/>
      </c>
      <c r="AF386" s="34">
        <f>'[1]GÖP VERİLERİ'!J387</f>
        <v/>
      </c>
      <c r="AG386" s="34">
        <f>IF(AB386&gt;AF386*1.05,AB386-AF386*1.05,IF(AB386&lt;AF386*0.95,AF386*0.95-AB386,0))</f>
        <v/>
      </c>
      <c r="AH386" s="34">
        <f>MAX(I386,J386,750)*0.05*AG386</f>
        <v/>
      </c>
      <c r="AI386">
        <f>'[1]GÖP VERİLERİ'!E387</f>
        <v/>
      </c>
      <c r="AJ386">
        <f>'[1]GÖP VERİLERİ'!F387</f>
        <v/>
      </c>
      <c r="AK386" s="34">
        <f>IF(AI386&gt;AJ386*1.05,AI386-AJ386*1.05,IF(AI386&lt;AJ386*0.95,AJ386*0.95-AI386,0))</f>
        <v/>
      </c>
      <c r="AL386" s="34">
        <f>MAX(F386,G386,750)*0.05*AK386</f>
        <v/>
      </c>
      <c r="AM386" s="39">
        <f>'[1]GÖP VERİLERİ'!G387</f>
        <v/>
      </c>
      <c r="AN386" s="34">
        <f>IF(AI386&gt;AM386*1.05,AI386-AM386*1.05,IF(AI386&lt;AM386*0.95,AM386*0.95-AI386,0))</f>
        <v/>
      </c>
      <c r="AO386" s="34">
        <f>MAX(F386,G386,750)*0.05*AN386</f>
        <v/>
      </c>
      <c r="AP386" s="34">
        <f>'[1]GÖP VERİLERİ'!B387</f>
        <v/>
      </c>
      <c r="AQ386" s="34">
        <f>'[1]GÖP VERİLERİ'!C387</f>
        <v/>
      </c>
      <c r="AR386" s="34">
        <f>IF(AP386&gt;AQ386*1.05,AP386-AQ386*1.05,IF(AP386&lt;AQ386*0.95,AQ386*0.95-AP386,0))</f>
        <v/>
      </c>
      <c r="AS386" s="34">
        <f>MAX(F386:G386,750)*0.05*AR386</f>
        <v/>
      </c>
      <c r="AT386">
        <f>'[1]GÖP VERİLERİ'!D387</f>
        <v/>
      </c>
      <c r="AU386" s="34">
        <f>IF(AP386&gt;AT386*1.05,AP386-AT386*1.05,IF(AP386&lt;AT386*0.95,AT386*0.95-AP386,0))</f>
        <v/>
      </c>
      <c r="AV386" s="34">
        <f>MAX(F386:G386,750)*0.05*AU386</f>
        <v/>
      </c>
      <c r="AW386" s="34">
        <f>AC386+AJ386+AQ386</f>
        <v/>
      </c>
      <c r="AX386" s="34">
        <f>AF386+AM386+AT386</f>
        <v/>
      </c>
      <c r="AY386" s="34">
        <f>AB386+AI386+AP386</f>
        <v/>
      </c>
      <c r="AZ386" s="34" t="n">
        <v>0</v>
      </c>
      <c r="BA386" s="34">
        <f>AD386+AK386+AR386</f>
        <v/>
      </c>
      <c r="BB386" s="34">
        <f>MAX(F386:G386,750)*0.05*BA386</f>
        <v/>
      </c>
      <c r="BC386" s="34">
        <f>AG386+AN386+AU386</f>
        <v/>
      </c>
      <c r="BD386" s="34">
        <f>MAX(F386:G386,750)*0.05*BC386</f>
        <v/>
      </c>
      <c r="BE386" s="34">
        <f>F386*AY386</f>
        <v/>
      </c>
      <c r="BF386" s="34">
        <f>K386-M386</f>
        <v/>
      </c>
      <c r="BG386" s="34">
        <f>P386-S386</f>
        <v/>
      </c>
      <c r="BH386" s="34">
        <f>W386-AA386</f>
        <v/>
      </c>
      <c r="BI386" s="34">
        <f>BF386+BG386+BL386-BN386</f>
        <v/>
      </c>
      <c r="BJ386" s="34">
        <f>ABS(BK386)</f>
        <v/>
      </c>
      <c r="BK386" s="34">
        <f>AY386-(J386-L386+N386-Q386)</f>
        <v/>
      </c>
      <c r="BL386" s="34">
        <f>IF(AND(BK386&gt;0,MIN($F386:$G386)&lt;150,$E386="Enerji Açığı"),-100*BK386*1.03,IF(AND(BK386&gt;0,MIN($F386:$G386)&lt;150,$E386="Enerji Fazlası"),-100*BK386*1.06,IF(AND(BK386&gt;0,MIN($F386:$G386)&gt;=150,$E386="Enerji Açığı"),BK386*MIN($F386:$G386)*0.97,IF(AND(BK386&gt;0,MIN($F386:$G386)&gt;=150,$E386="Enerji Fazlası"),BK386*MIN($F386:$G386)*0.94,IF(AND(BK386&lt;0,MAX($F386:$G386)=4500,$E386="Enerji Açığı"),4500*1.05*1.06*BK386,IF(AND(BK386&lt;0,MAX($F386:$G386)=4500,$E386="Enerji Fazlası"),4500*1.05*1.03*BK386,IF(AND(BK386&lt;0,$E386="Enerji Açığı"),MAX($F386,$G386,150)*BK386*1.06,IF(AND(BK386&lt;0,$E386="Enerji Fazlası"),MAX($F386,$G386,150)*BK386*1.03,IF(AND(BK386&lt;0,$E386="Dengede"),MAX($F386:$G386,150)*1.03*BK386,MIN($F386:$G386)*0.97*BK386)))))))))</f>
        <v/>
      </c>
      <c r="BM386" s="34">
        <f>BE386-BI386-BN386</f>
        <v/>
      </c>
      <c r="BN386" s="34">
        <f>BB386</f>
        <v/>
      </c>
      <c r="BO386" s="34">
        <f>BE386-BI386</f>
        <v/>
      </c>
      <c r="BP386" s="34">
        <f>IF(AY386=0,0,BO386/AY386)</f>
        <v/>
      </c>
      <c r="BQ386" s="34">
        <f>MAX((AY386+MAX((-J386+L386-N386+Q386),0)),(MAX((J386-L386+N386-Q386),0)))</f>
        <v/>
      </c>
      <c r="BR386" s="82">
        <f>IFERROR(ABS(BK386/BQ386),0)</f>
        <v/>
      </c>
      <c r="BS386" s="34">
        <f>IF(BR386&lt;=0.1,0,BK386/BR386*(BR386-0.1))</f>
        <v/>
      </c>
      <c r="BT386" s="34">
        <f>IF((BS386)&lt;0,MAX(F386:G386)*(BS386)*1.03,MIN(F386:G386)*(BS386)*0.97)</f>
        <v/>
      </c>
      <c r="BU386" s="34">
        <f>IF(BR386&gt;0.1,1,0)</f>
        <v/>
      </c>
      <c r="BV386" s="34">
        <f>BF386+BG386+BH386+BY386-CA386</f>
        <v/>
      </c>
      <c r="BW386" s="34">
        <f>ABS(BX386)</f>
        <v/>
      </c>
      <c r="BX386" s="34">
        <f>AY386-(J386-L386+N386-Q386+T386-X386)</f>
        <v/>
      </c>
      <c r="BY386" s="34">
        <f>IF(AND(BX386&gt;0,MIN($F386:$G386)&lt;150,$E386="Enerji Açığı"),-100*BX386*1.03,IF(AND(BX386&gt;0,MIN($F386:$G386)&lt;150,$E386="Enerji Fazlası"),-100*BX386*1.06,IF(AND(BX386&gt;0,MIN($F386:$G386)&gt;=150,$E386="Enerji Açığı"),BX386*MIN($F386:$G386)*0.97,IF(AND(BX386&gt;0,MIN($F386:$G386)&gt;=150,$E386="Enerji Fazlası"),BX386*MIN($F386:$G386)*0.94,IF(AND(BX386&lt;0,MAX($F386:$G386)=4500,$E386="Enerji Açığı"),4500*1.05*1.06*BX386,IF(AND(BX386&lt;0,MAX($F386:$G386)=4500,$E386="Enerji Fazlası"),4500*1.05*1.03*BX386,IF(AND(BX386&lt;0,$E386="Enerji Açığı"),MAX($F386,$G386,150)*BX386*1.06,IF(AND(BX386&lt;0,$E386="Enerji Fazlası"),MAX($F386,$G386,150)*BX386*1.03,IF(AND(BX386&lt;0,$E386="Dengede"),MAX($F386:$G386,150)*1.03*BX386,MIN($F386:$G386)*0.97*BX386)))))))))</f>
        <v/>
      </c>
      <c r="BZ386" s="34">
        <f>BE386-BV386-CA386</f>
        <v/>
      </c>
      <c r="CA386" s="34">
        <f>BD386</f>
        <v/>
      </c>
      <c r="CB386" s="33">
        <f>BE386-BV386</f>
        <v/>
      </c>
      <c r="CC386" s="34">
        <f>IF(AY386=0,0,CB386/AY386)</f>
        <v/>
      </c>
      <c r="CD386" s="34">
        <f>MAX((AY386+MAX((-J386+L386-N386+Q386-T386+X386),0)),(MAX((J386-L386+N386-Q386+T386-X386),0)))</f>
        <v/>
      </c>
      <c r="CE386" s="82">
        <f>IFERROR(ABS(BX386/CD386),0)</f>
        <v/>
      </c>
      <c r="CF386" s="34">
        <f>IF(CE386&lt;=0.1,0,BX386/CE386*(CE386-0.1))</f>
        <v/>
      </c>
      <c r="CG386" s="34">
        <f>IF((CF386)&lt;0,MAX(F386:G386)*(CF386)*1.03,MIN(F386:G386)*(CF386)*0.97)</f>
        <v/>
      </c>
      <c r="CH386" s="34">
        <f>IF(CE386&gt;0.1,1,0)</f>
        <v/>
      </c>
      <c r="CI386" s="34">
        <f>(F386*BX386)-BY386</f>
        <v/>
      </c>
      <c r="CJ386" s="34">
        <f>IF(AY386=0,0,CI386/AY386)</f>
        <v/>
      </c>
    </row>
    <row r="387">
      <c r="A387" s="29">
        <f>[1]FİYATLAR!A362</f>
        <v/>
      </c>
      <c r="B387" s="29">
        <f>[1]FİYATLAR!B362</f>
        <v/>
      </c>
      <c r="C387" s="35">
        <f>INT(A387)</f>
        <v/>
      </c>
      <c r="D387" s="36">
        <f>MONTH(A387)</f>
        <v/>
      </c>
      <c r="E387" s="147">
        <f>[1]FİYATLAR!G362</f>
        <v/>
      </c>
      <c r="F387" s="30">
        <f>[1]FİYATLAR!C362</f>
        <v/>
      </c>
      <c r="G387" s="30">
        <f>[1]FİYATLAR!E362</f>
        <v/>
      </c>
      <c r="H387" s="30">
        <f>[1]FİYATLAR!D362</f>
        <v/>
      </c>
      <c r="I387" s="30">
        <f>[1]FİYATLAR!F362</f>
        <v/>
      </c>
      <c r="J387" s="119" t="n">
        <v>0</v>
      </c>
      <c r="K387" s="34">
        <f>F387*J387</f>
        <v/>
      </c>
      <c r="L387" s="119" t="n"/>
      <c r="M387" s="34">
        <f>L387*F387</f>
        <v/>
      </c>
      <c r="N387" s="119" t="n"/>
      <c r="O387" s="34">
        <f>F387</f>
        <v/>
      </c>
      <c r="P387" s="34">
        <f>N387*O387</f>
        <v/>
      </c>
      <c r="Q387" s="117" t="n">
        <v>0</v>
      </c>
      <c r="R387" s="34">
        <f>F387</f>
        <v/>
      </c>
      <c r="S387" s="34">
        <f>R387*Q387</f>
        <v/>
      </c>
      <c r="T387" s="34">
        <f>SUMIFS('[1]GİP VERİLERİ'!$C:$C,'[1]GİP VERİLERİ'!$B:$B,A387,'[1]GİP VERİLERİ'!$M:$M,"40X000000104782K",'[1]GİP VERİLERİ'!$G:$G,"SELL")</f>
        <v/>
      </c>
      <c r="U387" s="34">
        <f>IFERROR(W387/T387,0)</f>
        <v/>
      </c>
      <c r="V387" s="34">
        <f>IF(U387=0,0,U387-F387)</f>
        <v/>
      </c>
      <c r="W387" s="34">
        <f>SUMIFS('[1]GİP VERİLERİ'!$O:$O,'[1]GİP VERİLERİ'!$B:$B,A387,'[1]GİP VERİLERİ'!$M:$M,"40X000000104782K",'[1]GİP VERİLERİ'!$G:$G,"SELL")</f>
        <v/>
      </c>
      <c r="X387" s="34">
        <f>SUMIFS('[1]GİP VERİLERİ'!$C:$C,'[1]GİP VERİLERİ'!$B:$B,A387,'[1]GİP VERİLERİ'!$M:$M,"40X000000104782K",'[1]GİP VERİLERİ'!$G:$G,"BUY")</f>
        <v/>
      </c>
      <c r="Y387" s="34">
        <f>IFERROR(AA387/X387,0)</f>
        <v/>
      </c>
      <c r="Z387" s="34">
        <f>IF(Y387=0,0,F387-Y387)</f>
        <v/>
      </c>
      <c r="AA387" s="34">
        <f>SUMIFS('[1]GİP VERİLERİ'!$O:$O,'[1]GİP VERİLERİ'!$B:$B,A387,'[1]GİP VERİLERİ'!$M:$M,"40X000000104782K",'[1]GİP VERİLERİ'!$G:$G,"BUY")</f>
        <v/>
      </c>
      <c r="AB387" s="34">
        <f>'[1]GÖP VERİLERİ'!H388</f>
        <v/>
      </c>
      <c r="AC387" s="34">
        <f>'[1]GÖP VERİLERİ'!I388</f>
        <v/>
      </c>
      <c r="AD387" s="34">
        <f>IF(AB387&gt;AC387*1.05,AB387-AC387*1.05,IF(AB387&lt;AC387*0.95,AC387*0.95-AB387,0))</f>
        <v/>
      </c>
      <c r="AE387" s="34">
        <f>MAX(F387,G387,750)*0.05*AD387</f>
        <v/>
      </c>
      <c r="AF387" s="34">
        <f>'[1]GÖP VERİLERİ'!J388</f>
        <v/>
      </c>
      <c r="AG387" s="34">
        <f>IF(AB387&gt;AF387*1.05,AB387-AF387*1.05,IF(AB387&lt;AF387*0.95,AF387*0.95-AB387,0))</f>
        <v/>
      </c>
      <c r="AH387" s="34">
        <f>MAX(I387,J387,750)*0.05*AG387</f>
        <v/>
      </c>
      <c r="AI387">
        <f>'[1]GÖP VERİLERİ'!E388</f>
        <v/>
      </c>
      <c r="AJ387">
        <f>'[1]GÖP VERİLERİ'!F388</f>
        <v/>
      </c>
      <c r="AK387" s="34">
        <f>IF(AI387&gt;AJ387*1.05,AI387-AJ387*1.05,IF(AI387&lt;AJ387*0.95,AJ387*0.95-AI387,0))</f>
        <v/>
      </c>
      <c r="AL387" s="34">
        <f>MAX(F387,G387,750)*0.05*AK387</f>
        <v/>
      </c>
      <c r="AM387" s="39">
        <f>'[1]GÖP VERİLERİ'!G388</f>
        <v/>
      </c>
      <c r="AN387" s="34">
        <f>IF(AI387&gt;AM387*1.05,AI387-AM387*1.05,IF(AI387&lt;AM387*0.95,AM387*0.95-AI387,0))</f>
        <v/>
      </c>
      <c r="AO387" s="34">
        <f>MAX(F387,G387,750)*0.05*AN387</f>
        <v/>
      </c>
      <c r="AP387" s="34">
        <f>'[1]GÖP VERİLERİ'!B388</f>
        <v/>
      </c>
      <c r="AQ387" s="34">
        <f>'[1]GÖP VERİLERİ'!C388</f>
        <v/>
      </c>
      <c r="AR387" s="34">
        <f>IF(AP387&gt;AQ387*1.05,AP387-AQ387*1.05,IF(AP387&lt;AQ387*0.95,AQ387*0.95-AP387,0))</f>
        <v/>
      </c>
      <c r="AS387" s="34">
        <f>MAX(F387:G387,750)*0.05*AR387</f>
        <v/>
      </c>
      <c r="AT387">
        <f>'[1]GÖP VERİLERİ'!D388</f>
        <v/>
      </c>
      <c r="AU387" s="34">
        <f>IF(AP387&gt;AT387*1.05,AP387-AT387*1.05,IF(AP387&lt;AT387*0.95,AT387*0.95-AP387,0))</f>
        <v/>
      </c>
      <c r="AV387" s="34">
        <f>MAX(F387:G387,750)*0.05*AU387</f>
        <v/>
      </c>
      <c r="AW387" s="34">
        <f>AC387+AJ387+AQ387</f>
        <v/>
      </c>
      <c r="AX387" s="34">
        <f>AF387+AM387+AT387</f>
        <v/>
      </c>
      <c r="AY387" s="34">
        <f>AB387+AI387+AP387</f>
        <v/>
      </c>
      <c r="AZ387" s="34" t="n">
        <v>0</v>
      </c>
      <c r="BA387" s="34">
        <f>AD387+AK387+AR387</f>
        <v/>
      </c>
      <c r="BB387" s="34">
        <f>MAX(F387:G387,750)*0.05*BA387</f>
        <v/>
      </c>
      <c r="BC387" s="34">
        <f>AG387+AN387+AU387</f>
        <v/>
      </c>
      <c r="BD387" s="34">
        <f>MAX(F387:G387,750)*0.05*BC387</f>
        <v/>
      </c>
      <c r="BE387" s="34">
        <f>F387*AY387</f>
        <v/>
      </c>
      <c r="BF387" s="34">
        <f>K387-M387</f>
        <v/>
      </c>
      <c r="BG387" s="34">
        <f>P387-S387</f>
        <v/>
      </c>
      <c r="BH387" s="34">
        <f>W387-AA387</f>
        <v/>
      </c>
      <c r="BI387" s="34">
        <f>BF387+BG387+BL387-BN387</f>
        <v/>
      </c>
      <c r="BJ387" s="34">
        <f>ABS(BK387)</f>
        <v/>
      </c>
      <c r="BK387" s="34">
        <f>AY387-(J387-L387+N387-Q387)</f>
        <v/>
      </c>
      <c r="BL387" s="34">
        <f>IF(AND(BK387&gt;0,MIN($F387:$G387)&lt;150,$E387="Enerji Açığı"),-100*BK387*1.03,IF(AND(BK387&gt;0,MIN($F387:$G387)&lt;150,$E387="Enerji Fazlası"),-100*BK387*1.06,IF(AND(BK387&gt;0,MIN($F387:$G387)&gt;=150,$E387="Enerji Açığı"),BK387*MIN($F387:$G387)*0.97,IF(AND(BK387&gt;0,MIN($F387:$G387)&gt;=150,$E387="Enerji Fazlası"),BK387*MIN($F387:$G387)*0.94,IF(AND(BK387&lt;0,MAX($F387:$G387)=4500,$E387="Enerji Açığı"),4500*1.05*1.06*BK387,IF(AND(BK387&lt;0,MAX($F387:$G387)=4500,$E387="Enerji Fazlası"),4500*1.05*1.03*BK387,IF(AND(BK387&lt;0,$E387="Enerji Açığı"),MAX($F387,$G387,150)*BK387*1.06,IF(AND(BK387&lt;0,$E387="Enerji Fazlası"),MAX($F387,$G387,150)*BK387*1.03,IF(AND(BK387&lt;0,$E387="Dengede"),MAX($F387:$G387,150)*1.03*BK387,MIN($F387:$G387)*0.97*BK387)))))))))</f>
        <v/>
      </c>
      <c r="BM387" s="34">
        <f>BE387-BI387-BN387</f>
        <v/>
      </c>
      <c r="BN387" s="34">
        <f>BB387</f>
        <v/>
      </c>
      <c r="BO387" s="34">
        <f>BE387-BI387</f>
        <v/>
      </c>
      <c r="BP387" s="34">
        <f>IF(AY387=0,0,BO387/AY387)</f>
        <v/>
      </c>
      <c r="BQ387" s="34">
        <f>MAX((AY387+MAX((-J387+L387-N387+Q387),0)),(MAX((J387-L387+N387-Q387),0)))</f>
        <v/>
      </c>
      <c r="BR387" s="82">
        <f>IFERROR(ABS(BK387/BQ387),0)</f>
        <v/>
      </c>
      <c r="BS387" s="34">
        <f>IF(BR387&lt;=0.1,0,BK387/BR387*(BR387-0.1))</f>
        <v/>
      </c>
      <c r="BT387" s="34">
        <f>IF((BS387)&lt;0,MAX(F387:G387)*(BS387)*1.03,MIN(F387:G387)*(BS387)*0.97)</f>
        <v/>
      </c>
      <c r="BU387" s="34">
        <f>IF(BR387&gt;0.1,1,0)</f>
        <v/>
      </c>
      <c r="BV387" s="34">
        <f>BF387+BG387+BH387+BY387-CA387</f>
        <v/>
      </c>
      <c r="BW387" s="34">
        <f>ABS(BX387)</f>
        <v/>
      </c>
      <c r="BX387" s="34">
        <f>AY387-(J387-L387+N387-Q387+T387-X387)</f>
        <v/>
      </c>
      <c r="BY387" s="34">
        <f>IF(AND(BX387&gt;0,MIN($F387:$G387)&lt;150,$E387="Enerji Açığı"),-100*BX387*1.03,IF(AND(BX387&gt;0,MIN($F387:$G387)&lt;150,$E387="Enerji Fazlası"),-100*BX387*1.06,IF(AND(BX387&gt;0,MIN($F387:$G387)&gt;=150,$E387="Enerji Açığı"),BX387*MIN($F387:$G387)*0.97,IF(AND(BX387&gt;0,MIN($F387:$G387)&gt;=150,$E387="Enerji Fazlası"),BX387*MIN($F387:$G387)*0.94,IF(AND(BX387&lt;0,MAX($F387:$G387)=4500,$E387="Enerji Açığı"),4500*1.05*1.06*BX387,IF(AND(BX387&lt;0,MAX($F387:$G387)=4500,$E387="Enerji Fazlası"),4500*1.05*1.03*BX387,IF(AND(BX387&lt;0,$E387="Enerji Açığı"),MAX($F387,$G387,150)*BX387*1.06,IF(AND(BX387&lt;0,$E387="Enerji Fazlası"),MAX($F387,$G387,150)*BX387*1.03,IF(AND(BX387&lt;0,$E387="Dengede"),MAX($F387:$G387,150)*1.03*BX387,MIN($F387:$G387)*0.97*BX387)))))))))</f>
        <v/>
      </c>
      <c r="BZ387" s="34">
        <f>BE387-BV387-CA387</f>
        <v/>
      </c>
      <c r="CA387" s="34">
        <f>BD387</f>
        <v/>
      </c>
      <c r="CB387" s="33">
        <f>BE387-BV387</f>
        <v/>
      </c>
      <c r="CC387" s="34">
        <f>IF(AY387=0,0,CB387/AY387)</f>
        <v/>
      </c>
      <c r="CD387" s="34">
        <f>MAX((AY387+MAX((-J387+L387-N387+Q387-T387+X387),0)),(MAX((J387-L387+N387-Q387+T387-X387),0)))</f>
        <v/>
      </c>
      <c r="CE387" s="82">
        <f>IFERROR(ABS(BX387/CD387),0)</f>
        <v/>
      </c>
      <c r="CF387" s="34">
        <f>IF(CE387&lt;=0.1,0,BX387/CE387*(CE387-0.1))</f>
        <v/>
      </c>
      <c r="CG387" s="34">
        <f>IF((CF387)&lt;0,MAX(F387:G387)*(CF387)*1.03,MIN(F387:G387)*(CF387)*0.97)</f>
        <v/>
      </c>
      <c r="CH387" s="34">
        <f>IF(CE387&gt;0.1,1,0)</f>
        <v/>
      </c>
      <c r="CI387" s="34">
        <f>(F387*BX387)-BY387</f>
        <v/>
      </c>
      <c r="CJ387" s="34">
        <f>IF(AY387=0,0,CI387/AY387)</f>
        <v/>
      </c>
    </row>
    <row r="388">
      <c r="A388" s="29">
        <f>[1]FİYATLAR!A363</f>
        <v/>
      </c>
      <c r="B388" s="29">
        <f>[1]FİYATLAR!B363</f>
        <v/>
      </c>
      <c r="C388" s="35">
        <f>INT(A388)</f>
        <v/>
      </c>
      <c r="D388" s="36">
        <f>MONTH(A388)</f>
        <v/>
      </c>
      <c r="E388" s="147">
        <f>[1]FİYATLAR!G363</f>
        <v/>
      </c>
      <c r="F388" s="30">
        <f>[1]FİYATLAR!C363</f>
        <v/>
      </c>
      <c r="G388" s="30">
        <f>[1]FİYATLAR!E363</f>
        <v/>
      </c>
      <c r="H388" s="30">
        <f>[1]FİYATLAR!D363</f>
        <v/>
      </c>
      <c r="I388" s="30">
        <f>[1]FİYATLAR!F363</f>
        <v/>
      </c>
      <c r="J388" s="119" t="n">
        <v>0</v>
      </c>
      <c r="K388" s="34">
        <f>F388*J388</f>
        <v/>
      </c>
      <c r="L388" s="119" t="n"/>
      <c r="M388" s="34">
        <f>L388*F388</f>
        <v/>
      </c>
      <c r="N388" s="119" t="n"/>
      <c r="O388" s="34">
        <f>F388</f>
        <v/>
      </c>
      <c r="P388" s="34">
        <f>N388*O388</f>
        <v/>
      </c>
      <c r="Q388" s="117" t="n">
        <v>0</v>
      </c>
      <c r="R388" s="34">
        <f>F388</f>
        <v/>
      </c>
      <c r="S388" s="34">
        <f>R388*Q388</f>
        <v/>
      </c>
      <c r="T388" s="34">
        <f>SUMIFS('[1]GİP VERİLERİ'!$C:$C,'[1]GİP VERİLERİ'!$B:$B,A388,'[1]GİP VERİLERİ'!$M:$M,"40X000000104782K",'[1]GİP VERİLERİ'!$G:$G,"SELL")</f>
        <v/>
      </c>
      <c r="U388" s="34">
        <f>IFERROR(W388/T388,0)</f>
        <v/>
      </c>
      <c r="V388" s="34">
        <f>IF(U388=0,0,U388-F388)</f>
        <v/>
      </c>
      <c r="W388" s="34">
        <f>SUMIFS('[1]GİP VERİLERİ'!$O:$O,'[1]GİP VERİLERİ'!$B:$B,A388,'[1]GİP VERİLERİ'!$M:$M,"40X000000104782K",'[1]GİP VERİLERİ'!$G:$G,"SELL")</f>
        <v/>
      </c>
      <c r="X388" s="34">
        <f>SUMIFS('[1]GİP VERİLERİ'!$C:$C,'[1]GİP VERİLERİ'!$B:$B,A388,'[1]GİP VERİLERİ'!$M:$M,"40X000000104782K",'[1]GİP VERİLERİ'!$G:$G,"BUY")</f>
        <v/>
      </c>
      <c r="Y388" s="34">
        <f>IFERROR(AA388/X388,0)</f>
        <v/>
      </c>
      <c r="Z388" s="34">
        <f>IF(Y388=0,0,F388-Y388)</f>
        <v/>
      </c>
      <c r="AA388" s="34">
        <f>SUMIFS('[1]GİP VERİLERİ'!$O:$O,'[1]GİP VERİLERİ'!$B:$B,A388,'[1]GİP VERİLERİ'!$M:$M,"40X000000104782K",'[1]GİP VERİLERİ'!$G:$G,"BUY")</f>
        <v/>
      </c>
      <c r="AB388" s="34">
        <f>'[1]GÖP VERİLERİ'!H389</f>
        <v/>
      </c>
      <c r="AC388" s="34">
        <f>'[1]GÖP VERİLERİ'!I389</f>
        <v/>
      </c>
      <c r="AD388" s="34">
        <f>IF(AB388&gt;AC388*1.05,AB388-AC388*1.05,IF(AB388&lt;AC388*0.95,AC388*0.95-AB388,0))</f>
        <v/>
      </c>
      <c r="AE388" s="34">
        <f>MAX(F388,G388,750)*0.05*AD388</f>
        <v/>
      </c>
      <c r="AF388" s="34">
        <f>'[1]GÖP VERİLERİ'!J389</f>
        <v/>
      </c>
      <c r="AG388" s="34">
        <f>IF(AB388&gt;AF388*1.05,AB388-AF388*1.05,IF(AB388&lt;AF388*0.95,AF388*0.95-AB388,0))</f>
        <v/>
      </c>
      <c r="AH388" s="34">
        <f>MAX(I388,J388,750)*0.05*AG388</f>
        <v/>
      </c>
      <c r="AI388">
        <f>'[1]GÖP VERİLERİ'!E389</f>
        <v/>
      </c>
      <c r="AJ388">
        <f>'[1]GÖP VERİLERİ'!F389</f>
        <v/>
      </c>
      <c r="AK388" s="34">
        <f>IF(AI388&gt;AJ388*1.05,AI388-AJ388*1.05,IF(AI388&lt;AJ388*0.95,AJ388*0.95-AI388,0))</f>
        <v/>
      </c>
      <c r="AL388" s="34">
        <f>MAX(F388,G388,750)*0.05*AK388</f>
        <v/>
      </c>
      <c r="AM388" s="39">
        <f>'[1]GÖP VERİLERİ'!G389</f>
        <v/>
      </c>
      <c r="AN388" s="34">
        <f>IF(AI388&gt;AM388*1.05,AI388-AM388*1.05,IF(AI388&lt;AM388*0.95,AM388*0.95-AI388,0))</f>
        <v/>
      </c>
      <c r="AO388" s="34">
        <f>MAX(F388,G388,750)*0.05*AN388</f>
        <v/>
      </c>
      <c r="AP388" s="34">
        <f>'[1]GÖP VERİLERİ'!B389</f>
        <v/>
      </c>
      <c r="AQ388" s="34">
        <f>'[1]GÖP VERİLERİ'!C389</f>
        <v/>
      </c>
      <c r="AR388" s="34">
        <f>IF(AP388&gt;AQ388*1.05,AP388-AQ388*1.05,IF(AP388&lt;AQ388*0.95,AQ388*0.95-AP388,0))</f>
        <v/>
      </c>
      <c r="AS388" s="34">
        <f>MAX(F388:G388,750)*0.05*AR388</f>
        <v/>
      </c>
      <c r="AT388">
        <f>'[1]GÖP VERİLERİ'!D389</f>
        <v/>
      </c>
      <c r="AU388" s="34">
        <f>IF(AP388&gt;AT388*1.05,AP388-AT388*1.05,IF(AP388&lt;AT388*0.95,AT388*0.95-AP388,0))</f>
        <v/>
      </c>
      <c r="AV388" s="34">
        <f>MAX(F388:G388,750)*0.05*AU388</f>
        <v/>
      </c>
      <c r="AW388" s="34">
        <f>AC388+AJ388+AQ388</f>
        <v/>
      </c>
      <c r="AX388" s="34">
        <f>AF388+AM388+AT388</f>
        <v/>
      </c>
      <c r="AY388" s="34">
        <f>AB388+AI388+AP388</f>
        <v/>
      </c>
      <c r="AZ388" s="34" t="n">
        <v>0</v>
      </c>
      <c r="BA388" s="34">
        <f>AD388+AK388+AR388</f>
        <v/>
      </c>
      <c r="BB388" s="34">
        <f>MAX(F388:G388,750)*0.05*BA388</f>
        <v/>
      </c>
      <c r="BC388" s="34">
        <f>AG388+AN388+AU388</f>
        <v/>
      </c>
      <c r="BD388" s="34">
        <f>MAX(F388:G388,750)*0.05*BC388</f>
        <v/>
      </c>
      <c r="BE388" s="34">
        <f>F388*AY388</f>
        <v/>
      </c>
      <c r="BF388" s="34">
        <f>K388-M388</f>
        <v/>
      </c>
      <c r="BG388" s="34">
        <f>P388-S388</f>
        <v/>
      </c>
      <c r="BH388" s="34">
        <f>W388-AA388</f>
        <v/>
      </c>
      <c r="BI388" s="34">
        <f>BF388+BG388+BL388-BN388</f>
        <v/>
      </c>
      <c r="BJ388" s="34">
        <f>ABS(BK388)</f>
        <v/>
      </c>
      <c r="BK388" s="34">
        <f>AY388-(J388-L388+N388-Q388)</f>
        <v/>
      </c>
      <c r="BL388" s="34">
        <f>IF(AND(BK388&gt;0,MIN($F388:$G388)&lt;150,$E388="Enerji Açığı"),-100*BK388*1.03,IF(AND(BK388&gt;0,MIN($F388:$G388)&lt;150,$E388="Enerji Fazlası"),-100*BK388*1.06,IF(AND(BK388&gt;0,MIN($F388:$G388)&gt;=150,$E388="Enerji Açığı"),BK388*MIN($F388:$G388)*0.97,IF(AND(BK388&gt;0,MIN($F388:$G388)&gt;=150,$E388="Enerji Fazlası"),BK388*MIN($F388:$G388)*0.94,IF(AND(BK388&lt;0,MAX($F388:$G388)=4500,$E388="Enerji Açığı"),4500*1.05*1.06*BK388,IF(AND(BK388&lt;0,MAX($F388:$G388)=4500,$E388="Enerji Fazlası"),4500*1.05*1.03*BK388,IF(AND(BK388&lt;0,$E388="Enerji Açığı"),MAX($F388,$G388,150)*BK388*1.06,IF(AND(BK388&lt;0,$E388="Enerji Fazlası"),MAX($F388,$G388,150)*BK388*1.03,IF(AND(BK388&lt;0,$E388="Dengede"),MAX($F388:$G388,150)*1.03*BK388,MIN($F388:$G388)*0.97*BK388)))))))))</f>
        <v/>
      </c>
      <c r="BM388" s="34">
        <f>BE388-BI388-BN388</f>
        <v/>
      </c>
      <c r="BN388" s="34">
        <f>BB388</f>
        <v/>
      </c>
      <c r="BO388" s="34">
        <f>BE388-BI388</f>
        <v/>
      </c>
      <c r="BP388" s="34">
        <f>IF(AY388=0,0,BO388/AY388)</f>
        <v/>
      </c>
      <c r="BQ388" s="34">
        <f>MAX((AY388+MAX((-J388+L388-N388+Q388),0)),(MAX((J388-L388+N388-Q388),0)))</f>
        <v/>
      </c>
      <c r="BR388" s="82">
        <f>IFERROR(ABS(BK388/BQ388),0)</f>
        <v/>
      </c>
      <c r="BS388" s="34">
        <f>IF(BR388&lt;=0.1,0,BK388/BR388*(BR388-0.1))</f>
        <v/>
      </c>
      <c r="BT388" s="34">
        <f>IF((BS388)&lt;0,MAX(F388:G388)*(BS388)*1.03,MIN(F388:G388)*(BS388)*0.97)</f>
        <v/>
      </c>
      <c r="BU388" s="34">
        <f>IF(BR388&gt;0.1,1,0)</f>
        <v/>
      </c>
      <c r="BV388" s="34">
        <f>BF388+BG388+BH388+BY388-CA388</f>
        <v/>
      </c>
      <c r="BW388" s="34">
        <f>ABS(BX388)</f>
        <v/>
      </c>
      <c r="BX388" s="34">
        <f>AY388-(J388-L388+N388-Q388+T388-X388)</f>
        <v/>
      </c>
      <c r="BY388" s="34">
        <f>IF(AND(BX388&gt;0,MIN($F388:$G388)&lt;150,$E388="Enerji Açığı"),-100*BX388*1.03,IF(AND(BX388&gt;0,MIN($F388:$G388)&lt;150,$E388="Enerji Fazlası"),-100*BX388*1.06,IF(AND(BX388&gt;0,MIN($F388:$G388)&gt;=150,$E388="Enerji Açığı"),BX388*MIN($F388:$G388)*0.97,IF(AND(BX388&gt;0,MIN($F388:$G388)&gt;=150,$E388="Enerji Fazlası"),BX388*MIN($F388:$G388)*0.94,IF(AND(BX388&lt;0,MAX($F388:$G388)=4500,$E388="Enerji Açığı"),4500*1.05*1.06*BX388,IF(AND(BX388&lt;0,MAX($F388:$G388)=4500,$E388="Enerji Fazlası"),4500*1.05*1.03*BX388,IF(AND(BX388&lt;0,$E388="Enerji Açığı"),MAX($F388,$G388,150)*BX388*1.06,IF(AND(BX388&lt;0,$E388="Enerji Fazlası"),MAX($F388,$G388,150)*BX388*1.03,IF(AND(BX388&lt;0,$E388="Dengede"),MAX($F388:$G388,150)*1.03*BX388,MIN($F388:$G388)*0.97*BX388)))))))))</f>
        <v/>
      </c>
      <c r="BZ388" s="34">
        <f>BE388-BV388-CA388</f>
        <v/>
      </c>
      <c r="CA388" s="34">
        <f>BD388</f>
        <v/>
      </c>
      <c r="CB388" s="33">
        <f>BE388-BV388</f>
        <v/>
      </c>
      <c r="CC388" s="34">
        <f>IF(AY388=0,0,CB388/AY388)</f>
        <v/>
      </c>
      <c r="CD388" s="34">
        <f>MAX((AY388+MAX((-J388+L388-N388+Q388-T388+X388),0)),(MAX((J388-L388+N388-Q388+T388-X388),0)))</f>
        <v/>
      </c>
      <c r="CE388" s="82">
        <f>IFERROR(ABS(BX388/CD388),0)</f>
        <v/>
      </c>
      <c r="CF388" s="34">
        <f>IF(CE388&lt;=0.1,0,BX388/CE388*(CE388-0.1))</f>
        <v/>
      </c>
      <c r="CG388" s="34">
        <f>IF((CF388)&lt;0,MAX(F388:G388)*(CF388)*1.03,MIN(F388:G388)*(CF388)*0.97)</f>
        <v/>
      </c>
      <c r="CH388" s="34">
        <f>IF(CE388&gt;0.1,1,0)</f>
        <v/>
      </c>
      <c r="CI388" s="34">
        <f>(F388*BX388)-BY388</f>
        <v/>
      </c>
      <c r="CJ388" s="34">
        <f>IF(AY388=0,0,CI388/AY388)</f>
        <v/>
      </c>
    </row>
    <row r="389">
      <c r="A389" s="29">
        <f>[1]FİYATLAR!A364</f>
        <v/>
      </c>
      <c r="B389" s="29">
        <f>[1]FİYATLAR!B364</f>
        <v/>
      </c>
      <c r="C389" s="35">
        <f>INT(A389)</f>
        <v/>
      </c>
      <c r="D389" s="36">
        <f>MONTH(A389)</f>
        <v/>
      </c>
      <c r="E389" s="147">
        <f>[1]FİYATLAR!G364</f>
        <v/>
      </c>
      <c r="F389" s="30">
        <f>[1]FİYATLAR!C364</f>
        <v/>
      </c>
      <c r="G389" s="30">
        <f>[1]FİYATLAR!E364</f>
        <v/>
      </c>
      <c r="H389" s="30">
        <f>[1]FİYATLAR!D364</f>
        <v/>
      </c>
      <c r="I389" s="30">
        <f>[1]FİYATLAR!F364</f>
        <v/>
      </c>
      <c r="J389" s="119" t="n">
        <v>0</v>
      </c>
      <c r="K389" s="34">
        <f>F389*J389</f>
        <v/>
      </c>
      <c r="L389" s="119" t="n"/>
      <c r="M389" s="34">
        <f>L389*F389</f>
        <v/>
      </c>
      <c r="N389" s="119" t="n"/>
      <c r="O389" s="34">
        <f>F389</f>
        <v/>
      </c>
      <c r="P389" s="34">
        <f>N389*O389</f>
        <v/>
      </c>
      <c r="Q389" s="117" t="n">
        <v>0</v>
      </c>
      <c r="R389" s="34">
        <f>F389</f>
        <v/>
      </c>
      <c r="S389" s="34">
        <f>R389*Q389</f>
        <v/>
      </c>
      <c r="T389" s="34">
        <f>SUMIFS('[1]GİP VERİLERİ'!$C:$C,'[1]GİP VERİLERİ'!$B:$B,A389,'[1]GİP VERİLERİ'!$M:$M,"40X000000104782K",'[1]GİP VERİLERİ'!$G:$G,"SELL")</f>
        <v/>
      </c>
      <c r="U389" s="34">
        <f>IFERROR(W389/T389,0)</f>
        <v/>
      </c>
      <c r="V389" s="34">
        <f>IF(U389=0,0,U389-F389)</f>
        <v/>
      </c>
      <c r="W389" s="34">
        <f>SUMIFS('[1]GİP VERİLERİ'!$O:$O,'[1]GİP VERİLERİ'!$B:$B,A389,'[1]GİP VERİLERİ'!$M:$M,"40X000000104782K",'[1]GİP VERİLERİ'!$G:$G,"SELL")</f>
        <v/>
      </c>
      <c r="X389" s="34">
        <f>SUMIFS('[1]GİP VERİLERİ'!$C:$C,'[1]GİP VERİLERİ'!$B:$B,A389,'[1]GİP VERİLERİ'!$M:$M,"40X000000104782K",'[1]GİP VERİLERİ'!$G:$G,"BUY")</f>
        <v/>
      </c>
      <c r="Y389" s="34">
        <f>IFERROR(AA389/X389,0)</f>
        <v/>
      </c>
      <c r="Z389" s="34">
        <f>IF(Y389=0,0,F389-Y389)</f>
        <v/>
      </c>
      <c r="AA389" s="34">
        <f>SUMIFS('[1]GİP VERİLERİ'!$O:$O,'[1]GİP VERİLERİ'!$B:$B,A389,'[1]GİP VERİLERİ'!$M:$M,"40X000000104782K",'[1]GİP VERİLERİ'!$G:$G,"BUY")</f>
        <v/>
      </c>
      <c r="AB389" s="34">
        <f>'[1]GÖP VERİLERİ'!H390</f>
        <v/>
      </c>
      <c r="AC389" s="34">
        <f>'[1]GÖP VERİLERİ'!I390</f>
        <v/>
      </c>
      <c r="AD389" s="34">
        <f>IF(AB389&gt;AC389*1.05,AB389-AC389*1.05,IF(AB389&lt;AC389*0.95,AC389*0.95-AB389,0))</f>
        <v/>
      </c>
      <c r="AE389" s="34">
        <f>MAX(F389,G389,750)*0.05*AD389</f>
        <v/>
      </c>
      <c r="AF389" s="34">
        <f>'[1]GÖP VERİLERİ'!J390</f>
        <v/>
      </c>
      <c r="AG389" s="34">
        <f>IF(AB389&gt;AF389*1.05,AB389-AF389*1.05,IF(AB389&lt;AF389*0.95,AF389*0.95-AB389,0))</f>
        <v/>
      </c>
      <c r="AH389" s="34">
        <f>MAX(I389,J389,750)*0.05*AG389</f>
        <v/>
      </c>
      <c r="AI389">
        <f>'[1]GÖP VERİLERİ'!E390</f>
        <v/>
      </c>
      <c r="AJ389">
        <f>'[1]GÖP VERİLERİ'!F390</f>
        <v/>
      </c>
      <c r="AK389" s="34">
        <f>IF(AI389&gt;AJ389*1.05,AI389-AJ389*1.05,IF(AI389&lt;AJ389*0.95,AJ389*0.95-AI389,0))</f>
        <v/>
      </c>
      <c r="AL389" s="34">
        <f>MAX(F389,G389,750)*0.05*AK389</f>
        <v/>
      </c>
      <c r="AM389" s="39">
        <f>'[1]GÖP VERİLERİ'!G390</f>
        <v/>
      </c>
      <c r="AN389" s="34">
        <f>IF(AI389&gt;AM389*1.05,AI389-AM389*1.05,IF(AI389&lt;AM389*0.95,AM389*0.95-AI389,0))</f>
        <v/>
      </c>
      <c r="AO389" s="34">
        <f>MAX(F389,G389,750)*0.05*AN389</f>
        <v/>
      </c>
      <c r="AP389" s="34">
        <f>'[1]GÖP VERİLERİ'!B390</f>
        <v/>
      </c>
      <c r="AQ389" s="34">
        <f>'[1]GÖP VERİLERİ'!C390</f>
        <v/>
      </c>
      <c r="AR389" s="34">
        <f>IF(AP389&gt;AQ389*1.05,AP389-AQ389*1.05,IF(AP389&lt;AQ389*0.95,AQ389*0.95-AP389,0))</f>
        <v/>
      </c>
      <c r="AS389" s="34">
        <f>MAX(F389:G389,750)*0.05*AR389</f>
        <v/>
      </c>
      <c r="AT389">
        <f>'[1]GÖP VERİLERİ'!D390</f>
        <v/>
      </c>
      <c r="AU389" s="34">
        <f>IF(AP389&gt;AT389*1.05,AP389-AT389*1.05,IF(AP389&lt;AT389*0.95,AT389*0.95-AP389,0))</f>
        <v/>
      </c>
      <c r="AV389" s="34">
        <f>MAX(F389:G389,750)*0.05*AU389</f>
        <v/>
      </c>
      <c r="AW389" s="34">
        <f>AC389+AJ389+AQ389</f>
        <v/>
      </c>
      <c r="AX389" s="34">
        <f>AF389+AM389+AT389</f>
        <v/>
      </c>
      <c r="AY389" s="34">
        <f>AB389+AI389+AP389</f>
        <v/>
      </c>
      <c r="AZ389" s="34" t="n">
        <v>0</v>
      </c>
      <c r="BA389" s="34">
        <f>AD389+AK389+AR389</f>
        <v/>
      </c>
      <c r="BB389" s="34">
        <f>MAX(F389:G389,750)*0.05*BA389</f>
        <v/>
      </c>
      <c r="BC389" s="34">
        <f>AG389+AN389+AU389</f>
        <v/>
      </c>
      <c r="BD389" s="34">
        <f>MAX(F389:G389,750)*0.05*BC389</f>
        <v/>
      </c>
      <c r="BE389" s="34">
        <f>F389*AY389</f>
        <v/>
      </c>
      <c r="BF389" s="34">
        <f>K389-M389</f>
        <v/>
      </c>
      <c r="BG389" s="34">
        <f>P389-S389</f>
        <v/>
      </c>
      <c r="BH389" s="34">
        <f>W389-AA389</f>
        <v/>
      </c>
      <c r="BI389" s="34">
        <f>BF389+BG389+BL389-BN389</f>
        <v/>
      </c>
      <c r="BJ389" s="34">
        <f>ABS(BK389)</f>
        <v/>
      </c>
      <c r="BK389" s="34">
        <f>AY389-(J389-L389+N389-Q389)</f>
        <v/>
      </c>
      <c r="BL389" s="34">
        <f>IF(AND(BK389&gt;0,MIN($F389:$G389)&lt;150,$E389="Enerji Açığı"),-100*BK389*1.03,IF(AND(BK389&gt;0,MIN($F389:$G389)&lt;150,$E389="Enerji Fazlası"),-100*BK389*1.06,IF(AND(BK389&gt;0,MIN($F389:$G389)&gt;=150,$E389="Enerji Açığı"),BK389*MIN($F389:$G389)*0.97,IF(AND(BK389&gt;0,MIN($F389:$G389)&gt;=150,$E389="Enerji Fazlası"),BK389*MIN($F389:$G389)*0.94,IF(AND(BK389&lt;0,MAX($F389:$G389)=4500,$E389="Enerji Açığı"),4500*1.05*1.06*BK389,IF(AND(BK389&lt;0,MAX($F389:$G389)=4500,$E389="Enerji Fazlası"),4500*1.05*1.03*BK389,IF(AND(BK389&lt;0,$E389="Enerji Açığı"),MAX($F389,$G389,150)*BK389*1.06,IF(AND(BK389&lt;0,$E389="Enerji Fazlası"),MAX($F389,$G389,150)*BK389*1.03,IF(AND(BK389&lt;0,$E389="Dengede"),MAX($F389:$G389,150)*1.03*BK389,MIN($F389:$G389)*0.97*BK389)))))))))</f>
        <v/>
      </c>
      <c r="BM389" s="34">
        <f>BE389-BI389-BN389</f>
        <v/>
      </c>
      <c r="BN389" s="34">
        <f>BB389</f>
        <v/>
      </c>
      <c r="BO389" s="34">
        <f>BE389-BI389</f>
        <v/>
      </c>
      <c r="BP389" s="34">
        <f>IF(AY389=0,0,BO389/AY389)</f>
        <v/>
      </c>
      <c r="BQ389" s="34">
        <f>MAX((AY389+MAX((-J389+L389-N389+Q389),0)),(MAX((J389-L389+N389-Q389),0)))</f>
        <v/>
      </c>
      <c r="BR389" s="82">
        <f>IFERROR(ABS(BK389/BQ389),0)</f>
        <v/>
      </c>
      <c r="BS389" s="34">
        <f>IF(BR389&lt;=0.1,0,BK389/BR389*(BR389-0.1))</f>
        <v/>
      </c>
      <c r="BT389" s="34">
        <f>IF((BS389)&lt;0,MAX(F389:G389)*(BS389)*1.03,MIN(F389:G389)*(BS389)*0.97)</f>
        <v/>
      </c>
      <c r="BU389" s="34">
        <f>IF(BR389&gt;0.1,1,0)</f>
        <v/>
      </c>
      <c r="BV389" s="34">
        <f>BF389+BG389+BH389+BY389-CA389</f>
        <v/>
      </c>
      <c r="BW389" s="34">
        <f>ABS(BX389)</f>
        <v/>
      </c>
      <c r="BX389" s="34">
        <f>AY389-(J389-L389+N389-Q389+T389-X389)</f>
        <v/>
      </c>
      <c r="BY389" s="34">
        <f>IF(AND(BX389&gt;0,MIN($F389:$G389)&lt;150,$E389="Enerji Açığı"),-100*BX389*1.03,IF(AND(BX389&gt;0,MIN($F389:$G389)&lt;150,$E389="Enerji Fazlası"),-100*BX389*1.06,IF(AND(BX389&gt;0,MIN($F389:$G389)&gt;=150,$E389="Enerji Açığı"),BX389*MIN($F389:$G389)*0.97,IF(AND(BX389&gt;0,MIN($F389:$G389)&gt;=150,$E389="Enerji Fazlası"),BX389*MIN($F389:$G389)*0.94,IF(AND(BX389&lt;0,MAX($F389:$G389)=4500,$E389="Enerji Açığı"),4500*1.05*1.06*BX389,IF(AND(BX389&lt;0,MAX($F389:$G389)=4500,$E389="Enerji Fazlası"),4500*1.05*1.03*BX389,IF(AND(BX389&lt;0,$E389="Enerji Açığı"),MAX($F389,$G389,150)*BX389*1.06,IF(AND(BX389&lt;0,$E389="Enerji Fazlası"),MAX($F389,$G389,150)*BX389*1.03,IF(AND(BX389&lt;0,$E389="Dengede"),MAX($F389:$G389,150)*1.03*BX389,MIN($F389:$G389)*0.97*BX389)))))))))</f>
        <v/>
      </c>
      <c r="BZ389" s="34">
        <f>BE389-BV389-CA389</f>
        <v/>
      </c>
      <c r="CA389" s="34">
        <f>BD389</f>
        <v/>
      </c>
      <c r="CB389" s="33">
        <f>BE389-BV389</f>
        <v/>
      </c>
      <c r="CC389" s="34">
        <f>IF(AY389=0,0,CB389/AY389)</f>
        <v/>
      </c>
      <c r="CD389" s="34">
        <f>MAX((AY389+MAX((-J389+L389-N389+Q389-T389+X389),0)),(MAX((J389-L389+N389-Q389+T389-X389),0)))</f>
        <v/>
      </c>
      <c r="CE389" s="82">
        <f>IFERROR(ABS(BX389/CD389),0)</f>
        <v/>
      </c>
      <c r="CF389" s="34">
        <f>IF(CE389&lt;=0.1,0,BX389/CE389*(CE389-0.1))</f>
        <v/>
      </c>
      <c r="CG389" s="34">
        <f>IF((CF389)&lt;0,MAX(F389:G389)*(CF389)*1.03,MIN(F389:G389)*(CF389)*0.97)</f>
        <v/>
      </c>
      <c r="CH389" s="34">
        <f>IF(CE389&gt;0.1,1,0)</f>
        <v/>
      </c>
      <c r="CI389" s="34">
        <f>(F389*BX389)-BY389</f>
        <v/>
      </c>
      <c r="CJ389" s="34">
        <f>IF(AY389=0,0,CI389/AY389)</f>
        <v/>
      </c>
    </row>
    <row r="390">
      <c r="A390" s="29">
        <f>[1]FİYATLAR!A365</f>
        <v/>
      </c>
      <c r="B390" s="29">
        <f>[1]FİYATLAR!B365</f>
        <v/>
      </c>
      <c r="C390" s="35">
        <f>INT(A390)</f>
        <v/>
      </c>
      <c r="D390" s="36">
        <f>MONTH(A390)</f>
        <v/>
      </c>
      <c r="E390" s="147">
        <f>[1]FİYATLAR!G365</f>
        <v/>
      </c>
      <c r="F390" s="30">
        <f>[1]FİYATLAR!C365</f>
        <v/>
      </c>
      <c r="G390" s="30">
        <f>[1]FİYATLAR!E365</f>
        <v/>
      </c>
      <c r="H390" s="30">
        <f>[1]FİYATLAR!D365</f>
        <v/>
      </c>
      <c r="I390" s="30">
        <f>[1]FİYATLAR!F365</f>
        <v/>
      </c>
      <c r="J390" s="119" t="n">
        <v>0</v>
      </c>
      <c r="K390" s="34">
        <f>F390*J390</f>
        <v/>
      </c>
      <c r="L390" s="119" t="n"/>
      <c r="M390" s="34">
        <f>L390*F390</f>
        <v/>
      </c>
      <c r="N390" s="119" t="n"/>
      <c r="O390" s="34">
        <f>F390</f>
        <v/>
      </c>
      <c r="P390" s="34">
        <f>N390*O390</f>
        <v/>
      </c>
      <c r="Q390" s="117" t="n">
        <v>0</v>
      </c>
      <c r="R390" s="34">
        <f>F390</f>
        <v/>
      </c>
      <c r="S390" s="34">
        <f>R390*Q390</f>
        <v/>
      </c>
      <c r="T390" s="34">
        <f>SUMIFS('[1]GİP VERİLERİ'!$C:$C,'[1]GİP VERİLERİ'!$B:$B,A390,'[1]GİP VERİLERİ'!$M:$M,"40X000000104782K",'[1]GİP VERİLERİ'!$G:$G,"SELL")</f>
        <v/>
      </c>
      <c r="U390" s="34">
        <f>IFERROR(W390/T390,0)</f>
        <v/>
      </c>
      <c r="V390" s="34">
        <f>IF(U390=0,0,U390-F390)</f>
        <v/>
      </c>
      <c r="W390" s="34">
        <f>SUMIFS('[1]GİP VERİLERİ'!$O:$O,'[1]GİP VERİLERİ'!$B:$B,A390,'[1]GİP VERİLERİ'!$M:$M,"40X000000104782K",'[1]GİP VERİLERİ'!$G:$G,"SELL")</f>
        <v/>
      </c>
      <c r="X390" s="34">
        <f>SUMIFS('[1]GİP VERİLERİ'!$C:$C,'[1]GİP VERİLERİ'!$B:$B,A390,'[1]GİP VERİLERİ'!$M:$M,"40X000000104782K",'[1]GİP VERİLERİ'!$G:$G,"BUY")</f>
        <v/>
      </c>
      <c r="Y390" s="34">
        <f>IFERROR(AA390/X390,0)</f>
        <v/>
      </c>
      <c r="Z390" s="34">
        <f>IF(Y390=0,0,F390-Y390)</f>
        <v/>
      </c>
      <c r="AA390" s="34">
        <f>SUMIFS('[1]GİP VERİLERİ'!$O:$O,'[1]GİP VERİLERİ'!$B:$B,A390,'[1]GİP VERİLERİ'!$M:$M,"40X000000104782K",'[1]GİP VERİLERİ'!$G:$G,"BUY")</f>
        <v/>
      </c>
      <c r="AB390" s="34">
        <f>'[1]GÖP VERİLERİ'!H391</f>
        <v/>
      </c>
      <c r="AC390" s="34">
        <f>'[1]GÖP VERİLERİ'!I391</f>
        <v/>
      </c>
      <c r="AD390" s="34">
        <f>IF(AB390&gt;AC390*1.05,AB390-AC390*1.05,IF(AB390&lt;AC390*0.95,AC390*0.95-AB390,0))</f>
        <v/>
      </c>
      <c r="AE390" s="34">
        <f>MAX(F390,G390,750)*0.05*AD390</f>
        <v/>
      </c>
      <c r="AF390" s="34">
        <f>'[1]GÖP VERİLERİ'!J391</f>
        <v/>
      </c>
      <c r="AG390" s="34">
        <f>IF(AB390&gt;AF390*1.05,AB390-AF390*1.05,IF(AB390&lt;AF390*0.95,AF390*0.95-AB390,0))</f>
        <v/>
      </c>
      <c r="AH390" s="34">
        <f>MAX(I390,J390,750)*0.05*AG390</f>
        <v/>
      </c>
      <c r="AI390">
        <f>'[1]GÖP VERİLERİ'!E391</f>
        <v/>
      </c>
      <c r="AJ390">
        <f>'[1]GÖP VERİLERİ'!F391</f>
        <v/>
      </c>
      <c r="AK390" s="34">
        <f>IF(AI390&gt;AJ390*1.05,AI390-AJ390*1.05,IF(AI390&lt;AJ390*0.95,AJ390*0.95-AI390,0))</f>
        <v/>
      </c>
      <c r="AL390" s="34">
        <f>MAX(F390,G390,750)*0.05*AK390</f>
        <v/>
      </c>
      <c r="AM390" s="39">
        <f>'[1]GÖP VERİLERİ'!G391</f>
        <v/>
      </c>
      <c r="AN390" s="34">
        <f>IF(AI390&gt;AM390*1.05,AI390-AM390*1.05,IF(AI390&lt;AM390*0.95,AM390*0.95-AI390,0))</f>
        <v/>
      </c>
      <c r="AO390" s="34">
        <f>MAX(F390,G390,750)*0.05*AN390</f>
        <v/>
      </c>
      <c r="AP390" s="34">
        <f>'[1]GÖP VERİLERİ'!B391</f>
        <v/>
      </c>
      <c r="AQ390" s="34">
        <f>'[1]GÖP VERİLERİ'!C391</f>
        <v/>
      </c>
      <c r="AR390" s="34">
        <f>IF(AP390&gt;AQ390*1.05,AP390-AQ390*1.05,IF(AP390&lt;AQ390*0.95,AQ390*0.95-AP390,0))</f>
        <v/>
      </c>
      <c r="AS390" s="34">
        <f>MAX(F390:G390,750)*0.05*AR390</f>
        <v/>
      </c>
      <c r="AT390">
        <f>'[1]GÖP VERİLERİ'!D391</f>
        <v/>
      </c>
      <c r="AU390" s="34">
        <f>IF(AP390&gt;AT390*1.05,AP390-AT390*1.05,IF(AP390&lt;AT390*0.95,AT390*0.95-AP390,0))</f>
        <v/>
      </c>
      <c r="AV390" s="34">
        <f>MAX(F390:G390,750)*0.05*AU390</f>
        <v/>
      </c>
      <c r="AW390" s="34">
        <f>AC390+AJ390+AQ390</f>
        <v/>
      </c>
      <c r="AX390" s="34">
        <f>AF390+AM390+AT390</f>
        <v/>
      </c>
      <c r="AY390" s="34">
        <f>AB390+AI390+AP390</f>
        <v/>
      </c>
      <c r="AZ390" s="34" t="n">
        <v>0</v>
      </c>
      <c r="BA390" s="34">
        <f>AD390+AK390+AR390</f>
        <v/>
      </c>
      <c r="BB390" s="34">
        <f>MAX(F390:G390,750)*0.05*BA390</f>
        <v/>
      </c>
      <c r="BC390" s="34">
        <f>AG390+AN390+AU390</f>
        <v/>
      </c>
      <c r="BD390" s="34">
        <f>MAX(F390:G390,750)*0.05*BC390</f>
        <v/>
      </c>
      <c r="BE390" s="34">
        <f>F390*AY390</f>
        <v/>
      </c>
      <c r="BF390" s="34">
        <f>K390-M390</f>
        <v/>
      </c>
      <c r="BG390" s="34">
        <f>P390-S390</f>
        <v/>
      </c>
      <c r="BH390" s="34">
        <f>W390-AA390</f>
        <v/>
      </c>
      <c r="BI390" s="34">
        <f>BF390+BG390+BL390-BN390</f>
        <v/>
      </c>
      <c r="BJ390" s="34">
        <f>ABS(BK390)</f>
        <v/>
      </c>
      <c r="BK390" s="34">
        <f>AY390-(J390-L390+N390-Q390)</f>
        <v/>
      </c>
      <c r="BL390" s="34">
        <f>IF(AND(BK390&gt;0,MIN($F390:$G390)&lt;150,$E390="Enerji Açığı"),-100*BK390*1.03,IF(AND(BK390&gt;0,MIN($F390:$G390)&lt;150,$E390="Enerji Fazlası"),-100*BK390*1.06,IF(AND(BK390&gt;0,MIN($F390:$G390)&gt;=150,$E390="Enerji Açığı"),BK390*MIN($F390:$G390)*0.97,IF(AND(BK390&gt;0,MIN($F390:$G390)&gt;=150,$E390="Enerji Fazlası"),BK390*MIN($F390:$G390)*0.94,IF(AND(BK390&lt;0,MAX($F390:$G390)=4500,$E390="Enerji Açığı"),4500*1.05*1.06*BK390,IF(AND(BK390&lt;0,MAX($F390:$G390)=4500,$E390="Enerji Fazlası"),4500*1.05*1.03*BK390,IF(AND(BK390&lt;0,$E390="Enerji Açığı"),MAX($F390,$G390,150)*BK390*1.06,IF(AND(BK390&lt;0,$E390="Enerji Fazlası"),MAX($F390,$G390,150)*BK390*1.03,IF(AND(BK390&lt;0,$E390="Dengede"),MAX($F390:$G390,150)*1.03*BK390,MIN($F390:$G390)*0.97*BK390)))))))))</f>
        <v/>
      </c>
      <c r="BM390" s="34">
        <f>BE390-BI390-BN390</f>
        <v/>
      </c>
      <c r="BN390" s="34">
        <f>BB390</f>
        <v/>
      </c>
      <c r="BO390" s="34">
        <f>BE390-BI390</f>
        <v/>
      </c>
      <c r="BP390" s="34">
        <f>IF(AY390=0,0,BO390/AY390)</f>
        <v/>
      </c>
      <c r="BQ390" s="34">
        <f>MAX((AY390+MAX((-J390+L390-N390+Q390),0)),(MAX((J390-L390+N390-Q390),0)))</f>
        <v/>
      </c>
      <c r="BR390" s="82">
        <f>IFERROR(ABS(BK390/BQ390),0)</f>
        <v/>
      </c>
      <c r="BS390" s="34">
        <f>IF(BR390&lt;=0.1,0,BK390/BR390*(BR390-0.1))</f>
        <v/>
      </c>
      <c r="BT390" s="34">
        <f>IF((BS390)&lt;0,MAX(F390:G390)*(BS390)*1.03,MIN(F390:G390)*(BS390)*0.97)</f>
        <v/>
      </c>
      <c r="BU390" s="34">
        <f>IF(BR390&gt;0.1,1,0)</f>
        <v/>
      </c>
      <c r="BV390" s="34">
        <f>BF390+BG390+BH390+BY390-CA390</f>
        <v/>
      </c>
      <c r="BW390" s="34">
        <f>ABS(BX390)</f>
        <v/>
      </c>
      <c r="BX390" s="34">
        <f>AY390-(J390-L390+N390-Q390+T390-X390)</f>
        <v/>
      </c>
      <c r="BY390" s="34">
        <f>IF(AND(BX390&gt;0,MIN($F390:$G390)&lt;150,$E390="Enerji Açığı"),-100*BX390*1.03,IF(AND(BX390&gt;0,MIN($F390:$G390)&lt;150,$E390="Enerji Fazlası"),-100*BX390*1.06,IF(AND(BX390&gt;0,MIN($F390:$G390)&gt;=150,$E390="Enerji Açığı"),BX390*MIN($F390:$G390)*0.97,IF(AND(BX390&gt;0,MIN($F390:$G390)&gt;=150,$E390="Enerji Fazlası"),BX390*MIN($F390:$G390)*0.94,IF(AND(BX390&lt;0,MAX($F390:$G390)=4500,$E390="Enerji Açığı"),4500*1.05*1.06*BX390,IF(AND(BX390&lt;0,MAX($F390:$G390)=4500,$E390="Enerji Fazlası"),4500*1.05*1.03*BX390,IF(AND(BX390&lt;0,$E390="Enerji Açığı"),MAX($F390,$G390,150)*BX390*1.06,IF(AND(BX390&lt;0,$E390="Enerji Fazlası"),MAX($F390,$G390,150)*BX390*1.03,IF(AND(BX390&lt;0,$E390="Dengede"),MAX($F390:$G390,150)*1.03*BX390,MIN($F390:$G390)*0.97*BX390)))))))))</f>
        <v/>
      </c>
      <c r="BZ390" s="34">
        <f>BE390-BV390-CA390</f>
        <v/>
      </c>
      <c r="CA390" s="34">
        <f>BD390</f>
        <v/>
      </c>
      <c r="CB390" s="33">
        <f>BE390-BV390</f>
        <v/>
      </c>
      <c r="CC390" s="34">
        <f>IF(AY390=0,0,CB390/AY390)</f>
        <v/>
      </c>
      <c r="CD390" s="34">
        <f>MAX((AY390+MAX((-J390+L390-N390+Q390-T390+X390),0)),(MAX((J390-L390+N390-Q390+T390-X390),0)))</f>
        <v/>
      </c>
      <c r="CE390" s="82">
        <f>IFERROR(ABS(BX390/CD390),0)</f>
        <v/>
      </c>
      <c r="CF390" s="34">
        <f>IF(CE390&lt;=0.1,0,BX390/CE390*(CE390-0.1))</f>
        <v/>
      </c>
      <c r="CG390" s="34">
        <f>IF((CF390)&lt;0,MAX(F390:G390)*(CF390)*1.03,MIN(F390:G390)*(CF390)*0.97)</f>
        <v/>
      </c>
      <c r="CH390" s="34">
        <f>IF(CE390&gt;0.1,1,0)</f>
        <v/>
      </c>
      <c r="CI390" s="34">
        <f>(F390*BX390)-BY390</f>
        <v/>
      </c>
      <c r="CJ390" s="34">
        <f>IF(AY390=0,0,CI390/AY390)</f>
        <v/>
      </c>
    </row>
    <row r="391">
      <c r="A391" s="29">
        <f>[1]FİYATLAR!A366</f>
        <v/>
      </c>
      <c r="B391" s="29">
        <f>[1]FİYATLAR!B366</f>
        <v/>
      </c>
      <c r="C391" s="35">
        <f>INT(A391)</f>
        <v/>
      </c>
      <c r="D391" s="36">
        <f>MONTH(A391)</f>
        <v/>
      </c>
      <c r="E391" s="147">
        <f>[1]FİYATLAR!G366</f>
        <v/>
      </c>
      <c r="F391" s="30">
        <f>[1]FİYATLAR!C366</f>
        <v/>
      </c>
      <c r="G391" s="30">
        <f>[1]FİYATLAR!E366</f>
        <v/>
      </c>
      <c r="H391" s="30">
        <f>[1]FİYATLAR!D366</f>
        <v/>
      </c>
      <c r="I391" s="30">
        <f>[1]FİYATLAR!F366</f>
        <v/>
      </c>
      <c r="J391" s="119" t="n">
        <v>0</v>
      </c>
      <c r="K391" s="34">
        <f>F391*J391</f>
        <v/>
      </c>
      <c r="L391" s="119" t="n"/>
      <c r="M391" s="34">
        <f>L391*F391</f>
        <v/>
      </c>
      <c r="N391" s="119" t="n"/>
      <c r="O391" s="34">
        <f>F391</f>
        <v/>
      </c>
      <c r="P391" s="34">
        <f>N391*O391</f>
        <v/>
      </c>
      <c r="Q391" s="117" t="n">
        <v>0</v>
      </c>
      <c r="R391" s="34">
        <f>F391</f>
        <v/>
      </c>
      <c r="S391" s="34">
        <f>R391*Q391</f>
        <v/>
      </c>
      <c r="T391" s="34">
        <f>SUMIFS('[1]GİP VERİLERİ'!$C:$C,'[1]GİP VERİLERİ'!$B:$B,A391,'[1]GİP VERİLERİ'!$M:$M,"40X000000104782K",'[1]GİP VERİLERİ'!$G:$G,"SELL")</f>
        <v/>
      </c>
      <c r="U391" s="34">
        <f>IFERROR(W391/T391,0)</f>
        <v/>
      </c>
      <c r="V391" s="34">
        <f>IF(U391=0,0,U391-F391)</f>
        <v/>
      </c>
      <c r="W391" s="34">
        <f>SUMIFS('[1]GİP VERİLERİ'!$O:$O,'[1]GİP VERİLERİ'!$B:$B,A391,'[1]GİP VERİLERİ'!$M:$M,"40X000000104782K",'[1]GİP VERİLERİ'!$G:$G,"SELL")</f>
        <v/>
      </c>
      <c r="X391" s="34">
        <f>SUMIFS('[1]GİP VERİLERİ'!$C:$C,'[1]GİP VERİLERİ'!$B:$B,A391,'[1]GİP VERİLERİ'!$M:$M,"40X000000104782K",'[1]GİP VERİLERİ'!$G:$G,"BUY")</f>
        <v/>
      </c>
      <c r="Y391" s="34">
        <f>IFERROR(AA391/X391,0)</f>
        <v/>
      </c>
      <c r="Z391" s="34">
        <f>IF(Y391=0,0,F391-Y391)</f>
        <v/>
      </c>
      <c r="AA391" s="34">
        <f>SUMIFS('[1]GİP VERİLERİ'!$O:$O,'[1]GİP VERİLERİ'!$B:$B,A391,'[1]GİP VERİLERİ'!$M:$M,"40X000000104782K",'[1]GİP VERİLERİ'!$G:$G,"BUY")</f>
        <v/>
      </c>
      <c r="AB391" s="34">
        <f>'[1]GÖP VERİLERİ'!H392</f>
        <v/>
      </c>
      <c r="AC391" s="34">
        <f>'[1]GÖP VERİLERİ'!I392</f>
        <v/>
      </c>
      <c r="AD391" s="34">
        <f>IF(AB391&gt;AC391*1.05,AB391-AC391*1.05,IF(AB391&lt;AC391*0.95,AC391*0.95-AB391,0))</f>
        <v/>
      </c>
      <c r="AE391" s="34">
        <f>MAX(F391,G391,750)*0.05*AD391</f>
        <v/>
      </c>
      <c r="AF391" s="34">
        <f>'[1]GÖP VERİLERİ'!J392</f>
        <v/>
      </c>
      <c r="AG391" s="34">
        <f>IF(AB391&gt;AF391*1.05,AB391-AF391*1.05,IF(AB391&lt;AF391*0.95,AF391*0.95-AB391,0))</f>
        <v/>
      </c>
      <c r="AH391" s="34">
        <f>MAX(I391,J391,750)*0.05*AG391</f>
        <v/>
      </c>
      <c r="AI391">
        <f>'[1]GÖP VERİLERİ'!E392</f>
        <v/>
      </c>
      <c r="AJ391">
        <f>'[1]GÖP VERİLERİ'!F392</f>
        <v/>
      </c>
      <c r="AK391" s="34">
        <f>IF(AI391&gt;AJ391*1.05,AI391-AJ391*1.05,IF(AI391&lt;AJ391*0.95,AJ391*0.95-AI391,0))</f>
        <v/>
      </c>
      <c r="AL391" s="34">
        <f>MAX(F391,G391,750)*0.05*AK391</f>
        <v/>
      </c>
      <c r="AM391" s="39">
        <f>'[1]GÖP VERİLERİ'!G392</f>
        <v/>
      </c>
      <c r="AN391" s="34">
        <f>IF(AI391&gt;AM391*1.05,AI391-AM391*1.05,IF(AI391&lt;AM391*0.95,AM391*0.95-AI391,0))</f>
        <v/>
      </c>
      <c r="AO391" s="34">
        <f>MAX(F391,G391,750)*0.05*AN391</f>
        <v/>
      </c>
      <c r="AP391" s="34">
        <f>'[1]GÖP VERİLERİ'!B392</f>
        <v/>
      </c>
      <c r="AQ391" s="34">
        <f>'[1]GÖP VERİLERİ'!C392</f>
        <v/>
      </c>
      <c r="AR391" s="34">
        <f>IF(AP391&gt;AQ391*1.05,AP391-AQ391*1.05,IF(AP391&lt;AQ391*0.95,AQ391*0.95-AP391,0))</f>
        <v/>
      </c>
      <c r="AS391" s="34">
        <f>MAX(F391:G391,750)*0.05*AR391</f>
        <v/>
      </c>
      <c r="AT391">
        <f>'[1]GÖP VERİLERİ'!D392</f>
        <v/>
      </c>
      <c r="AU391" s="34">
        <f>IF(AP391&gt;AT391*1.05,AP391-AT391*1.05,IF(AP391&lt;AT391*0.95,AT391*0.95-AP391,0))</f>
        <v/>
      </c>
      <c r="AV391" s="34">
        <f>MAX(F391:G391,750)*0.05*AU391</f>
        <v/>
      </c>
      <c r="AW391" s="34">
        <f>AC391+AJ391+AQ391</f>
        <v/>
      </c>
      <c r="AX391" s="34">
        <f>AF391+AM391+AT391</f>
        <v/>
      </c>
      <c r="AY391" s="34">
        <f>AB391+AI391+AP391</f>
        <v/>
      </c>
      <c r="AZ391" s="34" t="n">
        <v>0</v>
      </c>
      <c r="BA391" s="34">
        <f>AD391+AK391+AR391</f>
        <v/>
      </c>
      <c r="BB391" s="34">
        <f>MAX(F391:G391,750)*0.05*BA391</f>
        <v/>
      </c>
      <c r="BC391" s="34">
        <f>AG391+AN391+AU391</f>
        <v/>
      </c>
      <c r="BD391" s="34">
        <f>MAX(F391:G391,750)*0.05*BC391</f>
        <v/>
      </c>
      <c r="BE391" s="34">
        <f>F391*AY391</f>
        <v/>
      </c>
      <c r="BF391" s="34">
        <f>K391-M391</f>
        <v/>
      </c>
      <c r="BG391" s="34">
        <f>P391-S391</f>
        <v/>
      </c>
      <c r="BH391" s="34">
        <f>W391-AA391</f>
        <v/>
      </c>
      <c r="BI391" s="34">
        <f>BF391+BG391+BL391-BN391</f>
        <v/>
      </c>
      <c r="BJ391" s="34">
        <f>ABS(BK391)</f>
        <v/>
      </c>
      <c r="BK391" s="34">
        <f>AY391-(J391-L391+N391-Q391)</f>
        <v/>
      </c>
      <c r="BL391" s="34">
        <f>IF(AND(BK391&gt;0,MIN($F391:$G391)&lt;150,$E391="Enerji Açığı"),-100*BK391*1.03,IF(AND(BK391&gt;0,MIN($F391:$G391)&lt;150,$E391="Enerji Fazlası"),-100*BK391*1.06,IF(AND(BK391&gt;0,MIN($F391:$G391)&gt;=150,$E391="Enerji Açığı"),BK391*MIN($F391:$G391)*0.97,IF(AND(BK391&gt;0,MIN($F391:$G391)&gt;=150,$E391="Enerji Fazlası"),BK391*MIN($F391:$G391)*0.94,IF(AND(BK391&lt;0,MAX($F391:$G391)=4500,$E391="Enerji Açığı"),4500*1.05*1.06*BK391,IF(AND(BK391&lt;0,MAX($F391:$G391)=4500,$E391="Enerji Fazlası"),4500*1.05*1.03*BK391,IF(AND(BK391&lt;0,$E391="Enerji Açığı"),MAX($F391,$G391,150)*BK391*1.06,IF(AND(BK391&lt;0,$E391="Enerji Fazlası"),MAX($F391,$G391,150)*BK391*1.03,IF(AND(BK391&lt;0,$E391="Dengede"),MAX($F391:$G391,150)*1.03*BK391,MIN($F391:$G391)*0.97*BK391)))))))))</f>
        <v/>
      </c>
      <c r="BM391" s="34">
        <f>BE391-BI391-BN391</f>
        <v/>
      </c>
      <c r="BN391" s="34">
        <f>BB391</f>
        <v/>
      </c>
      <c r="BO391" s="34">
        <f>BE391-BI391</f>
        <v/>
      </c>
      <c r="BP391" s="34">
        <f>IF(AY391=0,0,BO391/AY391)</f>
        <v/>
      </c>
      <c r="BQ391" s="34">
        <f>MAX((AY391+MAX((-J391+L391-N391+Q391),0)),(MAX((J391-L391+N391-Q391),0)))</f>
        <v/>
      </c>
      <c r="BR391" s="82">
        <f>IFERROR(ABS(BK391/BQ391),0)</f>
        <v/>
      </c>
      <c r="BS391" s="34">
        <f>IF(BR391&lt;=0.1,0,BK391/BR391*(BR391-0.1))</f>
        <v/>
      </c>
      <c r="BT391" s="34">
        <f>IF((BS391)&lt;0,MAX(F391:G391)*(BS391)*1.03,MIN(F391:G391)*(BS391)*0.97)</f>
        <v/>
      </c>
      <c r="BU391" s="34">
        <f>IF(BR391&gt;0.1,1,0)</f>
        <v/>
      </c>
      <c r="BV391" s="34">
        <f>BF391+BG391+BH391+BY391-CA391</f>
        <v/>
      </c>
      <c r="BW391" s="34">
        <f>ABS(BX391)</f>
        <v/>
      </c>
      <c r="BX391" s="34">
        <f>AY391-(J391-L391+N391-Q391+T391-X391)</f>
        <v/>
      </c>
      <c r="BY391" s="34">
        <f>IF(AND(BX391&gt;0,MIN($F391:$G391)&lt;150,$E391="Enerji Açığı"),-100*BX391*1.03,IF(AND(BX391&gt;0,MIN($F391:$G391)&lt;150,$E391="Enerji Fazlası"),-100*BX391*1.06,IF(AND(BX391&gt;0,MIN($F391:$G391)&gt;=150,$E391="Enerji Açığı"),BX391*MIN($F391:$G391)*0.97,IF(AND(BX391&gt;0,MIN($F391:$G391)&gt;=150,$E391="Enerji Fazlası"),BX391*MIN($F391:$G391)*0.94,IF(AND(BX391&lt;0,MAX($F391:$G391)=4500,$E391="Enerji Açığı"),4500*1.05*1.06*BX391,IF(AND(BX391&lt;0,MAX($F391:$G391)=4500,$E391="Enerji Fazlası"),4500*1.05*1.03*BX391,IF(AND(BX391&lt;0,$E391="Enerji Açığı"),MAX($F391,$G391,150)*BX391*1.06,IF(AND(BX391&lt;0,$E391="Enerji Fazlası"),MAX($F391,$G391,150)*BX391*1.03,IF(AND(BX391&lt;0,$E391="Dengede"),MAX($F391:$G391,150)*1.03*BX391,MIN($F391:$G391)*0.97*BX391)))))))))</f>
        <v/>
      </c>
      <c r="BZ391" s="34">
        <f>BE391-BV391-CA391</f>
        <v/>
      </c>
      <c r="CA391" s="34">
        <f>BD391</f>
        <v/>
      </c>
      <c r="CB391" s="33">
        <f>BE391-BV391</f>
        <v/>
      </c>
      <c r="CC391" s="34">
        <f>IF(AY391=0,0,CB391/AY391)</f>
        <v/>
      </c>
      <c r="CD391" s="34">
        <f>MAX((AY391+MAX((-J391+L391-N391+Q391-T391+X391),0)),(MAX((J391-L391+N391-Q391+T391-X391),0)))</f>
        <v/>
      </c>
      <c r="CE391" s="82">
        <f>IFERROR(ABS(BX391/CD391),0)</f>
        <v/>
      </c>
      <c r="CF391" s="34">
        <f>IF(CE391&lt;=0.1,0,BX391/CE391*(CE391-0.1))</f>
        <v/>
      </c>
      <c r="CG391" s="34">
        <f>IF((CF391)&lt;0,MAX(F391:G391)*(CF391)*1.03,MIN(F391:G391)*(CF391)*0.97)</f>
        <v/>
      </c>
      <c r="CH391" s="34">
        <f>IF(CE391&gt;0.1,1,0)</f>
        <v/>
      </c>
      <c r="CI391" s="34">
        <f>(F391*BX391)-BY391</f>
        <v/>
      </c>
      <c r="CJ391" s="34">
        <f>IF(AY391=0,0,CI391/AY391)</f>
        <v/>
      </c>
    </row>
    <row r="392">
      <c r="A392" s="29">
        <f>[1]FİYATLAR!A367</f>
        <v/>
      </c>
      <c r="B392" s="29">
        <f>[1]FİYATLAR!B367</f>
        <v/>
      </c>
      <c r="C392" s="35">
        <f>INT(A392)</f>
        <v/>
      </c>
      <c r="D392" s="36">
        <f>MONTH(A392)</f>
        <v/>
      </c>
      <c r="E392" s="147">
        <f>[1]FİYATLAR!G367</f>
        <v/>
      </c>
      <c r="F392" s="30">
        <f>[1]FİYATLAR!C367</f>
        <v/>
      </c>
      <c r="G392" s="30">
        <f>[1]FİYATLAR!E367</f>
        <v/>
      </c>
      <c r="H392" s="30">
        <f>[1]FİYATLAR!D367</f>
        <v/>
      </c>
      <c r="I392" s="30">
        <f>[1]FİYATLAR!F367</f>
        <v/>
      </c>
      <c r="J392" s="119" t="n">
        <v>0</v>
      </c>
      <c r="K392" s="34">
        <f>F392*J392</f>
        <v/>
      </c>
      <c r="L392" s="119" t="n"/>
      <c r="M392" s="34">
        <f>L392*F392</f>
        <v/>
      </c>
      <c r="N392" s="119" t="n"/>
      <c r="O392" s="34">
        <f>F392</f>
        <v/>
      </c>
      <c r="P392" s="34">
        <f>N392*O392</f>
        <v/>
      </c>
      <c r="Q392" s="117" t="n">
        <v>0</v>
      </c>
      <c r="R392" s="34">
        <f>F392</f>
        <v/>
      </c>
      <c r="S392" s="34">
        <f>R392*Q392</f>
        <v/>
      </c>
      <c r="T392" s="34">
        <f>SUMIFS('[1]GİP VERİLERİ'!$C:$C,'[1]GİP VERİLERİ'!$B:$B,A392,'[1]GİP VERİLERİ'!$M:$M,"40X000000104782K",'[1]GİP VERİLERİ'!$G:$G,"SELL")</f>
        <v/>
      </c>
      <c r="U392" s="34">
        <f>IFERROR(W392/T392,0)</f>
        <v/>
      </c>
      <c r="V392" s="34">
        <f>IF(U392=0,0,U392-F392)</f>
        <v/>
      </c>
      <c r="W392" s="34">
        <f>SUMIFS('[1]GİP VERİLERİ'!$O:$O,'[1]GİP VERİLERİ'!$B:$B,A392,'[1]GİP VERİLERİ'!$M:$M,"40X000000104782K",'[1]GİP VERİLERİ'!$G:$G,"SELL")</f>
        <v/>
      </c>
      <c r="X392" s="34">
        <f>SUMIFS('[1]GİP VERİLERİ'!$C:$C,'[1]GİP VERİLERİ'!$B:$B,A392,'[1]GİP VERİLERİ'!$M:$M,"40X000000104782K",'[1]GİP VERİLERİ'!$G:$G,"BUY")</f>
        <v/>
      </c>
      <c r="Y392" s="34">
        <f>IFERROR(AA392/X392,0)</f>
        <v/>
      </c>
      <c r="Z392" s="34">
        <f>IF(Y392=0,0,F392-Y392)</f>
        <v/>
      </c>
      <c r="AA392" s="34">
        <f>SUMIFS('[1]GİP VERİLERİ'!$O:$O,'[1]GİP VERİLERİ'!$B:$B,A392,'[1]GİP VERİLERİ'!$M:$M,"40X000000104782K",'[1]GİP VERİLERİ'!$G:$G,"BUY")</f>
        <v/>
      </c>
      <c r="AB392" s="34">
        <f>'[1]GÖP VERİLERİ'!H393</f>
        <v/>
      </c>
      <c r="AC392" s="34">
        <f>'[1]GÖP VERİLERİ'!I393</f>
        <v/>
      </c>
      <c r="AD392" s="34">
        <f>IF(AB392&gt;AC392*1.05,AB392-AC392*1.05,IF(AB392&lt;AC392*0.95,AC392*0.95-AB392,0))</f>
        <v/>
      </c>
      <c r="AE392" s="34">
        <f>MAX(F392,G392,750)*0.05*AD392</f>
        <v/>
      </c>
      <c r="AF392" s="34">
        <f>'[1]GÖP VERİLERİ'!J393</f>
        <v/>
      </c>
      <c r="AG392" s="34">
        <f>IF(AB392&gt;AF392*1.05,AB392-AF392*1.05,IF(AB392&lt;AF392*0.95,AF392*0.95-AB392,0))</f>
        <v/>
      </c>
      <c r="AH392" s="34">
        <f>MAX(I392,J392,750)*0.05*AG392</f>
        <v/>
      </c>
      <c r="AI392">
        <f>'[1]GÖP VERİLERİ'!E393</f>
        <v/>
      </c>
      <c r="AJ392">
        <f>'[1]GÖP VERİLERİ'!F393</f>
        <v/>
      </c>
      <c r="AK392" s="34">
        <f>IF(AI392&gt;AJ392*1.05,AI392-AJ392*1.05,IF(AI392&lt;AJ392*0.95,AJ392*0.95-AI392,0))</f>
        <v/>
      </c>
      <c r="AL392" s="34">
        <f>MAX(F392,G392,750)*0.05*AK392</f>
        <v/>
      </c>
      <c r="AM392" s="39">
        <f>'[1]GÖP VERİLERİ'!G393</f>
        <v/>
      </c>
      <c r="AN392" s="34">
        <f>IF(AI392&gt;AM392*1.05,AI392-AM392*1.05,IF(AI392&lt;AM392*0.95,AM392*0.95-AI392,0))</f>
        <v/>
      </c>
      <c r="AO392" s="34">
        <f>MAX(F392,G392,750)*0.05*AN392</f>
        <v/>
      </c>
      <c r="AP392" s="34">
        <f>'[1]GÖP VERİLERİ'!B393</f>
        <v/>
      </c>
      <c r="AQ392" s="34">
        <f>'[1]GÖP VERİLERİ'!C393</f>
        <v/>
      </c>
      <c r="AR392" s="34">
        <f>IF(AP392&gt;AQ392*1.05,AP392-AQ392*1.05,IF(AP392&lt;AQ392*0.95,AQ392*0.95-AP392,0))</f>
        <v/>
      </c>
      <c r="AS392" s="34">
        <f>MAX(F392:G392,750)*0.05*AR392</f>
        <v/>
      </c>
      <c r="AT392">
        <f>'[1]GÖP VERİLERİ'!D393</f>
        <v/>
      </c>
      <c r="AU392" s="34">
        <f>IF(AP392&gt;AT392*1.05,AP392-AT392*1.05,IF(AP392&lt;AT392*0.95,AT392*0.95-AP392,0))</f>
        <v/>
      </c>
      <c r="AV392" s="34">
        <f>MAX(F392:G392,750)*0.05*AU392</f>
        <v/>
      </c>
      <c r="AW392" s="34">
        <f>AC392+AJ392+AQ392</f>
        <v/>
      </c>
      <c r="AX392" s="34">
        <f>AF392+AM392+AT392</f>
        <v/>
      </c>
      <c r="AY392" s="34">
        <f>AB392+AI392+AP392</f>
        <v/>
      </c>
      <c r="AZ392" s="34" t="n">
        <v>0</v>
      </c>
      <c r="BA392" s="34">
        <f>AD392+AK392+AR392</f>
        <v/>
      </c>
      <c r="BB392" s="34">
        <f>MAX(F392:G392,750)*0.05*BA392</f>
        <v/>
      </c>
      <c r="BC392" s="34">
        <f>AG392+AN392+AU392</f>
        <v/>
      </c>
      <c r="BD392" s="34">
        <f>MAX(F392:G392,750)*0.05*BC392</f>
        <v/>
      </c>
      <c r="BE392" s="34">
        <f>F392*AY392</f>
        <v/>
      </c>
      <c r="BF392" s="34">
        <f>K392-M392</f>
        <v/>
      </c>
      <c r="BG392" s="34">
        <f>P392-S392</f>
        <v/>
      </c>
      <c r="BH392" s="34">
        <f>W392-AA392</f>
        <v/>
      </c>
      <c r="BI392" s="34">
        <f>BF392+BG392+BL392-BN392</f>
        <v/>
      </c>
      <c r="BJ392" s="34">
        <f>ABS(BK392)</f>
        <v/>
      </c>
      <c r="BK392" s="34">
        <f>AY392-(J392-L392+N392-Q392)</f>
        <v/>
      </c>
      <c r="BL392" s="34">
        <f>IF(AND(BK392&gt;0,MIN($F392:$G392)&lt;150,$E392="Enerji Açığı"),-100*BK392*1.03,IF(AND(BK392&gt;0,MIN($F392:$G392)&lt;150,$E392="Enerji Fazlası"),-100*BK392*1.06,IF(AND(BK392&gt;0,MIN($F392:$G392)&gt;=150,$E392="Enerji Açığı"),BK392*MIN($F392:$G392)*0.97,IF(AND(BK392&gt;0,MIN($F392:$G392)&gt;=150,$E392="Enerji Fazlası"),BK392*MIN($F392:$G392)*0.94,IF(AND(BK392&lt;0,MAX($F392:$G392)=4500,$E392="Enerji Açığı"),4500*1.05*1.06*BK392,IF(AND(BK392&lt;0,MAX($F392:$G392)=4500,$E392="Enerji Fazlası"),4500*1.05*1.03*BK392,IF(AND(BK392&lt;0,$E392="Enerji Açığı"),MAX($F392,$G392,150)*BK392*1.06,IF(AND(BK392&lt;0,$E392="Enerji Fazlası"),MAX($F392,$G392,150)*BK392*1.03,IF(AND(BK392&lt;0,$E392="Dengede"),MAX($F392:$G392,150)*1.03*BK392,MIN($F392:$G392)*0.97*BK392)))))))))</f>
        <v/>
      </c>
      <c r="BM392" s="34">
        <f>BE392-BI392-BN392</f>
        <v/>
      </c>
      <c r="BN392" s="34">
        <f>BB392</f>
        <v/>
      </c>
      <c r="BO392" s="34">
        <f>BE392-BI392</f>
        <v/>
      </c>
      <c r="BP392" s="34">
        <f>IF(AY392=0,0,BO392/AY392)</f>
        <v/>
      </c>
      <c r="BQ392" s="34">
        <f>MAX((AY392+MAX((-J392+L392-N392+Q392),0)),(MAX((J392-L392+N392-Q392),0)))</f>
        <v/>
      </c>
      <c r="BR392" s="82">
        <f>IFERROR(ABS(BK392/BQ392),0)</f>
        <v/>
      </c>
      <c r="BS392" s="34">
        <f>IF(BR392&lt;=0.1,0,BK392/BR392*(BR392-0.1))</f>
        <v/>
      </c>
      <c r="BT392" s="34">
        <f>IF((BS392)&lt;0,MAX(F392:G392)*(BS392)*1.03,MIN(F392:G392)*(BS392)*0.97)</f>
        <v/>
      </c>
      <c r="BU392" s="34">
        <f>IF(BR392&gt;0.1,1,0)</f>
        <v/>
      </c>
      <c r="BV392" s="34">
        <f>BF392+BG392+BH392+BY392-CA392</f>
        <v/>
      </c>
      <c r="BW392" s="34">
        <f>ABS(BX392)</f>
        <v/>
      </c>
      <c r="BX392" s="34">
        <f>AY392-(J392-L392+N392-Q392+T392-X392)</f>
        <v/>
      </c>
      <c r="BY392" s="34">
        <f>IF(AND(BX392&gt;0,MIN($F392:$G392)&lt;150,$E392="Enerji Açığı"),-100*BX392*1.03,IF(AND(BX392&gt;0,MIN($F392:$G392)&lt;150,$E392="Enerji Fazlası"),-100*BX392*1.06,IF(AND(BX392&gt;0,MIN($F392:$G392)&gt;=150,$E392="Enerji Açığı"),BX392*MIN($F392:$G392)*0.97,IF(AND(BX392&gt;0,MIN($F392:$G392)&gt;=150,$E392="Enerji Fazlası"),BX392*MIN($F392:$G392)*0.94,IF(AND(BX392&lt;0,MAX($F392:$G392)=4500,$E392="Enerji Açığı"),4500*1.05*1.06*BX392,IF(AND(BX392&lt;0,MAX($F392:$G392)=4500,$E392="Enerji Fazlası"),4500*1.05*1.03*BX392,IF(AND(BX392&lt;0,$E392="Enerji Açığı"),MAX($F392,$G392,150)*BX392*1.06,IF(AND(BX392&lt;0,$E392="Enerji Fazlası"),MAX($F392,$G392,150)*BX392*1.03,IF(AND(BX392&lt;0,$E392="Dengede"),MAX($F392:$G392,150)*1.03*BX392,MIN($F392:$G392)*0.97*BX392)))))))))</f>
        <v/>
      </c>
      <c r="BZ392" s="34">
        <f>BE392-BV392-CA392</f>
        <v/>
      </c>
      <c r="CA392" s="34">
        <f>BD392</f>
        <v/>
      </c>
      <c r="CB392" s="33">
        <f>BE392-BV392</f>
        <v/>
      </c>
      <c r="CC392" s="34">
        <f>IF(AY392=0,0,CB392/AY392)</f>
        <v/>
      </c>
      <c r="CD392" s="34">
        <f>MAX((AY392+MAX((-J392+L392-N392+Q392-T392+X392),0)),(MAX((J392-L392+N392-Q392+T392-X392),0)))</f>
        <v/>
      </c>
      <c r="CE392" s="82">
        <f>IFERROR(ABS(BX392/CD392),0)</f>
        <v/>
      </c>
      <c r="CF392" s="34">
        <f>IF(CE392&lt;=0.1,0,BX392/CE392*(CE392-0.1))</f>
        <v/>
      </c>
      <c r="CG392" s="34">
        <f>IF((CF392)&lt;0,MAX(F392:G392)*(CF392)*1.03,MIN(F392:G392)*(CF392)*0.97)</f>
        <v/>
      </c>
      <c r="CH392" s="34">
        <f>IF(CE392&gt;0.1,1,0)</f>
        <v/>
      </c>
      <c r="CI392" s="34">
        <f>(F392*BX392)-BY392</f>
        <v/>
      </c>
      <c r="CJ392" s="34">
        <f>IF(AY392=0,0,CI392/AY392)</f>
        <v/>
      </c>
    </row>
    <row r="393">
      <c r="A393" s="29">
        <f>[1]FİYATLAR!A368</f>
        <v/>
      </c>
      <c r="B393" s="29">
        <f>[1]FİYATLAR!B368</f>
        <v/>
      </c>
      <c r="C393" s="35">
        <f>INT(A393)</f>
        <v/>
      </c>
      <c r="D393" s="36">
        <f>MONTH(A393)</f>
        <v/>
      </c>
      <c r="E393" s="147">
        <f>[1]FİYATLAR!G368</f>
        <v/>
      </c>
      <c r="F393" s="30">
        <f>[1]FİYATLAR!C368</f>
        <v/>
      </c>
      <c r="G393" s="30">
        <f>[1]FİYATLAR!E368</f>
        <v/>
      </c>
      <c r="H393" s="30">
        <f>[1]FİYATLAR!D368</f>
        <v/>
      </c>
      <c r="I393" s="30">
        <f>[1]FİYATLAR!F368</f>
        <v/>
      </c>
      <c r="J393" s="119" t="n">
        <v>0</v>
      </c>
      <c r="K393" s="34">
        <f>F393*J393</f>
        <v/>
      </c>
      <c r="L393" s="119" t="n"/>
      <c r="M393" s="34">
        <f>L393*F393</f>
        <v/>
      </c>
      <c r="N393" s="119" t="n"/>
      <c r="O393" s="34">
        <f>F393</f>
        <v/>
      </c>
      <c r="P393" s="34">
        <f>N393*O393</f>
        <v/>
      </c>
      <c r="Q393" s="117" t="n">
        <v>0</v>
      </c>
      <c r="R393" s="34">
        <f>F393</f>
        <v/>
      </c>
      <c r="S393" s="34">
        <f>R393*Q393</f>
        <v/>
      </c>
      <c r="T393" s="34">
        <f>SUMIFS('[1]GİP VERİLERİ'!$C:$C,'[1]GİP VERİLERİ'!$B:$B,A393,'[1]GİP VERİLERİ'!$M:$M,"40X000000104782K",'[1]GİP VERİLERİ'!$G:$G,"SELL")</f>
        <v/>
      </c>
      <c r="U393" s="34">
        <f>IFERROR(W393/T393,0)</f>
        <v/>
      </c>
      <c r="V393" s="34">
        <f>IF(U393=0,0,U393-F393)</f>
        <v/>
      </c>
      <c r="W393" s="34">
        <f>SUMIFS('[1]GİP VERİLERİ'!$O:$O,'[1]GİP VERİLERİ'!$B:$B,A393,'[1]GİP VERİLERİ'!$M:$M,"40X000000104782K",'[1]GİP VERİLERİ'!$G:$G,"SELL")</f>
        <v/>
      </c>
      <c r="X393" s="34">
        <f>SUMIFS('[1]GİP VERİLERİ'!$C:$C,'[1]GİP VERİLERİ'!$B:$B,A393,'[1]GİP VERİLERİ'!$M:$M,"40X000000104782K",'[1]GİP VERİLERİ'!$G:$G,"BUY")</f>
        <v/>
      </c>
      <c r="Y393" s="34">
        <f>IFERROR(AA393/X393,0)</f>
        <v/>
      </c>
      <c r="Z393" s="34">
        <f>IF(Y393=0,0,F393-Y393)</f>
        <v/>
      </c>
      <c r="AA393" s="34">
        <f>SUMIFS('[1]GİP VERİLERİ'!$O:$O,'[1]GİP VERİLERİ'!$B:$B,A393,'[1]GİP VERİLERİ'!$M:$M,"40X000000104782K",'[1]GİP VERİLERİ'!$G:$G,"BUY")</f>
        <v/>
      </c>
      <c r="AB393" s="34">
        <f>'[1]GÖP VERİLERİ'!H394</f>
        <v/>
      </c>
      <c r="AC393" s="34">
        <f>'[1]GÖP VERİLERİ'!I394</f>
        <v/>
      </c>
      <c r="AD393" s="34">
        <f>IF(AB393&gt;AC393*1.05,AB393-AC393*1.05,IF(AB393&lt;AC393*0.95,AC393*0.95-AB393,0))</f>
        <v/>
      </c>
      <c r="AE393" s="34">
        <f>MAX(F393,G393,750)*0.05*AD393</f>
        <v/>
      </c>
      <c r="AF393" s="34">
        <f>'[1]GÖP VERİLERİ'!J394</f>
        <v/>
      </c>
      <c r="AG393" s="34">
        <f>IF(AB393&gt;AF393*1.05,AB393-AF393*1.05,IF(AB393&lt;AF393*0.95,AF393*0.95-AB393,0))</f>
        <v/>
      </c>
      <c r="AH393" s="34">
        <f>MAX(I393,J393,750)*0.05*AG393</f>
        <v/>
      </c>
      <c r="AI393">
        <f>'[1]GÖP VERİLERİ'!E394</f>
        <v/>
      </c>
      <c r="AJ393">
        <f>'[1]GÖP VERİLERİ'!F394</f>
        <v/>
      </c>
      <c r="AK393" s="34">
        <f>IF(AI393&gt;AJ393*1.05,AI393-AJ393*1.05,IF(AI393&lt;AJ393*0.95,AJ393*0.95-AI393,0))</f>
        <v/>
      </c>
      <c r="AL393" s="34">
        <f>MAX(F393,G393,750)*0.05*AK393</f>
        <v/>
      </c>
      <c r="AM393" s="39">
        <f>'[1]GÖP VERİLERİ'!G394</f>
        <v/>
      </c>
      <c r="AN393" s="34">
        <f>IF(AI393&gt;AM393*1.05,AI393-AM393*1.05,IF(AI393&lt;AM393*0.95,AM393*0.95-AI393,0))</f>
        <v/>
      </c>
      <c r="AO393" s="34">
        <f>MAX(F393,G393,750)*0.05*AN393</f>
        <v/>
      </c>
      <c r="AP393" s="34">
        <f>'[1]GÖP VERİLERİ'!B394</f>
        <v/>
      </c>
      <c r="AQ393" s="34">
        <f>'[1]GÖP VERİLERİ'!C394</f>
        <v/>
      </c>
      <c r="AR393" s="34">
        <f>IF(AP393&gt;AQ393*1.05,AP393-AQ393*1.05,IF(AP393&lt;AQ393*0.95,AQ393*0.95-AP393,0))</f>
        <v/>
      </c>
      <c r="AS393" s="34">
        <f>MAX(F393:G393,750)*0.05*AR393</f>
        <v/>
      </c>
      <c r="AT393">
        <f>'[1]GÖP VERİLERİ'!D394</f>
        <v/>
      </c>
      <c r="AU393" s="34">
        <f>IF(AP393&gt;AT393*1.05,AP393-AT393*1.05,IF(AP393&lt;AT393*0.95,AT393*0.95-AP393,0))</f>
        <v/>
      </c>
      <c r="AV393" s="34">
        <f>MAX(F393:G393,750)*0.05*AU393</f>
        <v/>
      </c>
      <c r="AW393" s="34">
        <f>AC393+AJ393+AQ393</f>
        <v/>
      </c>
      <c r="AX393" s="34">
        <f>AF393+AM393+AT393</f>
        <v/>
      </c>
      <c r="AY393" s="34">
        <f>AB393+AI393+AP393</f>
        <v/>
      </c>
      <c r="AZ393" s="34" t="n">
        <v>0</v>
      </c>
      <c r="BA393" s="34">
        <f>AD393+AK393+AR393</f>
        <v/>
      </c>
      <c r="BB393" s="34">
        <f>MAX(F393:G393,750)*0.05*BA393</f>
        <v/>
      </c>
      <c r="BC393" s="34">
        <f>AG393+AN393+AU393</f>
        <v/>
      </c>
      <c r="BD393" s="34">
        <f>MAX(F393:G393,750)*0.05*BC393</f>
        <v/>
      </c>
      <c r="BE393" s="34">
        <f>F393*AY393</f>
        <v/>
      </c>
      <c r="BF393" s="34">
        <f>K393-M393</f>
        <v/>
      </c>
      <c r="BG393" s="34">
        <f>P393-S393</f>
        <v/>
      </c>
      <c r="BH393" s="34">
        <f>W393-AA393</f>
        <v/>
      </c>
      <c r="BI393" s="34">
        <f>BF393+BG393+BL393-BN393</f>
        <v/>
      </c>
      <c r="BJ393" s="34">
        <f>ABS(BK393)</f>
        <v/>
      </c>
      <c r="BK393" s="34">
        <f>AY393-(J393-L393+N393-Q393)</f>
        <v/>
      </c>
      <c r="BL393" s="34">
        <f>IF(AND(BK393&gt;0,MIN($F393:$G393)&lt;150,$E393="Enerji Açığı"),-100*BK393*1.03,IF(AND(BK393&gt;0,MIN($F393:$G393)&lt;150,$E393="Enerji Fazlası"),-100*BK393*1.06,IF(AND(BK393&gt;0,MIN($F393:$G393)&gt;=150,$E393="Enerji Açığı"),BK393*MIN($F393:$G393)*0.97,IF(AND(BK393&gt;0,MIN($F393:$G393)&gt;=150,$E393="Enerji Fazlası"),BK393*MIN($F393:$G393)*0.94,IF(AND(BK393&lt;0,MAX($F393:$G393)=4500,$E393="Enerji Açığı"),4500*1.05*1.06*BK393,IF(AND(BK393&lt;0,MAX($F393:$G393)=4500,$E393="Enerji Fazlası"),4500*1.05*1.03*BK393,IF(AND(BK393&lt;0,$E393="Enerji Açığı"),MAX($F393,$G393,150)*BK393*1.06,IF(AND(BK393&lt;0,$E393="Enerji Fazlası"),MAX($F393,$G393,150)*BK393*1.03,IF(AND(BK393&lt;0,$E393="Dengede"),MAX($F393:$G393,150)*1.03*BK393,MIN($F393:$G393)*0.97*BK393)))))))))</f>
        <v/>
      </c>
      <c r="BM393" s="34">
        <f>BE393-BI393-BN393</f>
        <v/>
      </c>
      <c r="BN393" s="34">
        <f>BB393</f>
        <v/>
      </c>
      <c r="BO393" s="34">
        <f>BE393-BI393</f>
        <v/>
      </c>
      <c r="BP393" s="34">
        <f>IF(AY393=0,0,BO393/AY393)</f>
        <v/>
      </c>
      <c r="BQ393" s="34">
        <f>MAX((AY393+MAX((-J393+L393-N393+Q393),0)),(MAX((J393-L393+N393-Q393),0)))</f>
        <v/>
      </c>
      <c r="BR393" s="82">
        <f>IFERROR(ABS(BK393/BQ393),0)</f>
        <v/>
      </c>
      <c r="BS393" s="34">
        <f>IF(BR393&lt;=0.1,0,BK393/BR393*(BR393-0.1))</f>
        <v/>
      </c>
      <c r="BT393" s="34">
        <f>IF((BS393)&lt;0,MAX(F393:G393)*(BS393)*1.03,MIN(F393:G393)*(BS393)*0.97)</f>
        <v/>
      </c>
      <c r="BU393" s="34">
        <f>IF(BR393&gt;0.1,1,0)</f>
        <v/>
      </c>
      <c r="BV393" s="34">
        <f>BF393+BG393+BH393+BY393-CA393</f>
        <v/>
      </c>
      <c r="BW393" s="34">
        <f>ABS(BX393)</f>
        <v/>
      </c>
      <c r="BX393" s="34">
        <f>AY393-(J393-L393+N393-Q393+T393-X393)</f>
        <v/>
      </c>
      <c r="BY393" s="34">
        <f>IF(AND(BX393&gt;0,MIN($F393:$G393)&lt;150,$E393="Enerji Açığı"),-100*BX393*1.03,IF(AND(BX393&gt;0,MIN($F393:$G393)&lt;150,$E393="Enerji Fazlası"),-100*BX393*1.06,IF(AND(BX393&gt;0,MIN($F393:$G393)&gt;=150,$E393="Enerji Açığı"),BX393*MIN($F393:$G393)*0.97,IF(AND(BX393&gt;0,MIN($F393:$G393)&gt;=150,$E393="Enerji Fazlası"),BX393*MIN($F393:$G393)*0.94,IF(AND(BX393&lt;0,MAX($F393:$G393)=4500,$E393="Enerji Açığı"),4500*1.05*1.06*BX393,IF(AND(BX393&lt;0,MAX($F393:$G393)=4500,$E393="Enerji Fazlası"),4500*1.05*1.03*BX393,IF(AND(BX393&lt;0,$E393="Enerji Açığı"),MAX($F393,$G393,150)*BX393*1.06,IF(AND(BX393&lt;0,$E393="Enerji Fazlası"),MAX($F393,$G393,150)*BX393*1.03,IF(AND(BX393&lt;0,$E393="Dengede"),MAX($F393:$G393,150)*1.03*BX393,MIN($F393:$G393)*0.97*BX393)))))))))</f>
        <v/>
      </c>
      <c r="BZ393" s="34">
        <f>BE393-BV393-CA393</f>
        <v/>
      </c>
      <c r="CA393" s="34">
        <f>BD393</f>
        <v/>
      </c>
      <c r="CB393" s="33">
        <f>BE393-BV393</f>
        <v/>
      </c>
      <c r="CC393" s="34">
        <f>IF(AY393=0,0,CB393/AY393)</f>
        <v/>
      </c>
      <c r="CD393" s="34">
        <f>MAX((AY393+MAX((-J393+L393-N393+Q393-T393+X393),0)),(MAX((J393-L393+N393-Q393+T393-X393),0)))</f>
        <v/>
      </c>
      <c r="CE393" s="82">
        <f>IFERROR(ABS(BX393/CD393),0)</f>
        <v/>
      </c>
      <c r="CF393" s="34">
        <f>IF(CE393&lt;=0.1,0,BX393/CE393*(CE393-0.1))</f>
        <v/>
      </c>
      <c r="CG393" s="34">
        <f>IF((CF393)&lt;0,MAX(F393:G393)*(CF393)*1.03,MIN(F393:G393)*(CF393)*0.97)</f>
        <v/>
      </c>
      <c r="CH393" s="34">
        <f>IF(CE393&gt;0.1,1,0)</f>
        <v/>
      </c>
      <c r="CI393" s="34">
        <f>(F393*BX393)-BY393</f>
        <v/>
      </c>
      <c r="CJ393" s="34">
        <f>IF(AY393=0,0,CI393/AY393)</f>
        <v/>
      </c>
    </row>
    <row r="394">
      <c r="A394" s="29">
        <f>[1]FİYATLAR!A369</f>
        <v/>
      </c>
      <c r="B394" s="29">
        <f>[1]FİYATLAR!B369</f>
        <v/>
      </c>
      <c r="C394" s="35">
        <f>INT(A394)</f>
        <v/>
      </c>
      <c r="D394" s="36">
        <f>MONTH(A394)</f>
        <v/>
      </c>
      <c r="E394" s="147">
        <f>[1]FİYATLAR!G369</f>
        <v/>
      </c>
      <c r="F394" s="30">
        <f>[1]FİYATLAR!C369</f>
        <v/>
      </c>
      <c r="G394" s="30">
        <f>[1]FİYATLAR!E369</f>
        <v/>
      </c>
      <c r="H394" s="30">
        <f>[1]FİYATLAR!D369</f>
        <v/>
      </c>
      <c r="I394" s="30">
        <f>[1]FİYATLAR!F369</f>
        <v/>
      </c>
      <c r="J394" s="119" t="n">
        <v>0</v>
      </c>
      <c r="K394" s="34">
        <f>F394*J394</f>
        <v/>
      </c>
      <c r="L394" s="119" t="n"/>
      <c r="M394" s="34">
        <f>L394*F394</f>
        <v/>
      </c>
      <c r="N394" s="119" t="n"/>
      <c r="O394" s="34">
        <f>F394</f>
        <v/>
      </c>
      <c r="P394" s="34">
        <f>N394*O394</f>
        <v/>
      </c>
      <c r="Q394" s="117" t="n">
        <v>0</v>
      </c>
      <c r="R394" s="34">
        <f>F394</f>
        <v/>
      </c>
      <c r="S394" s="34">
        <f>R394*Q394</f>
        <v/>
      </c>
      <c r="T394" s="34">
        <f>SUMIFS('[1]GİP VERİLERİ'!$C:$C,'[1]GİP VERİLERİ'!$B:$B,A394,'[1]GİP VERİLERİ'!$M:$M,"40X000000104782K",'[1]GİP VERİLERİ'!$G:$G,"SELL")</f>
        <v/>
      </c>
      <c r="U394" s="34">
        <f>IFERROR(W394/T394,0)</f>
        <v/>
      </c>
      <c r="V394" s="34">
        <f>IF(U394=0,0,U394-F394)</f>
        <v/>
      </c>
      <c r="W394" s="34">
        <f>SUMIFS('[1]GİP VERİLERİ'!$O:$O,'[1]GİP VERİLERİ'!$B:$B,A394,'[1]GİP VERİLERİ'!$M:$M,"40X000000104782K",'[1]GİP VERİLERİ'!$G:$G,"SELL")</f>
        <v/>
      </c>
      <c r="X394" s="34">
        <f>SUMIFS('[1]GİP VERİLERİ'!$C:$C,'[1]GİP VERİLERİ'!$B:$B,A394,'[1]GİP VERİLERİ'!$M:$M,"40X000000104782K",'[1]GİP VERİLERİ'!$G:$G,"BUY")</f>
        <v/>
      </c>
      <c r="Y394" s="34">
        <f>IFERROR(AA394/X394,0)</f>
        <v/>
      </c>
      <c r="Z394" s="34">
        <f>IF(Y394=0,0,F394-Y394)</f>
        <v/>
      </c>
      <c r="AA394" s="34">
        <f>SUMIFS('[1]GİP VERİLERİ'!$O:$O,'[1]GİP VERİLERİ'!$B:$B,A394,'[1]GİP VERİLERİ'!$M:$M,"40X000000104782K",'[1]GİP VERİLERİ'!$G:$G,"BUY")</f>
        <v/>
      </c>
      <c r="AB394" s="34">
        <f>'[1]GÖP VERİLERİ'!H395</f>
        <v/>
      </c>
      <c r="AC394" s="34">
        <f>'[1]GÖP VERİLERİ'!I395</f>
        <v/>
      </c>
      <c r="AD394" s="34">
        <f>IF(AB394&gt;AC394*1.05,AB394-AC394*1.05,IF(AB394&lt;AC394*0.95,AC394*0.95-AB394,0))</f>
        <v/>
      </c>
      <c r="AE394" s="34">
        <f>MAX(F394,G394,750)*0.05*AD394</f>
        <v/>
      </c>
      <c r="AF394" s="34">
        <f>'[1]GÖP VERİLERİ'!J395</f>
        <v/>
      </c>
      <c r="AG394" s="34">
        <f>IF(AB394&gt;AF394*1.05,AB394-AF394*1.05,IF(AB394&lt;AF394*0.95,AF394*0.95-AB394,0))</f>
        <v/>
      </c>
      <c r="AH394" s="34">
        <f>MAX(I394,J394,750)*0.05*AG394</f>
        <v/>
      </c>
      <c r="AI394">
        <f>'[1]GÖP VERİLERİ'!E395</f>
        <v/>
      </c>
      <c r="AJ394">
        <f>'[1]GÖP VERİLERİ'!F395</f>
        <v/>
      </c>
      <c r="AK394" s="34">
        <f>IF(AI394&gt;AJ394*1.05,AI394-AJ394*1.05,IF(AI394&lt;AJ394*0.95,AJ394*0.95-AI394,0))</f>
        <v/>
      </c>
      <c r="AL394" s="34">
        <f>MAX(F394,G394,750)*0.05*AK394</f>
        <v/>
      </c>
      <c r="AM394" s="39">
        <f>'[1]GÖP VERİLERİ'!G395</f>
        <v/>
      </c>
      <c r="AN394" s="34">
        <f>IF(AI394&gt;AM394*1.05,AI394-AM394*1.05,IF(AI394&lt;AM394*0.95,AM394*0.95-AI394,0))</f>
        <v/>
      </c>
      <c r="AO394" s="34">
        <f>MAX(F394,G394,750)*0.05*AN394</f>
        <v/>
      </c>
      <c r="AP394" s="34">
        <f>'[1]GÖP VERİLERİ'!B395</f>
        <v/>
      </c>
      <c r="AQ394" s="34">
        <f>'[1]GÖP VERİLERİ'!C395</f>
        <v/>
      </c>
      <c r="AR394" s="34">
        <f>IF(AP394&gt;AQ394*1.05,AP394-AQ394*1.05,IF(AP394&lt;AQ394*0.95,AQ394*0.95-AP394,0))</f>
        <v/>
      </c>
      <c r="AS394" s="34">
        <f>MAX(F394:G394,750)*0.05*AR394</f>
        <v/>
      </c>
      <c r="AT394">
        <f>'[1]GÖP VERİLERİ'!D395</f>
        <v/>
      </c>
      <c r="AU394" s="34">
        <f>IF(AP394&gt;AT394*1.05,AP394-AT394*1.05,IF(AP394&lt;AT394*0.95,AT394*0.95-AP394,0))</f>
        <v/>
      </c>
      <c r="AV394" s="34">
        <f>MAX(F394:G394,750)*0.05*AU394</f>
        <v/>
      </c>
      <c r="AW394" s="34">
        <f>AC394+AJ394+AQ394</f>
        <v/>
      </c>
      <c r="AX394" s="34">
        <f>AF394+AM394+AT394</f>
        <v/>
      </c>
      <c r="AY394" s="34">
        <f>AB394+AI394+AP394</f>
        <v/>
      </c>
      <c r="AZ394" s="34" t="n">
        <v>0</v>
      </c>
      <c r="BA394" s="34">
        <f>AD394+AK394+AR394</f>
        <v/>
      </c>
      <c r="BB394" s="34">
        <f>MAX(F394:G394,750)*0.05*BA394</f>
        <v/>
      </c>
      <c r="BC394" s="34">
        <f>AG394+AN394+AU394</f>
        <v/>
      </c>
      <c r="BD394" s="34">
        <f>MAX(F394:G394,750)*0.05*BC394</f>
        <v/>
      </c>
      <c r="BE394" s="34">
        <f>F394*AY394</f>
        <v/>
      </c>
      <c r="BF394" s="34">
        <f>K394-M394</f>
        <v/>
      </c>
      <c r="BG394" s="34">
        <f>P394-S394</f>
        <v/>
      </c>
      <c r="BH394" s="34">
        <f>W394-AA394</f>
        <v/>
      </c>
      <c r="BI394" s="34">
        <f>BF394+BG394+BL394-BN394</f>
        <v/>
      </c>
      <c r="BJ394" s="34">
        <f>ABS(BK394)</f>
        <v/>
      </c>
      <c r="BK394" s="34">
        <f>AY394-(J394-L394+N394-Q394)</f>
        <v/>
      </c>
      <c r="BL394" s="34">
        <f>IF(AND(BK394&gt;0,MIN($F394:$G394)&lt;150,$E394="Enerji Açığı"),-100*BK394*1.03,IF(AND(BK394&gt;0,MIN($F394:$G394)&lt;150,$E394="Enerji Fazlası"),-100*BK394*1.06,IF(AND(BK394&gt;0,MIN($F394:$G394)&gt;=150,$E394="Enerji Açığı"),BK394*MIN($F394:$G394)*0.97,IF(AND(BK394&gt;0,MIN($F394:$G394)&gt;=150,$E394="Enerji Fazlası"),BK394*MIN($F394:$G394)*0.94,IF(AND(BK394&lt;0,MAX($F394:$G394)=4500,$E394="Enerji Açığı"),4500*1.05*1.06*BK394,IF(AND(BK394&lt;0,MAX($F394:$G394)=4500,$E394="Enerji Fazlası"),4500*1.05*1.03*BK394,IF(AND(BK394&lt;0,$E394="Enerji Açığı"),MAX($F394,$G394,150)*BK394*1.06,IF(AND(BK394&lt;0,$E394="Enerji Fazlası"),MAX($F394,$G394,150)*BK394*1.03,IF(AND(BK394&lt;0,$E394="Dengede"),MAX($F394:$G394,150)*1.03*BK394,MIN($F394:$G394)*0.97*BK394)))))))))</f>
        <v/>
      </c>
      <c r="BM394" s="34">
        <f>BE394-BI394-BN394</f>
        <v/>
      </c>
      <c r="BN394" s="34">
        <f>BB394</f>
        <v/>
      </c>
      <c r="BO394" s="34">
        <f>BE394-BI394</f>
        <v/>
      </c>
      <c r="BP394" s="34">
        <f>IF(AY394=0,0,BO394/AY394)</f>
        <v/>
      </c>
      <c r="BQ394" s="34">
        <f>MAX((AY394+MAX((-J394+L394-N394+Q394),0)),(MAX((J394-L394+N394-Q394),0)))</f>
        <v/>
      </c>
      <c r="BR394" s="82">
        <f>IFERROR(ABS(BK394/BQ394),0)</f>
        <v/>
      </c>
      <c r="BS394" s="34">
        <f>IF(BR394&lt;=0.1,0,BK394/BR394*(BR394-0.1))</f>
        <v/>
      </c>
      <c r="BT394" s="34">
        <f>IF((BS394)&lt;0,MAX(F394:G394)*(BS394)*1.03,MIN(F394:G394)*(BS394)*0.97)</f>
        <v/>
      </c>
      <c r="BU394" s="34">
        <f>IF(BR394&gt;0.1,1,0)</f>
        <v/>
      </c>
      <c r="BV394" s="34">
        <f>BF394+BG394+BH394+BY394-CA394</f>
        <v/>
      </c>
      <c r="BW394" s="34">
        <f>ABS(BX394)</f>
        <v/>
      </c>
      <c r="BX394" s="34">
        <f>AY394-(J394-L394+N394-Q394+T394-X394)</f>
        <v/>
      </c>
      <c r="BY394" s="34">
        <f>IF(AND(BX394&gt;0,MIN($F394:$G394)&lt;150,$E394="Enerji Açığı"),-100*BX394*1.03,IF(AND(BX394&gt;0,MIN($F394:$G394)&lt;150,$E394="Enerji Fazlası"),-100*BX394*1.06,IF(AND(BX394&gt;0,MIN($F394:$G394)&gt;=150,$E394="Enerji Açığı"),BX394*MIN($F394:$G394)*0.97,IF(AND(BX394&gt;0,MIN($F394:$G394)&gt;=150,$E394="Enerji Fazlası"),BX394*MIN($F394:$G394)*0.94,IF(AND(BX394&lt;0,MAX($F394:$G394)=4500,$E394="Enerji Açığı"),4500*1.05*1.06*BX394,IF(AND(BX394&lt;0,MAX($F394:$G394)=4500,$E394="Enerji Fazlası"),4500*1.05*1.03*BX394,IF(AND(BX394&lt;0,$E394="Enerji Açığı"),MAX($F394,$G394,150)*BX394*1.06,IF(AND(BX394&lt;0,$E394="Enerji Fazlası"),MAX($F394,$G394,150)*BX394*1.03,IF(AND(BX394&lt;0,$E394="Dengede"),MAX($F394:$G394,150)*1.03*BX394,MIN($F394:$G394)*0.97*BX394)))))))))</f>
        <v/>
      </c>
      <c r="BZ394" s="34">
        <f>BE394-BV394-CA394</f>
        <v/>
      </c>
      <c r="CA394" s="34">
        <f>BD394</f>
        <v/>
      </c>
      <c r="CB394" s="33">
        <f>BE394-BV394</f>
        <v/>
      </c>
      <c r="CC394" s="34">
        <f>IF(AY394=0,0,CB394/AY394)</f>
        <v/>
      </c>
      <c r="CD394" s="34">
        <f>MAX((AY394+MAX((-J394+L394-N394+Q394-T394+X394),0)),(MAX((J394-L394+N394-Q394+T394-X394),0)))</f>
        <v/>
      </c>
      <c r="CE394" s="82">
        <f>IFERROR(ABS(BX394/CD394),0)</f>
        <v/>
      </c>
      <c r="CF394" s="34">
        <f>IF(CE394&lt;=0.1,0,BX394/CE394*(CE394-0.1))</f>
        <v/>
      </c>
      <c r="CG394" s="34">
        <f>IF((CF394)&lt;0,MAX(F394:G394)*(CF394)*1.03,MIN(F394:G394)*(CF394)*0.97)</f>
        <v/>
      </c>
      <c r="CH394" s="34">
        <f>IF(CE394&gt;0.1,1,0)</f>
        <v/>
      </c>
      <c r="CI394" s="34">
        <f>(F394*BX394)-BY394</f>
        <v/>
      </c>
      <c r="CJ394" s="34">
        <f>IF(AY394=0,0,CI394/AY394)</f>
        <v/>
      </c>
    </row>
    <row r="395">
      <c r="A395" s="29">
        <f>[1]FİYATLAR!A370</f>
        <v/>
      </c>
      <c r="B395" s="29">
        <f>[1]FİYATLAR!B370</f>
        <v/>
      </c>
      <c r="C395" s="35">
        <f>INT(A395)</f>
        <v/>
      </c>
      <c r="D395" s="36">
        <f>MONTH(A395)</f>
        <v/>
      </c>
      <c r="E395" s="147">
        <f>[1]FİYATLAR!G370</f>
        <v/>
      </c>
      <c r="F395" s="30">
        <f>[1]FİYATLAR!C370</f>
        <v/>
      </c>
      <c r="G395" s="30">
        <f>[1]FİYATLAR!E370</f>
        <v/>
      </c>
      <c r="H395" s="30">
        <f>[1]FİYATLAR!D370</f>
        <v/>
      </c>
      <c r="I395" s="30">
        <f>[1]FİYATLAR!F370</f>
        <v/>
      </c>
      <c r="J395" s="119" t="n">
        <v>0</v>
      </c>
      <c r="K395" s="34">
        <f>F395*J395</f>
        <v/>
      </c>
      <c r="L395" s="119" t="n"/>
      <c r="M395" s="34">
        <f>L395*F395</f>
        <v/>
      </c>
      <c r="N395" s="119" t="n"/>
      <c r="O395" s="34">
        <f>F395</f>
        <v/>
      </c>
      <c r="P395" s="34">
        <f>N395*O395</f>
        <v/>
      </c>
      <c r="Q395" s="117" t="n">
        <v>0</v>
      </c>
      <c r="R395" s="34">
        <f>F395</f>
        <v/>
      </c>
      <c r="S395" s="34">
        <f>R395*Q395</f>
        <v/>
      </c>
      <c r="T395" s="34">
        <f>SUMIFS('[1]GİP VERİLERİ'!$C:$C,'[1]GİP VERİLERİ'!$B:$B,A395,'[1]GİP VERİLERİ'!$M:$M,"40X000000104782K",'[1]GİP VERİLERİ'!$G:$G,"SELL")</f>
        <v/>
      </c>
      <c r="U395" s="34">
        <f>IFERROR(W395/T395,0)</f>
        <v/>
      </c>
      <c r="V395" s="34">
        <f>IF(U395=0,0,U395-F395)</f>
        <v/>
      </c>
      <c r="W395" s="34">
        <f>SUMIFS('[1]GİP VERİLERİ'!$O:$O,'[1]GİP VERİLERİ'!$B:$B,A395,'[1]GİP VERİLERİ'!$M:$M,"40X000000104782K",'[1]GİP VERİLERİ'!$G:$G,"SELL")</f>
        <v/>
      </c>
      <c r="X395" s="34">
        <f>SUMIFS('[1]GİP VERİLERİ'!$C:$C,'[1]GİP VERİLERİ'!$B:$B,A395,'[1]GİP VERİLERİ'!$M:$M,"40X000000104782K",'[1]GİP VERİLERİ'!$G:$G,"BUY")</f>
        <v/>
      </c>
      <c r="Y395" s="34">
        <f>IFERROR(AA395/X395,0)</f>
        <v/>
      </c>
      <c r="Z395" s="34">
        <f>IF(Y395=0,0,F395-Y395)</f>
        <v/>
      </c>
      <c r="AA395" s="34">
        <f>SUMIFS('[1]GİP VERİLERİ'!$O:$O,'[1]GİP VERİLERİ'!$B:$B,A395,'[1]GİP VERİLERİ'!$M:$M,"40X000000104782K",'[1]GİP VERİLERİ'!$G:$G,"BUY")</f>
        <v/>
      </c>
      <c r="AB395" s="34">
        <f>'[1]GÖP VERİLERİ'!H396</f>
        <v/>
      </c>
      <c r="AC395" s="34">
        <f>'[1]GÖP VERİLERİ'!I396</f>
        <v/>
      </c>
      <c r="AD395" s="34">
        <f>IF(AB395&gt;AC395*1.05,AB395-AC395*1.05,IF(AB395&lt;AC395*0.95,AC395*0.95-AB395,0))</f>
        <v/>
      </c>
      <c r="AE395" s="34">
        <f>MAX(F395,G395,750)*0.05*AD395</f>
        <v/>
      </c>
      <c r="AF395" s="34">
        <f>'[1]GÖP VERİLERİ'!J396</f>
        <v/>
      </c>
      <c r="AG395" s="34">
        <f>IF(AB395&gt;AF395*1.05,AB395-AF395*1.05,IF(AB395&lt;AF395*0.95,AF395*0.95-AB395,0))</f>
        <v/>
      </c>
      <c r="AH395" s="34">
        <f>MAX(I395,J395,750)*0.05*AG395</f>
        <v/>
      </c>
      <c r="AI395">
        <f>'[1]GÖP VERİLERİ'!E396</f>
        <v/>
      </c>
      <c r="AJ395">
        <f>'[1]GÖP VERİLERİ'!F396</f>
        <v/>
      </c>
      <c r="AK395" s="34">
        <f>IF(AI395&gt;AJ395*1.05,AI395-AJ395*1.05,IF(AI395&lt;AJ395*0.95,AJ395*0.95-AI395,0))</f>
        <v/>
      </c>
      <c r="AL395" s="34">
        <f>MAX(F395,G395,750)*0.05*AK395</f>
        <v/>
      </c>
      <c r="AM395" s="39">
        <f>'[1]GÖP VERİLERİ'!G396</f>
        <v/>
      </c>
      <c r="AN395" s="34">
        <f>IF(AI395&gt;AM395*1.05,AI395-AM395*1.05,IF(AI395&lt;AM395*0.95,AM395*0.95-AI395,0))</f>
        <v/>
      </c>
      <c r="AO395" s="34">
        <f>MAX(F395,G395,750)*0.05*AN395</f>
        <v/>
      </c>
      <c r="AP395" s="34">
        <f>'[1]GÖP VERİLERİ'!B396</f>
        <v/>
      </c>
      <c r="AQ395" s="34">
        <f>'[1]GÖP VERİLERİ'!C396</f>
        <v/>
      </c>
      <c r="AR395" s="34">
        <f>IF(AP395&gt;AQ395*1.05,AP395-AQ395*1.05,IF(AP395&lt;AQ395*0.95,AQ395*0.95-AP395,0))</f>
        <v/>
      </c>
      <c r="AS395" s="34">
        <f>MAX(F395:G395,750)*0.05*AR395</f>
        <v/>
      </c>
      <c r="AT395">
        <f>'[1]GÖP VERİLERİ'!D396</f>
        <v/>
      </c>
      <c r="AU395" s="34">
        <f>IF(AP395&gt;AT395*1.05,AP395-AT395*1.05,IF(AP395&lt;AT395*0.95,AT395*0.95-AP395,0))</f>
        <v/>
      </c>
      <c r="AV395" s="34">
        <f>MAX(F395:G395,750)*0.05*AU395</f>
        <v/>
      </c>
      <c r="AW395" s="34">
        <f>AC395+AJ395+AQ395</f>
        <v/>
      </c>
      <c r="AX395" s="34">
        <f>AF395+AM395+AT395</f>
        <v/>
      </c>
      <c r="AY395" s="34">
        <f>AB395+AI395+AP395</f>
        <v/>
      </c>
      <c r="AZ395" s="34" t="n">
        <v>0</v>
      </c>
      <c r="BA395" s="34">
        <f>AD395+AK395+AR395</f>
        <v/>
      </c>
      <c r="BB395" s="34">
        <f>MAX(F395:G395,750)*0.05*BA395</f>
        <v/>
      </c>
      <c r="BC395" s="34">
        <f>AG395+AN395+AU395</f>
        <v/>
      </c>
      <c r="BD395" s="34">
        <f>MAX(F395:G395,750)*0.05*BC395</f>
        <v/>
      </c>
      <c r="BE395" s="34">
        <f>F395*AY395</f>
        <v/>
      </c>
      <c r="BF395" s="34">
        <f>K395-M395</f>
        <v/>
      </c>
      <c r="BG395" s="34">
        <f>P395-S395</f>
        <v/>
      </c>
      <c r="BH395" s="34">
        <f>W395-AA395</f>
        <v/>
      </c>
      <c r="BI395" s="34">
        <f>BF395+BG395+BL395-BN395</f>
        <v/>
      </c>
      <c r="BJ395" s="34">
        <f>ABS(BK395)</f>
        <v/>
      </c>
      <c r="BK395" s="34">
        <f>AY395-(J395-L395+N395-Q395)</f>
        <v/>
      </c>
      <c r="BL395" s="34">
        <f>IF(AND(BK395&gt;0,MIN($F395:$G395)&lt;150,$E395="Enerji Açığı"),-100*BK395*1.03,IF(AND(BK395&gt;0,MIN($F395:$G395)&lt;150,$E395="Enerji Fazlası"),-100*BK395*1.06,IF(AND(BK395&gt;0,MIN($F395:$G395)&gt;=150,$E395="Enerji Açığı"),BK395*MIN($F395:$G395)*0.97,IF(AND(BK395&gt;0,MIN($F395:$G395)&gt;=150,$E395="Enerji Fazlası"),BK395*MIN($F395:$G395)*0.94,IF(AND(BK395&lt;0,MAX($F395:$G395)=4500,$E395="Enerji Açığı"),4500*1.05*1.06*BK395,IF(AND(BK395&lt;0,MAX($F395:$G395)=4500,$E395="Enerji Fazlası"),4500*1.05*1.03*BK395,IF(AND(BK395&lt;0,$E395="Enerji Açığı"),MAX($F395,$G395,150)*BK395*1.06,IF(AND(BK395&lt;0,$E395="Enerji Fazlası"),MAX($F395,$G395,150)*BK395*1.03,IF(AND(BK395&lt;0,$E395="Dengede"),MAX($F395:$G395,150)*1.03*BK395,MIN($F395:$G395)*0.97*BK395)))))))))</f>
        <v/>
      </c>
      <c r="BM395" s="34">
        <f>BE395-BI395-BN395</f>
        <v/>
      </c>
      <c r="BN395" s="34">
        <f>BB395</f>
        <v/>
      </c>
      <c r="BO395" s="34">
        <f>BE395-BI395</f>
        <v/>
      </c>
      <c r="BP395" s="34">
        <f>IF(AY395=0,0,BO395/AY395)</f>
        <v/>
      </c>
      <c r="BQ395" s="34">
        <f>MAX((AY395+MAX((-J395+L395-N395+Q395),0)),(MAX((J395-L395+N395-Q395),0)))</f>
        <v/>
      </c>
      <c r="BR395" s="82">
        <f>IFERROR(ABS(BK395/BQ395),0)</f>
        <v/>
      </c>
      <c r="BS395" s="34">
        <f>IF(BR395&lt;=0.1,0,BK395/BR395*(BR395-0.1))</f>
        <v/>
      </c>
      <c r="BT395" s="34">
        <f>IF((BS395)&lt;0,MAX(F395:G395)*(BS395)*1.03,MIN(F395:G395)*(BS395)*0.97)</f>
        <v/>
      </c>
      <c r="BU395" s="34">
        <f>IF(BR395&gt;0.1,1,0)</f>
        <v/>
      </c>
      <c r="BV395" s="34">
        <f>BF395+BG395+BH395+BY395-CA395</f>
        <v/>
      </c>
      <c r="BW395" s="34">
        <f>ABS(BX395)</f>
        <v/>
      </c>
      <c r="BX395" s="34">
        <f>AY395-(J395-L395+N395-Q395+T395-X395)</f>
        <v/>
      </c>
      <c r="BY395" s="34">
        <f>IF(AND(BX395&gt;0,MIN($F395:$G395)&lt;150,$E395="Enerji Açığı"),-100*BX395*1.03,IF(AND(BX395&gt;0,MIN($F395:$G395)&lt;150,$E395="Enerji Fazlası"),-100*BX395*1.06,IF(AND(BX395&gt;0,MIN($F395:$G395)&gt;=150,$E395="Enerji Açığı"),BX395*MIN($F395:$G395)*0.97,IF(AND(BX395&gt;0,MIN($F395:$G395)&gt;=150,$E395="Enerji Fazlası"),BX395*MIN($F395:$G395)*0.94,IF(AND(BX395&lt;0,MAX($F395:$G395)=4500,$E395="Enerji Açığı"),4500*1.05*1.06*BX395,IF(AND(BX395&lt;0,MAX($F395:$G395)=4500,$E395="Enerji Fazlası"),4500*1.05*1.03*BX395,IF(AND(BX395&lt;0,$E395="Enerji Açığı"),MAX($F395,$G395,150)*BX395*1.06,IF(AND(BX395&lt;0,$E395="Enerji Fazlası"),MAX($F395,$G395,150)*BX395*1.03,IF(AND(BX395&lt;0,$E395="Dengede"),MAX($F395:$G395,150)*1.03*BX395,MIN($F395:$G395)*0.97*BX395)))))))))</f>
        <v/>
      </c>
      <c r="BZ395" s="34">
        <f>BE395-BV395-CA395</f>
        <v/>
      </c>
      <c r="CA395" s="34">
        <f>BD395</f>
        <v/>
      </c>
      <c r="CB395" s="33">
        <f>BE395-BV395</f>
        <v/>
      </c>
      <c r="CC395" s="34">
        <f>IF(AY395=0,0,CB395/AY395)</f>
        <v/>
      </c>
      <c r="CD395" s="34">
        <f>MAX((AY395+MAX((-J395+L395-N395+Q395-T395+X395),0)),(MAX((J395-L395+N395-Q395+T395-X395),0)))</f>
        <v/>
      </c>
      <c r="CE395" s="82">
        <f>IFERROR(ABS(BX395/CD395),0)</f>
        <v/>
      </c>
      <c r="CF395" s="34">
        <f>IF(CE395&lt;=0.1,0,BX395/CE395*(CE395-0.1))</f>
        <v/>
      </c>
      <c r="CG395" s="34">
        <f>IF((CF395)&lt;0,MAX(F395:G395)*(CF395)*1.03,MIN(F395:G395)*(CF395)*0.97)</f>
        <v/>
      </c>
      <c r="CH395" s="34">
        <f>IF(CE395&gt;0.1,1,0)</f>
        <v/>
      </c>
      <c r="CI395" s="34">
        <f>(F395*BX395)-BY395</f>
        <v/>
      </c>
      <c r="CJ395" s="34">
        <f>IF(AY395=0,0,CI395/AY395)</f>
        <v/>
      </c>
    </row>
    <row r="396">
      <c r="A396" s="29">
        <f>[1]FİYATLAR!A371</f>
        <v/>
      </c>
      <c r="B396" s="29">
        <f>[1]FİYATLAR!B371</f>
        <v/>
      </c>
      <c r="C396" s="35">
        <f>INT(A396)</f>
        <v/>
      </c>
      <c r="D396" s="36">
        <f>MONTH(A396)</f>
        <v/>
      </c>
      <c r="E396" s="147">
        <f>[1]FİYATLAR!G371</f>
        <v/>
      </c>
      <c r="F396" s="30">
        <f>[1]FİYATLAR!C371</f>
        <v/>
      </c>
      <c r="G396" s="30">
        <f>[1]FİYATLAR!E371</f>
        <v/>
      </c>
      <c r="H396" s="30">
        <f>[1]FİYATLAR!D371</f>
        <v/>
      </c>
      <c r="I396" s="30">
        <f>[1]FİYATLAR!F371</f>
        <v/>
      </c>
      <c r="J396" s="119" t="n">
        <v>0</v>
      </c>
      <c r="K396" s="34">
        <f>F396*J396</f>
        <v/>
      </c>
      <c r="L396" s="119" t="n"/>
      <c r="M396" s="34">
        <f>L396*F396</f>
        <v/>
      </c>
      <c r="N396" s="119" t="n"/>
      <c r="O396" s="34">
        <f>F396</f>
        <v/>
      </c>
      <c r="P396" s="34">
        <f>N396*O396</f>
        <v/>
      </c>
      <c r="Q396" s="117" t="n">
        <v>0</v>
      </c>
      <c r="R396" s="34">
        <f>F396</f>
        <v/>
      </c>
      <c r="S396" s="34">
        <f>R396*Q396</f>
        <v/>
      </c>
      <c r="T396" s="34">
        <f>SUMIFS('[1]GİP VERİLERİ'!$C:$C,'[1]GİP VERİLERİ'!$B:$B,A396,'[1]GİP VERİLERİ'!$M:$M,"40X000000104782K",'[1]GİP VERİLERİ'!$G:$G,"SELL")</f>
        <v/>
      </c>
      <c r="U396" s="34">
        <f>IFERROR(W396/T396,0)</f>
        <v/>
      </c>
      <c r="V396" s="34">
        <f>IF(U396=0,0,U396-F396)</f>
        <v/>
      </c>
      <c r="W396" s="34">
        <f>SUMIFS('[1]GİP VERİLERİ'!$O:$O,'[1]GİP VERİLERİ'!$B:$B,A396,'[1]GİP VERİLERİ'!$M:$M,"40X000000104782K",'[1]GİP VERİLERİ'!$G:$G,"SELL")</f>
        <v/>
      </c>
      <c r="X396" s="34">
        <f>SUMIFS('[1]GİP VERİLERİ'!$C:$C,'[1]GİP VERİLERİ'!$B:$B,A396,'[1]GİP VERİLERİ'!$M:$M,"40X000000104782K",'[1]GİP VERİLERİ'!$G:$G,"BUY")</f>
        <v/>
      </c>
      <c r="Y396" s="34">
        <f>IFERROR(AA396/X396,0)</f>
        <v/>
      </c>
      <c r="Z396" s="34">
        <f>IF(Y396=0,0,F396-Y396)</f>
        <v/>
      </c>
      <c r="AA396" s="34">
        <f>SUMIFS('[1]GİP VERİLERİ'!$O:$O,'[1]GİP VERİLERİ'!$B:$B,A396,'[1]GİP VERİLERİ'!$M:$M,"40X000000104782K",'[1]GİP VERİLERİ'!$G:$G,"BUY")</f>
        <v/>
      </c>
      <c r="AB396" s="34">
        <f>'[1]GÖP VERİLERİ'!H397</f>
        <v/>
      </c>
      <c r="AC396" s="34">
        <f>'[1]GÖP VERİLERİ'!I397</f>
        <v/>
      </c>
      <c r="AD396" s="34">
        <f>IF(AB396&gt;AC396*1.05,AB396-AC396*1.05,IF(AB396&lt;AC396*0.95,AC396*0.95-AB396,0))</f>
        <v/>
      </c>
      <c r="AE396" s="34">
        <f>MAX(F396,G396,750)*0.05*AD396</f>
        <v/>
      </c>
      <c r="AF396" s="34">
        <f>'[1]GÖP VERİLERİ'!J397</f>
        <v/>
      </c>
      <c r="AG396" s="34">
        <f>IF(AB396&gt;AF396*1.05,AB396-AF396*1.05,IF(AB396&lt;AF396*0.95,AF396*0.95-AB396,0))</f>
        <v/>
      </c>
      <c r="AH396" s="34">
        <f>MAX(I396,J396,750)*0.05*AG396</f>
        <v/>
      </c>
      <c r="AI396">
        <f>'[1]GÖP VERİLERİ'!E397</f>
        <v/>
      </c>
      <c r="AJ396">
        <f>'[1]GÖP VERİLERİ'!F397</f>
        <v/>
      </c>
      <c r="AK396" s="34">
        <f>IF(AI396&gt;AJ396*1.05,AI396-AJ396*1.05,IF(AI396&lt;AJ396*0.95,AJ396*0.95-AI396,0))</f>
        <v/>
      </c>
      <c r="AL396" s="34">
        <f>MAX(F396,G396,750)*0.05*AK396</f>
        <v/>
      </c>
      <c r="AM396" s="39">
        <f>'[1]GÖP VERİLERİ'!G397</f>
        <v/>
      </c>
      <c r="AN396" s="34">
        <f>IF(AI396&gt;AM396*1.05,AI396-AM396*1.05,IF(AI396&lt;AM396*0.95,AM396*0.95-AI396,0))</f>
        <v/>
      </c>
      <c r="AO396" s="34">
        <f>MAX(F396,G396,750)*0.05*AN396</f>
        <v/>
      </c>
      <c r="AP396" s="34">
        <f>'[1]GÖP VERİLERİ'!B397</f>
        <v/>
      </c>
      <c r="AQ396" s="34">
        <f>'[1]GÖP VERİLERİ'!C397</f>
        <v/>
      </c>
      <c r="AR396" s="34">
        <f>IF(AP396&gt;AQ396*1.05,AP396-AQ396*1.05,IF(AP396&lt;AQ396*0.95,AQ396*0.95-AP396,0))</f>
        <v/>
      </c>
      <c r="AS396" s="34">
        <f>MAX(F396:G396,750)*0.05*AR396</f>
        <v/>
      </c>
      <c r="AT396">
        <f>'[1]GÖP VERİLERİ'!D397</f>
        <v/>
      </c>
      <c r="AU396" s="34">
        <f>IF(AP396&gt;AT396*1.05,AP396-AT396*1.05,IF(AP396&lt;AT396*0.95,AT396*0.95-AP396,0))</f>
        <v/>
      </c>
      <c r="AV396" s="34">
        <f>MAX(F396:G396,750)*0.05*AU396</f>
        <v/>
      </c>
      <c r="AW396" s="34">
        <f>AC396+AJ396+AQ396</f>
        <v/>
      </c>
      <c r="AX396" s="34">
        <f>AF396+AM396+AT396</f>
        <v/>
      </c>
      <c r="AY396" s="34">
        <f>AB396+AI396+AP396</f>
        <v/>
      </c>
      <c r="AZ396" s="34" t="n">
        <v>0</v>
      </c>
      <c r="BA396" s="34">
        <f>AD396+AK396+AR396</f>
        <v/>
      </c>
      <c r="BB396" s="34">
        <f>MAX(F396:G396,750)*0.05*BA396</f>
        <v/>
      </c>
      <c r="BC396" s="34">
        <f>AG396+AN396+AU396</f>
        <v/>
      </c>
      <c r="BD396" s="34">
        <f>MAX(F396:G396,750)*0.05*BC396</f>
        <v/>
      </c>
      <c r="BE396" s="34">
        <f>F396*AY396</f>
        <v/>
      </c>
      <c r="BF396" s="34">
        <f>K396-M396</f>
        <v/>
      </c>
      <c r="BG396" s="34">
        <f>P396-S396</f>
        <v/>
      </c>
      <c r="BH396" s="34">
        <f>W396-AA396</f>
        <v/>
      </c>
      <c r="BI396" s="34">
        <f>BF396+BG396+BL396-BN396</f>
        <v/>
      </c>
      <c r="BJ396" s="34">
        <f>ABS(BK396)</f>
        <v/>
      </c>
      <c r="BK396" s="34">
        <f>AY396-(J396-L396+N396-Q396)</f>
        <v/>
      </c>
      <c r="BL396" s="34">
        <f>IF(AND(BK396&gt;0,MIN($F396:$G396)&lt;150,$E396="Enerji Açığı"),-100*BK396*1.03,IF(AND(BK396&gt;0,MIN($F396:$G396)&lt;150,$E396="Enerji Fazlası"),-100*BK396*1.06,IF(AND(BK396&gt;0,MIN($F396:$G396)&gt;=150,$E396="Enerji Açığı"),BK396*MIN($F396:$G396)*0.97,IF(AND(BK396&gt;0,MIN($F396:$G396)&gt;=150,$E396="Enerji Fazlası"),BK396*MIN($F396:$G396)*0.94,IF(AND(BK396&lt;0,MAX($F396:$G396)=4500,$E396="Enerji Açığı"),4500*1.05*1.06*BK396,IF(AND(BK396&lt;0,MAX($F396:$G396)=4500,$E396="Enerji Fazlası"),4500*1.05*1.03*BK396,IF(AND(BK396&lt;0,$E396="Enerji Açığı"),MAX($F396,$G396,150)*BK396*1.06,IF(AND(BK396&lt;0,$E396="Enerji Fazlası"),MAX($F396,$G396,150)*BK396*1.03,IF(AND(BK396&lt;0,$E396="Dengede"),MAX($F396:$G396,150)*1.03*BK396,MIN($F396:$G396)*0.97*BK396)))))))))</f>
        <v/>
      </c>
      <c r="BM396" s="34">
        <f>BE396-BI396-BN396</f>
        <v/>
      </c>
      <c r="BN396" s="34">
        <f>BB396</f>
        <v/>
      </c>
      <c r="BO396" s="34">
        <f>BE396-BI396</f>
        <v/>
      </c>
      <c r="BP396" s="34">
        <f>IF(AY396=0,0,BO396/AY396)</f>
        <v/>
      </c>
      <c r="BQ396" s="34">
        <f>MAX((AY396+MAX((-J396+L396-N396+Q396),0)),(MAX((J396-L396+N396-Q396),0)))</f>
        <v/>
      </c>
      <c r="BR396" s="82">
        <f>IFERROR(ABS(BK396/BQ396),0)</f>
        <v/>
      </c>
      <c r="BS396" s="34">
        <f>IF(BR396&lt;=0.1,0,BK396/BR396*(BR396-0.1))</f>
        <v/>
      </c>
      <c r="BT396" s="34">
        <f>IF((BS396)&lt;0,MAX(F396:G396)*(BS396)*1.03,MIN(F396:G396)*(BS396)*0.97)</f>
        <v/>
      </c>
      <c r="BU396" s="34">
        <f>IF(BR396&gt;0.1,1,0)</f>
        <v/>
      </c>
      <c r="BV396" s="34">
        <f>BF396+BG396+BH396+BY396-CA396</f>
        <v/>
      </c>
      <c r="BW396" s="34">
        <f>ABS(BX396)</f>
        <v/>
      </c>
      <c r="BX396" s="34">
        <f>AY396-(J396-L396+N396-Q396+T396-X396)</f>
        <v/>
      </c>
      <c r="BY396" s="34">
        <f>IF(AND(BX396&gt;0,MIN($F396:$G396)&lt;150,$E396="Enerji Açığı"),-100*BX396*1.03,IF(AND(BX396&gt;0,MIN($F396:$G396)&lt;150,$E396="Enerji Fazlası"),-100*BX396*1.06,IF(AND(BX396&gt;0,MIN($F396:$G396)&gt;=150,$E396="Enerji Açığı"),BX396*MIN($F396:$G396)*0.97,IF(AND(BX396&gt;0,MIN($F396:$G396)&gt;=150,$E396="Enerji Fazlası"),BX396*MIN($F396:$G396)*0.94,IF(AND(BX396&lt;0,MAX($F396:$G396)=4500,$E396="Enerji Açığı"),4500*1.05*1.06*BX396,IF(AND(BX396&lt;0,MAX($F396:$G396)=4500,$E396="Enerji Fazlası"),4500*1.05*1.03*BX396,IF(AND(BX396&lt;0,$E396="Enerji Açığı"),MAX($F396,$G396,150)*BX396*1.06,IF(AND(BX396&lt;0,$E396="Enerji Fazlası"),MAX($F396,$G396,150)*BX396*1.03,IF(AND(BX396&lt;0,$E396="Dengede"),MAX($F396:$G396,150)*1.03*BX396,MIN($F396:$G396)*0.97*BX396)))))))))</f>
        <v/>
      </c>
      <c r="BZ396" s="34">
        <f>BE396-BV396-CA396</f>
        <v/>
      </c>
      <c r="CA396" s="34">
        <f>BD396</f>
        <v/>
      </c>
      <c r="CB396" s="33">
        <f>BE396-BV396</f>
        <v/>
      </c>
      <c r="CC396" s="34">
        <f>IF(AY396=0,0,CB396/AY396)</f>
        <v/>
      </c>
      <c r="CD396" s="34">
        <f>MAX((AY396+MAX((-J396+L396-N396+Q396-T396+X396),0)),(MAX((J396-L396+N396-Q396+T396-X396),0)))</f>
        <v/>
      </c>
      <c r="CE396" s="82">
        <f>IFERROR(ABS(BX396/CD396),0)</f>
        <v/>
      </c>
      <c r="CF396" s="34">
        <f>IF(CE396&lt;=0.1,0,BX396/CE396*(CE396-0.1))</f>
        <v/>
      </c>
      <c r="CG396" s="34">
        <f>IF((CF396)&lt;0,MAX(F396:G396)*(CF396)*1.03,MIN(F396:G396)*(CF396)*0.97)</f>
        <v/>
      </c>
      <c r="CH396" s="34">
        <f>IF(CE396&gt;0.1,1,0)</f>
        <v/>
      </c>
      <c r="CI396" s="34">
        <f>(F396*BX396)-BY396</f>
        <v/>
      </c>
      <c r="CJ396" s="34">
        <f>IF(AY396=0,0,CI396/AY396)</f>
        <v/>
      </c>
    </row>
    <row r="397">
      <c r="A397" s="29">
        <f>[1]FİYATLAR!A372</f>
        <v/>
      </c>
      <c r="B397" s="29">
        <f>[1]FİYATLAR!B372</f>
        <v/>
      </c>
      <c r="C397" s="35">
        <f>INT(A397)</f>
        <v/>
      </c>
      <c r="D397" s="36">
        <f>MONTH(A397)</f>
        <v/>
      </c>
      <c r="E397" s="147">
        <f>[1]FİYATLAR!G372</f>
        <v/>
      </c>
      <c r="F397" s="30">
        <f>[1]FİYATLAR!C372</f>
        <v/>
      </c>
      <c r="G397" s="30">
        <f>[1]FİYATLAR!E372</f>
        <v/>
      </c>
      <c r="H397" s="30">
        <f>[1]FİYATLAR!D372</f>
        <v/>
      </c>
      <c r="I397" s="30">
        <f>[1]FİYATLAR!F372</f>
        <v/>
      </c>
      <c r="J397" s="119" t="n">
        <v>0</v>
      </c>
      <c r="K397" s="34">
        <f>F397*J397</f>
        <v/>
      </c>
      <c r="L397" s="119" t="n"/>
      <c r="M397" s="34">
        <f>L397*F397</f>
        <v/>
      </c>
      <c r="N397" s="119" t="n"/>
      <c r="O397" s="34">
        <f>F397</f>
        <v/>
      </c>
      <c r="P397" s="34">
        <f>N397*O397</f>
        <v/>
      </c>
      <c r="Q397" s="117" t="n">
        <v>0</v>
      </c>
      <c r="R397" s="34">
        <f>F397</f>
        <v/>
      </c>
      <c r="S397" s="34">
        <f>R397*Q397</f>
        <v/>
      </c>
      <c r="T397" s="34">
        <f>SUMIFS('[1]GİP VERİLERİ'!$C:$C,'[1]GİP VERİLERİ'!$B:$B,A397,'[1]GİP VERİLERİ'!$M:$M,"40X000000104782K",'[1]GİP VERİLERİ'!$G:$G,"SELL")</f>
        <v/>
      </c>
      <c r="U397" s="34">
        <f>IFERROR(W397/T397,0)</f>
        <v/>
      </c>
      <c r="V397" s="34">
        <f>IF(U397=0,0,U397-F397)</f>
        <v/>
      </c>
      <c r="W397" s="34">
        <f>SUMIFS('[1]GİP VERİLERİ'!$O:$O,'[1]GİP VERİLERİ'!$B:$B,A397,'[1]GİP VERİLERİ'!$M:$M,"40X000000104782K",'[1]GİP VERİLERİ'!$G:$G,"SELL")</f>
        <v/>
      </c>
      <c r="X397" s="34">
        <f>SUMIFS('[1]GİP VERİLERİ'!$C:$C,'[1]GİP VERİLERİ'!$B:$B,A397,'[1]GİP VERİLERİ'!$M:$M,"40X000000104782K",'[1]GİP VERİLERİ'!$G:$G,"BUY")</f>
        <v/>
      </c>
      <c r="Y397" s="34">
        <f>IFERROR(AA397/X397,0)</f>
        <v/>
      </c>
      <c r="Z397" s="34">
        <f>IF(Y397=0,0,F397-Y397)</f>
        <v/>
      </c>
      <c r="AA397" s="34">
        <f>SUMIFS('[1]GİP VERİLERİ'!$O:$O,'[1]GİP VERİLERİ'!$B:$B,A397,'[1]GİP VERİLERİ'!$M:$M,"40X000000104782K",'[1]GİP VERİLERİ'!$G:$G,"BUY")</f>
        <v/>
      </c>
      <c r="AB397" s="34">
        <f>'[1]GÖP VERİLERİ'!H398</f>
        <v/>
      </c>
      <c r="AC397" s="34">
        <f>'[1]GÖP VERİLERİ'!I398</f>
        <v/>
      </c>
      <c r="AD397" s="34">
        <f>IF(AB397&gt;AC397*1.05,AB397-AC397*1.05,IF(AB397&lt;AC397*0.95,AC397*0.95-AB397,0))</f>
        <v/>
      </c>
      <c r="AE397" s="34">
        <f>MAX(F397,G397,750)*0.05*AD397</f>
        <v/>
      </c>
      <c r="AF397" s="34">
        <f>'[1]GÖP VERİLERİ'!J398</f>
        <v/>
      </c>
      <c r="AG397" s="34">
        <f>IF(AB397&gt;AF397*1.05,AB397-AF397*1.05,IF(AB397&lt;AF397*0.95,AF397*0.95-AB397,0))</f>
        <v/>
      </c>
      <c r="AH397" s="34">
        <f>MAX(I397,J397,750)*0.05*AG397</f>
        <v/>
      </c>
      <c r="AI397">
        <f>'[1]GÖP VERİLERİ'!E398</f>
        <v/>
      </c>
      <c r="AJ397">
        <f>'[1]GÖP VERİLERİ'!F398</f>
        <v/>
      </c>
      <c r="AK397" s="34">
        <f>IF(AI397&gt;AJ397*1.05,AI397-AJ397*1.05,IF(AI397&lt;AJ397*0.95,AJ397*0.95-AI397,0))</f>
        <v/>
      </c>
      <c r="AL397" s="34">
        <f>MAX(F397,G397,750)*0.05*AK397</f>
        <v/>
      </c>
      <c r="AM397" s="39">
        <f>'[1]GÖP VERİLERİ'!G398</f>
        <v/>
      </c>
      <c r="AN397" s="34">
        <f>IF(AI397&gt;AM397*1.05,AI397-AM397*1.05,IF(AI397&lt;AM397*0.95,AM397*0.95-AI397,0))</f>
        <v/>
      </c>
      <c r="AO397" s="34">
        <f>MAX(F397,G397,750)*0.05*AN397</f>
        <v/>
      </c>
      <c r="AP397" s="34">
        <f>'[1]GÖP VERİLERİ'!B398</f>
        <v/>
      </c>
      <c r="AQ397" s="34">
        <f>'[1]GÖP VERİLERİ'!C398</f>
        <v/>
      </c>
      <c r="AR397" s="34">
        <f>IF(AP397&gt;AQ397*1.05,AP397-AQ397*1.05,IF(AP397&lt;AQ397*0.95,AQ397*0.95-AP397,0))</f>
        <v/>
      </c>
      <c r="AS397" s="34">
        <f>MAX(F397:G397,750)*0.05*AR397</f>
        <v/>
      </c>
      <c r="AT397">
        <f>'[1]GÖP VERİLERİ'!D398</f>
        <v/>
      </c>
      <c r="AU397" s="34">
        <f>IF(AP397&gt;AT397*1.05,AP397-AT397*1.05,IF(AP397&lt;AT397*0.95,AT397*0.95-AP397,0))</f>
        <v/>
      </c>
      <c r="AV397" s="34">
        <f>MAX(F397:G397,750)*0.05*AU397</f>
        <v/>
      </c>
      <c r="AW397" s="34">
        <f>AC397+AJ397+AQ397</f>
        <v/>
      </c>
      <c r="AX397" s="34">
        <f>AF397+AM397+AT397</f>
        <v/>
      </c>
      <c r="AY397" s="34">
        <f>AB397+AI397+AP397</f>
        <v/>
      </c>
      <c r="AZ397" s="34" t="n">
        <v>0</v>
      </c>
      <c r="BA397" s="34">
        <f>AD397+AK397+AR397</f>
        <v/>
      </c>
      <c r="BB397" s="34">
        <f>MAX(F397:G397,750)*0.05*BA397</f>
        <v/>
      </c>
      <c r="BC397" s="34">
        <f>AG397+AN397+AU397</f>
        <v/>
      </c>
      <c r="BD397" s="34">
        <f>MAX(F397:G397,750)*0.05*BC397</f>
        <v/>
      </c>
      <c r="BE397" s="34">
        <f>F397*AY397</f>
        <v/>
      </c>
      <c r="BF397" s="34">
        <f>K397-M397</f>
        <v/>
      </c>
      <c r="BG397" s="34">
        <f>P397-S397</f>
        <v/>
      </c>
      <c r="BH397" s="34">
        <f>W397-AA397</f>
        <v/>
      </c>
      <c r="BI397" s="34">
        <f>BF397+BG397+BL397-BN397</f>
        <v/>
      </c>
      <c r="BJ397" s="34">
        <f>ABS(BK397)</f>
        <v/>
      </c>
      <c r="BK397" s="34">
        <f>AY397-(J397-L397+N397-Q397)</f>
        <v/>
      </c>
      <c r="BL397" s="34">
        <f>IF(AND(BK397&gt;0,MIN($F397:$G397)&lt;150,$E397="Enerji Açığı"),-100*BK397*1.03,IF(AND(BK397&gt;0,MIN($F397:$G397)&lt;150,$E397="Enerji Fazlası"),-100*BK397*1.06,IF(AND(BK397&gt;0,MIN($F397:$G397)&gt;=150,$E397="Enerji Açığı"),BK397*MIN($F397:$G397)*0.97,IF(AND(BK397&gt;0,MIN($F397:$G397)&gt;=150,$E397="Enerji Fazlası"),BK397*MIN($F397:$G397)*0.94,IF(AND(BK397&lt;0,MAX($F397:$G397)=4500,$E397="Enerji Açığı"),4500*1.05*1.06*BK397,IF(AND(BK397&lt;0,MAX($F397:$G397)=4500,$E397="Enerji Fazlası"),4500*1.05*1.03*BK397,IF(AND(BK397&lt;0,$E397="Enerji Açığı"),MAX($F397,$G397,150)*BK397*1.06,IF(AND(BK397&lt;0,$E397="Enerji Fazlası"),MAX($F397,$G397,150)*BK397*1.03,IF(AND(BK397&lt;0,$E397="Dengede"),MAX($F397:$G397,150)*1.03*BK397,MIN($F397:$G397)*0.97*BK397)))))))))</f>
        <v/>
      </c>
      <c r="BM397" s="34">
        <f>BE397-BI397-BN397</f>
        <v/>
      </c>
      <c r="BN397" s="34">
        <f>BB397</f>
        <v/>
      </c>
      <c r="BO397" s="34">
        <f>BE397-BI397</f>
        <v/>
      </c>
      <c r="BP397" s="34">
        <f>IF(AY397=0,0,BO397/AY397)</f>
        <v/>
      </c>
      <c r="BQ397" s="34">
        <f>MAX((AY397+MAX((-J397+L397-N397+Q397),0)),(MAX((J397-L397+N397-Q397),0)))</f>
        <v/>
      </c>
      <c r="BR397" s="82">
        <f>IFERROR(ABS(BK397/BQ397),0)</f>
        <v/>
      </c>
      <c r="BS397" s="34">
        <f>IF(BR397&lt;=0.1,0,BK397/BR397*(BR397-0.1))</f>
        <v/>
      </c>
      <c r="BT397" s="34">
        <f>IF((BS397)&lt;0,MAX(F397:G397)*(BS397)*1.03,MIN(F397:G397)*(BS397)*0.97)</f>
        <v/>
      </c>
      <c r="BU397" s="34">
        <f>IF(BR397&gt;0.1,1,0)</f>
        <v/>
      </c>
      <c r="BV397" s="34">
        <f>BF397+BG397+BH397+BY397-CA397</f>
        <v/>
      </c>
      <c r="BW397" s="34">
        <f>ABS(BX397)</f>
        <v/>
      </c>
      <c r="BX397" s="34">
        <f>AY397-(J397-L397+N397-Q397+T397-X397)</f>
        <v/>
      </c>
      <c r="BY397" s="34">
        <f>IF(AND(BX397&gt;0,MIN($F397:$G397)&lt;150,$E397="Enerji Açığı"),-100*BX397*1.03,IF(AND(BX397&gt;0,MIN($F397:$G397)&lt;150,$E397="Enerji Fazlası"),-100*BX397*1.06,IF(AND(BX397&gt;0,MIN($F397:$G397)&gt;=150,$E397="Enerji Açığı"),BX397*MIN($F397:$G397)*0.97,IF(AND(BX397&gt;0,MIN($F397:$G397)&gt;=150,$E397="Enerji Fazlası"),BX397*MIN($F397:$G397)*0.94,IF(AND(BX397&lt;0,MAX($F397:$G397)=4500,$E397="Enerji Açığı"),4500*1.05*1.06*BX397,IF(AND(BX397&lt;0,MAX($F397:$G397)=4500,$E397="Enerji Fazlası"),4500*1.05*1.03*BX397,IF(AND(BX397&lt;0,$E397="Enerji Açığı"),MAX($F397,$G397,150)*BX397*1.06,IF(AND(BX397&lt;0,$E397="Enerji Fazlası"),MAX($F397,$G397,150)*BX397*1.03,IF(AND(BX397&lt;0,$E397="Dengede"),MAX($F397:$G397,150)*1.03*BX397,MIN($F397:$G397)*0.97*BX397)))))))))</f>
        <v/>
      </c>
      <c r="BZ397" s="34">
        <f>BE397-BV397-CA397</f>
        <v/>
      </c>
      <c r="CA397" s="34">
        <f>BD397</f>
        <v/>
      </c>
      <c r="CB397" s="33">
        <f>BE397-BV397</f>
        <v/>
      </c>
      <c r="CC397" s="34">
        <f>IF(AY397=0,0,CB397/AY397)</f>
        <v/>
      </c>
      <c r="CD397" s="34">
        <f>MAX((AY397+MAX((-J397+L397-N397+Q397-T397+X397),0)),(MAX((J397-L397+N397-Q397+T397-X397),0)))</f>
        <v/>
      </c>
      <c r="CE397" s="82">
        <f>IFERROR(ABS(BX397/CD397),0)</f>
        <v/>
      </c>
      <c r="CF397" s="34">
        <f>IF(CE397&lt;=0.1,0,BX397/CE397*(CE397-0.1))</f>
        <v/>
      </c>
      <c r="CG397" s="34">
        <f>IF((CF397)&lt;0,MAX(F397:G397)*(CF397)*1.03,MIN(F397:G397)*(CF397)*0.97)</f>
        <v/>
      </c>
      <c r="CH397" s="34">
        <f>IF(CE397&gt;0.1,1,0)</f>
        <v/>
      </c>
      <c r="CI397" s="34">
        <f>(F397*BX397)-BY397</f>
        <v/>
      </c>
      <c r="CJ397" s="34">
        <f>IF(AY397=0,0,CI397/AY397)</f>
        <v/>
      </c>
    </row>
    <row r="398">
      <c r="A398" s="29">
        <f>[1]FİYATLAR!A373</f>
        <v/>
      </c>
      <c r="B398" s="29">
        <f>[1]FİYATLAR!B373</f>
        <v/>
      </c>
      <c r="C398" s="35">
        <f>INT(A398)</f>
        <v/>
      </c>
      <c r="D398" s="36">
        <f>MONTH(A398)</f>
        <v/>
      </c>
      <c r="E398" s="147">
        <f>[1]FİYATLAR!G373</f>
        <v/>
      </c>
      <c r="F398" s="30">
        <f>[1]FİYATLAR!C373</f>
        <v/>
      </c>
      <c r="G398" s="30">
        <f>[1]FİYATLAR!E373</f>
        <v/>
      </c>
      <c r="H398" s="30">
        <f>[1]FİYATLAR!D373</f>
        <v/>
      </c>
      <c r="I398" s="30">
        <f>[1]FİYATLAR!F373</f>
        <v/>
      </c>
      <c r="J398" s="119" t="n">
        <v>0</v>
      </c>
      <c r="K398" s="34">
        <f>F398*J398</f>
        <v/>
      </c>
      <c r="L398" s="119" t="n"/>
      <c r="M398" s="34">
        <f>L398*F398</f>
        <v/>
      </c>
      <c r="N398" s="119" t="n"/>
      <c r="O398" s="34">
        <f>F398</f>
        <v/>
      </c>
      <c r="P398" s="34">
        <f>N398*O398</f>
        <v/>
      </c>
      <c r="Q398" s="117" t="n">
        <v>0</v>
      </c>
      <c r="R398" s="34">
        <f>F398</f>
        <v/>
      </c>
      <c r="S398" s="34">
        <f>R398*Q398</f>
        <v/>
      </c>
      <c r="T398" s="34">
        <f>SUMIFS('[1]GİP VERİLERİ'!$C:$C,'[1]GİP VERİLERİ'!$B:$B,A398,'[1]GİP VERİLERİ'!$M:$M,"40X000000104782K",'[1]GİP VERİLERİ'!$G:$G,"SELL")</f>
        <v/>
      </c>
      <c r="U398" s="34">
        <f>IFERROR(W398/T398,0)</f>
        <v/>
      </c>
      <c r="V398" s="34">
        <f>IF(U398=0,0,U398-F398)</f>
        <v/>
      </c>
      <c r="W398" s="34">
        <f>SUMIFS('[1]GİP VERİLERİ'!$O:$O,'[1]GİP VERİLERİ'!$B:$B,A398,'[1]GİP VERİLERİ'!$M:$M,"40X000000104782K",'[1]GİP VERİLERİ'!$G:$G,"SELL")</f>
        <v/>
      </c>
      <c r="X398" s="34">
        <f>SUMIFS('[1]GİP VERİLERİ'!$C:$C,'[1]GİP VERİLERİ'!$B:$B,A398,'[1]GİP VERİLERİ'!$M:$M,"40X000000104782K",'[1]GİP VERİLERİ'!$G:$G,"BUY")</f>
        <v/>
      </c>
      <c r="Y398" s="34">
        <f>IFERROR(AA398/X398,0)</f>
        <v/>
      </c>
      <c r="Z398" s="34">
        <f>IF(Y398=0,0,F398-Y398)</f>
        <v/>
      </c>
      <c r="AA398" s="34">
        <f>SUMIFS('[1]GİP VERİLERİ'!$O:$O,'[1]GİP VERİLERİ'!$B:$B,A398,'[1]GİP VERİLERİ'!$M:$M,"40X000000104782K",'[1]GİP VERİLERİ'!$G:$G,"BUY")</f>
        <v/>
      </c>
      <c r="AB398" s="34">
        <f>'[1]GÖP VERİLERİ'!H399</f>
        <v/>
      </c>
      <c r="AC398" s="34">
        <f>'[1]GÖP VERİLERİ'!I399</f>
        <v/>
      </c>
      <c r="AD398" s="34">
        <f>IF(AB398&gt;AC398*1.05,AB398-AC398*1.05,IF(AB398&lt;AC398*0.95,AC398*0.95-AB398,0))</f>
        <v/>
      </c>
      <c r="AE398" s="34">
        <f>MAX(F398,G398,750)*0.05*AD398</f>
        <v/>
      </c>
      <c r="AF398" s="34">
        <f>'[1]GÖP VERİLERİ'!J399</f>
        <v/>
      </c>
      <c r="AG398" s="34">
        <f>IF(AB398&gt;AF398*1.05,AB398-AF398*1.05,IF(AB398&lt;AF398*0.95,AF398*0.95-AB398,0))</f>
        <v/>
      </c>
      <c r="AH398" s="34">
        <f>MAX(I398,J398,750)*0.05*AG398</f>
        <v/>
      </c>
      <c r="AI398">
        <f>'[1]GÖP VERİLERİ'!E399</f>
        <v/>
      </c>
      <c r="AJ398">
        <f>'[1]GÖP VERİLERİ'!F399</f>
        <v/>
      </c>
      <c r="AK398" s="34">
        <f>IF(AI398&gt;AJ398*1.05,AI398-AJ398*1.05,IF(AI398&lt;AJ398*0.95,AJ398*0.95-AI398,0))</f>
        <v/>
      </c>
      <c r="AL398" s="34">
        <f>MAX(F398,G398,750)*0.05*AK398</f>
        <v/>
      </c>
      <c r="AM398" s="39">
        <f>'[1]GÖP VERİLERİ'!G399</f>
        <v/>
      </c>
      <c r="AN398" s="34">
        <f>IF(AI398&gt;AM398*1.05,AI398-AM398*1.05,IF(AI398&lt;AM398*0.95,AM398*0.95-AI398,0))</f>
        <v/>
      </c>
      <c r="AO398" s="34">
        <f>MAX(F398,G398,750)*0.05*AN398</f>
        <v/>
      </c>
      <c r="AP398" s="34">
        <f>'[1]GÖP VERİLERİ'!B399</f>
        <v/>
      </c>
      <c r="AQ398" s="34">
        <f>'[1]GÖP VERİLERİ'!C399</f>
        <v/>
      </c>
      <c r="AR398" s="34">
        <f>IF(AP398&gt;AQ398*1.05,AP398-AQ398*1.05,IF(AP398&lt;AQ398*0.95,AQ398*0.95-AP398,0))</f>
        <v/>
      </c>
      <c r="AS398" s="34">
        <f>MAX(F398:G398,750)*0.05*AR398</f>
        <v/>
      </c>
      <c r="AT398">
        <f>'[1]GÖP VERİLERİ'!D399</f>
        <v/>
      </c>
      <c r="AU398" s="34">
        <f>IF(AP398&gt;AT398*1.05,AP398-AT398*1.05,IF(AP398&lt;AT398*0.95,AT398*0.95-AP398,0))</f>
        <v/>
      </c>
      <c r="AV398" s="34">
        <f>MAX(F398:G398,750)*0.05*AU398</f>
        <v/>
      </c>
      <c r="AW398" s="34">
        <f>AC398+AJ398+AQ398</f>
        <v/>
      </c>
      <c r="AX398" s="34">
        <f>AF398+AM398+AT398</f>
        <v/>
      </c>
      <c r="AY398" s="34">
        <f>AB398+AI398+AP398</f>
        <v/>
      </c>
      <c r="AZ398" s="34" t="n">
        <v>0</v>
      </c>
      <c r="BA398" s="34">
        <f>AD398+AK398+AR398</f>
        <v/>
      </c>
      <c r="BB398" s="34">
        <f>MAX(F398:G398,750)*0.05*BA398</f>
        <v/>
      </c>
      <c r="BC398" s="34">
        <f>AG398+AN398+AU398</f>
        <v/>
      </c>
      <c r="BD398" s="34">
        <f>MAX(F398:G398,750)*0.05*BC398</f>
        <v/>
      </c>
      <c r="BE398" s="34">
        <f>F398*AY398</f>
        <v/>
      </c>
      <c r="BF398" s="34">
        <f>K398-M398</f>
        <v/>
      </c>
      <c r="BG398" s="34">
        <f>P398-S398</f>
        <v/>
      </c>
      <c r="BH398" s="34">
        <f>W398-AA398</f>
        <v/>
      </c>
      <c r="BI398" s="34">
        <f>BF398+BG398+BL398-BN398</f>
        <v/>
      </c>
      <c r="BJ398" s="34">
        <f>ABS(BK398)</f>
        <v/>
      </c>
      <c r="BK398" s="34">
        <f>AY398-(J398-L398+N398-Q398)</f>
        <v/>
      </c>
      <c r="BL398" s="34">
        <f>IF(AND(BK398&gt;0,MIN($F398:$G398)&lt;150,$E398="Enerji Açığı"),-100*BK398*1.03,IF(AND(BK398&gt;0,MIN($F398:$G398)&lt;150,$E398="Enerji Fazlası"),-100*BK398*1.06,IF(AND(BK398&gt;0,MIN($F398:$G398)&gt;=150,$E398="Enerji Açığı"),BK398*MIN($F398:$G398)*0.97,IF(AND(BK398&gt;0,MIN($F398:$G398)&gt;=150,$E398="Enerji Fazlası"),BK398*MIN($F398:$G398)*0.94,IF(AND(BK398&lt;0,MAX($F398:$G398)=4500,$E398="Enerji Açığı"),4500*1.05*1.06*BK398,IF(AND(BK398&lt;0,MAX($F398:$G398)=4500,$E398="Enerji Fazlası"),4500*1.05*1.03*BK398,IF(AND(BK398&lt;0,$E398="Enerji Açığı"),MAX($F398,$G398,150)*BK398*1.06,IF(AND(BK398&lt;0,$E398="Enerji Fazlası"),MAX($F398,$G398,150)*BK398*1.03,IF(AND(BK398&lt;0,$E398="Dengede"),MAX($F398:$G398,150)*1.03*BK398,MIN($F398:$G398)*0.97*BK398)))))))))</f>
        <v/>
      </c>
      <c r="BM398" s="34">
        <f>BE398-BI398-BN398</f>
        <v/>
      </c>
      <c r="BN398" s="34">
        <f>BB398</f>
        <v/>
      </c>
      <c r="BO398" s="34">
        <f>BE398-BI398</f>
        <v/>
      </c>
      <c r="BP398" s="34">
        <f>IF(AY398=0,0,BO398/AY398)</f>
        <v/>
      </c>
      <c r="BQ398" s="34">
        <f>MAX((AY398+MAX((-J398+L398-N398+Q398),0)),(MAX((J398-L398+N398-Q398),0)))</f>
        <v/>
      </c>
      <c r="BR398" s="82">
        <f>IFERROR(ABS(BK398/BQ398),0)</f>
        <v/>
      </c>
      <c r="BS398" s="34">
        <f>IF(BR398&lt;=0.1,0,BK398/BR398*(BR398-0.1))</f>
        <v/>
      </c>
      <c r="BT398" s="34">
        <f>IF((BS398)&lt;0,MAX(F398:G398)*(BS398)*1.03,MIN(F398:G398)*(BS398)*0.97)</f>
        <v/>
      </c>
      <c r="BU398" s="34">
        <f>IF(BR398&gt;0.1,1,0)</f>
        <v/>
      </c>
      <c r="BV398" s="34">
        <f>BF398+BG398+BH398+BY398-CA398</f>
        <v/>
      </c>
      <c r="BW398" s="34">
        <f>ABS(BX398)</f>
        <v/>
      </c>
      <c r="BX398" s="34">
        <f>AY398-(J398-L398+N398-Q398+T398-X398)</f>
        <v/>
      </c>
      <c r="BY398" s="34">
        <f>IF(AND(BX398&gt;0,MIN($F398:$G398)&lt;150,$E398="Enerji Açığı"),-100*BX398*1.03,IF(AND(BX398&gt;0,MIN($F398:$G398)&lt;150,$E398="Enerji Fazlası"),-100*BX398*1.06,IF(AND(BX398&gt;0,MIN($F398:$G398)&gt;=150,$E398="Enerji Açığı"),BX398*MIN($F398:$G398)*0.97,IF(AND(BX398&gt;0,MIN($F398:$G398)&gt;=150,$E398="Enerji Fazlası"),BX398*MIN($F398:$G398)*0.94,IF(AND(BX398&lt;0,MAX($F398:$G398)=4500,$E398="Enerji Açığı"),4500*1.05*1.06*BX398,IF(AND(BX398&lt;0,MAX($F398:$G398)=4500,$E398="Enerji Fazlası"),4500*1.05*1.03*BX398,IF(AND(BX398&lt;0,$E398="Enerji Açığı"),MAX($F398,$G398,150)*BX398*1.06,IF(AND(BX398&lt;0,$E398="Enerji Fazlası"),MAX($F398,$G398,150)*BX398*1.03,IF(AND(BX398&lt;0,$E398="Dengede"),MAX($F398:$G398,150)*1.03*BX398,MIN($F398:$G398)*0.97*BX398)))))))))</f>
        <v/>
      </c>
      <c r="BZ398" s="34">
        <f>BE398-BV398-CA398</f>
        <v/>
      </c>
      <c r="CA398" s="34">
        <f>BD398</f>
        <v/>
      </c>
      <c r="CB398" s="33">
        <f>BE398-BV398</f>
        <v/>
      </c>
      <c r="CC398" s="34">
        <f>IF(AY398=0,0,CB398/AY398)</f>
        <v/>
      </c>
      <c r="CD398" s="34">
        <f>MAX((AY398+MAX((-J398+L398-N398+Q398-T398+X398),0)),(MAX((J398-L398+N398-Q398+T398-X398),0)))</f>
        <v/>
      </c>
      <c r="CE398" s="82">
        <f>IFERROR(ABS(BX398/CD398),0)</f>
        <v/>
      </c>
      <c r="CF398" s="34">
        <f>IF(CE398&lt;=0.1,0,BX398/CE398*(CE398-0.1))</f>
        <v/>
      </c>
      <c r="CG398" s="34">
        <f>IF((CF398)&lt;0,MAX(F398:G398)*(CF398)*1.03,MIN(F398:G398)*(CF398)*0.97)</f>
        <v/>
      </c>
      <c r="CH398" s="34">
        <f>IF(CE398&gt;0.1,1,0)</f>
        <v/>
      </c>
      <c r="CI398" s="34">
        <f>(F398*BX398)-BY398</f>
        <v/>
      </c>
      <c r="CJ398" s="34">
        <f>IF(AY398=0,0,CI398/AY398)</f>
        <v/>
      </c>
    </row>
    <row r="399">
      <c r="A399" s="29">
        <f>[1]FİYATLAR!A374</f>
        <v/>
      </c>
      <c r="B399" s="29">
        <f>[1]FİYATLAR!B374</f>
        <v/>
      </c>
      <c r="C399" s="35">
        <f>INT(A399)</f>
        <v/>
      </c>
      <c r="D399" s="36">
        <f>MONTH(A399)</f>
        <v/>
      </c>
      <c r="E399" s="147">
        <f>[1]FİYATLAR!G374</f>
        <v/>
      </c>
      <c r="F399" s="30">
        <f>[1]FİYATLAR!C374</f>
        <v/>
      </c>
      <c r="G399" s="30">
        <f>[1]FİYATLAR!E374</f>
        <v/>
      </c>
      <c r="H399" s="30">
        <f>[1]FİYATLAR!D374</f>
        <v/>
      </c>
      <c r="I399" s="30">
        <f>[1]FİYATLAR!F374</f>
        <v/>
      </c>
      <c r="J399" s="119" t="n">
        <v>0</v>
      </c>
      <c r="K399" s="34">
        <f>F399*J399</f>
        <v/>
      </c>
      <c r="L399" s="119" t="n"/>
      <c r="M399" s="34">
        <f>L399*F399</f>
        <v/>
      </c>
      <c r="N399" s="119" t="n"/>
      <c r="O399" s="34">
        <f>F399</f>
        <v/>
      </c>
      <c r="P399" s="34">
        <f>N399*O399</f>
        <v/>
      </c>
      <c r="Q399" s="117" t="n">
        <v>0</v>
      </c>
      <c r="R399" s="34">
        <f>F399</f>
        <v/>
      </c>
      <c r="S399" s="34">
        <f>R399*Q399</f>
        <v/>
      </c>
      <c r="T399" s="34">
        <f>SUMIFS('[1]GİP VERİLERİ'!$C:$C,'[1]GİP VERİLERİ'!$B:$B,A399,'[1]GİP VERİLERİ'!$M:$M,"40X000000104782K",'[1]GİP VERİLERİ'!$G:$G,"SELL")</f>
        <v/>
      </c>
      <c r="U399" s="34">
        <f>IFERROR(W399/T399,0)</f>
        <v/>
      </c>
      <c r="V399" s="34">
        <f>IF(U399=0,0,U399-F399)</f>
        <v/>
      </c>
      <c r="W399" s="34">
        <f>SUMIFS('[1]GİP VERİLERİ'!$O:$O,'[1]GİP VERİLERİ'!$B:$B,A399,'[1]GİP VERİLERİ'!$M:$M,"40X000000104782K",'[1]GİP VERİLERİ'!$G:$G,"SELL")</f>
        <v/>
      </c>
      <c r="X399" s="34">
        <f>SUMIFS('[1]GİP VERİLERİ'!$C:$C,'[1]GİP VERİLERİ'!$B:$B,A399,'[1]GİP VERİLERİ'!$M:$M,"40X000000104782K",'[1]GİP VERİLERİ'!$G:$G,"BUY")</f>
        <v/>
      </c>
      <c r="Y399" s="34">
        <f>IFERROR(AA399/X399,0)</f>
        <v/>
      </c>
      <c r="Z399" s="34">
        <f>IF(Y399=0,0,F399-Y399)</f>
        <v/>
      </c>
      <c r="AA399" s="34">
        <f>SUMIFS('[1]GİP VERİLERİ'!$O:$O,'[1]GİP VERİLERİ'!$B:$B,A399,'[1]GİP VERİLERİ'!$M:$M,"40X000000104782K",'[1]GİP VERİLERİ'!$G:$G,"BUY")</f>
        <v/>
      </c>
      <c r="AB399" s="34">
        <f>'[1]GÖP VERİLERİ'!H400</f>
        <v/>
      </c>
      <c r="AC399" s="34">
        <f>'[1]GÖP VERİLERİ'!I400</f>
        <v/>
      </c>
      <c r="AD399" s="34">
        <f>IF(AB399&gt;AC399*1.05,AB399-AC399*1.05,IF(AB399&lt;AC399*0.95,AC399*0.95-AB399,0))</f>
        <v/>
      </c>
      <c r="AE399" s="34">
        <f>MAX(F399,G399,750)*0.05*AD399</f>
        <v/>
      </c>
      <c r="AF399" s="34">
        <f>'[1]GÖP VERİLERİ'!J400</f>
        <v/>
      </c>
      <c r="AG399" s="34">
        <f>IF(AB399&gt;AF399*1.05,AB399-AF399*1.05,IF(AB399&lt;AF399*0.95,AF399*0.95-AB399,0))</f>
        <v/>
      </c>
      <c r="AH399" s="34">
        <f>MAX(I399,J399,750)*0.05*AG399</f>
        <v/>
      </c>
      <c r="AI399">
        <f>'[1]GÖP VERİLERİ'!E400</f>
        <v/>
      </c>
      <c r="AJ399">
        <f>'[1]GÖP VERİLERİ'!F400</f>
        <v/>
      </c>
      <c r="AK399" s="34">
        <f>IF(AI399&gt;AJ399*1.05,AI399-AJ399*1.05,IF(AI399&lt;AJ399*0.95,AJ399*0.95-AI399,0))</f>
        <v/>
      </c>
      <c r="AL399" s="34">
        <f>MAX(F399,G399,750)*0.05*AK399</f>
        <v/>
      </c>
      <c r="AM399" s="39">
        <f>'[1]GÖP VERİLERİ'!G400</f>
        <v/>
      </c>
      <c r="AN399" s="34">
        <f>IF(AI399&gt;AM399*1.05,AI399-AM399*1.05,IF(AI399&lt;AM399*0.95,AM399*0.95-AI399,0))</f>
        <v/>
      </c>
      <c r="AO399" s="34">
        <f>MAX(F399,G399,750)*0.05*AN399</f>
        <v/>
      </c>
      <c r="AP399" s="34">
        <f>'[1]GÖP VERİLERİ'!B400</f>
        <v/>
      </c>
      <c r="AQ399" s="34">
        <f>'[1]GÖP VERİLERİ'!C400</f>
        <v/>
      </c>
      <c r="AR399" s="34">
        <f>IF(AP399&gt;AQ399*1.05,AP399-AQ399*1.05,IF(AP399&lt;AQ399*0.95,AQ399*0.95-AP399,0))</f>
        <v/>
      </c>
      <c r="AS399" s="34">
        <f>MAX(F399:G399,750)*0.05*AR399</f>
        <v/>
      </c>
      <c r="AT399">
        <f>'[1]GÖP VERİLERİ'!D400</f>
        <v/>
      </c>
      <c r="AU399" s="34">
        <f>IF(AP399&gt;AT399*1.05,AP399-AT399*1.05,IF(AP399&lt;AT399*0.95,AT399*0.95-AP399,0))</f>
        <v/>
      </c>
      <c r="AV399" s="34">
        <f>MAX(F399:G399,750)*0.05*AU399</f>
        <v/>
      </c>
      <c r="AW399" s="34">
        <f>AC399+AJ399+AQ399</f>
        <v/>
      </c>
      <c r="AX399" s="34">
        <f>AF399+AM399+AT399</f>
        <v/>
      </c>
      <c r="AY399" s="34">
        <f>AB399+AI399+AP399</f>
        <v/>
      </c>
      <c r="AZ399" s="34" t="n">
        <v>0</v>
      </c>
      <c r="BA399" s="34">
        <f>AD399+AK399+AR399</f>
        <v/>
      </c>
      <c r="BB399" s="34">
        <f>MAX(F399:G399,750)*0.05*BA399</f>
        <v/>
      </c>
      <c r="BC399" s="34">
        <f>AG399+AN399+AU399</f>
        <v/>
      </c>
      <c r="BD399" s="34">
        <f>MAX(F399:G399,750)*0.05*BC399</f>
        <v/>
      </c>
      <c r="BE399" s="34">
        <f>F399*AY399</f>
        <v/>
      </c>
      <c r="BF399" s="34">
        <f>K399-M399</f>
        <v/>
      </c>
      <c r="BG399" s="34">
        <f>P399-S399</f>
        <v/>
      </c>
      <c r="BH399" s="34">
        <f>W399-AA399</f>
        <v/>
      </c>
      <c r="BI399" s="34">
        <f>BF399+BG399+BL399-BN399</f>
        <v/>
      </c>
      <c r="BJ399" s="34">
        <f>ABS(BK399)</f>
        <v/>
      </c>
      <c r="BK399" s="34">
        <f>AY399-(J399-L399+N399-Q399)</f>
        <v/>
      </c>
      <c r="BL399" s="34">
        <f>IF(AND(BK399&gt;0,MIN($F399:$G399)&lt;150,$E399="Enerji Açığı"),-100*BK399*1.03,IF(AND(BK399&gt;0,MIN($F399:$G399)&lt;150,$E399="Enerji Fazlası"),-100*BK399*1.06,IF(AND(BK399&gt;0,MIN($F399:$G399)&gt;=150,$E399="Enerji Açığı"),BK399*MIN($F399:$G399)*0.97,IF(AND(BK399&gt;0,MIN($F399:$G399)&gt;=150,$E399="Enerji Fazlası"),BK399*MIN($F399:$G399)*0.94,IF(AND(BK399&lt;0,MAX($F399:$G399)=4500,$E399="Enerji Açığı"),4500*1.05*1.06*BK399,IF(AND(BK399&lt;0,MAX($F399:$G399)=4500,$E399="Enerji Fazlası"),4500*1.05*1.03*BK399,IF(AND(BK399&lt;0,$E399="Enerji Açığı"),MAX($F399,$G399,150)*BK399*1.06,IF(AND(BK399&lt;0,$E399="Enerji Fazlası"),MAX($F399,$G399,150)*BK399*1.03,IF(AND(BK399&lt;0,$E399="Dengede"),MAX($F399:$G399,150)*1.03*BK399,MIN($F399:$G399)*0.97*BK399)))))))))</f>
        <v/>
      </c>
      <c r="BM399" s="34">
        <f>BE399-BI399-BN399</f>
        <v/>
      </c>
      <c r="BN399" s="34">
        <f>BB399</f>
        <v/>
      </c>
      <c r="BO399" s="34">
        <f>BE399-BI399</f>
        <v/>
      </c>
      <c r="BP399" s="34">
        <f>IF(AY399=0,0,BO399/AY399)</f>
        <v/>
      </c>
      <c r="BQ399" s="34">
        <f>MAX((AY399+MAX((-J399+L399-N399+Q399),0)),(MAX((J399-L399+N399-Q399),0)))</f>
        <v/>
      </c>
      <c r="BR399" s="82">
        <f>IFERROR(ABS(BK399/BQ399),0)</f>
        <v/>
      </c>
      <c r="BS399" s="34">
        <f>IF(BR399&lt;=0.1,0,BK399/BR399*(BR399-0.1))</f>
        <v/>
      </c>
      <c r="BT399" s="34">
        <f>IF((BS399)&lt;0,MAX(F399:G399)*(BS399)*1.03,MIN(F399:G399)*(BS399)*0.97)</f>
        <v/>
      </c>
      <c r="BU399" s="34">
        <f>IF(BR399&gt;0.1,1,0)</f>
        <v/>
      </c>
      <c r="BV399" s="34">
        <f>BF399+BG399+BH399+BY399-CA399</f>
        <v/>
      </c>
      <c r="BW399" s="34">
        <f>ABS(BX399)</f>
        <v/>
      </c>
      <c r="BX399" s="34">
        <f>AY399-(J399-L399+N399-Q399+T399-X399)</f>
        <v/>
      </c>
      <c r="BY399" s="34">
        <f>IF(AND(BX399&gt;0,MIN($F399:$G399)&lt;150,$E399="Enerji Açığı"),-100*BX399*1.03,IF(AND(BX399&gt;0,MIN($F399:$G399)&lt;150,$E399="Enerji Fazlası"),-100*BX399*1.06,IF(AND(BX399&gt;0,MIN($F399:$G399)&gt;=150,$E399="Enerji Açığı"),BX399*MIN($F399:$G399)*0.97,IF(AND(BX399&gt;0,MIN($F399:$G399)&gt;=150,$E399="Enerji Fazlası"),BX399*MIN($F399:$G399)*0.94,IF(AND(BX399&lt;0,MAX($F399:$G399)=4500,$E399="Enerji Açığı"),4500*1.05*1.06*BX399,IF(AND(BX399&lt;0,MAX($F399:$G399)=4500,$E399="Enerji Fazlası"),4500*1.05*1.03*BX399,IF(AND(BX399&lt;0,$E399="Enerji Açığı"),MAX($F399,$G399,150)*BX399*1.06,IF(AND(BX399&lt;0,$E399="Enerji Fazlası"),MAX($F399,$G399,150)*BX399*1.03,IF(AND(BX399&lt;0,$E399="Dengede"),MAX($F399:$G399,150)*1.03*BX399,MIN($F399:$G399)*0.97*BX399)))))))))</f>
        <v/>
      </c>
      <c r="BZ399" s="34">
        <f>BE399-BV399-CA399</f>
        <v/>
      </c>
      <c r="CA399" s="34">
        <f>BD399</f>
        <v/>
      </c>
      <c r="CB399" s="33">
        <f>BE399-BV399</f>
        <v/>
      </c>
      <c r="CC399" s="34">
        <f>IF(AY399=0,0,CB399/AY399)</f>
        <v/>
      </c>
      <c r="CD399" s="34">
        <f>MAX((AY399+MAX((-J399+L399-N399+Q399-T399+X399),0)),(MAX((J399-L399+N399-Q399+T399-X399),0)))</f>
        <v/>
      </c>
      <c r="CE399" s="82">
        <f>IFERROR(ABS(BX399/CD399),0)</f>
        <v/>
      </c>
      <c r="CF399" s="34">
        <f>IF(CE399&lt;=0.1,0,BX399/CE399*(CE399-0.1))</f>
        <v/>
      </c>
      <c r="CG399" s="34">
        <f>IF((CF399)&lt;0,MAX(F399:G399)*(CF399)*1.03,MIN(F399:G399)*(CF399)*0.97)</f>
        <v/>
      </c>
      <c r="CH399" s="34">
        <f>IF(CE399&gt;0.1,1,0)</f>
        <v/>
      </c>
      <c r="CI399" s="34">
        <f>(F399*BX399)-BY399</f>
        <v/>
      </c>
      <c r="CJ399" s="34">
        <f>IF(AY399=0,0,CI399/AY399)</f>
        <v/>
      </c>
    </row>
    <row r="400">
      <c r="A400" s="29">
        <f>[1]FİYATLAR!A375</f>
        <v/>
      </c>
      <c r="B400" s="29">
        <f>[1]FİYATLAR!B375</f>
        <v/>
      </c>
      <c r="C400" s="35">
        <f>INT(A400)</f>
        <v/>
      </c>
      <c r="D400" s="36">
        <f>MONTH(A400)</f>
        <v/>
      </c>
      <c r="E400" s="147">
        <f>[1]FİYATLAR!G375</f>
        <v/>
      </c>
      <c r="F400" s="30">
        <f>[1]FİYATLAR!C375</f>
        <v/>
      </c>
      <c r="G400" s="30">
        <f>[1]FİYATLAR!E375</f>
        <v/>
      </c>
      <c r="H400" s="30">
        <f>[1]FİYATLAR!D375</f>
        <v/>
      </c>
      <c r="I400" s="30">
        <f>[1]FİYATLAR!F375</f>
        <v/>
      </c>
      <c r="J400" s="119" t="n">
        <v>0</v>
      </c>
      <c r="K400" s="34">
        <f>F400*J400</f>
        <v/>
      </c>
      <c r="L400" s="119" t="n"/>
      <c r="M400" s="34">
        <f>L400*F400</f>
        <v/>
      </c>
      <c r="N400" s="119" t="n"/>
      <c r="O400" s="34">
        <f>F400</f>
        <v/>
      </c>
      <c r="P400" s="34">
        <f>N400*O400</f>
        <v/>
      </c>
      <c r="Q400" s="117" t="n">
        <v>0</v>
      </c>
      <c r="R400" s="34">
        <f>F400</f>
        <v/>
      </c>
      <c r="S400" s="34">
        <f>R400*Q400</f>
        <v/>
      </c>
      <c r="T400" s="34">
        <f>SUMIFS('[1]GİP VERİLERİ'!$C:$C,'[1]GİP VERİLERİ'!$B:$B,A400,'[1]GİP VERİLERİ'!$M:$M,"40X000000104782K",'[1]GİP VERİLERİ'!$G:$G,"SELL")</f>
        <v/>
      </c>
      <c r="U400" s="34">
        <f>IFERROR(W400/T400,0)</f>
        <v/>
      </c>
      <c r="V400" s="34">
        <f>IF(U400=0,0,U400-F400)</f>
        <v/>
      </c>
      <c r="W400" s="34">
        <f>SUMIFS('[1]GİP VERİLERİ'!$O:$O,'[1]GİP VERİLERİ'!$B:$B,A400,'[1]GİP VERİLERİ'!$M:$M,"40X000000104782K",'[1]GİP VERİLERİ'!$G:$G,"SELL")</f>
        <v/>
      </c>
      <c r="X400" s="34">
        <f>SUMIFS('[1]GİP VERİLERİ'!$C:$C,'[1]GİP VERİLERİ'!$B:$B,A400,'[1]GİP VERİLERİ'!$M:$M,"40X000000104782K",'[1]GİP VERİLERİ'!$G:$G,"BUY")</f>
        <v/>
      </c>
      <c r="Y400" s="34">
        <f>IFERROR(AA400/X400,0)</f>
        <v/>
      </c>
      <c r="Z400" s="34">
        <f>IF(Y400=0,0,F400-Y400)</f>
        <v/>
      </c>
      <c r="AA400" s="34">
        <f>SUMIFS('[1]GİP VERİLERİ'!$O:$O,'[1]GİP VERİLERİ'!$B:$B,A400,'[1]GİP VERİLERİ'!$M:$M,"40X000000104782K",'[1]GİP VERİLERİ'!$G:$G,"BUY")</f>
        <v/>
      </c>
      <c r="AB400" s="34">
        <f>'[1]GÖP VERİLERİ'!H401</f>
        <v/>
      </c>
      <c r="AC400" s="34">
        <f>'[1]GÖP VERİLERİ'!I401</f>
        <v/>
      </c>
      <c r="AD400" s="34">
        <f>IF(AB400&gt;AC400*1.05,AB400-AC400*1.05,IF(AB400&lt;AC400*0.95,AC400*0.95-AB400,0))</f>
        <v/>
      </c>
      <c r="AE400" s="34">
        <f>MAX(F400,G400,750)*0.05*AD400</f>
        <v/>
      </c>
      <c r="AF400" s="34">
        <f>'[1]GÖP VERİLERİ'!J401</f>
        <v/>
      </c>
      <c r="AG400" s="34">
        <f>IF(AB400&gt;AF400*1.05,AB400-AF400*1.05,IF(AB400&lt;AF400*0.95,AF400*0.95-AB400,0))</f>
        <v/>
      </c>
      <c r="AH400" s="34">
        <f>MAX(I400,J400,750)*0.05*AG400</f>
        <v/>
      </c>
      <c r="AI400">
        <f>'[1]GÖP VERİLERİ'!E401</f>
        <v/>
      </c>
      <c r="AJ400">
        <f>'[1]GÖP VERİLERİ'!F401</f>
        <v/>
      </c>
      <c r="AK400" s="34">
        <f>IF(AI400&gt;AJ400*1.05,AI400-AJ400*1.05,IF(AI400&lt;AJ400*0.95,AJ400*0.95-AI400,0))</f>
        <v/>
      </c>
      <c r="AL400" s="34">
        <f>MAX(F400,G400,750)*0.05*AK400</f>
        <v/>
      </c>
      <c r="AM400" s="39">
        <f>'[1]GÖP VERİLERİ'!G401</f>
        <v/>
      </c>
      <c r="AN400" s="34">
        <f>IF(AI400&gt;AM400*1.05,AI400-AM400*1.05,IF(AI400&lt;AM400*0.95,AM400*0.95-AI400,0))</f>
        <v/>
      </c>
      <c r="AO400" s="34">
        <f>MAX(F400,G400,750)*0.05*AN400</f>
        <v/>
      </c>
      <c r="AP400" s="34">
        <f>'[1]GÖP VERİLERİ'!B401</f>
        <v/>
      </c>
      <c r="AQ400" s="34">
        <f>'[1]GÖP VERİLERİ'!C401</f>
        <v/>
      </c>
      <c r="AR400" s="34">
        <f>IF(AP400&gt;AQ400*1.05,AP400-AQ400*1.05,IF(AP400&lt;AQ400*0.95,AQ400*0.95-AP400,0))</f>
        <v/>
      </c>
      <c r="AS400" s="34">
        <f>MAX(F400:G400,750)*0.05*AR400</f>
        <v/>
      </c>
      <c r="AT400">
        <f>'[1]GÖP VERİLERİ'!D401</f>
        <v/>
      </c>
      <c r="AU400" s="34">
        <f>IF(AP400&gt;AT400*1.05,AP400-AT400*1.05,IF(AP400&lt;AT400*0.95,AT400*0.95-AP400,0))</f>
        <v/>
      </c>
      <c r="AV400" s="34">
        <f>MAX(F400:G400,750)*0.05*AU400</f>
        <v/>
      </c>
      <c r="AW400" s="34">
        <f>AC400+AJ400+AQ400</f>
        <v/>
      </c>
      <c r="AX400" s="34">
        <f>AF400+AM400+AT400</f>
        <v/>
      </c>
      <c r="AY400" s="34">
        <f>AB400+AI400+AP400</f>
        <v/>
      </c>
      <c r="AZ400" s="34" t="n">
        <v>0</v>
      </c>
      <c r="BA400" s="34">
        <f>AD400+AK400+AR400</f>
        <v/>
      </c>
      <c r="BB400" s="34">
        <f>MAX(F400:G400,750)*0.05*BA400</f>
        <v/>
      </c>
      <c r="BC400" s="34">
        <f>AG400+AN400+AU400</f>
        <v/>
      </c>
      <c r="BD400" s="34">
        <f>MAX(F400:G400,750)*0.05*BC400</f>
        <v/>
      </c>
      <c r="BE400" s="34">
        <f>F400*AY400</f>
        <v/>
      </c>
      <c r="BF400" s="34">
        <f>K400-M400</f>
        <v/>
      </c>
      <c r="BG400" s="34">
        <f>P400-S400</f>
        <v/>
      </c>
      <c r="BH400" s="34">
        <f>W400-AA400</f>
        <v/>
      </c>
      <c r="BI400" s="34">
        <f>BF400+BG400+BL400-BN400</f>
        <v/>
      </c>
      <c r="BJ400" s="34">
        <f>ABS(BK400)</f>
        <v/>
      </c>
      <c r="BK400" s="34">
        <f>AY400-(J400-L400+N400-Q400)</f>
        <v/>
      </c>
      <c r="BL400" s="34">
        <f>IF(AND(BK400&gt;0,MIN($F400:$G400)&lt;150,$E400="Enerji Açığı"),-100*BK400*1.03,IF(AND(BK400&gt;0,MIN($F400:$G400)&lt;150,$E400="Enerji Fazlası"),-100*BK400*1.06,IF(AND(BK400&gt;0,MIN($F400:$G400)&gt;=150,$E400="Enerji Açığı"),BK400*MIN($F400:$G400)*0.97,IF(AND(BK400&gt;0,MIN($F400:$G400)&gt;=150,$E400="Enerji Fazlası"),BK400*MIN($F400:$G400)*0.94,IF(AND(BK400&lt;0,MAX($F400:$G400)=4500,$E400="Enerji Açığı"),4500*1.05*1.06*BK400,IF(AND(BK400&lt;0,MAX($F400:$G400)=4500,$E400="Enerji Fazlası"),4500*1.05*1.03*BK400,IF(AND(BK400&lt;0,$E400="Enerji Açığı"),MAX($F400,$G400,150)*BK400*1.06,IF(AND(BK400&lt;0,$E400="Enerji Fazlası"),MAX($F400,$G400,150)*BK400*1.03,IF(AND(BK400&lt;0,$E400="Dengede"),MAX($F400:$G400,150)*1.03*BK400,MIN($F400:$G400)*0.97*BK400)))))))))</f>
        <v/>
      </c>
      <c r="BM400" s="34">
        <f>BE400-BI400-BN400</f>
        <v/>
      </c>
      <c r="BN400" s="34">
        <f>BB400</f>
        <v/>
      </c>
      <c r="BO400" s="34">
        <f>BE400-BI400</f>
        <v/>
      </c>
      <c r="BP400" s="34">
        <f>IF(AY400=0,0,BO400/AY400)</f>
        <v/>
      </c>
      <c r="BQ400" s="34">
        <f>MAX((AY400+MAX((-J400+L400-N400+Q400),0)),(MAX((J400-L400+N400-Q400),0)))</f>
        <v/>
      </c>
      <c r="BR400" s="82">
        <f>IFERROR(ABS(BK400/BQ400),0)</f>
        <v/>
      </c>
      <c r="BS400" s="34">
        <f>IF(BR400&lt;=0.1,0,BK400/BR400*(BR400-0.1))</f>
        <v/>
      </c>
      <c r="BT400" s="34">
        <f>IF((BS400)&lt;0,MAX(F400:G400)*(BS400)*1.03,MIN(F400:G400)*(BS400)*0.97)</f>
        <v/>
      </c>
      <c r="BU400" s="34">
        <f>IF(BR400&gt;0.1,1,0)</f>
        <v/>
      </c>
      <c r="BV400" s="34">
        <f>BF400+BG400+BH400+BY400-CA400</f>
        <v/>
      </c>
      <c r="BW400" s="34">
        <f>ABS(BX400)</f>
        <v/>
      </c>
      <c r="BX400" s="34">
        <f>AY400-(J400-L400+N400-Q400+T400-X400)</f>
        <v/>
      </c>
      <c r="BY400" s="34">
        <f>IF(AND(BX400&gt;0,MIN($F400:$G400)&lt;150,$E400="Enerji Açığı"),-100*BX400*1.03,IF(AND(BX400&gt;0,MIN($F400:$G400)&lt;150,$E400="Enerji Fazlası"),-100*BX400*1.06,IF(AND(BX400&gt;0,MIN($F400:$G400)&gt;=150,$E400="Enerji Açığı"),BX400*MIN($F400:$G400)*0.97,IF(AND(BX400&gt;0,MIN($F400:$G400)&gt;=150,$E400="Enerji Fazlası"),BX400*MIN($F400:$G400)*0.94,IF(AND(BX400&lt;0,MAX($F400:$G400)=4500,$E400="Enerji Açığı"),4500*1.05*1.06*BX400,IF(AND(BX400&lt;0,MAX($F400:$G400)=4500,$E400="Enerji Fazlası"),4500*1.05*1.03*BX400,IF(AND(BX400&lt;0,$E400="Enerji Açığı"),MAX($F400,$G400,150)*BX400*1.06,IF(AND(BX400&lt;0,$E400="Enerji Fazlası"),MAX($F400,$G400,150)*BX400*1.03,IF(AND(BX400&lt;0,$E400="Dengede"),MAX($F400:$G400,150)*1.03*BX400,MIN($F400:$G400)*0.97*BX400)))))))))</f>
        <v/>
      </c>
      <c r="BZ400" s="34">
        <f>BE400-BV400-CA400</f>
        <v/>
      </c>
      <c r="CA400" s="34">
        <f>BD400</f>
        <v/>
      </c>
      <c r="CB400" s="33">
        <f>BE400-BV400</f>
        <v/>
      </c>
      <c r="CC400" s="34">
        <f>IF(AY400=0,0,CB400/AY400)</f>
        <v/>
      </c>
      <c r="CD400" s="34">
        <f>MAX((AY400+MAX((-J400+L400-N400+Q400-T400+X400),0)),(MAX((J400-L400+N400-Q400+T400-X400),0)))</f>
        <v/>
      </c>
      <c r="CE400" s="82">
        <f>IFERROR(ABS(BX400/CD400),0)</f>
        <v/>
      </c>
      <c r="CF400" s="34">
        <f>IF(CE400&lt;=0.1,0,BX400/CE400*(CE400-0.1))</f>
        <v/>
      </c>
      <c r="CG400" s="34">
        <f>IF((CF400)&lt;0,MAX(F400:G400)*(CF400)*1.03,MIN(F400:G400)*(CF400)*0.97)</f>
        <v/>
      </c>
      <c r="CH400" s="34">
        <f>IF(CE400&gt;0.1,1,0)</f>
        <v/>
      </c>
      <c r="CI400" s="34">
        <f>(F400*BX400)-BY400</f>
        <v/>
      </c>
      <c r="CJ400" s="34">
        <f>IF(AY400=0,0,CI400/AY400)</f>
        <v/>
      </c>
    </row>
    <row r="401">
      <c r="A401" s="29">
        <f>[1]FİYATLAR!A376</f>
        <v/>
      </c>
      <c r="B401" s="29">
        <f>[1]FİYATLAR!B376</f>
        <v/>
      </c>
      <c r="C401" s="35">
        <f>INT(A401)</f>
        <v/>
      </c>
      <c r="D401" s="36">
        <f>MONTH(A401)</f>
        <v/>
      </c>
      <c r="E401" s="147">
        <f>[1]FİYATLAR!G376</f>
        <v/>
      </c>
      <c r="F401" s="30">
        <f>[1]FİYATLAR!C376</f>
        <v/>
      </c>
      <c r="G401" s="30">
        <f>[1]FİYATLAR!E376</f>
        <v/>
      </c>
      <c r="H401" s="30">
        <f>[1]FİYATLAR!D376</f>
        <v/>
      </c>
      <c r="I401" s="30">
        <f>[1]FİYATLAR!F376</f>
        <v/>
      </c>
      <c r="J401" s="119" t="n">
        <v>0</v>
      </c>
      <c r="K401" s="34">
        <f>F401*J401</f>
        <v/>
      </c>
      <c r="L401" s="119" t="n"/>
      <c r="M401" s="34">
        <f>L401*F401</f>
        <v/>
      </c>
      <c r="N401" s="119" t="n"/>
      <c r="O401" s="34">
        <f>F401</f>
        <v/>
      </c>
      <c r="P401" s="34">
        <f>N401*O401</f>
        <v/>
      </c>
      <c r="Q401" s="117" t="n">
        <v>0</v>
      </c>
      <c r="R401" s="34">
        <f>F401</f>
        <v/>
      </c>
      <c r="S401" s="34">
        <f>R401*Q401</f>
        <v/>
      </c>
      <c r="T401" s="34">
        <f>SUMIFS('[1]GİP VERİLERİ'!$C:$C,'[1]GİP VERİLERİ'!$B:$B,A401,'[1]GİP VERİLERİ'!$M:$M,"40X000000104782K",'[1]GİP VERİLERİ'!$G:$G,"SELL")</f>
        <v/>
      </c>
      <c r="U401" s="34">
        <f>IFERROR(W401/T401,0)</f>
        <v/>
      </c>
      <c r="V401" s="34">
        <f>IF(U401=0,0,U401-F401)</f>
        <v/>
      </c>
      <c r="W401" s="34">
        <f>SUMIFS('[1]GİP VERİLERİ'!$O:$O,'[1]GİP VERİLERİ'!$B:$B,A401,'[1]GİP VERİLERİ'!$M:$M,"40X000000104782K",'[1]GİP VERİLERİ'!$G:$G,"SELL")</f>
        <v/>
      </c>
      <c r="X401" s="34">
        <f>SUMIFS('[1]GİP VERİLERİ'!$C:$C,'[1]GİP VERİLERİ'!$B:$B,A401,'[1]GİP VERİLERİ'!$M:$M,"40X000000104782K",'[1]GİP VERİLERİ'!$G:$G,"BUY")</f>
        <v/>
      </c>
      <c r="Y401" s="34">
        <f>IFERROR(AA401/X401,0)</f>
        <v/>
      </c>
      <c r="Z401" s="34">
        <f>IF(Y401=0,0,F401-Y401)</f>
        <v/>
      </c>
      <c r="AA401" s="34">
        <f>SUMIFS('[1]GİP VERİLERİ'!$O:$O,'[1]GİP VERİLERİ'!$B:$B,A401,'[1]GİP VERİLERİ'!$M:$M,"40X000000104782K",'[1]GİP VERİLERİ'!$G:$G,"BUY")</f>
        <v/>
      </c>
      <c r="AB401" s="34">
        <f>'[1]GÖP VERİLERİ'!H402</f>
        <v/>
      </c>
      <c r="AC401" s="34">
        <f>'[1]GÖP VERİLERİ'!I402</f>
        <v/>
      </c>
      <c r="AD401" s="34">
        <f>IF(AB401&gt;AC401*1.05,AB401-AC401*1.05,IF(AB401&lt;AC401*0.95,AC401*0.95-AB401,0))</f>
        <v/>
      </c>
      <c r="AE401" s="34">
        <f>MAX(F401,G401,750)*0.05*AD401</f>
        <v/>
      </c>
      <c r="AF401" s="34">
        <f>'[1]GÖP VERİLERİ'!J402</f>
        <v/>
      </c>
      <c r="AG401" s="34">
        <f>IF(AB401&gt;AF401*1.05,AB401-AF401*1.05,IF(AB401&lt;AF401*0.95,AF401*0.95-AB401,0))</f>
        <v/>
      </c>
      <c r="AH401" s="34">
        <f>MAX(I401,J401,750)*0.05*AG401</f>
        <v/>
      </c>
      <c r="AI401">
        <f>'[1]GÖP VERİLERİ'!E402</f>
        <v/>
      </c>
      <c r="AJ401">
        <f>'[1]GÖP VERİLERİ'!F402</f>
        <v/>
      </c>
      <c r="AK401" s="34">
        <f>IF(AI401&gt;AJ401*1.05,AI401-AJ401*1.05,IF(AI401&lt;AJ401*0.95,AJ401*0.95-AI401,0))</f>
        <v/>
      </c>
      <c r="AL401" s="34">
        <f>MAX(F401,G401,750)*0.05*AK401</f>
        <v/>
      </c>
      <c r="AM401" s="39">
        <f>'[1]GÖP VERİLERİ'!G402</f>
        <v/>
      </c>
      <c r="AN401" s="34">
        <f>IF(AI401&gt;AM401*1.05,AI401-AM401*1.05,IF(AI401&lt;AM401*0.95,AM401*0.95-AI401,0))</f>
        <v/>
      </c>
      <c r="AO401" s="34">
        <f>MAX(F401,G401,750)*0.05*AN401</f>
        <v/>
      </c>
      <c r="AP401" s="34">
        <f>'[1]GÖP VERİLERİ'!B402</f>
        <v/>
      </c>
      <c r="AQ401" s="34">
        <f>'[1]GÖP VERİLERİ'!C402</f>
        <v/>
      </c>
      <c r="AR401" s="34">
        <f>IF(AP401&gt;AQ401*1.05,AP401-AQ401*1.05,IF(AP401&lt;AQ401*0.95,AQ401*0.95-AP401,0))</f>
        <v/>
      </c>
      <c r="AS401" s="34">
        <f>MAX(F401:G401,750)*0.05*AR401</f>
        <v/>
      </c>
      <c r="AT401">
        <f>'[1]GÖP VERİLERİ'!D402</f>
        <v/>
      </c>
      <c r="AU401" s="34">
        <f>IF(AP401&gt;AT401*1.05,AP401-AT401*1.05,IF(AP401&lt;AT401*0.95,AT401*0.95-AP401,0))</f>
        <v/>
      </c>
      <c r="AV401" s="34">
        <f>MAX(F401:G401,750)*0.05*AU401</f>
        <v/>
      </c>
      <c r="AW401" s="34">
        <f>AC401+AJ401+AQ401</f>
        <v/>
      </c>
      <c r="AX401" s="34">
        <f>AF401+AM401+AT401</f>
        <v/>
      </c>
      <c r="AY401" s="34">
        <f>AB401+AI401+AP401</f>
        <v/>
      </c>
      <c r="AZ401" s="34" t="n">
        <v>0</v>
      </c>
      <c r="BA401" s="34">
        <f>AD401+AK401+AR401</f>
        <v/>
      </c>
      <c r="BB401" s="34">
        <f>MAX(F401:G401,750)*0.05*BA401</f>
        <v/>
      </c>
      <c r="BC401" s="34">
        <f>AG401+AN401+AU401</f>
        <v/>
      </c>
      <c r="BD401" s="34">
        <f>MAX(F401:G401,750)*0.05*BC401</f>
        <v/>
      </c>
      <c r="BE401" s="34">
        <f>F401*AY401</f>
        <v/>
      </c>
      <c r="BF401" s="34">
        <f>K401-M401</f>
        <v/>
      </c>
      <c r="BG401" s="34">
        <f>P401-S401</f>
        <v/>
      </c>
      <c r="BH401" s="34">
        <f>W401-AA401</f>
        <v/>
      </c>
      <c r="BI401" s="34">
        <f>BF401+BG401+BL401-BN401</f>
        <v/>
      </c>
      <c r="BJ401" s="34">
        <f>ABS(BK401)</f>
        <v/>
      </c>
      <c r="BK401" s="34">
        <f>AY401-(J401-L401+N401-Q401)</f>
        <v/>
      </c>
      <c r="BL401" s="34">
        <f>IF(AND(BK401&gt;0,MIN($F401:$G401)&lt;150,$E401="Enerji Açığı"),-100*BK401*1.03,IF(AND(BK401&gt;0,MIN($F401:$G401)&lt;150,$E401="Enerji Fazlası"),-100*BK401*1.06,IF(AND(BK401&gt;0,MIN($F401:$G401)&gt;=150,$E401="Enerji Açığı"),BK401*MIN($F401:$G401)*0.97,IF(AND(BK401&gt;0,MIN($F401:$G401)&gt;=150,$E401="Enerji Fazlası"),BK401*MIN($F401:$G401)*0.94,IF(AND(BK401&lt;0,MAX($F401:$G401)=4500,$E401="Enerji Açığı"),4500*1.05*1.06*BK401,IF(AND(BK401&lt;0,MAX($F401:$G401)=4500,$E401="Enerji Fazlası"),4500*1.05*1.03*BK401,IF(AND(BK401&lt;0,$E401="Enerji Açığı"),MAX($F401,$G401,150)*BK401*1.06,IF(AND(BK401&lt;0,$E401="Enerji Fazlası"),MAX($F401,$G401,150)*BK401*1.03,IF(AND(BK401&lt;0,$E401="Dengede"),MAX($F401:$G401,150)*1.03*BK401,MIN($F401:$G401)*0.97*BK401)))))))))</f>
        <v/>
      </c>
      <c r="BM401" s="34">
        <f>BE401-BI401-BN401</f>
        <v/>
      </c>
      <c r="BN401" s="34">
        <f>BB401</f>
        <v/>
      </c>
      <c r="BO401" s="34">
        <f>BE401-BI401</f>
        <v/>
      </c>
      <c r="BP401" s="34">
        <f>IF(AY401=0,0,BO401/AY401)</f>
        <v/>
      </c>
      <c r="BQ401" s="34">
        <f>MAX((AY401+MAX((-J401+L401-N401+Q401),0)),(MAX((J401-L401+N401-Q401),0)))</f>
        <v/>
      </c>
      <c r="BR401" s="82">
        <f>IFERROR(ABS(BK401/BQ401),0)</f>
        <v/>
      </c>
      <c r="BS401" s="34">
        <f>IF(BR401&lt;=0.1,0,BK401/BR401*(BR401-0.1))</f>
        <v/>
      </c>
      <c r="BT401" s="34">
        <f>IF((BS401)&lt;0,MAX(F401:G401)*(BS401)*1.03,MIN(F401:G401)*(BS401)*0.97)</f>
        <v/>
      </c>
      <c r="BU401" s="34">
        <f>IF(BR401&gt;0.1,1,0)</f>
        <v/>
      </c>
      <c r="BV401" s="34">
        <f>BF401+BG401+BH401+BY401-CA401</f>
        <v/>
      </c>
      <c r="BW401" s="34">
        <f>ABS(BX401)</f>
        <v/>
      </c>
      <c r="BX401" s="34">
        <f>AY401-(J401-L401+N401-Q401+T401-X401)</f>
        <v/>
      </c>
      <c r="BY401" s="34">
        <f>IF(AND(BX401&gt;0,MIN($F401:$G401)&lt;150,$E401="Enerji Açığı"),-100*BX401*1.03,IF(AND(BX401&gt;0,MIN($F401:$G401)&lt;150,$E401="Enerji Fazlası"),-100*BX401*1.06,IF(AND(BX401&gt;0,MIN($F401:$G401)&gt;=150,$E401="Enerji Açığı"),BX401*MIN($F401:$G401)*0.97,IF(AND(BX401&gt;0,MIN($F401:$G401)&gt;=150,$E401="Enerji Fazlası"),BX401*MIN($F401:$G401)*0.94,IF(AND(BX401&lt;0,MAX($F401:$G401)=4500,$E401="Enerji Açığı"),4500*1.05*1.06*BX401,IF(AND(BX401&lt;0,MAX($F401:$G401)=4500,$E401="Enerji Fazlası"),4500*1.05*1.03*BX401,IF(AND(BX401&lt;0,$E401="Enerji Açığı"),MAX($F401,$G401,150)*BX401*1.06,IF(AND(BX401&lt;0,$E401="Enerji Fazlası"),MAX($F401,$G401,150)*BX401*1.03,IF(AND(BX401&lt;0,$E401="Dengede"),MAX($F401:$G401,150)*1.03*BX401,MIN($F401:$G401)*0.97*BX401)))))))))</f>
        <v/>
      </c>
      <c r="BZ401" s="34">
        <f>BE401-BV401-CA401</f>
        <v/>
      </c>
      <c r="CA401" s="34">
        <f>BD401</f>
        <v/>
      </c>
      <c r="CB401" s="33">
        <f>BE401-BV401</f>
        <v/>
      </c>
      <c r="CC401" s="34">
        <f>IF(AY401=0,0,CB401/AY401)</f>
        <v/>
      </c>
      <c r="CD401" s="34">
        <f>MAX((AY401+MAX((-J401+L401-N401+Q401-T401+X401),0)),(MAX((J401-L401+N401-Q401+T401-X401),0)))</f>
        <v/>
      </c>
      <c r="CE401" s="82">
        <f>IFERROR(ABS(BX401/CD401),0)</f>
        <v/>
      </c>
      <c r="CF401" s="34">
        <f>IF(CE401&lt;=0.1,0,BX401/CE401*(CE401-0.1))</f>
        <v/>
      </c>
      <c r="CG401" s="34">
        <f>IF((CF401)&lt;0,MAX(F401:G401)*(CF401)*1.03,MIN(F401:G401)*(CF401)*0.97)</f>
        <v/>
      </c>
      <c r="CH401" s="34">
        <f>IF(CE401&gt;0.1,1,0)</f>
        <v/>
      </c>
      <c r="CI401" s="34">
        <f>(F401*BX401)-BY401</f>
        <v/>
      </c>
      <c r="CJ401" s="34">
        <f>IF(AY401=0,0,CI401/AY401)</f>
        <v/>
      </c>
    </row>
    <row r="402">
      <c r="A402" s="29">
        <f>[1]FİYATLAR!A377</f>
        <v/>
      </c>
      <c r="B402" s="29">
        <f>[1]FİYATLAR!B377</f>
        <v/>
      </c>
      <c r="C402" s="35">
        <f>INT(A402)</f>
        <v/>
      </c>
      <c r="D402" s="36">
        <f>MONTH(A402)</f>
        <v/>
      </c>
      <c r="E402" s="147">
        <f>[1]FİYATLAR!G377</f>
        <v/>
      </c>
      <c r="F402" s="30">
        <f>[1]FİYATLAR!C377</f>
        <v/>
      </c>
      <c r="G402" s="30">
        <f>[1]FİYATLAR!E377</f>
        <v/>
      </c>
      <c r="H402" s="30">
        <f>[1]FİYATLAR!D377</f>
        <v/>
      </c>
      <c r="I402" s="30">
        <f>[1]FİYATLAR!F377</f>
        <v/>
      </c>
      <c r="J402" s="119" t="n">
        <v>0</v>
      </c>
      <c r="K402" s="34">
        <f>F402*J402</f>
        <v/>
      </c>
      <c r="L402" s="119" t="n"/>
      <c r="M402" s="34">
        <f>L402*F402</f>
        <v/>
      </c>
      <c r="N402" s="119" t="n"/>
      <c r="O402" s="34">
        <f>F402</f>
        <v/>
      </c>
      <c r="P402" s="34">
        <f>N402*O402</f>
        <v/>
      </c>
      <c r="Q402" s="117" t="n">
        <v>0</v>
      </c>
      <c r="R402" s="34">
        <f>F402</f>
        <v/>
      </c>
      <c r="S402" s="34">
        <f>R402*Q402</f>
        <v/>
      </c>
      <c r="T402" s="34">
        <f>SUMIFS('[1]GİP VERİLERİ'!$C:$C,'[1]GİP VERİLERİ'!$B:$B,A402,'[1]GİP VERİLERİ'!$M:$M,"40X000000104782K",'[1]GİP VERİLERİ'!$G:$G,"SELL")</f>
        <v/>
      </c>
      <c r="U402" s="34">
        <f>IFERROR(W402/T402,0)</f>
        <v/>
      </c>
      <c r="V402" s="34">
        <f>IF(U402=0,0,U402-F402)</f>
        <v/>
      </c>
      <c r="W402" s="34">
        <f>SUMIFS('[1]GİP VERİLERİ'!$O:$O,'[1]GİP VERİLERİ'!$B:$B,A402,'[1]GİP VERİLERİ'!$M:$M,"40X000000104782K",'[1]GİP VERİLERİ'!$G:$G,"SELL")</f>
        <v/>
      </c>
      <c r="X402" s="34">
        <f>SUMIFS('[1]GİP VERİLERİ'!$C:$C,'[1]GİP VERİLERİ'!$B:$B,A402,'[1]GİP VERİLERİ'!$M:$M,"40X000000104782K",'[1]GİP VERİLERİ'!$G:$G,"BUY")</f>
        <v/>
      </c>
      <c r="Y402" s="34">
        <f>IFERROR(AA402/X402,0)</f>
        <v/>
      </c>
      <c r="Z402" s="34">
        <f>IF(Y402=0,0,F402-Y402)</f>
        <v/>
      </c>
      <c r="AA402" s="34">
        <f>SUMIFS('[1]GİP VERİLERİ'!$O:$O,'[1]GİP VERİLERİ'!$B:$B,A402,'[1]GİP VERİLERİ'!$M:$M,"40X000000104782K",'[1]GİP VERİLERİ'!$G:$G,"BUY")</f>
        <v/>
      </c>
      <c r="AB402" s="34">
        <f>'[1]GÖP VERİLERİ'!H403</f>
        <v/>
      </c>
      <c r="AC402" s="34">
        <f>'[1]GÖP VERİLERİ'!I403</f>
        <v/>
      </c>
      <c r="AD402" s="34">
        <f>IF(AB402&gt;AC402*1.05,AB402-AC402*1.05,IF(AB402&lt;AC402*0.95,AC402*0.95-AB402,0))</f>
        <v/>
      </c>
      <c r="AE402" s="34">
        <f>MAX(F402,G402,750)*0.05*AD402</f>
        <v/>
      </c>
      <c r="AF402" s="34">
        <f>'[1]GÖP VERİLERİ'!J403</f>
        <v/>
      </c>
      <c r="AG402" s="34">
        <f>IF(AB402&gt;AF402*1.05,AB402-AF402*1.05,IF(AB402&lt;AF402*0.95,AF402*0.95-AB402,0))</f>
        <v/>
      </c>
      <c r="AH402" s="34">
        <f>MAX(I402,J402,750)*0.05*AG402</f>
        <v/>
      </c>
      <c r="AI402">
        <f>'[1]GÖP VERİLERİ'!E403</f>
        <v/>
      </c>
      <c r="AJ402">
        <f>'[1]GÖP VERİLERİ'!F403</f>
        <v/>
      </c>
      <c r="AK402" s="34">
        <f>IF(AI402&gt;AJ402*1.05,AI402-AJ402*1.05,IF(AI402&lt;AJ402*0.95,AJ402*0.95-AI402,0))</f>
        <v/>
      </c>
      <c r="AL402" s="34">
        <f>MAX(F402,G402,750)*0.05*AK402</f>
        <v/>
      </c>
      <c r="AM402" s="39">
        <f>'[1]GÖP VERİLERİ'!G403</f>
        <v/>
      </c>
      <c r="AN402" s="34">
        <f>IF(AI402&gt;AM402*1.05,AI402-AM402*1.05,IF(AI402&lt;AM402*0.95,AM402*0.95-AI402,0))</f>
        <v/>
      </c>
      <c r="AO402" s="34">
        <f>MAX(F402,G402,750)*0.05*AN402</f>
        <v/>
      </c>
      <c r="AP402" s="34">
        <f>'[1]GÖP VERİLERİ'!B403</f>
        <v/>
      </c>
      <c r="AQ402" s="34">
        <f>'[1]GÖP VERİLERİ'!C403</f>
        <v/>
      </c>
      <c r="AR402" s="34">
        <f>IF(AP402&gt;AQ402*1.05,AP402-AQ402*1.05,IF(AP402&lt;AQ402*0.95,AQ402*0.95-AP402,0))</f>
        <v/>
      </c>
      <c r="AS402" s="34">
        <f>MAX(F402:G402,750)*0.05*AR402</f>
        <v/>
      </c>
      <c r="AT402">
        <f>'[1]GÖP VERİLERİ'!D403</f>
        <v/>
      </c>
      <c r="AU402" s="34">
        <f>IF(AP402&gt;AT402*1.05,AP402-AT402*1.05,IF(AP402&lt;AT402*0.95,AT402*0.95-AP402,0))</f>
        <v/>
      </c>
      <c r="AV402" s="34">
        <f>MAX(F402:G402,750)*0.05*AU402</f>
        <v/>
      </c>
      <c r="AW402" s="34">
        <f>AC402+AJ402+AQ402</f>
        <v/>
      </c>
      <c r="AX402" s="34">
        <f>AF402+AM402+AT402</f>
        <v/>
      </c>
      <c r="AY402" s="34">
        <f>AB402+AI402+AP402</f>
        <v/>
      </c>
      <c r="AZ402" s="34" t="n">
        <v>0</v>
      </c>
      <c r="BA402" s="34">
        <f>AD402+AK402+AR402</f>
        <v/>
      </c>
      <c r="BB402" s="34">
        <f>MAX(F402:G402,750)*0.05*BA402</f>
        <v/>
      </c>
      <c r="BC402" s="34">
        <f>AG402+AN402+AU402</f>
        <v/>
      </c>
      <c r="BD402" s="34">
        <f>MAX(F402:G402,750)*0.05*BC402</f>
        <v/>
      </c>
      <c r="BE402" s="34">
        <f>F402*AY402</f>
        <v/>
      </c>
      <c r="BF402" s="34">
        <f>K402-M402</f>
        <v/>
      </c>
      <c r="BG402" s="34">
        <f>P402-S402</f>
        <v/>
      </c>
      <c r="BH402" s="34">
        <f>W402-AA402</f>
        <v/>
      </c>
      <c r="BI402" s="34">
        <f>BF402+BG402+BL402-BN402</f>
        <v/>
      </c>
      <c r="BJ402" s="34">
        <f>ABS(BK402)</f>
        <v/>
      </c>
      <c r="BK402" s="34">
        <f>AY402-(J402-L402+N402-Q402)</f>
        <v/>
      </c>
      <c r="BL402" s="34">
        <f>IF(AND(BK402&gt;0,MIN($F402:$G402)&lt;150,$E402="Enerji Açığı"),-100*BK402*1.03,IF(AND(BK402&gt;0,MIN($F402:$G402)&lt;150,$E402="Enerji Fazlası"),-100*BK402*1.06,IF(AND(BK402&gt;0,MIN($F402:$G402)&gt;=150,$E402="Enerji Açığı"),BK402*MIN($F402:$G402)*0.97,IF(AND(BK402&gt;0,MIN($F402:$G402)&gt;=150,$E402="Enerji Fazlası"),BK402*MIN($F402:$G402)*0.94,IF(AND(BK402&lt;0,MAX($F402:$G402)=4500,$E402="Enerji Açığı"),4500*1.05*1.06*BK402,IF(AND(BK402&lt;0,MAX($F402:$G402)=4500,$E402="Enerji Fazlası"),4500*1.05*1.03*BK402,IF(AND(BK402&lt;0,$E402="Enerji Açığı"),MAX($F402,$G402,150)*BK402*1.06,IF(AND(BK402&lt;0,$E402="Enerji Fazlası"),MAX($F402,$G402,150)*BK402*1.03,IF(AND(BK402&lt;0,$E402="Dengede"),MAX($F402:$G402,150)*1.03*BK402,MIN($F402:$G402)*0.97*BK402)))))))))</f>
        <v/>
      </c>
      <c r="BM402" s="34">
        <f>BE402-BI402-BN402</f>
        <v/>
      </c>
      <c r="BN402" s="34">
        <f>BB402</f>
        <v/>
      </c>
      <c r="BO402" s="34">
        <f>BE402-BI402</f>
        <v/>
      </c>
      <c r="BP402" s="34">
        <f>IF(AY402=0,0,BO402/AY402)</f>
        <v/>
      </c>
      <c r="BQ402" s="34">
        <f>MAX((AY402+MAX((-J402+L402-N402+Q402),0)),(MAX((J402-L402+N402-Q402),0)))</f>
        <v/>
      </c>
      <c r="BR402" s="82">
        <f>IFERROR(ABS(BK402/BQ402),0)</f>
        <v/>
      </c>
      <c r="BS402" s="34">
        <f>IF(BR402&lt;=0.1,0,BK402/BR402*(BR402-0.1))</f>
        <v/>
      </c>
      <c r="BT402" s="34">
        <f>IF((BS402)&lt;0,MAX(F402:G402)*(BS402)*1.03,MIN(F402:G402)*(BS402)*0.97)</f>
        <v/>
      </c>
      <c r="BU402" s="34">
        <f>IF(BR402&gt;0.1,1,0)</f>
        <v/>
      </c>
      <c r="BV402" s="34">
        <f>BF402+BG402+BH402+BY402-CA402</f>
        <v/>
      </c>
      <c r="BW402" s="34">
        <f>ABS(BX402)</f>
        <v/>
      </c>
      <c r="BX402" s="34">
        <f>AY402-(J402-L402+N402-Q402+T402-X402)</f>
        <v/>
      </c>
      <c r="BY402" s="34">
        <f>IF(AND(BX402&gt;0,MIN($F402:$G402)&lt;150,$E402="Enerji Açığı"),-100*BX402*1.03,IF(AND(BX402&gt;0,MIN($F402:$G402)&lt;150,$E402="Enerji Fazlası"),-100*BX402*1.06,IF(AND(BX402&gt;0,MIN($F402:$G402)&gt;=150,$E402="Enerji Açığı"),BX402*MIN($F402:$G402)*0.97,IF(AND(BX402&gt;0,MIN($F402:$G402)&gt;=150,$E402="Enerji Fazlası"),BX402*MIN($F402:$G402)*0.94,IF(AND(BX402&lt;0,MAX($F402:$G402)=4500,$E402="Enerji Açığı"),4500*1.05*1.06*BX402,IF(AND(BX402&lt;0,MAX($F402:$G402)=4500,$E402="Enerji Fazlası"),4500*1.05*1.03*BX402,IF(AND(BX402&lt;0,$E402="Enerji Açığı"),MAX($F402,$G402,150)*BX402*1.06,IF(AND(BX402&lt;0,$E402="Enerji Fazlası"),MAX($F402,$G402,150)*BX402*1.03,IF(AND(BX402&lt;0,$E402="Dengede"),MAX($F402:$G402,150)*1.03*BX402,MIN($F402:$G402)*0.97*BX402)))))))))</f>
        <v/>
      </c>
      <c r="BZ402" s="34">
        <f>BE402-BV402-CA402</f>
        <v/>
      </c>
      <c r="CA402" s="34">
        <f>BD402</f>
        <v/>
      </c>
      <c r="CB402" s="33">
        <f>BE402-BV402</f>
        <v/>
      </c>
      <c r="CC402" s="34">
        <f>IF(AY402=0,0,CB402/AY402)</f>
        <v/>
      </c>
      <c r="CD402" s="34">
        <f>MAX((AY402+MAX((-J402+L402-N402+Q402-T402+X402),0)),(MAX((J402-L402+N402-Q402+T402-X402),0)))</f>
        <v/>
      </c>
      <c r="CE402" s="82">
        <f>IFERROR(ABS(BX402/CD402),0)</f>
        <v/>
      </c>
      <c r="CF402" s="34">
        <f>IF(CE402&lt;=0.1,0,BX402/CE402*(CE402-0.1))</f>
        <v/>
      </c>
      <c r="CG402" s="34">
        <f>IF((CF402)&lt;0,MAX(F402:G402)*(CF402)*1.03,MIN(F402:G402)*(CF402)*0.97)</f>
        <v/>
      </c>
      <c r="CH402" s="34">
        <f>IF(CE402&gt;0.1,1,0)</f>
        <v/>
      </c>
      <c r="CI402" s="34">
        <f>(F402*BX402)-BY402</f>
        <v/>
      </c>
      <c r="CJ402" s="34">
        <f>IF(AY402=0,0,CI402/AY402)</f>
        <v/>
      </c>
    </row>
    <row r="403">
      <c r="A403" s="29">
        <f>[1]FİYATLAR!A378</f>
        <v/>
      </c>
      <c r="B403" s="29">
        <f>[1]FİYATLAR!B378</f>
        <v/>
      </c>
      <c r="C403" s="35">
        <f>INT(A403)</f>
        <v/>
      </c>
      <c r="D403" s="36">
        <f>MONTH(A403)</f>
        <v/>
      </c>
      <c r="E403" s="147">
        <f>[1]FİYATLAR!G378</f>
        <v/>
      </c>
      <c r="F403" s="30">
        <f>[1]FİYATLAR!C378</f>
        <v/>
      </c>
      <c r="G403" s="30">
        <f>[1]FİYATLAR!E378</f>
        <v/>
      </c>
      <c r="H403" s="30">
        <f>[1]FİYATLAR!D378</f>
        <v/>
      </c>
      <c r="I403" s="30">
        <f>[1]FİYATLAR!F378</f>
        <v/>
      </c>
      <c r="J403" s="119" t="n">
        <v>0</v>
      </c>
      <c r="K403" s="34">
        <f>F403*J403</f>
        <v/>
      </c>
      <c r="L403" s="119" t="n"/>
      <c r="M403" s="34">
        <f>L403*F403</f>
        <v/>
      </c>
      <c r="N403" s="119" t="n"/>
      <c r="O403" s="34">
        <f>F403</f>
        <v/>
      </c>
      <c r="P403" s="34">
        <f>N403*O403</f>
        <v/>
      </c>
      <c r="Q403" s="117" t="n">
        <v>0</v>
      </c>
      <c r="R403" s="34">
        <f>F403</f>
        <v/>
      </c>
      <c r="S403" s="34">
        <f>R403*Q403</f>
        <v/>
      </c>
      <c r="T403" s="34">
        <f>SUMIFS('[1]GİP VERİLERİ'!$C:$C,'[1]GİP VERİLERİ'!$B:$B,A403,'[1]GİP VERİLERİ'!$M:$M,"40X000000104782K",'[1]GİP VERİLERİ'!$G:$G,"SELL")</f>
        <v/>
      </c>
      <c r="U403" s="34">
        <f>IFERROR(W403/T403,0)</f>
        <v/>
      </c>
      <c r="V403" s="34">
        <f>IF(U403=0,0,U403-F403)</f>
        <v/>
      </c>
      <c r="W403" s="34">
        <f>SUMIFS('[1]GİP VERİLERİ'!$O:$O,'[1]GİP VERİLERİ'!$B:$B,A403,'[1]GİP VERİLERİ'!$M:$M,"40X000000104782K",'[1]GİP VERİLERİ'!$G:$G,"SELL")</f>
        <v/>
      </c>
      <c r="X403" s="34">
        <f>SUMIFS('[1]GİP VERİLERİ'!$C:$C,'[1]GİP VERİLERİ'!$B:$B,A403,'[1]GİP VERİLERİ'!$M:$M,"40X000000104782K",'[1]GİP VERİLERİ'!$G:$G,"BUY")</f>
        <v/>
      </c>
      <c r="Y403" s="34">
        <f>IFERROR(AA403/X403,0)</f>
        <v/>
      </c>
      <c r="Z403" s="34">
        <f>IF(Y403=0,0,F403-Y403)</f>
        <v/>
      </c>
      <c r="AA403" s="34">
        <f>SUMIFS('[1]GİP VERİLERİ'!$O:$O,'[1]GİP VERİLERİ'!$B:$B,A403,'[1]GİP VERİLERİ'!$M:$M,"40X000000104782K",'[1]GİP VERİLERİ'!$G:$G,"BUY")</f>
        <v/>
      </c>
      <c r="AB403" s="34">
        <f>'[1]GÖP VERİLERİ'!H404</f>
        <v/>
      </c>
      <c r="AC403" s="34">
        <f>'[1]GÖP VERİLERİ'!I404</f>
        <v/>
      </c>
      <c r="AD403" s="34">
        <f>IF(AB403&gt;AC403*1.05,AB403-AC403*1.05,IF(AB403&lt;AC403*0.95,AC403*0.95-AB403,0))</f>
        <v/>
      </c>
      <c r="AE403" s="34">
        <f>MAX(F403,G403,750)*0.05*AD403</f>
        <v/>
      </c>
      <c r="AF403" s="34">
        <f>'[1]GÖP VERİLERİ'!J404</f>
        <v/>
      </c>
      <c r="AG403" s="34">
        <f>IF(AB403&gt;AF403*1.05,AB403-AF403*1.05,IF(AB403&lt;AF403*0.95,AF403*0.95-AB403,0))</f>
        <v/>
      </c>
      <c r="AH403" s="34">
        <f>MAX(I403,J403,750)*0.05*AG403</f>
        <v/>
      </c>
      <c r="AI403">
        <f>'[1]GÖP VERİLERİ'!E404</f>
        <v/>
      </c>
      <c r="AJ403">
        <f>'[1]GÖP VERİLERİ'!F404</f>
        <v/>
      </c>
      <c r="AK403" s="34">
        <f>IF(AI403&gt;AJ403*1.05,AI403-AJ403*1.05,IF(AI403&lt;AJ403*0.95,AJ403*0.95-AI403,0))</f>
        <v/>
      </c>
      <c r="AL403" s="34">
        <f>MAX(F403,G403,750)*0.05*AK403</f>
        <v/>
      </c>
      <c r="AM403" s="39">
        <f>'[1]GÖP VERİLERİ'!G404</f>
        <v/>
      </c>
      <c r="AN403" s="34">
        <f>IF(AI403&gt;AM403*1.05,AI403-AM403*1.05,IF(AI403&lt;AM403*0.95,AM403*0.95-AI403,0))</f>
        <v/>
      </c>
      <c r="AO403" s="34">
        <f>MAX(F403,G403,750)*0.05*AN403</f>
        <v/>
      </c>
      <c r="AP403" s="34">
        <f>'[1]GÖP VERİLERİ'!B404</f>
        <v/>
      </c>
      <c r="AQ403" s="34">
        <f>'[1]GÖP VERİLERİ'!C404</f>
        <v/>
      </c>
      <c r="AR403" s="34">
        <f>IF(AP403&gt;AQ403*1.05,AP403-AQ403*1.05,IF(AP403&lt;AQ403*0.95,AQ403*0.95-AP403,0))</f>
        <v/>
      </c>
      <c r="AS403" s="34">
        <f>MAX(F403:G403,750)*0.05*AR403</f>
        <v/>
      </c>
      <c r="AT403">
        <f>'[1]GÖP VERİLERİ'!D404</f>
        <v/>
      </c>
      <c r="AU403" s="34">
        <f>IF(AP403&gt;AT403*1.05,AP403-AT403*1.05,IF(AP403&lt;AT403*0.95,AT403*0.95-AP403,0))</f>
        <v/>
      </c>
      <c r="AV403" s="34">
        <f>MAX(F403:G403,750)*0.05*AU403</f>
        <v/>
      </c>
      <c r="AW403" s="34">
        <f>AC403+AJ403+AQ403</f>
        <v/>
      </c>
      <c r="AX403" s="34">
        <f>AF403+AM403+AT403</f>
        <v/>
      </c>
      <c r="AY403" s="34">
        <f>AB403+AI403+AP403</f>
        <v/>
      </c>
      <c r="AZ403" s="34" t="n">
        <v>0</v>
      </c>
      <c r="BA403" s="34">
        <f>AD403+AK403+AR403</f>
        <v/>
      </c>
      <c r="BB403" s="34">
        <f>MAX(F403:G403,750)*0.05*BA403</f>
        <v/>
      </c>
      <c r="BC403" s="34">
        <f>AG403+AN403+AU403</f>
        <v/>
      </c>
      <c r="BD403" s="34">
        <f>MAX(F403:G403,750)*0.05*BC403</f>
        <v/>
      </c>
      <c r="BE403" s="34">
        <f>F403*AY403</f>
        <v/>
      </c>
      <c r="BF403" s="34">
        <f>K403-M403</f>
        <v/>
      </c>
      <c r="BG403" s="34">
        <f>P403-S403</f>
        <v/>
      </c>
      <c r="BH403" s="34">
        <f>W403-AA403</f>
        <v/>
      </c>
      <c r="BI403" s="34">
        <f>BF403+BG403+BL403-BN403</f>
        <v/>
      </c>
      <c r="BJ403" s="34">
        <f>ABS(BK403)</f>
        <v/>
      </c>
      <c r="BK403" s="34">
        <f>AY403-(J403-L403+N403-Q403)</f>
        <v/>
      </c>
      <c r="BL403" s="34">
        <f>IF(AND(BK403&gt;0,MIN($F403:$G403)&lt;150,$E403="Enerji Açığı"),-100*BK403*1.03,IF(AND(BK403&gt;0,MIN($F403:$G403)&lt;150,$E403="Enerji Fazlası"),-100*BK403*1.06,IF(AND(BK403&gt;0,MIN($F403:$G403)&gt;=150,$E403="Enerji Açığı"),BK403*MIN($F403:$G403)*0.97,IF(AND(BK403&gt;0,MIN($F403:$G403)&gt;=150,$E403="Enerji Fazlası"),BK403*MIN($F403:$G403)*0.94,IF(AND(BK403&lt;0,MAX($F403:$G403)=4500,$E403="Enerji Açığı"),4500*1.05*1.06*BK403,IF(AND(BK403&lt;0,MAX($F403:$G403)=4500,$E403="Enerji Fazlası"),4500*1.05*1.03*BK403,IF(AND(BK403&lt;0,$E403="Enerji Açığı"),MAX($F403,$G403,150)*BK403*1.06,IF(AND(BK403&lt;0,$E403="Enerji Fazlası"),MAX($F403,$G403,150)*BK403*1.03,IF(AND(BK403&lt;0,$E403="Dengede"),MAX($F403:$G403,150)*1.03*BK403,MIN($F403:$G403)*0.97*BK403)))))))))</f>
        <v/>
      </c>
      <c r="BM403" s="34">
        <f>BE403-BI403-BN403</f>
        <v/>
      </c>
      <c r="BN403" s="34">
        <f>BB403</f>
        <v/>
      </c>
      <c r="BO403" s="34">
        <f>BE403-BI403</f>
        <v/>
      </c>
      <c r="BP403" s="34">
        <f>IF(AY403=0,0,BO403/AY403)</f>
        <v/>
      </c>
      <c r="BQ403" s="34">
        <f>MAX((AY403+MAX((-J403+L403-N403+Q403),0)),(MAX((J403-L403+N403-Q403),0)))</f>
        <v/>
      </c>
      <c r="BR403" s="82">
        <f>IFERROR(ABS(BK403/BQ403),0)</f>
        <v/>
      </c>
      <c r="BS403" s="34">
        <f>IF(BR403&lt;=0.1,0,BK403/BR403*(BR403-0.1))</f>
        <v/>
      </c>
      <c r="BT403" s="34">
        <f>IF((BS403)&lt;0,MAX(F403:G403)*(BS403)*1.03,MIN(F403:G403)*(BS403)*0.97)</f>
        <v/>
      </c>
      <c r="BU403" s="34">
        <f>IF(BR403&gt;0.1,1,0)</f>
        <v/>
      </c>
      <c r="BV403" s="34">
        <f>BF403+BG403+BH403+BY403-CA403</f>
        <v/>
      </c>
      <c r="BW403" s="34">
        <f>ABS(BX403)</f>
        <v/>
      </c>
      <c r="BX403" s="34">
        <f>AY403-(J403-L403+N403-Q403+T403-X403)</f>
        <v/>
      </c>
      <c r="BY403" s="34">
        <f>IF(AND(BX403&gt;0,MIN($F403:$G403)&lt;150,$E403="Enerji Açığı"),-100*BX403*1.03,IF(AND(BX403&gt;0,MIN($F403:$G403)&lt;150,$E403="Enerji Fazlası"),-100*BX403*1.06,IF(AND(BX403&gt;0,MIN($F403:$G403)&gt;=150,$E403="Enerji Açığı"),BX403*MIN($F403:$G403)*0.97,IF(AND(BX403&gt;0,MIN($F403:$G403)&gt;=150,$E403="Enerji Fazlası"),BX403*MIN($F403:$G403)*0.94,IF(AND(BX403&lt;0,MAX($F403:$G403)=4500,$E403="Enerji Açığı"),4500*1.05*1.06*BX403,IF(AND(BX403&lt;0,MAX($F403:$G403)=4500,$E403="Enerji Fazlası"),4500*1.05*1.03*BX403,IF(AND(BX403&lt;0,$E403="Enerji Açığı"),MAX($F403,$G403,150)*BX403*1.06,IF(AND(BX403&lt;0,$E403="Enerji Fazlası"),MAX($F403,$G403,150)*BX403*1.03,IF(AND(BX403&lt;0,$E403="Dengede"),MAX($F403:$G403,150)*1.03*BX403,MIN($F403:$G403)*0.97*BX403)))))))))</f>
        <v/>
      </c>
      <c r="BZ403" s="34">
        <f>BE403-BV403-CA403</f>
        <v/>
      </c>
      <c r="CA403" s="34">
        <f>BD403</f>
        <v/>
      </c>
      <c r="CB403" s="33">
        <f>BE403-BV403</f>
        <v/>
      </c>
      <c r="CC403" s="34">
        <f>IF(AY403=0,0,CB403/AY403)</f>
        <v/>
      </c>
      <c r="CD403" s="34">
        <f>MAX((AY403+MAX((-J403+L403-N403+Q403-T403+X403),0)),(MAX((J403-L403+N403-Q403+T403-X403),0)))</f>
        <v/>
      </c>
      <c r="CE403" s="82">
        <f>IFERROR(ABS(BX403/CD403),0)</f>
        <v/>
      </c>
      <c r="CF403" s="34">
        <f>IF(CE403&lt;=0.1,0,BX403/CE403*(CE403-0.1))</f>
        <v/>
      </c>
      <c r="CG403" s="34">
        <f>IF((CF403)&lt;0,MAX(F403:G403)*(CF403)*1.03,MIN(F403:G403)*(CF403)*0.97)</f>
        <v/>
      </c>
      <c r="CH403" s="34">
        <f>IF(CE403&gt;0.1,1,0)</f>
        <v/>
      </c>
      <c r="CI403" s="34">
        <f>(F403*BX403)-BY403</f>
        <v/>
      </c>
      <c r="CJ403" s="34">
        <f>IF(AY403=0,0,CI403/AY403)</f>
        <v/>
      </c>
    </row>
    <row r="404">
      <c r="A404" s="29">
        <f>[1]FİYATLAR!A379</f>
        <v/>
      </c>
      <c r="B404" s="29">
        <f>[1]FİYATLAR!B379</f>
        <v/>
      </c>
      <c r="C404" s="35">
        <f>INT(A404)</f>
        <v/>
      </c>
      <c r="D404" s="36">
        <f>MONTH(A404)</f>
        <v/>
      </c>
      <c r="E404" s="147">
        <f>[1]FİYATLAR!G379</f>
        <v/>
      </c>
      <c r="F404" s="30">
        <f>[1]FİYATLAR!C379</f>
        <v/>
      </c>
      <c r="G404" s="30">
        <f>[1]FİYATLAR!E379</f>
        <v/>
      </c>
      <c r="H404" s="30">
        <f>[1]FİYATLAR!D379</f>
        <v/>
      </c>
      <c r="I404" s="30">
        <f>[1]FİYATLAR!F379</f>
        <v/>
      </c>
      <c r="J404" s="119" t="n">
        <v>0</v>
      </c>
      <c r="K404" s="34">
        <f>F404*J404</f>
        <v/>
      </c>
      <c r="L404" s="119" t="n"/>
      <c r="M404" s="34">
        <f>L404*F404</f>
        <v/>
      </c>
      <c r="N404" s="119" t="n"/>
      <c r="O404" s="34">
        <f>F404</f>
        <v/>
      </c>
      <c r="P404" s="34">
        <f>N404*O404</f>
        <v/>
      </c>
      <c r="Q404" s="117" t="n">
        <v>0</v>
      </c>
      <c r="R404" s="34">
        <f>F404</f>
        <v/>
      </c>
      <c r="S404" s="34">
        <f>R404*Q404</f>
        <v/>
      </c>
      <c r="T404" s="34">
        <f>SUMIFS('[1]GİP VERİLERİ'!$C:$C,'[1]GİP VERİLERİ'!$B:$B,A404,'[1]GİP VERİLERİ'!$M:$M,"40X000000104782K",'[1]GİP VERİLERİ'!$G:$G,"SELL")</f>
        <v/>
      </c>
      <c r="U404" s="34">
        <f>IFERROR(W404/T404,0)</f>
        <v/>
      </c>
      <c r="V404" s="34">
        <f>IF(U404=0,0,U404-F404)</f>
        <v/>
      </c>
      <c r="W404" s="34">
        <f>SUMIFS('[1]GİP VERİLERİ'!$O:$O,'[1]GİP VERİLERİ'!$B:$B,A404,'[1]GİP VERİLERİ'!$M:$M,"40X000000104782K",'[1]GİP VERİLERİ'!$G:$G,"SELL")</f>
        <v/>
      </c>
      <c r="X404" s="34">
        <f>SUMIFS('[1]GİP VERİLERİ'!$C:$C,'[1]GİP VERİLERİ'!$B:$B,A404,'[1]GİP VERİLERİ'!$M:$M,"40X000000104782K",'[1]GİP VERİLERİ'!$G:$G,"BUY")</f>
        <v/>
      </c>
      <c r="Y404" s="34">
        <f>IFERROR(AA404/X404,0)</f>
        <v/>
      </c>
      <c r="Z404" s="34">
        <f>IF(Y404=0,0,F404-Y404)</f>
        <v/>
      </c>
      <c r="AA404" s="34">
        <f>SUMIFS('[1]GİP VERİLERİ'!$O:$O,'[1]GİP VERİLERİ'!$B:$B,A404,'[1]GİP VERİLERİ'!$M:$M,"40X000000104782K",'[1]GİP VERİLERİ'!$G:$G,"BUY")</f>
        <v/>
      </c>
      <c r="AB404" s="34">
        <f>'[1]GÖP VERİLERİ'!H405</f>
        <v/>
      </c>
      <c r="AC404" s="34">
        <f>'[1]GÖP VERİLERİ'!I405</f>
        <v/>
      </c>
      <c r="AD404" s="34">
        <f>IF(AB404&gt;AC404*1.05,AB404-AC404*1.05,IF(AB404&lt;AC404*0.95,AC404*0.95-AB404,0))</f>
        <v/>
      </c>
      <c r="AE404" s="34">
        <f>MAX(F404,G404,750)*0.05*AD404</f>
        <v/>
      </c>
      <c r="AF404" s="34">
        <f>'[1]GÖP VERİLERİ'!J405</f>
        <v/>
      </c>
      <c r="AG404" s="34">
        <f>IF(AB404&gt;AF404*1.05,AB404-AF404*1.05,IF(AB404&lt;AF404*0.95,AF404*0.95-AB404,0))</f>
        <v/>
      </c>
      <c r="AH404" s="34">
        <f>MAX(I404,J404,750)*0.05*AG404</f>
        <v/>
      </c>
      <c r="AI404">
        <f>'[1]GÖP VERİLERİ'!E405</f>
        <v/>
      </c>
      <c r="AJ404">
        <f>'[1]GÖP VERİLERİ'!F405</f>
        <v/>
      </c>
      <c r="AK404" s="34">
        <f>IF(AI404&gt;AJ404*1.05,AI404-AJ404*1.05,IF(AI404&lt;AJ404*0.95,AJ404*0.95-AI404,0))</f>
        <v/>
      </c>
      <c r="AL404" s="34">
        <f>MAX(F404,G404,750)*0.05*AK404</f>
        <v/>
      </c>
      <c r="AM404" s="39">
        <f>'[1]GÖP VERİLERİ'!G405</f>
        <v/>
      </c>
      <c r="AN404" s="34">
        <f>IF(AI404&gt;AM404*1.05,AI404-AM404*1.05,IF(AI404&lt;AM404*0.95,AM404*0.95-AI404,0))</f>
        <v/>
      </c>
      <c r="AO404" s="34">
        <f>MAX(F404,G404,750)*0.05*AN404</f>
        <v/>
      </c>
      <c r="AP404" s="34">
        <f>'[1]GÖP VERİLERİ'!B405</f>
        <v/>
      </c>
      <c r="AQ404" s="34">
        <f>'[1]GÖP VERİLERİ'!C405</f>
        <v/>
      </c>
      <c r="AR404" s="34">
        <f>IF(AP404&gt;AQ404*1.05,AP404-AQ404*1.05,IF(AP404&lt;AQ404*0.95,AQ404*0.95-AP404,0))</f>
        <v/>
      </c>
      <c r="AS404" s="34">
        <f>MAX(F404:G404,750)*0.05*AR404</f>
        <v/>
      </c>
      <c r="AT404">
        <f>'[1]GÖP VERİLERİ'!D405</f>
        <v/>
      </c>
      <c r="AU404" s="34">
        <f>IF(AP404&gt;AT404*1.05,AP404-AT404*1.05,IF(AP404&lt;AT404*0.95,AT404*0.95-AP404,0))</f>
        <v/>
      </c>
      <c r="AV404" s="34">
        <f>MAX(F404:G404,750)*0.05*AU404</f>
        <v/>
      </c>
      <c r="AW404" s="34">
        <f>AC404+AJ404+AQ404</f>
        <v/>
      </c>
      <c r="AX404" s="34">
        <f>AF404+AM404+AT404</f>
        <v/>
      </c>
      <c r="AY404" s="34">
        <f>AB404+AI404+AP404</f>
        <v/>
      </c>
      <c r="AZ404" s="34" t="n">
        <v>0</v>
      </c>
      <c r="BA404" s="34">
        <f>AD404+AK404+AR404</f>
        <v/>
      </c>
      <c r="BB404" s="34">
        <f>MAX(F404:G404,750)*0.05*BA404</f>
        <v/>
      </c>
      <c r="BC404" s="34">
        <f>AG404+AN404+AU404</f>
        <v/>
      </c>
      <c r="BD404" s="34">
        <f>MAX(F404:G404,750)*0.05*BC404</f>
        <v/>
      </c>
      <c r="BE404" s="34">
        <f>F404*AY404</f>
        <v/>
      </c>
      <c r="BF404" s="34">
        <f>K404-M404</f>
        <v/>
      </c>
      <c r="BG404" s="34">
        <f>P404-S404</f>
        <v/>
      </c>
      <c r="BH404" s="34">
        <f>W404-AA404</f>
        <v/>
      </c>
      <c r="BI404" s="34">
        <f>BF404+BG404+BL404-BN404</f>
        <v/>
      </c>
      <c r="BJ404" s="34">
        <f>ABS(BK404)</f>
        <v/>
      </c>
      <c r="BK404" s="34">
        <f>AY404-(J404-L404+N404-Q404)</f>
        <v/>
      </c>
      <c r="BL404" s="34">
        <f>IF(AND(BK404&gt;0,MIN($F404:$G404)&lt;150,$E404="Enerji Açığı"),-100*BK404*1.03,IF(AND(BK404&gt;0,MIN($F404:$G404)&lt;150,$E404="Enerji Fazlası"),-100*BK404*1.06,IF(AND(BK404&gt;0,MIN($F404:$G404)&gt;=150,$E404="Enerji Açığı"),BK404*MIN($F404:$G404)*0.97,IF(AND(BK404&gt;0,MIN($F404:$G404)&gt;=150,$E404="Enerji Fazlası"),BK404*MIN($F404:$G404)*0.94,IF(AND(BK404&lt;0,MAX($F404:$G404)=4500,$E404="Enerji Açığı"),4500*1.05*1.06*BK404,IF(AND(BK404&lt;0,MAX($F404:$G404)=4500,$E404="Enerji Fazlası"),4500*1.05*1.03*BK404,IF(AND(BK404&lt;0,$E404="Enerji Açığı"),MAX($F404,$G404,150)*BK404*1.06,IF(AND(BK404&lt;0,$E404="Enerji Fazlası"),MAX($F404,$G404,150)*BK404*1.03,IF(AND(BK404&lt;0,$E404="Dengede"),MAX($F404:$G404,150)*1.03*BK404,MIN($F404:$G404)*0.97*BK404)))))))))</f>
        <v/>
      </c>
      <c r="BM404" s="34">
        <f>BE404-BI404-BN404</f>
        <v/>
      </c>
      <c r="BN404" s="34">
        <f>BB404</f>
        <v/>
      </c>
      <c r="BO404" s="34">
        <f>BE404-BI404</f>
        <v/>
      </c>
      <c r="BP404" s="34">
        <f>IF(AY404=0,0,BO404/AY404)</f>
        <v/>
      </c>
      <c r="BQ404" s="34">
        <f>MAX((AY404+MAX((-J404+L404-N404+Q404),0)),(MAX((J404-L404+N404-Q404),0)))</f>
        <v/>
      </c>
      <c r="BR404" s="82">
        <f>IFERROR(ABS(BK404/BQ404),0)</f>
        <v/>
      </c>
      <c r="BS404" s="34">
        <f>IF(BR404&lt;=0.1,0,BK404/BR404*(BR404-0.1))</f>
        <v/>
      </c>
      <c r="BT404" s="34">
        <f>IF((BS404)&lt;0,MAX(F404:G404)*(BS404)*1.03,MIN(F404:G404)*(BS404)*0.97)</f>
        <v/>
      </c>
      <c r="BU404" s="34">
        <f>IF(BR404&gt;0.1,1,0)</f>
        <v/>
      </c>
      <c r="BV404" s="34">
        <f>BF404+BG404+BH404+BY404-CA404</f>
        <v/>
      </c>
      <c r="BW404" s="34">
        <f>ABS(BX404)</f>
        <v/>
      </c>
      <c r="BX404" s="34">
        <f>AY404-(J404-L404+N404-Q404+T404-X404)</f>
        <v/>
      </c>
      <c r="BY404" s="34">
        <f>IF(AND(BX404&gt;0,MIN($F404:$G404)&lt;150,$E404="Enerji Açığı"),-100*BX404*1.03,IF(AND(BX404&gt;0,MIN($F404:$G404)&lt;150,$E404="Enerji Fazlası"),-100*BX404*1.06,IF(AND(BX404&gt;0,MIN($F404:$G404)&gt;=150,$E404="Enerji Açığı"),BX404*MIN($F404:$G404)*0.97,IF(AND(BX404&gt;0,MIN($F404:$G404)&gt;=150,$E404="Enerji Fazlası"),BX404*MIN($F404:$G404)*0.94,IF(AND(BX404&lt;0,MAX($F404:$G404)=4500,$E404="Enerji Açığı"),4500*1.05*1.06*BX404,IF(AND(BX404&lt;0,MAX($F404:$G404)=4500,$E404="Enerji Fazlası"),4500*1.05*1.03*BX404,IF(AND(BX404&lt;0,$E404="Enerji Açığı"),MAX($F404,$G404,150)*BX404*1.06,IF(AND(BX404&lt;0,$E404="Enerji Fazlası"),MAX($F404,$G404,150)*BX404*1.03,IF(AND(BX404&lt;0,$E404="Dengede"),MAX($F404:$G404,150)*1.03*BX404,MIN($F404:$G404)*0.97*BX404)))))))))</f>
        <v/>
      </c>
      <c r="BZ404" s="34">
        <f>BE404-BV404-CA404</f>
        <v/>
      </c>
      <c r="CA404" s="34">
        <f>BD404</f>
        <v/>
      </c>
      <c r="CB404" s="33">
        <f>BE404-BV404</f>
        <v/>
      </c>
      <c r="CC404" s="34">
        <f>IF(AY404=0,0,CB404/AY404)</f>
        <v/>
      </c>
      <c r="CD404" s="34">
        <f>MAX((AY404+MAX((-J404+L404-N404+Q404-T404+X404),0)),(MAX((J404-L404+N404-Q404+T404-X404),0)))</f>
        <v/>
      </c>
      <c r="CE404" s="82">
        <f>IFERROR(ABS(BX404/CD404),0)</f>
        <v/>
      </c>
      <c r="CF404" s="34">
        <f>IF(CE404&lt;=0.1,0,BX404/CE404*(CE404-0.1))</f>
        <v/>
      </c>
      <c r="CG404" s="34">
        <f>IF((CF404)&lt;0,MAX(F404:G404)*(CF404)*1.03,MIN(F404:G404)*(CF404)*0.97)</f>
        <v/>
      </c>
      <c r="CH404" s="34">
        <f>IF(CE404&gt;0.1,1,0)</f>
        <v/>
      </c>
      <c r="CI404" s="34">
        <f>(F404*BX404)-BY404</f>
        <v/>
      </c>
      <c r="CJ404" s="34">
        <f>IF(AY404=0,0,CI404/AY404)</f>
        <v/>
      </c>
    </row>
    <row r="405">
      <c r="A405" s="29">
        <f>[1]FİYATLAR!A380</f>
        <v/>
      </c>
      <c r="B405" s="29">
        <f>[1]FİYATLAR!B380</f>
        <v/>
      </c>
      <c r="C405" s="35">
        <f>INT(A405)</f>
        <v/>
      </c>
      <c r="D405" s="36">
        <f>MONTH(A405)</f>
        <v/>
      </c>
      <c r="E405" s="147">
        <f>[1]FİYATLAR!G380</f>
        <v/>
      </c>
      <c r="F405" s="30">
        <f>[1]FİYATLAR!C380</f>
        <v/>
      </c>
      <c r="G405" s="30">
        <f>[1]FİYATLAR!E380</f>
        <v/>
      </c>
      <c r="H405" s="30">
        <f>[1]FİYATLAR!D380</f>
        <v/>
      </c>
      <c r="I405" s="30">
        <f>[1]FİYATLAR!F380</f>
        <v/>
      </c>
      <c r="J405" s="119" t="n">
        <v>0</v>
      </c>
      <c r="K405" s="34">
        <f>F405*J405</f>
        <v/>
      </c>
      <c r="L405" s="119" t="n"/>
      <c r="M405" s="34">
        <f>L405*F405</f>
        <v/>
      </c>
      <c r="N405" s="119" t="n"/>
      <c r="O405" s="34">
        <f>F405</f>
        <v/>
      </c>
      <c r="P405" s="34">
        <f>N405*O405</f>
        <v/>
      </c>
      <c r="Q405" s="117" t="n">
        <v>0</v>
      </c>
      <c r="R405" s="34">
        <f>F405</f>
        <v/>
      </c>
      <c r="S405" s="34">
        <f>R405*Q405</f>
        <v/>
      </c>
      <c r="T405" s="34">
        <f>SUMIFS('[1]GİP VERİLERİ'!$C:$C,'[1]GİP VERİLERİ'!$B:$B,A405,'[1]GİP VERİLERİ'!$M:$M,"40X000000104782K",'[1]GİP VERİLERİ'!$G:$G,"SELL")</f>
        <v/>
      </c>
      <c r="U405" s="34">
        <f>IFERROR(W405/T405,0)</f>
        <v/>
      </c>
      <c r="V405" s="34">
        <f>IF(U405=0,0,U405-F405)</f>
        <v/>
      </c>
      <c r="W405" s="34">
        <f>SUMIFS('[1]GİP VERİLERİ'!$O:$O,'[1]GİP VERİLERİ'!$B:$B,A405,'[1]GİP VERİLERİ'!$M:$M,"40X000000104782K",'[1]GİP VERİLERİ'!$G:$G,"SELL")</f>
        <v/>
      </c>
      <c r="X405" s="34">
        <f>SUMIFS('[1]GİP VERİLERİ'!$C:$C,'[1]GİP VERİLERİ'!$B:$B,A405,'[1]GİP VERİLERİ'!$M:$M,"40X000000104782K",'[1]GİP VERİLERİ'!$G:$G,"BUY")</f>
        <v/>
      </c>
      <c r="Y405" s="34">
        <f>IFERROR(AA405/X405,0)</f>
        <v/>
      </c>
      <c r="Z405" s="34">
        <f>IF(Y405=0,0,F405-Y405)</f>
        <v/>
      </c>
      <c r="AA405" s="34">
        <f>SUMIFS('[1]GİP VERİLERİ'!$O:$O,'[1]GİP VERİLERİ'!$B:$B,A405,'[1]GİP VERİLERİ'!$M:$M,"40X000000104782K",'[1]GİP VERİLERİ'!$G:$G,"BUY")</f>
        <v/>
      </c>
      <c r="AB405" s="34">
        <f>'[1]GÖP VERİLERİ'!H406</f>
        <v/>
      </c>
      <c r="AC405" s="34">
        <f>'[1]GÖP VERİLERİ'!I406</f>
        <v/>
      </c>
      <c r="AD405" s="34">
        <f>IF(AB405&gt;AC405*1.05,AB405-AC405*1.05,IF(AB405&lt;AC405*0.95,AC405*0.95-AB405,0))</f>
        <v/>
      </c>
      <c r="AE405" s="34">
        <f>MAX(F405,G405,750)*0.05*AD405</f>
        <v/>
      </c>
      <c r="AF405" s="34">
        <f>'[1]GÖP VERİLERİ'!J406</f>
        <v/>
      </c>
      <c r="AG405" s="34">
        <f>IF(AB405&gt;AF405*1.05,AB405-AF405*1.05,IF(AB405&lt;AF405*0.95,AF405*0.95-AB405,0))</f>
        <v/>
      </c>
      <c r="AH405" s="34">
        <f>MAX(I405,J405,750)*0.05*AG405</f>
        <v/>
      </c>
      <c r="AI405">
        <f>'[1]GÖP VERİLERİ'!E406</f>
        <v/>
      </c>
      <c r="AJ405">
        <f>'[1]GÖP VERİLERİ'!F406</f>
        <v/>
      </c>
      <c r="AK405" s="34">
        <f>IF(AI405&gt;AJ405*1.05,AI405-AJ405*1.05,IF(AI405&lt;AJ405*0.95,AJ405*0.95-AI405,0))</f>
        <v/>
      </c>
      <c r="AL405" s="34">
        <f>MAX(F405,G405,750)*0.05*AK405</f>
        <v/>
      </c>
      <c r="AM405" s="39">
        <f>'[1]GÖP VERİLERİ'!G406</f>
        <v/>
      </c>
      <c r="AN405" s="34">
        <f>IF(AI405&gt;AM405*1.05,AI405-AM405*1.05,IF(AI405&lt;AM405*0.95,AM405*0.95-AI405,0))</f>
        <v/>
      </c>
      <c r="AO405" s="34">
        <f>MAX(F405,G405,750)*0.05*AN405</f>
        <v/>
      </c>
      <c r="AP405" s="34">
        <f>'[1]GÖP VERİLERİ'!B406</f>
        <v/>
      </c>
      <c r="AQ405" s="34">
        <f>'[1]GÖP VERİLERİ'!C406</f>
        <v/>
      </c>
      <c r="AR405" s="34">
        <f>IF(AP405&gt;AQ405*1.05,AP405-AQ405*1.05,IF(AP405&lt;AQ405*0.95,AQ405*0.95-AP405,0))</f>
        <v/>
      </c>
      <c r="AS405" s="34">
        <f>MAX(F405:G405,750)*0.05*AR405</f>
        <v/>
      </c>
      <c r="AT405">
        <f>'[1]GÖP VERİLERİ'!D406</f>
        <v/>
      </c>
      <c r="AU405" s="34">
        <f>IF(AP405&gt;AT405*1.05,AP405-AT405*1.05,IF(AP405&lt;AT405*0.95,AT405*0.95-AP405,0))</f>
        <v/>
      </c>
      <c r="AV405" s="34">
        <f>MAX(F405:G405,750)*0.05*AU405</f>
        <v/>
      </c>
      <c r="AW405" s="34">
        <f>AC405+AJ405+AQ405</f>
        <v/>
      </c>
      <c r="AX405" s="34">
        <f>AF405+AM405+AT405</f>
        <v/>
      </c>
      <c r="AY405" s="34">
        <f>AB405+AI405+AP405</f>
        <v/>
      </c>
      <c r="AZ405" s="34" t="n">
        <v>0</v>
      </c>
      <c r="BA405" s="34">
        <f>AD405+AK405+AR405</f>
        <v/>
      </c>
      <c r="BB405" s="34">
        <f>MAX(F405:G405,750)*0.05*BA405</f>
        <v/>
      </c>
      <c r="BC405" s="34">
        <f>AG405+AN405+AU405</f>
        <v/>
      </c>
      <c r="BD405" s="34">
        <f>MAX(F405:G405,750)*0.05*BC405</f>
        <v/>
      </c>
      <c r="BE405" s="34">
        <f>F405*AY405</f>
        <v/>
      </c>
      <c r="BF405" s="34">
        <f>K405-M405</f>
        <v/>
      </c>
      <c r="BG405" s="34">
        <f>P405-S405</f>
        <v/>
      </c>
      <c r="BH405" s="34">
        <f>W405-AA405</f>
        <v/>
      </c>
      <c r="BI405" s="34">
        <f>BF405+BG405+BL405-BN405</f>
        <v/>
      </c>
      <c r="BJ405" s="34">
        <f>ABS(BK405)</f>
        <v/>
      </c>
      <c r="BK405" s="34">
        <f>AY405-(J405-L405+N405-Q405)</f>
        <v/>
      </c>
      <c r="BL405" s="34">
        <f>IF(AND(BK405&gt;0,MIN($F405:$G405)&lt;150,$E405="Enerji Açığı"),-100*BK405*1.03,IF(AND(BK405&gt;0,MIN($F405:$G405)&lt;150,$E405="Enerji Fazlası"),-100*BK405*1.06,IF(AND(BK405&gt;0,MIN($F405:$G405)&gt;=150,$E405="Enerji Açığı"),BK405*MIN($F405:$G405)*0.97,IF(AND(BK405&gt;0,MIN($F405:$G405)&gt;=150,$E405="Enerji Fazlası"),BK405*MIN($F405:$G405)*0.94,IF(AND(BK405&lt;0,MAX($F405:$G405)=4500,$E405="Enerji Açığı"),4500*1.05*1.06*BK405,IF(AND(BK405&lt;0,MAX($F405:$G405)=4500,$E405="Enerji Fazlası"),4500*1.05*1.03*BK405,IF(AND(BK405&lt;0,$E405="Enerji Açığı"),MAX($F405,$G405,150)*BK405*1.06,IF(AND(BK405&lt;0,$E405="Enerji Fazlası"),MAX($F405,$G405,150)*BK405*1.03,IF(AND(BK405&lt;0,$E405="Dengede"),MAX($F405:$G405,150)*1.03*BK405,MIN($F405:$G405)*0.97*BK405)))))))))</f>
        <v/>
      </c>
      <c r="BM405" s="34">
        <f>BE405-BI405-BN405</f>
        <v/>
      </c>
      <c r="BN405" s="34">
        <f>BB405</f>
        <v/>
      </c>
      <c r="BO405" s="34">
        <f>BE405-BI405</f>
        <v/>
      </c>
      <c r="BP405" s="34">
        <f>IF(AY405=0,0,BO405/AY405)</f>
        <v/>
      </c>
      <c r="BQ405" s="34">
        <f>MAX((AY405+MAX((-J405+L405-N405+Q405),0)),(MAX((J405-L405+N405-Q405),0)))</f>
        <v/>
      </c>
      <c r="BR405" s="82">
        <f>IFERROR(ABS(BK405/BQ405),0)</f>
        <v/>
      </c>
      <c r="BS405" s="34">
        <f>IF(BR405&lt;=0.1,0,BK405/BR405*(BR405-0.1))</f>
        <v/>
      </c>
      <c r="BT405" s="34">
        <f>IF((BS405)&lt;0,MAX(F405:G405)*(BS405)*1.03,MIN(F405:G405)*(BS405)*0.97)</f>
        <v/>
      </c>
      <c r="BU405" s="34">
        <f>IF(BR405&gt;0.1,1,0)</f>
        <v/>
      </c>
      <c r="BV405" s="34">
        <f>BF405+BG405+BH405+BY405-CA405</f>
        <v/>
      </c>
      <c r="BW405" s="34">
        <f>ABS(BX405)</f>
        <v/>
      </c>
      <c r="BX405" s="34">
        <f>AY405-(J405-L405+N405-Q405+T405-X405)</f>
        <v/>
      </c>
      <c r="BY405" s="34">
        <f>IF(AND(BX405&gt;0,MIN($F405:$G405)&lt;150,$E405="Enerji Açığı"),-100*BX405*1.03,IF(AND(BX405&gt;0,MIN($F405:$G405)&lt;150,$E405="Enerji Fazlası"),-100*BX405*1.06,IF(AND(BX405&gt;0,MIN($F405:$G405)&gt;=150,$E405="Enerji Açığı"),BX405*MIN($F405:$G405)*0.97,IF(AND(BX405&gt;0,MIN($F405:$G405)&gt;=150,$E405="Enerji Fazlası"),BX405*MIN($F405:$G405)*0.94,IF(AND(BX405&lt;0,MAX($F405:$G405)=4500,$E405="Enerji Açığı"),4500*1.05*1.06*BX405,IF(AND(BX405&lt;0,MAX($F405:$G405)=4500,$E405="Enerji Fazlası"),4500*1.05*1.03*BX405,IF(AND(BX405&lt;0,$E405="Enerji Açığı"),MAX($F405,$G405,150)*BX405*1.06,IF(AND(BX405&lt;0,$E405="Enerji Fazlası"),MAX($F405,$G405,150)*BX405*1.03,IF(AND(BX405&lt;0,$E405="Dengede"),MAX($F405:$G405,150)*1.03*BX405,MIN($F405:$G405)*0.97*BX405)))))))))</f>
        <v/>
      </c>
      <c r="BZ405" s="34">
        <f>BE405-BV405-CA405</f>
        <v/>
      </c>
      <c r="CA405" s="34">
        <f>BD405</f>
        <v/>
      </c>
      <c r="CB405" s="33">
        <f>BE405-BV405</f>
        <v/>
      </c>
      <c r="CC405" s="34">
        <f>IF(AY405=0,0,CB405/AY405)</f>
        <v/>
      </c>
      <c r="CD405" s="34">
        <f>MAX((AY405+MAX((-J405+L405-N405+Q405-T405+X405),0)),(MAX((J405-L405+N405-Q405+T405-X405),0)))</f>
        <v/>
      </c>
      <c r="CE405" s="82">
        <f>IFERROR(ABS(BX405/CD405),0)</f>
        <v/>
      </c>
      <c r="CF405" s="34">
        <f>IF(CE405&lt;=0.1,0,BX405/CE405*(CE405-0.1))</f>
        <v/>
      </c>
      <c r="CG405" s="34">
        <f>IF((CF405)&lt;0,MAX(F405:G405)*(CF405)*1.03,MIN(F405:G405)*(CF405)*0.97)</f>
        <v/>
      </c>
      <c r="CH405" s="34">
        <f>IF(CE405&gt;0.1,1,0)</f>
        <v/>
      </c>
      <c r="CI405" s="34">
        <f>(F405*BX405)-BY405</f>
        <v/>
      </c>
      <c r="CJ405" s="34">
        <f>IF(AY405=0,0,CI405/AY405)</f>
        <v/>
      </c>
    </row>
    <row r="406">
      <c r="A406" s="29">
        <f>[1]FİYATLAR!A381</f>
        <v/>
      </c>
      <c r="B406" s="29">
        <f>[1]FİYATLAR!B381</f>
        <v/>
      </c>
      <c r="C406" s="35">
        <f>INT(A406)</f>
        <v/>
      </c>
      <c r="D406" s="36">
        <f>MONTH(A406)</f>
        <v/>
      </c>
      <c r="E406" s="147">
        <f>[1]FİYATLAR!G381</f>
        <v/>
      </c>
      <c r="F406" s="30">
        <f>[1]FİYATLAR!C381</f>
        <v/>
      </c>
      <c r="G406" s="30">
        <f>[1]FİYATLAR!E381</f>
        <v/>
      </c>
      <c r="H406" s="30">
        <f>[1]FİYATLAR!D381</f>
        <v/>
      </c>
      <c r="I406" s="30">
        <f>[1]FİYATLAR!F381</f>
        <v/>
      </c>
      <c r="J406" s="119" t="n">
        <v>0</v>
      </c>
      <c r="K406" s="34">
        <f>F406*J406</f>
        <v/>
      </c>
      <c r="L406" s="119" t="n"/>
      <c r="M406" s="34">
        <f>L406*F406</f>
        <v/>
      </c>
      <c r="N406" s="119" t="n"/>
      <c r="O406" s="34">
        <f>F406</f>
        <v/>
      </c>
      <c r="P406" s="34">
        <f>N406*O406</f>
        <v/>
      </c>
      <c r="Q406" s="117" t="n">
        <v>0</v>
      </c>
      <c r="R406" s="34">
        <f>F406</f>
        <v/>
      </c>
      <c r="S406" s="34">
        <f>R406*Q406</f>
        <v/>
      </c>
      <c r="T406" s="34">
        <f>SUMIFS('[1]GİP VERİLERİ'!$C:$C,'[1]GİP VERİLERİ'!$B:$B,A406,'[1]GİP VERİLERİ'!$M:$M,"40X000000104782K",'[1]GİP VERİLERİ'!$G:$G,"SELL")</f>
        <v/>
      </c>
      <c r="U406" s="34">
        <f>IFERROR(W406/T406,0)</f>
        <v/>
      </c>
      <c r="V406" s="34">
        <f>IF(U406=0,0,U406-F406)</f>
        <v/>
      </c>
      <c r="W406" s="34">
        <f>SUMIFS('[1]GİP VERİLERİ'!$O:$O,'[1]GİP VERİLERİ'!$B:$B,A406,'[1]GİP VERİLERİ'!$M:$M,"40X000000104782K",'[1]GİP VERİLERİ'!$G:$G,"SELL")</f>
        <v/>
      </c>
      <c r="X406" s="34">
        <f>SUMIFS('[1]GİP VERİLERİ'!$C:$C,'[1]GİP VERİLERİ'!$B:$B,A406,'[1]GİP VERİLERİ'!$M:$M,"40X000000104782K",'[1]GİP VERİLERİ'!$G:$G,"BUY")</f>
        <v/>
      </c>
      <c r="Y406" s="34">
        <f>IFERROR(AA406/X406,0)</f>
        <v/>
      </c>
      <c r="Z406" s="34">
        <f>IF(Y406=0,0,F406-Y406)</f>
        <v/>
      </c>
      <c r="AA406" s="34">
        <f>SUMIFS('[1]GİP VERİLERİ'!$O:$O,'[1]GİP VERİLERİ'!$B:$B,A406,'[1]GİP VERİLERİ'!$M:$M,"40X000000104782K",'[1]GİP VERİLERİ'!$G:$G,"BUY")</f>
        <v/>
      </c>
      <c r="AB406" s="34">
        <f>'[1]GÖP VERİLERİ'!H407</f>
        <v/>
      </c>
      <c r="AC406" s="34">
        <f>'[1]GÖP VERİLERİ'!I407</f>
        <v/>
      </c>
      <c r="AD406" s="34">
        <f>IF(AB406&gt;AC406*1.05,AB406-AC406*1.05,IF(AB406&lt;AC406*0.95,AC406*0.95-AB406,0))</f>
        <v/>
      </c>
      <c r="AE406" s="34">
        <f>MAX(F406,G406,750)*0.05*AD406</f>
        <v/>
      </c>
      <c r="AF406" s="34">
        <f>'[1]GÖP VERİLERİ'!J407</f>
        <v/>
      </c>
      <c r="AG406" s="34">
        <f>IF(AB406&gt;AF406*1.05,AB406-AF406*1.05,IF(AB406&lt;AF406*0.95,AF406*0.95-AB406,0))</f>
        <v/>
      </c>
      <c r="AH406" s="34">
        <f>MAX(I406,J406,750)*0.05*AG406</f>
        <v/>
      </c>
      <c r="AI406">
        <f>'[1]GÖP VERİLERİ'!E407</f>
        <v/>
      </c>
      <c r="AJ406">
        <f>'[1]GÖP VERİLERİ'!F407</f>
        <v/>
      </c>
      <c r="AK406" s="34">
        <f>IF(AI406&gt;AJ406*1.05,AI406-AJ406*1.05,IF(AI406&lt;AJ406*0.95,AJ406*0.95-AI406,0))</f>
        <v/>
      </c>
      <c r="AL406" s="34">
        <f>MAX(F406,G406,750)*0.05*AK406</f>
        <v/>
      </c>
      <c r="AM406" s="39">
        <f>'[1]GÖP VERİLERİ'!G407</f>
        <v/>
      </c>
      <c r="AN406" s="34">
        <f>IF(AI406&gt;AM406*1.05,AI406-AM406*1.05,IF(AI406&lt;AM406*0.95,AM406*0.95-AI406,0))</f>
        <v/>
      </c>
      <c r="AO406" s="34">
        <f>MAX(F406,G406,750)*0.05*AN406</f>
        <v/>
      </c>
      <c r="AP406" s="34">
        <f>'[1]GÖP VERİLERİ'!B407</f>
        <v/>
      </c>
      <c r="AQ406" s="34">
        <f>'[1]GÖP VERİLERİ'!C407</f>
        <v/>
      </c>
      <c r="AR406" s="34">
        <f>IF(AP406&gt;AQ406*1.05,AP406-AQ406*1.05,IF(AP406&lt;AQ406*0.95,AQ406*0.95-AP406,0))</f>
        <v/>
      </c>
      <c r="AS406" s="34">
        <f>MAX(F406:G406,750)*0.05*AR406</f>
        <v/>
      </c>
      <c r="AT406">
        <f>'[1]GÖP VERİLERİ'!D407</f>
        <v/>
      </c>
      <c r="AU406" s="34">
        <f>IF(AP406&gt;AT406*1.05,AP406-AT406*1.05,IF(AP406&lt;AT406*0.95,AT406*0.95-AP406,0))</f>
        <v/>
      </c>
      <c r="AV406" s="34">
        <f>MAX(F406:G406,750)*0.05*AU406</f>
        <v/>
      </c>
      <c r="AW406" s="34">
        <f>AC406+AJ406+AQ406</f>
        <v/>
      </c>
      <c r="AX406" s="34">
        <f>AF406+AM406+AT406</f>
        <v/>
      </c>
      <c r="AY406" s="34">
        <f>AB406+AI406+AP406</f>
        <v/>
      </c>
      <c r="AZ406" s="34" t="n">
        <v>0</v>
      </c>
      <c r="BA406" s="34">
        <f>AD406+AK406+AR406</f>
        <v/>
      </c>
      <c r="BB406" s="34">
        <f>MAX(F406:G406,750)*0.05*BA406</f>
        <v/>
      </c>
      <c r="BC406" s="34">
        <f>AG406+AN406+AU406</f>
        <v/>
      </c>
      <c r="BD406" s="34">
        <f>MAX(F406:G406,750)*0.05*BC406</f>
        <v/>
      </c>
      <c r="BE406" s="34">
        <f>F406*AY406</f>
        <v/>
      </c>
      <c r="BF406" s="34">
        <f>K406-M406</f>
        <v/>
      </c>
      <c r="BG406" s="34">
        <f>P406-S406</f>
        <v/>
      </c>
      <c r="BH406" s="34">
        <f>W406-AA406</f>
        <v/>
      </c>
      <c r="BI406" s="34">
        <f>BF406+BG406+BL406-BN406</f>
        <v/>
      </c>
      <c r="BJ406" s="34">
        <f>ABS(BK406)</f>
        <v/>
      </c>
      <c r="BK406" s="34">
        <f>AY406-(J406-L406+N406-Q406)</f>
        <v/>
      </c>
      <c r="BL406" s="34">
        <f>IF(AND(BK406&gt;0,MIN($F406:$G406)&lt;150,$E406="Enerji Açığı"),-100*BK406*1.03,IF(AND(BK406&gt;0,MIN($F406:$G406)&lt;150,$E406="Enerji Fazlası"),-100*BK406*1.06,IF(AND(BK406&gt;0,MIN($F406:$G406)&gt;=150,$E406="Enerji Açığı"),BK406*MIN($F406:$G406)*0.97,IF(AND(BK406&gt;0,MIN($F406:$G406)&gt;=150,$E406="Enerji Fazlası"),BK406*MIN($F406:$G406)*0.94,IF(AND(BK406&lt;0,MAX($F406:$G406)=4500,$E406="Enerji Açığı"),4500*1.05*1.06*BK406,IF(AND(BK406&lt;0,MAX($F406:$G406)=4500,$E406="Enerji Fazlası"),4500*1.05*1.03*BK406,IF(AND(BK406&lt;0,$E406="Enerji Açığı"),MAX($F406,$G406,150)*BK406*1.06,IF(AND(BK406&lt;0,$E406="Enerji Fazlası"),MAX($F406,$G406,150)*BK406*1.03,IF(AND(BK406&lt;0,$E406="Dengede"),MAX($F406:$G406,150)*1.03*BK406,MIN($F406:$G406)*0.97*BK406)))))))))</f>
        <v/>
      </c>
      <c r="BM406" s="34">
        <f>BE406-BI406-BN406</f>
        <v/>
      </c>
      <c r="BN406" s="34">
        <f>BB406</f>
        <v/>
      </c>
      <c r="BO406" s="34">
        <f>BE406-BI406</f>
        <v/>
      </c>
      <c r="BP406" s="34">
        <f>IF(AY406=0,0,BO406/AY406)</f>
        <v/>
      </c>
      <c r="BQ406" s="34">
        <f>MAX((AY406+MAX((-J406+L406-N406+Q406),0)),(MAX((J406-L406+N406-Q406),0)))</f>
        <v/>
      </c>
      <c r="BR406" s="82">
        <f>IFERROR(ABS(BK406/BQ406),0)</f>
        <v/>
      </c>
      <c r="BS406" s="34">
        <f>IF(BR406&lt;=0.1,0,BK406/BR406*(BR406-0.1))</f>
        <v/>
      </c>
      <c r="BT406" s="34">
        <f>IF((BS406)&lt;0,MAX(F406:G406)*(BS406)*1.03,MIN(F406:G406)*(BS406)*0.97)</f>
        <v/>
      </c>
      <c r="BU406" s="34">
        <f>IF(BR406&gt;0.1,1,0)</f>
        <v/>
      </c>
      <c r="BV406" s="34">
        <f>BF406+BG406+BH406+BY406-CA406</f>
        <v/>
      </c>
      <c r="BW406" s="34">
        <f>ABS(BX406)</f>
        <v/>
      </c>
      <c r="BX406" s="34">
        <f>AY406-(J406-L406+N406-Q406+T406-X406)</f>
        <v/>
      </c>
      <c r="BY406" s="34">
        <f>IF(AND(BX406&gt;0,MIN($F406:$G406)&lt;150,$E406="Enerji Açığı"),-100*BX406*1.03,IF(AND(BX406&gt;0,MIN($F406:$G406)&lt;150,$E406="Enerji Fazlası"),-100*BX406*1.06,IF(AND(BX406&gt;0,MIN($F406:$G406)&gt;=150,$E406="Enerji Açığı"),BX406*MIN($F406:$G406)*0.97,IF(AND(BX406&gt;0,MIN($F406:$G406)&gt;=150,$E406="Enerji Fazlası"),BX406*MIN($F406:$G406)*0.94,IF(AND(BX406&lt;0,MAX($F406:$G406)=4500,$E406="Enerji Açığı"),4500*1.05*1.06*BX406,IF(AND(BX406&lt;0,MAX($F406:$G406)=4500,$E406="Enerji Fazlası"),4500*1.05*1.03*BX406,IF(AND(BX406&lt;0,$E406="Enerji Açığı"),MAX($F406,$G406,150)*BX406*1.06,IF(AND(BX406&lt;0,$E406="Enerji Fazlası"),MAX($F406,$G406,150)*BX406*1.03,IF(AND(BX406&lt;0,$E406="Dengede"),MAX($F406:$G406,150)*1.03*BX406,MIN($F406:$G406)*0.97*BX406)))))))))</f>
        <v/>
      </c>
      <c r="BZ406" s="34">
        <f>BE406-BV406-CA406</f>
        <v/>
      </c>
      <c r="CA406" s="34">
        <f>BD406</f>
        <v/>
      </c>
      <c r="CB406" s="33">
        <f>BE406-BV406</f>
        <v/>
      </c>
      <c r="CC406" s="34">
        <f>IF(AY406=0,0,CB406/AY406)</f>
        <v/>
      </c>
      <c r="CD406" s="34">
        <f>MAX((AY406+MAX((-J406+L406-N406+Q406-T406+X406),0)),(MAX((J406-L406+N406-Q406+T406-X406),0)))</f>
        <v/>
      </c>
      <c r="CE406" s="82">
        <f>IFERROR(ABS(BX406/CD406),0)</f>
        <v/>
      </c>
      <c r="CF406" s="34">
        <f>IF(CE406&lt;=0.1,0,BX406/CE406*(CE406-0.1))</f>
        <v/>
      </c>
      <c r="CG406" s="34">
        <f>IF((CF406)&lt;0,MAX(F406:G406)*(CF406)*1.03,MIN(F406:G406)*(CF406)*0.97)</f>
        <v/>
      </c>
      <c r="CH406" s="34">
        <f>IF(CE406&gt;0.1,1,0)</f>
        <v/>
      </c>
      <c r="CI406" s="34">
        <f>(F406*BX406)-BY406</f>
        <v/>
      </c>
      <c r="CJ406" s="34">
        <f>IF(AY406=0,0,CI406/AY406)</f>
        <v/>
      </c>
    </row>
    <row r="407">
      <c r="A407" s="29">
        <f>[1]FİYATLAR!A382</f>
        <v/>
      </c>
      <c r="B407" s="29">
        <f>[1]FİYATLAR!B382</f>
        <v/>
      </c>
      <c r="C407" s="35">
        <f>INT(A407)</f>
        <v/>
      </c>
      <c r="D407" s="36">
        <f>MONTH(A407)</f>
        <v/>
      </c>
      <c r="E407" s="147">
        <f>[1]FİYATLAR!G382</f>
        <v/>
      </c>
      <c r="F407" s="30">
        <f>[1]FİYATLAR!C382</f>
        <v/>
      </c>
      <c r="G407" s="30">
        <f>[1]FİYATLAR!E382</f>
        <v/>
      </c>
      <c r="H407" s="30">
        <f>[1]FİYATLAR!D382</f>
        <v/>
      </c>
      <c r="I407" s="30">
        <f>[1]FİYATLAR!F382</f>
        <v/>
      </c>
      <c r="J407" s="119" t="n">
        <v>0</v>
      </c>
      <c r="K407" s="34">
        <f>F407*J407</f>
        <v/>
      </c>
      <c r="L407" s="119" t="n"/>
      <c r="M407" s="34">
        <f>L407*F407</f>
        <v/>
      </c>
      <c r="N407" s="119" t="n"/>
      <c r="O407" s="34">
        <f>F407</f>
        <v/>
      </c>
      <c r="P407" s="34">
        <f>N407*O407</f>
        <v/>
      </c>
      <c r="Q407" s="117" t="n">
        <v>0</v>
      </c>
      <c r="R407" s="34">
        <f>F407</f>
        <v/>
      </c>
      <c r="S407" s="34">
        <f>R407*Q407</f>
        <v/>
      </c>
      <c r="T407" s="34">
        <f>SUMIFS('[1]GİP VERİLERİ'!$C:$C,'[1]GİP VERİLERİ'!$B:$B,A407,'[1]GİP VERİLERİ'!$M:$M,"40X000000104782K",'[1]GİP VERİLERİ'!$G:$G,"SELL")</f>
        <v/>
      </c>
      <c r="U407" s="34">
        <f>IFERROR(W407/T407,0)</f>
        <v/>
      </c>
      <c r="V407" s="34">
        <f>IF(U407=0,0,U407-F407)</f>
        <v/>
      </c>
      <c r="W407" s="34">
        <f>SUMIFS('[1]GİP VERİLERİ'!$O:$O,'[1]GİP VERİLERİ'!$B:$B,A407,'[1]GİP VERİLERİ'!$M:$M,"40X000000104782K",'[1]GİP VERİLERİ'!$G:$G,"SELL")</f>
        <v/>
      </c>
      <c r="X407" s="34">
        <f>SUMIFS('[1]GİP VERİLERİ'!$C:$C,'[1]GİP VERİLERİ'!$B:$B,A407,'[1]GİP VERİLERİ'!$M:$M,"40X000000104782K",'[1]GİP VERİLERİ'!$G:$G,"BUY")</f>
        <v/>
      </c>
      <c r="Y407" s="34">
        <f>IFERROR(AA407/X407,0)</f>
        <v/>
      </c>
      <c r="Z407" s="34">
        <f>IF(Y407=0,0,F407-Y407)</f>
        <v/>
      </c>
      <c r="AA407" s="34">
        <f>SUMIFS('[1]GİP VERİLERİ'!$O:$O,'[1]GİP VERİLERİ'!$B:$B,A407,'[1]GİP VERİLERİ'!$M:$M,"40X000000104782K",'[1]GİP VERİLERİ'!$G:$G,"BUY")</f>
        <v/>
      </c>
      <c r="AB407" s="34">
        <f>'[1]GÖP VERİLERİ'!H408</f>
        <v/>
      </c>
      <c r="AC407" s="34">
        <f>'[1]GÖP VERİLERİ'!I408</f>
        <v/>
      </c>
      <c r="AD407" s="34">
        <f>IF(AB407&gt;AC407*1.05,AB407-AC407*1.05,IF(AB407&lt;AC407*0.95,AC407*0.95-AB407,0))</f>
        <v/>
      </c>
      <c r="AE407" s="34">
        <f>MAX(F407,G407,750)*0.05*AD407</f>
        <v/>
      </c>
      <c r="AF407" s="34">
        <f>'[1]GÖP VERİLERİ'!J408</f>
        <v/>
      </c>
      <c r="AG407" s="34">
        <f>IF(AB407&gt;AF407*1.05,AB407-AF407*1.05,IF(AB407&lt;AF407*0.95,AF407*0.95-AB407,0))</f>
        <v/>
      </c>
      <c r="AH407" s="34">
        <f>MAX(I407,J407,750)*0.05*AG407</f>
        <v/>
      </c>
      <c r="AI407">
        <f>'[1]GÖP VERİLERİ'!E408</f>
        <v/>
      </c>
      <c r="AJ407">
        <f>'[1]GÖP VERİLERİ'!F408</f>
        <v/>
      </c>
      <c r="AK407" s="34">
        <f>IF(AI407&gt;AJ407*1.05,AI407-AJ407*1.05,IF(AI407&lt;AJ407*0.95,AJ407*0.95-AI407,0))</f>
        <v/>
      </c>
      <c r="AL407" s="34">
        <f>MAX(F407,G407,750)*0.05*AK407</f>
        <v/>
      </c>
      <c r="AM407" s="39">
        <f>'[1]GÖP VERİLERİ'!G408</f>
        <v/>
      </c>
      <c r="AN407" s="34">
        <f>IF(AI407&gt;AM407*1.05,AI407-AM407*1.05,IF(AI407&lt;AM407*0.95,AM407*0.95-AI407,0))</f>
        <v/>
      </c>
      <c r="AO407" s="34">
        <f>MAX(F407,G407,750)*0.05*AN407</f>
        <v/>
      </c>
      <c r="AP407" s="34">
        <f>'[1]GÖP VERİLERİ'!B408</f>
        <v/>
      </c>
      <c r="AQ407" s="34">
        <f>'[1]GÖP VERİLERİ'!C408</f>
        <v/>
      </c>
      <c r="AR407" s="34">
        <f>IF(AP407&gt;AQ407*1.05,AP407-AQ407*1.05,IF(AP407&lt;AQ407*0.95,AQ407*0.95-AP407,0))</f>
        <v/>
      </c>
      <c r="AS407" s="34">
        <f>MAX(F407:G407,750)*0.05*AR407</f>
        <v/>
      </c>
      <c r="AT407">
        <f>'[1]GÖP VERİLERİ'!D408</f>
        <v/>
      </c>
      <c r="AU407" s="34">
        <f>IF(AP407&gt;AT407*1.05,AP407-AT407*1.05,IF(AP407&lt;AT407*0.95,AT407*0.95-AP407,0))</f>
        <v/>
      </c>
      <c r="AV407" s="34">
        <f>MAX(F407:G407,750)*0.05*AU407</f>
        <v/>
      </c>
      <c r="AW407" s="34">
        <f>AC407+AJ407+AQ407</f>
        <v/>
      </c>
      <c r="AX407" s="34">
        <f>AF407+AM407+AT407</f>
        <v/>
      </c>
      <c r="AY407" s="34">
        <f>AB407+AI407+AP407</f>
        <v/>
      </c>
      <c r="AZ407" s="34" t="n">
        <v>0</v>
      </c>
      <c r="BA407" s="34">
        <f>AD407+AK407+AR407</f>
        <v/>
      </c>
      <c r="BB407" s="34">
        <f>MAX(F407:G407,750)*0.05*BA407</f>
        <v/>
      </c>
      <c r="BC407" s="34">
        <f>AG407+AN407+AU407</f>
        <v/>
      </c>
      <c r="BD407" s="34">
        <f>MAX(F407:G407,750)*0.05*BC407</f>
        <v/>
      </c>
      <c r="BE407" s="34">
        <f>F407*AY407</f>
        <v/>
      </c>
      <c r="BF407" s="34">
        <f>K407-M407</f>
        <v/>
      </c>
      <c r="BG407" s="34">
        <f>P407-S407</f>
        <v/>
      </c>
      <c r="BH407" s="34">
        <f>W407-AA407</f>
        <v/>
      </c>
      <c r="BI407" s="34">
        <f>BF407+BG407+BL407-BN407</f>
        <v/>
      </c>
      <c r="BJ407" s="34">
        <f>ABS(BK407)</f>
        <v/>
      </c>
      <c r="BK407" s="34">
        <f>AY407-(J407-L407+N407-Q407)</f>
        <v/>
      </c>
      <c r="BL407" s="34">
        <f>IF(AND(BK407&gt;0,MIN($F407:$G407)&lt;150,$E407="Enerji Açığı"),-100*BK407*1.03,IF(AND(BK407&gt;0,MIN($F407:$G407)&lt;150,$E407="Enerji Fazlası"),-100*BK407*1.06,IF(AND(BK407&gt;0,MIN($F407:$G407)&gt;=150,$E407="Enerji Açığı"),BK407*MIN($F407:$G407)*0.97,IF(AND(BK407&gt;0,MIN($F407:$G407)&gt;=150,$E407="Enerji Fazlası"),BK407*MIN($F407:$G407)*0.94,IF(AND(BK407&lt;0,MAX($F407:$G407)=4500,$E407="Enerji Açığı"),4500*1.05*1.06*BK407,IF(AND(BK407&lt;0,MAX($F407:$G407)=4500,$E407="Enerji Fazlası"),4500*1.05*1.03*BK407,IF(AND(BK407&lt;0,$E407="Enerji Açığı"),MAX($F407,$G407,150)*BK407*1.06,IF(AND(BK407&lt;0,$E407="Enerji Fazlası"),MAX($F407,$G407,150)*BK407*1.03,IF(AND(BK407&lt;0,$E407="Dengede"),MAX($F407:$G407,150)*1.03*BK407,MIN($F407:$G407)*0.97*BK407)))))))))</f>
        <v/>
      </c>
      <c r="BM407" s="34">
        <f>BE407-BI407-BN407</f>
        <v/>
      </c>
      <c r="BN407" s="34">
        <f>BB407</f>
        <v/>
      </c>
      <c r="BO407" s="34">
        <f>BE407-BI407</f>
        <v/>
      </c>
      <c r="BP407" s="34">
        <f>IF(AY407=0,0,BO407/AY407)</f>
        <v/>
      </c>
      <c r="BQ407" s="34">
        <f>MAX((AY407+MAX((-J407+L407-N407+Q407),0)),(MAX((J407-L407+N407-Q407),0)))</f>
        <v/>
      </c>
      <c r="BR407" s="82">
        <f>IFERROR(ABS(BK407/BQ407),0)</f>
        <v/>
      </c>
      <c r="BS407" s="34">
        <f>IF(BR407&lt;=0.1,0,BK407/BR407*(BR407-0.1))</f>
        <v/>
      </c>
      <c r="BT407" s="34">
        <f>IF((BS407)&lt;0,MAX(F407:G407)*(BS407)*1.03,MIN(F407:G407)*(BS407)*0.97)</f>
        <v/>
      </c>
      <c r="BU407" s="34">
        <f>IF(BR407&gt;0.1,1,0)</f>
        <v/>
      </c>
      <c r="BV407" s="34">
        <f>BF407+BG407+BH407+BY407-CA407</f>
        <v/>
      </c>
      <c r="BW407" s="34">
        <f>ABS(BX407)</f>
        <v/>
      </c>
      <c r="BX407" s="34">
        <f>AY407-(J407-L407+N407-Q407+T407-X407)</f>
        <v/>
      </c>
      <c r="BY407" s="34">
        <f>IF(AND(BX407&gt;0,MIN($F407:$G407)&lt;150,$E407="Enerji Açığı"),-100*BX407*1.03,IF(AND(BX407&gt;0,MIN($F407:$G407)&lt;150,$E407="Enerji Fazlası"),-100*BX407*1.06,IF(AND(BX407&gt;0,MIN($F407:$G407)&gt;=150,$E407="Enerji Açığı"),BX407*MIN($F407:$G407)*0.97,IF(AND(BX407&gt;0,MIN($F407:$G407)&gt;=150,$E407="Enerji Fazlası"),BX407*MIN($F407:$G407)*0.94,IF(AND(BX407&lt;0,MAX($F407:$G407)=4500,$E407="Enerji Açığı"),4500*1.05*1.06*BX407,IF(AND(BX407&lt;0,MAX($F407:$G407)=4500,$E407="Enerji Fazlası"),4500*1.05*1.03*BX407,IF(AND(BX407&lt;0,$E407="Enerji Açığı"),MAX($F407,$G407,150)*BX407*1.06,IF(AND(BX407&lt;0,$E407="Enerji Fazlası"),MAX($F407,$G407,150)*BX407*1.03,IF(AND(BX407&lt;0,$E407="Dengede"),MAX($F407:$G407,150)*1.03*BX407,MIN($F407:$G407)*0.97*BX407)))))))))</f>
        <v/>
      </c>
      <c r="BZ407" s="34">
        <f>BE407-BV407-CA407</f>
        <v/>
      </c>
      <c r="CA407" s="34">
        <f>BD407</f>
        <v/>
      </c>
      <c r="CB407" s="33">
        <f>BE407-BV407</f>
        <v/>
      </c>
      <c r="CC407" s="34">
        <f>IF(AY407=0,0,CB407/AY407)</f>
        <v/>
      </c>
      <c r="CD407" s="34">
        <f>MAX((AY407+MAX((-J407+L407-N407+Q407-T407+X407),0)),(MAX((J407-L407+N407-Q407+T407-X407),0)))</f>
        <v/>
      </c>
      <c r="CE407" s="82">
        <f>IFERROR(ABS(BX407/CD407),0)</f>
        <v/>
      </c>
      <c r="CF407" s="34">
        <f>IF(CE407&lt;=0.1,0,BX407/CE407*(CE407-0.1))</f>
        <v/>
      </c>
      <c r="CG407" s="34">
        <f>IF((CF407)&lt;0,MAX(F407:G407)*(CF407)*1.03,MIN(F407:G407)*(CF407)*0.97)</f>
        <v/>
      </c>
      <c r="CH407" s="34">
        <f>IF(CE407&gt;0.1,1,0)</f>
        <v/>
      </c>
      <c r="CI407" s="34">
        <f>(F407*BX407)-BY407</f>
        <v/>
      </c>
      <c r="CJ407" s="34">
        <f>IF(AY407=0,0,CI407/AY407)</f>
        <v/>
      </c>
    </row>
    <row r="408">
      <c r="A408" s="29">
        <f>[1]FİYATLAR!A383</f>
        <v/>
      </c>
      <c r="B408" s="29">
        <f>[1]FİYATLAR!B383</f>
        <v/>
      </c>
      <c r="C408" s="35">
        <f>INT(A408)</f>
        <v/>
      </c>
      <c r="D408" s="36">
        <f>MONTH(A408)</f>
        <v/>
      </c>
      <c r="E408" s="147">
        <f>[1]FİYATLAR!G383</f>
        <v/>
      </c>
      <c r="F408" s="30">
        <f>[1]FİYATLAR!C383</f>
        <v/>
      </c>
      <c r="G408" s="30">
        <f>[1]FİYATLAR!E383</f>
        <v/>
      </c>
      <c r="H408" s="30">
        <f>[1]FİYATLAR!D383</f>
        <v/>
      </c>
      <c r="I408" s="30">
        <f>[1]FİYATLAR!F383</f>
        <v/>
      </c>
      <c r="J408" s="119" t="n">
        <v>0</v>
      </c>
      <c r="K408" s="34">
        <f>F408*J408</f>
        <v/>
      </c>
      <c r="L408" s="119" t="n"/>
      <c r="M408" s="34">
        <f>L408*F408</f>
        <v/>
      </c>
      <c r="N408" s="119" t="n"/>
      <c r="O408" s="34">
        <f>F408</f>
        <v/>
      </c>
      <c r="P408" s="34">
        <f>N408*O408</f>
        <v/>
      </c>
      <c r="Q408" s="117" t="n">
        <v>0</v>
      </c>
      <c r="R408" s="34">
        <f>F408</f>
        <v/>
      </c>
      <c r="S408" s="34">
        <f>R408*Q408</f>
        <v/>
      </c>
      <c r="T408" s="34">
        <f>SUMIFS('[1]GİP VERİLERİ'!$C:$C,'[1]GİP VERİLERİ'!$B:$B,A408,'[1]GİP VERİLERİ'!$M:$M,"40X000000104782K",'[1]GİP VERİLERİ'!$G:$G,"SELL")</f>
        <v/>
      </c>
      <c r="U408" s="34">
        <f>IFERROR(W408/T408,0)</f>
        <v/>
      </c>
      <c r="V408" s="34">
        <f>IF(U408=0,0,U408-F408)</f>
        <v/>
      </c>
      <c r="W408" s="34">
        <f>SUMIFS('[1]GİP VERİLERİ'!$O:$O,'[1]GİP VERİLERİ'!$B:$B,A408,'[1]GİP VERİLERİ'!$M:$M,"40X000000104782K",'[1]GİP VERİLERİ'!$G:$G,"SELL")</f>
        <v/>
      </c>
      <c r="X408" s="34">
        <f>SUMIFS('[1]GİP VERİLERİ'!$C:$C,'[1]GİP VERİLERİ'!$B:$B,A408,'[1]GİP VERİLERİ'!$M:$M,"40X000000104782K",'[1]GİP VERİLERİ'!$G:$G,"BUY")</f>
        <v/>
      </c>
      <c r="Y408" s="34">
        <f>IFERROR(AA408/X408,0)</f>
        <v/>
      </c>
      <c r="Z408" s="34">
        <f>IF(Y408=0,0,F408-Y408)</f>
        <v/>
      </c>
      <c r="AA408" s="34">
        <f>SUMIFS('[1]GİP VERİLERİ'!$O:$O,'[1]GİP VERİLERİ'!$B:$B,A408,'[1]GİP VERİLERİ'!$M:$M,"40X000000104782K",'[1]GİP VERİLERİ'!$G:$G,"BUY")</f>
        <v/>
      </c>
      <c r="AB408" s="34">
        <f>'[1]GÖP VERİLERİ'!H409</f>
        <v/>
      </c>
      <c r="AC408" s="34">
        <f>'[1]GÖP VERİLERİ'!I409</f>
        <v/>
      </c>
      <c r="AD408" s="34">
        <f>IF(AB408&gt;AC408*1.05,AB408-AC408*1.05,IF(AB408&lt;AC408*0.95,AC408*0.95-AB408,0))</f>
        <v/>
      </c>
      <c r="AE408" s="34">
        <f>MAX(F408,G408,750)*0.05*AD408</f>
        <v/>
      </c>
      <c r="AF408" s="34">
        <f>'[1]GÖP VERİLERİ'!J409</f>
        <v/>
      </c>
      <c r="AG408" s="34">
        <f>IF(AB408&gt;AF408*1.05,AB408-AF408*1.05,IF(AB408&lt;AF408*0.95,AF408*0.95-AB408,0))</f>
        <v/>
      </c>
      <c r="AH408" s="34">
        <f>MAX(I408,J408,750)*0.05*AG408</f>
        <v/>
      </c>
      <c r="AI408">
        <f>'[1]GÖP VERİLERİ'!E409</f>
        <v/>
      </c>
      <c r="AJ408">
        <f>'[1]GÖP VERİLERİ'!F409</f>
        <v/>
      </c>
      <c r="AK408" s="34">
        <f>IF(AI408&gt;AJ408*1.05,AI408-AJ408*1.05,IF(AI408&lt;AJ408*0.95,AJ408*0.95-AI408,0))</f>
        <v/>
      </c>
      <c r="AL408" s="34">
        <f>MAX(F408,G408,750)*0.05*AK408</f>
        <v/>
      </c>
      <c r="AM408" s="39">
        <f>'[1]GÖP VERİLERİ'!G409</f>
        <v/>
      </c>
      <c r="AN408" s="34">
        <f>IF(AI408&gt;AM408*1.05,AI408-AM408*1.05,IF(AI408&lt;AM408*0.95,AM408*0.95-AI408,0))</f>
        <v/>
      </c>
      <c r="AO408" s="34">
        <f>MAX(F408,G408,750)*0.05*AN408</f>
        <v/>
      </c>
      <c r="AP408" s="34">
        <f>'[1]GÖP VERİLERİ'!B409</f>
        <v/>
      </c>
      <c r="AQ408" s="34">
        <f>'[1]GÖP VERİLERİ'!C409</f>
        <v/>
      </c>
      <c r="AR408" s="34">
        <f>IF(AP408&gt;AQ408*1.05,AP408-AQ408*1.05,IF(AP408&lt;AQ408*0.95,AQ408*0.95-AP408,0))</f>
        <v/>
      </c>
      <c r="AS408" s="34">
        <f>MAX(F408:G408,750)*0.05*AR408</f>
        <v/>
      </c>
      <c r="AT408">
        <f>'[1]GÖP VERİLERİ'!D409</f>
        <v/>
      </c>
      <c r="AU408" s="34">
        <f>IF(AP408&gt;AT408*1.05,AP408-AT408*1.05,IF(AP408&lt;AT408*0.95,AT408*0.95-AP408,0))</f>
        <v/>
      </c>
      <c r="AV408" s="34">
        <f>MAX(F408:G408,750)*0.05*AU408</f>
        <v/>
      </c>
      <c r="AW408" s="34">
        <f>AC408+AJ408+AQ408</f>
        <v/>
      </c>
      <c r="AX408" s="34">
        <f>AF408+AM408+AT408</f>
        <v/>
      </c>
      <c r="AY408" s="34">
        <f>AB408+AI408+AP408</f>
        <v/>
      </c>
      <c r="AZ408" s="34" t="n">
        <v>0</v>
      </c>
      <c r="BA408" s="34">
        <f>AD408+AK408+AR408</f>
        <v/>
      </c>
      <c r="BB408" s="34">
        <f>MAX(F408:G408,750)*0.05*BA408</f>
        <v/>
      </c>
      <c r="BC408" s="34">
        <f>AG408+AN408+AU408</f>
        <v/>
      </c>
      <c r="BD408" s="34">
        <f>MAX(F408:G408,750)*0.05*BC408</f>
        <v/>
      </c>
      <c r="BE408" s="34">
        <f>F408*AY408</f>
        <v/>
      </c>
      <c r="BF408" s="34">
        <f>K408-M408</f>
        <v/>
      </c>
      <c r="BG408" s="34">
        <f>P408-S408</f>
        <v/>
      </c>
      <c r="BH408" s="34">
        <f>W408-AA408</f>
        <v/>
      </c>
      <c r="BI408" s="34">
        <f>BF408+BG408+BL408-BN408</f>
        <v/>
      </c>
      <c r="BJ408" s="34">
        <f>ABS(BK408)</f>
        <v/>
      </c>
      <c r="BK408" s="34">
        <f>AY408-(J408-L408+N408-Q408)</f>
        <v/>
      </c>
      <c r="BL408" s="34">
        <f>IF(AND(BK408&gt;0,MIN($F408:$G408)&lt;150,$E408="Enerji Açığı"),-100*BK408*1.03,IF(AND(BK408&gt;0,MIN($F408:$G408)&lt;150,$E408="Enerji Fazlası"),-100*BK408*1.06,IF(AND(BK408&gt;0,MIN($F408:$G408)&gt;=150,$E408="Enerji Açığı"),BK408*MIN($F408:$G408)*0.97,IF(AND(BK408&gt;0,MIN($F408:$G408)&gt;=150,$E408="Enerji Fazlası"),BK408*MIN($F408:$G408)*0.94,IF(AND(BK408&lt;0,MAX($F408:$G408)=4500,$E408="Enerji Açığı"),4500*1.05*1.06*BK408,IF(AND(BK408&lt;0,MAX($F408:$G408)=4500,$E408="Enerji Fazlası"),4500*1.05*1.03*BK408,IF(AND(BK408&lt;0,$E408="Enerji Açığı"),MAX($F408,$G408,150)*BK408*1.06,IF(AND(BK408&lt;0,$E408="Enerji Fazlası"),MAX($F408,$G408,150)*BK408*1.03,IF(AND(BK408&lt;0,$E408="Dengede"),MAX($F408:$G408,150)*1.03*BK408,MIN($F408:$G408)*0.97*BK408)))))))))</f>
        <v/>
      </c>
      <c r="BM408" s="34">
        <f>BE408-BI408-BN408</f>
        <v/>
      </c>
      <c r="BN408" s="34">
        <f>BB408</f>
        <v/>
      </c>
      <c r="BO408" s="34">
        <f>BE408-BI408</f>
        <v/>
      </c>
      <c r="BP408" s="34">
        <f>IF(AY408=0,0,BO408/AY408)</f>
        <v/>
      </c>
      <c r="BQ408" s="34">
        <f>MAX((AY408+MAX((-J408+L408-N408+Q408),0)),(MAX((J408-L408+N408-Q408),0)))</f>
        <v/>
      </c>
      <c r="BR408" s="82">
        <f>IFERROR(ABS(BK408/BQ408),0)</f>
        <v/>
      </c>
      <c r="BS408" s="34">
        <f>IF(BR408&lt;=0.1,0,BK408/BR408*(BR408-0.1))</f>
        <v/>
      </c>
      <c r="BT408" s="34">
        <f>IF((BS408)&lt;0,MAX(F408:G408)*(BS408)*1.03,MIN(F408:G408)*(BS408)*0.97)</f>
        <v/>
      </c>
      <c r="BU408" s="34">
        <f>IF(BR408&gt;0.1,1,0)</f>
        <v/>
      </c>
      <c r="BV408" s="34">
        <f>BF408+BG408+BH408+BY408-CA408</f>
        <v/>
      </c>
      <c r="BW408" s="34">
        <f>ABS(BX408)</f>
        <v/>
      </c>
      <c r="BX408" s="34">
        <f>AY408-(J408-L408+N408-Q408+T408-X408)</f>
        <v/>
      </c>
      <c r="BY408" s="34">
        <f>IF(AND(BX408&gt;0,MIN($F408:$G408)&lt;150,$E408="Enerji Açığı"),-100*BX408*1.03,IF(AND(BX408&gt;0,MIN($F408:$G408)&lt;150,$E408="Enerji Fazlası"),-100*BX408*1.06,IF(AND(BX408&gt;0,MIN($F408:$G408)&gt;=150,$E408="Enerji Açığı"),BX408*MIN($F408:$G408)*0.97,IF(AND(BX408&gt;0,MIN($F408:$G408)&gt;=150,$E408="Enerji Fazlası"),BX408*MIN($F408:$G408)*0.94,IF(AND(BX408&lt;0,MAX($F408:$G408)=4500,$E408="Enerji Açığı"),4500*1.05*1.06*BX408,IF(AND(BX408&lt;0,MAX($F408:$G408)=4500,$E408="Enerji Fazlası"),4500*1.05*1.03*BX408,IF(AND(BX408&lt;0,$E408="Enerji Açığı"),MAX($F408,$G408,150)*BX408*1.06,IF(AND(BX408&lt;0,$E408="Enerji Fazlası"),MAX($F408,$G408,150)*BX408*1.03,IF(AND(BX408&lt;0,$E408="Dengede"),MAX($F408:$G408,150)*1.03*BX408,MIN($F408:$G408)*0.97*BX408)))))))))</f>
        <v/>
      </c>
      <c r="BZ408" s="34">
        <f>BE408-BV408-CA408</f>
        <v/>
      </c>
      <c r="CA408" s="34">
        <f>BD408</f>
        <v/>
      </c>
      <c r="CB408" s="33">
        <f>BE408-BV408</f>
        <v/>
      </c>
      <c r="CC408" s="34">
        <f>IF(AY408=0,0,CB408/AY408)</f>
        <v/>
      </c>
      <c r="CD408" s="34">
        <f>MAX((AY408+MAX((-J408+L408-N408+Q408-T408+X408),0)),(MAX((J408-L408+N408-Q408+T408-X408),0)))</f>
        <v/>
      </c>
      <c r="CE408" s="82">
        <f>IFERROR(ABS(BX408/CD408),0)</f>
        <v/>
      </c>
      <c r="CF408" s="34">
        <f>IF(CE408&lt;=0.1,0,BX408/CE408*(CE408-0.1))</f>
        <v/>
      </c>
      <c r="CG408" s="34">
        <f>IF((CF408)&lt;0,MAX(F408:G408)*(CF408)*1.03,MIN(F408:G408)*(CF408)*0.97)</f>
        <v/>
      </c>
      <c r="CH408" s="34">
        <f>IF(CE408&gt;0.1,1,0)</f>
        <v/>
      </c>
      <c r="CI408" s="34">
        <f>(F408*BX408)-BY408</f>
        <v/>
      </c>
      <c r="CJ408" s="34">
        <f>IF(AY408=0,0,CI408/AY408)</f>
        <v/>
      </c>
    </row>
    <row r="409">
      <c r="A409" s="29">
        <f>[1]FİYATLAR!A384</f>
        <v/>
      </c>
      <c r="B409" s="29">
        <f>[1]FİYATLAR!B384</f>
        <v/>
      </c>
      <c r="C409" s="35">
        <f>INT(A409)</f>
        <v/>
      </c>
      <c r="D409" s="36">
        <f>MONTH(A409)</f>
        <v/>
      </c>
      <c r="E409" s="147">
        <f>[1]FİYATLAR!G384</f>
        <v/>
      </c>
      <c r="F409" s="30">
        <f>[1]FİYATLAR!C384</f>
        <v/>
      </c>
      <c r="G409" s="30">
        <f>[1]FİYATLAR!E384</f>
        <v/>
      </c>
      <c r="H409" s="30">
        <f>[1]FİYATLAR!D384</f>
        <v/>
      </c>
      <c r="I409" s="30">
        <f>[1]FİYATLAR!F384</f>
        <v/>
      </c>
      <c r="J409" s="119" t="n">
        <v>0</v>
      </c>
      <c r="K409" s="34">
        <f>F409*J409</f>
        <v/>
      </c>
      <c r="L409" s="119" t="n"/>
      <c r="M409" s="34">
        <f>L409*F409</f>
        <v/>
      </c>
      <c r="N409" s="119" t="n"/>
      <c r="O409" s="34">
        <f>F409</f>
        <v/>
      </c>
      <c r="P409" s="34">
        <f>N409*O409</f>
        <v/>
      </c>
      <c r="Q409" s="117" t="n">
        <v>0</v>
      </c>
      <c r="R409" s="34">
        <f>F409</f>
        <v/>
      </c>
      <c r="S409" s="34">
        <f>R409*Q409</f>
        <v/>
      </c>
      <c r="T409" s="34">
        <f>SUMIFS('[1]GİP VERİLERİ'!$C:$C,'[1]GİP VERİLERİ'!$B:$B,A409,'[1]GİP VERİLERİ'!$M:$M,"40X000000104782K",'[1]GİP VERİLERİ'!$G:$G,"SELL")</f>
        <v/>
      </c>
      <c r="U409" s="34">
        <f>IFERROR(W409/T409,0)</f>
        <v/>
      </c>
      <c r="V409" s="34">
        <f>IF(U409=0,0,U409-F409)</f>
        <v/>
      </c>
      <c r="W409" s="34">
        <f>SUMIFS('[1]GİP VERİLERİ'!$O:$O,'[1]GİP VERİLERİ'!$B:$B,A409,'[1]GİP VERİLERİ'!$M:$M,"40X000000104782K",'[1]GİP VERİLERİ'!$G:$G,"SELL")</f>
        <v/>
      </c>
      <c r="X409" s="34">
        <f>SUMIFS('[1]GİP VERİLERİ'!$C:$C,'[1]GİP VERİLERİ'!$B:$B,A409,'[1]GİP VERİLERİ'!$M:$M,"40X000000104782K",'[1]GİP VERİLERİ'!$G:$G,"BUY")</f>
        <v/>
      </c>
      <c r="Y409" s="34">
        <f>IFERROR(AA409/X409,0)</f>
        <v/>
      </c>
      <c r="Z409" s="34">
        <f>IF(Y409=0,0,F409-Y409)</f>
        <v/>
      </c>
      <c r="AA409" s="34">
        <f>SUMIFS('[1]GİP VERİLERİ'!$O:$O,'[1]GİP VERİLERİ'!$B:$B,A409,'[1]GİP VERİLERİ'!$M:$M,"40X000000104782K",'[1]GİP VERİLERİ'!$G:$G,"BUY")</f>
        <v/>
      </c>
      <c r="AB409" s="34">
        <f>'[1]GÖP VERİLERİ'!H410</f>
        <v/>
      </c>
      <c r="AC409" s="34">
        <f>'[1]GÖP VERİLERİ'!I410</f>
        <v/>
      </c>
      <c r="AD409" s="34">
        <f>IF(AB409&gt;AC409*1.05,AB409-AC409*1.05,IF(AB409&lt;AC409*0.95,AC409*0.95-AB409,0))</f>
        <v/>
      </c>
      <c r="AE409" s="34">
        <f>MAX(F409,G409,750)*0.05*AD409</f>
        <v/>
      </c>
      <c r="AF409" s="34">
        <f>'[1]GÖP VERİLERİ'!J410</f>
        <v/>
      </c>
      <c r="AG409" s="34">
        <f>IF(AB409&gt;AF409*1.05,AB409-AF409*1.05,IF(AB409&lt;AF409*0.95,AF409*0.95-AB409,0))</f>
        <v/>
      </c>
      <c r="AH409" s="34">
        <f>MAX(I409,J409,750)*0.05*AG409</f>
        <v/>
      </c>
      <c r="AI409">
        <f>'[1]GÖP VERİLERİ'!E410</f>
        <v/>
      </c>
      <c r="AJ409">
        <f>'[1]GÖP VERİLERİ'!F410</f>
        <v/>
      </c>
      <c r="AK409" s="34">
        <f>IF(AI409&gt;AJ409*1.05,AI409-AJ409*1.05,IF(AI409&lt;AJ409*0.95,AJ409*0.95-AI409,0))</f>
        <v/>
      </c>
      <c r="AL409" s="34">
        <f>MAX(F409,G409,750)*0.05*AK409</f>
        <v/>
      </c>
      <c r="AM409" s="39">
        <f>'[1]GÖP VERİLERİ'!G410</f>
        <v/>
      </c>
      <c r="AN409" s="34">
        <f>IF(AI409&gt;AM409*1.05,AI409-AM409*1.05,IF(AI409&lt;AM409*0.95,AM409*0.95-AI409,0))</f>
        <v/>
      </c>
      <c r="AO409" s="34">
        <f>MAX(F409,G409,750)*0.05*AN409</f>
        <v/>
      </c>
      <c r="AP409" s="34">
        <f>'[1]GÖP VERİLERİ'!B410</f>
        <v/>
      </c>
      <c r="AQ409" s="34">
        <f>'[1]GÖP VERİLERİ'!C410</f>
        <v/>
      </c>
      <c r="AR409" s="34">
        <f>IF(AP409&gt;AQ409*1.05,AP409-AQ409*1.05,IF(AP409&lt;AQ409*0.95,AQ409*0.95-AP409,0))</f>
        <v/>
      </c>
      <c r="AS409" s="34">
        <f>MAX(F409:G409,750)*0.05*AR409</f>
        <v/>
      </c>
      <c r="AT409">
        <f>'[1]GÖP VERİLERİ'!D410</f>
        <v/>
      </c>
      <c r="AU409" s="34">
        <f>IF(AP409&gt;AT409*1.05,AP409-AT409*1.05,IF(AP409&lt;AT409*0.95,AT409*0.95-AP409,0))</f>
        <v/>
      </c>
      <c r="AV409" s="34">
        <f>MAX(F409:G409,750)*0.05*AU409</f>
        <v/>
      </c>
      <c r="AW409" s="34">
        <f>AC409+AJ409+AQ409</f>
        <v/>
      </c>
      <c r="AX409" s="34">
        <f>AF409+AM409+AT409</f>
        <v/>
      </c>
      <c r="AY409" s="34">
        <f>AB409+AI409+AP409</f>
        <v/>
      </c>
      <c r="AZ409" s="34" t="n">
        <v>0</v>
      </c>
      <c r="BA409" s="34">
        <f>AD409+AK409+AR409</f>
        <v/>
      </c>
      <c r="BB409" s="34">
        <f>MAX(F409:G409,750)*0.05*BA409</f>
        <v/>
      </c>
      <c r="BC409" s="34">
        <f>AG409+AN409+AU409</f>
        <v/>
      </c>
      <c r="BD409" s="34">
        <f>MAX(F409:G409,750)*0.05*BC409</f>
        <v/>
      </c>
      <c r="BE409" s="34">
        <f>F409*AY409</f>
        <v/>
      </c>
      <c r="BF409" s="34">
        <f>K409-M409</f>
        <v/>
      </c>
      <c r="BG409" s="34">
        <f>P409-S409</f>
        <v/>
      </c>
      <c r="BH409" s="34">
        <f>W409-AA409</f>
        <v/>
      </c>
      <c r="BI409" s="34">
        <f>BF409+BG409+BL409-BN409</f>
        <v/>
      </c>
      <c r="BJ409" s="34">
        <f>ABS(BK409)</f>
        <v/>
      </c>
      <c r="BK409" s="34">
        <f>AY409-(J409-L409+N409-Q409)</f>
        <v/>
      </c>
      <c r="BL409" s="34">
        <f>IF(AND(BK409&gt;0,MIN($F409:$G409)&lt;150,$E409="Enerji Açığı"),-100*BK409*1.03,IF(AND(BK409&gt;0,MIN($F409:$G409)&lt;150,$E409="Enerji Fazlası"),-100*BK409*1.06,IF(AND(BK409&gt;0,MIN($F409:$G409)&gt;=150,$E409="Enerji Açığı"),BK409*MIN($F409:$G409)*0.97,IF(AND(BK409&gt;0,MIN($F409:$G409)&gt;=150,$E409="Enerji Fazlası"),BK409*MIN($F409:$G409)*0.94,IF(AND(BK409&lt;0,MAX($F409:$G409)=4500,$E409="Enerji Açığı"),4500*1.05*1.06*BK409,IF(AND(BK409&lt;0,MAX($F409:$G409)=4500,$E409="Enerji Fazlası"),4500*1.05*1.03*BK409,IF(AND(BK409&lt;0,$E409="Enerji Açığı"),MAX($F409,$G409,150)*BK409*1.06,IF(AND(BK409&lt;0,$E409="Enerji Fazlası"),MAX($F409,$G409,150)*BK409*1.03,IF(AND(BK409&lt;0,$E409="Dengede"),MAX($F409:$G409,150)*1.03*BK409,MIN($F409:$G409)*0.97*BK409)))))))))</f>
        <v/>
      </c>
      <c r="BM409" s="34">
        <f>BE409-BI409-BN409</f>
        <v/>
      </c>
      <c r="BN409" s="34">
        <f>BB409</f>
        <v/>
      </c>
      <c r="BO409" s="34">
        <f>BE409-BI409</f>
        <v/>
      </c>
      <c r="BP409" s="34">
        <f>IF(AY409=0,0,BO409/AY409)</f>
        <v/>
      </c>
      <c r="BQ409" s="34">
        <f>MAX((AY409+MAX((-J409+L409-N409+Q409),0)),(MAX((J409-L409+N409-Q409),0)))</f>
        <v/>
      </c>
      <c r="BR409" s="82">
        <f>IFERROR(ABS(BK409/BQ409),0)</f>
        <v/>
      </c>
      <c r="BS409" s="34">
        <f>IF(BR409&lt;=0.1,0,BK409/BR409*(BR409-0.1))</f>
        <v/>
      </c>
      <c r="BT409" s="34">
        <f>IF((BS409)&lt;0,MAX(F409:G409)*(BS409)*1.03,MIN(F409:G409)*(BS409)*0.97)</f>
        <v/>
      </c>
      <c r="BU409" s="34">
        <f>IF(BR409&gt;0.1,1,0)</f>
        <v/>
      </c>
      <c r="BV409" s="34">
        <f>BF409+BG409+BH409+BY409-CA409</f>
        <v/>
      </c>
      <c r="BW409" s="34">
        <f>ABS(BX409)</f>
        <v/>
      </c>
      <c r="BX409" s="34">
        <f>AY409-(J409-L409+N409-Q409+T409-X409)</f>
        <v/>
      </c>
      <c r="BY409" s="34">
        <f>IF(AND(BX409&gt;0,MIN($F409:$G409)&lt;150,$E409="Enerji Açığı"),-100*BX409*1.03,IF(AND(BX409&gt;0,MIN($F409:$G409)&lt;150,$E409="Enerji Fazlası"),-100*BX409*1.06,IF(AND(BX409&gt;0,MIN($F409:$G409)&gt;=150,$E409="Enerji Açığı"),BX409*MIN($F409:$G409)*0.97,IF(AND(BX409&gt;0,MIN($F409:$G409)&gt;=150,$E409="Enerji Fazlası"),BX409*MIN($F409:$G409)*0.94,IF(AND(BX409&lt;0,MAX($F409:$G409)=4500,$E409="Enerji Açığı"),4500*1.05*1.06*BX409,IF(AND(BX409&lt;0,MAX($F409:$G409)=4500,$E409="Enerji Fazlası"),4500*1.05*1.03*BX409,IF(AND(BX409&lt;0,$E409="Enerji Açığı"),MAX($F409,$G409,150)*BX409*1.06,IF(AND(BX409&lt;0,$E409="Enerji Fazlası"),MAX($F409,$G409,150)*BX409*1.03,IF(AND(BX409&lt;0,$E409="Dengede"),MAX($F409:$G409,150)*1.03*BX409,MIN($F409:$G409)*0.97*BX409)))))))))</f>
        <v/>
      </c>
      <c r="BZ409" s="34">
        <f>BE409-BV409-CA409</f>
        <v/>
      </c>
      <c r="CA409" s="34">
        <f>BD409</f>
        <v/>
      </c>
      <c r="CB409" s="33">
        <f>BE409-BV409</f>
        <v/>
      </c>
      <c r="CC409" s="34">
        <f>IF(AY409=0,0,CB409/AY409)</f>
        <v/>
      </c>
      <c r="CD409" s="34">
        <f>MAX((AY409+MAX((-J409+L409-N409+Q409-T409+X409),0)),(MAX((J409-L409+N409-Q409+T409-X409),0)))</f>
        <v/>
      </c>
      <c r="CE409" s="82">
        <f>IFERROR(ABS(BX409/CD409),0)</f>
        <v/>
      </c>
      <c r="CF409" s="34">
        <f>IF(CE409&lt;=0.1,0,BX409/CE409*(CE409-0.1))</f>
        <v/>
      </c>
      <c r="CG409" s="34">
        <f>IF((CF409)&lt;0,MAX(F409:G409)*(CF409)*1.03,MIN(F409:G409)*(CF409)*0.97)</f>
        <v/>
      </c>
      <c r="CH409" s="34">
        <f>IF(CE409&gt;0.1,1,0)</f>
        <v/>
      </c>
      <c r="CI409" s="34">
        <f>(F409*BX409)-BY409</f>
        <v/>
      </c>
      <c r="CJ409" s="34">
        <f>IF(AY409=0,0,CI409/AY409)</f>
        <v/>
      </c>
    </row>
    <row r="410">
      <c r="A410" s="29">
        <f>[1]FİYATLAR!A385</f>
        <v/>
      </c>
      <c r="B410" s="29">
        <f>[1]FİYATLAR!B385</f>
        <v/>
      </c>
      <c r="C410" s="35">
        <f>INT(A410)</f>
        <v/>
      </c>
      <c r="D410" s="36">
        <f>MONTH(A410)</f>
        <v/>
      </c>
      <c r="E410" s="147">
        <f>[1]FİYATLAR!G385</f>
        <v/>
      </c>
      <c r="F410" s="30">
        <f>[1]FİYATLAR!C385</f>
        <v/>
      </c>
      <c r="G410" s="30">
        <f>[1]FİYATLAR!E385</f>
        <v/>
      </c>
      <c r="H410" s="30">
        <f>[1]FİYATLAR!D385</f>
        <v/>
      </c>
      <c r="I410" s="30">
        <f>[1]FİYATLAR!F385</f>
        <v/>
      </c>
      <c r="J410" s="119" t="n">
        <v>0</v>
      </c>
      <c r="K410" s="34">
        <f>F410*J410</f>
        <v/>
      </c>
      <c r="L410" s="119" t="n"/>
      <c r="M410" s="34">
        <f>L410*F410</f>
        <v/>
      </c>
      <c r="N410" s="119" t="n"/>
      <c r="O410" s="34">
        <f>F410</f>
        <v/>
      </c>
      <c r="P410" s="34">
        <f>N410*O410</f>
        <v/>
      </c>
      <c r="Q410" s="117" t="n">
        <v>0</v>
      </c>
      <c r="R410" s="34">
        <f>F410</f>
        <v/>
      </c>
      <c r="S410" s="34">
        <f>R410*Q410</f>
        <v/>
      </c>
      <c r="T410" s="34">
        <f>SUMIFS('[1]GİP VERİLERİ'!$C:$C,'[1]GİP VERİLERİ'!$B:$B,A410,'[1]GİP VERİLERİ'!$M:$M,"40X000000104782K",'[1]GİP VERİLERİ'!$G:$G,"SELL")</f>
        <v/>
      </c>
      <c r="U410" s="34">
        <f>IFERROR(W410/T410,0)</f>
        <v/>
      </c>
      <c r="V410" s="34">
        <f>IF(U410=0,0,U410-F410)</f>
        <v/>
      </c>
      <c r="W410" s="34">
        <f>SUMIFS('[1]GİP VERİLERİ'!$O:$O,'[1]GİP VERİLERİ'!$B:$B,A410,'[1]GİP VERİLERİ'!$M:$M,"40X000000104782K",'[1]GİP VERİLERİ'!$G:$G,"SELL")</f>
        <v/>
      </c>
      <c r="X410" s="34">
        <f>SUMIFS('[1]GİP VERİLERİ'!$C:$C,'[1]GİP VERİLERİ'!$B:$B,A410,'[1]GİP VERİLERİ'!$M:$M,"40X000000104782K",'[1]GİP VERİLERİ'!$G:$G,"BUY")</f>
        <v/>
      </c>
      <c r="Y410" s="34">
        <f>IFERROR(AA410/X410,0)</f>
        <v/>
      </c>
      <c r="Z410" s="34">
        <f>IF(Y410=0,0,F410-Y410)</f>
        <v/>
      </c>
      <c r="AA410" s="34">
        <f>SUMIFS('[1]GİP VERİLERİ'!$O:$O,'[1]GİP VERİLERİ'!$B:$B,A410,'[1]GİP VERİLERİ'!$M:$M,"40X000000104782K",'[1]GİP VERİLERİ'!$G:$G,"BUY")</f>
        <v/>
      </c>
      <c r="AB410" s="34">
        <f>'[1]GÖP VERİLERİ'!H411</f>
        <v/>
      </c>
      <c r="AC410" s="34">
        <f>'[1]GÖP VERİLERİ'!I411</f>
        <v/>
      </c>
      <c r="AD410" s="34">
        <f>IF(AB410&gt;AC410*1.05,AB410-AC410*1.05,IF(AB410&lt;AC410*0.95,AC410*0.95-AB410,0))</f>
        <v/>
      </c>
      <c r="AE410" s="34">
        <f>MAX(F410,G410,750)*0.05*AD410</f>
        <v/>
      </c>
      <c r="AF410" s="34">
        <f>'[1]GÖP VERİLERİ'!J411</f>
        <v/>
      </c>
      <c r="AG410" s="34">
        <f>IF(AB410&gt;AF410*1.05,AB410-AF410*1.05,IF(AB410&lt;AF410*0.95,AF410*0.95-AB410,0))</f>
        <v/>
      </c>
      <c r="AH410" s="34">
        <f>MAX(I410,J410,750)*0.05*AG410</f>
        <v/>
      </c>
      <c r="AI410">
        <f>'[1]GÖP VERİLERİ'!E411</f>
        <v/>
      </c>
      <c r="AJ410">
        <f>'[1]GÖP VERİLERİ'!F411</f>
        <v/>
      </c>
      <c r="AK410" s="34">
        <f>IF(AI410&gt;AJ410*1.05,AI410-AJ410*1.05,IF(AI410&lt;AJ410*0.95,AJ410*0.95-AI410,0))</f>
        <v/>
      </c>
      <c r="AL410" s="34">
        <f>MAX(F410,G410,750)*0.05*AK410</f>
        <v/>
      </c>
      <c r="AM410" s="39">
        <f>'[1]GÖP VERİLERİ'!G411</f>
        <v/>
      </c>
      <c r="AN410" s="34">
        <f>IF(AI410&gt;AM410*1.05,AI410-AM410*1.05,IF(AI410&lt;AM410*0.95,AM410*0.95-AI410,0))</f>
        <v/>
      </c>
      <c r="AO410" s="34">
        <f>MAX(F410,G410,750)*0.05*AN410</f>
        <v/>
      </c>
      <c r="AP410" s="34">
        <f>'[1]GÖP VERİLERİ'!B411</f>
        <v/>
      </c>
      <c r="AQ410" s="34">
        <f>'[1]GÖP VERİLERİ'!C411</f>
        <v/>
      </c>
      <c r="AR410" s="34">
        <f>IF(AP410&gt;AQ410*1.05,AP410-AQ410*1.05,IF(AP410&lt;AQ410*0.95,AQ410*0.95-AP410,0))</f>
        <v/>
      </c>
      <c r="AS410" s="34">
        <f>MAX(F410:G410,750)*0.05*AR410</f>
        <v/>
      </c>
      <c r="AT410">
        <f>'[1]GÖP VERİLERİ'!D411</f>
        <v/>
      </c>
      <c r="AU410" s="34">
        <f>IF(AP410&gt;AT410*1.05,AP410-AT410*1.05,IF(AP410&lt;AT410*0.95,AT410*0.95-AP410,0))</f>
        <v/>
      </c>
      <c r="AV410" s="34">
        <f>MAX(F410:G410,750)*0.05*AU410</f>
        <v/>
      </c>
      <c r="AW410" s="34">
        <f>AC410+AJ410+AQ410</f>
        <v/>
      </c>
      <c r="AX410" s="34">
        <f>AF410+AM410+AT410</f>
        <v/>
      </c>
      <c r="AY410" s="34">
        <f>AB410+AI410+AP410</f>
        <v/>
      </c>
      <c r="AZ410" s="34" t="n">
        <v>0</v>
      </c>
      <c r="BA410" s="34">
        <f>AD410+AK410+AR410</f>
        <v/>
      </c>
      <c r="BB410" s="34">
        <f>MAX(F410:G410,750)*0.05*BA410</f>
        <v/>
      </c>
      <c r="BC410" s="34">
        <f>AG410+AN410+AU410</f>
        <v/>
      </c>
      <c r="BD410" s="34">
        <f>MAX(F410:G410,750)*0.05*BC410</f>
        <v/>
      </c>
      <c r="BE410" s="34">
        <f>F410*AY410</f>
        <v/>
      </c>
      <c r="BF410" s="34">
        <f>K410-M410</f>
        <v/>
      </c>
      <c r="BG410" s="34">
        <f>P410-S410</f>
        <v/>
      </c>
      <c r="BH410" s="34">
        <f>W410-AA410</f>
        <v/>
      </c>
      <c r="BI410" s="34">
        <f>BF410+BG410+BL410-BN410</f>
        <v/>
      </c>
      <c r="BJ410" s="34">
        <f>ABS(BK410)</f>
        <v/>
      </c>
      <c r="BK410" s="34">
        <f>AY410-(J410-L410+N410-Q410)</f>
        <v/>
      </c>
      <c r="BL410" s="34">
        <f>IF(AND(BK410&gt;0,MIN($F410:$G410)&lt;150,$E410="Enerji Açığı"),-100*BK410*1.03,IF(AND(BK410&gt;0,MIN($F410:$G410)&lt;150,$E410="Enerji Fazlası"),-100*BK410*1.06,IF(AND(BK410&gt;0,MIN($F410:$G410)&gt;=150,$E410="Enerji Açığı"),BK410*MIN($F410:$G410)*0.97,IF(AND(BK410&gt;0,MIN($F410:$G410)&gt;=150,$E410="Enerji Fazlası"),BK410*MIN($F410:$G410)*0.94,IF(AND(BK410&lt;0,MAX($F410:$G410)=4500,$E410="Enerji Açığı"),4500*1.05*1.06*BK410,IF(AND(BK410&lt;0,MAX($F410:$G410)=4500,$E410="Enerji Fazlası"),4500*1.05*1.03*BK410,IF(AND(BK410&lt;0,$E410="Enerji Açığı"),MAX($F410,$G410,150)*BK410*1.06,IF(AND(BK410&lt;0,$E410="Enerji Fazlası"),MAX($F410,$G410,150)*BK410*1.03,IF(AND(BK410&lt;0,$E410="Dengede"),MAX($F410:$G410,150)*1.03*BK410,MIN($F410:$G410)*0.97*BK410)))))))))</f>
        <v/>
      </c>
      <c r="BM410" s="34">
        <f>BE410-BI410-BN410</f>
        <v/>
      </c>
      <c r="BN410" s="34">
        <f>BB410</f>
        <v/>
      </c>
      <c r="BO410" s="34">
        <f>BE410-BI410</f>
        <v/>
      </c>
      <c r="BP410" s="34">
        <f>IF(AY410=0,0,BO410/AY410)</f>
        <v/>
      </c>
      <c r="BQ410" s="34">
        <f>MAX((AY410+MAX((-J410+L410-N410+Q410),0)),(MAX((J410-L410+N410-Q410),0)))</f>
        <v/>
      </c>
      <c r="BR410" s="82">
        <f>IFERROR(ABS(BK410/BQ410),0)</f>
        <v/>
      </c>
      <c r="BS410" s="34">
        <f>IF(BR410&lt;=0.1,0,BK410/BR410*(BR410-0.1))</f>
        <v/>
      </c>
      <c r="BT410" s="34">
        <f>IF((BS410)&lt;0,MAX(F410:G410)*(BS410)*1.03,MIN(F410:G410)*(BS410)*0.97)</f>
        <v/>
      </c>
      <c r="BU410" s="34">
        <f>IF(BR410&gt;0.1,1,0)</f>
        <v/>
      </c>
      <c r="BV410" s="34">
        <f>BF410+BG410+BH410+BY410-CA410</f>
        <v/>
      </c>
      <c r="BW410" s="34">
        <f>ABS(BX410)</f>
        <v/>
      </c>
      <c r="BX410" s="34">
        <f>AY410-(J410-L410+N410-Q410+T410-X410)</f>
        <v/>
      </c>
      <c r="BY410" s="34">
        <f>IF(AND(BX410&gt;0,MIN($F410:$G410)&lt;150,$E410="Enerji Açığı"),-100*BX410*1.03,IF(AND(BX410&gt;0,MIN($F410:$G410)&lt;150,$E410="Enerji Fazlası"),-100*BX410*1.06,IF(AND(BX410&gt;0,MIN($F410:$G410)&gt;=150,$E410="Enerji Açığı"),BX410*MIN($F410:$G410)*0.97,IF(AND(BX410&gt;0,MIN($F410:$G410)&gt;=150,$E410="Enerji Fazlası"),BX410*MIN($F410:$G410)*0.94,IF(AND(BX410&lt;0,MAX($F410:$G410)=4500,$E410="Enerji Açığı"),4500*1.05*1.06*BX410,IF(AND(BX410&lt;0,MAX($F410:$G410)=4500,$E410="Enerji Fazlası"),4500*1.05*1.03*BX410,IF(AND(BX410&lt;0,$E410="Enerji Açığı"),MAX($F410,$G410,150)*BX410*1.06,IF(AND(BX410&lt;0,$E410="Enerji Fazlası"),MAX($F410,$G410,150)*BX410*1.03,IF(AND(BX410&lt;0,$E410="Dengede"),MAX($F410:$G410,150)*1.03*BX410,MIN($F410:$G410)*0.97*BX410)))))))))</f>
        <v/>
      </c>
      <c r="BZ410" s="34">
        <f>BE410-BV410-CA410</f>
        <v/>
      </c>
      <c r="CA410" s="34">
        <f>BD410</f>
        <v/>
      </c>
      <c r="CB410" s="33">
        <f>BE410-BV410</f>
        <v/>
      </c>
      <c r="CC410" s="34">
        <f>IF(AY410=0,0,CB410/AY410)</f>
        <v/>
      </c>
      <c r="CD410" s="34">
        <f>MAX((AY410+MAX((-J410+L410-N410+Q410-T410+X410),0)),(MAX((J410-L410+N410-Q410+T410-X410),0)))</f>
        <v/>
      </c>
      <c r="CE410" s="82">
        <f>IFERROR(ABS(BX410/CD410),0)</f>
        <v/>
      </c>
      <c r="CF410" s="34">
        <f>IF(CE410&lt;=0.1,0,BX410/CE410*(CE410-0.1))</f>
        <v/>
      </c>
      <c r="CG410" s="34">
        <f>IF((CF410)&lt;0,MAX(F410:G410)*(CF410)*1.03,MIN(F410:G410)*(CF410)*0.97)</f>
        <v/>
      </c>
      <c r="CH410" s="34">
        <f>IF(CE410&gt;0.1,1,0)</f>
        <v/>
      </c>
      <c r="CI410" s="34">
        <f>(F410*BX410)-BY410</f>
        <v/>
      </c>
      <c r="CJ410" s="34">
        <f>IF(AY410=0,0,CI410/AY410)</f>
        <v/>
      </c>
    </row>
    <row r="411">
      <c r="A411" s="29">
        <f>[1]FİYATLAR!A386</f>
        <v/>
      </c>
      <c r="B411" s="29">
        <f>[1]FİYATLAR!B386</f>
        <v/>
      </c>
      <c r="C411" s="35">
        <f>INT(A411)</f>
        <v/>
      </c>
      <c r="D411" s="36">
        <f>MONTH(A411)</f>
        <v/>
      </c>
      <c r="E411" s="147">
        <f>[1]FİYATLAR!G386</f>
        <v/>
      </c>
      <c r="F411" s="30">
        <f>[1]FİYATLAR!C386</f>
        <v/>
      </c>
      <c r="G411" s="30">
        <f>[1]FİYATLAR!E386</f>
        <v/>
      </c>
      <c r="H411" s="30">
        <f>[1]FİYATLAR!D386</f>
        <v/>
      </c>
      <c r="I411" s="30">
        <f>[1]FİYATLAR!F386</f>
        <v/>
      </c>
      <c r="J411" s="119" t="n">
        <v>0</v>
      </c>
      <c r="K411" s="34">
        <f>F411*J411</f>
        <v/>
      </c>
      <c r="L411" s="119" t="n"/>
      <c r="M411" s="34">
        <f>L411*F411</f>
        <v/>
      </c>
      <c r="N411" s="119" t="n"/>
      <c r="O411" s="34">
        <f>F411</f>
        <v/>
      </c>
      <c r="P411" s="34">
        <f>N411*O411</f>
        <v/>
      </c>
      <c r="Q411" s="117" t="n">
        <v>0</v>
      </c>
      <c r="R411" s="34">
        <f>F411</f>
        <v/>
      </c>
      <c r="S411" s="34">
        <f>R411*Q411</f>
        <v/>
      </c>
      <c r="T411" s="34">
        <f>SUMIFS('[1]GİP VERİLERİ'!$C:$C,'[1]GİP VERİLERİ'!$B:$B,A411,'[1]GİP VERİLERİ'!$M:$M,"40X000000104782K",'[1]GİP VERİLERİ'!$G:$G,"SELL")</f>
        <v/>
      </c>
      <c r="U411" s="34">
        <f>IFERROR(W411/T411,0)</f>
        <v/>
      </c>
      <c r="V411" s="34">
        <f>IF(U411=0,0,U411-F411)</f>
        <v/>
      </c>
      <c r="W411" s="34">
        <f>SUMIFS('[1]GİP VERİLERİ'!$O:$O,'[1]GİP VERİLERİ'!$B:$B,A411,'[1]GİP VERİLERİ'!$M:$M,"40X000000104782K",'[1]GİP VERİLERİ'!$G:$G,"SELL")</f>
        <v/>
      </c>
      <c r="X411" s="34">
        <f>SUMIFS('[1]GİP VERİLERİ'!$C:$C,'[1]GİP VERİLERİ'!$B:$B,A411,'[1]GİP VERİLERİ'!$M:$M,"40X000000104782K",'[1]GİP VERİLERİ'!$G:$G,"BUY")</f>
        <v/>
      </c>
      <c r="Y411" s="34">
        <f>IFERROR(AA411/X411,0)</f>
        <v/>
      </c>
      <c r="Z411" s="34">
        <f>IF(Y411=0,0,F411-Y411)</f>
        <v/>
      </c>
      <c r="AA411" s="34">
        <f>SUMIFS('[1]GİP VERİLERİ'!$O:$O,'[1]GİP VERİLERİ'!$B:$B,A411,'[1]GİP VERİLERİ'!$M:$M,"40X000000104782K",'[1]GİP VERİLERİ'!$G:$G,"BUY")</f>
        <v/>
      </c>
      <c r="AB411" s="34">
        <f>'[1]GÖP VERİLERİ'!H412</f>
        <v/>
      </c>
      <c r="AC411" s="34">
        <f>'[1]GÖP VERİLERİ'!I412</f>
        <v/>
      </c>
      <c r="AD411" s="34">
        <f>IF(AB411&gt;AC411*1.05,AB411-AC411*1.05,IF(AB411&lt;AC411*0.95,AC411*0.95-AB411,0))</f>
        <v/>
      </c>
      <c r="AE411" s="34">
        <f>MAX(F411,G411,750)*0.05*AD411</f>
        <v/>
      </c>
      <c r="AF411" s="34">
        <f>'[1]GÖP VERİLERİ'!J412</f>
        <v/>
      </c>
      <c r="AG411" s="34">
        <f>IF(AB411&gt;AF411*1.05,AB411-AF411*1.05,IF(AB411&lt;AF411*0.95,AF411*0.95-AB411,0))</f>
        <v/>
      </c>
      <c r="AH411" s="34">
        <f>MAX(I411,J411,750)*0.05*AG411</f>
        <v/>
      </c>
      <c r="AI411">
        <f>'[1]GÖP VERİLERİ'!E412</f>
        <v/>
      </c>
      <c r="AJ411">
        <f>'[1]GÖP VERİLERİ'!F412</f>
        <v/>
      </c>
      <c r="AK411" s="34">
        <f>IF(AI411&gt;AJ411*1.05,AI411-AJ411*1.05,IF(AI411&lt;AJ411*0.95,AJ411*0.95-AI411,0))</f>
        <v/>
      </c>
      <c r="AL411" s="34">
        <f>MAX(F411,G411,750)*0.05*AK411</f>
        <v/>
      </c>
      <c r="AM411" s="39">
        <f>'[1]GÖP VERİLERİ'!G412</f>
        <v/>
      </c>
      <c r="AN411" s="34">
        <f>IF(AI411&gt;AM411*1.05,AI411-AM411*1.05,IF(AI411&lt;AM411*0.95,AM411*0.95-AI411,0))</f>
        <v/>
      </c>
      <c r="AO411" s="34">
        <f>MAX(F411,G411,750)*0.05*AN411</f>
        <v/>
      </c>
      <c r="AP411" s="34">
        <f>'[1]GÖP VERİLERİ'!B412</f>
        <v/>
      </c>
      <c r="AQ411" s="34">
        <f>'[1]GÖP VERİLERİ'!C412</f>
        <v/>
      </c>
      <c r="AR411" s="34">
        <f>IF(AP411&gt;AQ411*1.05,AP411-AQ411*1.05,IF(AP411&lt;AQ411*0.95,AQ411*0.95-AP411,0))</f>
        <v/>
      </c>
      <c r="AS411" s="34">
        <f>MAX(F411:G411,750)*0.05*AR411</f>
        <v/>
      </c>
      <c r="AT411">
        <f>'[1]GÖP VERİLERİ'!D412</f>
        <v/>
      </c>
      <c r="AU411" s="34">
        <f>IF(AP411&gt;AT411*1.05,AP411-AT411*1.05,IF(AP411&lt;AT411*0.95,AT411*0.95-AP411,0))</f>
        <v/>
      </c>
      <c r="AV411" s="34">
        <f>MAX(F411:G411,750)*0.05*AU411</f>
        <v/>
      </c>
      <c r="AW411" s="34">
        <f>AC411+AJ411+AQ411</f>
        <v/>
      </c>
      <c r="AX411" s="34">
        <f>AF411+AM411+AT411</f>
        <v/>
      </c>
      <c r="AY411" s="34">
        <f>AB411+AI411+AP411</f>
        <v/>
      </c>
      <c r="AZ411" s="34" t="n">
        <v>0</v>
      </c>
      <c r="BA411" s="34">
        <f>AD411+AK411+AR411</f>
        <v/>
      </c>
      <c r="BB411" s="34">
        <f>MAX(F411:G411,750)*0.05*BA411</f>
        <v/>
      </c>
      <c r="BC411" s="34">
        <f>AG411+AN411+AU411</f>
        <v/>
      </c>
      <c r="BD411" s="34">
        <f>MAX(F411:G411,750)*0.05*BC411</f>
        <v/>
      </c>
      <c r="BE411" s="34">
        <f>F411*AY411</f>
        <v/>
      </c>
      <c r="BF411" s="34">
        <f>K411-M411</f>
        <v/>
      </c>
      <c r="BG411" s="34">
        <f>P411-S411</f>
        <v/>
      </c>
      <c r="BH411" s="34">
        <f>W411-AA411</f>
        <v/>
      </c>
      <c r="BI411" s="34">
        <f>BF411+BG411+BL411-BN411</f>
        <v/>
      </c>
      <c r="BJ411" s="34">
        <f>ABS(BK411)</f>
        <v/>
      </c>
      <c r="BK411" s="34">
        <f>AY411-(J411-L411+N411-Q411)</f>
        <v/>
      </c>
      <c r="BL411" s="34">
        <f>IF(AND(BK411&gt;0,MIN($F411:$G411)&lt;150,$E411="Enerji Açığı"),-100*BK411*1.03,IF(AND(BK411&gt;0,MIN($F411:$G411)&lt;150,$E411="Enerji Fazlası"),-100*BK411*1.06,IF(AND(BK411&gt;0,MIN($F411:$G411)&gt;=150,$E411="Enerji Açığı"),BK411*MIN($F411:$G411)*0.97,IF(AND(BK411&gt;0,MIN($F411:$G411)&gt;=150,$E411="Enerji Fazlası"),BK411*MIN($F411:$G411)*0.94,IF(AND(BK411&lt;0,MAX($F411:$G411)=4500,$E411="Enerji Açığı"),4500*1.05*1.06*BK411,IF(AND(BK411&lt;0,MAX($F411:$G411)=4500,$E411="Enerji Fazlası"),4500*1.05*1.03*BK411,IF(AND(BK411&lt;0,$E411="Enerji Açığı"),MAX($F411,$G411,150)*BK411*1.06,IF(AND(BK411&lt;0,$E411="Enerji Fazlası"),MAX($F411,$G411,150)*BK411*1.03,IF(AND(BK411&lt;0,$E411="Dengede"),MAX($F411:$G411,150)*1.03*BK411,MIN($F411:$G411)*0.97*BK411)))))))))</f>
        <v/>
      </c>
      <c r="BM411" s="34">
        <f>BE411-BI411-BN411</f>
        <v/>
      </c>
      <c r="BN411" s="34">
        <f>BB411</f>
        <v/>
      </c>
      <c r="BO411" s="34">
        <f>BE411-BI411</f>
        <v/>
      </c>
      <c r="BP411" s="34">
        <f>IF(AY411=0,0,BO411/AY411)</f>
        <v/>
      </c>
      <c r="BQ411" s="34">
        <f>MAX((AY411+MAX((-J411+L411-N411+Q411),0)),(MAX((J411-L411+N411-Q411),0)))</f>
        <v/>
      </c>
      <c r="BR411" s="82">
        <f>IFERROR(ABS(BK411/BQ411),0)</f>
        <v/>
      </c>
      <c r="BS411" s="34">
        <f>IF(BR411&lt;=0.1,0,BK411/BR411*(BR411-0.1))</f>
        <v/>
      </c>
      <c r="BT411" s="34">
        <f>IF((BS411)&lt;0,MAX(F411:G411)*(BS411)*1.03,MIN(F411:G411)*(BS411)*0.97)</f>
        <v/>
      </c>
      <c r="BU411" s="34">
        <f>IF(BR411&gt;0.1,1,0)</f>
        <v/>
      </c>
      <c r="BV411" s="34">
        <f>BF411+BG411+BH411+BY411-CA411</f>
        <v/>
      </c>
      <c r="BW411" s="34">
        <f>ABS(BX411)</f>
        <v/>
      </c>
      <c r="BX411" s="34">
        <f>AY411-(J411-L411+N411-Q411+T411-X411)</f>
        <v/>
      </c>
      <c r="BY411" s="34">
        <f>IF(AND(BX411&gt;0,MIN($F411:$G411)&lt;150,$E411="Enerji Açığı"),-100*BX411*1.03,IF(AND(BX411&gt;0,MIN($F411:$G411)&lt;150,$E411="Enerji Fazlası"),-100*BX411*1.06,IF(AND(BX411&gt;0,MIN($F411:$G411)&gt;=150,$E411="Enerji Açığı"),BX411*MIN($F411:$G411)*0.97,IF(AND(BX411&gt;0,MIN($F411:$G411)&gt;=150,$E411="Enerji Fazlası"),BX411*MIN($F411:$G411)*0.94,IF(AND(BX411&lt;0,MAX($F411:$G411)=4500,$E411="Enerji Açığı"),4500*1.05*1.06*BX411,IF(AND(BX411&lt;0,MAX($F411:$G411)=4500,$E411="Enerji Fazlası"),4500*1.05*1.03*BX411,IF(AND(BX411&lt;0,$E411="Enerji Açığı"),MAX($F411,$G411,150)*BX411*1.06,IF(AND(BX411&lt;0,$E411="Enerji Fazlası"),MAX($F411,$G411,150)*BX411*1.03,IF(AND(BX411&lt;0,$E411="Dengede"),MAX($F411:$G411,150)*1.03*BX411,MIN($F411:$G411)*0.97*BX411)))))))))</f>
        <v/>
      </c>
      <c r="BZ411" s="34">
        <f>BE411-BV411-CA411</f>
        <v/>
      </c>
      <c r="CA411" s="34">
        <f>BD411</f>
        <v/>
      </c>
      <c r="CB411" s="33">
        <f>BE411-BV411</f>
        <v/>
      </c>
      <c r="CC411" s="34">
        <f>IF(AY411=0,0,CB411/AY411)</f>
        <v/>
      </c>
      <c r="CD411" s="34">
        <f>MAX((AY411+MAX((-J411+L411-N411+Q411-T411+X411),0)),(MAX((J411-L411+N411-Q411+T411-X411),0)))</f>
        <v/>
      </c>
      <c r="CE411" s="82">
        <f>IFERROR(ABS(BX411/CD411),0)</f>
        <v/>
      </c>
      <c r="CF411" s="34">
        <f>IF(CE411&lt;=0.1,0,BX411/CE411*(CE411-0.1))</f>
        <v/>
      </c>
      <c r="CG411" s="34">
        <f>IF((CF411)&lt;0,MAX(F411:G411)*(CF411)*1.03,MIN(F411:G411)*(CF411)*0.97)</f>
        <v/>
      </c>
      <c r="CH411" s="34">
        <f>IF(CE411&gt;0.1,1,0)</f>
        <v/>
      </c>
      <c r="CI411" s="34">
        <f>(F411*BX411)-BY411</f>
        <v/>
      </c>
      <c r="CJ411" s="34">
        <f>IF(AY411=0,0,CI411/AY411)</f>
        <v/>
      </c>
    </row>
    <row r="412">
      <c r="A412" s="29">
        <f>[1]FİYATLAR!A387</f>
        <v/>
      </c>
      <c r="B412" s="29">
        <f>[1]FİYATLAR!B387</f>
        <v/>
      </c>
      <c r="C412" s="35">
        <f>INT(A412)</f>
        <v/>
      </c>
      <c r="D412" s="36">
        <f>MONTH(A412)</f>
        <v/>
      </c>
      <c r="E412" s="147">
        <f>[1]FİYATLAR!G387</f>
        <v/>
      </c>
      <c r="F412" s="30">
        <f>[1]FİYATLAR!C387</f>
        <v/>
      </c>
      <c r="G412" s="30">
        <f>[1]FİYATLAR!E387</f>
        <v/>
      </c>
      <c r="H412" s="30">
        <f>[1]FİYATLAR!D387</f>
        <v/>
      </c>
      <c r="I412" s="30">
        <f>[1]FİYATLAR!F387</f>
        <v/>
      </c>
      <c r="J412" s="119" t="n">
        <v>0</v>
      </c>
      <c r="K412" s="34">
        <f>F412*J412</f>
        <v/>
      </c>
      <c r="L412" s="119" t="n"/>
      <c r="M412" s="34">
        <f>L412*F412</f>
        <v/>
      </c>
      <c r="N412" s="119" t="n"/>
      <c r="O412" s="34">
        <f>F412</f>
        <v/>
      </c>
      <c r="P412" s="34">
        <f>N412*O412</f>
        <v/>
      </c>
      <c r="Q412" s="117" t="n">
        <v>0</v>
      </c>
      <c r="R412" s="34">
        <f>F412</f>
        <v/>
      </c>
      <c r="S412" s="34">
        <f>R412*Q412</f>
        <v/>
      </c>
      <c r="T412" s="34">
        <f>SUMIFS('[1]GİP VERİLERİ'!$C:$C,'[1]GİP VERİLERİ'!$B:$B,A412,'[1]GİP VERİLERİ'!$M:$M,"40X000000104782K",'[1]GİP VERİLERİ'!$G:$G,"SELL")</f>
        <v/>
      </c>
      <c r="U412" s="34">
        <f>IFERROR(W412/T412,0)</f>
        <v/>
      </c>
      <c r="V412" s="34">
        <f>IF(U412=0,0,U412-F412)</f>
        <v/>
      </c>
      <c r="W412" s="34">
        <f>SUMIFS('[1]GİP VERİLERİ'!$O:$O,'[1]GİP VERİLERİ'!$B:$B,A412,'[1]GİP VERİLERİ'!$M:$M,"40X000000104782K",'[1]GİP VERİLERİ'!$G:$G,"SELL")</f>
        <v/>
      </c>
      <c r="X412" s="34">
        <f>SUMIFS('[1]GİP VERİLERİ'!$C:$C,'[1]GİP VERİLERİ'!$B:$B,A412,'[1]GİP VERİLERİ'!$M:$M,"40X000000104782K",'[1]GİP VERİLERİ'!$G:$G,"BUY")</f>
        <v/>
      </c>
      <c r="Y412" s="34">
        <f>IFERROR(AA412/X412,0)</f>
        <v/>
      </c>
      <c r="Z412" s="34">
        <f>IF(Y412=0,0,F412-Y412)</f>
        <v/>
      </c>
      <c r="AA412" s="34">
        <f>SUMIFS('[1]GİP VERİLERİ'!$O:$O,'[1]GİP VERİLERİ'!$B:$B,A412,'[1]GİP VERİLERİ'!$M:$M,"40X000000104782K",'[1]GİP VERİLERİ'!$G:$G,"BUY")</f>
        <v/>
      </c>
      <c r="AB412" s="34">
        <f>'[1]GÖP VERİLERİ'!H413</f>
        <v/>
      </c>
      <c r="AC412" s="34">
        <f>'[1]GÖP VERİLERİ'!I413</f>
        <v/>
      </c>
      <c r="AD412" s="34">
        <f>IF(AB412&gt;AC412*1.05,AB412-AC412*1.05,IF(AB412&lt;AC412*0.95,AC412*0.95-AB412,0))</f>
        <v/>
      </c>
      <c r="AE412" s="34">
        <f>MAX(F412,G412,750)*0.05*AD412</f>
        <v/>
      </c>
      <c r="AF412" s="34">
        <f>'[1]GÖP VERİLERİ'!J413</f>
        <v/>
      </c>
      <c r="AG412" s="34">
        <f>IF(AB412&gt;AF412*1.05,AB412-AF412*1.05,IF(AB412&lt;AF412*0.95,AF412*0.95-AB412,0))</f>
        <v/>
      </c>
      <c r="AH412" s="34">
        <f>MAX(I412,J412,750)*0.05*AG412</f>
        <v/>
      </c>
      <c r="AI412">
        <f>'[1]GÖP VERİLERİ'!E413</f>
        <v/>
      </c>
      <c r="AJ412">
        <f>'[1]GÖP VERİLERİ'!F413</f>
        <v/>
      </c>
      <c r="AK412" s="34">
        <f>IF(AI412&gt;AJ412*1.05,AI412-AJ412*1.05,IF(AI412&lt;AJ412*0.95,AJ412*0.95-AI412,0))</f>
        <v/>
      </c>
      <c r="AL412" s="34">
        <f>MAX(F412,G412,750)*0.05*AK412</f>
        <v/>
      </c>
      <c r="AM412" s="39">
        <f>'[1]GÖP VERİLERİ'!G413</f>
        <v/>
      </c>
      <c r="AN412" s="34">
        <f>IF(AI412&gt;AM412*1.05,AI412-AM412*1.05,IF(AI412&lt;AM412*0.95,AM412*0.95-AI412,0))</f>
        <v/>
      </c>
      <c r="AO412" s="34">
        <f>MAX(F412,G412,750)*0.05*AN412</f>
        <v/>
      </c>
      <c r="AP412" s="34">
        <f>'[1]GÖP VERİLERİ'!B413</f>
        <v/>
      </c>
      <c r="AQ412" s="34">
        <f>'[1]GÖP VERİLERİ'!C413</f>
        <v/>
      </c>
      <c r="AR412" s="34">
        <f>IF(AP412&gt;AQ412*1.05,AP412-AQ412*1.05,IF(AP412&lt;AQ412*0.95,AQ412*0.95-AP412,0))</f>
        <v/>
      </c>
      <c r="AS412" s="34">
        <f>MAX(F412:G412,750)*0.05*AR412</f>
        <v/>
      </c>
      <c r="AT412">
        <f>'[1]GÖP VERİLERİ'!D413</f>
        <v/>
      </c>
      <c r="AU412" s="34">
        <f>IF(AP412&gt;AT412*1.05,AP412-AT412*1.05,IF(AP412&lt;AT412*0.95,AT412*0.95-AP412,0))</f>
        <v/>
      </c>
      <c r="AV412" s="34">
        <f>MAX(F412:G412,750)*0.05*AU412</f>
        <v/>
      </c>
      <c r="AW412" s="34">
        <f>AC412+AJ412+AQ412</f>
        <v/>
      </c>
      <c r="AX412" s="34">
        <f>AF412+AM412+AT412</f>
        <v/>
      </c>
      <c r="AY412" s="34">
        <f>AB412+AI412+AP412</f>
        <v/>
      </c>
      <c r="AZ412" s="34" t="n">
        <v>0</v>
      </c>
      <c r="BA412" s="34">
        <f>AD412+AK412+AR412</f>
        <v/>
      </c>
      <c r="BB412" s="34">
        <f>MAX(F412:G412,750)*0.05*BA412</f>
        <v/>
      </c>
      <c r="BC412" s="34">
        <f>AG412+AN412+AU412</f>
        <v/>
      </c>
      <c r="BD412" s="34">
        <f>MAX(F412:G412,750)*0.05*BC412</f>
        <v/>
      </c>
      <c r="BE412" s="34">
        <f>F412*AY412</f>
        <v/>
      </c>
      <c r="BF412" s="34">
        <f>K412-M412</f>
        <v/>
      </c>
      <c r="BG412" s="34">
        <f>P412-S412</f>
        <v/>
      </c>
      <c r="BH412" s="34">
        <f>W412-AA412</f>
        <v/>
      </c>
      <c r="BI412" s="34">
        <f>BF412+BG412+BL412-BN412</f>
        <v/>
      </c>
      <c r="BJ412" s="34">
        <f>ABS(BK412)</f>
        <v/>
      </c>
      <c r="BK412" s="34">
        <f>AY412-(J412-L412+N412-Q412)</f>
        <v/>
      </c>
      <c r="BL412" s="34">
        <f>IF(AND(BK412&gt;0,MIN($F412:$G412)&lt;150,$E412="Enerji Açığı"),-100*BK412*1.03,IF(AND(BK412&gt;0,MIN($F412:$G412)&lt;150,$E412="Enerji Fazlası"),-100*BK412*1.06,IF(AND(BK412&gt;0,MIN($F412:$G412)&gt;=150,$E412="Enerji Açığı"),BK412*MIN($F412:$G412)*0.97,IF(AND(BK412&gt;0,MIN($F412:$G412)&gt;=150,$E412="Enerji Fazlası"),BK412*MIN($F412:$G412)*0.94,IF(AND(BK412&lt;0,MAX($F412:$G412)=4500,$E412="Enerji Açığı"),4500*1.05*1.06*BK412,IF(AND(BK412&lt;0,MAX($F412:$G412)=4500,$E412="Enerji Fazlası"),4500*1.05*1.03*BK412,IF(AND(BK412&lt;0,$E412="Enerji Açığı"),MAX($F412,$G412,150)*BK412*1.06,IF(AND(BK412&lt;0,$E412="Enerji Fazlası"),MAX($F412,$G412,150)*BK412*1.03,IF(AND(BK412&lt;0,$E412="Dengede"),MAX($F412:$G412,150)*1.03*BK412,MIN($F412:$G412)*0.97*BK412)))))))))</f>
        <v/>
      </c>
      <c r="BM412" s="34">
        <f>BE412-BI412-BN412</f>
        <v/>
      </c>
      <c r="BN412" s="34">
        <f>BB412</f>
        <v/>
      </c>
      <c r="BO412" s="34">
        <f>BE412-BI412</f>
        <v/>
      </c>
      <c r="BP412" s="34">
        <f>IF(AY412=0,0,BO412/AY412)</f>
        <v/>
      </c>
      <c r="BQ412" s="34">
        <f>MAX((AY412+MAX((-J412+L412-N412+Q412),0)),(MAX((J412-L412+N412-Q412),0)))</f>
        <v/>
      </c>
      <c r="BR412" s="82">
        <f>IFERROR(ABS(BK412/BQ412),0)</f>
        <v/>
      </c>
      <c r="BS412" s="34">
        <f>IF(BR412&lt;=0.1,0,BK412/BR412*(BR412-0.1))</f>
        <v/>
      </c>
      <c r="BT412" s="34">
        <f>IF((BS412)&lt;0,MAX(F412:G412)*(BS412)*1.03,MIN(F412:G412)*(BS412)*0.97)</f>
        <v/>
      </c>
      <c r="BU412" s="34">
        <f>IF(BR412&gt;0.1,1,0)</f>
        <v/>
      </c>
      <c r="BV412" s="34">
        <f>BF412+BG412+BH412+BY412-CA412</f>
        <v/>
      </c>
      <c r="BW412" s="34">
        <f>ABS(BX412)</f>
        <v/>
      </c>
      <c r="BX412" s="34">
        <f>AY412-(J412-L412+N412-Q412+T412-X412)</f>
        <v/>
      </c>
      <c r="BY412" s="34">
        <f>IF(AND(BX412&gt;0,MIN($F412:$G412)&lt;150,$E412="Enerji Açığı"),-100*BX412*1.03,IF(AND(BX412&gt;0,MIN($F412:$G412)&lt;150,$E412="Enerji Fazlası"),-100*BX412*1.06,IF(AND(BX412&gt;0,MIN($F412:$G412)&gt;=150,$E412="Enerji Açığı"),BX412*MIN($F412:$G412)*0.97,IF(AND(BX412&gt;0,MIN($F412:$G412)&gt;=150,$E412="Enerji Fazlası"),BX412*MIN($F412:$G412)*0.94,IF(AND(BX412&lt;0,MAX($F412:$G412)=4500,$E412="Enerji Açığı"),4500*1.05*1.06*BX412,IF(AND(BX412&lt;0,MAX($F412:$G412)=4500,$E412="Enerji Fazlası"),4500*1.05*1.03*BX412,IF(AND(BX412&lt;0,$E412="Enerji Açığı"),MAX($F412,$G412,150)*BX412*1.06,IF(AND(BX412&lt;0,$E412="Enerji Fazlası"),MAX($F412,$G412,150)*BX412*1.03,IF(AND(BX412&lt;0,$E412="Dengede"),MAX($F412:$G412,150)*1.03*BX412,MIN($F412:$G412)*0.97*BX412)))))))))</f>
        <v/>
      </c>
      <c r="BZ412" s="34">
        <f>BE412-BV412-CA412</f>
        <v/>
      </c>
      <c r="CA412" s="34">
        <f>BD412</f>
        <v/>
      </c>
      <c r="CB412" s="33">
        <f>BE412-BV412</f>
        <v/>
      </c>
      <c r="CC412" s="34">
        <f>IF(AY412=0,0,CB412/AY412)</f>
        <v/>
      </c>
      <c r="CD412" s="34">
        <f>MAX((AY412+MAX((-J412+L412-N412+Q412-T412+X412),0)),(MAX((J412-L412+N412-Q412+T412-X412),0)))</f>
        <v/>
      </c>
      <c r="CE412" s="82">
        <f>IFERROR(ABS(BX412/CD412),0)</f>
        <v/>
      </c>
      <c r="CF412" s="34">
        <f>IF(CE412&lt;=0.1,0,BX412/CE412*(CE412-0.1))</f>
        <v/>
      </c>
      <c r="CG412" s="34">
        <f>IF((CF412)&lt;0,MAX(F412:G412)*(CF412)*1.03,MIN(F412:G412)*(CF412)*0.97)</f>
        <v/>
      </c>
      <c r="CH412" s="34">
        <f>IF(CE412&gt;0.1,1,0)</f>
        <v/>
      </c>
      <c r="CI412" s="34">
        <f>(F412*BX412)-BY412</f>
        <v/>
      </c>
      <c r="CJ412" s="34">
        <f>IF(AY412=0,0,CI412/AY412)</f>
        <v/>
      </c>
    </row>
    <row r="413">
      <c r="A413" s="29">
        <f>[1]FİYATLAR!A388</f>
        <v/>
      </c>
      <c r="B413" s="29">
        <f>[1]FİYATLAR!B388</f>
        <v/>
      </c>
      <c r="C413" s="35">
        <f>INT(A413)</f>
        <v/>
      </c>
      <c r="D413" s="36">
        <f>MONTH(A413)</f>
        <v/>
      </c>
      <c r="E413" s="147">
        <f>[1]FİYATLAR!G388</f>
        <v/>
      </c>
      <c r="F413" s="30">
        <f>[1]FİYATLAR!C388</f>
        <v/>
      </c>
      <c r="G413" s="30">
        <f>[1]FİYATLAR!E388</f>
        <v/>
      </c>
      <c r="H413" s="30">
        <f>[1]FİYATLAR!D388</f>
        <v/>
      </c>
      <c r="I413" s="30">
        <f>[1]FİYATLAR!F388</f>
        <v/>
      </c>
      <c r="J413" s="119" t="n">
        <v>0</v>
      </c>
      <c r="K413" s="34">
        <f>F413*J413</f>
        <v/>
      </c>
      <c r="L413" s="119" t="n"/>
      <c r="M413" s="34">
        <f>L413*F413</f>
        <v/>
      </c>
      <c r="N413" s="119" t="n"/>
      <c r="O413" s="34">
        <f>F413</f>
        <v/>
      </c>
      <c r="P413" s="34">
        <f>N413*O413</f>
        <v/>
      </c>
      <c r="Q413" s="117" t="n">
        <v>0</v>
      </c>
      <c r="R413" s="34">
        <f>F413</f>
        <v/>
      </c>
      <c r="S413" s="34">
        <f>R413*Q413</f>
        <v/>
      </c>
      <c r="T413" s="34">
        <f>SUMIFS('[1]GİP VERİLERİ'!$C:$C,'[1]GİP VERİLERİ'!$B:$B,A413,'[1]GİP VERİLERİ'!$M:$M,"40X000000104782K",'[1]GİP VERİLERİ'!$G:$G,"SELL")</f>
        <v/>
      </c>
      <c r="U413" s="34">
        <f>IFERROR(W413/T413,0)</f>
        <v/>
      </c>
      <c r="V413" s="34">
        <f>IF(U413=0,0,U413-F413)</f>
        <v/>
      </c>
      <c r="W413" s="34">
        <f>SUMIFS('[1]GİP VERİLERİ'!$O:$O,'[1]GİP VERİLERİ'!$B:$B,A413,'[1]GİP VERİLERİ'!$M:$M,"40X000000104782K",'[1]GİP VERİLERİ'!$G:$G,"SELL")</f>
        <v/>
      </c>
      <c r="X413" s="34">
        <f>SUMIFS('[1]GİP VERİLERİ'!$C:$C,'[1]GİP VERİLERİ'!$B:$B,A413,'[1]GİP VERİLERİ'!$M:$M,"40X000000104782K",'[1]GİP VERİLERİ'!$G:$G,"BUY")</f>
        <v/>
      </c>
      <c r="Y413" s="34">
        <f>IFERROR(AA413/X413,0)</f>
        <v/>
      </c>
      <c r="Z413" s="34">
        <f>IF(Y413=0,0,F413-Y413)</f>
        <v/>
      </c>
      <c r="AA413" s="34">
        <f>SUMIFS('[1]GİP VERİLERİ'!$O:$O,'[1]GİP VERİLERİ'!$B:$B,A413,'[1]GİP VERİLERİ'!$M:$M,"40X000000104782K",'[1]GİP VERİLERİ'!$G:$G,"BUY")</f>
        <v/>
      </c>
      <c r="AB413" s="34">
        <f>'[1]GÖP VERİLERİ'!H414</f>
        <v/>
      </c>
      <c r="AC413" s="34">
        <f>'[1]GÖP VERİLERİ'!I414</f>
        <v/>
      </c>
      <c r="AD413" s="34">
        <f>IF(AB413&gt;AC413*1.05,AB413-AC413*1.05,IF(AB413&lt;AC413*0.95,AC413*0.95-AB413,0))</f>
        <v/>
      </c>
      <c r="AE413" s="34">
        <f>MAX(F413,G413,750)*0.05*AD413</f>
        <v/>
      </c>
      <c r="AF413" s="34">
        <f>'[1]GÖP VERİLERİ'!J414</f>
        <v/>
      </c>
      <c r="AG413" s="34">
        <f>IF(AB413&gt;AF413*1.05,AB413-AF413*1.05,IF(AB413&lt;AF413*0.95,AF413*0.95-AB413,0))</f>
        <v/>
      </c>
      <c r="AH413" s="34">
        <f>MAX(I413,J413,750)*0.05*AG413</f>
        <v/>
      </c>
      <c r="AI413">
        <f>'[1]GÖP VERİLERİ'!E414</f>
        <v/>
      </c>
      <c r="AJ413">
        <f>'[1]GÖP VERİLERİ'!F414</f>
        <v/>
      </c>
      <c r="AK413" s="34">
        <f>IF(AI413&gt;AJ413*1.05,AI413-AJ413*1.05,IF(AI413&lt;AJ413*0.95,AJ413*0.95-AI413,0))</f>
        <v/>
      </c>
      <c r="AL413" s="34">
        <f>MAX(F413,G413,750)*0.05*AK413</f>
        <v/>
      </c>
      <c r="AM413" s="39">
        <f>'[1]GÖP VERİLERİ'!G414</f>
        <v/>
      </c>
      <c r="AN413" s="34">
        <f>IF(AI413&gt;AM413*1.05,AI413-AM413*1.05,IF(AI413&lt;AM413*0.95,AM413*0.95-AI413,0))</f>
        <v/>
      </c>
      <c r="AO413" s="34">
        <f>MAX(F413,G413,750)*0.05*AN413</f>
        <v/>
      </c>
      <c r="AP413" s="34">
        <f>'[1]GÖP VERİLERİ'!B414</f>
        <v/>
      </c>
      <c r="AQ413" s="34">
        <f>'[1]GÖP VERİLERİ'!C414</f>
        <v/>
      </c>
      <c r="AR413" s="34">
        <f>IF(AP413&gt;AQ413*1.05,AP413-AQ413*1.05,IF(AP413&lt;AQ413*0.95,AQ413*0.95-AP413,0))</f>
        <v/>
      </c>
      <c r="AS413" s="34">
        <f>MAX(F413:G413,750)*0.05*AR413</f>
        <v/>
      </c>
      <c r="AT413">
        <f>'[1]GÖP VERİLERİ'!D414</f>
        <v/>
      </c>
      <c r="AU413" s="34">
        <f>IF(AP413&gt;AT413*1.05,AP413-AT413*1.05,IF(AP413&lt;AT413*0.95,AT413*0.95-AP413,0))</f>
        <v/>
      </c>
      <c r="AV413" s="34">
        <f>MAX(F413:G413,750)*0.05*AU413</f>
        <v/>
      </c>
      <c r="AW413" s="34">
        <f>AC413+AJ413+AQ413</f>
        <v/>
      </c>
      <c r="AX413" s="34">
        <f>AF413+AM413+AT413</f>
        <v/>
      </c>
      <c r="AY413" s="34">
        <f>AB413+AI413+AP413</f>
        <v/>
      </c>
      <c r="AZ413" s="34" t="n">
        <v>0</v>
      </c>
      <c r="BA413" s="34">
        <f>AD413+AK413+AR413</f>
        <v/>
      </c>
      <c r="BB413" s="34">
        <f>MAX(F413:G413,750)*0.05*BA413</f>
        <v/>
      </c>
      <c r="BC413" s="34">
        <f>AG413+AN413+AU413</f>
        <v/>
      </c>
      <c r="BD413" s="34">
        <f>MAX(F413:G413,750)*0.05*BC413</f>
        <v/>
      </c>
      <c r="BE413" s="34">
        <f>F413*AY413</f>
        <v/>
      </c>
      <c r="BF413" s="34">
        <f>K413-M413</f>
        <v/>
      </c>
      <c r="BG413" s="34">
        <f>P413-S413</f>
        <v/>
      </c>
      <c r="BH413" s="34">
        <f>W413-AA413</f>
        <v/>
      </c>
      <c r="BI413" s="34">
        <f>BF413+BG413+BL413-BN413</f>
        <v/>
      </c>
      <c r="BJ413" s="34">
        <f>ABS(BK413)</f>
        <v/>
      </c>
      <c r="BK413" s="34">
        <f>AY413-(J413-L413+N413-Q413)</f>
        <v/>
      </c>
      <c r="BL413" s="34">
        <f>IF(AND(BK413&gt;0,MIN($F413:$G413)&lt;150,$E413="Enerji Açığı"),-100*BK413*1.03,IF(AND(BK413&gt;0,MIN($F413:$G413)&lt;150,$E413="Enerji Fazlası"),-100*BK413*1.06,IF(AND(BK413&gt;0,MIN($F413:$G413)&gt;=150,$E413="Enerji Açığı"),BK413*MIN($F413:$G413)*0.97,IF(AND(BK413&gt;0,MIN($F413:$G413)&gt;=150,$E413="Enerji Fazlası"),BK413*MIN($F413:$G413)*0.94,IF(AND(BK413&lt;0,MAX($F413:$G413)=4500,$E413="Enerji Açığı"),4500*1.05*1.06*BK413,IF(AND(BK413&lt;0,MAX($F413:$G413)=4500,$E413="Enerji Fazlası"),4500*1.05*1.03*BK413,IF(AND(BK413&lt;0,$E413="Enerji Açığı"),MAX($F413,$G413,150)*BK413*1.06,IF(AND(BK413&lt;0,$E413="Enerji Fazlası"),MAX($F413,$G413,150)*BK413*1.03,IF(AND(BK413&lt;0,$E413="Dengede"),MAX($F413:$G413,150)*1.03*BK413,MIN($F413:$G413)*0.97*BK413)))))))))</f>
        <v/>
      </c>
      <c r="BM413" s="34">
        <f>BE413-BI413-BN413</f>
        <v/>
      </c>
      <c r="BN413" s="34">
        <f>BB413</f>
        <v/>
      </c>
      <c r="BO413" s="34">
        <f>BE413-BI413</f>
        <v/>
      </c>
      <c r="BP413" s="34">
        <f>IF(AY413=0,0,BO413/AY413)</f>
        <v/>
      </c>
      <c r="BQ413" s="34">
        <f>MAX((AY413+MAX((-J413+L413-N413+Q413),0)),(MAX((J413-L413+N413-Q413),0)))</f>
        <v/>
      </c>
      <c r="BR413" s="82">
        <f>IFERROR(ABS(BK413/BQ413),0)</f>
        <v/>
      </c>
      <c r="BS413" s="34">
        <f>IF(BR413&lt;=0.1,0,BK413/BR413*(BR413-0.1))</f>
        <v/>
      </c>
      <c r="BT413" s="34">
        <f>IF((BS413)&lt;0,MAX(F413:G413)*(BS413)*1.03,MIN(F413:G413)*(BS413)*0.97)</f>
        <v/>
      </c>
      <c r="BU413" s="34">
        <f>IF(BR413&gt;0.1,1,0)</f>
        <v/>
      </c>
      <c r="BV413" s="34">
        <f>BF413+BG413+BH413+BY413-CA413</f>
        <v/>
      </c>
      <c r="BW413" s="34">
        <f>ABS(BX413)</f>
        <v/>
      </c>
      <c r="BX413" s="34">
        <f>AY413-(J413-L413+N413-Q413+T413-X413)</f>
        <v/>
      </c>
      <c r="BY413" s="34">
        <f>IF(AND(BX413&gt;0,MIN($F413:$G413)&lt;150,$E413="Enerji Açığı"),-100*BX413*1.03,IF(AND(BX413&gt;0,MIN($F413:$G413)&lt;150,$E413="Enerji Fazlası"),-100*BX413*1.06,IF(AND(BX413&gt;0,MIN($F413:$G413)&gt;=150,$E413="Enerji Açığı"),BX413*MIN($F413:$G413)*0.97,IF(AND(BX413&gt;0,MIN($F413:$G413)&gt;=150,$E413="Enerji Fazlası"),BX413*MIN($F413:$G413)*0.94,IF(AND(BX413&lt;0,MAX($F413:$G413)=4500,$E413="Enerji Açığı"),4500*1.05*1.06*BX413,IF(AND(BX413&lt;0,MAX($F413:$G413)=4500,$E413="Enerji Fazlası"),4500*1.05*1.03*BX413,IF(AND(BX413&lt;0,$E413="Enerji Açığı"),MAX($F413,$G413,150)*BX413*1.06,IF(AND(BX413&lt;0,$E413="Enerji Fazlası"),MAX($F413,$G413,150)*BX413*1.03,IF(AND(BX413&lt;0,$E413="Dengede"),MAX($F413:$G413,150)*1.03*BX413,MIN($F413:$G413)*0.97*BX413)))))))))</f>
        <v/>
      </c>
      <c r="BZ413" s="34">
        <f>BE413-BV413-CA413</f>
        <v/>
      </c>
      <c r="CA413" s="34">
        <f>BD413</f>
        <v/>
      </c>
      <c r="CB413" s="33">
        <f>BE413-BV413</f>
        <v/>
      </c>
      <c r="CC413" s="34">
        <f>IF(AY413=0,0,CB413/AY413)</f>
        <v/>
      </c>
      <c r="CD413" s="34">
        <f>MAX((AY413+MAX((-J413+L413-N413+Q413-T413+X413),0)),(MAX((J413-L413+N413-Q413+T413-X413),0)))</f>
        <v/>
      </c>
      <c r="CE413" s="82">
        <f>IFERROR(ABS(BX413/CD413),0)</f>
        <v/>
      </c>
      <c r="CF413" s="34">
        <f>IF(CE413&lt;=0.1,0,BX413/CE413*(CE413-0.1))</f>
        <v/>
      </c>
      <c r="CG413" s="34">
        <f>IF((CF413)&lt;0,MAX(F413:G413)*(CF413)*1.03,MIN(F413:G413)*(CF413)*0.97)</f>
        <v/>
      </c>
      <c r="CH413" s="34">
        <f>IF(CE413&gt;0.1,1,0)</f>
        <v/>
      </c>
      <c r="CI413" s="34">
        <f>(F413*BX413)-BY413</f>
        <v/>
      </c>
      <c r="CJ413" s="34">
        <f>IF(AY413=0,0,CI413/AY413)</f>
        <v/>
      </c>
    </row>
    <row r="414">
      <c r="A414" s="29">
        <f>[1]FİYATLAR!A389</f>
        <v/>
      </c>
      <c r="B414" s="29">
        <f>[1]FİYATLAR!B389</f>
        <v/>
      </c>
      <c r="C414" s="35">
        <f>INT(A414)</f>
        <v/>
      </c>
      <c r="D414" s="36">
        <f>MONTH(A414)</f>
        <v/>
      </c>
      <c r="E414" s="147">
        <f>[1]FİYATLAR!G389</f>
        <v/>
      </c>
      <c r="F414" s="30">
        <f>[1]FİYATLAR!C389</f>
        <v/>
      </c>
      <c r="G414" s="30">
        <f>[1]FİYATLAR!E389</f>
        <v/>
      </c>
      <c r="H414" s="30">
        <f>[1]FİYATLAR!D389</f>
        <v/>
      </c>
      <c r="I414" s="30">
        <f>[1]FİYATLAR!F389</f>
        <v/>
      </c>
      <c r="J414" s="119" t="n">
        <v>0</v>
      </c>
      <c r="K414" s="34">
        <f>F414*J414</f>
        <v/>
      </c>
      <c r="L414" s="119" t="n"/>
      <c r="M414" s="34">
        <f>L414*F414</f>
        <v/>
      </c>
      <c r="N414" s="119" t="n"/>
      <c r="O414" s="34">
        <f>F414</f>
        <v/>
      </c>
      <c r="P414" s="34">
        <f>N414*O414</f>
        <v/>
      </c>
      <c r="Q414" s="117" t="n">
        <v>0</v>
      </c>
      <c r="R414" s="34">
        <f>F414</f>
        <v/>
      </c>
      <c r="S414" s="34">
        <f>R414*Q414</f>
        <v/>
      </c>
      <c r="T414" s="34">
        <f>SUMIFS('[1]GİP VERİLERİ'!$C:$C,'[1]GİP VERİLERİ'!$B:$B,A414,'[1]GİP VERİLERİ'!$M:$M,"40X000000104782K",'[1]GİP VERİLERİ'!$G:$G,"SELL")</f>
        <v/>
      </c>
      <c r="U414" s="34">
        <f>IFERROR(W414/T414,0)</f>
        <v/>
      </c>
      <c r="V414" s="34">
        <f>IF(U414=0,0,U414-F414)</f>
        <v/>
      </c>
      <c r="W414" s="34">
        <f>SUMIFS('[1]GİP VERİLERİ'!$O:$O,'[1]GİP VERİLERİ'!$B:$B,A414,'[1]GİP VERİLERİ'!$M:$M,"40X000000104782K",'[1]GİP VERİLERİ'!$G:$G,"SELL")</f>
        <v/>
      </c>
      <c r="X414" s="34">
        <f>SUMIFS('[1]GİP VERİLERİ'!$C:$C,'[1]GİP VERİLERİ'!$B:$B,A414,'[1]GİP VERİLERİ'!$M:$M,"40X000000104782K",'[1]GİP VERİLERİ'!$G:$G,"BUY")</f>
        <v/>
      </c>
      <c r="Y414" s="34">
        <f>IFERROR(AA414/X414,0)</f>
        <v/>
      </c>
      <c r="Z414" s="34">
        <f>IF(Y414=0,0,F414-Y414)</f>
        <v/>
      </c>
      <c r="AA414" s="34">
        <f>SUMIFS('[1]GİP VERİLERİ'!$O:$O,'[1]GİP VERİLERİ'!$B:$B,A414,'[1]GİP VERİLERİ'!$M:$M,"40X000000104782K",'[1]GİP VERİLERİ'!$G:$G,"BUY")</f>
        <v/>
      </c>
      <c r="AB414" s="34">
        <f>'[1]GÖP VERİLERİ'!H415</f>
        <v/>
      </c>
      <c r="AC414" s="34">
        <f>'[1]GÖP VERİLERİ'!I415</f>
        <v/>
      </c>
      <c r="AD414" s="34">
        <f>IF(AB414&gt;AC414*1.05,AB414-AC414*1.05,IF(AB414&lt;AC414*0.95,AC414*0.95-AB414,0))</f>
        <v/>
      </c>
      <c r="AE414" s="34">
        <f>MAX(F414,G414,750)*0.05*AD414</f>
        <v/>
      </c>
      <c r="AF414" s="34">
        <f>'[1]GÖP VERİLERİ'!J415</f>
        <v/>
      </c>
      <c r="AG414" s="34">
        <f>IF(AB414&gt;AF414*1.05,AB414-AF414*1.05,IF(AB414&lt;AF414*0.95,AF414*0.95-AB414,0))</f>
        <v/>
      </c>
      <c r="AH414" s="34">
        <f>MAX(I414,J414,750)*0.05*AG414</f>
        <v/>
      </c>
      <c r="AI414">
        <f>'[1]GÖP VERİLERİ'!E415</f>
        <v/>
      </c>
      <c r="AJ414">
        <f>'[1]GÖP VERİLERİ'!F415</f>
        <v/>
      </c>
      <c r="AK414" s="34">
        <f>IF(AI414&gt;AJ414*1.05,AI414-AJ414*1.05,IF(AI414&lt;AJ414*0.95,AJ414*0.95-AI414,0))</f>
        <v/>
      </c>
      <c r="AL414" s="34">
        <f>MAX(F414,G414,750)*0.05*AK414</f>
        <v/>
      </c>
      <c r="AM414" s="39">
        <f>'[1]GÖP VERİLERİ'!G415</f>
        <v/>
      </c>
      <c r="AN414" s="34">
        <f>IF(AI414&gt;AM414*1.05,AI414-AM414*1.05,IF(AI414&lt;AM414*0.95,AM414*0.95-AI414,0))</f>
        <v/>
      </c>
      <c r="AO414" s="34">
        <f>MAX(F414,G414,750)*0.05*AN414</f>
        <v/>
      </c>
      <c r="AP414" s="34">
        <f>'[1]GÖP VERİLERİ'!B415</f>
        <v/>
      </c>
      <c r="AQ414" s="34">
        <f>'[1]GÖP VERİLERİ'!C415</f>
        <v/>
      </c>
      <c r="AR414" s="34">
        <f>IF(AP414&gt;AQ414*1.05,AP414-AQ414*1.05,IF(AP414&lt;AQ414*0.95,AQ414*0.95-AP414,0))</f>
        <v/>
      </c>
      <c r="AS414" s="34">
        <f>MAX(F414:G414,750)*0.05*AR414</f>
        <v/>
      </c>
      <c r="AT414">
        <f>'[1]GÖP VERİLERİ'!D415</f>
        <v/>
      </c>
      <c r="AU414" s="34">
        <f>IF(AP414&gt;AT414*1.05,AP414-AT414*1.05,IF(AP414&lt;AT414*0.95,AT414*0.95-AP414,0))</f>
        <v/>
      </c>
      <c r="AV414" s="34">
        <f>MAX(F414:G414,750)*0.05*AU414</f>
        <v/>
      </c>
      <c r="AW414" s="34">
        <f>AC414+AJ414+AQ414</f>
        <v/>
      </c>
      <c r="AX414" s="34">
        <f>AF414+AM414+AT414</f>
        <v/>
      </c>
      <c r="AY414" s="34">
        <f>AB414+AI414+AP414</f>
        <v/>
      </c>
      <c r="AZ414" s="34" t="n">
        <v>0</v>
      </c>
      <c r="BA414" s="34">
        <f>AD414+AK414+AR414</f>
        <v/>
      </c>
      <c r="BB414" s="34">
        <f>MAX(F414:G414,750)*0.05*BA414</f>
        <v/>
      </c>
      <c r="BC414" s="34">
        <f>AG414+AN414+AU414</f>
        <v/>
      </c>
      <c r="BD414" s="34">
        <f>MAX(F414:G414,750)*0.05*BC414</f>
        <v/>
      </c>
      <c r="BE414" s="34">
        <f>F414*AY414</f>
        <v/>
      </c>
      <c r="BF414" s="34">
        <f>K414-M414</f>
        <v/>
      </c>
      <c r="BG414" s="34">
        <f>P414-S414</f>
        <v/>
      </c>
      <c r="BH414" s="34">
        <f>W414-AA414</f>
        <v/>
      </c>
      <c r="BI414" s="34">
        <f>BF414+BG414+BL414-BN414</f>
        <v/>
      </c>
      <c r="BJ414" s="34">
        <f>ABS(BK414)</f>
        <v/>
      </c>
      <c r="BK414" s="34">
        <f>AY414-(J414-L414+N414-Q414)</f>
        <v/>
      </c>
      <c r="BL414" s="34">
        <f>IF(AND(BK414&gt;0,MIN($F414:$G414)&lt;150,$E414="Enerji Açığı"),-100*BK414*1.03,IF(AND(BK414&gt;0,MIN($F414:$G414)&lt;150,$E414="Enerji Fazlası"),-100*BK414*1.06,IF(AND(BK414&gt;0,MIN($F414:$G414)&gt;=150,$E414="Enerji Açığı"),BK414*MIN($F414:$G414)*0.97,IF(AND(BK414&gt;0,MIN($F414:$G414)&gt;=150,$E414="Enerji Fazlası"),BK414*MIN($F414:$G414)*0.94,IF(AND(BK414&lt;0,MAX($F414:$G414)=4500,$E414="Enerji Açığı"),4500*1.05*1.06*BK414,IF(AND(BK414&lt;0,MAX($F414:$G414)=4500,$E414="Enerji Fazlası"),4500*1.05*1.03*BK414,IF(AND(BK414&lt;0,$E414="Enerji Açığı"),MAX($F414,$G414,150)*BK414*1.06,IF(AND(BK414&lt;0,$E414="Enerji Fazlası"),MAX($F414,$G414,150)*BK414*1.03,IF(AND(BK414&lt;0,$E414="Dengede"),MAX($F414:$G414,150)*1.03*BK414,MIN($F414:$G414)*0.97*BK414)))))))))</f>
        <v/>
      </c>
      <c r="BM414" s="34">
        <f>BE414-BI414-BN414</f>
        <v/>
      </c>
      <c r="BN414" s="34">
        <f>BB414</f>
        <v/>
      </c>
      <c r="BO414" s="34">
        <f>BE414-BI414</f>
        <v/>
      </c>
      <c r="BP414" s="34">
        <f>IF(AY414=0,0,BO414/AY414)</f>
        <v/>
      </c>
      <c r="BQ414" s="34">
        <f>MAX((AY414+MAX((-J414+L414-N414+Q414),0)),(MAX((J414-L414+N414-Q414),0)))</f>
        <v/>
      </c>
      <c r="BR414" s="82">
        <f>IFERROR(ABS(BK414/BQ414),0)</f>
        <v/>
      </c>
      <c r="BS414" s="34">
        <f>IF(BR414&lt;=0.1,0,BK414/BR414*(BR414-0.1))</f>
        <v/>
      </c>
      <c r="BT414" s="34">
        <f>IF((BS414)&lt;0,MAX(F414:G414)*(BS414)*1.03,MIN(F414:G414)*(BS414)*0.97)</f>
        <v/>
      </c>
      <c r="BU414" s="34">
        <f>IF(BR414&gt;0.1,1,0)</f>
        <v/>
      </c>
      <c r="BV414" s="34">
        <f>BF414+BG414+BH414+BY414-CA414</f>
        <v/>
      </c>
      <c r="BW414" s="34">
        <f>ABS(BX414)</f>
        <v/>
      </c>
      <c r="BX414" s="34">
        <f>AY414-(J414-L414+N414-Q414+T414-X414)</f>
        <v/>
      </c>
      <c r="BY414" s="34">
        <f>IF(AND(BX414&gt;0,MIN($F414:$G414)&lt;150,$E414="Enerji Açığı"),-100*BX414*1.03,IF(AND(BX414&gt;0,MIN($F414:$G414)&lt;150,$E414="Enerji Fazlası"),-100*BX414*1.06,IF(AND(BX414&gt;0,MIN($F414:$G414)&gt;=150,$E414="Enerji Açığı"),BX414*MIN($F414:$G414)*0.97,IF(AND(BX414&gt;0,MIN($F414:$G414)&gt;=150,$E414="Enerji Fazlası"),BX414*MIN($F414:$G414)*0.94,IF(AND(BX414&lt;0,MAX($F414:$G414)=4500,$E414="Enerji Açığı"),4500*1.05*1.06*BX414,IF(AND(BX414&lt;0,MAX($F414:$G414)=4500,$E414="Enerji Fazlası"),4500*1.05*1.03*BX414,IF(AND(BX414&lt;0,$E414="Enerji Açığı"),MAX($F414,$G414,150)*BX414*1.06,IF(AND(BX414&lt;0,$E414="Enerji Fazlası"),MAX($F414,$G414,150)*BX414*1.03,IF(AND(BX414&lt;0,$E414="Dengede"),MAX($F414:$G414,150)*1.03*BX414,MIN($F414:$G414)*0.97*BX414)))))))))</f>
        <v/>
      </c>
      <c r="BZ414" s="34">
        <f>BE414-BV414-CA414</f>
        <v/>
      </c>
      <c r="CA414" s="34">
        <f>BD414</f>
        <v/>
      </c>
      <c r="CB414" s="33">
        <f>BE414-BV414</f>
        <v/>
      </c>
      <c r="CC414" s="34">
        <f>IF(AY414=0,0,CB414/AY414)</f>
        <v/>
      </c>
      <c r="CD414" s="34">
        <f>MAX((AY414+MAX((-J414+L414-N414+Q414-T414+X414),0)),(MAX((J414-L414+N414-Q414+T414-X414),0)))</f>
        <v/>
      </c>
      <c r="CE414" s="82">
        <f>IFERROR(ABS(BX414/CD414),0)</f>
        <v/>
      </c>
      <c r="CF414" s="34">
        <f>IF(CE414&lt;=0.1,0,BX414/CE414*(CE414-0.1))</f>
        <v/>
      </c>
      <c r="CG414" s="34">
        <f>IF((CF414)&lt;0,MAX(F414:G414)*(CF414)*1.03,MIN(F414:G414)*(CF414)*0.97)</f>
        <v/>
      </c>
      <c r="CH414" s="34">
        <f>IF(CE414&gt;0.1,1,0)</f>
        <v/>
      </c>
      <c r="CI414" s="34">
        <f>(F414*BX414)-BY414</f>
        <v/>
      </c>
      <c r="CJ414" s="34">
        <f>IF(AY414=0,0,CI414/AY414)</f>
        <v/>
      </c>
    </row>
    <row r="415">
      <c r="A415" s="29">
        <f>[1]FİYATLAR!A390</f>
        <v/>
      </c>
      <c r="B415" s="29">
        <f>[1]FİYATLAR!B390</f>
        <v/>
      </c>
      <c r="C415" s="35">
        <f>INT(A415)</f>
        <v/>
      </c>
      <c r="D415" s="36">
        <f>MONTH(A415)</f>
        <v/>
      </c>
      <c r="E415" s="147">
        <f>[1]FİYATLAR!G390</f>
        <v/>
      </c>
      <c r="F415" s="30">
        <f>[1]FİYATLAR!C390</f>
        <v/>
      </c>
      <c r="G415" s="30">
        <f>[1]FİYATLAR!E390</f>
        <v/>
      </c>
      <c r="H415" s="30">
        <f>[1]FİYATLAR!D390</f>
        <v/>
      </c>
      <c r="I415" s="30">
        <f>[1]FİYATLAR!F390</f>
        <v/>
      </c>
      <c r="J415" s="119" t="n">
        <v>0</v>
      </c>
      <c r="K415" s="34">
        <f>F415*J415</f>
        <v/>
      </c>
      <c r="L415" s="119" t="n"/>
      <c r="M415" s="34">
        <f>L415*F415</f>
        <v/>
      </c>
      <c r="N415" s="119" t="n"/>
      <c r="O415" s="34">
        <f>F415</f>
        <v/>
      </c>
      <c r="P415" s="34">
        <f>N415*O415</f>
        <v/>
      </c>
      <c r="Q415" s="117" t="n">
        <v>0</v>
      </c>
      <c r="R415" s="34">
        <f>F415</f>
        <v/>
      </c>
      <c r="S415" s="34">
        <f>R415*Q415</f>
        <v/>
      </c>
      <c r="T415" s="34">
        <f>SUMIFS('[1]GİP VERİLERİ'!$C:$C,'[1]GİP VERİLERİ'!$B:$B,A415,'[1]GİP VERİLERİ'!$M:$M,"40X000000104782K",'[1]GİP VERİLERİ'!$G:$G,"SELL")</f>
        <v/>
      </c>
      <c r="U415" s="34">
        <f>IFERROR(W415/T415,0)</f>
        <v/>
      </c>
      <c r="V415" s="34">
        <f>IF(U415=0,0,U415-F415)</f>
        <v/>
      </c>
      <c r="W415" s="34">
        <f>SUMIFS('[1]GİP VERİLERİ'!$O:$O,'[1]GİP VERİLERİ'!$B:$B,A415,'[1]GİP VERİLERİ'!$M:$M,"40X000000104782K",'[1]GİP VERİLERİ'!$G:$G,"SELL")</f>
        <v/>
      </c>
      <c r="X415" s="34">
        <f>SUMIFS('[1]GİP VERİLERİ'!$C:$C,'[1]GİP VERİLERİ'!$B:$B,A415,'[1]GİP VERİLERİ'!$M:$M,"40X000000104782K",'[1]GİP VERİLERİ'!$G:$G,"BUY")</f>
        <v/>
      </c>
      <c r="Y415" s="34">
        <f>IFERROR(AA415/X415,0)</f>
        <v/>
      </c>
      <c r="Z415" s="34">
        <f>IF(Y415=0,0,F415-Y415)</f>
        <v/>
      </c>
      <c r="AA415" s="34">
        <f>SUMIFS('[1]GİP VERİLERİ'!$O:$O,'[1]GİP VERİLERİ'!$B:$B,A415,'[1]GİP VERİLERİ'!$M:$M,"40X000000104782K",'[1]GİP VERİLERİ'!$G:$G,"BUY")</f>
        <v/>
      </c>
      <c r="AB415" s="34">
        <f>'[1]GÖP VERİLERİ'!H416</f>
        <v/>
      </c>
      <c r="AC415" s="34">
        <f>'[1]GÖP VERİLERİ'!I416</f>
        <v/>
      </c>
      <c r="AD415" s="34">
        <f>IF(AB415&gt;AC415*1.05,AB415-AC415*1.05,IF(AB415&lt;AC415*0.95,AC415*0.95-AB415,0))</f>
        <v/>
      </c>
      <c r="AE415" s="34">
        <f>MAX(F415,G415,750)*0.05*AD415</f>
        <v/>
      </c>
      <c r="AF415" s="34">
        <f>'[1]GÖP VERİLERİ'!J416</f>
        <v/>
      </c>
      <c r="AG415" s="34">
        <f>IF(AB415&gt;AF415*1.05,AB415-AF415*1.05,IF(AB415&lt;AF415*0.95,AF415*0.95-AB415,0))</f>
        <v/>
      </c>
      <c r="AH415" s="34">
        <f>MAX(I415,J415,750)*0.05*AG415</f>
        <v/>
      </c>
      <c r="AI415">
        <f>'[1]GÖP VERİLERİ'!E416</f>
        <v/>
      </c>
      <c r="AJ415">
        <f>'[1]GÖP VERİLERİ'!F416</f>
        <v/>
      </c>
      <c r="AK415" s="34">
        <f>IF(AI415&gt;AJ415*1.05,AI415-AJ415*1.05,IF(AI415&lt;AJ415*0.95,AJ415*0.95-AI415,0))</f>
        <v/>
      </c>
      <c r="AL415" s="34">
        <f>MAX(F415,G415,750)*0.05*AK415</f>
        <v/>
      </c>
      <c r="AM415" s="39">
        <f>'[1]GÖP VERİLERİ'!G416</f>
        <v/>
      </c>
      <c r="AN415" s="34">
        <f>IF(AI415&gt;AM415*1.05,AI415-AM415*1.05,IF(AI415&lt;AM415*0.95,AM415*0.95-AI415,0))</f>
        <v/>
      </c>
      <c r="AO415" s="34">
        <f>MAX(F415,G415,750)*0.05*AN415</f>
        <v/>
      </c>
      <c r="AP415" s="34">
        <f>'[1]GÖP VERİLERİ'!B416</f>
        <v/>
      </c>
      <c r="AQ415" s="34">
        <f>'[1]GÖP VERİLERİ'!C416</f>
        <v/>
      </c>
      <c r="AR415" s="34">
        <f>IF(AP415&gt;AQ415*1.05,AP415-AQ415*1.05,IF(AP415&lt;AQ415*0.95,AQ415*0.95-AP415,0))</f>
        <v/>
      </c>
      <c r="AS415" s="34">
        <f>MAX(F415:G415,750)*0.05*AR415</f>
        <v/>
      </c>
      <c r="AT415">
        <f>'[1]GÖP VERİLERİ'!D416</f>
        <v/>
      </c>
      <c r="AU415" s="34">
        <f>IF(AP415&gt;AT415*1.05,AP415-AT415*1.05,IF(AP415&lt;AT415*0.95,AT415*0.95-AP415,0))</f>
        <v/>
      </c>
      <c r="AV415" s="34">
        <f>MAX(F415:G415,750)*0.05*AU415</f>
        <v/>
      </c>
      <c r="AW415" s="34">
        <f>AC415+AJ415+AQ415</f>
        <v/>
      </c>
      <c r="AX415" s="34">
        <f>AF415+AM415+AT415</f>
        <v/>
      </c>
      <c r="AY415" s="34">
        <f>AB415+AI415+AP415</f>
        <v/>
      </c>
      <c r="AZ415" s="34" t="n">
        <v>0</v>
      </c>
      <c r="BA415" s="34">
        <f>AD415+AK415+AR415</f>
        <v/>
      </c>
      <c r="BB415" s="34">
        <f>MAX(F415:G415,750)*0.05*BA415</f>
        <v/>
      </c>
      <c r="BC415" s="34">
        <f>AG415+AN415+AU415</f>
        <v/>
      </c>
      <c r="BD415" s="34">
        <f>MAX(F415:G415,750)*0.05*BC415</f>
        <v/>
      </c>
      <c r="BE415" s="34">
        <f>F415*AY415</f>
        <v/>
      </c>
      <c r="BF415" s="34">
        <f>K415-M415</f>
        <v/>
      </c>
      <c r="BG415" s="34">
        <f>P415-S415</f>
        <v/>
      </c>
      <c r="BH415" s="34">
        <f>W415-AA415</f>
        <v/>
      </c>
      <c r="BI415" s="34">
        <f>BF415+BG415+BL415-BN415</f>
        <v/>
      </c>
      <c r="BJ415" s="34">
        <f>ABS(BK415)</f>
        <v/>
      </c>
      <c r="BK415" s="34">
        <f>AY415-(J415-L415+N415-Q415)</f>
        <v/>
      </c>
      <c r="BL415" s="34">
        <f>IF(AND(BK415&gt;0,MIN($F415:$G415)&lt;150,$E415="Enerji Açığı"),-100*BK415*1.03,IF(AND(BK415&gt;0,MIN($F415:$G415)&lt;150,$E415="Enerji Fazlası"),-100*BK415*1.06,IF(AND(BK415&gt;0,MIN($F415:$G415)&gt;=150,$E415="Enerji Açığı"),BK415*MIN($F415:$G415)*0.97,IF(AND(BK415&gt;0,MIN($F415:$G415)&gt;=150,$E415="Enerji Fazlası"),BK415*MIN($F415:$G415)*0.94,IF(AND(BK415&lt;0,MAX($F415:$G415)=4500,$E415="Enerji Açığı"),4500*1.05*1.06*BK415,IF(AND(BK415&lt;0,MAX($F415:$G415)=4500,$E415="Enerji Fazlası"),4500*1.05*1.03*BK415,IF(AND(BK415&lt;0,$E415="Enerji Açığı"),MAX($F415,$G415,150)*BK415*1.06,IF(AND(BK415&lt;0,$E415="Enerji Fazlası"),MAX($F415,$G415,150)*BK415*1.03,IF(AND(BK415&lt;0,$E415="Dengede"),MAX($F415:$G415,150)*1.03*BK415,MIN($F415:$G415)*0.97*BK415)))))))))</f>
        <v/>
      </c>
      <c r="BM415" s="34">
        <f>BE415-BI415-BN415</f>
        <v/>
      </c>
      <c r="BN415" s="34">
        <f>BB415</f>
        <v/>
      </c>
      <c r="BO415" s="34">
        <f>BE415-BI415</f>
        <v/>
      </c>
      <c r="BP415" s="34">
        <f>IF(AY415=0,0,BO415/AY415)</f>
        <v/>
      </c>
      <c r="BQ415" s="34">
        <f>MAX((AY415+MAX((-J415+L415-N415+Q415),0)),(MAX((J415-L415+N415-Q415),0)))</f>
        <v/>
      </c>
      <c r="BR415" s="82">
        <f>IFERROR(ABS(BK415/BQ415),0)</f>
        <v/>
      </c>
      <c r="BS415" s="34">
        <f>IF(BR415&lt;=0.1,0,BK415/BR415*(BR415-0.1))</f>
        <v/>
      </c>
      <c r="BT415" s="34">
        <f>IF((BS415)&lt;0,MAX(F415:G415)*(BS415)*1.03,MIN(F415:G415)*(BS415)*0.97)</f>
        <v/>
      </c>
      <c r="BU415" s="34">
        <f>IF(BR415&gt;0.1,1,0)</f>
        <v/>
      </c>
      <c r="BV415" s="34">
        <f>BF415+BG415+BH415+BY415-CA415</f>
        <v/>
      </c>
      <c r="BW415" s="34">
        <f>ABS(BX415)</f>
        <v/>
      </c>
      <c r="BX415" s="34">
        <f>AY415-(J415-L415+N415-Q415+T415-X415)</f>
        <v/>
      </c>
      <c r="BY415" s="34">
        <f>IF(AND(BX415&gt;0,MIN($F415:$G415)&lt;150,$E415="Enerji Açığı"),-100*BX415*1.03,IF(AND(BX415&gt;0,MIN($F415:$G415)&lt;150,$E415="Enerji Fazlası"),-100*BX415*1.06,IF(AND(BX415&gt;0,MIN($F415:$G415)&gt;=150,$E415="Enerji Açığı"),BX415*MIN($F415:$G415)*0.97,IF(AND(BX415&gt;0,MIN($F415:$G415)&gt;=150,$E415="Enerji Fazlası"),BX415*MIN($F415:$G415)*0.94,IF(AND(BX415&lt;0,MAX($F415:$G415)=4500,$E415="Enerji Açığı"),4500*1.05*1.06*BX415,IF(AND(BX415&lt;0,MAX($F415:$G415)=4500,$E415="Enerji Fazlası"),4500*1.05*1.03*BX415,IF(AND(BX415&lt;0,$E415="Enerji Açığı"),MAX($F415,$G415,150)*BX415*1.06,IF(AND(BX415&lt;0,$E415="Enerji Fazlası"),MAX($F415,$G415,150)*BX415*1.03,IF(AND(BX415&lt;0,$E415="Dengede"),MAX($F415:$G415,150)*1.03*BX415,MIN($F415:$G415)*0.97*BX415)))))))))</f>
        <v/>
      </c>
      <c r="BZ415" s="34">
        <f>BE415-BV415-CA415</f>
        <v/>
      </c>
      <c r="CA415" s="34">
        <f>BD415</f>
        <v/>
      </c>
      <c r="CB415" s="33">
        <f>BE415-BV415</f>
        <v/>
      </c>
      <c r="CC415" s="34">
        <f>IF(AY415=0,0,CB415/AY415)</f>
        <v/>
      </c>
      <c r="CD415" s="34">
        <f>MAX((AY415+MAX((-J415+L415-N415+Q415-T415+X415),0)),(MAX((J415-L415+N415-Q415+T415-X415),0)))</f>
        <v/>
      </c>
      <c r="CE415" s="82">
        <f>IFERROR(ABS(BX415/CD415),0)</f>
        <v/>
      </c>
      <c r="CF415" s="34">
        <f>IF(CE415&lt;=0.1,0,BX415/CE415*(CE415-0.1))</f>
        <v/>
      </c>
      <c r="CG415" s="34">
        <f>IF((CF415)&lt;0,MAX(F415:G415)*(CF415)*1.03,MIN(F415:G415)*(CF415)*0.97)</f>
        <v/>
      </c>
      <c r="CH415" s="34">
        <f>IF(CE415&gt;0.1,1,0)</f>
        <v/>
      </c>
      <c r="CI415" s="34">
        <f>(F415*BX415)-BY415</f>
        <v/>
      </c>
      <c r="CJ415" s="34">
        <f>IF(AY415=0,0,CI415/AY415)</f>
        <v/>
      </c>
    </row>
    <row r="416">
      <c r="A416" s="29">
        <f>[1]FİYATLAR!A391</f>
        <v/>
      </c>
      <c r="B416" s="29">
        <f>[1]FİYATLAR!B391</f>
        <v/>
      </c>
      <c r="C416" s="35">
        <f>INT(A416)</f>
        <v/>
      </c>
      <c r="D416" s="36">
        <f>MONTH(A416)</f>
        <v/>
      </c>
      <c r="E416" s="147">
        <f>[1]FİYATLAR!G391</f>
        <v/>
      </c>
      <c r="F416" s="30">
        <f>[1]FİYATLAR!C391</f>
        <v/>
      </c>
      <c r="G416" s="30">
        <f>[1]FİYATLAR!E391</f>
        <v/>
      </c>
      <c r="H416" s="30">
        <f>[1]FİYATLAR!D391</f>
        <v/>
      </c>
      <c r="I416" s="30">
        <f>[1]FİYATLAR!F391</f>
        <v/>
      </c>
      <c r="J416" s="119" t="n">
        <v>0</v>
      </c>
      <c r="K416" s="34">
        <f>F416*J416</f>
        <v/>
      </c>
      <c r="L416" s="119" t="n"/>
      <c r="M416" s="34">
        <f>L416*F416</f>
        <v/>
      </c>
      <c r="N416" s="119" t="n"/>
      <c r="O416" s="34">
        <f>F416</f>
        <v/>
      </c>
      <c r="P416" s="34">
        <f>N416*O416</f>
        <v/>
      </c>
      <c r="Q416" s="117" t="n">
        <v>0</v>
      </c>
      <c r="R416" s="34">
        <f>F416</f>
        <v/>
      </c>
      <c r="S416" s="34">
        <f>R416*Q416</f>
        <v/>
      </c>
      <c r="T416" s="34">
        <f>SUMIFS('[1]GİP VERİLERİ'!$C:$C,'[1]GİP VERİLERİ'!$B:$B,A416,'[1]GİP VERİLERİ'!$M:$M,"40X000000104782K",'[1]GİP VERİLERİ'!$G:$G,"SELL")</f>
        <v/>
      </c>
      <c r="U416" s="34">
        <f>IFERROR(W416/T416,0)</f>
        <v/>
      </c>
      <c r="V416" s="34">
        <f>IF(U416=0,0,U416-F416)</f>
        <v/>
      </c>
      <c r="W416" s="34">
        <f>SUMIFS('[1]GİP VERİLERİ'!$O:$O,'[1]GİP VERİLERİ'!$B:$B,A416,'[1]GİP VERİLERİ'!$M:$M,"40X000000104782K",'[1]GİP VERİLERİ'!$G:$G,"SELL")</f>
        <v/>
      </c>
      <c r="X416" s="34">
        <f>SUMIFS('[1]GİP VERİLERİ'!$C:$C,'[1]GİP VERİLERİ'!$B:$B,A416,'[1]GİP VERİLERİ'!$M:$M,"40X000000104782K",'[1]GİP VERİLERİ'!$G:$G,"BUY")</f>
        <v/>
      </c>
      <c r="Y416" s="34">
        <f>IFERROR(AA416/X416,0)</f>
        <v/>
      </c>
      <c r="Z416" s="34">
        <f>IF(Y416=0,0,F416-Y416)</f>
        <v/>
      </c>
      <c r="AA416" s="34">
        <f>SUMIFS('[1]GİP VERİLERİ'!$O:$O,'[1]GİP VERİLERİ'!$B:$B,A416,'[1]GİP VERİLERİ'!$M:$M,"40X000000104782K",'[1]GİP VERİLERİ'!$G:$G,"BUY")</f>
        <v/>
      </c>
      <c r="AB416" s="34">
        <f>'[1]GÖP VERİLERİ'!H417</f>
        <v/>
      </c>
      <c r="AC416" s="34">
        <f>'[1]GÖP VERİLERİ'!I417</f>
        <v/>
      </c>
      <c r="AD416" s="34">
        <f>IF(AB416&gt;AC416*1.05,AB416-AC416*1.05,IF(AB416&lt;AC416*0.95,AC416*0.95-AB416,0))</f>
        <v/>
      </c>
      <c r="AE416" s="34">
        <f>MAX(F416,G416,750)*0.05*AD416</f>
        <v/>
      </c>
      <c r="AF416" s="34">
        <f>'[1]GÖP VERİLERİ'!J417</f>
        <v/>
      </c>
      <c r="AG416" s="34">
        <f>IF(AB416&gt;AF416*1.05,AB416-AF416*1.05,IF(AB416&lt;AF416*0.95,AF416*0.95-AB416,0))</f>
        <v/>
      </c>
      <c r="AH416" s="34">
        <f>MAX(I416,J416,750)*0.05*AG416</f>
        <v/>
      </c>
      <c r="AI416">
        <f>'[1]GÖP VERİLERİ'!E417</f>
        <v/>
      </c>
      <c r="AJ416">
        <f>'[1]GÖP VERİLERİ'!F417</f>
        <v/>
      </c>
      <c r="AK416" s="34">
        <f>IF(AI416&gt;AJ416*1.05,AI416-AJ416*1.05,IF(AI416&lt;AJ416*0.95,AJ416*0.95-AI416,0))</f>
        <v/>
      </c>
      <c r="AL416" s="34">
        <f>MAX(F416,G416,750)*0.05*AK416</f>
        <v/>
      </c>
      <c r="AM416" s="39">
        <f>'[1]GÖP VERİLERİ'!G417</f>
        <v/>
      </c>
      <c r="AN416" s="34">
        <f>IF(AI416&gt;AM416*1.05,AI416-AM416*1.05,IF(AI416&lt;AM416*0.95,AM416*0.95-AI416,0))</f>
        <v/>
      </c>
      <c r="AO416" s="34">
        <f>MAX(F416,G416,750)*0.05*AN416</f>
        <v/>
      </c>
      <c r="AP416" s="34">
        <f>'[1]GÖP VERİLERİ'!B417</f>
        <v/>
      </c>
      <c r="AQ416" s="34">
        <f>'[1]GÖP VERİLERİ'!C417</f>
        <v/>
      </c>
      <c r="AR416" s="34">
        <f>IF(AP416&gt;AQ416*1.05,AP416-AQ416*1.05,IF(AP416&lt;AQ416*0.95,AQ416*0.95-AP416,0))</f>
        <v/>
      </c>
      <c r="AS416" s="34">
        <f>MAX(F416:G416,750)*0.05*AR416</f>
        <v/>
      </c>
      <c r="AT416">
        <f>'[1]GÖP VERİLERİ'!D417</f>
        <v/>
      </c>
      <c r="AU416" s="34">
        <f>IF(AP416&gt;AT416*1.05,AP416-AT416*1.05,IF(AP416&lt;AT416*0.95,AT416*0.95-AP416,0))</f>
        <v/>
      </c>
      <c r="AV416" s="34">
        <f>MAX(F416:G416,750)*0.05*AU416</f>
        <v/>
      </c>
      <c r="AW416" s="34">
        <f>AC416+AJ416+AQ416</f>
        <v/>
      </c>
      <c r="AX416" s="34">
        <f>AF416+AM416+AT416</f>
        <v/>
      </c>
      <c r="AY416" s="34">
        <f>AB416+AI416+AP416</f>
        <v/>
      </c>
      <c r="AZ416" s="34" t="n">
        <v>0</v>
      </c>
      <c r="BA416" s="34">
        <f>AD416+AK416+AR416</f>
        <v/>
      </c>
      <c r="BB416" s="34">
        <f>MAX(F416:G416,750)*0.05*BA416</f>
        <v/>
      </c>
      <c r="BC416" s="34">
        <f>AG416+AN416+AU416</f>
        <v/>
      </c>
      <c r="BD416" s="34">
        <f>MAX(F416:G416,750)*0.05*BC416</f>
        <v/>
      </c>
      <c r="BE416" s="34">
        <f>F416*AY416</f>
        <v/>
      </c>
      <c r="BF416" s="34">
        <f>K416-M416</f>
        <v/>
      </c>
      <c r="BG416" s="34">
        <f>P416-S416</f>
        <v/>
      </c>
      <c r="BH416" s="34">
        <f>W416-AA416</f>
        <v/>
      </c>
      <c r="BI416" s="34">
        <f>BF416+BG416+BL416-BN416</f>
        <v/>
      </c>
      <c r="BJ416" s="34">
        <f>ABS(BK416)</f>
        <v/>
      </c>
      <c r="BK416" s="34">
        <f>AY416-(J416-L416+N416-Q416)</f>
        <v/>
      </c>
      <c r="BL416" s="34">
        <f>IF(AND(BK416&gt;0,MIN($F416:$G416)&lt;150,$E416="Enerji Açığı"),-100*BK416*1.03,IF(AND(BK416&gt;0,MIN($F416:$G416)&lt;150,$E416="Enerji Fazlası"),-100*BK416*1.06,IF(AND(BK416&gt;0,MIN($F416:$G416)&gt;=150,$E416="Enerji Açığı"),BK416*MIN($F416:$G416)*0.97,IF(AND(BK416&gt;0,MIN($F416:$G416)&gt;=150,$E416="Enerji Fazlası"),BK416*MIN($F416:$G416)*0.94,IF(AND(BK416&lt;0,MAX($F416:$G416)=4500,$E416="Enerji Açığı"),4500*1.05*1.06*BK416,IF(AND(BK416&lt;0,MAX($F416:$G416)=4500,$E416="Enerji Fazlası"),4500*1.05*1.03*BK416,IF(AND(BK416&lt;0,$E416="Enerji Açığı"),MAX($F416,$G416,150)*BK416*1.06,IF(AND(BK416&lt;0,$E416="Enerji Fazlası"),MAX($F416,$G416,150)*BK416*1.03,IF(AND(BK416&lt;0,$E416="Dengede"),MAX($F416:$G416,150)*1.03*BK416,MIN($F416:$G416)*0.97*BK416)))))))))</f>
        <v/>
      </c>
      <c r="BM416" s="34">
        <f>BE416-BI416-BN416</f>
        <v/>
      </c>
      <c r="BN416" s="34">
        <f>BB416</f>
        <v/>
      </c>
      <c r="BO416" s="34">
        <f>BE416-BI416</f>
        <v/>
      </c>
      <c r="BP416" s="34">
        <f>IF(AY416=0,0,BO416/AY416)</f>
        <v/>
      </c>
      <c r="BQ416" s="34">
        <f>MAX((AY416+MAX((-J416+L416-N416+Q416),0)),(MAX((J416-L416+N416-Q416),0)))</f>
        <v/>
      </c>
      <c r="BR416" s="82">
        <f>IFERROR(ABS(BK416/BQ416),0)</f>
        <v/>
      </c>
      <c r="BS416" s="34">
        <f>IF(BR416&lt;=0.1,0,BK416/BR416*(BR416-0.1))</f>
        <v/>
      </c>
      <c r="BT416" s="34">
        <f>IF((BS416)&lt;0,MAX(F416:G416)*(BS416)*1.03,MIN(F416:G416)*(BS416)*0.97)</f>
        <v/>
      </c>
      <c r="BU416" s="34">
        <f>IF(BR416&gt;0.1,1,0)</f>
        <v/>
      </c>
      <c r="BV416" s="34">
        <f>BF416+BG416+BH416+BY416-CA416</f>
        <v/>
      </c>
      <c r="BW416" s="34">
        <f>ABS(BX416)</f>
        <v/>
      </c>
      <c r="BX416" s="34">
        <f>AY416-(J416-L416+N416-Q416+T416-X416)</f>
        <v/>
      </c>
      <c r="BY416" s="34">
        <f>IF(AND(BX416&gt;0,MIN($F416:$G416)&lt;150,$E416="Enerji Açığı"),-100*BX416*1.03,IF(AND(BX416&gt;0,MIN($F416:$G416)&lt;150,$E416="Enerji Fazlası"),-100*BX416*1.06,IF(AND(BX416&gt;0,MIN($F416:$G416)&gt;=150,$E416="Enerji Açığı"),BX416*MIN($F416:$G416)*0.97,IF(AND(BX416&gt;0,MIN($F416:$G416)&gt;=150,$E416="Enerji Fazlası"),BX416*MIN($F416:$G416)*0.94,IF(AND(BX416&lt;0,MAX($F416:$G416)=4500,$E416="Enerji Açığı"),4500*1.05*1.06*BX416,IF(AND(BX416&lt;0,MAX($F416:$G416)=4500,$E416="Enerji Fazlası"),4500*1.05*1.03*BX416,IF(AND(BX416&lt;0,$E416="Enerji Açığı"),MAX($F416,$G416,150)*BX416*1.06,IF(AND(BX416&lt;0,$E416="Enerji Fazlası"),MAX($F416,$G416,150)*BX416*1.03,IF(AND(BX416&lt;0,$E416="Dengede"),MAX($F416:$G416,150)*1.03*BX416,MIN($F416:$G416)*0.97*BX416)))))))))</f>
        <v/>
      </c>
      <c r="BZ416" s="34">
        <f>BE416-BV416-CA416</f>
        <v/>
      </c>
      <c r="CA416" s="34">
        <f>BD416</f>
        <v/>
      </c>
      <c r="CB416" s="33">
        <f>BE416-BV416</f>
        <v/>
      </c>
      <c r="CC416" s="34">
        <f>IF(AY416=0,0,CB416/AY416)</f>
        <v/>
      </c>
      <c r="CD416" s="34">
        <f>MAX((AY416+MAX((-J416+L416-N416+Q416-T416+X416),0)),(MAX((J416-L416+N416-Q416+T416-X416),0)))</f>
        <v/>
      </c>
      <c r="CE416" s="82">
        <f>IFERROR(ABS(BX416/CD416),0)</f>
        <v/>
      </c>
      <c r="CF416" s="34">
        <f>IF(CE416&lt;=0.1,0,BX416/CE416*(CE416-0.1))</f>
        <v/>
      </c>
      <c r="CG416" s="34">
        <f>IF((CF416)&lt;0,MAX(F416:G416)*(CF416)*1.03,MIN(F416:G416)*(CF416)*0.97)</f>
        <v/>
      </c>
      <c r="CH416" s="34">
        <f>IF(CE416&gt;0.1,1,0)</f>
        <v/>
      </c>
      <c r="CI416" s="34">
        <f>(F416*BX416)-BY416</f>
        <v/>
      </c>
      <c r="CJ416" s="34">
        <f>IF(AY416=0,0,CI416/AY416)</f>
        <v/>
      </c>
    </row>
    <row r="417">
      <c r="A417" s="29">
        <f>[1]FİYATLAR!A392</f>
        <v/>
      </c>
      <c r="B417" s="29">
        <f>[1]FİYATLAR!B392</f>
        <v/>
      </c>
      <c r="C417" s="35">
        <f>INT(A417)</f>
        <v/>
      </c>
      <c r="D417" s="36">
        <f>MONTH(A417)</f>
        <v/>
      </c>
      <c r="E417" s="147">
        <f>[1]FİYATLAR!G392</f>
        <v/>
      </c>
      <c r="F417" s="30">
        <f>[1]FİYATLAR!C392</f>
        <v/>
      </c>
      <c r="G417" s="30">
        <f>[1]FİYATLAR!E392</f>
        <v/>
      </c>
      <c r="H417" s="30">
        <f>[1]FİYATLAR!D392</f>
        <v/>
      </c>
      <c r="I417" s="30">
        <f>[1]FİYATLAR!F392</f>
        <v/>
      </c>
      <c r="J417" s="119" t="n">
        <v>0</v>
      </c>
      <c r="K417" s="34">
        <f>F417*J417</f>
        <v/>
      </c>
      <c r="L417" s="119" t="n"/>
      <c r="M417" s="34">
        <f>L417*F417</f>
        <v/>
      </c>
      <c r="N417" s="119" t="n"/>
      <c r="O417" s="34">
        <f>F417</f>
        <v/>
      </c>
      <c r="P417" s="34">
        <f>N417*O417</f>
        <v/>
      </c>
      <c r="Q417" s="117" t="n">
        <v>0</v>
      </c>
      <c r="R417" s="34">
        <f>F417</f>
        <v/>
      </c>
      <c r="S417" s="34">
        <f>R417*Q417</f>
        <v/>
      </c>
      <c r="T417" s="34">
        <f>SUMIFS('[1]GİP VERİLERİ'!$C:$C,'[1]GİP VERİLERİ'!$B:$B,A417,'[1]GİP VERİLERİ'!$M:$M,"40X000000104782K",'[1]GİP VERİLERİ'!$G:$G,"SELL")</f>
        <v/>
      </c>
      <c r="U417" s="34">
        <f>IFERROR(W417/T417,0)</f>
        <v/>
      </c>
      <c r="V417" s="34">
        <f>IF(U417=0,0,U417-F417)</f>
        <v/>
      </c>
      <c r="W417" s="34">
        <f>SUMIFS('[1]GİP VERİLERİ'!$O:$O,'[1]GİP VERİLERİ'!$B:$B,A417,'[1]GİP VERİLERİ'!$M:$M,"40X000000104782K",'[1]GİP VERİLERİ'!$G:$G,"SELL")</f>
        <v/>
      </c>
      <c r="X417" s="34">
        <f>SUMIFS('[1]GİP VERİLERİ'!$C:$C,'[1]GİP VERİLERİ'!$B:$B,A417,'[1]GİP VERİLERİ'!$M:$M,"40X000000104782K",'[1]GİP VERİLERİ'!$G:$G,"BUY")</f>
        <v/>
      </c>
      <c r="Y417" s="34">
        <f>IFERROR(AA417/X417,0)</f>
        <v/>
      </c>
      <c r="Z417" s="34">
        <f>IF(Y417=0,0,F417-Y417)</f>
        <v/>
      </c>
      <c r="AA417" s="34">
        <f>SUMIFS('[1]GİP VERİLERİ'!$O:$O,'[1]GİP VERİLERİ'!$B:$B,A417,'[1]GİP VERİLERİ'!$M:$M,"40X000000104782K",'[1]GİP VERİLERİ'!$G:$G,"BUY")</f>
        <v/>
      </c>
      <c r="AB417" s="34">
        <f>'[1]GÖP VERİLERİ'!H418</f>
        <v/>
      </c>
      <c r="AC417" s="34">
        <f>'[1]GÖP VERİLERİ'!I418</f>
        <v/>
      </c>
      <c r="AD417" s="34">
        <f>IF(AB417&gt;AC417*1.05,AB417-AC417*1.05,IF(AB417&lt;AC417*0.95,AC417*0.95-AB417,0))</f>
        <v/>
      </c>
      <c r="AE417" s="34">
        <f>MAX(F417,G417,750)*0.05*AD417</f>
        <v/>
      </c>
      <c r="AF417" s="34">
        <f>'[1]GÖP VERİLERİ'!J418</f>
        <v/>
      </c>
      <c r="AG417" s="34">
        <f>IF(AB417&gt;AF417*1.05,AB417-AF417*1.05,IF(AB417&lt;AF417*0.95,AF417*0.95-AB417,0))</f>
        <v/>
      </c>
      <c r="AH417" s="34">
        <f>MAX(I417,J417,750)*0.05*AG417</f>
        <v/>
      </c>
      <c r="AI417">
        <f>'[1]GÖP VERİLERİ'!E418</f>
        <v/>
      </c>
      <c r="AJ417">
        <f>'[1]GÖP VERİLERİ'!F418</f>
        <v/>
      </c>
      <c r="AK417" s="34">
        <f>IF(AI417&gt;AJ417*1.05,AI417-AJ417*1.05,IF(AI417&lt;AJ417*0.95,AJ417*0.95-AI417,0))</f>
        <v/>
      </c>
      <c r="AL417" s="34">
        <f>MAX(F417,G417,750)*0.05*AK417</f>
        <v/>
      </c>
      <c r="AM417" s="39">
        <f>'[1]GÖP VERİLERİ'!G418</f>
        <v/>
      </c>
      <c r="AN417" s="34">
        <f>IF(AI417&gt;AM417*1.05,AI417-AM417*1.05,IF(AI417&lt;AM417*0.95,AM417*0.95-AI417,0))</f>
        <v/>
      </c>
      <c r="AO417" s="34">
        <f>MAX(F417,G417,750)*0.05*AN417</f>
        <v/>
      </c>
      <c r="AP417" s="34">
        <f>'[1]GÖP VERİLERİ'!B418</f>
        <v/>
      </c>
      <c r="AQ417" s="34">
        <f>'[1]GÖP VERİLERİ'!C418</f>
        <v/>
      </c>
      <c r="AR417" s="34">
        <f>IF(AP417&gt;AQ417*1.05,AP417-AQ417*1.05,IF(AP417&lt;AQ417*0.95,AQ417*0.95-AP417,0))</f>
        <v/>
      </c>
      <c r="AS417" s="34">
        <f>MAX(F417:G417,750)*0.05*AR417</f>
        <v/>
      </c>
      <c r="AT417">
        <f>'[1]GÖP VERİLERİ'!D418</f>
        <v/>
      </c>
      <c r="AU417" s="34">
        <f>IF(AP417&gt;AT417*1.05,AP417-AT417*1.05,IF(AP417&lt;AT417*0.95,AT417*0.95-AP417,0))</f>
        <v/>
      </c>
      <c r="AV417" s="34">
        <f>MAX(F417:G417,750)*0.05*AU417</f>
        <v/>
      </c>
      <c r="AW417" s="34">
        <f>AC417+AJ417+AQ417</f>
        <v/>
      </c>
      <c r="AX417" s="34">
        <f>AF417+AM417+AT417</f>
        <v/>
      </c>
      <c r="AY417" s="34">
        <f>AB417+AI417+AP417</f>
        <v/>
      </c>
      <c r="AZ417" s="34" t="n">
        <v>0</v>
      </c>
      <c r="BA417" s="34">
        <f>AD417+AK417+AR417</f>
        <v/>
      </c>
      <c r="BB417" s="34">
        <f>MAX(F417:G417,750)*0.05*BA417</f>
        <v/>
      </c>
      <c r="BC417" s="34">
        <f>AG417+AN417+AU417</f>
        <v/>
      </c>
      <c r="BD417" s="34">
        <f>MAX(F417:G417,750)*0.05*BC417</f>
        <v/>
      </c>
      <c r="BE417" s="34">
        <f>F417*AY417</f>
        <v/>
      </c>
      <c r="BF417" s="34">
        <f>K417-M417</f>
        <v/>
      </c>
      <c r="BG417" s="34">
        <f>P417-S417</f>
        <v/>
      </c>
      <c r="BH417" s="34">
        <f>W417-AA417</f>
        <v/>
      </c>
      <c r="BI417" s="34">
        <f>BF417+BG417+BL417-BN417</f>
        <v/>
      </c>
      <c r="BJ417" s="34">
        <f>ABS(BK417)</f>
        <v/>
      </c>
      <c r="BK417" s="34">
        <f>AY417-(J417-L417+N417-Q417)</f>
        <v/>
      </c>
      <c r="BL417" s="34">
        <f>IF(AND(BK417&gt;0,MIN($F417:$G417)&lt;150,$E417="Enerji Açığı"),-100*BK417*1.03,IF(AND(BK417&gt;0,MIN($F417:$G417)&lt;150,$E417="Enerji Fazlası"),-100*BK417*1.06,IF(AND(BK417&gt;0,MIN($F417:$G417)&gt;=150,$E417="Enerji Açığı"),BK417*MIN($F417:$G417)*0.97,IF(AND(BK417&gt;0,MIN($F417:$G417)&gt;=150,$E417="Enerji Fazlası"),BK417*MIN($F417:$G417)*0.94,IF(AND(BK417&lt;0,MAX($F417:$G417)=4500,$E417="Enerji Açığı"),4500*1.05*1.06*BK417,IF(AND(BK417&lt;0,MAX($F417:$G417)=4500,$E417="Enerji Fazlası"),4500*1.05*1.03*BK417,IF(AND(BK417&lt;0,$E417="Enerji Açığı"),MAX($F417,$G417,150)*BK417*1.06,IF(AND(BK417&lt;0,$E417="Enerji Fazlası"),MAX($F417,$G417,150)*BK417*1.03,IF(AND(BK417&lt;0,$E417="Dengede"),MAX($F417:$G417,150)*1.03*BK417,MIN($F417:$G417)*0.97*BK417)))))))))</f>
        <v/>
      </c>
      <c r="BM417" s="34">
        <f>BE417-BI417-BN417</f>
        <v/>
      </c>
      <c r="BN417" s="34">
        <f>BB417</f>
        <v/>
      </c>
      <c r="BO417" s="34">
        <f>BE417-BI417</f>
        <v/>
      </c>
      <c r="BP417" s="34">
        <f>IF(AY417=0,0,BO417/AY417)</f>
        <v/>
      </c>
      <c r="BQ417" s="34">
        <f>MAX((AY417+MAX((-J417+L417-N417+Q417),0)),(MAX((J417-L417+N417-Q417),0)))</f>
        <v/>
      </c>
      <c r="BR417" s="82">
        <f>IFERROR(ABS(BK417/BQ417),0)</f>
        <v/>
      </c>
      <c r="BS417" s="34">
        <f>IF(BR417&lt;=0.1,0,BK417/BR417*(BR417-0.1))</f>
        <v/>
      </c>
      <c r="BT417" s="34">
        <f>IF((BS417)&lt;0,MAX(F417:G417)*(BS417)*1.03,MIN(F417:G417)*(BS417)*0.97)</f>
        <v/>
      </c>
      <c r="BU417" s="34">
        <f>IF(BR417&gt;0.1,1,0)</f>
        <v/>
      </c>
      <c r="BV417" s="34">
        <f>BF417+BG417+BH417+BY417-CA417</f>
        <v/>
      </c>
      <c r="BW417" s="34">
        <f>ABS(BX417)</f>
        <v/>
      </c>
      <c r="BX417" s="34">
        <f>AY417-(J417-L417+N417-Q417+T417-X417)</f>
        <v/>
      </c>
      <c r="BY417" s="34">
        <f>IF(AND(BX417&gt;0,MIN($F417:$G417)&lt;150,$E417="Enerji Açığı"),-100*BX417*1.03,IF(AND(BX417&gt;0,MIN($F417:$G417)&lt;150,$E417="Enerji Fazlası"),-100*BX417*1.06,IF(AND(BX417&gt;0,MIN($F417:$G417)&gt;=150,$E417="Enerji Açığı"),BX417*MIN($F417:$G417)*0.97,IF(AND(BX417&gt;0,MIN($F417:$G417)&gt;=150,$E417="Enerji Fazlası"),BX417*MIN($F417:$G417)*0.94,IF(AND(BX417&lt;0,MAX($F417:$G417)=4500,$E417="Enerji Açığı"),4500*1.05*1.06*BX417,IF(AND(BX417&lt;0,MAX($F417:$G417)=4500,$E417="Enerji Fazlası"),4500*1.05*1.03*BX417,IF(AND(BX417&lt;0,$E417="Enerji Açığı"),MAX($F417,$G417,150)*BX417*1.06,IF(AND(BX417&lt;0,$E417="Enerji Fazlası"),MAX($F417,$G417,150)*BX417*1.03,IF(AND(BX417&lt;0,$E417="Dengede"),MAX($F417:$G417,150)*1.03*BX417,MIN($F417:$G417)*0.97*BX417)))))))))</f>
        <v/>
      </c>
      <c r="BZ417" s="34">
        <f>BE417-BV417-CA417</f>
        <v/>
      </c>
      <c r="CA417" s="34">
        <f>BD417</f>
        <v/>
      </c>
      <c r="CB417" s="33">
        <f>BE417-BV417</f>
        <v/>
      </c>
      <c r="CC417" s="34">
        <f>IF(AY417=0,0,CB417/AY417)</f>
        <v/>
      </c>
      <c r="CD417" s="34">
        <f>MAX((AY417+MAX((-J417+L417-N417+Q417-T417+X417),0)),(MAX((J417-L417+N417-Q417+T417-X417),0)))</f>
        <v/>
      </c>
      <c r="CE417" s="82">
        <f>IFERROR(ABS(BX417/CD417),0)</f>
        <v/>
      </c>
      <c r="CF417" s="34">
        <f>IF(CE417&lt;=0.1,0,BX417/CE417*(CE417-0.1))</f>
        <v/>
      </c>
      <c r="CG417" s="34">
        <f>IF((CF417)&lt;0,MAX(F417:G417)*(CF417)*1.03,MIN(F417:G417)*(CF417)*0.97)</f>
        <v/>
      </c>
      <c r="CH417" s="34">
        <f>IF(CE417&gt;0.1,1,0)</f>
        <v/>
      </c>
      <c r="CI417" s="34">
        <f>(F417*BX417)-BY417</f>
        <v/>
      </c>
      <c r="CJ417" s="34">
        <f>IF(AY417=0,0,CI417/AY417)</f>
        <v/>
      </c>
    </row>
    <row r="418">
      <c r="A418" s="29">
        <f>[1]FİYATLAR!A393</f>
        <v/>
      </c>
      <c r="B418" s="29">
        <f>[1]FİYATLAR!B393</f>
        <v/>
      </c>
      <c r="C418" s="35">
        <f>INT(A418)</f>
        <v/>
      </c>
      <c r="D418" s="36">
        <f>MONTH(A418)</f>
        <v/>
      </c>
      <c r="E418" s="147">
        <f>[1]FİYATLAR!G393</f>
        <v/>
      </c>
      <c r="F418" s="30">
        <f>[1]FİYATLAR!C393</f>
        <v/>
      </c>
      <c r="G418" s="30">
        <f>[1]FİYATLAR!E393</f>
        <v/>
      </c>
      <c r="H418" s="30">
        <f>[1]FİYATLAR!D393</f>
        <v/>
      </c>
      <c r="I418" s="30">
        <f>[1]FİYATLAR!F393</f>
        <v/>
      </c>
      <c r="J418" s="119" t="n">
        <v>0</v>
      </c>
      <c r="K418" s="34">
        <f>F418*J418</f>
        <v/>
      </c>
      <c r="L418" s="119" t="n"/>
      <c r="M418" s="34">
        <f>L418*F418</f>
        <v/>
      </c>
      <c r="N418" s="119" t="n"/>
      <c r="O418" s="34">
        <f>F418</f>
        <v/>
      </c>
      <c r="P418" s="34">
        <f>N418*O418</f>
        <v/>
      </c>
      <c r="Q418" s="117" t="n">
        <v>0</v>
      </c>
      <c r="R418" s="34">
        <f>F418</f>
        <v/>
      </c>
      <c r="S418" s="34">
        <f>R418*Q418</f>
        <v/>
      </c>
      <c r="T418" s="34">
        <f>SUMIFS('[1]GİP VERİLERİ'!$C:$C,'[1]GİP VERİLERİ'!$B:$B,A418,'[1]GİP VERİLERİ'!$M:$M,"40X000000104782K",'[1]GİP VERİLERİ'!$G:$G,"SELL")</f>
        <v/>
      </c>
      <c r="U418" s="34">
        <f>IFERROR(W418/T418,0)</f>
        <v/>
      </c>
      <c r="V418" s="34">
        <f>IF(U418=0,0,U418-F418)</f>
        <v/>
      </c>
      <c r="W418" s="34">
        <f>SUMIFS('[1]GİP VERİLERİ'!$O:$O,'[1]GİP VERİLERİ'!$B:$B,A418,'[1]GİP VERİLERİ'!$M:$M,"40X000000104782K",'[1]GİP VERİLERİ'!$G:$G,"SELL")</f>
        <v/>
      </c>
      <c r="X418" s="34">
        <f>SUMIFS('[1]GİP VERİLERİ'!$C:$C,'[1]GİP VERİLERİ'!$B:$B,A418,'[1]GİP VERİLERİ'!$M:$M,"40X000000104782K",'[1]GİP VERİLERİ'!$G:$G,"BUY")</f>
        <v/>
      </c>
      <c r="Y418" s="34">
        <f>IFERROR(AA418/X418,0)</f>
        <v/>
      </c>
      <c r="Z418" s="34">
        <f>IF(Y418=0,0,F418-Y418)</f>
        <v/>
      </c>
      <c r="AA418" s="34">
        <f>SUMIFS('[1]GİP VERİLERİ'!$O:$O,'[1]GİP VERİLERİ'!$B:$B,A418,'[1]GİP VERİLERİ'!$M:$M,"40X000000104782K",'[1]GİP VERİLERİ'!$G:$G,"BUY")</f>
        <v/>
      </c>
      <c r="AB418" s="34">
        <f>'[1]GÖP VERİLERİ'!H419</f>
        <v/>
      </c>
      <c r="AC418" s="34">
        <f>'[1]GÖP VERİLERİ'!I419</f>
        <v/>
      </c>
      <c r="AD418" s="34">
        <f>IF(AB418&gt;AC418*1.05,AB418-AC418*1.05,IF(AB418&lt;AC418*0.95,AC418*0.95-AB418,0))</f>
        <v/>
      </c>
      <c r="AE418" s="34">
        <f>MAX(F418,G418,750)*0.05*AD418</f>
        <v/>
      </c>
      <c r="AF418" s="34">
        <f>'[1]GÖP VERİLERİ'!J419</f>
        <v/>
      </c>
      <c r="AG418" s="34">
        <f>IF(AB418&gt;AF418*1.05,AB418-AF418*1.05,IF(AB418&lt;AF418*0.95,AF418*0.95-AB418,0))</f>
        <v/>
      </c>
      <c r="AH418" s="34">
        <f>MAX(I418,J418,750)*0.05*AG418</f>
        <v/>
      </c>
      <c r="AI418">
        <f>'[1]GÖP VERİLERİ'!E419</f>
        <v/>
      </c>
      <c r="AJ418">
        <f>'[1]GÖP VERİLERİ'!F419</f>
        <v/>
      </c>
      <c r="AK418" s="34">
        <f>IF(AI418&gt;AJ418*1.05,AI418-AJ418*1.05,IF(AI418&lt;AJ418*0.95,AJ418*0.95-AI418,0))</f>
        <v/>
      </c>
      <c r="AL418" s="34">
        <f>MAX(F418,G418,750)*0.05*AK418</f>
        <v/>
      </c>
      <c r="AM418" s="39">
        <f>'[1]GÖP VERİLERİ'!G419</f>
        <v/>
      </c>
      <c r="AN418" s="34">
        <f>IF(AI418&gt;AM418*1.05,AI418-AM418*1.05,IF(AI418&lt;AM418*0.95,AM418*0.95-AI418,0))</f>
        <v/>
      </c>
      <c r="AO418" s="34">
        <f>MAX(F418,G418,750)*0.05*AN418</f>
        <v/>
      </c>
      <c r="AP418" s="34">
        <f>'[1]GÖP VERİLERİ'!B419</f>
        <v/>
      </c>
      <c r="AQ418" s="34">
        <f>'[1]GÖP VERİLERİ'!C419</f>
        <v/>
      </c>
      <c r="AR418" s="34">
        <f>IF(AP418&gt;AQ418*1.05,AP418-AQ418*1.05,IF(AP418&lt;AQ418*0.95,AQ418*0.95-AP418,0))</f>
        <v/>
      </c>
      <c r="AS418" s="34">
        <f>MAX(F418:G418,750)*0.05*AR418</f>
        <v/>
      </c>
      <c r="AT418">
        <f>'[1]GÖP VERİLERİ'!D419</f>
        <v/>
      </c>
      <c r="AU418" s="34">
        <f>IF(AP418&gt;AT418*1.05,AP418-AT418*1.05,IF(AP418&lt;AT418*0.95,AT418*0.95-AP418,0))</f>
        <v/>
      </c>
      <c r="AV418" s="34">
        <f>MAX(F418:G418,750)*0.05*AU418</f>
        <v/>
      </c>
      <c r="AW418" s="34">
        <f>AC418+AJ418+AQ418</f>
        <v/>
      </c>
      <c r="AX418" s="34">
        <f>AF418+AM418+AT418</f>
        <v/>
      </c>
      <c r="AY418" s="34">
        <f>AB418+AI418+AP418</f>
        <v/>
      </c>
      <c r="AZ418" s="34" t="n">
        <v>0</v>
      </c>
      <c r="BA418" s="34">
        <f>AD418+AK418+AR418</f>
        <v/>
      </c>
      <c r="BB418" s="34">
        <f>MAX(F418:G418,750)*0.05*BA418</f>
        <v/>
      </c>
      <c r="BC418" s="34">
        <f>AG418+AN418+AU418</f>
        <v/>
      </c>
      <c r="BD418" s="34">
        <f>MAX(F418:G418,750)*0.05*BC418</f>
        <v/>
      </c>
      <c r="BE418" s="34">
        <f>F418*AY418</f>
        <v/>
      </c>
      <c r="BF418" s="34">
        <f>K418-M418</f>
        <v/>
      </c>
      <c r="BG418" s="34">
        <f>P418-S418</f>
        <v/>
      </c>
      <c r="BH418" s="34">
        <f>W418-AA418</f>
        <v/>
      </c>
      <c r="BI418" s="34">
        <f>BF418+BG418+BL418-BN418</f>
        <v/>
      </c>
      <c r="BJ418" s="34">
        <f>ABS(BK418)</f>
        <v/>
      </c>
      <c r="BK418" s="34">
        <f>AY418-(J418-L418+N418-Q418)</f>
        <v/>
      </c>
      <c r="BL418" s="34">
        <f>IF(AND(BK418&gt;0,MIN($F418:$G418)&lt;150,$E418="Enerji Açığı"),-100*BK418*1.03,IF(AND(BK418&gt;0,MIN($F418:$G418)&lt;150,$E418="Enerji Fazlası"),-100*BK418*1.06,IF(AND(BK418&gt;0,MIN($F418:$G418)&gt;=150,$E418="Enerji Açığı"),BK418*MIN($F418:$G418)*0.97,IF(AND(BK418&gt;0,MIN($F418:$G418)&gt;=150,$E418="Enerji Fazlası"),BK418*MIN($F418:$G418)*0.94,IF(AND(BK418&lt;0,MAX($F418:$G418)=4500,$E418="Enerji Açığı"),4500*1.05*1.06*BK418,IF(AND(BK418&lt;0,MAX($F418:$G418)=4500,$E418="Enerji Fazlası"),4500*1.05*1.03*BK418,IF(AND(BK418&lt;0,$E418="Enerji Açığı"),MAX($F418,$G418,150)*BK418*1.06,IF(AND(BK418&lt;0,$E418="Enerji Fazlası"),MAX($F418,$G418,150)*BK418*1.03,IF(AND(BK418&lt;0,$E418="Dengede"),MAX($F418:$G418,150)*1.03*BK418,MIN($F418:$G418)*0.97*BK418)))))))))</f>
        <v/>
      </c>
      <c r="BM418" s="34">
        <f>BE418-BI418-BN418</f>
        <v/>
      </c>
      <c r="BN418" s="34">
        <f>BB418</f>
        <v/>
      </c>
      <c r="BO418" s="34">
        <f>BE418-BI418</f>
        <v/>
      </c>
      <c r="BP418" s="34">
        <f>IF(AY418=0,0,BO418/AY418)</f>
        <v/>
      </c>
      <c r="BQ418" s="34">
        <f>MAX((AY418+MAX((-J418+L418-N418+Q418),0)),(MAX((J418-L418+N418-Q418),0)))</f>
        <v/>
      </c>
      <c r="BR418" s="82">
        <f>IFERROR(ABS(BK418/BQ418),0)</f>
        <v/>
      </c>
      <c r="BS418" s="34">
        <f>IF(BR418&lt;=0.1,0,BK418/BR418*(BR418-0.1))</f>
        <v/>
      </c>
      <c r="BT418" s="34">
        <f>IF((BS418)&lt;0,MAX(F418:G418)*(BS418)*1.03,MIN(F418:G418)*(BS418)*0.97)</f>
        <v/>
      </c>
      <c r="BU418" s="34">
        <f>IF(BR418&gt;0.1,1,0)</f>
        <v/>
      </c>
      <c r="BV418" s="34">
        <f>BF418+BG418+BH418+BY418-CA418</f>
        <v/>
      </c>
      <c r="BW418" s="34">
        <f>ABS(BX418)</f>
        <v/>
      </c>
      <c r="BX418" s="34">
        <f>AY418-(J418-L418+N418-Q418+T418-X418)</f>
        <v/>
      </c>
      <c r="BY418" s="34">
        <f>IF(AND(BX418&gt;0,MIN($F418:$G418)&lt;150,$E418="Enerji Açığı"),-100*BX418*1.03,IF(AND(BX418&gt;0,MIN($F418:$G418)&lt;150,$E418="Enerji Fazlası"),-100*BX418*1.06,IF(AND(BX418&gt;0,MIN($F418:$G418)&gt;=150,$E418="Enerji Açığı"),BX418*MIN($F418:$G418)*0.97,IF(AND(BX418&gt;0,MIN($F418:$G418)&gt;=150,$E418="Enerji Fazlası"),BX418*MIN($F418:$G418)*0.94,IF(AND(BX418&lt;0,MAX($F418:$G418)=4500,$E418="Enerji Açığı"),4500*1.05*1.06*BX418,IF(AND(BX418&lt;0,MAX($F418:$G418)=4500,$E418="Enerji Fazlası"),4500*1.05*1.03*BX418,IF(AND(BX418&lt;0,$E418="Enerji Açığı"),MAX($F418,$G418,150)*BX418*1.06,IF(AND(BX418&lt;0,$E418="Enerji Fazlası"),MAX($F418,$G418,150)*BX418*1.03,IF(AND(BX418&lt;0,$E418="Dengede"),MAX($F418:$G418,150)*1.03*BX418,MIN($F418:$G418)*0.97*BX418)))))))))</f>
        <v/>
      </c>
      <c r="BZ418" s="34">
        <f>BE418-BV418-CA418</f>
        <v/>
      </c>
      <c r="CA418" s="34">
        <f>BD418</f>
        <v/>
      </c>
      <c r="CB418" s="33">
        <f>BE418-BV418</f>
        <v/>
      </c>
      <c r="CC418" s="34">
        <f>IF(AY418=0,0,CB418/AY418)</f>
        <v/>
      </c>
      <c r="CD418" s="34">
        <f>MAX((AY418+MAX((-J418+L418-N418+Q418-T418+X418),0)),(MAX((J418-L418+N418-Q418+T418-X418),0)))</f>
        <v/>
      </c>
      <c r="CE418" s="82">
        <f>IFERROR(ABS(BX418/CD418),0)</f>
        <v/>
      </c>
      <c r="CF418" s="34">
        <f>IF(CE418&lt;=0.1,0,BX418/CE418*(CE418-0.1))</f>
        <v/>
      </c>
      <c r="CG418" s="34">
        <f>IF((CF418)&lt;0,MAX(F418:G418)*(CF418)*1.03,MIN(F418:G418)*(CF418)*0.97)</f>
        <v/>
      </c>
      <c r="CH418" s="34">
        <f>IF(CE418&gt;0.1,1,0)</f>
        <v/>
      </c>
      <c r="CI418" s="34">
        <f>(F418*BX418)-BY418</f>
        <v/>
      </c>
      <c r="CJ418" s="34">
        <f>IF(AY418=0,0,CI418/AY418)</f>
        <v/>
      </c>
    </row>
    <row r="419">
      <c r="A419" s="29">
        <f>[1]FİYATLAR!A394</f>
        <v/>
      </c>
      <c r="B419" s="29">
        <f>[1]FİYATLAR!B394</f>
        <v/>
      </c>
      <c r="C419" s="35">
        <f>INT(A419)</f>
        <v/>
      </c>
      <c r="D419" s="36">
        <f>MONTH(A419)</f>
        <v/>
      </c>
      <c r="E419" s="147">
        <f>[1]FİYATLAR!G394</f>
        <v/>
      </c>
      <c r="F419" s="30">
        <f>[1]FİYATLAR!C394</f>
        <v/>
      </c>
      <c r="G419" s="30">
        <f>[1]FİYATLAR!E394</f>
        <v/>
      </c>
      <c r="H419" s="30">
        <f>[1]FİYATLAR!D394</f>
        <v/>
      </c>
      <c r="I419" s="30">
        <f>[1]FİYATLAR!F394</f>
        <v/>
      </c>
      <c r="J419" s="119" t="n">
        <v>0</v>
      </c>
      <c r="K419" s="34">
        <f>F419*J419</f>
        <v/>
      </c>
      <c r="L419" s="119" t="n"/>
      <c r="M419" s="34">
        <f>L419*F419</f>
        <v/>
      </c>
      <c r="N419" s="119" t="n"/>
      <c r="O419" s="34">
        <f>F419</f>
        <v/>
      </c>
      <c r="P419" s="34">
        <f>N419*O419</f>
        <v/>
      </c>
      <c r="Q419" s="117" t="n">
        <v>0</v>
      </c>
      <c r="R419" s="34">
        <f>F419</f>
        <v/>
      </c>
      <c r="S419" s="34">
        <f>R419*Q419</f>
        <v/>
      </c>
      <c r="T419" s="34">
        <f>SUMIFS('[1]GİP VERİLERİ'!$C:$C,'[1]GİP VERİLERİ'!$B:$B,A419,'[1]GİP VERİLERİ'!$M:$M,"40X000000104782K",'[1]GİP VERİLERİ'!$G:$G,"SELL")</f>
        <v/>
      </c>
      <c r="U419" s="34">
        <f>IFERROR(W419/T419,0)</f>
        <v/>
      </c>
      <c r="V419" s="34">
        <f>IF(U419=0,0,U419-F419)</f>
        <v/>
      </c>
      <c r="W419" s="34">
        <f>SUMIFS('[1]GİP VERİLERİ'!$O:$O,'[1]GİP VERİLERİ'!$B:$B,A419,'[1]GİP VERİLERİ'!$M:$M,"40X000000104782K",'[1]GİP VERİLERİ'!$G:$G,"SELL")</f>
        <v/>
      </c>
      <c r="X419" s="34">
        <f>SUMIFS('[1]GİP VERİLERİ'!$C:$C,'[1]GİP VERİLERİ'!$B:$B,A419,'[1]GİP VERİLERİ'!$M:$M,"40X000000104782K",'[1]GİP VERİLERİ'!$G:$G,"BUY")</f>
        <v/>
      </c>
      <c r="Y419" s="34">
        <f>IFERROR(AA419/X419,0)</f>
        <v/>
      </c>
      <c r="Z419" s="34">
        <f>IF(Y419=0,0,F419-Y419)</f>
        <v/>
      </c>
      <c r="AA419" s="34">
        <f>SUMIFS('[1]GİP VERİLERİ'!$O:$O,'[1]GİP VERİLERİ'!$B:$B,A419,'[1]GİP VERİLERİ'!$M:$M,"40X000000104782K",'[1]GİP VERİLERİ'!$G:$G,"BUY")</f>
        <v/>
      </c>
      <c r="AB419" s="34">
        <f>'[1]GÖP VERİLERİ'!H420</f>
        <v/>
      </c>
      <c r="AC419" s="34">
        <f>'[1]GÖP VERİLERİ'!I420</f>
        <v/>
      </c>
      <c r="AD419" s="34">
        <f>IF(AB419&gt;AC419*1.05,AB419-AC419*1.05,IF(AB419&lt;AC419*0.95,AC419*0.95-AB419,0))</f>
        <v/>
      </c>
      <c r="AE419" s="34">
        <f>MAX(F419,G419,750)*0.05*AD419</f>
        <v/>
      </c>
      <c r="AF419" s="34">
        <f>'[1]GÖP VERİLERİ'!J420</f>
        <v/>
      </c>
      <c r="AG419" s="34">
        <f>IF(AB419&gt;AF419*1.05,AB419-AF419*1.05,IF(AB419&lt;AF419*0.95,AF419*0.95-AB419,0))</f>
        <v/>
      </c>
      <c r="AH419" s="34">
        <f>MAX(I419,J419,750)*0.05*AG419</f>
        <v/>
      </c>
      <c r="AI419">
        <f>'[1]GÖP VERİLERİ'!E420</f>
        <v/>
      </c>
      <c r="AJ419">
        <f>'[1]GÖP VERİLERİ'!F420</f>
        <v/>
      </c>
      <c r="AK419" s="34">
        <f>IF(AI419&gt;AJ419*1.05,AI419-AJ419*1.05,IF(AI419&lt;AJ419*0.95,AJ419*0.95-AI419,0))</f>
        <v/>
      </c>
      <c r="AL419" s="34">
        <f>MAX(F419,G419,750)*0.05*AK419</f>
        <v/>
      </c>
      <c r="AM419" s="39">
        <f>'[1]GÖP VERİLERİ'!G420</f>
        <v/>
      </c>
      <c r="AN419" s="34">
        <f>IF(AI419&gt;AM419*1.05,AI419-AM419*1.05,IF(AI419&lt;AM419*0.95,AM419*0.95-AI419,0))</f>
        <v/>
      </c>
      <c r="AO419" s="34">
        <f>MAX(F419,G419,750)*0.05*AN419</f>
        <v/>
      </c>
      <c r="AP419" s="34">
        <f>'[1]GÖP VERİLERİ'!B420</f>
        <v/>
      </c>
      <c r="AQ419" s="34">
        <f>'[1]GÖP VERİLERİ'!C420</f>
        <v/>
      </c>
      <c r="AR419" s="34">
        <f>IF(AP419&gt;AQ419*1.05,AP419-AQ419*1.05,IF(AP419&lt;AQ419*0.95,AQ419*0.95-AP419,0))</f>
        <v/>
      </c>
      <c r="AS419" s="34">
        <f>MAX(F419:G419,750)*0.05*AR419</f>
        <v/>
      </c>
      <c r="AT419">
        <f>'[1]GÖP VERİLERİ'!D420</f>
        <v/>
      </c>
      <c r="AU419" s="34">
        <f>IF(AP419&gt;AT419*1.05,AP419-AT419*1.05,IF(AP419&lt;AT419*0.95,AT419*0.95-AP419,0))</f>
        <v/>
      </c>
      <c r="AV419" s="34">
        <f>MAX(F419:G419,750)*0.05*AU419</f>
        <v/>
      </c>
      <c r="AW419" s="34">
        <f>AC419+AJ419+AQ419</f>
        <v/>
      </c>
      <c r="AX419" s="34">
        <f>AF419+AM419+AT419</f>
        <v/>
      </c>
      <c r="AY419" s="34">
        <f>AB419+AI419+AP419</f>
        <v/>
      </c>
      <c r="AZ419" s="34" t="n">
        <v>0</v>
      </c>
      <c r="BA419" s="34">
        <f>AD419+AK419+AR419</f>
        <v/>
      </c>
      <c r="BB419" s="34">
        <f>MAX(F419:G419,750)*0.05*BA419</f>
        <v/>
      </c>
      <c r="BC419" s="34">
        <f>AG419+AN419+AU419</f>
        <v/>
      </c>
      <c r="BD419" s="34">
        <f>MAX(F419:G419,750)*0.05*BC419</f>
        <v/>
      </c>
      <c r="BE419" s="34">
        <f>F419*AY419</f>
        <v/>
      </c>
      <c r="BF419" s="34">
        <f>K419-M419</f>
        <v/>
      </c>
      <c r="BG419" s="34">
        <f>P419-S419</f>
        <v/>
      </c>
      <c r="BH419" s="34">
        <f>W419-AA419</f>
        <v/>
      </c>
      <c r="BI419" s="34">
        <f>BF419+BG419+BL419-BN419</f>
        <v/>
      </c>
      <c r="BJ419" s="34">
        <f>ABS(BK419)</f>
        <v/>
      </c>
      <c r="BK419" s="34">
        <f>AY419-(J419-L419+N419-Q419)</f>
        <v/>
      </c>
      <c r="BL419" s="34">
        <f>IF(AND(BK419&gt;0,MIN($F419:$G419)&lt;150,$E419="Enerji Açığı"),-100*BK419*1.03,IF(AND(BK419&gt;0,MIN($F419:$G419)&lt;150,$E419="Enerji Fazlası"),-100*BK419*1.06,IF(AND(BK419&gt;0,MIN($F419:$G419)&gt;=150,$E419="Enerji Açığı"),BK419*MIN($F419:$G419)*0.97,IF(AND(BK419&gt;0,MIN($F419:$G419)&gt;=150,$E419="Enerji Fazlası"),BK419*MIN($F419:$G419)*0.94,IF(AND(BK419&lt;0,MAX($F419:$G419)=4500,$E419="Enerji Açığı"),4500*1.05*1.06*BK419,IF(AND(BK419&lt;0,MAX($F419:$G419)=4500,$E419="Enerji Fazlası"),4500*1.05*1.03*BK419,IF(AND(BK419&lt;0,$E419="Enerji Açığı"),MAX($F419,$G419,150)*BK419*1.06,IF(AND(BK419&lt;0,$E419="Enerji Fazlası"),MAX($F419,$G419,150)*BK419*1.03,IF(AND(BK419&lt;0,$E419="Dengede"),MAX($F419:$G419,150)*1.03*BK419,MIN($F419:$G419)*0.97*BK419)))))))))</f>
        <v/>
      </c>
      <c r="BM419" s="34">
        <f>BE419-BI419-BN419</f>
        <v/>
      </c>
      <c r="BN419" s="34">
        <f>BB419</f>
        <v/>
      </c>
      <c r="BO419" s="34">
        <f>BE419-BI419</f>
        <v/>
      </c>
      <c r="BP419" s="34">
        <f>IF(AY419=0,0,BO419/AY419)</f>
        <v/>
      </c>
      <c r="BQ419" s="34">
        <f>MAX((AY419+MAX((-J419+L419-N419+Q419),0)),(MAX((J419-L419+N419-Q419),0)))</f>
        <v/>
      </c>
      <c r="BR419" s="82">
        <f>IFERROR(ABS(BK419/BQ419),0)</f>
        <v/>
      </c>
      <c r="BS419" s="34">
        <f>IF(BR419&lt;=0.1,0,BK419/BR419*(BR419-0.1))</f>
        <v/>
      </c>
      <c r="BT419" s="34">
        <f>IF((BS419)&lt;0,MAX(F419:G419)*(BS419)*1.03,MIN(F419:G419)*(BS419)*0.97)</f>
        <v/>
      </c>
      <c r="BU419" s="34">
        <f>IF(BR419&gt;0.1,1,0)</f>
        <v/>
      </c>
      <c r="BV419" s="34">
        <f>BF419+BG419+BH419+BY419-CA419</f>
        <v/>
      </c>
      <c r="BW419" s="34">
        <f>ABS(BX419)</f>
        <v/>
      </c>
      <c r="BX419" s="34">
        <f>AY419-(J419-L419+N419-Q419+T419-X419)</f>
        <v/>
      </c>
      <c r="BY419" s="34">
        <f>IF(AND(BX419&gt;0,MIN($F419:$G419)&lt;150,$E419="Enerji Açığı"),-100*BX419*1.03,IF(AND(BX419&gt;0,MIN($F419:$G419)&lt;150,$E419="Enerji Fazlası"),-100*BX419*1.06,IF(AND(BX419&gt;0,MIN($F419:$G419)&gt;=150,$E419="Enerji Açığı"),BX419*MIN($F419:$G419)*0.97,IF(AND(BX419&gt;0,MIN($F419:$G419)&gt;=150,$E419="Enerji Fazlası"),BX419*MIN($F419:$G419)*0.94,IF(AND(BX419&lt;0,MAX($F419:$G419)=4500,$E419="Enerji Açığı"),4500*1.05*1.06*BX419,IF(AND(BX419&lt;0,MAX($F419:$G419)=4500,$E419="Enerji Fazlası"),4500*1.05*1.03*BX419,IF(AND(BX419&lt;0,$E419="Enerji Açığı"),MAX($F419,$G419,150)*BX419*1.06,IF(AND(BX419&lt;0,$E419="Enerji Fazlası"),MAX($F419,$G419,150)*BX419*1.03,IF(AND(BX419&lt;0,$E419="Dengede"),MAX($F419:$G419,150)*1.03*BX419,MIN($F419:$G419)*0.97*BX419)))))))))</f>
        <v/>
      </c>
      <c r="BZ419" s="34">
        <f>BE419-BV419-CA419</f>
        <v/>
      </c>
      <c r="CA419" s="34">
        <f>BD419</f>
        <v/>
      </c>
      <c r="CB419" s="33">
        <f>BE419-BV419</f>
        <v/>
      </c>
      <c r="CC419" s="34">
        <f>IF(AY419=0,0,CB419/AY419)</f>
        <v/>
      </c>
      <c r="CD419" s="34">
        <f>MAX((AY419+MAX((-J419+L419-N419+Q419-T419+X419),0)),(MAX((J419-L419+N419-Q419+T419-X419),0)))</f>
        <v/>
      </c>
      <c r="CE419" s="82">
        <f>IFERROR(ABS(BX419/CD419),0)</f>
        <v/>
      </c>
      <c r="CF419" s="34">
        <f>IF(CE419&lt;=0.1,0,BX419/CE419*(CE419-0.1))</f>
        <v/>
      </c>
      <c r="CG419" s="34">
        <f>IF((CF419)&lt;0,MAX(F419:G419)*(CF419)*1.03,MIN(F419:G419)*(CF419)*0.97)</f>
        <v/>
      </c>
      <c r="CH419" s="34">
        <f>IF(CE419&gt;0.1,1,0)</f>
        <v/>
      </c>
      <c r="CI419" s="34">
        <f>(F419*BX419)-BY419</f>
        <v/>
      </c>
      <c r="CJ419" s="34">
        <f>IF(AY419=0,0,CI419/AY419)</f>
        <v/>
      </c>
    </row>
    <row r="420">
      <c r="A420" s="29">
        <f>[1]FİYATLAR!A395</f>
        <v/>
      </c>
      <c r="B420" s="29">
        <f>[1]FİYATLAR!B395</f>
        <v/>
      </c>
      <c r="C420" s="35">
        <f>INT(A420)</f>
        <v/>
      </c>
      <c r="D420" s="36">
        <f>MONTH(A420)</f>
        <v/>
      </c>
      <c r="E420" s="147">
        <f>[1]FİYATLAR!G395</f>
        <v/>
      </c>
      <c r="F420" s="30">
        <f>[1]FİYATLAR!C395</f>
        <v/>
      </c>
      <c r="G420" s="30">
        <f>[1]FİYATLAR!E395</f>
        <v/>
      </c>
      <c r="H420" s="30">
        <f>[1]FİYATLAR!D395</f>
        <v/>
      </c>
      <c r="I420" s="30">
        <f>[1]FİYATLAR!F395</f>
        <v/>
      </c>
      <c r="J420" s="119" t="n">
        <v>0</v>
      </c>
      <c r="K420" s="34">
        <f>F420*J420</f>
        <v/>
      </c>
      <c r="L420" s="119" t="n"/>
      <c r="M420" s="34">
        <f>L420*F420</f>
        <v/>
      </c>
      <c r="N420" s="119" t="n"/>
      <c r="O420" s="34">
        <f>F420</f>
        <v/>
      </c>
      <c r="P420" s="34">
        <f>N420*O420</f>
        <v/>
      </c>
      <c r="Q420" s="117" t="n">
        <v>0</v>
      </c>
      <c r="R420" s="34">
        <f>F420</f>
        <v/>
      </c>
      <c r="S420" s="34">
        <f>R420*Q420</f>
        <v/>
      </c>
      <c r="T420" s="34">
        <f>SUMIFS('[1]GİP VERİLERİ'!$C:$C,'[1]GİP VERİLERİ'!$B:$B,A420,'[1]GİP VERİLERİ'!$M:$M,"40X000000104782K",'[1]GİP VERİLERİ'!$G:$G,"SELL")</f>
        <v/>
      </c>
      <c r="U420" s="34">
        <f>IFERROR(W420/T420,0)</f>
        <v/>
      </c>
      <c r="V420" s="34">
        <f>IF(U420=0,0,U420-F420)</f>
        <v/>
      </c>
      <c r="W420" s="34">
        <f>SUMIFS('[1]GİP VERİLERİ'!$O:$O,'[1]GİP VERİLERİ'!$B:$B,A420,'[1]GİP VERİLERİ'!$M:$M,"40X000000104782K",'[1]GİP VERİLERİ'!$G:$G,"SELL")</f>
        <v/>
      </c>
      <c r="X420" s="34">
        <f>SUMIFS('[1]GİP VERİLERİ'!$C:$C,'[1]GİP VERİLERİ'!$B:$B,A420,'[1]GİP VERİLERİ'!$M:$M,"40X000000104782K",'[1]GİP VERİLERİ'!$G:$G,"BUY")</f>
        <v/>
      </c>
      <c r="Y420" s="34">
        <f>IFERROR(AA420/X420,0)</f>
        <v/>
      </c>
      <c r="Z420" s="34">
        <f>IF(Y420=0,0,F420-Y420)</f>
        <v/>
      </c>
      <c r="AA420" s="34">
        <f>SUMIFS('[1]GİP VERİLERİ'!$O:$O,'[1]GİP VERİLERİ'!$B:$B,A420,'[1]GİP VERİLERİ'!$M:$M,"40X000000104782K",'[1]GİP VERİLERİ'!$G:$G,"BUY")</f>
        <v/>
      </c>
      <c r="AB420" s="34">
        <f>'[1]GÖP VERİLERİ'!H421</f>
        <v/>
      </c>
      <c r="AC420" s="34">
        <f>'[1]GÖP VERİLERİ'!I421</f>
        <v/>
      </c>
      <c r="AD420" s="34">
        <f>IF(AB420&gt;AC420*1.05,AB420-AC420*1.05,IF(AB420&lt;AC420*0.95,AC420*0.95-AB420,0))</f>
        <v/>
      </c>
      <c r="AE420" s="34">
        <f>MAX(F420,G420,750)*0.05*AD420</f>
        <v/>
      </c>
      <c r="AF420" s="34">
        <f>'[1]GÖP VERİLERİ'!J421</f>
        <v/>
      </c>
      <c r="AG420" s="34">
        <f>IF(AB420&gt;AF420*1.05,AB420-AF420*1.05,IF(AB420&lt;AF420*0.95,AF420*0.95-AB420,0))</f>
        <v/>
      </c>
      <c r="AH420" s="34">
        <f>MAX(I420,J420,750)*0.05*AG420</f>
        <v/>
      </c>
      <c r="AI420">
        <f>'[1]GÖP VERİLERİ'!E421</f>
        <v/>
      </c>
      <c r="AJ420">
        <f>'[1]GÖP VERİLERİ'!F421</f>
        <v/>
      </c>
      <c r="AK420" s="34">
        <f>IF(AI420&gt;AJ420*1.05,AI420-AJ420*1.05,IF(AI420&lt;AJ420*0.95,AJ420*0.95-AI420,0))</f>
        <v/>
      </c>
      <c r="AL420" s="34">
        <f>MAX(F420,G420,750)*0.05*AK420</f>
        <v/>
      </c>
      <c r="AM420" s="39">
        <f>'[1]GÖP VERİLERİ'!G421</f>
        <v/>
      </c>
      <c r="AN420" s="34">
        <f>IF(AI420&gt;AM420*1.05,AI420-AM420*1.05,IF(AI420&lt;AM420*0.95,AM420*0.95-AI420,0))</f>
        <v/>
      </c>
      <c r="AO420" s="34">
        <f>MAX(F420,G420,750)*0.05*AN420</f>
        <v/>
      </c>
      <c r="AP420" s="34">
        <f>'[1]GÖP VERİLERİ'!B421</f>
        <v/>
      </c>
      <c r="AQ420" s="34">
        <f>'[1]GÖP VERİLERİ'!C421</f>
        <v/>
      </c>
      <c r="AR420" s="34">
        <f>IF(AP420&gt;AQ420*1.05,AP420-AQ420*1.05,IF(AP420&lt;AQ420*0.95,AQ420*0.95-AP420,0))</f>
        <v/>
      </c>
      <c r="AS420" s="34">
        <f>MAX(F420:G420,750)*0.05*AR420</f>
        <v/>
      </c>
      <c r="AT420">
        <f>'[1]GÖP VERİLERİ'!D421</f>
        <v/>
      </c>
      <c r="AU420" s="34">
        <f>IF(AP420&gt;AT420*1.05,AP420-AT420*1.05,IF(AP420&lt;AT420*0.95,AT420*0.95-AP420,0))</f>
        <v/>
      </c>
      <c r="AV420" s="34">
        <f>MAX(F420:G420,750)*0.05*AU420</f>
        <v/>
      </c>
      <c r="AW420" s="34">
        <f>AC420+AJ420+AQ420</f>
        <v/>
      </c>
      <c r="AX420" s="34">
        <f>AF420+AM420+AT420</f>
        <v/>
      </c>
      <c r="AY420" s="34">
        <f>AB420+AI420+AP420</f>
        <v/>
      </c>
      <c r="AZ420" s="34" t="n">
        <v>0</v>
      </c>
      <c r="BA420" s="34">
        <f>AD420+AK420+AR420</f>
        <v/>
      </c>
      <c r="BB420" s="34">
        <f>MAX(F420:G420,750)*0.05*BA420</f>
        <v/>
      </c>
      <c r="BC420" s="34">
        <f>AG420+AN420+AU420</f>
        <v/>
      </c>
      <c r="BD420" s="34">
        <f>MAX(F420:G420,750)*0.05*BC420</f>
        <v/>
      </c>
      <c r="BE420" s="34">
        <f>F420*AY420</f>
        <v/>
      </c>
      <c r="BF420" s="34">
        <f>K420-M420</f>
        <v/>
      </c>
      <c r="BG420" s="34">
        <f>P420-S420</f>
        <v/>
      </c>
      <c r="BH420" s="34">
        <f>W420-AA420</f>
        <v/>
      </c>
      <c r="BI420" s="34">
        <f>BF420+BG420+BL420-BN420</f>
        <v/>
      </c>
      <c r="BJ420" s="34">
        <f>ABS(BK420)</f>
        <v/>
      </c>
      <c r="BK420" s="34">
        <f>AY420-(J420-L420+N420-Q420)</f>
        <v/>
      </c>
      <c r="BL420" s="34">
        <f>IF(AND(BK420&gt;0,MIN($F420:$G420)&lt;150,$E420="Enerji Açığı"),-100*BK420*1.03,IF(AND(BK420&gt;0,MIN($F420:$G420)&lt;150,$E420="Enerji Fazlası"),-100*BK420*1.06,IF(AND(BK420&gt;0,MIN($F420:$G420)&gt;=150,$E420="Enerji Açığı"),BK420*MIN($F420:$G420)*0.97,IF(AND(BK420&gt;0,MIN($F420:$G420)&gt;=150,$E420="Enerji Fazlası"),BK420*MIN($F420:$G420)*0.94,IF(AND(BK420&lt;0,MAX($F420:$G420)=4500,$E420="Enerji Açığı"),4500*1.05*1.06*BK420,IF(AND(BK420&lt;0,MAX($F420:$G420)=4500,$E420="Enerji Fazlası"),4500*1.05*1.03*BK420,IF(AND(BK420&lt;0,$E420="Enerji Açığı"),MAX($F420,$G420,150)*BK420*1.06,IF(AND(BK420&lt;0,$E420="Enerji Fazlası"),MAX($F420,$G420,150)*BK420*1.03,IF(AND(BK420&lt;0,$E420="Dengede"),MAX($F420:$G420,150)*1.03*BK420,MIN($F420:$G420)*0.97*BK420)))))))))</f>
        <v/>
      </c>
      <c r="BM420" s="34">
        <f>BE420-BI420-BN420</f>
        <v/>
      </c>
      <c r="BN420" s="34">
        <f>BB420</f>
        <v/>
      </c>
      <c r="BO420" s="34">
        <f>BE420-BI420</f>
        <v/>
      </c>
      <c r="BP420" s="34">
        <f>IF(AY420=0,0,BO420/AY420)</f>
        <v/>
      </c>
      <c r="BQ420" s="34">
        <f>MAX((AY420+MAX((-J420+L420-N420+Q420),0)),(MAX((J420-L420+N420-Q420),0)))</f>
        <v/>
      </c>
      <c r="BR420" s="82">
        <f>IFERROR(ABS(BK420/BQ420),0)</f>
        <v/>
      </c>
      <c r="BS420" s="34">
        <f>IF(BR420&lt;=0.1,0,BK420/BR420*(BR420-0.1))</f>
        <v/>
      </c>
      <c r="BT420" s="34">
        <f>IF((BS420)&lt;0,MAX(F420:G420)*(BS420)*1.03,MIN(F420:G420)*(BS420)*0.97)</f>
        <v/>
      </c>
      <c r="BU420" s="34">
        <f>IF(BR420&gt;0.1,1,0)</f>
        <v/>
      </c>
      <c r="BV420" s="34">
        <f>BF420+BG420+BH420+BY420-CA420</f>
        <v/>
      </c>
      <c r="BW420" s="34">
        <f>ABS(BX420)</f>
        <v/>
      </c>
      <c r="BX420" s="34">
        <f>AY420-(J420-L420+N420-Q420+T420-X420)</f>
        <v/>
      </c>
      <c r="BY420" s="34">
        <f>IF(AND(BX420&gt;0,MIN($F420:$G420)&lt;150,$E420="Enerji Açığı"),-100*BX420*1.03,IF(AND(BX420&gt;0,MIN($F420:$G420)&lt;150,$E420="Enerji Fazlası"),-100*BX420*1.06,IF(AND(BX420&gt;0,MIN($F420:$G420)&gt;=150,$E420="Enerji Açığı"),BX420*MIN($F420:$G420)*0.97,IF(AND(BX420&gt;0,MIN($F420:$G420)&gt;=150,$E420="Enerji Fazlası"),BX420*MIN($F420:$G420)*0.94,IF(AND(BX420&lt;0,MAX($F420:$G420)=4500,$E420="Enerji Açığı"),4500*1.05*1.06*BX420,IF(AND(BX420&lt;0,MAX($F420:$G420)=4500,$E420="Enerji Fazlası"),4500*1.05*1.03*BX420,IF(AND(BX420&lt;0,$E420="Enerji Açığı"),MAX($F420,$G420,150)*BX420*1.06,IF(AND(BX420&lt;0,$E420="Enerji Fazlası"),MAX($F420,$G420,150)*BX420*1.03,IF(AND(BX420&lt;0,$E420="Dengede"),MAX($F420:$G420,150)*1.03*BX420,MIN($F420:$G420)*0.97*BX420)))))))))</f>
        <v/>
      </c>
      <c r="BZ420" s="34">
        <f>BE420-BV420-CA420</f>
        <v/>
      </c>
      <c r="CA420" s="34">
        <f>BD420</f>
        <v/>
      </c>
      <c r="CB420" s="33">
        <f>BE420-BV420</f>
        <v/>
      </c>
      <c r="CC420" s="34">
        <f>IF(AY420=0,0,CB420/AY420)</f>
        <v/>
      </c>
      <c r="CD420" s="34">
        <f>MAX((AY420+MAX((-J420+L420-N420+Q420-T420+X420),0)),(MAX((J420-L420+N420-Q420+T420-X420),0)))</f>
        <v/>
      </c>
      <c r="CE420" s="82">
        <f>IFERROR(ABS(BX420/CD420),0)</f>
        <v/>
      </c>
      <c r="CF420" s="34">
        <f>IF(CE420&lt;=0.1,0,BX420/CE420*(CE420-0.1))</f>
        <v/>
      </c>
      <c r="CG420" s="34">
        <f>IF((CF420)&lt;0,MAX(F420:G420)*(CF420)*1.03,MIN(F420:G420)*(CF420)*0.97)</f>
        <v/>
      </c>
      <c r="CH420" s="34">
        <f>IF(CE420&gt;0.1,1,0)</f>
        <v/>
      </c>
      <c r="CI420" s="34">
        <f>(F420*BX420)-BY420</f>
        <v/>
      </c>
      <c r="CJ420" s="34">
        <f>IF(AY420=0,0,CI420/AY420)</f>
        <v/>
      </c>
    </row>
    <row r="421">
      <c r="A421" s="29">
        <f>[1]FİYATLAR!A396</f>
        <v/>
      </c>
      <c r="B421" s="29">
        <f>[1]FİYATLAR!B396</f>
        <v/>
      </c>
      <c r="C421" s="35">
        <f>INT(A421)</f>
        <v/>
      </c>
      <c r="D421" s="36">
        <f>MONTH(A421)</f>
        <v/>
      </c>
      <c r="E421" s="147">
        <f>[1]FİYATLAR!G396</f>
        <v/>
      </c>
      <c r="F421" s="30">
        <f>[1]FİYATLAR!C396</f>
        <v/>
      </c>
      <c r="G421" s="30">
        <f>[1]FİYATLAR!E396</f>
        <v/>
      </c>
      <c r="H421" s="30">
        <f>[1]FİYATLAR!D396</f>
        <v/>
      </c>
      <c r="I421" s="30">
        <f>[1]FİYATLAR!F396</f>
        <v/>
      </c>
      <c r="J421" s="119" t="n">
        <v>0</v>
      </c>
      <c r="K421" s="34">
        <f>F421*J421</f>
        <v/>
      </c>
      <c r="L421" s="119" t="n"/>
      <c r="M421" s="34">
        <f>L421*F421</f>
        <v/>
      </c>
      <c r="N421" s="119" t="n"/>
      <c r="O421" s="34">
        <f>F421</f>
        <v/>
      </c>
      <c r="P421" s="34">
        <f>N421*O421</f>
        <v/>
      </c>
      <c r="Q421" s="117" t="n">
        <v>0</v>
      </c>
      <c r="R421" s="34">
        <f>F421</f>
        <v/>
      </c>
      <c r="S421" s="34">
        <f>R421*Q421</f>
        <v/>
      </c>
      <c r="T421" s="34">
        <f>SUMIFS('[1]GİP VERİLERİ'!$C:$C,'[1]GİP VERİLERİ'!$B:$B,A421,'[1]GİP VERİLERİ'!$M:$M,"40X000000104782K",'[1]GİP VERİLERİ'!$G:$G,"SELL")</f>
        <v/>
      </c>
      <c r="U421" s="34">
        <f>IFERROR(W421/T421,0)</f>
        <v/>
      </c>
      <c r="V421" s="34">
        <f>IF(U421=0,0,U421-F421)</f>
        <v/>
      </c>
      <c r="W421" s="34">
        <f>SUMIFS('[1]GİP VERİLERİ'!$O:$O,'[1]GİP VERİLERİ'!$B:$B,A421,'[1]GİP VERİLERİ'!$M:$M,"40X000000104782K",'[1]GİP VERİLERİ'!$G:$G,"SELL")</f>
        <v/>
      </c>
      <c r="X421" s="34">
        <f>SUMIFS('[1]GİP VERİLERİ'!$C:$C,'[1]GİP VERİLERİ'!$B:$B,A421,'[1]GİP VERİLERİ'!$M:$M,"40X000000104782K",'[1]GİP VERİLERİ'!$G:$G,"BUY")</f>
        <v/>
      </c>
      <c r="Y421" s="34">
        <f>IFERROR(AA421/X421,0)</f>
        <v/>
      </c>
      <c r="Z421" s="34">
        <f>IF(Y421=0,0,F421-Y421)</f>
        <v/>
      </c>
      <c r="AA421" s="34">
        <f>SUMIFS('[1]GİP VERİLERİ'!$O:$O,'[1]GİP VERİLERİ'!$B:$B,A421,'[1]GİP VERİLERİ'!$M:$M,"40X000000104782K",'[1]GİP VERİLERİ'!$G:$G,"BUY")</f>
        <v/>
      </c>
      <c r="AB421" s="34">
        <f>'[1]GÖP VERİLERİ'!H422</f>
        <v/>
      </c>
      <c r="AC421" s="34">
        <f>'[1]GÖP VERİLERİ'!I422</f>
        <v/>
      </c>
      <c r="AD421" s="34">
        <f>IF(AB421&gt;AC421*1.05,AB421-AC421*1.05,IF(AB421&lt;AC421*0.95,AC421*0.95-AB421,0))</f>
        <v/>
      </c>
      <c r="AE421" s="34">
        <f>MAX(F421,G421,750)*0.05*AD421</f>
        <v/>
      </c>
      <c r="AF421" s="34">
        <f>'[1]GÖP VERİLERİ'!J422</f>
        <v/>
      </c>
      <c r="AG421" s="34">
        <f>IF(AB421&gt;AF421*1.05,AB421-AF421*1.05,IF(AB421&lt;AF421*0.95,AF421*0.95-AB421,0))</f>
        <v/>
      </c>
      <c r="AH421" s="34">
        <f>MAX(I421,J421,750)*0.05*AG421</f>
        <v/>
      </c>
      <c r="AI421">
        <f>'[1]GÖP VERİLERİ'!E422</f>
        <v/>
      </c>
      <c r="AJ421">
        <f>'[1]GÖP VERİLERİ'!F422</f>
        <v/>
      </c>
      <c r="AK421" s="34">
        <f>IF(AI421&gt;AJ421*1.05,AI421-AJ421*1.05,IF(AI421&lt;AJ421*0.95,AJ421*0.95-AI421,0))</f>
        <v/>
      </c>
      <c r="AL421" s="34">
        <f>MAX(F421,G421,750)*0.05*AK421</f>
        <v/>
      </c>
      <c r="AM421" s="39">
        <f>'[1]GÖP VERİLERİ'!G422</f>
        <v/>
      </c>
      <c r="AN421" s="34">
        <f>IF(AI421&gt;AM421*1.05,AI421-AM421*1.05,IF(AI421&lt;AM421*0.95,AM421*0.95-AI421,0))</f>
        <v/>
      </c>
      <c r="AO421" s="34">
        <f>MAX(F421,G421,750)*0.05*AN421</f>
        <v/>
      </c>
      <c r="AP421" s="34">
        <f>'[1]GÖP VERİLERİ'!B422</f>
        <v/>
      </c>
      <c r="AQ421" s="34">
        <f>'[1]GÖP VERİLERİ'!C422</f>
        <v/>
      </c>
      <c r="AR421" s="34">
        <f>IF(AP421&gt;AQ421*1.05,AP421-AQ421*1.05,IF(AP421&lt;AQ421*0.95,AQ421*0.95-AP421,0))</f>
        <v/>
      </c>
      <c r="AS421" s="34">
        <f>MAX(F421:G421,750)*0.05*AR421</f>
        <v/>
      </c>
      <c r="AT421">
        <f>'[1]GÖP VERİLERİ'!D422</f>
        <v/>
      </c>
      <c r="AU421" s="34">
        <f>IF(AP421&gt;AT421*1.05,AP421-AT421*1.05,IF(AP421&lt;AT421*0.95,AT421*0.95-AP421,0))</f>
        <v/>
      </c>
      <c r="AV421" s="34">
        <f>MAX(F421:G421,750)*0.05*AU421</f>
        <v/>
      </c>
      <c r="AW421" s="34">
        <f>AC421+AJ421+AQ421</f>
        <v/>
      </c>
      <c r="AX421" s="34">
        <f>AF421+AM421+AT421</f>
        <v/>
      </c>
      <c r="AY421" s="34">
        <f>AB421+AI421+AP421</f>
        <v/>
      </c>
      <c r="AZ421" s="34" t="n">
        <v>0</v>
      </c>
      <c r="BA421" s="34">
        <f>AD421+AK421+AR421</f>
        <v/>
      </c>
      <c r="BB421" s="34">
        <f>MAX(F421:G421,750)*0.05*BA421</f>
        <v/>
      </c>
      <c r="BC421" s="34">
        <f>AG421+AN421+AU421</f>
        <v/>
      </c>
      <c r="BD421" s="34">
        <f>MAX(F421:G421,750)*0.05*BC421</f>
        <v/>
      </c>
      <c r="BE421" s="34">
        <f>F421*AY421</f>
        <v/>
      </c>
      <c r="BF421" s="34">
        <f>K421-M421</f>
        <v/>
      </c>
      <c r="BG421" s="34">
        <f>P421-S421</f>
        <v/>
      </c>
      <c r="BH421" s="34">
        <f>W421-AA421</f>
        <v/>
      </c>
      <c r="BI421" s="34">
        <f>BF421+BG421+BL421-BN421</f>
        <v/>
      </c>
      <c r="BJ421" s="34">
        <f>ABS(BK421)</f>
        <v/>
      </c>
      <c r="BK421" s="34">
        <f>AY421-(J421-L421+N421-Q421)</f>
        <v/>
      </c>
      <c r="BL421" s="34">
        <f>IF(AND(BK421&gt;0,MIN($F421:$G421)&lt;150,$E421="Enerji Açığı"),-100*BK421*1.03,IF(AND(BK421&gt;0,MIN($F421:$G421)&lt;150,$E421="Enerji Fazlası"),-100*BK421*1.06,IF(AND(BK421&gt;0,MIN($F421:$G421)&gt;=150,$E421="Enerji Açığı"),BK421*MIN($F421:$G421)*0.97,IF(AND(BK421&gt;0,MIN($F421:$G421)&gt;=150,$E421="Enerji Fazlası"),BK421*MIN($F421:$G421)*0.94,IF(AND(BK421&lt;0,MAX($F421:$G421)=4500,$E421="Enerji Açığı"),4500*1.05*1.06*BK421,IF(AND(BK421&lt;0,MAX($F421:$G421)=4500,$E421="Enerji Fazlası"),4500*1.05*1.03*BK421,IF(AND(BK421&lt;0,$E421="Enerji Açığı"),MAX($F421,$G421,150)*BK421*1.06,IF(AND(BK421&lt;0,$E421="Enerji Fazlası"),MAX($F421,$G421,150)*BK421*1.03,IF(AND(BK421&lt;0,$E421="Dengede"),MAX($F421:$G421,150)*1.03*BK421,MIN($F421:$G421)*0.97*BK421)))))))))</f>
        <v/>
      </c>
      <c r="BM421" s="34">
        <f>BE421-BI421-BN421</f>
        <v/>
      </c>
      <c r="BN421" s="34">
        <f>BB421</f>
        <v/>
      </c>
      <c r="BO421" s="34">
        <f>BE421-BI421</f>
        <v/>
      </c>
      <c r="BP421" s="34">
        <f>IF(AY421=0,0,BO421/AY421)</f>
        <v/>
      </c>
      <c r="BQ421" s="34">
        <f>MAX((AY421+MAX((-J421+L421-N421+Q421),0)),(MAX((J421-L421+N421-Q421),0)))</f>
        <v/>
      </c>
      <c r="BR421" s="82">
        <f>IFERROR(ABS(BK421/BQ421),0)</f>
        <v/>
      </c>
      <c r="BS421" s="34">
        <f>IF(BR421&lt;=0.1,0,BK421/BR421*(BR421-0.1))</f>
        <v/>
      </c>
      <c r="BT421" s="34">
        <f>IF((BS421)&lt;0,MAX(F421:G421)*(BS421)*1.03,MIN(F421:G421)*(BS421)*0.97)</f>
        <v/>
      </c>
      <c r="BU421" s="34">
        <f>IF(BR421&gt;0.1,1,0)</f>
        <v/>
      </c>
      <c r="BV421" s="34">
        <f>BF421+BG421+BH421+BY421-CA421</f>
        <v/>
      </c>
      <c r="BW421" s="34">
        <f>ABS(BX421)</f>
        <v/>
      </c>
      <c r="BX421" s="34">
        <f>AY421-(J421-L421+N421-Q421+T421-X421)</f>
        <v/>
      </c>
      <c r="BY421" s="34">
        <f>IF(AND(BX421&gt;0,MIN($F421:$G421)&lt;150,$E421="Enerji Açığı"),-100*BX421*1.03,IF(AND(BX421&gt;0,MIN($F421:$G421)&lt;150,$E421="Enerji Fazlası"),-100*BX421*1.06,IF(AND(BX421&gt;0,MIN($F421:$G421)&gt;=150,$E421="Enerji Açığı"),BX421*MIN($F421:$G421)*0.97,IF(AND(BX421&gt;0,MIN($F421:$G421)&gt;=150,$E421="Enerji Fazlası"),BX421*MIN($F421:$G421)*0.94,IF(AND(BX421&lt;0,MAX($F421:$G421)=4500,$E421="Enerji Açığı"),4500*1.05*1.06*BX421,IF(AND(BX421&lt;0,MAX($F421:$G421)=4500,$E421="Enerji Fazlası"),4500*1.05*1.03*BX421,IF(AND(BX421&lt;0,$E421="Enerji Açığı"),MAX($F421,$G421,150)*BX421*1.06,IF(AND(BX421&lt;0,$E421="Enerji Fazlası"),MAX($F421,$G421,150)*BX421*1.03,IF(AND(BX421&lt;0,$E421="Dengede"),MAX($F421:$G421,150)*1.03*BX421,MIN($F421:$G421)*0.97*BX421)))))))))</f>
        <v/>
      </c>
      <c r="BZ421" s="34">
        <f>BE421-BV421-CA421</f>
        <v/>
      </c>
      <c r="CA421" s="34">
        <f>BD421</f>
        <v/>
      </c>
      <c r="CB421" s="33">
        <f>BE421-BV421</f>
        <v/>
      </c>
      <c r="CC421" s="34">
        <f>IF(AY421=0,0,CB421/AY421)</f>
        <v/>
      </c>
      <c r="CD421" s="34">
        <f>MAX((AY421+MAX((-J421+L421-N421+Q421-T421+X421),0)),(MAX((J421-L421+N421-Q421+T421-X421),0)))</f>
        <v/>
      </c>
      <c r="CE421" s="82">
        <f>IFERROR(ABS(BX421/CD421),0)</f>
        <v/>
      </c>
      <c r="CF421" s="34">
        <f>IF(CE421&lt;=0.1,0,BX421/CE421*(CE421-0.1))</f>
        <v/>
      </c>
      <c r="CG421" s="34">
        <f>IF((CF421)&lt;0,MAX(F421:G421)*(CF421)*1.03,MIN(F421:G421)*(CF421)*0.97)</f>
        <v/>
      </c>
      <c r="CH421" s="34">
        <f>IF(CE421&gt;0.1,1,0)</f>
        <v/>
      </c>
      <c r="CI421" s="34">
        <f>(F421*BX421)-BY421</f>
        <v/>
      </c>
      <c r="CJ421" s="34">
        <f>IF(AY421=0,0,CI421/AY421)</f>
        <v/>
      </c>
    </row>
    <row r="422">
      <c r="A422" s="29">
        <f>[1]FİYATLAR!A397</f>
        <v/>
      </c>
      <c r="B422" s="29">
        <f>[1]FİYATLAR!B397</f>
        <v/>
      </c>
      <c r="C422" s="35">
        <f>INT(A422)</f>
        <v/>
      </c>
      <c r="D422" s="36">
        <f>MONTH(A422)</f>
        <v/>
      </c>
      <c r="E422" s="147">
        <f>[1]FİYATLAR!G397</f>
        <v/>
      </c>
      <c r="F422" s="30">
        <f>[1]FİYATLAR!C397</f>
        <v/>
      </c>
      <c r="G422" s="30">
        <f>[1]FİYATLAR!E397</f>
        <v/>
      </c>
      <c r="H422" s="30">
        <f>[1]FİYATLAR!D397</f>
        <v/>
      </c>
      <c r="I422" s="30">
        <f>[1]FİYATLAR!F397</f>
        <v/>
      </c>
      <c r="J422" s="119" t="n">
        <v>0</v>
      </c>
      <c r="K422" s="34">
        <f>F422*J422</f>
        <v/>
      </c>
      <c r="L422" s="119" t="n"/>
      <c r="M422" s="34">
        <f>L422*F422</f>
        <v/>
      </c>
      <c r="N422" s="119" t="n"/>
      <c r="O422" s="34">
        <f>F422</f>
        <v/>
      </c>
      <c r="P422" s="34">
        <f>N422*O422</f>
        <v/>
      </c>
      <c r="Q422" s="117" t="n">
        <v>0</v>
      </c>
      <c r="R422" s="34">
        <f>F422</f>
        <v/>
      </c>
      <c r="S422" s="34">
        <f>R422*Q422</f>
        <v/>
      </c>
      <c r="T422" s="34">
        <f>SUMIFS('[1]GİP VERİLERİ'!$C:$C,'[1]GİP VERİLERİ'!$B:$B,A422,'[1]GİP VERİLERİ'!$M:$M,"40X000000104782K",'[1]GİP VERİLERİ'!$G:$G,"SELL")</f>
        <v/>
      </c>
      <c r="U422" s="34">
        <f>IFERROR(W422/T422,0)</f>
        <v/>
      </c>
      <c r="V422" s="34">
        <f>IF(U422=0,0,U422-F422)</f>
        <v/>
      </c>
      <c r="W422" s="34">
        <f>SUMIFS('[1]GİP VERİLERİ'!$O:$O,'[1]GİP VERİLERİ'!$B:$B,A422,'[1]GİP VERİLERİ'!$M:$M,"40X000000104782K",'[1]GİP VERİLERİ'!$G:$G,"SELL")</f>
        <v/>
      </c>
      <c r="X422" s="34">
        <f>SUMIFS('[1]GİP VERİLERİ'!$C:$C,'[1]GİP VERİLERİ'!$B:$B,A422,'[1]GİP VERİLERİ'!$M:$M,"40X000000104782K",'[1]GİP VERİLERİ'!$G:$G,"BUY")</f>
        <v/>
      </c>
      <c r="Y422" s="34">
        <f>IFERROR(AA422/X422,0)</f>
        <v/>
      </c>
      <c r="Z422" s="34">
        <f>IF(Y422=0,0,F422-Y422)</f>
        <v/>
      </c>
      <c r="AA422" s="34">
        <f>SUMIFS('[1]GİP VERİLERİ'!$O:$O,'[1]GİP VERİLERİ'!$B:$B,A422,'[1]GİP VERİLERİ'!$M:$M,"40X000000104782K",'[1]GİP VERİLERİ'!$G:$G,"BUY")</f>
        <v/>
      </c>
      <c r="AB422" s="34">
        <f>'[1]GÖP VERİLERİ'!H423</f>
        <v/>
      </c>
      <c r="AC422" s="34">
        <f>'[1]GÖP VERİLERİ'!I423</f>
        <v/>
      </c>
      <c r="AD422" s="34">
        <f>IF(AB422&gt;AC422*1.05,AB422-AC422*1.05,IF(AB422&lt;AC422*0.95,AC422*0.95-AB422,0))</f>
        <v/>
      </c>
      <c r="AE422" s="34">
        <f>MAX(F422,G422,750)*0.05*AD422</f>
        <v/>
      </c>
      <c r="AF422" s="34">
        <f>'[1]GÖP VERİLERİ'!J423</f>
        <v/>
      </c>
      <c r="AG422" s="34">
        <f>IF(AB422&gt;AF422*1.05,AB422-AF422*1.05,IF(AB422&lt;AF422*0.95,AF422*0.95-AB422,0))</f>
        <v/>
      </c>
      <c r="AH422" s="34">
        <f>MAX(I422,J422,750)*0.05*AG422</f>
        <v/>
      </c>
      <c r="AI422">
        <f>'[1]GÖP VERİLERİ'!E423</f>
        <v/>
      </c>
      <c r="AJ422">
        <f>'[1]GÖP VERİLERİ'!F423</f>
        <v/>
      </c>
      <c r="AK422" s="34">
        <f>IF(AI422&gt;AJ422*1.05,AI422-AJ422*1.05,IF(AI422&lt;AJ422*0.95,AJ422*0.95-AI422,0))</f>
        <v/>
      </c>
      <c r="AL422" s="34">
        <f>MAX(F422,G422,750)*0.05*AK422</f>
        <v/>
      </c>
      <c r="AM422" s="39">
        <f>'[1]GÖP VERİLERİ'!G423</f>
        <v/>
      </c>
      <c r="AN422" s="34">
        <f>IF(AI422&gt;AM422*1.05,AI422-AM422*1.05,IF(AI422&lt;AM422*0.95,AM422*0.95-AI422,0))</f>
        <v/>
      </c>
      <c r="AO422" s="34">
        <f>MAX(F422,G422,750)*0.05*AN422</f>
        <v/>
      </c>
      <c r="AP422" s="34">
        <f>'[1]GÖP VERİLERİ'!B423</f>
        <v/>
      </c>
      <c r="AQ422" s="34">
        <f>'[1]GÖP VERİLERİ'!C423</f>
        <v/>
      </c>
      <c r="AR422" s="34">
        <f>IF(AP422&gt;AQ422*1.05,AP422-AQ422*1.05,IF(AP422&lt;AQ422*0.95,AQ422*0.95-AP422,0))</f>
        <v/>
      </c>
      <c r="AS422" s="34">
        <f>MAX(F422:G422,750)*0.05*AR422</f>
        <v/>
      </c>
      <c r="AT422">
        <f>'[1]GÖP VERİLERİ'!D423</f>
        <v/>
      </c>
      <c r="AU422" s="34">
        <f>IF(AP422&gt;AT422*1.05,AP422-AT422*1.05,IF(AP422&lt;AT422*0.95,AT422*0.95-AP422,0))</f>
        <v/>
      </c>
      <c r="AV422" s="34">
        <f>MAX(F422:G422,750)*0.05*AU422</f>
        <v/>
      </c>
      <c r="AW422" s="34">
        <f>AC422+AJ422+AQ422</f>
        <v/>
      </c>
      <c r="AX422" s="34">
        <f>AF422+AM422+AT422</f>
        <v/>
      </c>
      <c r="AY422" s="34">
        <f>AB422+AI422+AP422</f>
        <v/>
      </c>
      <c r="AZ422" s="34" t="n">
        <v>0</v>
      </c>
      <c r="BA422" s="34">
        <f>AD422+AK422+AR422</f>
        <v/>
      </c>
      <c r="BB422" s="34">
        <f>MAX(F422:G422,750)*0.05*BA422</f>
        <v/>
      </c>
      <c r="BC422" s="34">
        <f>AG422+AN422+AU422</f>
        <v/>
      </c>
      <c r="BD422" s="34">
        <f>MAX(F422:G422,750)*0.05*BC422</f>
        <v/>
      </c>
      <c r="BE422" s="34">
        <f>F422*AY422</f>
        <v/>
      </c>
      <c r="BF422" s="34">
        <f>K422-M422</f>
        <v/>
      </c>
      <c r="BG422" s="34">
        <f>P422-S422</f>
        <v/>
      </c>
      <c r="BH422" s="34">
        <f>W422-AA422</f>
        <v/>
      </c>
      <c r="BI422" s="34">
        <f>BF422+BG422+BL422-BN422</f>
        <v/>
      </c>
      <c r="BJ422" s="34">
        <f>ABS(BK422)</f>
        <v/>
      </c>
      <c r="BK422" s="34">
        <f>AY422-(J422-L422+N422-Q422)</f>
        <v/>
      </c>
      <c r="BL422" s="34">
        <f>IF(AND(BK422&gt;0,MIN($F422:$G422)&lt;150,$E422="Enerji Açığı"),-100*BK422*1.03,IF(AND(BK422&gt;0,MIN($F422:$G422)&lt;150,$E422="Enerji Fazlası"),-100*BK422*1.06,IF(AND(BK422&gt;0,MIN($F422:$G422)&gt;=150,$E422="Enerji Açığı"),BK422*MIN($F422:$G422)*0.97,IF(AND(BK422&gt;0,MIN($F422:$G422)&gt;=150,$E422="Enerji Fazlası"),BK422*MIN($F422:$G422)*0.94,IF(AND(BK422&lt;0,MAX($F422:$G422)=4500,$E422="Enerji Açığı"),4500*1.05*1.06*BK422,IF(AND(BK422&lt;0,MAX($F422:$G422)=4500,$E422="Enerji Fazlası"),4500*1.05*1.03*BK422,IF(AND(BK422&lt;0,$E422="Enerji Açığı"),MAX($F422,$G422,150)*BK422*1.06,IF(AND(BK422&lt;0,$E422="Enerji Fazlası"),MAX($F422,$G422,150)*BK422*1.03,IF(AND(BK422&lt;0,$E422="Dengede"),MAX($F422:$G422,150)*1.03*BK422,MIN($F422:$G422)*0.97*BK422)))))))))</f>
        <v/>
      </c>
      <c r="BM422" s="34">
        <f>BE422-BI422-BN422</f>
        <v/>
      </c>
      <c r="BN422" s="34">
        <f>BB422</f>
        <v/>
      </c>
      <c r="BO422" s="34">
        <f>BE422-BI422</f>
        <v/>
      </c>
      <c r="BP422" s="34">
        <f>IF(AY422=0,0,BO422/AY422)</f>
        <v/>
      </c>
      <c r="BQ422" s="34">
        <f>MAX((AY422+MAX((-J422+L422-N422+Q422),0)),(MAX((J422-L422+N422-Q422),0)))</f>
        <v/>
      </c>
      <c r="BR422" s="82">
        <f>IFERROR(ABS(BK422/BQ422),0)</f>
        <v/>
      </c>
      <c r="BS422" s="34">
        <f>IF(BR422&lt;=0.1,0,BK422/BR422*(BR422-0.1))</f>
        <v/>
      </c>
      <c r="BT422" s="34">
        <f>IF((BS422)&lt;0,MAX(F422:G422)*(BS422)*1.03,MIN(F422:G422)*(BS422)*0.97)</f>
        <v/>
      </c>
      <c r="BU422" s="34">
        <f>IF(BR422&gt;0.1,1,0)</f>
        <v/>
      </c>
      <c r="BV422" s="34">
        <f>BF422+BG422+BH422+BY422-CA422</f>
        <v/>
      </c>
      <c r="BW422" s="34">
        <f>ABS(BX422)</f>
        <v/>
      </c>
      <c r="BX422" s="34">
        <f>AY422-(J422-L422+N422-Q422+T422-X422)</f>
        <v/>
      </c>
      <c r="BY422" s="34">
        <f>IF(AND(BX422&gt;0,MIN($F422:$G422)&lt;150,$E422="Enerji Açığı"),-100*BX422*1.03,IF(AND(BX422&gt;0,MIN($F422:$G422)&lt;150,$E422="Enerji Fazlası"),-100*BX422*1.06,IF(AND(BX422&gt;0,MIN($F422:$G422)&gt;=150,$E422="Enerji Açığı"),BX422*MIN($F422:$G422)*0.97,IF(AND(BX422&gt;0,MIN($F422:$G422)&gt;=150,$E422="Enerji Fazlası"),BX422*MIN($F422:$G422)*0.94,IF(AND(BX422&lt;0,MAX($F422:$G422)=4500,$E422="Enerji Açığı"),4500*1.05*1.06*BX422,IF(AND(BX422&lt;0,MAX($F422:$G422)=4500,$E422="Enerji Fazlası"),4500*1.05*1.03*BX422,IF(AND(BX422&lt;0,$E422="Enerji Açığı"),MAX($F422,$G422,150)*BX422*1.06,IF(AND(BX422&lt;0,$E422="Enerji Fazlası"),MAX($F422,$G422,150)*BX422*1.03,IF(AND(BX422&lt;0,$E422="Dengede"),MAX($F422:$G422,150)*1.03*BX422,MIN($F422:$G422)*0.97*BX422)))))))))</f>
        <v/>
      </c>
      <c r="BZ422" s="34">
        <f>BE422-BV422-CA422</f>
        <v/>
      </c>
      <c r="CA422" s="34">
        <f>BD422</f>
        <v/>
      </c>
      <c r="CB422" s="33">
        <f>BE422-BV422</f>
        <v/>
      </c>
      <c r="CC422" s="34">
        <f>IF(AY422=0,0,CB422/AY422)</f>
        <v/>
      </c>
      <c r="CD422" s="34">
        <f>MAX((AY422+MAX((-J422+L422-N422+Q422-T422+X422),0)),(MAX((J422-L422+N422-Q422+T422-X422),0)))</f>
        <v/>
      </c>
      <c r="CE422" s="82">
        <f>IFERROR(ABS(BX422/CD422),0)</f>
        <v/>
      </c>
      <c r="CF422" s="34">
        <f>IF(CE422&lt;=0.1,0,BX422/CE422*(CE422-0.1))</f>
        <v/>
      </c>
      <c r="CG422" s="34">
        <f>IF((CF422)&lt;0,MAX(F422:G422)*(CF422)*1.03,MIN(F422:G422)*(CF422)*0.97)</f>
        <v/>
      </c>
      <c r="CH422" s="34">
        <f>IF(CE422&gt;0.1,1,0)</f>
        <v/>
      </c>
      <c r="CI422" s="34">
        <f>(F422*BX422)-BY422</f>
        <v/>
      </c>
      <c r="CJ422" s="34">
        <f>IF(AY422=0,0,CI422/AY422)</f>
        <v/>
      </c>
    </row>
    <row r="423">
      <c r="A423" s="29">
        <f>[1]FİYATLAR!A398</f>
        <v/>
      </c>
      <c r="B423" s="29">
        <f>[1]FİYATLAR!B398</f>
        <v/>
      </c>
      <c r="C423" s="35">
        <f>INT(A423)</f>
        <v/>
      </c>
      <c r="D423" s="36">
        <f>MONTH(A423)</f>
        <v/>
      </c>
      <c r="E423" s="147">
        <f>[1]FİYATLAR!G398</f>
        <v/>
      </c>
      <c r="F423" s="30">
        <f>[1]FİYATLAR!C398</f>
        <v/>
      </c>
      <c r="G423" s="30">
        <f>[1]FİYATLAR!E398</f>
        <v/>
      </c>
      <c r="H423" s="30">
        <f>[1]FİYATLAR!D398</f>
        <v/>
      </c>
      <c r="I423" s="30">
        <f>[1]FİYATLAR!F398</f>
        <v/>
      </c>
      <c r="J423" s="119" t="n">
        <v>0</v>
      </c>
      <c r="K423" s="34">
        <f>F423*J423</f>
        <v/>
      </c>
      <c r="L423" s="119" t="n"/>
      <c r="M423" s="34">
        <f>L423*F423</f>
        <v/>
      </c>
      <c r="N423" s="119" t="n"/>
      <c r="O423" s="34">
        <f>F423</f>
        <v/>
      </c>
      <c r="P423" s="34">
        <f>N423*O423</f>
        <v/>
      </c>
      <c r="Q423" s="117" t="n">
        <v>0</v>
      </c>
      <c r="R423" s="34">
        <f>F423</f>
        <v/>
      </c>
      <c r="S423" s="34">
        <f>R423*Q423</f>
        <v/>
      </c>
      <c r="T423" s="34">
        <f>SUMIFS('[1]GİP VERİLERİ'!$C:$C,'[1]GİP VERİLERİ'!$B:$B,A423,'[1]GİP VERİLERİ'!$M:$M,"40X000000104782K",'[1]GİP VERİLERİ'!$G:$G,"SELL")</f>
        <v/>
      </c>
      <c r="U423" s="34">
        <f>IFERROR(W423/T423,0)</f>
        <v/>
      </c>
      <c r="V423" s="34">
        <f>IF(U423=0,0,U423-F423)</f>
        <v/>
      </c>
      <c r="W423" s="34">
        <f>SUMIFS('[1]GİP VERİLERİ'!$O:$O,'[1]GİP VERİLERİ'!$B:$B,A423,'[1]GİP VERİLERİ'!$M:$M,"40X000000104782K",'[1]GİP VERİLERİ'!$G:$G,"SELL")</f>
        <v/>
      </c>
      <c r="X423" s="34">
        <f>SUMIFS('[1]GİP VERİLERİ'!$C:$C,'[1]GİP VERİLERİ'!$B:$B,A423,'[1]GİP VERİLERİ'!$M:$M,"40X000000104782K",'[1]GİP VERİLERİ'!$G:$G,"BUY")</f>
        <v/>
      </c>
      <c r="Y423" s="34">
        <f>IFERROR(AA423/X423,0)</f>
        <v/>
      </c>
      <c r="Z423" s="34">
        <f>IF(Y423=0,0,F423-Y423)</f>
        <v/>
      </c>
      <c r="AA423" s="34">
        <f>SUMIFS('[1]GİP VERİLERİ'!$O:$O,'[1]GİP VERİLERİ'!$B:$B,A423,'[1]GİP VERİLERİ'!$M:$M,"40X000000104782K",'[1]GİP VERİLERİ'!$G:$G,"BUY")</f>
        <v/>
      </c>
      <c r="AB423" s="34">
        <f>'[1]GÖP VERİLERİ'!H424</f>
        <v/>
      </c>
      <c r="AC423" s="34">
        <f>'[1]GÖP VERİLERİ'!I424</f>
        <v/>
      </c>
      <c r="AD423" s="34">
        <f>IF(AB423&gt;AC423*1.05,AB423-AC423*1.05,IF(AB423&lt;AC423*0.95,AC423*0.95-AB423,0))</f>
        <v/>
      </c>
      <c r="AE423" s="34">
        <f>MAX(F423,G423,750)*0.05*AD423</f>
        <v/>
      </c>
      <c r="AF423" s="34">
        <f>'[1]GÖP VERİLERİ'!J424</f>
        <v/>
      </c>
      <c r="AG423" s="34">
        <f>IF(AB423&gt;AF423*1.05,AB423-AF423*1.05,IF(AB423&lt;AF423*0.95,AF423*0.95-AB423,0))</f>
        <v/>
      </c>
      <c r="AH423" s="34">
        <f>MAX(I423,J423,750)*0.05*AG423</f>
        <v/>
      </c>
      <c r="AI423">
        <f>'[1]GÖP VERİLERİ'!E424</f>
        <v/>
      </c>
      <c r="AJ423">
        <f>'[1]GÖP VERİLERİ'!F424</f>
        <v/>
      </c>
      <c r="AK423" s="34">
        <f>IF(AI423&gt;AJ423*1.05,AI423-AJ423*1.05,IF(AI423&lt;AJ423*0.95,AJ423*0.95-AI423,0))</f>
        <v/>
      </c>
      <c r="AL423" s="34">
        <f>MAX(F423,G423,750)*0.05*AK423</f>
        <v/>
      </c>
      <c r="AM423" s="39">
        <f>'[1]GÖP VERİLERİ'!G424</f>
        <v/>
      </c>
      <c r="AN423" s="34">
        <f>IF(AI423&gt;AM423*1.05,AI423-AM423*1.05,IF(AI423&lt;AM423*0.95,AM423*0.95-AI423,0))</f>
        <v/>
      </c>
      <c r="AO423" s="34">
        <f>MAX(F423,G423,750)*0.05*AN423</f>
        <v/>
      </c>
      <c r="AP423" s="34">
        <f>'[1]GÖP VERİLERİ'!B424</f>
        <v/>
      </c>
      <c r="AQ423" s="34">
        <f>'[1]GÖP VERİLERİ'!C424</f>
        <v/>
      </c>
      <c r="AR423" s="34">
        <f>IF(AP423&gt;AQ423*1.05,AP423-AQ423*1.05,IF(AP423&lt;AQ423*0.95,AQ423*0.95-AP423,0))</f>
        <v/>
      </c>
      <c r="AS423" s="34">
        <f>MAX(F423:G423,750)*0.05*AR423</f>
        <v/>
      </c>
      <c r="AT423">
        <f>'[1]GÖP VERİLERİ'!D424</f>
        <v/>
      </c>
      <c r="AU423" s="34">
        <f>IF(AP423&gt;AT423*1.05,AP423-AT423*1.05,IF(AP423&lt;AT423*0.95,AT423*0.95-AP423,0))</f>
        <v/>
      </c>
      <c r="AV423" s="34">
        <f>MAX(F423:G423,750)*0.05*AU423</f>
        <v/>
      </c>
      <c r="AW423" s="34">
        <f>AC423+AJ423+AQ423</f>
        <v/>
      </c>
      <c r="AX423" s="34">
        <f>AF423+AM423+AT423</f>
        <v/>
      </c>
      <c r="AY423" s="34">
        <f>AB423+AI423+AP423</f>
        <v/>
      </c>
      <c r="AZ423" s="34" t="n">
        <v>0</v>
      </c>
      <c r="BA423" s="34">
        <f>AD423+AK423+AR423</f>
        <v/>
      </c>
      <c r="BB423" s="34">
        <f>MAX(F423:G423,750)*0.05*BA423</f>
        <v/>
      </c>
      <c r="BC423" s="34">
        <f>AG423+AN423+AU423</f>
        <v/>
      </c>
      <c r="BD423" s="34">
        <f>MAX(F423:G423,750)*0.05*BC423</f>
        <v/>
      </c>
      <c r="BE423" s="34">
        <f>F423*AY423</f>
        <v/>
      </c>
      <c r="BF423" s="34">
        <f>K423-M423</f>
        <v/>
      </c>
      <c r="BG423" s="34">
        <f>P423-S423</f>
        <v/>
      </c>
      <c r="BH423" s="34">
        <f>W423-AA423</f>
        <v/>
      </c>
      <c r="BI423" s="34">
        <f>BF423+BG423+BL423-BN423</f>
        <v/>
      </c>
      <c r="BJ423" s="34">
        <f>ABS(BK423)</f>
        <v/>
      </c>
      <c r="BK423" s="34">
        <f>AY423-(J423-L423+N423-Q423)</f>
        <v/>
      </c>
      <c r="BL423" s="34">
        <f>IF(AND(BK423&gt;0,MIN($F423:$G423)&lt;150,$E423="Enerji Açığı"),-100*BK423*1.03,IF(AND(BK423&gt;0,MIN($F423:$G423)&lt;150,$E423="Enerji Fazlası"),-100*BK423*1.06,IF(AND(BK423&gt;0,MIN($F423:$G423)&gt;=150,$E423="Enerji Açığı"),BK423*MIN($F423:$G423)*0.97,IF(AND(BK423&gt;0,MIN($F423:$G423)&gt;=150,$E423="Enerji Fazlası"),BK423*MIN($F423:$G423)*0.94,IF(AND(BK423&lt;0,MAX($F423:$G423)=4500,$E423="Enerji Açığı"),4500*1.05*1.06*BK423,IF(AND(BK423&lt;0,MAX($F423:$G423)=4500,$E423="Enerji Fazlası"),4500*1.05*1.03*BK423,IF(AND(BK423&lt;0,$E423="Enerji Açığı"),MAX($F423,$G423,150)*BK423*1.06,IF(AND(BK423&lt;0,$E423="Enerji Fazlası"),MAX($F423,$G423,150)*BK423*1.03,IF(AND(BK423&lt;0,$E423="Dengede"),MAX($F423:$G423,150)*1.03*BK423,MIN($F423:$G423)*0.97*BK423)))))))))</f>
        <v/>
      </c>
      <c r="BM423" s="34">
        <f>BE423-BI423-BN423</f>
        <v/>
      </c>
      <c r="BN423" s="34">
        <f>BB423</f>
        <v/>
      </c>
      <c r="BO423" s="34">
        <f>BE423-BI423</f>
        <v/>
      </c>
      <c r="BP423" s="34">
        <f>IF(AY423=0,0,BO423/AY423)</f>
        <v/>
      </c>
      <c r="BQ423" s="34">
        <f>MAX((AY423+MAX((-J423+L423-N423+Q423),0)),(MAX((J423-L423+N423-Q423),0)))</f>
        <v/>
      </c>
      <c r="BR423" s="82">
        <f>IFERROR(ABS(BK423/BQ423),0)</f>
        <v/>
      </c>
      <c r="BS423" s="34">
        <f>IF(BR423&lt;=0.1,0,BK423/BR423*(BR423-0.1))</f>
        <v/>
      </c>
      <c r="BT423" s="34">
        <f>IF((BS423)&lt;0,MAX(F423:G423)*(BS423)*1.03,MIN(F423:G423)*(BS423)*0.97)</f>
        <v/>
      </c>
      <c r="BU423" s="34">
        <f>IF(BR423&gt;0.1,1,0)</f>
        <v/>
      </c>
      <c r="BV423" s="34">
        <f>BF423+BG423+BH423+BY423-CA423</f>
        <v/>
      </c>
      <c r="BW423" s="34">
        <f>ABS(BX423)</f>
        <v/>
      </c>
      <c r="BX423" s="34">
        <f>AY423-(J423-L423+N423-Q423+T423-X423)</f>
        <v/>
      </c>
      <c r="BY423" s="34">
        <f>IF(AND(BX423&gt;0,MIN($F423:$G423)&lt;150,$E423="Enerji Açığı"),-100*BX423*1.03,IF(AND(BX423&gt;0,MIN($F423:$G423)&lt;150,$E423="Enerji Fazlası"),-100*BX423*1.06,IF(AND(BX423&gt;0,MIN($F423:$G423)&gt;=150,$E423="Enerji Açığı"),BX423*MIN($F423:$G423)*0.97,IF(AND(BX423&gt;0,MIN($F423:$G423)&gt;=150,$E423="Enerji Fazlası"),BX423*MIN($F423:$G423)*0.94,IF(AND(BX423&lt;0,MAX($F423:$G423)=4500,$E423="Enerji Açığı"),4500*1.05*1.06*BX423,IF(AND(BX423&lt;0,MAX($F423:$G423)=4500,$E423="Enerji Fazlası"),4500*1.05*1.03*BX423,IF(AND(BX423&lt;0,$E423="Enerji Açığı"),MAX($F423,$G423,150)*BX423*1.06,IF(AND(BX423&lt;0,$E423="Enerji Fazlası"),MAX($F423,$G423,150)*BX423*1.03,IF(AND(BX423&lt;0,$E423="Dengede"),MAX($F423:$G423,150)*1.03*BX423,MIN($F423:$G423)*0.97*BX423)))))))))</f>
        <v/>
      </c>
      <c r="BZ423" s="34">
        <f>BE423-BV423-CA423</f>
        <v/>
      </c>
      <c r="CA423" s="34">
        <f>BD423</f>
        <v/>
      </c>
      <c r="CB423" s="33">
        <f>BE423-BV423</f>
        <v/>
      </c>
      <c r="CC423" s="34">
        <f>IF(AY423=0,0,CB423/AY423)</f>
        <v/>
      </c>
      <c r="CD423" s="34">
        <f>MAX((AY423+MAX((-J423+L423-N423+Q423-T423+X423),0)),(MAX((J423-L423+N423-Q423+T423-X423),0)))</f>
        <v/>
      </c>
      <c r="CE423" s="82">
        <f>IFERROR(ABS(BX423/CD423),0)</f>
        <v/>
      </c>
      <c r="CF423" s="34">
        <f>IF(CE423&lt;=0.1,0,BX423/CE423*(CE423-0.1))</f>
        <v/>
      </c>
      <c r="CG423" s="34">
        <f>IF((CF423)&lt;0,MAX(F423:G423)*(CF423)*1.03,MIN(F423:G423)*(CF423)*0.97)</f>
        <v/>
      </c>
      <c r="CH423" s="34">
        <f>IF(CE423&gt;0.1,1,0)</f>
        <v/>
      </c>
      <c r="CI423" s="34">
        <f>(F423*BX423)-BY423</f>
        <v/>
      </c>
      <c r="CJ423" s="34">
        <f>IF(AY423=0,0,CI423/AY423)</f>
        <v/>
      </c>
    </row>
    <row r="424">
      <c r="A424" s="29">
        <f>[1]FİYATLAR!A399</f>
        <v/>
      </c>
      <c r="B424" s="29">
        <f>[1]FİYATLAR!B399</f>
        <v/>
      </c>
      <c r="C424" s="35">
        <f>INT(A424)</f>
        <v/>
      </c>
      <c r="D424" s="36">
        <f>MONTH(A424)</f>
        <v/>
      </c>
      <c r="E424" s="147">
        <f>[1]FİYATLAR!G399</f>
        <v/>
      </c>
      <c r="F424" s="30">
        <f>[1]FİYATLAR!C399</f>
        <v/>
      </c>
      <c r="G424" s="30">
        <f>[1]FİYATLAR!E399</f>
        <v/>
      </c>
      <c r="H424" s="30">
        <f>[1]FİYATLAR!D399</f>
        <v/>
      </c>
      <c r="I424" s="30">
        <f>[1]FİYATLAR!F399</f>
        <v/>
      </c>
      <c r="J424" s="119" t="n">
        <v>0</v>
      </c>
      <c r="K424" s="34">
        <f>F424*J424</f>
        <v/>
      </c>
      <c r="L424" s="119" t="n"/>
      <c r="M424" s="34">
        <f>L424*F424</f>
        <v/>
      </c>
      <c r="N424" s="119" t="n"/>
      <c r="O424" s="34">
        <f>F424</f>
        <v/>
      </c>
      <c r="P424" s="34">
        <f>N424*O424</f>
        <v/>
      </c>
      <c r="Q424" s="117" t="n">
        <v>0</v>
      </c>
      <c r="R424" s="34">
        <f>F424</f>
        <v/>
      </c>
      <c r="S424" s="34">
        <f>R424*Q424</f>
        <v/>
      </c>
      <c r="T424" s="34">
        <f>SUMIFS('[1]GİP VERİLERİ'!$C:$C,'[1]GİP VERİLERİ'!$B:$B,A424,'[1]GİP VERİLERİ'!$M:$M,"40X000000104782K",'[1]GİP VERİLERİ'!$G:$G,"SELL")</f>
        <v/>
      </c>
      <c r="U424" s="34">
        <f>IFERROR(W424/T424,0)</f>
        <v/>
      </c>
      <c r="V424" s="34">
        <f>IF(U424=0,0,U424-F424)</f>
        <v/>
      </c>
      <c r="W424" s="34">
        <f>SUMIFS('[1]GİP VERİLERİ'!$O:$O,'[1]GİP VERİLERİ'!$B:$B,A424,'[1]GİP VERİLERİ'!$M:$M,"40X000000104782K",'[1]GİP VERİLERİ'!$G:$G,"SELL")</f>
        <v/>
      </c>
      <c r="X424" s="34">
        <f>SUMIFS('[1]GİP VERİLERİ'!$C:$C,'[1]GİP VERİLERİ'!$B:$B,A424,'[1]GİP VERİLERİ'!$M:$M,"40X000000104782K",'[1]GİP VERİLERİ'!$G:$G,"BUY")</f>
        <v/>
      </c>
      <c r="Y424" s="34">
        <f>IFERROR(AA424/X424,0)</f>
        <v/>
      </c>
      <c r="Z424" s="34">
        <f>IF(Y424=0,0,F424-Y424)</f>
        <v/>
      </c>
      <c r="AA424" s="34">
        <f>SUMIFS('[1]GİP VERİLERİ'!$O:$O,'[1]GİP VERİLERİ'!$B:$B,A424,'[1]GİP VERİLERİ'!$M:$M,"40X000000104782K",'[1]GİP VERİLERİ'!$G:$G,"BUY")</f>
        <v/>
      </c>
      <c r="AB424" s="34">
        <f>'[1]GÖP VERİLERİ'!H425</f>
        <v/>
      </c>
      <c r="AC424" s="34">
        <f>'[1]GÖP VERİLERİ'!I425</f>
        <v/>
      </c>
      <c r="AD424" s="34">
        <f>IF(AB424&gt;AC424*1.05,AB424-AC424*1.05,IF(AB424&lt;AC424*0.95,AC424*0.95-AB424,0))</f>
        <v/>
      </c>
      <c r="AE424" s="34">
        <f>MAX(F424,G424,750)*0.05*AD424</f>
        <v/>
      </c>
      <c r="AF424" s="34">
        <f>'[1]GÖP VERİLERİ'!J425</f>
        <v/>
      </c>
      <c r="AG424" s="34">
        <f>IF(AB424&gt;AF424*1.05,AB424-AF424*1.05,IF(AB424&lt;AF424*0.95,AF424*0.95-AB424,0))</f>
        <v/>
      </c>
      <c r="AH424" s="34">
        <f>MAX(I424,J424,750)*0.05*AG424</f>
        <v/>
      </c>
      <c r="AI424">
        <f>'[1]GÖP VERİLERİ'!E425</f>
        <v/>
      </c>
      <c r="AJ424">
        <f>'[1]GÖP VERİLERİ'!F425</f>
        <v/>
      </c>
      <c r="AK424" s="34">
        <f>IF(AI424&gt;AJ424*1.05,AI424-AJ424*1.05,IF(AI424&lt;AJ424*0.95,AJ424*0.95-AI424,0))</f>
        <v/>
      </c>
      <c r="AL424" s="34">
        <f>MAX(F424,G424,750)*0.05*AK424</f>
        <v/>
      </c>
      <c r="AM424" s="39">
        <f>'[1]GÖP VERİLERİ'!G425</f>
        <v/>
      </c>
      <c r="AN424" s="34">
        <f>IF(AI424&gt;AM424*1.05,AI424-AM424*1.05,IF(AI424&lt;AM424*0.95,AM424*0.95-AI424,0))</f>
        <v/>
      </c>
      <c r="AO424" s="34">
        <f>MAX(F424,G424,750)*0.05*AN424</f>
        <v/>
      </c>
      <c r="AP424" s="34">
        <f>'[1]GÖP VERİLERİ'!B425</f>
        <v/>
      </c>
      <c r="AQ424" s="34">
        <f>'[1]GÖP VERİLERİ'!C425</f>
        <v/>
      </c>
      <c r="AR424" s="34">
        <f>IF(AP424&gt;AQ424*1.05,AP424-AQ424*1.05,IF(AP424&lt;AQ424*0.95,AQ424*0.95-AP424,0))</f>
        <v/>
      </c>
      <c r="AS424" s="34">
        <f>MAX(F424:G424,750)*0.05*AR424</f>
        <v/>
      </c>
      <c r="AT424">
        <f>'[1]GÖP VERİLERİ'!D425</f>
        <v/>
      </c>
      <c r="AU424" s="34">
        <f>IF(AP424&gt;AT424*1.05,AP424-AT424*1.05,IF(AP424&lt;AT424*0.95,AT424*0.95-AP424,0))</f>
        <v/>
      </c>
      <c r="AV424" s="34">
        <f>MAX(F424:G424,750)*0.05*AU424</f>
        <v/>
      </c>
      <c r="AW424" s="34">
        <f>AC424+AJ424+AQ424</f>
        <v/>
      </c>
      <c r="AX424" s="34">
        <f>AF424+AM424+AT424</f>
        <v/>
      </c>
      <c r="AY424" s="34">
        <f>AB424+AI424+AP424</f>
        <v/>
      </c>
      <c r="AZ424" s="34" t="n">
        <v>0</v>
      </c>
      <c r="BA424" s="34">
        <f>AD424+AK424+AR424</f>
        <v/>
      </c>
      <c r="BB424" s="34">
        <f>MAX(F424:G424,750)*0.05*BA424</f>
        <v/>
      </c>
      <c r="BC424" s="34">
        <f>AG424+AN424+AU424</f>
        <v/>
      </c>
      <c r="BD424" s="34">
        <f>MAX(F424:G424,750)*0.05*BC424</f>
        <v/>
      </c>
      <c r="BE424" s="34">
        <f>F424*AY424</f>
        <v/>
      </c>
      <c r="BF424" s="34">
        <f>K424-M424</f>
        <v/>
      </c>
      <c r="BG424" s="34">
        <f>P424-S424</f>
        <v/>
      </c>
      <c r="BH424" s="34">
        <f>W424-AA424</f>
        <v/>
      </c>
      <c r="BI424" s="34">
        <f>BF424+BG424+BL424-BN424</f>
        <v/>
      </c>
      <c r="BJ424" s="34">
        <f>ABS(BK424)</f>
        <v/>
      </c>
      <c r="BK424" s="34">
        <f>AY424-(J424-L424+N424-Q424)</f>
        <v/>
      </c>
      <c r="BL424" s="34">
        <f>IF(AND(BK424&gt;0,MIN($F424:$G424)&lt;150,$E424="Enerji Açığı"),-100*BK424*1.03,IF(AND(BK424&gt;0,MIN($F424:$G424)&lt;150,$E424="Enerji Fazlası"),-100*BK424*1.06,IF(AND(BK424&gt;0,MIN($F424:$G424)&gt;=150,$E424="Enerji Açığı"),BK424*MIN($F424:$G424)*0.97,IF(AND(BK424&gt;0,MIN($F424:$G424)&gt;=150,$E424="Enerji Fazlası"),BK424*MIN($F424:$G424)*0.94,IF(AND(BK424&lt;0,MAX($F424:$G424)=4500,$E424="Enerji Açığı"),4500*1.05*1.06*BK424,IF(AND(BK424&lt;0,MAX($F424:$G424)=4500,$E424="Enerji Fazlası"),4500*1.05*1.03*BK424,IF(AND(BK424&lt;0,$E424="Enerji Açığı"),MAX($F424,$G424,150)*BK424*1.06,IF(AND(BK424&lt;0,$E424="Enerji Fazlası"),MAX($F424,$G424,150)*BK424*1.03,IF(AND(BK424&lt;0,$E424="Dengede"),MAX($F424:$G424,150)*1.03*BK424,MIN($F424:$G424)*0.97*BK424)))))))))</f>
        <v/>
      </c>
      <c r="BM424" s="34">
        <f>BE424-BI424-BN424</f>
        <v/>
      </c>
      <c r="BN424" s="34">
        <f>BB424</f>
        <v/>
      </c>
      <c r="BO424" s="34">
        <f>BE424-BI424</f>
        <v/>
      </c>
      <c r="BP424" s="34">
        <f>IF(AY424=0,0,BO424/AY424)</f>
        <v/>
      </c>
      <c r="BQ424" s="34">
        <f>MAX((AY424+MAX((-J424+L424-N424+Q424),0)),(MAX((J424-L424+N424-Q424),0)))</f>
        <v/>
      </c>
      <c r="BR424" s="82">
        <f>IFERROR(ABS(BK424/BQ424),0)</f>
        <v/>
      </c>
      <c r="BS424" s="34">
        <f>IF(BR424&lt;=0.1,0,BK424/BR424*(BR424-0.1))</f>
        <v/>
      </c>
      <c r="BT424" s="34">
        <f>IF((BS424)&lt;0,MAX(F424:G424)*(BS424)*1.03,MIN(F424:G424)*(BS424)*0.97)</f>
        <v/>
      </c>
      <c r="BU424" s="34">
        <f>IF(BR424&gt;0.1,1,0)</f>
        <v/>
      </c>
      <c r="BV424" s="34">
        <f>BF424+BG424+BH424+BY424-CA424</f>
        <v/>
      </c>
      <c r="BW424" s="34">
        <f>ABS(BX424)</f>
        <v/>
      </c>
      <c r="BX424" s="34">
        <f>AY424-(J424-L424+N424-Q424+T424-X424)</f>
        <v/>
      </c>
      <c r="BY424" s="34">
        <f>IF(AND(BX424&gt;0,MIN($F424:$G424)&lt;150,$E424="Enerji Açığı"),-100*BX424*1.03,IF(AND(BX424&gt;0,MIN($F424:$G424)&lt;150,$E424="Enerji Fazlası"),-100*BX424*1.06,IF(AND(BX424&gt;0,MIN($F424:$G424)&gt;=150,$E424="Enerji Açığı"),BX424*MIN($F424:$G424)*0.97,IF(AND(BX424&gt;0,MIN($F424:$G424)&gt;=150,$E424="Enerji Fazlası"),BX424*MIN($F424:$G424)*0.94,IF(AND(BX424&lt;0,MAX($F424:$G424)=4500,$E424="Enerji Açığı"),4500*1.05*1.06*BX424,IF(AND(BX424&lt;0,MAX($F424:$G424)=4500,$E424="Enerji Fazlası"),4500*1.05*1.03*BX424,IF(AND(BX424&lt;0,$E424="Enerji Açığı"),MAX($F424,$G424,150)*BX424*1.06,IF(AND(BX424&lt;0,$E424="Enerji Fazlası"),MAX($F424,$G424,150)*BX424*1.03,IF(AND(BX424&lt;0,$E424="Dengede"),MAX($F424:$G424,150)*1.03*BX424,MIN($F424:$G424)*0.97*BX424)))))))))</f>
        <v/>
      </c>
      <c r="BZ424" s="34">
        <f>BE424-BV424-CA424</f>
        <v/>
      </c>
      <c r="CA424" s="34">
        <f>BD424</f>
        <v/>
      </c>
      <c r="CB424" s="33">
        <f>BE424-BV424</f>
        <v/>
      </c>
      <c r="CC424" s="34">
        <f>IF(AY424=0,0,CB424/AY424)</f>
        <v/>
      </c>
      <c r="CD424" s="34">
        <f>MAX((AY424+MAX((-J424+L424-N424+Q424-T424+X424),0)),(MAX((J424-L424+N424-Q424+T424-X424),0)))</f>
        <v/>
      </c>
      <c r="CE424" s="82">
        <f>IFERROR(ABS(BX424/CD424),0)</f>
        <v/>
      </c>
      <c r="CF424" s="34">
        <f>IF(CE424&lt;=0.1,0,BX424/CE424*(CE424-0.1))</f>
        <v/>
      </c>
      <c r="CG424" s="34">
        <f>IF((CF424)&lt;0,MAX(F424:G424)*(CF424)*1.03,MIN(F424:G424)*(CF424)*0.97)</f>
        <v/>
      </c>
      <c r="CH424" s="34">
        <f>IF(CE424&gt;0.1,1,0)</f>
        <v/>
      </c>
      <c r="CI424" s="34">
        <f>(F424*BX424)-BY424</f>
        <v/>
      </c>
      <c r="CJ424" s="34">
        <f>IF(AY424=0,0,CI424/AY424)</f>
        <v/>
      </c>
    </row>
    <row r="425">
      <c r="A425" s="29">
        <f>[1]FİYATLAR!A400</f>
        <v/>
      </c>
      <c r="B425" s="29">
        <f>[1]FİYATLAR!B400</f>
        <v/>
      </c>
      <c r="C425" s="35">
        <f>INT(A425)</f>
        <v/>
      </c>
      <c r="D425" s="36">
        <f>MONTH(A425)</f>
        <v/>
      </c>
      <c r="E425" s="147">
        <f>[1]FİYATLAR!G400</f>
        <v/>
      </c>
      <c r="F425" s="30">
        <f>[1]FİYATLAR!C400</f>
        <v/>
      </c>
      <c r="G425" s="30">
        <f>[1]FİYATLAR!E400</f>
        <v/>
      </c>
      <c r="H425" s="30">
        <f>[1]FİYATLAR!D400</f>
        <v/>
      </c>
      <c r="I425" s="30">
        <f>[1]FİYATLAR!F400</f>
        <v/>
      </c>
      <c r="J425" s="119" t="n">
        <v>0</v>
      </c>
      <c r="K425" s="34">
        <f>F425*J425</f>
        <v/>
      </c>
      <c r="L425" s="119" t="n"/>
      <c r="M425" s="34">
        <f>L425*F425</f>
        <v/>
      </c>
      <c r="N425" s="119" t="n"/>
      <c r="O425" s="34">
        <f>F425</f>
        <v/>
      </c>
      <c r="P425" s="34">
        <f>N425*O425</f>
        <v/>
      </c>
      <c r="Q425" s="117" t="n">
        <v>0</v>
      </c>
      <c r="R425" s="34">
        <f>F425</f>
        <v/>
      </c>
      <c r="S425" s="34">
        <f>R425*Q425</f>
        <v/>
      </c>
      <c r="T425" s="34">
        <f>SUMIFS('[1]GİP VERİLERİ'!$C:$C,'[1]GİP VERİLERİ'!$B:$B,A425,'[1]GİP VERİLERİ'!$M:$M,"40X000000104782K",'[1]GİP VERİLERİ'!$G:$G,"SELL")</f>
        <v/>
      </c>
      <c r="U425" s="34">
        <f>IFERROR(W425/T425,0)</f>
        <v/>
      </c>
      <c r="V425" s="34">
        <f>IF(U425=0,0,U425-F425)</f>
        <v/>
      </c>
      <c r="W425" s="34">
        <f>SUMIFS('[1]GİP VERİLERİ'!$O:$O,'[1]GİP VERİLERİ'!$B:$B,A425,'[1]GİP VERİLERİ'!$M:$M,"40X000000104782K",'[1]GİP VERİLERİ'!$G:$G,"SELL")</f>
        <v/>
      </c>
      <c r="X425" s="34">
        <f>SUMIFS('[1]GİP VERİLERİ'!$C:$C,'[1]GİP VERİLERİ'!$B:$B,A425,'[1]GİP VERİLERİ'!$M:$M,"40X000000104782K",'[1]GİP VERİLERİ'!$G:$G,"BUY")</f>
        <v/>
      </c>
      <c r="Y425" s="34">
        <f>IFERROR(AA425/X425,0)</f>
        <v/>
      </c>
      <c r="Z425" s="34">
        <f>IF(Y425=0,0,F425-Y425)</f>
        <v/>
      </c>
      <c r="AA425" s="34">
        <f>SUMIFS('[1]GİP VERİLERİ'!$O:$O,'[1]GİP VERİLERİ'!$B:$B,A425,'[1]GİP VERİLERİ'!$M:$M,"40X000000104782K",'[1]GİP VERİLERİ'!$G:$G,"BUY")</f>
        <v/>
      </c>
      <c r="AB425" s="34">
        <f>'[1]GÖP VERİLERİ'!H426</f>
        <v/>
      </c>
      <c r="AC425" s="34">
        <f>'[1]GÖP VERİLERİ'!I426</f>
        <v/>
      </c>
      <c r="AD425" s="34">
        <f>IF(AB425&gt;AC425*1.05,AB425-AC425*1.05,IF(AB425&lt;AC425*0.95,AC425*0.95-AB425,0))</f>
        <v/>
      </c>
      <c r="AE425" s="34">
        <f>MAX(F425,G425,750)*0.05*AD425</f>
        <v/>
      </c>
      <c r="AF425" s="34">
        <f>'[1]GÖP VERİLERİ'!J426</f>
        <v/>
      </c>
      <c r="AG425" s="34">
        <f>IF(AB425&gt;AF425*1.05,AB425-AF425*1.05,IF(AB425&lt;AF425*0.95,AF425*0.95-AB425,0))</f>
        <v/>
      </c>
      <c r="AH425" s="34">
        <f>MAX(I425,J425,750)*0.05*AG425</f>
        <v/>
      </c>
      <c r="AI425">
        <f>'[1]GÖP VERİLERİ'!E426</f>
        <v/>
      </c>
      <c r="AJ425">
        <f>'[1]GÖP VERİLERİ'!F426</f>
        <v/>
      </c>
      <c r="AK425" s="34">
        <f>IF(AI425&gt;AJ425*1.05,AI425-AJ425*1.05,IF(AI425&lt;AJ425*0.95,AJ425*0.95-AI425,0))</f>
        <v/>
      </c>
      <c r="AL425" s="34">
        <f>MAX(F425,G425,750)*0.05*AK425</f>
        <v/>
      </c>
      <c r="AM425" s="39">
        <f>'[1]GÖP VERİLERİ'!G426</f>
        <v/>
      </c>
      <c r="AN425" s="34">
        <f>IF(AI425&gt;AM425*1.05,AI425-AM425*1.05,IF(AI425&lt;AM425*0.95,AM425*0.95-AI425,0))</f>
        <v/>
      </c>
      <c r="AO425" s="34">
        <f>MAX(F425,G425,750)*0.05*AN425</f>
        <v/>
      </c>
      <c r="AP425" s="34">
        <f>'[1]GÖP VERİLERİ'!B426</f>
        <v/>
      </c>
      <c r="AQ425" s="34">
        <f>'[1]GÖP VERİLERİ'!C426</f>
        <v/>
      </c>
      <c r="AR425" s="34">
        <f>IF(AP425&gt;AQ425*1.05,AP425-AQ425*1.05,IF(AP425&lt;AQ425*0.95,AQ425*0.95-AP425,0))</f>
        <v/>
      </c>
      <c r="AS425" s="34">
        <f>MAX(F425:G425,750)*0.05*AR425</f>
        <v/>
      </c>
      <c r="AT425">
        <f>'[1]GÖP VERİLERİ'!D426</f>
        <v/>
      </c>
      <c r="AU425" s="34">
        <f>IF(AP425&gt;AT425*1.05,AP425-AT425*1.05,IF(AP425&lt;AT425*0.95,AT425*0.95-AP425,0))</f>
        <v/>
      </c>
      <c r="AV425" s="34">
        <f>MAX(F425:G425,750)*0.05*AU425</f>
        <v/>
      </c>
      <c r="AW425" s="34">
        <f>AC425+AJ425+AQ425</f>
        <v/>
      </c>
      <c r="AX425" s="34">
        <f>AF425+AM425+AT425</f>
        <v/>
      </c>
      <c r="AY425" s="34">
        <f>AB425+AI425+AP425</f>
        <v/>
      </c>
      <c r="AZ425" s="34" t="n">
        <v>0</v>
      </c>
      <c r="BA425" s="34">
        <f>AD425+AK425+AR425</f>
        <v/>
      </c>
      <c r="BB425" s="34">
        <f>MAX(F425:G425,750)*0.05*BA425</f>
        <v/>
      </c>
      <c r="BC425" s="34">
        <f>AG425+AN425+AU425</f>
        <v/>
      </c>
      <c r="BD425" s="34">
        <f>MAX(F425:G425,750)*0.05*BC425</f>
        <v/>
      </c>
      <c r="BE425" s="34">
        <f>F425*AY425</f>
        <v/>
      </c>
      <c r="BF425" s="34">
        <f>K425-M425</f>
        <v/>
      </c>
      <c r="BG425" s="34">
        <f>P425-S425</f>
        <v/>
      </c>
      <c r="BH425" s="34">
        <f>W425-AA425</f>
        <v/>
      </c>
      <c r="BI425" s="34">
        <f>BF425+BG425+BL425-BN425</f>
        <v/>
      </c>
      <c r="BJ425" s="34">
        <f>ABS(BK425)</f>
        <v/>
      </c>
      <c r="BK425" s="34">
        <f>AY425-(J425-L425+N425-Q425)</f>
        <v/>
      </c>
      <c r="BL425" s="34">
        <f>IF(AND(BK425&gt;0,MIN($F425:$G425)&lt;150,$E425="Enerji Açığı"),-100*BK425*1.03,IF(AND(BK425&gt;0,MIN($F425:$G425)&lt;150,$E425="Enerji Fazlası"),-100*BK425*1.06,IF(AND(BK425&gt;0,MIN($F425:$G425)&gt;=150,$E425="Enerji Açığı"),BK425*MIN($F425:$G425)*0.97,IF(AND(BK425&gt;0,MIN($F425:$G425)&gt;=150,$E425="Enerji Fazlası"),BK425*MIN($F425:$G425)*0.94,IF(AND(BK425&lt;0,MAX($F425:$G425)=4500,$E425="Enerji Açığı"),4500*1.05*1.06*BK425,IF(AND(BK425&lt;0,MAX($F425:$G425)=4500,$E425="Enerji Fazlası"),4500*1.05*1.03*BK425,IF(AND(BK425&lt;0,$E425="Enerji Açığı"),MAX($F425,$G425,150)*BK425*1.06,IF(AND(BK425&lt;0,$E425="Enerji Fazlası"),MAX($F425,$G425,150)*BK425*1.03,IF(AND(BK425&lt;0,$E425="Dengede"),MAX($F425:$G425,150)*1.03*BK425,MIN($F425:$G425)*0.97*BK425)))))))))</f>
        <v/>
      </c>
      <c r="BM425" s="34">
        <f>BE425-BI425-BN425</f>
        <v/>
      </c>
      <c r="BN425" s="34">
        <f>BB425</f>
        <v/>
      </c>
      <c r="BO425" s="34">
        <f>BE425-BI425</f>
        <v/>
      </c>
      <c r="BP425" s="34">
        <f>IF(AY425=0,0,BO425/AY425)</f>
        <v/>
      </c>
      <c r="BQ425" s="34">
        <f>MAX((AY425+MAX((-J425+L425-N425+Q425),0)),(MAX((J425-L425+N425-Q425),0)))</f>
        <v/>
      </c>
      <c r="BR425" s="82">
        <f>IFERROR(ABS(BK425/BQ425),0)</f>
        <v/>
      </c>
      <c r="BS425" s="34">
        <f>IF(BR425&lt;=0.1,0,BK425/BR425*(BR425-0.1))</f>
        <v/>
      </c>
      <c r="BT425" s="34">
        <f>IF((BS425)&lt;0,MAX(F425:G425)*(BS425)*1.03,MIN(F425:G425)*(BS425)*0.97)</f>
        <v/>
      </c>
      <c r="BU425" s="34">
        <f>IF(BR425&gt;0.1,1,0)</f>
        <v/>
      </c>
      <c r="BV425" s="34">
        <f>BF425+BG425+BH425+BY425-CA425</f>
        <v/>
      </c>
      <c r="BW425" s="34">
        <f>ABS(BX425)</f>
        <v/>
      </c>
      <c r="BX425" s="34">
        <f>AY425-(J425-L425+N425-Q425+T425-X425)</f>
        <v/>
      </c>
      <c r="BY425" s="34">
        <f>IF(AND(BX425&gt;0,MIN($F425:$G425)&lt;150,$E425="Enerji Açığı"),-100*BX425*1.03,IF(AND(BX425&gt;0,MIN($F425:$G425)&lt;150,$E425="Enerji Fazlası"),-100*BX425*1.06,IF(AND(BX425&gt;0,MIN($F425:$G425)&gt;=150,$E425="Enerji Açığı"),BX425*MIN($F425:$G425)*0.97,IF(AND(BX425&gt;0,MIN($F425:$G425)&gt;=150,$E425="Enerji Fazlası"),BX425*MIN($F425:$G425)*0.94,IF(AND(BX425&lt;0,MAX($F425:$G425)=4500,$E425="Enerji Açığı"),4500*1.05*1.06*BX425,IF(AND(BX425&lt;0,MAX($F425:$G425)=4500,$E425="Enerji Fazlası"),4500*1.05*1.03*BX425,IF(AND(BX425&lt;0,$E425="Enerji Açığı"),MAX($F425,$G425,150)*BX425*1.06,IF(AND(BX425&lt;0,$E425="Enerji Fazlası"),MAX($F425,$G425,150)*BX425*1.03,IF(AND(BX425&lt;0,$E425="Dengede"),MAX($F425:$G425,150)*1.03*BX425,MIN($F425:$G425)*0.97*BX425)))))))))</f>
        <v/>
      </c>
      <c r="BZ425" s="34">
        <f>BE425-BV425-CA425</f>
        <v/>
      </c>
      <c r="CA425" s="34">
        <f>BD425</f>
        <v/>
      </c>
      <c r="CB425" s="33">
        <f>BE425-BV425</f>
        <v/>
      </c>
      <c r="CC425" s="34">
        <f>IF(AY425=0,0,CB425/AY425)</f>
        <v/>
      </c>
      <c r="CD425" s="34">
        <f>MAX((AY425+MAX((-J425+L425-N425+Q425-T425+X425),0)),(MAX((J425-L425+N425-Q425+T425-X425),0)))</f>
        <v/>
      </c>
      <c r="CE425" s="82">
        <f>IFERROR(ABS(BX425/CD425),0)</f>
        <v/>
      </c>
      <c r="CF425" s="34">
        <f>IF(CE425&lt;=0.1,0,BX425/CE425*(CE425-0.1))</f>
        <v/>
      </c>
      <c r="CG425" s="34">
        <f>IF((CF425)&lt;0,MAX(F425:G425)*(CF425)*1.03,MIN(F425:G425)*(CF425)*0.97)</f>
        <v/>
      </c>
      <c r="CH425" s="34">
        <f>IF(CE425&gt;0.1,1,0)</f>
        <v/>
      </c>
      <c r="CI425" s="34">
        <f>(F425*BX425)-BY425</f>
        <v/>
      </c>
      <c r="CJ425" s="34">
        <f>IF(AY425=0,0,CI425/AY425)</f>
        <v/>
      </c>
    </row>
    <row r="426">
      <c r="A426" s="29">
        <f>[1]FİYATLAR!A401</f>
        <v/>
      </c>
      <c r="B426" s="29">
        <f>[1]FİYATLAR!B401</f>
        <v/>
      </c>
      <c r="C426" s="35">
        <f>INT(A426)</f>
        <v/>
      </c>
      <c r="D426" s="36">
        <f>MONTH(A426)</f>
        <v/>
      </c>
      <c r="E426" s="147">
        <f>[1]FİYATLAR!G401</f>
        <v/>
      </c>
      <c r="F426" s="30">
        <f>[1]FİYATLAR!C401</f>
        <v/>
      </c>
      <c r="G426" s="30">
        <f>[1]FİYATLAR!E401</f>
        <v/>
      </c>
      <c r="H426" s="30">
        <f>[1]FİYATLAR!D401</f>
        <v/>
      </c>
      <c r="I426" s="30">
        <f>[1]FİYATLAR!F401</f>
        <v/>
      </c>
      <c r="J426" s="119" t="n">
        <v>0</v>
      </c>
      <c r="K426" s="34">
        <f>F426*J426</f>
        <v/>
      </c>
      <c r="L426" s="119" t="n"/>
      <c r="M426" s="34">
        <f>L426*F426</f>
        <v/>
      </c>
      <c r="N426" s="119" t="n"/>
      <c r="O426" s="34">
        <f>F426</f>
        <v/>
      </c>
      <c r="P426" s="34">
        <f>N426*O426</f>
        <v/>
      </c>
      <c r="Q426" s="117" t="n">
        <v>0</v>
      </c>
      <c r="R426" s="34">
        <f>F426</f>
        <v/>
      </c>
      <c r="S426" s="34">
        <f>R426*Q426</f>
        <v/>
      </c>
      <c r="T426" s="34">
        <f>SUMIFS('[1]GİP VERİLERİ'!$C:$C,'[1]GİP VERİLERİ'!$B:$B,A426,'[1]GİP VERİLERİ'!$M:$M,"40X000000104782K",'[1]GİP VERİLERİ'!$G:$G,"SELL")</f>
        <v/>
      </c>
      <c r="U426" s="34">
        <f>IFERROR(W426/T426,0)</f>
        <v/>
      </c>
      <c r="V426" s="34">
        <f>IF(U426=0,0,U426-F426)</f>
        <v/>
      </c>
      <c r="W426" s="34">
        <f>SUMIFS('[1]GİP VERİLERİ'!$O:$O,'[1]GİP VERİLERİ'!$B:$B,A426,'[1]GİP VERİLERİ'!$M:$M,"40X000000104782K",'[1]GİP VERİLERİ'!$G:$G,"SELL")</f>
        <v/>
      </c>
      <c r="X426" s="34">
        <f>SUMIFS('[1]GİP VERİLERİ'!$C:$C,'[1]GİP VERİLERİ'!$B:$B,A426,'[1]GİP VERİLERİ'!$M:$M,"40X000000104782K",'[1]GİP VERİLERİ'!$G:$G,"BUY")</f>
        <v/>
      </c>
      <c r="Y426" s="34">
        <f>IFERROR(AA426/X426,0)</f>
        <v/>
      </c>
      <c r="Z426" s="34">
        <f>IF(Y426=0,0,F426-Y426)</f>
        <v/>
      </c>
      <c r="AA426" s="34">
        <f>SUMIFS('[1]GİP VERİLERİ'!$O:$O,'[1]GİP VERİLERİ'!$B:$B,A426,'[1]GİP VERİLERİ'!$M:$M,"40X000000104782K",'[1]GİP VERİLERİ'!$G:$G,"BUY")</f>
        <v/>
      </c>
      <c r="AB426" s="34">
        <f>'[1]GÖP VERİLERİ'!H427</f>
        <v/>
      </c>
      <c r="AC426" s="34">
        <f>'[1]GÖP VERİLERİ'!I427</f>
        <v/>
      </c>
      <c r="AD426" s="34">
        <f>IF(AB426&gt;AC426*1.05,AB426-AC426*1.05,IF(AB426&lt;AC426*0.95,AC426*0.95-AB426,0))</f>
        <v/>
      </c>
      <c r="AE426" s="34">
        <f>MAX(F426,G426,750)*0.05*AD426</f>
        <v/>
      </c>
      <c r="AF426" s="34">
        <f>'[1]GÖP VERİLERİ'!J427</f>
        <v/>
      </c>
      <c r="AG426" s="34">
        <f>IF(AB426&gt;AF426*1.05,AB426-AF426*1.05,IF(AB426&lt;AF426*0.95,AF426*0.95-AB426,0))</f>
        <v/>
      </c>
      <c r="AH426" s="34">
        <f>MAX(I426,J426,750)*0.05*AG426</f>
        <v/>
      </c>
      <c r="AI426">
        <f>'[1]GÖP VERİLERİ'!E427</f>
        <v/>
      </c>
      <c r="AJ426">
        <f>'[1]GÖP VERİLERİ'!F427</f>
        <v/>
      </c>
      <c r="AK426" s="34">
        <f>IF(AI426&gt;AJ426*1.05,AI426-AJ426*1.05,IF(AI426&lt;AJ426*0.95,AJ426*0.95-AI426,0))</f>
        <v/>
      </c>
      <c r="AL426" s="34">
        <f>MAX(F426,G426,750)*0.05*AK426</f>
        <v/>
      </c>
      <c r="AM426" s="39">
        <f>'[1]GÖP VERİLERİ'!G427</f>
        <v/>
      </c>
      <c r="AN426" s="34">
        <f>IF(AI426&gt;AM426*1.05,AI426-AM426*1.05,IF(AI426&lt;AM426*0.95,AM426*0.95-AI426,0))</f>
        <v/>
      </c>
      <c r="AO426" s="34">
        <f>MAX(F426,G426,750)*0.05*AN426</f>
        <v/>
      </c>
      <c r="AP426" s="34">
        <f>'[1]GÖP VERİLERİ'!B427</f>
        <v/>
      </c>
      <c r="AQ426" s="34">
        <f>'[1]GÖP VERİLERİ'!C427</f>
        <v/>
      </c>
      <c r="AR426" s="34">
        <f>IF(AP426&gt;AQ426*1.05,AP426-AQ426*1.05,IF(AP426&lt;AQ426*0.95,AQ426*0.95-AP426,0))</f>
        <v/>
      </c>
      <c r="AS426" s="34">
        <f>MAX(F426:G426,750)*0.05*AR426</f>
        <v/>
      </c>
      <c r="AT426">
        <f>'[1]GÖP VERİLERİ'!D427</f>
        <v/>
      </c>
      <c r="AU426" s="34">
        <f>IF(AP426&gt;AT426*1.05,AP426-AT426*1.05,IF(AP426&lt;AT426*0.95,AT426*0.95-AP426,0))</f>
        <v/>
      </c>
      <c r="AV426" s="34">
        <f>MAX(F426:G426,750)*0.05*AU426</f>
        <v/>
      </c>
      <c r="AW426" s="34">
        <f>AC426+AJ426+AQ426</f>
        <v/>
      </c>
      <c r="AX426" s="34">
        <f>AF426+AM426+AT426</f>
        <v/>
      </c>
      <c r="AY426" s="34">
        <f>AB426+AI426+AP426</f>
        <v/>
      </c>
      <c r="AZ426" s="34" t="n">
        <v>0</v>
      </c>
      <c r="BA426" s="34">
        <f>AD426+AK426+AR426</f>
        <v/>
      </c>
      <c r="BB426" s="34">
        <f>MAX(F426:G426,750)*0.05*BA426</f>
        <v/>
      </c>
      <c r="BC426" s="34">
        <f>AG426+AN426+AU426</f>
        <v/>
      </c>
      <c r="BD426" s="34">
        <f>MAX(F426:G426,750)*0.05*BC426</f>
        <v/>
      </c>
      <c r="BE426" s="34">
        <f>F426*AY426</f>
        <v/>
      </c>
      <c r="BF426" s="34">
        <f>K426-M426</f>
        <v/>
      </c>
      <c r="BG426" s="34">
        <f>P426-S426</f>
        <v/>
      </c>
      <c r="BH426" s="34">
        <f>W426-AA426</f>
        <v/>
      </c>
      <c r="BI426" s="34">
        <f>BF426+BG426+BL426-BN426</f>
        <v/>
      </c>
      <c r="BJ426" s="34">
        <f>ABS(BK426)</f>
        <v/>
      </c>
      <c r="BK426" s="34">
        <f>AY426-(J426-L426+N426-Q426)</f>
        <v/>
      </c>
      <c r="BL426" s="34">
        <f>IF(AND(BK426&gt;0,MIN($F426:$G426)&lt;150,$E426="Enerji Açığı"),-100*BK426*1.03,IF(AND(BK426&gt;0,MIN($F426:$G426)&lt;150,$E426="Enerji Fazlası"),-100*BK426*1.06,IF(AND(BK426&gt;0,MIN($F426:$G426)&gt;=150,$E426="Enerji Açığı"),BK426*MIN($F426:$G426)*0.97,IF(AND(BK426&gt;0,MIN($F426:$G426)&gt;=150,$E426="Enerji Fazlası"),BK426*MIN($F426:$G426)*0.94,IF(AND(BK426&lt;0,MAX($F426:$G426)=4500,$E426="Enerji Açığı"),4500*1.05*1.06*BK426,IF(AND(BK426&lt;0,MAX($F426:$G426)=4500,$E426="Enerji Fazlası"),4500*1.05*1.03*BK426,IF(AND(BK426&lt;0,$E426="Enerji Açığı"),MAX($F426,$G426,150)*BK426*1.06,IF(AND(BK426&lt;0,$E426="Enerji Fazlası"),MAX($F426,$G426,150)*BK426*1.03,IF(AND(BK426&lt;0,$E426="Dengede"),MAX($F426:$G426,150)*1.03*BK426,MIN($F426:$G426)*0.97*BK426)))))))))</f>
        <v/>
      </c>
      <c r="BM426" s="34">
        <f>BE426-BI426-BN426</f>
        <v/>
      </c>
      <c r="BN426" s="34">
        <f>BB426</f>
        <v/>
      </c>
      <c r="BO426" s="34">
        <f>BE426-BI426</f>
        <v/>
      </c>
      <c r="BP426" s="34">
        <f>IF(AY426=0,0,BO426/AY426)</f>
        <v/>
      </c>
      <c r="BQ426" s="34">
        <f>MAX((AY426+MAX((-J426+L426-N426+Q426),0)),(MAX((J426-L426+N426-Q426),0)))</f>
        <v/>
      </c>
      <c r="BR426" s="82">
        <f>IFERROR(ABS(BK426/BQ426),0)</f>
        <v/>
      </c>
      <c r="BS426" s="34">
        <f>IF(BR426&lt;=0.1,0,BK426/BR426*(BR426-0.1))</f>
        <v/>
      </c>
      <c r="BT426" s="34">
        <f>IF((BS426)&lt;0,MAX(F426:G426)*(BS426)*1.03,MIN(F426:G426)*(BS426)*0.97)</f>
        <v/>
      </c>
      <c r="BU426" s="34">
        <f>IF(BR426&gt;0.1,1,0)</f>
        <v/>
      </c>
      <c r="BV426" s="34">
        <f>BF426+BG426+BH426+BY426-CA426</f>
        <v/>
      </c>
      <c r="BW426" s="34">
        <f>ABS(BX426)</f>
        <v/>
      </c>
      <c r="BX426" s="34">
        <f>AY426-(J426-L426+N426-Q426+T426-X426)</f>
        <v/>
      </c>
      <c r="BY426" s="34">
        <f>IF(AND(BX426&gt;0,MIN($F426:$G426)&lt;150,$E426="Enerji Açığı"),-100*BX426*1.03,IF(AND(BX426&gt;0,MIN($F426:$G426)&lt;150,$E426="Enerji Fazlası"),-100*BX426*1.06,IF(AND(BX426&gt;0,MIN($F426:$G426)&gt;=150,$E426="Enerji Açığı"),BX426*MIN($F426:$G426)*0.97,IF(AND(BX426&gt;0,MIN($F426:$G426)&gt;=150,$E426="Enerji Fazlası"),BX426*MIN($F426:$G426)*0.94,IF(AND(BX426&lt;0,MAX($F426:$G426)=4500,$E426="Enerji Açığı"),4500*1.05*1.06*BX426,IF(AND(BX426&lt;0,MAX($F426:$G426)=4500,$E426="Enerji Fazlası"),4500*1.05*1.03*BX426,IF(AND(BX426&lt;0,$E426="Enerji Açığı"),MAX($F426,$G426,150)*BX426*1.06,IF(AND(BX426&lt;0,$E426="Enerji Fazlası"),MAX($F426,$G426,150)*BX426*1.03,IF(AND(BX426&lt;0,$E426="Dengede"),MAX($F426:$G426,150)*1.03*BX426,MIN($F426:$G426)*0.97*BX426)))))))))</f>
        <v/>
      </c>
      <c r="BZ426" s="34">
        <f>BE426-BV426-CA426</f>
        <v/>
      </c>
      <c r="CA426" s="34">
        <f>BD426</f>
        <v/>
      </c>
      <c r="CB426" s="33">
        <f>BE426-BV426</f>
        <v/>
      </c>
      <c r="CC426" s="34">
        <f>IF(AY426=0,0,CB426/AY426)</f>
        <v/>
      </c>
      <c r="CD426" s="34">
        <f>MAX((AY426+MAX((-J426+L426-N426+Q426-T426+X426),0)),(MAX((J426-L426+N426-Q426+T426-X426),0)))</f>
        <v/>
      </c>
      <c r="CE426" s="82">
        <f>IFERROR(ABS(BX426/CD426),0)</f>
        <v/>
      </c>
      <c r="CF426" s="34">
        <f>IF(CE426&lt;=0.1,0,BX426/CE426*(CE426-0.1))</f>
        <v/>
      </c>
      <c r="CG426" s="34">
        <f>IF((CF426)&lt;0,MAX(F426:G426)*(CF426)*1.03,MIN(F426:G426)*(CF426)*0.97)</f>
        <v/>
      </c>
      <c r="CH426" s="34">
        <f>IF(CE426&gt;0.1,1,0)</f>
        <v/>
      </c>
      <c r="CI426" s="34">
        <f>(F426*BX426)-BY426</f>
        <v/>
      </c>
      <c r="CJ426" s="34">
        <f>IF(AY426=0,0,CI426/AY426)</f>
        <v/>
      </c>
    </row>
    <row r="427">
      <c r="A427" s="29">
        <f>[1]FİYATLAR!A402</f>
        <v/>
      </c>
      <c r="B427" s="29">
        <f>[1]FİYATLAR!B402</f>
        <v/>
      </c>
      <c r="C427" s="35">
        <f>INT(A427)</f>
        <v/>
      </c>
      <c r="D427" s="36">
        <f>MONTH(A427)</f>
        <v/>
      </c>
      <c r="E427" s="147">
        <f>[1]FİYATLAR!G402</f>
        <v/>
      </c>
      <c r="F427" s="30">
        <f>[1]FİYATLAR!C402</f>
        <v/>
      </c>
      <c r="G427" s="30">
        <f>[1]FİYATLAR!E402</f>
        <v/>
      </c>
      <c r="H427" s="30">
        <f>[1]FİYATLAR!D402</f>
        <v/>
      </c>
      <c r="I427" s="30">
        <f>[1]FİYATLAR!F402</f>
        <v/>
      </c>
      <c r="J427" s="119" t="n">
        <v>0</v>
      </c>
      <c r="K427" s="34">
        <f>F427*J427</f>
        <v/>
      </c>
      <c r="L427" s="119" t="n"/>
      <c r="M427" s="34">
        <f>L427*F427</f>
        <v/>
      </c>
      <c r="N427" s="119" t="n"/>
      <c r="O427" s="34">
        <f>F427</f>
        <v/>
      </c>
      <c r="P427" s="34">
        <f>N427*O427</f>
        <v/>
      </c>
      <c r="Q427" s="117" t="n">
        <v>0</v>
      </c>
      <c r="R427" s="34">
        <f>F427</f>
        <v/>
      </c>
      <c r="S427" s="34">
        <f>R427*Q427</f>
        <v/>
      </c>
      <c r="T427" s="34">
        <f>SUMIFS('[1]GİP VERİLERİ'!$C:$C,'[1]GİP VERİLERİ'!$B:$B,A427,'[1]GİP VERİLERİ'!$M:$M,"40X000000104782K",'[1]GİP VERİLERİ'!$G:$G,"SELL")</f>
        <v/>
      </c>
      <c r="U427" s="34">
        <f>IFERROR(W427/T427,0)</f>
        <v/>
      </c>
      <c r="V427" s="34">
        <f>IF(U427=0,0,U427-F427)</f>
        <v/>
      </c>
      <c r="W427" s="34">
        <f>SUMIFS('[1]GİP VERİLERİ'!$O:$O,'[1]GİP VERİLERİ'!$B:$B,A427,'[1]GİP VERİLERİ'!$M:$M,"40X000000104782K",'[1]GİP VERİLERİ'!$G:$G,"SELL")</f>
        <v/>
      </c>
      <c r="X427" s="34">
        <f>SUMIFS('[1]GİP VERİLERİ'!$C:$C,'[1]GİP VERİLERİ'!$B:$B,A427,'[1]GİP VERİLERİ'!$M:$M,"40X000000104782K",'[1]GİP VERİLERİ'!$G:$G,"BUY")</f>
        <v/>
      </c>
      <c r="Y427" s="34">
        <f>IFERROR(AA427/X427,0)</f>
        <v/>
      </c>
      <c r="Z427" s="34">
        <f>IF(Y427=0,0,F427-Y427)</f>
        <v/>
      </c>
      <c r="AA427" s="34">
        <f>SUMIFS('[1]GİP VERİLERİ'!$O:$O,'[1]GİP VERİLERİ'!$B:$B,A427,'[1]GİP VERİLERİ'!$M:$M,"40X000000104782K",'[1]GİP VERİLERİ'!$G:$G,"BUY")</f>
        <v/>
      </c>
      <c r="AB427" s="34">
        <f>'[1]GÖP VERİLERİ'!H428</f>
        <v/>
      </c>
      <c r="AC427" s="34">
        <f>'[1]GÖP VERİLERİ'!I428</f>
        <v/>
      </c>
      <c r="AD427" s="34">
        <f>IF(AB427&gt;AC427*1.05,AB427-AC427*1.05,IF(AB427&lt;AC427*0.95,AC427*0.95-AB427,0))</f>
        <v/>
      </c>
      <c r="AE427" s="34">
        <f>MAX(F427,G427,750)*0.05*AD427</f>
        <v/>
      </c>
      <c r="AF427" s="34">
        <f>'[1]GÖP VERİLERİ'!J428</f>
        <v/>
      </c>
      <c r="AG427" s="34">
        <f>IF(AB427&gt;AF427*1.05,AB427-AF427*1.05,IF(AB427&lt;AF427*0.95,AF427*0.95-AB427,0))</f>
        <v/>
      </c>
      <c r="AH427" s="34">
        <f>MAX(I427,J427,750)*0.05*AG427</f>
        <v/>
      </c>
      <c r="AI427">
        <f>'[1]GÖP VERİLERİ'!E428</f>
        <v/>
      </c>
      <c r="AJ427">
        <f>'[1]GÖP VERİLERİ'!F428</f>
        <v/>
      </c>
      <c r="AK427" s="34">
        <f>IF(AI427&gt;AJ427*1.05,AI427-AJ427*1.05,IF(AI427&lt;AJ427*0.95,AJ427*0.95-AI427,0))</f>
        <v/>
      </c>
      <c r="AL427" s="34">
        <f>MAX(F427,G427,750)*0.05*AK427</f>
        <v/>
      </c>
      <c r="AM427" s="39">
        <f>'[1]GÖP VERİLERİ'!G428</f>
        <v/>
      </c>
      <c r="AN427" s="34">
        <f>IF(AI427&gt;AM427*1.05,AI427-AM427*1.05,IF(AI427&lt;AM427*0.95,AM427*0.95-AI427,0))</f>
        <v/>
      </c>
      <c r="AO427" s="34">
        <f>MAX(F427,G427,750)*0.05*AN427</f>
        <v/>
      </c>
      <c r="AP427" s="34">
        <f>'[1]GÖP VERİLERİ'!B428</f>
        <v/>
      </c>
      <c r="AQ427" s="34">
        <f>'[1]GÖP VERİLERİ'!C428</f>
        <v/>
      </c>
      <c r="AR427" s="34">
        <f>IF(AP427&gt;AQ427*1.05,AP427-AQ427*1.05,IF(AP427&lt;AQ427*0.95,AQ427*0.95-AP427,0))</f>
        <v/>
      </c>
      <c r="AS427" s="34">
        <f>MAX(F427:G427,750)*0.05*AR427</f>
        <v/>
      </c>
      <c r="AT427">
        <f>'[1]GÖP VERİLERİ'!D428</f>
        <v/>
      </c>
      <c r="AU427" s="34">
        <f>IF(AP427&gt;AT427*1.05,AP427-AT427*1.05,IF(AP427&lt;AT427*0.95,AT427*0.95-AP427,0))</f>
        <v/>
      </c>
      <c r="AV427" s="34">
        <f>MAX(F427:G427,750)*0.05*AU427</f>
        <v/>
      </c>
      <c r="AW427" s="34">
        <f>AC427+AJ427+AQ427</f>
        <v/>
      </c>
      <c r="AX427" s="34">
        <f>AF427+AM427+AT427</f>
        <v/>
      </c>
      <c r="AY427" s="34">
        <f>AB427+AI427+AP427</f>
        <v/>
      </c>
      <c r="AZ427" s="34" t="n">
        <v>0</v>
      </c>
      <c r="BA427" s="34">
        <f>AD427+AK427+AR427</f>
        <v/>
      </c>
      <c r="BB427" s="34">
        <f>MAX(F427:G427,750)*0.05*BA427</f>
        <v/>
      </c>
      <c r="BC427" s="34">
        <f>AG427+AN427+AU427</f>
        <v/>
      </c>
      <c r="BD427" s="34">
        <f>MAX(F427:G427,750)*0.05*BC427</f>
        <v/>
      </c>
      <c r="BE427" s="34">
        <f>F427*AY427</f>
        <v/>
      </c>
      <c r="BF427" s="34">
        <f>K427-M427</f>
        <v/>
      </c>
      <c r="BG427" s="34">
        <f>P427-S427</f>
        <v/>
      </c>
      <c r="BH427" s="34">
        <f>W427-AA427</f>
        <v/>
      </c>
      <c r="BI427" s="34">
        <f>BF427+BG427+BL427-BN427</f>
        <v/>
      </c>
      <c r="BJ427" s="34">
        <f>ABS(BK427)</f>
        <v/>
      </c>
      <c r="BK427" s="34">
        <f>AY427-(J427-L427+N427-Q427)</f>
        <v/>
      </c>
      <c r="BL427" s="34">
        <f>IF(AND(BK427&gt;0,MIN($F427:$G427)&lt;150,$E427="Enerji Açığı"),-100*BK427*1.03,IF(AND(BK427&gt;0,MIN($F427:$G427)&lt;150,$E427="Enerji Fazlası"),-100*BK427*1.06,IF(AND(BK427&gt;0,MIN($F427:$G427)&gt;=150,$E427="Enerji Açığı"),BK427*MIN($F427:$G427)*0.97,IF(AND(BK427&gt;0,MIN($F427:$G427)&gt;=150,$E427="Enerji Fazlası"),BK427*MIN($F427:$G427)*0.94,IF(AND(BK427&lt;0,MAX($F427:$G427)=4500,$E427="Enerji Açığı"),4500*1.05*1.06*BK427,IF(AND(BK427&lt;0,MAX($F427:$G427)=4500,$E427="Enerji Fazlası"),4500*1.05*1.03*BK427,IF(AND(BK427&lt;0,$E427="Enerji Açığı"),MAX($F427,$G427,150)*BK427*1.06,IF(AND(BK427&lt;0,$E427="Enerji Fazlası"),MAX($F427,$G427,150)*BK427*1.03,IF(AND(BK427&lt;0,$E427="Dengede"),MAX($F427:$G427,150)*1.03*BK427,MIN($F427:$G427)*0.97*BK427)))))))))</f>
        <v/>
      </c>
      <c r="BM427" s="34">
        <f>BE427-BI427-BN427</f>
        <v/>
      </c>
      <c r="BN427" s="34">
        <f>BB427</f>
        <v/>
      </c>
      <c r="BO427" s="34">
        <f>BE427-BI427</f>
        <v/>
      </c>
      <c r="BP427" s="34">
        <f>IF(AY427=0,0,BO427/AY427)</f>
        <v/>
      </c>
      <c r="BQ427" s="34">
        <f>MAX((AY427+MAX((-J427+L427-N427+Q427),0)),(MAX((J427-L427+N427-Q427),0)))</f>
        <v/>
      </c>
      <c r="BR427" s="82">
        <f>IFERROR(ABS(BK427/BQ427),0)</f>
        <v/>
      </c>
      <c r="BS427" s="34">
        <f>IF(BR427&lt;=0.1,0,BK427/BR427*(BR427-0.1))</f>
        <v/>
      </c>
      <c r="BT427" s="34">
        <f>IF((BS427)&lt;0,MAX(F427:G427)*(BS427)*1.03,MIN(F427:G427)*(BS427)*0.97)</f>
        <v/>
      </c>
      <c r="BU427" s="34">
        <f>IF(BR427&gt;0.1,1,0)</f>
        <v/>
      </c>
      <c r="BV427" s="34">
        <f>BF427+BG427+BH427+BY427-CA427</f>
        <v/>
      </c>
      <c r="BW427" s="34">
        <f>ABS(BX427)</f>
        <v/>
      </c>
      <c r="BX427" s="34">
        <f>AY427-(J427-L427+N427-Q427+T427-X427)</f>
        <v/>
      </c>
      <c r="BY427" s="34">
        <f>IF(AND(BX427&gt;0,MIN($F427:$G427)&lt;150,$E427="Enerji Açığı"),-100*BX427*1.03,IF(AND(BX427&gt;0,MIN($F427:$G427)&lt;150,$E427="Enerji Fazlası"),-100*BX427*1.06,IF(AND(BX427&gt;0,MIN($F427:$G427)&gt;=150,$E427="Enerji Açığı"),BX427*MIN($F427:$G427)*0.97,IF(AND(BX427&gt;0,MIN($F427:$G427)&gt;=150,$E427="Enerji Fazlası"),BX427*MIN($F427:$G427)*0.94,IF(AND(BX427&lt;0,MAX($F427:$G427)=4500,$E427="Enerji Açığı"),4500*1.05*1.06*BX427,IF(AND(BX427&lt;0,MAX($F427:$G427)=4500,$E427="Enerji Fazlası"),4500*1.05*1.03*BX427,IF(AND(BX427&lt;0,$E427="Enerji Açığı"),MAX($F427,$G427,150)*BX427*1.06,IF(AND(BX427&lt;0,$E427="Enerji Fazlası"),MAX($F427,$G427,150)*BX427*1.03,IF(AND(BX427&lt;0,$E427="Dengede"),MAX($F427:$G427,150)*1.03*BX427,MIN($F427:$G427)*0.97*BX427)))))))))</f>
        <v/>
      </c>
      <c r="BZ427" s="34">
        <f>BE427-BV427-CA427</f>
        <v/>
      </c>
      <c r="CA427" s="34">
        <f>BD427</f>
        <v/>
      </c>
      <c r="CB427" s="33">
        <f>BE427-BV427</f>
        <v/>
      </c>
      <c r="CC427" s="34">
        <f>IF(AY427=0,0,CB427/AY427)</f>
        <v/>
      </c>
      <c r="CD427" s="34">
        <f>MAX((AY427+MAX((-J427+L427-N427+Q427-T427+X427),0)),(MAX((J427-L427+N427-Q427+T427-X427),0)))</f>
        <v/>
      </c>
      <c r="CE427" s="82">
        <f>IFERROR(ABS(BX427/CD427),0)</f>
        <v/>
      </c>
      <c r="CF427" s="34">
        <f>IF(CE427&lt;=0.1,0,BX427/CE427*(CE427-0.1))</f>
        <v/>
      </c>
      <c r="CG427" s="34">
        <f>IF((CF427)&lt;0,MAX(F427:G427)*(CF427)*1.03,MIN(F427:G427)*(CF427)*0.97)</f>
        <v/>
      </c>
      <c r="CH427" s="34">
        <f>IF(CE427&gt;0.1,1,0)</f>
        <v/>
      </c>
      <c r="CI427" s="34">
        <f>(F427*BX427)-BY427</f>
        <v/>
      </c>
      <c r="CJ427" s="34">
        <f>IF(AY427=0,0,CI427/AY427)</f>
        <v/>
      </c>
    </row>
    <row r="428">
      <c r="A428" s="29">
        <f>[1]FİYATLAR!A403</f>
        <v/>
      </c>
      <c r="B428" s="29">
        <f>[1]FİYATLAR!B403</f>
        <v/>
      </c>
      <c r="C428" s="35">
        <f>INT(A428)</f>
        <v/>
      </c>
      <c r="D428" s="36">
        <f>MONTH(A428)</f>
        <v/>
      </c>
      <c r="E428" s="147">
        <f>[1]FİYATLAR!G403</f>
        <v/>
      </c>
      <c r="F428" s="30">
        <f>[1]FİYATLAR!C403</f>
        <v/>
      </c>
      <c r="G428" s="30">
        <f>[1]FİYATLAR!E403</f>
        <v/>
      </c>
      <c r="H428" s="30">
        <f>[1]FİYATLAR!D403</f>
        <v/>
      </c>
      <c r="I428" s="30">
        <f>[1]FİYATLAR!F403</f>
        <v/>
      </c>
      <c r="J428" s="119" t="n">
        <v>0</v>
      </c>
      <c r="K428" s="34">
        <f>F428*J428</f>
        <v/>
      </c>
      <c r="L428" s="119" t="n"/>
      <c r="M428" s="34">
        <f>L428*F428</f>
        <v/>
      </c>
      <c r="N428" s="119" t="n"/>
      <c r="O428" s="34">
        <f>F428</f>
        <v/>
      </c>
      <c r="P428" s="34">
        <f>N428*O428</f>
        <v/>
      </c>
      <c r="Q428" s="117" t="n">
        <v>0</v>
      </c>
      <c r="R428" s="34">
        <f>F428</f>
        <v/>
      </c>
      <c r="S428" s="34">
        <f>R428*Q428</f>
        <v/>
      </c>
      <c r="T428" s="34">
        <f>SUMIFS('[1]GİP VERİLERİ'!$C:$C,'[1]GİP VERİLERİ'!$B:$B,A428,'[1]GİP VERİLERİ'!$M:$M,"40X000000104782K",'[1]GİP VERİLERİ'!$G:$G,"SELL")</f>
        <v/>
      </c>
      <c r="U428" s="34">
        <f>IFERROR(W428/T428,0)</f>
        <v/>
      </c>
      <c r="V428" s="34">
        <f>IF(U428=0,0,U428-F428)</f>
        <v/>
      </c>
      <c r="W428" s="34">
        <f>SUMIFS('[1]GİP VERİLERİ'!$O:$O,'[1]GİP VERİLERİ'!$B:$B,A428,'[1]GİP VERİLERİ'!$M:$M,"40X000000104782K",'[1]GİP VERİLERİ'!$G:$G,"SELL")</f>
        <v/>
      </c>
      <c r="X428" s="34">
        <f>SUMIFS('[1]GİP VERİLERİ'!$C:$C,'[1]GİP VERİLERİ'!$B:$B,A428,'[1]GİP VERİLERİ'!$M:$M,"40X000000104782K",'[1]GİP VERİLERİ'!$G:$G,"BUY")</f>
        <v/>
      </c>
      <c r="Y428" s="34">
        <f>IFERROR(AA428/X428,0)</f>
        <v/>
      </c>
      <c r="Z428" s="34">
        <f>IF(Y428=0,0,F428-Y428)</f>
        <v/>
      </c>
      <c r="AA428" s="34">
        <f>SUMIFS('[1]GİP VERİLERİ'!$O:$O,'[1]GİP VERİLERİ'!$B:$B,A428,'[1]GİP VERİLERİ'!$M:$M,"40X000000104782K",'[1]GİP VERİLERİ'!$G:$G,"BUY")</f>
        <v/>
      </c>
      <c r="AB428" s="34">
        <f>'[1]GÖP VERİLERİ'!H429</f>
        <v/>
      </c>
      <c r="AC428" s="34">
        <f>'[1]GÖP VERİLERİ'!I429</f>
        <v/>
      </c>
      <c r="AD428" s="34">
        <f>IF(AB428&gt;AC428*1.05,AB428-AC428*1.05,IF(AB428&lt;AC428*0.95,AC428*0.95-AB428,0))</f>
        <v/>
      </c>
      <c r="AE428" s="34">
        <f>MAX(F428,G428,750)*0.05*AD428</f>
        <v/>
      </c>
      <c r="AF428" s="34">
        <f>'[1]GÖP VERİLERİ'!J429</f>
        <v/>
      </c>
      <c r="AG428" s="34">
        <f>IF(AB428&gt;AF428*1.05,AB428-AF428*1.05,IF(AB428&lt;AF428*0.95,AF428*0.95-AB428,0))</f>
        <v/>
      </c>
      <c r="AH428" s="34">
        <f>MAX(I428,J428,750)*0.05*AG428</f>
        <v/>
      </c>
      <c r="AI428">
        <f>'[1]GÖP VERİLERİ'!E429</f>
        <v/>
      </c>
      <c r="AJ428">
        <f>'[1]GÖP VERİLERİ'!F429</f>
        <v/>
      </c>
      <c r="AK428" s="34">
        <f>IF(AI428&gt;AJ428*1.05,AI428-AJ428*1.05,IF(AI428&lt;AJ428*0.95,AJ428*0.95-AI428,0))</f>
        <v/>
      </c>
      <c r="AL428" s="34">
        <f>MAX(F428,G428,750)*0.05*AK428</f>
        <v/>
      </c>
      <c r="AM428" s="39">
        <f>'[1]GÖP VERİLERİ'!G429</f>
        <v/>
      </c>
      <c r="AN428" s="34">
        <f>IF(AI428&gt;AM428*1.05,AI428-AM428*1.05,IF(AI428&lt;AM428*0.95,AM428*0.95-AI428,0))</f>
        <v/>
      </c>
      <c r="AO428" s="34">
        <f>MAX(F428,G428,750)*0.05*AN428</f>
        <v/>
      </c>
      <c r="AP428" s="34">
        <f>'[1]GÖP VERİLERİ'!B429</f>
        <v/>
      </c>
      <c r="AQ428" s="34">
        <f>'[1]GÖP VERİLERİ'!C429</f>
        <v/>
      </c>
      <c r="AR428" s="34">
        <f>IF(AP428&gt;AQ428*1.05,AP428-AQ428*1.05,IF(AP428&lt;AQ428*0.95,AQ428*0.95-AP428,0))</f>
        <v/>
      </c>
      <c r="AS428" s="34">
        <f>MAX(F428:G428,750)*0.05*AR428</f>
        <v/>
      </c>
      <c r="AT428">
        <f>'[1]GÖP VERİLERİ'!D429</f>
        <v/>
      </c>
      <c r="AU428" s="34">
        <f>IF(AP428&gt;AT428*1.05,AP428-AT428*1.05,IF(AP428&lt;AT428*0.95,AT428*0.95-AP428,0))</f>
        <v/>
      </c>
      <c r="AV428" s="34">
        <f>MAX(F428:G428,750)*0.05*AU428</f>
        <v/>
      </c>
      <c r="AW428" s="34">
        <f>AC428+AJ428+AQ428</f>
        <v/>
      </c>
      <c r="AX428" s="34">
        <f>AF428+AM428+AT428</f>
        <v/>
      </c>
      <c r="AY428" s="34">
        <f>AB428+AI428+AP428</f>
        <v/>
      </c>
      <c r="AZ428" s="34" t="n">
        <v>0</v>
      </c>
      <c r="BA428" s="34">
        <f>AD428+AK428+AR428</f>
        <v/>
      </c>
      <c r="BB428" s="34">
        <f>MAX(F428:G428,750)*0.05*BA428</f>
        <v/>
      </c>
      <c r="BC428" s="34">
        <f>AG428+AN428+AU428</f>
        <v/>
      </c>
      <c r="BD428" s="34">
        <f>MAX(F428:G428,750)*0.05*BC428</f>
        <v/>
      </c>
      <c r="BE428" s="34">
        <f>F428*AY428</f>
        <v/>
      </c>
      <c r="BF428" s="34">
        <f>K428-M428</f>
        <v/>
      </c>
      <c r="BG428" s="34">
        <f>P428-S428</f>
        <v/>
      </c>
      <c r="BH428" s="34">
        <f>W428-AA428</f>
        <v/>
      </c>
      <c r="BI428" s="34">
        <f>BF428+BG428+BL428-BN428</f>
        <v/>
      </c>
      <c r="BJ428" s="34">
        <f>ABS(BK428)</f>
        <v/>
      </c>
      <c r="BK428" s="34">
        <f>AY428-(J428-L428+N428-Q428)</f>
        <v/>
      </c>
      <c r="BL428" s="34">
        <f>IF(AND(BK428&gt;0,MIN($F428:$G428)&lt;150,$E428="Enerji Açığı"),-100*BK428*1.03,IF(AND(BK428&gt;0,MIN($F428:$G428)&lt;150,$E428="Enerji Fazlası"),-100*BK428*1.06,IF(AND(BK428&gt;0,MIN($F428:$G428)&gt;=150,$E428="Enerji Açığı"),BK428*MIN($F428:$G428)*0.97,IF(AND(BK428&gt;0,MIN($F428:$G428)&gt;=150,$E428="Enerji Fazlası"),BK428*MIN($F428:$G428)*0.94,IF(AND(BK428&lt;0,MAX($F428:$G428)=4500,$E428="Enerji Açığı"),4500*1.05*1.06*BK428,IF(AND(BK428&lt;0,MAX($F428:$G428)=4500,$E428="Enerji Fazlası"),4500*1.05*1.03*BK428,IF(AND(BK428&lt;0,$E428="Enerji Açığı"),MAX($F428,$G428,150)*BK428*1.06,IF(AND(BK428&lt;0,$E428="Enerji Fazlası"),MAX($F428,$G428,150)*BK428*1.03,IF(AND(BK428&lt;0,$E428="Dengede"),MAX($F428:$G428,150)*1.03*BK428,MIN($F428:$G428)*0.97*BK428)))))))))</f>
        <v/>
      </c>
      <c r="BM428" s="34">
        <f>BE428-BI428-BN428</f>
        <v/>
      </c>
      <c r="BN428" s="34">
        <f>BB428</f>
        <v/>
      </c>
      <c r="BO428" s="34">
        <f>BE428-BI428</f>
        <v/>
      </c>
      <c r="BP428" s="34">
        <f>IF(AY428=0,0,BO428/AY428)</f>
        <v/>
      </c>
      <c r="BQ428" s="34">
        <f>MAX((AY428+MAX((-J428+L428-N428+Q428),0)),(MAX((J428-L428+N428-Q428),0)))</f>
        <v/>
      </c>
      <c r="BR428" s="82">
        <f>IFERROR(ABS(BK428/BQ428),0)</f>
        <v/>
      </c>
      <c r="BS428" s="34">
        <f>IF(BR428&lt;=0.1,0,BK428/BR428*(BR428-0.1))</f>
        <v/>
      </c>
      <c r="BT428" s="34">
        <f>IF((BS428)&lt;0,MAX(F428:G428)*(BS428)*1.03,MIN(F428:G428)*(BS428)*0.97)</f>
        <v/>
      </c>
      <c r="BU428" s="34">
        <f>IF(BR428&gt;0.1,1,0)</f>
        <v/>
      </c>
      <c r="BV428" s="34">
        <f>BF428+BG428+BH428+BY428-CA428</f>
        <v/>
      </c>
      <c r="BW428" s="34">
        <f>ABS(BX428)</f>
        <v/>
      </c>
      <c r="BX428" s="34">
        <f>AY428-(J428-L428+N428-Q428+T428-X428)</f>
        <v/>
      </c>
      <c r="BY428" s="34">
        <f>IF(AND(BX428&gt;0,MIN($F428:$G428)&lt;150,$E428="Enerji Açığı"),-100*BX428*1.03,IF(AND(BX428&gt;0,MIN($F428:$G428)&lt;150,$E428="Enerji Fazlası"),-100*BX428*1.06,IF(AND(BX428&gt;0,MIN($F428:$G428)&gt;=150,$E428="Enerji Açığı"),BX428*MIN($F428:$G428)*0.97,IF(AND(BX428&gt;0,MIN($F428:$G428)&gt;=150,$E428="Enerji Fazlası"),BX428*MIN($F428:$G428)*0.94,IF(AND(BX428&lt;0,MAX($F428:$G428)=4500,$E428="Enerji Açığı"),4500*1.05*1.06*BX428,IF(AND(BX428&lt;0,MAX($F428:$G428)=4500,$E428="Enerji Fazlası"),4500*1.05*1.03*BX428,IF(AND(BX428&lt;0,$E428="Enerji Açığı"),MAX($F428,$G428,150)*BX428*1.06,IF(AND(BX428&lt;0,$E428="Enerji Fazlası"),MAX($F428,$G428,150)*BX428*1.03,IF(AND(BX428&lt;0,$E428="Dengede"),MAX($F428:$G428,150)*1.03*BX428,MIN($F428:$G428)*0.97*BX428)))))))))</f>
        <v/>
      </c>
      <c r="BZ428" s="34">
        <f>BE428-BV428-CA428</f>
        <v/>
      </c>
      <c r="CA428" s="34">
        <f>BD428</f>
        <v/>
      </c>
      <c r="CB428" s="33">
        <f>BE428-BV428</f>
        <v/>
      </c>
      <c r="CC428" s="34">
        <f>IF(AY428=0,0,CB428/AY428)</f>
        <v/>
      </c>
      <c r="CD428" s="34">
        <f>MAX((AY428+MAX((-J428+L428-N428+Q428-T428+X428),0)),(MAX((J428-L428+N428-Q428+T428-X428),0)))</f>
        <v/>
      </c>
      <c r="CE428" s="82">
        <f>IFERROR(ABS(BX428/CD428),0)</f>
        <v/>
      </c>
      <c r="CF428" s="34">
        <f>IF(CE428&lt;=0.1,0,BX428/CE428*(CE428-0.1))</f>
        <v/>
      </c>
      <c r="CG428" s="34">
        <f>IF((CF428)&lt;0,MAX(F428:G428)*(CF428)*1.03,MIN(F428:G428)*(CF428)*0.97)</f>
        <v/>
      </c>
      <c r="CH428" s="34">
        <f>IF(CE428&gt;0.1,1,0)</f>
        <v/>
      </c>
      <c r="CI428" s="34">
        <f>(F428*BX428)-BY428</f>
        <v/>
      </c>
      <c r="CJ428" s="34">
        <f>IF(AY428=0,0,CI428/AY428)</f>
        <v/>
      </c>
    </row>
    <row r="429">
      <c r="A429" s="29">
        <f>[1]FİYATLAR!A404</f>
        <v/>
      </c>
      <c r="B429" s="29">
        <f>[1]FİYATLAR!B404</f>
        <v/>
      </c>
      <c r="C429" s="35">
        <f>INT(A429)</f>
        <v/>
      </c>
      <c r="D429" s="36">
        <f>MONTH(A429)</f>
        <v/>
      </c>
      <c r="E429" s="147">
        <f>[1]FİYATLAR!G404</f>
        <v/>
      </c>
      <c r="F429" s="30">
        <f>[1]FİYATLAR!C404</f>
        <v/>
      </c>
      <c r="G429" s="30">
        <f>[1]FİYATLAR!E404</f>
        <v/>
      </c>
      <c r="H429" s="30">
        <f>[1]FİYATLAR!D404</f>
        <v/>
      </c>
      <c r="I429" s="30">
        <f>[1]FİYATLAR!F404</f>
        <v/>
      </c>
      <c r="J429" s="119" t="n">
        <v>0</v>
      </c>
      <c r="K429" s="34">
        <f>F429*J429</f>
        <v/>
      </c>
      <c r="L429" s="119" t="n"/>
      <c r="M429" s="34">
        <f>L429*F429</f>
        <v/>
      </c>
      <c r="N429" s="119" t="n"/>
      <c r="O429" s="34">
        <f>F429</f>
        <v/>
      </c>
      <c r="P429" s="34">
        <f>N429*O429</f>
        <v/>
      </c>
      <c r="Q429" s="117" t="n">
        <v>0</v>
      </c>
      <c r="R429" s="34">
        <f>F429</f>
        <v/>
      </c>
      <c r="S429" s="34">
        <f>R429*Q429</f>
        <v/>
      </c>
      <c r="T429" s="34">
        <f>SUMIFS('[1]GİP VERİLERİ'!$C:$C,'[1]GİP VERİLERİ'!$B:$B,A429,'[1]GİP VERİLERİ'!$M:$M,"40X000000104782K",'[1]GİP VERİLERİ'!$G:$G,"SELL")</f>
        <v/>
      </c>
      <c r="U429" s="34">
        <f>IFERROR(W429/T429,0)</f>
        <v/>
      </c>
      <c r="V429" s="34">
        <f>IF(U429=0,0,U429-F429)</f>
        <v/>
      </c>
      <c r="W429" s="34">
        <f>SUMIFS('[1]GİP VERİLERİ'!$O:$O,'[1]GİP VERİLERİ'!$B:$B,A429,'[1]GİP VERİLERİ'!$M:$M,"40X000000104782K",'[1]GİP VERİLERİ'!$G:$G,"SELL")</f>
        <v/>
      </c>
      <c r="X429" s="34">
        <f>SUMIFS('[1]GİP VERİLERİ'!$C:$C,'[1]GİP VERİLERİ'!$B:$B,A429,'[1]GİP VERİLERİ'!$M:$M,"40X000000104782K",'[1]GİP VERİLERİ'!$G:$G,"BUY")</f>
        <v/>
      </c>
      <c r="Y429" s="34">
        <f>IFERROR(AA429/X429,0)</f>
        <v/>
      </c>
      <c r="Z429" s="34">
        <f>IF(Y429=0,0,F429-Y429)</f>
        <v/>
      </c>
      <c r="AA429" s="34">
        <f>SUMIFS('[1]GİP VERİLERİ'!$O:$O,'[1]GİP VERİLERİ'!$B:$B,A429,'[1]GİP VERİLERİ'!$M:$M,"40X000000104782K",'[1]GİP VERİLERİ'!$G:$G,"BUY")</f>
        <v/>
      </c>
      <c r="AB429" s="34">
        <f>'[1]GÖP VERİLERİ'!H430</f>
        <v/>
      </c>
      <c r="AC429" s="34">
        <f>'[1]GÖP VERİLERİ'!I430</f>
        <v/>
      </c>
      <c r="AD429" s="34">
        <f>IF(AB429&gt;AC429*1.05,AB429-AC429*1.05,IF(AB429&lt;AC429*0.95,AC429*0.95-AB429,0))</f>
        <v/>
      </c>
      <c r="AE429" s="34">
        <f>MAX(F429,G429,750)*0.05*AD429</f>
        <v/>
      </c>
      <c r="AF429" s="34">
        <f>'[1]GÖP VERİLERİ'!J430</f>
        <v/>
      </c>
      <c r="AG429" s="34">
        <f>IF(AB429&gt;AF429*1.05,AB429-AF429*1.05,IF(AB429&lt;AF429*0.95,AF429*0.95-AB429,0))</f>
        <v/>
      </c>
      <c r="AH429" s="34">
        <f>MAX(I429,J429,750)*0.05*AG429</f>
        <v/>
      </c>
      <c r="AI429">
        <f>'[1]GÖP VERİLERİ'!E430</f>
        <v/>
      </c>
      <c r="AJ429">
        <f>'[1]GÖP VERİLERİ'!F430</f>
        <v/>
      </c>
      <c r="AK429" s="34">
        <f>IF(AI429&gt;AJ429*1.05,AI429-AJ429*1.05,IF(AI429&lt;AJ429*0.95,AJ429*0.95-AI429,0))</f>
        <v/>
      </c>
      <c r="AL429" s="34">
        <f>MAX(F429,G429,750)*0.05*AK429</f>
        <v/>
      </c>
      <c r="AM429" s="39">
        <f>'[1]GÖP VERİLERİ'!G430</f>
        <v/>
      </c>
      <c r="AN429" s="34">
        <f>IF(AI429&gt;AM429*1.05,AI429-AM429*1.05,IF(AI429&lt;AM429*0.95,AM429*0.95-AI429,0))</f>
        <v/>
      </c>
      <c r="AO429" s="34">
        <f>MAX(F429,G429,750)*0.05*AN429</f>
        <v/>
      </c>
      <c r="AP429" s="34">
        <f>'[1]GÖP VERİLERİ'!B430</f>
        <v/>
      </c>
      <c r="AQ429" s="34">
        <f>'[1]GÖP VERİLERİ'!C430</f>
        <v/>
      </c>
      <c r="AR429" s="34">
        <f>IF(AP429&gt;AQ429*1.05,AP429-AQ429*1.05,IF(AP429&lt;AQ429*0.95,AQ429*0.95-AP429,0))</f>
        <v/>
      </c>
      <c r="AS429" s="34">
        <f>MAX(F429:G429,750)*0.05*AR429</f>
        <v/>
      </c>
      <c r="AT429">
        <f>'[1]GÖP VERİLERİ'!D430</f>
        <v/>
      </c>
      <c r="AU429" s="34">
        <f>IF(AP429&gt;AT429*1.05,AP429-AT429*1.05,IF(AP429&lt;AT429*0.95,AT429*0.95-AP429,0))</f>
        <v/>
      </c>
      <c r="AV429" s="34">
        <f>MAX(F429:G429,750)*0.05*AU429</f>
        <v/>
      </c>
      <c r="AW429" s="34">
        <f>AC429+AJ429+AQ429</f>
        <v/>
      </c>
      <c r="AX429" s="34">
        <f>AF429+AM429+AT429</f>
        <v/>
      </c>
      <c r="AY429" s="34">
        <f>AB429+AI429+AP429</f>
        <v/>
      </c>
      <c r="AZ429" s="34" t="n">
        <v>0</v>
      </c>
      <c r="BA429" s="34">
        <f>AD429+AK429+AR429</f>
        <v/>
      </c>
      <c r="BB429" s="34">
        <f>MAX(F429:G429,750)*0.05*BA429</f>
        <v/>
      </c>
      <c r="BC429" s="34">
        <f>AG429+AN429+AU429</f>
        <v/>
      </c>
      <c r="BD429" s="34">
        <f>MAX(F429:G429,750)*0.05*BC429</f>
        <v/>
      </c>
      <c r="BE429" s="34">
        <f>F429*AY429</f>
        <v/>
      </c>
      <c r="BF429" s="34">
        <f>K429-M429</f>
        <v/>
      </c>
      <c r="BG429" s="34">
        <f>P429-S429</f>
        <v/>
      </c>
      <c r="BH429" s="34">
        <f>W429-AA429</f>
        <v/>
      </c>
      <c r="BI429" s="34">
        <f>BF429+BG429+BL429-BN429</f>
        <v/>
      </c>
      <c r="BJ429" s="34">
        <f>ABS(BK429)</f>
        <v/>
      </c>
      <c r="BK429" s="34">
        <f>AY429-(J429-L429+N429-Q429)</f>
        <v/>
      </c>
      <c r="BL429" s="34">
        <f>IF(AND(BK429&gt;0,MIN($F429:$G429)&lt;150,$E429="Enerji Açığı"),-100*BK429*1.03,IF(AND(BK429&gt;0,MIN($F429:$G429)&lt;150,$E429="Enerji Fazlası"),-100*BK429*1.06,IF(AND(BK429&gt;0,MIN($F429:$G429)&gt;=150,$E429="Enerji Açığı"),BK429*MIN($F429:$G429)*0.97,IF(AND(BK429&gt;0,MIN($F429:$G429)&gt;=150,$E429="Enerji Fazlası"),BK429*MIN($F429:$G429)*0.94,IF(AND(BK429&lt;0,MAX($F429:$G429)=4500,$E429="Enerji Açığı"),4500*1.05*1.06*BK429,IF(AND(BK429&lt;0,MAX($F429:$G429)=4500,$E429="Enerji Fazlası"),4500*1.05*1.03*BK429,IF(AND(BK429&lt;0,$E429="Enerji Açığı"),MAX($F429,$G429,150)*BK429*1.06,IF(AND(BK429&lt;0,$E429="Enerji Fazlası"),MAX($F429,$G429,150)*BK429*1.03,IF(AND(BK429&lt;0,$E429="Dengede"),MAX($F429:$G429,150)*1.03*BK429,MIN($F429:$G429)*0.97*BK429)))))))))</f>
        <v/>
      </c>
      <c r="BM429" s="34">
        <f>BE429-BI429-BN429</f>
        <v/>
      </c>
      <c r="BN429" s="34">
        <f>BB429</f>
        <v/>
      </c>
      <c r="BO429" s="34">
        <f>BE429-BI429</f>
        <v/>
      </c>
      <c r="BP429" s="34">
        <f>IF(AY429=0,0,BO429/AY429)</f>
        <v/>
      </c>
      <c r="BQ429" s="34">
        <f>MAX((AY429+MAX((-J429+L429-N429+Q429),0)),(MAX((J429-L429+N429-Q429),0)))</f>
        <v/>
      </c>
      <c r="BR429" s="82">
        <f>IFERROR(ABS(BK429/BQ429),0)</f>
        <v/>
      </c>
      <c r="BS429" s="34">
        <f>IF(BR429&lt;=0.1,0,BK429/BR429*(BR429-0.1))</f>
        <v/>
      </c>
      <c r="BT429" s="34">
        <f>IF((BS429)&lt;0,MAX(F429:G429)*(BS429)*1.03,MIN(F429:G429)*(BS429)*0.97)</f>
        <v/>
      </c>
      <c r="BU429" s="34">
        <f>IF(BR429&gt;0.1,1,0)</f>
        <v/>
      </c>
      <c r="BV429" s="34">
        <f>BF429+BG429+BH429+BY429-CA429</f>
        <v/>
      </c>
      <c r="BW429" s="34">
        <f>ABS(BX429)</f>
        <v/>
      </c>
      <c r="BX429" s="34">
        <f>AY429-(J429-L429+N429-Q429+T429-X429)</f>
        <v/>
      </c>
      <c r="BY429" s="34">
        <f>IF(AND(BX429&gt;0,MIN($F429:$G429)&lt;150,$E429="Enerji Açığı"),-100*BX429*1.03,IF(AND(BX429&gt;0,MIN($F429:$G429)&lt;150,$E429="Enerji Fazlası"),-100*BX429*1.06,IF(AND(BX429&gt;0,MIN($F429:$G429)&gt;=150,$E429="Enerji Açığı"),BX429*MIN($F429:$G429)*0.97,IF(AND(BX429&gt;0,MIN($F429:$G429)&gt;=150,$E429="Enerji Fazlası"),BX429*MIN($F429:$G429)*0.94,IF(AND(BX429&lt;0,MAX($F429:$G429)=4500,$E429="Enerji Açığı"),4500*1.05*1.06*BX429,IF(AND(BX429&lt;0,MAX($F429:$G429)=4500,$E429="Enerji Fazlası"),4500*1.05*1.03*BX429,IF(AND(BX429&lt;0,$E429="Enerji Açığı"),MAX($F429,$G429,150)*BX429*1.06,IF(AND(BX429&lt;0,$E429="Enerji Fazlası"),MAX($F429,$G429,150)*BX429*1.03,IF(AND(BX429&lt;0,$E429="Dengede"),MAX($F429:$G429,150)*1.03*BX429,MIN($F429:$G429)*0.97*BX429)))))))))</f>
        <v/>
      </c>
      <c r="BZ429" s="34">
        <f>BE429-BV429-CA429</f>
        <v/>
      </c>
      <c r="CA429" s="34">
        <f>BD429</f>
        <v/>
      </c>
      <c r="CB429" s="33">
        <f>BE429-BV429</f>
        <v/>
      </c>
      <c r="CC429" s="34">
        <f>IF(AY429=0,0,CB429/AY429)</f>
        <v/>
      </c>
      <c r="CD429" s="34">
        <f>MAX((AY429+MAX((-J429+L429-N429+Q429-T429+X429),0)),(MAX((J429-L429+N429-Q429+T429-X429),0)))</f>
        <v/>
      </c>
      <c r="CE429" s="82">
        <f>IFERROR(ABS(BX429/CD429),0)</f>
        <v/>
      </c>
      <c r="CF429" s="34">
        <f>IF(CE429&lt;=0.1,0,BX429/CE429*(CE429-0.1))</f>
        <v/>
      </c>
      <c r="CG429" s="34">
        <f>IF((CF429)&lt;0,MAX(F429:G429)*(CF429)*1.03,MIN(F429:G429)*(CF429)*0.97)</f>
        <v/>
      </c>
      <c r="CH429" s="34">
        <f>IF(CE429&gt;0.1,1,0)</f>
        <v/>
      </c>
      <c r="CI429" s="34">
        <f>(F429*BX429)-BY429</f>
        <v/>
      </c>
      <c r="CJ429" s="34">
        <f>IF(AY429=0,0,CI429/AY429)</f>
        <v/>
      </c>
    </row>
    <row r="430">
      <c r="A430" s="29">
        <f>[1]FİYATLAR!A405</f>
        <v/>
      </c>
      <c r="B430" s="29">
        <f>[1]FİYATLAR!B405</f>
        <v/>
      </c>
      <c r="C430" s="35">
        <f>INT(A430)</f>
        <v/>
      </c>
      <c r="D430" s="36">
        <f>MONTH(A430)</f>
        <v/>
      </c>
      <c r="E430" s="147">
        <f>[1]FİYATLAR!G405</f>
        <v/>
      </c>
      <c r="F430" s="30">
        <f>[1]FİYATLAR!C405</f>
        <v/>
      </c>
      <c r="G430" s="30">
        <f>[1]FİYATLAR!E405</f>
        <v/>
      </c>
      <c r="H430" s="30">
        <f>[1]FİYATLAR!D405</f>
        <v/>
      </c>
      <c r="I430" s="30">
        <f>[1]FİYATLAR!F405</f>
        <v/>
      </c>
      <c r="J430" s="119" t="n">
        <v>0</v>
      </c>
      <c r="K430" s="34">
        <f>F430*J430</f>
        <v/>
      </c>
      <c r="L430" s="119" t="n"/>
      <c r="M430" s="34">
        <f>L430*F430</f>
        <v/>
      </c>
      <c r="N430" s="119" t="n"/>
      <c r="O430" s="34">
        <f>F430</f>
        <v/>
      </c>
      <c r="P430" s="34">
        <f>N430*O430</f>
        <v/>
      </c>
      <c r="Q430" s="117" t="n">
        <v>0</v>
      </c>
      <c r="R430" s="34">
        <f>F430</f>
        <v/>
      </c>
      <c r="S430" s="34">
        <f>R430*Q430</f>
        <v/>
      </c>
      <c r="T430" s="34">
        <f>SUMIFS('[1]GİP VERİLERİ'!$C:$C,'[1]GİP VERİLERİ'!$B:$B,A430,'[1]GİP VERİLERİ'!$M:$M,"40X000000104782K",'[1]GİP VERİLERİ'!$G:$G,"SELL")</f>
        <v/>
      </c>
      <c r="U430" s="34">
        <f>IFERROR(W430/T430,0)</f>
        <v/>
      </c>
      <c r="V430" s="34">
        <f>IF(U430=0,0,U430-F430)</f>
        <v/>
      </c>
      <c r="W430" s="34">
        <f>SUMIFS('[1]GİP VERİLERİ'!$O:$O,'[1]GİP VERİLERİ'!$B:$B,A430,'[1]GİP VERİLERİ'!$M:$M,"40X000000104782K",'[1]GİP VERİLERİ'!$G:$G,"SELL")</f>
        <v/>
      </c>
      <c r="X430" s="34">
        <f>SUMIFS('[1]GİP VERİLERİ'!$C:$C,'[1]GİP VERİLERİ'!$B:$B,A430,'[1]GİP VERİLERİ'!$M:$M,"40X000000104782K",'[1]GİP VERİLERİ'!$G:$G,"BUY")</f>
        <v/>
      </c>
      <c r="Y430" s="34">
        <f>IFERROR(AA430/X430,0)</f>
        <v/>
      </c>
      <c r="Z430" s="34">
        <f>IF(Y430=0,0,F430-Y430)</f>
        <v/>
      </c>
      <c r="AA430" s="34">
        <f>SUMIFS('[1]GİP VERİLERİ'!$O:$O,'[1]GİP VERİLERİ'!$B:$B,A430,'[1]GİP VERİLERİ'!$M:$M,"40X000000104782K",'[1]GİP VERİLERİ'!$G:$G,"BUY")</f>
        <v/>
      </c>
      <c r="AB430" s="34">
        <f>'[1]GÖP VERİLERİ'!H431</f>
        <v/>
      </c>
      <c r="AC430" s="34">
        <f>'[1]GÖP VERİLERİ'!I431</f>
        <v/>
      </c>
      <c r="AD430" s="34">
        <f>IF(AB430&gt;AC430*1.05,AB430-AC430*1.05,IF(AB430&lt;AC430*0.95,AC430*0.95-AB430,0))</f>
        <v/>
      </c>
      <c r="AE430" s="34">
        <f>MAX(F430,G430,750)*0.05*AD430</f>
        <v/>
      </c>
      <c r="AF430" s="34">
        <f>'[1]GÖP VERİLERİ'!J431</f>
        <v/>
      </c>
      <c r="AG430" s="34">
        <f>IF(AB430&gt;AF430*1.05,AB430-AF430*1.05,IF(AB430&lt;AF430*0.95,AF430*0.95-AB430,0))</f>
        <v/>
      </c>
      <c r="AH430" s="34">
        <f>MAX(I430,J430,750)*0.05*AG430</f>
        <v/>
      </c>
      <c r="AI430">
        <f>'[1]GÖP VERİLERİ'!E431</f>
        <v/>
      </c>
      <c r="AJ430">
        <f>'[1]GÖP VERİLERİ'!F431</f>
        <v/>
      </c>
      <c r="AK430" s="34">
        <f>IF(AI430&gt;AJ430*1.05,AI430-AJ430*1.05,IF(AI430&lt;AJ430*0.95,AJ430*0.95-AI430,0))</f>
        <v/>
      </c>
      <c r="AL430" s="34">
        <f>MAX(F430,G430,750)*0.05*AK430</f>
        <v/>
      </c>
      <c r="AM430" s="39">
        <f>'[1]GÖP VERİLERİ'!G431</f>
        <v/>
      </c>
      <c r="AN430" s="34">
        <f>IF(AI430&gt;AM430*1.05,AI430-AM430*1.05,IF(AI430&lt;AM430*0.95,AM430*0.95-AI430,0))</f>
        <v/>
      </c>
      <c r="AO430" s="34">
        <f>MAX(F430,G430,750)*0.05*AN430</f>
        <v/>
      </c>
      <c r="AP430" s="34">
        <f>'[1]GÖP VERİLERİ'!B431</f>
        <v/>
      </c>
      <c r="AQ430" s="34">
        <f>'[1]GÖP VERİLERİ'!C431</f>
        <v/>
      </c>
      <c r="AR430" s="34">
        <f>IF(AP430&gt;AQ430*1.05,AP430-AQ430*1.05,IF(AP430&lt;AQ430*0.95,AQ430*0.95-AP430,0))</f>
        <v/>
      </c>
      <c r="AS430" s="34">
        <f>MAX(F430:G430,750)*0.05*AR430</f>
        <v/>
      </c>
      <c r="AT430">
        <f>'[1]GÖP VERİLERİ'!D431</f>
        <v/>
      </c>
      <c r="AU430" s="34">
        <f>IF(AP430&gt;AT430*1.05,AP430-AT430*1.05,IF(AP430&lt;AT430*0.95,AT430*0.95-AP430,0))</f>
        <v/>
      </c>
      <c r="AV430" s="34">
        <f>MAX(F430:G430,750)*0.05*AU430</f>
        <v/>
      </c>
      <c r="AW430" s="34">
        <f>AC430+AJ430+AQ430</f>
        <v/>
      </c>
      <c r="AX430" s="34">
        <f>AF430+AM430+AT430</f>
        <v/>
      </c>
      <c r="AY430" s="34">
        <f>AB430+AI430+AP430</f>
        <v/>
      </c>
      <c r="AZ430" s="34" t="n">
        <v>0</v>
      </c>
      <c r="BA430" s="34">
        <f>AD430+AK430+AR430</f>
        <v/>
      </c>
      <c r="BB430" s="34">
        <f>MAX(F430:G430,750)*0.05*BA430</f>
        <v/>
      </c>
      <c r="BC430" s="34">
        <f>AG430+AN430+AU430</f>
        <v/>
      </c>
      <c r="BD430" s="34">
        <f>MAX(F430:G430,750)*0.05*BC430</f>
        <v/>
      </c>
      <c r="BE430" s="34">
        <f>F430*AY430</f>
        <v/>
      </c>
      <c r="BF430" s="34">
        <f>K430-M430</f>
        <v/>
      </c>
      <c r="BG430" s="34">
        <f>P430-S430</f>
        <v/>
      </c>
      <c r="BH430" s="34">
        <f>W430-AA430</f>
        <v/>
      </c>
      <c r="BI430" s="34">
        <f>BF430+BG430+BL430-BN430</f>
        <v/>
      </c>
      <c r="BJ430" s="34">
        <f>ABS(BK430)</f>
        <v/>
      </c>
      <c r="BK430" s="34">
        <f>AY430-(J430-L430+N430-Q430)</f>
        <v/>
      </c>
      <c r="BL430" s="34">
        <f>IF(AND(BK430&gt;0,MIN($F430:$G430)&lt;150,$E430="Enerji Açığı"),-100*BK430*1.03,IF(AND(BK430&gt;0,MIN($F430:$G430)&lt;150,$E430="Enerji Fazlası"),-100*BK430*1.06,IF(AND(BK430&gt;0,MIN($F430:$G430)&gt;=150,$E430="Enerji Açığı"),BK430*MIN($F430:$G430)*0.97,IF(AND(BK430&gt;0,MIN($F430:$G430)&gt;=150,$E430="Enerji Fazlası"),BK430*MIN($F430:$G430)*0.94,IF(AND(BK430&lt;0,MAX($F430:$G430)=4500,$E430="Enerji Açığı"),4500*1.05*1.06*BK430,IF(AND(BK430&lt;0,MAX($F430:$G430)=4500,$E430="Enerji Fazlası"),4500*1.05*1.03*BK430,IF(AND(BK430&lt;0,$E430="Enerji Açığı"),MAX($F430,$G430,150)*BK430*1.06,IF(AND(BK430&lt;0,$E430="Enerji Fazlası"),MAX($F430,$G430,150)*BK430*1.03,IF(AND(BK430&lt;0,$E430="Dengede"),MAX($F430:$G430,150)*1.03*BK430,MIN($F430:$G430)*0.97*BK430)))))))))</f>
        <v/>
      </c>
      <c r="BM430" s="34">
        <f>BE430-BI430-BN430</f>
        <v/>
      </c>
      <c r="BN430" s="34">
        <f>BB430</f>
        <v/>
      </c>
      <c r="BO430" s="34">
        <f>BE430-BI430</f>
        <v/>
      </c>
      <c r="BP430" s="34">
        <f>IF(AY430=0,0,BO430/AY430)</f>
        <v/>
      </c>
      <c r="BQ430" s="34">
        <f>MAX((AY430+MAX((-J430+L430-N430+Q430),0)),(MAX((J430-L430+N430-Q430),0)))</f>
        <v/>
      </c>
      <c r="BR430" s="82">
        <f>IFERROR(ABS(BK430/BQ430),0)</f>
        <v/>
      </c>
      <c r="BS430" s="34">
        <f>IF(BR430&lt;=0.1,0,BK430/BR430*(BR430-0.1))</f>
        <v/>
      </c>
      <c r="BT430" s="34">
        <f>IF((BS430)&lt;0,MAX(F430:G430)*(BS430)*1.03,MIN(F430:G430)*(BS430)*0.97)</f>
        <v/>
      </c>
      <c r="BU430" s="34">
        <f>IF(BR430&gt;0.1,1,0)</f>
        <v/>
      </c>
      <c r="BV430" s="34">
        <f>BF430+BG430+BH430+BY430-CA430</f>
        <v/>
      </c>
      <c r="BW430" s="34">
        <f>ABS(BX430)</f>
        <v/>
      </c>
      <c r="BX430" s="34">
        <f>AY430-(J430-L430+N430-Q430+T430-X430)</f>
        <v/>
      </c>
      <c r="BY430" s="34">
        <f>IF(AND(BX430&gt;0,MIN($F430:$G430)&lt;150,$E430="Enerji Açığı"),-100*BX430*1.03,IF(AND(BX430&gt;0,MIN($F430:$G430)&lt;150,$E430="Enerji Fazlası"),-100*BX430*1.06,IF(AND(BX430&gt;0,MIN($F430:$G430)&gt;=150,$E430="Enerji Açığı"),BX430*MIN($F430:$G430)*0.97,IF(AND(BX430&gt;0,MIN($F430:$G430)&gt;=150,$E430="Enerji Fazlası"),BX430*MIN($F430:$G430)*0.94,IF(AND(BX430&lt;0,MAX($F430:$G430)=4500,$E430="Enerji Açığı"),4500*1.05*1.06*BX430,IF(AND(BX430&lt;0,MAX($F430:$G430)=4500,$E430="Enerji Fazlası"),4500*1.05*1.03*BX430,IF(AND(BX430&lt;0,$E430="Enerji Açığı"),MAX($F430,$G430,150)*BX430*1.06,IF(AND(BX430&lt;0,$E430="Enerji Fazlası"),MAX($F430,$G430,150)*BX430*1.03,IF(AND(BX430&lt;0,$E430="Dengede"),MAX($F430:$G430,150)*1.03*BX430,MIN($F430:$G430)*0.97*BX430)))))))))</f>
        <v/>
      </c>
      <c r="BZ430" s="34">
        <f>BE430-BV430-CA430</f>
        <v/>
      </c>
      <c r="CA430" s="34">
        <f>BD430</f>
        <v/>
      </c>
      <c r="CB430" s="33">
        <f>BE430-BV430</f>
        <v/>
      </c>
      <c r="CC430" s="34">
        <f>IF(AY430=0,0,CB430/AY430)</f>
        <v/>
      </c>
      <c r="CD430" s="34">
        <f>MAX((AY430+MAX((-J430+L430-N430+Q430-T430+X430),0)),(MAX((J430-L430+N430-Q430+T430-X430),0)))</f>
        <v/>
      </c>
      <c r="CE430" s="82">
        <f>IFERROR(ABS(BX430/CD430),0)</f>
        <v/>
      </c>
      <c r="CF430" s="34">
        <f>IF(CE430&lt;=0.1,0,BX430/CE430*(CE430-0.1))</f>
        <v/>
      </c>
      <c r="CG430" s="34">
        <f>IF((CF430)&lt;0,MAX(F430:G430)*(CF430)*1.03,MIN(F430:G430)*(CF430)*0.97)</f>
        <v/>
      </c>
      <c r="CH430" s="34">
        <f>IF(CE430&gt;0.1,1,0)</f>
        <v/>
      </c>
      <c r="CI430" s="34">
        <f>(F430*BX430)-BY430</f>
        <v/>
      </c>
      <c r="CJ430" s="34">
        <f>IF(AY430=0,0,CI430/AY430)</f>
        <v/>
      </c>
    </row>
    <row r="431">
      <c r="A431" s="29">
        <f>[1]FİYATLAR!A406</f>
        <v/>
      </c>
      <c r="B431" s="29">
        <f>[1]FİYATLAR!B406</f>
        <v/>
      </c>
      <c r="C431" s="35">
        <f>INT(A431)</f>
        <v/>
      </c>
      <c r="D431" s="36">
        <f>MONTH(A431)</f>
        <v/>
      </c>
      <c r="E431" s="147">
        <f>[1]FİYATLAR!G406</f>
        <v/>
      </c>
      <c r="F431" s="30">
        <f>[1]FİYATLAR!C406</f>
        <v/>
      </c>
      <c r="G431" s="30">
        <f>[1]FİYATLAR!E406</f>
        <v/>
      </c>
      <c r="H431" s="30">
        <f>[1]FİYATLAR!D406</f>
        <v/>
      </c>
      <c r="I431" s="30">
        <f>[1]FİYATLAR!F406</f>
        <v/>
      </c>
      <c r="J431" s="119" t="n">
        <v>0</v>
      </c>
      <c r="K431" s="34">
        <f>F431*J431</f>
        <v/>
      </c>
      <c r="L431" s="119" t="n"/>
      <c r="M431" s="34">
        <f>L431*F431</f>
        <v/>
      </c>
      <c r="N431" s="119" t="n"/>
      <c r="O431" s="34">
        <f>F431</f>
        <v/>
      </c>
      <c r="P431" s="34">
        <f>N431*O431</f>
        <v/>
      </c>
      <c r="Q431" s="117" t="n">
        <v>0</v>
      </c>
      <c r="R431" s="34">
        <f>F431</f>
        <v/>
      </c>
      <c r="S431" s="34">
        <f>R431*Q431</f>
        <v/>
      </c>
      <c r="T431" s="34">
        <f>SUMIFS('[1]GİP VERİLERİ'!$C:$C,'[1]GİP VERİLERİ'!$B:$B,A431,'[1]GİP VERİLERİ'!$M:$M,"40X000000104782K",'[1]GİP VERİLERİ'!$G:$G,"SELL")</f>
        <v/>
      </c>
      <c r="U431" s="34">
        <f>IFERROR(W431/T431,0)</f>
        <v/>
      </c>
      <c r="V431" s="34">
        <f>IF(U431=0,0,U431-F431)</f>
        <v/>
      </c>
      <c r="W431" s="34">
        <f>SUMIFS('[1]GİP VERİLERİ'!$O:$O,'[1]GİP VERİLERİ'!$B:$B,A431,'[1]GİP VERİLERİ'!$M:$M,"40X000000104782K",'[1]GİP VERİLERİ'!$G:$G,"SELL")</f>
        <v/>
      </c>
      <c r="X431" s="34">
        <f>SUMIFS('[1]GİP VERİLERİ'!$C:$C,'[1]GİP VERİLERİ'!$B:$B,A431,'[1]GİP VERİLERİ'!$M:$M,"40X000000104782K",'[1]GİP VERİLERİ'!$G:$G,"BUY")</f>
        <v/>
      </c>
      <c r="Y431" s="34">
        <f>IFERROR(AA431/X431,0)</f>
        <v/>
      </c>
      <c r="Z431" s="34">
        <f>IF(Y431=0,0,F431-Y431)</f>
        <v/>
      </c>
      <c r="AA431" s="34">
        <f>SUMIFS('[1]GİP VERİLERİ'!$O:$O,'[1]GİP VERİLERİ'!$B:$B,A431,'[1]GİP VERİLERİ'!$M:$M,"40X000000104782K",'[1]GİP VERİLERİ'!$G:$G,"BUY")</f>
        <v/>
      </c>
      <c r="AB431" s="34">
        <f>'[1]GÖP VERİLERİ'!H432</f>
        <v/>
      </c>
      <c r="AC431" s="34">
        <f>'[1]GÖP VERİLERİ'!I432</f>
        <v/>
      </c>
      <c r="AD431" s="34">
        <f>IF(AB431&gt;AC431*1.05,AB431-AC431*1.05,IF(AB431&lt;AC431*0.95,AC431*0.95-AB431,0))</f>
        <v/>
      </c>
      <c r="AE431" s="34">
        <f>MAX(F431,G431,750)*0.05*AD431</f>
        <v/>
      </c>
      <c r="AF431" s="34">
        <f>'[1]GÖP VERİLERİ'!J432</f>
        <v/>
      </c>
      <c r="AG431" s="34">
        <f>IF(AB431&gt;AF431*1.05,AB431-AF431*1.05,IF(AB431&lt;AF431*0.95,AF431*0.95-AB431,0))</f>
        <v/>
      </c>
      <c r="AH431" s="34">
        <f>MAX(I431,J431,750)*0.05*AG431</f>
        <v/>
      </c>
      <c r="AI431">
        <f>'[1]GÖP VERİLERİ'!E432</f>
        <v/>
      </c>
      <c r="AJ431">
        <f>'[1]GÖP VERİLERİ'!F432</f>
        <v/>
      </c>
      <c r="AK431" s="34">
        <f>IF(AI431&gt;AJ431*1.05,AI431-AJ431*1.05,IF(AI431&lt;AJ431*0.95,AJ431*0.95-AI431,0))</f>
        <v/>
      </c>
      <c r="AL431" s="34">
        <f>MAX(F431,G431,750)*0.05*AK431</f>
        <v/>
      </c>
      <c r="AM431" s="39">
        <f>'[1]GÖP VERİLERİ'!G432</f>
        <v/>
      </c>
      <c r="AN431" s="34">
        <f>IF(AI431&gt;AM431*1.05,AI431-AM431*1.05,IF(AI431&lt;AM431*0.95,AM431*0.95-AI431,0))</f>
        <v/>
      </c>
      <c r="AO431" s="34">
        <f>MAX(F431,G431,750)*0.05*AN431</f>
        <v/>
      </c>
      <c r="AP431" s="34">
        <f>'[1]GÖP VERİLERİ'!B432</f>
        <v/>
      </c>
      <c r="AQ431" s="34">
        <f>'[1]GÖP VERİLERİ'!C432</f>
        <v/>
      </c>
      <c r="AR431" s="34">
        <f>IF(AP431&gt;AQ431*1.05,AP431-AQ431*1.05,IF(AP431&lt;AQ431*0.95,AQ431*0.95-AP431,0))</f>
        <v/>
      </c>
      <c r="AS431" s="34">
        <f>MAX(F431:G431,750)*0.05*AR431</f>
        <v/>
      </c>
      <c r="AT431">
        <f>'[1]GÖP VERİLERİ'!D432</f>
        <v/>
      </c>
      <c r="AU431" s="34">
        <f>IF(AP431&gt;AT431*1.05,AP431-AT431*1.05,IF(AP431&lt;AT431*0.95,AT431*0.95-AP431,0))</f>
        <v/>
      </c>
      <c r="AV431" s="34">
        <f>MAX(F431:G431,750)*0.05*AU431</f>
        <v/>
      </c>
      <c r="AW431" s="34">
        <f>AC431+AJ431+AQ431</f>
        <v/>
      </c>
      <c r="AX431" s="34">
        <f>AF431+AM431+AT431</f>
        <v/>
      </c>
      <c r="AY431" s="34">
        <f>AB431+AI431+AP431</f>
        <v/>
      </c>
      <c r="AZ431" s="34" t="n">
        <v>0</v>
      </c>
      <c r="BA431" s="34">
        <f>AD431+AK431+AR431</f>
        <v/>
      </c>
      <c r="BB431" s="34">
        <f>MAX(F431:G431,750)*0.05*BA431</f>
        <v/>
      </c>
      <c r="BC431" s="34">
        <f>AG431+AN431+AU431</f>
        <v/>
      </c>
      <c r="BD431" s="34">
        <f>MAX(F431:G431,750)*0.05*BC431</f>
        <v/>
      </c>
      <c r="BE431" s="34">
        <f>F431*AY431</f>
        <v/>
      </c>
      <c r="BF431" s="34">
        <f>K431-M431</f>
        <v/>
      </c>
      <c r="BG431" s="34">
        <f>P431-S431</f>
        <v/>
      </c>
      <c r="BH431" s="34">
        <f>W431-AA431</f>
        <v/>
      </c>
      <c r="BI431" s="34">
        <f>BF431+BG431+BL431-BN431</f>
        <v/>
      </c>
      <c r="BJ431" s="34">
        <f>ABS(BK431)</f>
        <v/>
      </c>
      <c r="BK431" s="34">
        <f>AY431-(J431-L431+N431-Q431)</f>
        <v/>
      </c>
      <c r="BL431" s="34">
        <f>IF(AND(BK431&gt;0,MIN($F431:$G431)&lt;150,$E431="Enerji Açığı"),-100*BK431*1.03,IF(AND(BK431&gt;0,MIN($F431:$G431)&lt;150,$E431="Enerji Fazlası"),-100*BK431*1.06,IF(AND(BK431&gt;0,MIN($F431:$G431)&gt;=150,$E431="Enerji Açığı"),BK431*MIN($F431:$G431)*0.97,IF(AND(BK431&gt;0,MIN($F431:$G431)&gt;=150,$E431="Enerji Fazlası"),BK431*MIN($F431:$G431)*0.94,IF(AND(BK431&lt;0,MAX($F431:$G431)=4500,$E431="Enerji Açığı"),4500*1.05*1.06*BK431,IF(AND(BK431&lt;0,MAX($F431:$G431)=4500,$E431="Enerji Fazlası"),4500*1.05*1.03*BK431,IF(AND(BK431&lt;0,$E431="Enerji Açığı"),MAX($F431,$G431,150)*BK431*1.06,IF(AND(BK431&lt;0,$E431="Enerji Fazlası"),MAX($F431,$G431,150)*BK431*1.03,IF(AND(BK431&lt;0,$E431="Dengede"),MAX($F431:$G431,150)*1.03*BK431,MIN($F431:$G431)*0.97*BK431)))))))))</f>
        <v/>
      </c>
      <c r="BM431" s="34">
        <f>BE431-BI431-BN431</f>
        <v/>
      </c>
      <c r="BN431" s="34">
        <f>BB431</f>
        <v/>
      </c>
      <c r="BO431" s="34">
        <f>BE431-BI431</f>
        <v/>
      </c>
      <c r="BP431" s="34">
        <f>IF(AY431=0,0,BO431/AY431)</f>
        <v/>
      </c>
      <c r="BQ431" s="34">
        <f>MAX((AY431+MAX((-J431+L431-N431+Q431),0)),(MAX((J431-L431+N431-Q431),0)))</f>
        <v/>
      </c>
      <c r="BR431" s="82">
        <f>IFERROR(ABS(BK431/BQ431),0)</f>
        <v/>
      </c>
      <c r="BS431" s="34">
        <f>IF(BR431&lt;=0.1,0,BK431/BR431*(BR431-0.1))</f>
        <v/>
      </c>
      <c r="BT431" s="34">
        <f>IF((BS431)&lt;0,MAX(F431:G431)*(BS431)*1.03,MIN(F431:G431)*(BS431)*0.97)</f>
        <v/>
      </c>
      <c r="BU431" s="34">
        <f>IF(BR431&gt;0.1,1,0)</f>
        <v/>
      </c>
      <c r="BV431" s="34">
        <f>BF431+BG431+BH431+BY431-CA431</f>
        <v/>
      </c>
      <c r="BW431" s="34">
        <f>ABS(BX431)</f>
        <v/>
      </c>
      <c r="BX431" s="34">
        <f>AY431-(J431-L431+N431-Q431+T431-X431)</f>
        <v/>
      </c>
      <c r="BY431" s="34">
        <f>IF(AND(BX431&gt;0,MIN($F431:$G431)&lt;150,$E431="Enerji Açığı"),-100*BX431*1.03,IF(AND(BX431&gt;0,MIN($F431:$G431)&lt;150,$E431="Enerji Fazlası"),-100*BX431*1.06,IF(AND(BX431&gt;0,MIN($F431:$G431)&gt;=150,$E431="Enerji Açığı"),BX431*MIN($F431:$G431)*0.97,IF(AND(BX431&gt;0,MIN($F431:$G431)&gt;=150,$E431="Enerji Fazlası"),BX431*MIN($F431:$G431)*0.94,IF(AND(BX431&lt;0,MAX($F431:$G431)=4500,$E431="Enerji Açığı"),4500*1.05*1.06*BX431,IF(AND(BX431&lt;0,MAX($F431:$G431)=4500,$E431="Enerji Fazlası"),4500*1.05*1.03*BX431,IF(AND(BX431&lt;0,$E431="Enerji Açığı"),MAX($F431,$G431,150)*BX431*1.06,IF(AND(BX431&lt;0,$E431="Enerji Fazlası"),MAX($F431,$G431,150)*BX431*1.03,IF(AND(BX431&lt;0,$E431="Dengede"),MAX($F431:$G431,150)*1.03*BX431,MIN($F431:$G431)*0.97*BX431)))))))))</f>
        <v/>
      </c>
      <c r="BZ431" s="34">
        <f>BE431-BV431-CA431</f>
        <v/>
      </c>
      <c r="CA431" s="34">
        <f>BD431</f>
        <v/>
      </c>
      <c r="CB431" s="33">
        <f>BE431-BV431</f>
        <v/>
      </c>
      <c r="CC431" s="34">
        <f>IF(AY431=0,0,CB431/AY431)</f>
        <v/>
      </c>
      <c r="CD431" s="34">
        <f>MAX((AY431+MAX((-J431+L431-N431+Q431-T431+X431),0)),(MAX((J431-L431+N431-Q431+T431-X431),0)))</f>
        <v/>
      </c>
      <c r="CE431" s="82">
        <f>IFERROR(ABS(BX431/CD431),0)</f>
        <v/>
      </c>
      <c r="CF431" s="34">
        <f>IF(CE431&lt;=0.1,0,BX431/CE431*(CE431-0.1))</f>
        <v/>
      </c>
      <c r="CG431" s="34">
        <f>IF((CF431)&lt;0,MAX(F431:G431)*(CF431)*1.03,MIN(F431:G431)*(CF431)*0.97)</f>
        <v/>
      </c>
      <c r="CH431" s="34">
        <f>IF(CE431&gt;0.1,1,0)</f>
        <v/>
      </c>
      <c r="CI431" s="34">
        <f>(F431*BX431)-BY431</f>
        <v/>
      </c>
      <c r="CJ431" s="34">
        <f>IF(AY431=0,0,CI431/AY431)</f>
        <v/>
      </c>
    </row>
    <row r="432">
      <c r="A432" s="29">
        <f>[1]FİYATLAR!A407</f>
        <v/>
      </c>
      <c r="B432" s="29">
        <f>[1]FİYATLAR!B407</f>
        <v/>
      </c>
      <c r="C432" s="35">
        <f>INT(A432)</f>
        <v/>
      </c>
      <c r="D432" s="36">
        <f>MONTH(A432)</f>
        <v/>
      </c>
      <c r="E432" s="147">
        <f>[1]FİYATLAR!G407</f>
        <v/>
      </c>
      <c r="F432" s="30">
        <f>[1]FİYATLAR!C407</f>
        <v/>
      </c>
      <c r="G432" s="30">
        <f>[1]FİYATLAR!E407</f>
        <v/>
      </c>
      <c r="H432" s="30">
        <f>[1]FİYATLAR!D407</f>
        <v/>
      </c>
      <c r="I432" s="30">
        <f>[1]FİYATLAR!F407</f>
        <v/>
      </c>
      <c r="J432" s="119" t="n">
        <v>0</v>
      </c>
      <c r="K432" s="34">
        <f>F432*J432</f>
        <v/>
      </c>
      <c r="L432" s="119" t="n"/>
      <c r="M432" s="34">
        <f>L432*F432</f>
        <v/>
      </c>
      <c r="N432" s="119" t="n"/>
      <c r="O432" s="34">
        <f>F432</f>
        <v/>
      </c>
      <c r="P432" s="34">
        <f>N432*O432</f>
        <v/>
      </c>
      <c r="Q432" s="117" t="n">
        <v>0</v>
      </c>
      <c r="R432" s="34">
        <f>F432</f>
        <v/>
      </c>
      <c r="S432" s="34">
        <f>R432*Q432</f>
        <v/>
      </c>
      <c r="T432" s="34">
        <f>SUMIFS('[1]GİP VERİLERİ'!$C:$C,'[1]GİP VERİLERİ'!$B:$B,A432,'[1]GİP VERİLERİ'!$M:$M,"40X000000104782K",'[1]GİP VERİLERİ'!$G:$G,"SELL")</f>
        <v/>
      </c>
      <c r="U432" s="34">
        <f>IFERROR(W432/T432,0)</f>
        <v/>
      </c>
      <c r="V432" s="34">
        <f>IF(U432=0,0,U432-F432)</f>
        <v/>
      </c>
      <c r="W432" s="34">
        <f>SUMIFS('[1]GİP VERİLERİ'!$O:$O,'[1]GİP VERİLERİ'!$B:$B,A432,'[1]GİP VERİLERİ'!$M:$M,"40X000000104782K",'[1]GİP VERİLERİ'!$G:$G,"SELL")</f>
        <v/>
      </c>
      <c r="X432" s="34">
        <f>SUMIFS('[1]GİP VERİLERİ'!$C:$C,'[1]GİP VERİLERİ'!$B:$B,A432,'[1]GİP VERİLERİ'!$M:$M,"40X000000104782K",'[1]GİP VERİLERİ'!$G:$G,"BUY")</f>
        <v/>
      </c>
      <c r="Y432" s="34">
        <f>IFERROR(AA432/X432,0)</f>
        <v/>
      </c>
      <c r="Z432" s="34">
        <f>IF(Y432=0,0,F432-Y432)</f>
        <v/>
      </c>
      <c r="AA432" s="34">
        <f>SUMIFS('[1]GİP VERİLERİ'!$O:$O,'[1]GİP VERİLERİ'!$B:$B,A432,'[1]GİP VERİLERİ'!$M:$M,"40X000000104782K",'[1]GİP VERİLERİ'!$G:$G,"BUY")</f>
        <v/>
      </c>
      <c r="AB432" s="34">
        <f>'[1]GÖP VERİLERİ'!H433</f>
        <v/>
      </c>
      <c r="AC432" s="34">
        <f>'[1]GÖP VERİLERİ'!I433</f>
        <v/>
      </c>
      <c r="AD432" s="34">
        <f>IF(AB432&gt;AC432*1.05,AB432-AC432*1.05,IF(AB432&lt;AC432*0.95,AC432*0.95-AB432,0))</f>
        <v/>
      </c>
      <c r="AE432" s="34">
        <f>MAX(F432,G432,750)*0.05*AD432</f>
        <v/>
      </c>
      <c r="AF432" s="34">
        <f>'[1]GÖP VERİLERİ'!J433</f>
        <v/>
      </c>
      <c r="AG432" s="34">
        <f>IF(AB432&gt;AF432*1.05,AB432-AF432*1.05,IF(AB432&lt;AF432*0.95,AF432*0.95-AB432,0))</f>
        <v/>
      </c>
      <c r="AH432" s="34">
        <f>MAX(I432,J432,750)*0.05*AG432</f>
        <v/>
      </c>
      <c r="AI432">
        <f>'[1]GÖP VERİLERİ'!E433</f>
        <v/>
      </c>
      <c r="AJ432">
        <f>'[1]GÖP VERİLERİ'!F433</f>
        <v/>
      </c>
      <c r="AK432" s="34">
        <f>IF(AI432&gt;AJ432*1.05,AI432-AJ432*1.05,IF(AI432&lt;AJ432*0.95,AJ432*0.95-AI432,0))</f>
        <v/>
      </c>
      <c r="AL432" s="34">
        <f>MAX(F432,G432,750)*0.05*AK432</f>
        <v/>
      </c>
      <c r="AM432" s="39">
        <f>'[1]GÖP VERİLERİ'!G433</f>
        <v/>
      </c>
      <c r="AN432" s="34">
        <f>IF(AI432&gt;AM432*1.05,AI432-AM432*1.05,IF(AI432&lt;AM432*0.95,AM432*0.95-AI432,0))</f>
        <v/>
      </c>
      <c r="AO432" s="34">
        <f>MAX(F432,G432,750)*0.05*AN432</f>
        <v/>
      </c>
      <c r="AP432" s="34">
        <f>'[1]GÖP VERİLERİ'!B433</f>
        <v/>
      </c>
      <c r="AQ432" s="34">
        <f>'[1]GÖP VERİLERİ'!C433</f>
        <v/>
      </c>
      <c r="AR432" s="34">
        <f>IF(AP432&gt;AQ432*1.05,AP432-AQ432*1.05,IF(AP432&lt;AQ432*0.95,AQ432*0.95-AP432,0))</f>
        <v/>
      </c>
      <c r="AS432" s="34">
        <f>MAX(F432:G432,750)*0.05*AR432</f>
        <v/>
      </c>
      <c r="AT432">
        <f>'[1]GÖP VERİLERİ'!D433</f>
        <v/>
      </c>
      <c r="AU432" s="34">
        <f>IF(AP432&gt;AT432*1.05,AP432-AT432*1.05,IF(AP432&lt;AT432*0.95,AT432*0.95-AP432,0))</f>
        <v/>
      </c>
      <c r="AV432" s="34">
        <f>MAX(F432:G432,750)*0.05*AU432</f>
        <v/>
      </c>
      <c r="AW432" s="34">
        <f>AC432+AJ432+AQ432</f>
        <v/>
      </c>
      <c r="AX432" s="34">
        <f>AF432+AM432+AT432</f>
        <v/>
      </c>
      <c r="AY432" s="34">
        <f>AB432+AI432+AP432</f>
        <v/>
      </c>
      <c r="AZ432" s="34" t="n">
        <v>0</v>
      </c>
      <c r="BA432" s="34">
        <f>AD432+AK432+AR432</f>
        <v/>
      </c>
      <c r="BB432" s="34">
        <f>MAX(F432:G432,750)*0.05*BA432</f>
        <v/>
      </c>
      <c r="BC432" s="34">
        <f>AG432+AN432+AU432</f>
        <v/>
      </c>
      <c r="BD432" s="34">
        <f>MAX(F432:G432,750)*0.05*BC432</f>
        <v/>
      </c>
      <c r="BE432" s="34">
        <f>F432*AY432</f>
        <v/>
      </c>
      <c r="BF432" s="34">
        <f>K432-M432</f>
        <v/>
      </c>
      <c r="BG432" s="34">
        <f>P432-S432</f>
        <v/>
      </c>
      <c r="BH432" s="34">
        <f>W432-AA432</f>
        <v/>
      </c>
      <c r="BI432" s="34">
        <f>BF432+BG432+BL432-BN432</f>
        <v/>
      </c>
      <c r="BJ432" s="34">
        <f>ABS(BK432)</f>
        <v/>
      </c>
      <c r="BK432" s="34">
        <f>AY432-(J432-L432+N432-Q432)</f>
        <v/>
      </c>
      <c r="BL432" s="34">
        <f>IF(AND(BK432&gt;0,MIN($F432:$G432)&lt;150,$E432="Enerji Açığı"),-100*BK432*1.03,IF(AND(BK432&gt;0,MIN($F432:$G432)&lt;150,$E432="Enerji Fazlası"),-100*BK432*1.06,IF(AND(BK432&gt;0,MIN($F432:$G432)&gt;=150,$E432="Enerji Açığı"),BK432*MIN($F432:$G432)*0.97,IF(AND(BK432&gt;0,MIN($F432:$G432)&gt;=150,$E432="Enerji Fazlası"),BK432*MIN($F432:$G432)*0.94,IF(AND(BK432&lt;0,MAX($F432:$G432)=4500,$E432="Enerji Açığı"),4500*1.05*1.06*BK432,IF(AND(BK432&lt;0,MAX($F432:$G432)=4500,$E432="Enerji Fazlası"),4500*1.05*1.03*BK432,IF(AND(BK432&lt;0,$E432="Enerji Açığı"),MAX($F432,$G432,150)*BK432*1.06,IF(AND(BK432&lt;0,$E432="Enerji Fazlası"),MAX($F432,$G432,150)*BK432*1.03,IF(AND(BK432&lt;0,$E432="Dengede"),MAX($F432:$G432,150)*1.03*BK432,MIN($F432:$G432)*0.97*BK432)))))))))</f>
        <v/>
      </c>
      <c r="BM432" s="34">
        <f>BE432-BI432-BN432</f>
        <v/>
      </c>
      <c r="BN432" s="34">
        <f>BB432</f>
        <v/>
      </c>
      <c r="BO432" s="34">
        <f>BE432-BI432</f>
        <v/>
      </c>
      <c r="BP432" s="34">
        <f>IF(AY432=0,0,BO432/AY432)</f>
        <v/>
      </c>
      <c r="BQ432" s="34">
        <f>MAX((AY432+MAX((-J432+L432-N432+Q432),0)),(MAX((J432-L432+N432-Q432),0)))</f>
        <v/>
      </c>
      <c r="BR432" s="82">
        <f>IFERROR(ABS(BK432/BQ432),0)</f>
        <v/>
      </c>
      <c r="BS432" s="34">
        <f>IF(BR432&lt;=0.1,0,BK432/BR432*(BR432-0.1))</f>
        <v/>
      </c>
      <c r="BT432" s="34">
        <f>IF((BS432)&lt;0,MAX(F432:G432)*(BS432)*1.03,MIN(F432:G432)*(BS432)*0.97)</f>
        <v/>
      </c>
      <c r="BU432" s="34">
        <f>IF(BR432&gt;0.1,1,0)</f>
        <v/>
      </c>
      <c r="BV432" s="34">
        <f>BF432+BG432+BH432+BY432-CA432</f>
        <v/>
      </c>
      <c r="BW432" s="34">
        <f>ABS(BX432)</f>
        <v/>
      </c>
      <c r="BX432" s="34">
        <f>AY432-(J432-L432+N432-Q432+T432-X432)</f>
        <v/>
      </c>
      <c r="BY432" s="34">
        <f>IF(AND(BX432&gt;0,MIN($F432:$G432)&lt;150,$E432="Enerji Açığı"),-100*BX432*1.03,IF(AND(BX432&gt;0,MIN($F432:$G432)&lt;150,$E432="Enerji Fazlası"),-100*BX432*1.06,IF(AND(BX432&gt;0,MIN($F432:$G432)&gt;=150,$E432="Enerji Açığı"),BX432*MIN($F432:$G432)*0.97,IF(AND(BX432&gt;0,MIN($F432:$G432)&gt;=150,$E432="Enerji Fazlası"),BX432*MIN($F432:$G432)*0.94,IF(AND(BX432&lt;0,MAX($F432:$G432)=4500,$E432="Enerji Açığı"),4500*1.05*1.06*BX432,IF(AND(BX432&lt;0,MAX($F432:$G432)=4500,$E432="Enerji Fazlası"),4500*1.05*1.03*BX432,IF(AND(BX432&lt;0,$E432="Enerji Açığı"),MAX($F432,$G432,150)*BX432*1.06,IF(AND(BX432&lt;0,$E432="Enerji Fazlası"),MAX($F432,$G432,150)*BX432*1.03,IF(AND(BX432&lt;0,$E432="Dengede"),MAX($F432:$G432,150)*1.03*BX432,MIN($F432:$G432)*0.97*BX432)))))))))</f>
        <v/>
      </c>
      <c r="BZ432" s="34">
        <f>BE432-BV432-CA432</f>
        <v/>
      </c>
      <c r="CA432" s="34">
        <f>BD432</f>
        <v/>
      </c>
      <c r="CB432" s="33">
        <f>BE432-BV432</f>
        <v/>
      </c>
      <c r="CC432" s="34">
        <f>IF(AY432=0,0,CB432/AY432)</f>
        <v/>
      </c>
      <c r="CD432" s="34">
        <f>MAX((AY432+MAX((-J432+L432-N432+Q432-T432+X432),0)),(MAX((J432-L432+N432-Q432+T432-X432),0)))</f>
        <v/>
      </c>
      <c r="CE432" s="82">
        <f>IFERROR(ABS(BX432/CD432),0)</f>
        <v/>
      </c>
      <c r="CF432" s="34">
        <f>IF(CE432&lt;=0.1,0,BX432/CE432*(CE432-0.1))</f>
        <v/>
      </c>
      <c r="CG432" s="34">
        <f>IF((CF432)&lt;0,MAX(F432:G432)*(CF432)*1.03,MIN(F432:G432)*(CF432)*0.97)</f>
        <v/>
      </c>
      <c r="CH432" s="34">
        <f>IF(CE432&gt;0.1,1,0)</f>
        <v/>
      </c>
      <c r="CI432" s="34">
        <f>(F432*BX432)-BY432</f>
        <v/>
      </c>
      <c r="CJ432" s="34">
        <f>IF(AY432=0,0,CI432/AY432)</f>
        <v/>
      </c>
    </row>
    <row r="433">
      <c r="A433" s="29">
        <f>[1]FİYATLAR!A408</f>
        <v/>
      </c>
      <c r="B433" s="29">
        <f>[1]FİYATLAR!B408</f>
        <v/>
      </c>
      <c r="C433" s="35">
        <f>INT(A433)</f>
        <v/>
      </c>
      <c r="D433" s="36">
        <f>MONTH(A433)</f>
        <v/>
      </c>
      <c r="E433" s="147">
        <f>[1]FİYATLAR!G408</f>
        <v/>
      </c>
      <c r="F433" s="30">
        <f>[1]FİYATLAR!C408</f>
        <v/>
      </c>
      <c r="G433" s="30">
        <f>[1]FİYATLAR!E408</f>
        <v/>
      </c>
      <c r="H433" s="30">
        <f>[1]FİYATLAR!D408</f>
        <v/>
      </c>
      <c r="I433" s="30">
        <f>[1]FİYATLAR!F408</f>
        <v/>
      </c>
      <c r="J433" s="119" t="n">
        <v>0</v>
      </c>
      <c r="K433" s="34">
        <f>F433*J433</f>
        <v/>
      </c>
      <c r="L433" s="119" t="n"/>
      <c r="M433" s="34">
        <f>L433*F433</f>
        <v/>
      </c>
      <c r="N433" s="119" t="n"/>
      <c r="O433" s="34">
        <f>F433</f>
        <v/>
      </c>
      <c r="P433" s="34">
        <f>N433*O433</f>
        <v/>
      </c>
      <c r="Q433" s="117" t="n">
        <v>0</v>
      </c>
      <c r="R433" s="34">
        <f>F433</f>
        <v/>
      </c>
      <c r="S433" s="34">
        <f>R433*Q433</f>
        <v/>
      </c>
      <c r="T433" s="34">
        <f>SUMIFS('[1]GİP VERİLERİ'!$C:$C,'[1]GİP VERİLERİ'!$B:$B,A433,'[1]GİP VERİLERİ'!$M:$M,"40X000000104782K",'[1]GİP VERİLERİ'!$G:$G,"SELL")</f>
        <v/>
      </c>
      <c r="U433" s="34">
        <f>IFERROR(W433/T433,0)</f>
        <v/>
      </c>
      <c r="V433" s="34">
        <f>IF(U433=0,0,U433-F433)</f>
        <v/>
      </c>
      <c r="W433" s="34">
        <f>SUMIFS('[1]GİP VERİLERİ'!$O:$O,'[1]GİP VERİLERİ'!$B:$B,A433,'[1]GİP VERİLERİ'!$M:$M,"40X000000104782K",'[1]GİP VERİLERİ'!$G:$G,"SELL")</f>
        <v/>
      </c>
      <c r="X433" s="34">
        <f>SUMIFS('[1]GİP VERİLERİ'!$C:$C,'[1]GİP VERİLERİ'!$B:$B,A433,'[1]GİP VERİLERİ'!$M:$M,"40X000000104782K",'[1]GİP VERİLERİ'!$G:$G,"BUY")</f>
        <v/>
      </c>
      <c r="Y433" s="34">
        <f>IFERROR(AA433/X433,0)</f>
        <v/>
      </c>
      <c r="Z433" s="34">
        <f>IF(Y433=0,0,F433-Y433)</f>
        <v/>
      </c>
      <c r="AA433" s="34">
        <f>SUMIFS('[1]GİP VERİLERİ'!$O:$O,'[1]GİP VERİLERİ'!$B:$B,A433,'[1]GİP VERİLERİ'!$M:$M,"40X000000104782K",'[1]GİP VERİLERİ'!$G:$G,"BUY")</f>
        <v/>
      </c>
      <c r="AB433" s="34">
        <f>'[1]GÖP VERİLERİ'!H434</f>
        <v/>
      </c>
      <c r="AC433" s="34">
        <f>'[1]GÖP VERİLERİ'!I434</f>
        <v/>
      </c>
      <c r="AD433" s="34">
        <f>IF(AB433&gt;AC433*1.05,AB433-AC433*1.05,IF(AB433&lt;AC433*0.95,AC433*0.95-AB433,0))</f>
        <v/>
      </c>
      <c r="AE433" s="34">
        <f>MAX(F433,G433,750)*0.05*AD433</f>
        <v/>
      </c>
      <c r="AF433" s="34">
        <f>'[1]GÖP VERİLERİ'!J434</f>
        <v/>
      </c>
      <c r="AG433" s="34">
        <f>IF(AB433&gt;AF433*1.05,AB433-AF433*1.05,IF(AB433&lt;AF433*0.95,AF433*0.95-AB433,0))</f>
        <v/>
      </c>
      <c r="AH433" s="34">
        <f>MAX(I433,J433,750)*0.05*AG433</f>
        <v/>
      </c>
      <c r="AI433">
        <f>'[1]GÖP VERİLERİ'!E434</f>
        <v/>
      </c>
      <c r="AJ433">
        <f>'[1]GÖP VERİLERİ'!F434</f>
        <v/>
      </c>
      <c r="AK433" s="34">
        <f>IF(AI433&gt;AJ433*1.05,AI433-AJ433*1.05,IF(AI433&lt;AJ433*0.95,AJ433*0.95-AI433,0))</f>
        <v/>
      </c>
      <c r="AL433" s="34">
        <f>MAX(F433,G433,750)*0.05*AK433</f>
        <v/>
      </c>
      <c r="AM433" s="39">
        <f>'[1]GÖP VERİLERİ'!G434</f>
        <v/>
      </c>
      <c r="AN433" s="34">
        <f>IF(AI433&gt;AM433*1.05,AI433-AM433*1.05,IF(AI433&lt;AM433*0.95,AM433*0.95-AI433,0))</f>
        <v/>
      </c>
      <c r="AO433" s="34">
        <f>MAX(F433,G433,750)*0.05*AN433</f>
        <v/>
      </c>
      <c r="AP433" s="34">
        <f>'[1]GÖP VERİLERİ'!B434</f>
        <v/>
      </c>
      <c r="AQ433" s="34">
        <f>'[1]GÖP VERİLERİ'!C434</f>
        <v/>
      </c>
      <c r="AR433" s="34">
        <f>IF(AP433&gt;AQ433*1.05,AP433-AQ433*1.05,IF(AP433&lt;AQ433*0.95,AQ433*0.95-AP433,0))</f>
        <v/>
      </c>
      <c r="AS433" s="34">
        <f>MAX(F433:G433,750)*0.05*AR433</f>
        <v/>
      </c>
      <c r="AT433">
        <f>'[1]GÖP VERİLERİ'!D434</f>
        <v/>
      </c>
      <c r="AU433" s="34">
        <f>IF(AP433&gt;AT433*1.05,AP433-AT433*1.05,IF(AP433&lt;AT433*0.95,AT433*0.95-AP433,0))</f>
        <v/>
      </c>
      <c r="AV433" s="34">
        <f>MAX(F433:G433,750)*0.05*AU433</f>
        <v/>
      </c>
      <c r="AW433" s="34">
        <f>AC433+AJ433+AQ433</f>
        <v/>
      </c>
      <c r="AX433" s="34">
        <f>AF433+AM433+AT433</f>
        <v/>
      </c>
      <c r="AY433" s="34">
        <f>AB433+AI433+AP433</f>
        <v/>
      </c>
      <c r="AZ433" s="34" t="n">
        <v>0</v>
      </c>
      <c r="BA433" s="34">
        <f>AD433+AK433+AR433</f>
        <v/>
      </c>
      <c r="BB433" s="34">
        <f>MAX(F433:G433,750)*0.05*BA433</f>
        <v/>
      </c>
      <c r="BC433" s="34">
        <f>AG433+AN433+AU433</f>
        <v/>
      </c>
      <c r="BD433" s="34">
        <f>MAX(F433:G433,750)*0.05*BC433</f>
        <v/>
      </c>
      <c r="BE433" s="34">
        <f>F433*AY433</f>
        <v/>
      </c>
      <c r="BF433" s="34">
        <f>K433-M433</f>
        <v/>
      </c>
      <c r="BG433" s="34">
        <f>P433-S433</f>
        <v/>
      </c>
      <c r="BH433" s="34">
        <f>W433-AA433</f>
        <v/>
      </c>
      <c r="BI433" s="34">
        <f>BF433+BG433+BL433-BN433</f>
        <v/>
      </c>
      <c r="BJ433" s="34">
        <f>ABS(BK433)</f>
        <v/>
      </c>
      <c r="BK433" s="34">
        <f>AY433-(J433-L433+N433-Q433)</f>
        <v/>
      </c>
      <c r="BL433" s="34">
        <f>IF(AND(BK433&gt;0,MIN($F433:$G433)&lt;150,$E433="Enerji Açığı"),-100*BK433*1.03,IF(AND(BK433&gt;0,MIN($F433:$G433)&lt;150,$E433="Enerji Fazlası"),-100*BK433*1.06,IF(AND(BK433&gt;0,MIN($F433:$G433)&gt;=150,$E433="Enerji Açığı"),BK433*MIN($F433:$G433)*0.97,IF(AND(BK433&gt;0,MIN($F433:$G433)&gt;=150,$E433="Enerji Fazlası"),BK433*MIN($F433:$G433)*0.94,IF(AND(BK433&lt;0,MAX($F433:$G433)=4500,$E433="Enerji Açığı"),4500*1.05*1.06*BK433,IF(AND(BK433&lt;0,MAX($F433:$G433)=4500,$E433="Enerji Fazlası"),4500*1.05*1.03*BK433,IF(AND(BK433&lt;0,$E433="Enerji Açığı"),MAX($F433,$G433,150)*BK433*1.06,IF(AND(BK433&lt;0,$E433="Enerji Fazlası"),MAX($F433,$G433,150)*BK433*1.03,IF(AND(BK433&lt;0,$E433="Dengede"),MAX($F433:$G433,150)*1.03*BK433,MIN($F433:$G433)*0.97*BK433)))))))))</f>
        <v/>
      </c>
      <c r="BM433" s="34">
        <f>BE433-BI433-BN433</f>
        <v/>
      </c>
      <c r="BN433" s="34">
        <f>BB433</f>
        <v/>
      </c>
      <c r="BO433" s="34">
        <f>BE433-BI433</f>
        <v/>
      </c>
      <c r="BP433" s="34">
        <f>IF(AY433=0,0,BO433/AY433)</f>
        <v/>
      </c>
      <c r="BQ433" s="34">
        <f>MAX((AY433+MAX((-J433+L433-N433+Q433),0)),(MAX((J433-L433+N433-Q433),0)))</f>
        <v/>
      </c>
      <c r="BR433" s="82">
        <f>IFERROR(ABS(BK433/BQ433),0)</f>
        <v/>
      </c>
      <c r="BS433" s="34">
        <f>IF(BR433&lt;=0.1,0,BK433/BR433*(BR433-0.1))</f>
        <v/>
      </c>
      <c r="BT433" s="34">
        <f>IF((BS433)&lt;0,MAX(F433:G433)*(BS433)*1.03,MIN(F433:G433)*(BS433)*0.97)</f>
        <v/>
      </c>
      <c r="BU433" s="34">
        <f>IF(BR433&gt;0.1,1,0)</f>
        <v/>
      </c>
      <c r="BV433" s="34">
        <f>BF433+BG433+BH433+BY433-CA433</f>
        <v/>
      </c>
      <c r="BW433" s="34">
        <f>ABS(BX433)</f>
        <v/>
      </c>
      <c r="BX433" s="34">
        <f>AY433-(J433-L433+N433-Q433+T433-X433)</f>
        <v/>
      </c>
      <c r="BY433" s="34">
        <f>IF(AND(BX433&gt;0,MIN($F433:$G433)&lt;150,$E433="Enerji Açığı"),-100*BX433*1.03,IF(AND(BX433&gt;0,MIN($F433:$G433)&lt;150,$E433="Enerji Fazlası"),-100*BX433*1.06,IF(AND(BX433&gt;0,MIN($F433:$G433)&gt;=150,$E433="Enerji Açığı"),BX433*MIN($F433:$G433)*0.97,IF(AND(BX433&gt;0,MIN($F433:$G433)&gt;=150,$E433="Enerji Fazlası"),BX433*MIN($F433:$G433)*0.94,IF(AND(BX433&lt;0,MAX($F433:$G433)=4500,$E433="Enerji Açığı"),4500*1.05*1.06*BX433,IF(AND(BX433&lt;0,MAX($F433:$G433)=4500,$E433="Enerji Fazlası"),4500*1.05*1.03*BX433,IF(AND(BX433&lt;0,$E433="Enerji Açığı"),MAX($F433,$G433,150)*BX433*1.06,IF(AND(BX433&lt;0,$E433="Enerji Fazlası"),MAX($F433,$G433,150)*BX433*1.03,IF(AND(BX433&lt;0,$E433="Dengede"),MAX($F433:$G433,150)*1.03*BX433,MIN($F433:$G433)*0.97*BX433)))))))))</f>
        <v/>
      </c>
      <c r="BZ433" s="34">
        <f>BE433-BV433-CA433</f>
        <v/>
      </c>
      <c r="CA433" s="34">
        <f>BD433</f>
        <v/>
      </c>
      <c r="CB433" s="33">
        <f>BE433-BV433</f>
        <v/>
      </c>
      <c r="CC433" s="34">
        <f>IF(AY433=0,0,CB433/AY433)</f>
        <v/>
      </c>
      <c r="CD433" s="34">
        <f>MAX((AY433+MAX((-J433+L433-N433+Q433-T433+X433),0)),(MAX((J433-L433+N433-Q433+T433-X433),0)))</f>
        <v/>
      </c>
      <c r="CE433" s="82">
        <f>IFERROR(ABS(BX433/CD433),0)</f>
        <v/>
      </c>
      <c r="CF433" s="34">
        <f>IF(CE433&lt;=0.1,0,BX433/CE433*(CE433-0.1))</f>
        <v/>
      </c>
      <c r="CG433" s="34">
        <f>IF((CF433)&lt;0,MAX(F433:G433)*(CF433)*1.03,MIN(F433:G433)*(CF433)*0.97)</f>
        <v/>
      </c>
      <c r="CH433" s="34">
        <f>IF(CE433&gt;0.1,1,0)</f>
        <v/>
      </c>
      <c r="CI433" s="34">
        <f>(F433*BX433)-BY433</f>
        <v/>
      </c>
      <c r="CJ433" s="34">
        <f>IF(AY433=0,0,CI433/AY433)</f>
        <v/>
      </c>
    </row>
    <row r="434">
      <c r="A434" s="29">
        <f>[1]FİYATLAR!A409</f>
        <v/>
      </c>
      <c r="B434" s="29">
        <f>[1]FİYATLAR!B409</f>
        <v/>
      </c>
      <c r="C434" s="35">
        <f>INT(A434)</f>
        <v/>
      </c>
      <c r="D434" s="36">
        <f>MONTH(A434)</f>
        <v/>
      </c>
      <c r="E434" s="147">
        <f>[1]FİYATLAR!G409</f>
        <v/>
      </c>
      <c r="F434" s="30">
        <f>[1]FİYATLAR!C409</f>
        <v/>
      </c>
      <c r="G434" s="30">
        <f>[1]FİYATLAR!E409</f>
        <v/>
      </c>
      <c r="H434" s="30">
        <f>[1]FİYATLAR!D409</f>
        <v/>
      </c>
      <c r="I434" s="30">
        <f>[1]FİYATLAR!F409</f>
        <v/>
      </c>
      <c r="J434" s="119" t="n">
        <v>0</v>
      </c>
      <c r="K434" s="34">
        <f>F434*J434</f>
        <v/>
      </c>
      <c r="L434" s="119" t="n"/>
      <c r="M434" s="34">
        <f>L434*F434</f>
        <v/>
      </c>
      <c r="N434" s="119" t="n"/>
      <c r="O434" s="34">
        <f>F434</f>
        <v/>
      </c>
      <c r="P434" s="34">
        <f>N434*O434</f>
        <v/>
      </c>
      <c r="Q434" s="117" t="n">
        <v>0</v>
      </c>
      <c r="R434" s="34">
        <f>F434</f>
        <v/>
      </c>
      <c r="S434" s="34">
        <f>R434*Q434</f>
        <v/>
      </c>
      <c r="T434" s="34">
        <f>SUMIFS('[1]GİP VERİLERİ'!$C:$C,'[1]GİP VERİLERİ'!$B:$B,A434,'[1]GİP VERİLERİ'!$M:$M,"40X000000104782K",'[1]GİP VERİLERİ'!$G:$G,"SELL")</f>
        <v/>
      </c>
      <c r="U434" s="34">
        <f>IFERROR(W434/T434,0)</f>
        <v/>
      </c>
      <c r="V434" s="34">
        <f>IF(U434=0,0,U434-F434)</f>
        <v/>
      </c>
      <c r="W434" s="34">
        <f>SUMIFS('[1]GİP VERİLERİ'!$O:$O,'[1]GİP VERİLERİ'!$B:$B,A434,'[1]GİP VERİLERİ'!$M:$M,"40X000000104782K",'[1]GİP VERİLERİ'!$G:$G,"SELL")</f>
        <v/>
      </c>
      <c r="X434" s="34">
        <f>SUMIFS('[1]GİP VERİLERİ'!$C:$C,'[1]GİP VERİLERİ'!$B:$B,A434,'[1]GİP VERİLERİ'!$M:$M,"40X000000104782K",'[1]GİP VERİLERİ'!$G:$G,"BUY")</f>
        <v/>
      </c>
      <c r="Y434" s="34">
        <f>IFERROR(AA434/X434,0)</f>
        <v/>
      </c>
      <c r="Z434" s="34">
        <f>IF(Y434=0,0,F434-Y434)</f>
        <v/>
      </c>
      <c r="AA434" s="34">
        <f>SUMIFS('[1]GİP VERİLERİ'!$O:$O,'[1]GİP VERİLERİ'!$B:$B,A434,'[1]GİP VERİLERİ'!$M:$M,"40X000000104782K",'[1]GİP VERİLERİ'!$G:$G,"BUY")</f>
        <v/>
      </c>
      <c r="AB434" s="34">
        <f>'[1]GÖP VERİLERİ'!H435</f>
        <v/>
      </c>
      <c r="AC434" s="34">
        <f>'[1]GÖP VERİLERİ'!I435</f>
        <v/>
      </c>
      <c r="AD434" s="34">
        <f>IF(AB434&gt;AC434*1.05,AB434-AC434*1.05,IF(AB434&lt;AC434*0.95,AC434*0.95-AB434,0))</f>
        <v/>
      </c>
      <c r="AE434" s="34">
        <f>MAX(F434,G434,750)*0.05*AD434</f>
        <v/>
      </c>
      <c r="AF434" s="34">
        <f>'[1]GÖP VERİLERİ'!J435</f>
        <v/>
      </c>
      <c r="AG434" s="34">
        <f>IF(AB434&gt;AF434*1.05,AB434-AF434*1.05,IF(AB434&lt;AF434*0.95,AF434*0.95-AB434,0))</f>
        <v/>
      </c>
      <c r="AH434" s="34">
        <f>MAX(I434,J434,750)*0.05*AG434</f>
        <v/>
      </c>
      <c r="AI434">
        <f>'[1]GÖP VERİLERİ'!E435</f>
        <v/>
      </c>
      <c r="AJ434">
        <f>'[1]GÖP VERİLERİ'!F435</f>
        <v/>
      </c>
      <c r="AK434" s="34">
        <f>IF(AI434&gt;AJ434*1.05,AI434-AJ434*1.05,IF(AI434&lt;AJ434*0.95,AJ434*0.95-AI434,0))</f>
        <v/>
      </c>
      <c r="AL434" s="34">
        <f>MAX(F434,G434,750)*0.05*AK434</f>
        <v/>
      </c>
      <c r="AM434" s="39">
        <f>'[1]GÖP VERİLERİ'!G435</f>
        <v/>
      </c>
      <c r="AN434" s="34">
        <f>IF(AI434&gt;AM434*1.05,AI434-AM434*1.05,IF(AI434&lt;AM434*0.95,AM434*0.95-AI434,0))</f>
        <v/>
      </c>
      <c r="AO434" s="34">
        <f>MAX(F434,G434,750)*0.05*AN434</f>
        <v/>
      </c>
      <c r="AP434" s="34">
        <f>'[1]GÖP VERİLERİ'!B435</f>
        <v/>
      </c>
      <c r="AQ434" s="34">
        <f>'[1]GÖP VERİLERİ'!C435</f>
        <v/>
      </c>
      <c r="AR434" s="34">
        <f>IF(AP434&gt;AQ434*1.05,AP434-AQ434*1.05,IF(AP434&lt;AQ434*0.95,AQ434*0.95-AP434,0))</f>
        <v/>
      </c>
      <c r="AS434" s="34">
        <f>MAX(F434:G434,750)*0.05*AR434</f>
        <v/>
      </c>
      <c r="AT434">
        <f>'[1]GÖP VERİLERİ'!D435</f>
        <v/>
      </c>
      <c r="AU434" s="34">
        <f>IF(AP434&gt;AT434*1.05,AP434-AT434*1.05,IF(AP434&lt;AT434*0.95,AT434*0.95-AP434,0))</f>
        <v/>
      </c>
      <c r="AV434" s="34">
        <f>MAX(F434:G434,750)*0.05*AU434</f>
        <v/>
      </c>
      <c r="AW434" s="34">
        <f>AC434+AJ434+AQ434</f>
        <v/>
      </c>
      <c r="AX434" s="34">
        <f>AF434+AM434+AT434</f>
        <v/>
      </c>
      <c r="AY434" s="34">
        <f>AB434+AI434+AP434</f>
        <v/>
      </c>
      <c r="AZ434" s="34" t="n">
        <v>0</v>
      </c>
      <c r="BA434" s="34">
        <f>AD434+AK434+AR434</f>
        <v/>
      </c>
      <c r="BB434" s="34">
        <f>MAX(F434:G434,750)*0.05*BA434</f>
        <v/>
      </c>
      <c r="BC434" s="34">
        <f>AG434+AN434+AU434</f>
        <v/>
      </c>
      <c r="BD434" s="34">
        <f>MAX(F434:G434,750)*0.05*BC434</f>
        <v/>
      </c>
      <c r="BE434" s="34">
        <f>F434*AY434</f>
        <v/>
      </c>
      <c r="BF434" s="34">
        <f>K434-M434</f>
        <v/>
      </c>
      <c r="BG434" s="34">
        <f>P434-S434</f>
        <v/>
      </c>
      <c r="BH434" s="34">
        <f>W434-AA434</f>
        <v/>
      </c>
      <c r="BI434" s="34">
        <f>BF434+BG434+BL434-BN434</f>
        <v/>
      </c>
      <c r="BJ434" s="34">
        <f>ABS(BK434)</f>
        <v/>
      </c>
      <c r="BK434" s="34">
        <f>AY434-(J434-L434+N434-Q434)</f>
        <v/>
      </c>
      <c r="BL434" s="34">
        <f>IF(AND(BK434&gt;0,MIN($F434:$G434)&lt;150,$E434="Enerji Açığı"),-100*BK434*1.03,IF(AND(BK434&gt;0,MIN($F434:$G434)&lt;150,$E434="Enerji Fazlası"),-100*BK434*1.06,IF(AND(BK434&gt;0,MIN($F434:$G434)&gt;=150,$E434="Enerji Açığı"),BK434*MIN($F434:$G434)*0.97,IF(AND(BK434&gt;0,MIN($F434:$G434)&gt;=150,$E434="Enerji Fazlası"),BK434*MIN($F434:$G434)*0.94,IF(AND(BK434&lt;0,MAX($F434:$G434)=4500,$E434="Enerji Açığı"),4500*1.05*1.06*BK434,IF(AND(BK434&lt;0,MAX($F434:$G434)=4500,$E434="Enerji Fazlası"),4500*1.05*1.03*BK434,IF(AND(BK434&lt;0,$E434="Enerji Açığı"),MAX($F434,$G434,150)*BK434*1.06,IF(AND(BK434&lt;0,$E434="Enerji Fazlası"),MAX($F434,$G434,150)*BK434*1.03,IF(AND(BK434&lt;0,$E434="Dengede"),MAX($F434:$G434,150)*1.03*BK434,MIN($F434:$G434)*0.97*BK434)))))))))</f>
        <v/>
      </c>
      <c r="BM434" s="34">
        <f>BE434-BI434-BN434</f>
        <v/>
      </c>
      <c r="BN434" s="34">
        <f>BB434</f>
        <v/>
      </c>
      <c r="BO434" s="34">
        <f>BE434-BI434</f>
        <v/>
      </c>
      <c r="BP434" s="34">
        <f>IF(AY434=0,0,BO434/AY434)</f>
        <v/>
      </c>
      <c r="BQ434" s="34">
        <f>MAX((AY434+MAX((-J434+L434-N434+Q434),0)),(MAX((J434-L434+N434-Q434),0)))</f>
        <v/>
      </c>
      <c r="BR434" s="82">
        <f>IFERROR(ABS(BK434/BQ434),0)</f>
        <v/>
      </c>
      <c r="BS434" s="34">
        <f>IF(BR434&lt;=0.1,0,BK434/BR434*(BR434-0.1))</f>
        <v/>
      </c>
      <c r="BT434" s="34">
        <f>IF((BS434)&lt;0,MAX(F434:G434)*(BS434)*1.03,MIN(F434:G434)*(BS434)*0.97)</f>
        <v/>
      </c>
      <c r="BU434" s="34">
        <f>IF(BR434&gt;0.1,1,0)</f>
        <v/>
      </c>
      <c r="BV434" s="34">
        <f>BF434+BG434+BH434+BY434-CA434</f>
        <v/>
      </c>
      <c r="BW434" s="34">
        <f>ABS(BX434)</f>
        <v/>
      </c>
      <c r="BX434" s="34">
        <f>AY434-(J434-L434+N434-Q434+T434-X434)</f>
        <v/>
      </c>
      <c r="BY434" s="34">
        <f>IF(AND(BX434&gt;0,MIN($F434:$G434)&lt;150,$E434="Enerji Açığı"),-100*BX434*1.03,IF(AND(BX434&gt;0,MIN($F434:$G434)&lt;150,$E434="Enerji Fazlası"),-100*BX434*1.06,IF(AND(BX434&gt;0,MIN($F434:$G434)&gt;=150,$E434="Enerji Açığı"),BX434*MIN($F434:$G434)*0.97,IF(AND(BX434&gt;0,MIN($F434:$G434)&gt;=150,$E434="Enerji Fazlası"),BX434*MIN($F434:$G434)*0.94,IF(AND(BX434&lt;0,MAX($F434:$G434)=4500,$E434="Enerji Açığı"),4500*1.05*1.06*BX434,IF(AND(BX434&lt;0,MAX($F434:$G434)=4500,$E434="Enerji Fazlası"),4500*1.05*1.03*BX434,IF(AND(BX434&lt;0,$E434="Enerji Açığı"),MAX($F434,$G434,150)*BX434*1.06,IF(AND(BX434&lt;0,$E434="Enerji Fazlası"),MAX($F434,$G434,150)*BX434*1.03,IF(AND(BX434&lt;0,$E434="Dengede"),MAX($F434:$G434,150)*1.03*BX434,MIN($F434:$G434)*0.97*BX434)))))))))</f>
        <v/>
      </c>
      <c r="BZ434" s="34">
        <f>BE434-BV434-CA434</f>
        <v/>
      </c>
      <c r="CA434" s="34">
        <f>BD434</f>
        <v/>
      </c>
      <c r="CB434" s="33">
        <f>BE434-BV434</f>
        <v/>
      </c>
      <c r="CC434" s="34">
        <f>IF(AY434=0,0,CB434/AY434)</f>
        <v/>
      </c>
      <c r="CD434" s="34">
        <f>MAX((AY434+MAX((-J434+L434-N434+Q434-T434+X434),0)),(MAX((J434-L434+N434-Q434+T434-X434),0)))</f>
        <v/>
      </c>
      <c r="CE434" s="82">
        <f>IFERROR(ABS(BX434/CD434),0)</f>
        <v/>
      </c>
      <c r="CF434" s="34">
        <f>IF(CE434&lt;=0.1,0,BX434/CE434*(CE434-0.1))</f>
        <v/>
      </c>
      <c r="CG434" s="34">
        <f>IF((CF434)&lt;0,MAX(F434:G434)*(CF434)*1.03,MIN(F434:G434)*(CF434)*0.97)</f>
        <v/>
      </c>
      <c r="CH434" s="34">
        <f>IF(CE434&gt;0.1,1,0)</f>
        <v/>
      </c>
      <c r="CI434" s="34">
        <f>(F434*BX434)-BY434</f>
        <v/>
      </c>
      <c r="CJ434" s="34">
        <f>IF(AY434=0,0,CI434/AY434)</f>
        <v/>
      </c>
    </row>
    <row r="435">
      <c r="A435" s="29">
        <f>[1]FİYATLAR!A410</f>
        <v/>
      </c>
      <c r="B435" s="29">
        <f>[1]FİYATLAR!B410</f>
        <v/>
      </c>
      <c r="C435" s="35">
        <f>INT(A435)</f>
        <v/>
      </c>
      <c r="D435" s="36">
        <f>MONTH(A435)</f>
        <v/>
      </c>
      <c r="E435" s="147">
        <f>[1]FİYATLAR!G410</f>
        <v/>
      </c>
      <c r="F435" s="30">
        <f>[1]FİYATLAR!C410</f>
        <v/>
      </c>
      <c r="G435" s="30">
        <f>[1]FİYATLAR!E410</f>
        <v/>
      </c>
      <c r="H435" s="30">
        <f>[1]FİYATLAR!D410</f>
        <v/>
      </c>
      <c r="I435" s="30">
        <f>[1]FİYATLAR!F410</f>
        <v/>
      </c>
      <c r="J435" s="119" t="n">
        <v>0</v>
      </c>
      <c r="K435" s="34">
        <f>F435*J435</f>
        <v/>
      </c>
      <c r="L435" s="119" t="n"/>
      <c r="M435" s="34">
        <f>L435*F435</f>
        <v/>
      </c>
      <c r="N435" s="119" t="n"/>
      <c r="O435" s="34">
        <f>F435</f>
        <v/>
      </c>
      <c r="P435" s="34">
        <f>N435*O435</f>
        <v/>
      </c>
      <c r="Q435" s="117" t="n">
        <v>0</v>
      </c>
      <c r="R435" s="34">
        <f>F435</f>
        <v/>
      </c>
      <c r="S435" s="34">
        <f>R435*Q435</f>
        <v/>
      </c>
      <c r="T435" s="34">
        <f>SUMIFS('[1]GİP VERİLERİ'!$C:$C,'[1]GİP VERİLERİ'!$B:$B,A435,'[1]GİP VERİLERİ'!$M:$M,"40X000000104782K",'[1]GİP VERİLERİ'!$G:$G,"SELL")</f>
        <v/>
      </c>
      <c r="U435" s="34">
        <f>IFERROR(W435/T435,0)</f>
        <v/>
      </c>
      <c r="V435" s="34">
        <f>IF(U435=0,0,U435-F435)</f>
        <v/>
      </c>
      <c r="W435" s="34">
        <f>SUMIFS('[1]GİP VERİLERİ'!$O:$O,'[1]GİP VERİLERİ'!$B:$B,A435,'[1]GİP VERİLERİ'!$M:$M,"40X000000104782K",'[1]GİP VERİLERİ'!$G:$G,"SELL")</f>
        <v/>
      </c>
      <c r="X435" s="34">
        <f>SUMIFS('[1]GİP VERİLERİ'!$C:$C,'[1]GİP VERİLERİ'!$B:$B,A435,'[1]GİP VERİLERİ'!$M:$M,"40X000000104782K",'[1]GİP VERİLERİ'!$G:$G,"BUY")</f>
        <v/>
      </c>
      <c r="Y435" s="34">
        <f>IFERROR(AA435/X435,0)</f>
        <v/>
      </c>
      <c r="Z435" s="34">
        <f>IF(Y435=0,0,F435-Y435)</f>
        <v/>
      </c>
      <c r="AA435" s="34">
        <f>SUMIFS('[1]GİP VERİLERİ'!$O:$O,'[1]GİP VERİLERİ'!$B:$B,A435,'[1]GİP VERİLERİ'!$M:$M,"40X000000104782K",'[1]GİP VERİLERİ'!$G:$G,"BUY")</f>
        <v/>
      </c>
      <c r="AB435" s="34">
        <f>'[1]GÖP VERİLERİ'!H436</f>
        <v/>
      </c>
      <c r="AC435" s="34">
        <f>'[1]GÖP VERİLERİ'!I436</f>
        <v/>
      </c>
      <c r="AD435" s="34">
        <f>IF(AB435&gt;AC435*1.05,AB435-AC435*1.05,IF(AB435&lt;AC435*0.95,AC435*0.95-AB435,0))</f>
        <v/>
      </c>
      <c r="AE435" s="34">
        <f>MAX(F435,G435,750)*0.05*AD435</f>
        <v/>
      </c>
      <c r="AF435" s="34">
        <f>'[1]GÖP VERİLERİ'!J436</f>
        <v/>
      </c>
      <c r="AG435" s="34">
        <f>IF(AB435&gt;AF435*1.05,AB435-AF435*1.05,IF(AB435&lt;AF435*0.95,AF435*0.95-AB435,0))</f>
        <v/>
      </c>
      <c r="AH435" s="34">
        <f>MAX(I435,J435,750)*0.05*AG435</f>
        <v/>
      </c>
      <c r="AI435">
        <f>'[1]GÖP VERİLERİ'!E436</f>
        <v/>
      </c>
      <c r="AJ435">
        <f>'[1]GÖP VERİLERİ'!F436</f>
        <v/>
      </c>
      <c r="AK435" s="34">
        <f>IF(AI435&gt;AJ435*1.05,AI435-AJ435*1.05,IF(AI435&lt;AJ435*0.95,AJ435*0.95-AI435,0))</f>
        <v/>
      </c>
      <c r="AL435" s="34">
        <f>MAX(F435,G435,750)*0.05*AK435</f>
        <v/>
      </c>
      <c r="AM435" s="39">
        <f>'[1]GÖP VERİLERİ'!G436</f>
        <v/>
      </c>
      <c r="AN435" s="34">
        <f>IF(AI435&gt;AM435*1.05,AI435-AM435*1.05,IF(AI435&lt;AM435*0.95,AM435*0.95-AI435,0))</f>
        <v/>
      </c>
      <c r="AO435" s="34">
        <f>MAX(F435,G435,750)*0.05*AN435</f>
        <v/>
      </c>
      <c r="AP435" s="34">
        <f>'[1]GÖP VERİLERİ'!B436</f>
        <v/>
      </c>
      <c r="AQ435" s="34">
        <f>'[1]GÖP VERİLERİ'!C436</f>
        <v/>
      </c>
      <c r="AR435" s="34">
        <f>IF(AP435&gt;AQ435*1.05,AP435-AQ435*1.05,IF(AP435&lt;AQ435*0.95,AQ435*0.95-AP435,0))</f>
        <v/>
      </c>
      <c r="AS435" s="34">
        <f>MAX(F435:G435,750)*0.05*AR435</f>
        <v/>
      </c>
      <c r="AT435">
        <f>'[1]GÖP VERİLERİ'!D436</f>
        <v/>
      </c>
      <c r="AU435" s="34">
        <f>IF(AP435&gt;AT435*1.05,AP435-AT435*1.05,IF(AP435&lt;AT435*0.95,AT435*0.95-AP435,0))</f>
        <v/>
      </c>
      <c r="AV435" s="34">
        <f>MAX(F435:G435,750)*0.05*AU435</f>
        <v/>
      </c>
      <c r="AW435" s="34">
        <f>AC435+AJ435+AQ435</f>
        <v/>
      </c>
      <c r="AX435" s="34">
        <f>AF435+AM435+AT435</f>
        <v/>
      </c>
      <c r="AY435" s="34">
        <f>AB435+AI435+AP435</f>
        <v/>
      </c>
      <c r="AZ435" s="34" t="n">
        <v>0</v>
      </c>
      <c r="BA435" s="34">
        <f>AD435+AK435+AR435</f>
        <v/>
      </c>
      <c r="BB435" s="34">
        <f>MAX(F435:G435,750)*0.05*BA435</f>
        <v/>
      </c>
      <c r="BC435" s="34">
        <f>AG435+AN435+AU435</f>
        <v/>
      </c>
      <c r="BD435" s="34">
        <f>MAX(F435:G435,750)*0.05*BC435</f>
        <v/>
      </c>
      <c r="BE435" s="34">
        <f>F435*AY435</f>
        <v/>
      </c>
      <c r="BF435" s="34">
        <f>K435-M435</f>
        <v/>
      </c>
      <c r="BG435" s="34">
        <f>P435-S435</f>
        <v/>
      </c>
      <c r="BH435" s="34">
        <f>W435-AA435</f>
        <v/>
      </c>
      <c r="BI435" s="34">
        <f>BF435+BG435+BL435-BN435</f>
        <v/>
      </c>
      <c r="BJ435" s="34">
        <f>ABS(BK435)</f>
        <v/>
      </c>
      <c r="BK435" s="34">
        <f>AY435-(J435-L435+N435-Q435)</f>
        <v/>
      </c>
      <c r="BL435" s="34">
        <f>IF(AND(BK435&gt;0,MIN($F435:$G435)&lt;150,$E435="Enerji Açığı"),-100*BK435*1.03,IF(AND(BK435&gt;0,MIN($F435:$G435)&lt;150,$E435="Enerji Fazlası"),-100*BK435*1.06,IF(AND(BK435&gt;0,MIN($F435:$G435)&gt;=150,$E435="Enerji Açığı"),BK435*MIN($F435:$G435)*0.97,IF(AND(BK435&gt;0,MIN($F435:$G435)&gt;=150,$E435="Enerji Fazlası"),BK435*MIN($F435:$G435)*0.94,IF(AND(BK435&lt;0,MAX($F435:$G435)=4500,$E435="Enerji Açığı"),4500*1.05*1.06*BK435,IF(AND(BK435&lt;0,MAX($F435:$G435)=4500,$E435="Enerji Fazlası"),4500*1.05*1.03*BK435,IF(AND(BK435&lt;0,$E435="Enerji Açığı"),MAX($F435,$G435,150)*BK435*1.06,IF(AND(BK435&lt;0,$E435="Enerji Fazlası"),MAX($F435,$G435,150)*BK435*1.03,IF(AND(BK435&lt;0,$E435="Dengede"),MAX($F435:$G435,150)*1.03*BK435,MIN($F435:$G435)*0.97*BK435)))))))))</f>
        <v/>
      </c>
      <c r="BM435" s="34">
        <f>BE435-BI435-BN435</f>
        <v/>
      </c>
      <c r="BN435" s="34">
        <f>BB435</f>
        <v/>
      </c>
      <c r="BO435" s="34">
        <f>BE435-BI435</f>
        <v/>
      </c>
      <c r="BP435" s="34">
        <f>IF(AY435=0,0,BO435/AY435)</f>
        <v/>
      </c>
      <c r="BQ435" s="34">
        <f>MAX((AY435+MAX((-J435+L435-N435+Q435),0)),(MAX((J435-L435+N435-Q435),0)))</f>
        <v/>
      </c>
      <c r="BR435" s="82">
        <f>IFERROR(ABS(BK435/BQ435),0)</f>
        <v/>
      </c>
      <c r="BS435" s="34">
        <f>IF(BR435&lt;=0.1,0,BK435/BR435*(BR435-0.1))</f>
        <v/>
      </c>
      <c r="BT435" s="34">
        <f>IF((BS435)&lt;0,MAX(F435:G435)*(BS435)*1.03,MIN(F435:G435)*(BS435)*0.97)</f>
        <v/>
      </c>
      <c r="BU435" s="34">
        <f>IF(BR435&gt;0.1,1,0)</f>
        <v/>
      </c>
      <c r="BV435" s="34">
        <f>BF435+BG435+BH435+BY435-CA435</f>
        <v/>
      </c>
      <c r="BW435" s="34">
        <f>ABS(BX435)</f>
        <v/>
      </c>
      <c r="BX435" s="34">
        <f>AY435-(J435-L435+N435-Q435+T435-X435)</f>
        <v/>
      </c>
      <c r="BY435" s="34">
        <f>IF(AND(BX435&gt;0,MIN($F435:$G435)&lt;150,$E435="Enerji Açığı"),-100*BX435*1.03,IF(AND(BX435&gt;0,MIN($F435:$G435)&lt;150,$E435="Enerji Fazlası"),-100*BX435*1.06,IF(AND(BX435&gt;0,MIN($F435:$G435)&gt;=150,$E435="Enerji Açığı"),BX435*MIN($F435:$G435)*0.97,IF(AND(BX435&gt;0,MIN($F435:$G435)&gt;=150,$E435="Enerji Fazlası"),BX435*MIN($F435:$G435)*0.94,IF(AND(BX435&lt;0,MAX($F435:$G435)=4500,$E435="Enerji Açığı"),4500*1.05*1.06*BX435,IF(AND(BX435&lt;0,MAX($F435:$G435)=4500,$E435="Enerji Fazlası"),4500*1.05*1.03*BX435,IF(AND(BX435&lt;0,$E435="Enerji Açığı"),MAX($F435,$G435,150)*BX435*1.06,IF(AND(BX435&lt;0,$E435="Enerji Fazlası"),MAX($F435,$G435,150)*BX435*1.03,IF(AND(BX435&lt;0,$E435="Dengede"),MAX($F435:$G435,150)*1.03*BX435,MIN($F435:$G435)*0.97*BX435)))))))))</f>
        <v/>
      </c>
      <c r="BZ435" s="34">
        <f>BE435-BV435-CA435</f>
        <v/>
      </c>
      <c r="CA435" s="34">
        <f>BD435</f>
        <v/>
      </c>
      <c r="CB435" s="33">
        <f>BE435-BV435</f>
        <v/>
      </c>
      <c r="CC435" s="34">
        <f>IF(AY435=0,0,CB435/AY435)</f>
        <v/>
      </c>
      <c r="CD435" s="34">
        <f>MAX((AY435+MAX((-J435+L435-N435+Q435-T435+X435),0)),(MAX((J435-L435+N435-Q435+T435-X435),0)))</f>
        <v/>
      </c>
      <c r="CE435" s="82">
        <f>IFERROR(ABS(BX435/CD435),0)</f>
        <v/>
      </c>
      <c r="CF435" s="34">
        <f>IF(CE435&lt;=0.1,0,BX435/CE435*(CE435-0.1))</f>
        <v/>
      </c>
      <c r="CG435" s="34">
        <f>IF((CF435)&lt;0,MAX(F435:G435)*(CF435)*1.03,MIN(F435:G435)*(CF435)*0.97)</f>
        <v/>
      </c>
      <c r="CH435" s="34">
        <f>IF(CE435&gt;0.1,1,0)</f>
        <v/>
      </c>
      <c r="CI435" s="34">
        <f>(F435*BX435)-BY435</f>
        <v/>
      </c>
      <c r="CJ435" s="34">
        <f>IF(AY435=0,0,CI435/AY435)</f>
        <v/>
      </c>
    </row>
    <row r="436">
      <c r="A436" s="29">
        <f>[1]FİYATLAR!A411</f>
        <v/>
      </c>
      <c r="B436" s="29">
        <f>[1]FİYATLAR!B411</f>
        <v/>
      </c>
      <c r="C436" s="35">
        <f>INT(A436)</f>
        <v/>
      </c>
      <c r="D436" s="36">
        <f>MONTH(A436)</f>
        <v/>
      </c>
      <c r="E436" s="147">
        <f>[1]FİYATLAR!G411</f>
        <v/>
      </c>
      <c r="F436" s="30">
        <f>[1]FİYATLAR!C411</f>
        <v/>
      </c>
      <c r="G436" s="30">
        <f>[1]FİYATLAR!E411</f>
        <v/>
      </c>
      <c r="H436" s="30">
        <f>[1]FİYATLAR!D411</f>
        <v/>
      </c>
      <c r="I436" s="30">
        <f>[1]FİYATLAR!F411</f>
        <v/>
      </c>
      <c r="J436" s="119" t="n">
        <v>0</v>
      </c>
      <c r="K436" s="34">
        <f>F436*J436</f>
        <v/>
      </c>
      <c r="L436" s="119" t="n"/>
      <c r="M436" s="34">
        <f>L436*F436</f>
        <v/>
      </c>
      <c r="N436" s="119" t="n"/>
      <c r="O436" s="34">
        <f>F436</f>
        <v/>
      </c>
      <c r="P436" s="34">
        <f>N436*O436</f>
        <v/>
      </c>
      <c r="Q436" s="117" t="n">
        <v>0</v>
      </c>
      <c r="R436" s="34">
        <f>F436</f>
        <v/>
      </c>
      <c r="S436" s="34">
        <f>R436*Q436</f>
        <v/>
      </c>
      <c r="T436" s="34">
        <f>SUMIFS('[1]GİP VERİLERİ'!$C:$C,'[1]GİP VERİLERİ'!$B:$B,A436,'[1]GİP VERİLERİ'!$M:$M,"40X000000104782K",'[1]GİP VERİLERİ'!$G:$G,"SELL")</f>
        <v/>
      </c>
      <c r="U436" s="34">
        <f>IFERROR(W436/T436,0)</f>
        <v/>
      </c>
      <c r="V436" s="34">
        <f>IF(U436=0,0,U436-F436)</f>
        <v/>
      </c>
      <c r="W436" s="34">
        <f>SUMIFS('[1]GİP VERİLERİ'!$O:$O,'[1]GİP VERİLERİ'!$B:$B,A436,'[1]GİP VERİLERİ'!$M:$M,"40X000000104782K",'[1]GİP VERİLERİ'!$G:$G,"SELL")</f>
        <v/>
      </c>
      <c r="X436" s="34">
        <f>SUMIFS('[1]GİP VERİLERİ'!$C:$C,'[1]GİP VERİLERİ'!$B:$B,A436,'[1]GİP VERİLERİ'!$M:$M,"40X000000104782K",'[1]GİP VERİLERİ'!$G:$G,"BUY")</f>
        <v/>
      </c>
      <c r="Y436" s="34">
        <f>IFERROR(AA436/X436,0)</f>
        <v/>
      </c>
      <c r="Z436" s="34">
        <f>IF(Y436=0,0,F436-Y436)</f>
        <v/>
      </c>
      <c r="AA436" s="34">
        <f>SUMIFS('[1]GİP VERİLERİ'!$O:$O,'[1]GİP VERİLERİ'!$B:$B,A436,'[1]GİP VERİLERİ'!$M:$M,"40X000000104782K",'[1]GİP VERİLERİ'!$G:$G,"BUY")</f>
        <v/>
      </c>
      <c r="AB436" s="34">
        <f>'[1]GÖP VERİLERİ'!H437</f>
        <v/>
      </c>
      <c r="AC436" s="34">
        <f>'[1]GÖP VERİLERİ'!I437</f>
        <v/>
      </c>
      <c r="AD436" s="34">
        <f>IF(AB436&gt;AC436*1.05,AB436-AC436*1.05,IF(AB436&lt;AC436*0.95,AC436*0.95-AB436,0))</f>
        <v/>
      </c>
      <c r="AE436" s="34">
        <f>MAX(F436,G436,750)*0.05*AD436</f>
        <v/>
      </c>
      <c r="AF436" s="34">
        <f>'[1]GÖP VERİLERİ'!J437</f>
        <v/>
      </c>
      <c r="AG436" s="34">
        <f>IF(AB436&gt;AF436*1.05,AB436-AF436*1.05,IF(AB436&lt;AF436*0.95,AF436*0.95-AB436,0))</f>
        <v/>
      </c>
      <c r="AH436" s="34">
        <f>MAX(I436,J436,750)*0.05*AG436</f>
        <v/>
      </c>
      <c r="AI436">
        <f>'[1]GÖP VERİLERİ'!E437</f>
        <v/>
      </c>
      <c r="AJ436">
        <f>'[1]GÖP VERİLERİ'!F437</f>
        <v/>
      </c>
      <c r="AK436" s="34">
        <f>IF(AI436&gt;AJ436*1.05,AI436-AJ436*1.05,IF(AI436&lt;AJ436*0.95,AJ436*0.95-AI436,0))</f>
        <v/>
      </c>
      <c r="AL436" s="34">
        <f>MAX(F436,G436,750)*0.05*AK436</f>
        <v/>
      </c>
      <c r="AM436" s="39">
        <f>'[1]GÖP VERİLERİ'!G437</f>
        <v/>
      </c>
      <c r="AN436" s="34">
        <f>IF(AI436&gt;AM436*1.05,AI436-AM436*1.05,IF(AI436&lt;AM436*0.95,AM436*0.95-AI436,0))</f>
        <v/>
      </c>
      <c r="AO436" s="34">
        <f>MAX(F436,G436,750)*0.05*AN436</f>
        <v/>
      </c>
      <c r="AP436" s="34">
        <f>'[1]GÖP VERİLERİ'!B437</f>
        <v/>
      </c>
      <c r="AQ436" s="34">
        <f>'[1]GÖP VERİLERİ'!C437</f>
        <v/>
      </c>
      <c r="AR436" s="34">
        <f>IF(AP436&gt;AQ436*1.05,AP436-AQ436*1.05,IF(AP436&lt;AQ436*0.95,AQ436*0.95-AP436,0))</f>
        <v/>
      </c>
      <c r="AS436" s="34">
        <f>MAX(F436:G436,750)*0.05*AR436</f>
        <v/>
      </c>
      <c r="AT436">
        <f>'[1]GÖP VERİLERİ'!D437</f>
        <v/>
      </c>
      <c r="AU436" s="34">
        <f>IF(AP436&gt;AT436*1.05,AP436-AT436*1.05,IF(AP436&lt;AT436*0.95,AT436*0.95-AP436,0))</f>
        <v/>
      </c>
      <c r="AV436" s="34">
        <f>MAX(F436:G436,750)*0.05*AU436</f>
        <v/>
      </c>
      <c r="AW436" s="34">
        <f>AC436+AJ436+AQ436</f>
        <v/>
      </c>
      <c r="AX436" s="34">
        <f>AF436+AM436+AT436</f>
        <v/>
      </c>
      <c r="AY436" s="34">
        <f>AB436+AI436+AP436</f>
        <v/>
      </c>
      <c r="AZ436" s="34" t="n">
        <v>0</v>
      </c>
      <c r="BA436" s="34">
        <f>AD436+AK436+AR436</f>
        <v/>
      </c>
      <c r="BB436" s="34">
        <f>MAX(F436:G436,750)*0.05*BA436</f>
        <v/>
      </c>
      <c r="BC436" s="34">
        <f>AG436+AN436+AU436</f>
        <v/>
      </c>
      <c r="BD436" s="34">
        <f>MAX(F436:G436,750)*0.05*BC436</f>
        <v/>
      </c>
      <c r="BE436" s="34">
        <f>F436*AY436</f>
        <v/>
      </c>
      <c r="BF436" s="34">
        <f>K436-M436</f>
        <v/>
      </c>
      <c r="BG436" s="34">
        <f>P436-S436</f>
        <v/>
      </c>
      <c r="BH436" s="34">
        <f>W436-AA436</f>
        <v/>
      </c>
      <c r="BI436" s="34">
        <f>BF436+BG436+BL436-BN436</f>
        <v/>
      </c>
      <c r="BJ436" s="34">
        <f>ABS(BK436)</f>
        <v/>
      </c>
      <c r="BK436" s="34">
        <f>AY436-(J436-L436+N436-Q436)</f>
        <v/>
      </c>
      <c r="BL436" s="34">
        <f>IF(AND(BK436&gt;0,MIN($F436:$G436)&lt;150,$E436="Enerji Açığı"),-100*BK436*1.03,IF(AND(BK436&gt;0,MIN($F436:$G436)&lt;150,$E436="Enerji Fazlası"),-100*BK436*1.06,IF(AND(BK436&gt;0,MIN($F436:$G436)&gt;=150,$E436="Enerji Açığı"),BK436*MIN($F436:$G436)*0.97,IF(AND(BK436&gt;0,MIN($F436:$G436)&gt;=150,$E436="Enerji Fazlası"),BK436*MIN($F436:$G436)*0.94,IF(AND(BK436&lt;0,MAX($F436:$G436)=4500,$E436="Enerji Açığı"),4500*1.05*1.06*BK436,IF(AND(BK436&lt;0,MAX($F436:$G436)=4500,$E436="Enerji Fazlası"),4500*1.05*1.03*BK436,IF(AND(BK436&lt;0,$E436="Enerji Açığı"),MAX($F436,$G436,150)*BK436*1.06,IF(AND(BK436&lt;0,$E436="Enerji Fazlası"),MAX($F436,$G436,150)*BK436*1.03,IF(AND(BK436&lt;0,$E436="Dengede"),MAX($F436:$G436,150)*1.03*BK436,MIN($F436:$G436)*0.97*BK436)))))))))</f>
        <v/>
      </c>
      <c r="BM436" s="34">
        <f>BE436-BI436-BN436</f>
        <v/>
      </c>
      <c r="BN436" s="34">
        <f>BB436</f>
        <v/>
      </c>
      <c r="BO436" s="34">
        <f>BE436-BI436</f>
        <v/>
      </c>
      <c r="BP436" s="34">
        <f>IF(AY436=0,0,BO436/AY436)</f>
        <v/>
      </c>
      <c r="BQ436" s="34">
        <f>MAX((AY436+MAX((-J436+L436-N436+Q436),0)),(MAX((J436-L436+N436-Q436),0)))</f>
        <v/>
      </c>
      <c r="BR436" s="82">
        <f>IFERROR(ABS(BK436/BQ436),0)</f>
        <v/>
      </c>
      <c r="BS436" s="34">
        <f>IF(BR436&lt;=0.1,0,BK436/BR436*(BR436-0.1))</f>
        <v/>
      </c>
      <c r="BT436" s="34">
        <f>IF((BS436)&lt;0,MAX(F436:G436)*(BS436)*1.03,MIN(F436:G436)*(BS436)*0.97)</f>
        <v/>
      </c>
      <c r="BU436" s="34">
        <f>IF(BR436&gt;0.1,1,0)</f>
        <v/>
      </c>
      <c r="BV436" s="34">
        <f>BF436+BG436+BH436+BY436-CA436</f>
        <v/>
      </c>
      <c r="BW436" s="34">
        <f>ABS(BX436)</f>
        <v/>
      </c>
      <c r="BX436" s="34">
        <f>AY436-(J436-L436+N436-Q436+T436-X436)</f>
        <v/>
      </c>
      <c r="BY436" s="34">
        <f>IF(AND(BX436&gt;0,MIN($F436:$G436)&lt;150,$E436="Enerji Açığı"),-100*BX436*1.03,IF(AND(BX436&gt;0,MIN($F436:$G436)&lt;150,$E436="Enerji Fazlası"),-100*BX436*1.06,IF(AND(BX436&gt;0,MIN($F436:$G436)&gt;=150,$E436="Enerji Açığı"),BX436*MIN($F436:$G436)*0.97,IF(AND(BX436&gt;0,MIN($F436:$G436)&gt;=150,$E436="Enerji Fazlası"),BX436*MIN($F436:$G436)*0.94,IF(AND(BX436&lt;0,MAX($F436:$G436)=4500,$E436="Enerji Açığı"),4500*1.05*1.06*BX436,IF(AND(BX436&lt;0,MAX($F436:$G436)=4500,$E436="Enerji Fazlası"),4500*1.05*1.03*BX436,IF(AND(BX436&lt;0,$E436="Enerji Açığı"),MAX($F436,$G436,150)*BX436*1.06,IF(AND(BX436&lt;0,$E436="Enerji Fazlası"),MAX($F436,$G436,150)*BX436*1.03,IF(AND(BX436&lt;0,$E436="Dengede"),MAX($F436:$G436,150)*1.03*BX436,MIN($F436:$G436)*0.97*BX436)))))))))</f>
        <v/>
      </c>
      <c r="BZ436" s="34">
        <f>BE436-BV436-CA436</f>
        <v/>
      </c>
      <c r="CA436" s="34">
        <f>BD436</f>
        <v/>
      </c>
      <c r="CB436" s="33">
        <f>BE436-BV436</f>
        <v/>
      </c>
      <c r="CC436" s="34">
        <f>IF(AY436=0,0,CB436/AY436)</f>
        <v/>
      </c>
      <c r="CD436" s="34">
        <f>MAX((AY436+MAX((-J436+L436-N436+Q436-T436+X436),0)),(MAX((J436-L436+N436-Q436+T436-X436),0)))</f>
        <v/>
      </c>
      <c r="CE436" s="82">
        <f>IFERROR(ABS(BX436/CD436),0)</f>
        <v/>
      </c>
      <c r="CF436" s="34">
        <f>IF(CE436&lt;=0.1,0,BX436/CE436*(CE436-0.1))</f>
        <v/>
      </c>
      <c r="CG436" s="34">
        <f>IF((CF436)&lt;0,MAX(F436:G436)*(CF436)*1.03,MIN(F436:G436)*(CF436)*0.97)</f>
        <v/>
      </c>
      <c r="CH436" s="34">
        <f>IF(CE436&gt;0.1,1,0)</f>
        <v/>
      </c>
      <c r="CI436" s="34">
        <f>(F436*BX436)-BY436</f>
        <v/>
      </c>
      <c r="CJ436" s="34">
        <f>IF(AY436=0,0,CI436/AY436)</f>
        <v/>
      </c>
    </row>
    <row r="437">
      <c r="A437" s="29">
        <f>[1]FİYATLAR!A412</f>
        <v/>
      </c>
      <c r="B437" s="29">
        <f>[1]FİYATLAR!B412</f>
        <v/>
      </c>
      <c r="C437" s="35">
        <f>INT(A437)</f>
        <v/>
      </c>
      <c r="D437" s="36">
        <f>MONTH(A437)</f>
        <v/>
      </c>
      <c r="E437" s="147">
        <f>[1]FİYATLAR!G412</f>
        <v/>
      </c>
      <c r="F437" s="30">
        <f>[1]FİYATLAR!C412</f>
        <v/>
      </c>
      <c r="G437" s="30">
        <f>[1]FİYATLAR!E412</f>
        <v/>
      </c>
      <c r="H437" s="30">
        <f>[1]FİYATLAR!D412</f>
        <v/>
      </c>
      <c r="I437" s="30">
        <f>[1]FİYATLAR!F412</f>
        <v/>
      </c>
      <c r="J437" s="119" t="n">
        <v>0</v>
      </c>
      <c r="K437" s="34">
        <f>F437*J437</f>
        <v/>
      </c>
      <c r="L437" s="119" t="n"/>
      <c r="M437" s="34">
        <f>L437*F437</f>
        <v/>
      </c>
      <c r="N437" s="119" t="n"/>
      <c r="O437" s="34">
        <f>F437</f>
        <v/>
      </c>
      <c r="P437" s="34">
        <f>N437*O437</f>
        <v/>
      </c>
      <c r="Q437" s="117" t="n">
        <v>0</v>
      </c>
      <c r="R437" s="34">
        <f>F437</f>
        <v/>
      </c>
      <c r="S437" s="34">
        <f>R437*Q437</f>
        <v/>
      </c>
      <c r="T437" s="34">
        <f>SUMIFS('[1]GİP VERİLERİ'!$C:$C,'[1]GİP VERİLERİ'!$B:$B,A437,'[1]GİP VERİLERİ'!$M:$M,"40X000000104782K",'[1]GİP VERİLERİ'!$G:$G,"SELL")</f>
        <v/>
      </c>
      <c r="U437" s="34">
        <f>IFERROR(W437/T437,0)</f>
        <v/>
      </c>
      <c r="V437" s="34">
        <f>IF(U437=0,0,U437-F437)</f>
        <v/>
      </c>
      <c r="W437" s="34">
        <f>SUMIFS('[1]GİP VERİLERİ'!$O:$O,'[1]GİP VERİLERİ'!$B:$B,A437,'[1]GİP VERİLERİ'!$M:$M,"40X000000104782K",'[1]GİP VERİLERİ'!$G:$G,"SELL")</f>
        <v/>
      </c>
      <c r="X437" s="34">
        <f>SUMIFS('[1]GİP VERİLERİ'!$C:$C,'[1]GİP VERİLERİ'!$B:$B,A437,'[1]GİP VERİLERİ'!$M:$M,"40X000000104782K",'[1]GİP VERİLERİ'!$G:$G,"BUY")</f>
        <v/>
      </c>
      <c r="Y437" s="34">
        <f>IFERROR(AA437/X437,0)</f>
        <v/>
      </c>
      <c r="Z437" s="34">
        <f>IF(Y437=0,0,F437-Y437)</f>
        <v/>
      </c>
      <c r="AA437" s="34">
        <f>SUMIFS('[1]GİP VERİLERİ'!$O:$O,'[1]GİP VERİLERİ'!$B:$B,A437,'[1]GİP VERİLERİ'!$M:$M,"40X000000104782K",'[1]GİP VERİLERİ'!$G:$G,"BUY")</f>
        <v/>
      </c>
      <c r="AB437" s="34">
        <f>'[1]GÖP VERİLERİ'!H438</f>
        <v/>
      </c>
      <c r="AC437" s="34">
        <f>'[1]GÖP VERİLERİ'!I438</f>
        <v/>
      </c>
      <c r="AD437" s="34">
        <f>IF(AB437&gt;AC437*1.05,AB437-AC437*1.05,IF(AB437&lt;AC437*0.95,AC437*0.95-AB437,0))</f>
        <v/>
      </c>
      <c r="AE437" s="34">
        <f>MAX(F437,G437,750)*0.05*AD437</f>
        <v/>
      </c>
      <c r="AF437" s="34">
        <f>'[1]GÖP VERİLERİ'!J438</f>
        <v/>
      </c>
      <c r="AG437" s="34">
        <f>IF(AB437&gt;AF437*1.05,AB437-AF437*1.05,IF(AB437&lt;AF437*0.95,AF437*0.95-AB437,0))</f>
        <v/>
      </c>
      <c r="AH437" s="34">
        <f>MAX(I437,J437,750)*0.05*AG437</f>
        <v/>
      </c>
      <c r="AI437">
        <f>'[1]GÖP VERİLERİ'!E438</f>
        <v/>
      </c>
      <c r="AJ437">
        <f>'[1]GÖP VERİLERİ'!F438</f>
        <v/>
      </c>
      <c r="AK437" s="34">
        <f>IF(AI437&gt;AJ437*1.05,AI437-AJ437*1.05,IF(AI437&lt;AJ437*0.95,AJ437*0.95-AI437,0))</f>
        <v/>
      </c>
      <c r="AL437" s="34">
        <f>MAX(F437,G437,750)*0.05*AK437</f>
        <v/>
      </c>
      <c r="AM437" s="39">
        <f>'[1]GÖP VERİLERİ'!G438</f>
        <v/>
      </c>
      <c r="AN437" s="34">
        <f>IF(AI437&gt;AM437*1.05,AI437-AM437*1.05,IF(AI437&lt;AM437*0.95,AM437*0.95-AI437,0))</f>
        <v/>
      </c>
      <c r="AO437" s="34">
        <f>MAX(F437,G437,750)*0.05*AN437</f>
        <v/>
      </c>
      <c r="AP437" s="34">
        <f>'[1]GÖP VERİLERİ'!B438</f>
        <v/>
      </c>
      <c r="AQ437" s="34">
        <f>'[1]GÖP VERİLERİ'!C438</f>
        <v/>
      </c>
      <c r="AR437" s="34">
        <f>IF(AP437&gt;AQ437*1.05,AP437-AQ437*1.05,IF(AP437&lt;AQ437*0.95,AQ437*0.95-AP437,0))</f>
        <v/>
      </c>
      <c r="AS437" s="34">
        <f>MAX(F437:G437,750)*0.05*AR437</f>
        <v/>
      </c>
      <c r="AT437">
        <f>'[1]GÖP VERİLERİ'!D438</f>
        <v/>
      </c>
      <c r="AU437" s="34">
        <f>IF(AP437&gt;AT437*1.05,AP437-AT437*1.05,IF(AP437&lt;AT437*0.95,AT437*0.95-AP437,0))</f>
        <v/>
      </c>
      <c r="AV437" s="34">
        <f>MAX(F437:G437,750)*0.05*AU437</f>
        <v/>
      </c>
      <c r="AW437" s="34">
        <f>AC437+AJ437+AQ437</f>
        <v/>
      </c>
      <c r="AX437" s="34">
        <f>AF437+AM437+AT437</f>
        <v/>
      </c>
      <c r="AY437" s="34">
        <f>AB437+AI437+AP437</f>
        <v/>
      </c>
      <c r="AZ437" s="34" t="n">
        <v>0</v>
      </c>
      <c r="BA437" s="34">
        <f>AD437+AK437+AR437</f>
        <v/>
      </c>
      <c r="BB437" s="34">
        <f>MAX(F437:G437,750)*0.05*BA437</f>
        <v/>
      </c>
      <c r="BC437" s="34">
        <f>AG437+AN437+AU437</f>
        <v/>
      </c>
      <c r="BD437" s="34">
        <f>MAX(F437:G437,750)*0.05*BC437</f>
        <v/>
      </c>
      <c r="BE437" s="34">
        <f>F437*AY437</f>
        <v/>
      </c>
      <c r="BF437" s="34">
        <f>K437-M437</f>
        <v/>
      </c>
      <c r="BG437" s="34">
        <f>P437-S437</f>
        <v/>
      </c>
      <c r="BH437" s="34">
        <f>W437-AA437</f>
        <v/>
      </c>
      <c r="BI437" s="34">
        <f>BF437+BG437+BL437-BN437</f>
        <v/>
      </c>
      <c r="BJ437" s="34">
        <f>ABS(BK437)</f>
        <v/>
      </c>
      <c r="BK437" s="34">
        <f>AY437-(J437-L437+N437-Q437)</f>
        <v/>
      </c>
      <c r="BL437" s="34">
        <f>IF(AND(BK437&gt;0,MIN($F437:$G437)&lt;150,$E437="Enerji Açığı"),-100*BK437*1.03,IF(AND(BK437&gt;0,MIN($F437:$G437)&lt;150,$E437="Enerji Fazlası"),-100*BK437*1.06,IF(AND(BK437&gt;0,MIN($F437:$G437)&gt;=150,$E437="Enerji Açığı"),BK437*MIN($F437:$G437)*0.97,IF(AND(BK437&gt;0,MIN($F437:$G437)&gt;=150,$E437="Enerji Fazlası"),BK437*MIN($F437:$G437)*0.94,IF(AND(BK437&lt;0,MAX($F437:$G437)=4500,$E437="Enerji Açığı"),4500*1.05*1.06*BK437,IF(AND(BK437&lt;0,MAX($F437:$G437)=4500,$E437="Enerji Fazlası"),4500*1.05*1.03*BK437,IF(AND(BK437&lt;0,$E437="Enerji Açığı"),MAX($F437,$G437,150)*BK437*1.06,IF(AND(BK437&lt;0,$E437="Enerji Fazlası"),MAX($F437,$G437,150)*BK437*1.03,IF(AND(BK437&lt;0,$E437="Dengede"),MAX($F437:$G437,150)*1.03*BK437,MIN($F437:$G437)*0.97*BK437)))))))))</f>
        <v/>
      </c>
      <c r="BM437" s="34">
        <f>BE437-BI437-BN437</f>
        <v/>
      </c>
      <c r="BN437" s="34">
        <f>BB437</f>
        <v/>
      </c>
      <c r="BO437" s="34">
        <f>BE437-BI437</f>
        <v/>
      </c>
      <c r="BP437" s="34">
        <f>IF(AY437=0,0,BO437/AY437)</f>
        <v/>
      </c>
      <c r="BQ437" s="34">
        <f>MAX((AY437+MAX((-J437+L437-N437+Q437),0)),(MAX((J437-L437+N437-Q437),0)))</f>
        <v/>
      </c>
      <c r="BR437" s="82">
        <f>IFERROR(ABS(BK437/BQ437),0)</f>
        <v/>
      </c>
      <c r="BS437" s="34">
        <f>IF(BR437&lt;=0.1,0,BK437/BR437*(BR437-0.1))</f>
        <v/>
      </c>
      <c r="BT437" s="34">
        <f>IF((BS437)&lt;0,MAX(F437:G437)*(BS437)*1.03,MIN(F437:G437)*(BS437)*0.97)</f>
        <v/>
      </c>
      <c r="BU437" s="34">
        <f>IF(BR437&gt;0.1,1,0)</f>
        <v/>
      </c>
      <c r="BV437" s="34">
        <f>BF437+BG437+BH437+BY437-CA437</f>
        <v/>
      </c>
      <c r="BW437" s="34">
        <f>ABS(BX437)</f>
        <v/>
      </c>
      <c r="BX437" s="34">
        <f>AY437-(J437-L437+N437-Q437+T437-X437)</f>
        <v/>
      </c>
      <c r="BY437" s="34">
        <f>IF(AND(BX437&gt;0,MIN($F437:$G437)&lt;150,$E437="Enerji Açığı"),-100*BX437*1.03,IF(AND(BX437&gt;0,MIN($F437:$G437)&lt;150,$E437="Enerji Fazlası"),-100*BX437*1.06,IF(AND(BX437&gt;0,MIN($F437:$G437)&gt;=150,$E437="Enerji Açığı"),BX437*MIN($F437:$G437)*0.97,IF(AND(BX437&gt;0,MIN($F437:$G437)&gt;=150,$E437="Enerji Fazlası"),BX437*MIN($F437:$G437)*0.94,IF(AND(BX437&lt;0,MAX($F437:$G437)=4500,$E437="Enerji Açığı"),4500*1.05*1.06*BX437,IF(AND(BX437&lt;0,MAX($F437:$G437)=4500,$E437="Enerji Fazlası"),4500*1.05*1.03*BX437,IF(AND(BX437&lt;0,$E437="Enerji Açığı"),MAX($F437,$G437,150)*BX437*1.06,IF(AND(BX437&lt;0,$E437="Enerji Fazlası"),MAX($F437,$G437,150)*BX437*1.03,IF(AND(BX437&lt;0,$E437="Dengede"),MAX($F437:$G437,150)*1.03*BX437,MIN($F437:$G437)*0.97*BX437)))))))))</f>
        <v/>
      </c>
      <c r="BZ437" s="34">
        <f>BE437-BV437-CA437</f>
        <v/>
      </c>
      <c r="CA437" s="34">
        <f>BD437</f>
        <v/>
      </c>
      <c r="CB437" s="33">
        <f>BE437-BV437</f>
        <v/>
      </c>
      <c r="CC437" s="34">
        <f>IF(AY437=0,0,CB437/AY437)</f>
        <v/>
      </c>
      <c r="CD437" s="34">
        <f>MAX((AY437+MAX((-J437+L437-N437+Q437-T437+X437),0)),(MAX((J437-L437+N437-Q437+T437-X437),0)))</f>
        <v/>
      </c>
      <c r="CE437" s="82">
        <f>IFERROR(ABS(BX437/CD437),0)</f>
        <v/>
      </c>
      <c r="CF437" s="34">
        <f>IF(CE437&lt;=0.1,0,BX437/CE437*(CE437-0.1))</f>
        <v/>
      </c>
      <c r="CG437" s="34">
        <f>IF((CF437)&lt;0,MAX(F437:G437)*(CF437)*1.03,MIN(F437:G437)*(CF437)*0.97)</f>
        <v/>
      </c>
      <c r="CH437" s="34">
        <f>IF(CE437&gt;0.1,1,0)</f>
        <v/>
      </c>
      <c r="CI437" s="34">
        <f>(F437*BX437)-BY437</f>
        <v/>
      </c>
      <c r="CJ437" s="34">
        <f>IF(AY437=0,0,CI437/AY437)</f>
        <v/>
      </c>
    </row>
    <row r="438">
      <c r="A438" s="29">
        <f>[1]FİYATLAR!A413</f>
        <v/>
      </c>
      <c r="B438" s="29">
        <f>[1]FİYATLAR!B413</f>
        <v/>
      </c>
      <c r="C438" s="35">
        <f>INT(A438)</f>
        <v/>
      </c>
      <c r="D438" s="36">
        <f>MONTH(A438)</f>
        <v/>
      </c>
      <c r="E438" s="147">
        <f>[1]FİYATLAR!G413</f>
        <v/>
      </c>
      <c r="F438" s="30">
        <f>[1]FİYATLAR!C413</f>
        <v/>
      </c>
      <c r="G438" s="30">
        <f>[1]FİYATLAR!E413</f>
        <v/>
      </c>
      <c r="H438" s="30">
        <f>[1]FİYATLAR!D413</f>
        <v/>
      </c>
      <c r="I438" s="30">
        <f>[1]FİYATLAR!F413</f>
        <v/>
      </c>
      <c r="J438" s="119" t="n">
        <v>0</v>
      </c>
      <c r="K438" s="34">
        <f>F438*J438</f>
        <v/>
      </c>
      <c r="L438" s="119" t="n"/>
      <c r="M438" s="34">
        <f>L438*F438</f>
        <v/>
      </c>
      <c r="N438" s="119" t="n"/>
      <c r="O438" s="34">
        <f>F438</f>
        <v/>
      </c>
      <c r="P438" s="34">
        <f>N438*O438</f>
        <v/>
      </c>
      <c r="Q438" s="117" t="n">
        <v>0</v>
      </c>
      <c r="R438" s="34">
        <f>F438</f>
        <v/>
      </c>
      <c r="S438" s="34">
        <f>R438*Q438</f>
        <v/>
      </c>
      <c r="T438" s="34">
        <f>SUMIFS('[1]GİP VERİLERİ'!$C:$C,'[1]GİP VERİLERİ'!$B:$B,A438,'[1]GİP VERİLERİ'!$M:$M,"40X000000104782K",'[1]GİP VERİLERİ'!$G:$G,"SELL")</f>
        <v/>
      </c>
      <c r="U438" s="34">
        <f>IFERROR(W438/T438,0)</f>
        <v/>
      </c>
      <c r="V438" s="34">
        <f>IF(U438=0,0,U438-F438)</f>
        <v/>
      </c>
      <c r="W438" s="34">
        <f>SUMIFS('[1]GİP VERİLERİ'!$O:$O,'[1]GİP VERİLERİ'!$B:$B,A438,'[1]GİP VERİLERİ'!$M:$M,"40X000000104782K",'[1]GİP VERİLERİ'!$G:$G,"SELL")</f>
        <v/>
      </c>
      <c r="X438" s="34">
        <f>SUMIFS('[1]GİP VERİLERİ'!$C:$C,'[1]GİP VERİLERİ'!$B:$B,A438,'[1]GİP VERİLERİ'!$M:$M,"40X000000104782K",'[1]GİP VERİLERİ'!$G:$G,"BUY")</f>
        <v/>
      </c>
      <c r="Y438" s="34">
        <f>IFERROR(AA438/X438,0)</f>
        <v/>
      </c>
      <c r="Z438" s="34">
        <f>IF(Y438=0,0,F438-Y438)</f>
        <v/>
      </c>
      <c r="AA438" s="34">
        <f>SUMIFS('[1]GİP VERİLERİ'!$O:$O,'[1]GİP VERİLERİ'!$B:$B,A438,'[1]GİP VERİLERİ'!$M:$M,"40X000000104782K",'[1]GİP VERİLERİ'!$G:$G,"BUY")</f>
        <v/>
      </c>
      <c r="AB438" s="34">
        <f>'[1]GÖP VERİLERİ'!H439</f>
        <v/>
      </c>
      <c r="AC438" s="34">
        <f>'[1]GÖP VERİLERİ'!I439</f>
        <v/>
      </c>
      <c r="AD438" s="34">
        <f>IF(AB438&gt;AC438*1.05,AB438-AC438*1.05,IF(AB438&lt;AC438*0.95,AC438*0.95-AB438,0))</f>
        <v/>
      </c>
      <c r="AE438" s="34">
        <f>MAX(F438,G438,750)*0.05*AD438</f>
        <v/>
      </c>
      <c r="AF438" s="34">
        <f>'[1]GÖP VERİLERİ'!J439</f>
        <v/>
      </c>
      <c r="AG438" s="34">
        <f>IF(AB438&gt;AF438*1.05,AB438-AF438*1.05,IF(AB438&lt;AF438*0.95,AF438*0.95-AB438,0))</f>
        <v/>
      </c>
      <c r="AH438" s="34">
        <f>MAX(I438,J438,750)*0.05*AG438</f>
        <v/>
      </c>
      <c r="AI438">
        <f>'[1]GÖP VERİLERİ'!E439</f>
        <v/>
      </c>
      <c r="AJ438">
        <f>'[1]GÖP VERİLERİ'!F439</f>
        <v/>
      </c>
      <c r="AK438" s="34">
        <f>IF(AI438&gt;AJ438*1.05,AI438-AJ438*1.05,IF(AI438&lt;AJ438*0.95,AJ438*0.95-AI438,0))</f>
        <v/>
      </c>
      <c r="AL438" s="34">
        <f>MAX(F438,G438,750)*0.05*AK438</f>
        <v/>
      </c>
      <c r="AM438" s="39">
        <f>'[1]GÖP VERİLERİ'!G439</f>
        <v/>
      </c>
      <c r="AN438" s="34">
        <f>IF(AI438&gt;AM438*1.05,AI438-AM438*1.05,IF(AI438&lt;AM438*0.95,AM438*0.95-AI438,0))</f>
        <v/>
      </c>
      <c r="AO438" s="34">
        <f>MAX(F438,G438,750)*0.05*AN438</f>
        <v/>
      </c>
      <c r="AP438" s="34">
        <f>'[1]GÖP VERİLERİ'!B439</f>
        <v/>
      </c>
      <c r="AQ438" s="34">
        <f>'[1]GÖP VERİLERİ'!C439</f>
        <v/>
      </c>
      <c r="AR438" s="34">
        <f>IF(AP438&gt;AQ438*1.05,AP438-AQ438*1.05,IF(AP438&lt;AQ438*0.95,AQ438*0.95-AP438,0))</f>
        <v/>
      </c>
      <c r="AS438" s="34">
        <f>MAX(F438:G438,750)*0.05*AR438</f>
        <v/>
      </c>
      <c r="AT438">
        <f>'[1]GÖP VERİLERİ'!D439</f>
        <v/>
      </c>
      <c r="AU438" s="34">
        <f>IF(AP438&gt;AT438*1.05,AP438-AT438*1.05,IF(AP438&lt;AT438*0.95,AT438*0.95-AP438,0))</f>
        <v/>
      </c>
      <c r="AV438" s="34">
        <f>MAX(F438:G438,750)*0.05*AU438</f>
        <v/>
      </c>
      <c r="AW438" s="34">
        <f>AC438+AJ438+AQ438</f>
        <v/>
      </c>
      <c r="AX438" s="34">
        <f>AF438+AM438+AT438</f>
        <v/>
      </c>
      <c r="AY438" s="34">
        <f>AB438+AI438+AP438</f>
        <v/>
      </c>
      <c r="AZ438" s="34" t="n">
        <v>0</v>
      </c>
      <c r="BA438" s="34">
        <f>AD438+AK438+AR438</f>
        <v/>
      </c>
      <c r="BB438" s="34">
        <f>MAX(F438:G438,750)*0.05*BA438</f>
        <v/>
      </c>
      <c r="BC438" s="34">
        <f>AG438+AN438+AU438</f>
        <v/>
      </c>
      <c r="BD438" s="34">
        <f>MAX(F438:G438,750)*0.05*BC438</f>
        <v/>
      </c>
      <c r="BE438" s="34">
        <f>F438*AY438</f>
        <v/>
      </c>
      <c r="BF438" s="34">
        <f>K438-M438</f>
        <v/>
      </c>
      <c r="BG438" s="34">
        <f>P438-S438</f>
        <v/>
      </c>
      <c r="BH438" s="34">
        <f>W438-AA438</f>
        <v/>
      </c>
      <c r="BI438" s="34">
        <f>BF438+BG438+BL438-BN438</f>
        <v/>
      </c>
      <c r="BJ438" s="34">
        <f>ABS(BK438)</f>
        <v/>
      </c>
      <c r="BK438" s="34">
        <f>AY438-(J438-L438+N438-Q438)</f>
        <v/>
      </c>
      <c r="BL438" s="34">
        <f>IF(AND(BK438&gt;0,MIN($F438:$G438)&lt;150,$E438="Enerji Açığı"),-100*BK438*1.03,IF(AND(BK438&gt;0,MIN($F438:$G438)&lt;150,$E438="Enerji Fazlası"),-100*BK438*1.06,IF(AND(BK438&gt;0,MIN($F438:$G438)&gt;=150,$E438="Enerji Açığı"),BK438*MIN($F438:$G438)*0.97,IF(AND(BK438&gt;0,MIN($F438:$G438)&gt;=150,$E438="Enerji Fazlası"),BK438*MIN($F438:$G438)*0.94,IF(AND(BK438&lt;0,MAX($F438:$G438)=4500,$E438="Enerji Açığı"),4500*1.05*1.06*BK438,IF(AND(BK438&lt;0,MAX($F438:$G438)=4500,$E438="Enerji Fazlası"),4500*1.05*1.03*BK438,IF(AND(BK438&lt;0,$E438="Enerji Açığı"),MAX($F438,$G438,150)*BK438*1.06,IF(AND(BK438&lt;0,$E438="Enerji Fazlası"),MAX($F438,$G438,150)*BK438*1.03,IF(AND(BK438&lt;0,$E438="Dengede"),MAX($F438:$G438,150)*1.03*BK438,MIN($F438:$G438)*0.97*BK438)))))))))</f>
        <v/>
      </c>
      <c r="BM438" s="34">
        <f>BE438-BI438-BN438</f>
        <v/>
      </c>
      <c r="BN438" s="34">
        <f>BB438</f>
        <v/>
      </c>
      <c r="BO438" s="34">
        <f>BE438-BI438</f>
        <v/>
      </c>
      <c r="BP438" s="34">
        <f>IF(AY438=0,0,BO438/AY438)</f>
        <v/>
      </c>
      <c r="BQ438" s="34">
        <f>MAX((AY438+MAX((-J438+L438-N438+Q438),0)),(MAX((J438-L438+N438-Q438),0)))</f>
        <v/>
      </c>
      <c r="BR438" s="82">
        <f>IFERROR(ABS(BK438/BQ438),0)</f>
        <v/>
      </c>
      <c r="BS438" s="34">
        <f>IF(BR438&lt;=0.1,0,BK438/BR438*(BR438-0.1))</f>
        <v/>
      </c>
      <c r="BT438" s="34">
        <f>IF((BS438)&lt;0,MAX(F438:G438)*(BS438)*1.03,MIN(F438:G438)*(BS438)*0.97)</f>
        <v/>
      </c>
      <c r="BU438" s="34">
        <f>IF(BR438&gt;0.1,1,0)</f>
        <v/>
      </c>
      <c r="BV438" s="34">
        <f>BF438+BG438+BH438+BY438-CA438</f>
        <v/>
      </c>
      <c r="BW438" s="34">
        <f>ABS(BX438)</f>
        <v/>
      </c>
      <c r="BX438" s="34">
        <f>AY438-(J438-L438+N438-Q438+T438-X438)</f>
        <v/>
      </c>
      <c r="BY438" s="34">
        <f>IF(AND(BX438&gt;0,MIN($F438:$G438)&lt;150,$E438="Enerji Açığı"),-100*BX438*1.03,IF(AND(BX438&gt;0,MIN($F438:$G438)&lt;150,$E438="Enerji Fazlası"),-100*BX438*1.06,IF(AND(BX438&gt;0,MIN($F438:$G438)&gt;=150,$E438="Enerji Açığı"),BX438*MIN($F438:$G438)*0.97,IF(AND(BX438&gt;0,MIN($F438:$G438)&gt;=150,$E438="Enerji Fazlası"),BX438*MIN($F438:$G438)*0.94,IF(AND(BX438&lt;0,MAX($F438:$G438)=4500,$E438="Enerji Açığı"),4500*1.05*1.06*BX438,IF(AND(BX438&lt;0,MAX($F438:$G438)=4500,$E438="Enerji Fazlası"),4500*1.05*1.03*BX438,IF(AND(BX438&lt;0,$E438="Enerji Açığı"),MAX($F438,$G438,150)*BX438*1.06,IF(AND(BX438&lt;0,$E438="Enerji Fazlası"),MAX($F438,$G438,150)*BX438*1.03,IF(AND(BX438&lt;0,$E438="Dengede"),MAX($F438:$G438,150)*1.03*BX438,MIN($F438:$G438)*0.97*BX438)))))))))</f>
        <v/>
      </c>
      <c r="BZ438" s="34">
        <f>BE438-BV438-CA438</f>
        <v/>
      </c>
      <c r="CA438" s="34">
        <f>BD438</f>
        <v/>
      </c>
      <c r="CB438" s="33">
        <f>BE438-BV438</f>
        <v/>
      </c>
      <c r="CC438" s="34">
        <f>IF(AY438=0,0,CB438/AY438)</f>
        <v/>
      </c>
      <c r="CD438" s="34">
        <f>MAX((AY438+MAX((-J438+L438-N438+Q438-T438+X438),0)),(MAX((J438-L438+N438-Q438+T438-X438),0)))</f>
        <v/>
      </c>
      <c r="CE438" s="82">
        <f>IFERROR(ABS(BX438/CD438),0)</f>
        <v/>
      </c>
      <c r="CF438" s="34">
        <f>IF(CE438&lt;=0.1,0,BX438/CE438*(CE438-0.1))</f>
        <v/>
      </c>
      <c r="CG438" s="34">
        <f>IF((CF438)&lt;0,MAX(F438:G438)*(CF438)*1.03,MIN(F438:G438)*(CF438)*0.97)</f>
        <v/>
      </c>
      <c r="CH438" s="34">
        <f>IF(CE438&gt;0.1,1,0)</f>
        <v/>
      </c>
      <c r="CI438" s="34">
        <f>(F438*BX438)-BY438</f>
        <v/>
      </c>
      <c r="CJ438" s="34">
        <f>IF(AY438=0,0,CI438/AY438)</f>
        <v/>
      </c>
    </row>
    <row r="439">
      <c r="A439" s="29">
        <f>[1]FİYATLAR!A414</f>
        <v/>
      </c>
      <c r="B439" s="29">
        <f>[1]FİYATLAR!B414</f>
        <v/>
      </c>
      <c r="C439" s="35">
        <f>INT(A439)</f>
        <v/>
      </c>
      <c r="D439" s="36">
        <f>MONTH(A439)</f>
        <v/>
      </c>
      <c r="E439" s="147">
        <f>[1]FİYATLAR!G414</f>
        <v/>
      </c>
      <c r="F439" s="30">
        <f>[1]FİYATLAR!C414</f>
        <v/>
      </c>
      <c r="G439" s="30">
        <f>[1]FİYATLAR!E414</f>
        <v/>
      </c>
      <c r="H439" s="30">
        <f>[1]FİYATLAR!D414</f>
        <v/>
      </c>
      <c r="I439" s="30">
        <f>[1]FİYATLAR!F414</f>
        <v/>
      </c>
      <c r="J439" s="119" t="n">
        <v>0</v>
      </c>
      <c r="K439" s="34">
        <f>F439*J439</f>
        <v/>
      </c>
      <c r="L439" s="119" t="n"/>
      <c r="M439" s="34">
        <f>L439*F439</f>
        <v/>
      </c>
      <c r="N439" s="119" t="n"/>
      <c r="O439" s="34">
        <f>F439</f>
        <v/>
      </c>
      <c r="P439" s="34">
        <f>N439*O439</f>
        <v/>
      </c>
      <c r="Q439" s="117" t="n">
        <v>0</v>
      </c>
      <c r="R439" s="34">
        <f>F439</f>
        <v/>
      </c>
      <c r="S439" s="34">
        <f>R439*Q439</f>
        <v/>
      </c>
      <c r="T439" s="34">
        <f>SUMIFS('[1]GİP VERİLERİ'!$C:$C,'[1]GİP VERİLERİ'!$B:$B,A439,'[1]GİP VERİLERİ'!$M:$M,"40X000000104782K",'[1]GİP VERİLERİ'!$G:$G,"SELL")</f>
        <v/>
      </c>
      <c r="U439" s="34">
        <f>IFERROR(W439/T439,0)</f>
        <v/>
      </c>
      <c r="V439" s="34">
        <f>IF(U439=0,0,U439-F439)</f>
        <v/>
      </c>
      <c r="W439" s="34">
        <f>SUMIFS('[1]GİP VERİLERİ'!$O:$O,'[1]GİP VERİLERİ'!$B:$B,A439,'[1]GİP VERİLERİ'!$M:$M,"40X000000104782K",'[1]GİP VERİLERİ'!$G:$G,"SELL")</f>
        <v/>
      </c>
      <c r="X439" s="34">
        <f>SUMIFS('[1]GİP VERİLERİ'!$C:$C,'[1]GİP VERİLERİ'!$B:$B,A439,'[1]GİP VERİLERİ'!$M:$M,"40X000000104782K",'[1]GİP VERİLERİ'!$G:$G,"BUY")</f>
        <v/>
      </c>
      <c r="Y439" s="34">
        <f>IFERROR(AA439/X439,0)</f>
        <v/>
      </c>
      <c r="Z439" s="34">
        <f>IF(Y439=0,0,F439-Y439)</f>
        <v/>
      </c>
      <c r="AA439" s="34">
        <f>SUMIFS('[1]GİP VERİLERİ'!$O:$O,'[1]GİP VERİLERİ'!$B:$B,A439,'[1]GİP VERİLERİ'!$M:$M,"40X000000104782K",'[1]GİP VERİLERİ'!$G:$G,"BUY")</f>
        <v/>
      </c>
      <c r="AB439" s="34">
        <f>'[1]GÖP VERİLERİ'!H440</f>
        <v/>
      </c>
      <c r="AC439" s="34">
        <f>'[1]GÖP VERİLERİ'!I440</f>
        <v/>
      </c>
      <c r="AD439" s="34">
        <f>IF(AB439&gt;AC439*1.05,AB439-AC439*1.05,IF(AB439&lt;AC439*0.95,AC439*0.95-AB439,0))</f>
        <v/>
      </c>
      <c r="AE439" s="34">
        <f>MAX(F439,G439,750)*0.05*AD439</f>
        <v/>
      </c>
      <c r="AF439" s="34">
        <f>'[1]GÖP VERİLERİ'!J440</f>
        <v/>
      </c>
      <c r="AG439" s="34">
        <f>IF(AB439&gt;AF439*1.05,AB439-AF439*1.05,IF(AB439&lt;AF439*0.95,AF439*0.95-AB439,0))</f>
        <v/>
      </c>
      <c r="AH439" s="34">
        <f>MAX(I439,J439,750)*0.05*AG439</f>
        <v/>
      </c>
      <c r="AI439">
        <f>'[1]GÖP VERİLERİ'!E440</f>
        <v/>
      </c>
      <c r="AJ439">
        <f>'[1]GÖP VERİLERİ'!F440</f>
        <v/>
      </c>
      <c r="AK439" s="34">
        <f>IF(AI439&gt;AJ439*1.05,AI439-AJ439*1.05,IF(AI439&lt;AJ439*0.95,AJ439*0.95-AI439,0))</f>
        <v/>
      </c>
      <c r="AL439" s="34">
        <f>MAX(F439,G439,750)*0.05*AK439</f>
        <v/>
      </c>
      <c r="AM439" s="39">
        <f>'[1]GÖP VERİLERİ'!G440</f>
        <v/>
      </c>
      <c r="AN439" s="34">
        <f>IF(AI439&gt;AM439*1.05,AI439-AM439*1.05,IF(AI439&lt;AM439*0.95,AM439*0.95-AI439,0))</f>
        <v/>
      </c>
      <c r="AO439" s="34">
        <f>MAX(F439,G439,750)*0.05*AN439</f>
        <v/>
      </c>
      <c r="AP439" s="34">
        <f>'[1]GÖP VERİLERİ'!B440</f>
        <v/>
      </c>
      <c r="AQ439" s="34">
        <f>'[1]GÖP VERİLERİ'!C440</f>
        <v/>
      </c>
      <c r="AR439" s="34">
        <f>IF(AP439&gt;AQ439*1.05,AP439-AQ439*1.05,IF(AP439&lt;AQ439*0.95,AQ439*0.95-AP439,0))</f>
        <v/>
      </c>
      <c r="AS439" s="34">
        <f>MAX(F439:G439,750)*0.05*AR439</f>
        <v/>
      </c>
      <c r="AT439">
        <f>'[1]GÖP VERİLERİ'!D440</f>
        <v/>
      </c>
      <c r="AU439" s="34">
        <f>IF(AP439&gt;AT439*1.05,AP439-AT439*1.05,IF(AP439&lt;AT439*0.95,AT439*0.95-AP439,0))</f>
        <v/>
      </c>
      <c r="AV439" s="34">
        <f>MAX(F439:G439,750)*0.05*AU439</f>
        <v/>
      </c>
      <c r="AW439" s="34">
        <f>AC439+AJ439+AQ439</f>
        <v/>
      </c>
      <c r="AX439" s="34">
        <f>AF439+AM439+AT439</f>
        <v/>
      </c>
      <c r="AY439" s="34">
        <f>AB439+AI439+AP439</f>
        <v/>
      </c>
      <c r="AZ439" s="34" t="n">
        <v>0</v>
      </c>
      <c r="BA439" s="34">
        <f>AD439+AK439+AR439</f>
        <v/>
      </c>
      <c r="BB439" s="34">
        <f>MAX(F439:G439,750)*0.05*BA439</f>
        <v/>
      </c>
      <c r="BC439" s="34">
        <f>AG439+AN439+AU439</f>
        <v/>
      </c>
      <c r="BD439" s="34">
        <f>MAX(F439:G439,750)*0.05*BC439</f>
        <v/>
      </c>
      <c r="BE439" s="34">
        <f>F439*AY439</f>
        <v/>
      </c>
      <c r="BF439" s="34">
        <f>K439-M439</f>
        <v/>
      </c>
      <c r="BG439" s="34">
        <f>P439-S439</f>
        <v/>
      </c>
      <c r="BH439" s="34">
        <f>W439-AA439</f>
        <v/>
      </c>
      <c r="BI439" s="34">
        <f>BF439+BG439+BL439-BN439</f>
        <v/>
      </c>
      <c r="BJ439" s="34">
        <f>ABS(BK439)</f>
        <v/>
      </c>
      <c r="BK439" s="34">
        <f>AY439-(J439-L439+N439-Q439)</f>
        <v/>
      </c>
      <c r="BL439" s="34">
        <f>IF(AND(BK439&gt;0,MIN($F439:$G439)&lt;150,$E439="Enerji Açığı"),-100*BK439*1.03,IF(AND(BK439&gt;0,MIN($F439:$G439)&lt;150,$E439="Enerji Fazlası"),-100*BK439*1.06,IF(AND(BK439&gt;0,MIN($F439:$G439)&gt;=150,$E439="Enerji Açığı"),BK439*MIN($F439:$G439)*0.97,IF(AND(BK439&gt;0,MIN($F439:$G439)&gt;=150,$E439="Enerji Fazlası"),BK439*MIN($F439:$G439)*0.94,IF(AND(BK439&lt;0,MAX($F439:$G439)=4500,$E439="Enerji Açığı"),4500*1.05*1.06*BK439,IF(AND(BK439&lt;0,MAX($F439:$G439)=4500,$E439="Enerji Fazlası"),4500*1.05*1.03*BK439,IF(AND(BK439&lt;0,$E439="Enerji Açığı"),MAX($F439,$G439,150)*BK439*1.06,IF(AND(BK439&lt;0,$E439="Enerji Fazlası"),MAX($F439,$G439,150)*BK439*1.03,IF(AND(BK439&lt;0,$E439="Dengede"),MAX($F439:$G439,150)*1.03*BK439,MIN($F439:$G439)*0.97*BK439)))))))))</f>
        <v/>
      </c>
      <c r="BM439" s="34">
        <f>BE439-BI439-BN439</f>
        <v/>
      </c>
      <c r="BN439" s="34">
        <f>BB439</f>
        <v/>
      </c>
      <c r="BO439" s="34">
        <f>BE439-BI439</f>
        <v/>
      </c>
      <c r="BP439" s="34">
        <f>IF(AY439=0,0,BO439/AY439)</f>
        <v/>
      </c>
      <c r="BQ439" s="34">
        <f>MAX((AY439+MAX((-J439+L439-N439+Q439),0)),(MAX((J439-L439+N439-Q439),0)))</f>
        <v/>
      </c>
      <c r="BR439" s="82">
        <f>IFERROR(ABS(BK439/BQ439),0)</f>
        <v/>
      </c>
      <c r="BS439" s="34">
        <f>IF(BR439&lt;=0.1,0,BK439/BR439*(BR439-0.1))</f>
        <v/>
      </c>
      <c r="BT439" s="34">
        <f>IF((BS439)&lt;0,MAX(F439:G439)*(BS439)*1.03,MIN(F439:G439)*(BS439)*0.97)</f>
        <v/>
      </c>
      <c r="BU439" s="34">
        <f>IF(BR439&gt;0.1,1,0)</f>
        <v/>
      </c>
      <c r="BV439" s="34">
        <f>BF439+BG439+BH439+BY439-CA439</f>
        <v/>
      </c>
      <c r="BW439" s="34">
        <f>ABS(BX439)</f>
        <v/>
      </c>
      <c r="BX439" s="34">
        <f>AY439-(J439-L439+N439-Q439+T439-X439)</f>
        <v/>
      </c>
      <c r="BY439" s="34">
        <f>IF(AND(BX439&gt;0,MIN($F439:$G439)&lt;150,$E439="Enerji Açığı"),-100*BX439*1.03,IF(AND(BX439&gt;0,MIN($F439:$G439)&lt;150,$E439="Enerji Fazlası"),-100*BX439*1.06,IF(AND(BX439&gt;0,MIN($F439:$G439)&gt;=150,$E439="Enerji Açığı"),BX439*MIN($F439:$G439)*0.97,IF(AND(BX439&gt;0,MIN($F439:$G439)&gt;=150,$E439="Enerji Fazlası"),BX439*MIN($F439:$G439)*0.94,IF(AND(BX439&lt;0,MAX($F439:$G439)=4500,$E439="Enerji Açığı"),4500*1.05*1.06*BX439,IF(AND(BX439&lt;0,MAX($F439:$G439)=4500,$E439="Enerji Fazlası"),4500*1.05*1.03*BX439,IF(AND(BX439&lt;0,$E439="Enerji Açığı"),MAX($F439,$G439,150)*BX439*1.06,IF(AND(BX439&lt;0,$E439="Enerji Fazlası"),MAX($F439,$G439,150)*BX439*1.03,IF(AND(BX439&lt;0,$E439="Dengede"),MAX($F439:$G439,150)*1.03*BX439,MIN($F439:$G439)*0.97*BX439)))))))))</f>
        <v/>
      </c>
      <c r="BZ439" s="34">
        <f>BE439-BV439-CA439</f>
        <v/>
      </c>
      <c r="CA439" s="34">
        <f>BD439</f>
        <v/>
      </c>
      <c r="CB439" s="33">
        <f>BE439-BV439</f>
        <v/>
      </c>
      <c r="CC439" s="34">
        <f>IF(AY439=0,0,CB439/AY439)</f>
        <v/>
      </c>
      <c r="CD439" s="34">
        <f>MAX((AY439+MAX((-J439+L439-N439+Q439-T439+X439),0)),(MAX((J439-L439+N439-Q439+T439-X439),0)))</f>
        <v/>
      </c>
      <c r="CE439" s="82">
        <f>IFERROR(ABS(BX439/CD439),0)</f>
        <v/>
      </c>
      <c r="CF439" s="34">
        <f>IF(CE439&lt;=0.1,0,BX439/CE439*(CE439-0.1))</f>
        <v/>
      </c>
      <c r="CG439" s="34">
        <f>IF((CF439)&lt;0,MAX(F439:G439)*(CF439)*1.03,MIN(F439:G439)*(CF439)*0.97)</f>
        <v/>
      </c>
      <c r="CH439" s="34">
        <f>IF(CE439&gt;0.1,1,0)</f>
        <v/>
      </c>
      <c r="CI439" s="34">
        <f>(F439*BX439)-BY439</f>
        <v/>
      </c>
      <c r="CJ439" s="34">
        <f>IF(AY439=0,0,CI439/AY439)</f>
        <v/>
      </c>
    </row>
    <row r="440">
      <c r="A440" s="29">
        <f>[1]FİYATLAR!A415</f>
        <v/>
      </c>
      <c r="B440" s="29">
        <f>[1]FİYATLAR!B415</f>
        <v/>
      </c>
      <c r="C440" s="35">
        <f>INT(A440)</f>
        <v/>
      </c>
      <c r="D440" s="36">
        <f>MONTH(A440)</f>
        <v/>
      </c>
      <c r="E440" s="147">
        <f>[1]FİYATLAR!G415</f>
        <v/>
      </c>
      <c r="F440" s="30">
        <f>[1]FİYATLAR!C415</f>
        <v/>
      </c>
      <c r="G440" s="30">
        <f>[1]FİYATLAR!E415</f>
        <v/>
      </c>
      <c r="H440" s="30">
        <f>[1]FİYATLAR!D415</f>
        <v/>
      </c>
      <c r="I440" s="30">
        <f>[1]FİYATLAR!F415</f>
        <v/>
      </c>
      <c r="J440" s="119" t="n">
        <v>0</v>
      </c>
      <c r="K440" s="34">
        <f>F440*J440</f>
        <v/>
      </c>
      <c r="L440" s="119" t="n"/>
      <c r="M440" s="34">
        <f>L440*F440</f>
        <v/>
      </c>
      <c r="N440" s="119" t="n"/>
      <c r="O440" s="34">
        <f>F440</f>
        <v/>
      </c>
      <c r="P440" s="34">
        <f>N440*O440</f>
        <v/>
      </c>
      <c r="Q440" s="117" t="n">
        <v>0</v>
      </c>
      <c r="R440" s="34">
        <f>F440</f>
        <v/>
      </c>
      <c r="S440" s="34">
        <f>R440*Q440</f>
        <v/>
      </c>
      <c r="T440" s="34">
        <f>SUMIFS('[1]GİP VERİLERİ'!$C:$C,'[1]GİP VERİLERİ'!$B:$B,A440,'[1]GİP VERİLERİ'!$M:$M,"40X000000104782K",'[1]GİP VERİLERİ'!$G:$G,"SELL")</f>
        <v/>
      </c>
      <c r="U440" s="34">
        <f>IFERROR(W440/T440,0)</f>
        <v/>
      </c>
      <c r="V440" s="34">
        <f>IF(U440=0,0,U440-F440)</f>
        <v/>
      </c>
      <c r="W440" s="34">
        <f>SUMIFS('[1]GİP VERİLERİ'!$O:$O,'[1]GİP VERİLERİ'!$B:$B,A440,'[1]GİP VERİLERİ'!$M:$M,"40X000000104782K",'[1]GİP VERİLERİ'!$G:$G,"SELL")</f>
        <v/>
      </c>
      <c r="X440" s="34">
        <f>SUMIFS('[1]GİP VERİLERİ'!$C:$C,'[1]GİP VERİLERİ'!$B:$B,A440,'[1]GİP VERİLERİ'!$M:$M,"40X000000104782K",'[1]GİP VERİLERİ'!$G:$G,"BUY")</f>
        <v/>
      </c>
      <c r="Y440" s="34">
        <f>IFERROR(AA440/X440,0)</f>
        <v/>
      </c>
      <c r="Z440" s="34">
        <f>IF(Y440=0,0,F440-Y440)</f>
        <v/>
      </c>
      <c r="AA440" s="34">
        <f>SUMIFS('[1]GİP VERİLERİ'!$O:$O,'[1]GİP VERİLERİ'!$B:$B,A440,'[1]GİP VERİLERİ'!$M:$M,"40X000000104782K",'[1]GİP VERİLERİ'!$G:$G,"BUY")</f>
        <v/>
      </c>
      <c r="AB440" s="34">
        <f>'[1]GÖP VERİLERİ'!H441</f>
        <v/>
      </c>
      <c r="AC440" s="34">
        <f>'[1]GÖP VERİLERİ'!I441</f>
        <v/>
      </c>
      <c r="AD440" s="34">
        <f>IF(AB440&gt;AC440*1.05,AB440-AC440*1.05,IF(AB440&lt;AC440*0.95,AC440*0.95-AB440,0))</f>
        <v/>
      </c>
      <c r="AE440" s="34">
        <f>MAX(F440,G440,750)*0.05*AD440</f>
        <v/>
      </c>
      <c r="AF440" s="34">
        <f>'[1]GÖP VERİLERİ'!J441</f>
        <v/>
      </c>
      <c r="AG440" s="34">
        <f>IF(AB440&gt;AF440*1.05,AB440-AF440*1.05,IF(AB440&lt;AF440*0.95,AF440*0.95-AB440,0))</f>
        <v/>
      </c>
      <c r="AH440" s="34">
        <f>MAX(I440,J440,750)*0.05*AG440</f>
        <v/>
      </c>
      <c r="AI440">
        <f>'[1]GÖP VERİLERİ'!E441</f>
        <v/>
      </c>
      <c r="AJ440">
        <f>'[1]GÖP VERİLERİ'!F441</f>
        <v/>
      </c>
      <c r="AK440" s="34">
        <f>IF(AI440&gt;AJ440*1.05,AI440-AJ440*1.05,IF(AI440&lt;AJ440*0.95,AJ440*0.95-AI440,0))</f>
        <v/>
      </c>
      <c r="AL440" s="34">
        <f>MAX(F440,G440,750)*0.05*AK440</f>
        <v/>
      </c>
      <c r="AM440" s="39">
        <f>'[1]GÖP VERİLERİ'!G441</f>
        <v/>
      </c>
      <c r="AN440" s="34">
        <f>IF(AI440&gt;AM440*1.05,AI440-AM440*1.05,IF(AI440&lt;AM440*0.95,AM440*0.95-AI440,0))</f>
        <v/>
      </c>
      <c r="AO440" s="34">
        <f>MAX(F440,G440,750)*0.05*AN440</f>
        <v/>
      </c>
      <c r="AP440" s="34">
        <f>'[1]GÖP VERİLERİ'!B441</f>
        <v/>
      </c>
      <c r="AQ440" s="34">
        <f>'[1]GÖP VERİLERİ'!C441</f>
        <v/>
      </c>
      <c r="AR440" s="34">
        <f>IF(AP440&gt;AQ440*1.05,AP440-AQ440*1.05,IF(AP440&lt;AQ440*0.95,AQ440*0.95-AP440,0))</f>
        <v/>
      </c>
      <c r="AS440" s="34">
        <f>MAX(F440:G440,750)*0.05*AR440</f>
        <v/>
      </c>
      <c r="AT440">
        <f>'[1]GÖP VERİLERİ'!D441</f>
        <v/>
      </c>
      <c r="AU440" s="34">
        <f>IF(AP440&gt;AT440*1.05,AP440-AT440*1.05,IF(AP440&lt;AT440*0.95,AT440*0.95-AP440,0))</f>
        <v/>
      </c>
      <c r="AV440" s="34">
        <f>MAX(F440:G440,750)*0.05*AU440</f>
        <v/>
      </c>
      <c r="AW440" s="34">
        <f>AC440+AJ440+AQ440</f>
        <v/>
      </c>
      <c r="AX440" s="34">
        <f>AF440+AM440+AT440</f>
        <v/>
      </c>
      <c r="AY440" s="34">
        <f>AB440+AI440+AP440</f>
        <v/>
      </c>
      <c r="AZ440" s="34" t="n">
        <v>0</v>
      </c>
      <c r="BA440" s="34">
        <f>AD440+AK440+AR440</f>
        <v/>
      </c>
      <c r="BB440" s="34">
        <f>MAX(F440:G440,750)*0.05*BA440</f>
        <v/>
      </c>
      <c r="BC440" s="34">
        <f>AG440+AN440+AU440</f>
        <v/>
      </c>
      <c r="BD440" s="34">
        <f>MAX(F440:G440,750)*0.05*BC440</f>
        <v/>
      </c>
      <c r="BE440" s="34">
        <f>F440*AY440</f>
        <v/>
      </c>
      <c r="BF440" s="34">
        <f>K440-M440</f>
        <v/>
      </c>
      <c r="BG440" s="34">
        <f>P440-S440</f>
        <v/>
      </c>
      <c r="BH440" s="34">
        <f>W440-AA440</f>
        <v/>
      </c>
      <c r="BI440" s="34">
        <f>BF440+BG440+BL440-BN440</f>
        <v/>
      </c>
      <c r="BJ440" s="34">
        <f>ABS(BK440)</f>
        <v/>
      </c>
      <c r="BK440" s="34">
        <f>AY440-(J440-L440+N440-Q440)</f>
        <v/>
      </c>
      <c r="BL440" s="34">
        <f>IF(AND(BK440&gt;0,MIN($F440:$G440)&lt;150,$E440="Enerji Açığı"),-100*BK440*1.03,IF(AND(BK440&gt;0,MIN($F440:$G440)&lt;150,$E440="Enerji Fazlası"),-100*BK440*1.06,IF(AND(BK440&gt;0,MIN($F440:$G440)&gt;=150,$E440="Enerji Açığı"),BK440*MIN($F440:$G440)*0.97,IF(AND(BK440&gt;0,MIN($F440:$G440)&gt;=150,$E440="Enerji Fazlası"),BK440*MIN($F440:$G440)*0.94,IF(AND(BK440&lt;0,MAX($F440:$G440)=4500,$E440="Enerji Açığı"),4500*1.05*1.06*BK440,IF(AND(BK440&lt;0,MAX($F440:$G440)=4500,$E440="Enerji Fazlası"),4500*1.05*1.03*BK440,IF(AND(BK440&lt;0,$E440="Enerji Açığı"),MAX($F440,$G440,150)*BK440*1.06,IF(AND(BK440&lt;0,$E440="Enerji Fazlası"),MAX($F440,$G440,150)*BK440*1.03,IF(AND(BK440&lt;0,$E440="Dengede"),MAX($F440:$G440,150)*1.03*BK440,MIN($F440:$G440)*0.97*BK440)))))))))</f>
        <v/>
      </c>
      <c r="BM440" s="34">
        <f>BE440-BI440-BN440</f>
        <v/>
      </c>
      <c r="BN440" s="34">
        <f>BB440</f>
        <v/>
      </c>
      <c r="BO440" s="34">
        <f>BE440-BI440</f>
        <v/>
      </c>
      <c r="BP440" s="34">
        <f>IF(AY440=0,0,BO440/AY440)</f>
        <v/>
      </c>
      <c r="BQ440" s="34">
        <f>MAX((AY440+MAX((-J440+L440-N440+Q440),0)),(MAX((J440-L440+N440-Q440),0)))</f>
        <v/>
      </c>
      <c r="BR440" s="82">
        <f>IFERROR(ABS(BK440/BQ440),0)</f>
        <v/>
      </c>
      <c r="BS440" s="34">
        <f>IF(BR440&lt;=0.1,0,BK440/BR440*(BR440-0.1))</f>
        <v/>
      </c>
      <c r="BT440" s="34">
        <f>IF((BS440)&lt;0,MAX(F440:G440)*(BS440)*1.03,MIN(F440:G440)*(BS440)*0.97)</f>
        <v/>
      </c>
      <c r="BU440" s="34">
        <f>IF(BR440&gt;0.1,1,0)</f>
        <v/>
      </c>
      <c r="BV440" s="34">
        <f>BF440+BG440+BH440+BY440-CA440</f>
        <v/>
      </c>
      <c r="BW440" s="34">
        <f>ABS(BX440)</f>
        <v/>
      </c>
      <c r="BX440" s="34">
        <f>AY440-(J440-L440+N440-Q440+T440-X440)</f>
        <v/>
      </c>
      <c r="BY440" s="34">
        <f>IF(AND(BX440&gt;0,MIN($F440:$G440)&lt;150,$E440="Enerji Açığı"),-100*BX440*1.03,IF(AND(BX440&gt;0,MIN($F440:$G440)&lt;150,$E440="Enerji Fazlası"),-100*BX440*1.06,IF(AND(BX440&gt;0,MIN($F440:$G440)&gt;=150,$E440="Enerji Açığı"),BX440*MIN($F440:$G440)*0.97,IF(AND(BX440&gt;0,MIN($F440:$G440)&gt;=150,$E440="Enerji Fazlası"),BX440*MIN($F440:$G440)*0.94,IF(AND(BX440&lt;0,MAX($F440:$G440)=4500,$E440="Enerji Açığı"),4500*1.05*1.06*BX440,IF(AND(BX440&lt;0,MAX($F440:$G440)=4500,$E440="Enerji Fazlası"),4500*1.05*1.03*BX440,IF(AND(BX440&lt;0,$E440="Enerji Açığı"),MAX($F440,$G440,150)*BX440*1.06,IF(AND(BX440&lt;0,$E440="Enerji Fazlası"),MAX($F440,$G440,150)*BX440*1.03,IF(AND(BX440&lt;0,$E440="Dengede"),MAX($F440:$G440,150)*1.03*BX440,MIN($F440:$G440)*0.97*BX440)))))))))</f>
        <v/>
      </c>
      <c r="BZ440" s="34">
        <f>BE440-BV440-CA440</f>
        <v/>
      </c>
      <c r="CA440" s="34">
        <f>BD440</f>
        <v/>
      </c>
      <c r="CB440" s="33">
        <f>BE440-BV440</f>
        <v/>
      </c>
      <c r="CC440" s="34">
        <f>IF(AY440=0,0,CB440/AY440)</f>
        <v/>
      </c>
      <c r="CD440" s="34">
        <f>MAX((AY440+MAX((-J440+L440-N440+Q440-T440+X440),0)),(MAX((J440-L440+N440-Q440+T440-X440),0)))</f>
        <v/>
      </c>
      <c r="CE440" s="82">
        <f>IFERROR(ABS(BX440/CD440),0)</f>
        <v/>
      </c>
      <c r="CF440" s="34">
        <f>IF(CE440&lt;=0.1,0,BX440/CE440*(CE440-0.1))</f>
        <v/>
      </c>
      <c r="CG440" s="34">
        <f>IF((CF440)&lt;0,MAX(F440:G440)*(CF440)*1.03,MIN(F440:G440)*(CF440)*0.97)</f>
        <v/>
      </c>
      <c r="CH440" s="34">
        <f>IF(CE440&gt;0.1,1,0)</f>
        <v/>
      </c>
      <c r="CI440" s="34">
        <f>(F440*BX440)-BY440</f>
        <v/>
      </c>
      <c r="CJ440" s="34">
        <f>IF(AY440=0,0,CI440/AY440)</f>
        <v/>
      </c>
    </row>
    <row r="441">
      <c r="A441" s="29">
        <f>[1]FİYATLAR!A416</f>
        <v/>
      </c>
      <c r="B441" s="29">
        <f>[1]FİYATLAR!B416</f>
        <v/>
      </c>
      <c r="C441" s="35">
        <f>INT(A441)</f>
        <v/>
      </c>
      <c r="D441" s="36">
        <f>MONTH(A441)</f>
        <v/>
      </c>
      <c r="E441" s="147">
        <f>[1]FİYATLAR!G416</f>
        <v/>
      </c>
      <c r="F441" s="30">
        <f>[1]FİYATLAR!C416</f>
        <v/>
      </c>
      <c r="G441" s="30">
        <f>[1]FİYATLAR!E416</f>
        <v/>
      </c>
      <c r="H441" s="30">
        <f>[1]FİYATLAR!D416</f>
        <v/>
      </c>
      <c r="I441" s="30">
        <f>[1]FİYATLAR!F416</f>
        <v/>
      </c>
      <c r="J441" s="119" t="n">
        <v>0</v>
      </c>
      <c r="K441" s="34">
        <f>F441*J441</f>
        <v/>
      </c>
      <c r="L441" s="119" t="n"/>
      <c r="M441" s="34">
        <f>L441*F441</f>
        <v/>
      </c>
      <c r="N441" s="119" t="n"/>
      <c r="O441" s="34">
        <f>F441</f>
        <v/>
      </c>
      <c r="P441" s="34">
        <f>N441*O441</f>
        <v/>
      </c>
      <c r="Q441" s="117" t="n">
        <v>0</v>
      </c>
      <c r="R441" s="34">
        <f>F441</f>
        <v/>
      </c>
      <c r="S441" s="34">
        <f>R441*Q441</f>
        <v/>
      </c>
      <c r="T441" s="34">
        <f>SUMIFS('[1]GİP VERİLERİ'!$C:$C,'[1]GİP VERİLERİ'!$B:$B,A441,'[1]GİP VERİLERİ'!$M:$M,"40X000000104782K",'[1]GİP VERİLERİ'!$G:$G,"SELL")</f>
        <v/>
      </c>
      <c r="U441" s="34">
        <f>IFERROR(W441/T441,0)</f>
        <v/>
      </c>
      <c r="V441" s="34">
        <f>IF(U441=0,0,U441-F441)</f>
        <v/>
      </c>
      <c r="W441" s="34">
        <f>SUMIFS('[1]GİP VERİLERİ'!$O:$O,'[1]GİP VERİLERİ'!$B:$B,A441,'[1]GİP VERİLERİ'!$M:$M,"40X000000104782K",'[1]GİP VERİLERİ'!$G:$G,"SELL")</f>
        <v/>
      </c>
      <c r="X441" s="34">
        <f>SUMIFS('[1]GİP VERİLERİ'!$C:$C,'[1]GİP VERİLERİ'!$B:$B,A441,'[1]GİP VERİLERİ'!$M:$M,"40X000000104782K",'[1]GİP VERİLERİ'!$G:$G,"BUY")</f>
        <v/>
      </c>
      <c r="Y441" s="34">
        <f>IFERROR(AA441/X441,0)</f>
        <v/>
      </c>
      <c r="Z441" s="34">
        <f>IF(Y441=0,0,F441-Y441)</f>
        <v/>
      </c>
      <c r="AA441" s="34">
        <f>SUMIFS('[1]GİP VERİLERİ'!$O:$O,'[1]GİP VERİLERİ'!$B:$B,A441,'[1]GİP VERİLERİ'!$M:$M,"40X000000104782K",'[1]GİP VERİLERİ'!$G:$G,"BUY")</f>
        <v/>
      </c>
      <c r="AB441" s="34">
        <f>'[1]GÖP VERİLERİ'!H442</f>
        <v/>
      </c>
      <c r="AC441" s="34">
        <f>'[1]GÖP VERİLERİ'!I442</f>
        <v/>
      </c>
      <c r="AD441" s="34">
        <f>IF(AB441&gt;AC441*1.05,AB441-AC441*1.05,IF(AB441&lt;AC441*0.95,AC441*0.95-AB441,0))</f>
        <v/>
      </c>
      <c r="AE441" s="34">
        <f>MAX(F441,G441,750)*0.05*AD441</f>
        <v/>
      </c>
      <c r="AF441" s="34">
        <f>'[1]GÖP VERİLERİ'!J442</f>
        <v/>
      </c>
      <c r="AG441" s="34">
        <f>IF(AB441&gt;AF441*1.05,AB441-AF441*1.05,IF(AB441&lt;AF441*0.95,AF441*0.95-AB441,0))</f>
        <v/>
      </c>
      <c r="AH441" s="34">
        <f>MAX(I441,J441,750)*0.05*AG441</f>
        <v/>
      </c>
      <c r="AI441">
        <f>'[1]GÖP VERİLERİ'!E442</f>
        <v/>
      </c>
      <c r="AJ441">
        <f>'[1]GÖP VERİLERİ'!F442</f>
        <v/>
      </c>
      <c r="AK441" s="34">
        <f>IF(AI441&gt;AJ441*1.05,AI441-AJ441*1.05,IF(AI441&lt;AJ441*0.95,AJ441*0.95-AI441,0))</f>
        <v/>
      </c>
      <c r="AL441" s="34">
        <f>MAX(F441,G441,750)*0.05*AK441</f>
        <v/>
      </c>
      <c r="AM441" s="39">
        <f>'[1]GÖP VERİLERİ'!G442</f>
        <v/>
      </c>
      <c r="AN441" s="34">
        <f>IF(AI441&gt;AM441*1.05,AI441-AM441*1.05,IF(AI441&lt;AM441*0.95,AM441*0.95-AI441,0))</f>
        <v/>
      </c>
      <c r="AO441" s="34">
        <f>MAX(F441,G441,750)*0.05*AN441</f>
        <v/>
      </c>
      <c r="AP441" s="34">
        <f>'[1]GÖP VERİLERİ'!B442</f>
        <v/>
      </c>
      <c r="AQ441" s="34">
        <f>'[1]GÖP VERİLERİ'!C442</f>
        <v/>
      </c>
      <c r="AR441" s="34">
        <f>IF(AP441&gt;AQ441*1.05,AP441-AQ441*1.05,IF(AP441&lt;AQ441*0.95,AQ441*0.95-AP441,0))</f>
        <v/>
      </c>
      <c r="AS441" s="34">
        <f>MAX(F441:G441,750)*0.05*AR441</f>
        <v/>
      </c>
      <c r="AT441">
        <f>'[1]GÖP VERİLERİ'!D442</f>
        <v/>
      </c>
      <c r="AU441" s="34">
        <f>IF(AP441&gt;AT441*1.05,AP441-AT441*1.05,IF(AP441&lt;AT441*0.95,AT441*0.95-AP441,0))</f>
        <v/>
      </c>
      <c r="AV441" s="34">
        <f>MAX(F441:G441,750)*0.05*AU441</f>
        <v/>
      </c>
      <c r="AW441" s="34">
        <f>AC441+AJ441+AQ441</f>
        <v/>
      </c>
      <c r="AX441" s="34">
        <f>AF441+AM441+AT441</f>
        <v/>
      </c>
      <c r="AY441" s="34">
        <f>AB441+AI441+AP441</f>
        <v/>
      </c>
      <c r="AZ441" s="34" t="n">
        <v>0</v>
      </c>
      <c r="BA441" s="34">
        <f>AD441+AK441+AR441</f>
        <v/>
      </c>
      <c r="BB441" s="34">
        <f>MAX(F441:G441,750)*0.05*BA441</f>
        <v/>
      </c>
      <c r="BC441" s="34">
        <f>AG441+AN441+AU441</f>
        <v/>
      </c>
      <c r="BD441" s="34">
        <f>MAX(F441:G441,750)*0.05*BC441</f>
        <v/>
      </c>
      <c r="BE441" s="34">
        <f>F441*AY441</f>
        <v/>
      </c>
      <c r="BF441" s="34">
        <f>K441-M441</f>
        <v/>
      </c>
      <c r="BG441" s="34">
        <f>P441-S441</f>
        <v/>
      </c>
      <c r="BH441" s="34">
        <f>W441-AA441</f>
        <v/>
      </c>
      <c r="BI441" s="34">
        <f>BF441+BG441+BL441-BN441</f>
        <v/>
      </c>
      <c r="BJ441" s="34">
        <f>ABS(BK441)</f>
        <v/>
      </c>
      <c r="BK441" s="34">
        <f>AY441-(J441-L441+N441-Q441)</f>
        <v/>
      </c>
      <c r="BL441" s="34">
        <f>IF(AND(BK441&gt;0,MIN($F441:$G441)&lt;150,$E441="Enerji Açığı"),-100*BK441*1.03,IF(AND(BK441&gt;0,MIN($F441:$G441)&lt;150,$E441="Enerji Fazlası"),-100*BK441*1.06,IF(AND(BK441&gt;0,MIN($F441:$G441)&gt;=150,$E441="Enerji Açığı"),BK441*MIN($F441:$G441)*0.97,IF(AND(BK441&gt;0,MIN($F441:$G441)&gt;=150,$E441="Enerji Fazlası"),BK441*MIN($F441:$G441)*0.94,IF(AND(BK441&lt;0,MAX($F441:$G441)=4500,$E441="Enerji Açığı"),4500*1.05*1.06*BK441,IF(AND(BK441&lt;0,MAX($F441:$G441)=4500,$E441="Enerji Fazlası"),4500*1.05*1.03*BK441,IF(AND(BK441&lt;0,$E441="Enerji Açığı"),MAX($F441,$G441,150)*BK441*1.06,IF(AND(BK441&lt;0,$E441="Enerji Fazlası"),MAX($F441,$G441,150)*BK441*1.03,IF(AND(BK441&lt;0,$E441="Dengede"),MAX($F441:$G441,150)*1.03*BK441,MIN($F441:$G441)*0.97*BK441)))))))))</f>
        <v/>
      </c>
      <c r="BM441" s="34">
        <f>BE441-BI441-BN441</f>
        <v/>
      </c>
      <c r="BN441" s="34">
        <f>BB441</f>
        <v/>
      </c>
      <c r="BO441" s="34">
        <f>BE441-BI441</f>
        <v/>
      </c>
      <c r="BP441" s="34">
        <f>IF(AY441=0,0,BO441/AY441)</f>
        <v/>
      </c>
      <c r="BQ441" s="34">
        <f>MAX((AY441+MAX((-J441+L441-N441+Q441),0)),(MAX((J441-L441+N441-Q441),0)))</f>
        <v/>
      </c>
      <c r="BR441" s="82">
        <f>IFERROR(ABS(BK441/BQ441),0)</f>
        <v/>
      </c>
      <c r="BS441" s="34">
        <f>IF(BR441&lt;=0.1,0,BK441/BR441*(BR441-0.1))</f>
        <v/>
      </c>
      <c r="BT441" s="34">
        <f>IF((BS441)&lt;0,MAX(F441:G441)*(BS441)*1.03,MIN(F441:G441)*(BS441)*0.97)</f>
        <v/>
      </c>
      <c r="BU441" s="34">
        <f>IF(BR441&gt;0.1,1,0)</f>
        <v/>
      </c>
      <c r="BV441" s="34">
        <f>BF441+BG441+BH441+BY441-CA441</f>
        <v/>
      </c>
      <c r="BW441" s="34">
        <f>ABS(BX441)</f>
        <v/>
      </c>
      <c r="BX441" s="34">
        <f>AY441-(J441-L441+N441-Q441+T441-X441)</f>
        <v/>
      </c>
      <c r="BY441" s="34">
        <f>IF(AND(BX441&gt;0,MIN($F441:$G441)&lt;150,$E441="Enerji Açığı"),-100*BX441*1.03,IF(AND(BX441&gt;0,MIN($F441:$G441)&lt;150,$E441="Enerji Fazlası"),-100*BX441*1.06,IF(AND(BX441&gt;0,MIN($F441:$G441)&gt;=150,$E441="Enerji Açığı"),BX441*MIN($F441:$G441)*0.97,IF(AND(BX441&gt;0,MIN($F441:$G441)&gt;=150,$E441="Enerji Fazlası"),BX441*MIN($F441:$G441)*0.94,IF(AND(BX441&lt;0,MAX($F441:$G441)=4500,$E441="Enerji Açığı"),4500*1.05*1.06*BX441,IF(AND(BX441&lt;0,MAX($F441:$G441)=4500,$E441="Enerji Fazlası"),4500*1.05*1.03*BX441,IF(AND(BX441&lt;0,$E441="Enerji Açığı"),MAX($F441,$G441,150)*BX441*1.06,IF(AND(BX441&lt;0,$E441="Enerji Fazlası"),MAX($F441,$G441,150)*BX441*1.03,IF(AND(BX441&lt;0,$E441="Dengede"),MAX($F441:$G441,150)*1.03*BX441,MIN($F441:$G441)*0.97*BX441)))))))))</f>
        <v/>
      </c>
      <c r="BZ441" s="34">
        <f>BE441-BV441-CA441</f>
        <v/>
      </c>
      <c r="CA441" s="34">
        <f>BD441</f>
        <v/>
      </c>
      <c r="CB441" s="33">
        <f>BE441-BV441</f>
        <v/>
      </c>
      <c r="CC441" s="34">
        <f>IF(AY441=0,0,CB441/AY441)</f>
        <v/>
      </c>
      <c r="CD441" s="34">
        <f>MAX((AY441+MAX((-J441+L441-N441+Q441-T441+X441),0)),(MAX((J441-L441+N441-Q441+T441-X441),0)))</f>
        <v/>
      </c>
      <c r="CE441" s="82">
        <f>IFERROR(ABS(BX441/CD441),0)</f>
        <v/>
      </c>
      <c r="CF441" s="34">
        <f>IF(CE441&lt;=0.1,0,BX441/CE441*(CE441-0.1))</f>
        <v/>
      </c>
      <c r="CG441" s="34">
        <f>IF((CF441)&lt;0,MAX(F441:G441)*(CF441)*1.03,MIN(F441:G441)*(CF441)*0.97)</f>
        <v/>
      </c>
      <c r="CH441" s="34">
        <f>IF(CE441&gt;0.1,1,0)</f>
        <v/>
      </c>
      <c r="CI441" s="34">
        <f>(F441*BX441)-BY441</f>
        <v/>
      </c>
      <c r="CJ441" s="34">
        <f>IF(AY441=0,0,CI441/AY441)</f>
        <v/>
      </c>
    </row>
    <row r="442">
      <c r="A442" s="29">
        <f>[1]FİYATLAR!A417</f>
        <v/>
      </c>
      <c r="B442" s="29">
        <f>[1]FİYATLAR!B417</f>
        <v/>
      </c>
      <c r="C442" s="35">
        <f>INT(A442)</f>
        <v/>
      </c>
      <c r="D442" s="36">
        <f>MONTH(A442)</f>
        <v/>
      </c>
      <c r="E442" s="147">
        <f>[1]FİYATLAR!G417</f>
        <v/>
      </c>
      <c r="F442" s="30">
        <f>[1]FİYATLAR!C417</f>
        <v/>
      </c>
      <c r="G442" s="30">
        <f>[1]FİYATLAR!E417</f>
        <v/>
      </c>
      <c r="H442" s="30">
        <f>[1]FİYATLAR!D417</f>
        <v/>
      </c>
      <c r="I442" s="30">
        <f>[1]FİYATLAR!F417</f>
        <v/>
      </c>
      <c r="J442" s="119" t="n">
        <v>0</v>
      </c>
      <c r="K442" s="34">
        <f>F442*J442</f>
        <v/>
      </c>
      <c r="L442" s="119" t="n"/>
      <c r="M442" s="34">
        <f>L442*F442</f>
        <v/>
      </c>
      <c r="N442" s="119" t="n"/>
      <c r="O442" s="34">
        <f>F442</f>
        <v/>
      </c>
      <c r="P442" s="34">
        <f>N442*O442</f>
        <v/>
      </c>
      <c r="Q442" s="117" t="n">
        <v>0</v>
      </c>
      <c r="R442" s="34">
        <f>F442</f>
        <v/>
      </c>
      <c r="S442" s="34">
        <f>R442*Q442</f>
        <v/>
      </c>
      <c r="T442" s="34">
        <f>SUMIFS('[1]GİP VERİLERİ'!$C:$C,'[1]GİP VERİLERİ'!$B:$B,A442,'[1]GİP VERİLERİ'!$M:$M,"40X000000104782K",'[1]GİP VERİLERİ'!$G:$G,"SELL")</f>
        <v/>
      </c>
      <c r="U442" s="34">
        <f>IFERROR(W442/T442,0)</f>
        <v/>
      </c>
      <c r="V442" s="34">
        <f>IF(U442=0,0,U442-F442)</f>
        <v/>
      </c>
      <c r="W442" s="34">
        <f>SUMIFS('[1]GİP VERİLERİ'!$O:$O,'[1]GİP VERİLERİ'!$B:$B,A442,'[1]GİP VERİLERİ'!$M:$M,"40X000000104782K",'[1]GİP VERİLERİ'!$G:$G,"SELL")</f>
        <v/>
      </c>
      <c r="X442" s="34">
        <f>SUMIFS('[1]GİP VERİLERİ'!$C:$C,'[1]GİP VERİLERİ'!$B:$B,A442,'[1]GİP VERİLERİ'!$M:$M,"40X000000104782K",'[1]GİP VERİLERİ'!$G:$G,"BUY")</f>
        <v/>
      </c>
      <c r="Y442" s="34">
        <f>IFERROR(AA442/X442,0)</f>
        <v/>
      </c>
      <c r="Z442" s="34">
        <f>IF(Y442=0,0,F442-Y442)</f>
        <v/>
      </c>
      <c r="AA442" s="34">
        <f>SUMIFS('[1]GİP VERİLERİ'!$O:$O,'[1]GİP VERİLERİ'!$B:$B,A442,'[1]GİP VERİLERİ'!$M:$M,"40X000000104782K",'[1]GİP VERİLERİ'!$G:$G,"BUY")</f>
        <v/>
      </c>
      <c r="AB442" s="34">
        <f>'[1]GÖP VERİLERİ'!H443</f>
        <v/>
      </c>
      <c r="AC442" s="34">
        <f>'[1]GÖP VERİLERİ'!I443</f>
        <v/>
      </c>
      <c r="AD442" s="34">
        <f>IF(AB442&gt;AC442*1.05,AB442-AC442*1.05,IF(AB442&lt;AC442*0.95,AC442*0.95-AB442,0))</f>
        <v/>
      </c>
      <c r="AE442" s="34">
        <f>MAX(F442,G442,750)*0.05*AD442</f>
        <v/>
      </c>
      <c r="AF442" s="34">
        <f>'[1]GÖP VERİLERİ'!J443</f>
        <v/>
      </c>
      <c r="AG442" s="34">
        <f>IF(AB442&gt;AF442*1.05,AB442-AF442*1.05,IF(AB442&lt;AF442*0.95,AF442*0.95-AB442,0))</f>
        <v/>
      </c>
      <c r="AH442" s="34">
        <f>MAX(I442,J442,750)*0.05*AG442</f>
        <v/>
      </c>
      <c r="AI442">
        <f>'[1]GÖP VERİLERİ'!E443</f>
        <v/>
      </c>
      <c r="AJ442">
        <f>'[1]GÖP VERİLERİ'!F443</f>
        <v/>
      </c>
      <c r="AK442" s="34">
        <f>IF(AI442&gt;AJ442*1.05,AI442-AJ442*1.05,IF(AI442&lt;AJ442*0.95,AJ442*0.95-AI442,0))</f>
        <v/>
      </c>
      <c r="AL442" s="34">
        <f>MAX(F442,G442,750)*0.05*AK442</f>
        <v/>
      </c>
      <c r="AM442" s="39">
        <f>'[1]GÖP VERİLERİ'!G443</f>
        <v/>
      </c>
      <c r="AN442" s="34">
        <f>IF(AI442&gt;AM442*1.05,AI442-AM442*1.05,IF(AI442&lt;AM442*0.95,AM442*0.95-AI442,0))</f>
        <v/>
      </c>
      <c r="AO442" s="34">
        <f>MAX(F442,G442,750)*0.05*AN442</f>
        <v/>
      </c>
      <c r="AP442" s="34">
        <f>'[1]GÖP VERİLERİ'!B443</f>
        <v/>
      </c>
      <c r="AQ442" s="34">
        <f>'[1]GÖP VERİLERİ'!C443</f>
        <v/>
      </c>
      <c r="AR442" s="34">
        <f>IF(AP442&gt;AQ442*1.05,AP442-AQ442*1.05,IF(AP442&lt;AQ442*0.95,AQ442*0.95-AP442,0))</f>
        <v/>
      </c>
      <c r="AS442" s="34">
        <f>MAX(F442:G442,750)*0.05*AR442</f>
        <v/>
      </c>
      <c r="AT442">
        <f>'[1]GÖP VERİLERİ'!D443</f>
        <v/>
      </c>
      <c r="AU442" s="34">
        <f>IF(AP442&gt;AT442*1.05,AP442-AT442*1.05,IF(AP442&lt;AT442*0.95,AT442*0.95-AP442,0))</f>
        <v/>
      </c>
      <c r="AV442" s="34">
        <f>MAX(F442:G442,750)*0.05*AU442</f>
        <v/>
      </c>
      <c r="AW442" s="34">
        <f>AC442+AJ442+AQ442</f>
        <v/>
      </c>
      <c r="AX442" s="34">
        <f>AF442+AM442+AT442</f>
        <v/>
      </c>
      <c r="AY442" s="34">
        <f>AB442+AI442+AP442</f>
        <v/>
      </c>
      <c r="AZ442" s="34" t="n">
        <v>0</v>
      </c>
      <c r="BA442" s="34">
        <f>AD442+AK442+AR442</f>
        <v/>
      </c>
      <c r="BB442" s="34">
        <f>MAX(F442:G442,750)*0.05*BA442</f>
        <v/>
      </c>
      <c r="BC442" s="34">
        <f>AG442+AN442+AU442</f>
        <v/>
      </c>
      <c r="BD442" s="34">
        <f>MAX(F442:G442,750)*0.05*BC442</f>
        <v/>
      </c>
      <c r="BE442" s="34">
        <f>F442*AY442</f>
        <v/>
      </c>
      <c r="BF442" s="34">
        <f>K442-M442</f>
        <v/>
      </c>
      <c r="BG442" s="34">
        <f>P442-S442</f>
        <v/>
      </c>
      <c r="BH442" s="34">
        <f>W442-AA442</f>
        <v/>
      </c>
      <c r="BI442" s="34">
        <f>BF442+BG442+BL442-BN442</f>
        <v/>
      </c>
      <c r="BJ442" s="34">
        <f>ABS(BK442)</f>
        <v/>
      </c>
      <c r="BK442" s="34">
        <f>AY442-(J442-L442+N442-Q442)</f>
        <v/>
      </c>
      <c r="BL442" s="34">
        <f>IF(AND(BK442&gt;0,MIN($F442:$G442)&lt;150,$E442="Enerji Açığı"),-100*BK442*1.03,IF(AND(BK442&gt;0,MIN($F442:$G442)&lt;150,$E442="Enerji Fazlası"),-100*BK442*1.06,IF(AND(BK442&gt;0,MIN($F442:$G442)&gt;=150,$E442="Enerji Açığı"),BK442*MIN($F442:$G442)*0.97,IF(AND(BK442&gt;0,MIN($F442:$G442)&gt;=150,$E442="Enerji Fazlası"),BK442*MIN($F442:$G442)*0.94,IF(AND(BK442&lt;0,MAX($F442:$G442)=4500,$E442="Enerji Açığı"),4500*1.05*1.06*BK442,IF(AND(BK442&lt;0,MAX($F442:$G442)=4500,$E442="Enerji Fazlası"),4500*1.05*1.03*BK442,IF(AND(BK442&lt;0,$E442="Enerji Açığı"),MAX($F442,$G442,150)*BK442*1.06,IF(AND(BK442&lt;0,$E442="Enerji Fazlası"),MAX($F442,$G442,150)*BK442*1.03,IF(AND(BK442&lt;0,$E442="Dengede"),MAX($F442:$G442,150)*1.03*BK442,MIN($F442:$G442)*0.97*BK442)))))))))</f>
        <v/>
      </c>
      <c r="BM442" s="34">
        <f>BE442-BI442-BN442</f>
        <v/>
      </c>
      <c r="BN442" s="34">
        <f>BB442</f>
        <v/>
      </c>
      <c r="BO442" s="34">
        <f>BE442-BI442</f>
        <v/>
      </c>
      <c r="BP442" s="34">
        <f>IF(AY442=0,0,BO442/AY442)</f>
        <v/>
      </c>
      <c r="BQ442" s="34">
        <f>MAX((AY442+MAX((-J442+L442-N442+Q442),0)),(MAX((J442-L442+N442-Q442),0)))</f>
        <v/>
      </c>
      <c r="BR442" s="82">
        <f>IFERROR(ABS(BK442/BQ442),0)</f>
        <v/>
      </c>
      <c r="BS442" s="34">
        <f>IF(BR442&lt;=0.1,0,BK442/BR442*(BR442-0.1))</f>
        <v/>
      </c>
      <c r="BT442" s="34">
        <f>IF((BS442)&lt;0,MAX(F442:G442)*(BS442)*1.03,MIN(F442:G442)*(BS442)*0.97)</f>
        <v/>
      </c>
      <c r="BU442" s="34">
        <f>IF(BR442&gt;0.1,1,0)</f>
        <v/>
      </c>
      <c r="BV442" s="34">
        <f>BF442+BG442+BH442+BY442-CA442</f>
        <v/>
      </c>
      <c r="BW442" s="34">
        <f>ABS(BX442)</f>
        <v/>
      </c>
      <c r="BX442" s="34">
        <f>AY442-(J442-L442+N442-Q442+T442-X442)</f>
        <v/>
      </c>
      <c r="BY442" s="34">
        <f>IF(AND(BX442&gt;0,MIN($F442:$G442)&lt;150,$E442="Enerji Açığı"),-100*BX442*1.03,IF(AND(BX442&gt;0,MIN($F442:$G442)&lt;150,$E442="Enerji Fazlası"),-100*BX442*1.06,IF(AND(BX442&gt;0,MIN($F442:$G442)&gt;=150,$E442="Enerji Açığı"),BX442*MIN($F442:$G442)*0.97,IF(AND(BX442&gt;0,MIN($F442:$G442)&gt;=150,$E442="Enerji Fazlası"),BX442*MIN($F442:$G442)*0.94,IF(AND(BX442&lt;0,MAX($F442:$G442)=4500,$E442="Enerji Açığı"),4500*1.05*1.06*BX442,IF(AND(BX442&lt;0,MAX($F442:$G442)=4500,$E442="Enerji Fazlası"),4500*1.05*1.03*BX442,IF(AND(BX442&lt;0,$E442="Enerji Açığı"),MAX($F442,$G442,150)*BX442*1.06,IF(AND(BX442&lt;0,$E442="Enerji Fazlası"),MAX($F442,$G442,150)*BX442*1.03,IF(AND(BX442&lt;0,$E442="Dengede"),MAX($F442:$G442,150)*1.03*BX442,MIN($F442:$G442)*0.97*BX442)))))))))</f>
        <v/>
      </c>
      <c r="BZ442" s="34">
        <f>BE442-BV442-CA442</f>
        <v/>
      </c>
      <c r="CA442" s="34">
        <f>BD442</f>
        <v/>
      </c>
      <c r="CB442" s="33">
        <f>BE442-BV442</f>
        <v/>
      </c>
      <c r="CC442" s="34">
        <f>IF(AY442=0,0,CB442/AY442)</f>
        <v/>
      </c>
      <c r="CD442" s="34">
        <f>MAX((AY442+MAX((-J442+L442-N442+Q442-T442+X442),0)),(MAX((J442-L442+N442-Q442+T442-X442),0)))</f>
        <v/>
      </c>
      <c r="CE442" s="82">
        <f>IFERROR(ABS(BX442/CD442),0)</f>
        <v/>
      </c>
      <c r="CF442" s="34">
        <f>IF(CE442&lt;=0.1,0,BX442/CE442*(CE442-0.1))</f>
        <v/>
      </c>
      <c r="CG442" s="34">
        <f>IF((CF442)&lt;0,MAX(F442:G442)*(CF442)*1.03,MIN(F442:G442)*(CF442)*0.97)</f>
        <v/>
      </c>
      <c r="CH442" s="34">
        <f>IF(CE442&gt;0.1,1,0)</f>
        <v/>
      </c>
      <c r="CI442" s="34">
        <f>(F442*BX442)-BY442</f>
        <v/>
      </c>
      <c r="CJ442" s="34">
        <f>IF(AY442=0,0,CI442/AY442)</f>
        <v/>
      </c>
    </row>
    <row r="443">
      <c r="A443" s="29">
        <f>[1]FİYATLAR!A418</f>
        <v/>
      </c>
      <c r="B443" s="29">
        <f>[1]FİYATLAR!B418</f>
        <v/>
      </c>
      <c r="C443" s="35">
        <f>INT(A443)</f>
        <v/>
      </c>
      <c r="D443" s="36">
        <f>MONTH(A443)</f>
        <v/>
      </c>
      <c r="E443" s="147">
        <f>[1]FİYATLAR!G418</f>
        <v/>
      </c>
      <c r="F443" s="30">
        <f>[1]FİYATLAR!C418</f>
        <v/>
      </c>
      <c r="G443" s="30">
        <f>[1]FİYATLAR!E418</f>
        <v/>
      </c>
      <c r="H443" s="30">
        <f>[1]FİYATLAR!D418</f>
        <v/>
      </c>
      <c r="I443" s="30">
        <f>[1]FİYATLAR!F418</f>
        <v/>
      </c>
      <c r="J443" s="119" t="n">
        <v>0</v>
      </c>
      <c r="K443" s="34">
        <f>F443*J443</f>
        <v/>
      </c>
      <c r="L443" s="119" t="n"/>
      <c r="M443" s="34">
        <f>L443*F443</f>
        <v/>
      </c>
      <c r="N443" s="119" t="n"/>
      <c r="O443" s="34">
        <f>F443</f>
        <v/>
      </c>
      <c r="P443" s="34">
        <f>N443*O443</f>
        <v/>
      </c>
      <c r="Q443" s="117" t="n">
        <v>0</v>
      </c>
      <c r="R443" s="34">
        <f>F443</f>
        <v/>
      </c>
      <c r="S443" s="34">
        <f>R443*Q443</f>
        <v/>
      </c>
      <c r="T443" s="34">
        <f>SUMIFS('[1]GİP VERİLERİ'!$C:$C,'[1]GİP VERİLERİ'!$B:$B,A443,'[1]GİP VERİLERİ'!$M:$M,"40X000000104782K",'[1]GİP VERİLERİ'!$G:$G,"SELL")</f>
        <v/>
      </c>
      <c r="U443" s="34">
        <f>IFERROR(W443/T443,0)</f>
        <v/>
      </c>
      <c r="V443" s="34">
        <f>IF(U443=0,0,U443-F443)</f>
        <v/>
      </c>
      <c r="W443" s="34">
        <f>SUMIFS('[1]GİP VERİLERİ'!$O:$O,'[1]GİP VERİLERİ'!$B:$B,A443,'[1]GİP VERİLERİ'!$M:$M,"40X000000104782K",'[1]GİP VERİLERİ'!$G:$G,"SELL")</f>
        <v/>
      </c>
      <c r="X443" s="34">
        <f>SUMIFS('[1]GİP VERİLERİ'!$C:$C,'[1]GİP VERİLERİ'!$B:$B,A443,'[1]GİP VERİLERİ'!$M:$M,"40X000000104782K",'[1]GİP VERİLERİ'!$G:$G,"BUY")</f>
        <v/>
      </c>
      <c r="Y443" s="34">
        <f>IFERROR(AA443/X443,0)</f>
        <v/>
      </c>
      <c r="Z443" s="34">
        <f>IF(Y443=0,0,F443-Y443)</f>
        <v/>
      </c>
      <c r="AA443" s="34">
        <f>SUMIFS('[1]GİP VERİLERİ'!$O:$O,'[1]GİP VERİLERİ'!$B:$B,A443,'[1]GİP VERİLERİ'!$M:$M,"40X000000104782K",'[1]GİP VERİLERİ'!$G:$G,"BUY")</f>
        <v/>
      </c>
      <c r="AB443" s="34">
        <f>'[1]GÖP VERİLERİ'!H444</f>
        <v/>
      </c>
      <c r="AC443" s="34">
        <f>'[1]GÖP VERİLERİ'!I444</f>
        <v/>
      </c>
      <c r="AD443" s="34">
        <f>IF(AB443&gt;AC443*1.05,AB443-AC443*1.05,IF(AB443&lt;AC443*0.95,AC443*0.95-AB443,0))</f>
        <v/>
      </c>
      <c r="AE443" s="34">
        <f>MAX(F443,G443,750)*0.05*AD443</f>
        <v/>
      </c>
      <c r="AF443" s="34">
        <f>'[1]GÖP VERİLERİ'!J444</f>
        <v/>
      </c>
      <c r="AG443" s="34">
        <f>IF(AB443&gt;AF443*1.05,AB443-AF443*1.05,IF(AB443&lt;AF443*0.95,AF443*0.95-AB443,0))</f>
        <v/>
      </c>
      <c r="AH443" s="34">
        <f>MAX(I443,J443,750)*0.05*AG443</f>
        <v/>
      </c>
      <c r="AI443">
        <f>'[1]GÖP VERİLERİ'!E444</f>
        <v/>
      </c>
      <c r="AJ443">
        <f>'[1]GÖP VERİLERİ'!F444</f>
        <v/>
      </c>
      <c r="AK443" s="34">
        <f>IF(AI443&gt;AJ443*1.05,AI443-AJ443*1.05,IF(AI443&lt;AJ443*0.95,AJ443*0.95-AI443,0))</f>
        <v/>
      </c>
      <c r="AL443" s="34">
        <f>MAX(F443,G443,750)*0.05*AK443</f>
        <v/>
      </c>
      <c r="AM443" s="39">
        <f>'[1]GÖP VERİLERİ'!G444</f>
        <v/>
      </c>
      <c r="AN443" s="34">
        <f>IF(AI443&gt;AM443*1.05,AI443-AM443*1.05,IF(AI443&lt;AM443*0.95,AM443*0.95-AI443,0))</f>
        <v/>
      </c>
      <c r="AO443" s="34">
        <f>MAX(F443,G443,750)*0.05*AN443</f>
        <v/>
      </c>
      <c r="AP443" s="34">
        <f>'[1]GÖP VERİLERİ'!B444</f>
        <v/>
      </c>
      <c r="AQ443" s="34">
        <f>'[1]GÖP VERİLERİ'!C444</f>
        <v/>
      </c>
      <c r="AR443" s="34">
        <f>IF(AP443&gt;AQ443*1.05,AP443-AQ443*1.05,IF(AP443&lt;AQ443*0.95,AQ443*0.95-AP443,0))</f>
        <v/>
      </c>
      <c r="AS443" s="34">
        <f>MAX(F443:G443,750)*0.05*AR443</f>
        <v/>
      </c>
      <c r="AT443">
        <f>'[1]GÖP VERİLERİ'!D444</f>
        <v/>
      </c>
      <c r="AU443" s="34">
        <f>IF(AP443&gt;AT443*1.05,AP443-AT443*1.05,IF(AP443&lt;AT443*0.95,AT443*0.95-AP443,0))</f>
        <v/>
      </c>
      <c r="AV443" s="34">
        <f>MAX(F443:G443,750)*0.05*AU443</f>
        <v/>
      </c>
      <c r="AW443" s="34">
        <f>AC443+AJ443+AQ443</f>
        <v/>
      </c>
      <c r="AX443" s="34">
        <f>AF443+AM443+AT443</f>
        <v/>
      </c>
      <c r="AY443" s="34">
        <f>AB443+AI443+AP443</f>
        <v/>
      </c>
      <c r="AZ443" s="34" t="n">
        <v>0</v>
      </c>
      <c r="BA443" s="34">
        <f>AD443+AK443+AR443</f>
        <v/>
      </c>
      <c r="BB443" s="34">
        <f>MAX(F443:G443,750)*0.05*BA443</f>
        <v/>
      </c>
      <c r="BC443" s="34">
        <f>AG443+AN443+AU443</f>
        <v/>
      </c>
      <c r="BD443" s="34">
        <f>MAX(F443:G443,750)*0.05*BC443</f>
        <v/>
      </c>
      <c r="BE443" s="34">
        <f>F443*AY443</f>
        <v/>
      </c>
      <c r="BF443" s="34">
        <f>K443-M443</f>
        <v/>
      </c>
      <c r="BG443" s="34">
        <f>P443-S443</f>
        <v/>
      </c>
      <c r="BH443" s="34">
        <f>W443-AA443</f>
        <v/>
      </c>
      <c r="BI443" s="34">
        <f>BF443+BG443+BL443-BN443</f>
        <v/>
      </c>
      <c r="BJ443" s="34">
        <f>ABS(BK443)</f>
        <v/>
      </c>
      <c r="BK443" s="34">
        <f>AY443-(J443-L443+N443-Q443)</f>
        <v/>
      </c>
      <c r="BL443" s="34">
        <f>IF(AND(BK443&gt;0,MIN($F443:$G443)&lt;150,$E443="Enerji Açığı"),-100*BK443*1.03,IF(AND(BK443&gt;0,MIN($F443:$G443)&lt;150,$E443="Enerji Fazlası"),-100*BK443*1.06,IF(AND(BK443&gt;0,MIN($F443:$G443)&gt;=150,$E443="Enerji Açığı"),BK443*MIN($F443:$G443)*0.97,IF(AND(BK443&gt;0,MIN($F443:$G443)&gt;=150,$E443="Enerji Fazlası"),BK443*MIN($F443:$G443)*0.94,IF(AND(BK443&lt;0,MAX($F443:$G443)=4500,$E443="Enerji Açığı"),4500*1.05*1.06*BK443,IF(AND(BK443&lt;0,MAX($F443:$G443)=4500,$E443="Enerji Fazlası"),4500*1.05*1.03*BK443,IF(AND(BK443&lt;0,$E443="Enerji Açığı"),MAX($F443,$G443,150)*BK443*1.06,IF(AND(BK443&lt;0,$E443="Enerji Fazlası"),MAX($F443,$G443,150)*BK443*1.03,IF(AND(BK443&lt;0,$E443="Dengede"),MAX($F443:$G443,150)*1.03*BK443,MIN($F443:$G443)*0.97*BK443)))))))))</f>
        <v/>
      </c>
      <c r="BM443" s="34">
        <f>BE443-BI443-BN443</f>
        <v/>
      </c>
      <c r="BN443" s="34">
        <f>BB443</f>
        <v/>
      </c>
      <c r="BO443" s="34">
        <f>BE443-BI443</f>
        <v/>
      </c>
      <c r="BP443" s="34">
        <f>IF(AY443=0,0,BO443/AY443)</f>
        <v/>
      </c>
      <c r="BQ443" s="34">
        <f>MAX((AY443+MAX((-J443+L443-N443+Q443),0)),(MAX((J443-L443+N443-Q443),0)))</f>
        <v/>
      </c>
      <c r="BR443" s="82">
        <f>IFERROR(ABS(BK443/BQ443),0)</f>
        <v/>
      </c>
      <c r="BS443" s="34">
        <f>IF(BR443&lt;=0.1,0,BK443/BR443*(BR443-0.1))</f>
        <v/>
      </c>
      <c r="BT443" s="34">
        <f>IF((BS443)&lt;0,MAX(F443:G443)*(BS443)*1.03,MIN(F443:G443)*(BS443)*0.97)</f>
        <v/>
      </c>
      <c r="BU443" s="34">
        <f>IF(BR443&gt;0.1,1,0)</f>
        <v/>
      </c>
      <c r="BV443" s="34">
        <f>BF443+BG443+BH443+BY443-CA443</f>
        <v/>
      </c>
      <c r="BW443" s="34">
        <f>ABS(BX443)</f>
        <v/>
      </c>
      <c r="BX443" s="34">
        <f>AY443-(J443-L443+N443-Q443+T443-X443)</f>
        <v/>
      </c>
      <c r="BY443" s="34">
        <f>IF(AND(BX443&gt;0,MIN($F443:$G443)&lt;150,$E443="Enerji Açığı"),-100*BX443*1.03,IF(AND(BX443&gt;0,MIN($F443:$G443)&lt;150,$E443="Enerji Fazlası"),-100*BX443*1.06,IF(AND(BX443&gt;0,MIN($F443:$G443)&gt;=150,$E443="Enerji Açığı"),BX443*MIN($F443:$G443)*0.97,IF(AND(BX443&gt;0,MIN($F443:$G443)&gt;=150,$E443="Enerji Fazlası"),BX443*MIN($F443:$G443)*0.94,IF(AND(BX443&lt;0,MAX($F443:$G443)=4500,$E443="Enerji Açığı"),4500*1.05*1.06*BX443,IF(AND(BX443&lt;0,MAX($F443:$G443)=4500,$E443="Enerji Fazlası"),4500*1.05*1.03*BX443,IF(AND(BX443&lt;0,$E443="Enerji Açığı"),MAX($F443,$G443,150)*BX443*1.06,IF(AND(BX443&lt;0,$E443="Enerji Fazlası"),MAX($F443,$G443,150)*BX443*1.03,IF(AND(BX443&lt;0,$E443="Dengede"),MAX($F443:$G443,150)*1.03*BX443,MIN($F443:$G443)*0.97*BX443)))))))))</f>
        <v/>
      </c>
      <c r="BZ443" s="34">
        <f>BE443-BV443-CA443</f>
        <v/>
      </c>
      <c r="CA443" s="34">
        <f>BD443</f>
        <v/>
      </c>
      <c r="CB443" s="33">
        <f>BE443-BV443</f>
        <v/>
      </c>
      <c r="CC443" s="34">
        <f>IF(AY443=0,0,CB443/AY443)</f>
        <v/>
      </c>
      <c r="CD443" s="34">
        <f>MAX((AY443+MAX((-J443+L443-N443+Q443-T443+X443),0)),(MAX((J443-L443+N443-Q443+T443-X443),0)))</f>
        <v/>
      </c>
      <c r="CE443" s="82">
        <f>IFERROR(ABS(BX443/CD443),0)</f>
        <v/>
      </c>
      <c r="CF443" s="34">
        <f>IF(CE443&lt;=0.1,0,BX443/CE443*(CE443-0.1))</f>
        <v/>
      </c>
      <c r="CG443" s="34">
        <f>IF((CF443)&lt;0,MAX(F443:G443)*(CF443)*1.03,MIN(F443:G443)*(CF443)*0.97)</f>
        <v/>
      </c>
      <c r="CH443" s="34">
        <f>IF(CE443&gt;0.1,1,0)</f>
        <v/>
      </c>
      <c r="CI443" s="34">
        <f>(F443*BX443)-BY443</f>
        <v/>
      </c>
      <c r="CJ443" s="34">
        <f>IF(AY443=0,0,CI443/AY443)</f>
        <v/>
      </c>
    </row>
    <row r="444">
      <c r="A444" s="29">
        <f>[1]FİYATLAR!A419</f>
        <v/>
      </c>
      <c r="B444" s="29">
        <f>[1]FİYATLAR!B419</f>
        <v/>
      </c>
      <c r="C444" s="35">
        <f>INT(A444)</f>
        <v/>
      </c>
      <c r="D444" s="36">
        <f>MONTH(A444)</f>
        <v/>
      </c>
      <c r="E444" s="147">
        <f>[1]FİYATLAR!G419</f>
        <v/>
      </c>
      <c r="F444" s="30">
        <f>[1]FİYATLAR!C419</f>
        <v/>
      </c>
      <c r="G444" s="30">
        <f>[1]FİYATLAR!E419</f>
        <v/>
      </c>
      <c r="H444" s="30">
        <f>[1]FİYATLAR!D419</f>
        <v/>
      </c>
      <c r="I444" s="30">
        <f>[1]FİYATLAR!F419</f>
        <v/>
      </c>
      <c r="J444" s="119" t="n">
        <v>0</v>
      </c>
      <c r="K444" s="34">
        <f>F444*J444</f>
        <v/>
      </c>
      <c r="L444" s="119" t="n"/>
      <c r="M444" s="34">
        <f>L444*F444</f>
        <v/>
      </c>
      <c r="N444" s="119" t="n"/>
      <c r="O444" s="34">
        <f>F444</f>
        <v/>
      </c>
      <c r="P444" s="34">
        <f>N444*O444</f>
        <v/>
      </c>
      <c r="Q444" s="117" t="n">
        <v>0</v>
      </c>
      <c r="R444" s="34">
        <f>F444</f>
        <v/>
      </c>
      <c r="S444" s="34">
        <f>R444*Q444</f>
        <v/>
      </c>
      <c r="T444" s="34">
        <f>SUMIFS('[1]GİP VERİLERİ'!$C:$C,'[1]GİP VERİLERİ'!$B:$B,A444,'[1]GİP VERİLERİ'!$M:$M,"40X000000104782K",'[1]GİP VERİLERİ'!$G:$G,"SELL")</f>
        <v/>
      </c>
      <c r="U444" s="34">
        <f>IFERROR(W444/T444,0)</f>
        <v/>
      </c>
      <c r="V444" s="34">
        <f>IF(U444=0,0,U444-F444)</f>
        <v/>
      </c>
      <c r="W444" s="34">
        <f>SUMIFS('[1]GİP VERİLERİ'!$O:$O,'[1]GİP VERİLERİ'!$B:$B,A444,'[1]GİP VERİLERİ'!$M:$M,"40X000000104782K",'[1]GİP VERİLERİ'!$G:$G,"SELL")</f>
        <v/>
      </c>
      <c r="X444" s="34">
        <f>SUMIFS('[1]GİP VERİLERİ'!$C:$C,'[1]GİP VERİLERİ'!$B:$B,A444,'[1]GİP VERİLERİ'!$M:$M,"40X000000104782K",'[1]GİP VERİLERİ'!$G:$G,"BUY")</f>
        <v/>
      </c>
      <c r="Y444" s="34">
        <f>IFERROR(AA444/X444,0)</f>
        <v/>
      </c>
      <c r="Z444" s="34">
        <f>IF(Y444=0,0,F444-Y444)</f>
        <v/>
      </c>
      <c r="AA444" s="34">
        <f>SUMIFS('[1]GİP VERİLERİ'!$O:$O,'[1]GİP VERİLERİ'!$B:$B,A444,'[1]GİP VERİLERİ'!$M:$M,"40X000000104782K",'[1]GİP VERİLERİ'!$G:$G,"BUY")</f>
        <v/>
      </c>
      <c r="AB444" s="34">
        <f>'[1]GÖP VERİLERİ'!H445</f>
        <v/>
      </c>
      <c r="AC444" s="34">
        <f>'[1]GÖP VERİLERİ'!I445</f>
        <v/>
      </c>
      <c r="AD444" s="34">
        <f>IF(AB444&gt;AC444*1.05,AB444-AC444*1.05,IF(AB444&lt;AC444*0.95,AC444*0.95-AB444,0))</f>
        <v/>
      </c>
      <c r="AE444" s="34">
        <f>MAX(F444,G444,750)*0.05*AD444</f>
        <v/>
      </c>
      <c r="AF444" s="34">
        <f>'[1]GÖP VERİLERİ'!J445</f>
        <v/>
      </c>
      <c r="AG444" s="34">
        <f>IF(AB444&gt;AF444*1.05,AB444-AF444*1.05,IF(AB444&lt;AF444*0.95,AF444*0.95-AB444,0))</f>
        <v/>
      </c>
      <c r="AH444" s="34">
        <f>MAX(I444,J444,750)*0.05*AG444</f>
        <v/>
      </c>
      <c r="AI444">
        <f>'[1]GÖP VERİLERİ'!E445</f>
        <v/>
      </c>
      <c r="AJ444">
        <f>'[1]GÖP VERİLERİ'!F445</f>
        <v/>
      </c>
      <c r="AK444" s="34">
        <f>IF(AI444&gt;AJ444*1.05,AI444-AJ444*1.05,IF(AI444&lt;AJ444*0.95,AJ444*0.95-AI444,0))</f>
        <v/>
      </c>
      <c r="AL444" s="34">
        <f>MAX(F444,G444,750)*0.05*AK444</f>
        <v/>
      </c>
      <c r="AM444" s="39">
        <f>'[1]GÖP VERİLERİ'!G445</f>
        <v/>
      </c>
      <c r="AN444" s="34">
        <f>IF(AI444&gt;AM444*1.05,AI444-AM444*1.05,IF(AI444&lt;AM444*0.95,AM444*0.95-AI444,0))</f>
        <v/>
      </c>
      <c r="AO444" s="34">
        <f>MAX(F444,G444,750)*0.05*AN444</f>
        <v/>
      </c>
      <c r="AP444" s="34">
        <f>'[1]GÖP VERİLERİ'!B445</f>
        <v/>
      </c>
      <c r="AQ444" s="34">
        <f>'[1]GÖP VERİLERİ'!C445</f>
        <v/>
      </c>
      <c r="AR444" s="34">
        <f>IF(AP444&gt;AQ444*1.05,AP444-AQ444*1.05,IF(AP444&lt;AQ444*0.95,AQ444*0.95-AP444,0))</f>
        <v/>
      </c>
      <c r="AS444" s="34">
        <f>MAX(F444:G444,750)*0.05*AR444</f>
        <v/>
      </c>
      <c r="AT444">
        <f>'[1]GÖP VERİLERİ'!D445</f>
        <v/>
      </c>
      <c r="AU444" s="34">
        <f>IF(AP444&gt;AT444*1.05,AP444-AT444*1.05,IF(AP444&lt;AT444*0.95,AT444*0.95-AP444,0))</f>
        <v/>
      </c>
      <c r="AV444" s="34">
        <f>MAX(F444:G444,750)*0.05*AU444</f>
        <v/>
      </c>
      <c r="AW444" s="34">
        <f>AC444+AJ444+AQ444</f>
        <v/>
      </c>
      <c r="AX444" s="34">
        <f>AF444+AM444+AT444</f>
        <v/>
      </c>
      <c r="AY444" s="34">
        <f>AB444+AI444+AP444</f>
        <v/>
      </c>
      <c r="AZ444" s="34" t="n">
        <v>0</v>
      </c>
      <c r="BA444" s="34">
        <f>AD444+AK444+AR444</f>
        <v/>
      </c>
      <c r="BB444" s="34">
        <f>MAX(F444:G444,750)*0.05*BA444</f>
        <v/>
      </c>
      <c r="BC444" s="34">
        <f>AG444+AN444+AU444</f>
        <v/>
      </c>
      <c r="BD444" s="34">
        <f>MAX(F444:G444,750)*0.05*BC444</f>
        <v/>
      </c>
      <c r="BE444" s="34">
        <f>F444*AY444</f>
        <v/>
      </c>
      <c r="BF444" s="34">
        <f>K444-M444</f>
        <v/>
      </c>
      <c r="BG444" s="34">
        <f>P444-S444</f>
        <v/>
      </c>
      <c r="BH444" s="34">
        <f>W444-AA444</f>
        <v/>
      </c>
      <c r="BI444" s="34">
        <f>BF444+BG444+BL444-BN444</f>
        <v/>
      </c>
      <c r="BJ444" s="34">
        <f>ABS(BK444)</f>
        <v/>
      </c>
      <c r="BK444" s="34">
        <f>AY444-(J444-L444+N444-Q444)</f>
        <v/>
      </c>
      <c r="BL444" s="34">
        <f>IF(AND(BK444&gt;0,MIN($F444:$G444)&lt;150,$E444="Enerji Açığı"),-100*BK444*1.03,IF(AND(BK444&gt;0,MIN($F444:$G444)&lt;150,$E444="Enerji Fazlası"),-100*BK444*1.06,IF(AND(BK444&gt;0,MIN($F444:$G444)&gt;=150,$E444="Enerji Açığı"),BK444*MIN($F444:$G444)*0.97,IF(AND(BK444&gt;0,MIN($F444:$G444)&gt;=150,$E444="Enerji Fazlası"),BK444*MIN($F444:$G444)*0.94,IF(AND(BK444&lt;0,MAX($F444:$G444)=4500,$E444="Enerji Açığı"),4500*1.05*1.06*BK444,IF(AND(BK444&lt;0,MAX($F444:$G444)=4500,$E444="Enerji Fazlası"),4500*1.05*1.03*BK444,IF(AND(BK444&lt;0,$E444="Enerji Açığı"),MAX($F444,$G444,150)*BK444*1.06,IF(AND(BK444&lt;0,$E444="Enerji Fazlası"),MAX($F444,$G444,150)*BK444*1.03,IF(AND(BK444&lt;0,$E444="Dengede"),MAX($F444:$G444,150)*1.03*BK444,MIN($F444:$G444)*0.97*BK444)))))))))</f>
        <v/>
      </c>
      <c r="BM444" s="34">
        <f>BE444-BI444-BN444</f>
        <v/>
      </c>
      <c r="BN444" s="34">
        <f>BB444</f>
        <v/>
      </c>
      <c r="BO444" s="34">
        <f>BE444-BI444</f>
        <v/>
      </c>
      <c r="BP444" s="34">
        <f>IF(AY444=0,0,BO444/AY444)</f>
        <v/>
      </c>
      <c r="BQ444" s="34">
        <f>MAX((AY444+MAX((-J444+L444-N444+Q444),0)),(MAX((J444-L444+N444-Q444),0)))</f>
        <v/>
      </c>
      <c r="BR444" s="82">
        <f>IFERROR(ABS(BK444/BQ444),0)</f>
        <v/>
      </c>
      <c r="BS444" s="34">
        <f>IF(BR444&lt;=0.1,0,BK444/BR444*(BR444-0.1))</f>
        <v/>
      </c>
      <c r="BT444" s="34">
        <f>IF((BS444)&lt;0,MAX(F444:G444)*(BS444)*1.03,MIN(F444:G444)*(BS444)*0.97)</f>
        <v/>
      </c>
      <c r="BU444" s="34">
        <f>IF(BR444&gt;0.1,1,0)</f>
        <v/>
      </c>
      <c r="BV444" s="34">
        <f>BF444+BG444+BH444+BY444-CA444</f>
        <v/>
      </c>
      <c r="BW444" s="34">
        <f>ABS(BX444)</f>
        <v/>
      </c>
      <c r="BX444" s="34">
        <f>AY444-(J444-L444+N444-Q444+T444-X444)</f>
        <v/>
      </c>
      <c r="BY444" s="34">
        <f>IF(AND(BX444&gt;0,MIN($F444:$G444)&lt;150,$E444="Enerji Açığı"),-100*BX444*1.03,IF(AND(BX444&gt;0,MIN($F444:$G444)&lt;150,$E444="Enerji Fazlası"),-100*BX444*1.06,IF(AND(BX444&gt;0,MIN($F444:$G444)&gt;=150,$E444="Enerji Açığı"),BX444*MIN($F444:$G444)*0.97,IF(AND(BX444&gt;0,MIN($F444:$G444)&gt;=150,$E444="Enerji Fazlası"),BX444*MIN($F444:$G444)*0.94,IF(AND(BX444&lt;0,MAX($F444:$G444)=4500,$E444="Enerji Açığı"),4500*1.05*1.06*BX444,IF(AND(BX444&lt;0,MAX($F444:$G444)=4500,$E444="Enerji Fazlası"),4500*1.05*1.03*BX444,IF(AND(BX444&lt;0,$E444="Enerji Açığı"),MAX($F444,$G444,150)*BX444*1.06,IF(AND(BX444&lt;0,$E444="Enerji Fazlası"),MAX($F444,$G444,150)*BX444*1.03,IF(AND(BX444&lt;0,$E444="Dengede"),MAX($F444:$G444,150)*1.03*BX444,MIN($F444:$G444)*0.97*BX444)))))))))</f>
        <v/>
      </c>
      <c r="BZ444" s="34">
        <f>BE444-BV444-CA444</f>
        <v/>
      </c>
      <c r="CA444" s="34">
        <f>BD444</f>
        <v/>
      </c>
      <c r="CB444" s="33">
        <f>BE444-BV444</f>
        <v/>
      </c>
      <c r="CC444" s="34">
        <f>IF(AY444=0,0,CB444/AY444)</f>
        <v/>
      </c>
      <c r="CD444" s="34">
        <f>MAX((AY444+MAX((-J444+L444-N444+Q444-T444+X444),0)),(MAX((J444-L444+N444-Q444+T444-X444),0)))</f>
        <v/>
      </c>
      <c r="CE444" s="82">
        <f>IFERROR(ABS(BX444/CD444),0)</f>
        <v/>
      </c>
      <c r="CF444" s="34">
        <f>IF(CE444&lt;=0.1,0,BX444/CE444*(CE444-0.1))</f>
        <v/>
      </c>
      <c r="CG444" s="34">
        <f>IF((CF444)&lt;0,MAX(F444:G444)*(CF444)*1.03,MIN(F444:G444)*(CF444)*0.97)</f>
        <v/>
      </c>
      <c r="CH444" s="34">
        <f>IF(CE444&gt;0.1,1,0)</f>
        <v/>
      </c>
      <c r="CI444" s="34">
        <f>(F444*BX444)-BY444</f>
        <v/>
      </c>
      <c r="CJ444" s="34">
        <f>IF(AY444=0,0,CI444/AY444)</f>
        <v/>
      </c>
    </row>
    <row r="445">
      <c r="A445" s="29">
        <f>[1]FİYATLAR!A420</f>
        <v/>
      </c>
      <c r="B445" s="29">
        <f>[1]FİYATLAR!B420</f>
        <v/>
      </c>
      <c r="C445" s="35">
        <f>INT(A445)</f>
        <v/>
      </c>
      <c r="D445" s="36">
        <f>MONTH(A445)</f>
        <v/>
      </c>
      <c r="E445" s="147">
        <f>[1]FİYATLAR!G420</f>
        <v/>
      </c>
      <c r="F445" s="30">
        <f>[1]FİYATLAR!C420</f>
        <v/>
      </c>
      <c r="G445" s="30">
        <f>[1]FİYATLAR!E420</f>
        <v/>
      </c>
      <c r="H445" s="30">
        <f>[1]FİYATLAR!D420</f>
        <v/>
      </c>
      <c r="I445" s="30">
        <f>[1]FİYATLAR!F420</f>
        <v/>
      </c>
      <c r="J445" s="119" t="n">
        <v>0</v>
      </c>
      <c r="K445" s="34">
        <f>F445*J445</f>
        <v/>
      </c>
      <c r="L445" s="119" t="n"/>
      <c r="M445" s="34">
        <f>L445*F445</f>
        <v/>
      </c>
      <c r="N445" s="119" t="n"/>
      <c r="O445" s="34">
        <f>F445</f>
        <v/>
      </c>
      <c r="P445" s="34">
        <f>N445*O445</f>
        <v/>
      </c>
      <c r="Q445" s="117" t="n">
        <v>0</v>
      </c>
      <c r="R445" s="34">
        <f>F445</f>
        <v/>
      </c>
      <c r="S445" s="34">
        <f>R445*Q445</f>
        <v/>
      </c>
      <c r="T445" s="34">
        <f>SUMIFS('[1]GİP VERİLERİ'!$C:$C,'[1]GİP VERİLERİ'!$B:$B,A445,'[1]GİP VERİLERİ'!$M:$M,"40X000000104782K",'[1]GİP VERİLERİ'!$G:$G,"SELL")</f>
        <v/>
      </c>
      <c r="U445" s="34">
        <f>IFERROR(W445/T445,0)</f>
        <v/>
      </c>
      <c r="V445" s="34">
        <f>IF(U445=0,0,U445-F445)</f>
        <v/>
      </c>
      <c r="W445" s="34">
        <f>SUMIFS('[1]GİP VERİLERİ'!$O:$O,'[1]GİP VERİLERİ'!$B:$B,A445,'[1]GİP VERİLERİ'!$M:$M,"40X000000104782K",'[1]GİP VERİLERİ'!$G:$G,"SELL")</f>
        <v/>
      </c>
      <c r="X445" s="34">
        <f>SUMIFS('[1]GİP VERİLERİ'!$C:$C,'[1]GİP VERİLERİ'!$B:$B,A445,'[1]GİP VERİLERİ'!$M:$M,"40X000000104782K",'[1]GİP VERİLERİ'!$G:$G,"BUY")</f>
        <v/>
      </c>
      <c r="Y445" s="34">
        <f>IFERROR(AA445/X445,0)</f>
        <v/>
      </c>
      <c r="Z445" s="34">
        <f>IF(Y445=0,0,F445-Y445)</f>
        <v/>
      </c>
      <c r="AA445" s="34">
        <f>SUMIFS('[1]GİP VERİLERİ'!$O:$O,'[1]GİP VERİLERİ'!$B:$B,A445,'[1]GİP VERİLERİ'!$M:$M,"40X000000104782K",'[1]GİP VERİLERİ'!$G:$G,"BUY")</f>
        <v/>
      </c>
      <c r="AB445" s="34">
        <f>'[1]GÖP VERİLERİ'!H446</f>
        <v/>
      </c>
      <c r="AC445" s="34">
        <f>'[1]GÖP VERİLERİ'!I446</f>
        <v/>
      </c>
      <c r="AD445" s="34">
        <f>IF(AB445&gt;AC445*1.05,AB445-AC445*1.05,IF(AB445&lt;AC445*0.95,AC445*0.95-AB445,0))</f>
        <v/>
      </c>
      <c r="AE445" s="34">
        <f>MAX(F445,G445,750)*0.05*AD445</f>
        <v/>
      </c>
      <c r="AF445" s="34">
        <f>'[1]GÖP VERİLERİ'!J446</f>
        <v/>
      </c>
      <c r="AG445" s="34">
        <f>IF(AB445&gt;AF445*1.05,AB445-AF445*1.05,IF(AB445&lt;AF445*0.95,AF445*0.95-AB445,0))</f>
        <v/>
      </c>
      <c r="AH445" s="34">
        <f>MAX(I445,J445,750)*0.05*AG445</f>
        <v/>
      </c>
      <c r="AI445">
        <f>'[1]GÖP VERİLERİ'!E446</f>
        <v/>
      </c>
      <c r="AJ445">
        <f>'[1]GÖP VERİLERİ'!F446</f>
        <v/>
      </c>
      <c r="AK445" s="34">
        <f>IF(AI445&gt;AJ445*1.05,AI445-AJ445*1.05,IF(AI445&lt;AJ445*0.95,AJ445*0.95-AI445,0))</f>
        <v/>
      </c>
      <c r="AL445" s="34">
        <f>MAX(F445,G445,750)*0.05*AK445</f>
        <v/>
      </c>
      <c r="AM445" s="39">
        <f>'[1]GÖP VERİLERİ'!G446</f>
        <v/>
      </c>
      <c r="AN445" s="34">
        <f>IF(AI445&gt;AM445*1.05,AI445-AM445*1.05,IF(AI445&lt;AM445*0.95,AM445*0.95-AI445,0))</f>
        <v/>
      </c>
      <c r="AO445" s="34">
        <f>MAX(F445,G445,750)*0.05*AN445</f>
        <v/>
      </c>
      <c r="AP445" s="34">
        <f>'[1]GÖP VERİLERİ'!B446</f>
        <v/>
      </c>
      <c r="AQ445" s="34">
        <f>'[1]GÖP VERİLERİ'!C446</f>
        <v/>
      </c>
      <c r="AR445" s="34">
        <f>IF(AP445&gt;AQ445*1.05,AP445-AQ445*1.05,IF(AP445&lt;AQ445*0.95,AQ445*0.95-AP445,0))</f>
        <v/>
      </c>
      <c r="AS445" s="34">
        <f>MAX(F445:G445,750)*0.05*AR445</f>
        <v/>
      </c>
      <c r="AT445">
        <f>'[1]GÖP VERİLERİ'!D446</f>
        <v/>
      </c>
      <c r="AU445" s="34">
        <f>IF(AP445&gt;AT445*1.05,AP445-AT445*1.05,IF(AP445&lt;AT445*0.95,AT445*0.95-AP445,0))</f>
        <v/>
      </c>
      <c r="AV445" s="34">
        <f>MAX(F445:G445,750)*0.05*AU445</f>
        <v/>
      </c>
      <c r="AW445" s="34">
        <f>AC445+AJ445+AQ445</f>
        <v/>
      </c>
      <c r="AX445" s="34">
        <f>AF445+AM445+AT445</f>
        <v/>
      </c>
      <c r="AY445" s="34">
        <f>AB445+AI445+AP445</f>
        <v/>
      </c>
      <c r="AZ445" s="34" t="n">
        <v>0</v>
      </c>
      <c r="BA445" s="34">
        <f>AD445+AK445+AR445</f>
        <v/>
      </c>
      <c r="BB445" s="34">
        <f>MAX(F445:G445,750)*0.05*BA445</f>
        <v/>
      </c>
      <c r="BC445" s="34">
        <f>AG445+AN445+AU445</f>
        <v/>
      </c>
      <c r="BD445" s="34">
        <f>MAX(F445:G445,750)*0.05*BC445</f>
        <v/>
      </c>
      <c r="BE445" s="34">
        <f>F445*AY445</f>
        <v/>
      </c>
      <c r="BF445" s="34">
        <f>K445-M445</f>
        <v/>
      </c>
      <c r="BG445" s="34">
        <f>P445-S445</f>
        <v/>
      </c>
      <c r="BH445" s="34">
        <f>W445-AA445</f>
        <v/>
      </c>
      <c r="BI445" s="34">
        <f>BF445+BG445+BL445-BN445</f>
        <v/>
      </c>
      <c r="BJ445" s="34">
        <f>ABS(BK445)</f>
        <v/>
      </c>
      <c r="BK445" s="34">
        <f>AY445-(J445-L445+N445-Q445)</f>
        <v/>
      </c>
      <c r="BL445" s="34">
        <f>IF(AND(BK445&gt;0,MIN($F445:$G445)&lt;150,$E445="Enerji Açığı"),-100*BK445*1.03,IF(AND(BK445&gt;0,MIN($F445:$G445)&lt;150,$E445="Enerji Fazlası"),-100*BK445*1.06,IF(AND(BK445&gt;0,MIN($F445:$G445)&gt;=150,$E445="Enerji Açığı"),BK445*MIN($F445:$G445)*0.97,IF(AND(BK445&gt;0,MIN($F445:$G445)&gt;=150,$E445="Enerji Fazlası"),BK445*MIN($F445:$G445)*0.94,IF(AND(BK445&lt;0,MAX($F445:$G445)=4500,$E445="Enerji Açığı"),4500*1.05*1.06*BK445,IF(AND(BK445&lt;0,MAX($F445:$G445)=4500,$E445="Enerji Fazlası"),4500*1.05*1.03*BK445,IF(AND(BK445&lt;0,$E445="Enerji Açığı"),MAX($F445,$G445,150)*BK445*1.06,IF(AND(BK445&lt;0,$E445="Enerji Fazlası"),MAX($F445,$G445,150)*BK445*1.03,IF(AND(BK445&lt;0,$E445="Dengede"),MAX($F445:$G445,150)*1.03*BK445,MIN($F445:$G445)*0.97*BK445)))))))))</f>
        <v/>
      </c>
      <c r="BM445" s="34">
        <f>BE445-BI445-BN445</f>
        <v/>
      </c>
      <c r="BN445" s="34">
        <f>BB445</f>
        <v/>
      </c>
      <c r="BO445" s="34">
        <f>BE445-BI445</f>
        <v/>
      </c>
      <c r="BP445" s="34">
        <f>IF(AY445=0,0,BO445/AY445)</f>
        <v/>
      </c>
      <c r="BQ445" s="34">
        <f>MAX((AY445+MAX((-J445+L445-N445+Q445),0)),(MAX((J445-L445+N445-Q445),0)))</f>
        <v/>
      </c>
      <c r="BR445" s="82">
        <f>IFERROR(ABS(BK445/BQ445),0)</f>
        <v/>
      </c>
      <c r="BS445" s="34">
        <f>IF(BR445&lt;=0.1,0,BK445/BR445*(BR445-0.1))</f>
        <v/>
      </c>
      <c r="BT445" s="34">
        <f>IF((BS445)&lt;0,MAX(F445:G445)*(BS445)*1.03,MIN(F445:G445)*(BS445)*0.97)</f>
        <v/>
      </c>
      <c r="BU445" s="34">
        <f>IF(BR445&gt;0.1,1,0)</f>
        <v/>
      </c>
      <c r="BV445" s="34">
        <f>BF445+BG445+BH445+BY445-CA445</f>
        <v/>
      </c>
      <c r="BW445" s="34">
        <f>ABS(BX445)</f>
        <v/>
      </c>
      <c r="BX445" s="34">
        <f>AY445-(J445-L445+N445-Q445+T445-X445)</f>
        <v/>
      </c>
      <c r="BY445" s="34">
        <f>IF(AND(BX445&gt;0,MIN($F445:$G445)&lt;150,$E445="Enerji Açığı"),-100*BX445*1.03,IF(AND(BX445&gt;0,MIN($F445:$G445)&lt;150,$E445="Enerji Fazlası"),-100*BX445*1.06,IF(AND(BX445&gt;0,MIN($F445:$G445)&gt;=150,$E445="Enerji Açığı"),BX445*MIN($F445:$G445)*0.97,IF(AND(BX445&gt;0,MIN($F445:$G445)&gt;=150,$E445="Enerji Fazlası"),BX445*MIN($F445:$G445)*0.94,IF(AND(BX445&lt;0,MAX($F445:$G445)=4500,$E445="Enerji Açığı"),4500*1.05*1.06*BX445,IF(AND(BX445&lt;0,MAX($F445:$G445)=4500,$E445="Enerji Fazlası"),4500*1.05*1.03*BX445,IF(AND(BX445&lt;0,$E445="Enerji Açığı"),MAX($F445,$G445,150)*BX445*1.06,IF(AND(BX445&lt;0,$E445="Enerji Fazlası"),MAX($F445,$G445,150)*BX445*1.03,IF(AND(BX445&lt;0,$E445="Dengede"),MAX($F445:$G445,150)*1.03*BX445,MIN($F445:$G445)*0.97*BX445)))))))))</f>
        <v/>
      </c>
      <c r="BZ445" s="34">
        <f>BE445-BV445-CA445</f>
        <v/>
      </c>
      <c r="CA445" s="34">
        <f>BD445</f>
        <v/>
      </c>
      <c r="CB445" s="33">
        <f>BE445-BV445</f>
        <v/>
      </c>
      <c r="CC445" s="34">
        <f>IF(AY445=0,0,CB445/AY445)</f>
        <v/>
      </c>
      <c r="CD445" s="34">
        <f>MAX((AY445+MAX((-J445+L445-N445+Q445-T445+X445),0)),(MAX((J445-L445+N445-Q445+T445-X445),0)))</f>
        <v/>
      </c>
      <c r="CE445" s="82">
        <f>IFERROR(ABS(BX445/CD445),0)</f>
        <v/>
      </c>
      <c r="CF445" s="34">
        <f>IF(CE445&lt;=0.1,0,BX445/CE445*(CE445-0.1))</f>
        <v/>
      </c>
      <c r="CG445" s="34">
        <f>IF((CF445)&lt;0,MAX(F445:G445)*(CF445)*1.03,MIN(F445:G445)*(CF445)*0.97)</f>
        <v/>
      </c>
      <c r="CH445" s="34">
        <f>IF(CE445&gt;0.1,1,0)</f>
        <v/>
      </c>
      <c r="CI445" s="34">
        <f>(F445*BX445)-BY445</f>
        <v/>
      </c>
      <c r="CJ445" s="34">
        <f>IF(AY445=0,0,CI445/AY445)</f>
        <v/>
      </c>
    </row>
    <row r="446">
      <c r="A446" s="29">
        <f>[1]FİYATLAR!A421</f>
        <v/>
      </c>
      <c r="B446" s="29">
        <f>[1]FİYATLAR!B421</f>
        <v/>
      </c>
      <c r="C446" s="35">
        <f>INT(A446)</f>
        <v/>
      </c>
      <c r="D446" s="36">
        <f>MONTH(A446)</f>
        <v/>
      </c>
      <c r="E446" s="147">
        <f>[1]FİYATLAR!G421</f>
        <v/>
      </c>
      <c r="F446" s="30">
        <f>[1]FİYATLAR!C421</f>
        <v/>
      </c>
      <c r="G446" s="30">
        <f>[1]FİYATLAR!E421</f>
        <v/>
      </c>
      <c r="H446" s="30">
        <f>[1]FİYATLAR!D421</f>
        <v/>
      </c>
      <c r="I446" s="30">
        <f>[1]FİYATLAR!F421</f>
        <v/>
      </c>
      <c r="J446" s="119" t="n">
        <v>0</v>
      </c>
      <c r="K446" s="34">
        <f>F446*J446</f>
        <v/>
      </c>
      <c r="L446" s="119" t="n"/>
      <c r="M446" s="34">
        <f>L446*F446</f>
        <v/>
      </c>
      <c r="N446" s="119" t="n"/>
      <c r="O446" s="34">
        <f>F446</f>
        <v/>
      </c>
      <c r="P446" s="34">
        <f>N446*O446</f>
        <v/>
      </c>
      <c r="Q446" s="117" t="n">
        <v>0</v>
      </c>
      <c r="R446" s="34">
        <f>F446</f>
        <v/>
      </c>
      <c r="S446" s="34">
        <f>R446*Q446</f>
        <v/>
      </c>
      <c r="T446" s="34">
        <f>SUMIFS('[1]GİP VERİLERİ'!$C:$C,'[1]GİP VERİLERİ'!$B:$B,A446,'[1]GİP VERİLERİ'!$M:$M,"40X000000104782K",'[1]GİP VERİLERİ'!$G:$G,"SELL")</f>
        <v/>
      </c>
      <c r="U446" s="34">
        <f>IFERROR(W446/T446,0)</f>
        <v/>
      </c>
      <c r="V446" s="34">
        <f>IF(U446=0,0,U446-F446)</f>
        <v/>
      </c>
      <c r="W446" s="34">
        <f>SUMIFS('[1]GİP VERİLERİ'!$O:$O,'[1]GİP VERİLERİ'!$B:$B,A446,'[1]GİP VERİLERİ'!$M:$M,"40X000000104782K",'[1]GİP VERİLERİ'!$G:$G,"SELL")</f>
        <v/>
      </c>
      <c r="X446" s="34">
        <f>SUMIFS('[1]GİP VERİLERİ'!$C:$C,'[1]GİP VERİLERİ'!$B:$B,A446,'[1]GİP VERİLERİ'!$M:$M,"40X000000104782K",'[1]GİP VERİLERİ'!$G:$G,"BUY")</f>
        <v/>
      </c>
      <c r="Y446" s="34">
        <f>IFERROR(AA446/X446,0)</f>
        <v/>
      </c>
      <c r="Z446" s="34">
        <f>IF(Y446=0,0,F446-Y446)</f>
        <v/>
      </c>
      <c r="AA446" s="34">
        <f>SUMIFS('[1]GİP VERİLERİ'!$O:$O,'[1]GİP VERİLERİ'!$B:$B,A446,'[1]GİP VERİLERİ'!$M:$M,"40X000000104782K",'[1]GİP VERİLERİ'!$G:$G,"BUY")</f>
        <v/>
      </c>
      <c r="AB446" s="34">
        <f>'[1]GÖP VERİLERİ'!H447</f>
        <v/>
      </c>
      <c r="AC446" s="34">
        <f>'[1]GÖP VERİLERİ'!I447</f>
        <v/>
      </c>
      <c r="AD446" s="34">
        <f>IF(AB446&gt;AC446*1.05,AB446-AC446*1.05,IF(AB446&lt;AC446*0.95,AC446*0.95-AB446,0))</f>
        <v/>
      </c>
      <c r="AE446" s="34">
        <f>MAX(F446,G446,750)*0.05*AD446</f>
        <v/>
      </c>
      <c r="AF446" s="34">
        <f>'[1]GÖP VERİLERİ'!J447</f>
        <v/>
      </c>
      <c r="AG446" s="34">
        <f>IF(AB446&gt;AF446*1.05,AB446-AF446*1.05,IF(AB446&lt;AF446*0.95,AF446*0.95-AB446,0))</f>
        <v/>
      </c>
      <c r="AH446" s="34">
        <f>MAX(I446,J446,750)*0.05*AG446</f>
        <v/>
      </c>
      <c r="AI446">
        <f>'[1]GÖP VERİLERİ'!E447</f>
        <v/>
      </c>
      <c r="AJ446">
        <f>'[1]GÖP VERİLERİ'!F447</f>
        <v/>
      </c>
      <c r="AK446" s="34">
        <f>IF(AI446&gt;AJ446*1.05,AI446-AJ446*1.05,IF(AI446&lt;AJ446*0.95,AJ446*0.95-AI446,0))</f>
        <v/>
      </c>
      <c r="AL446" s="34">
        <f>MAX(F446,G446,750)*0.05*AK446</f>
        <v/>
      </c>
      <c r="AM446" s="39">
        <f>'[1]GÖP VERİLERİ'!G447</f>
        <v/>
      </c>
      <c r="AN446" s="34">
        <f>IF(AI446&gt;AM446*1.05,AI446-AM446*1.05,IF(AI446&lt;AM446*0.95,AM446*0.95-AI446,0))</f>
        <v/>
      </c>
      <c r="AO446" s="34">
        <f>MAX(F446,G446,750)*0.05*AN446</f>
        <v/>
      </c>
      <c r="AP446" s="34">
        <f>'[1]GÖP VERİLERİ'!B447</f>
        <v/>
      </c>
      <c r="AQ446" s="34">
        <f>'[1]GÖP VERİLERİ'!C447</f>
        <v/>
      </c>
      <c r="AR446" s="34">
        <f>IF(AP446&gt;AQ446*1.05,AP446-AQ446*1.05,IF(AP446&lt;AQ446*0.95,AQ446*0.95-AP446,0))</f>
        <v/>
      </c>
      <c r="AS446" s="34">
        <f>MAX(F446:G446,750)*0.05*AR446</f>
        <v/>
      </c>
      <c r="AT446">
        <f>'[1]GÖP VERİLERİ'!D447</f>
        <v/>
      </c>
      <c r="AU446" s="34">
        <f>IF(AP446&gt;AT446*1.05,AP446-AT446*1.05,IF(AP446&lt;AT446*0.95,AT446*0.95-AP446,0))</f>
        <v/>
      </c>
      <c r="AV446" s="34">
        <f>MAX(F446:G446,750)*0.05*AU446</f>
        <v/>
      </c>
      <c r="AW446" s="34">
        <f>AC446+AJ446+AQ446</f>
        <v/>
      </c>
      <c r="AX446" s="34">
        <f>AF446+AM446+AT446</f>
        <v/>
      </c>
      <c r="AY446" s="34">
        <f>AB446+AI446+AP446</f>
        <v/>
      </c>
      <c r="AZ446" s="34" t="n">
        <v>0</v>
      </c>
      <c r="BA446" s="34">
        <f>AD446+AK446+AR446</f>
        <v/>
      </c>
      <c r="BB446" s="34">
        <f>MAX(F446:G446,750)*0.05*BA446</f>
        <v/>
      </c>
      <c r="BC446" s="34">
        <f>AG446+AN446+AU446</f>
        <v/>
      </c>
      <c r="BD446" s="34">
        <f>MAX(F446:G446,750)*0.05*BC446</f>
        <v/>
      </c>
      <c r="BE446" s="34">
        <f>F446*AY446</f>
        <v/>
      </c>
      <c r="BF446" s="34">
        <f>K446-M446</f>
        <v/>
      </c>
      <c r="BG446" s="34">
        <f>P446-S446</f>
        <v/>
      </c>
      <c r="BH446" s="34">
        <f>W446-AA446</f>
        <v/>
      </c>
      <c r="BI446" s="34">
        <f>BF446+BG446+BL446-BN446</f>
        <v/>
      </c>
      <c r="BJ446" s="34">
        <f>ABS(BK446)</f>
        <v/>
      </c>
      <c r="BK446" s="34">
        <f>AY446-(J446-L446+N446-Q446)</f>
        <v/>
      </c>
      <c r="BL446" s="34">
        <f>IF(AND(BK446&gt;0,MIN($F446:$G446)&lt;150,$E446="Enerji Açığı"),-100*BK446*1.03,IF(AND(BK446&gt;0,MIN($F446:$G446)&lt;150,$E446="Enerji Fazlası"),-100*BK446*1.06,IF(AND(BK446&gt;0,MIN($F446:$G446)&gt;=150,$E446="Enerji Açığı"),BK446*MIN($F446:$G446)*0.97,IF(AND(BK446&gt;0,MIN($F446:$G446)&gt;=150,$E446="Enerji Fazlası"),BK446*MIN($F446:$G446)*0.94,IF(AND(BK446&lt;0,MAX($F446:$G446)=4500,$E446="Enerji Açığı"),4500*1.05*1.06*BK446,IF(AND(BK446&lt;0,MAX($F446:$G446)=4500,$E446="Enerji Fazlası"),4500*1.05*1.03*BK446,IF(AND(BK446&lt;0,$E446="Enerji Açığı"),MAX($F446,$G446,150)*BK446*1.06,IF(AND(BK446&lt;0,$E446="Enerji Fazlası"),MAX($F446,$G446,150)*BK446*1.03,IF(AND(BK446&lt;0,$E446="Dengede"),MAX($F446:$G446,150)*1.03*BK446,MIN($F446:$G446)*0.97*BK446)))))))))</f>
        <v/>
      </c>
      <c r="BM446" s="34">
        <f>BE446-BI446-BN446</f>
        <v/>
      </c>
      <c r="BN446" s="34">
        <f>BB446</f>
        <v/>
      </c>
      <c r="BO446" s="34">
        <f>BE446-BI446</f>
        <v/>
      </c>
      <c r="BP446" s="34">
        <f>IF(AY446=0,0,BO446/AY446)</f>
        <v/>
      </c>
      <c r="BQ446" s="34">
        <f>MAX((AY446+MAX((-J446+L446-N446+Q446),0)),(MAX((J446-L446+N446-Q446),0)))</f>
        <v/>
      </c>
      <c r="BR446" s="82">
        <f>IFERROR(ABS(BK446/BQ446),0)</f>
        <v/>
      </c>
      <c r="BS446" s="34">
        <f>IF(BR446&lt;=0.1,0,BK446/BR446*(BR446-0.1))</f>
        <v/>
      </c>
      <c r="BT446" s="34">
        <f>IF((BS446)&lt;0,MAX(F446:G446)*(BS446)*1.03,MIN(F446:G446)*(BS446)*0.97)</f>
        <v/>
      </c>
      <c r="BU446" s="34">
        <f>IF(BR446&gt;0.1,1,0)</f>
        <v/>
      </c>
      <c r="BV446" s="34">
        <f>BF446+BG446+BH446+BY446-CA446</f>
        <v/>
      </c>
      <c r="BW446" s="34">
        <f>ABS(BX446)</f>
        <v/>
      </c>
      <c r="BX446" s="34">
        <f>AY446-(J446-L446+N446-Q446+T446-X446)</f>
        <v/>
      </c>
      <c r="BY446" s="34">
        <f>IF(AND(BX446&gt;0,MIN($F446:$G446)&lt;150,$E446="Enerji Açığı"),-100*BX446*1.03,IF(AND(BX446&gt;0,MIN($F446:$G446)&lt;150,$E446="Enerji Fazlası"),-100*BX446*1.06,IF(AND(BX446&gt;0,MIN($F446:$G446)&gt;=150,$E446="Enerji Açığı"),BX446*MIN($F446:$G446)*0.97,IF(AND(BX446&gt;0,MIN($F446:$G446)&gt;=150,$E446="Enerji Fazlası"),BX446*MIN($F446:$G446)*0.94,IF(AND(BX446&lt;0,MAX($F446:$G446)=4500,$E446="Enerji Açığı"),4500*1.05*1.06*BX446,IF(AND(BX446&lt;0,MAX($F446:$G446)=4500,$E446="Enerji Fazlası"),4500*1.05*1.03*BX446,IF(AND(BX446&lt;0,$E446="Enerji Açığı"),MAX($F446,$G446,150)*BX446*1.06,IF(AND(BX446&lt;0,$E446="Enerji Fazlası"),MAX($F446,$G446,150)*BX446*1.03,IF(AND(BX446&lt;0,$E446="Dengede"),MAX($F446:$G446,150)*1.03*BX446,MIN($F446:$G446)*0.97*BX446)))))))))</f>
        <v/>
      </c>
      <c r="BZ446" s="34">
        <f>BE446-BV446-CA446</f>
        <v/>
      </c>
      <c r="CA446" s="34">
        <f>BD446</f>
        <v/>
      </c>
      <c r="CB446" s="33">
        <f>BE446-BV446</f>
        <v/>
      </c>
      <c r="CC446" s="34">
        <f>IF(AY446=0,0,CB446/AY446)</f>
        <v/>
      </c>
      <c r="CD446" s="34">
        <f>MAX((AY446+MAX((-J446+L446-N446+Q446-T446+X446),0)),(MAX((J446-L446+N446-Q446+T446-X446),0)))</f>
        <v/>
      </c>
      <c r="CE446" s="82">
        <f>IFERROR(ABS(BX446/CD446),0)</f>
        <v/>
      </c>
      <c r="CF446" s="34">
        <f>IF(CE446&lt;=0.1,0,BX446/CE446*(CE446-0.1))</f>
        <v/>
      </c>
      <c r="CG446" s="34">
        <f>IF((CF446)&lt;0,MAX(F446:G446)*(CF446)*1.03,MIN(F446:G446)*(CF446)*0.97)</f>
        <v/>
      </c>
      <c r="CH446" s="34">
        <f>IF(CE446&gt;0.1,1,0)</f>
        <v/>
      </c>
      <c r="CI446" s="34">
        <f>(F446*BX446)-BY446</f>
        <v/>
      </c>
      <c r="CJ446" s="34">
        <f>IF(AY446=0,0,CI446/AY446)</f>
        <v/>
      </c>
    </row>
    <row r="447">
      <c r="A447" s="29">
        <f>[1]FİYATLAR!A422</f>
        <v/>
      </c>
      <c r="B447" s="29">
        <f>[1]FİYATLAR!B422</f>
        <v/>
      </c>
      <c r="C447" s="35">
        <f>INT(A447)</f>
        <v/>
      </c>
      <c r="D447" s="36">
        <f>MONTH(A447)</f>
        <v/>
      </c>
      <c r="E447" s="147">
        <f>[1]FİYATLAR!G422</f>
        <v/>
      </c>
      <c r="F447" s="30">
        <f>[1]FİYATLAR!C422</f>
        <v/>
      </c>
      <c r="G447" s="30">
        <f>[1]FİYATLAR!E422</f>
        <v/>
      </c>
      <c r="H447" s="30">
        <f>[1]FİYATLAR!D422</f>
        <v/>
      </c>
      <c r="I447" s="30">
        <f>[1]FİYATLAR!F422</f>
        <v/>
      </c>
      <c r="J447" s="119" t="n">
        <v>0</v>
      </c>
      <c r="K447" s="34">
        <f>F447*J447</f>
        <v/>
      </c>
      <c r="L447" s="119" t="n"/>
      <c r="M447" s="34">
        <f>L447*F447</f>
        <v/>
      </c>
      <c r="N447" s="119" t="n"/>
      <c r="O447" s="34">
        <f>F447</f>
        <v/>
      </c>
      <c r="P447" s="34">
        <f>N447*O447</f>
        <v/>
      </c>
      <c r="Q447" s="117" t="n">
        <v>0</v>
      </c>
      <c r="R447" s="34">
        <f>F447</f>
        <v/>
      </c>
      <c r="S447" s="34">
        <f>R447*Q447</f>
        <v/>
      </c>
      <c r="T447" s="34">
        <f>SUMIFS('[1]GİP VERİLERİ'!$C:$C,'[1]GİP VERİLERİ'!$B:$B,A447,'[1]GİP VERİLERİ'!$M:$M,"40X000000104782K",'[1]GİP VERİLERİ'!$G:$G,"SELL")</f>
        <v/>
      </c>
      <c r="U447" s="34">
        <f>IFERROR(W447/T447,0)</f>
        <v/>
      </c>
      <c r="V447" s="34">
        <f>IF(U447=0,0,U447-F447)</f>
        <v/>
      </c>
      <c r="W447" s="34">
        <f>SUMIFS('[1]GİP VERİLERİ'!$O:$O,'[1]GİP VERİLERİ'!$B:$B,A447,'[1]GİP VERİLERİ'!$M:$M,"40X000000104782K",'[1]GİP VERİLERİ'!$G:$G,"SELL")</f>
        <v/>
      </c>
      <c r="X447" s="34">
        <f>SUMIFS('[1]GİP VERİLERİ'!$C:$C,'[1]GİP VERİLERİ'!$B:$B,A447,'[1]GİP VERİLERİ'!$M:$M,"40X000000104782K",'[1]GİP VERİLERİ'!$G:$G,"BUY")</f>
        <v/>
      </c>
      <c r="Y447" s="34">
        <f>IFERROR(AA447/X447,0)</f>
        <v/>
      </c>
      <c r="Z447" s="34">
        <f>IF(Y447=0,0,F447-Y447)</f>
        <v/>
      </c>
      <c r="AA447" s="34">
        <f>SUMIFS('[1]GİP VERİLERİ'!$O:$O,'[1]GİP VERİLERİ'!$B:$B,A447,'[1]GİP VERİLERİ'!$M:$M,"40X000000104782K",'[1]GİP VERİLERİ'!$G:$G,"BUY")</f>
        <v/>
      </c>
      <c r="AB447" s="34">
        <f>'[1]GÖP VERİLERİ'!H448</f>
        <v/>
      </c>
      <c r="AC447" s="34">
        <f>'[1]GÖP VERİLERİ'!I448</f>
        <v/>
      </c>
      <c r="AD447" s="34">
        <f>IF(AB447&gt;AC447*1.05,AB447-AC447*1.05,IF(AB447&lt;AC447*0.95,AC447*0.95-AB447,0))</f>
        <v/>
      </c>
      <c r="AE447" s="34">
        <f>MAX(F447,G447,750)*0.05*AD447</f>
        <v/>
      </c>
      <c r="AF447" s="34">
        <f>'[1]GÖP VERİLERİ'!J448</f>
        <v/>
      </c>
      <c r="AG447" s="34">
        <f>IF(AB447&gt;AF447*1.05,AB447-AF447*1.05,IF(AB447&lt;AF447*0.95,AF447*0.95-AB447,0))</f>
        <v/>
      </c>
      <c r="AH447" s="34">
        <f>MAX(I447,J447,750)*0.05*AG447</f>
        <v/>
      </c>
      <c r="AI447">
        <f>'[1]GÖP VERİLERİ'!E448</f>
        <v/>
      </c>
      <c r="AJ447">
        <f>'[1]GÖP VERİLERİ'!F448</f>
        <v/>
      </c>
      <c r="AK447" s="34">
        <f>IF(AI447&gt;AJ447*1.05,AI447-AJ447*1.05,IF(AI447&lt;AJ447*0.95,AJ447*0.95-AI447,0))</f>
        <v/>
      </c>
      <c r="AL447" s="34">
        <f>MAX(F447,G447,750)*0.05*AK447</f>
        <v/>
      </c>
      <c r="AM447" s="39">
        <f>'[1]GÖP VERİLERİ'!G448</f>
        <v/>
      </c>
      <c r="AN447" s="34">
        <f>IF(AI447&gt;AM447*1.05,AI447-AM447*1.05,IF(AI447&lt;AM447*0.95,AM447*0.95-AI447,0))</f>
        <v/>
      </c>
      <c r="AO447" s="34">
        <f>MAX(F447,G447,750)*0.05*AN447</f>
        <v/>
      </c>
      <c r="AP447" s="34">
        <f>'[1]GÖP VERİLERİ'!B448</f>
        <v/>
      </c>
      <c r="AQ447" s="34">
        <f>'[1]GÖP VERİLERİ'!C448</f>
        <v/>
      </c>
      <c r="AR447" s="34">
        <f>IF(AP447&gt;AQ447*1.05,AP447-AQ447*1.05,IF(AP447&lt;AQ447*0.95,AQ447*0.95-AP447,0))</f>
        <v/>
      </c>
      <c r="AS447" s="34">
        <f>MAX(F447:G447,750)*0.05*AR447</f>
        <v/>
      </c>
      <c r="AT447">
        <f>'[1]GÖP VERİLERİ'!D448</f>
        <v/>
      </c>
      <c r="AU447" s="34">
        <f>IF(AP447&gt;AT447*1.05,AP447-AT447*1.05,IF(AP447&lt;AT447*0.95,AT447*0.95-AP447,0))</f>
        <v/>
      </c>
      <c r="AV447" s="34">
        <f>MAX(F447:G447,750)*0.05*AU447</f>
        <v/>
      </c>
      <c r="AW447" s="34">
        <f>AC447+AJ447+AQ447</f>
        <v/>
      </c>
      <c r="AX447" s="34">
        <f>AF447+AM447+AT447</f>
        <v/>
      </c>
      <c r="AY447" s="34">
        <f>AB447+AI447+AP447</f>
        <v/>
      </c>
      <c r="AZ447" s="34" t="n">
        <v>0</v>
      </c>
      <c r="BA447" s="34">
        <f>AD447+AK447+AR447</f>
        <v/>
      </c>
      <c r="BB447" s="34">
        <f>MAX(F447:G447,750)*0.05*BA447</f>
        <v/>
      </c>
      <c r="BC447" s="34">
        <f>AG447+AN447+AU447</f>
        <v/>
      </c>
      <c r="BD447" s="34">
        <f>MAX(F447:G447,750)*0.05*BC447</f>
        <v/>
      </c>
      <c r="BE447" s="34">
        <f>F447*AY447</f>
        <v/>
      </c>
      <c r="BF447" s="34">
        <f>K447-M447</f>
        <v/>
      </c>
      <c r="BG447" s="34">
        <f>P447-S447</f>
        <v/>
      </c>
      <c r="BH447" s="34">
        <f>W447-AA447</f>
        <v/>
      </c>
      <c r="BI447" s="34">
        <f>BF447+BG447+BL447-BN447</f>
        <v/>
      </c>
      <c r="BJ447" s="34">
        <f>ABS(BK447)</f>
        <v/>
      </c>
      <c r="BK447" s="34">
        <f>AY447-(J447-L447+N447-Q447)</f>
        <v/>
      </c>
      <c r="BL447" s="34">
        <f>IF(AND(BK447&gt;0,MIN($F447:$G447)&lt;150,$E447="Enerji Açığı"),-100*BK447*1.03,IF(AND(BK447&gt;0,MIN($F447:$G447)&lt;150,$E447="Enerji Fazlası"),-100*BK447*1.06,IF(AND(BK447&gt;0,MIN($F447:$G447)&gt;=150,$E447="Enerji Açığı"),BK447*MIN($F447:$G447)*0.97,IF(AND(BK447&gt;0,MIN($F447:$G447)&gt;=150,$E447="Enerji Fazlası"),BK447*MIN($F447:$G447)*0.94,IF(AND(BK447&lt;0,MAX($F447:$G447)=4500,$E447="Enerji Açığı"),4500*1.05*1.06*BK447,IF(AND(BK447&lt;0,MAX($F447:$G447)=4500,$E447="Enerji Fazlası"),4500*1.05*1.03*BK447,IF(AND(BK447&lt;0,$E447="Enerji Açığı"),MAX($F447,$G447,150)*BK447*1.06,IF(AND(BK447&lt;0,$E447="Enerji Fazlası"),MAX($F447,$G447,150)*BK447*1.03,IF(AND(BK447&lt;0,$E447="Dengede"),MAX($F447:$G447,150)*1.03*BK447,MIN($F447:$G447)*0.97*BK447)))))))))</f>
        <v/>
      </c>
      <c r="BM447" s="34">
        <f>BE447-BI447-BN447</f>
        <v/>
      </c>
      <c r="BN447" s="34">
        <f>BB447</f>
        <v/>
      </c>
      <c r="BO447" s="34">
        <f>BE447-BI447</f>
        <v/>
      </c>
      <c r="BP447" s="34">
        <f>IF(AY447=0,0,BO447/AY447)</f>
        <v/>
      </c>
      <c r="BQ447" s="34">
        <f>MAX((AY447+MAX((-J447+L447-N447+Q447),0)),(MAX((J447-L447+N447-Q447),0)))</f>
        <v/>
      </c>
      <c r="BR447" s="82">
        <f>IFERROR(ABS(BK447/BQ447),0)</f>
        <v/>
      </c>
      <c r="BS447" s="34">
        <f>IF(BR447&lt;=0.1,0,BK447/BR447*(BR447-0.1))</f>
        <v/>
      </c>
      <c r="BT447" s="34">
        <f>IF((BS447)&lt;0,MAX(F447:G447)*(BS447)*1.03,MIN(F447:G447)*(BS447)*0.97)</f>
        <v/>
      </c>
      <c r="BU447" s="34">
        <f>IF(BR447&gt;0.1,1,0)</f>
        <v/>
      </c>
      <c r="BV447" s="34">
        <f>BF447+BG447+BH447+BY447-CA447</f>
        <v/>
      </c>
      <c r="BW447" s="34">
        <f>ABS(BX447)</f>
        <v/>
      </c>
      <c r="BX447" s="34">
        <f>AY447-(J447-L447+N447-Q447+T447-X447)</f>
        <v/>
      </c>
      <c r="BY447" s="34">
        <f>IF(AND(BX447&gt;0,MIN($F447:$G447)&lt;150,$E447="Enerji Açığı"),-100*BX447*1.03,IF(AND(BX447&gt;0,MIN($F447:$G447)&lt;150,$E447="Enerji Fazlası"),-100*BX447*1.06,IF(AND(BX447&gt;0,MIN($F447:$G447)&gt;=150,$E447="Enerji Açığı"),BX447*MIN($F447:$G447)*0.97,IF(AND(BX447&gt;0,MIN($F447:$G447)&gt;=150,$E447="Enerji Fazlası"),BX447*MIN($F447:$G447)*0.94,IF(AND(BX447&lt;0,MAX($F447:$G447)=4500,$E447="Enerji Açığı"),4500*1.05*1.06*BX447,IF(AND(BX447&lt;0,MAX($F447:$G447)=4500,$E447="Enerji Fazlası"),4500*1.05*1.03*BX447,IF(AND(BX447&lt;0,$E447="Enerji Açığı"),MAX($F447,$G447,150)*BX447*1.06,IF(AND(BX447&lt;0,$E447="Enerji Fazlası"),MAX($F447,$G447,150)*BX447*1.03,IF(AND(BX447&lt;0,$E447="Dengede"),MAX($F447:$G447,150)*1.03*BX447,MIN($F447:$G447)*0.97*BX447)))))))))</f>
        <v/>
      </c>
      <c r="BZ447" s="34">
        <f>BE447-BV447-CA447</f>
        <v/>
      </c>
      <c r="CA447" s="34">
        <f>BD447</f>
        <v/>
      </c>
      <c r="CB447" s="33">
        <f>BE447-BV447</f>
        <v/>
      </c>
      <c r="CC447" s="34">
        <f>IF(AY447=0,0,CB447/AY447)</f>
        <v/>
      </c>
      <c r="CD447" s="34">
        <f>MAX((AY447+MAX((-J447+L447-N447+Q447-T447+X447),0)),(MAX((J447-L447+N447-Q447+T447-X447),0)))</f>
        <v/>
      </c>
      <c r="CE447" s="82">
        <f>IFERROR(ABS(BX447/CD447),0)</f>
        <v/>
      </c>
      <c r="CF447" s="34">
        <f>IF(CE447&lt;=0.1,0,BX447/CE447*(CE447-0.1))</f>
        <v/>
      </c>
      <c r="CG447" s="34">
        <f>IF((CF447)&lt;0,MAX(F447:G447)*(CF447)*1.03,MIN(F447:G447)*(CF447)*0.97)</f>
        <v/>
      </c>
      <c r="CH447" s="34">
        <f>IF(CE447&gt;0.1,1,0)</f>
        <v/>
      </c>
      <c r="CI447" s="34">
        <f>(F447*BX447)-BY447</f>
        <v/>
      </c>
      <c r="CJ447" s="34">
        <f>IF(AY447=0,0,CI447/AY447)</f>
        <v/>
      </c>
    </row>
    <row r="448">
      <c r="A448" s="29">
        <f>[1]FİYATLAR!A423</f>
        <v/>
      </c>
      <c r="B448" s="29">
        <f>[1]FİYATLAR!B423</f>
        <v/>
      </c>
      <c r="C448" s="35">
        <f>INT(A448)</f>
        <v/>
      </c>
      <c r="D448" s="36">
        <f>MONTH(A448)</f>
        <v/>
      </c>
      <c r="E448" s="147">
        <f>[1]FİYATLAR!G423</f>
        <v/>
      </c>
      <c r="F448" s="30">
        <f>[1]FİYATLAR!C423</f>
        <v/>
      </c>
      <c r="G448" s="30">
        <f>[1]FİYATLAR!E423</f>
        <v/>
      </c>
      <c r="H448" s="30">
        <f>[1]FİYATLAR!D423</f>
        <v/>
      </c>
      <c r="I448" s="30">
        <f>[1]FİYATLAR!F423</f>
        <v/>
      </c>
      <c r="J448" s="119" t="n">
        <v>0</v>
      </c>
      <c r="K448" s="34">
        <f>F448*J448</f>
        <v/>
      </c>
      <c r="L448" s="119" t="n"/>
      <c r="M448" s="34">
        <f>L448*F448</f>
        <v/>
      </c>
      <c r="N448" s="119" t="n"/>
      <c r="O448" s="34">
        <f>F448</f>
        <v/>
      </c>
      <c r="P448" s="34">
        <f>N448*O448</f>
        <v/>
      </c>
      <c r="Q448" s="117" t="n">
        <v>0</v>
      </c>
      <c r="R448" s="34">
        <f>F448</f>
        <v/>
      </c>
      <c r="S448" s="34">
        <f>R448*Q448</f>
        <v/>
      </c>
      <c r="T448" s="34">
        <f>SUMIFS('[1]GİP VERİLERİ'!$C:$C,'[1]GİP VERİLERİ'!$B:$B,A448,'[1]GİP VERİLERİ'!$M:$M,"40X000000104782K",'[1]GİP VERİLERİ'!$G:$G,"SELL")</f>
        <v/>
      </c>
      <c r="U448" s="34">
        <f>IFERROR(W448/T448,0)</f>
        <v/>
      </c>
      <c r="V448" s="34">
        <f>IF(U448=0,0,U448-F448)</f>
        <v/>
      </c>
      <c r="W448" s="34">
        <f>SUMIFS('[1]GİP VERİLERİ'!$O:$O,'[1]GİP VERİLERİ'!$B:$B,A448,'[1]GİP VERİLERİ'!$M:$M,"40X000000104782K",'[1]GİP VERİLERİ'!$G:$G,"SELL")</f>
        <v/>
      </c>
      <c r="X448" s="34">
        <f>SUMIFS('[1]GİP VERİLERİ'!$C:$C,'[1]GİP VERİLERİ'!$B:$B,A448,'[1]GİP VERİLERİ'!$M:$M,"40X000000104782K",'[1]GİP VERİLERİ'!$G:$G,"BUY")</f>
        <v/>
      </c>
      <c r="Y448" s="34">
        <f>IFERROR(AA448/X448,0)</f>
        <v/>
      </c>
      <c r="Z448" s="34">
        <f>IF(Y448=0,0,F448-Y448)</f>
        <v/>
      </c>
      <c r="AA448" s="34">
        <f>SUMIFS('[1]GİP VERİLERİ'!$O:$O,'[1]GİP VERİLERİ'!$B:$B,A448,'[1]GİP VERİLERİ'!$M:$M,"40X000000104782K",'[1]GİP VERİLERİ'!$G:$G,"BUY")</f>
        <v/>
      </c>
      <c r="AB448" s="34">
        <f>'[1]GÖP VERİLERİ'!H449</f>
        <v/>
      </c>
      <c r="AC448" s="34">
        <f>'[1]GÖP VERİLERİ'!I449</f>
        <v/>
      </c>
      <c r="AD448" s="34">
        <f>IF(AB448&gt;AC448*1.05,AB448-AC448*1.05,IF(AB448&lt;AC448*0.95,AC448*0.95-AB448,0))</f>
        <v/>
      </c>
      <c r="AE448" s="34">
        <f>MAX(F448,G448,750)*0.05*AD448</f>
        <v/>
      </c>
      <c r="AF448" s="34">
        <f>'[1]GÖP VERİLERİ'!J449</f>
        <v/>
      </c>
      <c r="AG448" s="34">
        <f>IF(AB448&gt;AF448*1.05,AB448-AF448*1.05,IF(AB448&lt;AF448*0.95,AF448*0.95-AB448,0))</f>
        <v/>
      </c>
      <c r="AH448" s="34">
        <f>MAX(I448,J448,750)*0.05*AG448</f>
        <v/>
      </c>
      <c r="AI448">
        <f>'[1]GÖP VERİLERİ'!E449</f>
        <v/>
      </c>
      <c r="AJ448">
        <f>'[1]GÖP VERİLERİ'!F449</f>
        <v/>
      </c>
      <c r="AK448" s="34">
        <f>IF(AI448&gt;AJ448*1.05,AI448-AJ448*1.05,IF(AI448&lt;AJ448*0.95,AJ448*0.95-AI448,0))</f>
        <v/>
      </c>
      <c r="AL448" s="34">
        <f>MAX(F448,G448,750)*0.05*AK448</f>
        <v/>
      </c>
      <c r="AM448" s="39">
        <f>'[1]GÖP VERİLERİ'!G449</f>
        <v/>
      </c>
      <c r="AN448" s="34">
        <f>IF(AI448&gt;AM448*1.05,AI448-AM448*1.05,IF(AI448&lt;AM448*0.95,AM448*0.95-AI448,0))</f>
        <v/>
      </c>
      <c r="AO448" s="34">
        <f>MAX(F448,G448,750)*0.05*AN448</f>
        <v/>
      </c>
      <c r="AP448" s="34">
        <f>'[1]GÖP VERİLERİ'!B449</f>
        <v/>
      </c>
      <c r="AQ448" s="34">
        <f>'[1]GÖP VERİLERİ'!C449</f>
        <v/>
      </c>
      <c r="AR448" s="34">
        <f>IF(AP448&gt;AQ448*1.05,AP448-AQ448*1.05,IF(AP448&lt;AQ448*0.95,AQ448*0.95-AP448,0))</f>
        <v/>
      </c>
      <c r="AS448" s="34">
        <f>MAX(F448:G448,750)*0.05*AR448</f>
        <v/>
      </c>
      <c r="AT448">
        <f>'[1]GÖP VERİLERİ'!D449</f>
        <v/>
      </c>
      <c r="AU448" s="34">
        <f>IF(AP448&gt;AT448*1.05,AP448-AT448*1.05,IF(AP448&lt;AT448*0.95,AT448*0.95-AP448,0))</f>
        <v/>
      </c>
      <c r="AV448" s="34">
        <f>MAX(F448:G448,750)*0.05*AU448</f>
        <v/>
      </c>
      <c r="AW448" s="34">
        <f>AC448+AJ448+AQ448</f>
        <v/>
      </c>
      <c r="AX448" s="34">
        <f>AF448+AM448+AT448</f>
        <v/>
      </c>
      <c r="AY448" s="34">
        <f>AB448+AI448+AP448</f>
        <v/>
      </c>
      <c r="AZ448" s="34" t="n">
        <v>0</v>
      </c>
      <c r="BA448" s="34">
        <f>AD448+AK448+AR448</f>
        <v/>
      </c>
      <c r="BB448" s="34">
        <f>MAX(F448:G448,750)*0.05*BA448</f>
        <v/>
      </c>
      <c r="BC448" s="34">
        <f>AG448+AN448+AU448</f>
        <v/>
      </c>
      <c r="BD448" s="34">
        <f>MAX(F448:G448,750)*0.05*BC448</f>
        <v/>
      </c>
      <c r="BE448" s="34">
        <f>F448*AY448</f>
        <v/>
      </c>
      <c r="BF448" s="34">
        <f>K448-M448</f>
        <v/>
      </c>
      <c r="BG448" s="34">
        <f>P448-S448</f>
        <v/>
      </c>
      <c r="BH448" s="34">
        <f>W448-AA448</f>
        <v/>
      </c>
      <c r="BI448" s="34">
        <f>BF448+BG448+BL448-BN448</f>
        <v/>
      </c>
      <c r="BJ448" s="34">
        <f>ABS(BK448)</f>
        <v/>
      </c>
      <c r="BK448" s="34">
        <f>AY448-(J448-L448+N448-Q448)</f>
        <v/>
      </c>
      <c r="BL448" s="34">
        <f>IF(AND(BK448&gt;0,MIN($F448:$G448)&lt;150,$E448="Enerji Açığı"),-100*BK448*1.03,IF(AND(BK448&gt;0,MIN($F448:$G448)&lt;150,$E448="Enerji Fazlası"),-100*BK448*1.06,IF(AND(BK448&gt;0,MIN($F448:$G448)&gt;=150,$E448="Enerji Açığı"),BK448*MIN($F448:$G448)*0.97,IF(AND(BK448&gt;0,MIN($F448:$G448)&gt;=150,$E448="Enerji Fazlası"),BK448*MIN($F448:$G448)*0.94,IF(AND(BK448&lt;0,MAX($F448:$G448)=4500,$E448="Enerji Açığı"),4500*1.05*1.06*BK448,IF(AND(BK448&lt;0,MAX($F448:$G448)=4500,$E448="Enerji Fazlası"),4500*1.05*1.03*BK448,IF(AND(BK448&lt;0,$E448="Enerji Açığı"),MAX($F448,$G448,150)*BK448*1.06,IF(AND(BK448&lt;0,$E448="Enerji Fazlası"),MAX($F448,$G448,150)*BK448*1.03,IF(AND(BK448&lt;0,$E448="Dengede"),MAX($F448:$G448,150)*1.03*BK448,MIN($F448:$G448)*0.97*BK448)))))))))</f>
        <v/>
      </c>
      <c r="BM448" s="34">
        <f>BE448-BI448-BN448</f>
        <v/>
      </c>
      <c r="BN448" s="34">
        <f>BB448</f>
        <v/>
      </c>
      <c r="BO448" s="34">
        <f>BE448-BI448</f>
        <v/>
      </c>
      <c r="BP448" s="34">
        <f>IF(AY448=0,0,BO448/AY448)</f>
        <v/>
      </c>
      <c r="BQ448" s="34">
        <f>MAX((AY448+MAX((-J448+L448-N448+Q448),0)),(MAX((J448-L448+N448-Q448),0)))</f>
        <v/>
      </c>
      <c r="BR448" s="82">
        <f>IFERROR(ABS(BK448/BQ448),0)</f>
        <v/>
      </c>
      <c r="BS448" s="34">
        <f>IF(BR448&lt;=0.1,0,BK448/BR448*(BR448-0.1))</f>
        <v/>
      </c>
      <c r="BT448" s="34">
        <f>IF((BS448)&lt;0,MAX(F448:G448)*(BS448)*1.03,MIN(F448:G448)*(BS448)*0.97)</f>
        <v/>
      </c>
      <c r="BU448" s="34">
        <f>IF(BR448&gt;0.1,1,0)</f>
        <v/>
      </c>
      <c r="BV448" s="34">
        <f>BF448+BG448+BH448+BY448-CA448</f>
        <v/>
      </c>
      <c r="BW448" s="34">
        <f>ABS(BX448)</f>
        <v/>
      </c>
      <c r="BX448" s="34">
        <f>AY448-(J448-L448+N448-Q448+T448-X448)</f>
        <v/>
      </c>
      <c r="BY448" s="34">
        <f>IF(AND(BX448&gt;0,MIN($F448:$G448)&lt;150,$E448="Enerji Açığı"),-100*BX448*1.03,IF(AND(BX448&gt;0,MIN($F448:$G448)&lt;150,$E448="Enerji Fazlası"),-100*BX448*1.06,IF(AND(BX448&gt;0,MIN($F448:$G448)&gt;=150,$E448="Enerji Açığı"),BX448*MIN($F448:$G448)*0.97,IF(AND(BX448&gt;0,MIN($F448:$G448)&gt;=150,$E448="Enerji Fazlası"),BX448*MIN($F448:$G448)*0.94,IF(AND(BX448&lt;0,MAX($F448:$G448)=4500,$E448="Enerji Açığı"),4500*1.05*1.06*BX448,IF(AND(BX448&lt;0,MAX($F448:$G448)=4500,$E448="Enerji Fazlası"),4500*1.05*1.03*BX448,IF(AND(BX448&lt;0,$E448="Enerji Açığı"),MAX($F448,$G448,150)*BX448*1.06,IF(AND(BX448&lt;0,$E448="Enerji Fazlası"),MAX($F448,$G448,150)*BX448*1.03,IF(AND(BX448&lt;0,$E448="Dengede"),MAX($F448:$G448,150)*1.03*BX448,MIN($F448:$G448)*0.97*BX448)))))))))</f>
        <v/>
      </c>
      <c r="BZ448" s="34">
        <f>BE448-BV448-CA448</f>
        <v/>
      </c>
      <c r="CA448" s="34">
        <f>BD448</f>
        <v/>
      </c>
      <c r="CB448" s="33">
        <f>BE448-BV448</f>
        <v/>
      </c>
      <c r="CC448" s="34">
        <f>IF(AY448=0,0,CB448/AY448)</f>
        <v/>
      </c>
      <c r="CD448" s="34">
        <f>MAX((AY448+MAX((-J448+L448-N448+Q448-T448+X448),0)),(MAX((J448-L448+N448-Q448+T448-X448),0)))</f>
        <v/>
      </c>
      <c r="CE448" s="82">
        <f>IFERROR(ABS(BX448/CD448),0)</f>
        <v/>
      </c>
      <c r="CF448" s="34">
        <f>IF(CE448&lt;=0.1,0,BX448/CE448*(CE448-0.1))</f>
        <v/>
      </c>
      <c r="CG448" s="34">
        <f>IF((CF448)&lt;0,MAX(F448:G448)*(CF448)*1.03,MIN(F448:G448)*(CF448)*0.97)</f>
        <v/>
      </c>
      <c r="CH448" s="34">
        <f>IF(CE448&gt;0.1,1,0)</f>
        <v/>
      </c>
      <c r="CI448" s="34">
        <f>(F448*BX448)-BY448</f>
        <v/>
      </c>
      <c r="CJ448" s="34">
        <f>IF(AY448=0,0,CI448/AY448)</f>
        <v/>
      </c>
    </row>
    <row r="449">
      <c r="A449" s="29">
        <f>[1]FİYATLAR!A424</f>
        <v/>
      </c>
      <c r="B449" s="29">
        <f>[1]FİYATLAR!B424</f>
        <v/>
      </c>
      <c r="C449" s="35">
        <f>INT(A449)</f>
        <v/>
      </c>
      <c r="D449" s="36">
        <f>MONTH(A449)</f>
        <v/>
      </c>
      <c r="E449" s="147">
        <f>[1]FİYATLAR!G424</f>
        <v/>
      </c>
      <c r="F449" s="30">
        <f>[1]FİYATLAR!C424</f>
        <v/>
      </c>
      <c r="G449" s="30">
        <f>[1]FİYATLAR!E424</f>
        <v/>
      </c>
      <c r="H449" s="30">
        <f>[1]FİYATLAR!D424</f>
        <v/>
      </c>
      <c r="I449" s="30">
        <f>[1]FİYATLAR!F424</f>
        <v/>
      </c>
      <c r="J449" s="119" t="n">
        <v>0</v>
      </c>
      <c r="K449" s="34">
        <f>F449*J449</f>
        <v/>
      </c>
      <c r="L449" s="119" t="n"/>
      <c r="M449" s="34">
        <f>L449*F449</f>
        <v/>
      </c>
      <c r="N449" s="119" t="n"/>
      <c r="O449" s="34">
        <f>F449</f>
        <v/>
      </c>
      <c r="P449" s="34">
        <f>N449*O449</f>
        <v/>
      </c>
      <c r="Q449" s="117" t="n">
        <v>0</v>
      </c>
      <c r="R449" s="34">
        <f>F449</f>
        <v/>
      </c>
      <c r="S449" s="34">
        <f>R449*Q449</f>
        <v/>
      </c>
      <c r="T449" s="34">
        <f>SUMIFS('[1]GİP VERİLERİ'!$C:$C,'[1]GİP VERİLERİ'!$B:$B,A449,'[1]GİP VERİLERİ'!$M:$M,"40X000000104782K",'[1]GİP VERİLERİ'!$G:$G,"SELL")</f>
        <v/>
      </c>
      <c r="U449" s="34">
        <f>IFERROR(W449/T449,0)</f>
        <v/>
      </c>
      <c r="V449" s="34">
        <f>IF(U449=0,0,U449-F449)</f>
        <v/>
      </c>
      <c r="W449" s="34">
        <f>SUMIFS('[1]GİP VERİLERİ'!$O:$O,'[1]GİP VERİLERİ'!$B:$B,A449,'[1]GİP VERİLERİ'!$M:$M,"40X000000104782K",'[1]GİP VERİLERİ'!$G:$G,"SELL")</f>
        <v/>
      </c>
      <c r="X449" s="34">
        <f>SUMIFS('[1]GİP VERİLERİ'!$C:$C,'[1]GİP VERİLERİ'!$B:$B,A449,'[1]GİP VERİLERİ'!$M:$M,"40X000000104782K",'[1]GİP VERİLERİ'!$G:$G,"BUY")</f>
        <v/>
      </c>
      <c r="Y449" s="34">
        <f>IFERROR(AA449/X449,0)</f>
        <v/>
      </c>
      <c r="Z449" s="34">
        <f>IF(Y449=0,0,F449-Y449)</f>
        <v/>
      </c>
      <c r="AA449" s="34">
        <f>SUMIFS('[1]GİP VERİLERİ'!$O:$O,'[1]GİP VERİLERİ'!$B:$B,A449,'[1]GİP VERİLERİ'!$M:$M,"40X000000104782K",'[1]GİP VERİLERİ'!$G:$G,"BUY")</f>
        <v/>
      </c>
      <c r="AB449" s="34">
        <f>'[1]GÖP VERİLERİ'!H450</f>
        <v/>
      </c>
      <c r="AC449" s="34">
        <f>'[1]GÖP VERİLERİ'!I450</f>
        <v/>
      </c>
      <c r="AD449" s="34">
        <f>IF(AB449&gt;AC449*1.05,AB449-AC449*1.05,IF(AB449&lt;AC449*0.95,AC449*0.95-AB449,0))</f>
        <v/>
      </c>
      <c r="AE449" s="34">
        <f>MAX(F449,G449,750)*0.05*AD449</f>
        <v/>
      </c>
      <c r="AF449" s="34">
        <f>'[1]GÖP VERİLERİ'!J450</f>
        <v/>
      </c>
      <c r="AG449" s="34">
        <f>IF(AB449&gt;AF449*1.05,AB449-AF449*1.05,IF(AB449&lt;AF449*0.95,AF449*0.95-AB449,0))</f>
        <v/>
      </c>
      <c r="AH449" s="34">
        <f>MAX(I449,J449,750)*0.05*AG449</f>
        <v/>
      </c>
      <c r="AI449">
        <f>'[1]GÖP VERİLERİ'!E450</f>
        <v/>
      </c>
      <c r="AJ449">
        <f>'[1]GÖP VERİLERİ'!F450</f>
        <v/>
      </c>
      <c r="AK449" s="34">
        <f>IF(AI449&gt;AJ449*1.05,AI449-AJ449*1.05,IF(AI449&lt;AJ449*0.95,AJ449*0.95-AI449,0))</f>
        <v/>
      </c>
      <c r="AL449" s="34">
        <f>MAX(F449,G449,750)*0.05*AK449</f>
        <v/>
      </c>
      <c r="AM449" s="39">
        <f>'[1]GÖP VERİLERİ'!G450</f>
        <v/>
      </c>
      <c r="AN449" s="34">
        <f>IF(AI449&gt;AM449*1.05,AI449-AM449*1.05,IF(AI449&lt;AM449*0.95,AM449*0.95-AI449,0))</f>
        <v/>
      </c>
      <c r="AO449" s="34">
        <f>MAX(F449,G449,750)*0.05*AN449</f>
        <v/>
      </c>
      <c r="AP449" s="34">
        <f>'[1]GÖP VERİLERİ'!B450</f>
        <v/>
      </c>
      <c r="AQ449" s="34">
        <f>'[1]GÖP VERİLERİ'!C450</f>
        <v/>
      </c>
      <c r="AR449" s="34">
        <f>IF(AP449&gt;AQ449*1.05,AP449-AQ449*1.05,IF(AP449&lt;AQ449*0.95,AQ449*0.95-AP449,0))</f>
        <v/>
      </c>
      <c r="AS449" s="34">
        <f>MAX(F449:G449,750)*0.05*AR449</f>
        <v/>
      </c>
      <c r="AT449">
        <f>'[1]GÖP VERİLERİ'!D450</f>
        <v/>
      </c>
      <c r="AU449" s="34">
        <f>IF(AP449&gt;AT449*1.05,AP449-AT449*1.05,IF(AP449&lt;AT449*0.95,AT449*0.95-AP449,0))</f>
        <v/>
      </c>
      <c r="AV449" s="34">
        <f>MAX(F449:G449,750)*0.05*AU449</f>
        <v/>
      </c>
      <c r="AW449" s="34">
        <f>AC449+AJ449+AQ449</f>
        <v/>
      </c>
      <c r="AX449" s="34">
        <f>AF449+AM449+AT449</f>
        <v/>
      </c>
      <c r="AY449" s="34">
        <f>AB449+AI449+AP449</f>
        <v/>
      </c>
      <c r="AZ449" s="34" t="n">
        <v>0</v>
      </c>
      <c r="BA449" s="34">
        <f>AD449+AK449+AR449</f>
        <v/>
      </c>
      <c r="BB449" s="34">
        <f>MAX(F449:G449,750)*0.05*BA449</f>
        <v/>
      </c>
      <c r="BC449" s="34">
        <f>AG449+AN449+AU449</f>
        <v/>
      </c>
      <c r="BD449" s="34">
        <f>MAX(F449:G449,750)*0.05*BC449</f>
        <v/>
      </c>
      <c r="BE449" s="34">
        <f>F449*AY449</f>
        <v/>
      </c>
      <c r="BF449" s="34">
        <f>K449-M449</f>
        <v/>
      </c>
      <c r="BG449" s="34">
        <f>P449-S449</f>
        <v/>
      </c>
      <c r="BH449" s="34">
        <f>W449-AA449</f>
        <v/>
      </c>
      <c r="BI449" s="34">
        <f>BF449+BG449+BL449-BN449</f>
        <v/>
      </c>
      <c r="BJ449" s="34">
        <f>ABS(BK449)</f>
        <v/>
      </c>
      <c r="BK449" s="34">
        <f>AY449-(J449-L449+N449-Q449)</f>
        <v/>
      </c>
      <c r="BL449" s="34">
        <f>IF(AND(BK449&gt;0,MIN($F449:$G449)&lt;150,$E449="Enerji Açığı"),-100*BK449*1.03,IF(AND(BK449&gt;0,MIN($F449:$G449)&lt;150,$E449="Enerji Fazlası"),-100*BK449*1.06,IF(AND(BK449&gt;0,MIN($F449:$G449)&gt;=150,$E449="Enerji Açığı"),BK449*MIN($F449:$G449)*0.97,IF(AND(BK449&gt;0,MIN($F449:$G449)&gt;=150,$E449="Enerji Fazlası"),BK449*MIN($F449:$G449)*0.94,IF(AND(BK449&lt;0,MAX($F449:$G449)=4500,$E449="Enerji Açığı"),4500*1.05*1.06*BK449,IF(AND(BK449&lt;0,MAX($F449:$G449)=4500,$E449="Enerji Fazlası"),4500*1.05*1.03*BK449,IF(AND(BK449&lt;0,$E449="Enerji Açığı"),MAX($F449,$G449,150)*BK449*1.06,IF(AND(BK449&lt;0,$E449="Enerji Fazlası"),MAX($F449,$G449,150)*BK449*1.03,IF(AND(BK449&lt;0,$E449="Dengede"),MAX($F449:$G449,150)*1.03*BK449,MIN($F449:$G449)*0.97*BK449)))))))))</f>
        <v/>
      </c>
      <c r="BM449" s="34">
        <f>BE449-BI449-BN449</f>
        <v/>
      </c>
      <c r="BN449" s="34">
        <f>BB449</f>
        <v/>
      </c>
      <c r="BO449" s="34">
        <f>BE449-BI449</f>
        <v/>
      </c>
      <c r="BP449" s="34">
        <f>IF(AY449=0,0,BO449/AY449)</f>
        <v/>
      </c>
      <c r="BQ449" s="34">
        <f>MAX((AY449+MAX((-J449+L449-N449+Q449),0)),(MAX((J449-L449+N449-Q449),0)))</f>
        <v/>
      </c>
      <c r="BR449" s="82">
        <f>IFERROR(ABS(BK449/BQ449),0)</f>
        <v/>
      </c>
      <c r="BS449" s="34">
        <f>IF(BR449&lt;=0.1,0,BK449/BR449*(BR449-0.1))</f>
        <v/>
      </c>
      <c r="BT449" s="34">
        <f>IF((BS449)&lt;0,MAX(F449:G449)*(BS449)*1.03,MIN(F449:G449)*(BS449)*0.97)</f>
        <v/>
      </c>
      <c r="BU449" s="34">
        <f>IF(BR449&gt;0.1,1,0)</f>
        <v/>
      </c>
      <c r="BV449" s="34">
        <f>BF449+BG449+BH449+BY449-CA449</f>
        <v/>
      </c>
      <c r="BW449" s="34">
        <f>ABS(BX449)</f>
        <v/>
      </c>
      <c r="BX449" s="34">
        <f>AY449-(J449-L449+N449-Q449+T449-X449)</f>
        <v/>
      </c>
      <c r="BY449" s="34">
        <f>IF(AND(BX449&gt;0,MIN($F449:$G449)&lt;150,$E449="Enerji Açığı"),-100*BX449*1.03,IF(AND(BX449&gt;0,MIN($F449:$G449)&lt;150,$E449="Enerji Fazlası"),-100*BX449*1.06,IF(AND(BX449&gt;0,MIN($F449:$G449)&gt;=150,$E449="Enerji Açığı"),BX449*MIN($F449:$G449)*0.97,IF(AND(BX449&gt;0,MIN($F449:$G449)&gt;=150,$E449="Enerji Fazlası"),BX449*MIN($F449:$G449)*0.94,IF(AND(BX449&lt;0,MAX($F449:$G449)=4500,$E449="Enerji Açığı"),4500*1.05*1.06*BX449,IF(AND(BX449&lt;0,MAX($F449:$G449)=4500,$E449="Enerji Fazlası"),4500*1.05*1.03*BX449,IF(AND(BX449&lt;0,$E449="Enerji Açığı"),MAX($F449,$G449,150)*BX449*1.06,IF(AND(BX449&lt;0,$E449="Enerji Fazlası"),MAX($F449,$G449,150)*BX449*1.03,IF(AND(BX449&lt;0,$E449="Dengede"),MAX($F449:$G449,150)*1.03*BX449,MIN($F449:$G449)*0.97*BX449)))))))))</f>
        <v/>
      </c>
      <c r="BZ449" s="34">
        <f>BE449-BV449-CA449</f>
        <v/>
      </c>
      <c r="CA449" s="34">
        <f>BD449</f>
        <v/>
      </c>
      <c r="CB449" s="33">
        <f>BE449-BV449</f>
        <v/>
      </c>
      <c r="CC449" s="34">
        <f>IF(AY449=0,0,CB449/AY449)</f>
        <v/>
      </c>
      <c r="CD449" s="34">
        <f>MAX((AY449+MAX((-J449+L449-N449+Q449-T449+X449),0)),(MAX((J449-L449+N449-Q449+T449-X449),0)))</f>
        <v/>
      </c>
      <c r="CE449" s="82">
        <f>IFERROR(ABS(BX449/CD449),0)</f>
        <v/>
      </c>
      <c r="CF449" s="34">
        <f>IF(CE449&lt;=0.1,0,BX449/CE449*(CE449-0.1))</f>
        <v/>
      </c>
      <c r="CG449" s="34">
        <f>IF((CF449)&lt;0,MAX(F449:G449)*(CF449)*1.03,MIN(F449:G449)*(CF449)*0.97)</f>
        <v/>
      </c>
      <c r="CH449" s="34">
        <f>IF(CE449&gt;0.1,1,0)</f>
        <v/>
      </c>
      <c r="CI449" s="34">
        <f>(F449*BX449)-BY449</f>
        <v/>
      </c>
      <c r="CJ449" s="34">
        <f>IF(AY449=0,0,CI449/AY449)</f>
        <v/>
      </c>
    </row>
    <row r="450">
      <c r="A450" s="29">
        <f>[1]FİYATLAR!A425</f>
        <v/>
      </c>
      <c r="B450" s="29">
        <f>[1]FİYATLAR!B425</f>
        <v/>
      </c>
      <c r="C450" s="35">
        <f>INT(A450)</f>
        <v/>
      </c>
      <c r="D450" s="36">
        <f>MONTH(A450)</f>
        <v/>
      </c>
      <c r="E450" s="147">
        <f>[1]FİYATLAR!G425</f>
        <v/>
      </c>
      <c r="F450" s="30">
        <f>[1]FİYATLAR!C425</f>
        <v/>
      </c>
      <c r="G450" s="30">
        <f>[1]FİYATLAR!E425</f>
        <v/>
      </c>
      <c r="H450" s="30">
        <f>[1]FİYATLAR!D425</f>
        <v/>
      </c>
      <c r="I450" s="30">
        <f>[1]FİYATLAR!F425</f>
        <v/>
      </c>
      <c r="J450" s="119" t="n">
        <v>0</v>
      </c>
      <c r="K450" s="34">
        <f>F450*J450</f>
        <v/>
      </c>
      <c r="L450" s="119" t="n"/>
      <c r="M450" s="34">
        <f>L450*F450</f>
        <v/>
      </c>
      <c r="N450" s="119" t="n"/>
      <c r="O450" s="34">
        <f>F450</f>
        <v/>
      </c>
      <c r="P450" s="34">
        <f>N450*O450</f>
        <v/>
      </c>
      <c r="Q450" s="117" t="n">
        <v>0</v>
      </c>
      <c r="R450" s="34">
        <f>F450</f>
        <v/>
      </c>
      <c r="S450" s="34">
        <f>R450*Q450</f>
        <v/>
      </c>
      <c r="T450" s="34">
        <f>SUMIFS('[1]GİP VERİLERİ'!$C:$C,'[1]GİP VERİLERİ'!$B:$B,A450,'[1]GİP VERİLERİ'!$M:$M,"40X000000104782K",'[1]GİP VERİLERİ'!$G:$G,"SELL")</f>
        <v/>
      </c>
      <c r="U450" s="34">
        <f>IFERROR(W450/T450,0)</f>
        <v/>
      </c>
      <c r="V450" s="34">
        <f>IF(U450=0,0,U450-F450)</f>
        <v/>
      </c>
      <c r="W450" s="34">
        <f>SUMIFS('[1]GİP VERİLERİ'!$O:$O,'[1]GİP VERİLERİ'!$B:$B,A450,'[1]GİP VERİLERİ'!$M:$M,"40X000000104782K",'[1]GİP VERİLERİ'!$G:$G,"SELL")</f>
        <v/>
      </c>
      <c r="X450" s="34">
        <f>SUMIFS('[1]GİP VERİLERİ'!$C:$C,'[1]GİP VERİLERİ'!$B:$B,A450,'[1]GİP VERİLERİ'!$M:$M,"40X000000104782K",'[1]GİP VERİLERİ'!$G:$G,"BUY")</f>
        <v/>
      </c>
      <c r="Y450" s="34">
        <f>IFERROR(AA450/X450,0)</f>
        <v/>
      </c>
      <c r="Z450" s="34">
        <f>IF(Y450=0,0,F450-Y450)</f>
        <v/>
      </c>
      <c r="AA450" s="34">
        <f>SUMIFS('[1]GİP VERİLERİ'!$O:$O,'[1]GİP VERİLERİ'!$B:$B,A450,'[1]GİP VERİLERİ'!$M:$M,"40X000000104782K",'[1]GİP VERİLERİ'!$G:$G,"BUY")</f>
        <v/>
      </c>
      <c r="AB450" s="34">
        <f>'[1]GÖP VERİLERİ'!H451</f>
        <v/>
      </c>
      <c r="AC450" s="34">
        <f>'[1]GÖP VERİLERİ'!I451</f>
        <v/>
      </c>
      <c r="AD450" s="34">
        <f>IF(AB450&gt;AC450*1.05,AB450-AC450*1.05,IF(AB450&lt;AC450*0.95,AC450*0.95-AB450,0))</f>
        <v/>
      </c>
      <c r="AE450" s="34">
        <f>MAX(F450,G450,750)*0.05*AD450</f>
        <v/>
      </c>
      <c r="AF450" s="34">
        <f>'[1]GÖP VERİLERİ'!J451</f>
        <v/>
      </c>
      <c r="AG450" s="34">
        <f>IF(AB450&gt;AF450*1.05,AB450-AF450*1.05,IF(AB450&lt;AF450*0.95,AF450*0.95-AB450,0))</f>
        <v/>
      </c>
      <c r="AH450" s="34">
        <f>MAX(I450,J450,750)*0.05*AG450</f>
        <v/>
      </c>
      <c r="AI450">
        <f>'[1]GÖP VERİLERİ'!E451</f>
        <v/>
      </c>
      <c r="AJ450">
        <f>'[1]GÖP VERİLERİ'!F451</f>
        <v/>
      </c>
      <c r="AK450" s="34">
        <f>IF(AI450&gt;AJ450*1.05,AI450-AJ450*1.05,IF(AI450&lt;AJ450*0.95,AJ450*0.95-AI450,0))</f>
        <v/>
      </c>
      <c r="AL450" s="34">
        <f>MAX(F450,G450,750)*0.05*AK450</f>
        <v/>
      </c>
      <c r="AM450" s="39">
        <f>'[1]GÖP VERİLERİ'!G451</f>
        <v/>
      </c>
      <c r="AN450" s="34">
        <f>IF(AI450&gt;AM450*1.05,AI450-AM450*1.05,IF(AI450&lt;AM450*0.95,AM450*0.95-AI450,0))</f>
        <v/>
      </c>
      <c r="AO450" s="34">
        <f>MAX(F450,G450,750)*0.05*AN450</f>
        <v/>
      </c>
      <c r="AP450" s="34">
        <f>'[1]GÖP VERİLERİ'!B451</f>
        <v/>
      </c>
      <c r="AQ450" s="34">
        <f>'[1]GÖP VERİLERİ'!C451</f>
        <v/>
      </c>
      <c r="AR450" s="34">
        <f>IF(AP450&gt;AQ450*1.05,AP450-AQ450*1.05,IF(AP450&lt;AQ450*0.95,AQ450*0.95-AP450,0))</f>
        <v/>
      </c>
      <c r="AS450" s="34">
        <f>MAX(F450:G450,750)*0.05*AR450</f>
        <v/>
      </c>
      <c r="AT450">
        <f>'[1]GÖP VERİLERİ'!D451</f>
        <v/>
      </c>
      <c r="AU450" s="34">
        <f>IF(AP450&gt;AT450*1.05,AP450-AT450*1.05,IF(AP450&lt;AT450*0.95,AT450*0.95-AP450,0))</f>
        <v/>
      </c>
      <c r="AV450" s="34">
        <f>MAX(F450:G450,750)*0.05*AU450</f>
        <v/>
      </c>
      <c r="AW450" s="34">
        <f>AC450+AJ450+AQ450</f>
        <v/>
      </c>
      <c r="AX450" s="34">
        <f>AF450+AM450+AT450</f>
        <v/>
      </c>
      <c r="AY450" s="34">
        <f>AB450+AI450+AP450</f>
        <v/>
      </c>
      <c r="AZ450" s="34" t="n">
        <v>0</v>
      </c>
      <c r="BA450" s="34">
        <f>AD450+AK450+AR450</f>
        <v/>
      </c>
      <c r="BB450" s="34">
        <f>MAX(F450:G450,750)*0.05*BA450</f>
        <v/>
      </c>
      <c r="BC450" s="34">
        <f>AG450+AN450+AU450</f>
        <v/>
      </c>
      <c r="BD450" s="34">
        <f>MAX(F450:G450,750)*0.05*BC450</f>
        <v/>
      </c>
      <c r="BE450" s="34">
        <f>F450*AY450</f>
        <v/>
      </c>
      <c r="BF450" s="34">
        <f>K450-M450</f>
        <v/>
      </c>
      <c r="BG450" s="34">
        <f>P450-S450</f>
        <v/>
      </c>
      <c r="BH450" s="34">
        <f>W450-AA450</f>
        <v/>
      </c>
      <c r="BI450" s="34">
        <f>BF450+BG450+BL450-BN450</f>
        <v/>
      </c>
      <c r="BJ450" s="34">
        <f>ABS(BK450)</f>
        <v/>
      </c>
      <c r="BK450" s="34">
        <f>AY450-(J450-L450+N450-Q450)</f>
        <v/>
      </c>
      <c r="BL450" s="34">
        <f>IF(AND(BK450&gt;0,MIN($F450:$G450)&lt;150,$E450="Enerji Açığı"),-100*BK450*1.03,IF(AND(BK450&gt;0,MIN($F450:$G450)&lt;150,$E450="Enerji Fazlası"),-100*BK450*1.06,IF(AND(BK450&gt;0,MIN($F450:$G450)&gt;=150,$E450="Enerji Açığı"),BK450*MIN($F450:$G450)*0.97,IF(AND(BK450&gt;0,MIN($F450:$G450)&gt;=150,$E450="Enerji Fazlası"),BK450*MIN($F450:$G450)*0.94,IF(AND(BK450&lt;0,MAX($F450:$G450)=4500,$E450="Enerji Açığı"),4500*1.05*1.06*BK450,IF(AND(BK450&lt;0,MAX($F450:$G450)=4500,$E450="Enerji Fazlası"),4500*1.05*1.03*BK450,IF(AND(BK450&lt;0,$E450="Enerji Açığı"),MAX($F450,$G450,150)*BK450*1.06,IF(AND(BK450&lt;0,$E450="Enerji Fazlası"),MAX($F450,$G450,150)*BK450*1.03,IF(AND(BK450&lt;0,$E450="Dengede"),MAX($F450:$G450,150)*1.03*BK450,MIN($F450:$G450)*0.97*BK450)))))))))</f>
        <v/>
      </c>
      <c r="BM450" s="34">
        <f>BE450-BI450-BN450</f>
        <v/>
      </c>
      <c r="BN450" s="34">
        <f>BB450</f>
        <v/>
      </c>
      <c r="BO450" s="34">
        <f>BE450-BI450</f>
        <v/>
      </c>
      <c r="BP450" s="34">
        <f>IF(AY450=0,0,BO450/AY450)</f>
        <v/>
      </c>
      <c r="BQ450" s="34">
        <f>MAX((AY450+MAX((-J450+L450-N450+Q450),0)),(MAX((J450-L450+N450-Q450),0)))</f>
        <v/>
      </c>
      <c r="BR450" s="82">
        <f>IFERROR(ABS(BK450/BQ450),0)</f>
        <v/>
      </c>
      <c r="BS450" s="34">
        <f>IF(BR450&lt;=0.1,0,BK450/BR450*(BR450-0.1))</f>
        <v/>
      </c>
      <c r="BT450" s="34">
        <f>IF((BS450)&lt;0,MAX(F450:G450)*(BS450)*1.03,MIN(F450:G450)*(BS450)*0.97)</f>
        <v/>
      </c>
      <c r="BU450" s="34">
        <f>IF(BR450&gt;0.1,1,0)</f>
        <v/>
      </c>
      <c r="BV450" s="34">
        <f>BF450+BG450+BH450+BY450-CA450</f>
        <v/>
      </c>
      <c r="BW450" s="34">
        <f>ABS(BX450)</f>
        <v/>
      </c>
      <c r="BX450" s="34">
        <f>AY450-(J450-L450+N450-Q450+T450-X450)</f>
        <v/>
      </c>
      <c r="BY450" s="34">
        <f>IF(AND(BX450&gt;0,MIN($F450:$G450)&lt;150,$E450="Enerji Açığı"),-100*BX450*1.03,IF(AND(BX450&gt;0,MIN($F450:$G450)&lt;150,$E450="Enerji Fazlası"),-100*BX450*1.06,IF(AND(BX450&gt;0,MIN($F450:$G450)&gt;=150,$E450="Enerji Açığı"),BX450*MIN($F450:$G450)*0.97,IF(AND(BX450&gt;0,MIN($F450:$G450)&gt;=150,$E450="Enerji Fazlası"),BX450*MIN($F450:$G450)*0.94,IF(AND(BX450&lt;0,MAX($F450:$G450)=4500,$E450="Enerji Açığı"),4500*1.05*1.06*BX450,IF(AND(BX450&lt;0,MAX($F450:$G450)=4500,$E450="Enerji Fazlası"),4500*1.05*1.03*BX450,IF(AND(BX450&lt;0,$E450="Enerji Açığı"),MAX($F450,$G450,150)*BX450*1.06,IF(AND(BX450&lt;0,$E450="Enerji Fazlası"),MAX($F450,$G450,150)*BX450*1.03,IF(AND(BX450&lt;0,$E450="Dengede"),MAX($F450:$G450,150)*1.03*BX450,MIN($F450:$G450)*0.97*BX450)))))))))</f>
        <v/>
      </c>
      <c r="BZ450" s="34">
        <f>BE450-BV450-CA450</f>
        <v/>
      </c>
      <c r="CA450" s="34">
        <f>BD450</f>
        <v/>
      </c>
      <c r="CB450" s="33">
        <f>BE450-BV450</f>
        <v/>
      </c>
      <c r="CC450" s="34">
        <f>IF(AY450=0,0,CB450/AY450)</f>
        <v/>
      </c>
      <c r="CD450" s="34">
        <f>MAX((AY450+MAX((-J450+L450-N450+Q450-T450+X450),0)),(MAX((J450-L450+N450-Q450+T450-X450),0)))</f>
        <v/>
      </c>
      <c r="CE450" s="82">
        <f>IFERROR(ABS(BX450/CD450),0)</f>
        <v/>
      </c>
      <c r="CF450" s="34">
        <f>IF(CE450&lt;=0.1,0,BX450/CE450*(CE450-0.1))</f>
        <v/>
      </c>
      <c r="CG450" s="34">
        <f>IF((CF450)&lt;0,MAX(F450:G450)*(CF450)*1.03,MIN(F450:G450)*(CF450)*0.97)</f>
        <v/>
      </c>
      <c r="CH450" s="34">
        <f>IF(CE450&gt;0.1,1,0)</f>
        <v/>
      </c>
      <c r="CI450" s="34">
        <f>(F450*BX450)-BY450</f>
        <v/>
      </c>
      <c r="CJ450" s="34">
        <f>IF(AY450=0,0,CI450/AY450)</f>
        <v/>
      </c>
    </row>
    <row r="451">
      <c r="A451" s="29">
        <f>[1]FİYATLAR!A426</f>
        <v/>
      </c>
      <c r="B451" s="29">
        <f>[1]FİYATLAR!B426</f>
        <v/>
      </c>
      <c r="C451" s="35">
        <f>INT(A451)</f>
        <v/>
      </c>
      <c r="D451" s="36">
        <f>MONTH(A451)</f>
        <v/>
      </c>
      <c r="E451" s="147">
        <f>[1]FİYATLAR!G426</f>
        <v/>
      </c>
      <c r="F451" s="30">
        <f>[1]FİYATLAR!C426</f>
        <v/>
      </c>
      <c r="G451" s="30">
        <f>[1]FİYATLAR!E426</f>
        <v/>
      </c>
      <c r="H451" s="30">
        <f>[1]FİYATLAR!D426</f>
        <v/>
      </c>
      <c r="I451" s="30">
        <f>[1]FİYATLAR!F426</f>
        <v/>
      </c>
      <c r="J451" s="119" t="n">
        <v>0</v>
      </c>
      <c r="K451" s="34">
        <f>F451*J451</f>
        <v/>
      </c>
      <c r="L451" s="119" t="n"/>
      <c r="M451" s="34">
        <f>L451*F451</f>
        <v/>
      </c>
      <c r="N451" s="119" t="n"/>
      <c r="O451" s="34">
        <f>F451</f>
        <v/>
      </c>
      <c r="P451" s="34">
        <f>N451*O451</f>
        <v/>
      </c>
      <c r="Q451" s="117" t="n">
        <v>0</v>
      </c>
      <c r="R451" s="34">
        <f>F451</f>
        <v/>
      </c>
      <c r="S451" s="34">
        <f>R451*Q451</f>
        <v/>
      </c>
      <c r="T451" s="34">
        <f>SUMIFS('[1]GİP VERİLERİ'!$C:$C,'[1]GİP VERİLERİ'!$B:$B,A451,'[1]GİP VERİLERİ'!$M:$M,"40X000000104782K",'[1]GİP VERİLERİ'!$G:$G,"SELL")</f>
        <v/>
      </c>
      <c r="U451" s="34">
        <f>IFERROR(W451/T451,0)</f>
        <v/>
      </c>
      <c r="V451" s="34">
        <f>IF(U451=0,0,U451-F451)</f>
        <v/>
      </c>
      <c r="W451" s="34">
        <f>SUMIFS('[1]GİP VERİLERİ'!$O:$O,'[1]GİP VERİLERİ'!$B:$B,A451,'[1]GİP VERİLERİ'!$M:$M,"40X000000104782K",'[1]GİP VERİLERİ'!$G:$G,"SELL")</f>
        <v/>
      </c>
      <c r="X451" s="34">
        <f>SUMIFS('[1]GİP VERİLERİ'!$C:$C,'[1]GİP VERİLERİ'!$B:$B,A451,'[1]GİP VERİLERİ'!$M:$M,"40X000000104782K",'[1]GİP VERİLERİ'!$G:$G,"BUY")</f>
        <v/>
      </c>
      <c r="Y451" s="34">
        <f>IFERROR(AA451/X451,0)</f>
        <v/>
      </c>
      <c r="Z451" s="34">
        <f>IF(Y451=0,0,F451-Y451)</f>
        <v/>
      </c>
      <c r="AA451" s="34">
        <f>SUMIFS('[1]GİP VERİLERİ'!$O:$O,'[1]GİP VERİLERİ'!$B:$B,A451,'[1]GİP VERİLERİ'!$M:$M,"40X000000104782K",'[1]GİP VERİLERİ'!$G:$G,"BUY")</f>
        <v/>
      </c>
      <c r="AB451" s="34">
        <f>'[1]GÖP VERİLERİ'!H452</f>
        <v/>
      </c>
      <c r="AC451" s="34">
        <f>'[1]GÖP VERİLERİ'!I452</f>
        <v/>
      </c>
      <c r="AD451" s="34">
        <f>IF(AB451&gt;AC451*1.05,AB451-AC451*1.05,IF(AB451&lt;AC451*0.95,AC451*0.95-AB451,0))</f>
        <v/>
      </c>
      <c r="AE451" s="34">
        <f>MAX(F451,G451,750)*0.05*AD451</f>
        <v/>
      </c>
      <c r="AF451" s="34">
        <f>'[1]GÖP VERİLERİ'!J452</f>
        <v/>
      </c>
      <c r="AG451" s="34">
        <f>IF(AB451&gt;AF451*1.05,AB451-AF451*1.05,IF(AB451&lt;AF451*0.95,AF451*0.95-AB451,0))</f>
        <v/>
      </c>
      <c r="AH451" s="34">
        <f>MAX(I451,J451,750)*0.05*AG451</f>
        <v/>
      </c>
      <c r="AI451">
        <f>'[1]GÖP VERİLERİ'!E452</f>
        <v/>
      </c>
      <c r="AJ451">
        <f>'[1]GÖP VERİLERİ'!F452</f>
        <v/>
      </c>
      <c r="AK451" s="34">
        <f>IF(AI451&gt;AJ451*1.05,AI451-AJ451*1.05,IF(AI451&lt;AJ451*0.95,AJ451*0.95-AI451,0))</f>
        <v/>
      </c>
      <c r="AL451" s="34">
        <f>MAX(F451,G451,750)*0.05*AK451</f>
        <v/>
      </c>
      <c r="AM451" s="39">
        <f>'[1]GÖP VERİLERİ'!G452</f>
        <v/>
      </c>
      <c r="AN451" s="34">
        <f>IF(AI451&gt;AM451*1.05,AI451-AM451*1.05,IF(AI451&lt;AM451*0.95,AM451*0.95-AI451,0))</f>
        <v/>
      </c>
      <c r="AO451" s="34">
        <f>MAX(F451,G451,750)*0.05*AN451</f>
        <v/>
      </c>
      <c r="AP451" s="34">
        <f>'[1]GÖP VERİLERİ'!B452</f>
        <v/>
      </c>
      <c r="AQ451" s="34">
        <f>'[1]GÖP VERİLERİ'!C452</f>
        <v/>
      </c>
      <c r="AR451" s="34">
        <f>IF(AP451&gt;AQ451*1.05,AP451-AQ451*1.05,IF(AP451&lt;AQ451*0.95,AQ451*0.95-AP451,0))</f>
        <v/>
      </c>
      <c r="AS451" s="34">
        <f>MAX(F451:G451,750)*0.05*AR451</f>
        <v/>
      </c>
      <c r="AT451">
        <f>'[1]GÖP VERİLERİ'!D452</f>
        <v/>
      </c>
      <c r="AU451" s="34">
        <f>IF(AP451&gt;AT451*1.05,AP451-AT451*1.05,IF(AP451&lt;AT451*0.95,AT451*0.95-AP451,0))</f>
        <v/>
      </c>
      <c r="AV451" s="34">
        <f>MAX(F451:G451,750)*0.05*AU451</f>
        <v/>
      </c>
      <c r="AW451" s="34">
        <f>AC451+AJ451+AQ451</f>
        <v/>
      </c>
      <c r="AX451" s="34">
        <f>AF451+AM451+AT451</f>
        <v/>
      </c>
      <c r="AY451" s="34">
        <f>AB451+AI451+AP451</f>
        <v/>
      </c>
      <c r="AZ451" s="34" t="n">
        <v>0</v>
      </c>
      <c r="BA451" s="34">
        <f>AD451+AK451+AR451</f>
        <v/>
      </c>
      <c r="BB451" s="34">
        <f>MAX(F451:G451,750)*0.05*BA451</f>
        <v/>
      </c>
      <c r="BC451" s="34">
        <f>AG451+AN451+AU451</f>
        <v/>
      </c>
      <c r="BD451" s="34">
        <f>MAX(F451:G451,750)*0.05*BC451</f>
        <v/>
      </c>
      <c r="BE451" s="34">
        <f>F451*AY451</f>
        <v/>
      </c>
      <c r="BF451" s="34">
        <f>K451-M451</f>
        <v/>
      </c>
      <c r="BG451" s="34">
        <f>P451-S451</f>
        <v/>
      </c>
      <c r="BH451" s="34">
        <f>W451-AA451</f>
        <v/>
      </c>
      <c r="BI451" s="34">
        <f>BF451+BG451+BL451-BN451</f>
        <v/>
      </c>
      <c r="BJ451" s="34">
        <f>ABS(BK451)</f>
        <v/>
      </c>
      <c r="BK451" s="34">
        <f>AY451-(J451-L451+N451-Q451)</f>
        <v/>
      </c>
      <c r="BL451" s="34">
        <f>IF(AND(BK451&gt;0,MIN($F451:$G451)&lt;150,$E451="Enerji Açığı"),-100*BK451*1.03,IF(AND(BK451&gt;0,MIN($F451:$G451)&lt;150,$E451="Enerji Fazlası"),-100*BK451*1.06,IF(AND(BK451&gt;0,MIN($F451:$G451)&gt;=150,$E451="Enerji Açığı"),BK451*MIN($F451:$G451)*0.97,IF(AND(BK451&gt;0,MIN($F451:$G451)&gt;=150,$E451="Enerji Fazlası"),BK451*MIN($F451:$G451)*0.94,IF(AND(BK451&lt;0,MAX($F451:$G451)=4500,$E451="Enerji Açığı"),4500*1.05*1.06*BK451,IF(AND(BK451&lt;0,MAX($F451:$G451)=4500,$E451="Enerji Fazlası"),4500*1.05*1.03*BK451,IF(AND(BK451&lt;0,$E451="Enerji Açığı"),MAX($F451,$G451,150)*BK451*1.06,IF(AND(BK451&lt;0,$E451="Enerji Fazlası"),MAX($F451,$G451,150)*BK451*1.03,IF(AND(BK451&lt;0,$E451="Dengede"),MAX($F451:$G451,150)*1.03*BK451,MIN($F451:$G451)*0.97*BK451)))))))))</f>
        <v/>
      </c>
      <c r="BM451" s="34">
        <f>BE451-BI451-BN451</f>
        <v/>
      </c>
      <c r="BN451" s="34">
        <f>BB451</f>
        <v/>
      </c>
      <c r="BO451" s="34">
        <f>BE451-BI451</f>
        <v/>
      </c>
      <c r="BP451" s="34">
        <f>IF(AY451=0,0,BO451/AY451)</f>
        <v/>
      </c>
      <c r="BQ451" s="34">
        <f>MAX((AY451+MAX((-J451+L451-N451+Q451),0)),(MAX((J451-L451+N451-Q451),0)))</f>
        <v/>
      </c>
      <c r="BR451" s="82">
        <f>IFERROR(ABS(BK451/BQ451),0)</f>
        <v/>
      </c>
      <c r="BS451" s="34">
        <f>IF(BR451&lt;=0.1,0,BK451/BR451*(BR451-0.1))</f>
        <v/>
      </c>
      <c r="BT451" s="34">
        <f>IF((BS451)&lt;0,MAX(F451:G451)*(BS451)*1.03,MIN(F451:G451)*(BS451)*0.97)</f>
        <v/>
      </c>
      <c r="BU451" s="34">
        <f>IF(BR451&gt;0.1,1,0)</f>
        <v/>
      </c>
      <c r="BV451" s="34">
        <f>BF451+BG451+BH451+BY451-CA451</f>
        <v/>
      </c>
      <c r="BW451" s="34">
        <f>ABS(BX451)</f>
        <v/>
      </c>
      <c r="BX451" s="34">
        <f>AY451-(J451-L451+N451-Q451+T451-X451)</f>
        <v/>
      </c>
      <c r="BY451" s="34">
        <f>IF(AND(BX451&gt;0,MIN($F451:$G451)&lt;150,$E451="Enerji Açığı"),-100*BX451*1.03,IF(AND(BX451&gt;0,MIN($F451:$G451)&lt;150,$E451="Enerji Fazlası"),-100*BX451*1.06,IF(AND(BX451&gt;0,MIN($F451:$G451)&gt;=150,$E451="Enerji Açığı"),BX451*MIN($F451:$G451)*0.97,IF(AND(BX451&gt;0,MIN($F451:$G451)&gt;=150,$E451="Enerji Fazlası"),BX451*MIN($F451:$G451)*0.94,IF(AND(BX451&lt;0,MAX($F451:$G451)=4500,$E451="Enerji Açığı"),4500*1.05*1.06*BX451,IF(AND(BX451&lt;0,MAX($F451:$G451)=4500,$E451="Enerji Fazlası"),4500*1.05*1.03*BX451,IF(AND(BX451&lt;0,$E451="Enerji Açığı"),MAX($F451,$G451,150)*BX451*1.06,IF(AND(BX451&lt;0,$E451="Enerji Fazlası"),MAX($F451,$G451,150)*BX451*1.03,IF(AND(BX451&lt;0,$E451="Dengede"),MAX($F451:$G451,150)*1.03*BX451,MIN($F451:$G451)*0.97*BX451)))))))))</f>
        <v/>
      </c>
      <c r="BZ451" s="34">
        <f>BE451-BV451-CA451</f>
        <v/>
      </c>
      <c r="CA451" s="34">
        <f>BD451</f>
        <v/>
      </c>
      <c r="CB451" s="33">
        <f>BE451-BV451</f>
        <v/>
      </c>
      <c r="CC451" s="34">
        <f>IF(AY451=0,0,CB451/AY451)</f>
        <v/>
      </c>
      <c r="CD451" s="34">
        <f>MAX((AY451+MAX((-J451+L451-N451+Q451-T451+X451),0)),(MAX((J451-L451+N451-Q451+T451-X451),0)))</f>
        <v/>
      </c>
      <c r="CE451" s="82">
        <f>IFERROR(ABS(BX451/CD451),0)</f>
        <v/>
      </c>
      <c r="CF451" s="34">
        <f>IF(CE451&lt;=0.1,0,BX451/CE451*(CE451-0.1))</f>
        <v/>
      </c>
      <c r="CG451" s="34">
        <f>IF((CF451)&lt;0,MAX(F451:G451)*(CF451)*1.03,MIN(F451:G451)*(CF451)*0.97)</f>
        <v/>
      </c>
      <c r="CH451" s="34">
        <f>IF(CE451&gt;0.1,1,0)</f>
        <v/>
      </c>
      <c r="CI451" s="34">
        <f>(F451*BX451)-BY451</f>
        <v/>
      </c>
      <c r="CJ451" s="34">
        <f>IF(AY451=0,0,CI451/AY451)</f>
        <v/>
      </c>
    </row>
    <row r="452">
      <c r="A452" s="29">
        <f>[1]FİYATLAR!A427</f>
        <v/>
      </c>
      <c r="B452" s="29">
        <f>[1]FİYATLAR!B427</f>
        <v/>
      </c>
      <c r="C452" s="35">
        <f>INT(A452)</f>
        <v/>
      </c>
      <c r="D452" s="36">
        <f>MONTH(A452)</f>
        <v/>
      </c>
      <c r="E452" s="147">
        <f>[1]FİYATLAR!G427</f>
        <v/>
      </c>
      <c r="F452" s="30">
        <f>[1]FİYATLAR!C427</f>
        <v/>
      </c>
      <c r="G452" s="30">
        <f>[1]FİYATLAR!E427</f>
        <v/>
      </c>
      <c r="H452" s="30">
        <f>[1]FİYATLAR!D427</f>
        <v/>
      </c>
      <c r="I452" s="30">
        <f>[1]FİYATLAR!F427</f>
        <v/>
      </c>
      <c r="J452" s="119" t="n">
        <v>0</v>
      </c>
      <c r="K452" s="34">
        <f>F452*J452</f>
        <v/>
      </c>
      <c r="L452" s="119" t="n"/>
      <c r="M452" s="34">
        <f>L452*F452</f>
        <v/>
      </c>
      <c r="N452" s="119" t="n"/>
      <c r="O452" s="34">
        <f>F452</f>
        <v/>
      </c>
      <c r="P452" s="34">
        <f>N452*O452</f>
        <v/>
      </c>
      <c r="Q452" s="117" t="n">
        <v>0</v>
      </c>
      <c r="R452" s="34">
        <f>F452</f>
        <v/>
      </c>
      <c r="S452" s="34">
        <f>R452*Q452</f>
        <v/>
      </c>
      <c r="T452" s="34">
        <f>SUMIFS('[1]GİP VERİLERİ'!$C:$C,'[1]GİP VERİLERİ'!$B:$B,A452,'[1]GİP VERİLERİ'!$M:$M,"40X000000104782K",'[1]GİP VERİLERİ'!$G:$G,"SELL")</f>
        <v/>
      </c>
      <c r="U452" s="34">
        <f>IFERROR(W452/T452,0)</f>
        <v/>
      </c>
      <c r="V452" s="34">
        <f>IF(U452=0,0,U452-F452)</f>
        <v/>
      </c>
      <c r="W452" s="34">
        <f>SUMIFS('[1]GİP VERİLERİ'!$O:$O,'[1]GİP VERİLERİ'!$B:$B,A452,'[1]GİP VERİLERİ'!$M:$M,"40X000000104782K",'[1]GİP VERİLERİ'!$G:$G,"SELL")</f>
        <v/>
      </c>
      <c r="X452" s="34">
        <f>SUMIFS('[1]GİP VERİLERİ'!$C:$C,'[1]GİP VERİLERİ'!$B:$B,A452,'[1]GİP VERİLERİ'!$M:$M,"40X000000104782K",'[1]GİP VERİLERİ'!$G:$G,"BUY")</f>
        <v/>
      </c>
      <c r="Y452" s="34">
        <f>IFERROR(AA452/X452,0)</f>
        <v/>
      </c>
      <c r="Z452" s="34">
        <f>IF(Y452=0,0,F452-Y452)</f>
        <v/>
      </c>
      <c r="AA452" s="34">
        <f>SUMIFS('[1]GİP VERİLERİ'!$O:$O,'[1]GİP VERİLERİ'!$B:$B,A452,'[1]GİP VERİLERİ'!$M:$M,"40X000000104782K",'[1]GİP VERİLERİ'!$G:$G,"BUY")</f>
        <v/>
      </c>
      <c r="AB452" s="34">
        <f>'[1]GÖP VERİLERİ'!H453</f>
        <v/>
      </c>
      <c r="AC452" s="34">
        <f>'[1]GÖP VERİLERİ'!I453</f>
        <v/>
      </c>
      <c r="AD452" s="34">
        <f>IF(AB452&gt;AC452*1.05,AB452-AC452*1.05,IF(AB452&lt;AC452*0.95,AC452*0.95-AB452,0))</f>
        <v/>
      </c>
      <c r="AE452" s="34">
        <f>MAX(F452,G452,750)*0.05*AD452</f>
        <v/>
      </c>
      <c r="AF452" s="34">
        <f>'[1]GÖP VERİLERİ'!J453</f>
        <v/>
      </c>
      <c r="AG452" s="34">
        <f>IF(AB452&gt;AF452*1.05,AB452-AF452*1.05,IF(AB452&lt;AF452*0.95,AF452*0.95-AB452,0))</f>
        <v/>
      </c>
      <c r="AH452" s="34">
        <f>MAX(I452,J452,750)*0.05*AG452</f>
        <v/>
      </c>
      <c r="AI452">
        <f>'[1]GÖP VERİLERİ'!E453</f>
        <v/>
      </c>
      <c r="AJ452">
        <f>'[1]GÖP VERİLERİ'!F453</f>
        <v/>
      </c>
      <c r="AK452" s="34">
        <f>IF(AI452&gt;AJ452*1.05,AI452-AJ452*1.05,IF(AI452&lt;AJ452*0.95,AJ452*0.95-AI452,0))</f>
        <v/>
      </c>
      <c r="AL452" s="34">
        <f>MAX(F452,G452,750)*0.05*AK452</f>
        <v/>
      </c>
      <c r="AM452" s="39">
        <f>'[1]GÖP VERİLERİ'!G453</f>
        <v/>
      </c>
      <c r="AN452" s="34">
        <f>IF(AI452&gt;AM452*1.05,AI452-AM452*1.05,IF(AI452&lt;AM452*0.95,AM452*0.95-AI452,0))</f>
        <v/>
      </c>
      <c r="AO452" s="34">
        <f>MAX(F452,G452,750)*0.05*AN452</f>
        <v/>
      </c>
      <c r="AP452" s="34">
        <f>'[1]GÖP VERİLERİ'!B453</f>
        <v/>
      </c>
      <c r="AQ452" s="34">
        <f>'[1]GÖP VERİLERİ'!C453</f>
        <v/>
      </c>
      <c r="AR452" s="34">
        <f>IF(AP452&gt;AQ452*1.05,AP452-AQ452*1.05,IF(AP452&lt;AQ452*0.95,AQ452*0.95-AP452,0))</f>
        <v/>
      </c>
      <c r="AS452" s="34">
        <f>MAX(F452:G452,750)*0.05*AR452</f>
        <v/>
      </c>
      <c r="AT452">
        <f>'[1]GÖP VERİLERİ'!D453</f>
        <v/>
      </c>
      <c r="AU452" s="34">
        <f>IF(AP452&gt;AT452*1.05,AP452-AT452*1.05,IF(AP452&lt;AT452*0.95,AT452*0.95-AP452,0))</f>
        <v/>
      </c>
      <c r="AV452" s="34">
        <f>MAX(F452:G452,750)*0.05*AU452</f>
        <v/>
      </c>
      <c r="AW452" s="34">
        <f>AC452+AJ452+AQ452</f>
        <v/>
      </c>
      <c r="AX452" s="34">
        <f>AF452+AM452+AT452</f>
        <v/>
      </c>
      <c r="AY452" s="34">
        <f>AB452+AI452+AP452</f>
        <v/>
      </c>
      <c r="AZ452" s="34" t="n">
        <v>0</v>
      </c>
      <c r="BA452" s="34">
        <f>AD452+AK452+AR452</f>
        <v/>
      </c>
      <c r="BB452" s="34">
        <f>MAX(F452:G452,750)*0.05*BA452</f>
        <v/>
      </c>
      <c r="BC452" s="34">
        <f>AG452+AN452+AU452</f>
        <v/>
      </c>
      <c r="BD452" s="34">
        <f>MAX(F452:G452,750)*0.05*BC452</f>
        <v/>
      </c>
      <c r="BE452" s="34">
        <f>F452*AY452</f>
        <v/>
      </c>
      <c r="BF452" s="34">
        <f>K452-M452</f>
        <v/>
      </c>
      <c r="BG452" s="34">
        <f>P452-S452</f>
        <v/>
      </c>
      <c r="BH452" s="34">
        <f>W452-AA452</f>
        <v/>
      </c>
      <c r="BI452" s="34">
        <f>BF452+BG452+BL452-BN452</f>
        <v/>
      </c>
      <c r="BJ452" s="34">
        <f>ABS(BK452)</f>
        <v/>
      </c>
      <c r="BK452" s="34">
        <f>AY452-(J452-L452+N452-Q452)</f>
        <v/>
      </c>
      <c r="BL452" s="34">
        <f>IF(AND(BK452&gt;0,MIN($F452:$G452)&lt;150,$E452="Enerji Açığı"),-100*BK452*1.03,IF(AND(BK452&gt;0,MIN($F452:$G452)&lt;150,$E452="Enerji Fazlası"),-100*BK452*1.06,IF(AND(BK452&gt;0,MIN($F452:$G452)&gt;=150,$E452="Enerji Açığı"),BK452*MIN($F452:$G452)*0.97,IF(AND(BK452&gt;0,MIN($F452:$G452)&gt;=150,$E452="Enerji Fazlası"),BK452*MIN($F452:$G452)*0.94,IF(AND(BK452&lt;0,MAX($F452:$G452)=4500,$E452="Enerji Açığı"),4500*1.05*1.06*BK452,IF(AND(BK452&lt;0,MAX($F452:$G452)=4500,$E452="Enerji Fazlası"),4500*1.05*1.03*BK452,IF(AND(BK452&lt;0,$E452="Enerji Açığı"),MAX($F452,$G452,150)*BK452*1.06,IF(AND(BK452&lt;0,$E452="Enerji Fazlası"),MAX($F452,$G452,150)*BK452*1.03,IF(AND(BK452&lt;0,$E452="Dengede"),MAX($F452:$G452,150)*1.03*BK452,MIN($F452:$G452)*0.97*BK452)))))))))</f>
        <v/>
      </c>
      <c r="BM452" s="34">
        <f>BE452-BI452-BN452</f>
        <v/>
      </c>
      <c r="BN452" s="34">
        <f>BB452</f>
        <v/>
      </c>
      <c r="BO452" s="34">
        <f>BE452-BI452</f>
        <v/>
      </c>
      <c r="BP452" s="34">
        <f>IF(AY452=0,0,BO452/AY452)</f>
        <v/>
      </c>
      <c r="BQ452" s="34">
        <f>MAX((AY452+MAX((-J452+L452-N452+Q452),0)),(MAX((J452-L452+N452-Q452),0)))</f>
        <v/>
      </c>
      <c r="BR452" s="82">
        <f>IFERROR(ABS(BK452/BQ452),0)</f>
        <v/>
      </c>
      <c r="BS452" s="34">
        <f>IF(BR452&lt;=0.1,0,BK452/BR452*(BR452-0.1))</f>
        <v/>
      </c>
      <c r="BT452" s="34">
        <f>IF((BS452)&lt;0,MAX(F452:G452)*(BS452)*1.03,MIN(F452:G452)*(BS452)*0.97)</f>
        <v/>
      </c>
      <c r="BU452" s="34">
        <f>IF(BR452&gt;0.1,1,0)</f>
        <v/>
      </c>
      <c r="BV452" s="34">
        <f>BF452+BG452+BH452+BY452-CA452</f>
        <v/>
      </c>
      <c r="BW452" s="34">
        <f>ABS(BX452)</f>
        <v/>
      </c>
      <c r="BX452" s="34">
        <f>AY452-(J452-L452+N452-Q452+T452-X452)</f>
        <v/>
      </c>
      <c r="BY452" s="34">
        <f>IF(AND(BX452&gt;0,MIN($F452:$G452)&lt;150,$E452="Enerji Açığı"),-100*BX452*1.03,IF(AND(BX452&gt;0,MIN($F452:$G452)&lt;150,$E452="Enerji Fazlası"),-100*BX452*1.06,IF(AND(BX452&gt;0,MIN($F452:$G452)&gt;=150,$E452="Enerji Açığı"),BX452*MIN($F452:$G452)*0.97,IF(AND(BX452&gt;0,MIN($F452:$G452)&gt;=150,$E452="Enerji Fazlası"),BX452*MIN($F452:$G452)*0.94,IF(AND(BX452&lt;0,MAX($F452:$G452)=4500,$E452="Enerji Açığı"),4500*1.05*1.06*BX452,IF(AND(BX452&lt;0,MAX($F452:$G452)=4500,$E452="Enerji Fazlası"),4500*1.05*1.03*BX452,IF(AND(BX452&lt;0,$E452="Enerji Açığı"),MAX($F452,$G452,150)*BX452*1.06,IF(AND(BX452&lt;0,$E452="Enerji Fazlası"),MAX($F452,$G452,150)*BX452*1.03,IF(AND(BX452&lt;0,$E452="Dengede"),MAX($F452:$G452,150)*1.03*BX452,MIN($F452:$G452)*0.97*BX452)))))))))</f>
        <v/>
      </c>
      <c r="BZ452" s="34">
        <f>BE452-BV452-CA452</f>
        <v/>
      </c>
      <c r="CA452" s="34">
        <f>BD452</f>
        <v/>
      </c>
      <c r="CB452" s="33">
        <f>BE452-BV452</f>
        <v/>
      </c>
      <c r="CC452" s="34">
        <f>IF(AY452=0,0,CB452/AY452)</f>
        <v/>
      </c>
      <c r="CD452" s="34">
        <f>MAX((AY452+MAX((-J452+L452-N452+Q452-T452+X452),0)),(MAX((J452-L452+N452-Q452+T452-X452),0)))</f>
        <v/>
      </c>
      <c r="CE452" s="82">
        <f>IFERROR(ABS(BX452/CD452),0)</f>
        <v/>
      </c>
      <c r="CF452" s="34">
        <f>IF(CE452&lt;=0.1,0,BX452/CE452*(CE452-0.1))</f>
        <v/>
      </c>
      <c r="CG452" s="34">
        <f>IF((CF452)&lt;0,MAX(F452:G452)*(CF452)*1.03,MIN(F452:G452)*(CF452)*0.97)</f>
        <v/>
      </c>
      <c r="CH452" s="34">
        <f>IF(CE452&gt;0.1,1,0)</f>
        <v/>
      </c>
      <c r="CI452" s="34">
        <f>(F452*BX452)-BY452</f>
        <v/>
      </c>
      <c r="CJ452" s="34">
        <f>IF(AY452=0,0,CI452/AY452)</f>
        <v/>
      </c>
    </row>
    <row r="453">
      <c r="A453" s="29">
        <f>[1]FİYATLAR!A428</f>
        <v/>
      </c>
      <c r="B453" s="29">
        <f>[1]FİYATLAR!B428</f>
        <v/>
      </c>
      <c r="C453" s="35">
        <f>INT(A453)</f>
        <v/>
      </c>
      <c r="D453" s="36">
        <f>MONTH(A453)</f>
        <v/>
      </c>
      <c r="E453" s="147">
        <f>[1]FİYATLAR!G428</f>
        <v/>
      </c>
      <c r="F453" s="30">
        <f>[1]FİYATLAR!C428</f>
        <v/>
      </c>
      <c r="G453" s="30">
        <f>[1]FİYATLAR!E428</f>
        <v/>
      </c>
      <c r="H453" s="30">
        <f>[1]FİYATLAR!D428</f>
        <v/>
      </c>
      <c r="I453" s="30">
        <f>[1]FİYATLAR!F428</f>
        <v/>
      </c>
      <c r="J453" s="119" t="n">
        <v>0</v>
      </c>
      <c r="K453" s="34">
        <f>F453*J453</f>
        <v/>
      </c>
      <c r="L453" s="119" t="n"/>
      <c r="M453" s="34">
        <f>L453*F453</f>
        <v/>
      </c>
      <c r="N453" s="119" t="n"/>
      <c r="O453" s="34">
        <f>F453</f>
        <v/>
      </c>
      <c r="P453" s="34">
        <f>N453*O453</f>
        <v/>
      </c>
      <c r="Q453" s="117" t="n">
        <v>0</v>
      </c>
      <c r="R453" s="34">
        <f>F453</f>
        <v/>
      </c>
      <c r="S453" s="34">
        <f>R453*Q453</f>
        <v/>
      </c>
      <c r="T453" s="34">
        <f>SUMIFS('[1]GİP VERİLERİ'!$C:$C,'[1]GİP VERİLERİ'!$B:$B,A453,'[1]GİP VERİLERİ'!$M:$M,"40X000000104782K",'[1]GİP VERİLERİ'!$G:$G,"SELL")</f>
        <v/>
      </c>
      <c r="U453" s="34">
        <f>IFERROR(W453/T453,0)</f>
        <v/>
      </c>
      <c r="V453" s="34">
        <f>IF(U453=0,0,U453-F453)</f>
        <v/>
      </c>
      <c r="W453" s="34">
        <f>SUMIFS('[1]GİP VERİLERİ'!$O:$O,'[1]GİP VERİLERİ'!$B:$B,A453,'[1]GİP VERİLERİ'!$M:$M,"40X000000104782K",'[1]GİP VERİLERİ'!$G:$G,"SELL")</f>
        <v/>
      </c>
      <c r="X453" s="34">
        <f>SUMIFS('[1]GİP VERİLERİ'!$C:$C,'[1]GİP VERİLERİ'!$B:$B,A453,'[1]GİP VERİLERİ'!$M:$M,"40X000000104782K",'[1]GİP VERİLERİ'!$G:$G,"BUY")</f>
        <v/>
      </c>
      <c r="Y453" s="34">
        <f>IFERROR(AA453/X453,0)</f>
        <v/>
      </c>
      <c r="Z453" s="34">
        <f>IF(Y453=0,0,F453-Y453)</f>
        <v/>
      </c>
      <c r="AA453" s="34">
        <f>SUMIFS('[1]GİP VERİLERİ'!$O:$O,'[1]GİP VERİLERİ'!$B:$B,A453,'[1]GİP VERİLERİ'!$M:$M,"40X000000104782K",'[1]GİP VERİLERİ'!$G:$G,"BUY")</f>
        <v/>
      </c>
      <c r="AB453" s="34">
        <f>'[1]GÖP VERİLERİ'!H454</f>
        <v/>
      </c>
      <c r="AC453" s="34">
        <f>'[1]GÖP VERİLERİ'!I454</f>
        <v/>
      </c>
      <c r="AD453" s="34">
        <f>IF(AB453&gt;AC453*1.05,AB453-AC453*1.05,IF(AB453&lt;AC453*0.95,AC453*0.95-AB453,0))</f>
        <v/>
      </c>
      <c r="AE453" s="34">
        <f>MAX(F453,G453,750)*0.05*AD453</f>
        <v/>
      </c>
      <c r="AF453" s="34">
        <f>'[1]GÖP VERİLERİ'!J454</f>
        <v/>
      </c>
      <c r="AG453" s="34">
        <f>IF(AB453&gt;AF453*1.05,AB453-AF453*1.05,IF(AB453&lt;AF453*0.95,AF453*0.95-AB453,0))</f>
        <v/>
      </c>
      <c r="AH453" s="34">
        <f>MAX(I453,J453,750)*0.05*AG453</f>
        <v/>
      </c>
      <c r="AI453">
        <f>'[1]GÖP VERİLERİ'!E454</f>
        <v/>
      </c>
      <c r="AJ453">
        <f>'[1]GÖP VERİLERİ'!F454</f>
        <v/>
      </c>
      <c r="AK453" s="34">
        <f>IF(AI453&gt;AJ453*1.05,AI453-AJ453*1.05,IF(AI453&lt;AJ453*0.95,AJ453*0.95-AI453,0))</f>
        <v/>
      </c>
      <c r="AL453" s="34">
        <f>MAX(F453,G453,750)*0.05*AK453</f>
        <v/>
      </c>
      <c r="AM453" s="39">
        <f>'[1]GÖP VERİLERİ'!G454</f>
        <v/>
      </c>
      <c r="AN453" s="34">
        <f>IF(AI453&gt;AM453*1.05,AI453-AM453*1.05,IF(AI453&lt;AM453*0.95,AM453*0.95-AI453,0))</f>
        <v/>
      </c>
      <c r="AO453" s="34">
        <f>MAX(F453,G453,750)*0.05*AN453</f>
        <v/>
      </c>
      <c r="AP453" s="34">
        <f>'[1]GÖP VERİLERİ'!B454</f>
        <v/>
      </c>
      <c r="AQ453" s="34">
        <f>'[1]GÖP VERİLERİ'!C454</f>
        <v/>
      </c>
      <c r="AR453" s="34">
        <f>IF(AP453&gt;AQ453*1.05,AP453-AQ453*1.05,IF(AP453&lt;AQ453*0.95,AQ453*0.95-AP453,0))</f>
        <v/>
      </c>
      <c r="AS453" s="34">
        <f>MAX(F453:G453,750)*0.05*AR453</f>
        <v/>
      </c>
      <c r="AT453">
        <f>'[1]GÖP VERİLERİ'!D454</f>
        <v/>
      </c>
      <c r="AU453" s="34">
        <f>IF(AP453&gt;AT453*1.05,AP453-AT453*1.05,IF(AP453&lt;AT453*0.95,AT453*0.95-AP453,0))</f>
        <v/>
      </c>
      <c r="AV453" s="34">
        <f>MAX(F453:G453,750)*0.05*AU453</f>
        <v/>
      </c>
      <c r="AW453" s="34">
        <f>AC453+AJ453+AQ453</f>
        <v/>
      </c>
      <c r="AX453" s="34">
        <f>AF453+AM453+AT453</f>
        <v/>
      </c>
      <c r="AY453" s="34">
        <f>AB453+AI453+AP453</f>
        <v/>
      </c>
      <c r="AZ453" s="34" t="n">
        <v>0</v>
      </c>
      <c r="BA453" s="34">
        <f>AD453+AK453+AR453</f>
        <v/>
      </c>
      <c r="BB453" s="34">
        <f>MAX(F453:G453,750)*0.05*BA453</f>
        <v/>
      </c>
      <c r="BC453" s="34">
        <f>AG453+AN453+AU453</f>
        <v/>
      </c>
      <c r="BD453" s="34">
        <f>MAX(F453:G453,750)*0.05*BC453</f>
        <v/>
      </c>
      <c r="BE453" s="34">
        <f>F453*AY453</f>
        <v/>
      </c>
      <c r="BF453" s="34">
        <f>K453-M453</f>
        <v/>
      </c>
      <c r="BG453" s="34">
        <f>P453-S453</f>
        <v/>
      </c>
      <c r="BH453" s="34">
        <f>W453-AA453</f>
        <v/>
      </c>
      <c r="BI453" s="34">
        <f>BF453+BG453+BL453-BN453</f>
        <v/>
      </c>
      <c r="BJ453" s="34">
        <f>ABS(BK453)</f>
        <v/>
      </c>
      <c r="BK453" s="34">
        <f>AY453-(J453-L453+N453-Q453)</f>
        <v/>
      </c>
      <c r="BL453" s="34">
        <f>IF(AND(BK453&gt;0,MIN($F453:$G453)&lt;150,$E453="Enerji Açığı"),-100*BK453*1.03,IF(AND(BK453&gt;0,MIN($F453:$G453)&lt;150,$E453="Enerji Fazlası"),-100*BK453*1.06,IF(AND(BK453&gt;0,MIN($F453:$G453)&gt;=150,$E453="Enerji Açığı"),BK453*MIN($F453:$G453)*0.97,IF(AND(BK453&gt;0,MIN($F453:$G453)&gt;=150,$E453="Enerji Fazlası"),BK453*MIN($F453:$G453)*0.94,IF(AND(BK453&lt;0,MAX($F453:$G453)=4500,$E453="Enerji Açığı"),4500*1.05*1.06*BK453,IF(AND(BK453&lt;0,MAX($F453:$G453)=4500,$E453="Enerji Fazlası"),4500*1.05*1.03*BK453,IF(AND(BK453&lt;0,$E453="Enerji Açığı"),MAX($F453,$G453,150)*BK453*1.06,IF(AND(BK453&lt;0,$E453="Enerji Fazlası"),MAX($F453,$G453,150)*BK453*1.03,IF(AND(BK453&lt;0,$E453="Dengede"),MAX($F453:$G453,150)*1.03*BK453,MIN($F453:$G453)*0.97*BK453)))))))))</f>
        <v/>
      </c>
      <c r="BM453" s="34">
        <f>BE453-BI453-BN453</f>
        <v/>
      </c>
      <c r="BN453" s="34">
        <f>BB453</f>
        <v/>
      </c>
      <c r="BO453" s="34">
        <f>BE453-BI453</f>
        <v/>
      </c>
      <c r="BP453" s="34">
        <f>IF(AY453=0,0,BO453/AY453)</f>
        <v/>
      </c>
      <c r="BQ453" s="34">
        <f>MAX((AY453+MAX((-J453+L453-N453+Q453),0)),(MAX((J453-L453+N453-Q453),0)))</f>
        <v/>
      </c>
      <c r="BR453" s="82">
        <f>IFERROR(ABS(BK453/BQ453),0)</f>
        <v/>
      </c>
      <c r="BS453" s="34">
        <f>IF(BR453&lt;=0.1,0,BK453/BR453*(BR453-0.1))</f>
        <v/>
      </c>
      <c r="BT453" s="34">
        <f>IF((BS453)&lt;0,MAX(F453:G453)*(BS453)*1.03,MIN(F453:G453)*(BS453)*0.97)</f>
        <v/>
      </c>
      <c r="BU453" s="34">
        <f>IF(BR453&gt;0.1,1,0)</f>
        <v/>
      </c>
      <c r="BV453" s="34">
        <f>BF453+BG453+BH453+BY453-CA453</f>
        <v/>
      </c>
      <c r="BW453" s="34">
        <f>ABS(BX453)</f>
        <v/>
      </c>
      <c r="BX453" s="34">
        <f>AY453-(J453-L453+N453-Q453+T453-X453)</f>
        <v/>
      </c>
      <c r="BY453" s="34">
        <f>IF(AND(BX453&gt;0,MIN($F453:$G453)&lt;150,$E453="Enerji Açığı"),-100*BX453*1.03,IF(AND(BX453&gt;0,MIN($F453:$G453)&lt;150,$E453="Enerji Fazlası"),-100*BX453*1.06,IF(AND(BX453&gt;0,MIN($F453:$G453)&gt;=150,$E453="Enerji Açığı"),BX453*MIN($F453:$G453)*0.97,IF(AND(BX453&gt;0,MIN($F453:$G453)&gt;=150,$E453="Enerji Fazlası"),BX453*MIN($F453:$G453)*0.94,IF(AND(BX453&lt;0,MAX($F453:$G453)=4500,$E453="Enerji Açığı"),4500*1.05*1.06*BX453,IF(AND(BX453&lt;0,MAX($F453:$G453)=4500,$E453="Enerji Fazlası"),4500*1.05*1.03*BX453,IF(AND(BX453&lt;0,$E453="Enerji Açığı"),MAX($F453,$G453,150)*BX453*1.06,IF(AND(BX453&lt;0,$E453="Enerji Fazlası"),MAX($F453,$G453,150)*BX453*1.03,IF(AND(BX453&lt;0,$E453="Dengede"),MAX($F453:$G453,150)*1.03*BX453,MIN($F453:$G453)*0.97*BX453)))))))))</f>
        <v/>
      </c>
      <c r="BZ453" s="34">
        <f>BE453-BV453-CA453</f>
        <v/>
      </c>
      <c r="CA453" s="34">
        <f>BD453</f>
        <v/>
      </c>
      <c r="CB453" s="33">
        <f>BE453-BV453</f>
        <v/>
      </c>
      <c r="CC453" s="34">
        <f>IF(AY453=0,0,CB453/AY453)</f>
        <v/>
      </c>
      <c r="CD453" s="34">
        <f>MAX((AY453+MAX((-J453+L453-N453+Q453-T453+X453),0)),(MAX((J453-L453+N453-Q453+T453-X453),0)))</f>
        <v/>
      </c>
      <c r="CE453" s="82">
        <f>IFERROR(ABS(BX453/CD453),0)</f>
        <v/>
      </c>
      <c r="CF453" s="34">
        <f>IF(CE453&lt;=0.1,0,BX453/CE453*(CE453-0.1))</f>
        <v/>
      </c>
      <c r="CG453" s="34">
        <f>IF((CF453)&lt;0,MAX(F453:G453)*(CF453)*1.03,MIN(F453:G453)*(CF453)*0.97)</f>
        <v/>
      </c>
      <c r="CH453" s="34">
        <f>IF(CE453&gt;0.1,1,0)</f>
        <v/>
      </c>
      <c r="CI453" s="34">
        <f>(F453*BX453)-BY453</f>
        <v/>
      </c>
      <c r="CJ453" s="34">
        <f>IF(AY453=0,0,CI453/AY453)</f>
        <v/>
      </c>
    </row>
    <row r="454">
      <c r="A454" s="29">
        <f>[1]FİYATLAR!A429</f>
        <v/>
      </c>
      <c r="B454" s="29">
        <f>[1]FİYATLAR!B429</f>
        <v/>
      </c>
      <c r="C454" s="35">
        <f>INT(A454)</f>
        <v/>
      </c>
      <c r="D454" s="36">
        <f>MONTH(A454)</f>
        <v/>
      </c>
      <c r="E454" s="147">
        <f>[1]FİYATLAR!G429</f>
        <v/>
      </c>
      <c r="F454" s="30">
        <f>[1]FİYATLAR!C429</f>
        <v/>
      </c>
      <c r="G454" s="30">
        <f>[1]FİYATLAR!E429</f>
        <v/>
      </c>
      <c r="H454" s="30">
        <f>[1]FİYATLAR!D429</f>
        <v/>
      </c>
      <c r="I454" s="30">
        <f>[1]FİYATLAR!F429</f>
        <v/>
      </c>
      <c r="J454" s="119" t="n">
        <v>0</v>
      </c>
      <c r="K454" s="34">
        <f>F454*J454</f>
        <v/>
      </c>
      <c r="L454" s="119" t="n"/>
      <c r="M454" s="34">
        <f>L454*F454</f>
        <v/>
      </c>
      <c r="N454" s="119" t="n"/>
      <c r="O454" s="34">
        <f>F454</f>
        <v/>
      </c>
      <c r="P454" s="34">
        <f>N454*O454</f>
        <v/>
      </c>
      <c r="Q454" s="117" t="n">
        <v>0</v>
      </c>
      <c r="R454" s="34">
        <f>F454</f>
        <v/>
      </c>
      <c r="S454" s="34">
        <f>R454*Q454</f>
        <v/>
      </c>
      <c r="T454" s="34">
        <f>SUMIFS('[1]GİP VERİLERİ'!$C:$C,'[1]GİP VERİLERİ'!$B:$B,A454,'[1]GİP VERİLERİ'!$M:$M,"40X000000104782K",'[1]GİP VERİLERİ'!$G:$G,"SELL")</f>
        <v/>
      </c>
      <c r="U454" s="34">
        <f>IFERROR(W454/T454,0)</f>
        <v/>
      </c>
      <c r="V454" s="34">
        <f>IF(U454=0,0,U454-F454)</f>
        <v/>
      </c>
      <c r="W454" s="34">
        <f>SUMIFS('[1]GİP VERİLERİ'!$O:$O,'[1]GİP VERİLERİ'!$B:$B,A454,'[1]GİP VERİLERİ'!$M:$M,"40X000000104782K",'[1]GİP VERİLERİ'!$G:$G,"SELL")</f>
        <v/>
      </c>
      <c r="X454" s="34">
        <f>SUMIFS('[1]GİP VERİLERİ'!$C:$C,'[1]GİP VERİLERİ'!$B:$B,A454,'[1]GİP VERİLERİ'!$M:$M,"40X000000104782K",'[1]GİP VERİLERİ'!$G:$G,"BUY")</f>
        <v/>
      </c>
      <c r="Y454" s="34">
        <f>IFERROR(AA454/X454,0)</f>
        <v/>
      </c>
      <c r="Z454" s="34">
        <f>IF(Y454=0,0,F454-Y454)</f>
        <v/>
      </c>
      <c r="AA454" s="34">
        <f>SUMIFS('[1]GİP VERİLERİ'!$O:$O,'[1]GİP VERİLERİ'!$B:$B,A454,'[1]GİP VERİLERİ'!$M:$M,"40X000000104782K",'[1]GİP VERİLERİ'!$G:$G,"BUY")</f>
        <v/>
      </c>
      <c r="AB454" s="34">
        <f>'[1]GÖP VERİLERİ'!H455</f>
        <v/>
      </c>
      <c r="AC454" s="34">
        <f>'[1]GÖP VERİLERİ'!I455</f>
        <v/>
      </c>
      <c r="AD454" s="34">
        <f>IF(AB454&gt;AC454*1.05,AB454-AC454*1.05,IF(AB454&lt;AC454*0.95,AC454*0.95-AB454,0))</f>
        <v/>
      </c>
      <c r="AE454" s="34">
        <f>MAX(F454,G454,750)*0.05*AD454</f>
        <v/>
      </c>
      <c r="AF454" s="34">
        <f>'[1]GÖP VERİLERİ'!J455</f>
        <v/>
      </c>
      <c r="AG454" s="34">
        <f>IF(AB454&gt;AF454*1.05,AB454-AF454*1.05,IF(AB454&lt;AF454*0.95,AF454*0.95-AB454,0))</f>
        <v/>
      </c>
      <c r="AH454" s="34">
        <f>MAX(I454,J454,750)*0.05*AG454</f>
        <v/>
      </c>
      <c r="AI454">
        <f>'[1]GÖP VERİLERİ'!E455</f>
        <v/>
      </c>
      <c r="AJ454">
        <f>'[1]GÖP VERİLERİ'!F455</f>
        <v/>
      </c>
      <c r="AK454" s="34">
        <f>IF(AI454&gt;AJ454*1.05,AI454-AJ454*1.05,IF(AI454&lt;AJ454*0.95,AJ454*0.95-AI454,0))</f>
        <v/>
      </c>
      <c r="AL454" s="34">
        <f>MAX(F454,G454,750)*0.05*AK454</f>
        <v/>
      </c>
      <c r="AM454" s="39">
        <f>'[1]GÖP VERİLERİ'!G455</f>
        <v/>
      </c>
      <c r="AN454" s="34">
        <f>IF(AI454&gt;AM454*1.05,AI454-AM454*1.05,IF(AI454&lt;AM454*0.95,AM454*0.95-AI454,0))</f>
        <v/>
      </c>
      <c r="AO454" s="34">
        <f>MAX(F454,G454,750)*0.05*AN454</f>
        <v/>
      </c>
      <c r="AP454" s="34">
        <f>'[1]GÖP VERİLERİ'!B455</f>
        <v/>
      </c>
      <c r="AQ454" s="34">
        <f>'[1]GÖP VERİLERİ'!C455</f>
        <v/>
      </c>
      <c r="AR454" s="34">
        <f>IF(AP454&gt;AQ454*1.05,AP454-AQ454*1.05,IF(AP454&lt;AQ454*0.95,AQ454*0.95-AP454,0))</f>
        <v/>
      </c>
      <c r="AS454" s="34">
        <f>MAX(F454:G454,750)*0.05*AR454</f>
        <v/>
      </c>
      <c r="AT454">
        <f>'[1]GÖP VERİLERİ'!D455</f>
        <v/>
      </c>
      <c r="AU454" s="34">
        <f>IF(AP454&gt;AT454*1.05,AP454-AT454*1.05,IF(AP454&lt;AT454*0.95,AT454*0.95-AP454,0))</f>
        <v/>
      </c>
      <c r="AV454" s="34">
        <f>MAX(F454:G454,750)*0.05*AU454</f>
        <v/>
      </c>
      <c r="AW454" s="34">
        <f>AC454+AJ454+AQ454</f>
        <v/>
      </c>
      <c r="AX454" s="34">
        <f>AF454+AM454+AT454</f>
        <v/>
      </c>
      <c r="AY454" s="34">
        <f>AB454+AI454+AP454</f>
        <v/>
      </c>
      <c r="AZ454" s="34" t="n">
        <v>0</v>
      </c>
      <c r="BA454" s="34">
        <f>AD454+AK454+AR454</f>
        <v/>
      </c>
      <c r="BB454" s="34">
        <f>MAX(F454:G454,750)*0.05*BA454</f>
        <v/>
      </c>
      <c r="BC454" s="34">
        <f>AG454+AN454+AU454</f>
        <v/>
      </c>
      <c r="BD454" s="34">
        <f>MAX(F454:G454,750)*0.05*BC454</f>
        <v/>
      </c>
      <c r="BE454" s="34">
        <f>F454*AY454</f>
        <v/>
      </c>
      <c r="BF454" s="34">
        <f>K454-M454</f>
        <v/>
      </c>
      <c r="BG454" s="34">
        <f>P454-S454</f>
        <v/>
      </c>
      <c r="BH454" s="34">
        <f>W454-AA454</f>
        <v/>
      </c>
      <c r="BI454" s="34">
        <f>BF454+BG454+BL454-BN454</f>
        <v/>
      </c>
      <c r="BJ454" s="34">
        <f>ABS(BK454)</f>
        <v/>
      </c>
      <c r="BK454" s="34">
        <f>AY454-(J454-L454+N454-Q454)</f>
        <v/>
      </c>
      <c r="BL454" s="34">
        <f>IF(AND(BK454&gt;0,MIN($F454:$G454)&lt;150,$E454="Enerji Açığı"),-100*BK454*1.03,IF(AND(BK454&gt;0,MIN($F454:$G454)&lt;150,$E454="Enerji Fazlası"),-100*BK454*1.06,IF(AND(BK454&gt;0,MIN($F454:$G454)&gt;=150,$E454="Enerji Açığı"),BK454*MIN($F454:$G454)*0.97,IF(AND(BK454&gt;0,MIN($F454:$G454)&gt;=150,$E454="Enerji Fazlası"),BK454*MIN($F454:$G454)*0.94,IF(AND(BK454&lt;0,MAX($F454:$G454)=4500,$E454="Enerji Açığı"),4500*1.05*1.06*BK454,IF(AND(BK454&lt;0,MAX($F454:$G454)=4500,$E454="Enerji Fazlası"),4500*1.05*1.03*BK454,IF(AND(BK454&lt;0,$E454="Enerji Açığı"),MAX($F454,$G454,150)*BK454*1.06,IF(AND(BK454&lt;0,$E454="Enerji Fazlası"),MAX($F454,$G454,150)*BK454*1.03,IF(AND(BK454&lt;0,$E454="Dengede"),MAX($F454:$G454,150)*1.03*BK454,MIN($F454:$G454)*0.97*BK454)))))))))</f>
        <v/>
      </c>
      <c r="BM454" s="34">
        <f>BE454-BI454-BN454</f>
        <v/>
      </c>
      <c r="BN454" s="34">
        <f>BB454</f>
        <v/>
      </c>
      <c r="BO454" s="34">
        <f>BE454-BI454</f>
        <v/>
      </c>
      <c r="BP454" s="34">
        <f>IF(AY454=0,0,BO454/AY454)</f>
        <v/>
      </c>
      <c r="BQ454" s="34">
        <f>MAX((AY454+MAX((-J454+L454-N454+Q454),0)),(MAX((J454-L454+N454-Q454),0)))</f>
        <v/>
      </c>
      <c r="BR454" s="82">
        <f>IFERROR(ABS(BK454/BQ454),0)</f>
        <v/>
      </c>
      <c r="BS454" s="34">
        <f>IF(BR454&lt;=0.1,0,BK454/BR454*(BR454-0.1))</f>
        <v/>
      </c>
      <c r="BT454" s="34">
        <f>IF((BS454)&lt;0,MAX(F454:G454)*(BS454)*1.03,MIN(F454:G454)*(BS454)*0.97)</f>
        <v/>
      </c>
      <c r="BU454" s="34">
        <f>IF(BR454&gt;0.1,1,0)</f>
        <v/>
      </c>
      <c r="BV454" s="34">
        <f>BF454+BG454+BH454+BY454-CA454</f>
        <v/>
      </c>
      <c r="BW454" s="34">
        <f>ABS(BX454)</f>
        <v/>
      </c>
      <c r="BX454" s="34">
        <f>AY454-(J454-L454+N454-Q454+T454-X454)</f>
        <v/>
      </c>
      <c r="BY454" s="34">
        <f>IF(AND(BX454&gt;0,MIN($F454:$G454)&lt;150,$E454="Enerji Açığı"),-100*BX454*1.03,IF(AND(BX454&gt;0,MIN($F454:$G454)&lt;150,$E454="Enerji Fazlası"),-100*BX454*1.06,IF(AND(BX454&gt;0,MIN($F454:$G454)&gt;=150,$E454="Enerji Açığı"),BX454*MIN($F454:$G454)*0.97,IF(AND(BX454&gt;0,MIN($F454:$G454)&gt;=150,$E454="Enerji Fazlası"),BX454*MIN($F454:$G454)*0.94,IF(AND(BX454&lt;0,MAX($F454:$G454)=4500,$E454="Enerji Açığı"),4500*1.05*1.06*BX454,IF(AND(BX454&lt;0,MAX($F454:$G454)=4500,$E454="Enerji Fazlası"),4500*1.05*1.03*BX454,IF(AND(BX454&lt;0,$E454="Enerji Açığı"),MAX($F454,$G454,150)*BX454*1.06,IF(AND(BX454&lt;0,$E454="Enerji Fazlası"),MAX($F454,$G454,150)*BX454*1.03,IF(AND(BX454&lt;0,$E454="Dengede"),MAX($F454:$G454,150)*1.03*BX454,MIN($F454:$G454)*0.97*BX454)))))))))</f>
        <v/>
      </c>
      <c r="BZ454" s="34">
        <f>BE454-BV454-CA454</f>
        <v/>
      </c>
      <c r="CA454" s="34">
        <f>BD454</f>
        <v/>
      </c>
      <c r="CB454" s="33">
        <f>BE454-BV454</f>
        <v/>
      </c>
      <c r="CC454" s="34">
        <f>IF(AY454=0,0,CB454/AY454)</f>
        <v/>
      </c>
      <c r="CD454" s="34">
        <f>MAX((AY454+MAX((-J454+L454-N454+Q454-T454+X454),0)),(MAX((J454-L454+N454-Q454+T454-X454),0)))</f>
        <v/>
      </c>
      <c r="CE454" s="82">
        <f>IFERROR(ABS(BX454/CD454),0)</f>
        <v/>
      </c>
      <c r="CF454" s="34">
        <f>IF(CE454&lt;=0.1,0,BX454/CE454*(CE454-0.1))</f>
        <v/>
      </c>
      <c r="CG454" s="34">
        <f>IF((CF454)&lt;0,MAX(F454:G454)*(CF454)*1.03,MIN(F454:G454)*(CF454)*0.97)</f>
        <v/>
      </c>
      <c r="CH454" s="34">
        <f>IF(CE454&gt;0.1,1,0)</f>
        <v/>
      </c>
      <c r="CI454" s="34">
        <f>(F454*BX454)-BY454</f>
        <v/>
      </c>
      <c r="CJ454" s="34">
        <f>IF(AY454=0,0,CI454/AY454)</f>
        <v/>
      </c>
    </row>
    <row r="455">
      <c r="A455" s="29">
        <f>[1]FİYATLAR!A430</f>
        <v/>
      </c>
      <c r="B455" s="29">
        <f>[1]FİYATLAR!B430</f>
        <v/>
      </c>
      <c r="C455" s="35">
        <f>INT(A455)</f>
        <v/>
      </c>
      <c r="D455" s="36">
        <f>MONTH(A455)</f>
        <v/>
      </c>
      <c r="E455" s="147">
        <f>[1]FİYATLAR!G430</f>
        <v/>
      </c>
      <c r="F455" s="30">
        <f>[1]FİYATLAR!C430</f>
        <v/>
      </c>
      <c r="G455" s="30">
        <f>[1]FİYATLAR!E430</f>
        <v/>
      </c>
      <c r="H455" s="30">
        <f>[1]FİYATLAR!D430</f>
        <v/>
      </c>
      <c r="I455" s="30">
        <f>[1]FİYATLAR!F430</f>
        <v/>
      </c>
      <c r="J455" s="119" t="n">
        <v>0</v>
      </c>
      <c r="K455" s="34">
        <f>F455*J455</f>
        <v/>
      </c>
      <c r="L455" s="119" t="n"/>
      <c r="M455" s="34">
        <f>L455*F455</f>
        <v/>
      </c>
      <c r="N455" s="119" t="n"/>
      <c r="O455" s="34">
        <f>F455</f>
        <v/>
      </c>
      <c r="P455" s="34">
        <f>N455*O455</f>
        <v/>
      </c>
      <c r="Q455" s="117" t="n">
        <v>0</v>
      </c>
      <c r="R455" s="34">
        <f>F455</f>
        <v/>
      </c>
      <c r="S455" s="34">
        <f>R455*Q455</f>
        <v/>
      </c>
      <c r="T455" s="34">
        <f>SUMIFS('[1]GİP VERİLERİ'!$C:$C,'[1]GİP VERİLERİ'!$B:$B,A455,'[1]GİP VERİLERİ'!$M:$M,"40X000000104782K",'[1]GİP VERİLERİ'!$G:$G,"SELL")</f>
        <v/>
      </c>
      <c r="U455" s="34">
        <f>IFERROR(W455/T455,0)</f>
        <v/>
      </c>
      <c r="V455" s="34">
        <f>IF(U455=0,0,U455-F455)</f>
        <v/>
      </c>
      <c r="W455" s="34">
        <f>SUMIFS('[1]GİP VERİLERİ'!$O:$O,'[1]GİP VERİLERİ'!$B:$B,A455,'[1]GİP VERİLERİ'!$M:$M,"40X000000104782K",'[1]GİP VERİLERİ'!$G:$G,"SELL")</f>
        <v/>
      </c>
      <c r="X455" s="34">
        <f>SUMIFS('[1]GİP VERİLERİ'!$C:$C,'[1]GİP VERİLERİ'!$B:$B,A455,'[1]GİP VERİLERİ'!$M:$M,"40X000000104782K",'[1]GİP VERİLERİ'!$G:$G,"BUY")</f>
        <v/>
      </c>
      <c r="Y455" s="34">
        <f>IFERROR(AA455/X455,0)</f>
        <v/>
      </c>
      <c r="Z455" s="34">
        <f>IF(Y455=0,0,F455-Y455)</f>
        <v/>
      </c>
      <c r="AA455" s="34">
        <f>SUMIFS('[1]GİP VERİLERİ'!$O:$O,'[1]GİP VERİLERİ'!$B:$B,A455,'[1]GİP VERİLERİ'!$M:$M,"40X000000104782K",'[1]GİP VERİLERİ'!$G:$G,"BUY")</f>
        <v/>
      </c>
      <c r="AB455" s="34">
        <f>'[1]GÖP VERİLERİ'!H456</f>
        <v/>
      </c>
      <c r="AC455" s="34">
        <f>'[1]GÖP VERİLERİ'!I456</f>
        <v/>
      </c>
      <c r="AD455" s="34">
        <f>IF(AB455&gt;AC455*1.05,AB455-AC455*1.05,IF(AB455&lt;AC455*0.95,AC455*0.95-AB455,0))</f>
        <v/>
      </c>
      <c r="AE455" s="34">
        <f>MAX(F455,G455,750)*0.05*AD455</f>
        <v/>
      </c>
      <c r="AF455" s="34">
        <f>'[1]GÖP VERİLERİ'!J456</f>
        <v/>
      </c>
      <c r="AG455" s="34">
        <f>IF(AB455&gt;AF455*1.05,AB455-AF455*1.05,IF(AB455&lt;AF455*0.95,AF455*0.95-AB455,0))</f>
        <v/>
      </c>
      <c r="AH455" s="34">
        <f>MAX(I455,J455,750)*0.05*AG455</f>
        <v/>
      </c>
      <c r="AI455">
        <f>'[1]GÖP VERİLERİ'!E456</f>
        <v/>
      </c>
      <c r="AJ455">
        <f>'[1]GÖP VERİLERİ'!F456</f>
        <v/>
      </c>
      <c r="AK455" s="34">
        <f>IF(AI455&gt;AJ455*1.05,AI455-AJ455*1.05,IF(AI455&lt;AJ455*0.95,AJ455*0.95-AI455,0))</f>
        <v/>
      </c>
      <c r="AL455" s="34">
        <f>MAX(F455,G455,750)*0.05*AK455</f>
        <v/>
      </c>
      <c r="AM455" s="39">
        <f>'[1]GÖP VERİLERİ'!G456</f>
        <v/>
      </c>
      <c r="AN455" s="34">
        <f>IF(AI455&gt;AM455*1.05,AI455-AM455*1.05,IF(AI455&lt;AM455*0.95,AM455*0.95-AI455,0))</f>
        <v/>
      </c>
      <c r="AO455" s="34">
        <f>MAX(F455,G455,750)*0.05*AN455</f>
        <v/>
      </c>
      <c r="AP455" s="34">
        <f>'[1]GÖP VERİLERİ'!B456</f>
        <v/>
      </c>
      <c r="AQ455" s="34">
        <f>'[1]GÖP VERİLERİ'!C456</f>
        <v/>
      </c>
      <c r="AR455" s="34">
        <f>IF(AP455&gt;AQ455*1.05,AP455-AQ455*1.05,IF(AP455&lt;AQ455*0.95,AQ455*0.95-AP455,0))</f>
        <v/>
      </c>
      <c r="AS455" s="34">
        <f>MAX(F455:G455,750)*0.05*AR455</f>
        <v/>
      </c>
      <c r="AT455">
        <f>'[1]GÖP VERİLERİ'!D456</f>
        <v/>
      </c>
      <c r="AU455" s="34">
        <f>IF(AP455&gt;AT455*1.05,AP455-AT455*1.05,IF(AP455&lt;AT455*0.95,AT455*0.95-AP455,0))</f>
        <v/>
      </c>
      <c r="AV455" s="34">
        <f>MAX(F455:G455,750)*0.05*AU455</f>
        <v/>
      </c>
      <c r="AW455" s="34">
        <f>AC455+AJ455+AQ455</f>
        <v/>
      </c>
      <c r="AX455" s="34">
        <f>AF455+AM455+AT455</f>
        <v/>
      </c>
      <c r="AY455" s="34">
        <f>AB455+AI455+AP455</f>
        <v/>
      </c>
      <c r="AZ455" s="34" t="n">
        <v>0</v>
      </c>
      <c r="BA455" s="34">
        <f>AD455+AK455+AR455</f>
        <v/>
      </c>
      <c r="BB455" s="34">
        <f>MAX(F455:G455,750)*0.05*BA455</f>
        <v/>
      </c>
      <c r="BC455" s="34">
        <f>AG455+AN455+AU455</f>
        <v/>
      </c>
      <c r="BD455" s="34">
        <f>MAX(F455:G455,750)*0.05*BC455</f>
        <v/>
      </c>
      <c r="BE455" s="34">
        <f>F455*AY455</f>
        <v/>
      </c>
      <c r="BF455" s="34">
        <f>K455-M455</f>
        <v/>
      </c>
      <c r="BG455" s="34">
        <f>P455-S455</f>
        <v/>
      </c>
      <c r="BH455" s="34">
        <f>W455-AA455</f>
        <v/>
      </c>
      <c r="BI455" s="34">
        <f>BF455+BG455+BL455-BN455</f>
        <v/>
      </c>
      <c r="BJ455" s="34">
        <f>ABS(BK455)</f>
        <v/>
      </c>
      <c r="BK455" s="34">
        <f>AY455-(J455-L455+N455-Q455)</f>
        <v/>
      </c>
      <c r="BL455" s="34">
        <f>IF(AND(BK455&gt;0,MIN($F455:$G455)&lt;150,$E455="Enerji Açığı"),-100*BK455*1.03,IF(AND(BK455&gt;0,MIN($F455:$G455)&lt;150,$E455="Enerji Fazlası"),-100*BK455*1.06,IF(AND(BK455&gt;0,MIN($F455:$G455)&gt;=150,$E455="Enerji Açığı"),BK455*MIN($F455:$G455)*0.97,IF(AND(BK455&gt;0,MIN($F455:$G455)&gt;=150,$E455="Enerji Fazlası"),BK455*MIN($F455:$G455)*0.94,IF(AND(BK455&lt;0,MAX($F455:$G455)=4500,$E455="Enerji Açığı"),4500*1.05*1.06*BK455,IF(AND(BK455&lt;0,MAX($F455:$G455)=4500,$E455="Enerji Fazlası"),4500*1.05*1.03*BK455,IF(AND(BK455&lt;0,$E455="Enerji Açığı"),MAX($F455,$G455,150)*BK455*1.06,IF(AND(BK455&lt;0,$E455="Enerji Fazlası"),MAX($F455,$G455,150)*BK455*1.03,IF(AND(BK455&lt;0,$E455="Dengede"),MAX($F455:$G455,150)*1.03*BK455,MIN($F455:$G455)*0.97*BK455)))))))))</f>
        <v/>
      </c>
      <c r="BM455" s="34">
        <f>BE455-BI455-BN455</f>
        <v/>
      </c>
      <c r="BN455" s="34">
        <f>BB455</f>
        <v/>
      </c>
      <c r="BO455" s="34">
        <f>BE455-BI455</f>
        <v/>
      </c>
      <c r="BP455" s="34">
        <f>IF(AY455=0,0,BO455/AY455)</f>
        <v/>
      </c>
      <c r="BQ455" s="34">
        <f>MAX((AY455+MAX((-J455+L455-N455+Q455),0)),(MAX((J455-L455+N455-Q455),0)))</f>
        <v/>
      </c>
      <c r="BR455" s="82">
        <f>IFERROR(ABS(BK455/BQ455),0)</f>
        <v/>
      </c>
      <c r="BS455" s="34">
        <f>IF(BR455&lt;=0.1,0,BK455/BR455*(BR455-0.1))</f>
        <v/>
      </c>
      <c r="BT455" s="34">
        <f>IF((BS455)&lt;0,MAX(F455:G455)*(BS455)*1.03,MIN(F455:G455)*(BS455)*0.97)</f>
        <v/>
      </c>
      <c r="BU455" s="34">
        <f>IF(BR455&gt;0.1,1,0)</f>
        <v/>
      </c>
      <c r="BV455" s="34">
        <f>BF455+BG455+BH455+BY455-CA455</f>
        <v/>
      </c>
      <c r="BW455" s="34">
        <f>ABS(BX455)</f>
        <v/>
      </c>
      <c r="BX455" s="34">
        <f>AY455-(J455-L455+N455-Q455+T455-X455)</f>
        <v/>
      </c>
      <c r="BY455" s="34">
        <f>IF(AND(BX455&gt;0,MIN($F455:$G455)&lt;150,$E455="Enerji Açığı"),-100*BX455*1.03,IF(AND(BX455&gt;0,MIN($F455:$G455)&lt;150,$E455="Enerji Fazlası"),-100*BX455*1.06,IF(AND(BX455&gt;0,MIN($F455:$G455)&gt;=150,$E455="Enerji Açığı"),BX455*MIN($F455:$G455)*0.97,IF(AND(BX455&gt;0,MIN($F455:$G455)&gt;=150,$E455="Enerji Fazlası"),BX455*MIN($F455:$G455)*0.94,IF(AND(BX455&lt;0,MAX($F455:$G455)=4500,$E455="Enerji Açığı"),4500*1.05*1.06*BX455,IF(AND(BX455&lt;0,MAX($F455:$G455)=4500,$E455="Enerji Fazlası"),4500*1.05*1.03*BX455,IF(AND(BX455&lt;0,$E455="Enerji Açığı"),MAX($F455,$G455,150)*BX455*1.06,IF(AND(BX455&lt;0,$E455="Enerji Fazlası"),MAX($F455,$G455,150)*BX455*1.03,IF(AND(BX455&lt;0,$E455="Dengede"),MAX($F455:$G455,150)*1.03*BX455,MIN($F455:$G455)*0.97*BX455)))))))))</f>
        <v/>
      </c>
      <c r="BZ455" s="34">
        <f>BE455-BV455-CA455</f>
        <v/>
      </c>
      <c r="CA455" s="34">
        <f>BD455</f>
        <v/>
      </c>
      <c r="CB455" s="33">
        <f>BE455-BV455</f>
        <v/>
      </c>
      <c r="CC455" s="34">
        <f>IF(AY455=0,0,CB455/AY455)</f>
        <v/>
      </c>
      <c r="CD455" s="34">
        <f>MAX((AY455+MAX((-J455+L455-N455+Q455-T455+X455),0)),(MAX((J455-L455+N455-Q455+T455-X455),0)))</f>
        <v/>
      </c>
      <c r="CE455" s="82">
        <f>IFERROR(ABS(BX455/CD455),0)</f>
        <v/>
      </c>
      <c r="CF455" s="34">
        <f>IF(CE455&lt;=0.1,0,BX455/CE455*(CE455-0.1))</f>
        <v/>
      </c>
      <c r="CG455" s="34">
        <f>IF((CF455)&lt;0,MAX(F455:G455)*(CF455)*1.03,MIN(F455:G455)*(CF455)*0.97)</f>
        <v/>
      </c>
      <c r="CH455" s="34">
        <f>IF(CE455&gt;0.1,1,0)</f>
        <v/>
      </c>
      <c r="CI455" s="34">
        <f>(F455*BX455)-BY455</f>
        <v/>
      </c>
      <c r="CJ455" s="34">
        <f>IF(AY455=0,0,CI455/AY455)</f>
        <v/>
      </c>
    </row>
    <row r="456">
      <c r="A456" s="29">
        <f>[1]FİYATLAR!A431</f>
        <v/>
      </c>
      <c r="B456" s="29">
        <f>[1]FİYATLAR!B431</f>
        <v/>
      </c>
      <c r="C456" s="35">
        <f>INT(A456)</f>
        <v/>
      </c>
      <c r="D456" s="36">
        <f>MONTH(A456)</f>
        <v/>
      </c>
      <c r="E456" s="147">
        <f>[1]FİYATLAR!G431</f>
        <v/>
      </c>
      <c r="F456" s="30">
        <f>[1]FİYATLAR!C431</f>
        <v/>
      </c>
      <c r="G456" s="30">
        <f>[1]FİYATLAR!E431</f>
        <v/>
      </c>
      <c r="H456" s="30">
        <f>[1]FİYATLAR!D431</f>
        <v/>
      </c>
      <c r="I456" s="30">
        <f>[1]FİYATLAR!F431</f>
        <v/>
      </c>
      <c r="J456" s="119" t="n">
        <v>0</v>
      </c>
      <c r="K456" s="34">
        <f>F456*J456</f>
        <v/>
      </c>
      <c r="L456" s="119" t="n"/>
      <c r="M456" s="34">
        <f>L456*F456</f>
        <v/>
      </c>
      <c r="N456" s="119" t="n"/>
      <c r="O456" s="34">
        <f>F456</f>
        <v/>
      </c>
      <c r="P456" s="34">
        <f>N456*O456</f>
        <v/>
      </c>
      <c r="Q456" s="117" t="n">
        <v>0</v>
      </c>
      <c r="R456" s="34">
        <f>F456</f>
        <v/>
      </c>
      <c r="S456" s="34">
        <f>R456*Q456</f>
        <v/>
      </c>
      <c r="T456" s="34">
        <f>SUMIFS('[1]GİP VERİLERİ'!$C:$C,'[1]GİP VERİLERİ'!$B:$B,A456,'[1]GİP VERİLERİ'!$M:$M,"40X000000104782K",'[1]GİP VERİLERİ'!$G:$G,"SELL")</f>
        <v/>
      </c>
      <c r="U456" s="34">
        <f>IFERROR(W456/T456,0)</f>
        <v/>
      </c>
      <c r="V456" s="34">
        <f>IF(U456=0,0,U456-F456)</f>
        <v/>
      </c>
      <c r="W456" s="34">
        <f>SUMIFS('[1]GİP VERİLERİ'!$O:$O,'[1]GİP VERİLERİ'!$B:$B,A456,'[1]GİP VERİLERİ'!$M:$M,"40X000000104782K",'[1]GİP VERİLERİ'!$G:$G,"SELL")</f>
        <v/>
      </c>
      <c r="X456" s="34">
        <f>SUMIFS('[1]GİP VERİLERİ'!$C:$C,'[1]GİP VERİLERİ'!$B:$B,A456,'[1]GİP VERİLERİ'!$M:$M,"40X000000104782K",'[1]GİP VERİLERİ'!$G:$G,"BUY")</f>
        <v/>
      </c>
      <c r="Y456" s="34">
        <f>IFERROR(AA456/X456,0)</f>
        <v/>
      </c>
      <c r="Z456" s="34">
        <f>IF(Y456=0,0,F456-Y456)</f>
        <v/>
      </c>
      <c r="AA456" s="34">
        <f>SUMIFS('[1]GİP VERİLERİ'!$O:$O,'[1]GİP VERİLERİ'!$B:$B,A456,'[1]GİP VERİLERİ'!$M:$M,"40X000000104782K",'[1]GİP VERİLERİ'!$G:$G,"BUY")</f>
        <v/>
      </c>
      <c r="AB456" s="34">
        <f>'[1]GÖP VERİLERİ'!H457</f>
        <v/>
      </c>
      <c r="AC456" s="34">
        <f>'[1]GÖP VERİLERİ'!I457</f>
        <v/>
      </c>
      <c r="AD456" s="34">
        <f>IF(AB456&gt;AC456*1.05,AB456-AC456*1.05,IF(AB456&lt;AC456*0.95,AC456*0.95-AB456,0))</f>
        <v/>
      </c>
      <c r="AE456" s="34">
        <f>MAX(F456,G456,750)*0.05*AD456</f>
        <v/>
      </c>
      <c r="AF456" s="34">
        <f>'[1]GÖP VERİLERİ'!J457</f>
        <v/>
      </c>
      <c r="AG456" s="34">
        <f>IF(AB456&gt;AF456*1.05,AB456-AF456*1.05,IF(AB456&lt;AF456*0.95,AF456*0.95-AB456,0))</f>
        <v/>
      </c>
      <c r="AH456" s="34">
        <f>MAX(I456,J456,750)*0.05*AG456</f>
        <v/>
      </c>
      <c r="AI456">
        <f>'[1]GÖP VERİLERİ'!E457</f>
        <v/>
      </c>
      <c r="AJ456">
        <f>'[1]GÖP VERİLERİ'!F457</f>
        <v/>
      </c>
      <c r="AK456" s="34">
        <f>IF(AI456&gt;AJ456*1.05,AI456-AJ456*1.05,IF(AI456&lt;AJ456*0.95,AJ456*0.95-AI456,0))</f>
        <v/>
      </c>
      <c r="AL456" s="34">
        <f>MAX(F456,G456,750)*0.05*AK456</f>
        <v/>
      </c>
      <c r="AM456" s="39">
        <f>'[1]GÖP VERİLERİ'!G457</f>
        <v/>
      </c>
      <c r="AN456" s="34">
        <f>IF(AI456&gt;AM456*1.05,AI456-AM456*1.05,IF(AI456&lt;AM456*0.95,AM456*0.95-AI456,0))</f>
        <v/>
      </c>
      <c r="AO456" s="34">
        <f>MAX(F456,G456,750)*0.05*AN456</f>
        <v/>
      </c>
      <c r="AP456" s="34">
        <f>'[1]GÖP VERİLERİ'!B457</f>
        <v/>
      </c>
      <c r="AQ456" s="34">
        <f>'[1]GÖP VERİLERİ'!C457</f>
        <v/>
      </c>
      <c r="AR456" s="34">
        <f>IF(AP456&gt;AQ456*1.05,AP456-AQ456*1.05,IF(AP456&lt;AQ456*0.95,AQ456*0.95-AP456,0))</f>
        <v/>
      </c>
      <c r="AS456" s="34">
        <f>MAX(F456:G456,750)*0.05*AR456</f>
        <v/>
      </c>
      <c r="AT456">
        <f>'[1]GÖP VERİLERİ'!D457</f>
        <v/>
      </c>
      <c r="AU456" s="34">
        <f>IF(AP456&gt;AT456*1.05,AP456-AT456*1.05,IF(AP456&lt;AT456*0.95,AT456*0.95-AP456,0))</f>
        <v/>
      </c>
      <c r="AV456" s="34">
        <f>MAX(F456:G456,750)*0.05*AU456</f>
        <v/>
      </c>
      <c r="AW456" s="34">
        <f>AC456+AJ456+AQ456</f>
        <v/>
      </c>
      <c r="AX456" s="34">
        <f>AF456+AM456+AT456</f>
        <v/>
      </c>
      <c r="AY456" s="34">
        <f>AB456+AI456+AP456</f>
        <v/>
      </c>
      <c r="AZ456" s="34" t="n">
        <v>0</v>
      </c>
      <c r="BA456" s="34">
        <f>AD456+AK456+AR456</f>
        <v/>
      </c>
      <c r="BB456" s="34">
        <f>MAX(F456:G456,750)*0.05*BA456</f>
        <v/>
      </c>
      <c r="BC456" s="34">
        <f>AG456+AN456+AU456</f>
        <v/>
      </c>
      <c r="BD456" s="34">
        <f>MAX(F456:G456,750)*0.05*BC456</f>
        <v/>
      </c>
      <c r="BE456" s="34">
        <f>F456*AY456</f>
        <v/>
      </c>
      <c r="BF456" s="34">
        <f>K456-M456</f>
        <v/>
      </c>
      <c r="BG456" s="34">
        <f>P456-S456</f>
        <v/>
      </c>
      <c r="BH456" s="34">
        <f>W456-AA456</f>
        <v/>
      </c>
      <c r="BI456" s="34">
        <f>BF456+BG456+BL456-BN456</f>
        <v/>
      </c>
      <c r="BJ456" s="34">
        <f>ABS(BK456)</f>
        <v/>
      </c>
      <c r="BK456" s="34">
        <f>AY456-(J456-L456+N456-Q456)</f>
        <v/>
      </c>
      <c r="BL456" s="34">
        <f>IF(AND(BK456&gt;0,MIN($F456:$G456)&lt;150,$E456="Enerji Açığı"),-100*BK456*1.03,IF(AND(BK456&gt;0,MIN($F456:$G456)&lt;150,$E456="Enerji Fazlası"),-100*BK456*1.06,IF(AND(BK456&gt;0,MIN($F456:$G456)&gt;=150,$E456="Enerji Açığı"),BK456*MIN($F456:$G456)*0.97,IF(AND(BK456&gt;0,MIN($F456:$G456)&gt;=150,$E456="Enerji Fazlası"),BK456*MIN($F456:$G456)*0.94,IF(AND(BK456&lt;0,MAX($F456:$G456)=4500,$E456="Enerji Açığı"),4500*1.05*1.06*BK456,IF(AND(BK456&lt;0,MAX($F456:$G456)=4500,$E456="Enerji Fazlası"),4500*1.05*1.03*BK456,IF(AND(BK456&lt;0,$E456="Enerji Açığı"),MAX($F456,$G456,150)*BK456*1.06,IF(AND(BK456&lt;0,$E456="Enerji Fazlası"),MAX($F456,$G456,150)*BK456*1.03,IF(AND(BK456&lt;0,$E456="Dengede"),MAX($F456:$G456,150)*1.03*BK456,MIN($F456:$G456)*0.97*BK456)))))))))</f>
        <v/>
      </c>
      <c r="BM456" s="34">
        <f>BE456-BI456-BN456</f>
        <v/>
      </c>
      <c r="BN456" s="34">
        <f>BB456</f>
        <v/>
      </c>
      <c r="BO456" s="34">
        <f>BE456-BI456</f>
        <v/>
      </c>
      <c r="BP456" s="34">
        <f>IF(AY456=0,0,BO456/AY456)</f>
        <v/>
      </c>
      <c r="BQ456" s="34">
        <f>MAX((AY456+MAX((-J456+L456-N456+Q456),0)),(MAX((J456-L456+N456-Q456),0)))</f>
        <v/>
      </c>
      <c r="BR456" s="82">
        <f>IFERROR(ABS(BK456/BQ456),0)</f>
        <v/>
      </c>
      <c r="BS456" s="34">
        <f>IF(BR456&lt;=0.1,0,BK456/BR456*(BR456-0.1))</f>
        <v/>
      </c>
      <c r="BT456" s="34">
        <f>IF((BS456)&lt;0,MAX(F456:G456)*(BS456)*1.03,MIN(F456:G456)*(BS456)*0.97)</f>
        <v/>
      </c>
      <c r="BU456" s="34">
        <f>IF(BR456&gt;0.1,1,0)</f>
        <v/>
      </c>
      <c r="BV456" s="34">
        <f>BF456+BG456+BH456+BY456-CA456</f>
        <v/>
      </c>
      <c r="BW456" s="34">
        <f>ABS(BX456)</f>
        <v/>
      </c>
      <c r="BX456" s="34">
        <f>AY456-(J456-L456+N456-Q456+T456-X456)</f>
        <v/>
      </c>
      <c r="BY456" s="34">
        <f>IF(AND(BX456&gt;0,MIN($F456:$G456)&lt;150,$E456="Enerji Açığı"),-100*BX456*1.03,IF(AND(BX456&gt;0,MIN($F456:$G456)&lt;150,$E456="Enerji Fazlası"),-100*BX456*1.06,IF(AND(BX456&gt;0,MIN($F456:$G456)&gt;=150,$E456="Enerji Açığı"),BX456*MIN($F456:$G456)*0.97,IF(AND(BX456&gt;0,MIN($F456:$G456)&gt;=150,$E456="Enerji Fazlası"),BX456*MIN($F456:$G456)*0.94,IF(AND(BX456&lt;0,MAX($F456:$G456)=4500,$E456="Enerji Açığı"),4500*1.05*1.06*BX456,IF(AND(BX456&lt;0,MAX($F456:$G456)=4500,$E456="Enerji Fazlası"),4500*1.05*1.03*BX456,IF(AND(BX456&lt;0,$E456="Enerji Açığı"),MAX($F456,$G456,150)*BX456*1.06,IF(AND(BX456&lt;0,$E456="Enerji Fazlası"),MAX($F456,$G456,150)*BX456*1.03,IF(AND(BX456&lt;0,$E456="Dengede"),MAX($F456:$G456,150)*1.03*BX456,MIN($F456:$G456)*0.97*BX456)))))))))</f>
        <v/>
      </c>
      <c r="BZ456" s="34">
        <f>BE456-BV456-CA456</f>
        <v/>
      </c>
      <c r="CA456" s="34">
        <f>BD456</f>
        <v/>
      </c>
      <c r="CB456" s="33">
        <f>BE456-BV456</f>
        <v/>
      </c>
      <c r="CC456" s="34">
        <f>IF(AY456=0,0,CB456/AY456)</f>
        <v/>
      </c>
      <c r="CD456" s="34">
        <f>MAX((AY456+MAX((-J456+L456-N456+Q456-T456+X456),0)),(MAX((J456-L456+N456-Q456+T456-X456),0)))</f>
        <v/>
      </c>
      <c r="CE456" s="82">
        <f>IFERROR(ABS(BX456/CD456),0)</f>
        <v/>
      </c>
      <c r="CF456" s="34">
        <f>IF(CE456&lt;=0.1,0,BX456/CE456*(CE456-0.1))</f>
        <v/>
      </c>
      <c r="CG456" s="34">
        <f>IF((CF456)&lt;0,MAX(F456:G456)*(CF456)*1.03,MIN(F456:G456)*(CF456)*0.97)</f>
        <v/>
      </c>
      <c r="CH456" s="34">
        <f>IF(CE456&gt;0.1,1,0)</f>
        <v/>
      </c>
      <c r="CI456" s="34">
        <f>(F456*BX456)-BY456</f>
        <v/>
      </c>
      <c r="CJ456" s="34">
        <f>IF(AY456=0,0,CI456/AY456)</f>
        <v/>
      </c>
    </row>
    <row r="457">
      <c r="A457" s="29">
        <f>[1]FİYATLAR!A432</f>
        <v/>
      </c>
      <c r="B457" s="29">
        <f>[1]FİYATLAR!B432</f>
        <v/>
      </c>
      <c r="C457" s="35">
        <f>INT(A457)</f>
        <v/>
      </c>
      <c r="D457" s="36">
        <f>MONTH(A457)</f>
        <v/>
      </c>
      <c r="E457" s="147">
        <f>[1]FİYATLAR!G432</f>
        <v/>
      </c>
      <c r="F457" s="30">
        <f>[1]FİYATLAR!C432</f>
        <v/>
      </c>
      <c r="G457" s="30">
        <f>[1]FİYATLAR!E432</f>
        <v/>
      </c>
      <c r="H457" s="30">
        <f>[1]FİYATLAR!D432</f>
        <v/>
      </c>
      <c r="I457" s="30">
        <f>[1]FİYATLAR!F432</f>
        <v/>
      </c>
      <c r="J457" s="119" t="n">
        <v>0</v>
      </c>
      <c r="K457" s="34">
        <f>F457*J457</f>
        <v/>
      </c>
      <c r="L457" s="119" t="n"/>
      <c r="M457" s="34">
        <f>L457*F457</f>
        <v/>
      </c>
      <c r="N457" s="119" t="n"/>
      <c r="O457" s="34">
        <f>F457</f>
        <v/>
      </c>
      <c r="P457" s="34">
        <f>N457*O457</f>
        <v/>
      </c>
      <c r="Q457" s="117" t="n">
        <v>0</v>
      </c>
      <c r="R457" s="34">
        <f>F457</f>
        <v/>
      </c>
      <c r="S457" s="34">
        <f>R457*Q457</f>
        <v/>
      </c>
      <c r="T457" s="34">
        <f>SUMIFS('[1]GİP VERİLERİ'!$C:$C,'[1]GİP VERİLERİ'!$B:$B,A457,'[1]GİP VERİLERİ'!$M:$M,"40X000000104782K",'[1]GİP VERİLERİ'!$G:$G,"SELL")</f>
        <v/>
      </c>
      <c r="U457" s="34">
        <f>IFERROR(W457/T457,0)</f>
        <v/>
      </c>
      <c r="V457" s="34">
        <f>IF(U457=0,0,U457-F457)</f>
        <v/>
      </c>
      <c r="W457" s="34">
        <f>SUMIFS('[1]GİP VERİLERİ'!$O:$O,'[1]GİP VERİLERİ'!$B:$B,A457,'[1]GİP VERİLERİ'!$M:$M,"40X000000104782K",'[1]GİP VERİLERİ'!$G:$G,"SELL")</f>
        <v/>
      </c>
      <c r="X457" s="34">
        <f>SUMIFS('[1]GİP VERİLERİ'!$C:$C,'[1]GİP VERİLERİ'!$B:$B,A457,'[1]GİP VERİLERİ'!$M:$M,"40X000000104782K",'[1]GİP VERİLERİ'!$G:$G,"BUY")</f>
        <v/>
      </c>
      <c r="Y457" s="34">
        <f>IFERROR(AA457/X457,0)</f>
        <v/>
      </c>
      <c r="Z457" s="34">
        <f>IF(Y457=0,0,F457-Y457)</f>
        <v/>
      </c>
      <c r="AA457" s="34">
        <f>SUMIFS('[1]GİP VERİLERİ'!$O:$O,'[1]GİP VERİLERİ'!$B:$B,A457,'[1]GİP VERİLERİ'!$M:$M,"40X000000104782K",'[1]GİP VERİLERİ'!$G:$G,"BUY")</f>
        <v/>
      </c>
      <c r="AB457" s="34">
        <f>'[1]GÖP VERİLERİ'!H458</f>
        <v/>
      </c>
      <c r="AC457" s="34">
        <f>'[1]GÖP VERİLERİ'!I458</f>
        <v/>
      </c>
      <c r="AD457" s="34">
        <f>IF(AB457&gt;AC457*1.05,AB457-AC457*1.05,IF(AB457&lt;AC457*0.95,AC457*0.95-AB457,0))</f>
        <v/>
      </c>
      <c r="AE457" s="34">
        <f>MAX(F457,G457,750)*0.05*AD457</f>
        <v/>
      </c>
      <c r="AF457" s="34">
        <f>'[1]GÖP VERİLERİ'!J458</f>
        <v/>
      </c>
      <c r="AG457" s="34">
        <f>IF(AB457&gt;AF457*1.05,AB457-AF457*1.05,IF(AB457&lt;AF457*0.95,AF457*0.95-AB457,0))</f>
        <v/>
      </c>
      <c r="AH457" s="34">
        <f>MAX(I457,J457,750)*0.05*AG457</f>
        <v/>
      </c>
      <c r="AI457">
        <f>'[1]GÖP VERİLERİ'!E458</f>
        <v/>
      </c>
      <c r="AJ457">
        <f>'[1]GÖP VERİLERİ'!F458</f>
        <v/>
      </c>
      <c r="AK457" s="34">
        <f>IF(AI457&gt;AJ457*1.05,AI457-AJ457*1.05,IF(AI457&lt;AJ457*0.95,AJ457*0.95-AI457,0))</f>
        <v/>
      </c>
      <c r="AL457" s="34">
        <f>MAX(F457,G457,750)*0.05*AK457</f>
        <v/>
      </c>
      <c r="AM457" s="39">
        <f>'[1]GÖP VERİLERİ'!G458</f>
        <v/>
      </c>
      <c r="AN457" s="34">
        <f>IF(AI457&gt;AM457*1.05,AI457-AM457*1.05,IF(AI457&lt;AM457*0.95,AM457*0.95-AI457,0))</f>
        <v/>
      </c>
      <c r="AO457" s="34">
        <f>MAX(F457,G457,750)*0.05*AN457</f>
        <v/>
      </c>
      <c r="AP457" s="34">
        <f>'[1]GÖP VERİLERİ'!B458</f>
        <v/>
      </c>
      <c r="AQ457" s="34">
        <f>'[1]GÖP VERİLERİ'!C458</f>
        <v/>
      </c>
      <c r="AR457" s="34">
        <f>IF(AP457&gt;AQ457*1.05,AP457-AQ457*1.05,IF(AP457&lt;AQ457*0.95,AQ457*0.95-AP457,0))</f>
        <v/>
      </c>
      <c r="AS457" s="34">
        <f>MAX(F457:G457,750)*0.05*AR457</f>
        <v/>
      </c>
      <c r="AT457">
        <f>'[1]GÖP VERİLERİ'!D458</f>
        <v/>
      </c>
      <c r="AU457" s="34">
        <f>IF(AP457&gt;AT457*1.05,AP457-AT457*1.05,IF(AP457&lt;AT457*0.95,AT457*0.95-AP457,0))</f>
        <v/>
      </c>
      <c r="AV457" s="34">
        <f>MAX(F457:G457,750)*0.05*AU457</f>
        <v/>
      </c>
      <c r="AW457" s="34">
        <f>AC457+AJ457+AQ457</f>
        <v/>
      </c>
      <c r="AX457" s="34">
        <f>AF457+AM457+AT457</f>
        <v/>
      </c>
      <c r="AY457" s="34">
        <f>AB457+AI457+AP457</f>
        <v/>
      </c>
      <c r="AZ457" s="34" t="n">
        <v>0</v>
      </c>
      <c r="BA457" s="34">
        <f>AD457+AK457+AR457</f>
        <v/>
      </c>
      <c r="BB457" s="34">
        <f>MAX(F457:G457,750)*0.05*BA457</f>
        <v/>
      </c>
      <c r="BC457" s="34">
        <f>AG457+AN457+AU457</f>
        <v/>
      </c>
      <c r="BD457" s="34">
        <f>MAX(F457:G457,750)*0.05*BC457</f>
        <v/>
      </c>
      <c r="BE457" s="34">
        <f>F457*AY457</f>
        <v/>
      </c>
      <c r="BF457" s="34">
        <f>K457-M457</f>
        <v/>
      </c>
      <c r="BG457" s="34">
        <f>P457-S457</f>
        <v/>
      </c>
      <c r="BH457" s="34">
        <f>W457-AA457</f>
        <v/>
      </c>
      <c r="BI457" s="34">
        <f>BF457+BG457+BL457-BN457</f>
        <v/>
      </c>
      <c r="BJ457" s="34">
        <f>ABS(BK457)</f>
        <v/>
      </c>
      <c r="BK457" s="34">
        <f>AY457-(J457-L457+N457-Q457)</f>
        <v/>
      </c>
      <c r="BL457" s="34">
        <f>IF(AND(BK457&gt;0,MIN($F457:$G457)&lt;150,$E457="Enerji Açığı"),-100*BK457*1.03,IF(AND(BK457&gt;0,MIN($F457:$G457)&lt;150,$E457="Enerji Fazlası"),-100*BK457*1.06,IF(AND(BK457&gt;0,MIN($F457:$G457)&gt;=150,$E457="Enerji Açığı"),BK457*MIN($F457:$G457)*0.97,IF(AND(BK457&gt;0,MIN($F457:$G457)&gt;=150,$E457="Enerji Fazlası"),BK457*MIN($F457:$G457)*0.94,IF(AND(BK457&lt;0,MAX($F457:$G457)=4500,$E457="Enerji Açığı"),4500*1.05*1.06*BK457,IF(AND(BK457&lt;0,MAX($F457:$G457)=4500,$E457="Enerji Fazlası"),4500*1.05*1.03*BK457,IF(AND(BK457&lt;0,$E457="Enerji Açığı"),MAX($F457,$G457,150)*BK457*1.06,IF(AND(BK457&lt;0,$E457="Enerji Fazlası"),MAX($F457,$G457,150)*BK457*1.03,IF(AND(BK457&lt;0,$E457="Dengede"),MAX($F457:$G457,150)*1.03*BK457,MIN($F457:$G457)*0.97*BK457)))))))))</f>
        <v/>
      </c>
      <c r="BM457" s="34">
        <f>BE457-BI457-BN457</f>
        <v/>
      </c>
      <c r="BN457" s="34">
        <f>BB457</f>
        <v/>
      </c>
      <c r="BO457" s="34">
        <f>BE457-BI457</f>
        <v/>
      </c>
      <c r="BP457" s="34">
        <f>IF(AY457=0,0,BO457/AY457)</f>
        <v/>
      </c>
      <c r="BQ457" s="34">
        <f>MAX((AY457+MAX((-J457+L457-N457+Q457),0)),(MAX((J457-L457+N457-Q457),0)))</f>
        <v/>
      </c>
      <c r="BR457" s="82">
        <f>IFERROR(ABS(BK457/BQ457),0)</f>
        <v/>
      </c>
      <c r="BS457" s="34">
        <f>IF(BR457&lt;=0.1,0,BK457/BR457*(BR457-0.1))</f>
        <v/>
      </c>
      <c r="BT457" s="34">
        <f>IF((BS457)&lt;0,MAX(F457:G457)*(BS457)*1.03,MIN(F457:G457)*(BS457)*0.97)</f>
        <v/>
      </c>
      <c r="BU457" s="34">
        <f>IF(BR457&gt;0.1,1,0)</f>
        <v/>
      </c>
      <c r="BV457" s="34">
        <f>BF457+BG457+BH457+BY457-CA457</f>
        <v/>
      </c>
      <c r="BW457" s="34">
        <f>ABS(BX457)</f>
        <v/>
      </c>
      <c r="BX457" s="34">
        <f>AY457-(J457-L457+N457-Q457+T457-X457)</f>
        <v/>
      </c>
      <c r="BY457" s="34">
        <f>IF(AND(BX457&gt;0,MIN($F457:$G457)&lt;150,$E457="Enerji Açığı"),-100*BX457*1.03,IF(AND(BX457&gt;0,MIN($F457:$G457)&lt;150,$E457="Enerji Fazlası"),-100*BX457*1.06,IF(AND(BX457&gt;0,MIN($F457:$G457)&gt;=150,$E457="Enerji Açığı"),BX457*MIN($F457:$G457)*0.97,IF(AND(BX457&gt;0,MIN($F457:$G457)&gt;=150,$E457="Enerji Fazlası"),BX457*MIN($F457:$G457)*0.94,IF(AND(BX457&lt;0,MAX($F457:$G457)=4500,$E457="Enerji Açığı"),4500*1.05*1.06*BX457,IF(AND(BX457&lt;0,MAX($F457:$G457)=4500,$E457="Enerji Fazlası"),4500*1.05*1.03*BX457,IF(AND(BX457&lt;0,$E457="Enerji Açığı"),MAX($F457,$G457,150)*BX457*1.06,IF(AND(BX457&lt;0,$E457="Enerji Fazlası"),MAX($F457,$G457,150)*BX457*1.03,IF(AND(BX457&lt;0,$E457="Dengede"),MAX($F457:$G457,150)*1.03*BX457,MIN($F457:$G457)*0.97*BX457)))))))))</f>
        <v/>
      </c>
      <c r="BZ457" s="34">
        <f>BE457-BV457-CA457</f>
        <v/>
      </c>
      <c r="CA457" s="34">
        <f>BD457</f>
        <v/>
      </c>
      <c r="CB457" s="33">
        <f>BE457-BV457</f>
        <v/>
      </c>
      <c r="CC457" s="34">
        <f>IF(AY457=0,0,CB457/AY457)</f>
        <v/>
      </c>
      <c r="CD457" s="34">
        <f>MAX((AY457+MAX((-J457+L457-N457+Q457-T457+X457),0)),(MAX((J457-L457+N457-Q457+T457-X457),0)))</f>
        <v/>
      </c>
      <c r="CE457" s="82">
        <f>IFERROR(ABS(BX457/CD457),0)</f>
        <v/>
      </c>
      <c r="CF457" s="34">
        <f>IF(CE457&lt;=0.1,0,BX457/CE457*(CE457-0.1))</f>
        <v/>
      </c>
      <c r="CG457" s="34">
        <f>IF((CF457)&lt;0,MAX(F457:G457)*(CF457)*1.03,MIN(F457:G457)*(CF457)*0.97)</f>
        <v/>
      </c>
      <c r="CH457" s="34">
        <f>IF(CE457&gt;0.1,1,0)</f>
        <v/>
      </c>
      <c r="CI457" s="34">
        <f>(F457*BX457)-BY457</f>
        <v/>
      </c>
      <c r="CJ457" s="34">
        <f>IF(AY457=0,0,CI457/AY457)</f>
        <v/>
      </c>
    </row>
    <row r="458">
      <c r="A458" s="29">
        <f>[1]FİYATLAR!A433</f>
        <v/>
      </c>
      <c r="B458" s="29">
        <f>[1]FİYATLAR!B433</f>
        <v/>
      </c>
      <c r="C458" s="35">
        <f>INT(A458)</f>
        <v/>
      </c>
      <c r="D458" s="36">
        <f>MONTH(A458)</f>
        <v/>
      </c>
      <c r="E458" s="147">
        <f>[1]FİYATLAR!G433</f>
        <v/>
      </c>
      <c r="F458" s="30">
        <f>[1]FİYATLAR!C433</f>
        <v/>
      </c>
      <c r="G458" s="30">
        <f>[1]FİYATLAR!E433</f>
        <v/>
      </c>
      <c r="H458" s="30">
        <f>[1]FİYATLAR!D433</f>
        <v/>
      </c>
      <c r="I458" s="30">
        <f>[1]FİYATLAR!F433</f>
        <v/>
      </c>
      <c r="J458" s="119" t="n">
        <v>0</v>
      </c>
      <c r="K458" s="34">
        <f>F458*J458</f>
        <v/>
      </c>
      <c r="L458" s="119" t="n"/>
      <c r="M458" s="34">
        <f>L458*F458</f>
        <v/>
      </c>
      <c r="N458" s="119" t="n"/>
      <c r="O458" s="34">
        <f>F458</f>
        <v/>
      </c>
      <c r="P458" s="34">
        <f>N458*O458</f>
        <v/>
      </c>
      <c r="Q458" s="117" t="n">
        <v>0</v>
      </c>
      <c r="R458" s="34">
        <f>F458</f>
        <v/>
      </c>
      <c r="S458" s="34">
        <f>R458*Q458</f>
        <v/>
      </c>
      <c r="T458" s="34">
        <f>SUMIFS('[1]GİP VERİLERİ'!$C:$C,'[1]GİP VERİLERİ'!$B:$B,A458,'[1]GİP VERİLERİ'!$M:$M,"40X000000104782K",'[1]GİP VERİLERİ'!$G:$G,"SELL")</f>
        <v/>
      </c>
      <c r="U458" s="34">
        <f>IFERROR(W458/T458,0)</f>
        <v/>
      </c>
      <c r="V458" s="34">
        <f>IF(U458=0,0,U458-F458)</f>
        <v/>
      </c>
      <c r="W458" s="34">
        <f>SUMIFS('[1]GİP VERİLERİ'!$O:$O,'[1]GİP VERİLERİ'!$B:$B,A458,'[1]GİP VERİLERİ'!$M:$M,"40X000000104782K",'[1]GİP VERİLERİ'!$G:$G,"SELL")</f>
        <v/>
      </c>
      <c r="X458" s="34">
        <f>SUMIFS('[1]GİP VERİLERİ'!$C:$C,'[1]GİP VERİLERİ'!$B:$B,A458,'[1]GİP VERİLERİ'!$M:$M,"40X000000104782K",'[1]GİP VERİLERİ'!$G:$G,"BUY")</f>
        <v/>
      </c>
      <c r="Y458" s="34">
        <f>IFERROR(AA458/X458,0)</f>
        <v/>
      </c>
      <c r="Z458" s="34">
        <f>IF(Y458=0,0,F458-Y458)</f>
        <v/>
      </c>
      <c r="AA458" s="34">
        <f>SUMIFS('[1]GİP VERİLERİ'!$O:$O,'[1]GİP VERİLERİ'!$B:$B,A458,'[1]GİP VERİLERİ'!$M:$M,"40X000000104782K",'[1]GİP VERİLERİ'!$G:$G,"BUY")</f>
        <v/>
      </c>
      <c r="AB458" s="34">
        <f>'[1]GÖP VERİLERİ'!H459</f>
        <v/>
      </c>
      <c r="AC458" s="34">
        <f>'[1]GÖP VERİLERİ'!I459</f>
        <v/>
      </c>
      <c r="AD458" s="34">
        <f>IF(AB458&gt;AC458*1.05,AB458-AC458*1.05,IF(AB458&lt;AC458*0.95,AC458*0.95-AB458,0))</f>
        <v/>
      </c>
      <c r="AE458" s="34">
        <f>MAX(F458,G458,750)*0.05*AD458</f>
        <v/>
      </c>
      <c r="AF458" s="34">
        <f>'[1]GÖP VERİLERİ'!J459</f>
        <v/>
      </c>
      <c r="AG458" s="34">
        <f>IF(AB458&gt;AF458*1.05,AB458-AF458*1.05,IF(AB458&lt;AF458*0.95,AF458*0.95-AB458,0))</f>
        <v/>
      </c>
      <c r="AH458" s="34">
        <f>MAX(I458,J458,750)*0.05*AG458</f>
        <v/>
      </c>
      <c r="AI458">
        <f>'[1]GÖP VERİLERİ'!E459</f>
        <v/>
      </c>
      <c r="AJ458">
        <f>'[1]GÖP VERİLERİ'!F459</f>
        <v/>
      </c>
      <c r="AK458" s="34">
        <f>IF(AI458&gt;AJ458*1.05,AI458-AJ458*1.05,IF(AI458&lt;AJ458*0.95,AJ458*0.95-AI458,0))</f>
        <v/>
      </c>
      <c r="AL458" s="34">
        <f>MAX(F458,G458,750)*0.05*AK458</f>
        <v/>
      </c>
      <c r="AM458" s="39">
        <f>'[1]GÖP VERİLERİ'!G459</f>
        <v/>
      </c>
      <c r="AN458" s="34">
        <f>IF(AI458&gt;AM458*1.05,AI458-AM458*1.05,IF(AI458&lt;AM458*0.95,AM458*0.95-AI458,0))</f>
        <v/>
      </c>
      <c r="AO458" s="34">
        <f>MAX(F458,G458,750)*0.05*AN458</f>
        <v/>
      </c>
      <c r="AP458" s="34">
        <f>'[1]GÖP VERİLERİ'!B459</f>
        <v/>
      </c>
      <c r="AQ458" s="34">
        <f>'[1]GÖP VERİLERİ'!C459</f>
        <v/>
      </c>
      <c r="AR458" s="34">
        <f>IF(AP458&gt;AQ458*1.05,AP458-AQ458*1.05,IF(AP458&lt;AQ458*0.95,AQ458*0.95-AP458,0))</f>
        <v/>
      </c>
      <c r="AS458" s="34">
        <f>MAX(F458:G458,750)*0.05*AR458</f>
        <v/>
      </c>
      <c r="AT458">
        <f>'[1]GÖP VERİLERİ'!D459</f>
        <v/>
      </c>
      <c r="AU458" s="34">
        <f>IF(AP458&gt;AT458*1.05,AP458-AT458*1.05,IF(AP458&lt;AT458*0.95,AT458*0.95-AP458,0))</f>
        <v/>
      </c>
      <c r="AV458" s="34">
        <f>MAX(F458:G458,750)*0.05*AU458</f>
        <v/>
      </c>
      <c r="AW458" s="34">
        <f>AC458+AJ458+AQ458</f>
        <v/>
      </c>
      <c r="AX458" s="34">
        <f>AF458+AM458+AT458</f>
        <v/>
      </c>
      <c r="AY458" s="34">
        <f>AB458+AI458+AP458</f>
        <v/>
      </c>
      <c r="AZ458" s="34" t="n">
        <v>0</v>
      </c>
      <c r="BA458" s="34">
        <f>AD458+AK458+AR458</f>
        <v/>
      </c>
      <c r="BB458" s="34">
        <f>MAX(F458:G458,750)*0.05*BA458</f>
        <v/>
      </c>
      <c r="BC458" s="34">
        <f>AG458+AN458+AU458</f>
        <v/>
      </c>
      <c r="BD458" s="34">
        <f>MAX(F458:G458,750)*0.05*BC458</f>
        <v/>
      </c>
      <c r="BE458" s="34">
        <f>F458*AY458</f>
        <v/>
      </c>
      <c r="BF458" s="34">
        <f>K458-M458</f>
        <v/>
      </c>
      <c r="BG458" s="34">
        <f>P458-S458</f>
        <v/>
      </c>
      <c r="BH458" s="34">
        <f>W458-AA458</f>
        <v/>
      </c>
      <c r="BI458" s="34">
        <f>BF458+BG458+BL458-BN458</f>
        <v/>
      </c>
      <c r="BJ458" s="34">
        <f>ABS(BK458)</f>
        <v/>
      </c>
      <c r="BK458" s="34">
        <f>AY458-(J458-L458+N458-Q458)</f>
        <v/>
      </c>
      <c r="BL458" s="34">
        <f>IF(AND(BK458&gt;0,MIN($F458:$G458)&lt;150,$E458="Enerji Açığı"),-100*BK458*1.03,IF(AND(BK458&gt;0,MIN($F458:$G458)&lt;150,$E458="Enerji Fazlası"),-100*BK458*1.06,IF(AND(BK458&gt;0,MIN($F458:$G458)&gt;=150,$E458="Enerji Açığı"),BK458*MIN($F458:$G458)*0.97,IF(AND(BK458&gt;0,MIN($F458:$G458)&gt;=150,$E458="Enerji Fazlası"),BK458*MIN($F458:$G458)*0.94,IF(AND(BK458&lt;0,MAX($F458:$G458)=4500,$E458="Enerji Açığı"),4500*1.05*1.06*BK458,IF(AND(BK458&lt;0,MAX($F458:$G458)=4500,$E458="Enerji Fazlası"),4500*1.05*1.03*BK458,IF(AND(BK458&lt;0,$E458="Enerji Açığı"),MAX($F458,$G458,150)*BK458*1.06,IF(AND(BK458&lt;0,$E458="Enerji Fazlası"),MAX($F458,$G458,150)*BK458*1.03,IF(AND(BK458&lt;0,$E458="Dengede"),MAX($F458:$G458,150)*1.03*BK458,MIN($F458:$G458)*0.97*BK458)))))))))</f>
        <v/>
      </c>
      <c r="BM458" s="34">
        <f>BE458-BI458-BN458</f>
        <v/>
      </c>
      <c r="BN458" s="34">
        <f>BB458</f>
        <v/>
      </c>
      <c r="BO458" s="34">
        <f>BE458-BI458</f>
        <v/>
      </c>
      <c r="BP458" s="34">
        <f>IF(AY458=0,0,BO458/AY458)</f>
        <v/>
      </c>
      <c r="BQ458" s="34">
        <f>MAX((AY458+MAX((-J458+L458-N458+Q458),0)),(MAX((J458-L458+N458-Q458),0)))</f>
        <v/>
      </c>
      <c r="BR458" s="82">
        <f>IFERROR(ABS(BK458/BQ458),0)</f>
        <v/>
      </c>
      <c r="BS458" s="34">
        <f>IF(BR458&lt;=0.1,0,BK458/BR458*(BR458-0.1))</f>
        <v/>
      </c>
      <c r="BT458" s="34">
        <f>IF((BS458)&lt;0,MAX(F458:G458)*(BS458)*1.03,MIN(F458:G458)*(BS458)*0.97)</f>
        <v/>
      </c>
      <c r="BU458" s="34">
        <f>IF(BR458&gt;0.1,1,0)</f>
        <v/>
      </c>
      <c r="BV458" s="34">
        <f>BF458+BG458+BH458+BY458-CA458</f>
        <v/>
      </c>
      <c r="BW458" s="34">
        <f>ABS(BX458)</f>
        <v/>
      </c>
      <c r="BX458" s="34">
        <f>AY458-(J458-L458+N458-Q458+T458-X458)</f>
        <v/>
      </c>
      <c r="BY458" s="34">
        <f>IF(AND(BX458&gt;0,MIN($F458:$G458)&lt;150,$E458="Enerji Açığı"),-100*BX458*1.03,IF(AND(BX458&gt;0,MIN($F458:$G458)&lt;150,$E458="Enerji Fazlası"),-100*BX458*1.06,IF(AND(BX458&gt;0,MIN($F458:$G458)&gt;=150,$E458="Enerji Açığı"),BX458*MIN($F458:$G458)*0.97,IF(AND(BX458&gt;0,MIN($F458:$G458)&gt;=150,$E458="Enerji Fazlası"),BX458*MIN($F458:$G458)*0.94,IF(AND(BX458&lt;0,MAX($F458:$G458)=4500,$E458="Enerji Açığı"),4500*1.05*1.06*BX458,IF(AND(BX458&lt;0,MAX($F458:$G458)=4500,$E458="Enerji Fazlası"),4500*1.05*1.03*BX458,IF(AND(BX458&lt;0,$E458="Enerji Açığı"),MAX($F458,$G458,150)*BX458*1.06,IF(AND(BX458&lt;0,$E458="Enerji Fazlası"),MAX($F458,$G458,150)*BX458*1.03,IF(AND(BX458&lt;0,$E458="Dengede"),MAX($F458:$G458,150)*1.03*BX458,MIN($F458:$G458)*0.97*BX458)))))))))</f>
        <v/>
      </c>
      <c r="BZ458" s="34">
        <f>BE458-BV458-CA458</f>
        <v/>
      </c>
      <c r="CA458" s="34">
        <f>BD458</f>
        <v/>
      </c>
      <c r="CB458" s="33">
        <f>BE458-BV458</f>
        <v/>
      </c>
      <c r="CC458" s="34">
        <f>IF(AY458=0,0,CB458/AY458)</f>
        <v/>
      </c>
      <c r="CD458" s="34">
        <f>MAX((AY458+MAX((-J458+L458-N458+Q458-T458+X458),0)),(MAX((J458-L458+N458-Q458+T458-X458),0)))</f>
        <v/>
      </c>
      <c r="CE458" s="82">
        <f>IFERROR(ABS(BX458/CD458),0)</f>
        <v/>
      </c>
      <c r="CF458" s="34">
        <f>IF(CE458&lt;=0.1,0,BX458/CE458*(CE458-0.1))</f>
        <v/>
      </c>
      <c r="CG458" s="34">
        <f>IF((CF458)&lt;0,MAX(F458:G458)*(CF458)*1.03,MIN(F458:G458)*(CF458)*0.97)</f>
        <v/>
      </c>
      <c r="CH458" s="34">
        <f>IF(CE458&gt;0.1,1,0)</f>
        <v/>
      </c>
      <c r="CI458" s="34">
        <f>(F458*BX458)-BY458</f>
        <v/>
      </c>
      <c r="CJ458" s="34">
        <f>IF(AY458=0,0,CI458/AY458)</f>
        <v/>
      </c>
    </row>
    <row r="459">
      <c r="A459" s="29">
        <f>[1]FİYATLAR!A434</f>
        <v/>
      </c>
      <c r="B459" s="29">
        <f>[1]FİYATLAR!B434</f>
        <v/>
      </c>
      <c r="C459" s="35">
        <f>INT(A459)</f>
        <v/>
      </c>
      <c r="D459" s="36">
        <f>MONTH(A459)</f>
        <v/>
      </c>
      <c r="E459" s="147">
        <f>[1]FİYATLAR!G434</f>
        <v/>
      </c>
      <c r="F459" s="30">
        <f>[1]FİYATLAR!C434</f>
        <v/>
      </c>
      <c r="G459" s="30">
        <f>[1]FİYATLAR!E434</f>
        <v/>
      </c>
      <c r="H459" s="30">
        <f>[1]FİYATLAR!D434</f>
        <v/>
      </c>
      <c r="I459" s="30">
        <f>[1]FİYATLAR!F434</f>
        <v/>
      </c>
      <c r="J459" s="119" t="n">
        <v>0</v>
      </c>
      <c r="K459" s="34">
        <f>F459*J459</f>
        <v/>
      </c>
      <c r="L459" s="119" t="n"/>
      <c r="M459" s="34">
        <f>L459*F459</f>
        <v/>
      </c>
      <c r="N459" s="119" t="n"/>
      <c r="O459" s="34">
        <f>F459</f>
        <v/>
      </c>
      <c r="P459" s="34">
        <f>N459*O459</f>
        <v/>
      </c>
      <c r="Q459" s="117" t="n">
        <v>0</v>
      </c>
      <c r="R459" s="34">
        <f>F459</f>
        <v/>
      </c>
      <c r="S459" s="34">
        <f>R459*Q459</f>
        <v/>
      </c>
      <c r="T459" s="34">
        <f>SUMIFS('[1]GİP VERİLERİ'!$C:$C,'[1]GİP VERİLERİ'!$B:$B,A459,'[1]GİP VERİLERİ'!$M:$M,"40X000000104782K",'[1]GİP VERİLERİ'!$G:$G,"SELL")</f>
        <v/>
      </c>
      <c r="U459" s="34">
        <f>IFERROR(W459/T459,0)</f>
        <v/>
      </c>
      <c r="V459" s="34">
        <f>IF(U459=0,0,U459-F459)</f>
        <v/>
      </c>
      <c r="W459" s="34">
        <f>SUMIFS('[1]GİP VERİLERİ'!$O:$O,'[1]GİP VERİLERİ'!$B:$B,A459,'[1]GİP VERİLERİ'!$M:$M,"40X000000104782K",'[1]GİP VERİLERİ'!$G:$G,"SELL")</f>
        <v/>
      </c>
      <c r="X459" s="34">
        <f>SUMIFS('[1]GİP VERİLERİ'!$C:$C,'[1]GİP VERİLERİ'!$B:$B,A459,'[1]GİP VERİLERİ'!$M:$M,"40X000000104782K",'[1]GİP VERİLERİ'!$G:$G,"BUY")</f>
        <v/>
      </c>
      <c r="Y459" s="34">
        <f>IFERROR(AA459/X459,0)</f>
        <v/>
      </c>
      <c r="Z459" s="34">
        <f>IF(Y459=0,0,F459-Y459)</f>
        <v/>
      </c>
      <c r="AA459" s="34">
        <f>SUMIFS('[1]GİP VERİLERİ'!$O:$O,'[1]GİP VERİLERİ'!$B:$B,A459,'[1]GİP VERİLERİ'!$M:$M,"40X000000104782K",'[1]GİP VERİLERİ'!$G:$G,"BUY")</f>
        <v/>
      </c>
      <c r="AB459" s="34">
        <f>'[1]GÖP VERİLERİ'!H460</f>
        <v/>
      </c>
      <c r="AC459" s="34">
        <f>'[1]GÖP VERİLERİ'!I460</f>
        <v/>
      </c>
      <c r="AD459" s="34">
        <f>IF(AB459&gt;AC459*1.05,AB459-AC459*1.05,IF(AB459&lt;AC459*0.95,AC459*0.95-AB459,0))</f>
        <v/>
      </c>
      <c r="AE459" s="34">
        <f>MAX(F459,G459,750)*0.05*AD459</f>
        <v/>
      </c>
      <c r="AF459" s="34">
        <f>'[1]GÖP VERİLERİ'!J460</f>
        <v/>
      </c>
      <c r="AG459" s="34">
        <f>IF(AB459&gt;AF459*1.05,AB459-AF459*1.05,IF(AB459&lt;AF459*0.95,AF459*0.95-AB459,0))</f>
        <v/>
      </c>
      <c r="AH459" s="34">
        <f>MAX(I459,J459,750)*0.05*AG459</f>
        <v/>
      </c>
      <c r="AI459">
        <f>'[1]GÖP VERİLERİ'!E460</f>
        <v/>
      </c>
      <c r="AJ459">
        <f>'[1]GÖP VERİLERİ'!F460</f>
        <v/>
      </c>
      <c r="AK459" s="34">
        <f>IF(AI459&gt;AJ459*1.05,AI459-AJ459*1.05,IF(AI459&lt;AJ459*0.95,AJ459*0.95-AI459,0))</f>
        <v/>
      </c>
      <c r="AL459" s="34">
        <f>MAX(F459,G459,750)*0.05*AK459</f>
        <v/>
      </c>
      <c r="AM459" s="39">
        <f>'[1]GÖP VERİLERİ'!G460</f>
        <v/>
      </c>
      <c r="AN459" s="34">
        <f>IF(AI459&gt;AM459*1.05,AI459-AM459*1.05,IF(AI459&lt;AM459*0.95,AM459*0.95-AI459,0))</f>
        <v/>
      </c>
      <c r="AO459" s="34">
        <f>MAX(F459,G459,750)*0.05*AN459</f>
        <v/>
      </c>
      <c r="AP459" s="34">
        <f>'[1]GÖP VERİLERİ'!B460</f>
        <v/>
      </c>
      <c r="AQ459" s="34">
        <f>'[1]GÖP VERİLERİ'!C460</f>
        <v/>
      </c>
      <c r="AR459" s="34">
        <f>IF(AP459&gt;AQ459*1.05,AP459-AQ459*1.05,IF(AP459&lt;AQ459*0.95,AQ459*0.95-AP459,0))</f>
        <v/>
      </c>
      <c r="AS459" s="34">
        <f>MAX(F459:G459,750)*0.05*AR459</f>
        <v/>
      </c>
      <c r="AT459">
        <f>'[1]GÖP VERİLERİ'!D460</f>
        <v/>
      </c>
      <c r="AU459" s="34">
        <f>IF(AP459&gt;AT459*1.05,AP459-AT459*1.05,IF(AP459&lt;AT459*0.95,AT459*0.95-AP459,0))</f>
        <v/>
      </c>
      <c r="AV459" s="34">
        <f>MAX(F459:G459,750)*0.05*AU459</f>
        <v/>
      </c>
      <c r="AW459" s="34">
        <f>AC459+AJ459+AQ459</f>
        <v/>
      </c>
      <c r="AX459" s="34">
        <f>AF459+AM459+AT459</f>
        <v/>
      </c>
      <c r="AY459" s="34">
        <f>AB459+AI459+AP459</f>
        <v/>
      </c>
      <c r="AZ459" s="34" t="n">
        <v>0</v>
      </c>
      <c r="BA459" s="34">
        <f>AD459+AK459+AR459</f>
        <v/>
      </c>
      <c r="BB459" s="34">
        <f>MAX(F459:G459,750)*0.05*BA459</f>
        <v/>
      </c>
      <c r="BC459" s="34">
        <f>AG459+AN459+AU459</f>
        <v/>
      </c>
      <c r="BD459" s="34">
        <f>MAX(F459:G459,750)*0.05*BC459</f>
        <v/>
      </c>
      <c r="BE459" s="34">
        <f>F459*AY459</f>
        <v/>
      </c>
      <c r="BF459" s="34">
        <f>K459-M459</f>
        <v/>
      </c>
      <c r="BG459" s="34">
        <f>P459-S459</f>
        <v/>
      </c>
      <c r="BH459" s="34">
        <f>W459-AA459</f>
        <v/>
      </c>
      <c r="BI459" s="34">
        <f>BF459+BG459+BL459-BN459</f>
        <v/>
      </c>
      <c r="BJ459" s="34">
        <f>ABS(BK459)</f>
        <v/>
      </c>
      <c r="BK459" s="34">
        <f>AY459-(J459-L459+N459-Q459)</f>
        <v/>
      </c>
      <c r="BL459" s="34">
        <f>IF(AND(BK459&gt;0,MIN($F459:$G459)&lt;150,$E459="Enerji Açığı"),-100*BK459*1.03,IF(AND(BK459&gt;0,MIN($F459:$G459)&lt;150,$E459="Enerji Fazlası"),-100*BK459*1.06,IF(AND(BK459&gt;0,MIN($F459:$G459)&gt;=150,$E459="Enerji Açığı"),BK459*MIN($F459:$G459)*0.97,IF(AND(BK459&gt;0,MIN($F459:$G459)&gt;=150,$E459="Enerji Fazlası"),BK459*MIN($F459:$G459)*0.94,IF(AND(BK459&lt;0,MAX($F459:$G459)=4500,$E459="Enerji Açığı"),4500*1.05*1.06*BK459,IF(AND(BK459&lt;0,MAX($F459:$G459)=4500,$E459="Enerji Fazlası"),4500*1.05*1.03*BK459,IF(AND(BK459&lt;0,$E459="Enerji Açığı"),MAX($F459,$G459,150)*BK459*1.06,IF(AND(BK459&lt;0,$E459="Enerji Fazlası"),MAX($F459,$G459,150)*BK459*1.03,IF(AND(BK459&lt;0,$E459="Dengede"),MAX($F459:$G459,150)*1.03*BK459,MIN($F459:$G459)*0.97*BK459)))))))))</f>
        <v/>
      </c>
      <c r="BM459" s="34">
        <f>BE459-BI459-BN459</f>
        <v/>
      </c>
      <c r="BN459" s="34">
        <f>BB459</f>
        <v/>
      </c>
      <c r="BO459" s="34">
        <f>BE459-BI459</f>
        <v/>
      </c>
      <c r="BP459" s="34">
        <f>IF(AY459=0,0,BO459/AY459)</f>
        <v/>
      </c>
      <c r="BQ459" s="34">
        <f>MAX((AY459+MAX((-J459+L459-N459+Q459),0)),(MAX((J459-L459+N459-Q459),0)))</f>
        <v/>
      </c>
      <c r="BR459" s="82">
        <f>IFERROR(ABS(BK459/BQ459),0)</f>
        <v/>
      </c>
      <c r="BS459" s="34">
        <f>IF(BR459&lt;=0.1,0,BK459/BR459*(BR459-0.1))</f>
        <v/>
      </c>
      <c r="BT459" s="34">
        <f>IF((BS459)&lt;0,MAX(F459:G459)*(BS459)*1.03,MIN(F459:G459)*(BS459)*0.97)</f>
        <v/>
      </c>
      <c r="BU459" s="34">
        <f>IF(BR459&gt;0.1,1,0)</f>
        <v/>
      </c>
      <c r="BV459" s="34">
        <f>BF459+BG459+BH459+BY459-CA459</f>
        <v/>
      </c>
      <c r="BW459" s="34">
        <f>ABS(BX459)</f>
        <v/>
      </c>
      <c r="BX459" s="34">
        <f>AY459-(J459-L459+N459-Q459+T459-X459)</f>
        <v/>
      </c>
      <c r="BY459" s="34">
        <f>IF(AND(BX459&gt;0,MIN($F459:$G459)&lt;150,$E459="Enerji Açığı"),-100*BX459*1.03,IF(AND(BX459&gt;0,MIN($F459:$G459)&lt;150,$E459="Enerji Fazlası"),-100*BX459*1.06,IF(AND(BX459&gt;0,MIN($F459:$G459)&gt;=150,$E459="Enerji Açığı"),BX459*MIN($F459:$G459)*0.97,IF(AND(BX459&gt;0,MIN($F459:$G459)&gt;=150,$E459="Enerji Fazlası"),BX459*MIN($F459:$G459)*0.94,IF(AND(BX459&lt;0,MAX($F459:$G459)=4500,$E459="Enerji Açığı"),4500*1.05*1.06*BX459,IF(AND(BX459&lt;0,MAX($F459:$G459)=4500,$E459="Enerji Fazlası"),4500*1.05*1.03*BX459,IF(AND(BX459&lt;0,$E459="Enerji Açığı"),MAX($F459,$G459,150)*BX459*1.06,IF(AND(BX459&lt;0,$E459="Enerji Fazlası"),MAX($F459,$G459,150)*BX459*1.03,IF(AND(BX459&lt;0,$E459="Dengede"),MAX($F459:$G459,150)*1.03*BX459,MIN($F459:$G459)*0.97*BX459)))))))))</f>
        <v/>
      </c>
      <c r="BZ459" s="34">
        <f>BE459-BV459-CA459</f>
        <v/>
      </c>
      <c r="CA459" s="34">
        <f>BD459</f>
        <v/>
      </c>
      <c r="CB459" s="33">
        <f>BE459-BV459</f>
        <v/>
      </c>
      <c r="CC459" s="34">
        <f>IF(AY459=0,0,CB459/AY459)</f>
        <v/>
      </c>
      <c r="CD459" s="34">
        <f>MAX((AY459+MAX((-J459+L459-N459+Q459-T459+X459),0)),(MAX((J459-L459+N459-Q459+T459-X459),0)))</f>
        <v/>
      </c>
      <c r="CE459" s="82">
        <f>IFERROR(ABS(BX459/CD459),0)</f>
        <v/>
      </c>
      <c r="CF459" s="34">
        <f>IF(CE459&lt;=0.1,0,BX459/CE459*(CE459-0.1))</f>
        <v/>
      </c>
      <c r="CG459" s="34">
        <f>IF((CF459)&lt;0,MAX(F459:G459)*(CF459)*1.03,MIN(F459:G459)*(CF459)*0.97)</f>
        <v/>
      </c>
      <c r="CH459" s="34">
        <f>IF(CE459&gt;0.1,1,0)</f>
        <v/>
      </c>
      <c r="CI459" s="34">
        <f>(F459*BX459)-BY459</f>
        <v/>
      </c>
      <c r="CJ459" s="34">
        <f>IF(AY459=0,0,CI459/AY459)</f>
        <v/>
      </c>
    </row>
    <row r="460">
      <c r="A460" s="29">
        <f>[1]FİYATLAR!A435</f>
        <v/>
      </c>
      <c r="B460" s="29">
        <f>[1]FİYATLAR!B435</f>
        <v/>
      </c>
      <c r="C460" s="35">
        <f>INT(A460)</f>
        <v/>
      </c>
      <c r="D460" s="36">
        <f>MONTH(A460)</f>
        <v/>
      </c>
      <c r="E460" s="147">
        <f>[1]FİYATLAR!G435</f>
        <v/>
      </c>
      <c r="F460" s="30">
        <f>[1]FİYATLAR!C435</f>
        <v/>
      </c>
      <c r="G460" s="30">
        <f>[1]FİYATLAR!E435</f>
        <v/>
      </c>
      <c r="H460" s="30">
        <f>[1]FİYATLAR!D435</f>
        <v/>
      </c>
      <c r="I460" s="30">
        <f>[1]FİYATLAR!F435</f>
        <v/>
      </c>
      <c r="J460" s="119" t="n">
        <v>0</v>
      </c>
      <c r="K460" s="34">
        <f>F460*J460</f>
        <v/>
      </c>
      <c r="L460" s="119" t="n"/>
      <c r="M460" s="34">
        <f>L460*F460</f>
        <v/>
      </c>
      <c r="N460" s="119" t="n"/>
      <c r="O460" s="34">
        <f>F460</f>
        <v/>
      </c>
      <c r="P460" s="34">
        <f>N460*O460</f>
        <v/>
      </c>
      <c r="Q460" s="117" t="n">
        <v>0</v>
      </c>
      <c r="R460" s="34">
        <f>F460</f>
        <v/>
      </c>
      <c r="S460" s="34">
        <f>R460*Q460</f>
        <v/>
      </c>
      <c r="T460" s="34">
        <f>SUMIFS('[1]GİP VERİLERİ'!$C:$C,'[1]GİP VERİLERİ'!$B:$B,A460,'[1]GİP VERİLERİ'!$M:$M,"40X000000104782K",'[1]GİP VERİLERİ'!$G:$G,"SELL")</f>
        <v/>
      </c>
      <c r="U460" s="34">
        <f>IFERROR(W460/T460,0)</f>
        <v/>
      </c>
      <c r="V460" s="34">
        <f>IF(U460=0,0,U460-F460)</f>
        <v/>
      </c>
      <c r="W460" s="34">
        <f>SUMIFS('[1]GİP VERİLERİ'!$O:$O,'[1]GİP VERİLERİ'!$B:$B,A460,'[1]GİP VERİLERİ'!$M:$M,"40X000000104782K",'[1]GİP VERİLERİ'!$G:$G,"SELL")</f>
        <v/>
      </c>
      <c r="X460" s="34">
        <f>SUMIFS('[1]GİP VERİLERİ'!$C:$C,'[1]GİP VERİLERİ'!$B:$B,A460,'[1]GİP VERİLERİ'!$M:$M,"40X000000104782K",'[1]GİP VERİLERİ'!$G:$G,"BUY")</f>
        <v/>
      </c>
      <c r="Y460" s="34">
        <f>IFERROR(AA460/X460,0)</f>
        <v/>
      </c>
      <c r="Z460" s="34">
        <f>IF(Y460=0,0,F460-Y460)</f>
        <v/>
      </c>
      <c r="AA460" s="34">
        <f>SUMIFS('[1]GİP VERİLERİ'!$O:$O,'[1]GİP VERİLERİ'!$B:$B,A460,'[1]GİP VERİLERİ'!$M:$M,"40X000000104782K",'[1]GİP VERİLERİ'!$G:$G,"BUY")</f>
        <v/>
      </c>
      <c r="AB460" s="34">
        <f>'[1]GÖP VERİLERİ'!H461</f>
        <v/>
      </c>
      <c r="AC460" s="34">
        <f>'[1]GÖP VERİLERİ'!I461</f>
        <v/>
      </c>
      <c r="AD460" s="34">
        <f>IF(AB460&gt;AC460*1.05,AB460-AC460*1.05,IF(AB460&lt;AC460*0.95,AC460*0.95-AB460,0))</f>
        <v/>
      </c>
      <c r="AE460" s="34">
        <f>MAX(F460,G460,750)*0.05*AD460</f>
        <v/>
      </c>
      <c r="AF460" s="34">
        <f>'[1]GÖP VERİLERİ'!J461</f>
        <v/>
      </c>
      <c r="AG460" s="34">
        <f>IF(AB460&gt;AF460*1.05,AB460-AF460*1.05,IF(AB460&lt;AF460*0.95,AF460*0.95-AB460,0))</f>
        <v/>
      </c>
      <c r="AH460" s="34">
        <f>MAX(I460,J460,750)*0.05*AG460</f>
        <v/>
      </c>
      <c r="AI460">
        <f>'[1]GÖP VERİLERİ'!E461</f>
        <v/>
      </c>
      <c r="AJ460">
        <f>'[1]GÖP VERİLERİ'!F461</f>
        <v/>
      </c>
      <c r="AK460" s="34">
        <f>IF(AI460&gt;AJ460*1.05,AI460-AJ460*1.05,IF(AI460&lt;AJ460*0.95,AJ460*0.95-AI460,0))</f>
        <v/>
      </c>
      <c r="AL460" s="34">
        <f>MAX(F460,G460,750)*0.05*AK460</f>
        <v/>
      </c>
      <c r="AM460" s="39">
        <f>'[1]GÖP VERİLERİ'!G461</f>
        <v/>
      </c>
      <c r="AN460" s="34">
        <f>IF(AI460&gt;AM460*1.05,AI460-AM460*1.05,IF(AI460&lt;AM460*0.95,AM460*0.95-AI460,0))</f>
        <v/>
      </c>
      <c r="AO460" s="34">
        <f>MAX(F460,G460,750)*0.05*AN460</f>
        <v/>
      </c>
      <c r="AP460" s="34">
        <f>'[1]GÖP VERİLERİ'!B461</f>
        <v/>
      </c>
      <c r="AQ460" s="34">
        <f>'[1]GÖP VERİLERİ'!C461</f>
        <v/>
      </c>
      <c r="AR460" s="34">
        <f>IF(AP460&gt;AQ460*1.05,AP460-AQ460*1.05,IF(AP460&lt;AQ460*0.95,AQ460*0.95-AP460,0))</f>
        <v/>
      </c>
      <c r="AS460" s="34">
        <f>MAX(F460:G460,750)*0.05*AR460</f>
        <v/>
      </c>
      <c r="AT460">
        <f>'[1]GÖP VERİLERİ'!D461</f>
        <v/>
      </c>
      <c r="AU460" s="34">
        <f>IF(AP460&gt;AT460*1.05,AP460-AT460*1.05,IF(AP460&lt;AT460*0.95,AT460*0.95-AP460,0))</f>
        <v/>
      </c>
      <c r="AV460" s="34">
        <f>MAX(F460:G460,750)*0.05*AU460</f>
        <v/>
      </c>
      <c r="AW460" s="34">
        <f>AC460+AJ460+AQ460</f>
        <v/>
      </c>
      <c r="AX460" s="34">
        <f>AF460+AM460+AT460</f>
        <v/>
      </c>
      <c r="AY460" s="34">
        <f>AB460+AI460+AP460</f>
        <v/>
      </c>
      <c r="AZ460" s="34" t="n">
        <v>0</v>
      </c>
      <c r="BA460" s="34">
        <f>AD460+AK460+AR460</f>
        <v/>
      </c>
      <c r="BB460" s="34">
        <f>MAX(F460:G460,750)*0.05*BA460</f>
        <v/>
      </c>
      <c r="BC460" s="34">
        <f>AG460+AN460+AU460</f>
        <v/>
      </c>
      <c r="BD460" s="34">
        <f>MAX(F460:G460,750)*0.05*BC460</f>
        <v/>
      </c>
      <c r="BE460" s="34">
        <f>F460*AY460</f>
        <v/>
      </c>
      <c r="BF460" s="34">
        <f>K460-M460</f>
        <v/>
      </c>
      <c r="BG460" s="34">
        <f>P460-S460</f>
        <v/>
      </c>
      <c r="BH460" s="34">
        <f>W460-AA460</f>
        <v/>
      </c>
      <c r="BI460" s="34">
        <f>BF460+BG460+BL460-BN460</f>
        <v/>
      </c>
      <c r="BJ460" s="34">
        <f>ABS(BK460)</f>
        <v/>
      </c>
      <c r="BK460" s="34">
        <f>AY460-(J460-L460+N460-Q460)</f>
        <v/>
      </c>
      <c r="BL460" s="34">
        <f>IF(AND(BK460&gt;0,MIN($F460:$G460)&lt;150,$E460="Enerji Açığı"),-100*BK460*1.03,IF(AND(BK460&gt;0,MIN($F460:$G460)&lt;150,$E460="Enerji Fazlası"),-100*BK460*1.06,IF(AND(BK460&gt;0,MIN($F460:$G460)&gt;=150,$E460="Enerji Açığı"),BK460*MIN($F460:$G460)*0.97,IF(AND(BK460&gt;0,MIN($F460:$G460)&gt;=150,$E460="Enerji Fazlası"),BK460*MIN($F460:$G460)*0.94,IF(AND(BK460&lt;0,MAX($F460:$G460)=4500,$E460="Enerji Açığı"),4500*1.05*1.06*BK460,IF(AND(BK460&lt;0,MAX($F460:$G460)=4500,$E460="Enerji Fazlası"),4500*1.05*1.03*BK460,IF(AND(BK460&lt;0,$E460="Enerji Açığı"),MAX($F460,$G460,150)*BK460*1.06,IF(AND(BK460&lt;0,$E460="Enerji Fazlası"),MAX($F460,$G460,150)*BK460*1.03,IF(AND(BK460&lt;0,$E460="Dengede"),MAX($F460:$G460,150)*1.03*BK460,MIN($F460:$G460)*0.97*BK460)))))))))</f>
        <v/>
      </c>
      <c r="BM460" s="34">
        <f>BE460-BI460-BN460</f>
        <v/>
      </c>
      <c r="BN460" s="34">
        <f>BB460</f>
        <v/>
      </c>
      <c r="BO460" s="34">
        <f>BE460-BI460</f>
        <v/>
      </c>
      <c r="BP460" s="34">
        <f>IF(AY460=0,0,BO460/AY460)</f>
        <v/>
      </c>
      <c r="BQ460" s="34">
        <f>MAX((AY460+MAX((-J460+L460-N460+Q460),0)),(MAX((J460-L460+N460-Q460),0)))</f>
        <v/>
      </c>
      <c r="BR460" s="82">
        <f>IFERROR(ABS(BK460/BQ460),0)</f>
        <v/>
      </c>
      <c r="BS460" s="34">
        <f>IF(BR460&lt;=0.1,0,BK460/BR460*(BR460-0.1))</f>
        <v/>
      </c>
      <c r="BT460" s="34">
        <f>IF((BS460)&lt;0,MAX(F460:G460)*(BS460)*1.03,MIN(F460:G460)*(BS460)*0.97)</f>
        <v/>
      </c>
      <c r="BU460" s="34">
        <f>IF(BR460&gt;0.1,1,0)</f>
        <v/>
      </c>
      <c r="BV460" s="34">
        <f>BF460+BG460+BH460+BY460-CA460</f>
        <v/>
      </c>
      <c r="BW460" s="34">
        <f>ABS(BX460)</f>
        <v/>
      </c>
      <c r="BX460" s="34">
        <f>AY460-(J460-L460+N460-Q460+T460-X460)</f>
        <v/>
      </c>
      <c r="BY460" s="34">
        <f>IF(AND(BX460&gt;0,MIN($F460:$G460)&lt;150,$E460="Enerji Açığı"),-100*BX460*1.03,IF(AND(BX460&gt;0,MIN($F460:$G460)&lt;150,$E460="Enerji Fazlası"),-100*BX460*1.06,IF(AND(BX460&gt;0,MIN($F460:$G460)&gt;=150,$E460="Enerji Açığı"),BX460*MIN($F460:$G460)*0.97,IF(AND(BX460&gt;0,MIN($F460:$G460)&gt;=150,$E460="Enerji Fazlası"),BX460*MIN($F460:$G460)*0.94,IF(AND(BX460&lt;0,MAX($F460:$G460)=4500,$E460="Enerji Açığı"),4500*1.05*1.06*BX460,IF(AND(BX460&lt;0,MAX($F460:$G460)=4500,$E460="Enerji Fazlası"),4500*1.05*1.03*BX460,IF(AND(BX460&lt;0,$E460="Enerji Açığı"),MAX($F460,$G460,150)*BX460*1.06,IF(AND(BX460&lt;0,$E460="Enerji Fazlası"),MAX($F460,$G460,150)*BX460*1.03,IF(AND(BX460&lt;0,$E460="Dengede"),MAX($F460:$G460,150)*1.03*BX460,MIN($F460:$G460)*0.97*BX460)))))))))</f>
        <v/>
      </c>
      <c r="BZ460" s="34">
        <f>BE460-BV460-CA460</f>
        <v/>
      </c>
      <c r="CA460" s="34">
        <f>BD460</f>
        <v/>
      </c>
      <c r="CB460" s="33">
        <f>BE460-BV460</f>
        <v/>
      </c>
      <c r="CC460" s="34">
        <f>IF(AY460=0,0,CB460/AY460)</f>
        <v/>
      </c>
      <c r="CD460" s="34">
        <f>MAX((AY460+MAX((-J460+L460-N460+Q460-T460+X460),0)),(MAX((J460-L460+N460-Q460+T460-X460),0)))</f>
        <v/>
      </c>
      <c r="CE460" s="82">
        <f>IFERROR(ABS(BX460/CD460),0)</f>
        <v/>
      </c>
      <c r="CF460" s="34">
        <f>IF(CE460&lt;=0.1,0,BX460/CE460*(CE460-0.1))</f>
        <v/>
      </c>
      <c r="CG460" s="34">
        <f>IF((CF460)&lt;0,MAX(F460:G460)*(CF460)*1.03,MIN(F460:G460)*(CF460)*0.97)</f>
        <v/>
      </c>
      <c r="CH460" s="34">
        <f>IF(CE460&gt;0.1,1,0)</f>
        <v/>
      </c>
      <c r="CI460" s="34">
        <f>(F460*BX460)-BY460</f>
        <v/>
      </c>
      <c r="CJ460" s="34">
        <f>IF(AY460=0,0,CI460/AY460)</f>
        <v/>
      </c>
    </row>
    <row r="461">
      <c r="A461" s="29">
        <f>[1]FİYATLAR!A436</f>
        <v/>
      </c>
      <c r="B461" s="29">
        <f>[1]FİYATLAR!B436</f>
        <v/>
      </c>
      <c r="C461" s="35">
        <f>INT(A461)</f>
        <v/>
      </c>
      <c r="D461" s="36">
        <f>MONTH(A461)</f>
        <v/>
      </c>
      <c r="E461" s="147">
        <f>[1]FİYATLAR!G436</f>
        <v/>
      </c>
      <c r="F461" s="30">
        <f>[1]FİYATLAR!C436</f>
        <v/>
      </c>
      <c r="G461" s="30">
        <f>[1]FİYATLAR!E436</f>
        <v/>
      </c>
      <c r="H461" s="30">
        <f>[1]FİYATLAR!D436</f>
        <v/>
      </c>
      <c r="I461" s="30">
        <f>[1]FİYATLAR!F436</f>
        <v/>
      </c>
      <c r="J461" s="119" t="n">
        <v>0</v>
      </c>
      <c r="K461" s="34">
        <f>F461*J461</f>
        <v/>
      </c>
      <c r="L461" s="119" t="n"/>
      <c r="M461" s="34">
        <f>L461*F461</f>
        <v/>
      </c>
      <c r="N461" s="119" t="n"/>
      <c r="O461" s="34">
        <f>F461</f>
        <v/>
      </c>
      <c r="P461" s="34">
        <f>N461*O461</f>
        <v/>
      </c>
      <c r="Q461" s="117" t="n">
        <v>0</v>
      </c>
      <c r="R461" s="34">
        <f>F461</f>
        <v/>
      </c>
      <c r="S461" s="34">
        <f>R461*Q461</f>
        <v/>
      </c>
      <c r="T461" s="34">
        <f>SUMIFS('[1]GİP VERİLERİ'!$C:$C,'[1]GİP VERİLERİ'!$B:$B,A461,'[1]GİP VERİLERİ'!$M:$M,"40X000000104782K",'[1]GİP VERİLERİ'!$G:$G,"SELL")</f>
        <v/>
      </c>
      <c r="U461" s="34">
        <f>IFERROR(W461/T461,0)</f>
        <v/>
      </c>
      <c r="V461" s="34">
        <f>IF(U461=0,0,U461-F461)</f>
        <v/>
      </c>
      <c r="W461" s="34">
        <f>SUMIFS('[1]GİP VERİLERİ'!$O:$O,'[1]GİP VERİLERİ'!$B:$B,A461,'[1]GİP VERİLERİ'!$M:$M,"40X000000104782K",'[1]GİP VERİLERİ'!$G:$G,"SELL")</f>
        <v/>
      </c>
      <c r="X461" s="34">
        <f>SUMIFS('[1]GİP VERİLERİ'!$C:$C,'[1]GİP VERİLERİ'!$B:$B,A461,'[1]GİP VERİLERİ'!$M:$M,"40X000000104782K",'[1]GİP VERİLERİ'!$G:$G,"BUY")</f>
        <v/>
      </c>
      <c r="Y461" s="34">
        <f>IFERROR(AA461/X461,0)</f>
        <v/>
      </c>
      <c r="Z461" s="34">
        <f>IF(Y461=0,0,F461-Y461)</f>
        <v/>
      </c>
      <c r="AA461" s="34">
        <f>SUMIFS('[1]GİP VERİLERİ'!$O:$O,'[1]GİP VERİLERİ'!$B:$B,A461,'[1]GİP VERİLERİ'!$M:$M,"40X000000104782K",'[1]GİP VERİLERİ'!$G:$G,"BUY")</f>
        <v/>
      </c>
      <c r="AB461" s="34">
        <f>'[1]GÖP VERİLERİ'!H462</f>
        <v/>
      </c>
      <c r="AC461" s="34">
        <f>'[1]GÖP VERİLERİ'!I462</f>
        <v/>
      </c>
      <c r="AD461" s="34">
        <f>IF(AB461&gt;AC461*1.05,AB461-AC461*1.05,IF(AB461&lt;AC461*0.95,AC461*0.95-AB461,0))</f>
        <v/>
      </c>
      <c r="AE461" s="34">
        <f>MAX(F461,G461,750)*0.05*AD461</f>
        <v/>
      </c>
      <c r="AF461" s="34">
        <f>'[1]GÖP VERİLERİ'!J462</f>
        <v/>
      </c>
      <c r="AG461" s="34">
        <f>IF(AB461&gt;AF461*1.05,AB461-AF461*1.05,IF(AB461&lt;AF461*0.95,AF461*0.95-AB461,0))</f>
        <v/>
      </c>
      <c r="AH461" s="34">
        <f>MAX(I461,J461,750)*0.05*AG461</f>
        <v/>
      </c>
      <c r="AI461">
        <f>'[1]GÖP VERİLERİ'!E462</f>
        <v/>
      </c>
      <c r="AJ461">
        <f>'[1]GÖP VERİLERİ'!F462</f>
        <v/>
      </c>
      <c r="AK461" s="34">
        <f>IF(AI461&gt;AJ461*1.05,AI461-AJ461*1.05,IF(AI461&lt;AJ461*0.95,AJ461*0.95-AI461,0))</f>
        <v/>
      </c>
      <c r="AL461" s="34">
        <f>MAX(F461,G461,750)*0.05*AK461</f>
        <v/>
      </c>
      <c r="AM461" s="39">
        <f>'[1]GÖP VERİLERİ'!G462</f>
        <v/>
      </c>
      <c r="AN461" s="34">
        <f>IF(AI461&gt;AM461*1.05,AI461-AM461*1.05,IF(AI461&lt;AM461*0.95,AM461*0.95-AI461,0))</f>
        <v/>
      </c>
      <c r="AO461" s="34">
        <f>MAX(F461,G461,750)*0.05*AN461</f>
        <v/>
      </c>
      <c r="AP461" s="34">
        <f>'[1]GÖP VERİLERİ'!B462</f>
        <v/>
      </c>
      <c r="AQ461" s="34">
        <f>'[1]GÖP VERİLERİ'!C462</f>
        <v/>
      </c>
      <c r="AR461" s="34">
        <f>IF(AP461&gt;AQ461*1.05,AP461-AQ461*1.05,IF(AP461&lt;AQ461*0.95,AQ461*0.95-AP461,0))</f>
        <v/>
      </c>
      <c r="AS461" s="34">
        <f>MAX(F461:G461,750)*0.05*AR461</f>
        <v/>
      </c>
      <c r="AT461">
        <f>'[1]GÖP VERİLERİ'!D462</f>
        <v/>
      </c>
      <c r="AU461" s="34">
        <f>IF(AP461&gt;AT461*1.05,AP461-AT461*1.05,IF(AP461&lt;AT461*0.95,AT461*0.95-AP461,0))</f>
        <v/>
      </c>
      <c r="AV461" s="34">
        <f>MAX(F461:G461,750)*0.05*AU461</f>
        <v/>
      </c>
      <c r="AW461" s="34">
        <f>AC461+AJ461+AQ461</f>
        <v/>
      </c>
      <c r="AX461" s="34">
        <f>AF461+AM461+AT461</f>
        <v/>
      </c>
      <c r="AY461" s="34">
        <f>AB461+AI461+AP461</f>
        <v/>
      </c>
      <c r="AZ461" s="34" t="n">
        <v>0</v>
      </c>
      <c r="BA461" s="34">
        <f>AD461+AK461+AR461</f>
        <v/>
      </c>
      <c r="BB461" s="34">
        <f>MAX(F461:G461,750)*0.05*BA461</f>
        <v/>
      </c>
      <c r="BC461" s="34">
        <f>AG461+AN461+AU461</f>
        <v/>
      </c>
      <c r="BD461" s="34">
        <f>MAX(F461:G461,750)*0.05*BC461</f>
        <v/>
      </c>
      <c r="BE461" s="34">
        <f>F461*AY461</f>
        <v/>
      </c>
      <c r="BF461" s="34">
        <f>K461-M461</f>
        <v/>
      </c>
      <c r="BG461" s="34">
        <f>P461-S461</f>
        <v/>
      </c>
      <c r="BH461" s="34">
        <f>W461-AA461</f>
        <v/>
      </c>
      <c r="BI461" s="34">
        <f>BF461+BG461+BL461-BN461</f>
        <v/>
      </c>
      <c r="BJ461" s="34">
        <f>ABS(BK461)</f>
        <v/>
      </c>
      <c r="BK461" s="34">
        <f>AY461-(J461-L461+N461-Q461)</f>
        <v/>
      </c>
      <c r="BL461" s="34">
        <f>IF(AND(BK461&gt;0,MIN($F461:$G461)&lt;150,$E461="Enerji Açığı"),-100*BK461*1.03,IF(AND(BK461&gt;0,MIN($F461:$G461)&lt;150,$E461="Enerji Fazlası"),-100*BK461*1.06,IF(AND(BK461&gt;0,MIN($F461:$G461)&gt;=150,$E461="Enerji Açığı"),BK461*MIN($F461:$G461)*0.97,IF(AND(BK461&gt;0,MIN($F461:$G461)&gt;=150,$E461="Enerji Fazlası"),BK461*MIN($F461:$G461)*0.94,IF(AND(BK461&lt;0,MAX($F461:$G461)=4500,$E461="Enerji Açığı"),4500*1.05*1.06*BK461,IF(AND(BK461&lt;0,MAX($F461:$G461)=4500,$E461="Enerji Fazlası"),4500*1.05*1.03*BK461,IF(AND(BK461&lt;0,$E461="Enerji Açığı"),MAX($F461,$G461,150)*BK461*1.06,IF(AND(BK461&lt;0,$E461="Enerji Fazlası"),MAX($F461,$G461,150)*BK461*1.03,IF(AND(BK461&lt;0,$E461="Dengede"),MAX($F461:$G461,150)*1.03*BK461,MIN($F461:$G461)*0.97*BK461)))))))))</f>
        <v/>
      </c>
      <c r="BM461" s="34">
        <f>BE461-BI461-BN461</f>
        <v/>
      </c>
      <c r="BN461" s="34">
        <f>BB461</f>
        <v/>
      </c>
      <c r="BO461" s="34">
        <f>BE461-BI461</f>
        <v/>
      </c>
      <c r="BP461" s="34">
        <f>IF(AY461=0,0,BO461/AY461)</f>
        <v/>
      </c>
      <c r="BQ461" s="34">
        <f>MAX((AY461+MAX((-J461+L461-N461+Q461),0)),(MAX((J461-L461+N461-Q461),0)))</f>
        <v/>
      </c>
      <c r="BR461" s="82">
        <f>IFERROR(ABS(BK461/BQ461),0)</f>
        <v/>
      </c>
      <c r="BS461" s="34">
        <f>IF(BR461&lt;=0.1,0,BK461/BR461*(BR461-0.1))</f>
        <v/>
      </c>
      <c r="BT461" s="34">
        <f>IF((BS461)&lt;0,MAX(F461:G461)*(BS461)*1.03,MIN(F461:G461)*(BS461)*0.97)</f>
        <v/>
      </c>
      <c r="BU461" s="34">
        <f>IF(BR461&gt;0.1,1,0)</f>
        <v/>
      </c>
      <c r="BV461" s="34">
        <f>BF461+BG461+BH461+BY461-CA461</f>
        <v/>
      </c>
      <c r="BW461" s="34">
        <f>ABS(BX461)</f>
        <v/>
      </c>
      <c r="BX461" s="34">
        <f>AY461-(J461-L461+N461-Q461+T461-X461)</f>
        <v/>
      </c>
      <c r="BY461" s="34">
        <f>IF(AND(BX461&gt;0,MIN($F461:$G461)&lt;150,$E461="Enerji Açığı"),-100*BX461*1.03,IF(AND(BX461&gt;0,MIN($F461:$G461)&lt;150,$E461="Enerji Fazlası"),-100*BX461*1.06,IF(AND(BX461&gt;0,MIN($F461:$G461)&gt;=150,$E461="Enerji Açığı"),BX461*MIN($F461:$G461)*0.97,IF(AND(BX461&gt;0,MIN($F461:$G461)&gt;=150,$E461="Enerji Fazlası"),BX461*MIN($F461:$G461)*0.94,IF(AND(BX461&lt;0,MAX($F461:$G461)=4500,$E461="Enerji Açığı"),4500*1.05*1.06*BX461,IF(AND(BX461&lt;0,MAX($F461:$G461)=4500,$E461="Enerji Fazlası"),4500*1.05*1.03*BX461,IF(AND(BX461&lt;0,$E461="Enerji Açığı"),MAX($F461,$G461,150)*BX461*1.06,IF(AND(BX461&lt;0,$E461="Enerji Fazlası"),MAX($F461,$G461,150)*BX461*1.03,IF(AND(BX461&lt;0,$E461="Dengede"),MAX($F461:$G461,150)*1.03*BX461,MIN($F461:$G461)*0.97*BX461)))))))))</f>
        <v/>
      </c>
      <c r="BZ461" s="34">
        <f>BE461-BV461-CA461</f>
        <v/>
      </c>
      <c r="CA461" s="34">
        <f>BD461</f>
        <v/>
      </c>
      <c r="CB461" s="33">
        <f>BE461-BV461</f>
        <v/>
      </c>
      <c r="CC461" s="34">
        <f>IF(AY461=0,0,CB461/AY461)</f>
        <v/>
      </c>
      <c r="CD461" s="34">
        <f>MAX((AY461+MAX((-J461+L461-N461+Q461-T461+X461),0)),(MAX((J461-L461+N461-Q461+T461-X461),0)))</f>
        <v/>
      </c>
      <c r="CE461" s="82">
        <f>IFERROR(ABS(BX461/CD461),0)</f>
        <v/>
      </c>
      <c r="CF461" s="34">
        <f>IF(CE461&lt;=0.1,0,BX461/CE461*(CE461-0.1))</f>
        <v/>
      </c>
      <c r="CG461" s="34">
        <f>IF((CF461)&lt;0,MAX(F461:G461)*(CF461)*1.03,MIN(F461:G461)*(CF461)*0.97)</f>
        <v/>
      </c>
      <c r="CH461" s="34">
        <f>IF(CE461&gt;0.1,1,0)</f>
        <v/>
      </c>
      <c r="CI461" s="34">
        <f>(F461*BX461)-BY461</f>
        <v/>
      </c>
      <c r="CJ461" s="34">
        <f>IF(AY461=0,0,CI461/AY461)</f>
        <v/>
      </c>
    </row>
    <row r="462">
      <c r="A462" s="29">
        <f>[1]FİYATLAR!A437</f>
        <v/>
      </c>
      <c r="B462" s="29">
        <f>[1]FİYATLAR!B437</f>
        <v/>
      </c>
      <c r="C462" s="35">
        <f>INT(A462)</f>
        <v/>
      </c>
      <c r="D462" s="36">
        <f>MONTH(A462)</f>
        <v/>
      </c>
      <c r="E462" s="147">
        <f>[1]FİYATLAR!G437</f>
        <v/>
      </c>
      <c r="F462" s="30">
        <f>[1]FİYATLAR!C437</f>
        <v/>
      </c>
      <c r="G462" s="30">
        <f>[1]FİYATLAR!E437</f>
        <v/>
      </c>
      <c r="H462" s="30">
        <f>[1]FİYATLAR!D437</f>
        <v/>
      </c>
      <c r="I462" s="30">
        <f>[1]FİYATLAR!F437</f>
        <v/>
      </c>
      <c r="J462" s="119" t="n">
        <v>0</v>
      </c>
      <c r="K462" s="34">
        <f>F462*J462</f>
        <v/>
      </c>
      <c r="L462" s="119" t="n"/>
      <c r="M462" s="34">
        <f>L462*F462</f>
        <v/>
      </c>
      <c r="N462" s="119" t="n"/>
      <c r="O462" s="34">
        <f>F462</f>
        <v/>
      </c>
      <c r="P462" s="34">
        <f>N462*O462</f>
        <v/>
      </c>
      <c r="Q462" s="117" t="n">
        <v>0</v>
      </c>
      <c r="R462" s="34">
        <f>F462</f>
        <v/>
      </c>
      <c r="S462" s="34">
        <f>R462*Q462</f>
        <v/>
      </c>
      <c r="T462" s="34">
        <f>SUMIFS('[1]GİP VERİLERİ'!$C:$C,'[1]GİP VERİLERİ'!$B:$B,A462,'[1]GİP VERİLERİ'!$M:$M,"40X000000104782K",'[1]GİP VERİLERİ'!$G:$G,"SELL")</f>
        <v/>
      </c>
      <c r="U462" s="34">
        <f>IFERROR(W462/T462,0)</f>
        <v/>
      </c>
      <c r="V462" s="34">
        <f>IF(U462=0,0,U462-F462)</f>
        <v/>
      </c>
      <c r="W462" s="34">
        <f>SUMIFS('[1]GİP VERİLERİ'!$O:$O,'[1]GİP VERİLERİ'!$B:$B,A462,'[1]GİP VERİLERİ'!$M:$M,"40X000000104782K",'[1]GİP VERİLERİ'!$G:$G,"SELL")</f>
        <v/>
      </c>
      <c r="X462" s="34">
        <f>SUMIFS('[1]GİP VERİLERİ'!$C:$C,'[1]GİP VERİLERİ'!$B:$B,A462,'[1]GİP VERİLERİ'!$M:$M,"40X000000104782K",'[1]GİP VERİLERİ'!$G:$G,"BUY")</f>
        <v/>
      </c>
      <c r="Y462" s="34">
        <f>IFERROR(AA462/X462,0)</f>
        <v/>
      </c>
      <c r="Z462" s="34">
        <f>IF(Y462=0,0,F462-Y462)</f>
        <v/>
      </c>
      <c r="AA462" s="34">
        <f>SUMIFS('[1]GİP VERİLERİ'!$O:$O,'[1]GİP VERİLERİ'!$B:$B,A462,'[1]GİP VERİLERİ'!$M:$M,"40X000000104782K",'[1]GİP VERİLERİ'!$G:$G,"BUY")</f>
        <v/>
      </c>
      <c r="AB462" s="34">
        <f>'[1]GÖP VERİLERİ'!H463</f>
        <v/>
      </c>
      <c r="AC462" s="34">
        <f>'[1]GÖP VERİLERİ'!I463</f>
        <v/>
      </c>
      <c r="AD462" s="34">
        <f>IF(AB462&gt;AC462*1.05,AB462-AC462*1.05,IF(AB462&lt;AC462*0.95,AC462*0.95-AB462,0))</f>
        <v/>
      </c>
      <c r="AE462" s="34">
        <f>MAX(F462,G462,750)*0.05*AD462</f>
        <v/>
      </c>
      <c r="AF462" s="34">
        <f>'[1]GÖP VERİLERİ'!J463</f>
        <v/>
      </c>
      <c r="AG462" s="34">
        <f>IF(AB462&gt;AF462*1.05,AB462-AF462*1.05,IF(AB462&lt;AF462*0.95,AF462*0.95-AB462,0))</f>
        <v/>
      </c>
      <c r="AH462" s="34">
        <f>MAX(I462,J462,750)*0.05*AG462</f>
        <v/>
      </c>
      <c r="AI462">
        <f>'[1]GÖP VERİLERİ'!E463</f>
        <v/>
      </c>
      <c r="AJ462">
        <f>'[1]GÖP VERİLERİ'!F463</f>
        <v/>
      </c>
      <c r="AK462" s="34">
        <f>IF(AI462&gt;AJ462*1.05,AI462-AJ462*1.05,IF(AI462&lt;AJ462*0.95,AJ462*0.95-AI462,0))</f>
        <v/>
      </c>
      <c r="AL462" s="34">
        <f>MAX(F462,G462,750)*0.05*AK462</f>
        <v/>
      </c>
      <c r="AM462" s="39">
        <f>'[1]GÖP VERİLERİ'!G463</f>
        <v/>
      </c>
      <c r="AN462" s="34">
        <f>IF(AI462&gt;AM462*1.05,AI462-AM462*1.05,IF(AI462&lt;AM462*0.95,AM462*0.95-AI462,0))</f>
        <v/>
      </c>
      <c r="AO462" s="34">
        <f>MAX(F462,G462,750)*0.05*AN462</f>
        <v/>
      </c>
      <c r="AP462" s="34">
        <f>'[1]GÖP VERİLERİ'!B463</f>
        <v/>
      </c>
      <c r="AQ462" s="34">
        <f>'[1]GÖP VERİLERİ'!C463</f>
        <v/>
      </c>
      <c r="AR462" s="34">
        <f>IF(AP462&gt;AQ462*1.05,AP462-AQ462*1.05,IF(AP462&lt;AQ462*0.95,AQ462*0.95-AP462,0))</f>
        <v/>
      </c>
      <c r="AS462" s="34">
        <f>MAX(F462:G462,750)*0.05*AR462</f>
        <v/>
      </c>
      <c r="AT462">
        <f>'[1]GÖP VERİLERİ'!D463</f>
        <v/>
      </c>
      <c r="AU462" s="34">
        <f>IF(AP462&gt;AT462*1.05,AP462-AT462*1.05,IF(AP462&lt;AT462*0.95,AT462*0.95-AP462,0))</f>
        <v/>
      </c>
      <c r="AV462" s="34">
        <f>MAX(F462:G462,750)*0.05*AU462</f>
        <v/>
      </c>
      <c r="AW462" s="34">
        <f>AC462+AJ462+AQ462</f>
        <v/>
      </c>
      <c r="AX462" s="34">
        <f>AF462+AM462+AT462</f>
        <v/>
      </c>
      <c r="AY462" s="34">
        <f>AB462+AI462+AP462</f>
        <v/>
      </c>
      <c r="AZ462" s="34" t="n">
        <v>0</v>
      </c>
      <c r="BA462" s="34">
        <f>AD462+AK462+AR462</f>
        <v/>
      </c>
      <c r="BB462" s="34">
        <f>MAX(F462:G462,750)*0.05*BA462</f>
        <v/>
      </c>
      <c r="BC462" s="34">
        <f>AG462+AN462+AU462</f>
        <v/>
      </c>
      <c r="BD462" s="34">
        <f>MAX(F462:G462,750)*0.05*BC462</f>
        <v/>
      </c>
      <c r="BE462" s="34">
        <f>F462*AY462</f>
        <v/>
      </c>
      <c r="BF462" s="34">
        <f>K462-M462</f>
        <v/>
      </c>
      <c r="BG462" s="34">
        <f>P462-S462</f>
        <v/>
      </c>
      <c r="BH462" s="34">
        <f>W462-AA462</f>
        <v/>
      </c>
      <c r="BI462" s="34">
        <f>BF462+BG462+BL462-BN462</f>
        <v/>
      </c>
      <c r="BJ462" s="34">
        <f>ABS(BK462)</f>
        <v/>
      </c>
      <c r="BK462" s="34">
        <f>AY462-(J462-L462+N462-Q462)</f>
        <v/>
      </c>
      <c r="BL462" s="34">
        <f>IF(AND(BK462&gt;0,MIN($F462:$G462)&lt;150,$E462="Enerji Açığı"),-100*BK462*1.03,IF(AND(BK462&gt;0,MIN($F462:$G462)&lt;150,$E462="Enerji Fazlası"),-100*BK462*1.06,IF(AND(BK462&gt;0,MIN($F462:$G462)&gt;=150,$E462="Enerji Açığı"),BK462*MIN($F462:$G462)*0.97,IF(AND(BK462&gt;0,MIN($F462:$G462)&gt;=150,$E462="Enerji Fazlası"),BK462*MIN($F462:$G462)*0.94,IF(AND(BK462&lt;0,MAX($F462:$G462)=4500,$E462="Enerji Açığı"),4500*1.05*1.06*BK462,IF(AND(BK462&lt;0,MAX($F462:$G462)=4500,$E462="Enerji Fazlası"),4500*1.05*1.03*BK462,IF(AND(BK462&lt;0,$E462="Enerji Açığı"),MAX($F462,$G462,150)*BK462*1.06,IF(AND(BK462&lt;0,$E462="Enerji Fazlası"),MAX($F462,$G462,150)*BK462*1.03,IF(AND(BK462&lt;0,$E462="Dengede"),MAX($F462:$G462,150)*1.03*BK462,MIN($F462:$G462)*0.97*BK462)))))))))</f>
        <v/>
      </c>
      <c r="BM462" s="34">
        <f>BE462-BI462-BN462</f>
        <v/>
      </c>
      <c r="BN462" s="34">
        <f>BB462</f>
        <v/>
      </c>
      <c r="BO462" s="34">
        <f>BE462-BI462</f>
        <v/>
      </c>
      <c r="BP462" s="34">
        <f>IF(AY462=0,0,BO462/AY462)</f>
        <v/>
      </c>
      <c r="BQ462" s="34">
        <f>MAX((AY462+MAX((-J462+L462-N462+Q462),0)),(MAX((J462-L462+N462-Q462),0)))</f>
        <v/>
      </c>
      <c r="BR462" s="82">
        <f>IFERROR(ABS(BK462/BQ462),0)</f>
        <v/>
      </c>
      <c r="BS462" s="34">
        <f>IF(BR462&lt;=0.1,0,BK462/BR462*(BR462-0.1))</f>
        <v/>
      </c>
      <c r="BT462" s="34">
        <f>IF((BS462)&lt;0,MAX(F462:G462)*(BS462)*1.03,MIN(F462:G462)*(BS462)*0.97)</f>
        <v/>
      </c>
      <c r="BU462" s="34">
        <f>IF(BR462&gt;0.1,1,0)</f>
        <v/>
      </c>
      <c r="BV462" s="34">
        <f>BF462+BG462+BH462+BY462-CA462</f>
        <v/>
      </c>
      <c r="BW462" s="34">
        <f>ABS(BX462)</f>
        <v/>
      </c>
      <c r="BX462" s="34">
        <f>AY462-(J462-L462+N462-Q462+T462-X462)</f>
        <v/>
      </c>
      <c r="BY462" s="34">
        <f>IF(AND(BX462&gt;0,MIN($F462:$G462)&lt;150,$E462="Enerji Açığı"),-100*BX462*1.03,IF(AND(BX462&gt;0,MIN($F462:$G462)&lt;150,$E462="Enerji Fazlası"),-100*BX462*1.06,IF(AND(BX462&gt;0,MIN($F462:$G462)&gt;=150,$E462="Enerji Açığı"),BX462*MIN($F462:$G462)*0.97,IF(AND(BX462&gt;0,MIN($F462:$G462)&gt;=150,$E462="Enerji Fazlası"),BX462*MIN($F462:$G462)*0.94,IF(AND(BX462&lt;0,MAX($F462:$G462)=4500,$E462="Enerji Açığı"),4500*1.05*1.06*BX462,IF(AND(BX462&lt;0,MAX($F462:$G462)=4500,$E462="Enerji Fazlası"),4500*1.05*1.03*BX462,IF(AND(BX462&lt;0,$E462="Enerji Açığı"),MAX($F462,$G462,150)*BX462*1.06,IF(AND(BX462&lt;0,$E462="Enerji Fazlası"),MAX($F462,$G462,150)*BX462*1.03,IF(AND(BX462&lt;0,$E462="Dengede"),MAX($F462:$G462,150)*1.03*BX462,MIN($F462:$G462)*0.97*BX462)))))))))</f>
        <v/>
      </c>
      <c r="BZ462" s="34">
        <f>BE462-BV462-CA462</f>
        <v/>
      </c>
      <c r="CA462" s="34">
        <f>BD462</f>
        <v/>
      </c>
      <c r="CB462" s="33">
        <f>BE462-BV462</f>
        <v/>
      </c>
      <c r="CC462" s="34">
        <f>IF(AY462=0,0,CB462/AY462)</f>
        <v/>
      </c>
      <c r="CD462" s="34">
        <f>MAX((AY462+MAX((-J462+L462-N462+Q462-T462+X462),0)),(MAX((J462-L462+N462-Q462+T462-X462),0)))</f>
        <v/>
      </c>
      <c r="CE462" s="82">
        <f>IFERROR(ABS(BX462/CD462),0)</f>
        <v/>
      </c>
      <c r="CF462" s="34">
        <f>IF(CE462&lt;=0.1,0,BX462/CE462*(CE462-0.1))</f>
        <v/>
      </c>
      <c r="CG462" s="34">
        <f>IF((CF462)&lt;0,MAX(F462:G462)*(CF462)*1.03,MIN(F462:G462)*(CF462)*0.97)</f>
        <v/>
      </c>
      <c r="CH462" s="34">
        <f>IF(CE462&gt;0.1,1,0)</f>
        <v/>
      </c>
      <c r="CI462" s="34">
        <f>(F462*BX462)-BY462</f>
        <v/>
      </c>
      <c r="CJ462" s="34">
        <f>IF(AY462=0,0,CI462/AY462)</f>
        <v/>
      </c>
    </row>
    <row r="463">
      <c r="A463" s="29">
        <f>[1]FİYATLAR!A438</f>
        <v/>
      </c>
      <c r="B463" s="29">
        <f>[1]FİYATLAR!B438</f>
        <v/>
      </c>
      <c r="C463" s="35">
        <f>INT(A463)</f>
        <v/>
      </c>
      <c r="D463" s="36">
        <f>MONTH(A463)</f>
        <v/>
      </c>
      <c r="E463" s="147">
        <f>[1]FİYATLAR!G438</f>
        <v/>
      </c>
      <c r="F463" s="30">
        <f>[1]FİYATLAR!C438</f>
        <v/>
      </c>
      <c r="G463" s="30">
        <f>[1]FİYATLAR!E438</f>
        <v/>
      </c>
      <c r="H463" s="30">
        <f>[1]FİYATLAR!D438</f>
        <v/>
      </c>
      <c r="I463" s="30">
        <f>[1]FİYATLAR!F438</f>
        <v/>
      </c>
      <c r="J463" s="119" t="n">
        <v>0</v>
      </c>
      <c r="K463" s="34">
        <f>F463*J463</f>
        <v/>
      </c>
      <c r="L463" s="119" t="n"/>
      <c r="M463" s="34">
        <f>L463*F463</f>
        <v/>
      </c>
      <c r="N463" s="119" t="n"/>
      <c r="O463" s="34">
        <f>F463</f>
        <v/>
      </c>
      <c r="P463" s="34">
        <f>N463*O463</f>
        <v/>
      </c>
      <c r="Q463" s="117" t="n">
        <v>0</v>
      </c>
      <c r="R463" s="34">
        <f>F463</f>
        <v/>
      </c>
      <c r="S463" s="34">
        <f>R463*Q463</f>
        <v/>
      </c>
      <c r="T463" s="34">
        <f>SUMIFS('[1]GİP VERİLERİ'!$C:$C,'[1]GİP VERİLERİ'!$B:$B,A463,'[1]GİP VERİLERİ'!$M:$M,"40X000000104782K",'[1]GİP VERİLERİ'!$G:$G,"SELL")</f>
        <v/>
      </c>
      <c r="U463" s="34">
        <f>IFERROR(W463/T463,0)</f>
        <v/>
      </c>
      <c r="V463" s="34">
        <f>IF(U463=0,0,U463-F463)</f>
        <v/>
      </c>
      <c r="W463" s="34">
        <f>SUMIFS('[1]GİP VERİLERİ'!$O:$O,'[1]GİP VERİLERİ'!$B:$B,A463,'[1]GİP VERİLERİ'!$M:$M,"40X000000104782K",'[1]GİP VERİLERİ'!$G:$G,"SELL")</f>
        <v/>
      </c>
      <c r="X463" s="34">
        <f>SUMIFS('[1]GİP VERİLERİ'!$C:$C,'[1]GİP VERİLERİ'!$B:$B,A463,'[1]GİP VERİLERİ'!$M:$M,"40X000000104782K",'[1]GİP VERİLERİ'!$G:$G,"BUY")</f>
        <v/>
      </c>
      <c r="Y463" s="34">
        <f>IFERROR(AA463/X463,0)</f>
        <v/>
      </c>
      <c r="Z463" s="34">
        <f>IF(Y463=0,0,F463-Y463)</f>
        <v/>
      </c>
      <c r="AA463" s="34">
        <f>SUMIFS('[1]GİP VERİLERİ'!$O:$O,'[1]GİP VERİLERİ'!$B:$B,A463,'[1]GİP VERİLERİ'!$M:$M,"40X000000104782K",'[1]GİP VERİLERİ'!$G:$G,"BUY")</f>
        <v/>
      </c>
      <c r="AB463" s="34">
        <f>'[1]GÖP VERİLERİ'!H464</f>
        <v/>
      </c>
      <c r="AC463" s="34">
        <f>'[1]GÖP VERİLERİ'!I464</f>
        <v/>
      </c>
      <c r="AD463" s="34">
        <f>IF(AB463&gt;AC463*1.05,AB463-AC463*1.05,IF(AB463&lt;AC463*0.95,AC463*0.95-AB463,0))</f>
        <v/>
      </c>
      <c r="AE463" s="34">
        <f>MAX(F463,G463,750)*0.05*AD463</f>
        <v/>
      </c>
      <c r="AF463" s="34">
        <f>'[1]GÖP VERİLERİ'!J464</f>
        <v/>
      </c>
      <c r="AG463" s="34">
        <f>IF(AB463&gt;AF463*1.05,AB463-AF463*1.05,IF(AB463&lt;AF463*0.95,AF463*0.95-AB463,0))</f>
        <v/>
      </c>
      <c r="AH463" s="34">
        <f>MAX(I463,J463,750)*0.05*AG463</f>
        <v/>
      </c>
      <c r="AI463">
        <f>'[1]GÖP VERİLERİ'!E464</f>
        <v/>
      </c>
      <c r="AJ463">
        <f>'[1]GÖP VERİLERİ'!F464</f>
        <v/>
      </c>
      <c r="AK463" s="34">
        <f>IF(AI463&gt;AJ463*1.05,AI463-AJ463*1.05,IF(AI463&lt;AJ463*0.95,AJ463*0.95-AI463,0))</f>
        <v/>
      </c>
      <c r="AL463" s="34">
        <f>MAX(F463,G463,750)*0.05*AK463</f>
        <v/>
      </c>
      <c r="AM463" s="39">
        <f>'[1]GÖP VERİLERİ'!G464</f>
        <v/>
      </c>
      <c r="AN463" s="34">
        <f>IF(AI463&gt;AM463*1.05,AI463-AM463*1.05,IF(AI463&lt;AM463*0.95,AM463*0.95-AI463,0))</f>
        <v/>
      </c>
      <c r="AO463" s="34">
        <f>MAX(F463,G463,750)*0.05*AN463</f>
        <v/>
      </c>
      <c r="AP463" s="34">
        <f>'[1]GÖP VERİLERİ'!B464</f>
        <v/>
      </c>
      <c r="AQ463" s="34">
        <f>'[1]GÖP VERİLERİ'!C464</f>
        <v/>
      </c>
      <c r="AR463" s="34">
        <f>IF(AP463&gt;AQ463*1.05,AP463-AQ463*1.05,IF(AP463&lt;AQ463*0.95,AQ463*0.95-AP463,0))</f>
        <v/>
      </c>
      <c r="AS463" s="34">
        <f>MAX(F463:G463,750)*0.05*AR463</f>
        <v/>
      </c>
      <c r="AT463">
        <f>'[1]GÖP VERİLERİ'!D464</f>
        <v/>
      </c>
      <c r="AU463" s="34">
        <f>IF(AP463&gt;AT463*1.05,AP463-AT463*1.05,IF(AP463&lt;AT463*0.95,AT463*0.95-AP463,0))</f>
        <v/>
      </c>
      <c r="AV463" s="34">
        <f>MAX(F463:G463,750)*0.05*AU463</f>
        <v/>
      </c>
      <c r="AW463" s="34">
        <f>AC463+AJ463+AQ463</f>
        <v/>
      </c>
      <c r="AX463" s="34">
        <f>AF463+AM463+AT463</f>
        <v/>
      </c>
      <c r="AY463" s="34">
        <f>AB463+AI463+AP463</f>
        <v/>
      </c>
      <c r="AZ463" s="34" t="n">
        <v>0</v>
      </c>
      <c r="BA463" s="34">
        <f>AD463+AK463+AR463</f>
        <v/>
      </c>
      <c r="BB463" s="34">
        <f>MAX(F463:G463,750)*0.05*BA463</f>
        <v/>
      </c>
      <c r="BC463" s="34">
        <f>AG463+AN463+AU463</f>
        <v/>
      </c>
      <c r="BD463" s="34">
        <f>MAX(F463:G463,750)*0.05*BC463</f>
        <v/>
      </c>
      <c r="BE463" s="34">
        <f>F463*AY463</f>
        <v/>
      </c>
      <c r="BF463" s="34">
        <f>K463-M463</f>
        <v/>
      </c>
      <c r="BG463" s="34">
        <f>P463-S463</f>
        <v/>
      </c>
      <c r="BH463" s="34">
        <f>W463-AA463</f>
        <v/>
      </c>
      <c r="BI463" s="34">
        <f>BF463+BG463+BL463-BN463</f>
        <v/>
      </c>
      <c r="BJ463" s="34">
        <f>ABS(BK463)</f>
        <v/>
      </c>
      <c r="BK463" s="34">
        <f>AY463-(J463-L463+N463-Q463)</f>
        <v/>
      </c>
      <c r="BL463" s="34">
        <f>IF(AND(BK463&gt;0,MIN($F463:$G463)&lt;150,$E463="Enerji Açığı"),-100*BK463*1.03,IF(AND(BK463&gt;0,MIN($F463:$G463)&lt;150,$E463="Enerji Fazlası"),-100*BK463*1.06,IF(AND(BK463&gt;0,MIN($F463:$G463)&gt;=150,$E463="Enerji Açığı"),BK463*MIN($F463:$G463)*0.97,IF(AND(BK463&gt;0,MIN($F463:$G463)&gt;=150,$E463="Enerji Fazlası"),BK463*MIN($F463:$G463)*0.94,IF(AND(BK463&lt;0,MAX($F463:$G463)=4500,$E463="Enerji Açığı"),4500*1.05*1.06*BK463,IF(AND(BK463&lt;0,MAX($F463:$G463)=4500,$E463="Enerji Fazlası"),4500*1.05*1.03*BK463,IF(AND(BK463&lt;0,$E463="Enerji Açığı"),MAX($F463,$G463,150)*BK463*1.06,IF(AND(BK463&lt;0,$E463="Enerji Fazlası"),MAX($F463,$G463,150)*BK463*1.03,IF(AND(BK463&lt;0,$E463="Dengede"),MAX($F463:$G463,150)*1.03*BK463,MIN($F463:$G463)*0.97*BK463)))))))))</f>
        <v/>
      </c>
      <c r="BM463" s="34">
        <f>BE463-BI463-BN463</f>
        <v/>
      </c>
      <c r="BN463" s="34">
        <f>BB463</f>
        <v/>
      </c>
      <c r="BO463" s="34">
        <f>BE463-BI463</f>
        <v/>
      </c>
      <c r="BP463" s="34">
        <f>IF(AY463=0,0,BO463/AY463)</f>
        <v/>
      </c>
      <c r="BQ463" s="34">
        <f>MAX((AY463+MAX((-J463+L463-N463+Q463),0)),(MAX((J463-L463+N463-Q463),0)))</f>
        <v/>
      </c>
      <c r="BR463" s="82">
        <f>IFERROR(ABS(BK463/BQ463),0)</f>
        <v/>
      </c>
      <c r="BS463" s="34">
        <f>IF(BR463&lt;=0.1,0,BK463/BR463*(BR463-0.1))</f>
        <v/>
      </c>
      <c r="BT463" s="34">
        <f>IF((BS463)&lt;0,MAX(F463:G463)*(BS463)*1.03,MIN(F463:G463)*(BS463)*0.97)</f>
        <v/>
      </c>
      <c r="BU463" s="34">
        <f>IF(BR463&gt;0.1,1,0)</f>
        <v/>
      </c>
      <c r="BV463" s="34">
        <f>BF463+BG463+BH463+BY463-CA463</f>
        <v/>
      </c>
      <c r="BW463" s="34">
        <f>ABS(BX463)</f>
        <v/>
      </c>
      <c r="BX463" s="34">
        <f>AY463-(J463-L463+N463-Q463+T463-X463)</f>
        <v/>
      </c>
      <c r="BY463" s="34">
        <f>IF(AND(BX463&gt;0,MIN($F463:$G463)&lt;150,$E463="Enerji Açığı"),-100*BX463*1.03,IF(AND(BX463&gt;0,MIN($F463:$G463)&lt;150,$E463="Enerji Fazlası"),-100*BX463*1.06,IF(AND(BX463&gt;0,MIN($F463:$G463)&gt;=150,$E463="Enerji Açığı"),BX463*MIN($F463:$G463)*0.97,IF(AND(BX463&gt;0,MIN($F463:$G463)&gt;=150,$E463="Enerji Fazlası"),BX463*MIN($F463:$G463)*0.94,IF(AND(BX463&lt;0,MAX($F463:$G463)=4500,$E463="Enerji Açığı"),4500*1.05*1.06*BX463,IF(AND(BX463&lt;0,MAX($F463:$G463)=4500,$E463="Enerji Fazlası"),4500*1.05*1.03*BX463,IF(AND(BX463&lt;0,$E463="Enerji Açığı"),MAX($F463,$G463,150)*BX463*1.06,IF(AND(BX463&lt;0,$E463="Enerji Fazlası"),MAX($F463,$G463,150)*BX463*1.03,IF(AND(BX463&lt;0,$E463="Dengede"),MAX($F463:$G463,150)*1.03*BX463,MIN($F463:$G463)*0.97*BX463)))))))))</f>
        <v/>
      </c>
      <c r="BZ463" s="34">
        <f>BE463-BV463-CA463</f>
        <v/>
      </c>
      <c r="CA463" s="34">
        <f>BD463</f>
        <v/>
      </c>
      <c r="CB463" s="33">
        <f>BE463-BV463</f>
        <v/>
      </c>
      <c r="CC463" s="34">
        <f>IF(AY463=0,0,CB463/AY463)</f>
        <v/>
      </c>
      <c r="CD463" s="34">
        <f>MAX((AY463+MAX((-J463+L463-N463+Q463-T463+X463),0)),(MAX((J463-L463+N463-Q463+T463-X463),0)))</f>
        <v/>
      </c>
      <c r="CE463" s="82">
        <f>IFERROR(ABS(BX463/CD463),0)</f>
        <v/>
      </c>
      <c r="CF463" s="34">
        <f>IF(CE463&lt;=0.1,0,BX463/CE463*(CE463-0.1))</f>
        <v/>
      </c>
      <c r="CG463" s="34">
        <f>IF((CF463)&lt;0,MAX(F463:G463)*(CF463)*1.03,MIN(F463:G463)*(CF463)*0.97)</f>
        <v/>
      </c>
      <c r="CH463" s="34">
        <f>IF(CE463&gt;0.1,1,0)</f>
        <v/>
      </c>
      <c r="CI463" s="34">
        <f>(F463*BX463)-BY463</f>
        <v/>
      </c>
      <c r="CJ463" s="34">
        <f>IF(AY463=0,0,CI463/AY463)</f>
        <v/>
      </c>
    </row>
    <row r="464">
      <c r="A464" s="29">
        <f>[1]FİYATLAR!A439</f>
        <v/>
      </c>
      <c r="B464" s="29">
        <f>[1]FİYATLAR!B439</f>
        <v/>
      </c>
      <c r="C464" s="35">
        <f>INT(A464)</f>
        <v/>
      </c>
      <c r="D464" s="36">
        <f>MONTH(A464)</f>
        <v/>
      </c>
      <c r="E464" s="147">
        <f>[1]FİYATLAR!G439</f>
        <v/>
      </c>
      <c r="F464" s="30">
        <f>[1]FİYATLAR!C439</f>
        <v/>
      </c>
      <c r="G464" s="30">
        <f>[1]FİYATLAR!E439</f>
        <v/>
      </c>
      <c r="H464" s="30">
        <f>[1]FİYATLAR!D439</f>
        <v/>
      </c>
      <c r="I464" s="30">
        <f>[1]FİYATLAR!F439</f>
        <v/>
      </c>
      <c r="J464" s="119" t="n">
        <v>0</v>
      </c>
      <c r="K464" s="34">
        <f>F464*J464</f>
        <v/>
      </c>
      <c r="L464" s="119" t="n"/>
      <c r="M464" s="34">
        <f>L464*F464</f>
        <v/>
      </c>
      <c r="N464" s="119" t="n"/>
      <c r="O464" s="34">
        <f>F464</f>
        <v/>
      </c>
      <c r="P464" s="34">
        <f>N464*O464</f>
        <v/>
      </c>
      <c r="Q464" s="117" t="n">
        <v>0</v>
      </c>
      <c r="R464" s="34">
        <f>F464</f>
        <v/>
      </c>
      <c r="S464" s="34">
        <f>R464*Q464</f>
        <v/>
      </c>
      <c r="T464" s="34">
        <f>SUMIFS('[1]GİP VERİLERİ'!$C:$C,'[1]GİP VERİLERİ'!$B:$B,A464,'[1]GİP VERİLERİ'!$M:$M,"40X000000104782K",'[1]GİP VERİLERİ'!$G:$G,"SELL")</f>
        <v/>
      </c>
      <c r="U464" s="34">
        <f>IFERROR(W464/T464,0)</f>
        <v/>
      </c>
      <c r="V464" s="34">
        <f>IF(U464=0,0,U464-F464)</f>
        <v/>
      </c>
      <c r="W464" s="34">
        <f>SUMIFS('[1]GİP VERİLERİ'!$O:$O,'[1]GİP VERİLERİ'!$B:$B,A464,'[1]GİP VERİLERİ'!$M:$M,"40X000000104782K",'[1]GİP VERİLERİ'!$G:$G,"SELL")</f>
        <v/>
      </c>
      <c r="X464" s="34">
        <f>SUMIFS('[1]GİP VERİLERİ'!$C:$C,'[1]GİP VERİLERİ'!$B:$B,A464,'[1]GİP VERİLERİ'!$M:$M,"40X000000104782K",'[1]GİP VERİLERİ'!$G:$G,"BUY")</f>
        <v/>
      </c>
      <c r="Y464" s="34">
        <f>IFERROR(AA464/X464,0)</f>
        <v/>
      </c>
      <c r="Z464" s="34">
        <f>IF(Y464=0,0,F464-Y464)</f>
        <v/>
      </c>
      <c r="AA464" s="34">
        <f>SUMIFS('[1]GİP VERİLERİ'!$O:$O,'[1]GİP VERİLERİ'!$B:$B,A464,'[1]GİP VERİLERİ'!$M:$M,"40X000000104782K",'[1]GİP VERİLERİ'!$G:$G,"BUY")</f>
        <v/>
      </c>
      <c r="AB464" s="34">
        <f>'[1]GÖP VERİLERİ'!H465</f>
        <v/>
      </c>
      <c r="AC464" s="34">
        <f>'[1]GÖP VERİLERİ'!I465</f>
        <v/>
      </c>
      <c r="AD464" s="34">
        <f>IF(AB464&gt;AC464*1.05,AB464-AC464*1.05,IF(AB464&lt;AC464*0.95,AC464*0.95-AB464,0))</f>
        <v/>
      </c>
      <c r="AE464" s="34">
        <f>MAX(F464,G464,750)*0.05*AD464</f>
        <v/>
      </c>
      <c r="AF464" s="34">
        <f>'[1]GÖP VERİLERİ'!J465</f>
        <v/>
      </c>
      <c r="AG464" s="34">
        <f>IF(AB464&gt;AF464*1.05,AB464-AF464*1.05,IF(AB464&lt;AF464*0.95,AF464*0.95-AB464,0))</f>
        <v/>
      </c>
      <c r="AH464" s="34">
        <f>MAX(I464,J464,750)*0.05*AG464</f>
        <v/>
      </c>
      <c r="AI464">
        <f>'[1]GÖP VERİLERİ'!E465</f>
        <v/>
      </c>
      <c r="AJ464">
        <f>'[1]GÖP VERİLERİ'!F465</f>
        <v/>
      </c>
      <c r="AK464" s="34">
        <f>IF(AI464&gt;AJ464*1.05,AI464-AJ464*1.05,IF(AI464&lt;AJ464*0.95,AJ464*0.95-AI464,0))</f>
        <v/>
      </c>
      <c r="AL464" s="34">
        <f>MAX(F464,G464,750)*0.05*AK464</f>
        <v/>
      </c>
      <c r="AM464" s="39">
        <f>'[1]GÖP VERİLERİ'!G465</f>
        <v/>
      </c>
      <c r="AN464" s="34">
        <f>IF(AI464&gt;AM464*1.05,AI464-AM464*1.05,IF(AI464&lt;AM464*0.95,AM464*0.95-AI464,0))</f>
        <v/>
      </c>
      <c r="AO464" s="34">
        <f>MAX(F464,G464,750)*0.05*AN464</f>
        <v/>
      </c>
      <c r="AP464" s="34">
        <f>'[1]GÖP VERİLERİ'!B465</f>
        <v/>
      </c>
      <c r="AQ464" s="34">
        <f>'[1]GÖP VERİLERİ'!C465</f>
        <v/>
      </c>
      <c r="AR464" s="34">
        <f>IF(AP464&gt;AQ464*1.05,AP464-AQ464*1.05,IF(AP464&lt;AQ464*0.95,AQ464*0.95-AP464,0))</f>
        <v/>
      </c>
      <c r="AS464" s="34">
        <f>MAX(F464:G464,750)*0.05*AR464</f>
        <v/>
      </c>
      <c r="AT464">
        <f>'[1]GÖP VERİLERİ'!D465</f>
        <v/>
      </c>
      <c r="AU464" s="34">
        <f>IF(AP464&gt;AT464*1.05,AP464-AT464*1.05,IF(AP464&lt;AT464*0.95,AT464*0.95-AP464,0))</f>
        <v/>
      </c>
      <c r="AV464" s="34">
        <f>MAX(F464:G464,750)*0.05*AU464</f>
        <v/>
      </c>
      <c r="AW464" s="34">
        <f>AC464+AJ464+AQ464</f>
        <v/>
      </c>
      <c r="AX464" s="34">
        <f>AF464+AM464+AT464</f>
        <v/>
      </c>
      <c r="AY464" s="34">
        <f>AB464+AI464+AP464</f>
        <v/>
      </c>
      <c r="AZ464" s="34" t="n">
        <v>0</v>
      </c>
      <c r="BA464" s="34">
        <f>AD464+AK464+AR464</f>
        <v/>
      </c>
      <c r="BB464" s="34">
        <f>MAX(F464:G464,750)*0.05*BA464</f>
        <v/>
      </c>
      <c r="BC464" s="34">
        <f>AG464+AN464+AU464</f>
        <v/>
      </c>
      <c r="BD464" s="34">
        <f>MAX(F464:G464,750)*0.05*BC464</f>
        <v/>
      </c>
      <c r="BE464" s="34">
        <f>F464*AY464</f>
        <v/>
      </c>
      <c r="BF464" s="34">
        <f>K464-M464</f>
        <v/>
      </c>
      <c r="BG464" s="34">
        <f>P464-S464</f>
        <v/>
      </c>
      <c r="BH464" s="34">
        <f>W464-AA464</f>
        <v/>
      </c>
      <c r="BI464" s="34">
        <f>BF464+BG464+BL464-BN464</f>
        <v/>
      </c>
      <c r="BJ464" s="34">
        <f>ABS(BK464)</f>
        <v/>
      </c>
      <c r="BK464" s="34">
        <f>AY464-(J464-L464+N464-Q464)</f>
        <v/>
      </c>
      <c r="BL464" s="34">
        <f>IF(AND(BK464&gt;0,MIN($F464:$G464)&lt;150,$E464="Enerji Açığı"),-100*BK464*1.03,IF(AND(BK464&gt;0,MIN($F464:$G464)&lt;150,$E464="Enerji Fazlası"),-100*BK464*1.06,IF(AND(BK464&gt;0,MIN($F464:$G464)&gt;=150,$E464="Enerji Açığı"),BK464*MIN($F464:$G464)*0.97,IF(AND(BK464&gt;0,MIN($F464:$G464)&gt;=150,$E464="Enerji Fazlası"),BK464*MIN($F464:$G464)*0.94,IF(AND(BK464&lt;0,MAX($F464:$G464)=4500,$E464="Enerji Açığı"),4500*1.05*1.06*BK464,IF(AND(BK464&lt;0,MAX($F464:$G464)=4500,$E464="Enerji Fazlası"),4500*1.05*1.03*BK464,IF(AND(BK464&lt;0,$E464="Enerji Açığı"),MAX($F464,$G464,150)*BK464*1.06,IF(AND(BK464&lt;0,$E464="Enerji Fazlası"),MAX($F464,$G464,150)*BK464*1.03,IF(AND(BK464&lt;0,$E464="Dengede"),MAX($F464:$G464,150)*1.03*BK464,MIN($F464:$G464)*0.97*BK464)))))))))</f>
        <v/>
      </c>
      <c r="BM464" s="34">
        <f>BE464-BI464-BN464</f>
        <v/>
      </c>
      <c r="BN464" s="34">
        <f>BB464</f>
        <v/>
      </c>
      <c r="BO464" s="34">
        <f>BE464-BI464</f>
        <v/>
      </c>
      <c r="BP464" s="34">
        <f>IF(AY464=0,0,BO464/AY464)</f>
        <v/>
      </c>
      <c r="BQ464" s="34">
        <f>MAX((AY464+MAX((-J464+L464-N464+Q464),0)),(MAX((J464-L464+N464-Q464),0)))</f>
        <v/>
      </c>
      <c r="BR464" s="82">
        <f>IFERROR(ABS(BK464/BQ464),0)</f>
        <v/>
      </c>
      <c r="BS464" s="34">
        <f>IF(BR464&lt;=0.1,0,BK464/BR464*(BR464-0.1))</f>
        <v/>
      </c>
      <c r="BT464" s="34">
        <f>IF((BS464)&lt;0,MAX(F464:G464)*(BS464)*1.03,MIN(F464:G464)*(BS464)*0.97)</f>
        <v/>
      </c>
      <c r="BU464" s="34">
        <f>IF(BR464&gt;0.1,1,0)</f>
        <v/>
      </c>
      <c r="BV464" s="34">
        <f>BF464+BG464+BH464+BY464-CA464</f>
        <v/>
      </c>
      <c r="BW464" s="34">
        <f>ABS(BX464)</f>
        <v/>
      </c>
      <c r="BX464" s="34">
        <f>AY464-(J464-L464+N464-Q464+T464-X464)</f>
        <v/>
      </c>
      <c r="BY464" s="34">
        <f>IF(AND(BX464&gt;0,MIN($F464:$G464)&lt;150,$E464="Enerji Açığı"),-100*BX464*1.03,IF(AND(BX464&gt;0,MIN($F464:$G464)&lt;150,$E464="Enerji Fazlası"),-100*BX464*1.06,IF(AND(BX464&gt;0,MIN($F464:$G464)&gt;=150,$E464="Enerji Açığı"),BX464*MIN($F464:$G464)*0.97,IF(AND(BX464&gt;0,MIN($F464:$G464)&gt;=150,$E464="Enerji Fazlası"),BX464*MIN($F464:$G464)*0.94,IF(AND(BX464&lt;0,MAX($F464:$G464)=4500,$E464="Enerji Açığı"),4500*1.05*1.06*BX464,IF(AND(BX464&lt;0,MAX($F464:$G464)=4500,$E464="Enerji Fazlası"),4500*1.05*1.03*BX464,IF(AND(BX464&lt;0,$E464="Enerji Açığı"),MAX($F464,$G464,150)*BX464*1.06,IF(AND(BX464&lt;0,$E464="Enerji Fazlası"),MAX($F464,$G464,150)*BX464*1.03,IF(AND(BX464&lt;0,$E464="Dengede"),MAX($F464:$G464,150)*1.03*BX464,MIN($F464:$G464)*0.97*BX464)))))))))</f>
        <v/>
      </c>
      <c r="BZ464" s="34">
        <f>BE464-BV464-CA464</f>
        <v/>
      </c>
      <c r="CA464" s="34">
        <f>BD464</f>
        <v/>
      </c>
      <c r="CB464" s="33">
        <f>BE464-BV464</f>
        <v/>
      </c>
      <c r="CC464" s="34">
        <f>IF(AY464=0,0,CB464/AY464)</f>
        <v/>
      </c>
      <c r="CD464" s="34">
        <f>MAX((AY464+MAX((-J464+L464-N464+Q464-T464+X464),0)),(MAX((J464-L464+N464-Q464+T464-X464),0)))</f>
        <v/>
      </c>
      <c r="CE464" s="82">
        <f>IFERROR(ABS(BX464/CD464),0)</f>
        <v/>
      </c>
      <c r="CF464" s="34">
        <f>IF(CE464&lt;=0.1,0,BX464/CE464*(CE464-0.1))</f>
        <v/>
      </c>
      <c r="CG464" s="34">
        <f>IF((CF464)&lt;0,MAX(F464:G464)*(CF464)*1.03,MIN(F464:G464)*(CF464)*0.97)</f>
        <v/>
      </c>
      <c r="CH464" s="34">
        <f>IF(CE464&gt;0.1,1,0)</f>
        <v/>
      </c>
      <c r="CI464" s="34">
        <f>(F464*BX464)-BY464</f>
        <v/>
      </c>
      <c r="CJ464" s="34">
        <f>IF(AY464=0,0,CI464/AY464)</f>
        <v/>
      </c>
    </row>
    <row r="465">
      <c r="A465" s="29">
        <f>[1]FİYATLAR!A440</f>
        <v/>
      </c>
      <c r="B465" s="29">
        <f>[1]FİYATLAR!B440</f>
        <v/>
      </c>
      <c r="C465" s="35">
        <f>INT(A465)</f>
        <v/>
      </c>
      <c r="D465" s="36">
        <f>MONTH(A465)</f>
        <v/>
      </c>
      <c r="E465" s="147">
        <f>[1]FİYATLAR!G440</f>
        <v/>
      </c>
      <c r="F465" s="30">
        <f>[1]FİYATLAR!C440</f>
        <v/>
      </c>
      <c r="G465" s="30">
        <f>[1]FİYATLAR!E440</f>
        <v/>
      </c>
      <c r="H465" s="30">
        <f>[1]FİYATLAR!D440</f>
        <v/>
      </c>
      <c r="I465" s="30">
        <f>[1]FİYATLAR!F440</f>
        <v/>
      </c>
      <c r="J465" s="119" t="n">
        <v>0</v>
      </c>
      <c r="K465" s="34">
        <f>F465*J465</f>
        <v/>
      </c>
      <c r="L465" s="119" t="n"/>
      <c r="M465" s="34">
        <f>L465*F465</f>
        <v/>
      </c>
      <c r="N465" s="119" t="n"/>
      <c r="O465" s="34">
        <f>F465</f>
        <v/>
      </c>
      <c r="P465" s="34">
        <f>N465*O465</f>
        <v/>
      </c>
      <c r="Q465" s="117" t="n">
        <v>0</v>
      </c>
      <c r="R465" s="34">
        <f>F465</f>
        <v/>
      </c>
      <c r="S465" s="34">
        <f>R465*Q465</f>
        <v/>
      </c>
      <c r="T465" s="34">
        <f>SUMIFS('[1]GİP VERİLERİ'!$C:$C,'[1]GİP VERİLERİ'!$B:$B,A465,'[1]GİP VERİLERİ'!$M:$M,"40X000000104782K",'[1]GİP VERİLERİ'!$G:$G,"SELL")</f>
        <v/>
      </c>
      <c r="U465" s="34">
        <f>IFERROR(W465/T465,0)</f>
        <v/>
      </c>
      <c r="V465" s="34">
        <f>IF(U465=0,0,U465-F465)</f>
        <v/>
      </c>
      <c r="W465" s="34">
        <f>SUMIFS('[1]GİP VERİLERİ'!$O:$O,'[1]GİP VERİLERİ'!$B:$B,A465,'[1]GİP VERİLERİ'!$M:$M,"40X000000104782K",'[1]GİP VERİLERİ'!$G:$G,"SELL")</f>
        <v/>
      </c>
      <c r="X465" s="34">
        <f>SUMIFS('[1]GİP VERİLERİ'!$C:$C,'[1]GİP VERİLERİ'!$B:$B,A465,'[1]GİP VERİLERİ'!$M:$M,"40X000000104782K",'[1]GİP VERİLERİ'!$G:$G,"BUY")</f>
        <v/>
      </c>
      <c r="Y465" s="34">
        <f>IFERROR(AA465/X465,0)</f>
        <v/>
      </c>
      <c r="Z465" s="34">
        <f>IF(Y465=0,0,F465-Y465)</f>
        <v/>
      </c>
      <c r="AA465" s="34">
        <f>SUMIFS('[1]GİP VERİLERİ'!$O:$O,'[1]GİP VERİLERİ'!$B:$B,A465,'[1]GİP VERİLERİ'!$M:$M,"40X000000104782K",'[1]GİP VERİLERİ'!$G:$G,"BUY")</f>
        <v/>
      </c>
      <c r="AB465" s="34">
        <f>'[1]GÖP VERİLERİ'!H466</f>
        <v/>
      </c>
      <c r="AC465" s="34">
        <f>'[1]GÖP VERİLERİ'!I466</f>
        <v/>
      </c>
      <c r="AD465" s="34">
        <f>IF(AB465&gt;AC465*1.05,AB465-AC465*1.05,IF(AB465&lt;AC465*0.95,AC465*0.95-AB465,0))</f>
        <v/>
      </c>
      <c r="AE465" s="34">
        <f>MAX(F465,G465,750)*0.05*AD465</f>
        <v/>
      </c>
      <c r="AF465" s="34">
        <f>'[1]GÖP VERİLERİ'!J466</f>
        <v/>
      </c>
      <c r="AG465" s="34">
        <f>IF(AB465&gt;AF465*1.05,AB465-AF465*1.05,IF(AB465&lt;AF465*0.95,AF465*0.95-AB465,0))</f>
        <v/>
      </c>
      <c r="AH465" s="34">
        <f>MAX(I465,J465,750)*0.05*AG465</f>
        <v/>
      </c>
      <c r="AI465">
        <f>'[1]GÖP VERİLERİ'!E466</f>
        <v/>
      </c>
      <c r="AJ465">
        <f>'[1]GÖP VERİLERİ'!F466</f>
        <v/>
      </c>
      <c r="AK465" s="34">
        <f>IF(AI465&gt;AJ465*1.05,AI465-AJ465*1.05,IF(AI465&lt;AJ465*0.95,AJ465*0.95-AI465,0))</f>
        <v/>
      </c>
      <c r="AL465" s="34">
        <f>MAX(F465,G465,750)*0.05*AK465</f>
        <v/>
      </c>
      <c r="AM465" s="39">
        <f>'[1]GÖP VERİLERİ'!G466</f>
        <v/>
      </c>
      <c r="AN465" s="34">
        <f>IF(AI465&gt;AM465*1.05,AI465-AM465*1.05,IF(AI465&lt;AM465*0.95,AM465*0.95-AI465,0))</f>
        <v/>
      </c>
      <c r="AO465" s="34">
        <f>MAX(F465,G465,750)*0.05*AN465</f>
        <v/>
      </c>
      <c r="AP465" s="34">
        <f>'[1]GÖP VERİLERİ'!B466</f>
        <v/>
      </c>
      <c r="AQ465" s="34">
        <f>'[1]GÖP VERİLERİ'!C466</f>
        <v/>
      </c>
      <c r="AR465" s="34">
        <f>IF(AP465&gt;AQ465*1.05,AP465-AQ465*1.05,IF(AP465&lt;AQ465*0.95,AQ465*0.95-AP465,0))</f>
        <v/>
      </c>
      <c r="AS465" s="34">
        <f>MAX(F465:G465,750)*0.05*AR465</f>
        <v/>
      </c>
      <c r="AT465">
        <f>'[1]GÖP VERİLERİ'!D466</f>
        <v/>
      </c>
      <c r="AU465" s="34">
        <f>IF(AP465&gt;AT465*1.05,AP465-AT465*1.05,IF(AP465&lt;AT465*0.95,AT465*0.95-AP465,0))</f>
        <v/>
      </c>
      <c r="AV465" s="34">
        <f>MAX(F465:G465,750)*0.05*AU465</f>
        <v/>
      </c>
      <c r="AW465" s="34">
        <f>AC465+AJ465+AQ465</f>
        <v/>
      </c>
      <c r="AX465" s="34">
        <f>AF465+AM465+AT465</f>
        <v/>
      </c>
      <c r="AY465" s="34">
        <f>AB465+AI465+AP465</f>
        <v/>
      </c>
      <c r="AZ465" s="34" t="n">
        <v>0</v>
      </c>
      <c r="BA465" s="34">
        <f>AD465+AK465+AR465</f>
        <v/>
      </c>
      <c r="BB465" s="34">
        <f>MAX(F465:G465,750)*0.05*BA465</f>
        <v/>
      </c>
      <c r="BC465" s="34">
        <f>AG465+AN465+AU465</f>
        <v/>
      </c>
      <c r="BD465" s="34">
        <f>MAX(F465:G465,750)*0.05*BC465</f>
        <v/>
      </c>
      <c r="BE465" s="34">
        <f>F465*AY465</f>
        <v/>
      </c>
      <c r="BF465" s="34">
        <f>K465-M465</f>
        <v/>
      </c>
      <c r="BG465" s="34">
        <f>P465-S465</f>
        <v/>
      </c>
      <c r="BH465" s="34">
        <f>W465-AA465</f>
        <v/>
      </c>
      <c r="BI465" s="34">
        <f>BF465+BG465+BL465-BN465</f>
        <v/>
      </c>
      <c r="BJ465" s="34">
        <f>ABS(BK465)</f>
        <v/>
      </c>
      <c r="BK465" s="34">
        <f>AY465-(J465-L465+N465-Q465)</f>
        <v/>
      </c>
      <c r="BL465" s="34">
        <f>IF(AND(BK465&gt;0,MIN($F465:$G465)&lt;150,$E465="Enerji Açığı"),-100*BK465*1.03,IF(AND(BK465&gt;0,MIN($F465:$G465)&lt;150,$E465="Enerji Fazlası"),-100*BK465*1.06,IF(AND(BK465&gt;0,MIN($F465:$G465)&gt;=150,$E465="Enerji Açığı"),BK465*MIN($F465:$G465)*0.97,IF(AND(BK465&gt;0,MIN($F465:$G465)&gt;=150,$E465="Enerji Fazlası"),BK465*MIN($F465:$G465)*0.94,IF(AND(BK465&lt;0,MAX($F465:$G465)=4500,$E465="Enerji Açığı"),4500*1.05*1.06*BK465,IF(AND(BK465&lt;0,MAX($F465:$G465)=4500,$E465="Enerji Fazlası"),4500*1.05*1.03*BK465,IF(AND(BK465&lt;0,$E465="Enerji Açığı"),MAX($F465,$G465,150)*BK465*1.06,IF(AND(BK465&lt;0,$E465="Enerji Fazlası"),MAX($F465,$G465,150)*BK465*1.03,IF(AND(BK465&lt;0,$E465="Dengede"),MAX($F465:$G465,150)*1.03*BK465,MIN($F465:$G465)*0.97*BK465)))))))))</f>
        <v/>
      </c>
      <c r="BM465" s="34">
        <f>BE465-BI465-BN465</f>
        <v/>
      </c>
      <c r="BN465" s="34">
        <f>BB465</f>
        <v/>
      </c>
      <c r="BO465" s="34">
        <f>BE465-BI465</f>
        <v/>
      </c>
      <c r="BP465" s="34">
        <f>IF(AY465=0,0,BO465/AY465)</f>
        <v/>
      </c>
      <c r="BQ465" s="34">
        <f>MAX((AY465+MAX((-J465+L465-N465+Q465),0)),(MAX((J465-L465+N465-Q465),0)))</f>
        <v/>
      </c>
      <c r="BR465" s="82">
        <f>IFERROR(ABS(BK465/BQ465),0)</f>
        <v/>
      </c>
      <c r="BS465" s="34">
        <f>IF(BR465&lt;=0.1,0,BK465/BR465*(BR465-0.1))</f>
        <v/>
      </c>
      <c r="BT465" s="34">
        <f>IF((BS465)&lt;0,MAX(F465:G465)*(BS465)*1.03,MIN(F465:G465)*(BS465)*0.97)</f>
        <v/>
      </c>
      <c r="BU465" s="34">
        <f>IF(BR465&gt;0.1,1,0)</f>
        <v/>
      </c>
      <c r="BV465" s="34">
        <f>BF465+BG465+BH465+BY465-CA465</f>
        <v/>
      </c>
      <c r="BW465" s="34">
        <f>ABS(BX465)</f>
        <v/>
      </c>
      <c r="BX465" s="34">
        <f>AY465-(J465-L465+N465-Q465+T465-X465)</f>
        <v/>
      </c>
      <c r="BY465" s="34">
        <f>IF(AND(BX465&gt;0,MIN($F465:$G465)&lt;150,$E465="Enerji Açığı"),-100*BX465*1.03,IF(AND(BX465&gt;0,MIN($F465:$G465)&lt;150,$E465="Enerji Fazlası"),-100*BX465*1.06,IF(AND(BX465&gt;0,MIN($F465:$G465)&gt;=150,$E465="Enerji Açığı"),BX465*MIN($F465:$G465)*0.97,IF(AND(BX465&gt;0,MIN($F465:$G465)&gt;=150,$E465="Enerji Fazlası"),BX465*MIN($F465:$G465)*0.94,IF(AND(BX465&lt;0,MAX($F465:$G465)=4500,$E465="Enerji Açığı"),4500*1.05*1.06*BX465,IF(AND(BX465&lt;0,MAX($F465:$G465)=4500,$E465="Enerji Fazlası"),4500*1.05*1.03*BX465,IF(AND(BX465&lt;0,$E465="Enerji Açığı"),MAX($F465,$G465,150)*BX465*1.06,IF(AND(BX465&lt;0,$E465="Enerji Fazlası"),MAX($F465,$G465,150)*BX465*1.03,IF(AND(BX465&lt;0,$E465="Dengede"),MAX($F465:$G465,150)*1.03*BX465,MIN($F465:$G465)*0.97*BX465)))))))))</f>
        <v/>
      </c>
      <c r="BZ465" s="34">
        <f>BE465-BV465-CA465</f>
        <v/>
      </c>
      <c r="CA465" s="34">
        <f>BD465</f>
        <v/>
      </c>
      <c r="CB465" s="33">
        <f>BE465-BV465</f>
        <v/>
      </c>
      <c r="CC465" s="34">
        <f>IF(AY465=0,0,CB465/AY465)</f>
        <v/>
      </c>
      <c r="CD465" s="34">
        <f>MAX((AY465+MAX((-J465+L465-N465+Q465-T465+X465),0)),(MAX((J465-L465+N465-Q465+T465-X465),0)))</f>
        <v/>
      </c>
      <c r="CE465" s="82">
        <f>IFERROR(ABS(BX465/CD465),0)</f>
        <v/>
      </c>
      <c r="CF465" s="34">
        <f>IF(CE465&lt;=0.1,0,BX465/CE465*(CE465-0.1))</f>
        <v/>
      </c>
      <c r="CG465" s="34">
        <f>IF((CF465)&lt;0,MAX(F465:G465)*(CF465)*1.03,MIN(F465:G465)*(CF465)*0.97)</f>
        <v/>
      </c>
      <c r="CH465" s="34">
        <f>IF(CE465&gt;0.1,1,0)</f>
        <v/>
      </c>
      <c r="CI465" s="34">
        <f>(F465*BX465)-BY465</f>
        <v/>
      </c>
      <c r="CJ465" s="34">
        <f>IF(AY465=0,0,CI465/AY465)</f>
        <v/>
      </c>
    </row>
    <row r="466">
      <c r="A466" s="29">
        <f>[1]FİYATLAR!A441</f>
        <v/>
      </c>
      <c r="B466" s="29">
        <f>[1]FİYATLAR!B441</f>
        <v/>
      </c>
      <c r="C466" s="35">
        <f>INT(A466)</f>
        <v/>
      </c>
      <c r="D466" s="36">
        <f>MONTH(A466)</f>
        <v/>
      </c>
      <c r="E466" s="147">
        <f>[1]FİYATLAR!G441</f>
        <v/>
      </c>
      <c r="F466" s="30">
        <f>[1]FİYATLAR!C441</f>
        <v/>
      </c>
      <c r="G466" s="30">
        <f>[1]FİYATLAR!E441</f>
        <v/>
      </c>
      <c r="H466" s="30">
        <f>[1]FİYATLAR!D441</f>
        <v/>
      </c>
      <c r="I466" s="30">
        <f>[1]FİYATLAR!F441</f>
        <v/>
      </c>
      <c r="J466" s="119" t="n">
        <v>0</v>
      </c>
      <c r="K466" s="34">
        <f>F466*J466</f>
        <v/>
      </c>
      <c r="L466" s="119" t="n"/>
      <c r="M466" s="34">
        <f>L466*F466</f>
        <v/>
      </c>
      <c r="N466" s="119" t="n"/>
      <c r="O466" s="34">
        <f>F466</f>
        <v/>
      </c>
      <c r="P466" s="34">
        <f>N466*O466</f>
        <v/>
      </c>
      <c r="Q466" s="117" t="n">
        <v>0</v>
      </c>
      <c r="R466" s="34">
        <f>F466</f>
        <v/>
      </c>
      <c r="S466" s="34">
        <f>R466*Q466</f>
        <v/>
      </c>
      <c r="T466" s="34">
        <f>SUMIFS('[1]GİP VERİLERİ'!$C:$C,'[1]GİP VERİLERİ'!$B:$B,A466,'[1]GİP VERİLERİ'!$M:$M,"40X000000104782K",'[1]GİP VERİLERİ'!$G:$G,"SELL")</f>
        <v/>
      </c>
      <c r="U466" s="34">
        <f>IFERROR(W466/T466,0)</f>
        <v/>
      </c>
      <c r="V466" s="34">
        <f>IF(U466=0,0,U466-F466)</f>
        <v/>
      </c>
      <c r="W466" s="34">
        <f>SUMIFS('[1]GİP VERİLERİ'!$O:$O,'[1]GİP VERİLERİ'!$B:$B,A466,'[1]GİP VERİLERİ'!$M:$M,"40X000000104782K",'[1]GİP VERİLERİ'!$G:$G,"SELL")</f>
        <v/>
      </c>
      <c r="X466" s="34">
        <f>SUMIFS('[1]GİP VERİLERİ'!$C:$C,'[1]GİP VERİLERİ'!$B:$B,A466,'[1]GİP VERİLERİ'!$M:$M,"40X000000104782K",'[1]GİP VERİLERİ'!$G:$G,"BUY")</f>
        <v/>
      </c>
      <c r="Y466" s="34">
        <f>IFERROR(AA466/X466,0)</f>
        <v/>
      </c>
      <c r="Z466" s="34">
        <f>IF(Y466=0,0,F466-Y466)</f>
        <v/>
      </c>
      <c r="AA466" s="34">
        <f>SUMIFS('[1]GİP VERİLERİ'!$O:$O,'[1]GİP VERİLERİ'!$B:$B,A466,'[1]GİP VERİLERİ'!$M:$M,"40X000000104782K",'[1]GİP VERİLERİ'!$G:$G,"BUY")</f>
        <v/>
      </c>
      <c r="AB466" s="34">
        <f>'[1]GÖP VERİLERİ'!H467</f>
        <v/>
      </c>
      <c r="AC466" s="34">
        <f>'[1]GÖP VERİLERİ'!I467</f>
        <v/>
      </c>
      <c r="AD466" s="34">
        <f>IF(AB466&gt;AC466*1.05,AB466-AC466*1.05,IF(AB466&lt;AC466*0.95,AC466*0.95-AB466,0))</f>
        <v/>
      </c>
      <c r="AE466" s="34">
        <f>MAX(F466,G466,750)*0.05*AD466</f>
        <v/>
      </c>
      <c r="AF466" s="34">
        <f>'[1]GÖP VERİLERİ'!J467</f>
        <v/>
      </c>
      <c r="AG466" s="34">
        <f>IF(AB466&gt;AF466*1.05,AB466-AF466*1.05,IF(AB466&lt;AF466*0.95,AF466*0.95-AB466,0))</f>
        <v/>
      </c>
      <c r="AH466" s="34">
        <f>MAX(I466,J466,750)*0.05*AG466</f>
        <v/>
      </c>
      <c r="AI466">
        <f>'[1]GÖP VERİLERİ'!E467</f>
        <v/>
      </c>
      <c r="AJ466">
        <f>'[1]GÖP VERİLERİ'!F467</f>
        <v/>
      </c>
      <c r="AK466" s="34">
        <f>IF(AI466&gt;AJ466*1.05,AI466-AJ466*1.05,IF(AI466&lt;AJ466*0.95,AJ466*0.95-AI466,0))</f>
        <v/>
      </c>
      <c r="AL466" s="34">
        <f>MAX(F466,G466,750)*0.05*AK466</f>
        <v/>
      </c>
      <c r="AM466" s="39">
        <f>'[1]GÖP VERİLERİ'!G467</f>
        <v/>
      </c>
      <c r="AN466" s="34">
        <f>IF(AI466&gt;AM466*1.05,AI466-AM466*1.05,IF(AI466&lt;AM466*0.95,AM466*0.95-AI466,0))</f>
        <v/>
      </c>
      <c r="AO466" s="34">
        <f>MAX(F466,G466,750)*0.05*AN466</f>
        <v/>
      </c>
      <c r="AP466" s="34">
        <f>'[1]GÖP VERİLERİ'!B467</f>
        <v/>
      </c>
      <c r="AQ466" s="34">
        <f>'[1]GÖP VERİLERİ'!C467</f>
        <v/>
      </c>
      <c r="AR466" s="34">
        <f>IF(AP466&gt;AQ466*1.05,AP466-AQ466*1.05,IF(AP466&lt;AQ466*0.95,AQ466*0.95-AP466,0))</f>
        <v/>
      </c>
      <c r="AS466" s="34">
        <f>MAX(F466:G466,750)*0.05*AR466</f>
        <v/>
      </c>
      <c r="AT466">
        <f>'[1]GÖP VERİLERİ'!D467</f>
        <v/>
      </c>
      <c r="AU466" s="34">
        <f>IF(AP466&gt;AT466*1.05,AP466-AT466*1.05,IF(AP466&lt;AT466*0.95,AT466*0.95-AP466,0))</f>
        <v/>
      </c>
      <c r="AV466" s="34">
        <f>MAX(F466:G466,750)*0.05*AU466</f>
        <v/>
      </c>
      <c r="AW466" s="34">
        <f>AC466+AJ466+AQ466</f>
        <v/>
      </c>
      <c r="AX466" s="34">
        <f>AF466+AM466+AT466</f>
        <v/>
      </c>
      <c r="AY466" s="34">
        <f>AB466+AI466+AP466</f>
        <v/>
      </c>
      <c r="AZ466" s="34" t="n">
        <v>0</v>
      </c>
      <c r="BA466" s="34">
        <f>AD466+AK466+AR466</f>
        <v/>
      </c>
      <c r="BB466" s="34">
        <f>MAX(F466:G466,750)*0.05*BA466</f>
        <v/>
      </c>
      <c r="BC466" s="34">
        <f>AG466+AN466+AU466</f>
        <v/>
      </c>
      <c r="BD466" s="34">
        <f>MAX(F466:G466,750)*0.05*BC466</f>
        <v/>
      </c>
      <c r="BE466" s="34">
        <f>F466*AY466</f>
        <v/>
      </c>
      <c r="BF466" s="34">
        <f>K466-M466</f>
        <v/>
      </c>
      <c r="BG466" s="34">
        <f>P466-S466</f>
        <v/>
      </c>
      <c r="BH466" s="34">
        <f>W466-AA466</f>
        <v/>
      </c>
      <c r="BI466" s="34">
        <f>BF466+BG466+BL466-BN466</f>
        <v/>
      </c>
      <c r="BJ466" s="34">
        <f>ABS(BK466)</f>
        <v/>
      </c>
      <c r="BK466" s="34">
        <f>AY466-(J466-L466+N466-Q466)</f>
        <v/>
      </c>
      <c r="BL466" s="34">
        <f>IF(AND(BK466&gt;0,MIN($F466:$G466)&lt;150,$E466="Enerji Açığı"),-100*BK466*1.03,IF(AND(BK466&gt;0,MIN($F466:$G466)&lt;150,$E466="Enerji Fazlası"),-100*BK466*1.06,IF(AND(BK466&gt;0,MIN($F466:$G466)&gt;=150,$E466="Enerji Açığı"),BK466*MIN($F466:$G466)*0.97,IF(AND(BK466&gt;0,MIN($F466:$G466)&gt;=150,$E466="Enerji Fazlası"),BK466*MIN($F466:$G466)*0.94,IF(AND(BK466&lt;0,MAX($F466:$G466)=4500,$E466="Enerji Açığı"),4500*1.05*1.06*BK466,IF(AND(BK466&lt;0,MAX($F466:$G466)=4500,$E466="Enerji Fazlası"),4500*1.05*1.03*BK466,IF(AND(BK466&lt;0,$E466="Enerji Açığı"),MAX($F466,$G466,150)*BK466*1.06,IF(AND(BK466&lt;0,$E466="Enerji Fazlası"),MAX($F466,$G466,150)*BK466*1.03,IF(AND(BK466&lt;0,$E466="Dengede"),MAX($F466:$G466,150)*1.03*BK466,MIN($F466:$G466)*0.97*BK466)))))))))</f>
        <v/>
      </c>
      <c r="BM466" s="34">
        <f>BE466-BI466-BN466</f>
        <v/>
      </c>
      <c r="BN466" s="34">
        <f>BB466</f>
        <v/>
      </c>
      <c r="BO466" s="34">
        <f>BE466-BI466</f>
        <v/>
      </c>
      <c r="BP466" s="34">
        <f>IF(AY466=0,0,BO466/AY466)</f>
        <v/>
      </c>
      <c r="BQ466" s="34">
        <f>MAX((AY466+MAX((-J466+L466-N466+Q466),0)),(MAX((J466-L466+N466-Q466),0)))</f>
        <v/>
      </c>
      <c r="BR466" s="82">
        <f>IFERROR(ABS(BK466/BQ466),0)</f>
        <v/>
      </c>
      <c r="BS466" s="34">
        <f>IF(BR466&lt;=0.1,0,BK466/BR466*(BR466-0.1))</f>
        <v/>
      </c>
      <c r="BT466" s="34">
        <f>IF((BS466)&lt;0,MAX(F466:G466)*(BS466)*1.03,MIN(F466:G466)*(BS466)*0.97)</f>
        <v/>
      </c>
      <c r="BU466" s="34">
        <f>IF(BR466&gt;0.1,1,0)</f>
        <v/>
      </c>
      <c r="BV466" s="34">
        <f>BF466+BG466+BH466+BY466-CA466</f>
        <v/>
      </c>
      <c r="BW466" s="34">
        <f>ABS(BX466)</f>
        <v/>
      </c>
      <c r="BX466" s="34">
        <f>AY466-(J466-L466+N466-Q466+T466-X466)</f>
        <v/>
      </c>
      <c r="BY466" s="34">
        <f>IF(AND(BX466&gt;0,MIN($F466:$G466)&lt;150,$E466="Enerji Açığı"),-100*BX466*1.03,IF(AND(BX466&gt;0,MIN($F466:$G466)&lt;150,$E466="Enerji Fazlası"),-100*BX466*1.06,IF(AND(BX466&gt;0,MIN($F466:$G466)&gt;=150,$E466="Enerji Açığı"),BX466*MIN($F466:$G466)*0.97,IF(AND(BX466&gt;0,MIN($F466:$G466)&gt;=150,$E466="Enerji Fazlası"),BX466*MIN($F466:$G466)*0.94,IF(AND(BX466&lt;0,MAX($F466:$G466)=4500,$E466="Enerji Açığı"),4500*1.05*1.06*BX466,IF(AND(BX466&lt;0,MAX($F466:$G466)=4500,$E466="Enerji Fazlası"),4500*1.05*1.03*BX466,IF(AND(BX466&lt;0,$E466="Enerji Açığı"),MAX($F466,$G466,150)*BX466*1.06,IF(AND(BX466&lt;0,$E466="Enerji Fazlası"),MAX($F466,$G466,150)*BX466*1.03,IF(AND(BX466&lt;0,$E466="Dengede"),MAX($F466:$G466,150)*1.03*BX466,MIN($F466:$G466)*0.97*BX466)))))))))</f>
        <v/>
      </c>
      <c r="BZ466" s="34">
        <f>BE466-BV466-CA466</f>
        <v/>
      </c>
      <c r="CA466" s="34">
        <f>BD466</f>
        <v/>
      </c>
      <c r="CB466" s="33">
        <f>BE466-BV466</f>
        <v/>
      </c>
      <c r="CC466" s="34">
        <f>IF(AY466=0,0,CB466/AY466)</f>
        <v/>
      </c>
      <c r="CD466" s="34">
        <f>MAX((AY466+MAX((-J466+L466-N466+Q466-T466+X466),0)),(MAX((J466-L466+N466-Q466+T466-X466),0)))</f>
        <v/>
      </c>
      <c r="CE466" s="82">
        <f>IFERROR(ABS(BX466/CD466),0)</f>
        <v/>
      </c>
      <c r="CF466" s="34">
        <f>IF(CE466&lt;=0.1,0,BX466/CE466*(CE466-0.1))</f>
        <v/>
      </c>
      <c r="CG466" s="34">
        <f>IF((CF466)&lt;0,MAX(F466:G466)*(CF466)*1.03,MIN(F466:G466)*(CF466)*0.97)</f>
        <v/>
      </c>
      <c r="CH466" s="34">
        <f>IF(CE466&gt;0.1,1,0)</f>
        <v/>
      </c>
      <c r="CI466" s="34">
        <f>(F466*BX466)-BY466</f>
        <v/>
      </c>
      <c r="CJ466" s="34">
        <f>IF(AY466=0,0,CI466/AY466)</f>
        <v/>
      </c>
    </row>
    <row r="467">
      <c r="A467" s="29">
        <f>[1]FİYATLAR!A442</f>
        <v/>
      </c>
      <c r="B467" s="29">
        <f>[1]FİYATLAR!B442</f>
        <v/>
      </c>
      <c r="C467" s="35">
        <f>INT(A467)</f>
        <v/>
      </c>
      <c r="D467" s="36">
        <f>MONTH(A467)</f>
        <v/>
      </c>
      <c r="E467" s="147">
        <f>[1]FİYATLAR!G442</f>
        <v/>
      </c>
      <c r="F467" s="30">
        <f>[1]FİYATLAR!C442</f>
        <v/>
      </c>
      <c r="G467" s="30">
        <f>[1]FİYATLAR!E442</f>
        <v/>
      </c>
      <c r="H467" s="30">
        <f>[1]FİYATLAR!D442</f>
        <v/>
      </c>
      <c r="I467" s="30">
        <f>[1]FİYATLAR!F442</f>
        <v/>
      </c>
      <c r="J467" s="119" t="n">
        <v>0</v>
      </c>
      <c r="K467" s="34">
        <f>F467*J467</f>
        <v/>
      </c>
      <c r="L467" s="119" t="n"/>
      <c r="M467" s="34">
        <f>L467*F467</f>
        <v/>
      </c>
      <c r="N467" s="119" t="n"/>
      <c r="O467" s="34">
        <f>F467</f>
        <v/>
      </c>
      <c r="P467" s="34">
        <f>N467*O467</f>
        <v/>
      </c>
      <c r="Q467" s="117" t="n">
        <v>0</v>
      </c>
      <c r="R467" s="34">
        <f>F467</f>
        <v/>
      </c>
      <c r="S467" s="34">
        <f>R467*Q467</f>
        <v/>
      </c>
      <c r="T467" s="34">
        <f>SUMIFS('[1]GİP VERİLERİ'!$C:$C,'[1]GİP VERİLERİ'!$B:$B,A467,'[1]GİP VERİLERİ'!$M:$M,"40X000000104782K",'[1]GİP VERİLERİ'!$G:$G,"SELL")</f>
        <v/>
      </c>
      <c r="U467" s="34">
        <f>IFERROR(W467/T467,0)</f>
        <v/>
      </c>
      <c r="V467" s="34">
        <f>IF(U467=0,0,U467-F467)</f>
        <v/>
      </c>
      <c r="W467" s="34">
        <f>SUMIFS('[1]GİP VERİLERİ'!$O:$O,'[1]GİP VERİLERİ'!$B:$B,A467,'[1]GİP VERİLERİ'!$M:$M,"40X000000104782K",'[1]GİP VERİLERİ'!$G:$G,"SELL")</f>
        <v/>
      </c>
      <c r="X467" s="34">
        <f>SUMIFS('[1]GİP VERİLERİ'!$C:$C,'[1]GİP VERİLERİ'!$B:$B,A467,'[1]GİP VERİLERİ'!$M:$M,"40X000000104782K",'[1]GİP VERİLERİ'!$G:$G,"BUY")</f>
        <v/>
      </c>
      <c r="Y467" s="34">
        <f>IFERROR(AA467/X467,0)</f>
        <v/>
      </c>
      <c r="Z467" s="34">
        <f>IF(Y467=0,0,F467-Y467)</f>
        <v/>
      </c>
      <c r="AA467" s="34">
        <f>SUMIFS('[1]GİP VERİLERİ'!$O:$O,'[1]GİP VERİLERİ'!$B:$B,A467,'[1]GİP VERİLERİ'!$M:$M,"40X000000104782K",'[1]GİP VERİLERİ'!$G:$G,"BUY")</f>
        <v/>
      </c>
      <c r="AB467" s="34">
        <f>'[1]GÖP VERİLERİ'!H468</f>
        <v/>
      </c>
      <c r="AC467" s="34">
        <f>'[1]GÖP VERİLERİ'!I468</f>
        <v/>
      </c>
      <c r="AD467" s="34">
        <f>IF(AB467&gt;AC467*1.05,AB467-AC467*1.05,IF(AB467&lt;AC467*0.95,AC467*0.95-AB467,0))</f>
        <v/>
      </c>
      <c r="AE467" s="34">
        <f>MAX(F467,G467,750)*0.05*AD467</f>
        <v/>
      </c>
      <c r="AF467" s="34">
        <f>'[1]GÖP VERİLERİ'!J468</f>
        <v/>
      </c>
      <c r="AG467" s="34">
        <f>IF(AB467&gt;AF467*1.05,AB467-AF467*1.05,IF(AB467&lt;AF467*0.95,AF467*0.95-AB467,0))</f>
        <v/>
      </c>
      <c r="AH467" s="34">
        <f>MAX(I467,J467,750)*0.05*AG467</f>
        <v/>
      </c>
      <c r="AI467">
        <f>'[1]GÖP VERİLERİ'!E468</f>
        <v/>
      </c>
      <c r="AJ467">
        <f>'[1]GÖP VERİLERİ'!F468</f>
        <v/>
      </c>
      <c r="AK467" s="34">
        <f>IF(AI467&gt;AJ467*1.05,AI467-AJ467*1.05,IF(AI467&lt;AJ467*0.95,AJ467*0.95-AI467,0))</f>
        <v/>
      </c>
      <c r="AL467" s="34">
        <f>MAX(F467,G467,750)*0.05*AK467</f>
        <v/>
      </c>
      <c r="AM467" s="39">
        <f>'[1]GÖP VERİLERİ'!G468</f>
        <v/>
      </c>
      <c r="AN467" s="34">
        <f>IF(AI467&gt;AM467*1.05,AI467-AM467*1.05,IF(AI467&lt;AM467*0.95,AM467*0.95-AI467,0))</f>
        <v/>
      </c>
      <c r="AO467" s="34">
        <f>MAX(F467,G467,750)*0.05*AN467</f>
        <v/>
      </c>
      <c r="AP467" s="34">
        <f>'[1]GÖP VERİLERİ'!B468</f>
        <v/>
      </c>
      <c r="AQ467" s="34">
        <f>'[1]GÖP VERİLERİ'!C468</f>
        <v/>
      </c>
      <c r="AR467" s="34">
        <f>IF(AP467&gt;AQ467*1.05,AP467-AQ467*1.05,IF(AP467&lt;AQ467*0.95,AQ467*0.95-AP467,0))</f>
        <v/>
      </c>
      <c r="AS467" s="34">
        <f>MAX(F467:G467,750)*0.05*AR467</f>
        <v/>
      </c>
      <c r="AT467">
        <f>'[1]GÖP VERİLERİ'!D468</f>
        <v/>
      </c>
      <c r="AU467" s="34">
        <f>IF(AP467&gt;AT467*1.05,AP467-AT467*1.05,IF(AP467&lt;AT467*0.95,AT467*0.95-AP467,0))</f>
        <v/>
      </c>
      <c r="AV467" s="34">
        <f>MAX(F467:G467,750)*0.05*AU467</f>
        <v/>
      </c>
      <c r="AW467" s="34">
        <f>AC467+AJ467+AQ467</f>
        <v/>
      </c>
      <c r="AX467" s="34">
        <f>AF467+AM467+AT467</f>
        <v/>
      </c>
      <c r="AY467" s="34">
        <f>AB467+AI467+AP467</f>
        <v/>
      </c>
      <c r="AZ467" s="34" t="n">
        <v>0</v>
      </c>
      <c r="BA467" s="34">
        <f>AD467+AK467+AR467</f>
        <v/>
      </c>
      <c r="BB467" s="34">
        <f>MAX(F467:G467,750)*0.05*BA467</f>
        <v/>
      </c>
      <c r="BC467" s="34">
        <f>AG467+AN467+AU467</f>
        <v/>
      </c>
      <c r="BD467" s="34">
        <f>MAX(F467:G467,750)*0.05*BC467</f>
        <v/>
      </c>
      <c r="BE467" s="34">
        <f>F467*AY467</f>
        <v/>
      </c>
      <c r="BF467" s="34">
        <f>K467-M467</f>
        <v/>
      </c>
      <c r="BG467" s="34">
        <f>P467-S467</f>
        <v/>
      </c>
      <c r="BH467" s="34">
        <f>W467-AA467</f>
        <v/>
      </c>
      <c r="BI467" s="34">
        <f>BF467+BG467+BL467-BN467</f>
        <v/>
      </c>
      <c r="BJ467" s="34">
        <f>ABS(BK467)</f>
        <v/>
      </c>
      <c r="BK467" s="34">
        <f>AY467-(J467-L467+N467-Q467)</f>
        <v/>
      </c>
      <c r="BL467" s="34">
        <f>IF(AND(BK467&gt;0,MIN($F467:$G467)&lt;150,$E467="Enerji Açığı"),-100*BK467*1.03,IF(AND(BK467&gt;0,MIN($F467:$G467)&lt;150,$E467="Enerji Fazlası"),-100*BK467*1.06,IF(AND(BK467&gt;0,MIN($F467:$G467)&gt;=150,$E467="Enerji Açığı"),BK467*MIN($F467:$G467)*0.97,IF(AND(BK467&gt;0,MIN($F467:$G467)&gt;=150,$E467="Enerji Fazlası"),BK467*MIN($F467:$G467)*0.94,IF(AND(BK467&lt;0,MAX($F467:$G467)=4500,$E467="Enerji Açığı"),4500*1.05*1.06*BK467,IF(AND(BK467&lt;0,MAX($F467:$G467)=4500,$E467="Enerji Fazlası"),4500*1.05*1.03*BK467,IF(AND(BK467&lt;0,$E467="Enerji Açığı"),MAX($F467,$G467,150)*BK467*1.06,IF(AND(BK467&lt;0,$E467="Enerji Fazlası"),MAX($F467,$G467,150)*BK467*1.03,IF(AND(BK467&lt;0,$E467="Dengede"),MAX($F467:$G467,150)*1.03*BK467,MIN($F467:$G467)*0.97*BK467)))))))))</f>
        <v/>
      </c>
      <c r="BM467" s="34">
        <f>BE467-BI467-BN467</f>
        <v/>
      </c>
      <c r="BN467" s="34">
        <f>BB467</f>
        <v/>
      </c>
      <c r="BO467" s="34">
        <f>BE467-BI467</f>
        <v/>
      </c>
      <c r="BP467" s="34">
        <f>IF(AY467=0,0,BO467/AY467)</f>
        <v/>
      </c>
      <c r="BQ467" s="34">
        <f>MAX((AY467+MAX((-J467+L467-N467+Q467),0)),(MAX((J467-L467+N467-Q467),0)))</f>
        <v/>
      </c>
      <c r="BR467" s="82">
        <f>IFERROR(ABS(BK467/BQ467),0)</f>
        <v/>
      </c>
      <c r="BS467" s="34">
        <f>IF(BR467&lt;=0.1,0,BK467/BR467*(BR467-0.1))</f>
        <v/>
      </c>
      <c r="BT467" s="34">
        <f>IF((BS467)&lt;0,MAX(F467:G467)*(BS467)*1.03,MIN(F467:G467)*(BS467)*0.97)</f>
        <v/>
      </c>
      <c r="BU467" s="34">
        <f>IF(BR467&gt;0.1,1,0)</f>
        <v/>
      </c>
      <c r="BV467" s="34">
        <f>BF467+BG467+BH467+BY467-CA467</f>
        <v/>
      </c>
      <c r="BW467" s="34">
        <f>ABS(BX467)</f>
        <v/>
      </c>
      <c r="BX467" s="34">
        <f>AY467-(J467-L467+N467-Q467+T467-X467)</f>
        <v/>
      </c>
      <c r="BY467" s="34">
        <f>IF(AND(BX467&gt;0,MIN($F467:$G467)&lt;150,$E467="Enerji Açığı"),-100*BX467*1.03,IF(AND(BX467&gt;0,MIN($F467:$G467)&lt;150,$E467="Enerji Fazlası"),-100*BX467*1.06,IF(AND(BX467&gt;0,MIN($F467:$G467)&gt;=150,$E467="Enerji Açığı"),BX467*MIN($F467:$G467)*0.97,IF(AND(BX467&gt;0,MIN($F467:$G467)&gt;=150,$E467="Enerji Fazlası"),BX467*MIN($F467:$G467)*0.94,IF(AND(BX467&lt;0,MAX($F467:$G467)=4500,$E467="Enerji Açığı"),4500*1.05*1.06*BX467,IF(AND(BX467&lt;0,MAX($F467:$G467)=4500,$E467="Enerji Fazlası"),4500*1.05*1.03*BX467,IF(AND(BX467&lt;0,$E467="Enerji Açığı"),MAX($F467,$G467,150)*BX467*1.06,IF(AND(BX467&lt;0,$E467="Enerji Fazlası"),MAX($F467,$G467,150)*BX467*1.03,IF(AND(BX467&lt;0,$E467="Dengede"),MAX($F467:$G467,150)*1.03*BX467,MIN($F467:$G467)*0.97*BX467)))))))))</f>
        <v/>
      </c>
      <c r="BZ467" s="34">
        <f>BE467-BV467-CA467</f>
        <v/>
      </c>
      <c r="CA467" s="34">
        <f>BD467</f>
        <v/>
      </c>
      <c r="CB467" s="33">
        <f>BE467-BV467</f>
        <v/>
      </c>
      <c r="CC467" s="34">
        <f>IF(AY467=0,0,CB467/AY467)</f>
        <v/>
      </c>
      <c r="CD467" s="34">
        <f>MAX((AY467+MAX((-J467+L467-N467+Q467-T467+X467),0)),(MAX((J467-L467+N467-Q467+T467-X467),0)))</f>
        <v/>
      </c>
      <c r="CE467" s="82">
        <f>IFERROR(ABS(BX467/CD467),0)</f>
        <v/>
      </c>
      <c r="CF467" s="34">
        <f>IF(CE467&lt;=0.1,0,BX467/CE467*(CE467-0.1))</f>
        <v/>
      </c>
      <c r="CG467" s="34">
        <f>IF((CF467)&lt;0,MAX(F467:G467)*(CF467)*1.03,MIN(F467:G467)*(CF467)*0.97)</f>
        <v/>
      </c>
      <c r="CH467" s="34">
        <f>IF(CE467&gt;0.1,1,0)</f>
        <v/>
      </c>
      <c r="CI467" s="34">
        <f>(F467*BX467)-BY467</f>
        <v/>
      </c>
      <c r="CJ467" s="34">
        <f>IF(AY467=0,0,CI467/AY467)</f>
        <v/>
      </c>
    </row>
    <row r="468">
      <c r="A468" s="29">
        <f>[1]FİYATLAR!A443</f>
        <v/>
      </c>
      <c r="B468" s="29">
        <f>[1]FİYATLAR!B443</f>
        <v/>
      </c>
      <c r="C468" s="35">
        <f>INT(A468)</f>
        <v/>
      </c>
      <c r="D468" s="36">
        <f>MONTH(A468)</f>
        <v/>
      </c>
      <c r="E468" s="147">
        <f>[1]FİYATLAR!G443</f>
        <v/>
      </c>
      <c r="F468" s="30">
        <f>[1]FİYATLAR!C443</f>
        <v/>
      </c>
      <c r="G468" s="30">
        <f>[1]FİYATLAR!E443</f>
        <v/>
      </c>
      <c r="H468" s="30">
        <f>[1]FİYATLAR!D443</f>
        <v/>
      </c>
      <c r="I468" s="30">
        <f>[1]FİYATLAR!F443</f>
        <v/>
      </c>
      <c r="J468" s="119" t="n">
        <v>0</v>
      </c>
      <c r="K468" s="34">
        <f>F468*J468</f>
        <v/>
      </c>
      <c r="L468" s="119" t="n"/>
      <c r="M468" s="34">
        <f>L468*F468</f>
        <v/>
      </c>
      <c r="N468" s="119" t="n"/>
      <c r="O468" s="34">
        <f>F468</f>
        <v/>
      </c>
      <c r="P468" s="34">
        <f>N468*O468</f>
        <v/>
      </c>
      <c r="Q468" s="117" t="n">
        <v>0</v>
      </c>
      <c r="R468" s="34">
        <f>F468</f>
        <v/>
      </c>
      <c r="S468" s="34">
        <f>R468*Q468</f>
        <v/>
      </c>
      <c r="T468" s="34">
        <f>SUMIFS('[1]GİP VERİLERİ'!$C:$C,'[1]GİP VERİLERİ'!$B:$B,A468,'[1]GİP VERİLERİ'!$M:$M,"40X000000104782K",'[1]GİP VERİLERİ'!$G:$G,"SELL")</f>
        <v/>
      </c>
      <c r="U468" s="34">
        <f>IFERROR(W468/T468,0)</f>
        <v/>
      </c>
      <c r="V468" s="34">
        <f>IF(U468=0,0,U468-F468)</f>
        <v/>
      </c>
      <c r="W468" s="34">
        <f>SUMIFS('[1]GİP VERİLERİ'!$O:$O,'[1]GİP VERİLERİ'!$B:$B,A468,'[1]GİP VERİLERİ'!$M:$M,"40X000000104782K",'[1]GİP VERİLERİ'!$G:$G,"SELL")</f>
        <v/>
      </c>
      <c r="X468" s="34">
        <f>SUMIFS('[1]GİP VERİLERİ'!$C:$C,'[1]GİP VERİLERİ'!$B:$B,A468,'[1]GİP VERİLERİ'!$M:$M,"40X000000104782K",'[1]GİP VERİLERİ'!$G:$G,"BUY")</f>
        <v/>
      </c>
      <c r="Y468" s="34">
        <f>IFERROR(AA468/X468,0)</f>
        <v/>
      </c>
      <c r="Z468" s="34">
        <f>IF(Y468=0,0,F468-Y468)</f>
        <v/>
      </c>
      <c r="AA468" s="34">
        <f>SUMIFS('[1]GİP VERİLERİ'!$O:$O,'[1]GİP VERİLERİ'!$B:$B,A468,'[1]GİP VERİLERİ'!$M:$M,"40X000000104782K",'[1]GİP VERİLERİ'!$G:$G,"BUY")</f>
        <v/>
      </c>
      <c r="AB468" s="34">
        <f>'[1]GÖP VERİLERİ'!H469</f>
        <v/>
      </c>
      <c r="AC468" s="34">
        <f>'[1]GÖP VERİLERİ'!I469</f>
        <v/>
      </c>
      <c r="AD468" s="34">
        <f>IF(AB468&gt;AC468*1.05,AB468-AC468*1.05,IF(AB468&lt;AC468*0.95,AC468*0.95-AB468,0))</f>
        <v/>
      </c>
      <c r="AE468" s="34">
        <f>MAX(F468,G468,750)*0.05*AD468</f>
        <v/>
      </c>
      <c r="AF468" s="34">
        <f>'[1]GÖP VERİLERİ'!J469</f>
        <v/>
      </c>
      <c r="AG468" s="34">
        <f>IF(AB468&gt;AF468*1.05,AB468-AF468*1.05,IF(AB468&lt;AF468*0.95,AF468*0.95-AB468,0))</f>
        <v/>
      </c>
      <c r="AH468" s="34">
        <f>MAX(I468,J468,750)*0.05*AG468</f>
        <v/>
      </c>
      <c r="AI468">
        <f>'[1]GÖP VERİLERİ'!E469</f>
        <v/>
      </c>
      <c r="AJ468">
        <f>'[1]GÖP VERİLERİ'!F469</f>
        <v/>
      </c>
      <c r="AK468" s="34">
        <f>IF(AI468&gt;AJ468*1.05,AI468-AJ468*1.05,IF(AI468&lt;AJ468*0.95,AJ468*0.95-AI468,0))</f>
        <v/>
      </c>
      <c r="AL468" s="34">
        <f>MAX(F468,G468,750)*0.05*AK468</f>
        <v/>
      </c>
      <c r="AM468" s="39">
        <f>'[1]GÖP VERİLERİ'!G469</f>
        <v/>
      </c>
      <c r="AN468" s="34">
        <f>IF(AI468&gt;AM468*1.05,AI468-AM468*1.05,IF(AI468&lt;AM468*0.95,AM468*0.95-AI468,0))</f>
        <v/>
      </c>
      <c r="AO468" s="34">
        <f>MAX(F468,G468,750)*0.05*AN468</f>
        <v/>
      </c>
      <c r="AP468" s="34">
        <f>'[1]GÖP VERİLERİ'!B469</f>
        <v/>
      </c>
      <c r="AQ468" s="34">
        <f>'[1]GÖP VERİLERİ'!C469</f>
        <v/>
      </c>
      <c r="AR468" s="34">
        <f>IF(AP468&gt;AQ468*1.05,AP468-AQ468*1.05,IF(AP468&lt;AQ468*0.95,AQ468*0.95-AP468,0))</f>
        <v/>
      </c>
      <c r="AS468" s="34">
        <f>MAX(F468:G468,750)*0.05*AR468</f>
        <v/>
      </c>
      <c r="AT468">
        <f>'[1]GÖP VERİLERİ'!D469</f>
        <v/>
      </c>
      <c r="AU468" s="34">
        <f>IF(AP468&gt;AT468*1.05,AP468-AT468*1.05,IF(AP468&lt;AT468*0.95,AT468*0.95-AP468,0))</f>
        <v/>
      </c>
      <c r="AV468" s="34">
        <f>MAX(F468:G468,750)*0.05*AU468</f>
        <v/>
      </c>
      <c r="AW468" s="34">
        <f>AC468+AJ468+AQ468</f>
        <v/>
      </c>
      <c r="AX468" s="34">
        <f>AF468+AM468+AT468</f>
        <v/>
      </c>
      <c r="AY468" s="34">
        <f>AB468+AI468+AP468</f>
        <v/>
      </c>
      <c r="AZ468" s="34" t="n">
        <v>0</v>
      </c>
      <c r="BA468" s="34">
        <f>AD468+AK468+AR468</f>
        <v/>
      </c>
      <c r="BB468" s="34">
        <f>MAX(F468:G468,750)*0.05*BA468</f>
        <v/>
      </c>
      <c r="BC468" s="34">
        <f>AG468+AN468+AU468</f>
        <v/>
      </c>
      <c r="BD468" s="34">
        <f>MAX(F468:G468,750)*0.05*BC468</f>
        <v/>
      </c>
      <c r="BE468" s="34">
        <f>F468*AY468</f>
        <v/>
      </c>
      <c r="BF468" s="34">
        <f>K468-M468</f>
        <v/>
      </c>
      <c r="BG468" s="34">
        <f>P468-S468</f>
        <v/>
      </c>
      <c r="BH468" s="34">
        <f>W468-AA468</f>
        <v/>
      </c>
      <c r="BI468" s="34">
        <f>BF468+BG468+BL468-BN468</f>
        <v/>
      </c>
      <c r="BJ468" s="34">
        <f>ABS(BK468)</f>
        <v/>
      </c>
      <c r="BK468" s="34">
        <f>AY468-(J468-L468+N468-Q468)</f>
        <v/>
      </c>
      <c r="BL468" s="34">
        <f>IF(AND(BK468&gt;0,MIN($F468:$G468)&lt;150,$E468="Enerji Açığı"),-100*BK468*1.03,IF(AND(BK468&gt;0,MIN($F468:$G468)&lt;150,$E468="Enerji Fazlası"),-100*BK468*1.06,IF(AND(BK468&gt;0,MIN($F468:$G468)&gt;=150,$E468="Enerji Açığı"),BK468*MIN($F468:$G468)*0.97,IF(AND(BK468&gt;0,MIN($F468:$G468)&gt;=150,$E468="Enerji Fazlası"),BK468*MIN($F468:$G468)*0.94,IF(AND(BK468&lt;0,MAX($F468:$G468)=4500,$E468="Enerji Açığı"),4500*1.05*1.06*BK468,IF(AND(BK468&lt;0,MAX($F468:$G468)=4500,$E468="Enerji Fazlası"),4500*1.05*1.03*BK468,IF(AND(BK468&lt;0,$E468="Enerji Açığı"),MAX($F468,$G468,150)*BK468*1.06,IF(AND(BK468&lt;0,$E468="Enerji Fazlası"),MAX($F468,$G468,150)*BK468*1.03,IF(AND(BK468&lt;0,$E468="Dengede"),MAX($F468:$G468,150)*1.03*BK468,MIN($F468:$G468)*0.97*BK468)))))))))</f>
        <v/>
      </c>
      <c r="BM468" s="34">
        <f>BE468-BI468-BN468</f>
        <v/>
      </c>
      <c r="BN468" s="34">
        <f>BB468</f>
        <v/>
      </c>
      <c r="BO468" s="34">
        <f>BE468-BI468</f>
        <v/>
      </c>
      <c r="BP468" s="34">
        <f>IF(AY468=0,0,BO468/AY468)</f>
        <v/>
      </c>
      <c r="BQ468" s="34">
        <f>MAX((AY468+MAX((-J468+L468-N468+Q468),0)),(MAX((J468-L468+N468-Q468),0)))</f>
        <v/>
      </c>
      <c r="BR468" s="82">
        <f>IFERROR(ABS(BK468/BQ468),0)</f>
        <v/>
      </c>
      <c r="BS468" s="34">
        <f>IF(BR468&lt;=0.1,0,BK468/BR468*(BR468-0.1))</f>
        <v/>
      </c>
      <c r="BT468" s="34">
        <f>IF((BS468)&lt;0,MAX(F468:G468)*(BS468)*1.03,MIN(F468:G468)*(BS468)*0.97)</f>
        <v/>
      </c>
      <c r="BU468" s="34">
        <f>IF(BR468&gt;0.1,1,0)</f>
        <v/>
      </c>
      <c r="BV468" s="34">
        <f>BF468+BG468+BH468+BY468-CA468</f>
        <v/>
      </c>
      <c r="BW468" s="34">
        <f>ABS(BX468)</f>
        <v/>
      </c>
      <c r="BX468" s="34">
        <f>AY468-(J468-L468+N468-Q468+T468-X468)</f>
        <v/>
      </c>
      <c r="BY468" s="34">
        <f>IF(AND(BX468&gt;0,MIN($F468:$G468)&lt;150,$E468="Enerji Açığı"),-100*BX468*1.03,IF(AND(BX468&gt;0,MIN($F468:$G468)&lt;150,$E468="Enerji Fazlası"),-100*BX468*1.06,IF(AND(BX468&gt;0,MIN($F468:$G468)&gt;=150,$E468="Enerji Açığı"),BX468*MIN($F468:$G468)*0.97,IF(AND(BX468&gt;0,MIN($F468:$G468)&gt;=150,$E468="Enerji Fazlası"),BX468*MIN($F468:$G468)*0.94,IF(AND(BX468&lt;0,MAX($F468:$G468)=4500,$E468="Enerji Açığı"),4500*1.05*1.06*BX468,IF(AND(BX468&lt;0,MAX($F468:$G468)=4500,$E468="Enerji Fazlası"),4500*1.05*1.03*BX468,IF(AND(BX468&lt;0,$E468="Enerji Açığı"),MAX($F468,$G468,150)*BX468*1.06,IF(AND(BX468&lt;0,$E468="Enerji Fazlası"),MAX($F468,$G468,150)*BX468*1.03,IF(AND(BX468&lt;0,$E468="Dengede"),MAX($F468:$G468,150)*1.03*BX468,MIN($F468:$G468)*0.97*BX468)))))))))</f>
        <v/>
      </c>
      <c r="BZ468" s="34">
        <f>BE468-BV468-CA468</f>
        <v/>
      </c>
      <c r="CA468" s="34">
        <f>BD468</f>
        <v/>
      </c>
      <c r="CB468" s="33">
        <f>BE468-BV468</f>
        <v/>
      </c>
      <c r="CC468" s="34">
        <f>IF(AY468=0,0,CB468/AY468)</f>
        <v/>
      </c>
      <c r="CD468" s="34">
        <f>MAX((AY468+MAX((-J468+L468-N468+Q468-T468+X468),0)),(MAX((J468-L468+N468-Q468+T468-X468),0)))</f>
        <v/>
      </c>
      <c r="CE468" s="82">
        <f>IFERROR(ABS(BX468/CD468),0)</f>
        <v/>
      </c>
      <c r="CF468" s="34">
        <f>IF(CE468&lt;=0.1,0,BX468/CE468*(CE468-0.1))</f>
        <v/>
      </c>
      <c r="CG468" s="34">
        <f>IF((CF468)&lt;0,MAX(F468:G468)*(CF468)*1.03,MIN(F468:G468)*(CF468)*0.97)</f>
        <v/>
      </c>
      <c r="CH468" s="34">
        <f>IF(CE468&gt;0.1,1,0)</f>
        <v/>
      </c>
      <c r="CI468" s="34">
        <f>(F468*BX468)-BY468</f>
        <v/>
      </c>
      <c r="CJ468" s="34">
        <f>IF(AY468=0,0,CI468/AY468)</f>
        <v/>
      </c>
    </row>
    <row r="469">
      <c r="A469" s="29">
        <f>[1]FİYATLAR!A444</f>
        <v/>
      </c>
      <c r="B469" s="29">
        <f>[1]FİYATLAR!B444</f>
        <v/>
      </c>
      <c r="C469" s="35">
        <f>INT(A469)</f>
        <v/>
      </c>
      <c r="D469" s="36">
        <f>MONTH(A469)</f>
        <v/>
      </c>
      <c r="E469" s="147">
        <f>[1]FİYATLAR!G444</f>
        <v/>
      </c>
      <c r="F469" s="30">
        <f>[1]FİYATLAR!C444</f>
        <v/>
      </c>
      <c r="G469" s="30">
        <f>[1]FİYATLAR!E444</f>
        <v/>
      </c>
      <c r="H469" s="30">
        <f>[1]FİYATLAR!D444</f>
        <v/>
      </c>
      <c r="I469" s="30">
        <f>[1]FİYATLAR!F444</f>
        <v/>
      </c>
      <c r="J469" s="119" t="n">
        <v>0</v>
      </c>
      <c r="K469" s="34">
        <f>F469*J469</f>
        <v/>
      </c>
      <c r="L469" s="119" t="n"/>
      <c r="M469" s="34">
        <f>L469*F469</f>
        <v/>
      </c>
      <c r="N469" s="119" t="n"/>
      <c r="O469" s="34">
        <f>F469</f>
        <v/>
      </c>
      <c r="P469" s="34">
        <f>N469*O469</f>
        <v/>
      </c>
      <c r="Q469" s="117" t="n">
        <v>0</v>
      </c>
      <c r="R469" s="34">
        <f>F469</f>
        <v/>
      </c>
      <c r="S469" s="34">
        <f>R469*Q469</f>
        <v/>
      </c>
      <c r="T469" s="34">
        <f>SUMIFS('[1]GİP VERİLERİ'!$C:$C,'[1]GİP VERİLERİ'!$B:$B,A469,'[1]GİP VERİLERİ'!$M:$M,"40X000000104782K",'[1]GİP VERİLERİ'!$G:$G,"SELL")</f>
        <v/>
      </c>
      <c r="U469" s="34">
        <f>IFERROR(W469/T469,0)</f>
        <v/>
      </c>
      <c r="V469" s="34">
        <f>IF(U469=0,0,U469-F469)</f>
        <v/>
      </c>
      <c r="W469" s="34">
        <f>SUMIFS('[1]GİP VERİLERİ'!$O:$O,'[1]GİP VERİLERİ'!$B:$B,A469,'[1]GİP VERİLERİ'!$M:$M,"40X000000104782K",'[1]GİP VERİLERİ'!$G:$G,"SELL")</f>
        <v/>
      </c>
      <c r="X469" s="34">
        <f>SUMIFS('[1]GİP VERİLERİ'!$C:$C,'[1]GİP VERİLERİ'!$B:$B,A469,'[1]GİP VERİLERİ'!$M:$M,"40X000000104782K",'[1]GİP VERİLERİ'!$G:$G,"BUY")</f>
        <v/>
      </c>
      <c r="Y469" s="34">
        <f>IFERROR(AA469/X469,0)</f>
        <v/>
      </c>
      <c r="Z469" s="34">
        <f>IF(Y469=0,0,F469-Y469)</f>
        <v/>
      </c>
      <c r="AA469" s="34">
        <f>SUMIFS('[1]GİP VERİLERİ'!$O:$O,'[1]GİP VERİLERİ'!$B:$B,A469,'[1]GİP VERİLERİ'!$M:$M,"40X000000104782K",'[1]GİP VERİLERİ'!$G:$G,"BUY")</f>
        <v/>
      </c>
      <c r="AB469" s="34">
        <f>'[1]GÖP VERİLERİ'!H470</f>
        <v/>
      </c>
      <c r="AC469" s="34">
        <f>'[1]GÖP VERİLERİ'!I470</f>
        <v/>
      </c>
      <c r="AD469" s="34">
        <f>IF(AB469&gt;AC469*1.05,AB469-AC469*1.05,IF(AB469&lt;AC469*0.95,AC469*0.95-AB469,0))</f>
        <v/>
      </c>
      <c r="AE469" s="34">
        <f>MAX(F469,G469,750)*0.05*AD469</f>
        <v/>
      </c>
      <c r="AF469" s="34">
        <f>'[1]GÖP VERİLERİ'!J470</f>
        <v/>
      </c>
      <c r="AG469" s="34">
        <f>IF(AB469&gt;AF469*1.05,AB469-AF469*1.05,IF(AB469&lt;AF469*0.95,AF469*0.95-AB469,0))</f>
        <v/>
      </c>
      <c r="AH469" s="34">
        <f>MAX(I469,J469,750)*0.05*AG469</f>
        <v/>
      </c>
      <c r="AI469">
        <f>'[1]GÖP VERİLERİ'!E470</f>
        <v/>
      </c>
      <c r="AJ469">
        <f>'[1]GÖP VERİLERİ'!F470</f>
        <v/>
      </c>
      <c r="AK469" s="34">
        <f>IF(AI469&gt;AJ469*1.05,AI469-AJ469*1.05,IF(AI469&lt;AJ469*0.95,AJ469*0.95-AI469,0))</f>
        <v/>
      </c>
      <c r="AL469" s="34">
        <f>MAX(F469,G469,750)*0.05*AK469</f>
        <v/>
      </c>
      <c r="AM469" s="39">
        <f>'[1]GÖP VERİLERİ'!G470</f>
        <v/>
      </c>
      <c r="AN469" s="34">
        <f>IF(AI469&gt;AM469*1.05,AI469-AM469*1.05,IF(AI469&lt;AM469*0.95,AM469*0.95-AI469,0))</f>
        <v/>
      </c>
      <c r="AO469" s="34">
        <f>MAX(F469,G469,750)*0.05*AN469</f>
        <v/>
      </c>
      <c r="AP469" s="34">
        <f>'[1]GÖP VERİLERİ'!B470</f>
        <v/>
      </c>
      <c r="AQ469" s="34">
        <f>'[1]GÖP VERİLERİ'!C470</f>
        <v/>
      </c>
      <c r="AR469" s="34">
        <f>IF(AP469&gt;AQ469*1.05,AP469-AQ469*1.05,IF(AP469&lt;AQ469*0.95,AQ469*0.95-AP469,0))</f>
        <v/>
      </c>
      <c r="AS469" s="34">
        <f>MAX(F469:G469,750)*0.05*AR469</f>
        <v/>
      </c>
      <c r="AT469">
        <f>'[1]GÖP VERİLERİ'!D470</f>
        <v/>
      </c>
      <c r="AU469" s="34">
        <f>IF(AP469&gt;AT469*1.05,AP469-AT469*1.05,IF(AP469&lt;AT469*0.95,AT469*0.95-AP469,0))</f>
        <v/>
      </c>
      <c r="AV469" s="34">
        <f>MAX(F469:G469,750)*0.05*AU469</f>
        <v/>
      </c>
      <c r="AW469" s="34">
        <f>AC469+AJ469+AQ469</f>
        <v/>
      </c>
      <c r="AX469" s="34">
        <f>AF469+AM469+AT469</f>
        <v/>
      </c>
      <c r="AY469" s="34">
        <f>AB469+AI469+AP469</f>
        <v/>
      </c>
      <c r="AZ469" s="34" t="n">
        <v>0</v>
      </c>
      <c r="BA469" s="34">
        <f>AD469+AK469+AR469</f>
        <v/>
      </c>
      <c r="BB469" s="34">
        <f>MAX(F469:G469,750)*0.05*BA469</f>
        <v/>
      </c>
      <c r="BC469" s="34">
        <f>AG469+AN469+AU469</f>
        <v/>
      </c>
      <c r="BD469" s="34">
        <f>MAX(F469:G469,750)*0.05*BC469</f>
        <v/>
      </c>
      <c r="BE469" s="34">
        <f>F469*AY469</f>
        <v/>
      </c>
      <c r="BF469" s="34">
        <f>K469-M469</f>
        <v/>
      </c>
      <c r="BG469" s="34">
        <f>P469-S469</f>
        <v/>
      </c>
      <c r="BH469" s="34">
        <f>W469-AA469</f>
        <v/>
      </c>
      <c r="BI469" s="34">
        <f>BF469+BG469+BL469-BN469</f>
        <v/>
      </c>
      <c r="BJ469" s="34">
        <f>ABS(BK469)</f>
        <v/>
      </c>
      <c r="BK469" s="34">
        <f>AY469-(J469-L469+N469-Q469)</f>
        <v/>
      </c>
      <c r="BL469" s="34">
        <f>IF(AND(BK469&gt;0,MIN($F469:$G469)&lt;150,$E469="Enerji Açığı"),-100*BK469*1.03,IF(AND(BK469&gt;0,MIN($F469:$G469)&lt;150,$E469="Enerji Fazlası"),-100*BK469*1.06,IF(AND(BK469&gt;0,MIN($F469:$G469)&gt;=150,$E469="Enerji Açığı"),BK469*MIN($F469:$G469)*0.97,IF(AND(BK469&gt;0,MIN($F469:$G469)&gt;=150,$E469="Enerji Fazlası"),BK469*MIN($F469:$G469)*0.94,IF(AND(BK469&lt;0,MAX($F469:$G469)=4500,$E469="Enerji Açığı"),4500*1.05*1.06*BK469,IF(AND(BK469&lt;0,MAX($F469:$G469)=4500,$E469="Enerji Fazlası"),4500*1.05*1.03*BK469,IF(AND(BK469&lt;0,$E469="Enerji Açığı"),MAX($F469,$G469,150)*BK469*1.06,IF(AND(BK469&lt;0,$E469="Enerji Fazlası"),MAX($F469,$G469,150)*BK469*1.03,IF(AND(BK469&lt;0,$E469="Dengede"),MAX($F469:$G469,150)*1.03*BK469,MIN($F469:$G469)*0.97*BK469)))))))))</f>
        <v/>
      </c>
      <c r="BM469" s="34">
        <f>BE469-BI469-BN469</f>
        <v/>
      </c>
      <c r="BN469" s="34">
        <f>BB469</f>
        <v/>
      </c>
      <c r="BO469" s="34">
        <f>BE469-BI469</f>
        <v/>
      </c>
      <c r="BP469" s="34">
        <f>IF(AY469=0,0,BO469/AY469)</f>
        <v/>
      </c>
      <c r="BQ469" s="34">
        <f>MAX((AY469+MAX((-J469+L469-N469+Q469),0)),(MAX((J469-L469+N469-Q469),0)))</f>
        <v/>
      </c>
      <c r="BR469" s="82">
        <f>IFERROR(ABS(BK469/BQ469),0)</f>
        <v/>
      </c>
      <c r="BS469" s="34">
        <f>IF(BR469&lt;=0.1,0,BK469/BR469*(BR469-0.1))</f>
        <v/>
      </c>
      <c r="BT469" s="34">
        <f>IF((BS469)&lt;0,MAX(F469:G469)*(BS469)*1.03,MIN(F469:G469)*(BS469)*0.97)</f>
        <v/>
      </c>
      <c r="BU469" s="34">
        <f>IF(BR469&gt;0.1,1,0)</f>
        <v/>
      </c>
      <c r="BV469" s="34">
        <f>BF469+BG469+BH469+BY469-CA469</f>
        <v/>
      </c>
      <c r="BW469" s="34">
        <f>ABS(BX469)</f>
        <v/>
      </c>
      <c r="BX469" s="34">
        <f>AY469-(J469-L469+N469-Q469+T469-X469)</f>
        <v/>
      </c>
      <c r="BY469" s="34">
        <f>IF(AND(BX469&gt;0,MIN($F469:$G469)&lt;150,$E469="Enerji Açığı"),-100*BX469*1.03,IF(AND(BX469&gt;0,MIN($F469:$G469)&lt;150,$E469="Enerji Fazlası"),-100*BX469*1.06,IF(AND(BX469&gt;0,MIN($F469:$G469)&gt;=150,$E469="Enerji Açığı"),BX469*MIN($F469:$G469)*0.97,IF(AND(BX469&gt;0,MIN($F469:$G469)&gt;=150,$E469="Enerji Fazlası"),BX469*MIN($F469:$G469)*0.94,IF(AND(BX469&lt;0,MAX($F469:$G469)=4500,$E469="Enerji Açığı"),4500*1.05*1.06*BX469,IF(AND(BX469&lt;0,MAX($F469:$G469)=4500,$E469="Enerji Fazlası"),4500*1.05*1.03*BX469,IF(AND(BX469&lt;0,$E469="Enerji Açığı"),MAX($F469,$G469,150)*BX469*1.06,IF(AND(BX469&lt;0,$E469="Enerji Fazlası"),MAX($F469,$G469,150)*BX469*1.03,IF(AND(BX469&lt;0,$E469="Dengede"),MAX($F469:$G469,150)*1.03*BX469,MIN($F469:$G469)*0.97*BX469)))))))))</f>
        <v/>
      </c>
      <c r="BZ469" s="34">
        <f>BE469-BV469-CA469</f>
        <v/>
      </c>
      <c r="CA469" s="34">
        <f>BD469</f>
        <v/>
      </c>
      <c r="CB469" s="33">
        <f>BE469-BV469</f>
        <v/>
      </c>
      <c r="CC469" s="34">
        <f>IF(AY469=0,0,CB469/AY469)</f>
        <v/>
      </c>
      <c r="CD469" s="34">
        <f>MAX((AY469+MAX((-J469+L469-N469+Q469-T469+X469),0)),(MAX((J469-L469+N469-Q469+T469-X469),0)))</f>
        <v/>
      </c>
      <c r="CE469" s="82">
        <f>IFERROR(ABS(BX469/CD469),0)</f>
        <v/>
      </c>
      <c r="CF469" s="34">
        <f>IF(CE469&lt;=0.1,0,BX469/CE469*(CE469-0.1))</f>
        <v/>
      </c>
      <c r="CG469" s="34">
        <f>IF((CF469)&lt;0,MAX(F469:G469)*(CF469)*1.03,MIN(F469:G469)*(CF469)*0.97)</f>
        <v/>
      </c>
      <c r="CH469" s="34">
        <f>IF(CE469&gt;0.1,1,0)</f>
        <v/>
      </c>
      <c r="CI469" s="34">
        <f>(F469*BX469)-BY469</f>
        <v/>
      </c>
      <c r="CJ469" s="34">
        <f>IF(AY469=0,0,CI469/AY469)</f>
        <v/>
      </c>
    </row>
    <row r="470">
      <c r="A470" s="29">
        <f>[1]FİYATLAR!A445</f>
        <v/>
      </c>
      <c r="B470" s="29">
        <f>[1]FİYATLAR!B445</f>
        <v/>
      </c>
      <c r="C470" s="35">
        <f>INT(A470)</f>
        <v/>
      </c>
      <c r="D470" s="36">
        <f>MONTH(A470)</f>
        <v/>
      </c>
      <c r="E470" s="147">
        <f>[1]FİYATLAR!G445</f>
        <v/>
      </c>
      <c r="F470" s="30">
        <f>[1]FİYATLAR!C445</f>
        <v/>
      </c>
      <c r="G470" s="30">
        <f>[1]FİYATLAR!E445</f>
        <v/>
      </c>
      <c r="H470" s="30">
        <f>[1]FİYATLAR!D445</f>
        <v/>
      </c>
      <c r="I470" s="30">
        <f>[1]FİYATLAR!F445</f>
        <v/>
      </c>
      <c r="J470" s="119" t="n">
        <v>0</v>
      </c>
      <c r="K470" s="34">
        <f>F470*J470</f>
        <v/>
      </c>
      <c r="L470" s="119" t="n"/>
      <c r="M470" s="34">
        <f>L470*F470</f>
        <v/>
      </c>
      <c r="N470" s="119" t="n"/>
      <c r="O470" s="34">
        <f>F470</f>
        <v/>
      </c>
      <c r="P470" s="34">
        <f>N470*O470</f>
        <v/>
      </c>
      <c r="Q470" s="117" t="n">
        <v>0</v>
      </c>
      <c r="R470" s="34">
        <f>F470</f>
        <v/>
      </c>
      <c r="S470" s="34">
        <f>R470*Q470</f>
        <v/>
      </c>
      <c r="T470" s="34">
        <f>SUMIFS('[1]GİP VERİLERİ'!$C:$C,'[1]GİP VERİLERİ'!$B:$B,A470,'[1]GİP VERİLERİ'!$M:$M,"40X000000104782K",'[1]GİP VERİLERİ'!$G:$G,"SELL")</f>
        <v/>
      </c>
      <c r="U470" s="34">
        <f>IFERROR(W470/T470,0)</f>
        <v/>
      </c>
      <c r="V470" s="34">
        <f>IF(U470=0,0,U470-F470)</f>
        <v/>
      </c>
      <c r="W470" s="34">
        <f>SUMIFS('[1]GİP VERİLERİ'!$O:$O,'[1]GİP VERİLERİ'!$B:$B,A470,'[1]GİP VERİLERİ'!$M:$M,"40X000000104782K",'[1]GİP VERİLERİ'!$G:$G,"SELL")</f>
        <v/>
      </c>
      <c r="X470" s="34">
        <f>SUMIFS('[1]GİP VERİLERİ'!$C:$C,'[1]GİP VERİLERİ'!$B:$B,A470,'[1]GİP VERİLERİ'!$M:$M,"40X000000104782K",'[1]GİP VERİLERİ'!$G:$G,"BUY")</f>
        <v/>
      </c>
      <c r="Y470" s="34">
        <f>IFERROR(AA470/X470,0)</f>
        <v/>
      </c>
      <c r="Z470" s="34">
        <f>IF(Y470=0,0,F470-Y470)</f>
        <v/>
      </c>
      <c r="AA470" s="34">
        <f>SUMIFS('[1]GİP VERİLERİ'!$O:$O,'[1]GİP VERİLERİ'!$B:$B,A470,'[1]GİP VERİLERİ'!$M:$M,"40X000000104782K",'[1]GİP VERİLERİ'!$G:$G,"BUY")</f>
        <v/>
      </c>
      <c r="AB470" s="34">
        <f>'[1]GÖP VERİLERİ'!H471</f>
        <v/>
      </c>
      <c r="AC470" s="34">
        <f>'[1]GÖP VERİLERİ'!I471</f>
        <v/>
      </c>
      <c r="AD470" s="34">
        <f>IF(AB470&gt;AC470*1.05,AB470-AC470*1.05,IF(AB470&lt;AC470*0.95,AC470*0.95-AB470,0))</f>
        <v/>
      </c>
      <c r="AE470" s="34">
        <f>MAX(F470,G470,750)*0.05*AD470</f>
        <v/>
      </c>
      <c r="AF470" s="34">
        <f>'[1]GÖP VERİLERİ'!J471</f>
        <v/>
      </c>
      <c r="AG470" s="34">
        <f>IF(AB470&gt;AF470*1.05,AB470-AF470*1.05,IF(AB470&lt;AF470*0.95,AF470*0.95-AB470,0))</f>
        <v/>
      </c>
      <c r="AH470" s="34">
        <f>MAX(I470,J470,750)*0.05*AG470</f>
        <v/>
      </c>
      <c r="AI470">
        <f>'[1]GÖP VERİLERİ'!E471</f>
        <v/>
      </c>
      <c r="AJ470">
        <f>'[1]GÖP VERİLERİ'!F471</f>
        <v/>
      </c>
      <c r="AK470" s="34">
        <f>IF(AI470&gt;AJ470*1.05,AI470-AJ470*1.05,IF(AI470&lt;AJ470*0.95,AJ470*0.95-AI470,0))</f>
        <v/>
      </c>
      <c r="AL470" s="34">
        <f>MAX(F470,G470,750)*0.05*AK470</f>
        <v/>
      </c>
      <c r="AM470" s="39">
        <f>'[1]GÖP VERİLERİ'!G471</f>
        <v/>
      </c>
      <c r="AN470" s="34">
        <f>IF(AI470&gt;AM470*1.05,AI470-AM470*1.05,IF(AI470&lt;AM470*0.95,AM470*0.95-AI470,0))</f>
        <v/>
      </c>
      <c r="AO470" s="34">
        <f>MAX(F470,G470,750)*0.05*AN470</f>
        <v/>
      </c>
      <c r="AP470" s="34">
        <f>'[1]GÖP VERİLERİ'!B471</f>
        <v/>
      </c>
      <c r="AQ470" s="34">
        <f>'[1]GÖP VERİLERİ'!C471</f>
        <v/>
      </c>
      <c r="AR470" s="34">
        <f>IF(AP470&gt;AQ470*1.05,AP470-AQ470*1.05,IF(AP470&lt;AQ470*0.95,AQ470*0.95-AP470,0))</f>
        <v/>
      </c>
      <c r="AS470" s="34">
        <f>MAX(F470:G470,750)*0.05*AR470</f>
        <v/>
      </c>
      <c r="AT470">
        <f>'[1]GÖP VERİLERİ'!D471</f>
        <v/>
      </c>
      <c r="AU470" s="34">
        <f>IF(AP470&gt;AT470*1.05,AP470-AT470*1.05,IF(AP470&lt;AT470*0.95,AT470*0.95-AP470,0))</f>
        <v/>
      </c>
      <c r="AV470" s="34">
        <f>MAX(F470:G470,750)*0.05*AU470</f>
        <v/>
      </c>
      <c r="AW470" s="34">
        <f>AC470+AJ470+AQ470</f>
        <v/>
      </c>
      <c r="AX470" s="34">
        <f>AF470+AM470+AT470</f>
        <v/>
      </c>
      <c r="AY470" s="34">
        <f>AB470+AI470+AP470</f>
        <v/>
      </c>
      <c r="AZ470" s="34" t="n">
        <v>0</v>
      </c>
      <c r="BA470" s="34">
        <f>AD470+AK470+AR470</f>
        <v/>
      </c>
      <c r="BB470" s="34">
        <f>MAX(F470:G470,750)*0.05*BA470</f>
        <v/>
      </c>
      <c r="BC470" s="34">
        <f>AG470+AN470+AU470</f>
        <v/>
      </c>
      <c r="BD470" s="34">
        <f>MAX(F470:G470,750)*0.05*BC470</f>
        <v/>
      </c>
      <c r="BE470" s="34">
        <f>F470*AY470</f>
        <v/>
      </c>
      <c r="BF470" s="34">
        <f>K470-M470</f>
        <v/>
      </c>
      <c r="BG470" s="34">
        <f>P470-S470</f>
        <v/>
      </c>
      <c r="BH470" s="34">
        <f>W470-AA470</f>
        <v/>
      </c>
      <c r="BI470" s="34">
        <f>BF470+BG470+BL470-BN470</f>
        <v/>
      </c>
      <c r="BJ470" s="34">
        <f>ABS(BK470)</f>
        <v/>
      </c>
      <c r="BK470" s="34">
        <f>AY470-(J470-L470+N470-Q470)</f>
        <v/>
      </c>
      <c r="BL470" s="34">
        <f>IF(AND(BK470&gt;0,MIN($F470:$G470)&lt;150,$E470="Enerji Açığı"),-100*BK470*1.03,IF(AND(BK470&gt;0,MIN($F470:$G470)&lt;150,$E470="Enerji Fazlası"),-100*BK470*1.06,IF(AND(BK470&gt;0,MIN($F470:$G470)&gt;=150,$E470="Enerji Açığı"),BK470*MIN($F470:$G470)*0.97,IF(AND(BK470&gt;0,MIN($F470:$G470)&gt;=150,$E470="Enerji Fazlası"),BK470*MIN($F470:$G470)*0.94,IF(AND(BK470&lt;0,MAX($F470:$G470)=4500,$E470="Enerji Açığı"),4500*1.05*1.06*BK470,IF(AND(BK470&lt;0,MAX($F470:$G470)=4500,$E470="Enerji Fazlası"),4500*1.05*1.03*BK470,IF(AND(BK470&lt;0,$E470="Enerji Açığı"),MAX($F470,$G470,150)*BK470*1.06,IF(AND(BK470&lt;0,$E470="Enerji Fazlası"),MAX($F470,$G470,150)*BK470*1.03,IF(AND(BK470&lt;0,$E470="Dengede"),MAX($F470:$G470,150)*1.03*BK470,MIN($F470:$G470)*0.97*BK470)))))))))</f>
        <v/>
      </c>
      <c r="BM470" s="34">
        <f>BE470-BI470-BN470</f>
        <v/>
      </c>
      <c r="BN470" s="34">
        <f>BB470</f>
        <v/>
      </c>
      <c r="BO470" s="34">
        <f>BE470-BI470</f>
        <v/>
      </c>
      <c r="BP470" s="34">
        <f>IF(AY470=0,0,BO470/AY470)</f>
        <v/>
      </c>
      <c r="BQ470" s="34">
        <f>MAX((AY470+MAX((-J470+L470-N470+Q470),0)),(MAX((J470-L470+N470-Q470),0)))</f>
        <v/>
      </c>
      <c r="BR470" s="82">
        <f>IFERROR(ABS(BK470/BQ470),0)</f>
        <v/>
      </c>
      <c r="BS470" s="34">
        <f>IF(BR470&lt;=0.1,0,BK470/BR470*(BR470-0.1))</f>
        <v/>
      </c>
      <c r="BT470" s="34">
        <f>IF((BS470)&lt;0,MAX(F470:G470)*(BS470)*1.03,MIN(F470:G470)*(BS470)*0.97)</f>
        <v/>
      </c>
      <c r="BU470" s="34">
        <f>IF(BR470&gt;0.1,1,0)</f>
        <v/>
      </c>
      <c r="BV470" s="34">
        <f>BF470+BG470+BH470+BY470-CA470</f>
        <v/>
      </c>
      <c r="BW470" s="34">
        <f>ABS(BX470)</f>
        <v/>
      </c>
      <c r="BX470" s="34">
        <f>AY470-(J470-L470+N470-Q470+T470-X470)</f>
        <v/>
      </c>
      <c r="BY470" s="34">
        <f>IF(AND(BX470&gt;0,MIN($F470:$G470)&lt;150,$E470="Enerji Açığı"),-100*BX470*1.03,IF(AND(BX470&gt;0,MIN($F470:$G470)&lt;150,$E470="Enerji Fazlası"),-100*BX470*1.06,IF(AND(BX470&gt;0,MIN($F470:$G470)&gt;=150,$E470="Enerji Açığı"),BX470*MIN($F470:$G470)*0.97,IF(AND(BX470&gt;0,MIN($F470:$G470)&gt;=150,$E470="Enerji Fazlası"),BX470*MIN($F470:$G470)*0.94,IF(AND(BX470&lt;0,MAX($F470:$G470)=4500,$E470="Enerji Açığı"),4500*1.05*1.06*BX470,IF(AND(BX470&lt;0,MAX($F470:$G470)=4500,$E470="Enerji Fazlası"),4500*1.05*1.03*BX470,IF(AND(BX470&lt;0,$E470="Enerji Açığı"),MAX($F470,$G470,150)*BX470*1.06,IF(AND(BX470&lt;0,$E470="Enerji Fazlası"),MAX($F470,$G470,150)*BX470*1.03,IF(AND(BX470&lt;0,$E470="Dengede"),MAX($F470:$G470,150)*1.03*BX470,MIN($F470:$G470)*0.97*BX470)))))))))</f>
        <v/>
      </c>
      <c r="BZ470" s="34">
        <f>BE470-BV470-CA470</f>
        <v/>
      </c>
      <c r="CA470" s="34">
        <f>BD470</f>
        <v/>
      </c>
      <c r="CB470" s="33">
        <f>BE470-BV470</f>
        <v/>
      </c>
      <c r="CC470" s="34">
        <f>IF(AY470=0,0,CB470/AY470)</f>
        <v/>
      </c>
      <c r="CD470" s="34">
        <f>MAX((AY470+MAX((-J470+L470-N470+Q470-T470+X470),0)),(MAX((J470-L470+N470-Q470+T470-X470),0)))</f>
        <v/>
      </c>
      <c r="CE470" s="82">
        <f>IFERROR(ABS(BX470/CD470),0)</f>
        <v/>
      </c>
      <c r="CF470" s="34">
        <f>IF(CE470&lt;=0.1,0,BX470/CE470*(CE470-0.1))</f>
        <v/>
      </c>
      <c r="CG470" s="34">
        <f>IF((CF470)&lt;0,MAX(F470:G470)*(CF470)*1.03,MIN(F470:G470)*(CF470)*0.97)</f>
        <v/>
      </c>
      <c r="CH470" s="34">
        <f>IF(CE470&gt;0.1,1,0)</f>
        <v/>
      </c>
      <c r="CI470" s="34">
        <f>(F470*BX470)-BY470</f>
        <v/>
      </c>
      <c r="CJ470" s="34">
        <f>IF(AY470=0,0,CI470/AY470)</f>
        <v/>
      </c>
    </row>
    <row r="471">
      <c r="A471" s="29">
        <f>[1]FİYATLAR!A446</f>
        <v/>
      </c>
      <c r="B471" s="29">
        <f>[1]FİYATLAR!B446</f>
        <v/>
      </c>
      <c r="C471" s="35">
        <f>INT(A471)</f>
        <v/>
      </c>
      <c r="D471" s="36">
        <f>MONTH(A471)</f>
        <v/>
      </c>
      <c r="E471" s="147">
        <f>[1]FİYATLAR!G446</f>
        <v/>
      </c>
      <c r="F471" s="30">
        <f>[1]FİYATLAR!C446</f>
        <v/>
      </c>
      <c r="G471" s="30">
        <f>[1]FİYATLAR!E446</f>
        <v/>
      </c>
      <c r="H471" s="30">
        <f>[1]FİYATLAR!D446</f>
        <v/>
      </c>
      <c r="I471" s="30">
        <f>[1]FİYATLAR!F446</f>
        <v/>
      </c>
      <c r="J471" s="119" t="n">
        <v>0</v>
      </c>
      <c r="K471" s="34">
        <f>F471*J471</f>
        <v/>
      </c>
      <c r="L471" s="119" t="n"/>
      <c r="M471" s="34">
        <f>L471*F471</f>
        <v/>
      </c>
      <c r="N471" s="119" t="n"/>
      <c r="O471" s="34">
        <f>F471</f>
        <v/>
      </c>
      <c r="P471" s="34">
        <f>N471*O471</f>
        <v/>
      </c>
      <c r="Q471" s="117" t="n">
        <v>0</v>
      </c>
      <c r="R471" s="34">
        <f>F471</f>
        <v/>
      </c>
      <c r="S471" s="34">
        <f>R471*Q471</f>
        <v/>
      </c>
      <c r="T471" s="34">
        <f>SUMIFS('[1]GİP VERİLERİ'!$C:$C,'[1]GİP VERİLERİ'!$B:$B,A471,'[1]GİP VERİLERİ'!$M:$M,"40X000000104782K",'[1]GİP VERİLERİ'!$G:$G,"SELL")</f>
        <v/>
      </c>
      <c r="U471" s="34">
        <f>IFERROR(W471/T471,0)</f>
        <v/>
      </c>
      <c r="V471" s="34">
        <f>IF(U471=0,0,U471-F471)</f>
        <v/>
      </c>
      <c r="W471" s="34">
        <f>SUMIFS('[1]GİP VERİLERİ'!$O:$O,'[1]GİP VERİLERİ'!$B:$B,A471,'[1]GİP VERİLERİ'!$M:$M,"40X000000104782K",'[1]GİP VERİLERİ'!$G:$G,"SELL")</f>
        <v/>
      </c>
      <c r="X471" s="34">
        <f>SUMIFS('[1]GİP VERİLERİ'!$C:$C,'[1]GİP VERİLERİ'!$B:$B,A471,'[1]GİP VERİLERİ'!$M:$M,"40X000000104782K",'[1]GİP VERİLERİ'!$G:$G,"BUY")</f>
        <v/>
      </c>
      <c r="Y471" s="34">
        <f>IFERROR(AA471/X471,0)</f>
        <v/>
      </c>
      <c r="Z471" s="34">
        <f>IF(Y471=0,0,F471-Y471)</f>
        <v/>
      </c>
      <c r="AA471" s="34">
        <f>SUMIFS('[1]GİP VERİLERİ'!$O:$O,'[1]GİP VERİLERİ'!$B:$B,A471,'[1]GİP VERİLERİ'!$M:$M,"40X000000104782K",'[1]GİP VERİLERİ'!$G:$G,"BUY")</f>
        <v/>
      </c>
      <c r="AB471" s="34">
        <f>'[1]GÖP VERİLERİ'!H472</f>
        <v/>
      </c>
      <c r="AC471" s="34">
        <f>'[1]GÖP VERİLERİ'!I472</f>
        <v/>
      </c>
      <c r="AD471" s="34">
        <f>IF(AB471&gt;AC471*1.05,AB471-AC471*1.05,IF(AB471&lt;AC471*0.95,AC471*0.95-AB471,0))</f>
        <v/>
      </c>
      <c r="AE471" s="34">
        <f>MAX(F471,G471,750)*0.05*AD471</f>
        <v/>
      </c>
      <c r="AF471" s="34">
        <f>'[1]GÖP VERİLERİ'!J472</f>
        <v/>
      </c>
      <c r="AG471" s="34">
        <f>IF(AB471&gt;AF471*1.05,AB471-AF471*1.05,IF(AB471&lt;AF471*0.95,AF471*0.95-AB471,0))</f>
        <v/>
      </c>
      <c r="AH471" s="34">
        <f>MAX(I471,J471,750)*0.05*AG471</f>
        <v/>
      </c>
      <c r="AI471">
        <f>'[1]GÖP VERİLERİ'!E472</f>
        <v/>
      </c>
      <c r="AJ471">
        <f>'[1]GÖP VERİLERİ'!F472</f>
        <v/>
      </c>
      <c r="AK471" s="34">
        <f>IF(AI471&gt;AJ471*1.05,AI471-AJ471*1.05,IF(AI471&lt;AJ471*0.95,AJ471*0.95-AI471,0))</f>
        <v/>
      </c>
      <c r="AL471" s="34">
        <f>MAX(F471,G471,750)*0.05*AK471</f>
        <v/>
      </c>
      <c r="AM471" s="39">
        <f>'[1]GÖP VERİLERİ'!G472</f>
        <v/>
      </c>
      <c r="AN471" s="34">
        <f>IF(AI471&gt;AM471*1.05,AI471-AM471*1.05,IF(AI471&lt;AM471*0.95,AM471*0.95-AI471,0))</f>
        <v/>
      </c>
      <c r="AO471" s="34">
        <f>MAX(F471,G471,750)*0.05*AN471</f>
        <v/>
      </c>
      <c r="AP471" s="34">
        <f>'[1]GÖP VERİLERİ'!B472</f>
        <v/>
      </c>
      <c r="AQ471" s="34">
        <f>'[1]GÖP VERİLERİ'!C472</f>
        <v/>
      </c>
      <c r="AR471" s="34">
        <f>IF(AP471&gt;AQ471*1.05,AP471-AQ471*1.05,IF(AP471&lt;AQ471*0.95,AQ471*0.95-AP471,0))</f>
        <v/>
      </c>
      <c r="AS471" s="34">
        <f>MAX(F471:G471,750)*0.05*AR471</f>
        <v/>
      </c>
      <c r="AT471">
        <f>'[1]GÖP VERİLERİ'!D472</f>
        <v/>
      </c>
      <c r="AU471" s="34">
        <f>IF(AP471&gt;AT471*1.05,AP471-AT471*1.05,IF(AP471&lt;AT471*0.95,AT471*0.95-AP471,0))</f>
        <v/>
      </c>
      <c r="AV471" s="34">
        <f>MAX(F471:G471,750)*0.05*AU471</f>
        <v/>
      </c>
      <c r="AW471" s="34">
        <f>AC471+AJ471+AQ471</f>
        <v/>
      </c>
      <c r="AX471" s="34">
        <f>AF471+AM471+AT471</f>
        <v/>
      </c>
      <c r="AY471" s="34">
        <f>AB471+AI471+AP471</f>
        <v/>
      </c>
      <c r="AZ471" s="34" t="n">
        <v>0</v>
      </c>
      <c r="BA471" s="34">
        <f>AD471+AK471+AR471</f>
        <v/>
      </c>
      <c r="BB471" s="34">
        <f>MAX(F471:G471,750)*0.05*BA471</f>
        <v/>
      </c>
      <c r="BC471" s="34">
        <f>AG471+AN471+AU471</f>
        <v/>
      </c>
      <c r="BD471" s="34">
        <f>MAX(F471:G471,750)*0.05*BC471</f>
        <v/>
      </c>
      <c r="BE471" s="34">
        <f>F471*AY471</f>
        <v/>
      </c>
      <c r="BF471" s="34">
        <f>K471-M471</f>
        <v/>
      </c>
      <c r="BG471" s="34">
        <f>P471-S471</f>
        <v/>
      </c>
      <c r="BH471" s="34">
        <f>W471-AA471</f>
        <v/>
      </c>
      <c r="BI471" s="34">
        <f>BF471+BG471+BL471-BN471</f>
        <v/>
      </c>
      <c r="BJ471" s="34">
        <f>ABS(BK471)</f>
        <v/>
      </c>
      <c r="BK471" s="34">
        <f>AY471-(J471-L471+N471-Q471)</f>
        <v/>
      </c>
      <c r="BL471" s="34">
        <f>IF(AND(BK471&gt;0,MIN($F471:$G471)&lt;150,$E471="Enerji Açığı"),-100*BK471*1.03,IF(AND(BK471&gt;0,MIN($F471:$G471)&lt;150,$E471="Enerji Fazlası"),-100*BK471*1.06,IF(AND(BK471&gt;0,MIN($F471:$G471)&gt;=150,$E471="Enerji Açığı"),BK471*MIN($F471:$G471)*0.97,IF(AND(BK471&gt;0,MIN($F471:$G471)&gt;=150,$E471="Enerji Fazlası"),BK471*MIN($F471:$G471)*0.94,IF(AND(BK471&lt;0,MAX($F471:$G471)=4500,$E471="Enerji Açığı"),4500*1.05*1.06*BK471,IF(AND(BK471&lt;0,MAX($F471:$G471)=4500,$E471="Enerji Fazlası"),4500*1.05*1.03*BK471,IF(AND(BK471&lt;0,$E471="Enerji Açığı"),MAX($F471,$G471,150)*BK471*1.06,IF(AND(BK471&lt;0,$E471="Enerji Fazlası"),MAX($F471,$G471,150)*BK471*1.03,IF(AND(BK471&lt;0,$E471="Dengede"),MAX($F471:$G471,150)*1.03*BK471,MIN($F471:$G471)*0.97*BK471)))))))))</f>
        <v/>
      </c>
      <c r="BM471" s="34">
        <f>BE471-BI471-BN471</f>
        <v/>
      </c>
      <c r="BN471" s="34">
        <f>BB471</f>
        <v/>
      </c>
      <c r="BO471" s="34">
        <f>BE471-BI471</f>
        <v/>
      </c>
      <c r="BP471" s="34">
        <f>IF(AY471=0,0,BO471/AY471)</f>
        <v/>
      </c>
      <c r="BQ471" s="34">
        <f>MAX((AY471+MAX((-J471+L471-N471+Q471),0)),(MAX((J471-L471+N471-Q471),0)))</f>
        <v/>
      </c>
      <c r="BR471" s="82">
        <f>IFERROR(ABS(BK471/BQ471),0)</f>
        <v/>
      </c>
      <c r="BS471" s="34">
        <f>IF(BR471&lt;=0.1,0,BK471/BR471*(BR471-0.1))</f>
        <v/>
      </c>
      <c r="BT471" s="34">
        <f>IF((BS471)&lt;0,MAX(F471:G471)*(BS471)*1.03,MIN(F471:G471)*(BS471)*0.97)</f>
        <v/>
      </c>
      <c r="BU471" s="34">
        <f>IF(BR471&gt;0.1,1,0)</f>
        <v/>
      </c>
      <c r="BV471" s="34">
        <f>BF471+BG471+BH471+BY471-CA471</f>
        <v/>
      </c>
      <c r="BW471" s="34">
        <f>ABS(BX471)</f>
        <v/>
      </c>
      <c r="BX471" s="34">
        <f>AY471-(J471-L471+N471-Q471+T471-X471)</f>
        <v/>
      </c>
      <c r="BY471" s="34">
        <f>IF(AND(BX471&gt;0,MIN($F471:$G471)&lt;150,$E471="Enerji Açığı"),-100*BX471*1.03,IF(AND(BX471&gt;0,MIN($F471:$G471)&lt;150,$E471="Enerji Fazlası"),-100*BX471*1.06,IF(AND(BX471&gt;0,MIN($F471:$G471)&gt;=150,$E471="Enerji Açığı"),BX471*MIN($F471:$G471)*0.97,IF(AND(BX471&gt;0,MIN($F471:$G471)&gt;=150,$E471="Enerji Fazlası"),BX471*MIN($F471:$G471)*0.94,IF(AND(BX471&lt;0,MAX($F471:$G471)=4500,$E471="Enerji Açığı"),4500*1.05*1.06*BX471,IF(AND(BX471&lt;0,MAX($F471:$G471)=4500,$E471="Enerji Fazlası"),4500*1.05*1.03*BX471,IF(AND(BX471&lt;0,$E471="Enerji Açığı"),MAX($F471,$G471,150)*BX471*1.06,IF(AND(BX471&lt;0,$E471="Enerji Fazlası"),MAX($F471,$G471,150)*BX471*1.03,IF(AND(BX471&lt;0,$E471="Dengede"),MAX($F471:$G471,150)*1.03*BX471,MIN($F471:$G471)*0.97*BX471)))))))))</f>
        <v/>
      </c>
      <c r="BZ471" s="34">
        <f>BE471-BV471-CA471</f>
        <v/>
      </c>
      <c r="CA471" s="34">
        <f>BD471</f>
        <v/>
      </c>
      <c r="CB471" s="33">
        <f>BE471-BV471</f>
        <v/>
      </c>
      <c r="CC471" s="34">
        <f>IF(AY471=0,0,CB471/AY471)</f>
        <v/>
      </c>
      <c r="CD471" s="34">
        <f>MAX((AY471+MAX((-J471+L471-N471+Q471-T471+X471),0)),(MAX((J471-L471+N471-Q471+T471-X471),0)))</f>
        <v/>
      </c>
      <c r="CE471" s="82">
        <f>IFERROR(ABS(BX471/CD471),0)</f>
        <v/>
      </c>
      <c r="CF471" s="34">
        <f>IF(CE471&lt;=0.1,0,BX471/CE471*(CE471-0.1))</f>
        <v/>
      </c>
      <c r="CG471" s="34">
        <f>IF((CF471)&lt;0,MAX(F471:G471)*(CF471)*1.03,MIN(F471:G471)*(CF471)*0.97)</f>
        <v/>
      </c>
      <c r="CH471" s="34">
        <f>IF(CE471&gt;0.1,1,0)</f>
        <v/>
      </c>
      <c r="CI471" s="34">
        <f>(F471*BX471)-BY471</f>
        <v/>
      </c>
      <c r="CJ471" s="34">
        <f>IF(AY471=0,0,CI471/AY471)</f>
        <v/>
      </c>
    </row>
    <row r="472">
      <c r="A472" s="29">
        <f>[1]FİYATLAR!A447</f>
        <v/>
      </c>
      <c r="B472" s="29">
        <f>[1]FİYATLAR!B447</f>
        <v/>
      </c>
      <c r="C472" s="35">
        <f>INT(A472)</f>
        <v/>
      </c>
      <c r="D472" s="36">
        <f>MONTH(A472)</f>
        <v/>
      </c>
      <c r="E472" s="147">
        <f>[1]FİYATLAR!G447</f>
        <v/>
      </c>
      <c r="F472" s="30">
        <f>[1]FİYATLAR!C447</f>
        <v/>
      </c>
      <c r="G472" s="30">
        <f>[1]FİYATLAR!E447</f>
        <v/>
      </c>
      <c r="H472" s="30">
        <f>[1]FİYATLAR!D447</f>
        <v/>
      </c>
      <c r="I472" s="30">
        <f>[1]FİYATLAR!F447</f>
        <v/>
      </c>
      <c r="J472" s="119" t="n">
        <v>0</v>
      </c>
      <c r="K472" s="34">
        <f>F472*J472</f>
        <v/>
      </c>
      <c r="L472" s="119" t="n"/>
      <c r="M472" s="34">
        <f>L472*F472</f>
        <v/>
      </c>
      <c r="N472" s="119" t="n"/>
      <c r="O472" s="34">
        <f>F472</f>
        <v/>
      </c>
      <c r="P472" s="34">
        <f>N472*O472</f>
        <v/>
      </c>
      <c r="Q472" s="117" t="n">
        <v>0</v>
      </c>
      <c r="R472" s="34">
        <f>F472</f>
        <v/>
      </c>
      <c r="S472" s="34">
        <f>R472*Q472</f>
        <v/>
      </c>
      <c r="T472" s="34">
        <f>SUMIFS('[1]GİP VERİLERİ'!$C:$C,'[1]GİP VERİLERİ'!$B:$B,A472,'[1]GİP VERİLERİ'!$M:$M,"40X000000104782K",'[1]GİP VERİLERİ'!$G:$G,"SELL")</f>
        <v/>
      </c>
      <c r="U472" s="34">
        <f>IFERROR(W472/T472,0)</f>
        <v/>
      </c>
      <c r="V472" s="34">
        <f>IF(U472=0,0,U472-F472)</f>
        <v/>
      </c>
      <c r="W472" s="34">
        <f>SUMIFS('[1]GİP VERİLERİ'!$O:$O,'[1]GİP VERİLERİ'!$B:$B,A472,'[1]GİP VERİLERİ'!$M:$M,"40X000000104782K",'[1]GİP VERİLERİ'!$G:$G,"SELL")</f>
        <v/>
      </c>
      <c r="X472" s="34">
        <f>SUMIFS('[1]GİP VERİLERİ'!$C:$C,'[1]GİP VERİLERİ'!$B:$B,A472,'[1]GİP VERİLERİ'!$M:$M,"40X000000104782K",'[1]GİP VERİLERİ'!$G:$G,"BUY")</f>
        <v/>
      </c>
      <c r="Y472" s="34">
        <f>IFERROR(AA472/X472,0)</f>
        <v/>
      </c>
      <c r="Z472" s="34">
        <f>IF(Y472=0,0,F472-Y472)</f>
        <v/>
      </c>
      <c r="AA472" s="34">
        <f>SUMIFS('[1]GİP VERİLERİ'!$O:$O,'[1]GİP VERİLERİ'!$B:$B,A472,'[1]GİP VERİLERİ'!$M:$M,"40X000000104782K",'[1]GİP VERİLERİ'!$G:$G,"BUY")</f>
        <v/>
      </c>
      <c r="AB472" s="34">
        <f>'[1]GÖP VERİLERİ'!H473</f>
        <v/>
      </c>
      <c r="AC472" s="34">
        <f>'[1]GÖP VERİLERİ'!I473</f>
        <v/>
      </c>
      <c r="AD472" s="34">
        <f>IF(AB472&gt;AC472*1.05,AB472-AC472*1.05,IF(AB472&lt;AC472*0.95,AC472*0.95-AB472,0))</f>
        <v/>
      </c>
      <c r="AE472" s="34">
        <f>MAX(F472,G472,750)*0.05*AD472</f>
        <v/>
      </c>
      <c r="AF472" s="34">
        <f>'[1]GÖP VERİLERİ'!J473</f>
        <v/>
      </c>
      <c r="AG472" s="34">
        <f>IF(AB472&gt;AF472*1.05,AB472-AF472*1.05,IF(AB472&lt;AF472*0.95,AF472*0.95-AB472,0))</f>
        <v/>
      </c>
      <c r="AH472" s="34">
        <f>MAX(I472,J472,750)*0.05*AG472</f>
        <v/>
      </c>
      <c r="AI472">
        <f>'[1]GÖP VERİLERİ'!E473</f>
        <v/>
      </c>
      <c r="AJ472">
        <f>'[1]GÖP VERİLERİ'!F473</f>
        <v/>
      </c>
      <c r="AK472" s="34">
        <f>IF(AI472&gt;AJ472*1.05,AI472-AJ472*1.05,IF(AI472&lt;AJ472*0.95,AJ472*0.95-AI472,0))</f>
        <v/>
      </c>
      <c r="AL472" s="34">
        <f>MAX(F472,G472,750)*0.05*AK472</f>
        <v/>
      </c>
      <c r="AM472" s="39">
        <f>'[1]GÖP VERİLERİ'!G473</f>
        <v/>
      </c>
      <c r="AN472" s="34">
        <f>IF(AI472&gt;AM472*1.05,AI472-AM472*1.05,IF(AI472&lt;AM472*0.95,AM472*0.95-AI472,0))</f>
        <v/>
      </c>
      <c r="AO472" s="34">
        <f>MAX(F472,G472,750)*0.05*AN472</f>
        <v/>
      </c>
      <c r="AP472" s="34">
        <f>'[1]GÖP VERİLERİ'!B473</f>
        <v/>
      </c>
      <c r="AQ472" s="34">
        <f>'[1]GÖP VERİLERİ'!C473</f>
        <v/>
      </c>
      <c r="AR472" s="34">
        <f>IF(AP472&gt;AQ472*1.05,AP472-AQ472*1.05,IF(AP472&lt;AQ472*0.95,AQ472*0.95-AP472,0))</f>
        <v/>
      </c>
      <c r="AS472" s="34">
        <f>MAX(F472:G472,750)*0.05*AR472</f>
        <v/>
      </c>
      <c r="AT472">
        <f>'[1]GÖP VERİLERİ'!D473</f>
        <v/>
      </c>
      <c r="AU472" s="34">
        <f>IF(AP472&gt;AT472*1.05,AP472-AT472*1.05,IF(AP472&lt;AT472*0.95,AT472*0.95-AP472,0))</f>
        <v/>
      </c>
      <c r="AV472" s="34">
        <f>MAX(F472:G472,750)*0.05*AU472</f>
        <v/>
      </c>
      <c r="AW472" s="34">
        <f>AC472+AJ472+AQ472</f>
        <v/>
      </c>
      <c r="AX472" s="34">
        <f>AF472+AM472+AT472</f>
        <v/>
      </c>
      <c r="AY472" s="34">
        <f>AB472+AI472+AP472</f>
        <v/>
      </c>
      <c r="AZ472" s="34" t="n">
        <v>0</v>
      </c>
      <c r="BA472" s="34">
        <f>AD472+AK472+AR472</f>
        <v/>
      </c>
      <c r="BB472" s="34">
        <f>MAX(F472:G472,750)*0.05*BA472</f>
        <v/>
      </c>
      <c r="BC472" s="34">
        <f>AG472+AN472+AU472</f>
        <v/>
      </c>
      <c r="BD472" s="34">
        <f>MAX(F472:G472,750)*0.05*BC472</f>
        <v/>
      </c>
      <c r="BE472" s="34">
        <f>F472*AY472</f>
        <v/>
      </c>
      <c r="BF472" s="34">
        <f>K472-M472</f>
        <v/>
      </c>
      <c r="BG472" s="34">
        <f>P472-S472</f>
        <v/>
      </c>
      <c r="BH472" s="34">
        <f>W472-AA472</f>
        <v/>
      </c>
      <c r="BI472" s="34">
        <f>BF472+BG472+BL472-BN472</f>
        <v/>
      </c>
      <c r="BJ472" s="34">
        <f>ABS(BK472)</f>
        <v/>
      </c>
      <c r="BK472" s="34">
        <f>AY472-(J472-L472+N472-Q472)</f>
        <v/>
      </c>
      <c r="BL472" s="34">
        <f>IF(AND(BK472&gt;0,MIN($F472:$G472)&lt;150,$E472="Enerji Açığı"),-100*BK472*1.03,IF(AND(BK472&gt;0,MIN($F472:$G472)&lt;150,$E472="Enerji Fazlası"),-100*BK472*1.06,IF(AND(BK472&gt;0,MIN($F472:$G472)&gt;=150,$E472="Enerji Açığı"),BK472*MIN($F472:$G472)*0.97,IF(AND(BK472&gt;0,MIN($F472:$G472)&gt;=150,$E472="Enerji Fazlası"),BK472*MIN($F472:$G472)*0.94,IF(AND(BK472&lt;0,MAX($F472:$G472)=4500,$E472="Enerji Açığı"),4500*1.05*1.06*BK472,IF(AND(BK472&lt;0,MAX($F472:$G472)=4500,$E472="Enerji Fazlası"),4500*1.05*1.03*BK472,IF(AND(BK472&lt;0,$E472="Enerji Açığı"),MAX($F472,$G472,150)*BK472*1.06,IF(AND(BK472&lt;0,$E472="Enerji Fazlası"),MAX($F472,$G472,150)*BK472*1.03,IF(AND(BK472&lt;0,$E472="Dengede"),MAX($F472:$G472,150)*1.03*BK472,MIN($F472:$G472)*0.97*BK472)))))))))</f>
        <v/>
      </c>
      <c r="BM472" s="34">
        <f>BE472-BI472-BN472</f>
        <v/>
      </c>
      <c r="BN472" s="34">
        <f>BB472</f>
        <v/>
      </c>
      <c r="BO472" s="34">
        <f>BE472-BI472</f>
        <v/>
      </c>
      <c r="BP472" s="34">
        <f>IF(AY472=0,0,BO472/AY472)</f>
        <v/>
      </c>
      <c r="BQ472" s="34">
        <f>MAX((AY472+MAX((-J472+L472-N472+Q472),0)),(MAX((J472-L472+N472-Q472),0)))</f>
        <v/>
      </c>
      <c r="BR472" s="82">
        <f>IFERROR(ABS(BK472/BQ472),0)</f>
        <v/>
      </c>
      <c r="BS472" s="34">
        <f>IF(BR472&lt;=0.1,0,BK472/BR472*(BR472-0.1))</f>
        <v/>
      </c>
      <c r="BT472" s="34">
        <f>IF((BS472)&lt;0,MAX(F472:G472)*(BS472)*1.03,MIN(F472:G472)*(BS472)*0.97)</f>
        <v/>
      </c>
      <c r="BU472" s="34">
        <f>IF(BR472&gt;0.1,1,0)</f>
        <v/>
      </c>
      <c r="BV472" s="34">
        <f>BF472+BG472+BH472+BY472-CA472</f>
        <v/>
      </c>
      <c r="BW472" s="34">
        <f>ABS(BX472)</f>
        <v/>
      </c>
      <c r="BX472" s="34">
        <f>AY472-(J472-L472+N472-Q472+T472-X472)</f>
        <v/>
      </c>
      <c r="BY472" s="34">
        <f>IF(AND(BX472&gt;0,MIN($F472:$G472)&lt;150,$E472="Enerji Açığı"),-100*BX472*1.03,IF(AND(BX472&gt;0,MIN($F472:$G472)&lt;150,$E472="Enerji Fazlası"),-100*BX472*1.06,IF(AND(BX472&gt;0,MIN($F472:$G472)&gt;=150,$E472="Enerji Açığı"),BX472*MIN($F472:$G472)*0.97,IF(AND(BX472&gt;0,MIN($F472:$G472)&gt;=150,$E472="Enerji Fazlası"),BX472*MIN($F472:$G472)*0.94,IF(AND(BX472&lt;0,MAX($F472:$G472)=4500,$E472="Enerji Açığı"),4500*1.05*1.06*BX472,IF(AND(BX472&lt;0,MAX($F472:$G472)=4500,$E472="Enerji Fazlası"),4500*1.05*1.03*BX472,IF(AND(BX472&lt;0,$E472="Enerji Açığı"),MAX($F472,$G472,150)*BX472*1.06,IF(AND(BX472&lt;0,$E472="Enerji Fazlası"),MAX($F472,$G472,150)*BX472*1.03,IF(AND(BX472&lt;0,$E472="Dengede"),MAX($F472:$G472,150)*1.03*BX472,MIN($F472:$G472)*0.97*BX472)))))))))</f>
        <v/>
      </c>
      <c r="BZ472" s="34">
        <f>BE472-BV472-CA472</f>
        <v/>
      </c>
      <c r="CA472" s="34">
        <f>BD472</f>
        <v/>
      </c>
      <c r="CB472" s="33">
        <f>BE472-BV472</f>
        <v/>
      </c>
      <c r="CC472" s="34">
        <f>IF(AY472=0,0,CB472/AY472)</f>
        <v/>
      </c>
      <c r="CD472" s="34">
        <f>MAX((AY472+MAX((-J472+L472-N472+Q472-T472+X472),0)),(MAX((J472-L472+N472-Q472+T472-X472),0)))</f>
        <v/>
      </c>
      <c r="CE472" s="82">
        <f>IFERROR(ABS(BX472/CD472),0)</f>
        <v/>
      </c>
      <c r="CF472" s="34">
        <f>IF(CE472&lt;=0.1,0,BX472/CE472*(CE472-0.1))</f>
        <v/>
      </c>
      <c r="CG472" s="34">
        <f>IF((CF472)&lt;0,MAX(F472:G472)*(CF472)*1.03,MIN(F472:G472)*(CF472)*0.97)</f>
        <v/>
      </c>
      <c r="CH472" s="34">
        <f>IF(CE472&gt;0.1,1,0)</f>
        <v/>
      </c>
      <c r="CI472" s="34">
        <f>(F472*BX472)-BY472</f>
        <v/>
      </c>
      <c r="CJ472" s="34">
        <f>IF(AY472=0,0,CI472/AY472)</f>
        <v/>
      </c>
    </row>
    <row r="473">
      <c r="A473" s="29">
        <f>[1]FİYATLAR!A448</f>
        <v/>
      </c>
      <c r="B473" s="29">
        <f>[1]FİYATLAR!B448</f>
        <v/>
      </c>
      <c r="C473" s="35">
        <f>INT(A473)</f>
        <v/>
      </c>
      <c r="D473" s="36">
        <f>MONTH(A473)</f>
        <v/>
      </c>
      <c r="E473" s="147">
        <f>[1]FİYATLAR!G448</f>
        <v/>
      </c>
      <c r="F473" s="30">
        <f>[1]FİYATLAR!C448</f>
        <v/>
      </c>
      <c r="G473" s="30">
        <f>[1]FİYATLAR!E448</f>
        <v/>
      </c>
      <c r="H473" s="30">
        <f>[1]FİYATLAR!D448</f>
        <v/>
      </c>
      <c r="I473" s="30">
        <f>[1]FİYATLAR!F448</f>
        <v/>
      </c>
      <c r="J473" s="119" t="n">
        <v>0</v>
      </c>
      <c r="K473" s="34">
        <f>F473*J473</f>
        <v/>
      </c>
      <c r="L473" s="119" t="n"/>
      <c r="M473" s="34">
        <f>L473*F473</f>
        <v/>
      </c>
      <c r="N473" s="119" t="n"/>
      <c r="O473" s="34">
        <f>F473</f>
        <v/>
      </c>
      <c r="P473" s="34">
        <f>N473*O473</f>
        <v/>
      </c>
      <c r="Q473" s="117" t="n">
        <v>0</v>
      </c>
      <c r="R473" s="34">
        <f>F473</f>
        <v/>
      </c>
      <c r="S473" s="34">
        <f>R473*Q473</f>
        <v/>
      </c>
      <c r="T473" s="34">
        <f>SUMIFS('[1]GİP VERİLERİ'!$C:$C,'[1]GİP VERİLERİ'!$B:$B,A473,'[1]GİP VERİLERİ'!$M:$M,"40X000000104782K",'[1]GİP VERİLERİ'!$G:$G,"SELL")</f>
        <v/>
      </c>
      <c r="U473" s="34">
        <f>IFERROR(W473/T473,0)</f>
        <v/>
      </c>
      <c r="V473" s="34">
        <f>IF(U473=0,0,U473-F473)</f>
        <v/>
      </c>
      <c r="W473" s="34">
        <f>SUMIFS('[1]GİP VERİLERİ'!$O:$O,'[1]GİP VERİLERİ'!$B:$B,A473,'[1]GİP VERİLERİ'!$M:$M,"40X000000104782K",'[1]GİP VERİLERİ'!$G:$G,"SELL")</f>
        <v/>
      </c>
      <c r="X473" s="34">
        <f>SUMIFS('[1]GİP VERİLERİ'!$C:$C,'[1]GİP VERİLERİ'!$B:$B,A473,'[1]GİP VERİLERİ'!$M:$M,"40X000000104782K",'[1]GİP VERİLERİ'!$G:$G,"BUY")</f>
        <v/>
      </c>
      <c r="Y473" s="34">
        <f>IFERROR(AA473/X473,0)</f>
        <v/>
      </c>
      <c r="Z473" s="34">
        <f>IF(Y473=0,0,F473-Y473)</f>
        <v/>
      </c>
      <c r="AA473" s="34">
        <f>SUMIFS('[1]GİP VERİLERİ'!$O:$O,'[1]GİP VERİLERİ'!$B:$B,A473,'[1]GİP VERİLERİ'!$M:$M,"40X000000104782K",'[1]GİP VERİLERİ'!$G:$G,"BUY")</f>
        <v/>
      </c>
      <c r="AB473" s="34">
        <f>'[1]GÖP VERİLERİ'!H474</f>
        <v/>
      </c>
      <c r="AC473" s="34">
        <f>'[1]GÖP VERİLERİ'!I474</f>
        <v/>
      </c>
      <c r="AD473" s="34">
        <f>IF(AB473&gt;AC473*1.05,AB473-AC473*1.05,IF(AB473&lt;AC473*0.95,AC473*0.95-AB473,0))</f>
        <v/>
      </c>
      <c r="AE473" s="34">
        <f>MAX(F473,G473,750)*0.05*AD473</f>
        <v/>
      </c>
      <c r="AF473" s="34">
        <f>'[1]GÖP VERİLERİ'!J474</f>
        <v/>
      </c>
      <c r="AG473" s="34">
        <f>IF(AB473&gt;AF473*1.05,AB473-AF473*1.05,IF(AB473&lt;AF473*0.95,AF473*0.95-AB473,0))</f>
        <v/>
      </c>
      <c r="AH473" s="34">
        <f>MAX(I473,J473,750)*0.05*AG473</f>
        <v/>
      </c>
      <c r="AI473">
        <f>'[1]GÖP VERİLERİ'!E474</f>
        <v/>
      </c>
      <c r="AJ473">
        <f>'[1]GÖP VERİLERİ'!F474</f>
        <v/>
      </c>
      <c r="AK473" s="34">
        <f>IF(AI473&gt;AJ473*1.05,AI473-AJ473*1.05,IF(AI473&lt;AJ473*0.95,AJ473*0.95-AI473,0))</f>
        <v/>
      </c>
      <c r="AL473" s="34">
        <f>MAX(F473,G473,750)*0.05*AK473</f>
        <v/>
      </c>
      <c r="AM473" s="39">
        <f>'[1]GÖP VERİLERİ'!G474</f>
        <v/>
      </c>
      <c r="AN473" s="34">
        <f>IF(AI473&gt;AM473*1.05,AI473-AM473*1.05,IF(AI473&lt;AM473*0.95,AM473*0.95-AI473,0))</f>
        <v/>
      </c>
      <c r="AO473" s="34">
        <f>MAX(F473,G473,750)*0.05*AN473</f>
        <v/>
      </c>
      <c r="AP473" s="34">
        <f>'[1]GÖP VERİLERİ'!B474</f>
        <v/>
      </c>
      <c r="AQ473" s="34">
        <f>'[1]GÖP VERİLERİ'!C474</f>
        <v/>
      </c>
      <c r="AR473" s="34">
        <f>IF(AP473&gt;AQ473*1.05,AP473-AQ473*1.05,IF(AP473&lt;AQ473*0.95,AQ473*0.95-AP473,0))</f>
        <v/>
      </c>
      <c r="AS473" s="34">
        <f>MAX(F473:G473,750)*0.05*AR473</f>
        <v/>
      </c>
      <c r="AT473">
        <f>'[1]GÖP VERİLERİ'!D474</f>
        <v/>
      </c>
      <c r="AU473" s="34">
        <f>IF(AP473&gt;AT473*1.05,AP473-AT473*1.05,IF(AP473&lt;AT473*0.95,AT473*0.95-AP473,0))</f>
        <v/>
      </c>
      <c r="AV473" s="34">
        <f>MAX(F473:G473,750)*0.05*AU473</f>
        <v/>
      </c>
      <c r="AW473" s="34">
        <f>AC473+AJ473+AQ473</f>
        <v/>
      </c>
      <c r="AX473" s="34">
        <f>AF473+AM473+AT473</f>
        <v/>
      </c>
      <c r="AY473" s="34">
        <f>AB473+AI473+AP473</f>
        <v/>
      </c>
      <c r="AZ473" s="34" t="n">
        <v>0</v>
      </c>
      <c r="BA473" s="34">
        <f>AD473+AK473+AR473</f>
        <v/>
      </c>
      <c r="BB473" s="34">
        <f>MAX(F473:G473,750)*0.05*BA473</f>
        <v/>
      </c>
      <c r="BC473" s="34">
        <f>AG473+AN473+AU473</f>
        <v/>
      </c>
      <c r="BD473" s="34">
        <f>MAX(F473:G473,750)*0.05*BC473</f>
        <v/>
      </c>
      <c r="BE473" s="34">
        <f>F473*AY473</f>
        <v/>
      </c>
      <c r="BF473" s="34">
        <f>K473-M473</f>
        <v/>
      </c>
      <c r="BG473" s="34">
        <f>P473-S473</f>
        <v/>
      </c>
      <c r="BH473" s="34">
        <f>W473-AA473</f>
        <v/>
      </c>
      <c r="BI473" s="34">
        <f>BF473+BG473+BL473-BN473</f>
        <v/>
      </c>
      <c r="BJ473" s="34">
        <f>ABS(BK473)</f>
        <v/>
      </c>
      <c r="BK473" s="34">
        <f>AY473-(J473-L473+N473-Q473)</f>
        <v/>
      </c>
      <c r="BL473" s="34">
        <f>IF(AND(BK473&gt;0,MIN($F473:$G473)&lt;150,$E473="Enerji Açığı"),-100*BK473*1.03,IF(AND(BK473&gt;0,MIN($F473:$G473)&lt;150,$E473="Enerji Fazlası"),-100*BK473*1.06,IF(AND(BK473&gt;0,MIN($F473:$G473)&gt;=150,$E473="Enerji Açığı"),BK473*MIN($F473:$G473)*0.97,IF(AND(BK473&gt;0,MIN($F473:$G473)&gt;=150,$E473="Enerji Fazlası"),BK473*MIN($F473:$G473)*0.94,IF(AND(BK473&lt;0,MAX($F473:$G473)=4500,$E473="Enerji Açığı"),4500*1.05*1.06*BK473,IF(AND(BK473&lt;0,MAX($F473:$G473)=4500,$E473="Enerji Fazlası"),4500*1.05*1.03*BK473,IF(AND(BK473&lt;0,$E473="Enerji Açığı"),MAX($F473,$G473,150)*BK473*1.06,IF(AND(BK473&lt;0,$E473="Enerji Fazlası"),MAX($F473,$G473,150)*BK473*1.03,IF(AND(BK473&lt;0,$E473="Dengede"),MAX($F473:$G473,150)*1.03*BK473,MIN($F473:$G473)*0.97*BK473)))))))))</f>
        <v/>
      </c>
      <c r="BM473" s="34">
        <f>BE473-BI473-BN473</f>
        <v/>
      </c>
      <c r="BN473" s="34">
        <f>BB473</f>
        <v/>
      </c>
      <c r="BO473" s="34">
        <f>BE473-BI473</f>
        <v/>
      </c>
      <c r="BP473" s="34">
        <f>IF(AY473=0,0,BO473/AY473)</f>
        <v/>
      </c>
      <c r="BQ473" s="34">
        <f>MAX((AY473+MAX((-J473+L473-N473+Q473),0)),(MAX((J473-L473+N473-Q473),0)))</f>
        <v/>
      </c>
      <c r="BR473" s="82">
        <f>IFERROR(ABS(BK473/BQ473),0)</f>
        <v/>
      </c>
      <c r="BS473" s="34">
        <f>IF(BR473&lt;=0.1,0,BK473/BR473*(BR473-0.1))</f>
        <v/>
      </c>
      <c r="BT473" s="34">
        <f>IF((BS473)&lt;0,MAX(F473:G473)*(BS473)*1.03,MIN(F473:G473)*(BS473)*0.97)</f>
        <v/>
      </c>
      <c r="BU473" s="34">
        <f>IF(BR473&gt;0.1,1,0)</f>
        <v/>
      </c>
      <c r="BV473" s="34">
        <f>BF473+BG473+BH473+BY473-CA473</f>
        <v/>
      </c>
      <c r="BW473" s="34">
        <f>ABS(BX473)</f>
        <v/>
      </c>
      <c r="BX473" s="34">
        <f>AY473-(J473-L473+N473-Q473+T473-X473)</f>
        <v/>
      </c>
      <c r="BY473" s="34">
        <f>IF(AND(BX473&gt;0,MIN($F473:$G473)&lt;150,$E473="Enerji Açığı"),-100*BX473*1.03,IF(AND(BX473&gt;0,MIN($F473:$G473)&lt;150,$E473="Enerji Fazlası"),-100*BX473*1.06,IF(AND(BX473&gt;0,MIN($F473:$G473)&gt;=150,$E473="Enerji Açığı"),BX473*MIN($F473:$G473)*0.97,IF(AND(BX473&gt;0,MIN($F473:$G473)&gt;=150,$E473="Enerji Fazlası"),BX473*MIN($F473:$G473)*0.94,IF(AND(BX473&lt;0,MAX($F473:$G473)=4500,$E473="Enerji Açığı"),4500*1.05*1.06*BX473,IF(AND(BX473&lt;0,MAX($F473:$G473)=4500,$E473="Enerji Fazlası"),4500*1.05*1.03*BX473,IF(AND(BX473&lt;0,$E473="Enerji Açığı"),MAX($F473,$G473,150)*BX473*1.06,IF(AND(BX473&lt;0,$E473="Enerji Fazlası"),MAX($F473,$G473,150)*BX473*1.03,IF(AND(BX473&lt;0,$E473="Dengede"),MAX($F473:$G473,150)*1.03*BX473,MIN($F473:$G473)*0.97*BX473)))))))))</f>
        <v/>
      </c>
      <c r="BZ473" s="34">
        <f>BE473-BV473-CA473</f>
        <v/>
      </c>
      <c r="CA473" s="34">
        <f>BD473</f>
        <v/>
      </c>
      <c r="CB473" s="33">
        <f>BE473-BV473</f>
        <v/>
      </c>
      <c r="CC473" s="34">
        <f>IF(AY473=0,0,CB473/AY473)</f>
        <v/>
      </c>
      <c r="CD473" s="34">
        <f>MAX((AY473+MAX((-J473+L473-N473+Q473-T473+X473),0)),(MAX((J473-L473+N473-Q473+T473-X473),0)))</f>
        <v/>
      </c>
      <c r="CE473" s="82">
        <f>IFERROR(ABS(BX473/CD473),0)</f>
        <v/>
      </c>
      <c r="CF473" s="34">
        <f>IF(CE473&lt;=0.1,0,BX473/CE473*(CE473-0.1))</f>
        <v/>
      </c>
      <c r="CG473" s="34">
        <f>IF((CF473)&lt;0,MAX(F473:G473)*(CF473)*1.03,MIN(F473:G473)*(CF473)*0.97)</f>
        <v/>
      </c>
      <c r="CH473" s="34">
        <f>IF(CE473&gt;0.1,1,0)</f>
        <v/>
      </c>
      <c r="CI473" s="34">
        <f>(F473*BX473)-BY473</f>
        <v/>
      </c>
      <c r="CJ473" s="34">
        <f>IF(AY473=0,0,CI473/AY473)</f>
        <v/>
      </c>
    </row>
    <row r="474">
      <c r="A474" s="29">
        <f>[1]FİYATLAR!A449</f>
        <v/>
      </c>
      <c r="B474" s="29">
        <f>[1]FİYATLAR!B449</f>
        <v/>
      </c>
      <c r="C474" s="35">
        <f>INT(A474)</f>
        <v/>
      </c>
      <c r="D474" s="36">
        <f>MONTH(A474)</f>
        <v/>
      </c>
      <c r="E474" s="147">
        <f>[1]FİYATLAR!G449</f>
        <v/>
      </c>
      <c r="F474" s="30">
        <f>[1]FİYATLAR!C449</f>
        <v/>
      </c>
      <c r="G474" s="30">
        <f>[1]FİYATLAR!E449</f>
        <v/>
      </c>
      <c r="H474" s="30">
        <f>[1]FİYATLAR!D449</f>
        <v/>
      </c>
      <c r="I474" s="30">
        <f>[1]FİYATLAR!F449</f>
        <v/>
      </c>
      <c r="J474" s="119" t="n">
        <v>0</v>
      </c>
      <c r="K474" s="34">
        <f>F474*J474</f>
        <v/>
      </c>
      <c r="L474" s="119" t="n"/>
      <c r="M474" s="34">
        <f>L474*F474</f>
        <v/>
      </c>
      <c r="N474" s="119" t="n"/>
      <c r="O474" s="34">
        <f>F474</f>
        <v/>
      </c>
      <c r="P474" s="34">
        <f>N474*O474</f>
        <v/>
      </c>
      <c r="Q474" s="117" t="n">
        <v>0</v>
      </c>
      <c r="R474" s="34">
        <f>F474</f>
        <v/>
      </c>
      <c r="S474" s="34">
        <f>R474*Q474</f>
        <v/>
      </c>
      <c r="T474" s="34">
        <f>SUMIFS('[1]GİP VERİLERİ'!$C:$C,'[1]GİP VERİLERİ'!$B:$B,A474,'[1]GİP VERİLERİ'!$M:$M,"40X000000104782K",'[1]GİP VERİLERİ'!$G:$G,"SELL")</f>
        <v/>
      </c>
      <c r="U474" s="34">
        <f>IFERROR(W474/T474,0)</f>
        <v/>
      </c>
      <c r="V474" s="34">
        <f>IF(U474=0,0,U474-F474)</f>
        <v/>
      </c>
      <c r="W474" s="34">
        <f>SUMIFS('[1]GİP VERİLERİ'!$O:$O,'[1]GİP VERİLERİ'!$B:$B,A474,'[1]GİP VERİLERİ'!$M:$M,"40X000000104782K",'[1]GİP VERİLERİ'!$G:$G,"SELL")</f>
        <v/>
      </c>
      <c r="X474" s="34">
        <f>SUMIFS('[1]GİP VERİLERİ'!$C:$C,'[1]GİP VERİLERİ'!$B:$B,A474,'[1]GİP VERİLERİ'!$M:$M,"40X000000104782K",'[1]GİP VERİLERİ'!$G:$G,"BUY")</f>
        <v/>
      </c>
      <c r="Y474" s="34">
        <f>IFERROR(AA474/X474,0)</f>
        <v/>
      </c>
      <c r="Z474" s="34">
        <f>IF(Y474=0,0,F474-Y474)</f>
        <v/>
      </c>
      <c r="AA474" s="34">
        <f>SUMIFS('[1]GİP VERİLERİ'!$O:$O,'[1]GİP VERİLERİ'!$B:$B,A474,'[1]GİP VERİLERİ'!$M:$M,"40X000000104782K",'[1]GİP VERİLERİ'!$G:$G,"BUY")</f>
        <v/>
      </c>
      <c r="AB474" s="34">
        <f>'[1]GÖP VERİLERİ'!H475</f>
        <v/>
      </c>
      <c r="AC474" s="34">
        <f>'[1]GÖP VERİLERİ'!I475</f>
        <v/>
      </c>
      <c r="AD474" s="34">
        <f>IF(AB474&gt;AC474*1.05,AB474-AC474*1.05,IF(AB474&lt;AC474*0.95,AC474*0.95-AB474,0))</f>
        <v/>
      </c>
      <c r="AE474" s="34">
        <f>MAX(F474,G474,750)*0.05*AD474</f>
        <v/>
      </c>
      <c r="AF474" s="34">
        <f>'[1]GÖP VERİLERİ'!J475</f>
        <v/>
      </c>
      <c r="AG474" s="34">
        <f>IF(AB474&gt;AF474*1.05,AB474-AF474*1.05,IF(AB474&lt;AF474*0.95,AF474*0.95-AB474,0))</f>
        <v/>
      </c>
      <c r="AH474" s="34">
        <f>MAX(I474,J474,750)*0.05*AG474</f>
        <v/>
      </c>
      <c r="AI474">
        <f>'[1]GÖP VERİLERİ'!E475</f>
        <v/>
      </c>
      <c r="AJ474">
        <f>'[1]GÖP VERİLERİ'!F475</f>
        <v/>
      </c>
      <c r="AK474" s="34">
        <f>IF(AI474&gt;AJ474*1.05,AI474-AJ474*1.05,IF(AI474&lt;AJ474*0.95,AJ474*0.95-AI474,0))</f>
        <v/>
      </c>
      <c r="AL474" s="34">
        <f>MAX(F474,G474,750)*0.05*AK474</f>
        <v/>
      </c>
      <c r="AM474" s="39">
        <f>'[1]GÖP VERİLERİ'!G475</f>
        <v/>
      </c>
      <c r="AN474" s="34">
        <f>IF(AI474&gt;AM474*1.05,AI474-AM474*1.05,IF(AI474&lt;AM474*0.95,AM474*0.95-AI474,0))</f>
        <v/>
      </c>
      <c r="AO474" s="34">
        <f>MAX(F474,G474,750)*0.05*AN474</f>
        <v/>
      </c>
      <c r="AP474" s="34">
        <f>'[1]GÖP VERİLERİ'!B475</f>
        <v/>
      </c>
      <c r="AQ474" s="34">
        <f>'[1]GÖP VERİLERİ'!C475</f>
        <v/>
      </c>
      <c r="AR474" s="34">
        <f>IF(AP474&gt;AQ474*1.05,AP474-AQ474*1.05,IF(AP474&lt;AQ474*0.95,AQ474*0.95-AP474,0))</f>
        <v/>
      </c>
      <c r="AS474" s="34">
        <f>MAX(F474:G474,750)*0.05*AR474</f>
        <v/>
      </c>
      <c r="AT474">
        <f>'[1]GÖP VERİLERİ'!D475</f>
        <v/>
      </c>
      <c r="AU474" s="34">
        <f>IF(AP474&gt;AT474*1.05,AP474-AT474*1.05,IF(AP474&lt;AT474*0.95,AT474*0.95-AP474,0))</f>
        <v/>
      </c>
      <c r="AV474" s="34">
        <f>MAX(F474:G474,750)*0.05*AU474</f>
        <v/>
      </c>
      <c r="AW474" s="34">
        <f>AC474+AJ474+AQ474</f>
        <v/>
      </c>
      <c r="AX474" s="34">
        <f>AF474+AM474+AT474</f>
        <v/>
      </c>
      <c r="AY474" s="34">
        <f>AB474+AI474+AP474</f>
        <v/>
      </c>
      <c r="AZ474" s="34" t="n">
        <v>0</v>
      </c>
      <c r="BA474" s="34">
        <f>AD474+AK474+AR474</f>
        <v/>
      </c>
      <c r="BB474" s="34">
        <f>MAX(F474:G474,750)*0.05*BA474</f>
        <v/>
      </c>
      <c r="BC474" s="34">
        <f>AG474+AN474+AU474</f>
        <v/>
      </c>
      <c r="BD474" s="34">
        <f>MAX(F474:G474,750)*0.05*BC474</f>
        <v/>
      </c>
      <c r="BE474" s="34">
        <f>F474*AY474</f>
        <v/>
      </c>
      <c r="BF474" s="34">
        <f>K474-M474</f>
        <v/>
      </c>
      <c r="BG474" s="34">
        <f>P474-S474</f>
        <v/>
      </c>
      <c r="BH474" s="34">
        <f>W474-AA474</f>
        <v/>
      </c>
      <c r="BI474" s="34">
        <f>BF474+BG474+BL474-BN474</f>
        <v/>
      </c>
      <c r="BJ474" s="34">
        <f>ABS(BK474)</f>
        <v/>
      </c>
      <c r="BK474" s="34">
        <f>AY474-(J474-L474+N474-Q474)</f>
        <v/>
      </c>
      <c r="BL474" s="34">
        <f>IF(AND(BK474&gt;0,MIN($F474:$G474)&lt;150,$E474="Enerji Açığı"),-100*BK474*1.03,IF(AND(BK474&gt;0,MIN($F474:$G474)&lt;150,$E474="Enerji Fazlası"),-100*BK474*1.06,IF(AND(BK474&gt;0,MIN($F474:$G474)&gt;=150,$E474="Enerji Açığı"),BK474*MIN($F474:$G474)*0.97,IF(AND(BK474&gt;0,MIN($F474:$G474)&gt;=150,$E474="Enerji Fazlası"),BK474*MIN($F474:$G474)*0.94,IF(AND(BK474&lt;0,MAX($F474:$G474)=4500,$E474="Enerji Açığı"),4500*1.05*1.06*BK474,IF(AND(BK474&lt;0,MAX($F474:$G474)=4500,$E474="Enerji Fazlası"),4500*1.05*1.03*BK474,IF(AND(BK474&lt;0,$E474="Enerji Açığı"),MAX($F474,$G474,150)*BK474*1.06,IF(AND(BK474&lt;0,$E474="Enerji Fazlası"),MAX($F474,$G474,150)*BK474*1.03,IF(AND(BK474&lt;0,$E474="Dengede"),MAX($F474:$G474,150)*1.03*BK474,MIN($F474:$G474)*0.97*BK474)))))))))</f>
        <v/>
      </c>
      <c r="BM474" s="34">
        <f>BE474-BI474-BN474</f>
        <v/>
      </c>
      <c r="BN474" s="34">
        <f>BB474</f>
        <v/>
      </c>
      <c r="BO474" s="34">
        <f>BE474-BI474</f>
        <v/>
      </c>
      <c r="BP474" s="34">
        <f>IF(AY474=0,0,BO474/AY474)</f>
        <v/>
      </c>
      <c r="BQ474" s="34">
        <f>MAX((AY474+MAX((-J474+L474-N474+Q474),0)),(MAX((J474-L474+N474-Q474),0)))</f>
        <v/>
      </c>
      <c r="BR474" s="82">
        <f>IFERROR(ABS(BK474/BQ474),0)</f>
        <v/>
      </c>
      <c r="BS474" s="34">
        <f>IF(BR474&lt;=0.1,0,BK474/BR474*(BR474-0.1))</f>
        <v/>
      </c>
      <c r="BT474" s="34">
        <f>IF((BS474)&lt;0,MAX(F474:G474)*(BS474)*1.03,MIN(F474:G474)*(BS474)*0.97)</f>
        <v/>
      </c>
      <c r="BU474" s="34">
        <f>IF(BR474&gt;0.1,1,0)</f>
        <v/>
      </c>
      <c r="BV474" s="34">
        <f>BF474+BG474+BH474+BY474-CA474</f>
        <v/>
      </c>
      <c r="BW474" s="34">
        <f>ABS(BX474)</f>
        <v/>
      </c>
      <c r="BX474" s="34">
        <f>AY474-(J474-L474+N474-Q474+T474-X474)</f>
        <v/>
      </c>
      <c r="BY474" s="34">
        <f>IF(AND(BX474&gt;0,MIN($F474:$G474)&lt;150,$E474="Enerji Açığı"),-100*BX474*1.03,IF(AND(BX474&gt;0,MIN($F474:$G474)&lt;150,$E474="Enerji Fazlası"),-100*BX474*1.06,IF(AND(BX474&gt;0,MIN($F474:$G474)&gt;=150,$E474="Enerji Açığı"),BX474*MIN($F474:$G474)*0.97,IF(AND(BX474&gt;0,MIN($F474:$G474)&gt;=150,$E474="Enerji Fazlası"),BX474*MIN($F474:$G474)*0.94,IF(AND(BX474&lt;0,MAX($F474:$G474)=4500,$E474="Enerji Açığı"),4500*1.05*1.06*BX474,IF(AND(BX474&lt;0,MAX($F474:$G474)=4500,$E474="Enerji Fazlası"),4500*1.05*1.03*BX474,IF(AND(BX474&lt;0,$E474="Enerji Açığı"),MAX($F474,$G474,150)*BX474*1.06,IF(AND(BX474&lt;0,$E474="Enerji Fazlası"),MAX($F474,$G474,150)*BX474*1.03,IF(AND(BX474&lt;0,$E474="Dengede"),MAX($F474:$G474,150)*1.03*BX474,MIN($F474:$G474)*0.97*BX474)))))))))</f>
        <v/>
      </c>
      <c r="BZ474" s="34">
        <f>BE474-BV474-CA474</f>
        <v/>
      </c>
      <c r="CA474" s="34">
        <f>BD474</f>
        <v/>
      </c>
      <c r="CB474" s="33">
        <f>BE474-BV474</f>
        <v/>
      </c>
      <c r="CC474" s="34">
        <f>IF(AY474=0,0,CB474/AY474)</f>
        <v/>
      </c>
      <c r="CD474" s="34">
        <f>MAX((AY474+MAX((-J474+L474-N474+Q474-T474+X474),0)),(MAX((J474-L474+N474-Q474+T474-X474),0)))</f>
        <v/>
      </c>
      <c r="CE474" s="82">
        <f>IFERROR(ABS(BX474/CD474),0)</f>
        <v/>
      </c>
      <c r="CF474" s="34">
        <f>IF(CE474&lt;=0.1,0,BX474/CE474*(CE474-0.1))</f>
        <v/>
      </c>
      <c r="CG474" s="34">
        <f>IF((CF474)&lt;0,MAX(F474:G474)*(CF474)*1.03,MIN(F474:G474)*(CF474)*0.97)</f>
        <v/>
      </c>
      <c r="CH474" s="34">
        <f>IF(CE474&gt;0.1,1,0)</f>
        <v/>
      </c>
      <c r="CI474" s="34">
        <f>(F474*BX474)-BY474</f>
        <v/>
      </c>
      <c r="CJ474" s="34">
        <f>IF(AY474=0,0,CI474/AY474)</f>
        <v/>
      </c>
    </row>
    <row r="475">
      <c r="A475" s="29">
        <f>[1]FİYATLAR!A450</f>
        <v/>
      </c>
      <c r="B475" s="29">
        <f>[1]FİYATLAR!B450</f>
        <v/>
      </c>
      <c r="C475" s="35">
        <f>INT(A475)</f>
        <v/>
      </c>
      <c r="D475" s="36">
        <f>MONTH(A475)</f>
        <v/>
      </c>
      <c r="E475" s="147">
        <f>[1]FİYATLAR!G450</f>
        <v/>
      </c>
      <c r="F475" s="30">
        <f>[1]FİYATLAR!C450</f>
        <v/>
      </c>
      <c r="G475" s="30">
        <f>[1]FİYATLAR!E450</f>
        <v/>
      </c>
      <c r="H475" s="30">
        <f>[1]FİYATLAR!D450</f>
        <v/>
      </c>
      <c r="I475" s="30">
        <f>[1]FİYATLAR!F450</f>
        <v/>
      </c>
      <c r="J475" s="119" t="n">
        <v>0</v>
      </c>
      <c r="K475" s="34">
        <f>F475*J475</f>
        <v/>
      </c>
      <c r="L475" s="119" t="n"/>
      <c r="M475" s="34">
        <f>L475*F475</f>
        <v/>
      </c>
      <c r="N475" s="119" t="n"/>
      <c r="O475" s="34">
        <f>F475</f>
        <v/>
      </c>
      <c r="P475" s="34">
        <f>N475*O475</f>
        <v/>
      </c>
      <c r="Q475" s="117" t="n">
        <v>0</v>
      </c>
      <c r="R475" s="34">
        <f>F475</f>
        <v/>
      </c>
      <c r="S475" s="34">
        <f>R475*Q475</f>
        <v/>
      </c>
      <c r="T475" s="34">
        <f>SUMIFS('[1]GİP VERİLERİ'!$C:$C,'[1]GİP VERİLERİ'!$B:$B,A475,'[1]GİP VERİLERİ'!$M:$M,"40X000000104782K",'[1]GİP VERİLERİ'!$G:$G,"SELL")</f>
        <v/>
      </c>
      <c r="U475" s="34">
        <f>IFERROR(W475/T475,0)</f>
        <v/>
      </c>
      <c r="V475" s="34">
        <f>IF(U475=0,0,U475-F475)</f>
        <v/>
      </c>
      <c r="W475" s="34">
        <f>SUMIFS('[1]GİP VERİLERİ'!$O:$O,'[1]GİP VERİLERİ'!$B:$B,A475,'[1]GİP VERİLERİ'!$M:$M,"40X000000104782K",'[1]GİP VERİLERİ'!$G:$G,"SELL")</f>
        <v/>
      </c>
      <c r="X475" s="34">
        <f>SUMIFS('[1]GİP VERİLERİ'!$C:$C,'[1]GİP VERİLERİ'!$B:$B,A475,'[1]GİP VERİLERİ'!$M:$M,"40X000000104782K",'[1]GİP VERİLERİ'!$G:$G,"BUY")</f>
        <v/>
      </c>
      <c r="Y475" s="34">
        <f>IFERROR(AA475/X475,0)</f>
        <v/>
      </c>
      <c r="Z475" s="34">
        <f>IF(Y475=0,0,F475-Y475)</f>
        <v/>
      </c>
      <c r="AA475" s="34">
        <f>SUMIFS('[1]GİP VERİLERİ'!$O:$O,'[1]GİP VERİLERİ'!$B:$B,A475,'[1]GİP VERİLERİ'!$M:$M,"40X000000104782K",'[1]GİP VERİLERİ'!$G:$G,"BUY")</f>
        <v/>
      </c>
      <c r="AB475" s="34">
        <f>'[1]GÖP VERİLERİ'!H476</f>
        <v/>
      </c>
      <c r="AC475" s="34">
        <f>'[1]GÖP VERİLERİ'!I476</f>
        <v/>
      </c>
      <c r="AD475" s="34">
        <f>IF(AB475&gt;AC475*1.05,AB475-AC475*1.05,IF(AB475&lt;AC475*0.95,AC475*0.95-AB475,0))</f>
        <v/>
      </c>
      <c r="AE475" s="34">
        <f>MAX(F475,G475,750)*0.05*AD475</f>
        <v/>
      </c>
      <c r="AF475" s="34">
        <f>'[1]GÖP VERİLERİ'!J476</f>
        <v/>
      </c>
      <c r="AG475" s="34">
        <f>IF(AB475&gt;AF475*1.05,AB475-AF475*1.05,IF(AB475&lt;AF475*0.95,AF475*0.95-AB475,0))</f>
        <v/>
      </c>
      <c r="AH475" s="34">
        <f>MAX(I475,J475,750)*0.05*AG475</f>
        <v/>
      </c>
      <c r="AI475">
        <f>'[1]GÖP VERİLERİ'!E476</f>
        <v/>
      </c>
      <c r="AJ475">
        <f>'[1]GÖP VERİLERİ'!F476</f>
        <v/>
      </c>
      <c r="AK475" s="34">
        <f>IF(AI475&gt;AJ475*1.05,AI475-AJ475*1.05,IF(AI475&lt;AJ475*0.95,AJ475*0.95-AI475,0))</f>
        <v/>
      </c>
      <c r="AL475" s="34">
        <f>MAX(F475,G475,750)*0.05*AK475</f>
        <v/>
      </c>
      <c r="AM475" s="39">
        <f>'[1]GÖP VERİLERİ'!G476</f>
        <v/>
      </c>
      <c r="AN475" s="34">
        <f>IF(AI475&gt;AM475*1.05,AI475-AM475*1.05,IF(AI475&lt;AM475*0.95,AM475*0.95-AI475,0))</f>
        <v/>
      </c>
      <c r="AO475" s="34">
        <f>MAX(F475,G475,750)*0.05*AN475</f>
        <v/>
      </c>
      <c r="AP475" s="34">
        <f>'[1]GÖP VERİLERİ'!B476</f>
        <v/>
      </c>
      <c r="AQ475" s="34">
        <f>'[1]GÖP VERİLERİ'!C476</f>
        <v/>
      </c>
      <c r="AR475" s="34">
        <f>IF(AP475&gt;AQ475*1.05,AP475-AQ475*1.05,IF(AP475&lt;AQ475*0.95,AQ475*0.95-AP475,0))</f>
        <v/>
      </c>
      <c r="AS475" s="34">
        <f>MAX(F475:G475,750)*0.05*AR475</f>
        <v/>
      </c>
      <c r="AT475">
        <f>'[1]GÖP VERİLERİ'!D476</f>
        <v/>
      </c>
      <c r="AU475" s="34">
        <f>IF(AP475&gt;AT475*1.05,AP475-AT475*1.05,IF(AP475&lt;AT475*0.95,AT475*0.95-AP475,0))</f>
        <v/>
      </c>
      <c r="AV475" s="34">
        <f>MAX(F475:G475,750)*0.05*AU475</f>
        <v/>
      </c>
      <c r="AW475" s="34">
        <f>AC475+AJ475+AQ475</f>
        <v/>
      </c>
      <c r="AX475" s="34">
        <f>AF475+AM475+AT475</f>
        <v/>
      </c>
      <c r="AY475" s="34">
        <f>AB475+AI475+AP475</f>
        <v/>
      </c>
      <c r="AZ475" s="34" t="n">
        <v>0</v>
      </c>
      <c r="BA475" s="34">
        <f>AD475+AK475+AR475</f>
        <v/>
      </c>
      <c r="BB475" s="34">
        <f>MAX(F475:G475,750)*0.05*BA475</f>
        <v/>
      </c>
      <c r="BC475" s="34">
        <f>AG475+AN475+AU475</f>
        <v/>
      </c>
      <c r="BD475" s="34">
        <f>MAX(F475:G475,750)*0.05*BC475</f>
        <v/>
      </c>
      <c r="BE475" s="34">
        <f>F475*AY475</f>
        <v/>
      </c>
      <c r="BF475" s="34">
        <f>K475-M475</f>
        <v/>
      </c>
      <c r="BG475" s="34">
        <f>P475-S475</f>
        <v/>
      </c>
      <c r="BH475" s="34">
        <f>W475-AA475</f>
        <v/>
      </c>
      <c r="BI475" s="34">
        <f>BF475+BG475+BL475-BN475</f>
        <v/>
      </c>
      <c r="BJ475" s="34">
        <f>ABS(BK475)</f>
        <v/>
      </c>
      <c r="BK475" s="34">
        <f>AY475-(J475-L475+N475-Q475)</f>
        <v/>
      </c>
      <c r="BL475" s="34">
        <f>IF(AND(BK475&gt;0,MIN($F475:$G475)&lt;150,$E475="Enerji Açığı"),-100*BK475*1.03,IF(AND(BK475&gt;0,MIN($F475:$G475)&lt;150,$E475="Enerji Fazlası"),-100*BK475*1.06,IF(AND(BK475&gt;0,MIN($F475:$G475)&gt;=150,$E475="Enerji Açığı"),BK475*MIN($F475:$G475)*0.97,IF(AND(BK475&gt;0,MIN($F475:$G475)&gt;=150,$E475="Enerji Fazlası"),BK475*MIN($F475:$G475)*0.94,IF(AND(BK475&lt;0,MAX($F475:$G475)=4500,$E475="Enerji Açığı"),4500*1.05*1.06*BK475,IF(AND(BK475&lt;0,MAX($F475:$G475)=4500,$E475="Enerji Fazlası"),4500*1.05*1.03*BK475,IF(AND(BK475&lt;0,$E475="Enerji Açığı"),MAX($F475,$G475,150)*BK475*1.06,IF(AND(BK475&lt;0,$E475="Enerji Fazlası"),MAX($F475,$G475,150)*BK475*1.03,IF(AND(BK475&lt;0,$E475="Dengede"),MAX($F475:$G475,150)*1.03*BK475,MIN($F475:$G475)*0.97*BK475)))))))))</f>
        <v/>
      </c>
      <c r="BM475" s="34">
        <f>BE475-BI475-BN475</f>
        <v/>
      </c>
      <c r="BN475" s="34">
        <f>BB475</f>
        <v/>
      </c>
      <c r="BO475" s="34">
        <f>BE475-BI475</f>
        <v/>
      </c>
      <c r="BP475" s="34">
        <f>IF(AY475=0,0,BO475/AY475)</f>
        <v/>
      </c>
      <c r="BQ475" s="34">
        <f>MAX((AY475+MAX((-J475+L475-N475+Q475),0)),(MAX((J475-L475+N475-Q475),0)))</f>
        <v/>
      </c>
      <c r="BR475" s="82">
        <f>IFERROR(ABS(BK475/BQ475),0)</f>
        <v/>
      </c>
      <c r="BS475" s="34">
        <f>IF(BR475&lt;=0.1,0,BK475/BR475*(BR475-0.1))</f>
        <v/>
      </c>
      <c r="BT475" s="34">
        <f>IF((BS475)&lt;0,MAX(F475:G475)*(BS475)*1.03,MIN(F475:G475)*(BS475)*0.97)</f>
        <v/>
      </c>
      <c r="BU475" s="34">
        <f>IF(BR475&gt;0.1,1,0)</f>
        <v/>
      </c>
      <c r="BV475" s="34">
        <f>BF475+BG475+BH475+BY475-CA475</f>
        <v/>
      </c>
      <c r="BW475" s="34">
        <f>ABS(BX475)</f>
        <v/>
      </c>
      <c r="BX475" s="34">
        <f>AY475-(J475-L475+N475-Q475+T475-X475)</f>
        <v/>
      </c>
      <c r="BY475" s="34">
        <f>IF(AND(BX475&gt;0,MIN($F475:$G475)&lt;150,$E475="Enerji Açığı"),-100*BX475*1.03,IF(AND(BX475&gt;0,MIN($F475:$G475)&lt;150,$E475="Enerji Fazlası"),-100*BX475*1.06,IF(AND(BX475&gt;0,MIN($F475:$G475)&gt;=150,$E475="Enerji Açığı"),BX475*MIN($F475:$G475)*0.97,IF(AND(BX475&gt;0,MIN($F475:$G475)&gt;=150,$E475="Enerji Fazlası"),BX475*MIN($F475:$G475)*0.94,IF(AND(BX475&lt;0,MAX($F475:$G475)=4500,$E475="Enerji Açığı"),4500*1.05*1.06*BX475,IF(AND(BX475&lt;0,MAX($F475:$G475)=4500,$E475="Enerji Fazlası"),4500*1.05*1.03*BX475,IF(AND(BX475&lt;0,$E475="Enerji Açığı"),MAX($F475,$G475,150)*BX475*1.06,IF(AND(BX475&lt;0,$E475="Enerji Fazlası"),MAX($F475,$G475,150)*BX475*1.03,IF(AND(BX475&lt;0,$E475="Dengede"),MAX($F475:$G475,150)*1.03*BX475,MIN($F475:$G475)*0.97*BX475)))))))))</f>
        <v/>
      </c>
      <c r="BZ475" s="34">
        <f>BE475-BV475-CA475</f>
        <v/>
      </c>
      <c r="CA475" s="34">
        <f>BD475</f>
        <v/>
      </c>
      <c r="CB475" s="33">
        <f>BE475-BV475</f>
        <v/>
      </c>
      <c r="CC475" s="34">
        <f>IF(AY475=0,0,CB475/AY475)</f>
        <v/>
      </c>
      <c r="CD475" s="34">
        <f>MAX((AY475+MAX((-J475+L475-N475+Q475-T475+X475),0)),(MAX((J475-L475+N475-Q475+T475-X475),0)))</f>
        <v/>
      </c>
      <c r="CE475" s="82">
        <f>IFERROR(ABS(BX475/CD475),0)</f>
        <v/>
      </c>
      <c r="CF475" s="34">
        <f>IF(CE475&lt;=0.1,0,BX475/CE475*(CE475-0.1))</f>
        <v/>
      </c>
      <c r="CG475" s="34">
        <f>IF((CF475)&lt;0,MAX(F475:G475)*(CF475)*1.03,MIN(F475:G475)*(CF475)*0.97)</f>
        <v/>
      </c>
      <c r="CH475" s="34">
        <f>IF(CE475&gt;0.1,1,0)</f>
        <v/>
      </c>
      <c r="CI475" s="34">
        <f>(F475*BX475)-BY475</f>
        <v/>
      </c>
      <c r="CJ475" s="34">
        <f>IF(AY475=0,0,CI475/AY475)</f>
        <v/>
      </c>
    </row>
    <row r="476">
      <c r="A476" s="29">
        <f>[1]FİYATLAR!A451</f>
        <v/>
      </c>
      <c r="B476" s="29">
        <f>[1]FİYATLAR!B451</f>
        <v/>
      </c>
      <c r="C476" s="35">
        <f>INT(A476)</f>
        <v/>
      </c>
      <c r="D476" s="36">
        <f>MONTH(A476)</f>
        <v/>
      </c>
      <c r="E476" s="147">
        <f>[1]FİYATLAR!G451</f>
        <v/>
      </c>
      <c r="F476" s="30">
        <f>[1]FİYATLAR!C451</f>
        <v/>
      </c>
      <c r="G476" s="30">
        <f>[1]FİYATLAR!E451</f>
        <v/>
      </c>
      <c r="H476" s="30">
        <f>[1]FİYATLAR!D451</f>
        <v/>
      </c>
      <c r="I476" s="30">
        <f>[1]FİYATLAR!F451</f>
        <v/>
      </c>
      <c r="J476" s="119" t="n">
        <v>0</v>
      </c>
      <c r="K476" s="34">
        <f>F476*J476</f>
        <v/>
      </c>
      <c r="L476" s="119" t="n"/>
      <c r="M476" s="34">
        <f>L476*F476</f>
        <v/>
      </c>
      <c r="N476" s="119" t="n"/>
      <c r="O476" s="34">
        <f>F476</f>
        <v/>
      </c>
      <c r="P476" s="34">
        <f>N476*O476</f>
        <v/>
      </c>
      <c r="Q476" s="117" t="n">
        <v>0</v>
      </c>
      <c r="R476" s="34">
        <f>F476</f>
        <v/>
      </c>
      <c r="S476" s="34">
        <f>R476*Q476</f>
        <v/>
      </c>
      <c r="T476" s="34">
        <f>SUMIFS('[1]GİP VERİLERİ'!$C:$C,'[1]GİP VERİLERİ'!$B:$B,A476,'[1]GİP VERİLERİ'!$M:$M,"40X000000104782K",'[1]GİP VERİLERİ'!$G:$G,"SELL")</f>
        <v/>
      </c>
      <c r="U476" s="34">
        <f>IFERROR(W476/T476,0)</f>
        <v/>
      </c>
      <c r="V476" s="34">
        <f>IF(U476=0,0,U476-F476)</f>
        <v/>
      </c>
      <c r="W476" s="34">
        <f>SUMIFS('[1]GİP VERİLERİ'!$O:$O,'[1]GİP VERİLERİ'!$B:$B,A476,'[1]GİP VERİLERİ'!$M:$M,"40X000000104782K",'[1]GİP VERİLERİ'!$G:$G,"SELL")</f>
        <v/>
      </c>
      <c r="X476" s="34">
        <f>SUMIFS('[1]GİP VERİLERİ'!$C:$C,'[1]GİP VERİLERİ'!$B:$B,A476,'[1]GİP VERİLERİ'!$M:$M,"40X000000104782K",'[1]GİP VERİLERİ'!$G:$G,"BUY")</f>
        <v/>
      </c>
      <c r="Y476" s="34">
        <f>IFERROR(AA476/X476,0)</f>
        <v/>
      </c>
      <c r="Z476" s="34">
        <f>IF(Y476=0,0,F476-Y476)</f>
        <v/>
      </c>
      <c r="AA476" s="34">
        <f>SUMIFS('[1]GİP VERİLERİ'!$O:$O,'[1]GİP VERİLERİ'!$B:$B,A476,'[1]GİP VERİLERİ'!$M:$M,"40X000000104782K",'[1]GİP VERİLERİ'!$G:$G,"BUY")</f>
        <v/>
      </c>
      <c r="AB476" s="34">
        <f>'[1]GÖP VERİLERİ'!H477</f>
        <v/>
      </c>
      <c r="AC476" s="34">
        <f>'[1]GÖP VERİLERİ'!I477</f>
        <v/>
      </c>
      <c r="AD476" s="34">
        <f>IF(AB476&gt;AC476*1.05,AB476-AC476*1.05,IF(AB476&lt;AC476*0.95,AC476*0.95-AB476,0))</f>
        <v/>
      </c>
      <c r="AE476" s="34">
        <f>MAX(F476,G476,750)*0.05*AD476</f>
        <v/>
      </c>
      <c r="AF476" s="34">
        <f>'[1]GÖP VERİLERİ'!J477</f>
        <v/>
      </c>
      <c r="AG476" s="34">
        <f>IF(AB476&gt;AF476*1.05,AB476-AF476*1.05,IF(AB476&lt;AF476*0.95,AF476*0.95-AB476,0))</f>
        <v/>
      </c>
      <c r="AH476" s="34">
        <f>MAX(I476,J476,750)*0.05*AG476</f>
        <v/>
      </c>
      <c r="AI476">
        <f>'[1]GÖP VERİLERİ'!E477</f>
        <v/>
      </c>
      <c r="AJ476">
        <f>'[1]GÖP VERİLERİ'!F477</f>
        <v/>
      </c>
      <c r="AK476" s="34">
        <f>IF(AI476&gt;AJ476*1.05,AI476-AJ476*1.05,IF(AI476&lt;AJ476*0.95,AJ476*0.95-AI476,0))</f>
        <v/>
      </c>
      <c r="AL476" s="34">
        <f>MAX(F476,G476,750)*0.05*AK476</f>
        <v/>
      </c>
      <c r="AM476" s="39">
        <f>'[1]GÖP VERİLERİ'!G477</f>
        <v/>
      </c>
      <c r="AN476" s="34">
        <f>IF(AI476&gt;AM476*1.05,AI476-AM476*1.05,IF(AI476&lt;AM476*0.95,AM476*0.95-AI476,0))</f>
        <v/>
      </c>
      <c r="AO476" s="34">
        <f>MAX(F476,G476,750)*0.05*AN476</f>
        <v/>
      </c>
      <c r="AP476" s="34">
        <f>'[1]GÖP VERİLERİ'!B477</f>
        <v/>
      </c>
      <c r="AQ476" s="34">
        <f>'[1]GÖP VERİLERİ'!C477</f>
        <v/>
      </c>
      <c r="AR476" s="34">
        <f>IF(AP476&gt;AQ476*1.05,AP476-AQ476*1.05,IF(AP476&lt;AQ476*0.95,AQ476*0.95-AP476,0))</f>
        <v/>
      </c>
      <c r="AS476" s="34">
        <f>MAX(F476:G476,750)*0.05*AR476</f>
        <v/>
      </c>
      <c r="AT476">
        <f>'[1]GÖP VERİLERİ'!D477</f>
        <v/>
      </c>
      <c r="AU476" s="34">
        <f>IF(AP476&gt;AT476*1.05,AP476-AT476*1.05,IF(AP476&lt;AT476*0.95,AT476*0.95-AP476,0))</f>
        <v/>
      </c>
      <c r="AV476" s="34">
        <f>MAX(F476:G476,750)*0.05*AU476</f>
        <v/>
      </c>
      <c r="AW476" s="34">
        <f>AC476+AJ476+AQ476</f>
        <v/>
      </c>
      <c r="AX476" s="34">
        <f>AF476+AM476+AT476</f>
        <v/>
      </c>
      <c r="AY476" s="34">
        <f>AB476+AI476+AP476</f>
        <v/>
      </c>
      <c r="AZ476" s="34" t="n">
        <v>0</v>
      </c>
      <c r="BA476" s="34">
        <f>AD476+AK476+AR476</f>
        <v/>
      </c>
      <c r="BB476" s="34">
        <f>MAX(F476:G476,750)*0.05*BA476</f>
        <v/>
      </c>
      <c r="BC476" s="34">
        <f>AG476+AN476+AU476</f>
        <v/>
      </c>
      <c r="BD476" s="34">
        <f>MAX(F476:G476,750)*0.05*BC476</f>
        <v/>
      </c>
      <c r="BE476" s="34">
        <f>F476*AY476</f>
        <v/>
      </c>
      <c r="BF476" s="34">
        <f>K476-M476</f>
        <v/>
      </c>
      <c r="BG476" s="34">
        <f>P476-S476</f>
        <v/>
      </c>
      <c r="BH476" s="34">
        <f>W476-AA476</f>
        <v/>
      </c>
      <c r="BI476" s="34">
        <f>BF476+BG476+BL476-BN476</f>
        <v/>
      </c>
      <c r="BJ476" s="34">
        <f>ABS(BK476)</f>
        <v/>
      </c>
      <c r="BK476" s="34">
        <f>AY476-(J476-L476+N476-Q476)</f>
        <v/>
      </c>
      <c r="BL476" s="34">
        <f>IF(AND(BK476&gt;0,MIN($F476:$G476)&lt;150,$E476="Enerji Açığı"),-100*BK476*1.03,IF(AND(BK476&gt;0,MIN($F476:$G476)&lt;150,$E476="Enerji Fazlası"),-100*BK476*1.06,IF(AND(BK476&gt;0,MIN($F476:$G476)&gt;=150,$E476="Enerji Açığı"),BK476*MIN($F476:$G476)*0.97,IF(AND(BK476&gt;0,MIN($F476:$G476)&gt;=150,$E476="Enerji Fazlası"),BK476*MIN($F476:$G476)*0.94,IF(AND(BK476&lt;0,MAX($F476:$G476)=4500,$E476="Enerji Açığı"),4500*1.05*1.06*BK476,IF(AND(BK476&lt;0,MAX($F476:$G476)=4500,$E476="Enerji Fazlası"),4500*1.05*1.03*BK476,IF(AND(BK476&lt;0,$E476="Enerji Açığı"),MAX($F476,$G476,150)*BK476*1.06,IF(AND(BK476&lt;0,$E476="Enerji Fazlası"),MAX($F476,$G476,150)*BK476*1.03,IF(AND(BK476&lt;0,$E476="Dengede"),MAX($F476:$G476,150)*1.03*BK476,MIN($F476:$G476)*0.97*BK476)))))))))</f>
        <v/>
      </c>
      <c r="BM476" s="34">
        <f>BE476-BI476-BN476</f>
        <v/>
      </c>
      <c r="BN476" s="34">
        <f>BB476</f>
        <v/>
      </c>
      <c r="BO476" s="34">
        <f>BE476-BI476</f>
        <v/>
      </c>
      <c r="BP476" s="34">
        <f>IF(AY476=0,0,BO476/AY476)</f>
        <v/>
      </c>
      <c r="BQ476" s="34">
        <f>MAX((AY476+MAX((-J476+L476-N476+Q476),0)),(MAX((J476-L476+N476-Q476),0)))</f>
        <v/>
      </c>
      <c r="BR476" s="82">
        <f>IFERROR(ABS(BK476/BQ476),0)</f>
        <v/>
      </c>
      <c r="BS476" s="34">
        <f>IF(BR476&lt;=0.1,0,BK476/BR476*(BR476-0.1))</f>
        <v/>
      </c>
      <c r="BT476" s="34">
        <f>IF((BS476)&lt;0,MAX(F476:G476)*(BS476)*1.03,MIN(F476:G476)*(BS476)*0.97)</f>
        <v/>
      </c>
      <c r="BU476" s="34">
        <f>IF(BR476&gt;0.1,1,0)</f>
        <v/>
      </c>
      <c r="BV476" s="34">
        <f>BF476+BG476+BH476+BY476-CA476</f>
        <v/>
      </c>
      <c r="BW476" s="34">
        <f>ABS(BX476)</f>
        <v/>
      </c>
      <c r="BX476" s="34">
        <f>AY476-(J476-L476+N476-Q476+T476-X476)</f>
        <v/>
      </c>
      <c r="BY476" s="34">
        <f>IF(AND(BX476&gt;0,MIN($F476:$G476)&lt;150,$E476="Enerji Açığı"),-100*BX476*1.03,IF(AND(BX476&gt;0,MIN($F476:$G476)&lt;150,$E476="Enerji Fazlası"),-100*BX476*1.06,IF(AND(BX476&gt;0,MIN($F476:$G476)&gt;=150,$E476="Enerji Açığı"),BX476*MIN($F476:$G476)*0.97,IF(AND(BX476&gt;0,MIN($F476:$G476)&gt;=150,$E476="Enerji Fazlası"),BX476*MIN($F476:$G476)*0.94,IF(AND(BX476&lt;0,MAX($F476:$G476)=4500,$E476="Enerji Açığı"),4500*1.05*1.06*BX476,IF(AND(BX476&lt;0,MAX($F476:$G476)=4500,$E476="Enerji Fazlası"),4500*1.05*1.03*BX476,IF(AND(BX476&lt;0,$E476="Enerji Açığı"),MAX($F476,$G476,150)*BX476*1.06,IF(AND(BX476&lt;0,$E476="Enerji Fazlası"),MAX($F476,$G476,150)*BX476*1.03,IF(AND(BX476&lt;0,$E476="Dengede"),MAX($F476:$G476,150)*1.03*BX476,MIN($F476:$G476)*0.97*BX476)))))))))</f>
        <v/>
      </c>
      <c r="BZ476" s="34">
        <f>BE476-BV476-CA476</f>
        <v/>
      </c>
      <c r="CA476" s="34">
        <f>BD476</f>
        <v/>
      </c>
      <c r="CB476" s="33">
        <f>BE476-BV476</f>
        <v/>
      </c>
      <c r="CC476" s="34">
        <f>IF(AY476=0,0,CB476/AY476)</f>
        <v/>
      </c>
      <c r="CD476" s="34">
        <f>MAX((AY476+MAX((-J476+L476-N476+Q476-T476+X476),0)),(MAX((J476-L476+N476-Q476+T476-X476),0)))</f>
        <v/>
      </c>
      <c r="CE476" s="82">
        <f>IFERROR(ABS(BX476/CD476),0)</f>
        <v/>
      </c>
      <c r="CF476" s="34">
        <f>IF(CE476&lt;=0.1,0,BX476/CE476*(CE476-0.1))</f>
        <v/>
      </c>
      <c r="CG476" s="34">
        <f>IF((CF476)&lt;0,MAX(F476:G476)*(CF476)*1.03,MIN(F476:G476)*(CF476)*0.97)</f>
        <v/>
      </c>
      <c r="CH476" s="34">
        <f>IF(CE476&gt;0.1,1,0)</f>
        <v/>
      </c>
      <c r="CI476" s="34">
        <f>(F476*BX476)-BY476</f>
        <v/>
      </c>
      <c r="CJ476" s="34">
        <f>IF(AY476=0,0,CI476/AY476)</f>
        <v/>
      </c>
    </row>
    <row r="477">
      <c r="A477" s="29">
        <f>[1]FİYATLAR!A452</f>
        <v/>
      </c>
      <c r="B477" s="29">
        <f>[1]FİYATLAR!B452</f>
        <v/>
      </c>
      <c r="C477" s="35">
        <f>INT(A477)</f>
        <v/>
      </c>
      <c r="D477" s="36">
        <f>MONTH(A477)</f>
        <v/>
      </c>
      <c r="E477" s="147">
        <f>[1]FİYATLAR!G452</f>
        <v/>
      </c>
      <c r="F477" s="30">
        <f>[1]FİYATLAR!C452</f>
        <v/>
      </c>
      <c r="G477" s="30">
        <f>[1]FİYATLAR!E452</f>
        <v/>
      </c>
      <c r="H477" s="30">
        <f>[1]FİYATLAR!D452</f>
        <v/>
      </c>
      <c r="I477" s="30">
        <f>[1]FİYATLAR!F452</f>
        <v/>
      </c>
      <c r="J477" s="119" t="n">
        <v>0</v>
      </c>
      <c r="K477" s="34">
        <f>F477*J477</f>
        <v/>
      </c>
      <c r="L477" s="119" t="n"/>
      <c r="M477" s="34">
        <f>L477*F477</f>
        <v/>
      </c>
      <c r="N477" s="119" t="n"/>
      <c r="O477" s="34">
        <f>F477</f>
        <v/>
      </c>
      <c r="P477" s="34">
        <f>N477*O477</f>
        <v/>
      </c>
      <c r="Q477" s="117" t="n">
        <v>0</v>
      </c>
      <c r="R477" s="34">
        <f>F477</f>
        <v/>
      </c>
      <c r="S477" s="34">
        <f>R477*Q477</f>
        <v/>
      </c>
      <c r="T477" s="34">
        <f>SUMIFS('[1]GİP VERİLERİ'!$C:$C,'[1]GİP VERİLERİ'!$B:$B,A477,'[1]GİP VERİLERİ'!$M:$M,"40X000000104782K",'[1]GİP VERİLERİ'!$G:$G,"SELL")</f>
        <v/>
      </c>
      <c r="U477" s="34">
        <f>IFERROR(W477/T477,0)</f>
        <v/>
      </c>
      <c r="V477" s="34">
        <f>IF(U477=0,0,U477-F477)</f>
        <v/>
      </c>
      <c r="W477" s="34">
        <f>SUMIFS('[1]GİP VERİLERİ'!$O:$O,'[1]GİP VERİLERİ'!$B:$B,A477,'[1]GİP VERİLERİ'!$M:$M,"40X000000104782K",'[1]GİP VERİLERİ'!$G:$G,"SELL")</f>
        <v/>
      </c>
      <c r="X477" s="34">
        <f>SUMIFS('[1]GİP VERİLERİ'!$C:$C,'[1]GİP VERİLERİ'!$B:$B,A477,'[1]GİP VERİLERİ'!$M:$M,"40X000000104782K",'[1]GİP VERİLERİ'!$G:$G,"BUY")</f>
        <v/>
      </c>
      <c r="Y477" s="34">
        <f>IFERROR(AA477/X477,0)</f>
        <v/>
      </c>
      <c r="Z477" s="34">
        <f>IF(Y477=0,0,F477-Y477)</f>
        <v/>
      </c>
      <c r="AA477" s="34">
        <f>SUMIFS('[1]GİP VERİLERİ'!$O:$O,'[1]GİP VERİLERİ'!$B:$B,A477,'[1]GİP VERİLERİ'!$M:$M,"40X000000104782K",'[1]GİP VERİLERİ'!$G:$G,"BUY")</f>
        <v/>
      </c>
      <c r="AB477" s="34">
        <f>'[1]GÖP VERİLERİ'!H478</f>
        <v/>
      </c>
      <c r="AC477" s="34">
        <f>'[1]GÖP VERİLERİ'!I478</f>
        <v/>
      </c>
      <c r="AD477" s="34">
        <f>IF(AB477&gt;AC477*1.05,AB477-AC477*1.05,IF(AB477&lt;AC477*0.95,AC477*0.95-AB477,0))</f>
        <v/>
      </c>
      <c r="AE477" s="34">
        <f>MAX(F477,G477,750)*0.05*AD477</f>
        <v/>
      </c>
      <c r="AF477" s="34">
        <f>'[1]GÖP VERİLERİ'!J478</f>
        <v/>
      </c>
      <c r="AG477" s="34">
        <f>IF(AB477&gt;AF477*1.05,AB477-AF477*1.05,IF(AB477&lt;AF477*0.95,AF477*0.95-AB477,0))</f>
        <v/>
      </c>
      <c r="AH477" s="34">
        <f>MAX(I477,J477,750)*0.05*AG477</f>
        <v/>
      </c>
      <c r="AI477">
        <f>'[1]GÖP VERİLERİ'!E478</f>
        <v/>
      </c>
      <c r="AJ477">
        <f>'[1]GÖP VERİLERİ'!F478</f>
        <v/>
      </c>
      <c r="AK477" s="34">
        <f>IF(AI477&gt;AJ477*1.05,AI477-AJ477*1.05,IF(AI477&lt;AJ477*0.95,AJ477*0.95-AI477,0))</f>
        <v/>
      </c>
      <c r="AL477" s="34">
        <f>MAX(F477,G477,750)*0.05*AK477</f>
        <v/>
      </c>
      <c r="AM477" s="39">
        <f>'[1]GÖP VERİLERİ'!G478</f>
        <v/>
      </c>
      <c r="AN477" s="34">
        <f>IF(AI477&gt;AM477*1.05,AI477-AM477*1.05,IF(AI477&lt;AM477*0.95,AM477*0.95-AI477,0))</f>
        <v/>
      </c>
      <c r="AO477" s="34">
        <f>MAX(F477,G477,750)*0.05*AN477</f>
        <v/>
      </c>
      <c r="AP477" s="34">
        <f>'[1]GÖP VERİLERİ'!B478</f>
        <v/>
      </c>
      <c r="AQ477" s="34">
        <f>'[1]GÖP VERİLERİ'!C478</f>
        <v/>
      </c>
      <c r="AR477" s="34">
        <f>IF(AP477&gt;AQ477*1.05,AP477-AQ477*1.05,IF(AP477&lt;AQ477*0.95,AQ477*0.95-AP477,0))</f>
        <v/>
      </c>
      <c r="AS477" s="34">
        <f>MAX(F477:G477,750)*0.05*AR477</f>
        <v/>
      </c>
      <c r="AT477">
        <f>'[1]GÖP VERİLERİ'!D478</f>
        <v/>
      </c>
      <c r="AU477" s="34">
        <f>IF(AP477&gt;AT477*1.05,AP477-AT477*1.05,IF(AP477&lt;AT477*0.95,AT477*0.95-AP477,0))</f>
        <v/>
      </c>
      <c r="AV477" s="34">
        <f>MAX(F477:G477,750)*0.05*AU477</f>
        <v/>
      </c>
      <c r="AW477" s="34">
        <f>AC477+AJ477+AQ477</f>
        <v/>
      </c>
      <c r="AX477" s="34">
        <f>AF477+AM477+AT477</f>
        <v/>
      </c>
      <c r="AY477" s="34">
        <f>AB477+AI477+AP477</f>
        <v/>
      </c>
      <c r="AZ477" s="34" t="n">
        <v>0</v>
      </c>
      <c r="BA477" s="34">
        <f>AD477+AK477+AR477</f>
        <v/>
      </c>
      <c r="BB477" s="34">
        <f>MAX(F477:G477,750)*0.05*BA477</f>
        <v/>
      </c>
      <c r="BC477" s="34">
        <f>AG477+AN477+AU477</f>
        <v/>
      </c>
      <c r="BD477" s="34">
        <f>MAX(F477:G477,750)*0.05*BC477</f>
        <v/>
      </c>
      <c r="BE477" s="34">
        <f>F477*AY477</f>
        <v/>
      </c>
      <c r="BF477" s="34">
        <f>K477-M477</f>
        <v/>
      </c>
      <c r="BG477" s="34">
        <f>P477-S477</f>
        <v/>
      </c>
      <c r="BH477" s="34">
        <f>W477-AA477</f>
        <v/>
      </c>
      <c r="BI477" s="34">
        <f>BF477+BG477+BL477-BN477</f>
        <v/>
      </c>
      <c r="BJ477" s="34">
        <f>ABS(BK477)</f>
        <v/>
      </c>
      <c r="BK477" s="34">
        <f>AY477-(J477-L477+N477-Q477)</f>
        <v/>
      </c>
      <c r="BL477" s="34">
        <f>IF(AND(BK477&gt;0,MIN($F477:$G477)&lt;150,$E477="Enerji Açığı"),-100*BK477*1.03,IF(AND(BK477&gt;0,MIN($F477:$G477)&lt;150,$E477="Enerji Fazlası"),-100*BK477*1.06,IF(AND(BK477&gt;0,MIN($F477:$G477)&gt;=150,$E477="Enerji Açığı"),BK477*MIN($F477:$G477)*0.97,IF(AND(BK477&gt;0,MIN($F477:$G477)&gt;=150,$E477="Enerji Fazlası"),BK477*MIN($F477:$G477)*0.94,IF(AND(BK477&lt;0,MAX($F477:$G477)=4500,$E477="Enerji Açığı"),4500*1.05*1.06*BK477,IF(AND(BK477&lt;0,MAX($F477:$G477)=4500,$E477="Enerji Fazlası"),4500*1.05*1.03*BK477,IF(AND(BK477&lt;0,$E477="Enerji Açığı"),MAX($F477,$G477,150)*BK477*1.06,IF(AND(BK477&lt;0,$E477="Enerji Fazlası"),MAX($F477,$G477,150)*BK477*1.03,IF(AND(BK477&lt;0,$E477="Dengede"),MAX($F477:$G477,150)*1.03*BK477,MIN($F477:$G477)*0.97*BK477)))))))))</f>
        <v/>
      </c>
      <c r="BM477" s="34">
        <f>BE477-BI477-BN477</f>
        <v/>
      </c>
      <c r="BN477" s="34">
        <f>BB477</f>
        <v/>
      </c>
      <c r="BO477" s="34">
        <f>BE477-BI477</f>
        <v/>
      </c>
      <c r="BP477" s="34">
        <f>IF(AY477=0,0,BO477/AY477)</f>
        <v/>
      </c>
      <c r="BQ477" s="34">
        <f>MAX((AY477+MAX((-J477+L477-N477+Q477),0)),(MAX((J477-L477+N477-Q477),0)))</f>
        <v/>
      </c>
      <c r="BR477" s="82">
        <f>IFERROR(ABS(BK477/BQ477),0)</f>
        <v/>
      </c>
      <c r="BS477" s="34">
        <f>IF(BR477&lt;=0.1,0,BK477/BR477*(BR477-0.1))</f>
        <v/>
      </c>
      <c r="BT477" s="34">
        <f>IF((BS477)&lt;0,MAX(F477:G477)*(BS477)*1.03,MIN(F477:G477)*(BS477)*0.97)</f>
        <v/>
      </c>
      <c r="BU477" s="34">
        <f>IF(BR477&gt;0.1,1,0)</f>
        <v/>
      </c>
      <c r="BV477" s="34">
        <f>BF477+BG477+BH477+BY477-CA477</f>
        <v/>
      </c>
      <c r="BW477" s="34">
        <f>ABS(BX477)</f>
        <v/>
      </c>
      <c r="BX477" s="34">
        <f>AY477-(J477-L477+N477-Q477+T477-X477)</f>
        <v/>
      </c>
      <c r="BY477" s="34">
        <f>IF(AND(BX477&gt;0,MIN($F477:$G477)&lt;150,$E477="Enerji Açığı"),-100*BX477*1.03,IF(AND(BX477&gt;0,MIN($F477:$G477)&lt;150,$E477="Enerji Fazlası"),-100*BX477*1.06,IF(AND(BX477&gt;0,MIN($F477:$G477)&gt;=150,$E477="Enerji Açığı"),BX477*MIN($F477:$G477)*0.97,IF(AND(BX477&gt;0,MIN($F477:$G477)&gt;=150,$E477="Enerji Fazlası"),BX477*MIN($F477:$G477)*0.94,IF(AND(BX477&lt;0,MAX($F477:$G477)=4500,$E477="Enerji Açığı"),4500*1.05*1.06*BX477,IF(AND(BX477&lt;0,MAX($F477:$G477)=4500,$E477="Enerji Fazlası"),4500*1.05*1.03*BX477,IF(AND(BX477&lt;0,$E477="Enerji Açığı"),MAX($F477,$G477,150)*BX477*1.06,IF(AND(BX477&lt;0,$E477="Enerji Fazlası"),MAX($F477,$G477,150)*BX477*1.03,IF(AND(BX477&lt;0,$E477="Dengede"),MAX($F477:$G477,150)*1.03*BX477,MIN($F477:$G477)*0.97*BX477)))))))))</f>
        <v/>
      </c>
      <c r="BZ477" s="34">
        <f>BE477-BV477-CA477</f>
        <v/>
      </c>
      <c r="CA477" s="34">
        <f>BD477</f>
        <v/>
      </c>
      <c r="CB477" s="33">
        <f>BE477-BV477</f>
        <v/>
      </c>
      <c r="CC477" s="34">
        <f>IF(AY477=0,0,CB477/AY477)</f>
        <v/>
      </c>
      <c r="CD477" s="34">
        <f>MAX((AY477+MAX((-J477+L477-N477+Q477-T477+X477),0)),(MAX((J477-L477+N477-Q477+T477-X477),0)))</f>
        <v/>
      </c>
      <c r="CE477" s="82">
        <f>IFERROR(ABS(BX477/CD477),0)</f>
        <v/>
      </c>
      <c r="CF477" s="34">
        <f>IF(CE477&lt;=0.1,0,BX477/CE477*(CE477-0.1))</f>
        <v/>
      </c>
      <c r="CG477" s="34">
        <f>IF((CF477)&lt;0,MAX(F477:G477)*(CF477)*1.03,MIN(F477:G477)*(CF477)*0.97)</f>
        <v/>
      </c>
      <c r="CH477" s="34">
        <f>IF(CE477&gt;0.1,1,0)</f>
        <v/>
      </c>
      <c r="CI477" s="34">
        <f>(F477*BX477)-BY477</f>
        <v/>
      </c>
      <c r="CJ477" s="34">
        <f>IF(AY477=0,0,CI477/AY477)</f>
        <v/>
      </c>
    </row>
    <row r="478">
      <c r="A478" s="29">
        <f>[1]FİYATLAR!A453</f>
        <v/>
      </c>
      <c r="B478" s="29">
        <f>[1]FİYATLAR!B453</f>
        <v/>
      </c>
      <c r="C478" s="35">
        <f>INT(A478)</f>
        <v/>
      </c>
      <c r="D478" s="36">
        <f>MONTH(A478)</f>
        <v/>
      </c>
      <c r="E478" s="147">
        <f>[1]FİYATLAR!G453</f>
        <v/>
      </c>
      <c r="F478" s="30">
        <f>[1]FİYATLAR!C453</f>
        <v/>
      </c>
      <c r="G478" s="30">
        <f>[1]FİYATLAR!E453</f>
        <v/>
      </c>
      <c r="H478" s="30">
        <f>[1]FİYATLAR!D453</f>
        <v/>
      </c>
      <c r="I478" s="30">
        <f>[1]FİYATLAR!F453</f>
        <v/>
      </c>
      <c r="J478" s="119" t="n">
        <v>0</v>
      </c>
      <c r="K478" s="34">
        <f>F478*J478</f>
        <v/>
      </c>
      <c r="L478" s="119" t="n"/>
      <c r="M478" s="34">
        <f>L478*F478</f>
        <v/>
      </c>
      <c r="N478" s="119" t="n"/>
      <c r="O478" s="34">
        <f>F478</f>
        <v/>
      </c>
      <c r="P478" s="34">
        <f>N478*O478</f>
        <v/>
      </c>
      <c r="Q478" s="117" t="n">
        <v>0</v>
      </c>
      <c r="R478" s="34">
        <f>F478</f>
        <v/>
      </c>
      <c r="S478" s="34">
        <f>R478*Q478</f>
        <v/>
      </c>
      <c r="T478" s="34">
        <f>SUMIFS('[1]GİP VERİLERİ'!$C:$C,'[1]GİP VERİLERİ'!$B:$B,A478,'[1]GİP VERİLERİ'!$M:$M,"40X000000104782K",'[1]GİP VERİLERİ'!$G:$G,"SELL")</f>
        <v/>
      </c>
      <c r="U478" s="34">
        <f>IFERROR(W478/T478,0)</f>
        <v/>
      </c>
      <c r="V478" s="34">
        <f>IF(U478=0,0,U478-F478)</f>
        <v/>
      </c>
      <c r="W478" s="34">
        <f>SUMIFS('[1]GİP VERİLERİ'!$O:$O,'[1]GİP VERİLERİ'!$B:$B,A478,'[1]GİP VERİLERİ'!$M:$M,"40X000000104782K",'[1]GİP VERİLERİ'!$G:$G,"SELL")</f>
        <v/>
      </c>
      <c r="X478" s="34">
        <f>SUMIFS('[1]GİP VERİLERİ'!$C:$C,'[1]GİP VERİLERİ'!$B:$B,A478,'[1]GİP VERİLERİ'!$M:$M,"40X000000104782K",'[1]GİP VERİLERİ'!$G:$G,"BUY")</f>
        <v/>
      </c>
      <c r="Y478" s="34">
        <f>IFERROR(AA478/X478,0)</f>
        <v/>
      </c>
      <c r="Z478" s="34">
        <f>IF(Y478=0,0,F478-Y478)</f>
        <v/>
      </c>
      <c r="AA478" s="34">
        <f>SUMIFS('[1]GİP VERİLERİ'!$O:$O,'[1]GİP VERİLERİ'!$B:$B,A478,'[1]GİP VERİLERİ'!$M:$M,"40X000000104782K",'[1]GİP VERİLERİ'!$G:$G,"BUY")</f>
        <v/>
      </c>
      <c r="AB478" s="34">
        <f>'[1]GÖP VERİLERİ'!H479</f>
        <v/>
      </c>
      <c r="AC478" s="34">
        <f>'[1]GÖP VERİLERİ'!I479</f>
        <v/>
      </c>
      <c r="AD478" s="34">
        <f>IF(AB478&gt;AC478*1.05,AB478-AC478*1.05,IF(AB478&lt;AC478*0.95,AC478*0.95-AB478,0))</f>
        <v/>
      </c>
      <c r="AE478" s="34">
        <f>MAX(F478,G478,750)*0.05*AD478</f>
        <v/>
      </c>
      <c r="AF478" s="34">
        <f>'[1]GÖP VERİLERİ'!J479</f>
        <v/>
      </c>
      <c r="AG478" s="34">
        <f>IF(AB478&gt;AF478*1.05,AB478-AF478*1.05,IF(AB478&lt;AF478*0.95,AF478*0.95-AB478,0))</f>
        <v/>
      </c>
      <c r="AH478" s="34">
        <f>MAX(I478,J478,750)*0.05*AG478</f>
        <v/>
      </c>
      <c r="AI478">
        <f>'[1]GÖP VERİLERİ'!E479</f>
        <v/>
      </c>
      <c r="AJ478">
        <f>'[1]GÖP VERİLERİ'!F479</f>
        <v/>
      </c>
      <c r="AK478" s="34">
        <f>IF(AI478&gt;AJ478*1.05,AI478-AJ478*1.05,IF(AI478&lt;AJ478*0.95,AJ478*0.95-AI478,0))</f>
        <v/>
      </c>
      <c r="AL478" s="34">
        <f>MAX(F478,G478,750)*0.05*AK478</f>
        <v/>
      </c>
      <c r="AM478" s="39">
        <f>'[1]GÖP VERİLERİ'!G479</f>
        <v/>
      </c>
      <c r="AN478" s="34">
        <f>IF(AI478&gt;AM478*1.05,AI478-AM478*1.05,IF(AI478&lt;AM478*0.95,AM478*0.95-AI478,0))</f>
        <v/>
      </c>
      <c r="AO478" s="34">
        <f>MAX(F478,G478,750)*0.05*AN478</f>
        <v/>
      </c>
      <c r="AP478" s="34">
        <f>'[1]GÖP VERİLERİ'!B479</f>
        <v/>
      </c>
      <c r="AQ478" s="34">
        <f>'[1]GÖP VERİLERİ'!C479</f>
        <v/>
      </c>
      <c r="AR478" s="34">
        <f>IF(AP478&gt;AQ478*1.05,AP478-AQ478*1.05,IF(AP478&lt;AQ478*0.95,AQ478*0.95-AP478,0))</f>
        <v/>
      </c>
      <c r="AS478" s="34">
        <f>MAX(F478:G478,750)*0.05*AR478</f>
        <v/>
      </c>
      <c r="AT478">
        <f>'[1]GÖP VERİLERİ'!D479</f>
        <v/>
      </c>
      <c r="AU478" s="34">
        <f>IF(AP478&gt;AT478*1.05,AP478-AT478*1.05,IF(AP478&lt;AT478*0.95,AT478*0.95-AP478,0))</f>
        <v/>
      </c>
      <c r="AV478" s="34">
        <f>MAX(F478:G478,750)*0.05*AU478</f>
        <v/>
      </c>
      <c r="AW478" s="34">
        <f>AC478+AJ478+AQ478</f>
        <v/>
      </c>
      <c r="AX478" s="34">
        <f>AF478+AM478+AT478</f>
        <v/>
      </c>
      <c r="AY478" s="34">
        <f>AB478+AI478+AP478</f>
        <v/>
      </c>
      <c r="AZ478" s="34" t="n">
        <v>0</v>
      </c>
      <c r="BA478" s="34">
        <f>AD478+AK478+AR478</f>
        <v/>
      </c>
      <c r="BB478" s="34">
        <f>MAX(F478:G478,750)*0.05*BA478</f>
        <v/>
      </c>
      <c r="BC478" s="34">
        <f>AG478+AN478+AU478</f>
        <v/>
      </c>
      <c r="BD478" s="34">
        <f>MAX(F478:G478,750)*0.05*BC478</f>
        <v/>
      </c>
      <c r="BE478" s="34">
        <f>F478*AY478</f>
        <v/>
      </c>
      <c r="BF478" s="34">
        <f>K478-M478</f>
        <v/>
      </c>
      <c r="BG478" s="34">
        <f>P478-S478</f>
        <v/>
      </c>
      <c r="BH478" s="34">
        <f>W478-AA478</f>
        <v/>
      </c>
      <c r="BI478" s="34">
        <f>BF478+BG478+BL478-BN478</f>
        <v/>
      </c>
      <c r="BJ478" s="34">
        <f>ABS(BK478)</f>
        <v/>
      </c>
      <c r="BK478" s="34">
        <f>AY478-(J478-L478+N478-Q478)</f>
        <v/>
      </c>
      <c r="BL478" s="34">
        <f>IF(AND(BK478&gt;0,MIN($F478:$G478)&lt;150,$E478="Enerji Açığı"),-100*BK478*1.03,IF(AND(BK478&gt;0,MIN($F478:$G478)&lt;150,$E478="Enerji Fazlası"),-100*BK478*1.06,IF(AND(BK478&gt;0,MIN($F478:$G478)&gt;=150,$E478="Enerji Açığı"),BK478*MIN($F478:$G478)*0.97,IF(AND(BK478&gt;0,MIN($F478:$G478)&gt;=150,$E478="Enerji Fazlası"),BK478*MIN($F478:$G478)*0.94,IF(AND(BK478&lt;0,MAX($F478:$G478)=4500,$E478="Enerji Açığı"),4500*1.05*1.06*BK478,IF(AND(BK478&lt;0,MAX($F478:$G478)=4500,$E478="Enerji Fazlası"),4500*1.05*1.03*BK478,IF(AND(BK478&lt;0,$E478="Enerji Açığı"),MAX($F478,$G478,150)*BK478*1.06,IF(AND(BK478&lt;0,$E478="Enerji Fazlası"),MAX($F478,$G478,150)*BK478*1.03,IF(AND(BK478&lt;0,$E478="Dengede"),MAX($F478:$G478,150)*1.03*BK478,MIN($F478:$G478)*0.97*BK478)))))))))</f>
        <v/>
      </c>
      <c r="BM478" s="34">
        <f>BE478-BI478-BN478</f>
        <v/>
      </c>
      <c r="BN478" s="34">
        <f>BB478</f>
        <v/>
      </c>
      <c r="BO478" s="34">
        <f>BE478-BI478</f>
        <v/>
      </c>
      <c r="BP478" s="34">
        <f>IF(AY478=0,0,BO478/AY478)</f>
        <v/>
      </c>
      <c r="BQ478" s="34">
        <f>MAX((AY478+MAX((-J478+L478-N478+Q478),0)),(MAX((J478-L478+N478-Q478),0)))</f>
        <v/>
      </c>
      <c r="BR478" s="82">
        <f>IFERROR(ABS(BK478/BQ478),0)</f>
        <v/>
      </c>
      <c r="BS478" s="34">
        <f>IF(BR478&lt;=0.1,0,BK478/BR478*(BR478-0.1))</f>
        <v/>
      </c>
      <c r="BT478" s="34">
        <f>IF((BS478)&lt;0,MAX(F478:G478)*(BS478)*1.03,MIN(F478:G478)*(BS478)*0.97)</f>
        <v/>
      </c>
      <c r="BU478" s="34">
        <f>IF(BR478&gt;0.1,1,0)</f>
        <v/>
      </c>
      <c r="BV478" s="34">
        <f>BF478+BG478+BH478+BY478-CA478</f>
        <v/>
      </c>
      <c r="BW478" s="34">
        <f>ABS(BX478)</f>
        <v/>
      </c>
      <c r="BX478" s="34">
        <f>AY478-(J478-L478+N478-Q478+T478-X478)</f>
        <v/>
      </c>
      <c r="BY478" s="34">
        <f>IF(AND(BX478&gt;0,MIN($F478:$G478)&lt;150,$E478="Enerji Açığı"),-100*BX478*1.03,IF(AND(BX478&gt;0,MIN($F478:$G478)&lt;150,$E478="Enerji Fazlası"),-100*BX478*1.06,IF(AND(BX478&gt;0,MIN($F478:$G478)&gt;=150,$E478="Enerji Açığı"),BX478*MIN($F478:$G478)*0.97,IF(AND(BX478&gt;0,MIN($F478:$G478)&gt;=150,$E478="Enerji Fazlası"),BX478*MIN($F478:$G478)*0.94,IF(AND(BX478&lt;0,MAX($F478:$G478)=4500,$E478="Enerji Açığı"),4500*1.05*1.06*BX478,IF(AND(BX478&lt;0,MAX($F478:$G478)=4500,$E478="Enerji Fazlası"),4500*1.05*1.03*BX478,IF(AND(BX478&lt;0,$E478="Enerji Açığı"),MAX($F478,$G478,150)*BX478*1.06,IF(AND(BX478&lt;0,$E478="Enerji Fazlası"),MAX($F478,$G478,150)*BX478*1.03,IF(AND(BX478&lt;0,$E478="Dengede"),MAX($F478:$G478,150)*1.03*BX478,MIN($F478:$G478)*0.97*BX478)))))))))</f>
        <v/>
      </c>
      <c r="BZ478" s="34">
        <f>BE478-BV478-CA478</f>
        <v/>
      </c>
      <c r="CA478" s="34">
        <f>BD478</f>
        <v/>
      </c>
      <c r="CB478" s="33">
        <f>BE478-BV478</f>
        <v/>
      </c>
      <c r="CC478" s="34">
        <f>IF(AY478=0,0,CB478/AY478)</f>
        <v/>
      </c>
      <c r="CD478" s="34">
        <f>MAX((AY478+MAX((-J478+L478-N478+Q478-T478+X478),0)),(MAX((J478-L478+N478-Q478+T478-X478),0)))</f>
        <v/>
      </c>
      <c r="CE478" s="82">
        <f>IFERROR(ABS(BX478/CD478),0)</f>
        <v/>
      </c>
      <c r="CF478" s="34">
        <f>IF(CE478&lt;=0.1,0,BX478/CE478*(CE478-0.1))</f>
        <v/>
      </c>
      <c r="CG478" s="34">
        <f>IF((CF478)&lt;0,MAX(F478:G478)*(CF478)*1.03,MIN(F478:G478)*(CF478)*0.97)</f>
        <v/>
      </c>
      <c r="CH478" s="34">
        <f>IF(CE478&gt;0.1,1,0)</f>
        <v/>
      </c>
      <c r="CI478" s="34">
        <f>(F478*BX478)-BY478</f>
        <v/>
      </c>
      <c r="CJ478" s="34">
        <f>IF(AY478=0,0,CI478/AY478)</f>
        <v/>
      </c>
    </row>
    <row r="479">
      <c r="A479" s="29">
        <f>[1]FİYATLAR!A454</f>
        <v/>
      </c>
      <c r="B479" s="29">
        <f>[1]FİYATLAR!B454</f>
        <v/>
      </c>
      <c r="C479" s="35">
        <f>INT(A479)</f>
        <v/>
      </c>
      <c r="D479" s="36">
        <f>MONTH(A479)</f>
        <v/>
      </c>
      <c r="E479" s="147">
        <f>[1]FİYATLAR!G454</f>
        <v/>
      </c>
      <c r="F479" s="30">
        <f>[1]FİYATLAR!C454</f>
        <v/>
      </c>
      <c r="G479" s="30">
        <f>[1]FİYATLAR!E454</f>
        <v/>
      </c>
      <c r="H479" s="30">
        <f>[1]FİYATLAR!D454</f>
        <v/>
      </c>
      <c r="I479" s="30">
        <f>[1]FİYATLAR!F454</f>
        <v/>
      </c>
      <c r="J479" s="119" t="n">
        <v>0</v>
      </c>
      <c r="K479" s="34">
        <f>F479*J479</f>
        <v/>
      </c>
      <c r="L479" s="119" t="n"/>
      <c r="M479" s="34">
        <f>L479*F479</f>
        <v/>
      </c>
      <c r="N479" s="119" t="n"/>
      <c r="O479" s="34">
        <f>F479</f>
        <v/>
      </c>
      <c r="P479" s="34">
        <f>N479*O479</f>
        <v/>
      </c>
      <c r="Q479" s="117" t="n">
        <v>0</v>
      </c>
      <c r="R479" s="34">
        <f>F479</f>
        <v/>
      </c>
      <c r="S479" s="34">
        <f>R479*Q479</f>
        <v/>
      </c>
      <c r="T479" s="34">
        <f>SUMIFS('[1]GİP VERİLERİ'!$C:$C,'[1]GİP VERİLERİ'!$B:$B,A479,'[1]GİP VERİLERİ'!$M:$M,"40X000000104782K",'[1]GİP VERİLERİ'!$G:$G,"SELL")</f>
        <v/>
      </c>
      <c r="U479" s="34">
        <f>IFERROR(W479/T479,0)</f>
        <v/>
      </c>
      <c r="V479" s="34">
        <f>IF(U479=0,0,U479-F479)</f>
        <v/>
      </c>
      <c r="W479" s="34">
        <f>SUMIFS('[1]GİP VERİLERİ'!$O:$O,'[1]GİP VERİLERİ'!$B:$B,A479,'[1]GİP VERİLERİ'!$M:$M,"40X000000104782K",'[1]GİP VERİLERİ'!$G:$G,"SELL")</f>
        <v/>
      </c>
      <c r="X479" s="34">
        <f>SUMIFS('[1]GİP VERİLERİ'!$C:$C,'[1]GİP VERİLERİ'!$B:$B,A479,'[1]GİP VERİLERİ'!$M:$M,"40X000000104782K",'[1]GİP VERİLERİ'!$G:$G,"BUY")</f>
        <v/>
      </c>
      <c r="Y479" s="34">
        <f>IFERROR(AA479/X479,0)</f>
        <v/>
      </c>
      <c r="Z479" s="34">
        <f>IF(Y479=0,0,F479-Y479)</f>
        <v/>
      </c>
      <c r="AA479" s="34">
        <f>SUMIFS('[1]GİP VERİLERİ'!$O:$O,'[1]GİP VERİLERİ'!$B:$B,A479,'[1]GİP VERİLERİ'!$M:$M,"40X000000104782K",'[1]GİP VERİLERİ'!$G:$G,"BUY")</f>
        <v/>
      </c>
      <c r="AB479" s="34">
        <f>'[1]GÖP VERİLERİ'!H480</f>
        <v/>
      </c>
      <c r="AC479" s="34">
        <f>'[1]GÖP VERİLERİ'!I480</f>
        <v/>
      </c>
      <c r="AD479" s="34">
        <f>IF(AB479&gt;AC479*1.05,AB479-AC479*1.05,IF(AB479&lt;AC479*0.95,AC479*0.95-AB479,0))</f>
        <v/>
      </c>
      <c r="AE479" s="34">
        <f>MAX(F479,G479,750)*0.05*AD479</f>
        <v/>
      </c>
      <c r="AF479" s="34">
        <f>'[1]GÖP VERİLERİ'!J480</f>
        <v/>
      </c>
      <c r="AG479" s="34">
        <f>IF(AB479&gt;AF479*1.05,AB479-AF479*1.05,IF(AB479&lt;AF479*0.95,AF479*0.95-AB479,0))</f>
        <v/>
      </c>
      <c r="AH479" s="34">
        <f>MAX(I479,J479,750)*0.05*AG479</f>
        <v/>
      </c>
      <c r="AI479">
        <f>'[1]GÖP VERİLERİ'!E480</f>
        <v/>
      </c>
      <c r="AJ479">
        <f>'[1]GÖP VERİLERİ'!F480</f>
        <v/>
      </c>
      <c r="AK479" s="34">
        <f>IF(AI479&gt;AJ479*1.05,AI479-AJ479*1.05,IF(AI479&lt;AJ479*0.95,AJ479*0.95-AI479,0))</f>
        <v/>
      </c>
      <c r="AL479" s="34">
        <f>MAX(F479,G479,750)*0.05*AK479</f>
        <v/>
      </c>
      <c r="AM479" s="39">
        <f>'[1]GÖP VERİLERİ'!G480</f>
        <v/>
      </c>
      <c r="AN479" s="34">
        <f>IF(AI479&gt;AM479*1.05,AI479-AM479*1.05,IF(AI479&lt;AM479*0.95,AM479*0.95-AI479,0))</f>
        <v/>
      </c>
      <c r="AO479" s="34">
        <f>MAX(F479,G479,750)*0.05*AN479</f>
        <v/>
      </c>
      <c r="AP479" s="34">
        <f>'[1]GÖP VERİLERİ'!B480</f>
        <v/>
      </c>
      <c r="AQ479" s="34">
        <f>'[1]GÖP VERİLERİ'!C480</f>
        <v/>
      </c>
      <c r="AR479" s="34">
        <f>IF(AP479&gt;AQ479*1.05,AP479-AQ479*1.05,IF(AP479&lt;AQ479*0.95,AQ479*0.95-AP479,0))</f>
        <v/>
      </c>
      <c r="AS479" s="34">
        <f>MAX(F479:G479,750)*0.05*AR479</f>
        <v/>
      </c>
      <c r="AT479">
        <f>'[1]GÖP VERİLERİ'!D480</f>
        <v/>
      </c>
      <c r="AU479" s="34">
        <f>IF(AP479&gt;AT479*1.05,AP479-AT479*1.05,IF(AP479&lt;AT479*0.95,AT479*0.95-AP479,0))</f>
        <v/>
      </c>
      <c r="AV479" s="34">
        <f>MAX(F479:G479,750)*0.05*AU479</f>
        <v/>
      </c>
      <c r="AW479" s="34">
        <f>AC479+AJ479+AQ479</f>
        <v/>
      </c>
      <c r="AX479" s="34">
        <f>AF479+AM479+AT479</f>
        <v/>
      </c>
      <c r="AY479" s="34">
        <f>AB479+AI479+AP479</f>
        <v/>
      </c>
      <c r="AZ479" s="34" t="n">
        <v>0</v>
      </c>
      <c r="BA479" s="34">
        <f>AD479+AK479+AR479</f>
        <v/>
      </c>
      <c r="BB479" s="34">
        <f>MAX(F479:G479,750)*0.05*BA479</f>
        <v/>
      </c>
      <c r="BC479" s="34">
        <f>AG479+AN479+AU479</f>
        <v/>
      </c>
      <c r="BD479" s="34">
        <f>MAX(F479:G479,750)*0.05*BC479</f>
        <v/>
      </c>
      <c r="BE479" s="34">
        <f>F479*AY479</f>
        <v/>
      </c>
      <c r="BF479" s="34">
        <f>K479-M479</f>
        <v/>
      </c>
      <c r="BG479" s="34">
        <f>P479-S479</f>
        <v/>
      </c>
      <c r="BH479" s="34">
        <f>W479-AA479</f>
        <v/>
      </c>
      <c r="BI479" s="34">
        <f>BF479+BG479+BL479-BN479</f>
        <v/>
      </c>
      <c r="BJ479" s="34">
        <f>ABS(BK479)</f>
        <v/>
      </c>
      <c r="BK479" s="34">
        <f>AY479-(J479-L479+N479-Q479)</f>
        <v/>
      </c>
      <c r="BL479" s="34">
        <f>IF(AND(BK479&gt;0,MIN($F479:$G479)&lt;150,$E479="Enerji Açığı"),-100*BK479*1.03,IF(AND(BK479&gt;0,MIN($F479:$G479)&lt;150,$E479="Enerji Fazlası"),-100*BK479*1.06,IF(AND(BK479&gt;0,MIN($F479:$G479)&gt;=150,$E479="Enerji Açığı"),BK479*MIN($F479:$G479)*0.97,IF(AND(BK479&gt;0,MIN($F479:$G479)&gt;=150,$E479="Enerji Fazlası"),BK479*MIN($F479:$G479)*0.94,IF(AND(BK479&lt;0,MAX($F479:$G479)=4500,$E479="Enerji Açığı"),4500*1.05*1.06*BK479,IF(AND(BK479&lt;0,MAX($F479:$G479)=4500,$E479="Enerji Fazlası"),4500*1.05*1.03*BK479,IF(AND(BK479&lt;0,$E479="Enerji Açığı"),MAX($F479,$G479,150)*BK479*1.06,IF(AND(BK479&lt;0,$E479="Enerji Fazlası"),MAX($F479,$G479,150)*BK479*1.03,IF(AND(BK479&lt;0,$E479="Dengede"),MAX($F479:$G479,150)*1.03*BK479,MIN($F479:$G479)*0.97*BK479)))))))))</f>
        <v/>
      </c>
      <c r="BM479" s="34">
        <f>BE479-BI479-BN479</f>
        <v/>
      </c>
      <c r="BN479" s="34">
        <f>BB479</f>
        <v/>
      </c>
      <c r="BO479" s="34">
        <f>BE479-BI479</f>
        <v/>
      </c>
      <c r="BP479" s="34">
        <f>IF(AY479=0,0,BO479/AY479)</f>
        <v/>
      </c>
      <c r="BQ479" s="34">
        <f>MAX((AY479+MAX((-J479+L479-N479+Q479),0)),(MAX((J479-L479+N479-Q479),0)))</f>
        <v/>
      </c>
      <c r="BR479" s="82">
        <f>IFERROR(ABS(BK479/BQ479),0)</f>
        <v/>
      </c>
      <c r="BS479" s="34">
        <f>IF(BR479&lt;=0.1,0,BK479/BR479*(BR479-0.1))</f>
        <v/>
      </c>
      <c r="BT479" s="34">
        <f>IF((BS479)&lt;0,MAX(F479:G479)*(BS479)*1.03,MIN(F479:G479)*(BS479)*0.97)</f>
        <v/>
      </c>
      <c r="BU479" s="34">
        <f>IF(BR479&gt;0.1,1,0)</f>
        <v/>
      </c>
      <c r="BV479" s="34">
        <f>BF479+BG479+BH479+BY479-CA479</f>
        <v/>
      </c>
      <c r="BW479" s="34">
        <f>ABS(BX479)</f>
        <v/>
      </c>
      <c r="BX479" s="34">
        <f>AY479-(J479-L479+N479-Q479+T479-X479)</f>
        <v/>
      </c>
      <c r="BY479" s="34">
        <f>IF(AND(BX479&gt;0,MIN($F479:$G479)&lt;150,$E479="Enerji Açığı"),-100*BX479*1.03,IF(AND(BX479&gt;0,MIN($F479:$G479)&lt;150,$E479="Enerji Fazlası"),-100*BX479*1.06,IF(AND(BX479&gt;0,MIN($F479:$G479)&gt;=150,$E479="Enerji Açığı"),BX479*MIN($F479:$G479)*0.97,IF(AND(BX479&gt;0,MIN($F479:$G479)&gt;=150,$E479="Enerji Fazlası"),BX479*MIN($F479:$G479)*0.94,IF(AND(BX479&lt;0,MAX($F479:$G479)=4500,$E479="Enerji Açığı"),4500*1.05*1.06*BX479,IF(AND(BX479&lt;0,MAX($F479:$G479)=4500,$E479="Enerji Fazlası"),4500*1.05*1.03*BX479,IF(AND(BX479&lt;0,$E479="Enerji Açığı"),MAX($F479,$G479,150)*BX479*1.06,IF(AND(BX479&lt;0,$E479="Enerji Fazlası"),MAX($F479,$G479,150)*BX479*1.03,IF(AND(BX479&lt;0,$E479="Dengede"),MAX($F479:$G479,150)*1.03*BX479,MIN($F479:$G479)*0.97*BX479)))))))))</f>
        <v/>
      </c>
      <c r="BZ479" s="34">
        <f>BE479-BV479-CA479</f>
        <v/>
      </c>
      <c r="CA479" s="34">
        <f>BD479</f>
        <v/>
      </c>
      <c r="CB479" s="33">
        <f>BE479-BV479</f>
        <v/>
      </c>
      <c r="CC479" s="34">
        <f>IF(AY479=0,0,CB479/AY479)</f>
        <v/>
      </c>
      <c r="CD479" s="34">
        <f>MAX((AY479+MAX((-J479+L479-N479+Q479-T479+X479),0)),(MAX((J479-L479+N479-Q479+T479-X479),0)))</f>
        <v/>
      </c>
      <c r="CE479" s="82">
        <f>IFERROR(ABS(BX479/CD479),0)</f>
        <v/>
      </c>
      <c r="CF479" s="34">
        <f>IF(CE479&lt;=0.1,0,BX479/CE479*(CE479-0.1))</f>
        <v/>
      </c>
      <c r="CG479" s="34">
        <f>IF((CF479)&lt;0,MAX(F479:G479)*(CF479)*1.03,MIN(F479:G479)*(CF479)*0.97)</f>
        <v/>
      </c>
      <c r="CH479" s="34">
        <f>IF(CE479&gt;0.1,1,0)</f>
        <v/>
      </c>
      <c r="CI479" s="34">
        <f>(F479*BX479)-BY479</f>
        <v/>
      </c>
      <c r="CJ479" s="34">
        <f>IF(AY479=0,0,CI479/AY479)</f>
        <v/>
      </c>
    </row>
    <row r="480">
      <c r="A480" s="29">
        <f>[1]FİYATLAR!A455</f>
        <v/>
      </c>
      <c r="B480" s="29">
        <f>[1]FİYATLAR!B455</f>
        <v/>
      </c>
      <c r="C480" s="35">
        <f>INT(A480)</f>
        <v/>
      </c>
      <c r="D480" s="36">
        <f>MONTH(A480)</f>
        <v/>
      </c>
      <c r="E480" s="147">
        <f>[1]FİYATLAR!G455</f>
        <v/>
      </c>
      <c r="F480" s="30">
        <f>[1]FİYATLAR!C455</f>
        <v/>
      </c>
      <c r="G480" s="30">
        <f>[1]FİYATLAR!E455</f>
        <v/>
      </c>
      <c r="H480" s="30">
        <f>[1]FİYATLAR!D455</f>
        <v/>
      </c>
      <c r="I480" s="30">
        <f>[1]FİYATLAR!F455</f>
        <v/>
      </c>
      <c r="J480" s="119" t="n">
        <v>0</v>
      </c>
      <c r="K480" s="34">
        <f>F480*J480</f>
        <v/>
      </c>
      <c r="L480" s="119" t="n"/>
      <c r="M480" s="34">
        <f>L480*F480</f>
        <v/>
      </c>
      <c r="N480" s="119" t="n"/>
      <c r="O480" s="34">
        <f>F480</f>
        <v/>
      </c>
      <c r="P480" s="34">
        <f>N480*O480</f>
        <v/>
      </c>
      <c r="Q480" s="117" t="n">
        <v>0</v>
      </c>
      <c r="R480" s="34">
        <f>F480</f>
        <v/>
      </c>
      <c r="S480" s="34">
        <f>R480*Q480</f>
        <v/>
      </c>
      <c r="T480" s="34">
        <f>SUMIFS('[1]GİP VERİLERİ'!$C:$C,'[1]GİP VERİLERİ'!$B:$B,A480,'[1]GİP VERİLERİ'!$M:$M,"40X000000104782K",'[1]GİP VERİLERİ'!$G:$G,"SELL")</f>
        <v/>
      </c>
      <c r="U480" s="34">
        <f>IFERROR(W480/T480,0)</f>
        <v/>
      </c>
      <c r="V480" s="34">
        <f>IF(U480=0,0,U480-F480)</f>
        <v/>
      </c>
      <c r="W480" s="34">
        <f>SUMIFS('[1]GİP VERİLERİ'!$O:$O,'[1]GİP VERİLERİ'!$B:$B,A480,'[1]GİP VERİLERİ'!$M:$M,"40X000000104782K",'[1]GİP VERİLERİ'!$G:$G,"SELL")</f>
        <v/>
      </c>
      <c r="X480" s="34">
        <f>SUMIFS('[1]GİP VERİLERİ'!$C:$C,'[1]GİP VERİLERİ'!$B:$B,A480,'[1]GİP VERİLERİ'!$M:$M,"40X000000104782K",'[1]GİP VERİLERİ'!$G:$G,"BUY")</f>
        <v/>
      </c>
      <c r="Y480" s="34">
        <f>IFERROR(AA480/X480,0)</f>
        <v/>
      </c>
      <c r="Z480" s="34">
        <f>IF(Y480=0,0,F480-Y480)</f>
        <v/>
      </c>
      <c r="AA480" s="34">
        <f>SUMIFS('[1]GİP VERİLERİ'!$O:$O,'[1]GİP VERİLERİ'!$B:$B,A480,'[1]GİP VERİLERİ'!$M:$M,"40X000000104782K",'[1]GİP VERİLERİ'!$G:$G,"BUY")</f>
        <v/>
      </c>
      <c r="AB480" s="34">
        <f>'[1]GÖP VERİLERİ'!H481</f>
        <v/>
      </c>
      <c r="AC480" s="34">
        <f>'[1]GÖP VERİLERİ'!I481</f>
        <v/>
      </c>
      <c r="AD480" s="34">
        <f>IF(AB480&gt;AC480*1.05,AB480-AC480*1.05,IF(AB480&lt;AC480*0.95,AC480*0.95-AB480,0))</f>
        <v/>
      </c>
      <c r="AE480" s="34">
        <f>MAX(F480,G480,750)*0.05*AD480</f>
        <v/>
      </c>
      <c r="AF480" s="34">
        <f>'[1]GÖP VERİLERİ'!J481</f>
        <v/>
      </c>
      <c r="AG480" s="34">
        <f>IF(AB480&gt;AF480*1.05,AB480-AF480*1.05,IF(AB480&lt;AF480*0.95,AF480*0.95-AB480,0))</f>
        <v/>
      </c>
      <c r="AH480" s="34">
        <f>MAX(I480,J480,750)*0.05*AG480</f>
        <v/>
      </c>
      <c r="AI480">
        <f>'[1]GÖP VERİLERİ'!E481</f>
        <v/>
      </c>
      <c r="AJ480">
        <f>'[1]GÖP VERİLERİ'!F481</f>
        <v/>
      </c>
      <c r="AK480" s="34">
        <f>IF(AI480&gt;AJ480*1.05,AI480-AJ480*1.05,IF(AI480&lt;AJ480*0.95,AJ480*0.95-AI480,0))</f>
        <v/>
      </c>
      <c r="AL480" s="34">
        <f>MAX(F480,G480,750)*0.05*AK480</f>
        <v/>
      </c>
      <c r="AM480" s="39">
        <f>'[1]GÖP VERİLERİ'!G481</f>
        <v/>
      </c>
      <c r="AN480" s="34">
        <f>IF(AI480&gt;AM480*1.05,AI480-AM480*1.05,IF(AI480&lt;AM480*0.95,AM480*0.95-AI480,0))</f>
        <v/>
      </c>
      <c r="AO480" s="34">
        <f>MAX(F480,G480,750)*0.05*AN480</f>
        <v/>
      </c>
      <c r="AP480" s="34">
        <f>'[1]GÖP VERİLERİ'!B481</f>
        <v/>
      </c>
      <c r="AQ480" s="34">
        <f>'[1]GÖP VERİLERİ'!C481</f>
        <v/>
      </c>
      <c r="AR480" s="34">
        <f>IF(AP480&gt;AQ480*1.05,AP480-AQ480*1.05,IF(AP480&lt;AQ480*0.95,AQ480*0.95-AP480,0))</f>
        <v/>
      </c>
      <c r="AS480" s="34">
        <f>MAX(F480:G480,750)*0.05*AR480</f>
        <v/>
      </c>
      <c r="AT480">
        <f>'[1]GÖP VERİLERİ'!D481</f>
        <v/>
      </c>
      <c r="AU480" s="34">
        <f>IF(AP480&gt;AT480*1.05,AP480-AT480*1.05,IF(AP480&lt;AT480*0.95,AT480*0.95-AP480,0))</f>
        <v/>
      </c>
      <c r="AV480" s="34">
        <f>MAX(F480:G480,750)*0.05*AU480</f>
        <v/>
      </c>
      <c r="AW480" s="34">
        <f>AC480+AJ480+AQ480</f>
        <v/>
      </c>
      <c r="AX480" s="34">
        <f>AF480+AM480+AT480</f>
        <v/>
      </c>
      <c r="AY480" s="34">
        <f>AB480+AI480+AP480</f>
        <v/>
      </c>
      <c r="AZ480" s="34" t="n">
        <v>0</v>
      </c>
      <c r="BA480" s="34">
        <f>AD480+AK480+AR480</f>
        <v/>
      </c>
      <c r="BB480" s="34">
        <f>MAX(F480:G480,750)*0.05*BA480</f>
        <v/>
      </c>
      <c r="BC480" s="34">
        <f>AG480+AN480+AU480</f>
        <v/>
      </c>
      <c r="BD480" s="34">
        <f>MAX(F480:G480,750)*0.05*BC480</f>
        <v/>
      </c>
      <c r="BE480" s="34">
        <f>F480*AY480</f>
        <v/>
      </c>
      <c r="BF480" s="34">
        <f>K480-M480</f>
        <v/>
      </c>
      <c r="BG480" s="34">
        <f>P480-S480</f>
        <v/>
      </c>
      <c r="BH480" s="34">
        <f>W480-AA480</f>
        <v/>
      </c>
      <c r="BI480" s="34">
        <f>BF480+BG480+BL480-BN480</f>
        <v/>
      </c>
      <c r="BJ480" s="34">
        <f>ABS(BK480)</f>
        <v/>
      </c>
      <c r="BK480" s="34">
        <f>AY480-(J480-L480+N480-Q480)</f>
        <v/>
      </c>
      <c r="BL480" s="34">
        <f>IF(AND(BK480&gt;0,MIN($F480:$G480)&lt;150,$E480="Enerji Açığı"),-100*BK480*1.03,IF(AND(BK480&gt;0,MIN($F480:$G480)&lt;150,$E480="Enerji Fazlası"),-100*BK480*1.06,IF(AND(BK480&gt;0,MIN($F480:$G480)&gt;=150,$E480="Enerji Açığı"),BK480*MIN($F480:$G480)*0.97,IF(AND(BK480&gt;0,MIN($F480:$G480)&gt;=150,$E480="Enerji Fazlası"),BK480*MIN($F480:$G480)*0.94,IF(AND(BK480&lt;0,MAX($F480:$G480)=4500,$E480="Enerji Açığı"),4500*1.05*1.06*BK480,IF(AND(BK480&lt;0,MAX($F480:$G480)=4500,$E480="Enerji Fazlası"),4500*1.05*1.03*BK480,IF(AND(BK480&lt;0,$E480="Enerji Açığı"),MAX($F480,$G480,150)*BK480*1.06,IF(AND(BK480&lt;0,$E480="Enerji Fazlası"),MAX($F480,$G480,150)*BK480*1.03,IF(AND(BK480&lt;0,$E480="Dengede"),MAX($F480:$G480,150)*1.03*BK480,MIN($F480:$G480)*0.97*BK480)))))))))</f>
        <v/>
      </c>
      <c r="BM480" s="34">
        <f>BE480-BI480-BN480</f>
        <v/>
      </c>
      <c r="BN480" s="34">
        <f>BB480</f>
        <v/>
      </c>
      <c r="BO480" s="34">
        <f>BE480-BI480</f>
        <v/>
      </c>
      <c r="BP480" s="34">
        <f>IF(AY480=0,0,BO480/AY480)</f>
        <v/>
      </c>
      <c r="BQ480" s="34">
        <f>MAX((AY480+MAX((-J480+L480-N480+Q480),0)),(MAX((J480-L480+N480-Q480),0)))</f>
        <v/>
      </c>
      <c r="BR480" s="82">
        <f>IFERROR(ABS(BK480/BQ480),0)</f>
        <v/>
      </c>
      <c r="BS480" s="34">
        <f>IF(BR480&lt;=0.1,0,BK480/BR480*(BR480-0.1))</f>
        <v/>
      </c>
      <c r="BT480" s="34">
        <f>IF((BS480)&lt;0,MAX(F480:G480)*(BS480)*1.03,MIN(F480:G480)*(BS480)*0.97)</f>
        <v/>
      </c>
      <c r="BU480" s="34">
        <f>IF(BR480&gt;0.1,1,0)</f>
        <v/>
      </c>
      <c r="BV480" s="34">
        <f>BF480+BG480+BH480+BY480-CA480</f>
        <v/>
      </c>
      <c r="BW480" s="34">
        <f>ABS(BX480)</f>
        <v/>
      </c>
      <c r="BX480" s="34">
        <f>AY480-(J480-L480+N480-Q480+T480-X480)</f>
        <v/>
      </c>
      <c r="BY480" s="34">
        <f>IF(AND(BX480&gt;0,MIN($F480:$G480)&lt;150,$E480="Enerji Açığı"),-100*BX480*1.03,IF(AND(BX480&gt;0,MIN($F480:$G480)&lt;150,$E480="Enerji Fazlası"),-100*BX480*1.06,IF(AND(BX480&gt;0,MIN($F480:$G480)&gt;=150,$E480="Enerji Açığı"),BX480*MIN($F480:$G480)*0.97,IF(AND(BX480&gt;0,MIN($F480:$G480)&gt;=150,$E480="Enerji Fazlası"),BX480*MIN($F480:$G480)*0.94,IF(AND(BX480&lt;0,MAX($F480:$G480)=4500,$E480="Enerji Açığı"),4500*1.05*1.06*BX480,IF(AND(BX480&lt;0,MAX($F480:$G480)=4500,$E480="Enerji Fazlası"),4500*1.05*1.03*BX480,IF(AND(BX480&lt;0,$E480="Enerji Açığı"),MAX($F480,$G480,150)*BX480*1.06,IF(AND(BX480&lt;0,$E480="Enerji Fazlası"),MAX($F480,$G480,150)*BX480*1.03,IF(AND(BX480&lt;0,$E480="Dengede"),MAX($F480:$G480,150)*1.03*BX480,MIN($F480:$G480)*0.97*BX480)))))))))</f>
        <v/>
      </c>
      <c r="BZ480" s="34">
        <f>BE480-BV480-CA480</f>
        <v/>
      </c>
      <c r="CA480" s="34">
        <f>BD480</f>
        <v/>
      </c>
      <c r="CB480" s="33">
        <f>BE480-BV480</f>
        <v/>
      </c>
      <c r="CC480" s="34">
        <f>IF(AY480=0,0,CB480/AY480)</f>
        <v/>
      </c>
      <c r="CD480" s="34">
        <f>MAX((AY480+MAX((-J480+L480-N480+Q480-T480+X480),0)),(MAX((J480-L480+N480-Q480+T480-X480),0)))</f>
        <v/>
      </c>
      <c r="CE480" s="82">
        <f>IFERROR(ABS(BX480/CD480),0)</f>
        <v/>
      </c>
      <c r="CF480" s="34">
        <f>IF(CE480&lt;=0.1,0,BX480/CE480*(CE480-0.1))</f>
        <v/>
      </c>
      <c r="CG480" s="34">
        <f>IF((CF480)&lt;0,MAX(F480:G480)*(CF480)*1.03,MIN(F480:G480)*(CF480)*0.97)</f>
        <v/>
      </c>
      <c r="CH480" s="34">
        <f>IF(CE480&gt;0.1,1,0)</f>
        <v/>
      </c>
      <c r="CI480" s="34">
        <f>(F480*BX480)-BY480</f>
        <v/>
      </c>
      <c r="CJ480" s="34">
        <f>IF(AY480=0,0,CI480/AY480)</f>
        <v/>
      </c>
    </row>
    <row r="481">
      <c r="A481" s="29">
        <f>[1]FİYATLAR!A456</f>
        <v/>
      </c>
      <c r="B481" s="29">
        <f>[1]FİYATLAR!B456</f>
        <v/>
      </c>
      <c r="C481" s="35">
        <f>INT(A481)</f>
        <v/>
      </c>
      <c r="D481" s="36">
        <f>MONTH(A481)</f>
        <v/>
      </c>
      <c r="E481" s="147">
        <f>[1]FİYATLAR!G456</f>
        <v/>
      </c>
      <c r="F481" s="30">
        <f>[1]FİYATLAR!C456</f>
        <v/>
      </c>
      <c r="G481" s="30">
        <f>[1]FİYATLAR!E456</f>
        <v/>
      </c>
      <c r="H481" s="30">
        <f>[1]FİYATLAR!D456</f>
        <v/>
      </c>
      <c r="I481" s="30">
        <f>[1]FİYATLAR!F456</f>
        <v/>
      </c>
      <c r="J481" s="119" t="n">
        <v>0</v>
      </c>
      <c r="K481" s="34">
        <f>F481*J481</f>
        <v/>
      </c>
      <c r="L481" s="119" t="n"/>
      <c r="M481" s="34">
        <f>L481*F481</f>
        <v/>
      </c>
      <c r="N481" s="119" t="n"/>
      <c r="O481" s="34">
        <f>F481</f>
        <v/>
      </c>
      <c r="P481" s="34">
        <f>N481*O481</f>
        <v/>
      </c>
      <c r="Q481" s="117" t="n">
        <v>0</v>
      </c>
      <c r="R481" s="34">
        <f>F481</f>
        <v/>
      </c>
      <c r="S481" s="34">
        <f>R481*Q481</f>
        <v/>
      </c>
      <c r="T481" s="34">
        <f>SUMIFS('[1]GİP VERİLERİ'!$C:$C,'[1]GİP VERİLERİ'!$B:$B,A481,'[1]GİP VERİLERİ'!$M:$M,"40X000000104782K",'[1]GİP VERİLERİ'!$G:$G,"SELL")</f>
        <v/>
      </c>
      <c r="U481" s="34">
        <f>IFERROR(W481/T481,0)</f>
        <v/>
      </c>
      <c r="V481" s="34">
        <f>IF(U481=0,0,U481-F481)</f>
        <v/>
      </c>
      <c r="W481" s="34">
        <f>SUMIFS('[1]GİP VERİLERİ'!$O:$O,'[1]GİP VERİLERİ'!$B:$B,A481,'[1]GİP VERİLERİ'!$M:$M,"40X000000104782K",'[1]GİP VERİLERİ'!$G:$G,"SELL")</f>
        <v/>
      </c>
      <c r="X481" s="34">
        <f>SUMIFS('[1]GİP VERİLERİ'!$C:$C,'[1]GİP VERİLERİ'!$B:$B,A481,'[1]GİP VERİLERİ'!$M:$M,"40X000000104782K",'[1]GİP VERİLERİ'!$G:$G,"BUY")</f>
        <v/>
      </c>
      <c r="Y481" s="34">
        <f>IFERROR(AA481/X481,0)</f>
        <v/>
      </c>
      <c r="Z481" s="34">
        <f>IF(Y481=0,0,F481-Y481)</f>
        <v/>
      </c>
      <c r="AA481" s="34">
        <f>SUMIFS('[1]GİP VERİLERİ'!$O:$O,'[1]GİP VERİLERİ'!$B:$B,A481,'[1]GİP VERİLERİ'!$M:$M,"40X000000104782K",'[1]GİP VERİLERİ'!$G:$G,"BUY")</f>
        <v/>
      </c>
      <c r="AB481" s="34">
        <f>'[1]GÖP VERİLERİ'!H482</f>
        <v/>
      </c>
      <c r="AC481" s="34">
        <f>'[1]GÖP VERİLERİ'!I482</f>
        <v/>
      </c>
      <c r="AD481" s="34">
        <f>IF(AB481&gt;AC481*1.05,AB481-AC481*1.05,IF(AB481&lt;AC481*0.95,AC481*0.95-AB481,0))</f>
        <v/>
      </c>
      <c r="AE481" s="34">
        <f>MAX(F481,G481,750)*0.05*AD481</f>
        <v/>
      </c>
      <c r="AF481" s="34">
        <f>'[1]GÖP VERİLERİ'!J482</f>
        <v/>
      </c>
      <c r="AG481" s="34">
        <f>IF(AB481&gt;AF481*1.05,AB481-AF481*1.05,IF(AB481&lt;AF481*0.95,AF481*0.95-AB481,0))</f>
        <v/>
      </c>
      <c r="AH481" s="34">
        <f>MAX(I481,J481,750)*0.05*AG481</f>
        <v/>
      </c>
      <c r="AI481">
        <f>'[1]GÖP VERİLERİ'!E482</f>
        <v/>
      </c>
      <c r="AJ481">
        <f>'[1]GÖP VERİLERİ'!F482</f>
        <v/>
      </c>
      <c r="AK481" s="34">
        <f>IF(AI481&gt;AJ481*1.05,AI481-AJ481*1.05,IF(AI481&lt;AJ481*0.95,AJ481*0.95-AI481,0))</f>
        <v/>
      </c>
      <c r="AL481" s="34">
        <f>MAX(F481,G481,750)*0.05*AK481</f>
        <v/>
      </c>
      <c r="AM481" s="39">
        <f>'[1]GÖP VERİLERİ'!G482</f>
        <v/>
      </c>
      <c r="AN481" s="34">
        <f>IF(AI481&gt;AM481*1.05,AI481-AM481*1.05,IF(AI481&lt;AM481*0.95,AM481*0.95-AI481,0))</f>
        <v/>
      </c>
      <c r="AO481" s="34">
        <f>MAX(F481,G481,750)*0.05*AN481</f>
        <v/>
      </c>
      <c r="AP481" s="34">
        <f>'[1]GÖP VERİLERİ'!B482</f>
        <v/>
      </c>
      <c r="AQ481" s="34">
        <f>'[1]GÖP VERİLERİ'!C482</f>
        <v/>
      </c>
      <c r="AR481" s="34">
        <f>IF(AP481&gt;AQ481*1.05,AP481-AQ481*1.05,IF(AP481&lt;AQ481*0.95,AQ481*0.95-AP481,0))</f>
        <v/>
      </c>
      <c r="AS481" s="34">
        <f>MAX(F481:G481,750)*0.05*AR481</f>
        <v/>
      </c>
      <c r="AT481">
        <f>'[1]GÖP VERİLERİ'!D482</f>
        <v/>
      </c>
      <c r="AU481" s="34">
        <f>IF(AP481&gt;AT481*1.05,AP481-AT481*1.05,IF(AP481&lt;AT481*0.95,AT481*0.95-AP481,0))</f>
        <v/>
      </c>
      <c r="AV481" s="34">
        <f>MAX(F481:G481,750)*0.05*AU481</f>
        <v/>
      </c>
      <c r="AW481" s="34">
        <f>AC481+AJ481+AQ481</f>
        <v/>
      </c>
      <c r="AX481" s="34">
        <f>AF481+AM481+AT481</f>
        <v/>
      </c>
      <c r="AY481" s="34">
        <f>AB481+AI481+AP481</f>
        <v/>
      </c>
      <c r="AZ481" s="34" t="n">
        <v>0</v>
      </c>
      <c r="BA481" s="34">
        <f>AD481+AK481+AR481</f>
        <v/>
      </c>
      <c r="BB481" s="34">
        <f>MAX(F481:G481,750)*0.05*BA481</f>
        <v/>
      </c>
      <c r="BC481" s="34">
        <f>AG481+AN481+AU481</f>
        <v/>
      </c>
      <c r="BD481" s="34">
        <f>MAX(F481:G481,750)*0.05*BC481</f>
        <v/>
      </c>
      <c r="BE481" s="34">
        <f>F481*AY481</f>
        <v/>
      </c>
      <c r="BF481" s="34">
        <f>K481-M481</f>
        <v/>
      </c>
      <c r="BG481" s="34">
        <f>P481-S481</f>
        <v/>
      </c>
      <c r="BH481" s="34">
        <f>W481-AA481</f>
        <v/>
      </c>
      <c r="BI481" s="34">
        <f>BF481+BG481+BL481-BN481</f>
        <v/>
      </c>
      <c r="BJ481" s="34">
        <f>ABS(BK481)</f>
        <v/>
      </c>
      <c r="BK481" s="34">
        <f>AY481-(J481-L481+N481-Q481)</f>
        <v/>
      </c>
      <c r="BL481" s="34">
        <f>IF(AND(BK481&gt;0,MIN($F481:$G481)&lt;150,$E481="Enerji Açığı"),-100*BK481*1.03,IF(AND(BK481&gt;0,MIN($F481:$G481)&lt;150,$E481="Enerji Fazlası"),-100*BK481*1.06,IF(AND(BK481&gt;0,MIN($F481:$G481)&gt;=150,$E481="Enerji Açığı"),BK481*MIN($F481:$G481)*0.97,IF(AND(BK481&gt;0,MIN($F481:$G481)&gt;=150,$E481="Enerji Fazlası"),BK481*MIN($F481:$G481)*0.94,IF(AND(BK481&lt;0,MAX($F481:$G481)=4500,$E481="Enerji Açığı"),4500*1.05*1.06*BK481,IF(AND(BK481&lt;0,MAX($F481:$G481)=4500,$E481="Enerji Fazlası"),4500*1.05*1.03*BK481,IF(AND(BK481&lt;0,$E481="Enerji Açığı"),MAX($F481,$G481,150)*BK481*1.06,IF(AND(BK481&lt;0,$E481="Enerji Fazlası"),MAX($F481,$G481,150)*BK481*1.03,IF(AND(BK481&lt;0,$E481="Dengede"),MAX($F481:$G481,150)*1.03*BK481,MIN($F481:$G481)*0.97*BK481)))))))))</f>
        <v/>
      </c>
      <c r="BM481" s="34">
        <f>BE481-BI481-BN481</f>
        <v/>
      </c>
      <c r="BN481" s="34">
        <f>BB481</f>
        <v/>
      </c>
      <c r="BO481" s="34">
        <f>BE481-BI481</f>
        <v/>
      </c>
      <c r="BP481" s="34">
        <f>IF(AY481=0,0,BO481/AY481)</f>
        <v/>
      </c>
      <c r="BQ481" s="34">
        <f>MAX((AY481+MAX((-J481+L481-N481+Q481),0)),(MAX((J481-L481+N481-Q481),0)))</f>
        <v/>
      </c>
      <c r="BR481" s="82">
        <f>IFERROR(ABS(BK481/BQ481),0)</f>
        <v/>
      </c>
      <c r="BS481" s="34">
        <f>IF(BR481&lt;=0.1,0,BK481/BR481*(BR481-0.1))</f>
        <v/>
      </c>
      <c r="BT481" s="34">
        <f>IF((BS481)&lt;0,MAX(F481:G481)*(BS481)*1.03,MIN(F481:G481)*(BS481)*0.97)</f>
        <v/>
      </c>
      <c r="BU481" s="34">
        <f>IF(BR481&gt;0.1,1,0)</f>
        <v/>
      </c>
      <c r="BV481" s="34">
        <f>BF481+BG481+BH481+BY481-CA481</f>
        <v/>
      </c>
      <c r="BW481" s="34">
        <f>ABS(BX481)</f>
        <v/>
      </c>
      <c r="BX481" s="34">
        <f>AY481-(J481-L481+N481-Q481+T481-X481)</f>
        <v/>
      </c>
      <c r="BY481" s="34">
        <f>IF(AND(BX481&gt;0,MIN($F481:$G481)&lt;150,$E481="Enerji Açığı"),-100*BX481*1.03,IF(AND(BX481&gt;0,MIN($F481:$G481)&lt;150,$E481="Enerji Fazlası"),-100*BX481*1.06,IF(AND(BX481&gt;0,MIN($F481:$G481)&gt;=150,$E481="Enerji Açığı"),BX481*MIN($F481:$G481)*0.97,IF(AND(BX481&gt;0,MIN($F481:$G481)&gt;=150,$E481="Enerji Fazlası"),BX481*MIN($F481:$G481)*0.94,IF(AND(BX481&lt;0,MAX($F481:$G481)=4500,$E481="Enerji Açığı"),4500*1.05*1.06*BX481,IF(AND(BX481&lt;0,MAX($F481:$G481)=4500,$E481="Enerji Fazlası"),4500*1.05*1.03*BX481,IF(AND(BX481&lt;0,$E481="Enerji Açığı"),MAX($F481,$G481,150)*BX481*1.06,IF(AND(BX481&lt;0,$E481="Enerji Fazlası"),MAX($F481,$G481,150)*BX481*1.03,IF(AND(BX481&lt;0,$E481="Dengede"),MAX($F481:$G481,150)*1.03*BX481,MIN($F481:$G481)*0.97*BX481)))))))))</f>
        <v/>
      </c>
      <c r="BZ481" s="34">
        <f>BE481-BV481-CA481</f>
        <v/>
      </c>
      <c r="CA481" s="34">
        <f>BD481</f>
        <v/>
      </c>
      <c r="CB481" s="33">
        <f>BE481-BV481</f>
        <v/>
      </c>
      <c r="CC481" s="34">
        <f>IF(AY481=0,0,CB481/AY481)</f>
        <v/>
      </c>
      <c r="CD481" s="34">
        <f>MAX((AY481+MAX((-J481+L481-N481+Q481-T481+X481),0)),(MAX((J481-L481+N481-Q481+T481-X481),0)))</f>
        <v/>
      </c>
      <c r="CE481" s="82">
        <f>IFERROR(ABS(BX481/CD481),0)</f>
        <v/>
      </c>
      <c r="CF481" s="34">
        <f>IF(CE481&lt;=0.1,0,BX481/CE481*(CE481-0.1))</f>
        <v/>
      </c>
      <c r="CG481" s="34">
        <f>IF((CF481)&lt;0,MAX(F481:G481)*(CF481)*1.03,MIN(F481:G481)*(CF481)*0.97)</f>
        <v/>
      </c>
      <c r="CH481" s="34">
        <f>IF(CE481&gt;0.1,1,0)</f>
        <v/>
      </c>
      <c r="CI481" s="34">
        <f>(F481*BX481)-BY481</f>
        <v/>
      </c>
      <c r="CJ481" s="34">
        <f>IF(AY481=0,0,CI481/AY481)</f>
        <v/>
      </c>
    </row>
    <row r="482">
      <c r="A482" s="29">
        <f>[1]FİYATLAR!A457</f>
        <v/>
      </c>
      <c r="B482" s="29">
        <f>[1]FİYATLAR!B457</f>
        <v/>
      </c>
      <c r="C482" s="35">
        <f>INT(A482)</f>
        <v/>
      </c>
      <c r="D482" s="36">
        <f>MONTH(A482)</f>
        <v/>
      </c>
      <c r="E482" s="147">
        <f>[1]FİYATLAR!G457</f>
        <v/>
      </c>
      <c r="F482" s="30">
        <f>[1]FİYATLAR!C457</f>
        <v/>
      </c>
      <c r="G482" s="30">
        <f>[1]FİYATLAR!E457</f>
        <v/>
      </c>
      <c r="H482" s="30">
        <f>[1]FİYATLAR!D457</f>
        <v/>
      </c>
      <c r="I482" s="30">
        <f>[1]FİYATLAR!F457</f>
        <v/>
      </c>
      <c r="J482" s="119" t="n">
        <v>0</v>
      </c>
      <c r="K482" s="34">
        <f>F482*J482</f>
        <v/>
      </c>
      <c r="L482" s="119" t="n"/>
      <c r="M482" s="34">
        <f>L482*F482</f>
        <v/>
      </c>
      <c r="N482" s="119" t="n"/>
      <c r="O482" s="34">
        <f>F482</f>
        <v/>
      </c>
      <c r="P482" s="34">
        <f>N482*O482</f>
        <v/>
      </c>
      <c r="Q482" s="117" t="n">
        <v>0</v>
      </c>
      <c r="R482" s="34">
        <f>F482</f>
        <v/>
      </c>
      <c r="S482" s="34">
        <f>R482*Q482</f>
        <v/>
      </c>
      <c r="T482" s="34">
        <f>SUMIFS('[1]GİP VERİLERİ'!$C:$C,'[1]GİP VERİLERİ'!$B:$B,A482,'[1]GİP VERİLERİ'!$M:$M,"40X000000104782K",'[1]GİP VERİLERİ'!$G:$G,"SELL")</f>
        <v/>
      </c>
      <c r="U482" s="34">
        <f>IFERROR(W482/T482,0)</f>
        <v/>
      </c>
      <c r="V482" s="34">
        <f>IF(U482=0,0,U482-F482)</f>
        <v/>
      </c>
      <c r="W482" s="34">
        <f>SUMIFS('[1]GİP VERİLERİ'!$O:$O,'[1]GİP VERİLERİ'!$B:$B,A482,'[1]GİP VERİLERİ'!$M:$M,"40X000000104782K",'[1]GİP VERİLERİ'!$G:$G,"SELL")</f>
        <v/>
      </c>
      <c r="X482" s="34">
        <f>SUMIFS('[1]GİP VERİLERİ'!$C:$C,'[1]GİP VERİLERİ'!$B:$B,A482,'[1]GİP VERİLERİ'!$M:$M,"40X000000104782K",'[1]GİP VERİLERİ'!$G:$G,"BUY")</f>
        <v/>
      </c>
      <c r="Y482" s="34">
        <f>IFERROR(AA482/X482,0)</f>
        <v/>
      </c>
      <c r="Z482" s="34">
        <f>IF(Y482=0,0,F482-Y482)</f>
        <v/>
      </c>
      <c r="AA482" s="34">
        <f>SUMIFS('[1]GİP VERİLERİ'!$O:$O,'[1]GİP VERİLERİ'!$B:$B,A482,'[1]GİP VERİLERİ'!$M:$M,"40X000000104782K",'[1]GİP VERİLERİ'!$G:$G,"BUY")</f>
        <v/>
      </c>
      <c r="AB482" s="34">
        <f>'[1]GÖP VERİLERİ'!H483</f>
        <v/>
      </c>
      <c r="AC482" s="34">
        <f>'[1]GÖP VERİLERİ'!I483</f>
        <v/>
      </c>
      <c r="AD482" s="34">
        <f>IF(AB482&gt;AC482*1.05,AB482-AC482*1.05,IF(AB482&lt;AC482*0.95,AC482*0.95-AB482,0))</f>
        <v/>
      </c>
      <c r="AE482" s="34">
        <f>MAX(F482,G482,750)*0.05*AD482</f>
        <v/>
      </c>
      <c r="AF482" s="34">
        <f>'[1]GÖP VERİLERİ'!J483</f>
        <v/>
      </c>
      <c r="AG482" s="34">
        <f>IF(AB482&gt;AF482*1.05,AB482-AF482*1.05,IF(AB482&lt;AF482*0.95,AF482*0.95-AB482,0))</f>
        <v/>
      </c>
      <c r="AH482" s="34">
        <f>MAX(I482,J482,750)*0.05*AG482</f>
        <v/>
      </c>
      <c r="AI482">
        <f>'[1]GÖP VERİLERİ'!E483</f>
        <v/>
      </c>
      <c r="AJ482">
        <f>'[1]GÖP VERİLERİ'!F483</f>
        <v/>
      </c>
      <c r="AK482" s="34">
        <f>IF(AI482&gt;AJ482*1.05,AI482-AJ482*1.05,IF(AI482&lt;AJ482*0.95,AJ482*0.95-AI482,0))</f>
        <v/>
      </c>
      <c r="AL482" s="34">
        <f>MAX(F482,G482,750)*0.05*AK482</f>
        <v/>
      </c>
      <c r="AM482" s="39">
        <f>'[1]GÖP VERİLERİ'!G483</f>
        <v/>
      </c>
      <c r="AN482" s="34">
        <f>IF(AI482&gt;AM482*1.05,AI482-AM482*1.05,IF(AI482&lt;AM482*0.95,AM482*0.95-AI482,0))</f>
        <v/>
      </c>
      <c r="AO482" s="34">
        <f>MAX(F482,G482,750)*0.05*AN482</f>
        <v/>
      </c>
      <c r="AP482" s="34">
        <f>'[1]GÖP VERİLERİ'!B483</f>
        <v/>
      </c>
      <c r="AQ482" s="34">
        <f>'[1]GÖP VERİLERİ'!C483</f>
        <v/>
      </c>
      <c r="AR482" s="34">
        <f>IF(AP482&gt;AQ482*1.05,AP482-AQ482*1.05,IF(AP482&lt;AQ482*0.95,AQ482*0.95-AP482,0))</f>
        <v/>
      </c>
      <c r="AS482" s="34">
        <f>MAX(F482:G482,750)*0.05*AR482</f>
        <v/>
      </c>
      <c r="AT482">
        <f>'[1]GÖP VERİLERİ'!D483</f>
        <v/>
      </c>
      <c r="AU482" s="34">
        <f>IF(AP482&gt;AT482*1.05,AP482-AT482*1.05,IF(AP482&lt;AT482*0.95,AT482*0.95-AP482,0))</f>
        <v/>
      </c>
      <c r="AV482" s="34">
        <f>MAX(F482:G482,750)*0.05*AU482</f>
        <v/>
      </c>
      <c r="AW482" s="34">
        <f>AC482+AJ482+AQ482</f>
        <v/>
      </c>
      <c r="AX482" s="34">
        <f>AF482+AM482+AT482</f>
        <v/>
      </c>
      <c r="AY482" s="34">
        <f>AB482+AI482+AP482</f>
        <v/>
      </c>
      <c r="AZ482" s="34" t="n">
        <v>0</v>
      </c>
      <c r="BA482" s="34">
        <f>AD482+AK482+AR482</f>
        <v/>
      </c>
      <c r="BB482" s="34">
        <f>MAX(F482:G482,750)*0.05*BA482</f>
        <v/>
      </c>
      <c r="BC482" s="34">
        <f>AG482+AN482+AU482</f>
        <v/>
      </c>
      <c r="BD482" s="34">
        <f>MAX(F482:G482,750)*0.05*BC482</f>
        <v/>
      </c>
      <c r="BE482" s="34">
        <f>F482*AY482</f>
        <v/>
      </c>
      <c r="BF482" s="34">
        <f>K482-M482</f>
        <v/>
      </c>
      <c r="BG482" s="34">
        <f>P482-S482</f>
        <v/>
      </c>
      <c r="BH482" s="34">
        <f>W482-AA482</f>
        <v/>
      </c>
      <c r="BI482" s="34">
        <f>BF482+BG482+BL482-BN482</f>
        <v/>
      </c>
      <c r="BJ482" s="34">
        <f>ABS(BK482)</f>
        <v/>
      </c>
      <c r="BK482" s="34">
        <f>AY482-(J482-L482+N482-Q482)</f>
        <v/>
      </c>
      <c r="BL482" s="34">
        <f>IF(AND(BK482&gt;0,MIN($F482:$G482)&lt;150,$E482="Enerji Açığı"),-100*BK482*1.03,IF(AND(BK482&gt;0,MIN($F482:$G482)&lt;150,$E482="Enerji Fazlası"),-100*BK482*1.06,IF(AND(BK482&gt;0,MIN($F482:$G482)&gt;=150,$E482="Enerji Açığı"),BK482*MIN($F482:$G482)*0.97,IF(AND(BK482&gt;0,MIN($F482:$G482)&gt;=150,$E482="Enerji Fazlası"),BK482*MIN($F482:$G482)*0.94,IF(AND(BK482&lt;0,MAX($F482:$G482)=4500,$E482="Enerji Açığı"),4500*1.05*1.06*BK482,IF(AND(BK482&lt;0,MAX($F482:$G482)=4500,$E482="Enerji Fazlası"),4500*1.05*1.03*BK482,IF(AND(BK482&lt;0,$E482="Enerji Açığı"),MAX($F482,$G482,150)*BK482*1.06,IF(AND(BK482&lt;0,$E482="Enerji Fazlası"),MAX($F482,$G482,150)*BK482*1.03,IF(AND(BK482&lt;0,$E482="Dengede"),MAX($F482:$G482,150)*1.03*BK482,MIN($F482:$G482)*0.97*BK482)))))))))</f>
        <v/>
      </c>
      <c r="BM482" s="34">
        <f>BE482-BI482-BN482</f>
        <v/>
      </c>
      <c r="BN482" s="34">
        <f>BB482</f>
        <v/>
      </c>
      <c r="BO482" s="34">
        <f>BE482-BI482</f>
        <v/>
      </c>
      <c r="BP482" s="34">
        <f>IF(AY482=0,0,BO482/AY482)</f>
        <v/>
      </c>
      <c r="BQ482" s="34">
        <f>MAX((AY482+MAX((-J482+L482-N482+Q482),0)),(MAX((J482-L482+N482-Q482),0)))</f>
        <v/>
      </c>
      <c r="BR482" s="82">
        <f>IFERROR(ABS(BK482/BQ482),0)</f>
        <v/>
      </c>
      <c r="BS482" s="34">
        <f>IF(BR482&lt;=0.1,0,BK482/BR482*(BR482-0.1))</f>
        <v/>
      </c>
      <c r="BT482" s="34">
        <f>IF((BS482)&lt;0,MAX(F482:G482)*(BS482)*1.03,MIN(F482:G482)*(BS482)*0.97)</f>
        <v/>
      </c>
      <c r="BU482" s="34">
        <f>IF(BR482&gt;0.1,1,0)</f>
        <v/>
      </c>
      <c r="BV482" s="34">
        <f>BF482+BG482+BH482+BY482-CA482</f>
        <v/>
      </c>
      <c r="BW482" s="34">
        <f>ABS(BX482)</f>
        <v/>
      </c>
      <c r="BX482" s="34">
        <f>AY482-(J482-L482+N482-Q482+T482-X482)</f>
        <v/>
      </c>
      <c r="BY482" s="34">
        <f>IF(AND(BX482&gt;0,MIN($F482:$G482)&lt;150,$E482="Enerji Açığı"),-100*BX482*1.03,IF(AND(BX482&gt;0,MIN($F482:$G482)&lt;150,$E482="Enerji Fazlası"),-100*BX482*1.06,IF(AND(BX482&gt;0,MIN($F482:$G482)&gt;=150,$E482="Enerji Açığı"),BX482*MIN($F482:$G482)*0.97,IF(AND(BX482&gt;0,MIN($F482:$G482)&gt;=150,$E482="Enerji Fazlası"),BX482*MIN($F482:$G482)*0.94,IF(AND(BX482&lt;0,MAX($F482:$G482)=4500,$E482="Enerji Açığı"),4500*1.05*1.06*BX482,IF(AND(BX482&lt;0,MAX($F482:$G482)=4500,$E482="Enerji Fazlası"),4500*1.05*1.03*BX482,IF(AND(BX482&lt;0,$E482="Enerji Açığı"),MAX($F482,$G482,150)*BX482*1.06,IF(AND(BX482&lt;0,$E482="Enerji Fazlası"),MAX($F482,$G482,150)*BX482*1.03,IF(AND(BX482&lt;0,$E482="Dengede"),MAX($F482:$G482,150)*1.03*BX482,MIN($F482:$G482)*0.97*BX482)))))))))</f>
        <v/>
      </c>
      <c r="BZ482" s="34">
        <f>BE482-BV482-CA482</f>
        <v/>
      </c>
      <c r="CA482" s="34">
        <f>BD482</f>
        <v/>
      </c>
      <c r="CB482" s="33">
        <f>BE482-BV482</f>
        <v/>
      </c>
      <c r="CC482" s="34">
        <f>IF(AY482=0,0,CB482/AY482)</f>
        <v/>
      </c>
      <c r="CD482" s="34">
        <f>MAX((AY482+MAX((-J482+L482-N482+Q482-T482+X482),0)),(MAX((J482-L482+N482-Q482+T482-X482),0)))</f>
        <v/>
      </c>
      <c r="CE482" s="82">
        <f>IFERROR(ABS(BX482/CD482),0)</f>
        <v/>
      </c>
      <c r="CF482" s="34">
        <f>IF(CE482&lt;=0.1,0,BX482/CE482*(CE482-0.1))</f>
        <v/>
      </c>
      <c r="CG482" s="34">
        <f>IF((CF482)&lt;0,MAX(F482:G482)*(CF482)*1.03,MIN(F482:G482)*(CF482)*0.97)</f>
        <v/>
      </c>
      <c r="CH482" s="34">
        <f>IF(CE482&gt;0.1,1,0)</f>
        <v/>
      </c>
      <c r="CI482" s="34">
        <f>(F482*BX482)-BY482</f>
        <v/>
      </c>
      <c r="CJ482" s="34">
        <f>IF(AY482=0,0,CI482/AY482)</f>
        <v/>
      </c>
    </row>
    <row r="483">
      <c r="A483" s="29">
        <f>[1]FİYATLAR!A458</f>
        <v/>
      </c>
      <c r="B483" s="29">
        <f>[1]FİYATLAR!B458</f>
        <v/>
      </c>
      <c r="C483" s="35">
        <f>INT(A483)</f>
        <v/>
      </c>
      <c r="D483" s="36">
        <f>MONTH(A483)</f>
        <v/>
      </c>
      <c r="E483" s="147">
        <f>[1]FİYATLAR!G458</f>
        <v/>
      </c>
      <c r="F483" s="30">
        <f>[1]FİYATLAR!C458</f>
        <v/>
      </c>
      <c r="G483" s="30">
        <f>[1]FİYATLAR!E458</f>
        <v/>
      </c>
      <c r="H483" s="30">
        <f>[1]FİYATLAR!D458</f>
        <v/>
      </c>
      <c r="I483" s="30">
        <f>[1]FİYATLAR!F458</f>
        <v/>
      </c>
      <c r="J483" s="119" t="n">
        <v>0</v>
      </c>
      <c r="K483" s="34">
        <f>F483*J483</f>
        <v/>
      </c>
      <c r="L483" s="119" t="n"/>
      <c r="M483" s="34">
        <f>L483*F483</f>
        <v/>
      </c>
      <c r="N483" s="119" t="n"/>
      <c r="O483" s="34">
        <f>F483</f>
        <v/>
      </c>
      <c r="P483" s="34">
        <f>N483*O483</f>
        <v/>
      </c>
      <c r="Q483" s="117" t="n">
        <v>0</v>
      </c>
      <c r="R483" s="34">
        <f>F483</f>
        <v/>
      </c>
      <c r="S483" s="34">
        <f>R483*Q483</f>
        <v/>
      </c>
      <c r="T483" s="34">
        <f>SUMIFS('[1]GİP VERİLERİ'!$C:$C,'[1]GİP VERİLERİ'!$B:$B,A483,'[1]GİP VERİLERİ'!$M:$M,"40X000000104782K",'[1]GİP VERİLERİ'!$G:$G,"SELL")</f>
        <v/>
      </c>
      <c r="U483" s="34">
        <f>IFERROR(W483/T483,0)</f>
        <v/>
      </c>
      <c r="V483" s="34">
        <f>IF(U483=0,0,U483-F483)</f>
        <v/>
      </c>
      <c r="W483" s="34">
        <f>SUMIFS('[1]GİP VERİLERİ'!$O:$O,'[1]GİP VERİLERİ'!$B:$B,A483,'[1]GİP VERİLERİ'!$M:$M,"40X000000104782K",'[1]GİP VERİLERİ'!$G:$G,"SELL")</f>
        <v/>
      </c>
      <c r="X483" s="34">
        <f>SUMIFS('[1]GİP VERİLERİ'!$C:$C,'[1]GİP VERİLERİ'!$B:$B,A483,'[1]GİP VERİLERİ'!$M:$M,"40X000000104782K",'[1]GİP VERİLERİ'!$G:$G,"BUY")</f>
        <v/>
      </c>
      <c r="Y483" s="34">
        <f>IFERROR(AA483/X483,0)</f>
        <v/>
      </c>
      <c r="Z483" s="34">
        <f>IF(Y483=0,0,F483-Y483)</f>
        <v/>
      </c>
      <c r="AA483" s="34">
        <f>SUMIFS('[1]GİP VERİLERİ'!$O:$O,'[1]GİP VERİLERİ'!$B:$B,A483,'[1]GİP VERİLERİ'!$M:$M,"40X000000104782K",'[1]GİP VERİLERİ'!$G:$G,"BUY")</f>
        <v/>
      </c>
      <c r="AB483" s="34">
        <f>'[1]GÖP VERİLERİ'!H484</f>
        <v/>
      </c>
      <c r="AC483" s="34">
        <f>'[1]GÖP VERİLERİ'!I484</f>
        <v/>
      </c>
      <c r="AD483" s="34">
        <f>IF(AB483&gt;AC483*1.05,AB483-AC483*1.05,IF(AB483&lt;AC483*0.95,AC483*0.95-AB483,0))</f>
        <v/>
      </c>
      <c r="AE483" s="34">
        <f>MAX(F483,G483,750)*0.05*AD483</f>
        <v/>
      </c>
      <c r="AF483" s="34">
        <f>'[1]GÖP VERİLERİ'!J484</f>
        <v/>
      </c>
      <c r="AG483" s="34">
        <f>IF(AB483&gt;AF483*1.05,AB483-AF483*1.05,IF(AB483&lt;AF483*0.95,AF483*0.95-AB483,0))</f>
        <v/>
      </c>
      <c r="AH483" s="34">
        <f>MAX(I483,J483,750)*0.05*AG483</f>
        <v/>
      </c>
      <c r="AI483">
        <f>'[1]GÖP VERİLERİ'!E484</f>
        <v/>
      </c>
      <c r="AJ483">
        <f>'[1]GÖP VERİLERİ'!F484</f>
        <v/>
      </c>
      <c r="AK483" s="34">
        <f>IF(AI483&gt;AJ483*1.05,AI483-AJ483*1.05,IF(AI483&lt;AJ483*0.95,AJ483*0.95-AI483,0))</f>
        <v/>
      </c>
      <c r="AL483" s="34">
        <f>MAX(F483,G483,750)*0.05*AK483</f>
        <v/>
      </c>
      <c r="AM483" s="39">
        <f>'[1]GÖP VERİLERİ'!G484</f>
        <v/>
      </c>
      <c r="AN483" s="34">
        <f>IF(AI483&gt;AM483*1.05,AI483-AM483*1.05,IF(AI483&lt;AM483*0.95,AM483*0.95-AI483,0))</f>
        <v/>
      </c>
      <c r="AO483" s="34">
        <f>MAX(F483,G483,750)*0.05*AN483</f>
        <v/>
      </c>
      <c r="AP483" s="34">
        <f>'[1]GÖP VERİLERİ'!B484</f>
        <v/>
      </c>
      <c r="AQ483" s="34">
        <f>'[1]GÖP VERİLERİ'!C484</f>
        <v/>
      </c>
      <c r="AR483" s="34">
        <f>IF(AP483&gt;AQ483*1.05,AP483-AQ483*1.05,IF(AP483&lt;AQ483*0.95,AQ483*0.95-AP483,0))</f>
        <v/>
      </c>
      <c r="AS483" s="34">
        <f>MAX(F483:G483,750)*0.05*AR483</f>
        <v/>
      </c>
      <c r="AT483">
        <f>'[1]GÖP VERİLERİ'!D484</f>
        <v/>
      </c>
      <c r="AU483" s="34">
        <f>IF(AP483&gt;AT483*1.05,AP483-AT483*1.05,IF(AP483&lt;AT483*0.95,AT483*0.95-AP483,0))</f>
        <v/>
      </c>
      <c r="AV483" s="34">
        <f>MAX(F483:G483,750)*0.05*AU483</f>
        <v/>
      </c>
      <c r="AW483" s="34">
        <f>AC483+AJ483+AQ483</f>
        <v/>
      </c>
      <c r="AX483" s="34">
        <f>AF483+AM483+AT483</f>
        <v/>
      </c>
      <c r="AY483" s="34">
        <f>AB483+AI483+AP483</f>
        <v/>
      </c>
      <c r="AZ483" s="34" t="n">
        <v>0</v>
      </c>
      <c r="BA483" s="34">
        <f>AD483+AK483+AR483</f>
        <v/>
      </c>
      <c r="BB483" s="34">
        <f>MAX(F483:G483,750)*0.05*BA483</f>
        <v/>
      </c>
      <c r="BC483" s="34">
        <f>AG483+AN483+AU483</f>
        <v/>
      </c>
      <c r="BD483" s="34">
        <f>MAX(F483:G483,750)*0.05*BC483</f>
        <v/>
      </c>
      <c r="BE483" s="34">
        <f>F483*AY483</f>
        <v/>
      </c>
      <c r="BF483" s="34">
        <f>K483-M483</f>
        <v/>
      </c>
      <c r="BG483" s="34">
        <f>P483-S483</f>
        <v/>
      </c>
      <c r="BH483" s="34">
        <f>W483-AA483</f>
        <v/>
      </c>
      <c r="BI483" s="34">
        <f>BF483+BG483+BL483-BN483</f>
        <v/>
      </c>
      <c r="BJ483" s="34">
        <f>ABS(BK483)</f>
        <v/>
      </c>
      <c r="BK483" s="34">
        <f>AY483-(J483-L483+N483-Q483)</f>
        <v/>
      </c>
      <c r="BL483" s="34">
        <f>IF(AND(BK483&gt;0,MIN($F483:$G483)&lt;150,$E483="Enerji Açığı"),-100*BK483*1.03,IF(AND(BK483&gt;0,MIN($F483:$G483)&lt;150,$E483="Enerji Fazlası"),-100*BK483*1.06,IF(AND(BK483&gt;0,MIN($F483:$G483)&gt;=150,$E483="Enerji Açığı"),BK483*MIN($F483:$G483)*0.97,IF(AND(BK483&gt;0,MIN($F483:$G483)&gt;=150,$E483="Enerji Fazlası"),BK483*MIN($F483:$G483)*0.94,IF(AND(BK483&lt;0,MAX($F483:$G483)=4500,$E483="Enerji Açığı"),4500*1.05*1.06*BK483,IF(AND(BK483&lt;0,MAX($F483:$G483)=4500,$E483="Enerji Fazlası"),4500*1.05*1.03*BK483,IF(AND(BK483&lt;0,$E483="Enerji Açığı"),MAX($F483,$G483,150)*BK483*1.06,IF(AND(BK483&lt;0,$E483="Enerji Fazlası"),MAX($F483,$G483,150)*BK483*1.03,IF(AND(BK483&lt;0,$E483="Dengede"),MAX($F483:$G483,150)*1.03*BK483,MIN($F483:$G483)*0.97*BK483)))))))))</f>
        <v/>
      </c>
      <c r="BM483" s="34">
        <f>BE483-BI483-BN483</f>
        <v/>
      </c>
      <c r="BN483" s="34">
        <f>BB483</f>
        <v/>
      </c>
      <c r="BO483" s="34">
        <f>BE483-BI483</f>
        <v/>
      </c>
      <c r="BP483" s="34">
        <f>IF(AY483=0,0,BO483/AY483)</f>
        <v/>
      </c>
      <c r="BQ483" s="34">
        <f>MAX((AY483+MAX((-J483+L483-N483+Q483),0)),(MAX((J483-L483+N483-Q483),0)))</f>
        <v/>
      </c>
      <c r="BR483" s="82">
        <f>IFERROR(ABS(BK483/BQ483),0)</f>
        <v/>
      </c>
      <c r="BS483" s="34">
        <f>IF(BR483&lt;=0.1,0,BK483/BR483*(BR483-0.1))</f>
        <v/>
      </c>
      <c r="BT483" s="34">
        <f>IF((BS483)&lt;0,MAX(F483:G483)*(BS483)*1.03,MIN(F483:G483)*(BS483)*0.97)</f>
        <v/>
      </c>
      <c r="BU483" s="34">
        <f>IF(BR483&gt;0.1,1,0)</f>
        <v/>
      </c>
      <c r="BV483" s="34">
        <f>BF483+BG483+BH483+BY483-CA483</f>
        <v/>
      </c>
      <c r="BW483" s="34">
        <f>ABS(BX483)</f>
        <v/>
      </c>
      <c r="BX483" s="34">
        <f>AY483-(J483-L483+N483-Q483+T483-X483)</f>
        <v/>
      </c>
      <c r="BY483" s="34">
        <f>IF(AND(BX483&gt;0,MIN($F483:$G483)&lt;150,$E483="Enerji Açığı"),-100*BX483*1.03,IF(AND(BX483&gt;0,MIN($F483:$G483)&lt;150,$E483="Enerji Fazlası"),-100*BX483*1.06,IF(AND(BX483&gt;0,MIN($F483:$G483)&gt;=150,$E483="Enerji Açığı"),BX483*MIN($F483:$G483)*0.97,IF(AND(BX483&gt;0,MIN($F483:$G483)&gt;=150,$E483="Enerji Fazlası"),BX483*MIN($F483:$G483)*0.94,IF(AND(BX483&lt;0,MAX($F483:$G483)=4500,$E483="Enerji Açığı"),4500*1.05*1.06*BX483,IF(AND(BX483&lt;0,MAX($F483:$G483)=4500,$E483="Enerji Fazlası"),4500*1.05*1.03*BX483,IF(AND(BX483&lt;0,$E483="Enerji Açığı"),MAX($F483,$G483,150)*BX483*1.06,IF(AND(BX483&lt;0,$E483="Enerji Fazlası"),MAX($F483,$G483,150)*BX483*1.03,IF(AND(BX483&lt;0,$E483="Dengede"),MAX($F483:$G483,150)*1.03*BX483,MIN($F483:$G483)*0.97*BX483)))))))))</f>
        <v/>
      </c>
      <c r="BZ483" s="34">
        <f>BE483-BV483-CA483</f>
        <v/>
      </c>
      <c r="CA483" s="34">
        <f>BD483</f>
        <v/>
      </c>
      <c r="CB483" s="33">
        <f>BE483-BV483</f>
        <v/>
      </c>
      <c r="CC483" s="34">
        <f>IF(AY483=0,0,CB483/AY483)</f>
        <v/>
      </c>
      <c r="CD483" s="34">
        <f>MAX((AY483+MAX((-J483+L483-N483+Q483-T483+X483),0)),(MAX((J483-L483+N483-Q483+T483-X483),0)))</f>
        <v/>
      </c>
      <c r="CE483" s="82">
        <f>IFERROR(ABS(BX483/CD483),0)</f>
        <v/>
      </c>
      <c r="CF483" s="34">
        <f>IF(CE483&lt;=0.1,0,BX483/CE483*(CE483-0.1))</f>
        <v/>
      </c>
      <c r="CG483" s="34">
        <f>IF((CF483)&lt;0,MAX(F483:G483)*(CF483)*1.03,MIN(F483:G483)*(CF483)*0.97)</f>
        <v/>
      </c>
      <c r="CH483" s="34">
        <f>IF(CE483&gt;0.1,1,0)</f>
        <v/>
      </c>
      <c r="CI483" s="34">
        <f>(F483*BX483)-BY483</f>
        <v/>
      </c>
      <c r="CJ483" s="34">
        <f>IF(AY483=0,0,CI483/AY483)</f>
        <v/>
      </c>
    </row>
    <row r="484">
      <c r="A484" s="29">
        <f>[1]FİYATLAR!A459</f>
        <v/>
      </c>
      <c r="B484" s="29">
        <f>[1]FİYATLAR!B459</f>
        <v/>
      </c>
      <c r="C484" s="35">
        <f>INT(A484)</f>
        <v/>
      </c>
      <c r="D484" s="36">
        <f>MONTH(A484)</f>
        <v/>
      </c>
      <c r="E484" s="147">
        <f>[1]FİYATLAR!G459</f>
        <v/>
      </c>
      <c r="F484" s="30">
        <f>[1]FİYATLAR!C459</f>
        <v/>
      </c>
      <c r="G484" s="30">
        <f>[1]FİYATLAR!E459</f>
        <v/>
      </c>
      <c r="H484" s="30">
        <f>[1]FİYATLAR!D459</f>
        <v/>
      </c>
      <c r="I484" s="30">
        <f>[1]FİYATLAR!F459</f>
        <v/>
      </c>
      <c r="J484" s="119" t="n">
        <v>0</v>
      </c>
      <c r="K484" s="34">
        <f>F484*J484</f>
        <v/>
      </c>
      <c r="L484" s="119" t="n"/>
      <c r="M484" s="34">
        <f>L484*F484</f>
        <v/>
      </c>
      <c r="N484" s="119" t="n"/>
      <c r="O484" s="34">
        <f>F484</f>
        <v/>
      </c>
      <c r="P484" s="34">
        <f>N484*O484</f>
        <v/>
      </c>
      <c r="Q484" s="117" t="n">
        <v>0</v>
      </c>
      <c r="R484" s="34">
        <f>F484</f>
        <v/>
      </c>
      <c r="S484" s="34">
        <f>R484*Q484</f>
        <v/>
      </c>
      <c r="T484" s="34">
        <f>SUMIFS('[1]GİP VERİLERİ'!$C:$C,'[1]GİP VERİLERİ'!$B:$B,A484,'[1]GİP VERİLERİ'!$M:$M,"40X000000104782K",'[1]GİP VERİLERİ'!$G:$G,"SELL")</f>
        <v/>
      </c>
      <c r="U484" s="34">
        <f>IFERROR(W484/T484,0)</f>
        <v/>
      </c>
      <c r="V484" s="34">
        <f>IF(U484=0,0,U484-F484)</f>
        <v/>
      </c>
      <c r="W484" s="34">
        <f>SUMIFS('[1]GİP VERİLERİ'!$O:$O,'[1]GİP VERİLERİ'!$B:$B,A484,'[1]GİP VERİLERİ'!$M:$M,"40X000000104782K",'[1]GİP VERİLERİ'!$G:$G,"SELL")</f>
        <v/>
      </c>
      <c r="X484" s="34">
        <f>SUMIFS('[1]GİP VERİLERİ'!$C:$C,'[1]GİP VERİLERİ'!$B:$B,A484,'[1]GİP VERİLERİ'!$M:$M,"40X000000104782K",'[1]GİP VERİLERİ'!$G:$G,"BUY")</f>
        <v/>
      </c>
      <c r="Y484" s="34">
        <f>IFERROR(AA484/X484,0)</f>
        <v/>
      </c>
      <c r="Z484" s="34">
        <f>IF(Y484=0,0,F484-Y484)</f>
        <v/>
      </c>
      <c r="AA484" s="34">
        <f>SUMIFS('[1]GİP VERİLERİ'!$O:$O,'[1]GİP VERİLERİ'!$B:$B,A484,'[1]GİP VERİLERİ'!$M:$M,"40X000000104782K",'[1]GİP VERİLERİ'!$G:$G,"BUY")</f>
        <v/>
      </c>
      <c r="AB484" s="34">
        <f>'[1]GÖP VERİLERİ'!H485</f>
        <v/>
      </c>
      <c r="AC484" s="34">
        <f>'[1]GÖP VERİLERİ'!I485</f>
        <v/>
      </c>
      <c r="AD484" s="34">
        <f>IF(AB484&gt;AC484*1.05,AB484-AC484*1.05,IF(AB484&lt;AC484*0.95,AC484*0.95-AB484,0))</f>
        <v/>
      </c>
      <c r="AE484" s="34">
        <f>MAX(F484,G484,750)*0.05*AD484</f>
        <v/>
      </c>
      <c r="AF484" s="34">
        <f>'[1]GÖP VERİLERİ'!J485</f>
        <v/>
      </c>
      <c r="AG484" s="34">
        <f>IF(AB484&gt;AF484*1.05,AB484-AF484*1.05,IF(AB484&lt;AF484*0.95,AF484*0.95-AB484,0))</f>
        <v/>
      </c>
      <c r="AH484" s="34">
        <f>MAX(I484,J484,750)*0.05*AG484</f>
        <v/>
      </c>
      <c r="AI484">
        <f>'[1]GÖP VERİLERİ'!E485</f>
        <v/>
      </c>
      <c r="AJ484">
        <f>'[1]GÖP VERİLERİ'!F485</f>
        <v/>
      </c>
      <c r="AK484" s="34">
        <f>IF(AI484&gt;AJ484*1.05,AI484-AJ484*1.05,IF(AI484&lt;AJ484*0.95,AJ484*0.95-AI484,0))</f>
        <v/>
      </c>
      <c r="AL484" s="34">
        <f>MAX(F484,G484,750)*0.05*AK484</f>
        <v/>
      </c>
      <c r="AM484" s="39">
        <f>'[1]GÖP VERİLERİ'!G485</f>
        <v/>
      </c>
      <c r="AN484" s="34">
        <f>IF(AI484&gt;AM484*1.05,AI484-AM484*1.05,IF(AI484&lt;AM484*0.95,AM484*0.95-AI484,0))</f>
        <v/>
      </c>
      <c r="AO484" s="34">
        <f>MAX(F484,G484,750)*0.05*AN484</f>
        <v/>
      </c>
      <c r="AP484" s="34">
        <f>'[1]GÖP VERİLERİ'!B485</f>
        <v/>
      </c>
      <c r="AQ484" s="34">
        <f>'[1]GÖP VERİLERİ'!C485</f>
        <v/>
      </c>
      <c r="AR484" s="34">
        <f>IF(AP484&gt;AQ484*1.05,AP484-AQ484*1.05,IF(AP484&lt;AQ484*0.95,AQ484*0.95-AP484,0))</f>
        <v/>
      </c>
      <c r="AS484" s="34">
        <f>MAX(F484:G484,750)*0.05*AR484</f>
        <v/>
      </c>
      <c r="AT484">
        <f>'[1]GÖP VERİLERİ'!D485</f>
        <v/>
      </c>
      <c r="AU484" s="34">
        <f>IF(AP484&gt;AT484*1.05,AP484-AT484*1.05,IF(AP484&lt;AT484*0.95,AT484*0.95-AP484,0))</f>
        <v/>
      </c>
      <c r="AV484" s="34">
        <f>MAX(F484:G484,750)*0.05*AU484</f>
        <v/>
      </c>
      <c r="AW484" s="34">
        <f>AC484+AJ484+AQ484</f>
        <v/>
      </c>
      <c r="AX484" s="34">
        <f>AF484+AM484+AT484</f>
        <v/>
      </c>
      <c r="AY484" s="34">
        <f>AB484+AI484+AP484</f>
        <v/>
      </c>
      <c r="AZ484" s="34" t="n">
        <v>0</v>
      </c>
      <c r="BA484" s="34">
        <f>AD484+AK484+AR484</f>
        <v/>
      </c>
      <c r="BB484" s="34">
        <f>MAX(F484:G484,750)*0.05*BA484</f>
        <v/>
      </c>
      <c r="BC484" s="34">
        <f>AG484+AN484+AU484</f>
        <v/>
      </c>
      <c r="BD484" s="34">
        <f>MAX(F484:G484,750)*0.05*BC484</f>
        <v/>
      </c>
      <c r="BE484" s="34">
        <f>F484*AY484</f>
        <v/>
      </c>
      <c r="BF484" s="34">
        <f>K484-M484</f>
        <v/>
      </c>
      <c r="BG484" s="34">
        <f>P484-S484</f>
        <v/>
      </c>
      <c r="BH484" s="34">
        <f>W484-AA484</f>
        <v/>
      </c>
      <c r="BI484" s="34">
        <f>BF484+BG484+BL484-BN484</f>
        <v/>
      </c>
      <c r="BJ484" s="34">
        <f>ABS(BK484)</f>
        <v/>
      </c>
      <c r="BK484" s="34">
        <f>AY484-(J484-L484+N484-Q484)</f>
        <v/>
      </c>
      <c r="BL484" s="34">
        <f>IF(AND(BK484&gt;0,MIN($F484:$G484)&lt;150,$E484="Enerji Açığı"),-100*BK484*1.03,IF(AND(BK484&gt;0,MIN($F484:$G484)&lt;150,$E484="Enerji Fazlası"),-100*BK484*1.06,IF(AND(BK484&gt;0,MIN($F484:$G484)&gt;=150,$E484="Enerji Açığı"),BK484*MIN($F484:$G484)*0.97,IF(AND(BK484&gt;0,MIN($F484:$G484)&gt;=150,$E484="Enerji Fazlası"),BK484*MIN($F484:$G484)*0.94,IF(AND(BK484&lt;0,MAX($F484:$G484)=4500,$E484="Enerji Açığı"),4500*1.05*1.06*BK484,IF(AND(BK484&lt;0,MAX($F484:$G484)=4500,$E484="Enerji Fazlası"),4500*1.05*1.03*BK484,IF(AND(BK484&lt;0,$E484="Enerji Açığı"),MAX($F484,$G484,150)*BK484*1.06,IF(AND(BK484&lt;0,$E484="Enerji Fazlası"),MAX($F484,$G484,150)*BK484*1.03,IF(AND(BK484&lt;0,$E484="Dengede"),MAX($F484:$G484,150)*1.03*BK484,MIN($F484:$G484)*0.97*BK484)))))))))</f>
        <v/>
      </c>
      <c r="BM484" s="34">
        <f>BE484-BI484-BN484</f>
        <v/>
      </c>
      <c r="BN484" s="34">
        <f>BB484</f>
        <v/>
      </c>
      <c r="BO484" s="34">
        <f>BE484-BI484</f>
        <v/>
      </c>
      <c r="BP484" s="34">
        <f>IF(AY484=0,0,BO484/AY484)</f>
        <v/>
      </c>
      <c r="BQ484" s="34">
        <f>MAX((AY484+MAX((-J484+L484-N484+Q484),0)),(MAX((J484-L484+N484-Q484),0)))</f>
        <v/>
      </c>
      <c r="BR484" s="82">
        <f>IFERROR(ABS(BK484/BQ484),0)</f>
        <v/>
      </c>
      <c r="BS484" s="34">
        <f>IF(BR484&lt;=0.1,0,BK484/BR484*(BR484-0.1))</f>
        <v/>
      </c>
      <c r="BT484" s="34">
        <f>IF((BS484)&lt;0,MAX(F484:G484)*(BS484)*1.03,MIN(F484:G484)*(BS484)*0.97)</f>
        <v/>
      </c>
      <c r="BU484" s="34">
        <f>IF(BR484&gt;0.1,1,0)</f>
        <v/>
      </c>
      <c r="BV484" s="34">
        <f>BF484+BG484+BH484+BY484-CA484</f>
        <v/>
      </c>
      <c r="BW484" s="34">
        <f>ABS(BX484)</f>
        <v/>
      </c>
      <c r="BX484" s="34">
        <f>AY484-(J484-L484+N484-Q484+T484-X484)</f>
        <v/>
      </c>
      <c r="BY484" s="34">
        <f>IF(AND(BX484&gt;0,MIN($F484:$G484)&lt;150,$E484="Enerji Açığı"),-100*BX484*1.03,IF(AND(BX484&gt;0,MIN($F484:$G484)&lt;150,$E484="Enerji Fazlası"),-100*BX484*1.06,IF(AND(BX484&gt;0,MIN($F484:$G484)&gt;=150,$E484="Enerji Açığı"),BX484*MIN($F484:$G484)*0.97,IF(AND(BX484&gt;0,MIN($F484:$G484)&gt;=150,$E484="Enerji Fazlası"),BX484*MIN($F484:$G484)*0.94,IF(AND(BX484&lt;0,MAX($F484:$G484)=4500,$E484="Enerji Açığı"),4500*1.05*1.06*BX484,IF(AND(BX484&lt;0,MAX($F484:$G484)=4500,$E484="Enerji Fazlası"),4500*1.05*1.03*BX484,IF(AND(BX484&lt;0,$E484="Enerji Açığı"),MAX($F484,$G484,150)*BX484*1.06,IF(AND(BX484&lt;0,$E484="Enerji Fazlası"),MAX($F484,$G484,150)*BX484*1.03,IF(AND(BX484&lt;0,$E484="Dengede"),MAX($F484:$G484,150)*1.03*BX484,MIN($F484:$G484)*0.97*BX484)))))))))</f>
        <v/>
      </c>
      <c r="BZ484" s="34">
        <f>BE484-BV484-CA484</f>
        <v/>
      </c>
      <c r="CA484" s="34">
        <f>BD484</f>
        <v/>
      </c>
      <c r="CB484" s="33">
        <f>BE484-BV484</f>
        <v/>
      </c>
      <c r="CC484" s="34">
        <f>IF(AY484=0,0,CB484/AY484)</f>
        <v/>
      </c>
      <c r="CD484" s="34">
        <f>MAX((AY484+MAX((-J484+L484-N484+Q484-T484+X484),0)),(MAX((J484-L484+N484-Q484+T484-X484),0)))</f>
        <v/>
      </c>
      <c r="CE484" s="82">
        <f>IFERROR(ABS(BX484/CD484),0)</f>
        <v/>
      </c>
      <c r="CF484" s="34">
        <f>IF(CE484&lt;=0.1,0,BX484/CE484*(CE484-0.1))</f>
        <v/>
      </c>
      <c r="CG484" s="34">
        <f>IF((CF484)&lt;0,MAX(F484:G484)*(CF484)*1.03,MIN(F484:G484)*(CF484)*0.97)</f>
        <v/>
      </c>
      <c r="CH484" s="34">
        <f>IF(CE484&gt;0.1,1,0)</f>
        <v/>
      </c>
      <c r="CI484" s="34">
        <f>(F484*BX484)-BY484</f>
        <v/>
      </c>
      <c r="CJ484" s="34">
        <f>IF(AY484=0,0,CI484/AY484)</f>
        <v/>
      </c>
    </row>
    <row r="485">
      <c r="A485" s="29">
        <f>[1]FİYATLAR!A460</f>
        <v/>
      </c>
      <c r="B485" s="29">
        <f>[1]FİYATLAR!B460</f>
        <v/>
      </c>
      <c r="C485" s="35">
        <f>INT(A485)</f>
        <v/>
      </c>
      <c r="D485" s="36">
        <f>MONTH(A485)</f>
        <v/>
      </c>
      <c r="E485" s="147">
        <f>[1]FİYATLAR!G460</f>
        <v/>
      </c>
      <c r="F485" s="30">
        <f>[1]FİYATLAR!C460</f>
        <v/>
      </c>
      <c r="G485" s="30">
        <f>[1]FİYATLAR!E460</f>
        <v/>
      </c>
      <c r="H485" s="30">
        <f>[1]FİYATLAR!D460</f>
        <v/>
      </c>
      <c r="I485" s="30">
        <f>[1]FİYATLAR!F460</f>
        <v/>
      </c>
      <c r="J485" s="119" t="n">
        <v>0</v>
      </c>
      <c r="K485" s="34">
        <f>F485*J485</f>
        <v/>
      </c>
      <c r="L485" s="119" t="n"/>
      <c r="M485" s="34">
        <f>L485*F485</f>
        <v/>
      </c>
      <c r="N485" s="119" t="n"/>
      <c r="O485" s="34">
        <f>F485</f>
        <v/>
      </c>
      <c r="P485" s="34">
        <f>N485*O485</f>
        <v/>
      </c>
      <c r="Q485" s="117" t="n">
        <v>0</v>
      </c>
      <c r="R485" s="34">
        <f>F485</f>
        <v/>
      </c>
      <c r="S485" s="34">
        <f>R485*Q485</f>
        <v/>
      </c>
      <c r="T485" s="34">
        <f>SUMIFS('[1]GİP VERİLERİ'!$C:$C,'[1]GİP VERİLERİ'!$B:$B,A485,'[1]GİP VERİLERİ'!$M:$M,"40X000000104782K",'[1]GİP VERİLERİ'!$G:$G,"SELL")</f>
        <v/>
      </c>
      <c r="U485" s="34">
        <f>IFERROR(W485/T485,0)</f>
        <v/>
      </c>
      <c r="V485" s="34">
        <f>IF(U485=0,0,U485-F485)</f>
        <v/>
      </c>
      <c r="W485" s="34">
        <f>SUMIFS('[1]GİP VERİLERİ'!$O:$O,'[1]GİP VERİLERİ'!$B:$B,A485,'[1]GİP VERİLERİ'!$M:$M,"40X000000104782K",'[1]GİP VERİLERİ'!$G:$G,"SELL")</f>
        <v/>
      </c>
      <c r="X485" s="34">
        <f>SUMIFS('[1]GİP VERİLERİ'!$C:$C,'[1]GİP VERİLERİ'!$B:$B,A485,'[1]GİP VERİLERİ'!$M:$M,"40X000000104782K",'[1]GİP VERİLERİ'!$G:$G,"BUY")</f>
        <v/>
      </c>
      <c r="Y485" s="34">
        <f>IFERROR(AA485/X485,0)</f>
        <v/>
      </c>
      <c r="Z485" s="34">
        <f>IF(Y485=0,0,F485-Y485)</f>
        <v/>
      </c>
      <c r="AA485" s="34">
        <f>SUMIFS('[1]GİP VERİLERİ'!$O:$O,'[1]GİP VERİLERİ'!$B:$B,A485,'[1]GİP VERİLERİ'!$M:$M,"40X000000104782K",'[1]GİP VERİLERİ'!$G:$G,"BUY")</f>
        <v/>
      </c>
      <c r="AB485" s="34">
        <f>'[1]GÖP VERİLERİ'!H486</f>
        <v/>
      </c>
      <c r="AC485" s="34">
        <f>'[1]GÖP VERİLERİ'!I486</f>
        <v/>
      </c>
      <c r="AD485" s="34">
        <f>IF(AB485&gt;AC485*1.05,AB485-AC485*1.05,IF(AB485&lt;AC485*0.95,AC485*0.95-AB485,0))</f>
        <v/>
      </c>
      <c r="AE485" s="34">
        <f>MAX(F485,G485,750)*0.05*AD485</f>
        <v/>
      </c>
      <c r="AF485" s="34">
        <f>'[1]GÖP VERİLERİ'!J486</f>
        <v/>
      </c>
      <c r="AG485" s="34">
        <f>IF(AB485&gt;AF485*1.05,AB485-AF485*1.05,IF(AB485&lt;AF485*0.95,AF485*0.95-AB485,0))</f>
        <v/>
      </c>
      <c r="AH485" s="34">
        <f>MAX(I485,J485,750)*0.05*AG485</f>
        <v/>
      </c>
      <c r="AI485">
        <f>'[1]GÖP VERİLERİ'!E486</f>
        <v/>
      </c>
      <c r="AJ485">
        <f>'[1]GÖP VERİLERİ'!F486</f>
        <v/>
      </c>
      <c r="AK485" s="34">
        <f>IF(AI485&gt;AJ485*1.05,AI485-AJ485*1.05,IF(AI485&lt;AJ485*0.95,AJ485*0.95-AI485,0))</f>
        <v/>
      </c>
      <c r="AL485" s="34">
        <f>MAX(F485,G485,750)*0.05*AK485</f>
        <v/>
      </c>
      <c r="AM485" s="39">
        <f>'[1]GÖP VERİLERİ'!G486</f>
        <v/>
      </c>
      <c r="AN485" s="34">
        <f>IF(AI485&gt;AM485*1.05,AI485-AM485*1.05,IF(AI485&lt;AM485*0.95,AM485*0.95-AI485,0))</f>
        <v/>
      </c>
      <c r="AO485" s="34">
        <f>MAX(F485,G485,750)*0.05*AN485</f>
        <v/>
      </c>
      <c r="AP485" s="34">
        <f>'[1]GÖP VERİLERİ'!B486</f>
        <v/>
      </c>
      <c r="AQ485" s="34">
        <f>'[1]GÖP VERİLERİ'!C486</f>
        <v/>
      </c>
      <c r="AR485" s="34">
        <f>IF(AP485&gt;AQ485*1.05,AP485-AQ485*1.05,IF(AP485&lt;AQ485*0.95,AQ485*0.95-AP485,0))</f>
        <v/>
      </c>
      <c r="AS485" s="34">
        <f>MAX(F485:G485,750)*0.05*AR485</f>
        <v/>
      </c>
      <c r="AT485">
        <f>'[1]GÖP VERİLERİ'!D486</f>
        <v/>
      </c>
      <c r="AU485" s="34">
        <f>IF(AP485&gt;AT485*1.05,AP485-AT485*1.05,IF(AP485&lt;AT485*0.95,AT485*0.95-AP485,0))</f>
        <v/>
      </c>
      <c r="AV485" s="34">
        <f>MAX(F485:G485,750)*0.05*AU485</f>
        <v/>
      </c>
      <c r="AW485" s="34">
        <f>AC485+AJ485+AQ485</f>
        <v/>
      </c>
      <c r="AX485" s="34">
        <f>AF485+AM485+AT485</f>
        <v/>
      </c>
      <c r="AY485" s="34">
        <f>AB485+AI485+AP485</f>
        <v/>
      </c>
      <c r="AZ485" s="34" t="n">
        <v>0</v>
      </c>
      <c r="BA485" s="34">
        <f>AD485+AK485+AR485</f>
        <v/>
      </c>
      <c r="BB485" s="34">
        <f>MAX(F485:G485,750)*0.05*BA485</f>
        <v/>
      </c>
      <c r="BC485" s="34">
        <f>AG485+AN485+AU485</f>
        <v/>
      </c>
      <c r="BD485" s="34">
        <f>MAX(F485:G485,750)*0.05*BC485</f>
        <v/>
      </c>
      <c r="BE485" s="34">
        <f>F485*AY485</f>
        <v/>
      </c>
      <c r="BF485" s="34">
        <f>K485-M485</f>
        <v/>
      </c>
      <c r="BG485" s="34">
        <f>P485-S485</f>
        <v/>
      </c>
      <c r="BH485" s="34">
        <f>W485-AA485</f>
        <v/>
      </c>
      <c r="BI485" s="34">
        <f>BF485+BG485+BL485-BN485</f>
        <v/>
      </c>
      <c r="BJ485" s="34">
        <f>ABS(BK485)</f>
        <v/>
      </c>
      <c r="BK485" s="34">
        <f>AY485-(J485-L485+N485-Q485)</f>
        <v/>
      </c>
      <c r="BL485" s="34">
        <f>IF(AND(BK485&gt;0,MIN($F485:$G485)&lt;150,$E485="Enerji Açığı"),-100*BK485*1.03,IF(AND(BK485&gt;0,MIN($F485:$G485)&lt;150,$E485="Enerji Fazlası"),-100*BK485*1.06,IF(AND(BK485&gt;0,MIN($F485:$G485)&gt;=150,$E485="Enerji Açığı"),BK485*MIN($F485:$G485)*0.97,IF(AND(BK485&gt;0,MIN($F485:$G485)&gt;=150,$E485="Enerji Fazlası"),BK485*MIN($F485:$G485)*0.94,IF(AND(BK485&lt;0,MAX($F485:$G485)=4500,$E485="Enerji Açığı"),4500*1.05*1.06*BK485,IF(AND(BK485&lt;0,MAX($F485:$G485)=4500,$E485="Enerji Fazlası"),4500*1.05*1.03*BK485,IF(AND(BK485&lt;0,$E485="Enerji Açığı"),MAX($F485,$G485,150)*BK485*1.06,IF(AND(BK485&lt;0,$E485="Enerji Fazlası"),MAX($F485,$G485,150)*BK485*1.03,IF(AND(BK485&lt;0,$E485="Dengede"),MAX($F485:$G485,150)*1.03*BK485,MIN($F485:$G485)*0.97*BK485)))))))))</f>
        <v/>
      </c>
      <c r="BM485" s="34">
        <f>BE485-BI485-BN485</f>
        <v/>
      </c>
      <c r="BN485" s="34">
        <f>BB485</f>
        <v/>
      </c>
      <c r="BO485" s="34">
        <f>BE485-BI485</f>
        <v/>
      </c>
      <c r="BP485" s="34">
        <f>IF(AY485=0,0,BO485/AY485)</f>
        <v/>
      </c>
      <c r="BQ485" s="34">
        <f>MAX((AY485+MAX((-J485+L485-N485+Q485),0)),(MAX((J485-L485+N485-Q485),0)))</f>
        <v/>
      </c>
      <c r="BR485" s="82">
        <f>IFERROR(ABS(BK485/BQ485),0)</f>
        <v/>
      </c>
      <c r="BS485" s="34">
        <f>IF(BR485&lt;=0.1,0,BK485/BR485*(BR485-0.1))</f>
        <v/>
      </c>
      <c r="BT485" s="34">
        <f>IF((BS485)&lt;0,MAX(F485:G485)*(BS485)*1.03,MIN(F485:G485)*(BS485)*0.97)</f>
        <v/>
      </c>
      <c r="BU485" s="34">
        <f>IF(BR485&gt;0.1,1,0)</f>
        <v/>
      </c>
      <c r="BV485" s="34">
        <f>BF485+BG485+BH485+BY485-CA485</f>
        <v/>
      </c>
      <c r="BW485" s="34">
        <f>ABS(BX485)</f>
        <v/>
      </c>
      <c r="BX485" s="34">
        <f>AY485-(J485-L485+N485-Q485+T485-X485)</f>
        <v/>
      </c>
      <c r="BY485" s="34">
        <f>IF(AND(BX485&gt;0,MIN($F485:$G485)&lt;150,$E485="Enerji Açığı"),-100*BX485*1.03,IF(AND(BX485&gt;0,MIN($F485:$G485)&lt;150,$E485="Enerji Fazlası"),-100*BX485*1.06,IF(AND(BX485&gt;0,MIN($F485:$G485)&gt;=150,$E485="Enerji Açığı"),BX485*MIN($F485:$G485)*0.97,IF(AND(BX485&gt;0,MIN($F485:$G485)&gt;=150,$E485="Enerji Fazlası"),BX485*MIN($F485:$G485)*0.94,IF(AND(BX485&lt;0,MAX($F485:$G485)=4500,$E485="Enerji Açığı"),4500*1.05*1.06*BX485,IF(AND(BX485&lt;0,MAX($F485:$G485)=4500,$E485="Enerji Fazlası"),4500*1.05*1.03*BX485,IF(AND(BX485&lt;0,$E485="Enerji Açığı"),MAX($F485,$G485,150)*BX485*1.06,IF(AND(BX485&lt;0,$E485="Enerji Fazlası"),MAX($F485,$G485,150)*BX485*1.03,IF(AND(BX485&lt;0,$E485="Dengede"),MAX($F485:$G485,150)*1.03*BX485,MIN($F485:$G485)*0.97*BX485)))))))))</f>
        <v/>
      </c>
      <c r="BZ485" s="34">
        <f>BE485-BV485-CA485</f>
        <v/>
      </c>
      <c r="CA485" s="34">
        <f>BD485</f>
        <v/>
      </c>
      <c r="CB485" s="33">
        <f>BE485-BV485</f>
        <v/>
      </c>
      <c r="CC485" s="34">
        <f>IF(AY485=0,0,CB485/AY485)</f>
        <v/>
      </c>
      <c r="CD485" s="34">
        <f>MAX((AY485+MAX((-J485+L485-N485+Q485-T485+X485),0)),(MAX((J485-L485+N485-Q485+T485-X485),0)))</f>
        <v/>
      </c>
      <c r="CE485" s="82">
        <f>IFERROR(ABS(BX485/CD485),0)</f>
        <v/>
      </c>
      <c r="CF485" s="34">
        <f>IF(CE485&lt;=0.1,0,BX485/CE485*(CE485-0.1))</f>
        <v/>
      </c>
      <c r="CG485" s="34">
        <f>IF((CF485)&lt;0,MAX(F485:G485)*(CF485)*1.03,MIN(F485:G485)*(CF485)*0.97)</f>
        <v/>
      </c>
      <c r="CH485" s="34">
        <f>IF(CE485&gt;0.1,1,0)</f>
        <v/>
      </c>
      <c r="CI485" s="34">
        <f>(F485*BX485)-BY485</f>
        <v/>
      </c>
      <c r="CJ485" s="34">
        <f>IF(AY485=0,0,CI485/AY485)</f>
        <v/>
      </c>
    </row>
    <row r="486">
      <c r="A486" s="29">
        <f>[1]FİYATLAR!A461</f>
        <v/>
      </c>
      <c r="B486" s="29">
        <f>[1]FİYATLAR!B461</f>
        <v/>
      </c>
      <c r="C486" s="35">
        <f>INT(A486)</f>
        <v/>
      </c>
      <c r="D486" s="36">
        <f>MONTH(A486)</f>
        <v/>
      </c>
      <c r="E486" s="147">
        <f>[1]FİYATLAR!G461</f>
        <v/>
      </c>
      <c r="F486" s="30">
        <f>[1]FİYATLAR!C461</f>
        <v/>
      </c>
      <c r="G486" s="30">
        <f>[1]FİYATLAR!E461</f>
        <v/>
      </c>
      <c r="H486" s="30">
        <f>[1]FİYATLAR!D461</f>
        <v/>
      </c>
      <c r="I486" s="30">
        <f>[1]FİYATLAR!F461</f>
        <v/>
      </c>
      <c r="J486" s="119" t="n">
        <v>0</v>
      </c>
      <c r="K486" s="34">
        <f>F486*J486</f>
        <v/>
      </c>
      <c r="L486" s="119" t="n"/>
      <c r="M486" s="34">
        <f>L486*F486</f>
        <v/>
      </c>
      <c r="N486" s="119" t="n"/>
      <c r="O486" s="34">
        <f>F486</f>
        <v/>
      </c>
      <c r="P486" s="34">
        <f>N486*O486</f>
        <v/>
      </c>
      <c r="Q486" s="117" t="n">
        <v>0</v>
      </c>
      <c r="R486" s="34">
        <f>F486</f>
        <v/>
      </c>
      <c r="S486" s="34">
        <f>R486*Q486</f>
        <v/>
      </c>
      <c r="T486" s="34">
        <f>SUMIFS('[1]GİP VERİLERİ'!$C:$C,'[1]GİP VERİLERİ'!$B:$B,A486,'[1]GİP VERİLERİ'!$M:$M,"40X000000104782K",'[1]GİP VERİLERİ'!$G:$G,"SELL")</f>
        <v/>
      </c>
      <c r="U486" s="34">
        <f>IFERROR(W486/T486,0)</f>
        <v/>
      </c>
      <c r="V486" s="34">
        <f>IF(U486=0,0,U486-F486)</f>
        <v/>
      </c>
      <c r="W486" s="34">
        <f>SUMIFS('[1]GİP VERİLERİ'!$O:$O,'[1]GİP VERİLERİ'!$B:$B,A486,'[1]GİP VERİLERİ'!$M:$M,"40X000000104782K",'[1]GİP VERİLERİ'!$G:$G,"SELL")</f>
        <v/>
      </c>
      <c r="X486" s="34">
        <f>SUMIFS('[1]GİP VERİLERİ'!$C:$C,'[1]GİP VERİLERİ'!$B:$B,A486,'[1]GİP VERİLERİ'!$M:$M,"40X000000104782K",'[1]GİP VERİLERİ'!$G:$G,"BUY")</f>
        <v/>
      </c>
      <c r="Y486" s="34">
        <f>IFERROR(AA486/X486,0)</f>
        <v/>
      </c>
      <c r="Z486" s="34">
        <f>IF(Y486=0,0,F486-Y486)</f>
        <v/>
      </c>
      <c r="AA486" s="34">
        <f>SUMIFS('[1]GİP VERİLERİ'!$O:$O,'[1]GİP VERİLERİ'!$B:$B,A486,'[1]GİP VERİLERİ'!$M:$M,"40X000000104782K",'[1]GİP VERİLERİ'!$G:$G,"BUY")</f>
        <v/>
      </c>
      <c r="AB486" s="34">
        <f>'[1]GÖP VERİLERİ'!H487</f>
        <v/>
      </c>
      <c r="AC486" s="34">
        <f>'[1]GÖP VERİLERİ'!I487</f>
        <v/>
      </c>
      <c r="AD486" s="34">
        <f>IF(AB486&gt;AC486*1.05,AB486-AC486*1.05,IF(AB486&lt;AC486*0.95,AC486*0.95-AB486,0))</f>
        <v/>
      </c>
      <c r="AE486" s="34">
        <f>MAX(F486,G486,750)*0.05*AD486</f>
        <v/>
      </c>
      <c r="AF486" s="34">
        <f>'[1]GÖP VERİLERİ'!J487</f>
        <v/>
      </c>
      <c r="AG486" s="34">
        <f>IF(AB486&gt;AF486*1.05,AB486-AF486*1.05,IF(AB486&lt;AF486*0.95,AF486*0.95-AB486,0))</f>
        <v/>
      </c>
      <c r="AH486" s="34">
        <f>MAX(I486,J486,750)*0.05*AG486</f>
        <v/>
      </c>
      <c r="AI486">
        <f>'[1]GÖP VERİLERİ'!E487</f>
        <v/>
      </c>
      <c r="AJ486">
        <f>'[1]GÖP VERİLERİ'!F487</f>
        <v/>
      </c>
      <c r="AK486" s="34">
        <f>IF(AI486&gt;AJ486*1.05,AI486-AJ486*1.05,IF(AI486&lt;AJ486*0.95,AJ486*0.95-AI486,0))</f>
        <v/>
      </c>
      <c r="AL486" s="34">
        <f>MAX(F486,G486,750)*0.05*AK486</f>
        <v/>
      </c>
      <c r="AM486" s="39">
        <f>'[1]GÖP VERİLERİ'!G487</f>
        <v/>
      </c>
      <c r="AN486" s="34">
        <f>IF(AI486&gt;AM486*1.05,AI486-AM486*1.05,IF(AI486&lt;AM486*0.95,AM486*0.95-AI486,0))</f>
        <v/>
      </c>
      <c r="AO486" s="34">
        <f>MAX(F486,G486,750)*0.05*AN486</f>
        <v/>
      </c>
      <c r="AP486" s="34">
        <f>'[1]GÖP VERİLERİ'!B487</f>
        <v/>
      </c>
      <c r="AQ486" s="34">
        <f>'[1]GÖP VERİLERİ'!C487</f>
        <v/>
      </c>
      <c r="AR486" s="34">
        <f>IF(AP486&gt;AQ486*1.05,AP486-AQ486*1.05,IF(AP486&lt;AQ486*0.95,AQ486*0.95-AP486,0))</f>
        <v/>
      </c>
      <c r="AS486" s="34">
        <f>MAX(F486:G486,750)*0.05*AR486</f>
        <v/>
      </c>
      <c r="AT486">
        <f>'[1]GÖP VERİLERİ'!D487</f>
        <v/>
      </c>
      <c r="AU486" s="34">
        <f>IF(AP486&gt;AT486*1.05,AP486-AT486*1.05,IF(AP486&lt;AT486*0.95,AT486*0.95-AP486,0))</f>
        <v/>
      </c>
      <c r="AV486" s="34">
        <f>MAX(F486:G486,750)*0.05*AU486</f>
        <v/>
      </c>
      <c r="AW486" s="34">
        <f>AC486+AJ486+AQ486</f>
        <v/>
      </c>
      <c r="AX486" s="34">
        <f>AF486+AM486+AT486</f>
        <v/>
      </c>
      <c r="AY486" s="34">
        <f>AB486+AI486+AP486</f>
        <v/>
      </c>
      <c r="AZ486" s="34" t="n">
        <v>0</v>
      </c>
      <c r="BA486" s="34">
        <f>AD486+AK486+AR486</f>
        <v/>
      </c>
      <c r="BB486" s="34">
        <f>MAX(F486:G486,750)*0.05*BA486</f>
        <v/>
      </c>
      <c r="BC486" s="34">
        <f>AG486+AN486+AU486</f>
        <v/>
      </c>
      <c r="BD486" s="34">
        <f>MAX(F486:G486,750)*0.05*BC486</f>
        <v/>
      </c>
      <c r="BE486" s="34">
        <f>F486*AY486</f>
        <v/>
      </c>
      <c r="BF486" s="34">
        <f>K486-M486</f>
        <v/>
      </c>
      <c r="BG486" s="34">
        <f>P486-S486</f>
        <v/>
      </c>
      <c r="BH486" s="34">
        <f>W486-AA486</f>
        <v/>
      </c>
      <c r="BI486" s="34">
        <f>BF486+BG486+BL486-BN486</f>
        <v/>
      </c>
      <c r="BJ486" s="34">
        <f>ABS(BK486)</f>
        <v/>
      </c>
      <c r="BK486" s="34">
        <f>AY486-(J486-L486+N486-Q486)</f>
        <v/>
      </c>
      <c r="BL486" s="34">
        <f>IF(AND(BK486&gt;0,MIN($F486:$G486)&lt;150,$E486="Enerji Açığı"),-100*BK486*1.03,IF(AND(BK486&gt;0,MIN($F486:$G486)&lt;150,$E486="Enerji Fazlası"),-100*BK486*1.06,IF(AND(BK486&gt;0,MIN($F486:$G486)&gt;=150,$E486="Enerji Açığı"),BK486*MIN($F486:$G486)*0.97,IF(AND(BK486&gt;0,MIN($F486:$G486)&gt;=150,$E486="Enerji Fazlası"),BK486*MIN($F486:$G486)*0.94,IF(AND(BK486&lt;0,MAX($F486:$G486)=4500,$E486="Enerji Açığı"),4500*1.05*1.06*BK486,IF(AND(BK486&lt;0,MAX($F486:$G486)=4500,$E486="Enerji Fazlası"),4500*1.05*1.03*BK486,IF(AND(BK486&lt;0,$E486="Enerji Açığı"),MAX($F486,$G486,150)*BK486*1.06,IF(AND(BK486&lt;0,$E486="Enerji Fazlası"),MAX($F486,$G486,150)*BK486*1.03,IF(AND(BK486&lt;0,$E486="Dengede"),MAX($F486:$G486,150)*1.03*BK486,MIN($F486:$G486)*0.97*BK486)))))))))</f>
        <v/>
      </c>
      <c r="BM486" s="34">
        <f>BE486-BI486-BN486</f>
        <v/>
      </c>
      <c r="BN486" s="34">
        <f>BB486</f>
        <v/>
      </c>
      <c r="BO486" s="34">
        <f>BE486-BI486</f>
        <v/>
      </c>
      <c r="BP486" s="34">
        <f>IF(AY486=0,0,BO486/AY486)</f>
        <v/>
      </c>
      <c r="BQ486" s="34">
        <f>MAX((AY486+MAX((-J486+L486-N486+Q486),0)),(MAX((J486-L486+N486-Q486),0)))</f>
        <v/>
      </c>
      <c r="BR486" s="82">
        <f>IFERROR(ABS(BK486/BQ486),0)</f>
        <v/>
      </c>
      <c r="BS486" s="34">
        <f>IF(BR486&lt;=0.1,0,BK486/BR486*(BR486-0.1))</f>
        <v/>
      </c>
      <c r="BT486" s="34">
        <f>IF((BS486)&lt;0,MAX(F486:G486)*(BS486)*1.03,MIN(F486:G486)*(BS486)*0.97)</f>
        <v/>
      </c>
      <c r="BU486" s="34">
        <f>IF(BR486&gt;0.1,1,0)</f>
        <v/>
      </c>
      <c r="BV486" s="34">
        <f>BF486+BG486+BH486+BY486-CA486</f>
        <v/>
      </c>
      <c r="BW486" s="34">
        <f>ABS(BX486)</f>
        <v/>
      </c>
      <c r="BX486" s="34">
        <f>AY486-(J486-L486+N486-Q486+T486-X486)</f>
        <v/>
      </c>
      <c r="BY486" s="34">
        <f>IF(AND(BX486&gt;0,MIN($F486:$G486)&lt;150,$E486="Enerji Açığı"),-100*BX486*1.03,IF(AND(BX486&gt;0,MIN($F486:$G486)&lt;150,$E486="Enerji Fazlası"),-100*BX486*1.06,IF(AND(BX486&gt;0,MIN($F486:$G486)&gt;=150,$E486="Enerji Açığı"),BX486*MIN($F486:$G486)*0.97,IF(AND(BX486&gt;0,MIN($F486:$G486)&gt;=150,$E486="Enerji Fazlası"),BX486*MIN($F486:$G486)*0.94,IF(AND(BX486&lt;0,MAX($F486:$G486)=4500,$E486="Enerji Açığı"),4500*1.05*1.06*BX486,IF(AND(BX486&lt;0,MAX($F486:$G486)=4500,$E486="Enerji Fazlası"),4500*1.05*1.03*BX486,IF(AND(BX486&lt;0,$E486="Enerji Açığı"),MAX($F486,$G486,150)*BX486*1.06,IF(AND(BX486&lt;0,$E486="Enerji Fazlası"),MAX($F486,$G486,150)*BX486*1.03,IF(AND(BX486&lt;0,$E486="Dengede"),MAX($F486:$G486,150)*1.03*BX486,MIN($F486:$G486)*0.97*BX486)))))))))</f>
        <v/>
      </c>
      <c r="BZ486" s="34">
        <f>BE486-BV486-CA486</f>
        <v/>
      </c>
      <c r="CA486" s="34">
        <f>BD486</f>
        <v/>
      </c>
      <c r="CB486" s="33">
        <f>BE486-BV486</f>
        <v/>
      </c>
      <c r="CC486" s="34">
        <f>IF(AY486=0,0,CB486/AY486)</f>
        <v/>
      </c>
      <c r="CD486" s="34">
        <f>MAX((AY486+MAX((-J486+L486-N486+Q486-T486+X486),0)),(MAX((J486-L486+N486-Q486+T486-X486),0)))</f>
        <v/>
      </c>
      <c r="CE486" s="82">
        <f>IFERROR(ABS(BX486/CD486),0)</f>
        <v/>
      </c>
      <c r="CF486" s="34">
        <f>IF(CE486&lt;=0.1,0,BX486/CE486*(CE486-0.1))</f>
        <v/>
      </c>
      <c r="CG486" s="34">
        <f>IF((CF486)&lt;0,MAX(F486:G486)*(CF486)*1.03,MIN(F486:G486)*(CF486)*0.97)</f>
        <v/>
      </c>
      <c r="CH486" s="34">
        <f>IF(CE486&gt;0.1,1,0)</f>
        <v/>
      </c>
      <c r="CI486" s="34">
        <f>(F486*BX486)-BY486</f>
        <v/>
      </c>
      <c r="CJ486" s="34">
        <f>IF(AY486=0,0,CI486/AY486)</f>
        <v/>
      </c>
    </row>
    <row r="487">
      <c r="A487" s="29">
        <f>[1]FİYATLAR!A462</f>
        <v/>
      </c>
      <c r="B487" s="29">
        <f>[1]FİYATLAR!B462</f>
        <v/>
      </c>
      <c r="C487" s="35">
        <f>INT(A487)</f>
        <v/>
      </c>
      <c r="D487" s="36">
        <f>MONTH(A487)</f>
        <v/>
      </c>
      <c r="E487" s="147">
        <f>[1]FİYATLAR!G462</f>
        <v/>
      </c>
      <c r="F487" s="30">
        <f>[1]FİYATLAR!C462</f>
        <v/>
      </c>
      <c r="G487" s="30">
        <f>[1]FİYATLAR!E462</f>
        <v/>
      </c>
      <c r="H487" s="30">
        <f>[1]FİYATLAR!D462</f>
        <v/>
      </c>
      <c r="I487" s="30">
        <f>[1]FİYATLAR!F462</f>
        <v/>
      </c>
      <c r="J487" s="119" t="n">
        <v>0</v>
      </c>
      <c r="K487" s="34">
        <f>F487*J487</f>
        <v/>
      </c>
      <c r="L487" s="119" t="n"/>
      <c r="M487" s="34">
        <f>L487*F487</f>
        <v/>
      </c>
      <c r="N487" s="119" t="n"/>
      <c r="O487" s="34">
        <f>F487</f>
        <v/>
      </c>
      <c r="P487" s="34">
        <f>N487*O487</f>
        <v/>
      </c>
      <c r="Q487" s="117" t="n">
        <v>0</v>
      </c>
      <c r="R487" s="34">
        <f>F487</f>
        <v/>
      </c>
      <c r="S487" s="34">
        <f>R487*Q487</f>
        <v/>
      </c>
      <c r="T487" s="34">
        <f>SUMIFS('[1]GİP VERİLERİ'!$C:$C,'[1]GİP VERİLERİ'!$B:$B,A487,'[1]GİP VERİLERİ'!$M:$M,"40X000000104782K",'[1]GİP VERİLERİ'!$G:$G,"SELL")</f>
        <v/>
      </c>
      <c r="U487" s="34">
        <f>IFERROR(W487/T487,0)</f>
        <v/>
      </c>
      <c r="V487" s="34">
        <f>IF(U487=0,0,U487-F487)</f>
        <v/>
      </c>
      <c r="W487" s="34">
        <f>SUMIFS('[1]GİP VERİLERİ'!$O:$O,'[1]GİP VERİLERİ'!$B:$B,A487,'[1]GİP VERİLERİ'!$M:$M,"40X000000104782K",'[1]GİP VERİLERİ'!$G:$G,"SELL")</f>
        <v/>
      </c>
      <c r="X487" s="34">
        <f>SUMIFS('[1]GİP VERİLERİ'!$C:$C,'[1]GİP VERİLERİ'!$B:$B,A487,'[1]GİP VERİLERİ'!$M:$M,"40X000000104782K",'[1]GİP VERİLERİ'!$G:$G,"BUY")</f>
        <v/>
      </c>
      <c r="Y487" s="34">
        <f>IFERROR(AA487/X487,0)</f>
        <v/>
      </c>
      <c r="Z487" s="34">
        <f>IF(Y487=0,0,F487-Y487)</f>
        <v/>
      </c>
      <c r="AA487" s="34">
        <f>SUMIFS('[1]GİP VERİLERİ'!$O:$O,'[1]GİP VERİLERİ'!$B:$B,A487,'[1]GİP VERİLERİ'!$M:$M,"40X000000104782K",'[1]GİP VERİLERİ'!$G:$G,"BUY")</f>
        <v/>
      </c>
      <c r="AB487" s="34">
        <f>'[1]GÖP VERİLERİ'!H488</f>
        <v/>
      </c>
      <c r="AC487" s="34">
        <f>'[1]GÖP VERİLERİ'!I488</f>
        <v/>
      </c>
      <c r="AD487" s="34">
        <f>IF(AB487&gt;AC487*1.05,AB487-AC487*1.05,IF(AB487&lt;AC487*0.95,AC487*0.95-AB487,0))</f>
        <v/>
      </c>
      <c r="AE487" s="34">
        <f>MAX(F487,G487,750)*0.05*AD487</f>
        <v/>
      </c>
      <c r="AF487" s="34">
        <f>'[1]GÖP VERİLERİ'!J488</f>
        <v/>
      </c>
      <c r="AG487" s="34">
        <f>IF(AB487&gt;AF487*1.05,AB487-AF487*1.05,IF(AB487&lt;AF487*0.95,AF487*0.95-AB487,0))</f>
        <v/>
      </c>
      <c r="AH487" s="34">
        <f>MAX(I487,J487,750)*0.05*AG487</f>
        <v/>
      </c>
      <c r="AI487">
        <f>'[1]GÖP VERİLERİ'!E488</f>
        <v/>
      </c>
      <c r="AJ487">
        <f>'[1]GÖP VERİLERİ'!F488</f>
        <v/>
      </c>
      <c r="AK487" s="34">
        <f>IF(AI487&gt;AJ487*1.05,AI487-AJ487*1.05,IF(AI487&lt;AJ487*0.95,AJ487*0.95-AI487,0))</f>
        <v/>
      </c>
      <c r="AL487" s="34">
        <f>MAX(F487,G487,750)*0.05*AK487</f>
        <v/>
      </c>
      <c r="AM487" s="39">
        <f>'[1]GÖP VERİLERİ'!G488</f>
        <v/>
      </c>
      <c r="AN487" s="34">
        <f>IF(AI487&gt;AM487*1.05,AI487-AM487*1.05,IF(AI487&lt;AM487*0.95,AM487*0.95-AI487,0))</f>
        <v/>
      </c>
      <c r="AO487" s="34">
        <f>MAX(F487,G487,750)*0.05*AN487</f>
        <v/>
      </c>
      <c r="AP487" s="34">
        <f>'[1]GÖP VERİLERİ'!B488</f>
        <v/>
      </c>
      <c r="AQ487" s="34">
        <f>'[1]GÖP VERİLERİ'!C488</f>
        <v/>
      </c>
      <c r="AR487" s="34">
        <f>IF(AP487&gt;AQ487*1.05,AP487-AQ487*1.05,IF(AP487&lt;AQ487*0.95,AQ487*0.95-AP487,0))</f>
        <v/>
      </c>
      <c r="AS487" s="34">
        <f>MAX(F487:G487,750)*0.05*AR487</f>
        <v/>
      </c>
      <c r="AT487">
        <f>'[1]GÖP VERİLERİ'!D488</f>
        <v/>
      </c>
      <c r="AU487" s="34">
        <f>IF(AP487&gt;AT487*1.05,AP487-AT487*1.05,IF(AP487&lt;AT487*0.95,AT487*0.95-AP487,0))</f>
        <v/>
      </c>
      <c r="AV487" s="34">
        <f>MAX(F487:G487,750)*0.05*AU487</f>
        <v/>
      </c>
      <c r="AW487" s="34">
        <f>AC487+AJ487+AQ487</f>
        <v/>
      </c>
      <c r="AX487" s="34">
        <f>AF487+AM487+AT487</f>
        <v/>
      </c>
      <c r="AY487" s="34">
        <f>AB487+AI487+AP487</f>
        <v/>
      </c>
      <c r="AZ487" s="34" t="n">
        <v>0</v>
      </c>
      <c r="BA487" s="34">
        <f>AD487+AK487+AR487</f>
        <v/>
      </c>
      <c r="BB487" s="34">
        <f>MAX(F487:G487,750)*0.05*BA487</f>
        <v/>
      </c>
      <c r="BC487" s="34">
        <f>AG487+AN487+AU487</f>
        <v/>
      </c>
      <c r="BD487" s="34">
        <f>MAX(F487:G487,750)*0.05*BC487</f>
        <v/>
      </c>
      <c r="BE487" s="34">
        <f>F487*AY487</f>
        <v/>
      </c>
      <c r="BF487" s="34">
        <f>K487-M487</f>
        <v/>
      </c>
      <c r="BG487" s="34">
        <f>P487-S487</f>
        <v/>
      </c>
      <c r="BH487" s="34">
        <f>W487-AA487</f>
        <v/>
      </c>
      <c r="BI487" s="34">
        <f>BF487+BG487+BL487-BN487</f>
        <v/>
      </c>
      <c r="BJ487" s="34">
        <f>ABS(BK487)</f>
        <v/>
      </c>
      <c r="BK487" s="34">
        <f>AY487-(J487-L487+N487-Q487)</f>
        <v/>
      </c>
      <c r="BL487" s="34">
        <f>IF(AND(BK487&gt;0,MIN($F487:$G487)&lt;150,$E487="Enerji Açığı"),-100*BK487*1.03,IF(AND(BK487&gt;0,MIN($F487:$G487)&lt;150,$E487="Enerji Fazlası"),-100*BK487*1.06,IF(AND(BK487&gt;0,MIN($F487:$G487)&gt;=150,$E487="Enerji Açığı"),BK487*MIN($F487:$G487)*0.97,IF(AND(BK487&gt;0,MIN($F487:$G487)&gt;=150,$E487="Enerji Fazlası"),BK487*MIN($F487:$G487)*0.94,IF(AND(BK487&lt;0,MAX($F487:$G487)=4500,$E487="Enerji Açığı"),4500*1.05*1.06*BK487,IF(AND(BK487&lt;0,MAX($F487:$G487)=4500,$E487="Enerji Fazlası"),4500*1.05*1.03*BK487,IF(AND(BK487&lt;0,$E487="Enerji Açığı"),MAX($F487,$G487,150)*BK487*1.06,IF(AND(BK487&lt;0,$E487="Enerji Fazlası"),MAX($F487,$G487,150)*BK487*1.03,IF(AND(BK487&lt;0,$E487="Dengede"),MAX($F487:$G487,150)*1.03*BK487,MIN($F487:$G487)*0.97*BK487)))))))))</f>
        <v/>
      </c>
      <c r="BM487" s="34">
        <f>BE487-BI487-BN487</f>
        <v/>
      </c>
      <c r="BN487" s="34">
        <f>BB487</f>
        <v/>
      </c>
      <c r="BO487" s="34">
        <f>BE487-BI487</f>
        <v/>
      </c>
      <c r="BP487" s="34">
        <f>IF(AY487=0,0,BO487/AY487)</f>
        <v/>
      </c>
      <c r="BQ487" s="34">
        <f>MAX((AY487+MAX((-J487+L487-N487+Q487),0)),(MAX((J487-L487+N487-Q487),0)))</f>
        <v/>
      </c>
      <c r="BR487" s="82">
        <f>IFERROR(ABS(BK487/BQ487),0)</f>
        <v/>
      </c>
      <c r="BS487" s="34">
        <f>IF(BR487&lt;=0.1,0,BK487/BR487*(BR487-0.1))</f>
        <v/>
      </c>
      <c r="BT487" s="34">
        <f>IF((BS487)&lt;0,MAX(F487:G487)*(BS487)*1.03,MIN(F487:G487)*(BS487)*0.97)</f>
        <v/>
      </c>
      <c r="BU487" s="34">
        <f>IF(BR487&gt;0.1,1,0)</f>
        <v/>
      </c>
      <c r="BV487" s="34">
        <f>BF487+BG487+BH487+BY487-CA487</f>
        <v/>
      </c>
      <c r="BW487" s="34">
        <f>ABS(BX487)</f>
        <v/>
      </c>
      <c r="BX487" s="34">
        <f>AY487-(J487-L487+N487-Q487+T487-X487)</f>
        <v/>
      </c>
      <c r="BY487" s="34">
        <f>IF(AND(BX487&gt;0,MIN($F487:$G487)&lt;150,$E487="Enerji Açığı"),-100*BX487*1.03,IF(AND(BX487&gt;0,MIN($F487:$G487)&lt;150,$E487="Enerji Fazlası"),-100*BX487*1.06,IF(AND(BX487&gt;0,MIN($F487:$G487)&gt;=150,$E487="Enerji Açığı"),BX487*MIN($F487:$G487)*0.97,IF(AND(BX487&gt;0,MIN($F487:$G487)&gt;=150,$E487="Enerji Fazlası"),BX487*MIN($F487:$G487)*0.94,IF(AND(BX487&lt;0,MAX($F487:$G487)=4500,$E487="Enerji Açığı"),4500*1.05*1.06*BX487,IF(AND(BX487&lt;0,MAX($F487:$G487)=4500,$E487="Enerji Fazlası"),4500*1.05*1.03*BX487,IF(AND(BX487&lt;0,$E487="Enerji Açığı"),MAX($F487,$G487,150)*BX487*1.06,IF(AND(BX487&lt;0,$E487="Enerji Fazlası"),MAX($F487,$G487,150)*BX487*1.03,IF(AND(BX487&lt;0,$E487="Dengede"),MAX($F487:$G487,150)*1.03*BX487,MIN($F487:$G487)*0.97*BX487)))))))))</f>
        <v/>
      </c>
      <c r="BZ487" s="34">
        <f>BE487-BV487-CA487</f>
        <v/>
      </c>
      <c r="CA487" s="34">
        <f>BD487</f>
        <v/>
      </c>
      <c r="CB487" s="33">
        <f>BE487-BV487</f>
        <v/>
      </c>
      <c r="CC487" s="34">
        <f>IF(AY487=0,0,CB487/AY487)</f>
        <v/>
      </c>
      <c r="CD487" s="34">
        <f>MAX((AY487+MAX((-J487+L487-N487+Q487-T487+X487),0)),(MAX((J487-L487+N487-Q487+T487-X487),0)))</f>
        <v/>
      </c>
      <c r="CE487" s="82">
        <f>IFERROR(ABS(BX487/CD487),0)</f>
        <v/>
      </c>
      <c r="CF487" s="34">
        <f>IF(CE487&lt;=0.1,0,BX487/CE487*(CE487-0.1))</f>
        <v/>
      </c>
      <c r="CG487" s="34">
        <f>IF((CF487)&lt;0,MAX(F487:G487)*(CF487)*1.03,MIN(F487:G487)*(CF487)*0.97)</f>
        <v/>
      </c>
      <c r="CH487" s="34">
        <f>IF(CE487&gt;0.1,1,0)</f>
        <v/>
      </c>
      <c r="CI487" s="34">
        <f>(F487*BX487)-BY487</f>
        <v/>
      </c>
      <c r="CJ487" s="34">
        <f>IF(AY487=0,0,CI487/AY487)</f>
        <v/>
      </c>
    </row>
    <row r="488">
      <c r="A488" s="29">
        <f>[1]FİYATLAR!A463</f>
        <v/>
      </c>
      <c r="B488" s="29">
        <f>[1]FİYATLAR!B463</f>
        <v/>
      </c>
      <c r="C488" s="35">
        <f>INT(A488)</f>
        <v/>
      </c>
      <c r="D488" s="36">
        <f>MONTH(A488)</f>
        <v/>
      </c>
      <c r="E488" s="147">
        <f>[1]FİYATLAR!G463</f>
        <v/>
      </c>
      <c r="F488" s="30">
        <f>[1]FİYATLAR!C463</f>
        <v/>
      </c>
      <c r="G488" s="30">
        <f>[1]FİYATLAR!E463</f>
        <v/>
      </c>
      <c r="H488" s="30">
        <f>[1]FİYATLAR!D463</f>
        <v/>
      </c>
      <c r="I488" s="30">
        <f>[1]FİYATLAR!F463</f>
        <v/>
      </c>
      <c r="J488" s="119" t="n">
        <v>0</v>
      </c>
      <c r="K488" s="34">
        <f>F488*J488</f>
        <v/>
      </c>
      <c r="L488" s="119" t="n"/>
      <c r="M488" s="34">
        <f>L488*F488</f>
        <v/>
      </c>
      <c r="N488" s="119" t="n"/>
      <c r="O488" s="34">
        <f>F488</f>
        <v/>
      </c>
      <c r="P488" s="34">
        <f>N488*O488</f>
        <v/>
      </c>
      <c r="Q488" s="117" t="n">
        <v>0</v>
      </c>
      <c r="R488" s="34">
        <f>F488</f>
        <v/>
      </c>
      <c r="S488" s="34">
        <f>R488*Q488</f>
        <v/>
      </c>
      <c r="T488" s="34">
        <f>SUMIFS('[1]GİP VERİLERİ'!$C:$C,'[1]GİP VERİLERİ'!$B:$B,A488,'[1]GİP VERİLERİ'!$M:$M,"40X000000104782K",'[1]GİP VERİLERİ'!$G:$G,"SELL")</f>
        <v/>
      </c>
      <c r="U488" s="34">
        <f>IFERROR(W488/T488,0)</f>
        <v/>
      </c>
      <c r="V488" s="34">
        <f>IF(U488=0,0,U488-F488)</f>
        <v/>
      </c>
      <c r="W488" s="34">
        <f>SUMIFS('[1]GİP VERİLERİ'!$O:$O,'[1]GİP VERİLERİ'!$B:$B,A488,'[1]GİP VERİLERİ'!$M:$M,"40X000000104782K",'[1]GİP VERİLERİ'!$G:$G,"SELL")</f>
        <v/>
      </c>
      <c r="X488" s="34">
        <f>SUMIFS('[1]GİP VERİLERİ'!$C:$C,'[1]GİP VERİLERİ'!$B:$B,A488,'[1]GİP VERİLERİ'!$M:$M,"40X000000104782K",'[1]GİP VERİLERİ'!$G:$G,"BUY")</f>
        <v/>
      </c>
      <c r="Y488" s="34">
        <f>IFERROR(AA488/X488,0)</f>
        <v/>
      </c>
      <c r="Z488" s="34">
        <f>IF(Y488=0,0,F488-Y488)</f>
        <v/>
      </c>
      <c r="AA488" s="34">
        <f>SUMIFS('[1]GİP VERİLERİ'!$O:$O,'[1]GİP VERİLERİ'!$B:$B,A488,'[1]GİP VERİLERİ'!$M:$M,"40X000000104782K",'[1]GİP VERİLERİ'!$G:$G,"BUY")</f>
        <v/>
      </c>
      <c r="AB488" s="34">
        <f>'[1]GÖP VERİLERİ'!H489</f>
        <v/>
      </c>
      <c r="AC488" s="34">
        <f>'[1]GÖP VERİLERİ'!I489</f>
        <v/>
      </c>
      <c r="AD488" s="34">
        <f>IF(AB488&gt;AC488*1.05,AB488-AC488*1.05,IF(AB488&lt;AC488*0.95,AC488*0.95-AB488,0))</f>
        <v/>
      </c>
      <c r="AE488" s="34">
        <f>MAX(F488,G488,750)*0.05*AD488</f>
        <v/>
      </c>
      <c r="AF488" s="34">
        <f>'[1]GÖP VERİLERİ'!J489</f>
        <v/>
      </c>
      <c r="AG488" s="34">
        <f>IF(AB488&gt;AF488*1.05,AB488-AF488*1.05,IF(AB488&lt;AF488*0.95,AF488*0.95-AB488,0))</f>
        <v/>
      </c>
      <c r="AH488" s="34">
        <f>MAX(I488,J488,750)*0.05*AG488</f>
        <v/>
      </c>
      <c r="AI488">
        <f>'[1]GÖP VERİLERİ'!E489</f>
        <v/>
      </c>
      <c r="AJ488">
        <f>'[1]GÖP VERİLERİ'!F489</f>
        <v/>
      </c>
      <c r="AK488" s="34">
        <f>IF(AI488&gt;AJ488*1.05,AI488-AJ488*1.05,IF(AI488&lt;AJ488*0.95,AJ488*0.95-AI488,0))</f>
        <v/>
      </c>
      <c r="AL488" s="34">
        <f>MAX(F488,G488,750)*0.05*AK488</f>
        <v/>
      </c>
      <c r="AM488" s="39">
        <f>'[1]GÖP VERİLERİ'!G489</f>
        <v/>
      </c>
      <c r="AN488" s="34">
        <f>IF(AI488&gt;AM488*1.05,AI488-AM488*1.05,IF(AI488&lt;AM488*0.95,AM488*0.95-AI488,0))</f>
        <v/>
      </c>
      <c r="AO488" s="34">
        <f>MAX(F488,G488,750)*0.05*AN488</f>
        <v/>
      </c>
      <c r="AP488" s="34">
        <f>'[1]GÖP VERİLERİ'!B489</f>
        <v/>
      </c>
      <c r="AQ488" s="34">
        <f>'[1]GÖP VERİLERİ'!C489</f>
        <v/>
      </c>
      <c r="AR488" s="34">
        <f>IF(AP488&gt;AQ488*1.05,AP488-AQ488*1.05,IF(AP488&lt;AQ488*0.95,AQ488*0.95-AP488,0))</f>
        <v/>
      </c>
      <c r="AS488" s="34">
        <f>MAX(F488:G488,750)*0.05*AR488</f>
        <v/>
      </c>
      <c r="AT488">
        <f>'[1]GÖP VERİLERİ'!D489</f>
        <v/>
      </c>
      <c r="AU488" s="34">
        <f>IF(AP488&gt;AT488*1.05,AP488-AT488*1.05,IF(AP488&lt;AT488*0.95,AT488*0.95-AP488,0))</f>
        <v/>
      </c>
      <c r="AV488" s="34">
        <f>MAX(F488:G488,750)*0.05*AU488</f>
        <v/>
      </c>
      <c r="AW488" s="34">
        <f>AC488+AJ488+AQ488</f>
        <v/>
      </c>
      <c r="AX488" s="34">
        <f>AF488+AM488+AT488</f>
        <v/>
      </c>
      <c r="AY488" s="34">
        <f>AB488+AI488+AP488</f>
        <v/>
      </c>
      <c r="AZ488" s="34" t="n">
        <v>0</v>
      </c>
      <c r="BA488" s="34">
        <f>AD488+AK488+AR488</f>
        <v/>
      </c>
      <c r="BB488" s="34">
        <f>MAX(F488:G488,750)*0.05*BA488</f>
        <v/>
      </c>
      <c r="BC488" s="34">
        <f>AG488+AN488+AU488</f>
        <v/>
      </c>
      <c r="BD488" s="34">
        <f>MAX(F488:G488,750)*0.05*BC488</f>
        <v/>
      </c>
      <c r="BE488" s="34">
        <f>F488*AY488</f>
        <v/>
      </c>
      <c r="BF488" s="34">
        <f>K488-M488</f>
        <v/>
      </c>
      <c r="BG488" s="34">
        <f>P488-S488</f>
        <v/>
      </c>
      <c r="BH488" s="34">
        <f>W488-AA488</f>
        <v/>
      </c>
      <c r="BI488" s="34">
        <f>BF488+BG488+BL488-BN488</f>
        <v/>
      </c>
      <c r="BJ488" s="34">
        <f>ABS(BK488)</f>
        <v/>
      </c>
      <c r="BK488" s="34">
        <f>AY488-(J488-L488+N488-Q488)</f>
        <v/>
      </c>
      <c r="BL488" s="34">
        <f>IF(AND(BK488&gt;0,MIN($F488:$G488)&lt;150,$E488="Enerji Açığı"),-100*BK488*1.03,IF(AND(BK488&gt;0,MIN($F488:$G488)&lt;150,$E488="Enerji Fazlası"),-100*BK488*1.06,IF(AND(BK488&gt;0,MIN($F488:$G488)&gt;=150,$E488="Enerji Açığı"),BK488*MIN($F488:$G488)*0.97,IF(AND(BK488&gt;0,MIN($F488:$G488)&gt;=150,$E488="Enerji Fazlası"),BK488*MIN($F488:$G488)*0.94,IF(AND(BK488&lt;0,MAX($F488:$G488)=4500,$E488="Enerji Açığı"),4500*1.05*1.06*BK488,IF(AND(BK488&lt;0,MAX($F488:$G488)=4500,$E488="Enerji Fazlası"),4500*1.05*1.03*BK488,IF(AND(BK488&lt;0,$E488="Enerji Açığı"),MAX($F488,$G488,150)*BK488*1.06,IF(AND(BK488&lt;0,$E488="Enerji Fazlası"),MAX($F488,$G488,150)*BK488*1.03,IF(AND(BK488&lt;0,$E488="Dengede"),MAX($F488:$G488,150)*1.03*BK488,MIN($F488:$G488)*0.97*BK488)))))))))</f>
        <v/>
      </c>
      <c r="BM488" s="34">
        <f>BE488-BI488-BN488</f>
        <v/>
      </c>
      <c r="BN488" s="34">
        <f>BB488</f>
        <v/>
      </c>
      <c r="BO488" s="34">
        <f>BE488-BI488</f>
        <v/>
      </c>
      <c r="BP488" s="34">
        <f>IF(AY488=0,0,BO488/AY488)</f>
        <v/>
      </c>
      <c r="BQ488" s="34">
        <f>MAX((AY488+MAX((-J488+L488-N488+Q488),0)),(MAX((J488-L488+N488-Q488),0)))</f>
        <v/>
      </c>
      <c r="BR488" s="82">
        <f>IFERROR(ABS(BK488/BQ488),0)</f>
        <v/>
      </c>
      <c r="BS488" s="34">
        <f>IF(BR488&lt;=0.1,0,BK488/BR488*(BR488-0.1))</f>
        <v/>
      </c>
      <c r="BT488" s="34">
        <f>IF((BS488)&lt;0,MAX(F488:G488)*(BS488)*1.03,MIN(F488:G488)*(BS488)*0.97)</f>
        <v/>
      </c>
      <c r="BU488" s="34">
        <f>IF(BR488&gt;0.1,1,0)</f>
        <v/>
      </c>
      <c r="BV488" s="34">
        <f>BF488+BG488+BH488+BY488-CA488</f>
        <v/>
      </c>
      <c r="BW488" s="34">
        <f>ABS(BX488)</f>
        <v/>
      </c>
      <c r="BX488" s="34">
        <f>AY488-(J488-L488+N488-Q488+T488-X488)</f>
        <v/>
      </c>
      <c r="BY488" s="34">
        <f>IF(AND(BX488&gt;0,MIN($F488:$G488)&lt;150,$E488="Enerji Açığı"),-100*BX488*1.03,IF(AND(BX488&gt;0,MIN($F488:$G488)&lt;150,$E488="Enerji Fazlası"),-100*BX488*1.06,IF(AND(BX488&gt;0,MIN($F488:$G488)&gt;=150,$E488="Enerji Açığı"),BX488*MIN($F488:$G488)*0.97,IF(AND(BX488&gt;0,MIN($F488:$G488)&gt;=150,$E488="Enerji Fazlası"),BX488*MIN($F488:$G488)*0.94,IF(AND(BX488&lt;0,MAX($F488:$G488)=4500,$E488="Enerji Açığı"),4500*1.05*1.06*BX488,IF(AND(BX488&lt;0,MAX($F488:$G488)=4500,$E488="Enerji Fazlası"),4500*1.05*1.03*BX488,IF(AND(BX488&lt;0,$E488="Enerji Açığı"),MAX($F488,$G488,150)*BX488*1.06,IF(AND(BX488&lt;0,$E488="Enerji Fazlası"),MAX($F488,$G488,150)*BX488*1.03,IF(AND(BX488&lt;0,$E488="Dengede"),MAX($F488:$G488,150)*1.03*BX488,MIN($F488:$G488)*0.97*BX488)))))))))</f>
        <v/>
      </c>
      <c r="BZ488" s="34">
        <f>BE488-BV488-CA488</f>
        <v/>
      </c>
      <c r="CA488" s="34">
        <f>BD488</f>
        <v/>
      </c>
      <c r="CB488" s="33">
        <f>BE488-BV488</f>
        <v/>
      </c>
      <c r="CC488" s="34">
        <f>IF(AY488=0,0,CB488/AY488)</f>
        <v/>
      </c>
      <c r="CD488" s="34">
        <f>MAX((AY488+MAX((-J488+L488-N488+Q488-T488+X488),0)),(MAX((J488-L488+N488-Q488+T488-X488),0)))</f>
        <v/>
      </c>
      <c r="CE488" s="82">
        <f>IFERROR(ABS(BX488/CD488),0)</f>
        <v/>
      </c>
      <c r="CF488" s="34">
        <f>IF(CE488&lt;=0.1,0,BX488/CE488*(CE488-0.1))</f>
        <v/>
      </c>
      <c r="CG488" s="34">
        <f>IF((CF488)&lt;0,MAX(F488:G488)*(CF488)*1.03,MIN(F488:G488)*(CF488)*0.97)</f>
        <v/>
      </c>
      <c r="CH488" s="34">
        <f>IF(CE488&gt;0.1,1,0)</f>
        <v/>
      </c>
      <c r="CI488" s="34">
        <f>(F488*BX488)-BY488</f>
        <v/>
      </c>
      <c r="CJ488" s="34">
        <f>IF(AY488=0,0,CI488/AY488)</f>
        <v/>
      </c>
    </row>
    <row r="489">
      <c r="A489" s="29">
        <f>[1]FİYATLAR!A464</f>
        <v/>
      </c>
      <c r="B489" s="29">
        <f>[1]FİYATLAR!B464</f>
        <v/>
      </c>
      <c r="C489" s="35">
        <f>INT(A489)</f>
        <v/>
      </c>
      <c r="D489" s="36">
        <f>MONTH(A489)</f>
        <v/>
      </c>
      <c r="E489" s="147">
        <f>[1]FİYATLAR!G464</f>
        <v/>
      </c>
      <c r="F489" s="30">
        <f>[1]FİYATLAR!C464</f>
        <v/>
      </c>
      <c r="G489" s="30">
        <f>[1]FİYATLAR!E464</f>
        <v/>
      </c>
      <c r="H489" s="30">
        <f>[1]FİYATLAR!D464</f>
        <v/>
      </c>
      <c r="I489" s="30">
        <f>[1]FİYATLAR!F464</f>
        <v/>
      </c>
      <c r="J489" s="119" t="n">
        <v>0</v>
      </c>
      <c r="K489" s="34">
        <f>F489*J489</f>
        <v/>
      </c>
      <c r="L489" s="119" t="n"/>
      <c r="M489" s="34">
        <f>L489*F489</f>
        <v/>
      </c>
      <c r="N489" s="119" t="n"/>
      <c r="O489" s="34">
        <f>F489</f>
        <v/>
      </c>
      <c r="P489" s="34">
        <f>N489*O489</f>
        <v/>
      </c>
      <c r="Q489" s="117" t="n">
        <v>0</v>
      </c>
      <c r="R489" s="34">
        <f>F489</f>
        <v/>
      </c>
      <c r="S489" s="34">
        <f>R489*Q489</f>
        <v/>
      </c>
      <c r="T489" s="34">
        <f>SUMIFS('[1]GİP VERİLERİ'!$C:$C,'[1]GİP VERİLERİ'!$B:$B,A489,'[1]GİP VERİLERİ'!$M:$M,"40X000000104782K",'[1]GİP VERİLERİ'!$G:$G,"SELL")</f>
        <v/>
      </c>
      <c r="U489" s="34">
        <f>IFERROR(W489/T489,0)</f>
        <v/>
      </c>
      <c r="V489" s="34">
        <f>IF(U489=0,0,U489-F489)</f>
        <v/>
      </c>
      <c r="W489" s="34">
        <f>SUMIFS('[1]GİP VERİLERİ'!$O:$O,'[1]GİP VERİLERİ'!$B:$B,A489,'[1]GİP VERİLERİ'!$M:$M,"40X000000104782K",'[1]GİP VERİLERİ'!$G:$G,"SELL")</f>
        <v/>
      </c>
      <c r="X489" s="34">
        <f>SUMIFS('[1]GİP VERİLERİ'!$C:$C,'[1]GİP VERİLERİ'!$B:$B,A489,'[1]GİP VERİLERİ'!$M:$M,"40X000000104782K",'[1]GİP VERİLERİ'!$G:$G,"BUY")</f>
        <v/>
      </c>
      <c r="Y489" s="34">
        <f>IFERROR(AA489/X489,0)</f>
        <v/>
      </c>
      <c r="Z489" s="34">
        <f>IF(Y489=0,0,F489-Y489)</f>
        <v/>
      </c>
      <c r="AA489" s="34">
        <f>SUMIFS('[1]GİP VERİLERİ'!$O:$O,'[1]GİP VERİLERİ'!$B:$B,A489,'[1]GİP VERİLERİ'!$M:$M,"40X000000104782K",'[1]GİP VERİLERİ'!$G:$G,"BUY")</f>
        <v/>
      </c>
      <c r="AB489" s="34">
        <f>'[1]GÖP VERİLERİ'!H490</f>
        <v/>
      </c>
      <c r="AC489" s="34">
        <f>'[1]GÖP VERİLERİ'!I490</f>
        <v/>
      </c>
      <c r="AD489" s="34">
        <f>IF(AB489&gt;AC489*1.05,AB489-AC489*1.05,IF(AB489&lt;AC489*0.95,AC489*0.95-AB489,0))</f>
        <v/>
      </c>
      <c r="AE489" s="34">
        <f>MAX(F489,G489,750)*0.05*AD489</f>
        <v/>
      </c>
      <c r="AF489" s="34">
        <f>'[1]GÖP VERİLERİ'!J490</f>
        <v/>
      </c>
      <c r="AG489" s="34">
        <f>IF(AB489&gt;AF489*1.05,AB489-AF489*1.05,IF(AB489&lt;AF489*0.95,AF489*0.95-AB489,0))</f>
        <v/>
      </c>
      <c r="AH489" s="34">
        <f>MAX(I489,J489,750)*0.05*AG489</f>
        <v/>
      </c>
      <c r="AI489">
        <f>'[1]GÖP VERİLERİ'!E490</f>
        <v/>
      </c>
      <c r="AJ489">
        <f>'[1]GÖP VERİLERİ'!F490</f>
        <v/>
      </c>
      <c r="AK489" s="34">
        <f>IF(AI489&gt;AJ489*1.05,AI489-AJ489*1.05,IF(AI489&lt;AJ489*0.95,AJ489*0.95-AI489,0))</f>
        <v/>
      </c>
      <c r="AL489" s="34">
        <f>MAX(F489,G489,750)*0.05*AK489</f>
        <v/>
      </c>
      <c r="AM489" s="39">
        <f>'[1]GÖP VERİLERİ'!G490</f>
        <v/>
      </c>
      <c r="AN489" s="34">
        <f>IF(AI489&gt;AM489*1.05,AI489-AM489*1.05,IF(AI489&lt;AM489*0.95,AM489*0.95-AI489,0))</f>
        <v/>
      </c>
      <c r="AO489" s="34">
        <f>MAX(F489,G489,750)*0.05*AN489</f>
        <v/>
      </c>
      <c r="AP489" s="34">
        <f>'[1]GÖP VERİLERİ'!B490</f>
        <v/>
      </c>
      <c r="AQ489" s="34">
        <f>'[1]GÖP VERİLERİ'!C490</f>
        <v/>
      </c>
      <c r="AR489" s="34">
        <f>IF(AP489&gt;AQ489*1.05,AP489-AQ489*1.05,IF(AP489&lt;AQ489*0.95,AQ489*0.95-AP489,0))</f>
        <v/>
      </c>
      <c r="AS489" s="34">
        <f>MAX(F489:G489,750)*0.05*AR489</f>
        <v/>
      </c>
      <c r="AT489">
        <f>'[1]GÖP VERİLERİ'!D490</f>
        <v/>
      </c>
      <c r="AU489" s="34">
        <f>IF(AP489&gt;AT489*1.05,AP489-AT489*1.05,IF(AP489&lt;AT489*0.95,AT489*0.95-AP489,0))</f>
        <v/>
      </c>
      <c r="AV489" s="34">
        <f>MAX(F489:G489,750)*0.05*AU489</f>
        <v/>
      </c>
      <c r="AW489" s="34">
        <f>AC489+AJ489+AQ489</f>
        <v/>
      </c>
      <c r="AX489" s="34">
        <f>AF489+AM489+AT489</f>
        <v/>
      </c>
      <c r="AY489" s="34">
        <f>AB489+AI489+AP489</f>
        <v/>
      </c>
      <c r="AZ489" s="34" t="n">
        <v>0</v>
      </c>
      <c r="BA489" s="34">
        <f>AD489+AK489+AR489</f>
        <v/>
      </c>
      <c r="BB489" s="34">
        <f>MAX(F489:G489,750)*0.05*BA489</f>
        <v/>
      </c>
      <c r="BC489" s="34">
        <f>AG489+AN489+AU489</f>
        <v/>
      </c>
      <c r="BD489" s="34">
        <f>MAX(F489:G489,750)*0.05*BC489</f>
        <v/>
      </c>
      <c r="BE489" s="34">
        <f>F489*AY489</f>
        <v/>
      </c>
      <c r="BF489" s="34">
        <f>K489-M489</f>
        <v/>
      </c>
      <c r="BG489" s="34">
        <f>P489-S489</f>
        <v/>
      </c>
      <c r="BH489" s="34">
        <f>W489-AA489</f>
        <v/>
      </c>
      <c r="BI489" s="34">
        <f>BF489+BG489+BL489-BN489</f>
        <v/>
      </c>
      <c r="BJ489" s="34">
        <f>ABS(BK489)</f>
        <v/>
      </c>
      <c r="BK489" s="34">
        <f>AY489-(J489-L489+N489-Q489)</f>
        <v/>
      </c>
      <c r="BL489" s="34">
        <f>IF(AND(BK489&gt;0,MIN($F489:$G489)&lt;150,$E489="Enerji Açığı"),-100*BK489*1.03,IF(AND(BK489&gt;0,MIN($F489:$G489)&lt;150,$E489="Enerji Fazlası"),-100*BK489*1.06,IF(AND(BK489&gt;0,MIN($F489:$G489)&gt;=150,$E489="Enerji Açığı"),BK489*MIN($F489:$G489)*0.97,IF(AND(BK489&gt;0,MIN($F489:$G489)&gt;=150,$E489="Enerji Fazlası"),BK489*MIN($F489:$G489)*0.94,IF(AND(BK489&lt;0,MAX($F489:$G489)=4500,$E489="Enerji Açığı"),4500*1.05*1.06*BK489,IF(AND(BK489&lt;0,MAX($F489:$G489)=4500,$E489="Enerji Fazlası"),4500*1.05*1.03*BK489,IF(AND(BK489&lt;0,$E489="Enerji Açığı"),MAX($F489,$G489,150)*BK489*1.06,IF(AND(BK489&lt;0,$E489="Enerji Fazlası"),MAX($F489,$G489,150)*BK489*1.03,IF(AND(BK489&lt;0,$E489="Dengede"),MAX($F489:$G489,150)*1.03*BK489,MIN($F489:$G489)*0.97*BK489)))))))))</f>
        <v/>
      </c>
      <c r="BM489" s="34">
        <f>BE489-BI489-BN489</f>
        <v/>
      </c>
      <c r="BN489" s="34">
        <f>BB489</f>
        <v/>
      </c>
      <c r="BO489" s="34">
        <f>BE489-BI489</f>
        <v/>
      </c>
      <c r="BP489" s="34">
        <f>IF(AY489=0,0,BO489/AY489)</f>
        <v/>
      </c>
      <c r="BQ489" s="34">
        <f>MAX((AY489+MAX((-J489+L489-N489+Q489),0)),(MAX((J489-L489+N489-Q489),0)))</f>
        <v/>
      </c>
      <c r="BR489" s="82">
        <f>IFERROR(ABS(BK489/BQ489),0)</f>
        <v/>
      </c>
      <c r="BS489" s="34">
        <f>IF(BR489&lt;=0.1,0,BK489/BR489*(BR489-0.1))</f>
        <v/>
      </c>
      <c r="BT489" s="34">
        <f>IF((BS489)&lt;0,MAX(F489:G489)*(BS489)*1.03,MIN(F489:G489)*(BS489)*0.97)</f>
        <v/>
      </c>
      <c r="BU489" s="34">
        <f>IF(BR489&gt;0.1,1,0)</f>
        <v/>
      </c>
      <c r="BV489" s="34">
        <f>BF489+BG489+BH489+BY489-CA489</f>
        <v/>
      </c>
      <c r="BW489" s="34">
        <f>ABS(BX489)</f>
        <v/>
      </c>
      <c r="BX489" s="34">
        <f>AY489-(J489-L489+N489-Q489+T489-X489)</f>
        <v/>
      </c>
      <c r="BY489" s="34">
        <f>IF(AND(BX489&gt;0,MIN($F489:$G489)&lt;150,$E489="Enerji Açığı"),-100*BX489*1.03,IF(AND(BX489&gt;0,MIN($F489:$G489)&lt;150,$E489="Enerji Fazlası"),-100*BX489*1.06,IF(AND(BX489&gt;0,MIN($F489:$G489)&gt;=150,$E489="Enerji Açığı"),BX489*MIN($F489:$G489)*0.97,IF(AND(BX489&gt;0,MIN($F489:$G489)&gt;=150,$E489="Enerji Fazlası"),BX489*MIN($F489:$G489)*0.94,IF(AND(BX489&lt;0,MAX($F489:$G489)=4500,$E489="Enerji Açığı"),4500*1.05*1.06*BX489,IF(AND(BX489&lt;0,MAX($F489:$G489)=4500,$E489="Enerji Fazlası"),4500*1.05*1.03*BX489,IF(AND(BX489&lt;0,$E489="Enerji Açığı"),MAX($F489,$G489,150)*BX489*1.06,IF(AND(BX489&lt;0,$E489="Enerji Fazlası"),MAX($F489,$G489,150)*BX489*1.03,IF(AND(BX489&lt;0,$E489="Dengede"),MAX($F489:$G489,150)*1.03*BX489,MIN($F489:$G489)*0.97*BX489)))))))))</f>
        <v/>
      </c>
      <c r="BZ489" s="34">
        <f>BE489-BV489-CA489</f>
        <v/>
      </c>
      <c r="CA489" s="34">
        <f>BD489</f>
        <v/>
      </c>
      <c r="CB489" s="33">
        <f>BE489-BV489</f>
        <v/>
      </c>
      <c r="CC489" s="34">
        <f>IF(AY489=0,0,CB489/AY489)</f>
        <v/>
      </c>
      <c r="CD489" s="34">
        <f>MAX((AY489+MAX((-J489+L489-N489+Q489-T489+X489),0)),(MAX((J489-L489+N489-Q489+T489-X489),0)))</f>
        <v/>
      </c>
      <c r="CE489" s="82">
        <f>IFERROR(ABS(BX489/CD489),0)</f>
        <v/>
      </c>
      <c r="CF489" s="34">
        <f>IF(CE489&lt;=0.1,0,BX489/CE489*(CE489-0.1))</f>
        <v/>
      </c>
      <c r="CG489" s="34">
        <f>IF((CF489)&lt;0,MAX(F489:G489)*(CF489)*1.03,MIN(F489:G489)*(CF489)*0.97)</f>
        <v/>
      </c>
      <c r="CH489" s="34">
        <f>IF(CE489&gt;0.1,1,0)</f>
        <v/>
      </c>
      <c r="CI489" s="34">
        <f>(F489*BX489)-BY489</f>
        <v/>
      </c>
      <c r="CJ489" s="34">
        <f>IF(AY489=0,0,CI489/AY489)</f>
        <v/>
      </c>
    </row>
    <row r="490">
      <c r="A490" s="29">
        <f>[1]FİYATLAR!A465</f>
        <v/>
      </c>
      <c r="B490" s="29">
        <f>[1]FİYATLAR!B465</f>
        <v/>
      </c>
      <c r="C490" s="35">
        <f>INT(A490)</f>
        <v/>
      </c>
      <c r="D490" s="36">
        <f>MONTH(A490)</f>
        <v/>
      </c>
      <c r="E490" s="147">
        <f>[1]FİYATLAR!G465</f>
        <v/>
      </c>
      <c r="F490" s="30">
        <f>[1]FİYATLAR!C465</f>
        <v/>
      </c>
      <c r="G490" s="30">
        <f>[1]FİYATLAR!E465</f>
        <v/>
      </c>
      <c r="H490" s="30">
        <f>[1]FİYATLAR!D465</f>
        <v/>
      </c>
      <c r="I490" s="30">
        <f>[1]FİYATLAR!F465</f>
        <v/>
      </c>
      <c r="J490" s="119" t="n">
        <v>0</v>
      </c>
      <c r="K490" s="34">
        <f>F490*J490</f>
        <v/>
      </c>
      <c r="L490" s="119" t="n"/>
      <c r="M490" s="34">
        <f>L490*F490</f>
        <v/>
      </c>
      <c r="N490" s="119" t="n"/>
      <c r="O490" s="34">
        <f>F490</f>
        <v/>
      </c>
      <c r="P490" s="34">
        <f>N490*O490</f>
        <v/>
      </c>
      <c r="Q490" s="117" t="n">
        <v>0</v>
      </c>
      <c r="R490" s="34">
        <f>F490</f>
        <v/>
      </c>
      <c r="S490" s="34">
        <f>R490*Q490</f>
        <v/>
      </c>
      <c r="T490" s="34">
        <f>SUMIFS('[1]GİP VERİLERİ'!$C:$C,'[1]GİP VERİLERİ'!$B:$B,A490,'[1]GİP VERİLERİ'!$M:$M,"40X000000104782K",'[1]GİP VERİLERİ'!$G:$G,"SELL")</f>
        <v/>
      </c>
      <c r="U490" s="34">
        <f>IFERROR(W490/T490,0)</f>
        <v/>
      </c>
      <c r="V490" s="34">
        <f>IF(U490=0,0,U490-F490)</f>
        <v/>
      </c>
      <c r="W490" s="34">
        <f>SUMIFS('[1]GİP VERİLERİ'!$O:$O,'[1]GİP VERİLERİ'!$B:$B,A490,'[1]GİP VERİLERİ'!$M:$M,"40X000000104782K",'[1]GİP VERİLERİ'!$G:$G,"SELL")</f>
        <v/>
      </c>
      <c r="X490" s="34">
        <f>SUMIFS('[1]GİP VERİLERİ'!$C:$C,'[1]GİP VERİLERİ'!$B:$B,A490,'[1]GİP VERİLERİ'!$M:$M,"40X000000104782K",'[1]GİP VERİLERİ'!$G:$G,"BUY")</f>
        <v/>
      </c>
      <c r="Y490" s="34">
        <f>IFERROR(AA490/X490,0)</f>
        <v/>
      </c>
      <c r="Z490" s="34">
        <f>IF(Y490=0,0,F490-Y490)</f>
        <v/>
      </c>
      <c r="AA490" s="34">
        <f>SUMIFS('[1]GİP VERİLERİ'!$O:$O,'[1]GİP VERİLERİ'!$B:$B,A490,'[1]GİP VERİLERİ'!$M:$M,"40X000000104782K",'[1]GİP VERİLERİ'!$G:$G,"BUY")</f>
        <v/>
      </c>
      <c r="AB490" s="34">
        <f>'[1]GÖP VERİLERİ'!H491</f>
        <v/>
      </c>
      <c r="AC490" s="34">
        <f>'[1]GÖP VERİLERİ'!I491</f>
        <v/>
      </c>
      <c r="AD490" s="34">
        <f>IF(AB490&gt;AC490*1.05,AB490-AC490*1.05,IF(AB490&lt;AC490*0.95,AC490*0.95-AB490,0))</f>
        <v/>
      </c>
      <c r="AE490" s="34">
        <f>MAX(F490,G490,750)*0.05*AD490</f>
        <v/>
      </c>
      <c r="AF490" s="34">
        <f>'[1]GÖP VERİLERİ'!J491</f>
        <v/>
      </c>
      <c r="AG490" s="34">
        <f>IF(AB490&gt;AF490*1.05,AB490-AF490*1.05,IF(AB490&lt;AF490*0.95,AF490*0.95-AB490,0))</f>
        <v/>
      </c>
      <c r="AH490" s="34">
        <f>MAX(I490,J490,750)*0.05*AG490</f>
        <v/>
      </c>
      <c r="AI490">
        <f>'[1]GÖP VERİLERİ'!E491</f>
        <v/>
      </c>
      <c r="AJ490">
        <f>'[1]GÖP VERİLERİ'!F491</f>
        <v/>
      </c>
      <c r="AK490" s="34">
        <f>IF(AI490&gt;AJ490*1.05,AI490-AJ490*1.05,IF(AI490&lt;AJ490*0.95,AJ490*0.95-AI490,0))</f>
        <v/>
      </c>
      <c r="AL490" s="34">
        <f>MAX(F490,G490,750)*0.05*AK490</f>
        <v/>
      </c>
      <c r="AM490" s="39">
        <f>'[1]GÖP VERİLERİ'!G491</f>
        <v/>
      </c>
      <c r="AN490" s="34">
        <f>IF(AI490&gt;AM490*1.05,AI490-AM490*1.05,IF(AI490&lt;AM490*0.95,AM490*0.95-AI490,0))</f>
        <v/>
      </c>
      <c r="AO490" s="34">
        <f>MAX(F490,G490,750)*0.05*AN490</f>
        <v/>
      </c>
      <c r="AP490" s="34">
        <f>'[1]GÖP VERİLERİ'!B491</f>
        <v/>
      </c>
      <c r="AQ490" s="34">
        <f>'[1]GÖP VERİLERİ'!C491</f>
        <v/>
      </c>
      <c r="AR490" s="34">
        <f>IF(AP490&gt;AQ490*1.05,AP490-AQ490*1.05,IF(AP490&lt;AQ490*0.95,AQ490*0.95-AP490,0))</f>
        <v/>
      </c>
      <c r="AS490" s="34">
        <f>MAX(F490:G490,750)*0.05*AR490</f>
        <v/>
      </c>
      <c r="AT490">
        <f>'[1]GÖP VERİLERİ'!D491</f>
        <v/>
      </c>
      <c r="AU490" s="34">
        <f>IF(AP490&gt;AT490*1.05,AP490-AT490*1.05,IF(AP490&lt;AT490*0.95,AT490*0.95-AP490,0))</f>
        <v/>
      </c>
      <c r="AV490" s="34">
        <f>MAX(F490:G490,750)*0.05*AU490</f>
        <v/>
      </c>
      <c r="AW490" s="34">
        <f>AC490+AJ490+AQ490</f>
        <v/>
      </c>
      <c r="AX490" s="34">
        <f>AF490+AM490+AT490</f>
        <v/>
      </c>
      <c r="AY490" s="34">
        <f>AB490+AI490+AP490</f>
        <v/>
      </c>
      <c r="AZ490" s="34" t="n">
        <v>0</v>
      </c>
      <c r="BA490" s="34">
        <f>AD490+AK490+AR490</f>
        <v/>
      </c>
      <c r="BB490" s="34">
        <f>MAX(F490:G490,750)*0.05*BA490</f>
        <v/>
      </c>
      <c r="BC490" s="34">
        <f>AG490+AN490+AU490</f>
        <v/>
      </c>
      <c r="BD490" s="34">
        <f>MAX(F490:G490,750)*0.05*BC490</f>
        <v/>
      </c>
      <c r="BE490" s="34">
        <f>F490*AY490</f>
        <v/>
      </c>
      <c r="BF490" s="34">
        <f>K490-M490</f>
        <v/>
      </c>
      <c r="BG490" s="34">
        <f>P490-S490</f>
        <v/>
      </c>
      <c r="BH490" s="34">
        <f>W490-AA490</f>
        <v/>
      </c>
      <c r="BI490" s="34">
        <f>BF490+BG490+BL490-BN490</f>
        <v/>
      </c>
      <c r="BJ490" s="34">
        <f>ABS(BK490)</f>
        <v/>
      </c>
      <c r="BK490" s="34">
        <f>AY490-(J490-L490+N490-Q490)</f>
        <v/>
      </c>
      <c r="BL490" s="34">
        <f>IF(AND(BK490&gt;0,MIN($F490:$G490)&lt;150,$E490="Enerji Açığı"),-100*BK490*1.03,IF(AND(BK490&gt;0,MIN($F490:$G490)&lt;150,$E490="Enerji Fazlası"),-100*BK490*1.06,IF(AND(BK490&gt;0,MIN($F490:$G490)&gt;=150,$E490="Enerji Açığı"),BK490*MIN($F490:$G490)*0.97,IF(AND(BK490&gt;0,MIN($F490:$G490)&gt;=150,$E490="Enerji Fazlası"),BK490*MIN($F490:$G490)*0.94,IF(AND(BK490&lt;0,MAX($F490:$G490)=4500,$E490="Enerji Açığı"),4500*1.05*1.06*BK490,IF(AND(BK490&lt;0,MAX($F490:$G490)=4500,$E490="Enerji Fazlası"),4500*1.05*1.03*BK490,IF(AND(BK490&lt;0,$E490="Enerji Açığı"),MAX($F490,$G490,150)*BK490*1.06,IF(AND(BK490&lt;0,$E490="Enerji Fazlası"),MAX($F490,$G490,150)*BK490*1.03,IF(AND(BK490&lt;0,$E490="Dengede"),MAX($F490:$G490,150)*1.03*BK490,MIN($F490:$G490)*0.97*BK490)))))))))</f>
        <v/>
      </c>
      <c r="BM490" s="34">
        <f>BE490-BI490-BN490</f>
        <v/>
      </c>
      <c r="BN490" s="34">
        <f>BB490</f>
        <v/>
      </c>
      <c r="BO490" s="34">
        <f>BE490-BI490</f>
        <v/>
      </c>
      <c r="BP490" s="34">
        <f>IF(AY490=0,0,BO490/AY490)</f>
        <v/>
      </c>
      <c r="BQ490" s="34">
        <f>MAX((AY490+MAX((-J490+L490-N490+Q490),0)),(MAX((J490-L490+N490-Q490),0)))</f>
        <v/>
      </c>
      <c r="BR490" s="82">
        <f>IFERROR(ABS(BK490/BQ490),0)</f>
        <v/>
      </c>
      <c r="BS490" s="34">
        <f>IF(BR490&lt;=0.1,0,BK490/BR490*(BR490-0.1))</f>
        <v/>
      </c>
      <c r="BT490" s="34">
        <f>IF((BS490)&lt;0,MAX(F490:G490)*(BS490)*1.03,MIN(F490:G490)*(BS490)*0.97)</f>
        <v/>
      </c>
      <c r="BU490" s="34">
        <f>IF(BR490&gt;0.1,1,0)</f>
        <v/>
      </c>
      <c r="BV490" s="34">
        <f>BF490+BG490+BH490+BY490-CA490</f>
        <v/>
      </c>
      <c r="BW490" s="34">
        <f>ABS(BX490)</f>
        <v/>
      </c>
      <c r="BX490" s="34">
        <f>AY490-(J490-L490+N490-Q490+T490-X490)</f>
        <v/>
      </c>
      <c r="BY490" s="34">
        <f>IF(AND(BX490&gt;0,MIN($F490:$G490)&lt;150,$E490="Enerji Açığı"),-100*BX490*1.03,IF(AND(BX490&gt;0,MIN($F490:$G490)&lt;150,$E490="Enerji Fazlası"),-100*BX490*1.06,IF(AND(BX490&gt;0,MIN($F490:$G490)&gt;=150,$E490="Enerji Açığı"),BX490*MIN($F490:$G490)*0.97,IF(AND(BX490&gt;0,MIN($F490:$G490)&gt;=150,$E490="Enerji Fazlası"),BX490*MIN($F490:$G490)*0.94,IF(AND(BX490&lt;0,MAX($F490:$G490)=4500,$E490="Enerji Açığı"),4500*1.05*1.06*BX490,IF(AND(BX490&lt;0,MAX($F490:$G490)=4500,$E490="Enerji Fazlası"),4500*1.05*1.03*BX490,IF(AND(BX490&lt;0,$E490="Enerji Açığı"),MAX($F490,$G490,150)*BX490*1.06,IF(AND(BX490&lt;0,$E490="Enerji Fazlası"),MAX($F490,$G490,150)*BX490*1.03,IF(AND(BX490&lt;0,$E490="Dengede"),MAX($F490:$G490,150)*1.03*BX490,MIN($F490:$G490)*0.97*BX490)))))))))</f>
        <v/>
      </c>
      <c r="BZ490" s="34">
        <f>BE490-BV490-CA490</f>
        <v/>
      </c>
      <c r="CA490" s="34">
        <f>BD490</f>
        <v/>
      </c>
      <c r="CB490" s="33">
        <f>BE490-BV490</f>
        <v/>
      </c>
      <c r="CC490" s="34">
        <f>IF(AY490=0,0,CB490/AY490)</f>
        <v/>
      </c>
      <c r="CD490" s="34">
        <f>MAX((AY490+MAX((-J490+L490-N490+Q490-T490+X490),0)),(MAX((J490-L490+N490-Q490+T490-X490),0)))</f>
        <v/>
      </c>
      <c r="CE490" s="82">
        <f>IFERROR(ABS(BX490/CD490),0)</f>
        <v/>
      </c>
      <c r="CF490" s="34">
        <f>IF(CE490&lt;=0.1,0,BX490/CE490*(CE490-0.1))</f>
        <v/>
      </c>
      <c r="CG490" s="34">
        <f>IF((CF490)&lt;0,MAX(F490:G490)*(CF490)*1.03,MIN(F490:G490)*(CF490)*0.97)</f>
        <v/>
      </c>
      <c r="CH490" s="34">
        <f>IF(CE490&gt;0.1,1,0)</f>
        <v/>
      </c>
      <c r="CI490" s="34">
        <f>(F490*BX490)-BY490</f>
        <v/>
      </c>
      <c r="CJ490" s="34">
        <f>IF(AY490=0,0,CI490/AY490)</f>
        <v/>
      </c>
    </row>
    <row r="491">
      <c r="A491" s="29">
        <f>[1]FİYATLAR!A466</f>
        <v/>
      </c>
      <c r="B491" s="29">
        <f>[1]FİYATLAR!B466</f>
        <v/>
      </c>
      <c r="C491" s="35">
        <f>INT(A491)</f>
        <v/>
      </c>
      <c r="D491" s="36">
        <f>MONTH(A491)</f>
        <v/>
      </c>
      <c r="E491" s="147">
        <f>[1]FİYATLAR!G466</f>
        <v/>
      </c>
      <c r="F491" s="30">
        <f>[1]FİYATLAR!C466</f>
        <v/>
      </c>
      <c r="G491" s="30">
        <f>[1]FİYATLAR!E466</f>
        <v/>
      </c>
      <c r="H491" s="30">
        <f>[1]FİYATLAR!D466</f>
        <v/>
      </c>
      <c r="I491" s="30">
        <f>[1]FİYATLAR!F466</f>
        <v/>
      </c>
      <c r="J491" s="119" t="n">
        <v>0</v>
      </c>
      <c r="K491" s="34">
        <f>F491*J491</f>
        <v/>
      </c>
      <c r="L491" s="119" t="n"/>
      <c r="M491" s="34">
        <f>L491*F491</f>
        <v/>
      </c>
      <c r="N491" s="119" t="n"/>
      <c r="O491" s="34">
        <f>F491</f>
        <v/>
      </c>
      <c r="P491" s="34">
        <f>N491*O491</f>
        <v/>
      </c>
      <c r="Q491" s="117" t="n">
        <v>0</v>
      </c>
      <c r="R491" s="34">
        <f>F491</f>
        <v/>
      </c>
      <c r="S491" s="34">
        <f>R491*Q491</f>
        <v/>
      </c>
      <c r="T491" s="34">
        <f>SUMIFS('[1]GİP VERİLERİ'!$C:$C,'[1]GİP VERİLERİ'!$B:$B,A491,'[1]GİP VERİLERİ'!$M:$M,"40X000000104782K",'[1]GİP VERİLERİ'!$G:$G,"SELL")</f>
        <v/>
      </c>
      <c r="U491" s="34">
        <f>IFERROR(W491/T491,0)</f>
        <v/>
      </c>
      <c r="V491" s="34">
        <f>IF(U491=0,0,U491-F491)</f>
        <v/>
      </c>
      <c r="W491" s="34">
        <f>SUMIFS('[1]GİP VERİLERİ'!$O:$O,'[1]GİP VERİLERİ'!$B:$B,A491,'[1]GİP VERİLERİ'!$M:$M,"40X000000104782K",'[1]GİP VERİLERİ'!$G:$G,"SELL")</f>
        <v/>
      </c>
      <c r="X491" s="34">
        <f>SUMIFS('[1]GİP VERİLERİ'!$C:$C,'[1]GİP VERİLERİ'!$B:$B,A491,'[1]GİP VERİLERİ'!$M:$M,"40X000000104782K",'[1]GİP VERİLERİ'!$G:$G,"BUY")</f>
        <v/>
      </c>
      <c r="Y491" s="34">
        <f>IFERROR(AA491/X491,0)</f>
        <v/>
      </c>
      <c r="Z491" s="34">
        <f>IF(Y491=0,0,F491-Y491)</f>
        <v/>
      </c>
      <c r="AA491" s="34">
        <f>SUMIFS('[1]GİP VERİLERİ'!$O:$O,'[1]GİP VERİLERİ'!$B:$B,A491,'[1]GİP VERİLERİ'!$M:$M,"40X000000104782K",'[1]GİP VERİLERİ'!$G:$G,"BUY")</f>
        <v/>
      </c>
      <c r="AB491" s="34">
        <f>'[1]GÖP VERİLERİ'!H492</f>
        <v/>
      </c>
      <c r="AC491" s="34">
        <f>'[1]GÖP VERİLERİ'!I492</f>
        <v/>
      </c>
      <c r="AD491" s="34">
        <f>IF(AB491&gt;AC491*1.05,AB491-AC491*1.05,IF(AB491&lt;AC491*0.95,AC491*0.95-AB491,0))</f>
        <v/>
      </c>
      <c r="AE491" s="34">
        <f>MAX(F491,G491,750)*0.05*AD491</f>
        <v/>
      </c>
      <c r="AF491" s="34">
        <f>'[1]GÖP VERİLERİ'!J492</f>
        <v/>
      </c>
      <c r="AG491" s="34">
        <f>IF(AB491&gt;AF491*1.05,AB491-AF491*1.05,IF(AB491&lt;AF491*0.95,AF491*0.95-AB491,0))</f>
        <v/>
      </c>
      <c r="AH491" s="34">
        <f>MAX(I491,J491,750)*0.05*AG491</f>
        <v/>
      </c>
      <c r="AI491">
        <f>'[1]GÖP VERİLERİ'!E492</f>
        <v/>
      </c>
      <c r="AJ491">
        <f>'[1]GÖP VERİLERİ'!F492</f>
        <v/>
      </c>
      <c r="AK491" s="34">
        <f>IF(AI491&gt;AJ491*1.05,AI491-AJ491*1.05,IF(AI491&lt;AJ491*0.95,AJ491*0.95-AI491,0))</f>
        <v/>
      </c>
      <c r="AL491" s="34">
        <f>MAX(F491,G491,750)*0.05*AK491</f>
        <v/>
      </c>
      <c r="AM491" s="39">
        <f>'[1]GÖP VERİLERİ'!G492</f>
        <v/>
      </c>
      <c r="AN491" s="34">
        <f>IF(AI491&gt;AM491*1.05,AI491-AM491*1.05,IF(AI491&lt;AM491*0.95,AM491*0.95-AI491,0))</f>
        <v/>
      </c>
      <c r="AO491" s="34">
        <f>MAX(F491,G491,750)*0.05*AN491</f>
        <v/>
      </c>
      <c r="AP491" s="34">
        <f>'[1]GÖP VERİLERİ'!B492</f>
        <v/>
      </c>
      <c r="AQ491" s="34">
        <f>'[1]GÖP VERİLERİ'!C492</f>
        <v/>
      </c>
      <c r="AR491" s="34">
        <f>IF(AP491&gt;AQ491*1.05,AP491-AQ491*1.05,IF(AP491&lt;AQ491*0.95,AQ491*0.95-AP491,0))</f>
        <v/>
      </c>
      <c r="AS491" s="34">
        <f>MAX(F491:G491,750)*0.05*AR491</f>
        <v/>
      </c>
      <c r="AT491">
        <f>'[1]GÖP VERİLERİ'!D492</f>
        <v/>
      </c>
      <c r="AU491" s="34">
        <f>IF(AP491&gt;AT491*1.05,AP491-AT491*1.05,IF(AP491&lt;AT491*0.95,AT491*0.95-AP491,0))</f>
        <v/>
      </c>
      <c r="AV491" s="34">
        <f>MAX(F491:G491,750)*0.05*AU491</f>
        <v/>
      </c>
      <c r="AW491" s="34">
        <f>AC491+AJ491+AQ491</f>
        <v/>
      </c>
      <c r="AX491" s="34">
        <f>AF491+AM491+AT491</f>
        <v/>
      </c>
      <c r="AY491" s="34">
        <f>AB491+AI491+AP491</f>
        <v/>
      </c>
      <c r="AZ491" s="34" t="n">
        <v>0</v>
      </c>
      <c r="BA491" s="34">
        <f>AD491+AK491+AR491</f>
        <v/>
      </c>
      <c r="BB491" s="34">
        <f>MAX(F491:G491,750)*0.05*BA491</f>
        <v/>
      </c>
      <c r="BC491" s="34">
        <f>AG491+AN491+AU491</f>
        <v/>
      </c>
      <c r="BD491" s="34">
        <f>MAX(F491:G491,750)*0.05*BC491</f>
        <v/>
      </c>
      <c r="BE491" s="34">
        <f>F491*AY491</f>
        <v/>
      </c>
      <c r="BF491" s="34">
        <f>K491-M491</f>
        <v/>
      </c>
      <c r="BG491" s="34">
        <f>P491-S491</f>
        <v/>
      </c>
      <c r="BH491" s="34">
        <f>W491-AA491</f>
        <v/>
      </c>
      <c r="BI491" s="34">
        <f>BF491+BG491+BL491-BN491</f>
        <v/>
      </c>
      <c r="BJ491" s="34">
        <f>ABS(BK491)</f>
        <v/>
      </c>
      <c r="BK491" s="34">
        <f>AY491-(J491-L491+N491-Q491)</f>
        <v/>
      </c>
      <c r="BL491" s="34">
        <f>IF(AND(BK491&gt;0,MIN($F491:$G491)&lt;150,$E491="Enerji Açığı"),-100*BK491*1.03,IF(AND(BK491&gt;0,MIN($F491:$G491)&lt;150,$E491="Enerji Fazlası"),-100*BK491*1.06,IF(AND(BK491&gt;0,MIN($F491:$G491)&gt;=150,$E491="Enerji Açığı"),BK491*MIN($F491:$G491)*0.97,IF(AND(BK491&gt;0,MIN($F491:$G491)&gt;=150,$E491="Enerji Fazlası"),BK491*MIN($F491:$G491)*0.94,IF(AND(BK491&lt;0,MAX($F491:$G491)=4500,$E491="Enerji Açığı"),4500*1.05*1.06*BK491,IF(AND(BK491&lt;0,MAX($F491:$G491)=4500,$E491="Enerji Fazlası"),4500*1.05*1.03*BK491,IF(AND(BK491&lt;0,$E491="Enerji Açığı"),MAX($F491,$G491,150)*BK491*1.06,IF(AND(BK491&lt;0,$E491="Enerji Fazlası"),MAX($F491,$G491,150)*BK491*1.03,IF(AND(BK491&lt;0,$E491="Dengede"),MAX($F491:$G491,150)*1.03*BK491,MIN($F491:$G491)*0.97*BK491)))))))))</f>
        <v/>
      </c>
      <c r="BM491" s="34">
        <f>BE491-BI491-BN491</f>
        <v/>
      </c>
      <c r="BN491" s="34">
        <f>BB491</f>
        <v/>
      </c>
      <c r="BO491" s="34">
        <f>BE491-BI491</f>
        <v/>
      </c>
      <c r="BP491" s="34">
        <f>IF(AY491=0,0,BO491/AY491)</f>
        <v/>
      </c>
      <c r="BQ491" s="34">
        <f>MAX((AY491+MAX((-J491+L491-N491+Q491),0)),(MAX((J491-L491+N491-Q491),0)))</f>
        <v/>
      </c>
      <c r="BR491" s="82">
        <f>IFERROR(ABS(BK491/BQ491),0)</f>
        <v/>
      </c>
      <c r="BS491" s="34">
        <f>IF(BR491&lt;=0.1,0,BK491/BR491*(BR491-0.1))</f>
        <v/>
      </c>
      <c r="BT491" s="34">
        <f>IF((BS491)&lt;0,MAX(F491:G491)*(BS491)*1.03,MIN(F491:G491)*(BS491)*0.97)</f>
        <v/>
      </c>
      <c r="BU491" s="34">
        <f>IF(BR491&gt;0.1,1,0)</f>
        <v/>
      </c>
      <c r="BV491" s="34">
        <f>BF491+BG491+BH491+BY491-CA491</f>
        <v/>
      </c>
      <c r="BW491" s="34">
        <f>ABS(BX491)</f>
        <v/>
      </c>
      <c r="BX491" s="34">
        <f>AY491-(J491-L491+N491-Q491+T491-X491)</f>
        <v/>
      </c>
      <c r="BY491" s="34">
        <f>IF(AND(BX491&gt;0,MIN($F491:$G491)&lt;150,$E491="Enerji Açığı"),-100*BX491*1.03,IF(AND(BX491&gt;0,MIN($F491:$G491)&lt;150,$E491="Enerji Fazlası"),-100*BX491*1.06,IF(AND(BX491&gt;0,MIN($F491:$G491)&gt;=150,$E491="Enerji Açığı"),BX491*MIN($F491:$G491)*0.97,IF(AND(BX491&gt;0,MIN($F491:$G491)&gt;=150,$E491="Enerji Fazlası"),BX491*MIN($F491:$G491)*0.94,IF(AND(BX491&lt;0,MAX($F491:$G491)=4500,$E491="Enerji Açığı"),4500*1.05*1.06*BX491,IF(AND(BX491&lt;0,MAX($F491:$G491)=4500,$E491="Enerji Fazlası"),4500*1.05*1.03*BX491,IF(AND(BX491&lt;0,$E491="Enerji Açığı"),MAX($F491,$G491,150)*BX491*1.06,IF(AND(BX491&lt;0,$E491="Enerji Fazlası"),MAX($F491,$G491,150)*BX491*1.03,IF(AND(BX491&lt;0,$E491="Dengede"),MAX($F491:$G491,150)*1.03*BX491,MIN($F491:$G491)*0.97*BX491)))))))))</f>
        <v/>
      </c>
      <c r="BZ491" s="34">
        <f>BE491-BV491-CA491</f>
        <v/>
      </c>
      <c r="CA491" s="34">
        <f>BD491</f>
        <v/>
      </c>
      <c r="CB491" s="33">
        <f>BE491-BV491</f>
        <v/>
      </c>
      <c r="CC491" s="34">
        <f>IF(AY491=0,0,CB491/AY491)</f>
        <v/>
      </c>
      <c r="CD491" s="34">
        <f>MAX((AY491+MAX((-J491+L491-N491+Q491-T491+X491),0)),(MAX((J491-L491+N491-Q491+T491-X491),0)))</f>
        <v/>
      </c>
      <c r="CE491" s="82">
        <f>IFERROR(ABS(BX491/CD491),0)</f>
        <v/>
      </c>
      <c r="CF491" s="34">
        <f>IF(CE491&lt;=0.1,0,BX491/CE491*(CE491-0.1))</f>
        <v/>
      </c>
      <c r="CG491" s="34">
        <f>IF((CF491)&lt;0,MAX(F491:G491)*(CF491)*1.03,MIN(F491:G491)*(CF491)*0.97)</f>
        <v/>
      </c>
      <c r="CH491" s="34">
        <f>IF(CE491&gt;0.1,1,0)</f>
        <v/>
      </c>
      <c r="CI491" s="34">
        <f>(F491*BX491)-BY491</f>
        <v/>
      </c>
      <c r="CJ491" s="34">
        <f>IF(AY491=0,0,CI491/AY491)</f>
        <v/>
      </c>
    </row>
    <row r="492">
      <c r="A492" s="29">
        <f>[1]FİYATLAR!A467</f>
        <v/>
      </c>
      <c r="B492" s="29">
        <f>[1]FİYATLAR!B467</f>
        <v/>
      </c>
      <c r="C492" s="35">
        <f>INT(A492)</f>
        <v/>
      </c>
      <c r="D492" s="36">
        <f>MONTH(A492)</f>
        <v/>
      </c>
      <c r="E492" s="147">
        <f>[1]FİYATLAR!G467</f>
        <v/>
      </c>
      <c r="F492" s="30">
        <f>[1]FİYATLAR!C467</f>
        <v/>
      </c>
      <c r="G492" s="30">
        <f>[1]FİYATLAR!E467</f>
        <v/>
      </c>
      <c r="H492" s="30">
        <f>[1]FİYATLAR!D467</f>
        <v/>
      </c>
      <c r="I492" s="30">
        <f>[1]FİYATLAR!F467</f>
        <v/>
      </c>
      <c r="J492" s="119" t="n">
        <v>0</v>
      </c>
      <c r="K492" s="34">
        <f>F492*J492</f>
        <v/>
      </c>
      <c r="L492" s="119" t="n"/>
      <c r="M492" s="34">
        <f>L492*F492</f>
        <v/>
      </c>
      <c r="N492" s="119" t="n"/>
      <c r="O492" s="34">
        <f>F492</f>
        <v/>
      </c>
      <c r="P492" s="34">
        <f>N492*O492</f>
        <v/>
      </c>
      <c r="Q492" s="117" t="n">
        <v>0</v>
      </c>
      <c r="R492" s="34">
        <f>F492</f>
        <v/>
      </c>
      <c r="S492" s="34">
        <f>R492*Q492</f>
        <v/>
      </c>
      <c r="T492" s="34">
        <f>SUMIFS('[1]GİP VERİLERİ'!$C:$C,'[1]GİP VERİLERİ'!$B:$B,A492,'[1]GİP VERİLERİ'!$M:$M,"40X000000104782K",'[1]GİP VERİLERİ'!$G:$G,"SELL")</f>
        <v/>
      </c>
      <c r="U492" s="34">
        <f>IFERROR(W492/T492,0)</f>
        <v/>
      </c>
      <c r="V492" s="34">
        <f>IF(U492=0,0,U492-F492)</f>
        <v/>
      </c>
      <c r="W492" s="34">
        <f>SUMIFS('[1]GİP VERİLERİ'!$O:$O,'[1]GİP VERİLERİ'!$B:$B,A492,'[1]GİP VERİLERİ'!$M:$M,"40X000000104782K",'[1]GİP VERİLERİ'!$G:$G,"SELL")</f>
        <v/>
      </c>
      <c r="X492" s="34">
        <f>SUMIFS('[1]GİP VERİLERİ'!$C:$C,'[1]GİP VERİLERİ'!$B:$B,A492,'[1]GİP VERİLERİ'!$M:$M,"40X000000104782K",'[1]GİP VERİLERİ'!$G:$G,"BUY")</f>
        <v/>
      </c>
      <c r="Y492" s="34">
        <f>IFERROR(AA492/X492,0)</f>
        <v/>
      </c>
      <c r="Z492" s="34">
        <f>IF(Y492=0,0,F492-Y492)</f>
        <v/>
      </c>
      <c r="AA492" s="34">
        <f>SUMIFS('[1]GİP VERİLERİ'!$O:$O,'[1]GİP VERİLERİ'!$B:$B,A492,'[1]GİP VERİLERİ'!$M:$M,"40X000000104782K",'[1]GİP VERİLERİ'!$G:$G,"BUY")</f>
        <v/>
      </c>
      <c r="AB492" s="34">
        <f>'[1]GÖP VERİLERİ'!H493</f>
        <v/>
      </c>
      <c r="AC492" s="34">
        <f>'[1]GÖP VERİLERİ'!I493</f>
        <v/>
      </c>
      <c r="AD492" s="34">
        <f>IF(AB492&gt;AC492*1.05,AB492-AC492*1.05,IF(AB492&lt;AC492*0.95,AC492*0.95-AB492,0))</f>
        <v/>
      </c>
      <c r="AE492" s="34">
        <f>MAX(F492,G492,750)*0.05*AD492</f>
        <v/>
      </c>
      <c r="AF492" s="34">
        <f>'[1]GÖP VERİLERİ'!J493</f>
        <v/>
      </c>
      <c r="AG492" s="34">
        <f>IF(AB492&gt;AF492*1.05,AB492-AF492*1.05,IF(AB492&lt;AF492*0.95,AF492*0.95-AB492,0))</f>
        <v/>
      </c>
      <c r="AH492" s="34">
        <f>MAX(I492,J492,750)*0.05*AG492</f>
        <v/>
      </c>
      <c r="AI492">
        <f>'[1]GÖP VERİLERİ'!E493</f>
        <v/>
      </c>
      <c r="AJ492">
        <f>'[1]GÖP VERİLERİ'!F493</f>
        <v/>
      </c>
      <c r="AK492" s="34">
        <f>IF(AI492&gt;AJ492*1.05,AI492-AJ492*1.05,IF(AI492&lt;AJ492*0.95,AJ492*0.95-AI492,0))</f>
        <v/>
      </c>
      <c r="AL492" s="34">
        <f>MAX(F492,G492,750)*0.05*AK492</f>
        <v/>
      </c>
      <c r="AM492" s="39">
        <f>'[1]GÖP VERİLERİ'!G493</f>
        <v/>
      </c>
      <c r="AN492" s="34">
        <f>IF(AI492&gt;AM492*1.05,AI492-AM492*1.05,IF(AI492&lt;AM492*0.95,AM492*0.95-AI492,0))</f>
        <v/>
      </c>
      <c r="AO492" s="34">
        <f>MAX(F492,G492,750)*0.05*AN492</f>
        <v/>
      </c>
      <c r="AP492" s="34">
        <f>'[1]GÖP VERİLERİ'!B493</f>
        <v/>
      </c>
      <c r="AQ492" s="34">
        <f>'[1]GÖP VERİLERİ'!C493</f>
        <v/>
      </c>
      <c r="AR492" s="34">
        <f>IF(AP492&gt;AQ492*1.05,AP492-AQ492*1.05,IF(AP492&lt;AQ492*0.95,AQ492*0.95-AP492,0))</f>
        <v/>
      </c>
      <c r="AS492" s="34">
        <f>MAX(F492:G492,750)*0.05*AR492</f>
        <v/>
      </c>
      <c r="AT492">
        <f>'[1]GÖP VERİLERİ'!D493</f>
        <v/>
      </c>
      <c r="AU492" s="34">
        <f>IF(AP492&gt;AT492*1.05,AP492-AT492*1.05,IF(AP492&lt;AT492*0.95,AT492*0.95-AP492,0))</f>
        <v/>
      </c>
      <c r="AV492" s="34">
        <f>MAX(F492:G492,750)*0.05*AU492</f>
        <v/>
      </c>
      <c r="AW492" s="34">
        <f>AC492+AJ492+AQ492</f>
        <v/>
      </c>
      <c r="AX492" s="34">
        <f>AF492+AM492+AT492</f>
        <v/>
      </c>
      <c r="AY492" s="34">
        <f>AB492+AI492+AP492</f>
        <v/>
      </c>
      <c r="AZ492" s="34" t="n">
        <v>0</v>
      </c>
      <c r="BA492" s="34">
        <f>AD492+AK492+AR492</f>
        <v/>
      </c>
      <c r="BB492" s="34">
        <f>MAX(F492:G492,750)*0.05*BA492</f>
        <v/>
      </c>
      <c r="BC492" s="34">
        <f>AG492+AN492+AU492</f>
        <v/>
      </c>
      <c r="BD492" s="34">
        <f>MAX(F492:G492,750)*0.05*BC492</f>
        <v/>
      </c>
      <c r="BE492" s="34">
        <f>F492*AY492</f>
        <v/>
      </c>
      <c r="BF492" s="34">
        <f>K492-M492</f>
        <v/>
      </c>
      <c r="BG492" s="34">
        <f>P492-S492</f>
        <v/>
      </c>
      <c r="BH492" s="34">
        <f>W492-AA492</f>
        <v/>
      </c>
      <c r="BI492" s="34">
        <f>BF492+BG492+BL492-BN492</f>
        <v/>
      </c>
      <c r="BJ492" s="34">
        <f>ABS(BK492)</f>
        <v/>
      </c>
      <c r="BK492" s="34">
        <f>AY492-(J492-L492+N492-Q492)</f>
        <v/>
      </c>
      <c r="BL492" s="34">
        <f>IF(AND(BK492&gt;0,MIN($F492:$G492)&lt;150,$E492="Enerji Açığı"),-100*BK492*1.03,IF(AND(BK492&gt;0,MIN($F492:$G492)&lt;150,$E492="Enerji Fazlası"),-100*BK492*1.06,IF(AND(BK492&gt;0,MIN($F492:$G492)&gt;=150,$E492="Enerji Açığı"),BK492*MIN($F492:$G492)*0.97,IF(AND(BK492&gt;0,MIN($F492:$G492)&gt;=150,$E492="Enerji Fazlası"),BK492*MIN($F492:$G492)*0.94,IF(AND(BK492&lt;0,MAX($F492:$G492)=4500,$E492="Enerji Açığı"),4500*1.05*1.06*BK492,IF(AND(BK492&lt;0,MAX($F492:$G492)=4500,$E492="Enerji Fazlası"),4500*1.05*1.03*BK492,IF(AND(BK492&lt;0,$E492="Enerji Açığı"),MAX($F492,$G492,150)*BK492*1.06,IF(AND(BK492&lt;0,$E492="Enerji Fazlası"),MAX($F492,$G492,150)*BK492*1.03,IF(AND(BK492&lt;0,$E492="Dengede"),MAX($F492:$G492,150)*1.03*BK492,MIN($F492:$G492)*0.97*BK492)))))))))</f>
        <v/>
      </c>
      <c r="BM492" s="34">
        <f>BE492-BI492-BN492</f>
        <v/>
      </c>
      <c r="BN492" s="34">
        <f>BB492</f>
        <v/>
      </c>
      <c r="BO492" s="34">
        <f>BE492-BI492</f>
        <v/>
      </c>
      <c r="BP492" s="34">
        <f>IF(AY492=0,0,BO492/AY492)</f>
        <v/>
      </c>
      <c r="BQ492" s="34">
        <f>MAX((AY492+MAX((-J492+L492-N492+Q492),0)),(MAX((J492-L492+N492-Q492),0)))</f>
        <v/>
      </c>
      <c r="BR492" s="82">
        <f>IFERROR(ABS(BK492/BQ492),0)</f>
        <v/>
      </c>
      <c r="BS492" s="34">
        <f>IF(BR492&lt;=0.1,0,BK492/BR492*(BR492-0.1))</f>
        <v/>
      </c>
      <c r="BT492" s="34">
        <f>IF((BS492)&lt;0,MAX(F492:G492)*(BS492)*1.03,MIN(F492:G492)*(BS492)*0.97)</f>
        <v/>
      </c>
      <c r="BU492" s="34">
        <f>IF(BR492&gt;0.1,1,0)</f>
        <v/>
      </c>
      <c r="BV492" s="34">
        <f>BF492+BG492+BH492+BY492-CA492</f>
        <v/>
      </c>
      <c r="BW492" s="34">
        <f>ABS(BX492)</f>
        <v/>
      </c>
      <c r="BX492" s="34">
        <f>AY492-(J492-L492+N492-Q492+T492-X492)</f>
        <v/>
      </c>
      <c r="BY492" s="34">
        <f>IF(AND(BX492&gt;0,MIN($F492:$G492)&lt;150,$E492="Enerji Açığı"),-100*BX492*1.03,IF(AND(BX492&gt;0,MIN($F492:$G492)&lt;150,$E492="Enerji Fazlası"),-100*BX492*1.06,IF(AND(BX492&gt;0,MIN($F492:$G492)&gt;=150,$E492="Enerji Açığı"),BX492*MIN($F492:$G492)*0.97,IF(AND(BX492&gt;0,MIN($F492:$G492)&gt;=150,$E492="Enerji Fazlası"),BX492*MIN($F492:$G492)*0.94,IF(AND(BX492&lt;0,MAX($F492:$G492)=4500,$E492="Enerji Açığı"),4500*1.05*1.06*BX492,IF(AND(BX492&lt;0,MAX($F492:$G492)=4500,$E492="Enerji Fazlası"),4500*1.05*1.03*BX492,IF(AND(BX492&lt;0,$E492="Enerji Açığı"),MAX($F492,$G492,150)*BX492*1.06,IF(AND(BX492&lt;0,$E492="Enerji Fazlası"),MAX($F492,$G492,150)*BX492*1.03,IF(AND(BX492&lt;0,$E492="Dengede"),MAX($F492:$G492,150)*1.03*BX492,MIN($F492:$G492)*0.97*BX492)))))))))</f>
        <v/>
      </c>
      <c r="BZ492" s="34">
        <f>BE492-BV492-CA492</f>
        <v/>
      </c>
      <c r="CA492" s="34">
        <f>BD492</f>
        <v/>
      </c>
      <c r="CB492" s="33">
        <f>BE492-BV492</f>
        <v/>
      </c>
      <c r="CC492" s="34">
        <f>IF(AY492=0,0,CB492/AY492)</f>
        <v/>
      </c>
      <c r="CD492" s="34">
        <f>MAX((AY492+MAX((-J492+L492-N492+Q492-T492+X492),0)),(MAX((J492-L492+N492-Q492+T492-X492),0)))</f>
        <v/>
      </c>
      <c r="CE492" s="82">
        <f>IFERROR(ABS(BX492/CD492),0)</f>
        <v/>
      </c>
      <c r="CF492" s="34">
        <f>IF(CE492&lt;=0.1,0,BX492/CE492*(CE492-0.1))</f>
        <v/>
      </c>
      <c r="CG492" s="34">
        <f>IF((CF492)&lt;0,MAX(F492:G492)*(CF492)*1.03,MIN(F492:G492)*(CF492)*0.97)</f>
        <v/>
      </c>
      <c r="CH492" s="34">
        <f>IF(CE492&gt;0.1,1,0)</f>
        <v/>
      </c>
      <c r="CI492" s="34">
        <f>(F492*BX492)-BY492</f>
        <v/>
      </c>
      <c r="CJ492" s="34">
        <f>IF(AY492=0,0,CI492/AY492)</f>
        <v/>
      </c>
    </row>
    <row r="493">
      <c r="A493" s="29">
        <f>[1]FİYATLAR!A468</f>
        <v/>
      </c>
      <c r="B493" s="29">
        <f>[1]FİYATLAR!B468</f>
        <v/>
      </c>
      <c r="C493" s="35">
        <f>INT(A493)</f>
        <v/>
      </c>
      <c r="D493" s="36">
        <f>MONTH(A493)</f>
        <v/>
      </c>
      <c r="E493" s="147">
        <f>[1]FİYATLAR!G468</f>
        <v/>
      </c>
      <c r="F493" s="30">
        <f>[1]FİYATLAR!C468</f>
        <v/>
      </c>
      <c r="G493" s="30">
        <f>[1]FİYATLAR!E468</f>
        <v/>
      </c>
      <c r="H493" s="30">
        <f>[1]FİYATLAR!D468</f>
        <v/>
      </c>
      <c r="I493" s="30">
        <f>[1]FİYATLAR!F468</f>
        <v/>
      </c>
      <c r="J493" s="119" t="n">
        <v>0</v>
      </c>
      <c r="K493" s="34">
        <f>F493*J493</f>
        <v/>
      </c>
      <c r="L493" s="119" t="n"/>
      <c r="M493" s="34">
        <f>L493*F493</f>
        <v/>
      </c>
      <c r="N493" s="119" t="n"/>
      <c r="O493" s="34">
        <f>F493</f>
        <v/>
      </c>
      <c r="P493" s="34">
        <f>N493*O493</f>
        <v/>
      </c>
      <c r="Q493" s="117" t="n">
        <v>0</v>
      </c>
      <c r="R493" s="34">
        <f>F493</f>
        <v/>
      </c>
      <c r="S493" s="34">
        <f>R493*Q493</f>
        <v/>
      </c>
      <c r="T493" s="34">
        <f>SUMIFS('[1]GİP VERİLERİ'!$C:$C,'[1]GİP VERİLERİ'!$B:$B,A493,'[1]GİP VERİLERİ'!$M:$M,"40X000000104782K",'[1]GİP VERİLERİ'!$G:$G,"SELL")</f>
        <v/>
      </c>
      <c r="U493" s="34">
        <f>IFERROR(W493/T493,0)</f>
        <v/>
      </c>
      <c r="V493" s="34">
        <f>IF(U493=0,0,U493-F493)</f>
        <v/>
      </c>
      <c r="W493" s="34">
        <f>SUMIFS('[1]GİP VERİLERİ'!$O:$O,'[1]GİP VERİLERİ'!$B:$B,A493,'[1]GİP VERİLERİ'!$M:$M,"40X000000104782K",'[1]GİP VERİLERİ'!$G:$G,"SELL")</f>
        <v/>
      </c>
      <c r="X493" s="34">
        <f>SUMIFS('[1]GİP VERİLERİ'!$C:$C,'[1]GİP VERİLERİ'!$B:$B,A493,'[1]GİP VERİLERİ'!$M:$M,"40X000000104782K",'[1]GİP VERİLERİ'!$G:$G,"BUY")</f>
        <v/>
      </c>
      <c r="Y493" s="34">
        <f>IFERROR(AA493/X493,0)</f>
        <v/>
      </c>
      <c r="Z493" s="34">
        <f>IF(Y493=0,0,F493-Y493)</f>
        <v/>
      </c>
      <c r="AA493" s="34">
        <f>SUMIFS('[1]GİP VERİLERİ'!$O:$O,'[1]GİP VERİLERİ'!$B:$B,A493,'[1]GİP VERİLERİ'!$M:$M,"40X000000104782K",'[1]GİP VERİLERİ'!$G:$G,"BUY")</f>
        <v/>
      </c>
      <c r="AB493" s="34">
        <f>'[1]GÖP VERİLERİ'!H494</f>
        <v/>
      </c>
      <c r="AC493" s="34">
        <f>'[1]GÖP VERİLERİ'!I494</f>
        <v/>
      </c>
      <c r="AD493" s="34">
        <f>IF(AB493&gt;AC493*1.05,AB493-AC493*1.05,IF(AB493&lt;AC493*0.95,AC493*0.95-AB493,0))</f>
        <v/>
      </c>
      <c r="AE493" s="34">
        <f>MAX(F493,G493,750)*0.05*AD493</f>
        <v/>
      </c>
      <c r="AF493" s="34">
        <f>'[1]GÖP VERİLERİ'!J494</f>
        <v/>
      </c>
      <c r="AG493" s="34">
        <f>IF(AB493&gt;AF493*1.05,AB493-AF493*1.05,IF(AB493&lt;AF493*0.95,AF493*0.95-AB493,0))</f>
        <v/>
      </c>
      <c r="AH493" s="34">
        <f>MAX(I493,J493,750)*0.05*AG493</f>
        <v/>
      </c>
      <c r="AI493">
        <f>'[1]GÖP VERİLERİ'!E494</f>
        <v/>
      </c>
      <c r="AJ493">
        <f>'[1]GÖP VERİLERİ'!F494</f>
        <v/>
      </c>
      <c r="AK493" s="34">
        <f>IF(AI493&gt;AJ493*1.05,AI493-AJ493*1.05,IF(AI493&lt;AJ493*0.95,AJ493*0.95-AI493,0))</f>
        <v/>
      </c>
      <c r="AL493" s="34">
        <f>MAX(F493,G493,750)*0.05*AK493</f>
        <v/>
      </c>
      <c r="AM493" s="39">
        <f>'[1]GÖP VERİLERİ'!G494</f>
        <v/>
      </c>
      <c r="AN493" s="34">
        <f>IF(AI493&gt;AM493*1.05,AI493-AM493*1.05,IF(AI493&lt;AM493*0.95,AM493*0.95-AI493,0))</f>
        <v/>
      </c>
      <c r="AO493" s="34">
        <f>MAX(F493,G493,750)*0.05*AN493</f>
        <v/>
      </c>
      <c r="AP493" s="34">
        <f>'[1]GÖP VERİLERİ'!B494</f>
        <v/>
      </c>
      <c r="AQ493" s="34">
        <f>'[1]GÖP VERİLERİ'!C494</f>
        <v/>
      </c>
      <c r="AR493" s="34">
        <f>IF(AP493&gt;AQ493*1.05,AP493-AQ493*1.05,IF(AP493&lt;AQ493*0.95,AQ493*0.95-AP493,0))</f>
        <v/>
      </c>
      <c r="AS493" s="34">
        <f>MAX(F493:G493,750)*0.05*AR493</f>
        <v/>
      </c>
      <c r="AT493">
        <f>'[1]GÖP VERİLERİ'!D494</f>
        <v/>
      </c>
      <c r="AU493" s="34">
        <f>IF(AP493&gt;AT493*1.05,AP493-AT493*1.05,IF(AP493&lt;AT493*0.95,AT493*0.95-AP493,0))</f>
        <v/>
      </c>
      <c r="AV493" s="34">
        <f>MAX(F493:G493,750)*0.05*AU493</f>
        <v/>
      </c>
      <c r="AW493" s="34">
        <f>AC493+AJ493+AQ493</f>
        <v/>
      </c>
      <c r="AX493" s="34">
        <f>AF493+AM493+AT493</f>
        <v/>
      </c>
      <c r="AY493" s="34">
        <f>AB493+AI493+AP493</f>
        <v/>
      </c>
      <c r="AZ493" s="34" t="n">
        <v>0</v>
      </c>
      <c r="BA493" s="34">
        <f>AD493+AK493+AR493</f>
        <v/>
      </c>
      <c r="BB493" s="34">
        <f>MAX(F493:G493,750)*0.05*BA493</f>
        <v/>
      </c>
      <c r="BC493" s="34">
        <f>AG493+AN493+AU493</f>
        <v/>
      </c>
      <c r="BD493" s="34">
        <f>MAX(F493:G493,750)*0.05*BC493</f>
        <v/>
      </c>
      <c r="BE493" s="34">
        <f>F493*AY493</f>
        <v/>
      </c>
      <c r="BF493" s="34">
        <f>K493-M493</f>
        <v/>
      </c>
      <c r="BG493" s="34">
        <f>P493-S493</f>
        <v/>
      </c>
      <c r="BH493" s="34">
        <f>W493-AA493</f>
        <v/>
      </c>
      <c r="BI493" s="34">
        <f>BF493+BG493+BL493-BN493</f>
        <v/>
      </c>
      <c r="BJ493" s="34">
        <f>ABS(BK493)</f>
        <v/>
      </c>
      <c r="BK493" s="34">
        <f>AY493-(J493-L493+N493-Q493)</f>
        <v/>
      </c>
      <c r="BL493" s="34">
        <f>IF(AND(BK493&gt;0,MIN($F493:$G493)&lt;150,$E493="Enerji Açığı"),-100*BK493*1.03,IF(AND(BK493&gt;0,MIN($F493:$G493)&lt;150,$E493="Enerji Fazlası"),-100*BK493*1.06,IF(AND(BK493&gt;0,MIN($F493:$G493)&gt;=150,$E493="Enerji Açığı"),BK493*MIN($F493:$G493)*0.97,IF(AND(BK493&gt;0,MIN($F493:$G493)&gt;=150,$E493="Enerji Fazlası"),BK493*MIN($F493:$G493)*0.94,IF(AND(BK493&lt;0,MAX($F493:$G493)=4500,$E493="Enerji Açığı"),4500*1.05*1.06*BK493,IF(AND(BK493&lt;0,MAX($F493:$G493)=4500,$E493="Enerji Fazlası"),4500*1.05*1.03*BK493,IF(AND(BK493&lt;0,$E493="Enerji Açığı"),MAX($F493,$G493,150)*BK493*1.06,IF(AND(BK493&lt;0,$E493="Enerji Fazlası"),MAX($F493,$G493,150)*BK493*1.03,IF(AND(BK493&lt;0,$E493="Dengede"),MAX($F493:$G493,150)*1.03*BK493,MIN($F493:$G493)*0.97*BK493)))))))))</f>
        <v/>
      </c>
      <c r="BM493" s="34">
        <f>BE493-BI493-BN493</f>
        <v/>
      </c>
      <c r="BN493" s="34">
        <f>BB493</f>
        <v/>
      </c>
      <c r="BO493" s="34">
        <f>BE493-BI493</f>
        <v/>
      </c>
      <c r="BP493" s="34">
        <f>IF(AY493=0,0,BO493/AY493)</f>
        <v/>
      </c>
      <c r="BQ493" s="34">
        <f>MAX((AY493+MAX((-J493+L493-N493+Q493),0)),(MAX((J493-L493+N493-Q493),0)))</f>
        <v/>
      </c>
      <c r="BR493" s="82">
        <f>IFERROR(ABS(BK493/BQ493),0)</f>
        <v/>
      </c>
      <c r="BS493" s="34">
        <f>IF(BR493&lt;=0.1,0,BK493/BR493*(BR493-0.1))</f>
        <v/>
      </c>
      <c r="BT493" s="34">
        <f>IF((BS493)&lt;0,MAX(F493:G493)*(BS493)*1.03,MIN(F493:G493)*(BS493)*0.97)</f>
        <v/>
      </c>
      <c r="BU493" s="34">
        <f>IF(BR493&gt;0.1,1,0)</f>
        <v/>
      </c>
      <c r="BV493" s="34">
        <f>BF493+BG493+BH493+BY493-CA493</f>
        <v/>
      </c>
      <c r="BW493" s="34">
        <f>ABS(BX493)</f>
        <v/>
      </c>
      <c r="BX493" s="34">
        <f>AY493-(J493-L493+N493-Q493+T493-X493)</f>
        <v/>
      </c>
      <c r="BY493" s="34">
        <f>IF(AND(BX493&gt;0,MIN($F493:$G493)&lt;150,$E493="Enerji Açığı"),-100*BX493*1.03,IF(AND(BX493&gt;0,MIN($F493:$G493)&lt;150,$E493="Enerji Fazlası"),-100*BX493*1.06,IF(AND(BX493&gt;0,MIN($F493:$G493)&gt;=150,$E493="Enerji Açığı"),BX493*MIN($F493:$G493)*0.97,IF(AND(BX493&gt;0,MIN($F493:$G493)&gt;=150,$E493="Enerji Fazlası"),BX493*MIN($F493:$G493)*0.94,IF(AND(BX493&lt;0,MAX($F493:$G493)=4500,$E493="Enerji Açığı"),4500*1.05*1.06*BX493,IF(AND(BX493&lt;0,MAX($F493:$G493)=4500,$E493="Enerji Fazlası"),4500*1.05*1.03*BX493,IF(AND(BX493&lt;0,$E493="Enerji Açığı"),MAX($F493,$G493,150)*BX493*1.06,IF(AND(BX493&lt;0,$E493="Enerji Fazlası"),MAX($F493,$G493,150)*BX493*1.03,IF(AND(BX493&lt;0,$E493="Dengede"),MAX($F493:$G493,150)*1.03*BX493,MIN($F493:$G493)*0.97*BX493)))))))))</f>
        <v/>
      </c>
      <c r="BZ493" s="34">
        <f>BE493-BV493-CA493</f>
        <v/>
      </c>
      <c r="CA493" s="34">
        <f>BD493</f>
        <v/>
      </c>
      <c r="CB493" s="33">
        <f>BE493-BV493</f>
        <v/>
      </c>
      <c r="CC493" s="34">
        <f>IF(AY493=0,0,CB493/AY493)</f>
        <v/>
      </c>
      <c r="CD493" s="34">
        <f>MAX((AY493+MAX((-J493+L493-N493+Q493-T493+X493),0)),(MAX((J493-L493+N493-Q493+T493-X493),0)))</f>
        <v/>
      </c>
      <c r="CE493" s="82">
        <f>IFERROR(ABS(BX493/CD493),0)</f>
        <v/>
      </c>
      <c r="CF493" s="34">
        <f>IF(CE493&lt;=0.1,0,BX493/CE493*(CE493-0.1))</f>
        <v/>
      </c>
      <c r="CG493" s="34">
        <f>IF((CF493)&lt;0,MAX(F493:G493)*(CF493)*1.03,MIN(F493:G493)*(CF493)*0.97)</f>
        <v/>
      </c>
      <c r="CH493" s="34">
        <f>IF(CE493&gt;0.1,1,0)</f>
        <v/>
      </c>
      <c r="CI493" s="34">
        <f>(F493*BX493)-BY493</f>
        <v/>
      </c>
      <c r="CJ493" s="34">
        <f>IF(AY493=0,0,CI493/AY493)</f>
        <v/>
      </c>
    </row>
    <row r="494">
      <c r="A494" s="29">
        <f>[1]FİYATLAR!A469</f>
        <v/>
      </c>
      <c r="B494" s="29">
        <f>[1]FİYATLAR!B469</f>
        <v/>
      </c>
      <c r="C494" s="35">
        <f>INT(A494)</f>
        <v/>
      </c>
      <c r="D494" s="36">
        <f>MONTH(A494)</f>
        <v/>
      </c>
      <c r="E494" s="147">
        <f>[1]FİYATLAR!G469</f>
        <v/>
      </c>
      <c r="F494" s="30">
        <f>[1]FİYATLAR!C469</f>
        <v/>
      </c>
      <c r="G494" s="30">
        <f>[1]FİYATLAR!E469</f>
        <v/>
      </c>
      <c r="H494" s="30">
        <f>[1]FİYATLAR!D469</f>
        <v/>
      </c>
      <c r="I494" s="30">
        <f>[1]FİYATLAR!F469</f>
        <v/>
      </c>
      <c r="J494" s="119" t="n">
        <v>0</v>
      </c>
      <c r="K494" s="34">
        <f>F494*J494</f>
        <v/>
      </c>
      <c r="L494" s="119" t="n"/>
      <c r="M494" s="34">
        <f>L494*F494</f>
        <v/>
      </c>
      <c r="N494" s="119" t="n"/>
      <c r="O494" s="34">
        <f>F494</f>
        <v/>
      </c>
      <c r="P494" s="34">
        <f>N494*O494</f>
        <v/>
      </c>
      <c r="Q494" s="117" t="n">
        <v>0</v>
      </c>
      <c r="R494" s="34">
        <f>F494</f>
        <v/>
      </c>
      <c r="S494" s="34">
        <f>R494*Q494</f>
        <v/>
      </c>
      <c r="T494" s="34">
        <f>SUMIFS('[1]GİP VERİLERİ'!$C:$C,'[1]GİP VERİLERİ'!$B:$B,A494,'[1]GİP VERİLERİ'!$M:$M,"40X000000104782K",'[1]GİP VERİLERİ'!$G:$G,"SELL")</f>
        <v/>
      </c>
      <c r="U494" s="34">
        <f>IFERROR(W494/T494,0)</f>
        <v/>
      </c>
      <c r="V494" s="34">
        <f>IF(U494=0,0,U494-F494)</f>
        <v/>
      </c>
      <c r="W494" s="34">
        <f>SUMIFS('[1]GİP VERİLERİ'!$O:$O,'[1]GİP VERİLERİ'!$B:$B,A494,'[1]GİP VERİLERİ'!$M:$M,"40X000000104782K",'[1]GİP VERİLERİ'!$G:$G,"SELL")</f>
        <v/>
      </c>
      <c r="X494" s="34">
        <f>SUMIFS('[1]GİP VERİLERİ'!$C:$C,'[1]GİP VERİLERİ'!$B:$B,A494,'[1]GİP VERİLERİ'!$M:$M,"40X000000104782K",'[1]GİP VERİLERİ'!$G:$G,"BUY")</f>
        <v/>
      </c>
      <c r="Y494" s="34">
        <f>IFERROR(AA494/X494,0)</f>
        <v/>
      </c>
      <c r="Z494" s="34">
        <f>IF(Y494=0,0,F494-Y494)</f>
        <v/>
      </c>
      <c r="AA494" s="34">
        <f>SUMIFS('[1]GİP VERİLERİ'!$O:$O,'[1]GİP VERİLERİ'!$B:$B,A494,'[1]GİP VERİLERİ'!$M:$M,"40X000000104782K",'[1]GİP VERİLERİ'!$G:$G,"BUY")</f>
        <v/>
      </c>
      <c r="AB494" s="34">
        <f>'[1]GÖP VERİLERİ'!H495</f>
        <v/>
      </c>
      <c r="AC494" s="34">
        <f>'[1]GÖP VERİLERİ'!I495</f>
        <v/>
      </c>
      <c r="AD494" s="34">
        <f>IF(AB494&gt;AC494*1.05,AB494-AC494*1.05,IF(AB494&lt;AC494*0.95,AC494*0.95-AB494,0))</f>
        <v/>
      </c>
      <c r="AE494" s="34">
        <f>MAX(F494,G494,750)*0.05*AD494</f>
        <v/>
      </c>
      <c r="AF494" s="34">
        <f>'[1]GÖP VERİLERİ'!J495</f>
        <v/>
      </c>
      <c r="AG494" s="34">
        <f>IF(AB494&gt;AF494*1.05,AB494-AF494*1.05,IF(AB494&lt;AF494*0.95,AF494*0.95-AB494,0))</f>
        <v/>
      </c>
      <c r="AH494" s="34">
        <f>MAX(I494,J494,750)*0.05*AG494</f>
        <v/>
      </c>
      <c r="AI494">
        <f>'[1]GÖP VERİLERİ'!E495</f>
        <v/>
      </c>
      <c r="AJ494">
        <f>'[1]GÖP VERİLERİ'!F495</f>
        <v/>
      </c>
      <c r="AK494" s="34">
        <f>IF(AI494&gt;AJ494*1.05,AI494-AJ494*1.05,IF(AI494&lt;AJ494*0.95,AJ494*0.95-AI494,0))</f>
        <v/>
      </c>
      <c r="AL494" s="34">
        <f>MAX(F494,G494,750)*0.05*AK494</f>
        <v/>
      </c>
      <c r="AM494" s="39">
        <f>'[1]GÖP VERİLERİ'!G495</f>
        <v/>
      </c>
      <c r="AN494" s="34">
        <f>IF(AI494&gt;AM494*1.05,AI494-AM494*1.05,IF(AI494&lt;AM494*0.95,AM494*0.95-AI494,0))</f>
        <v/>
      </c>
      <c r="AO494" s="34">
        <f>MAX(F494,G494,750)*0.05*AN494</f>
        <v/>
      </c>
      <c r="AP494" s="34">
        <f>'[1]GÖP VERİLERİ'!B495</f>
        <v/>
      </c>
      <c r="AQ494" s="34">
        <f>'[1]GÖP VERİLERİ'!C495</f>
        <v/>
      </c>
      <c r="AR494" s="34">
        <f>IF(AP494&gt;AQ494*1.05,AP494-AQ494*1.05,IF(AP494&lt;AQ494*0.95,AQ494*0.95-AP494,0))</f>
        <v/>
      </c>
      <c r="AS494" s="34">
        <f>MAX(F494:G494,750)*0.05*AR494</f>
        <v/>
      </c>
      <c r="AT494">
        <f>'[1]GÖP VERİLERİ'!D495</f>
        <v/>
      </c>
      <c r="AU494" s="34">
        <f>IF(AP494&gt;AT494*1.05,AP494-AT494*1.05,IF(AP494&lt;AT494*0.95,AT494*0.95-AP494,0))</f>
        <v/>
      </c>
      <c r="AV494" s="34">
        <f>MAX(F494:G494,750)*0.05*AU494</f>
        <v/>
      </c>
      <c r="AW494" s="34">
        <f>AC494+AJ494+AQ494</f>
        <v/>
      </c>
      <c r="AX494" s="34">
        <f>AF494+AM494+AT494</f>
        <v/>
      </c>
      <c r="AY494" s="34">
        <f>AB494+AI494+AP494</f>
        <v/>
      </c>
      <c r="AZ494" s="34" t="n">
        <v>0</v>
      </c>
      <c r="BA494" s="34">
        <f>AD494+AK494+AR494</f>
        <v/>
      </c>
      <c r="BB494" s="34">
        <f>MAX(F494:G494,750)*0.05*BA494</f>
        <v/>
      </c>
      <c r="BC494" s="34">
        <f>AG494+AN494+AU494</f>
        <v/>
      </c>
      <c r="BD494" s="34">
        <f>MAX(F494:G494,750)*0.05*BC494</f>
        <v/>
      </c>
      <c r="BE494" s="34">
        <f>F494*AY494</f>
        <v/>
      </c>
      <c r="BF494" s="34">
        <f>K494-M494</f>
        <v/>
      </c>
      <c r="BG494" s="34">
        <f>P494-S494</f>
        <v/>
      </c>
      <c r="BH494" s="34">
        <f>W494-AA494</f>
        <v/>
      </c>
      <c r="BI494" s="34">
        <f>BF494+BG494+BL494-BN494</f>
        <v/>
      </c>
      <c r="BJ494" s="34">
        <f>ABS(BK494)</f>
        <v/>
      </c>
      <c r="BK494" s="34">
        <f>AY494-(J494-L494+N494-Q494)</f>
        <v/>
      </c>
      <c r="BL494" s="34">
        <f>IF(AND(BK494&gt;0,MIN($F494:$G494)&lt;150,$E494="Enerji Açığı"),-100*BK494*1.03,IF(AND(BK494&gt;0,MIN($F494:$G494)&lt;150,$E494="Enerji Fazlası"),-100*BK494*1.06,IF(AND(BK494&gt;0,MIN($F494:$G494)&gt;=150,$E494="Enerji Açığı"),BK494*MIN($F494:$G494)*0.97,IF(AND(BK494&gt;0,MIN($F494:$G494)&gt;=150,$E494="Enerji Fazlası"),BK494*MIN($F494:$G494)*0.94,IF(AND(BK494&lt;0,MAX($F494:$G494)=4500,$E494="Enerji Açığı"),4500*1.05*1.06*BK494,IF(AND(BK494&lt;0,MAX($F494:$G494)=4500,$E494="Enerji Fazlası"),4500*1.05*1.03*BK494,IF(AND(BK494&lt;0,$E494="Enerji Açığı"),MAX($F494,$G494,150)*BK494*1.06,IF(AND(BK494&lt;0,$E494="Enerji Fazlası"),MAX($F494,$G494,150)*BK494*1.03,IF(AND(BK494&lt;0,$E494="Dengede"),MAX($F494:$G494,150)*1.03*BK494,MIN($F494:$G494)*0.97*BK494)))))))))</f>
        <v/>
      </c>
      <c r="BM494" s="34">
        <f>BE494-BI494-BN494</f>
        <v/>
      </c>
      <c r="BN494" s="34">
        <f>BB494</f>
        <v/>
      </c>
      <c r="BO494" s="34">
        <f>BE494-BI494</f>
        <v/>
      </c>
      <c r="BP494" s="34">
        <f>IF(AY494=0,0,BO494/AY494)</f>
        <v/>
      </c>
      <c r="BQ494" s="34">
        <f>MAX((AY494+MAX((-J494+L494-N494+Q494),0)),(MAX((J494-L494+N494-Q494),0)))</f>
        <v/>
      </c>
      <c r="BR494" s="82">
        <f>IFERROR(ABS(BK494/BQ494),0)</f>
        <v/>
      </c>
      <c r="BS494" s="34">
        <f>IF(BR494&lt;=0.1,0,BK494/BR494*(BR494-0.1))</f>
        <v/>
      </c>
      <c r="BT494" s="34">
        <f>IF((BS494)&lt;0,MAX(F494:G494)*(BS494)*1.03,MIN(F494:G494)*(BS494)*0.97)</f>
        <v/>
      </c>
      <c r="BU494" s="34">
        <f>IF(BR494&gt;0.1,1,0)</f>
        <v/>
      </c>
      <c r="BV494" s="34">
        <f>BF494+BG494+BH494+BY494-CA494</f>
        <v/>
      </c>
      <c r="BW494" s="34">
        <f>ABS(BX494)</f>
        <v/>
      </c>
      <c r="BX494" s="34">
        <f>AY494-(J494-L494+N494-Q494+T494-X494)</f>
        <v/>
      </c>
      <c r="BY494" s="34">
        <f>IF(AND(BX494&gt;0,MIN($F494:$G494)&lt;150,$E494="Enerji Açığı"),-100*BX494*1.03,IF(AND(BX494&gt;0,MIN($F494:$G494)&lt;150,$E494="Enerji Fazlası"),-100*BX494*1.06,IF(AND(BX494&gt;0,MIN($F494:$G494)&gt;=150,$E494="Enerji Açığı"),BX494*MIN($F494:$G494)*0.97,IF(AND(BX494&gt;0,MIN($F494:$G494)&gt;=150,$E494="Enerji Fazlası"),BX494*MIN($F494:$G494)*0.94,IF(AND(BX494&lt;0,MAX($F494:$G494)=4500,$E494="Enerji Açığı"),4500*1.05*1.06*BX494,IF(AND(BX494&lt;0,MAX($F494:$G494)=4500,$E494="Enerji Fazlası"),4500*1.05*1.03*BX494,IF(AND(BX494&lt;0,$E494="Enerji Açığı"),MAX($F494,$G494,150)*BX494*1.06,IF(AND(BX494&lt;0,$E494="Enerji Fazlası"),MAX($F494,$G494,150)*BX494*1.03,IF(AND(BX494&lt;0,$E494="Dengede"),MAX($F494:$G494,150)*1.03*BX494,MIN($F494:$G494)*0.97*BX494)))))))))</f>
        <v/>
      </c>
      <c r="BZ494" s="34">
        <f>BE494-BV494-CA494</f>
        <v/>
      </c>
      <c r="CA494" s="34">
        <f>BD494</f>
        <v/>
      </c>
      <c r="CB494" s="33">
        <f>BE494-BV494</f>
        <v/>
      </c>
      <c r="CC494" s="34">
        <f>IF(AY494=0,0,CB494/AY494)</f>
        <v/>
      </c>
      <c r="CD494" s="34">
        <f>MAX((AY494+MAX((-J494+L494-N494+Q494-T494+X494),0)),(MAX((J494-L494+N494-Q494+T494-X494),0)))</f>
        <v/>
      </c>
      <c r="CE494" s="82">
        <f>IFERROR(ABS(BX494/CD494),0)</f>
        <v/>
      </c>
      <c r="CF494" s="34">
        <f>IF(CE494&lt;=0.1,0,BX494/CE494*(CE494-0.1))</f>
        <v/>
      </c>
      <c r="CG494" s="34">
        <f>IF((CF494)&lt;0,MAX(F494:G494)*(CF494)*1.03,MIN(F494:G494)*(CF494)*0.97)</f>
        <v/>
      </c>
      <c r="CH494" s="34">
        <f>IF(CE494&gt;0.1,1,0)</f>
        <v/>
      </c>
      <c r="CI494" s="34">
        <f>(F494*BX494)-BY494</f>
        <v/>
      </c>
      <c r="CJ494" s="34">
        <f>IF(AY494=0,0,CI494/AY494)</f>
        <v/>
      </c>
    </row>
    <row r="495">
      <c r="A495" s="29">
        <f>[1]FİYATLAR!A470</f>
        <v/>
      </c>
      <c r="B495" s="29">
        <f>[1]FİYATLAR!B470</f>
        <v/>
      </c>
      <c r="C495" s="35">
        <f>INT(A495)</f>
        <v/>
      </c>
      <c r="D495" s="36">
        <f>MONTH(A495)</f>
        <v/>
      </c>
      <c r="E495" s="147">
        <f>[1]FİYATLAR!G470</f>
        <v/>
      </c>
      <c r="F495" s="30">
        <f>[1]FİYATLAR!C470</f>
        <v/>
      </c>
      <c r="G495" s="30">
        <f>[1]FİYATLAR!E470</f>
        <v/>
      </c>
      <c r="H495" s="30">
        <f>[1]FİYATLAR!D470</f>
        <v/>
      </c>
      <c r="I495" s="30">
        <f>[1]FİYATLAR!F470</f>
        <v/>
      </c>
      <c r="J495" s="119" t="n">
        <v>0</v>
      </c>
      <c r="K495" s="34">
        <f>F495*J495</f>
        <v/>
      </c>
      <c r="L495" s="119" t="n"/>
      <c r="M495" s="34">
        <f>L495*F495</f>
        <v/>
      </c>
      <c r="N495" s="119" t="n"/>
      <c r="O495" s="34">
        <f>F495</f>
        <v/>
      </c>
      <c r="P495" s="34">
        <f>N495*O495</f>
        <v/>
      </c>
      <c r="Q495" s="117" t="n">
        <v>0</v>
      </c>
      <c r="R495" s="34">
        <f>F495</f>
        <v/>
      </c>
      <c r="S495" s="34">
        <f>R495*Q495</f>
        <v/>
      </c>
      <c r="T495" s="34">
        <f>SUMIFS('[1]GİP VERİLERİ'!$C:$C,'[1]GİP VERİLERİ'!$B:$B,A495,'[1]GİP VERİLERİ'!$M:$M,"40X000000104782K",'[1]GİP VERİLERİ'!$G:$G,"SELL")</f>
        <v/>
      </c>
      <c r="U495" s="34">
        <f>IFERROR(W495/T495,0)</f>
        <v/>
      </c>
      <c r="V495" s="34">
        <f>IF(U495=0,0,U495-F495)</f>
        <v/>
      </c>
      <c r="W495" s="34">
        <f>SUMIFS('[1]GİP VERİLERİ'!$O:$O,'[1]GİP VERİLERİ'!$B:$B,A495,'[1]GİP VERİLERİ'!$M:$M,"40X000000104782K",'[1]GİP VERİLERİ'!$G:$G,"SELL")</f>
        <v/>
      </c>
      <c r="X495" s="34">
        <f>SUMIFS('[1]GİP VERİLERİ'!$C:$C,'[1]GİP VERİLERİ'!$B:$B,A495,'[1]GİP VERİLERİ'!$M:$M,"40X000000104782K",'[1]GİP VERİLERİ'!$G:$G,"BUY")</f>
        <v/>
      </c>
      <c r="Y495" s="34">
        <f>IFERROR(AA495/X495,0)</f>
        <v/>
      </c>
      <c r="Z495" s="34">
        <f>IF(Y495=0,0,F495-Y495)</f>
        <v/>
      </c>
      <c r="AA495" s="34">
        <f>SUMIFS('[1]GİP VERİLERİ'!$O:$O,'[1]GİP VERİLERİ'!$B:$B,A495,'[1]GİP VERİLERİ'!$M:$M,"40X000000104782K",'[1]GİP VERİLERİ'!$G:$G,"BUY")</f>
        <v/>
      </c>
      <c r="AB495" s="34">
        <f>'[1]GÖP VERİLERİ'!H496</f>
        <v/>
      </c>
      <c r="AC495" s="34">
        <f>'[1]GÖP VERİLERİ'!I496</f>
        <v/>
      </c>
      <c r="AD495" s="34">
        <f>IF(AB495&gt;AC495*1.05,AB495-AC495*1.05,IF(AB495&lt;AC495*0.95,AC495*0.95-AB495,0))</f>
        <v/>
      </c>
      <c r="AE495" s="34">
        <f>MAX(F495,G495,750)*0.05*AD495</f>
        <v/>
      </c>
      <c r="AF495" s="34">
        <f>'[1]GÖP VERİLERİ'!J496</f>
        <v/>
      </c>
      <c r="AG495" s="34">
        <f>IF(AB495&gt;AF495*1.05,AB495-AF495*1.05,IF(AB495&lt;AF495*0.95,AF495*0.95-AB495,0))</f>
        <v/>
      </c>
      <c r="AH495" s="34">
        <f>MAX(I495,J495,750)*0.05*AG495</f>
        <v/>
      </c>
      <c r="AI495">
        <f>'[1]GÖP VERİLERİ'!E496</f>
        <v/>
      </c>
      <c r="AJ495">
        <f>'[1]GÖP VERİLERİ'!F496</f>
        <v/>
      </c>
      <c r="AK495" s="34">
        <f>IF(AI495&gt;AJ495*1.05,AI495-AJ495*1.05,IF(AI495&lt;AJ495*0.95,AJ495*0.95-AI495,0))</f>
        <v/>
      </c>
      <c r="AL495" s="34">
        <f>MAX(F495,G495,750)*0.05*AK495</f>
        <v/>
      </c>
      <c r="AM495" s="39">
        <f>'[1]GÖP VERİLERİ'!G496</f>
        <v/>
      </c>
      <c r="AN495" s="34">
        <f>IF(AI495&gt;AM495*1.05,AI495-AM495*1.05,IF(AI495&lt;AM495*0.95,AM495*0.95-AI495,0))</f>
        <v/>
      </c>
      <c r="AO495" s="34">
        <f>MAX(F495,G495,750)*0.05*AN495</f>
        <v/>
      </c>
      <c r="AP495" s="34">
        <f>'[1]GÖP VERİLERİ'!B496</f>
        <v/>
      </c>
      <c r="AQ495" s="34">
        <f>'[1]GÖP VERİLERİ'!C496</f>
        <v/>
      </c>
      <c r="AR495" s="34">
        <f>IF(AP495&gt;AQ495*1.05,AP495-AQ495*1.05,IF(AP495&lt;AQ495*0.95,AQ495*0.95-AP495,0))</f>
        <v/>
      </c>
      <c r="AS495" s="34">
        <f>MAX(F495:G495,750)*0.05*AR495</f>
        <v/>
      </c>
      <c r="AT495">
        <f>'[1]GÖP VERİLERİ'!D496</f>
        <v/>
      </c>
      <c r="AU495" s="34">
        <f>IF(AP495&gt;AT495*1.05,AP495-AT495*1.05,IF(AP495&lt;AT495*0.95,AT495*0.95-AP495,0))</f>
        <v/>
      </c>
      <c r="AV495" s="34">
        <f>MAX(F495:G495,750)*0.05*AU495</f>
        <v/>
      </c>
      <c r="AW495" s="34">
        <f>AC495+AJ495+AQ495</f>
        <v/>
      </c>
      <c r="AX495" s="34">
        <f>AF495+AM495+AT495</f>
        <v/>
      </c>
      <c r="AY495" s="34">
        <f>AB495+AI495+AP495</f>
        <v/>
      </c>
      <c r="AZ495" s="34" t="n">
        <v>0</v>
      </c>
      <c r="BA495" s="34">
        <f>AD495+AK495+AR495</f>
        <v/>
      </c>
      <c r="BB495" s="34">
        <f>MAX(F495:G495,750)*0.05*BA495</f>
        <v/>
      </c>
      <c r="BC495" s="34">
        <f>AG495+AN495+AU495</f>
        <v/>
      </c>
      <c r="BD495" s="34">
        <f>MAX(F495:G495,750)*0.05*BC495</f>
        <v/>
      </c>
      <c r="BE495" s="34">
        <f>F495*AY495</f>
        <v/>
      </c>
      <c r="BF495" s="34">
        <f>K495-M495</f>
        <v/>
      </c>
      <c r="BG495" s="34">
        <f>P495-S495</f>
        <v/>
      </c>
      <c r="BH495" s="34">
        <f>W495-AA495</f>
        <v/>
      </c>
      <c r="BI495" s="34">
        <f>BF495+BG495+BL495-BN495</f>
        <v/>
      </c>
      <c r="BJ495" s="34">
        <f>ABS(BK495)</f>
        <v/>
      </c>
      <c r="BK495" s="34">
        <f>AY495-(J495-L495+N495-Q495)</f>
        <v/>
      </c>
      <c r="BL495" s="34">
        <f>IF(AND(BK495&gt;0,MIN($F495:$G495)&lt;150,$E495="Enerji Açığı"),-100*BK495*1.03,IF(AND(BK495&gt;0,MIN($F495:$G495)&lt;150,$E495="Enerji Fazlası"),-100*BK495*1.06,IF(AND(BK495&gt;0,MIN($F495:$G495)&gt;=150,$E495="Enerji Açığı"),BK495*MIN($F495:$G495)*0.97,IF(AND(BK495&gt;0,MIN($F495:$G495)&gt;=150,$E495="Enerji Fazlası"),BK495*MIN($F495:$G495)*0.94,IF(AND(BK495&lt;0,MAX($F495:$G495)=4500,$E495="Enerji Açığı"),4500*1.05*1.06*BK495,IF(AND(BK495&lt;0,MAX($F495:$G495)=4500,$E495="Enerji Fazlası"),4500*1.05*1.03*BK495,IF(AND(BK495&lt;0,$E495="Enerji Açığı"),MAX($F495,$G495,150)*BK495*1.06,IF(AND(BK495&lt;0,$E495="Enerji Fazlası"),MAX($F495,$G495,150)*BK495*1.03,IF(AND(BK495&lt;0,$E495="Dengede"),MAX($F495:$G495,150)*1.03*BK495,MIN($F495:$G495)*0.97*BK495)))))))))</f>
        <v/>
      </c>
      <c r="BM495" s="34">
        <f>BE495-BI495-BN495</f>
        <v/>
      </c>
      <c r="BN495" s="34">
        <f>BB495</f>
        <v/>
      </c>
      <c r="BO495" s="34">
        <f>BE495-BI495</f>
        <v/>
      </c>
      <c r="BP495" s="34">
        <f>IF(AY495=0,0,BO495/AY495)</f>
        <v/>
      </c>
      <c r="BQ495" s="34">
        <f>MAX((AY495+MAX((-J495+L495-N495+Q495),0)),(MAX((J495-L495+N495-Q495),0)))</f>
        <v/>
      </c>
      <c r="BR495" s="82">
        <f>IFERROR(ABS(BK495/BQ495),0)</f>
        <v/>
      </c>
      <c r="BS495" s="34">
        <f>IF(BR495&lt;=0.1,0,BK495/BR495*(BR495-0.1))</f>
        <v/>
      </c>
      <c r="BT495" s="34">
        <f>IF((BS495)&lt;0,MAX(F495:G495)*(BS495)*1.03,MIN(F495:G495)*(BS495)*0.97)</f>
        <v/>
      </c>
      <c r="BU495" s="34">
        <f>IF(BR495&gt;0.1,1,0)</f>
        <v/>
      </c>
      <c r="BV495" s="34">
        <f>BF495+BG495+BH495+BY495-CA495</f>
        <v/>
      </c>
      <c r="BW495" s="34">
        <f>ABS(BX495)</f>
        <v/>
      </c>
      <c r="BX495" s="34">
        <f>AY495-(J495-L495+N495-Q495+T495-X495)</f>
        <v/>
      </c>
      <c r="BY495" s="34">
        <f>IF(AND(BX495&gt;0,MIN($F495:$G495)&lt;150,$E495="Enerji Açığı"),-100*BX495*1.03,IF(AND(BX495&gt;0,MIN($F495:$G495)&lt;150,$E495="Enerji Fazlası"),-100*BX495*1.06,IF(AND(BX495&gt;0,MIN($F495:$G495)&gt;=150,$E495="Enerji Açığı"),BX495*MIN($F495:$G495)*0.97,IF(AND(BX495&gt;0,MIN($F495:$G495)&gt;=150,$E495="Enerji Fazlası"),BX495*MIN($F495:$G495)*0.94,IF(AND(BX495&lt;0,MAX($F495:$G495)=4500,$E495="Enerji Açığı"),4500*1.05*1.06*BX495,IF(AND(BX495&lt;0,MAX($F495:$G495)=4500,$E495="Enerji Fazlası"),4500*1.05*1.03*BX495,IF(AND(BX495&lt;0,$E495="Enerji Açığı"),MAX($F495,$G495,150)*BX495*1.06,IF(AND(BX495&lt;0,$E495="Enerji Fazlası"),MAX($F495,$G495,150)*BX495*1.03,IF(AND(BX495&lt;0,$E495="Dengede"),MAX($F495:$G495,150)*1.03*BX495,MIN($F495:$G495)*0.97*BX495)))))))))</f>
        <v/>
      </c>
      <c r="BZ495" s="34">
        <f>BE495-BV495-CA495</f>
        <v/>
      </c>
      <c r="CA495" s="34">
        <f>BD495</f>
        <v/>
      </c>
      <c r="CB495" s="33">
        <f>BE495-BV495</f>
        <v/>
      </c>
      <c r="CC495" s="34">
        <f>IF(AY495=0,0,CB495/AY495)</f>
        <v/>
      </c>
      <c r="CD495" s="34">
        <f>MAX((AY495+MAX((-J495+L495-N495+Q495-T495+X495),0)),(MAX((J495-L495+N495-Q495+T495-X495),0)))</f>
        <v/>
      </c>
      <c r="CE495" s="82">
        <f>IFERROR(ABS(BX495/CD495),0)</f>
        <v/>
      </c>
      <c r="CF495" s="34">
        <f>IF(CE495&lt;=0.1,0,BX495/CE495*(CE495-0.1))</f>
        <v/>
      </c>
      <c r="CG495" s="34">
        <f>IF((CF495)&lt;0,MAX(F495:G495)*(CF495)*1.03,MIN(F495:G495)*(CF495)*0.97)</f>
        <v/>
      </c>
      <c r="CH495" s="34">
        <f>IF(CE495&gt;0.1,1,0)</f>
        <v/>
      </c>
      <c r="CI495" s="34">
        <f>(F495*BX495)-BY495</f>
        <v/>
      </c>
      <c r="CJ495" s="34">
        <f>IF(AY495=0,0,CI495/AY495)</f>
        <v/>
      </c>
    </row>
    <row r="496">
      <c r="A496" s="29">
        <f>[1]FİYATLAR!A471</f>
        <v/>
      </c>
      <c r="B496" s="29">
        <f>[1]FİYATLAR!B471</f>
        <v/>
      </c>
      <c r="C496" s="35">
        <f>INT(A496)</f>
        <v/>
      </c>
      <c r="D496" s="36">
        <f>MONTH(A496)</f>
        <v/>
      </c>
      <c r="E496" s="147">
        <f>[1]FİYATLAR!G471</f>
        <v/>
      </c>
      <c r="F496" s="30">
        <f>[1]FİYATLAR!C471</f>
        <v/>
      </c>
      <c r="G496" s="30">
        <f>[1]FİYATLAR!E471</f>
        <v/>
      </c>
      <c r="H496" s="30">
        <f>[1]FİYATLAR!D471</f>
        <v/>
      </c>
      <c r="I496" s="30">
        <f>[1]FİYATLAR!F471</f>
        <v/>
      </c>
      <c r="J496" s="119" t="n">
        <v>0</v>
      </c>
      <c r="K496" s="34">
        <f>F496*J496</f>
        <v/>
      </c>
      <c r="L496" s="119" t="n"/>
      <c r="M496" s="34">
        <f>L496*F496</f>
        <v/>
      </c>
      <c r="N496" s="119" t="n"/>
      <c r="O496" s="34">
        <f>F496</f>
        <v/>
      </c>
      <c r="P496" s="34">
        <f>N496*O496</f>
        <v/>
      </c>
      <c r="Q496" s="117" t="n">
        <v>0</v>
      </c>
      <c r="R496" s="34">
        <f>F496</f>
        <v/>
      </c>
      <c r="S496" s="34">
        <f>R496*Q496</f>
        <v/>
      </c>
      <c r="T496" s="34">
        <f>SUMIFS('[1]GİP VERİLERİ'!$C:$C,'[1]GİP VERİLERİ'!$B:$B,A496,'[1]GİP VERİLERİ'!$M:$M,"40X000000104782K",'[1]GİP VERİLERİ'!$G:$G,"SELL")</f>
        <v/>
      </c>
      <c r="U496" s="34">
        <f>IFERROR(W496/T496,0)</f>
        <v/>
      </c>
      <c r="V496" s="34">
        <f>IF(U496=0,0,U496-F496)</f>
        <v/>
      </c>
      <c r="W496" s="34">
        <f>SUMIFS('[1]GİP VERİLERİ'!$O:$O,'[1]GİP VERİLERİ'!$B:$B,A496,'[1]GİP VERİLERİ'!$M:$M,"40X000000104782K",'[1]GİP VERİLERİ'!$G:$G,"SELL")</f>
        <v/>
      </c>
      <c r="X496" s="34">
        <f>SUMIFS('[1]GİP VERİLERİ'!$C:$C,'[1]GİP VERİLERİ'!$B:$B,A496,'[1]GİP VERİLERİ'!$M:$M,"40X000000104782K",'[1]GİP VERİLERİ'!$G:$G,"BUY")</f>
        <v/>
      </c>
      <c r="Y496" s="34">
        <f>IFERROR(AA496/X496,0)</f>
        <v/>
      </c>
      <c r="Z496" s="34">
        <f>IF(Y496=0,0,F496-Y496)</f>
        <v/>
      </c>
      <c r="AA496" s="34">
        <f>SUMIFS('[1]GİP VERİLERİ'!$O:$O,'[1]GİP VERİLERİ'!$B:$B,A496,'[1]GİP VERİLERİ'!$M:$M,"40X000000104782K",'[1]GİP VERİLERİ'!$G:$G,"BUY")</f>
        <v/>
      </c>
      <c r="AB496" s="34">
        <f>'[1]GÖP VERİLERİ'!H497</f>
        <v/>
      </c>
      <c r="AC496" s="34">
        <f>'[1]GÖP VERİLERİ'!I497</f>
        <v/>
      </c>
      <c r="AD496" s="34">
        <f>IF(AB496&gt;AC496*1.05,AB496-AC496*1.05,IF(AB496&lt;AC496*0.95,AC496*0.95-AB496,0))</f>
        <v/>
      </c>
      <c r="AE496" s="34">
        <f>MAX(F496,G496,750)*0.05*AD496</f>
        <v/>
      </c>
      <c r="AF496" s="34">
        <f>'[1]GÖP VERİLERİ'!J497</f>
        <v/>
      </c>
      <c r="AG496" s="34">
        <f>IF(AB496&gt;AF496*1.05,AB496-AF496*1.05,IF(AB496&lt;AF496*0.95,AF496*0.95-AB496,0))</f>
        <v/>
      </c>
      <c r="AH496" s="34">
        <f>MAX(I496,J496,750)*0.05*AG496</f>
        <v/>
      </c>
      <c r="AI496">
        <f>'[1]GÖP VERİLERİ'!E497</f>
        <v/>
      </c>
      <c r="AJ496">
        <f>'[1]GÖP VERİLERİ'!F497</f>
        <v/>
      </c>
      <c r="AK496" s="34">
        <f>IF(AI496&gt;AJ496*1.05,AI496-AJ496*1.05,IF(AI496&lt;AJ496*0.95,AJ496*0.95-AI496,0))</f>
        <v/>
      </c>
      <c r="AL496" s="34">
        <f>MAX(F496,G496,750)*0.05*AK496</f>
        <v/>
      </c>
      <c r="AM496" s="39">
        <f>'[1]GÖP VERİLERİ'!G497</f>
        <v/>
      </c>
      <c r="AN496" s="34">
        <f>IF(AI496&gt;AM496*1.05,AI496-AM496*1.05,IF(AI496&lt;AM496*0.95,AM496*0.95-AI496,0))</f>
        <v/>
      </c>
      <c r="AO496" s="34">
        <f>MAX(F496,G496,750)*0.05*AN496</f>
        <v/>
      </c>
      <c r="AP496" s="34">
        <f>'[1]GÖP VERİLERİ'!B497</f>
        <v/>
      </c>
      <c r="AQ496" s="34">
        <f>'[1]GÖP VERİLERİ'!C497</f>
        <v/>
      </c>
      <c r="AR496" s="34">
        <f>IF(AP496&gt;AQ496*1.05,AP496-AQ496*1.05,IF(AP496&lt;AQ496*0.95,AQ496*0.95-AP496,0))</f>
        <v/>
      </c>
      <c r="AS496" s="34">
        <f>MAX(F496:G496,750)*0.05*AR496</f>
        <v/>
      </c>
      <c r="AT496">
        <f>'[1]GÖP VERİLERİ'!D497</f>
        <v/>
      </c>
      <c r="AU496" s="34">
        <f>IF(AP496&gt;AT496*1.05,AP496-AT496*1.05,IF(AP496&lt;AT496*0.95,AT496*0.95-AP496,0))</f>
        <v/>
      </c>
      <c r="AV496" s="34">
        <f>MAX(F496:G496,750)*0.05*AU496</f>
        <v/>
      </c>
      <c r="AW496" s="34">
        <f>AC496+AJ496+AQ496</f>
        <v/>
      </c>
      <c r="AX496" s="34">
        <f>AF496+AM496+AT496</f>
        <v/>
      </c>
      <c r="AY496" s="34">
        <f>AB496+AI496+AP496</f>
        <v/>
      </c>
      <c r="AZ496" s="34" t="n">
        <v>0</v>
      </c>
      <c r="BA496" s="34">
        <f>AD496+AK496+AR496</f>
        <v/>
      </c>
      <c r="BB496" s="34">
        <f>MAX(F496:G496,750)*0.05*BA496</f>
        <v/>
      </c>
      <c r="BC496" s="34">
        <f>AG496+AN496+AU496</f>
        <v/>
      </c>
      <c r="BD496" s="34">
        <f>MAX(F496:G496,750)*0.05*BC496</f>
        <v/>
      </c>
      <c r="BE496" s="34">
        <f>F496*AY496</f>
        <v/>
      </c>
      <c r="BF496" s="34">
        <f>K496-M496</f>
        <v/>
      </c>
      <c r="BG496" s="34">
        <f>P496-S496</f>
        <v/>
      </c>
      <c r="BH496" s="34">
        <f>W496-AA496</f>
        <v/>
      </c>
      <c r="BI496" s="34">
        <f>BF496+BG496+BL496-BN496</f>
        <v/>
      </c>
      <c r="BJ496" s="34">
        <f>ABS(BK496)</f>
        <v/>
      </c>
      <c r="BK496" s="34">
        <f>AY496-(J496-L496+N496-Q496)</f>
        <v/>
      </c>
      <c r="BL496" s="34">
        <f>IF(AND(BK496&gt;0,MIN($F496:$G496)&lt;150,$E496="Enerji Açığı"),-100*BK496*1.03,IF(AND(BK496&gt;0,MIN($F496:$G496)&lt;150,$E496="Enerji Fazlası"),-100*BK496*1.06,IF(AND(BK496&gt;0,MIN($F496:$G496)&gt;=150,$E496="Enerji Açığı"),BK496*MIN($F496:$G496)*0.97,IF(AND(BK496&gt;0,MIN($F496:$G496)&gt;=150,$E496="Enerji Fazlası"),BK496*MIN($F496:$G496)*0.94,IF(AND(BK496&lt;0,MAX($F496:$G496)=4500,$E496="Enerji Açığı"),4500*1.05*1.06*BK496,IF(AND(BK496&lt;0,MAX($F496:$G496)=4500,$E496="Enerji Fazlası"),4500*1.05*1.03*BK496,IF(AND(BK496&lt;0,$E496="Enerji Açığı"),MAX($F496,$G496,150)*BK496*1.06,IF(AND(BK496&lt;0,$E496="Enerji Fazlası"),MAX($F496,$G496,150)*BK496*1.03,IF(AND(BK496&lt;0,$E496="Dengede"),MAX($F496:$G496,150)*1.03*BK496,MIN($F496:$G496)*0.97*BK496)))))))))</f>
        <v/>
      </c>
      <c r="BM496" s="34">
        <f>BE496-BI496-BN496</f>
        <v/>
      </c>
      <c r="BN496" s="34">
        <f>BB496</f>
        <v/>
      </c>
      <c r="BO496" s="34">
        <f>BE496-BI496</f>
        <v/>
      </c>
      <c r="BP496" s="34">
        <f>IF(AY496=0,0,BO496/AY496)</f>
        <v/>
      </c>
      <c r="BQ496" s="34">
        <f>MAX((AY496+MAX((-J496+L496-N496+Q496),0)),(MAX((J496-L496+N496-Q496),0)))</f>
        <v/>
      </c>
      <c r="BR496" s="82">
        <f>IFERROR(ABS(BK496/BQ496),0)</f>
        <v/>
      </c>
      <c r="BS496" s="34">
        <f>IF(BR496&lt;=0.1,0,BK496/BR496*(BR496-0.1))</f>
        <v/>
      </c>
      <c r="BT496" s="34">
        <f>IF((BS496)&lt;0,MAX(F496:G496)*(BS496)*1.03,MIN(F496:G496)*(BS496)*0.97)</f>
        <v/>
      </c>
      <c r="BU496" s="34">
        <f>IF(BR496&gt;0.1,1,0)</f>
        <v/>
      </c>
      <c r="BV496" s="34">
        <f>BF496+BG496+BH496+BY496-CA496</f>
        <v/>
      </c>
      <c r="BW496" s="34">
        <f>ABS(BX496)</f>
        <v/>
      </c>
      <c r="BX496" s="34">
        <f>AY496-(J496-L496+N496-Q496+T496-X496)</f>
        <v/>
      </c>
      <c r="BY496" s="34">
        <f>IF(AND(BX496&gt;0,MIN($F496:$G496)&lt;150,$E496="Enerji Açığı"),-100*BX496*1.03,IF(AND(BX496&gt;0,MIN($F496:$G496)&lt;150,$E496="Enerji Fazlası"),-100*BX496*1.06,IF(AND(BX496&gt;0,MIN($F496:$G496)&gt;=150,$E496="Enerji Açığı"),BX496*MIN($F496:$G496)*0.97,IF(AND(BX496&gt;0,MIN($F496:$G496)&gt;=150,$E496="Enerji Fazlası"),BX496*MIN($F496:$G496)*0.94,IF(AND(BX496&lt;0,MAX($F496:$G496)=4500,$E496="Enerji Açığı"),4500*1.05*1.06*BX496,IF(AND(BX496&lt;0,MAX($F496:$G496)=4500,$E496="Enerji Fazlası"),4500*1.05*1.03*BX496,IF(AND(BX496&lt;0,$E496="Enerji Açığı"),MAX($F496,$G496,150)*BX496*1.06,IF(AND(BX496&lt;0,$E496="Enerji Fazlası"),MAX($F496,$G496,150)*BX496*1.03,IF(AND(BX496&lt;0,$E496="Dengede"),MAX($F496:$G496,150)*1.03*BX496,MIN($F496:$G496)*0.97*BX496)))))))))</f>
        <v/>
      </c>
      <c r="BZ496" s="34">
        <f>BE496-BV496-CA496</f>
        <v/>
      </c>
      <c r="CA496" s="34">
        <f>BD496</f>
        <v/>
      </c>
      <c r="CB496" s="33">
        <f>BE496-BV496</f>
        <v/>
      </c>
      <c r="CC496" s="34">
        <f>IF(AY496=0,0,CB496/AY496)</f>
        <v/>
      </c>
      <c r="CD496" s="34">
        <f>MAX((AY496+MAX((-J496+L496-N496+Q496-T496+X496),0)),(MAX((J496-L496+N496-Q496+T496-X496),0)))</f>
        <v/>
      </c>
      <c r="CE496" s="82">
        <f>IFERROR(ABS(BX496/CD496),0)</f>
        <v/>
      </c>
      <c r="CF496" s="34">
        <f>IF(CE496&lt;=0.1,0,BX496/CE496*(CE496-0.1))</f>
        <v/>
      </c>
      <c r="CG496" s="34">
        <f>IF((CF496)&lt;0,MAX(F496:G496)*(CF496)*1.03,MIN(F496:G496)*(CF496)*0.97)</f>
        <v/>
      </c>
      <c r="CH496" s="34">
        <f>IF(CE496&gt;0.1,1,0)</f>
        <v/>
      </c>
      <c r="CI496" s="34">
        <f>(F496*BX496)-BY496</f>
        <v/>
      </c>
      <c r="CJ496" s="34">
        <f>IF(AY496=0,0,CI496/AY496)</f>
        <v/>
      </c>
    </row>
    <row r="497">
      <c r="A497" s="29">
        <f>[1]FİYATLAR!A472</f>
        <v/>
      </c>
      <c r="B497" s="29">
        <f>[1]FİYATLAR!B472</f>
        <v/>
      </c>
      <c r="C497" s="35">
        <f>INT(A497)</f>
        <v/>
      </c>
      <c r="D497" s="36">
        <f>MONTH(A497)</f>
        <v/>
      </c>
      <c r="E497" s="147">
        <f>[1]FİYATLAR!G472</f>
        <v/>
      </c>
      <c r="F497" s="30">
        <f>[1]FİYATLAR!C472</f>
        <v/>
      </c>
      <c r="G497" s="30">
        <f>[1]FİYATLAR!E472</f>
        <v/>
      </c>
      <c r="H497" s="30">
        <f>[1]FİYATLAR!D472</f>
        <v/>
      </c>
      <c r="I497" s="30">
        <f>[1]FİYATLAR!F472</f>
        <v/>
      </c>
      <c r="J497" s="119" t="n">
        <v>0</v>
      </c>
      <c r="K497" s="34">
        <f>F497*J497</f>
        <v/>
      </c>
      <c r="L497" s="119" t="n"/>
      <c r="M497" s="34">
        <f>L497*F497</f>
        <v/>
      </c>
      <c r="N497" s="119" t="n"/>
      <c r="O497" s="34">
        <f>F497</f>
        <v/>
      </c>
      <c r="P497" s="34">
        <f>N497*O497</f>
        <v/>
      </c>
      <c r="Q497" s="117" t="n">
        <v>0</v>
      </c>
      <c r="R497" s="34">
        <f>F497</f>
        <v/>
      </c>
      <c r="S497" s="34">
        <f>R497*Q497</f>
        <v/>
      </c>
      <c r="T497" s="34">
        <f>SUMIFS('[1]GİP VERİLERİ'!$C:$C,'[1]GİP VERİLERİ'!$B:$B,A497,'[1]GİP VERİLERİ'!$M:$M,"40X000000104782K",'[1]GİP VERİLERİ'!$G:$G,"SELL")</f>
        <v/>
      </c>
      <c r="U497" s="34">
        <f>IFERROR(W497/T497,0)</f>
        <v/>
      </c>
      <c r="V497" s="34">
        <f>IF(U497=0,0,U497-F497)</f>
        <v/>
      </c>
      <c r="W497" s="34">
        <f>SUMIFS('[1]GİP VERİLERİ'!$O:$O,'[1]GİP VERİLERİ'!$B:$B,A497,'[1]GİP VERİLERİ'!$M:$M,"40X000000104782K",'[1]GİP VERİLERİ'!$G:$G,"SELL")</f>
        <v/>
      </c>
      <c r="X497" s="34">
        <f>SUMIFS('[1]GİP VERİLERİ'!$C:$C,'[1]GİP VERİLERİ'!$B:$B,A497,'[1]GİP VERİLERİ'!$M:$M,"40X000000104782K",'[1]GİP VERİLERİ'!$G:$G,"BUY")</f>
        <v/>
      </c>
      <c r="Y497" s="34">
        <f>IFERROR(AA497/X497,0)</f>
        <v/>
      </c>
      <c r="Z497" s="34">
        <f>IF(Y497=0,0,F497-Y497)</f>
        <v/>
      </c>
      <c r="AA497" s="34">
        <f>SUMIFS('[1]GİP VERİLERİ'!$O:$O,'[1]GİP VERİLERİ'!$B:$B,A497,'[1]GİP VERİLERİ'!$M:$M,"40X000000104782K",'[1]GİP VERİLERİ'!$G:$G,"BUY")</f>
        <v/>
      </c>
      <c r="AB497" s="34">
        <f>'[1]GÖP VERİLERİ'!H498</f>
        <v/>
      </c>
      <c r="AC497" s="34">
        <f>'[1]GÖP VERİLERİ'!I498</f>
        <v/>
      </c>
      <c r="AD497" s="34">
        <f>IF(AB497&gt;AC497*1.05,AB497-AC497*1.05,IF(AB497&lt;AC497*0.95,AC497*0.95-AB497,0))</f>
        <v/>
      </c>
      <c r="AE497" s="34">
        <f>MAX(F497,G497,750)*0.05*AD497</f>
        <v/>
      </c>
      <c r="AF497" s="34">
        <f>'[1]GÖP VERİLERİ'!J498</f>
        <v/>
      </c>
      <c r="AG497" s="34">
        <f>IF(AB497&gt;AF497*1.05,AB497-AF497*1.05,IF(AB497&lt;AF497*0.95,AF497*0.95-AB497,0))</f>
        <v/>
      </c>
      <c r="AH497" s="34">
        <f>MAX(I497,J497,750)*0.05*AG497</f>
        <v/>
      </c>
      <c r="AI497">
        <f>'[1]GÖP VERİLERİ'!E498</f>
        <v/>
      </c>
      <c r="AJ497">
        <f>'[1]GÖP VERİLERİ'!F498</f>
        <v/>
      </c>
      <c r="AK497" s="34">
        <f>IF(AI497&gt;AJ497*1.05,AI497-AJ497*1.05,IF(AI497&lt;AJ497*0.95,AJ497*0.95-AI497,0))</f>
        <v/>
      </c>
      <c r="AL497" s="34">
        <f>MAX(F497,G497,750)*0.05*AK497</f>
        <v/>
      </c>
      <c r="AM497" s="39">
        <f>'[1]GÖP VERİLERİ'!G498</f>
        <v/>
      </c>
      <c r="AN497" s="34">
        <f>IF(AI497&gt;AM497*1.05,AI497-AM497*1.05,IF(AI497&lt;AM497*0.95,AM497*0.95-AI497,0))</f>
        <v/>
      </c>
      <c r="AO497" s="34">
        <f>MAX(F497,G497,750)*0.05*AN497</f>
        <v/>
      </c>
      <c r="AP497" s="34">
        <f>'[1]GÖP VERİLERİ'!B498</f>
        <v/>
      </c>
      <c r="AQ497" s="34">
        <f>'[1]GÖP VERİLERİ'!C498</f>
        <v/>
      </c>
      <c r="AR497" s="34">
        <f>IF(AP497&gt;AQ497*1.05,AP497-AQ497*1.05,IF(AP497&lt;AQ497*0.95,AQ497*0.95-AP497,0))</f>
        <v/>
      </c>
      <c r="AS497" s="34">
        <f>MAX(F497:G497,750)*0.05*AR497</f>
        <v/>
      </c>
      <c r="AT497">
        <f>'[1]GÖP VERİLERİ'!D498</f>
        <v/>
      </c>
      <c r="AU497" s="34">
        <f>IF(AP497&gt;AT497*1.05,AP497-AT497*1.05,IF(AP497&lt;AT497*0.95,AT497*0.95-AP497,0))</f>
        <v/>
      </c>
      <c r="AV497" s="34">
        <f>MAX(F497:G497,750)*0.05*AU497</f>
        <v/>
      </c>
      <c r="AW497" s="34">
        <f>AC497+AJ497+AQ497</f>
        <v/>
      </c>
      <c r="AX497" s="34">
        <f>AF497+AM497+AT497</f>
        <v/>
      </c>
      <c r="AY497" s="34">
        <f>AB497+AI497+AP497</f>
        <v/>
      </c>
      <c r="AZ497" s="34" t="n">
        <v>0</v>
      </c>
      <c r="BA497" s="34">
        <f>AD497+AK497+AR497</f>
        <v/>
      </c>
      <c r="BB497" s="34">
        <f>MAX(F497:G497,750)*0.05*BA497</f>
        <v/>
      </c>
      <c r="BC497" s="34">
        <f>AG497+AN497+AU497</f>
        <v/>
      </c>
      <c r="BD497" s="34">
        <f>MAX(F497:G497,750)*0.05*BC497</f>
        <v/>
      </c>
      <c r="BE497" s="34">
        <f>F497*AY497</f>
        <v/>
      </c>
      <c r="BF497" s="34">
        <f>K497-M497</f>
        <v/>
      </c>
      <c r="BG497" s="34">
        <f>P497-S497</f>
        <v/>
      </c>
      <c r="BH497" s="34">
        <f>W497-AA497</f>
        <v/>
      </c>
      <c r="BI497" s="34">
        <f>BF497+BG497+BL497-BN497</f>
        <v/>
      </c>
      <c r="BJ497" s="34">
        <f>ABS(BK497)</f>
        <v/>
      </c>
      <c r="BK497" s="34">
        <f>AY497-(J497-L497+N497-Q497)</f>
        <v/>
      </c>
      <c r="BL497" s="34">
        <f>IF(AND(BK497&gt;0,MIN($F497:$G497)&lt;150,$E497="Enerji Açığı"),-100*BK497*1.03,IF(AND(BK497&gt;0,MIN($F497:$G497)&lt;150,$E497="Enerji Fazlası"),-100*BK497*1.06,IF(AND(BK497&gt;0,MIN($F497:$G497)&gt;=150,$E497="Enerji Açığı"),BK497*MIN($F497:$G497)*0.97,IF(AND(BK497&gt;0,MIN($F497:$G497)&gt;=150,$E497="Enerji Fazlası"),BK497*MIN($F497:$G497)*0.94,IF(AND(BK497&lt;0,MAX($F497:$G497)=4500,$E497="Enerji Açığı"),4500*1.05*1.06*BK497,IF(AND(BK497&lt;0,MAX($F497:$G497)=4500,$E497="Enerji Fazlası"),4500*1.05*1.03*BK497,IF(AND(BK497&lt;0,$E497="Enerji Açığı"),MAX($F497,$G497,150)*BK497*1.06,IF(AND(BK497&lt;0,$E497="Enerji Fazlası"),MAX($F497,$G497,150)*BK497*1.03,IF(AND(BK497&lt;0,$E497="Dengede"),MAX($F497:$G497,150)*1.03*BK497,MIN($F497:$G497)*0.97*BK497)))))))))</f>
        <v/>
      </c>
      <c r="BM497" s="34">
        <f>BE497-BI497-BN497</f>
        <v/>
      </c>
      <c r="BN497" s="34">
        <f>BB497</f>
        <v/>
      </c>
      <c r="BO497" s="34">
        <f>BE497-BI497</f>
        <v/>
      </c>
      <c r="BP497" s="34">
        <f>IF(AY497=0,0,BO497/AY497)</f>
        <v/>
      </c>
      <c r="BQ497" s="34">
        <f>MAX((AY497+MAX((-J497+L497-N497+Q497),0)),(MAX((J497-L497+N497-Q497),0)))</f>
        <v/>
      </c>
      <c r="BR497" s="82">
        <f>IFERROR(ABS(BK497/BQ497),0)</f>
        <v/>
      </c>
      <c r="BS497" s="34">
        <f>IF(BR497&lt;=0.1,0,BK497/BR497*(BR497-0.1))</f>
        <v/>
      </c>
      <c r="BT497" s="34">
        <f>IF((BS497)&lt;0,MAX(F497:G497)*(BS497)*1.03,MIN(F497:G497)*(BS497)*0.97)</f>
        <v/>
      </c>
      <c r="BU497" s="34">
        <f>IF(BR497&gt;0.1,1,0)</f>
        <v/>
      </c>
      <c r="BV497" s="34">
        <f>BF497+BG497+BH497+BY497-CA497</f>
        <v/>
      </c>
      <c r="BW497" s="34">
        <f>ABS(BX497)</f>
        <v/>
      </c>
      <c r="BX497" s="34">
        <f>AY497-(J497-L497+N497-Q497+T497-X497)</f>
        <v/>
      </c>
      <c r="BY497" s="34">
        <f>IF(AND(BX497&gt;0,MIN($F497:$G497)&lt;150,$E497="Enerji Açığı"),-100*BX497*1.03,IF(AND(BX497&gt;0,MIN($F497:$G497)&lt;150,$E497="Enerji Fazlası"),-100*BX497*1.06,IF(AND(BX497&gt;0,MIN($F497:$G497)&gt;=150,$E497="Enerji Açığı"),BX497*MIN($F497:$G497)*0.97,IF(AND(BX497&gt;0,MIN($F497:$G497)&gt;=150,$E497="Enerji Fazlası"),BX497*MIN($F497:$G497)*0.94,IF(AND(BX497&lt;0,MAX($F497:$G497)=4500,$E497="Enerji Açığı"),4500*1.05*1.06*BX497,IF(AND(BX497&lt;0,MAX($F497:$G497)=4500,$E497="Enerji Fazlası"),4500*1.05*1.03*BX497,IF(AND(BX497&lt;0,$E497="Enerji Açığı"),MAX($F497,$G497,150)*BX497*1.06,IF(AND(BX497&lt;0,$E497="Enerji Fazlası"),MAX($F497,$G497,150)*BX497*1.03,IF(AND(BX497&lt;0,$E497="Dengede"),MAX($F497:$G497,150)*1.03*BX497,MIN($F497:$G497)*0.97*BX497)))))))))</f>
        <v/>
      </c>
      <c r="BZ497" s="34">
        <f>BE497-BV497-CA497</f>
        <v/>
      </c>
      <c r="CA497" s="34">
        <f>BD497</f>
        <v/>
      </c>
      <c r="CB497" s="33">
        <f>BE497-BV497</f>
        <v/>
      </c>
      <c r="CC497" s="34">
        <f>IF(AY497=0,0,CB497/AY497)</f>
        <v/>
      </c>
      <c r="CD497" s="34">
        <f>MAX((AY497+MAX((-J497+L497-N497+Q497-T497+X497),0)),(MAX((J497-L497+N497-Q497+T497-X497),0)))</f>
        <v/>
      </c>
      <c r="CE497" s="82">
        <f>IFERROR(ABS(BX497/CD497),0)</f>
        <v/>
      </c>
      <c r="CF497" s="34">
        <f>IF(CE497&lt;=0.1,0,BX497/CE497*(CE497-0.1))</f>
        <v/>
      </c>
      <c r="CG497" s="34">
        <f>IF((CF497)&lt;0,MAX(F497:G497)*(CF497)*1.03,MIN(F497:G497)*(CF497)*0.97)</f>
        <v/>
      </c>
      <c r="CH497" s="34">
        <f>IF(CE497&gt;0.1,1,0)</f>
        <v/>
      </c>
      <c r="CI497" s="34">
        <f>(F497*BX497)-BY497</f>
        <v/>
      </c>
      <c r="CJ497" s="34">
        <f>IF(AY497=0,0,CI497/AY497)</f>
        <v/>
      </c>
    </row>
    <row r="498">
      <c r="A498" s="29">
        <f>[1]FİYATLAR!A473</f>
        <v/>
      </c>
      <c r="B498" s="29">
        <f>[1]FİYATLAR!B473</f>
        <v/>
      </c>
      <c r="C498" s="35">
        <f>INT(A498)</f>
        <v/>
      </c>
      <c r="D498" s="36">
        <f>MONTH(A498)</f>
        <v/>
      </c>
      <c r="E498" s="147">
        <f>[1]FİYATLAR!G473</f>
        <v/>
      </c>
      <c r="F498" s="30">
        <f>[1]FİYATLAR!C473</f>
        <v/>
      </c>
      <c r="G498" s="30">
        <f>[1]FİYATLAR!E473</f>
        <v/>
      </c>
      <c r="H498" s="30">
        <f>[1]FİYATLAR!D473</f>
        <v/>
      </c>
      <c r="I498" s="30">
        <f>[1]FİYATLAR!F473</f>
        <v/>
      </c>
      <c r="J498" s="119" t="n">
        <v>0</v>
      </c>
      <c r="K498" s="34">
        <f>F498*J498</f>
        <v/>
      </c>
      <c r="L498" s="119" t="n"/>
      <c r="M498" s="34">
        <f>L498*F498</f>
        <v/>
      </c>
      <c r="N498" s="119" t="n"/>
      <c r="O498" s="34">
        <f>F498</f>
        <v/>
      </c>
      <c r="P498" s="34">
        <f>N498*O498</f>
        <v/>
      </c>
      <c r="Q498" s="117" t="n">
        <v>0</v>
      </c>
      <c r="R498" s="34">
        <f>F498</f>
        <v/>
      </c>
      <c r="S498" s="34">
        <f>R498*Q498</f>
        <v/>
      </c>
      <c r="T498" s="34">
        <f>SUMIFS('[1]GİP VERİLERİ'!$C:$C,'[1]GİP VERİLERİ'!$B:$B,A498,'[1]GİP VERİLERİ'!$M:$M,"40X000000104782K",'[1]GİP VERİLERİ'!$G:$G,"SELL")</f>
        <v/>
      </c>
      <c r="U498" s="34">
        <f>IFERROR(W498/T498,0)</f>
        <v/>
      </c>
      <c r="V498" s="34">
        <f>IF(U498=0,0,U498-F498)</f>
        <v/>
      </c>
      <c r="W498" s="34">
        <f>SUMIFS('[1]GİP VERİLERİ'!$O:$O,'[1]GİP VERİLERİ'!$B:$B,A498,'[1]GİP VERİLERİ'!$M:$M,"40X000000104782K",'[1]GİP VERİLERİ'!$G:$G,"SELL")</f>
        <v/>
      </c>
      <c r="X498" s="34">
        <f>SUMIFS('[1]GİP VERİLERİ'!$C:$C,'[1]GİP VERİLERİ'!$B:$B,A498,'[1]GİP VERİLERİ'!$M:$M,"40X000000104782K",'[1]GİP VERİLERİ'!$G:$G,"BUY")</f>
        <v/>
      </c>
      <c r="Y498" s="34">
        <f>IFERROR(AA498/X498,0)</f>
        <v/>
      </c>
      <c r="Z498" s="34">
        <f>IF(Y498=0,0,F498-Y498)</f>
        <v/>
      </c>
      <c r="AA498" s="34">
        <f>SUMIFS('[1]GİP VERİLERİ'!$O:$O,'[1]GİP VERİLERİ'!$B:$B,A498,'[1]GİP VERİLERİ'!$M:$M,"40X000000104782K",'[1]GİP VERİLERİ'!$G:$G,"BUY")</f>
        <v/>
      </c>
      <c r="AB498" s="34">
        <f>'[1]GÖP VERİLERİ'!H499</f>
        <v/>
      </c>
      <c r="AC498" s="34">
        <f>'[1]GÖP VERİLERİ'!I499</f>
        <v/>
      </c>
      <c r="AD498" s="34">
        <f>IF(AB498&gt;AC498*1.05,AB498-AC498*1.05,IF(AB498&lt;AC498*0.95,AC498*0.95-AB498,0))</f>
        <v/>
      </c>
      <c r="AE498" s="34">
        <f>MAX(F498,G498,750)*0.05*AD498</f>
        <v/>
      </c>
      <c r="AF498" s="34">
        <f>'[1]GÖP VERİLERİ'!J499</f>
        <v/>
      </c>
      <c r="AG498" s="34">
        <f>IF(AB498&gt;AF498*1.05,AB498-AF498*1.05,IF(AB498&lt;AF498*0.95,AF498*0.95-AB498,0))</f>
        <v/>
      </c>
      <c r="AH498" s="34">
        <f>MAX(I498,J498,750)*0.05*AG498</f>
        <v/>
      </c>
      <c r="AI498">
        <f>'[1]GÖP VERİLERİ'!E499</f>
        <v/>
      </c>
      <c r="AJ498">
        <f>'[1]GÖP VERİLERİ'!F499</f>
        <v/>
      </c>
      <c r="AK498" s="34">
        <f>IF(AI498&gt;AJ498*1.05,AI498-AJ498*1.05,IF(AI498&lt;AJ498*0.95,AJ498*0.95-AI498,0))</f>
        <v/>
      </c>
      <c r="AL498" s="34">
        <f>MAX(F498,G498,750)*0.05*AK498</f>
        <v/>
      </c>
      <c r="AM498" s="39">
        <f>'[1]GÖP VERİLERİ'!G499</f>
        <v/>
      </c>
      <c r="AN498" s="34">
        <f>IF(AI498&gt;AM498*1.05,AI498-AM498*1.05,IF(AI498&lt;AM498*0.95,AM498*0.95-AI498,0))</f>
        <v/>
      </c>
      <c r="AO498" s="34">
        <f>MAX(F498,G498,750)*0.05*AN498</f>
        <v/>
      </c>
      <c r="AP498" s="34">
        <f>'[1]GÖP VERİLERİ'!B499</f>
        <v/>
      </c>
      <c r="AQ498" s="34">
        <f>'[1]GÖP VERİLERİ'!C499</f>
        <v/>
      </c>
      <c r="AR498" s="34">
        <f>IF(AP498&gt;AQ498*1.05,AP498-AQ498*1.05,IF(AP498&lt;AQ498*0.95,AQ498*0.95-AP498,0))</f>
        <v/>
      </c>
      <c r="AS498" s="34">
        <f>MAX(F498:G498,750)*0.05*AR498</f>
        <v/>
      </c>
      <c r="AT498">
        <f>'[1]GÖP VERİLERİ'!D499</f>
        <v/>
      </c>
      <c r="AU498" s="34">
        <f>IF(AP498&gt;AT498*1.05,AP498-AT498*1.05,IF(AP498&lt;AT498*0.95,AT498*0.95-AP498,0))</f>
        <v/>
      </c>
      <c r="AV498" s="34">
        <f>MAX(F498:G498,750)*0.05*AU498</f>
        <v/>
      </c>
      <c r="AW498" s="34">
        <f>AC498+AJ498+AQ498</f>
        <v/>
      </c>
      <c r="AX498" s="34">
        <f>AF498+AM498+AT498</f>
        <v/>
      </c>
      <c r="AY498" s="34">
        <f>AB498+AI498+AP498</f>
        <v/>
      </c>
      <c r="AZ498" s="34" t="n">
        <v>0</v>
      </c>
      <c r="BA498" s="34">
        <f>AD498+AK498+AR498</f>
        <v/>
      </c>
      <c r="BB498" s="34">
        <f>MAX(F498:G498,750)*0.05*BA498</f>
        <v/>
      </c>
      <c r="BC498" s="34">
        <f>AG498+AN498+AU498</f>
        <v/>
      </c>
      <c r="BD498" s="34">
        <f>MAX(F498:G498,750)*0.05*BC498</f>
        <v/>
      </c>
      <c r="BE498" s="34">
        <f>F498*AY498</f>
        <v/>
      </c>
      <c r="BF498" s="34">
        <f>K498-M498</f>
        <v/>
      </c>
      <c r="BG498" s="34">
        <f>P498-S498</f>
        <v/>
      </c>
      <c r="BH498" s="34">
        <f>W498-AA498</f>
        <v/>
      </c>
      <c r="BI498" s="34">
        <f>BF498+BG498+BL498-BN498</f>
        <v/>
      </c>
      <c r="BJ498" s="34">
        <f>ABS(BK498)</f>
        <v/>
      </c>
      <c r="BK498" s="34">
        <f>AY498-(J498-L498+N498-Q498)</f>
        <v/>
      </c>
      <c r="BL498" s="34">
        <f>IF(AND(BK498&gt;0,MIN($F498:$G498)&lt;150,$E498="Enerji Açığı"),-100*BK498*1.03,IF(AND(BK498&gt;0,MIN($F498:$G498)&lt;150,$E498="Enerji Fazlası"),-100*BK498*1.06,IF(AND(BK498&gt;0,MIN($F498:$G498)&gt;=150,$E498="Enerji Açığı"),BK498*MIN($F498:$G498)*0.97,IF(AND(BK498&gt;0,MIN($F498:$G498)&gt;=150,$E498="Enerji Fazlası"),BK498*MIN($F498:$G498)*0.94,IF(AND(BK498&lt;0,MAX($F498:$G498)=4500,$E498="Enerji Açığı"),4500*1.05*1.06*BK498,IF(AND(BK498&lt;0,MAX($F498:$G498)=4500,$E498="Enerji Fazlası"),4500*1.05*1.03*BK498,IF(AND(BK498&lt;0,$E498="Enerji Açığı"),MAX($F498,$G498,150)*BK498*1.06,IF(AND(BK498&lt;0,$E498="Enerji Fazlası"),MAX($F498,$G498,150)*BK498*1.03,IF(AND(BK498&lt;0,$E498="Dengede"),MAX($F498:$G498,150)*1.03*BK498,MIN($F498:$G498)*0.97*BK498)))))))))</f>
        <v/>
      </c>
      <c r="BM498" s="34">
        <f>BE498-BI498-BN498</f>
        <v/>
      </c>
      <c r="BN498" s="34">
        <f>BB498</f>
        <v/>
      </c>
      <c r="BO498" s="34">
        <f>BE498-BI498</f>
        <v/>
      </c>
      <c r="BP498" s="34">
        <f>IF(AY498=0,0,BO498/AY498)</f>
        <v/>
      </c>
      <c r="BQ498" s="34">
        <f>MAX((AY498+MAX((-J498+L498-N498+Q498),0)),(MAX((J498-L498+N498-Q498),0)))</f>
        <v/>
      </c>
      <c r="BR498" s="82">
        <f>IFERROR(ABS(BK498/BQ498),0)</f>
        <v/>
      </c>
      <c r="BS498" s="34">
        <f>IF(BR498&lt;=0.1,0,BK498/BR498*(BR498-0.1))</f>
        <v/>
      </c>
      <c r="BT498" s="34">
        <f>IF((BS498)&lt;0,MAX(F498:G498)*(BS498)*1.03,MIN(F498:G498)*(BS498)*0.97)</f>
        <v/>
      </c>
      <c r="BU498" s="34">
        <f>IF(BR498&gt;0.1,1,0)</f>
        <v/>
      </c>
      <c r="BV498" s="34">
        <f>BF498+BG498+BH498+BY498-CA498</f>
        <v/>
      </c>
      <c r="BW498" s="34">
        <f>ABS(BX498)</f>
        <v/>
      </c>
      <c r="BX498" s="34">
        <f>AY498-(J498-L498+N498-Q498+T498-X498)</f>
        <v/>
      </c>
      <c r="BY498" s="34">
        <f>IF(AND(BX498&gt;0,MIN($F498:$G498)&lt;150,$E498="Enerji Açığı"),-100*BX498*1.03,IF(AND(BX498&gt;0,MIN($F498:$G498)&lt;150,$E498="Enerji Fazlası"),-100*BX498*1.06,IF(AND(BX498&gt;0,MIN($F498:$G498)&gt;=150,$E498="Enerji Açığı"),BX498*MIN($F498:$G498)*0.97,IF(AND(BX498&gt;0,MIN($F498:$G498)&gt;=150,$E498="Enerji Fazlası"),BX498*MIN($F498:$G498)*0.94,IF(AND(BX498&lt;0,MAX($F498:$G498)=4500,$E498="Enerji Açığı"),4500*1.05*1.06*BX498,IF(AND(BX498&lt;0,MAX($F498:$G498)=4500,$E498="Enerji Fazlası"),4500*1.05*1.03*BX498,IF(AND(BX498&lt;0,$E498="Enerji Açığı"),MAX($F498,$G498,150)*BX498*1.06,IF(AND(BX498&lt;0,$E498="Enerji Fazlası"),MAX($F498,$G498,150)*BX498*1.03,IF(AND(BX498&lt;0,$E498="Dengede"),MAX($F498:$G498,150)*1.03*BX498,MIN($F498:$G498)*0.97*BX498)))))))))</f>
        <v/>
      </c>
      <c r="BZ498" s="34">
        <f>BE498-BV498-CA498</f>
        <v/>
      </c>
      <c r="CA498" s="34">
        <f>BD498</f>
        <v/>
      </c>
      <c r="CB498" s="33">
        <f>BE498-BV498</f>
        <v/>
      </c>
      <c r="CC498" s="34">
        <f>IF(AY498=0,0,CB498/AY498)</f>
        <v/>
      </c>
      <c r="CD498" s="34">
        <f>MAX((AY498+MAX((-J498+L498-N498+Q498-T498+X498),0)),(MAX((J498-L498+N498-Q498+T498-X498),0)))</f>
        <v/>
      </c>
      <c r="CE498" s="82">
        <f>IFERROR(ABS(BX498/CD498),0)</f>
        <v/>
      </c>
      <c r="CF498" s="34">
        <f>IF(CE498&lt;=0.1,0,BX498/CE498*(CE498-0.1))</f>
        <v/>
      </c>
      <c r="CG498" s="34">
        <f>IF((CF498)&lt;0,MAX(F498:G498)*(CF498)*1.03,MIN(F498:G498)*(CF498)*0.97)</f>
        <v/>
      </c>
      <c r="CH498" s="34">
        <f>IF(CE498&gt;0.1,1,0)</f>
        <v/>
      </c>
      <c r="CI498" s="34">
        <f>(F498*BX498)-BY498</f>
        <v/>
      </c>
      <c r="CJ498" s="34">
        <f>IF(AY498=0,0,CI498/AY498)</f>
        <v/>
      </c>
    </row>
    <row r="499">
      <c r="A499" s="29">
        <f>[1]FİYATLAR!A474</f>
        <v/>
      </c>
      <c r="B499" s="29">
        <f>[1]FİYATLAR!B474</f>
        <v/>
      </c>
      <c r="C499" s="35">
        <f>INT(A499)</f>
        <v/>
      </c>
      <c r="D499" s="36">
        <f>MONTH(A499)</f>
        <v/>
      </c>
      <c r="E499" s="147">
        <f>[1]FİYATLAR!G474</f>
        <v/>
      </c>
      <c r="F499" s="30">
        <f>[1]FİYATLAR!C474</f>
        <v/>
      </c>
      <c r="G499" s="30">
        <f>[1]FİYATLAR!E474</f>
        <v/>
      </c>
      <c r="H499" s="30">
        <f>[1]FİYATLAR!D474</f>
        <v/>
      </c>
      <c r="I499" s="30">
        <f>[1]FİYATLAR!F474</f>
        <v/>
      </c>
      <c r="J499" s="119" t="n">
        <v>0</v>
      </c>
      <c r="K499" s="34">
        <f>F499*J499</f>
        <v/>
      </c>
      <c r="L499" s="119" t="n"/>
      <c r="M499" s="34">
        <f>L499*F499</f>
        <v/>
      </c>
      <c r="N499" s="119" t="n"/>
      <c r="O499" s="34">
        <f>F499</f>
        <v/>
      </c>
      <c r="P499" s="34">
        <f>N499*O499</f>
        <v/>
      </c>
      <c r="Q499" s="117" t="n">
        <v>0</v>
      </c>
      <c r="R499" s="34">
        <f>F499</f>
        <v/>
      </c>
      <c r="S499" s="34">
        <f>R499*Q499</f>
        <v/>
      </c>
      <c r="T499" s="34">
        <f>SUMIFS('[1]GİP VERİLERİ'!$C:$C,'[1]GİP VERİLERİ'!$B:$B,A499,'[1]GİP VERİLERİ'!$M:$M,"40X000000104782K",'[1]GİP VERİLERİ'!$G:$G,"SELL")</f>
        <v/>
      </c>
      <c r="U499" s="34">
        <f>IFERROR(W499/T499,0)</f>
        <v/>
      </c>
      <c r="V499" s="34">
        <f>IF(U499=0,0,U499-F499)</f>
        <v/>
      </c>
      <c r="W499" s="34">
        <f>SUMIFS('[1]GİP VERİLERİ'!$O:$O,'[1]GİP VERİLERİ'!$B:$B,A499,'[1]GİP VERİLERİ'!$M:$M,"40X000000104782K",'[1]GİP VERİLERİ'!$G:$G,"SELL")</f>
        <v/>
      </c>
      <c r="X499" s="34">
        <f>SUMIFS('[1]GİP VERİLERİ'!$C:$C,'[1]GİP VERİLERİ'!$B:$B,A499,'[1]GİP VERİLERİ'!$M:$M,"40X000000104782K",'[1]GİP VERİLERİ'!$G:$G,"BUY")</f>
        <v/>
      </c>
      <c r="Y499" s="34">
        <f>IFERROR(AA499/X499,0)</f>
        <v/>
      </c>
      <c r="Z499" s="34">
        <f>IF(Y499=0,0,F499-Y499)</f>
        <v/>
      </c>
      <c r="AA499" s="34">
        <f>SUMIFS('[1]GİP VERİLERİ'!$O:$O,'[1]GİP VERİLERİ'!$B:$B,A499,'[1]GİP VERİLERİ'!$M:$M,"40X000000104782K",'[1]GİP VERİLERİ'!$G:$G,"BUY")</f>
        <v/>
      </c>
      <c r="AB499" s="34">
        <f>'[1]GÖP VERİLERİ'!H500</f>
        <v/>
      </c>
      <c r="AC499" s="34">
        <f>'[1]GÖP VERİLERİ'!I500</f>
        <v/>
      </c>
      <c r="AD499" s="34">
        <f>IF(AB499&gt;AC499*1.05,AB499-AC499*1.05,IF(AB499&lt;AC499*0.95,AC499*0.95-AB499,0))</f>
        <v/>
      </c>
      <c r="AE499" s="34">
        <f>MAX(F499,G499,750)*0.05*AD499</f>
        <v/>
      </c>
      <c r="AF499" s="34">
        <f>'[1]GÖP VERİLERİ'!J500</f>
        <v/>
      </c>
      <c r="AG499" s="34">
        <f>IF(AB499&gt;AF499*1.05,AB499-AF499*1.05,IF(AB499&lt;AF499*0.95,AF499*0.95-AB499,0))</f>
        <v/>
      </c>
      <c r="AH499" s="34">
        <f>MAX(I499,J499,750)*0.05*AG499</f>
        <v/>
      </c>
      <c r="AI499">
        <f>'[1]GÖP VERİLERİ'!E500</f>
        <v/>
      </c>
      <c r="AJ499">
        <f>'[1]GÖP VERİLERİ'!F500</f>
        <v/>
      </c>
      <c r="AK499" s="34">
        <f>IF(AI499&gt;AJ499*1.05,AI499-AJ499*1.05,IF(AI499&lt;AJ499*0.95,AJ499*0.95-AI499,0))</f>
        <v/>
      </c>
      <c r="AL499" s="34">
        <f>MAX(F499,G499,750)*0.05*AK499</f>
        <v/>
      </c>
      <c r="AM499" s="39">
        <f>'[1]GÖP VERİLERİ'!G500</f>
        <v/>
      </c>
      <c r="AN499" s="34">
        <f>IF(AI499&gt;AM499*1.05,AI499-AM499*1.05,IF(AI499&lt;AM499*0.95,AM499*0.95-AI499,0))</f>
        <v/>
      </c>
      <c r="AO499" s="34">
        <f>MAX(F499,G499,750)*0.05*AN499</f>
        <v/>
      </c>
      <c r="AP499" s="34">
        <f>'[1]GÖP VERİLERİ'!B500</f>
        <v/>
      </c>
      <c r="AQ499" s="34">
        <f>'[1]GÖP VERİLERİ'!C500</f>
        <v/>
      </c>
      <c r="AR499" s="34">
        <f>IF(AP499&gt;AQ499*1.05,AP499-AQ499*1.05,IF(AP499&lt;AQ499*0.95,AQ499*0.95-AP499,0))</f>
        <v/>
      </c>
      <c r="AS499" s="34">
        <f>MAX(F499:G499,750)*0.05*AR499</f>
        <v/>
      </c>
      <c r="AT499">
        <f>'[1]GÖP VERİLERİ'!D500</f>
        <v/>
      </c>
      <c r="AU499" s="34">
        <f>IF(AP499&gt;AT499*1.05,AP499-AT499*1.05,IF(AP499&lt;AT499*0.95,AT499*0.95-AP499,0))</f>
        <v/>
      </c>
      <c r="AV499" s="34">
        <f>MAX(F499:G499,750)*0.05*AU499</f>
        <v/>
      </c>
      <c r="AW499" s="34">
        <f>AC499+AJ499+AQ499</f>
        <v/>
      </c>
      <c r="AX499" s="34">
        <f>AF499+AM499+AT499</f>
        <v/>
      </c>
      <c r="AY499" s="34">
        <f>AB499+AI499+AP499</f>
        <v/>
      </c>
      <c r="AZ499" s="34" t="n">
        <v>0</v>
      </c>
      <c r="BA499" s="34">
        <f>AD499+AK499+AR499</f>
        <v/>
      </c>
      <c r="BB499" s="34">
        <f>MAX(F499:G499,750)*0.05*BA499</f>
        <v/>
      </c>
      <c r="BC499" s="34">
        <f>AG499+AN499+AU499</f>
        <v/>
      </c>
      <c r="BD499" s="34">
        <f>MAX(F499:G499,750)*0.05*BC499</f>
        <v/>
      </c>
      <c r="BE499" s="34">
        <f>F499*AY499</f>
        <v/>
      </c>
      <c r="BF499" s="34">
        <f>K499-M499</f>
        <v/>
      </c>
      <c r="BG499" s="34">
        <f>P499-S499</f>
        <v/>
      </c>
      <c r="BH499" s="34">
        <f>W499-AA499</f>
        <v/>
      </c>
      <c r="BI499" s="34">
        <f>BF499+BG499+BL499-BN499</f>
        <v/>
      </c>
      <c r="BJ499" s="34">
        <f>ABS(BK499)</f>
        <v/>
      </c>
      <c r="BK499" s="34">
        <f>AY499-(J499-L499+N499-Q499)</f>
        <v/>
      </c>
      <c r="BL499" s="34">
        <f>IF(AND(BK499&gt;0,MIN($F499:$G499)&lt;150,$E499="Enerji Açığı"),-100*BK499*1.03,IF(AND(BK499&gt;0,MIN($F499:$G499)&lt;150,$E499="Enerji Fazlası"),-100*BK499*1.06,IF(AND(BK499&gt;0,MIN($F499:$G499)&gt;=150,$E499="Enerji Açığı"),BK499*MIN($F499:$G499)*0.97,IF(AND(BK499&gt;0,MIN($F499:$G499)&gt;=150,$E499="Enerji Fazlası"),BK499*MIN($F499:$G499)*0.94,IF(AND(BK499&lt;0,MAX($F499:$G499)=4500,$E499="Enerji Açığı"),4500*1.05*1.06*BK499,IF(AND(BK499&lt;0,MAX($F499:$G499)=4500,$E499="Enerji Fazlası"),4500*1.05*1.03*BK499,IF(AND(BK499&lt;0,$E499="Enerji Açığı"),MAX($F499,$G499,150)*BK499*1.06,IF(AND(BK499&lt;0,$E499="Enerji Fazlası"),MAX($F499,$G499,150)*BK499*1.03,IF(AND(BK499&lt;0,$E499="Dengede"),MAX($F499:$G499,150)*1.03*BK499,MIN($F499:$G499)*0.97*BK499)))))))))</f>
        <v/>
      </c>
      <c r="BM499" s="34">
        <f>BE499-BI499-BN499</f>
        <v/>
      </c>
      <c r="BN499" s="34">
        <f>BB499</f>
        <v/>
      </c>
      <c r="BO499" s="34">
        <f>BE499-BI499</f>
        <v/>
      </c>
      <c r="BP499" s="34">
        <f>IF(AY499=0,0,BO499/AY499)</f>
        <v/>
      </c>
      <c r="BQ499" s="34">
        <f>MAX((AY499+MAX((-J499+L499-N499+Q499),0)),(MAX((J499-L499+N499-Q499),0)))</f>
        <v/>
      </c>
      <c r="BR499" s="82">
        <f>IFERROR(ABS(BK499/BQ499),0)</f>
        <v/>
      </c>
      <c r="BS499" s="34">
        <f>IF(BR499&lt;=0.1,0,BK499/BR499*(BR499-0.1))</f>
        <v/>
      </c>
      <c r="BT499" s="34">
        <f>IF((BS499)&lt;0,MAX(F499:G499)*(BS499)*1.03,MIN(F499:G499)*(BS499)*0.97)</f>
        <v/>
      </c>
      <c r="BU499" s="34">
        <f>IF(BR499&gt;0.1,1,0)</f>
        <v/>
      </c>
      <c r="BV499" s="34">
        <f>BF499+BG499+BH499+BY499-CA499</f>
        <v/>
      </c>
      <c r="BW499" s="34">
        <f>ABS(BX499)</f>
        <v/>
      </c>
      <c r="BX499" s="34">
        <f>AY499-(J499-L499+N499-Q499+T499-X499)</f>
        <v/>
      </c>
      <c r="BY499" s="34">
        <f>IF(AND(BX499&gt;0,MIN($F499:$G499)&lt;150,$E499="Enerji Açığı"),-100*BX499*1.03,IF(AND(BX499&gt;0,MIN($F499:$G499)&lt;150,$E499="Enerji Fazlası"),-100*BX499*1.06,IF(AND(BX499&gt;0,MIN($F499:$G499)&gt;=150,$E499="Enerji Açığı"),BX499*MIN($F499:$G499)*0.97,IF(AND(BX499&gt;0,MIN($F499:$G499)&gt;=150,$E499="Enerji Fazlası"),BX499*MIN($F499:$G499)*0.94,IF(AND(BX499&lt;0,MAX($F499:$G499)=4500,$E499="Enerji Açığı"),4500*1.05*1.06*BX499,IF(AND(BX499&lt;0,MAX($F499:$G499)=4500,$E499="Enerji Fazlası"),4500*1.05*1.03*BX499,IF(AND(BX499&lt;0,$E499="Enerji Açığı"),MAX($F499,$G499,150)*BX499*1.06,IF(AND(BX499&lt;0,$E499="Enerji Fazlası"),MAX($F499,$G499,150)*BX499*1.03,IF(AND(BX499&lt;0,$E499="Dengede"),MAX($F499:$G499,150)*1.03*BX499,MIN($F499:$G499)*0.97*BX499)))))))))</f>
        <v/>
      </c>
      <c r="BZ499" s="34">
        <f>BE499-BV499-CA499</f>
        <v/>
      </c>
      <c r="CA499" s="34">
        <f>BD499</f>
        <v/>
      </c>
      <c r="CB499" s="33">
        <f>BE499-BV499</f>
        <v/>
      </c>
      <c r="CC499" s="34">
        <f>IF(AY499=0,0,CB499/AY499)</f>
        <v/>
      </c>
      <c r="CD499" s="34">
        <f>MAX((AY499+MAX((-J499+L499-N499+Q499-T499+X499),0)),(MAX((J499-L499+N499-Q499+T499-X499),0)))</f>
        <v/>
      </c>
      <c r="CE499" s="82">
        <f>IFERROR(ABS(BX499/CD499),0)</f>
        <v/>
      </c>
      <c r="CF499" s="34">
        <f>IF(CE499&lt;=0.1,0,BX499/CE499*(CE499-0.1))</f>
        <v/>
      </c>
      <c r="CG499" s="34">
        <f>IF((CF499)&lt;0,MAX(F499:G499)*(CF499)*1.03,MIN(F499:G499)*(CF499)*0.97)</f>
        <v/>
      </c>
      <c r="CH499" s="34">
        <f>IF(CE499&gt;0.1,1,0)</f>
        <v/>
      </c>
      <c r="CI499" s="34">
        <f>(F499*BX499)-BY499</f>
        <v/>
      </c>
      <c r="CJ499" s="34">
        <f>IF(AY499=0,0,CI499/AY499)</f>
        <v/>
      </c>
    </row>
    <row r="500">
      <c r="A500" s="29">
        <f>[1]FİYATLAR!A475</f>
        <v/>
      </c>
      <c r="B500" s="29">
        <f>[1]FİYATLAR!B475</f>
        <v/>
      </c>
      <c r="C500" s="35">
        <f>INT(A500)</f>
        <v/>
      </c>
      <c r="D500" s="36">
        <f>MONTH(A500)</f>
        <v/>
      </c>
      <c r="E500" s="147">
        <f>[1]FİYATLAR!G475</f>
        <v/>
      </c>
      <c r="F500" s="30">
        <f>[1]FİYATLAR!C475</f>
        <v/>
      </c>
      <c r="G500" s="30">
        <f>[1]FİYATLAR!E475</f>
        <v/>
      </c>
      <c r="H500" s="30">
        <f>[1]FİYATLAR!D475</f>
        <v/>
      </c>
      <c r="I500" s="30">
        <f>[1]FİYATLAR!F475</f>
        <v/>
      </c>
      <c r="J500" s="119" t="n">
        <v>0</v>
      </c>
      <c r="K500" s="34">
        <f>F500*J500</f>
        <v/>
      </c>
      <c r="L500" s="119" t="n"/>
      <c r="M500" s="34">
        <f>L500*F500</f>
        <v/>
      </c>
      <c r="N500" s="119" t="n"/>
      <c r="O500" s="34">
        <f>F500</f>
        <v/>
      </c>
      <c r="P500" s="34">
        <f>N500*O500</f>
        <v/>
      </c>
      <c r="Q500" s="117" t="n">
        <v>0</v>
      </c>
      <c r="R500" s="34">
        <f>F500</f>
        <v/>
      </c>
      <c r="S500" s="34">
        <f>R500*Q500</f>
        <v/>
      </c>
      <c r="T500" s="34">
        <f>SUMIFS('[1]GİP VERİLERİ'!$C:$C,'[1]GİP VERİLERİ'!$B:$B,A500,'[1]GİP VERİLERİ'!$M:$M,"40X000000104782K",'[1]GİP VERİLERİ'!$G:$G,"SELL")</f>
        <v/>
      </c>
      <c r="U500" s="34">
        <f>IFERROR(W500/T500,0)</f>
        <v/>
      </c>
      <c r="V500" s="34">
        <f>IF(U500=0,0,U500-F500)</f>
        <v/>
      </c>
      <c r="W500" s="34">
        <f>SUMIFS('[1]GİP VERİLERİ'!$O:$O,'[1]GİP VERİLERİ'!$B:$B,A500,'[1]GİP VERİLERİ'!$M:$M,"40X000000104782K",'[1]GİP VERİLERİ'!$G:$G,"SELL")</f>
        <v/>
      </c>
      <c r="X500" s="34">
        <f>SUMIFS('[1]GİP VERİLERİ'!$C:$C,'[1]GİP VERİLERİ'!$B:$B,A500,'[1]GİP VERİLERİ'!$M:$M,"40X000000104782K",'[1]GİP VERİLERİ'!$G:$G,"BUY")</f>
        <v/>
      </c>
      <c r="Y500" s="34">
        <f>IFERROR(AA500/X500,0)</f>
        <v/>
      </c>
      <c r="Z500" s="34">
        <f>IF(Y500=0,0,F500-Y500)</f>
        <v/>
      </c>
      <c r="AA500" s="34">
        <f>SUMIFS('[1]GİP VERİLERİ'!$O:$O,'[1]GİP VERİLERİ'!$B:$B,A500,'[1]GİP VERİLERİ'!$M:$M,"40X000000104782K",'[1]GİP VERİLERİ'!$G:$G,"BUY")</f>
        <v/>
      </c>
      <c r="AB500" s="34">
        <f>'[1]GÖP VERİLERİ'!H501</f>
        <v/>
      </c>
      <c r="AC500" s="34">
        <f>'[1]GÖP VERİLERİ'!I501</f>
        <v/>
      </c>
      <c r="AD500" s="34">
        <f>IF(AB500&gt;AC500*1.05,AB500-AC500*1.05,IF(AB500&lt;AC500*0.95,AC500*0.95-AB500,0))</f>
        <v/>
      </c>
      <c r="AE500" s="34">
        <f>MAX(F500,G500,750)*0.05*AD500</f>
        <v/>
      </c>
      <c r="AF500" s="34">
        <f>'[1]GÖP VERİLERİ'!J501</f>
        <v/>
      </c>
      <c r="AG500" s="34">
        <f>IF(AB500&gt;AF500*1.05,AB500-AF500*1.05,IF(AB500&lt;AF500*0.95,AF500*0.95-AB500,0))</f>
        <v/>
      </c>
      <c r="AH500" s="34">
        <f>MAX(I500,J500,750)*0.05*AG500</f>
        <v/>
      </c>
      <c r="AI500">
        <f>'[1]GÖP VERİLERİ'!E501</f>
        <v/>
      </c>
      <c r="AJ500">
        <f>'[1]GÖP VERİLERİ'!F501</f>
        <v/>
      </c>
      <c r="AK500" s="34">
        <f>IF(AI500&gt;AJ500*1.05,AI500-AJ500*1.05,IF(AI500&lt;AJ500*0.95,AJ500*0.95-AI500,0))</f>
        <v/>
      </c>
      <c r="AL500" s="34">
        <f>MAX(F500,G500,750)*0.05*AK500</f>
        <v/>
      </c>
      <c r="AM500" s="39">
        <f>'[1]GÖP VERİLERİ'!G501</f>
        <v/>
      </c>
      <c r="AN500" s="34">
        <f>IF(AI500&gt;AM500*1.05,AI500-AM500*1.05,IF(AI500&lt;AM500*0.95,AM500*0.95-AI500,0))</f>
        <v/>
      </c>
      <c r="AO500" s="34">
        <f>MAX(F500,G500,750)*0.05*AN500</f>
        <v/>
      </c>
      <c r="AP500" s="34">
        <f>'[1]GÖP VERİLERİ'!B501</f>
        <v/>
      </c>
      <c r="AQ500" s="34">
        <f>'[1]GÖP VERİLERİ'!C501</f>
        <v/>
      </c>
      <c r="AR500" s="34">
        <f>IF(AP500&gt;AQ500*1.05,AP500-AQ500*1.05,IF(AP500&lt;AQ500*0.95,AQ500*0.95-AP500,0))</f>
        <v/>
      </c>
      <c r="AS500" s="34">
        <f>MAX(F500:G500,750)*0.05*AR500</f>
        <v/>
      </c>
      <c r="AT500">
        <f>'[1]GÖP VERİLERİ'!D501</f>
        <v/>
      </c>
      <c r="AU500" s="34">
        <f>IF(AP500&gt;AT500*1.05,AP500-AT500*1.05,IF(AP500&lt;AT500*0.95,AT500*0.95-AP500,0))</f>
        <v/>
      </c>
      <c r="AV500" s="34">
        <f>MAX(F500:G500,750)*0.05*AU500</f>
        <v/>
      </c>
      <c r="AW500" s="34">
        <f>AC500+AJ500+AQ500</f>
        <v/>
      </c>
      <c r="AX500" s="34">
        <f>AF500+AM500+AT500</f>
        <v/>
      </c>
      <c r="AY500" s="34">
        <f>AB500+AI500+AP500</f>
        <v/>
      </c>
      <c r="AZ500" s="34" t="n">
        <v>0</v>
      </c>
      <c r="BA500" s="34">
        <f>AD500+AK500+AR500</f>
        <v/>
      </c>
      <c r="BB500" s="34">
        <f>MAX(F500:G500,750)*0.05*BA500</f>
        <v/>
      </c>
      <c r="BC500" s="34">
        <f>AG500+AN500+AU500</f>
        <v/>
      </c>
      <c r="BD500" s="34">
        <f>MAX(F500:G500,750)*0.05*BC500</f>
        <v/>
      </c>
      <c r="BE500" s="34">
        <f>F500*AY500</f>
        <v/>
      </c>
      <c r="BF500" s="34">
        <f>K500-M500</f>
        <v/>
      </c>
      <c r="BG500" s="34">
        <f>P500-S500</f>
        <v/>
      </c>
      <c r="BH500" s="34">
        <f>W500-AA500</f>
        <v/>
      </c>
      <c r="BI500" s="34">
        <f>BF500+BG500+BL500-BN500</f>
        <v/>
      </c>
      <c r="BJ500" s="34">
        <f>ABS(BK500)</f>
        <v/>
      </c>
      <c r="BK500" s="34">
        <f>AY500-(J500-L500+N500-Q500)</f>
        <v/>
      </c>
      <c r="BL500" s="34">
        <f>IF(AND(BK500&gt;0,MIN($F500:$G500)&lt;150,$E500="Enerji Açığı"),-100*BK500*1.03,IF(AND(BK500&gt;0,MIN($F500:$G500)&lt;150,$E500="Enerji Fazlası"),-100*BK500*1.06,IF(AND(BK500&gt;0,MIN($F500:$G500)&gt;=150,$E500="Enerji Açığı"),BK500*MIN($F500:$G500)*0.97,IF(AND(BK500&gt;0,MIN($F500:$G500)&gt;=150,$E500="Enerji Fazlası"),BK500*MIN($F500:$G500)*0.94,IF(AND(BK500&lt;0,MAX($F500:$G500)=4500,$E500="Enerji Açığı"),4500*1.05*1.06*BK500,IF(AND(BK500&lt;0,MAX($F500:$G500)=4500,$E500="Enerji Fazlası"),4500*1.05*1.03*BK500,IF(AND(BK500&lt;0,$E500="Enerji Açığı"),MAX($F500,$G500,150)*BK500*1.06,IF(AND(BK500&lt;0,$E500="Enerji Fazlası"),MAX($F500,$G500,150)*BK500*1.03,IF(AND(BK500&lt;0,$E500="Dengede"),MAX($F500:$G500,150)*1.03*BK500,MIN($F500:$G500)*0.97*BK500)))))))))</f>
        <v/>
      </c>
      <c r="BM500" s="34">
        <f>BE500-BI500-BN500</f>
        <v/>
      </c>
      <c r="BN500" s="34">
        <f>BB500</f>
        <v/>
      </c>
      <c r="BO500" s="34">
        <f>BE500-BI500</f>
        <v/>
      </c>
      <c r="BP500" s="34">
        <f>IF(AY500=0,0,BO500/AY500)</f>
        <v/>
      </c>
      <c r="BQ500" s="34">
        <f>MAX((AY500+MAX((-J500+L500-N500+Q500),0)),(MAX((J500-L500+N500-Q500),0)))</f>
        <v/>
      </c>
      <c r="BR500" s="82">
        <f>IFERROR(ABS(BK500/BQ500),0)</f>
        <v/>
      </c>
      <c r="BS500" s="34">
        <f>IF(BR500&lt;=0.1,0,BK500/BR500*(BR500-0.1))</f>
        <v/>
      </c>
      <c r="BT500" s="34">
        <f>IF((BS500)&lt;0,MAX(F500:G500)*(BS500)*1.03,MIN(F500:G500)*(BS500)*0.97)</f>
        <v/>
      </c>
      <c r="BU500" s="34">
        <f>IF(BR500&gt;0.1,1,0)</f>
        <v/>
      </c>
      <c r="BV500" s="34">
        <f>BF500+BG500+BH500+BY500-CA500</f>
        <v/>
      </c>
      <c r="BW500" s="34">
        <f>ABS(BX500)</f>
        <v/>
      </c>
      <c r="BX500" s="34">
        <f>AY500-(J500-L500+N500-Q500+T500-X500)</f>
        <v/>
      </c>
      <c r="BY500" s="34">
        <f>IF(AND(BX500&gt;0,MIN($F500:$G500)&lt;150,$E500="Enerji Açığı"),-100*BX500*1.03,IF(AND(BX500&gt;0,MIN($F500:$G500)&lt;150,$E500="Enerji Fazlası"),-100*BX500*1.06,IF(AND(BX500&gt;0,MIN($F500:$G500)&gt;=150,$E500="Enerji Açığı"),BX500*MIN($F500:$G500)*0.97,IF(AND(BX500&gt;0,MIN($F500:$G500)&gt;=150,$E500="Enerji Fazlası"),BX500*MIN($F500:$G500)*0.94,IF(AND(BX500&lt;0,MAX($F500:$G500)=4500,$E500="Enerji Açığı"),4500*1.05*1.06*BX500,IF(AND(BX500&lt;0,MAX($F500:$G500)=4500,$E500="Enerji Fazlası"),4500*1.05*1.03*BX500,IF(AND(BX500&lt;0,$E500="Enerji Açığı"),MAX($F500,$G500,150)*BX500*1.06,IF(AND(BX500&lt;0,$E500="Enerji Fazlası"),MAX($F500,$G500,150)*BX500*1.03,IF(AND(BX500&lt;0,$E500="Dengede"),MAX($F500:$G500,150)*1.03*BX500,MIN($F500:$G500)*0.97*BX500)))))))))</f>
        <v/>
      </c>
      <c r="BZ500" s="34">
        <f>BE500-BV500-CA500</f>
        <v/>
      </c>
      <c r="CA500" s="34">
        <f>BD500</f>
        <v/>
      </c>
      <c r="CB500" s="33">
        <f>BE500-BV500</f>
        <v/>
      </c>
      <c r="CC500" s="34">
        <f>IF(AY500=0,0,CB500/AY500)</f>
        <v/>
      </c>
      <c r="CD500" s="34">
        <f>MAX((AY500+MAX((-J500+L500-N500+Q500-T500+X500),0)),(MAX((J500-L500+N500-Q500+T500-X500),0)))</f>
        <v/>
      </c>
      <c r="CE500" s="82">
        <f>IFERROR(ABS(BX500/CD500),0)</f>
        <v/>
      </c>
      <c r="CF500" s="34">
        <f>IF(CE500&lt;=0.1,0,BX500/CE500*(CE500-0.1))</f>
        <v/>
      </c>
      <c r="CG500" s="34">
        <f>IF((CF500)&lt;0,MAX(F500:G500)*(CF500)*1.03,MIN(F500:G500)*(CF500)*0.97)</f>
        <v/>
      </c>
      <c r="CH500" s="34">
        <f>IF(CE500&gt;0.1,1,0)</f>
        <v/>
      </c>
      <c r="CI500" s="34">
        <f>(F500*BX500)-BY500</f>
        <v/>
      </c>
      <c r="CJ500" s="34">
        <f>IF(AY500=0,0,CI500/AY500)</f>
        <v/>
      </c>
    </row>
    <row r="501">
      <c r="A501" s="29">
        <f>[1]FİYATLAR!A476</f>
        <v/>
      </c>
      <c r="B501" s="29">
        <f>[1]FİYATLAR!B476</f>
        <v/>
      </c>
      <c r="C501" s="35">
        <f>INT(A501)</f>
        <v/>
      </c>
      <c r="D501" s="36">
        <f>MONTH(A501)</f>
        <v/>
      </c>
      <c r="E501" s="147">
        <f>[1]FİYATLAR!G476</f>
        <v/>
      </c>
      <c r="F501" s="30">
        <f>[1]FİYATLAR!C476</f>
        <v/>
      </c>
      <c r="G501" s="30">
        <f>[1]FİYATLAR!E476</f>
        <v/>
      </c>
      <c r="H501" s="30">
        <f>[1]FİYATLAR!D476</f>
        <v/>
      </c>
      <c r="I501" s="30">
        <f>[1]FİYATLAR!F476</f>
        <v/>
      </c>
      <c r="J501" s="119" t="n">
        <v>0</v>
      </c>
      <c r="K501" s="34">
        <f>F501*J501</f>
        <v/>
      </c>
      <c r="L501" s="119" t="n"/>
      <c r="M501" s="34">
        <f>L501*F501</f>
        <v/>
      </c>
      <c r="N501" s="119" t="n"/>
      <c r="O501" s="34">
        <f>F501</f>
        <v/>
      </c>
      <c r="P501" s="34">
        <f>N501*O501</f>
        <v/>
      </c>
      <c r="Q501" s="117" t="n">
        <v>0</v>
      </c>
      <c r="R501" s="34">
        <f>F501</f>
        <v/>
      </c>
      <c r="S501" s="34">
        <f>R501*Q501</f>
        <v/>
      </c>
      <c r="T501" s="34">
        <f>SUMIFS('[1]GİP VERİLERİ'!$C:$C,'[1]GİP VERİLERİ'!$B:$B,A501,'[1]GİP VERİLERİ'!$M:$M,"40X000000104782K",'[1]GİP VERİLERİ'!$G:$G,"SELL")</f>
        <v/>
      </c>
      <c r="U501" s="34">
        <f>IFERROR(W501/T501,0)</f>
        <v/>
      </c>
      <c r="V501" s="34">
        <f>IF(U501=0,0,U501-F501)</f>
        <v/>
      </c>
      <c r="W501" s="34">
        <f>SUMIFS('[1]GİP VERİLERİ'!$O:$O,'[1]GİP VERİLERİ'!$B:$B,A501,'[1]GİP VERİLERİ'!$M:$M,"40X000000104782K",'[1]GİP VERİLERİ'!$G:$G,"SELL")</f>
        <v/>
      </c>
      <c r="X501" s="34">
        <f>SUMIFS('[1]GİP VERİLERİ'!$C:$C,'[1]GİP VERİLERİ'!$B:$B,A501,'[1]GİP VERİLERİ'!$M:$M,"40X000000104782K",'[1]GİP VERİLERİ'!$G:$G,"BUY")</f>
        <v/>
      </c>
      <c r="Y501" s="34">
        <f>IFERROR(AA501/X501,0)</f>
        <v/>
      </c>
      <c r="Z501" s="34">
        <f>IF(Y501=0,0,F501-Y501)</f>
        <v/>
      </c>
      <c r="AA501" s="34">
        <f>SUMIFS('[1]GİP VERİLERİ'!$O:$O,'[1]GİP VERİLERİ'!$B:$B,A501,'[1]GİP VERİLERİ'!$M:$M,"40X000000104782K",'[1]GİP VERİLERİ'!$G:$G,"BUY")</f>
        <v/>
      </c>
      <c r="AB501" s="34">
        <f>'[1]GÖP VERİLERİ'!H502</f>
        <v/>
      </c>
      <c r="AC501" s="34">
        <f>'[1]GÖP VERİLERİ'!I502</f>
        <v/>
      </c>
      <c r="AD501" s="34">
        <f>IF(AB501&gt;AC501*1.05,AB501-AC501*1.05,IF(AB501&lt;AC501*0.95,AC501*0.95-AB501,0))</f>
        <v/>
      </c>
      <c r="AE501" s="34">
        <f>MAX(F501,G501,750)*0.05*AD501</f>
        <v/>
      </c>
      <c r="AF501" s="34">
        <f>'[1]GÖP VERİLERİ'!J502</f>
        <v/>
      </c>
      <c r="AG501" s="34">
        <f>IF(AB501&gt;AF501*1.05,AB501-AF501*1.05,IF(AB501&lt;AF501*0.95,AF501*0.95-AB501,0))</f>
        <v/>
      </c>
      <c r="AH501" s="34">
        <f>MAX(I501,J501,750)*0.05*AG501</f>
        <v/>
      </c>
      <c r="AI501">
        <f>'[1]GÖP VERİLERİ'!E502</f>
        <v/>
      </c>
      <c r="AJ501">
        <f>'[1]GÖP VERİLERİ'!F502</f>
        <v/>
      </c>
      <c r="AK501" s="34">
        <f>IF(AI501&gt;AJ501*1.05,AI501-AJ501*1.05,IF(AI501&lt;AJ501*0.95,AJ501*0.95-AI501,0))</f>
        <v/>
      </c>
      <c r="AL501" s="34">
        <f>MAX(F501,G501,750)*0.05*AK501</f>
        <v/>
      </c>
      <c r="AM501" s="39">
        <f>'[1]GÖP VERİLERİ'!G502</f>
        <v/>
      </c>
      <c r="AN501" s="34">
        <f>IF(AI501&gt;AM501*1.05,AI501-AM501*1.05,IF(AI501&lt;AM501*0.95,AM501*0.95-AI501,0))</f>
        <v/>
      </c>
      <c r="AO501" s="34">
        <f>MAX(F501,G501,750)*0.05*AN501</f>
        <v/>
      </c>
      <c r="AP501" s="34">
        <f>'[1]GÖP VERİLERİ'!B502</f>
        <v/>
      </c>
      <c r="AQ501" s="34">
        <f>'[1]GÖP VERİLERİ'!C502</f>
        <v/>
      </c>
      <c r="AR501" s="34">
        <f>IF(AP501&gt;AQ501*1.05,AP501-AQ501*1.05,IF(AP501&lt;AQ501*0.95,AQ501*0.95-AP501,0))</f>
        <v/>
      </c>
      <c r="AS501" s="34">
        <f>MAX(F501:G501,750)*0.05*AR501</f>
        <v/>
      </c>
      <c r="AT501">
        <f>'[1]GÖP VERİLERİ'!D502</f>
        <v/>
      </c>
      <c r="AU501" s="34">
        <f>IF(AP501&gt;AT501*1.05,AP501-AT501*1.05,IF(AP501&lt;AT501*0.95,AT501*0.95-AP501,0))</f>
        <v/>
      </c>
      <c r="AV501" s="34">
        <f>MAX(F501:G501,750)*0.05*AU501</f>
        <v/>
      </c>
      <c r="AW501" s="34">
        <f>AC501+AJ501+AQ501</f>
        <v/>
      </c>
      <c r="AX501" s="34">
        <f>AF501+AM501+AT501</f>
        <v/>
      </c>
      <c r="AY501" s="34">
        <f>AB501+AI501+AP501</f>
        <v/>
      </c>
      <c r="AZ501" s="34" t="n">
        <v>0</v>
      </c>
      <c r="BA501" s="34">
        <f>AD501+AK501+AR501</f>
        <v/>
      </c>
      <c r="BB501" s="34">
        <f>MAX(F501:G501,750)*0.05*BA501</f>
        <v/>
      </c>
      <c r="BC501" s="34">
        <f>AG501+AN501+AU501</f>
        <v/>
      </c>
      <c r="BD501" s="34">
        <f>MAX(F501:G501,750)*0.05*BC501</f>
        <v/>
      </c>
      <c r="BE501" s="34">
        <f>F501*AY501</f>
        <v/>
      </c>
      <c r="BF501" s="34">
        <f>K501-M501</f>
        <v/>
      </c>
      <c r="BG501" s="34">
        <f>P501-S501</f>
        <v/>
      </c>
      <c r="BH501" s="34">
        <f>W501-AA501</f>
        <v/>
      </c>
      <c r="BI501" s="34">
        <f>BF501+BG501+BL501-BN501</f>
        <v/>
      </c>
      <c r="BJ501" s="34">
        <f>ABS(BK501)</f>
        <v/>
      </c>
      <c r="BK501" s="34">
        <f>AY501-(J501-L501+N501-Q501)</f>
        <v/>
      </c>
      <c r="BL501" s="34">
        <f>IF(AND(BK501&gt;0,MIN($F501:$G501)&lt;150,$E501="Enerji Açığı"),-100*BK501*1.03,IF(AND(BK501&gt;0,MIN($F501:$G501)&lt;150,$E501="Enerji Fazlası"),-100*BK501*1.06,IF(AND(BK501&gt;0,MIN($F501:$G501)&gt;=150,$E501="Enerji Açığı"),BK501*MIN($F501:$G501)*0.97,IF(AND(BK501&gt;0,MIN($F501:$G501)&gt;=150,$E501="Enerji Fazlası"),BK501*MIN($F501:$G501)*0.94,IF(AND(BK501&lt;0,MAX($F501:$G501)=4500,$E501="Enerji Açığı"),4500*1.05*1.06*BK501,IF(AND(BK501&lt;0,MAX($F501:$G501)=4500,$E501="Enerji Fazlası"),4500*1.05*1.03*BK501,IF(AND(BK501&lt;0,$E501="Enerji Açığı"),MAX($F501,$G501,150)*BK501*1.06,IF(AND(BK501&lt;0,$E501="Enerji Fazlası"),MAX($F501,$G501,150)*BK501*1.03,IF(AND(BK501&lt;0,$E501="Dengede"),MAX($F501:$G501,150)*1.03*BK501,MIN($F501:$G501)*0.97*BK501)))))))))</f>
        <v/>
      </c>
      <c r="BM501" s="34">
        <f>BE501-BI501-BN501</f>
        <v/>
      </c>
      <c r="BN501" s="34">
        <f>BB501</f>
        <v/>
      </c>
      <c r="BO501" s="34">
        <f>BE501-BI501</f>
        <v/>
      </c>
      <c r="BP501" s="34">
        <f>IF(AY501=0,0,BO501/AY501)</f>
        <v/>
      </c>
      <c r="BQ501" s="34">
        <f>MAX((AY501+MAX((-J501+L501-N501+Q501),0)),(MAX((J501-L501+N501-Q501),0)))</f>
        <v/>
      </c>
      <c r="BR501" s="82">
        <f>IFERROR(ABS(BK501/BQ501),0)</f>
        <v/>
      </c>
      <c r="BS501" s="34">
        <f>IF(BR501&lt;=0.1,0,BK501/BR501*(BR501-0.1))</f>
        <v/>
      </c>
      <c r="BT501" s="34">
        <f>IF((BS501)&lt;0,MAX(F501:G501)*(BS501)*1.03,MIN(F501:G501)*(BS501)*0.97)</f>
        <v/>
      </c>
      <c r="BU501" s="34">
        <f>IF(BR501&gt;0.1,1,0)</f>
        <v/>
      </c>
      <c r="BV501" s="34">
        <f>BF501+BG501+BH501+BY501-CA501</f>
        <v/>
      </c>
      <c r="BW501" s="34">
        <f>ABS(BX501)</f>
        <v/>
      </c>
      <c r="BX501" s="34">
        <f>AY501-(J501-L501+N501-Q501+T501-X501)</f>
        <v/>
      </c>
      <c r="BY501" s="34">
        <f>IF(AND(BX501&gt;0,MIN($F501:$G501)&lt;150,$E501="Enerji Açığı"),-100*BX501*1.03,IF(AND(BX501&gt;0,MIN($F501:$G501)&lt;150,$E501="Enerji Fazlası"),-100*BX501*1.06,IF(AND(BX501&gt;0,MIN($F501:$G501)&gt;=150,$E501="Enerji Açığı"),BX501*MIN($F501:$G501)*0.97,IF(AND(BX501&gt;0,MIN($F501:$G501)&gt;=150,$E501="Enerji Fazlası"),BX501*MIN($F501:$G501)*0.94,IF(AND(BX501&lt;0,MAX($F501:$G501)=4500,$E501="Enerji Açığı"),4500*1.05*1.06*BX501,IF(AND(BX501&lt;0,MAX($F501:$G501)=4500,$E501="Enerji Fazlası"),4500*1.05*1.03*BX501,IF(AND(BX501&lt;0,$E501="Enerji Açığı"),MAX($F501,$G501,150)*BX501*1.06,IF(AND(BX501&lt;0,$E501="Enerji Fazlası"),MAX($F501,$G501,150)*BX501*1.03,IF(AND(BX501&lt;0,$E501="Dengede"),MAX($F501:$G501,150)*1.03*BX501,MIN($F501:$G501)*0.97*BX501)))))))))</f>
        <v/>
      </c>
      <c r="BZ501" s="34">
        <f>BE501-BV501-CA501</f>
        <v/>
      </c>
      <c r="CA501" s="34">
        <f>BD501</f>
        <v/>
      </c>
      <c r="CB501" s="33">
        <f>BE501-BV501</f>
        <v/>
      </c>
      <c r="CC501" s="34">
        <f>IF(AY501=0,0,CB501/AY501)</f>
        <v/>
      </c>
      <c r="CD501" s="34">
        <f>MAX((AY501+MAX((-J501+L501-N501+Q501-T501+X501),0)),(MAX((J501-L501+N501-Q501+T501-X501),0)))</f>
        <v/>
      </c>
      <c r="CE501" s="82">
        <f>IFERROR(ABS(BX501/CD501),0)</f>
        <v/>
      </c>
      <c r="CF501" s="34">
        <f>IF(CE501&lt;=0.1,0,BX501/CE501*(CE501-0.1))</f>
        <v/>
      </c>
      <c r="CG501" s="34">
        <f>IF((CF501)&lt;0,MAX(F501:G501)*(CF501)*1.03,MIN(F501:G501)*(CF501)*0.97)</f>
        <v/>
      </c>
      <c r="CH501" s="34">
        <f>IF(CE501&gt;0.1,1,0)</f>
        <v/>
      </c>
      <c r="CI501" s="34">
        <f>(F501*BX501)-BY501</f>
        <v/>
      </c>
      <c r="CJ501" s="34">
        <f>IF(AY501=0,0,CI501/AY501)</f>
        <v/>
      </c>
    </row>
    <row r="502">
      <c r="A502" s="29">
        <f>[1]FİYATLAR!A477</f>
        <v/>
      </c>
      <c r="B502" s="29">
        <f>[1]FİYATLAR!B477</f>
        <v/>
      </c>
      <c r="C502" s="35">
        <f>INT(A502)</f>
        <v/>
      </c>
      <c r="D502" s="36">
        <f>MONTH(A502)</f>
        <v/>
      </c>
      <c r="E502" s="147">
        <f>[1]FİYATLAR!G477</f>
        <v/>
      </c>
      <c r="F502" s="30">
        <f>[1]FİYATLAR!C477</f>
        <v/>
      </c>
      <c r="G502" s="30">
        <f>[1]FİYATLAR!E477</f>
        <v/>
      </c>
      <c r="H502" s="30">
        <f>[1]FİYATLAR!D477</f>
        <v/>
      </c>
      <c r="I502" s="30">
        <f>[1]FİYATLAR!F477</f>
        <v/>
      </c>
      <c r="J502" s="119" t="n">
        <v>0</v>
      </c>
      <c r="K502" s="34">
        <f>F502*J502</f>
        <v/>
      </c>
      <c r="L502" s="119" t="n"/>
      <c r="M502" s="34">
        <f>L502*F502</f>
        <v/>
      </c>
      <c r="N502" s="119" t="n"/>
      <c r="O502" s="34">
        <f>F502</f>
        <v/>
      </c>
      <c r="P502" s="34">
        <f>N502*O502</f>
        <v/>
      </c>
      <c r="Q502" s="117" t="n">
        <v>0</v>
      </c>
      <c r="R502" s="34">
        <f>F502</f>
        <v/>
      </c>
      <c r="S502" s="34">
        <f>R502*Q502</f>
        <v/>
      </c>
      <c r="T502" s="34">
        <f>SUMIFS('[1]GİP VERİLERİ'!$C:$C,'[1]GİP VERİLERİ'!$B:$B,A502,'[1]GİP VERİLERİ'!$M:$M,"40X000000104782K",'[1]GİP VERİLERİ'!$G:$G,"SELL")</f>
        <v/>
      </c>
      <c r="U502" s="34">
        <f>IFERROR(W502/T502,0)</f>
        <v/>
      </c>
      <c r="V502" s="34">
        <f>IF(U502=0,0,U502-F502)</f>
        <v/>
      </c>
      <c r="W502" s="34">
        <f>SUMIFS('[1]GİP VERİLERİ'!$O:$O,'[1]GİP VERİLERİ'!$B:$B,A502,'[1]GİP VERİLERİ'!$M:$M,"40X000000104782K",'[1]GİP VERİLERİ'!$G:$G,"SELL")</f>
        <v/>
      </c>
      <c r="X502" s="34">
        <f>SUMIFS('[1]GİP VERİLERİ'!$C:$C,'[1]GİP VERİLERİ'!$B:$B,A502,'[1]GİP VERİLERİ'!$M:$M,"40X000000104782K",'[1]GİP VERİLERİ'!$G:$G,"BUY")</f>
        <v/>
      </c>
      <c r="Y502" s="34">
        <f>IFERROR(AA502/X502,0)</f>
        <v/>
      </c>
      <c r="Z502" s="34">
        <f>IF(Y502=0,0,F502-Y502)</f>
        <v/>
      </c>
      <c r="AA502" s="34">
        <f>SUMIFS('[1]GİP VERİLERİ'!$O:$O,'[1]GİP VERİLERİ'!$B:$B,A502,'[1]GİP VERİLERİ'!$M:$M,"40X000000104782K",'[1]GİP VERİLERİ'!$G:$G,"BUY")</f>
        <v/>
      </c>
      <c r="AB502" s="34">
        <f>'[1]GÖP VERİLERİ'!H503</f>
        <v/>
      </c>
      <c r="AC502" s="34">
        <f>'[1]GÖP VERİLERİ'!I503</f>
        <v/>
      </c>
      <c r="AD502" s="34">
        <f>IF(AB502&gt;AC502*1.05,AB502-AC502*1.05,IF(AB502&lt;AC502*0.95,AC502*0.95-AB502,0))</f>
        <v/>
      </c>
      <c r="AE502" s="34">
        <f>MAX(F502,G502,750)*0.05*AD502</f>
        <v/>
      </c>
      <c r="AF502" s="34">
        <f>'[1]GÖP VERİLERİ'!J503</f>
        <v/>
      </c>
      <c r="AG502" s="34">
        <f>IF(AB502&gt;AF502*1.05,AB502-AF502*1.05,IF(AB502&lt;AF502*0.95,AF502*0.95-AB502,0))</f>
        <v/>
      </c>
      <c r="AH502" s="34">
        <f>MAX(I502,J502,750)*0.05*AG502</f>
        <v/>
      </c>
      <c r="AI502">
        <f>'[1]GÖP VERİLERİ'!E503</f>
        <v/>
      </c>
      <c r="AJ502">
        <f>'[1]GÖP VERİLERİ'!F503</f>
        <v/>
      </c>
      <c r="AK502" s="34">
        <f>IF(AI502&gt;AJ502*1.05,AI502-AJ502*1.05,IF(AI502&lt;AJ502*0.95,AJ502*0.95-AI502,0))</f>
        <v/>
      </c>
      <c r="AL502" s="34">
        <f>MAX(F502,G502,750)*0.05*AK502</f>
        <v/>
      </c>
      <c r="AM502" s="39">
        <f>'[1]GÖP VERİLERİ'!G503</f>
        <v/>
      </c>
      <c r="AN502" s="34">
        <f>IF(AI502&gt;AM502*1.05,AI502-AM502*1.05,IF(AI502&lt;AM502*0.95,AM502*0.95-AI502,0))</f>
        <v/>
      </c>
      <c r="AO502" s="34">
        <f>MAX(F502,G502,750)*0.05*AN502</f>
        <v/>
      </c>
      <c r="AP502" s="34">
        <f>'[1]GÖP VERİLERİ'!B503</f>
        <v/>
      </c>
      <c r="AQ502" s="34">
        <f>'[1]GÖP VERİLERİ'!C503</f>
        <v/>
      </c>
      <c r="AR502" s="34">
        <f>IF(AP502&gt;AQ502*1.05,AP502-AQ502*1.05,IF(AP502&lt;AQ502*0.95,AQ502*0.95-AP502,0))</f>
        <v/>
      </c>
      <c r="AS502" s="34">
        <f>MAX(F502:G502,750)*0.05*AR502</f>
        <v/>
      </c>
      <c r="AT502">
        <f>'[1]GÖP VERİLERİ'!D503</f>
        <v/>
      </c>
      <c r="AU502" s="34">
        <f>IF(AP502&gt;AT502*1.05,AP502-AT502*1.05,IF(AP502&lt;AT502*0.95,AT502*0.95-AP502,0))</f>
        <v/>
      </c>
      <c r="AV502" s="34">
        <f>MAX(F502:G502,750)*0.05*AU502</f>
        <v/>
      </c>
      <c r="AW502" s="34">
        <f>AC502+AJ502+AQ502</f>
        <v/>
      </c>
      <c r="AX502" s="34">
        <f>AF502+AM502+AT502</f>
        <v/>
      </c>
      <c r="AY502" s="34">
        <f>AB502+AI502+AP502</f>
        <v/>
      </c>
      <c r="AZ502" s="34" t="n">
        <v>0</v>
      </c>
      <c r="BA502" s="34">
        <f>AD502+AK502+AR502</f>
        <v/>
      </c>
      <c r="BB502" s="34">
        <f>MAX(F502:G502,750)*0.05*BA502</f>
        <v/>
      </c>
      <c r="BC502" s="34">
        <f>AG502+AN502+AU502</f>
        <v/>
      </c>
      <c r="BD502" s="34">
        <f>MAX(F502:G502,750)*0.05*BC502</f>
        <v/>
      </c>
      <c r="BE502" s="34">
        <f>F502*AY502</f>
        <v/>
      </c>
      <c r="BF502" s="34">
        <f>K502-M502</f>
        <v/>
      </c>
      <c r="BG502" s="34">
        <f>P502-S502</f>
        <v/>
      </c>
      <c r="BH502" s="34">
        <f>W502-AA502</f>
        <v/>
      </c>
      <c r="BI502" s="34">
        <f>BF502+BG502+BL502-BN502</f>
        <v/>
      </c>
      <c r="BJ502" s="34">
        <f>ABS(BK502)</f>
        <v/>
      </c>
      <c r="BK502" s="34">
        <f>AY502-(J502-L502+N502-Q502)</f>
        <v/>
      </c>
      <c r="BL502" s="34">
        <f>IF(AND(BK502&gt;0,MIN($F502:$G502)&lt;150,$E502="Enerji Açığı"),-100*BK502*1.03,IF(AND(BK502&gt;0,MIN($F502:$G502)&lt;150,$E502="Enerji Fazlası"),-100*BK502*1.06,IF(AND(BK502&gt;0,MIN($F502:$G502)&gt;=150,$E502="Enerji Açığı"),BK502*MIN($F502:$G502)*0.97,IF(AND(BK502&gt;0,MIN($F502:$G502)&gt;=150,$E502="Enerji Fazlası"),BK502*MIN($F502:$G502)*0.94,IF(AND(BK502&lt;0,MAX($F502:$G502)=4500,$E502="Enerji Açığı"),4500*1.05*1.06*BK502,IF(AND(BK502&lt;0,MAX($F502:$G502)=4500,$E502="Enerji Fazlası"),4500*1.05*1.03*BK502,IF(AND(BK502&lt;0,$E502="Enerji Açığı"),MAX($F502,$G502,150)*BK502*1.06,IF(AND(BK502&lt;0,$E502="Enerji Fazlası"),MAX($F502,$G502,150)*BK502*1.03,IF(AND(BK502&lt;0,$E502="Dengede"),MAX($F502:$G502,150)*1.03*BK502,MIN($F502:$G502)*0.97*BK502)))))))))</f>
        <v/>
      </c>
      <c r="BM502" s="34">
        <f>BE502-BI502-BN502</f>
        <v/>
      </c>
      <c r="BN502" s="34">
        <f>BB502</f>
        <v/>
      </c>
      <c r="BO502" s="34">
        <f>BE502-BI502</f>
        <v/>
      </c>
      <c r="BP502" s="34">
        <f>IF(AY502=0,0,BO502/AY502)</f>
        <v/>
      </c>
      <c r="BQ502" s="34">
        <f>MAX((AY502+MAX((-J502+L502-N502+Q502),0)),(MAX((J502-L502+N502-Q502),0)))</f>
        <v/>
      </c>
      <c r="BR502" s="82">
        <f>IFERROR(ABS(BK502/BQ502),0)</f>
        <v/>
      </c>
      <c r="BS502" s="34">
        <f>IF(BR502&lt;=0.1,0,BK502/BR502*(BR502-0.1))</f>
        <v/>
      </c>
      <c r="BT502" s="34">
        <f>IF((BS502)&lt;0,MAX(F502:G502)*(BS502)*1.03,MIN(F502:G502)*(BS502)*0.97)</f>
        <v/>
      </c>
      <c r="BU502" s="34">
        <f>IF(BR502&gt;0.1,1,0)</f>
        <v/>
      </c>
      <c r="BV502" s="34">
        <f>BF502+BG502+BH502+BY502-CA502</f>
        <v/>
      </c>
      <c r="BW502" s="34">
        <f>ABS(BX502)</f>
        <v/>
      </c>
      <c r="BX502" s="34">
        <f>AY502-(J502-L502+N502-Q502+T502-X502)</f>
        <v/>
      </c>
      <c r="BY502" s="34">
        <f>IF(AND(BX502&gt;0,MIN($F502:$G502)&lt;150,$E502="Enerji Açığı"),-100*BX502*1.03,IF(AND(BX502&gt;0,MIN($F502:$G502)&lt;150,$E502="Enerji Fazlası"),-100*BX502*1.06,IF(AND(BX502&gt;0,MIN($F502:$G502)&gt;=150,$E502="Enerji Açığı"),BX502*MIN($F502:$G502)*0.97,IF(AND(BX502&gt;0,MIN($F502:$G502)&gt;=150,$E502="Enerji Fazlası"),BX502*MIN($F502:$G502)*0.94,IF(AND(BX502&lt;0,MAX($F502:$G502)=4500,$E502="Enerji Açığı"),4500*1.05*1.06*BX502,IF(AND(BX502&lt;0,MAX($F502:$G502)=4500,$E502="Enerji Fazlası"),4500*1.05*1.03*BX502,IF(AND(BX502&lt;0,$E502="Enerji Açığı"),MAX($F502,$G502,150)*BX502*1.06,IF(AND(BX502&lt;0,$E502="Enerji Fazlası"),MAX($F502,$G502,150)*BX502*1.03,IF(AND(BX502&lt;0,$E502="Dengede"),MAX($F502:$G502,150)*1.03*BX502,MIN($F502:$G502)*0.97*BX502)))))))))</f>
        <v/>
      </c>
      <c r="BZ502" s="34">
        <f>BE502-BV502-CA502</f>
        <v/>
      </c>
      <c r="CA502" s="34">
        <f>BD502</f>
        <v/>
      </c>
      <c r="CB502" s="33">
        <f>BE502-BV502</f>
        <v/>
      </c>
      <c r="CC502" s="34">
        <f>IF(AY502=0,0,CB502/AY502)</f>
        <v/>
      </c>
      <c r="CD502" s="34">
        <f>MAX((AY502+MAX((-J502+L502-N502+Q502-T502+X502),0)),(MAX((J502-L502+N502-Q502+T502-X502),0)))</f>
        <v/>
      </c>
      <c r="CE502" s="82">
        <f>IFERROR(ABS(BX502/CD502),0)</f>
        <v/>
      </c>
      <c r="CF502" s="34">
        <f>IF(CE502&lt;=0.1,0,BX502/CE502*(CE502-0.1))</f>
        <v/>
      </c>
      <c r="CG502" s="34">
        <f>IF((CF502)&lt;0,MAX(F502:G502)*(CF502)*1.03,MIN(F502:G502)*(CF502)*0.97)</f>
        <v/>
      </c>
      <c r="CH502" s="34">
        <f>IF(CE502&gt;0.1,1,0)</f>
        <v/>
      </c>
      <c r="CI502" s="34">
        <f>(F502*BX502)-BY502</f>
        <v/>
      </c>
      <c r="CJ502" s="34">
        <f>IF(AY502=0,0,CI502/AY502)</f>
        <v/>
      </c>
    </row>
    <row r="503">
      <c r="A503" s="29">
        <f>[1]FİYATLAR!A478</f>
        <v/>
      </c>
      <c r="B503" s="29">
        <f>[1]FİYATLAR!B478</f>
        <v/>
      </c>
      <c r="C503" s="35">
        <f>INT(A503)</f>
        <v/>
      </c>
      <c r="D503" s="36">
        <f>MONTH(A503)</f>
        <v/>
      </c>
      <c r="E503" s="147">
        <f>[1]FİYATLAR!G478</f>
        <v/>
      </c>
      <c r="F503" s="30">
        <f>[1]FİYATLAR!C478</f>
        <v/>
      </c>
      <c r="G503" s="30">
        <f>[1]FİYATLAR!E478</f>
        <v/>
      </c>
      <c r="H503" s="30">
        <f>[1]FİYATLAR!D478</f>
        <v/>
      </c>
      <c r="I503" s="30">
        <f>[1]FİYATLAR!F478</f>
        <v/>
      </c>
      <c r="J503" s="119" t="n">
        <v>0</v>
      </c>
      <c r="K503" s="34">
        <f>F503*J503</f>
        <v/>
      </c>
      <c r="L503" s="119" t="n"/>
      <c r="M503" s="34">
        <f>L503*F503</f>
        <v/>
      </c>
      <c r="N503" s="119" t="n"/>
      <c r="O503" s="34">
        <f>F503</f>
        <v/>
      </c>
      <c r="P503" s="34">
        <f>N503*O503</f>
        <v/>
      </c>
      <c r="Q503" s="117" t="n">
        <v>0</v>
      </c>
      <c r="R503" s="34">
        <f>F503</f>
        <v/>
      </c>
      <c r="S503" s="34">
        <f>R503*Q503</f>
        <v/>
      </c>
      <c r="T503" s="34">
        <f>SUMIFS('[1]GİP VERİLERİ'!$C:$C,'[1]GİP VERİLERİ'!$B:$B,A503,'[1]GİP VERİLERİ'!$M:$M,"40X000000104782K",'[1]GİP VERİLERİ'!$G:$G,"SELL")</f>
        <v/>
      </c>
      <c r="U503" s="34">
        <f>IFERROR(W503/T503,0)</f>
        <v/>
      </c>
      <c r="V503" s="34">
        <f>IF(U503=0,0,U503-F503)</f>
        <v/>
      </c>
      <c r="W503" s="34">
        <f>SUMIFS('[1]GİP VERİLERİ'!$O:$O,'[1]GİP VERİLERİ'!$B:$B,A503,'[1]GİP VERİLERİ'!$M:$M,"40X000000104782K",'[1]GİP VERİLERİ'!$G:$G,"SELL")</f>
        <v/>
      </c>
      <c r="X503" s="34">
        <f>SUMIFS('[1]GİP VERİLERİ'!$C:$C,'[1]GİP VERİLERİ'!$B:$B,A503,'[1]GİP VERİLERİ'!$M:$M,"40X000000104782K",'[1]GİP VERİLERİ'!$G:$G,"BUY")</f>
        <v/>
      </c>
      <c r="Y503" s="34">
        <f>IFERROR(AA503/X503,0)</f>
        <v/>
      </c>
      <c r="Z503" s="34">
        <f>IF(Y503=0,0,F503-Y503)</f>
        <v/>
      </c>
      <c r="AA503" s="34">
        <f>SUMIFS('[1]GİP VERİLERİ'!$O:$O,'[1]GİP VERİLERİ'!$B:$B,A503,'[1]GİP VERİLERİ'!$M:$M,"40X000000104782K",'[1]GİP VERİLERİ'!$G:$G,"BUY")</f>
        <v/>
      </c>
      <c r="AB503" s="34">
        <f>'[1]GÖP VERİLERİ'!H504</f>
        <v/>
      </c>
      <c r="AC503" s="34">
        <f>'[1]GÖP VERİLERİ'!I504</f>
        <v/>
      </c>
      <c r="AD503" s="34">
        <f>IF(AB503&gt;AC503*1.05,AB503-AC503*1.05,IF(AB503&lt;AC503*0.95,AC503*0.95-AB503,0))</f>
        <v/>
      </c>
      <c r="AE503" s="34">
        <f>MAX(F503,G503,750)*0.05*AD503</f>
        <v/>
      </c>
      <c r="AF503" s="34">
        <f>'[1]GÖP VERİLERİ'!J504</f>
        <v/>
      </c>
      <c r="AG503" s="34">
        <f>IF(AB503&gt;AF503*1.05,AB503-AF503*1.05,IF(AB503&lt;AF503*0.95,AF503*0.95-AB503,0))</f>
        <v/>
      </c>
      <c r="AH503" s="34">
        <f>MAX(I503,J503,750)*0.05*AG503</f>
        <v/>
      </c>
      <c r="AI503">
        <f>'[1]GÖP VERİLERİ'!E504</f>
        <v/>
      </c>
      <c r="AJ503">
        <f>'[1]GÖP VERİLERİ'!F504</f>
        <v/>
      </c>
      <c r="AK503" s="34">
        <f>IF(AI503&gt;AJ503*1.05,AI503-AJ503*1.05,IF(AI503&lt;AJ503*0.95,AJ503*0.95-AI503,0))</f>
        <v/>
      </c>
      <c r="AL503" s="34">
        <f>MAX(F503,G503,750)*0.05*AK503</f>
        <v/>
      </c>
      <c r="AM503" s="39">
        <f>'[1]GÖP VERİLERİ'!G504</f>
        <v/>
      </c>
      <c r="AN503" s="34">
        <f>IF(AI503&gt;AM503*1.05,AI503-AM503*1.05,IF(AI503&lt;AM503*0.95,AM503*0.95-AI503,0))</f>
        <v/>
      </c>
      <c r="AO503" s="34">
        <f>MAX(F503,G503,750)*0.05*AN503</f>
        <v/>
      </c>
      <c r="AP503" s="34">
        <f>'[1]GÖP VERİLERİ'!B504</f>
        <v/>
      </c>
      <c r="AQ503" s="34">
        <f>'[1]GÖP VERİLERİ'!C504</f>
        <v/>
      </c>
      <c r="AR503" s="34">
        <f>IF(AP503&gt;AQ503*1.05,AP503-AQ503*1.05,IF(AP503&lt;AQ503*0.95,AQ503*0.95-AP503,0))</f>
        <v/>
      </c>
      <c r="AS503" s="34">
        <f>MAX(F503:G503,750)*0.05*AR503</f>
        <v/>
      </c>
      <c r="AT503">
        <f>'[1]GÖP VERİLERİ'!D504</f>
        <v/>
      </c>
      <c r="AU503" s="34">
        <f>IF(AP503&gt;AT503*1.05,AP503-AT503*1.05,IF(AP503&lt;AT503*0.95,AT503*0.95-AP503,0))</f>
        <v/>
      </c>
      <c r="AV503" s="34">
        <f>MAX(F503:G503,750)*0.05*AU503</f>
        <v/>
      </c>
      <c r="AW503" s="34">
        <f>AC503+AJ503+AQ503</f>
        <v/>
      </c>
      <c r="AX503" s="34">
        <f>AF503+AM503+AT503</f>
        <v/>
      </c>
      <c r="AY503" s="34">
        <f>AB503+AI503+AP503</f>
        <v/>
      </c>
      <c r="AZ503" s="34" t="n">
        <v>0</v>
      </c>
      <c r="BA503" s="34">
        <f>AD503+AK503+AR503</f>
        <v/>
      </c>
      <c r="BB503" s="34">
        <f>MAX(F503:G503,750)*0.05*BA503</f>
        <v/>
      </c>
      <c r="BC503" s="34">
        <f>AG503+AN503+AU503</f>
        <v/>
      </c>
      <c r="BD503" s="34">
        <f>MAX(F503:G503,750)*0.05*BC503</f>
        <v/>
      </c>
      <c r="BE503" s="34">
        <f>F503*AY503</f>
        <v/>
      </c>
      <c r="BF503" s="34">
        <f>K503-M503</f>
        <v/>
      </c>
      <c r="BG503" s="34">
        <f>P503-S503</f>
        <v/>
      </c>
      <c r="BH503" s="34">
        <f>W503-AA503</f>
        <v/>
      </c>
      <c r="BI503" s="34">
        <f>BF503+BG503+BL503-BN503</f>
        <v/>
      </c>
      <c r="BJ503" s="34">
        <f>ABS(BK503)</f>
        <v/>
      </c>
      <c r="BK503" s="34">
        <f>AY503-(J503-L503+N503-Q503)</f>
        <v/>
      </c>
      <c r="BL503" s="34">
        <f>IF(AND(BK503&gt;0,MIN($F503:$G503)&lt;150,$E503="Enerji Açığı"),-100*BK503*1.03,IF(AND(BK503&gt;0,MIN($F503:$G503)&lt;150,$E503="Enerji Fazlası"),-100*BK503*1.06,IF(AND(BK503&gt;0,MIN($F503:$G503)&gt;=150,$E503="Enerji Açığı"),BK503*MIN($F503:$G503)*0.97,IF(AND(BK503&gt;0,MIN($F503:$G503)&gt;=150,$E503="Enerji Fazlası"),BK503*MIN($F503:$G503)*0.94,IF(AND(BK503&lt;0,MAX($F503:$G503)=4500,$E503="Enerji Açığı"),4500*1.05*1.06*BK503,IF(AND(BK503&lt;0,MAX($F503:$G503)=4500,$E503="Enerji Fazlası"),4500*1.05*1.03*BK503,IF(AND(BK503&lt;0,$E503="Enerji Açığı"),MAX($F503,$G503,150)*BK503*1.06,IF(AND(BK503&lt;0,$E503="Enerji Fazlası"),MAX($F503,$G503,150)*BK503*1.03,IF(AND(BK503&lt;0,$E503="Dengede"),MAX($F503:$G503,150)*1.03*BK503,MIN($F503:$G503)*0.97*BK503)))))))))</f>
        <v/>
      </c>
      <c r="BM503" s="34">
        <f>BE503-BI503-BN503</f>
        <v/>
      </c>
      <c r="BN503" s="34">
        <f>BB503</f>
        <v/>
      </c>
      <c r="BO503" s="34">
        <f>BE503-BI503</f>
        <v/>
      </c>
      <c r="BP503" s="34">
        <f>IF(AY503=0,0,BO503/AY503)</f>
        <v/>
      </c>
      <c r="BQ503" s="34">
        <f>MAX((AY503+MAX((-J503+L503-N503+Q503),0)),(MAX((J503-L503+N503-Q503),0)))</f>
        <v/>
      </c>
      <c r="BR503" s="82">
        <f>IFERROR(ABS(BK503/BQ503),0)</f>
        <v/>
      </c>
      <c r="BS503" s="34">
        <f>IF(BR503&lt;=0.1,0,BK503/BR503*(BR503-0.1))</f>
        <v/>
      </c>
      <c r="BT503" s="34">
        <f>IF((BS503)&lt;0,MAX(F503:G503)*(BS503)*1.03,MIN(F503:G503)*(BS503)*0.97)</f>
        <v/>
      </c>
      <c r="BU503" s="34">
        <f>IF(BR503&gt;0.1,1,0)</f>
        <v/>
      </c>
      <c r="BV503" s="34">
        <f>BF503+BG503+BH503+BY503-CA503</f>
        <v/>
      </c>
      <c r="BW503" s="34">
        <f>ABS(BX503)</f>
        <v/>
      </c>
      <c r="BX503" s="34">
        <f>AY503-(J503-L503+N503-Q503+T503-X503)</f>
        <v/>
      </c>
      <c r="BY503" s="34">
        <f>IF(AND(BX503&gt;0,MIN($F503:$G503)&lt;150,$E503="Enerji Açığı"),-100*BX503*1.03,IF(AND(BX503&gt;0,MIN($F503:$G503)&lt;150,$E503="Enerji Fazlası"),-100*BX503*1.06,IF(AND(BX503&gt;0,MIN($F503:$G503)&gt;=150,$E503="Enerji Açığı"),BX503*MIN($F503:$G503)*0.97,IF(AND(BX503&gt;0,MIN($F503:$G503)&gt;=150,$E503="Enerji Fazlası"),BX503*MIN($F503:$G503)*0.94,IF(AND(BX503&lt;0,MAX($F503:$G503)=4500,$E503="Enerji Açığı"),4500*1.05*1.06*BX503,IF(AND(BX503&lt;0,MAX($F503:$G503)=4500,$E503="Enerji Fazlası"),4500*1.05*1.03*BX503,IF(AND(BX503&lt;0,$E503="Enerji Açığı"),MAX($F503,$G503,150)*BX503*1.06,IF(AND(BX503&lt;0,$E503="Enerji Fazlası"),MAX($F503,$G503,150)*BX503*1.03,IF(AND(BX503&lt;0,$E503="Dengede"),MAX($F503:$G503,150)*1.03*BX503,MIN($F503:$G503)*0.97*BX503)))))))))</f>
        <v/>
      </c>
      <c r="BZ503" s="34">
        <f>BE503-BV503-CA503</f>
        <v/>
      </c>
      <c r="CA503" s="34">
        <f>BD503</f>
        <v/>
      </c>
      <c r="CB503" s="33">
        <f>BE503-BV503</f>
        <v/>
      </c>
      <c r="CC503" s="34">
        <f>IF(AY503=0,0,CB503/AY503)</f>
        <v/>
      </c>
      <c r="CD503" s="34">
        <f>MAX((AY503+MAX((-J503+L503-N503+Q503-T503+X503),0)),(MAX((J503-L503+N503-Q503+T503-X503),0)))</f>
        <v/>
      </c>
      <c r="CE503" s="82">
        <f>IFERROR(ABS(BX503/CD503),0)</f>
        <v/>
      </c>
      <c r="CF503" s="34">
        <f>IF(CE503&lt;=0.1,0,BX503/CE503*(CE503-0.1))</f>
        <v/>
      </c>
      <c r="CG503" s="34">
        <f>IF((CF503)&lt;0,MAX(F503:G503)*(CF503)*1.03,MIN(F503:G503)*(CF503)*0.97)</f>
        <v/>
      </c>
      <c r="CH503" s="34">
        <f>IF(CE503&gt;0.1,1,0)</f>
        <v/>
      </c>
      <c r="CI503" s="34">
        <f>(F503*BX503)-BY503</f>
        <v/>
      </c>
      <c r="CJ503" s="34">
        <f>IF(AY503=0,0,CI503/AY503)</f>
        <v/>
      </c>
    </row>
    <row r="504">
      <c r="A504" s="29">
        <f>[1]FİYATLAR!A479</f>
        <v/>
      </c>
      <c r="B504" s="29">
        <f>[1]FİYATLAR!B479</f>
        <v/>
      </c>
      <c r="C504" s="35">
        <f>INT(A504)</f>
        <v/>
      </c>
      <c r="D504" s="36">
        <f>MONTH(A504)</f>
        <v/>
      </c>
      <c r="E504" s="147">
        <f>[1]FİYATLAR!G479</f>
        <v/>
      </c>
      <c r="F504" s="30">
        <f>[1]FİYATLAR!C479</f>
        <v/>
      </c>
      <c r="G504" s="30">
        <f>[1]FİYATLAR!E479</f>
        <v/>
      </c>
      <c r="H504" s="30">
        <f>[1]FİYATLAR!D479</f>
        <v/>
      </c>
      <c r="I504" s="30">
        <f>[1]FİYATLAR!F479</f>
        <v/>
      </c>
      <c r="J504" s="119" t="n">
        <v>0</v>
      </c>
      <c r="K504" s="34">
        <f>F504*J504</f>
        <v/>
      </c>
      <c r="L504" s="119" t="n"/>
      <c r="M504" s="34">
        <f>L504*F504</f>
        <v/>
      </c>
      <c r="N504" s="119" t="n"/>
      <c r="O504" s="34">
        <f>F504</f>
        <v/>
      </c>
      <c r="P504" s="34">
        <f>N504*O504</f>
        <v/>
      </c>
      <c r="Q504" s="117" t="n">
        <v>0</v>
      </c>
      <c r="R504" s="34">
        <f>F504</f>
        <v/>
      </c>
      <c r="S504" s="34">
        <f>R504*Q504</f>
        <v/>
      </c>
      <c r="T504" s="34">
        <f>SUMIFS('[1]GİP VERİLERİ'!$C:$C,'[1]GİP VERİLERİ'!$B:$B,A504,'[1]GİP VERİLERİ'!$M:$M,"40X000000104782K",'[1]GİP VERİLERİ'!$G:$G,"SELL")</f>
        <v/>
      </c>
      <c r="U504" s="34">
        <f>IFERROR(W504/T504,0)</f>
        <v/>
      </c>
      <c r="V504" s="34">
        <f>IF(U504=0,0,U504-F504)</f>
        <v/>
      </c>
      <c r="W504" s="34">
        <f>SUMIFS('[1]GİP VERİLERİ'!$O:$O,'[1]GİP VERİLERİ'!$B:$B,A504,'[1]GİP VERİLERİ'!$M:$M,"40X000000104782K",'[1]GİP VERİLERİ'!$G:$G,"SELL")</f>
        <v/>
      </c>
      <c r="X504" s="34">
        <f>SUMIFS('[1]GİP VERİLERİ'!$C:$C,'[1]GİP VERİLERİ'!$B:$B,A504,'[1]GİP VERİLERİ'!$M:$M,"40X000000104782K",'[1]GİP VERİLERİ'!$G:$G,"BUY")</f>
        <v/>
      </c>
      <c r="Y504" s="34">
        <f>IFERROR(AA504/X504,0)</f>
        <v/>
      </c>
      <c r="Z504" s="34">
        <f>IF(Y504=0,0,F504-Y504)</f>
        <v/>
      </c>
      <c r="AA504" s="34">
        <f>SUMIFS('[1]GİP VERİLERİ'!$O:$O,'[1]GİP VERİLERİ'!$B:$B,A504,'[1]GİP VERİLERİ'!$M:$M,"40X000000104782K",'[1]GİP VERİLERİ'!$G:$G,"BUY")</f>
        <v/>
      </c>
      <c r="AB504" s="34">
        <f>'[1]GÖP VERİLERİ'!H505</f>
        <v/>
      </c>
      <c r="AC504" s="34">
        <f>'[1]GÖP VERİLERİ'!I505</f>
        <v/>
      </c>
      <c r="AD504" s="34">
        <f>IF(AB504&gt;AC504*1.05,AB504-AC504*1.05,IF(AB504&lt;AC504*0.95,AC504*0.95-AB504,0))</f>
        <v/>
      </c>
      <c r="AE504" s="34">
        <f>MAX(F504,G504,750)*0.05*AD504</f>
        <v/>
      </c>
      <c r="AF504" s="34">
        <f>'[1]GÖP VERİLERİ'!J505</f>
        <v/>
      </c>
      <c r="AG504" s="34">
        <f>IF(AB504&gt;AF504*1.05,AB504-AF504*1.05,IF(AB504&lt;AF504*0.95,AF504*0.95-AB504,0))</f>
        <v/>
      </c>
      <c r="AH504" s="34">
        <f>MAX(I504,J504,750)*0.05*AG504</f>
        <v/>
      </c>
      <c r="AI504">
        <f>'[1]GÖP VERİLERİ'!E505</f>
        <v/>
      </c>
      <c r="AJ504">
        <f>'[1]GÖP VERİLERİ'!F505</f>
        <v/>
      </c>
      <c r="AK504" s="34">
        <f>IF(AI504&gt;AJ504*1.05,AI504-AJ504*1.05,IF(AI504&lt;AJ504*0.95,AJ504*0.95-AI504,0))</f>
        <v/>
      </c>
      <c r="AL504" s="34">
        <f>MAX(F504,G504,750)*0.05*AK504</f>
        <v/>
      </c>
      <c r="AM504" s="39">
        <f>'[1]GÖP VERİLERİ'!G505</f>
        <v/>
      </c>
      <c r="AN504" s="34">
        <f>IF(AI504&gt;AM504*1.05,AI504-AM504*1.05,IF(AI504&lt;AM504*0.95,AM504*0.95-AI504,0))</f>
        <v/>
      </c>
      <c r="AO504" s="34">
        <f>MAX(F504,G504,750)*0.05*AN504</f>
        <v/>
      </c>
      <c r="AP504" s="34">
        <f>'[1]GÖP VERİLERİ'!B505</f>
        <v/>
      </c>
      <c r="AQ504" s="34">
        <f>'[1]GÖP VERİLERİ'!C505</f>
        <v/>
      </c>
      <c r="AR504" s="34">
        <f>IF(AP504&gt;AQ504*1.05,AP504-AQ504*1.05,IF(AP504&lt;AQ504*0.95,AQ504*0.95-AP504,0))</f>
        <v/>
      </c>
      <c r="AS504" s="34">
        <f>MAX(F504:G504,750)*0.05*AR504</f>
        <v/>
      </c>
      <c r="AT504">
        <f>'[1]GÖP VERİLERİ'!D505</f>
        <v/>
      </c>
      <c r="AU504" s="34">
        <f>IF(AP504&gt;AT504*1.05,AP504-AT504*1.05,IF(AP504&lt;AT504*0.95,AT504*0.95-AP504,0))</f>
        <v/>
      </c>
      <c r="AV504" s="34">
        <f>MAX(F504:G504,750)*0.05*AU504</f>
        <v/>
      </c>
      <c r="AW504" s="34">
        <f>AC504+AJ504+AQ504</f>
        <v/>
      </c>
      <c r="AX504" s="34">
        <f>AF504+AM504+AT504</f>
        <v/>
      </c>
      <c r="AY504" s="34">
        <f>AB504+AI504+AP504</f>
        <v/>
      </c>
      <c r="AZ504" s="34" t="n">
        <v>0</v>
      </c>
      <c r="BA504" s="34">
        <f>AD504+AK504+AR504</f>
        <v/>
      </c>
      <c r="BB504" s="34">
        <f>MAX(F504:G504,750)*0.05*BA504</f>
        <v/>
      </c>
      <c r="BC504" s="34">
        <f>AG504+AN504+AU504</f>
        <v/>
      </c>
      <c r="BD504" s="34">
        <f>MAX(F504:G504,750)*0.05*BC504</f>
        <v/>
      </c>
      <c r="BE504" s="34">
        <f>F504*AY504</f>
        <v/>
      </c>
      <c r="BF504" s="34">
        <f>K504-M504</f>
        <v/>
      </c>
      <c r="BG504" s="34">
        <f>P504-S504</f>
        <v/>
      </c>
      <c r="BH504" s="34">
        <f>W504-AA504</f>
        <v/>
      </c>
      <c r="BI504" s="34">
        <f>BF504+BG504+BL504-BN504</f>
        <v/>
      </c>
      <c r="BJ504" s="34">
        <f>ABS(BK504)</f>
        <v/>
      </c>
      <c r="BK504" s="34">
        <f>AY504-(J504-L504+N504-Q504)</f>
        <v/>
      </c>
      <c r="BL504" s="34">
        <f>IF(AND(BK504&gt;0,MIN($F504:$G504)&lt;150,$E504="Enerji Açığı"),-100*BK504*1.03,IF(AND(BK504&gt;0,MIN($F504:$G504)&lt;150,$E504="Enerji Fazlası"),-100*BK504*1.06,IF(AND(BK504&gt;0,MIN($F504:$G504)&gt;=150,$E504="Enerji Açığı"),BK504*MIN($F504:$G504)*0.97,IF(AND(BK504&gt;0,MIN($F504:$G504)&gt;=150,$E504="Enerji Fazlası"),BK504*MIN($F504:$G504)*0.94,IF(AND(BK504&lt;0,MAX($F504:$G504)=4500,$E504="Enerji Açığı"),4500*1.05*1.06*BK504,IF(AND(BK504&lt;0,MAX($F504:$G504)=4500,$E504="Enerji Fazlası"),4500*1.05*1.03*BK504,IF(AND(BK504&lt;0,$E504="Enerji Açığı"),MAX($F504,$G504,150)*BK504*1.06,IF(AND(BK504&lt;0,$E504="Enerji Fazlası"),MAX($F504,$G504,150)*BK504*1.03,IF(AND(BK504&lt;0,$E504="Dengede"),MAX($F504:$G504,150)*1.03*BK504,MIN($F504:$G504)*0.97*BK504)))))))))</f>
        <v/>
      </c>
      <c r="BM504" s="34">
        <f>BE504-BI504-BN504</f>
        <v/>
      </c>
      <c r="BN504" s="34">
        <f>BB504</f>
        <v/>
      </c>
      <c r="BO504" s="34">
        <f>BE504-BI504</f>
        <v/>
      </c>
      <c r="BP504" s="34">
        <f>IF(AY504=0,0,BO504/AY504)</f>
        <v/>
      </c>
      <c r="BQ504" s="34">
        <f>MAX((AY504+MAX((-J504+L504-N504+Q504),0)),(MAX((J504-L504+N504-Q504),0)))</f>
        <v/>
      </c>
      <c r="BR504" s="82">
        <f>IFERROR(ABS(BK504/BQ504),0)</f>
        <v/>
      </c>
      <c r="BS504" s="34">
        <f>IF(BR504&lt;=0.1,0,BK504/BR504*(BR504-0.1))</f>
        <v/>
      </c>
      <c r="BT504" s="34">
        <f>IF((BS504)&lt;0,MAX(F504:G504)*(BS504)*1.03,MIN(F504:G504)*(BS504)*0.97)</f>
        <v/>
      </c>
      <c r="BU504" s="34">
        <f>IF(BR504&gt;0.1,1,0)</f>
        <v/>
      </c>
      <c r="BV504" s="34">
        <f>BF504+BG504+BH504+BY504-CA504</f>
        <v/>
      </c>
      <c r="BW504" s="34">
        <f>ABS(BX504)</f>
        <v/>
      </c>
      <c r="BX504" s="34">
        <f>AY504-(J504-L504+N504-Q504+T504-X504)</f>
        <v/>
      </c>
      <c r="BY504" s="34">
        <f>IF(AND(BX504&gt;0,MIN($F504:$G504)&lt;150,$E504="Enerji Açığı"),-100*BX504*1.03,IF(AND(BX504&gt;0,MIN($F504:$G504)&lt;150,$E504="Enerji Fazlası"),-100*BX504*1.06,IF(AND(BX504&gt;0,MIN($F504:$G504)&gt;=150,$E504="Enerji Açığı"),BX504*MIN($F504:$G504)*0.97,IF(AND(BX504&gt;0,MIN($F504:$G504)&gt;=150,$E504="Enerji Fazlası"),BX504*MIN($F504:$G504)*0.94,IF(AND(BX504&lt;0,MAX($F504:$G504)=4500,$E504="Enerji Açığı"),4500*1.05*1.06*BX504,IF(AND(BX504&lt;0,MAX($F504:$G504)=4500,$E504="Enerji Fazlası"),4500*1.05*1.03*BX504,IF(AND(BX504&lt;0,$E504="Enerji Açığı"),MAX($F504,$G504,150)*BX504*1.06,IF(AND(BX504&lt;0,$E504="Enerji Fazlası"),MAX($F504,$G504,150)*BX504*1.03,IF(AND(BX504&lt;0,$E504="Dengede"),MAX($F504:$G504,150)*1.03*BX504,MIN($F504:$G504)*0.97*BX504)))))))))</f>
        <v/>
      </c>
      <c r="BZ504" s="34">
        <f>BE504-BV504-CA504</f>
        <v/>
      </c>
      <c r="CA504" s="34">
        <f>BD504</f>
        <v/>
      </c>
      <c r="CB504" s="33">
        <f>BE504-BV504</f>
        <v/>
      </c>
      <c r="CC504" s="34">
        <f>IF(AY504=0,0,CB504/AY504)</f>
        <v/>
      </c>
      <c r="CD504" s="34">
        <f>MAX((AY504+MAX((-J504+L504-N504+Q504-T504+X504),0)),(MAX((J504-L504+N504-Q504+T504-X504),0)))</f>
        <v/>
      </c>
      <c r="CE504" s="82">
        <f>IFERROR(ABS(BX504/CD504),0)</f>
        <v/>
      </c>
      <c r="CF504" s="34">
        <f>IF(CE504&lt;=0.1,0,BX504/CE504*(CE504-0.1))</f>
        <v/>
      </c>
      <c r="CG504" s="34">
        <f>IF((CF504)&lt;0,MAX(F504:G504)*(CF504)*1.03,MIN(F504:G504)*(CF504)*0.97)</f>
        <v/>
      </c>
      <c r="CH504" s="34">
        <f>IF(CE504&gt;0.1,1,0)</f>
        <v/>
      </c>
      <c r="CI504" s="34">
        <f>(F504*BX504)-BY504</f>
        <v/>
      </c>
      <c r="CJ504" s="34">
        <f>IF(AY504=0,0,CI504/AY504)</f>
        <v/>
      </c>
    </row>
    <row r="505">
      <c r="A505" s="29">
        <f>[1]FİYATLAR!A480</f>
        <v/>
      </c>
      <c r="B505" s="29">
        <f>[1]FİYATLAR!B480</f>
        <v/>
      </c>
      <c r="C505" s="35">
        <f>INT(A505)</f>
        <v/>
      </c>
      <c r="D505" s="36">
        <f>MONTH(A505)</f>
        <v/>
      </c>
      <c r="E505" s="147">
        <f>[1]FİYATLAR!G480</f>
        <v/>
      </c>
      <c r="F505" s="30">
        <f>[1]FİYATLAR!C480</f>
        <v/>
      </c>
      <c r="G505" s="30">
        <f>[1]FİYATLAR!E480</f>
        <v/>
      </c>
      <c r="H505" s="30">
        <f>[1]FİYATLAR!D480</f>
        <v/>
      </c>
      <c r="I505" s="30">
        <f>[1]FİYATLAR!F480</f>
        <v/>
      </c>
      <c r="J505" s="119" t="n">
        <v>0</v>
      </c>
      <c r="K505" s="34">
        <f>F505*J505</f>
        <v/>
      </c>
      <c r="L505" s="119" t="n"/>
      <c r="M505" s="34">
        <f>L505*F505</f>
        <v/>
      </c>
      <c r="N505" s="119" t="n"/>
      <c r="O505" s="34">
        <f>F505</f>
        <v/>
      </c>
      <c r="P505" s="34">
        <f>N505*O505</f>
        <v/>
      </c>
      <c r="Q505" s="117" t="n">
        <v>0</v>
      </c>
      <c r="R505" s="34">
        <f>F505</f>
        <v/>
      </c>
      <c r="S505" s="34">
        <f>R505*Q505</f>
        <v/>
      </c>
      <c r="T505" s="34">
        <f>SUMIFS('[1]GİP VERİLERİ'!$C:$C,'[1]GİP VERİLERİ'!$B:$B,A505,'[1]GİP VERİLERİ'!$M:$M,"40X000000104782K",'[1]GİP VERİLERİ'!$G:$G,"SELL")</f>
        <v/>
      </c>
      <c r="U505" s="34">
        <f>IFERROR(W505/T505,0)</f>
        <v/>
      </c>
      <c r="V505" s="34">
        <f>IF(U505=0,0,U505-F505)</f>
        <v/>
      </c>
      <c r="W505" s="34">
        <f>SUMIFS('[1]GİP VERİLERİ'!$O:$O,'[1]GİP VERİLERİ'!$B:$B,A505,'[1]GİP VERİLERİ'!$M:$M,"40X000000104782K",'[1]GİP VERİLERİ'!$G:$G,"SELL")</f>
        <v/>
      </c>
      <c r="X505" s="34">
        <f>SUMIFS('[1]GİP VERİLERİ'!$C:$C,'[1]GİP VERİLERİ'!$B:$B,A505,'[1]GİP VERİLERİ'!$M:$M,"40X000000104782K",'[1]GİP VERİLERİ'!$G:$G,"BUY")</f>
        <v/>
      </c>
      <c r="Y505" s="34">
        <f>IFERROR(AA505/X505,0)</f>
        <v/>
      </c>
      <c r="Z505" s="34">
        <f>IF(Y505=0,0,F505-Y505)</f>
        <v/>
      </c>
      <c r="AA505" s="34">
        <f>SUMIFS('[1]GİP VERİLERİ'!$O:$O,'[1]GİP VERİLERİ'!$B:$B,A505,'[1]GİP VERİLERİ'!$M:$M,"40X000000104782K",'[1]GİP VERİLERİ'!$G:$G,"BUY")</f>
        <v/>
      </c>
      <c r="AB505" s="34">
        <f>'[1]GÖP VERİLERİ'!H506</f>
        <v/>
      </c>
      <c r="AC505" s="34">
        <f>'[1]GÖP VERİLERİ'!I506</f>
        <v/>
      </c>
      <c r="AD505" s="34">
        <f>IF(AB505&gt;AC505*1.05,AB505-AC505*1.05,IF(AB505&lt;AC505*0.95,AC505*0.95-AB505,0))</f>
        <v/>
      </c>
      <c r="AE505" s="34">
        <f>MAX(F505,G505,750)*0.05*AD505</f>
        <v/>
      </c>
      <c r="AF505" s="34">
        <f>'[1]GÖP VERİLERİ'!J506</f>
        <v/>
      </c>
      <c r="AG505" s="34">
        <f>IF(AB505&gt;AF505*1.05,AB505-AF505*1.05,IF(AB505&lt;AF505*0.95,AF505*0.95-AB505,0))</f>
        <v/>
      </c>
      <c r="AH505" s="34">
        <f>MAX(I505,J505,750)*0.05*AG505</f>
        <v/>
      </c>
      <c r="AI505">
        <f>'[1]GÖP VERİLERİ'!E506</f>
        <v/>
      </c>
      <c r="AJ505">
        <f>'[1]GÖP VERİLERİ'!F506</f>
        <v/>
      </c>
      <c r="AK505" s="34">
        <f>IF(AI505&gt;AJ505*1.05,AI505-AJ505*1.05,IF(AI505&lt;AJ505*0.95,AJ505*0.95-AI505,0))</f>
        <v/>
      </c>
      <c r="AL505" s="34">
        <f>MAX(F505,G505,750)*0.05*AK505</f>
        <v/>
      </c>
      <c r="AM505" s="39">
        <f>'[1]GÖP VERİLERİ'!G506</f>
        <v/>
      </c>
      <c r="AN505" s="34">
        <f>IF(AI505&gt;AM505*1.05,AI505-AM505*1.05,IF(AI505&lt;AM505*0.95,AM505*0.95-AI505,0))</f>
        <v/>
      </c>
      <c r="AO505" s="34">
        <f>MAX(F505,G505,750)*0.05*AN505</f>
        <v/>
      </c>
      <c r="AP505" s="34">
        <f>'[1]GÖP VERİLERİ'!B506</f>
        <v/>
      </c>
      <c r="AQ505" s="34">
        <f>'[1]GÖP VERİLERİ'!C506</f>
        <v/>
      </c>
      <c r="AR505" s="34">
        <f>IF(AP505&gt;AQ505*1.05,AP505-AQ505*1.05,IF(AP505&lt;AQ505*0.95,AQ505*0.95-AP505,0))</f>
        <v/>
      </c>
      <c r="AS505" s="34">
        <f>MAX(F505:G505,750)*0.05*AR505</f>
        <v/>
      </c>
      <c r="AT505">
        <f>'[1]GÖP VERİLERİ'!D506</f>
        <v/>
      </c>
      <c r="AU505" s="34">
        <f>IF(AP505&gt;AT505*1.05,AP505-AT505*1.05,IF(AP505&lt;AT505*0.95,AT505*0.95-AP505,0))</f>
        <v/>
      </c>
      <c r="AV505" s="34">
        <f>MAX(F505:G505,750)*0.05*AU505</f>
        <v/>
      </c>
      <c r="AW505" s="34">
        <f>AC505+AJ505+AQ505</f>
        <v/>
      </c>
      <c r="AX505" s="34">
        <f>AF505+AM505+AT505</f>
        <v/>
      </c>
      <c r="AY505" s="34">
        <f>AB505+AI505+AP505</f>
        <v/>
      </c>
      <c r="AZ505" s="34" t="n">
        <v>0</v>
      </c>
      <c r="BA505" s="34">
        <f>AD505+AK505+AR505</f>
        <v/>
      </c>
      <c r="BB505" s="34">
        <f>MAX(F505:G505,750)*0.05*BA505</f>
        <v/>
      </c>
      <c r="BC505" s="34">
        <f>AG505+AN505+AU505</f>
        <v/>
      </c>
      <c r="BD505" s="34">
        <f>MAX(F505:G505,750)*0.05*BC505</f>
        <v/>
      </c>
      <c r="BE505" s="34">
        <f>F505*AY505</f>
        <v/>
      </c>
      <c r="BF505" s="34">
        <f>K505-M505</f>
        <v/>
      </c>
      <c r="BG505" s="34">
        <f>P505-S505</f>
        <v/>
      </c>
      <c r="BH505" s="34">
        <f>W505-AA505</f>
        <v/>
      </c>
      <c r="BI505" s="34">
        <f>BF505+BG505+BL505-BN505</f>
        <v/>
      </c>
      <c r="BJ505" s="34">
        <f>ABS(BK505)</f>
        <v/>
      </c>
      <c r="BK505" s="34">
        <f>AY505-(J505-L505+N505-Q505)</f>
        <v/>
      </c>
      <c r="BL505" s="34">
        <f>IF(AND(BK505&gt;0,MIN($F505:$G505)&lt;150,$E505="Enerji Açığı"),-100*BK505*1.03,IF(AND(BK505&gt;0,MIN($F505:$G505)&lt;150,$E505="Enerji Fazlası"),-100*BK505*1.06,IF(AND(BK505&gt;0,MIN($F505:$G505)&gt;=150,$E505="Enerji Açığı"),BK505*MIN($F505:$G505)*0.97,IF(AND(BK505&gt;0,MIN($F505:$G505)&gt;=150,$E505="Enerji Fazlası"),BK505*MIN($F505:$G505)*0.94,IF(AND(BK505&lt;0,MAX($F505:$G505)=4500,$E505="Enerji Açığı"),4500*1.05*1.06*BK505,IF(AND(BK505&lt;0,MAX($F505:$G505)=4500,$E505="Enerji Fazlası"),4500*1.05*1.03*BK505,IF(AND(BK505&lt;0,$E505="Enerji Açığı"),MAX($F505,$G505,150)*BK505*1.06,IF(AND(BK505&lt;0,$E505="Enerji Fazlası"),MAX($F505,$G505,150)*BK505*1.03,IF(AND(BK505&lt;0,$E505="Dengede"),MAX($F505:$G505,150)*1.03*BK505,MIN($F505:$G505)*0.97*BK505)))))))))</f>
        <v/>
      </c>
      <c r="BM505" s="34">
        <f>BE505-BI505-BN505</f>
        <v/>
      </c>
      <c r="BN505" s="34">
        <f>BB505</f>
        <v/>
      </c>
      <c r="BO505" s="34">
        <f>BE505-BI505</f>
        <v/>
      </c>
      <c r="BP505" s="34">
        <f>IF(AY505=0,0,BO505/AY505)</f>
        <v/>
      </c>
      <c r="BQ505" s="34">
        <f>MAX((AY505+MAX((-J505+L505-N505+Q505),0)),(MAX((J505-L505+N505-Q505),0)))</f>
        <v/>
      </c>
      <c r="BR505" s="82">
        <f>IFERROR(ABS(BK505/BQ505),0)</f>
        <v/>
      </c>
      <c r="BS505" s="34">
        <f>IF(BR505&lt;=0.1,0,BK505/BR505*(BR505-0.1))</f>
        <v/>
      </c>
      <c r="BT505" s="34">
        <f>IF((BS505)&lt;0,MAX(F505:G505)*(BS505)*1.03,MIN(F505:G505)*(BS505)*0.97)</f>
        <v/>
      </c>
      <c r="BU505" s="34">
        <f>IF(BR505&gt;0.1,1,0)</f>
        <v/>
      </c>
      <c r="BV505" s="34">
        <f>BF505+BG505+BH505+BY505-CA505</f>
        <v/>
      </c>
      <c r="BW505" s="34">
        <f>ABS(BX505)</f>
        <v/>
      </c>
      <c r="BX505" s="34">
        <f>AY505-(J505-L505+N505-Q505+T505-X505)</f>
        <v/>
      </c>
      <c r="BY505" s="34">
        <f>IF(AND(BX505&gt;0,MIN($F505:$G505)&lt;150,$E505="Enerji Açığı"),-100*BX505*1.03,IF(AND(BX505&gt;0,MIN($F505:$G505)&lt;150,$E505="Enerji Fazlası"),-100*BX505*1.06,IF(AND(BX505&gt;0,MIN($F505:$G505)&gt;=150,$E505="Enerji Açığı"),BX505*MIN($F505:$G505)*0.97,IF(AND(BX505&gt;0,MIN($F505:$G505)&gt;=150,$E505="Enerji Fazlası"),BX505*MIN($F505:$G505)*0.94,IF(AND(BX505&lt;0,MAX($F505:$G505)=4500,$E505="Enerji Açığı"),4500*1.05*1.06*BX505,IF(AND(BX505&lt;0,MAX($F505:$G505)=4500,$E505="Enerji Fazlası"),4500*1.05*1.03*BX505,IF(AND(BX505&lt;0,$E505="Enerji Açığı"),MAX($F505,$G505,150)*BX505*1.06,IF(AND(BX505&lt;0,$E505="Enerji Fazlası"),MAX($F505,$G505,150)*BX505*1.03,IF(AND(BX505&lt;0,$E505="Dengede"),MAX($F505:$G505,150)*1.03*BX505,MIN($F505:$G505)*0.97*BX505)))))))))</f>
        <v/>
      </c>
      <c r="BZ505" s="34">
        <f>BE505-BV505-CA505</f>
        <v/>
      </c>
      <c r="CA505" s="34">
        <f>BD505</f>
        <v/>
      </c>
      <c r="CB505" s="33">
        <f>BE505-BV505</f>
        <v/>
      </c>
      <c r="CC505" s="34">
        <f>IF(AY505=0,0,CB505/AY505)</f>
        <v/>
      </c>
      <c r="CD505" s="34">
        <f>MAX((AY505+MAX((-J505+L505-N505+Q505-T505+X505),0)),(MAX((J505-L505+N505-Q505+T505-X505),0)))</f>
        <v/>
      </c>
      <c r="CE505" s="82">
        <f>IFERROR(ABS(BX505/CD505),0)</f>
        <v/>
      </c>
      <c r="CF505" s="34">
        <f>IF(CE505&lt;=0.1,0,BX505/CE505*(CE505-0.1))</f>
        <v/>
      </c>
      <c r="CG505" s="34">
        <f>IF((CF505)&lt;0,MAX(F505:G505)*(CF505)*1.03,MIN(F505:G505)*(CF505)*0.97)</f>
        <v/>
      </c>
      <c r="CH505" s="34">
        <f>IF(CE505&gt;0.1,1,0)</f>
        <v/>
      </c>
      <c r="CI505" s="34">
        <f>(F505*BX505)-BY505</f>
        <v/>
      </c>
      <c r="CJ505" s="34">
        <f>IF(AY505=0,0,CI505/AY505)</f>
        <v/>
      </c>
    </row>
    <row r="506">
      <c r="A506" s="29">
        <f>[1]FİYATLAR!A481</f>
        <v/>
      </c>
      <c r="B506" s="29">
        <f>[1]FİYATLAR!B481</f>
        <v/>
      </c>
      <c r="C506" s="35">
        <f>INT(A506)</f>
        <v/>
      </c>
      <c r="D506" s="36">
        <f>MONTH(A506)</f>
        <v/>
      </c>
      <c r="E506" s="147">
        <f>[1]FİYATLAR!G481</f>
        <v/>
      </c>
      <c r="F506" s="30">
        <f>[1]FİYATLAR!C481</f>
        <v/>
      </c>
      <c r="G506" s="30">
        <f>[1]FİYATLAR!E481</f>
        <v/>
      </c>
      <c r="H506" s="30">
        <f>[1]FİYATLAR!D481</f>
        <v/>
      </c>
      <c r="I506" s="30">
        <f>[1]FİYATLAR!F481</f>
        <v/>
      </c>
      <c r="J506" s="119" t="n">
        <v>0</v>
      </c>
      <c r="K506" s="34">
        <f>F506*J506</f>
        <v/>
      </c>
      <c r="L506" s="119" t="n"/>
      <c r="M506" s="34">
        <f>L506*F506</f>
        <v/>
      </c>
      <c r="N506" s="119" t="n"/>
      <c r="O506" s="34">
        <f>F506</f>
        <v/>
      </c>
      <c r="P506" s="34">
        <f>N506*O506</f>
        <v/>
      </c>
      <c r="Q506" s="117" t="n">
        <v>0</v>
      </c>
      <c r="R506" s="34">
        <f>F506</f>
        <v/>
      </c>
      <c r="S506" s="34">
        <f>R506*Q506</f>
        <v/>
      </c>
      <c r="T506" s="34">
        <f>SUMIFS('[1]GİP VERİLERİ'!$C:$C,'[1]GİP VERİLERİ'!$B:$B,A506,'[1]GİP VERİLERİ'!$M:$M,"40X000000104782K",'[1]GİP VERİLERİ'!$G:$G,"SELL")</f>
        <v/>
      </c>
      <c r="U506" s="34">
        <f>IFERROR(W506/T506,0)</f>
        <v/>
      </c>
      <c r="V506" s="34">
        <f>IF(U506=0,0,U506-F506)</f>
        <v/>
      </c>
      <c r="W506" s="34">
        <f>SUMIFS('[1]GİP VERİLERİ'!$O:$O,'[1]GİP VERİLERİ'!$B:$B,A506,'[1]GİP VERİLERİ'!$M:$M,"40X000000104782K",'[1]GİP VERİLERİ'!$G:$G,"SELL")</f>
        <v/>
      </c>
      <c r="X506" s="34">
        <f>SUMIFS('[1]GİP VERİLERİ'!$C:$C,'[1]GİP VERİLERİ'!$B:$B,A506,'[1]GİP VERİLERİ'!$M:$M,"40X000000104782K",'[1]GİP VERİLERİ'!$G:$G,"BUY")</f>
        <v/>
      </c>
      <c r="Y506" s="34">
        <f>IFERROR(AA506/X506,0)</f>
        <v/>
      </c>
      <c r="Z506" s="34">
        <f>IF(Y506=0,0,F506-Y506)</f>
        <v/>
      </c>
      <c r="AA506" s="34">
        <f>SUMIFS('[1]GİP VERİLERİ'!$O:$O,'[1]GİP VERİLERİ'!$B:$B,A506,'[1]GİP VERİLERİ'!$M:$M,"40X000000104782K",'[1]GİP VERİLERİ'!$G:$G,"BUY")</f>
        <v/>
      </c>
      <c r="AB506" s="34">
        <f>'[1]GÖP VERİLERİ'!H507</f>
        <v/>
      </c>
      <c r="AC506" s="34">
        <f>'[1]GÖP VERİLERİ'!I507</f>
        <v/>
      </c>
      <c r="AD506" s="34">
        <f>IF(AB506&gt;AC506*1.05,AB506-AC506*1.05,IF(AB506&lt;AC506*0.95,AC506*0.95-AB506,0))</f>
        <v/>
      </c>
      <c r="AE506" s="34">
        <f>MAX(F506,G506,750)*0.05*AD506</f>
        <v/>
      </c>
      <c r="AF506" s="34">
        <f>'[1]GÖP VERİLERİ'!J507</f>
        <v/>
      </c>
      <c r="AG506" s="34">
        <f>IF(AB506&gt;AF506*1.05,AB506-AF506*1.05,IF(AB506&lt;AF506*0.95,AF506*0.95-AB506,0))</f>
        <v/>
      </c>
      <c r="AH506" s="34">
        <f>MAX(I506,J506,750)*0.05*AG506</f>
        <v/>
      </c>
      <c r="AI506">
        <f>'[1]GÖP VERİLERİ'!E507</f>
        <v/>
      </c>
      <c r="AJ506">
        <f>'[1]GÖP VERİLERİ'!F507</f>
        <v/>
      </c>
      <c r="AK506" s="34">
        <f>IF(AI506&gt;AJ506*1.05,AI506-AJ506*1.05,IF(AI506&lt;AJ506*0.95,AJ506*0.95-AI506,0))</f>
        <v/>
      </c>
      <c r="AL506" s="34">
        <f>MAX(F506,G506,750)*0.05*AK506</f>
        <v/>
      </c>
      <c r="AM506" s="39">
        <f>'[1]GÖP VERİLERİ'!G507</f>
        <v/>
      </c>
      <c r="AN506" s="34">
        <f>IF(AI506&gt;AM506*1.05,AI506-AM506*1.05,IF(AI506&lt;AM506*0.95,AM506*0.95-AI506,0))</f>
        <v/>
      </c>
      <c r="AO506" s="34">
        <f>MAX(F506,G506,750)*0.05*AN506</f>
        <v/>
      </c>
      <c r="AP506" s="34">
        <f>'[1]GÖP VERİLERİ'!B507</f>
        <v/>
      </c>
      <c r="AQ506" s="34">
        <f>'[1]GÖP VERİLERİ'!C507</f>
        <v/>
      </c>
      <c r="AR506" s="34">
        <f>IF(AP506&gt;AQ506*1.05,AP506-AQ506*1.05,IF(AP506&lt;AQ506*0.95,AQ506*0.95-AP506,0))</f>
        <v/>
      </c>
      <c r="AS506" s="34">
        <f>MAX(F506:G506,750)*0.05*AR506</f>
        <v/>
      </c>
      <c r="AT506">
        <f>'[1]GÖP VERİLERİ'!D507</f>
        <v/>
      </c>
      <c r="AU506" s="34">
        <f>IF(AP506&gt;AT506*1.05,AP506-AT506*1.05,IF(AP506&lt;AT506*0.95,AT506*0.95-AP506,0))</f>
        <v/>
      </c>
      <c r="AV506" s="34">
        <f>MAX(F506:G506,750)*0.05*AU506</f>
        <v/>
      </c>
      <c r="AW506" s="34">
        <f>AC506+AJ506+AQ506</f>
        <v/>
      </c>
      <c r="AX506" s="34">
        <f>AF506+AM506+AT506</f>
        <v/>
      </c>
      <c r="AY506" s="34">
        <f>AB506+AI506+AP506</f>
        <v/>
      </c>
      <c r="AZ506" s="34" t="n">
        <v>0</v>
      </c>
      <c r="BA506" s="34">
        <f>AD506+AK506+AR506</f>
        <v/>
      </c>
      <c r="BB506" s="34">
        <f>MAX(F506:G506,750)*0.05*BA506</f>
        <v/>
      </c>
      <c r="BC506" s="34">
        <f>AG506+AN506+AU506</f>
        <v/>
      </c>
      <c r="BD506" s="34">
        <f>MAX(F506:G506,750)*0.05*BC506</f>
        <v/>
      </c>
      <c r="BE506" s="34">
        <f>F506*AY506</f>
        <v/>
      </c>
      <c r="BF506" s="34">
        <f>K506-M506</f>
        <v/>
      </c>
      <c r="BG506" s="34">
        <f>P506-S506</f>
        <v/>
      </c>
      <c r="BH506" s="34">
        <f>W506-AA506</f>
        <v/>
      </c>
      <c r="BI506" s="34">
        <f>BF506+BG506+BL506-BN506</f>
        <v/>
      </c>
      <c r="BJ506" s="34">
        <f>ABS(BK506)</f>
        <v/>
      </c>
      <c r="BK506" s="34">
        <f>AY506-(J506-L506+N506-Q506)</f>
        <v/>
      </c>
      <c r="BL506" s="34">
        <f>IF(AND(BK506&gt;0,MIN($F506:$G506)&lt;150,$E506="Enerji Açığı"),-100*BK506*1.03,IF(AND(BK506&gt;0,MIN($F506:$G506)&lt;150,$E506="Enerji Fazlası"),-100*BK506*1.06,IF(AND(BK506&gt;0,MIN($F506:$G506)&gt;=150,$E506="Enerji Açığı"),BK506*MIN($F506:$G506)*0.97,IF(AND(BK506&gt;0,MIN($F506:$G506)&gt;=150,$E506="Enerji Fazlası"),BK506*MIN($F506:$G506)*0.94,IF(AND(BK506&lt;0,MAX($F506:$G506)=4500,$E506="Enerji Açığı"),4500*1.05*1.06*BK506,IF(AND(BK506&lt;0,MAX($F506:$G506)=4500,$E506="Enerji Fazlası"),4500*1.05*1.03*BK506,IF(AND(BK506&lt;0,$E506="Enerji Açığı"),MAX($F506,$G506,150)*BK506*1.06,IF(AND(BK506&lt;0,$E506="Enerji Fazlası"),MAX($F506,$G506,150)*BK506*1.03,IF(AND(BK506&lt;0,$E506="Dengede"),MAX($F506:$G506,150)*1.03*BK506,MIN($F506:$G506)*0.97*BK506)))))))))</f>
        <v/>
      </c>
      <c r="BM506" s="34">
        <f>BE506-BI506-BN506</f>
        <v/>
      </c>
      <c r="BN506" s="34">
        <f>BB506</f>
        <v/>
      </c>
      <c r="BO506" s="34">
        <f>BE506-BI506</f>
        <v/>
      </c>
      <c r="BP506" s="34">
        <f>IF(AY506=0,0,BO506/AY506)</f>
        <v/>
      </c>
      <c r="BQ506" s="34">
        <f>MAX((AY506+MAX((-J506+L506-N506+Q506),0)),(MAX((J506-L506+N506-Q506),0)))</f>
        <v/>
      </c>
      <c r="BR506" s="82">
        <f>IFERROR(ABS(BK506/BQ506),0)</f>
        <v/>
      </c>
      <c r="BS506" s="34">
        <f>IF(BR506&lt;=0.1,0,BK506/BR506*(BR506-0.1))</f>
        <v/>
      </c>
      <c r="BT506" s="34">
        <f>IF((BS506)&lt;0,MAX(F506:G506)*(BS506)*1.03,MIN(F506:G506)*(BS506)*0.97)</f>
        <v/>
      </c>
      <c r="BU506" s="34">
        <f>IF(BR506&gt;0.1,1,0)</f>
        <v/>
      </c>
      <c r="BV506" s="34">
        <f>BF506+BG506+BH506+BY506-CA506</f>
        <v/>
      </c>
      <c r="BW506" s="34">
        <f>ABS(BX506)</f>
        <v/>
      </c>
      <c r="BX506" s="34">
        <f>AY506-(J506-L506+N506-Q506+T506-X506)</f>
        <v/>
      </c>
      <c r="BY506" s="34">
        <f>IF(AND(BX506&gt;0,MIN($F506:$G506)&lt;150,$E506="Enerji Açığı"),-100*BX506*1.03,IF(AND(BX506&gt;0,MIN($F506:$G506)&lt;150,$E506="Enerji Fazlası"),-100*BX506*1.06,IF(AND(BX506&gt;0,MIN($F506:$G506)&gt;=150,$E506="Enerji Açığı"),BX506*MIN($F506:$G506)*0.97,IF(AND(BX506&gt;0,MIN($F506:$G506)&gt;=150,$E506="Enerji Fazlası"),BX506*MIN($F506:$G506)*0.94,IF(AND(BX506&lt;0,MAX($F506:$G506)=4500,$E506="Enerji Açığı"),4500*1.05*1.06*BX506,IF(AND(BX506&lt;0,MAX($F506:$G506)=4500,$E506="Enerji Fazlası"),4500*1.05*1.03*BX506,IF(AND(BX506&lt;0,$E506="Enerji Açığı"),MAX($F506,$G506,150)*BX506*1.06,IF(AND(BX506&lt;0,$E506="Enerji Fazlası"),MAX($F506,$G506,150)*BX506*1.03,IF(AND(BX506&lt;0,$E506="Dengede"),MAX($F506:$G506,150)*1.03*BX506,MIN($F506:$G506)*0.97*BX506)))))))))</f>
        <v/>
      </c>
      <c r="BZ506" s="34">
        <f>BE506-BV506-CA506</f>
        <v/>
      </c>
      <c r="CA506" s="34">
        <f>BD506</f>
        <v/>
      </c>
      <c r="CB506" s="33">
        <f>BE506-BV506</f>
        <v/>
      </c>
      <c r="CC506" s="34">
        <f>IF(AY506=0,0,CB506/AY506)</f>
        <v/>
      </c>
      <c r="CD506" s="34">
        <f>MAX((AY506+MAX((-J506+L506-N506+Q506-T506+X506),0)),(MAX((J506-L506+N506-Q506+T506-X506),0)))</f>
        <v/>
      </c>
      <c r="CE506" s="82">
        <f>IFERROR(ABS(BX506/CD506),0)</f>
        <v/>
      </c>
      <c r="CF506" s="34">
        <f>IF(CE506&lt;=0.1,0,BX506/CE506*(CE506-0.1))</f>
        <v/>
      </c>
      <c r="CG506" s="34">
        <f>IF((CF506)&lt;0,MAX(F506:G506)*(CF506)*1.03,MIN(F506:G506)*(CF506)*0.97)</f>
        <v/>
      </c>
      <c r="CH506" s="34">
        <f>IF(CE506&gt;0.1,1,0)</f>
        <v/>
      </c>
      <c r="CI506" s="34">
        <f>(F506*BX506)-BY506</f>
        <v/>
      </c>
      <c r="CJ506" s="34">
        <f>IF(AY506=0,0,CI506/AY506)</f>
        <v/>
      </c>
    </row>
    <row r="507">
      <c r="A507" s="29">
        <f>[1]FİYATLAR!A482</f>
        <v/>
      </c>
      <c r="B507" s="29">
        <f>[1]FİYATLAR!B482</f>
        <v/>
      </c>
      <c r="C507" s="35">
        <f>INT(A507)</f>
        <v/>
      </c>
      <c r="D507" s="36">
        <f>MONTH(A507)</f>
        <v/>
      </c>
      <c r="E507" s="147">
        <f>[1]FİYATLAR!G482</f>
        <v/>
      </c>
      <c r="F507" s="30">
        <f>[1]FİYATLAR!C482</f>
        <v/>
      </c>
      <c r="G507" s="30">
        <f>[1]FİYATLAR!E482</f>
        <v/>
      </c>
      <c r="H507" s="30">
        <f>[1]FİYATLAR!D482</f>
        <v/>
      </c>
      <c r="I507" s="30">
        <f>[1]FİYATLAR!F482</f>
        <v/>
      </c>
      <c r="J507" s="119" t="n">
        <v>0</v>
      </c>
      <c r="K507" s="34">
        <f>F507*J507</f>
        <v/>
      </c>
      <c r="L507" s="119" t="n"/>
      <c r="M507" s="34">
        <f>L507*F507</f>
        <v/>
      </c>
      <c r="N507" s="119" t="n"/>
      <c r="O507" s="34">
        <f>F507</f>
        <v/>
      </c>
      <c r="P507" s="34">
        <f>N507*O507</f>
        <v/>
      </c>
      <c r="Q507" s="117" t="n">
        <v>0</v>
      </c>
      <c r="R507" s="34">
        <f>F507</f>
        <v/>
      </c>
      <c r="S507" s="34">
        <f>R507*Q507</f>
        <v/>
      </c>
      <c r="T507" s="34">
        <f>SUMIFS('[1]GİP VERİLERİ'!$C:$C,'[1]GİP VERİLERİ'!$B:$B,A507,'[1]GİP VERİLERİ'!$M:$M,"40X000000104782K",'[1]GİP VERİLERİ'!$G:$G,"SELL")</f>
        <v/>
      </c>
      <c r="U507" s="34">
        <f>IFERROR(W507/T507,0)</f>
        <v/>
      </c>
      <c r="V507" s="34">
        <f>IF(U507=0,0,U507-F507)</f>
        <v/>
      </c>
      <c r="W507" s="34">
        <f>SUMIFS('[1]GİP VERİLERİ'!$O:$O,'[1]GİP VERİLERİ'!$B:$B,A507,'[1]GİP VERİLERİ'!$M:$M,"40X000000104782K",'[1]GİP VERİLERİ'!$G:$G,"SELL")</f>
        <v/>
      </c>
      <c r="X507" s="34">
        <f>SUMIFS('[1]GİP VERİLERİ'!$C:$C,'[1]GİP VERİLERİ'!$B:$B,A507,'[1]GİP VERİLERİ'!$M:$M,"40X000000104782K",'[1]GİP VERİLERİ'!$G:$G,"BUY")</f>
        <v/>
      </c>
      <c r="Y507" s="34">
        <f>IFERROR(AA507/X507,0)</f>
        <v/>
      </c>
      <c r="Z507" s="34">
        <f>IF(Y507=0,0,F507-Y507)</f>
        <v/>
      </c>
      <c r="AA507" s="34">
        <f>SUMIFS('[1]GİP VERİLERİ'!$O:$O,'[1]GİP VERİLERİ'!$B:$B,A507,'[1]GİP VERİLERİ'!$M:$M,"40X000000104782K",'[1]GİP VERİLERİ'!$G:$G,"BUY")</f>
        <v/>
      </c>
      <c r="AB507" s="34">
        <f>'[1]GÖP VERİLERİ'!H508</f>
        <v/>
      </c>
      <c r="AC507" s="34">
        <f>'[1]GÖP VERİLERİ'!I508</f>
        <v/>
      </c>
      <c r="AD507" s="34">
        <f>IF(AB507&gt;AC507*1.05,AB507-AC507*1.05,IF(AB507&lt;AC507*0.95,AC507*0.95-AB507,0))</f>
        <v/>
      </c>
      <c r="AE507" s="34">
        <f>MAX(F507,G507,750)*0.05*AD507</f>
        <v/>
      </c>
      <c r="AF507" s="34">
        <f>'[1]GÖP VERİLERİ'!J508</f>
        <v/>
      </c>
      <c r="AG507" s="34">
        <f>IF(AB507&gt;AF507*1.05,AB507-AF507*1.05,IF(AB507&lt;AF507*0.95,AF507*0.95-AB507,0))</f>
        <v/>
      </c>
      <c r="AH507" s="34">
        <f>MAX(I507,J507,750)*0.05*AG507</f>
        <v/>
      </c>
      <c r="AI507">
        <f>'[1]GÖP VERİLERİ'!E508</f>
        <v/>
      </c>
      <c r="AJ507">
        <f>'[1]GÖP VERİLERİ'!F508</f>
        <v/>
      </c>
      <c r="AK507" s="34">
        <f>IF(AI507&gt;AJ507*1.05,AI507-AJ507*1.05,IF(AI507&lt;AJ507*0.95,AJ507*0.95-AI507,0))</f>
        <v/>
      </c>
      <c r="AL507" s="34">
        <f>MAX(F507,G507,750)*0.05*AK507</f>
        <v/>
      </c>
      <c r="AM507" s="39">
        <f>'[1]GÖP VERİLERİ'!G508</f>
        <v/>
      </c>
      <c r="AN507" s="34">
        <f>IF(AI507&gt;AM507*1.05,AI507-AM507*1.05,IF(AI507&lt;AM507*0.95,AM507*0.95-AI507,0))</f>
        <v/>
      </c>
      <c r="AO507" s="34">
        <f>MAX(F507,G507,750)*0.05*AN507</f>
        <v/>
      </c>
      <c r="AP507" s="34">
        <f>'[1]GÖP VERİLERİ'!B508</f>
        <v/>
      </c>
      <c r="AQ507" s="34">
        <f>'[1]GÖP VERİLERİ'!C508</f>
        <v/>
      </c>
      <c r="AR507" s="34">
        <f>IF(AP507&gt;AQ507*1.05,AP507-AQ507*1.05,IF(AP507&lt;AQ507*0.95,AQ507*0.95-AP507,0))</f>
        <v/>
      </c>
      <c r="AS507" s="34">
        <f>MAX(F507:G507,750)*0.05*AR507</f>
        <v/>
      </c>
      <c r="AT507">
        <f>'[1]GÖP VERİLERİ'!D508</f>
        <v/>
      </c>
      <c r="AU507" s="34">
        <f>IF(AP507&gt;AT507*1.05,AP507-AT507*1.05,IF(AP507&lt;AT507*0.95,AT507*0.95-AP507,0))</f>
        <v/>
      </c>
      <c r="AV507" s="34">
        <f>MAX(F507:G507,750)*0.05*AU507</f>
        <v/>
      </c>
      <c r="AW507" s="34">
        <f>AC507+AJ507+AQ507</f>
        <v/>
      </c>
      <c r="AX507" s="34">
        <f>AF507+AM507+AT507</f>
        <v/>
      </c>
      <c r="AY507" s="34">
        <f>AB507+AI507+AP507</f>
        <v/>
      </c>
      <c r="AZ507" s="34" t="n">
        <v>0</v>
      </c>
      <c r="BA507" s="34">
        <f>AD507+AK507+AR507</f>
        <v/>
      </c>
      <c r="BB507" s="34">
        <f>MAX(F507:G507,750)*0.05*BA507</f>
        <v/>
      </c>
      <c r="BC507" s="34">
        <f>AG507+AN507+AU507</f>
        <v/>
      </c>
      <c r="BD507" s="34">
        <f>MAX(F507:G507,750)*0.05*BC507</f>
        <v/>
      </c>
      <c r="BE507" s="34">
        <f>F507*AY507</f>
        <v/>
      </c>
      <c r="BF507" s="34">
        <f>K507-M507</f>
        <v/>
      </c>
      <c r="BG507" s="34">
        <f>P507-S507</f>
        <v/>
      </c>
      <c r="BH507" s="34">
        <f>W507-AA507</f>
        <v/>
      </c>
      <c r="BI507" s="34">
        <f>BF507+BG507+BL507-BN507</f>
        <v/>
      </c>
      <c r="BJ507" s="34">
        <f>ABS(BK507)</f>
        <v/>
      </c>
      <c r="BK507" s="34">
        <f>AY507-(J507-L507+N507-Q507)</f>
        <v/>
      </c>
      <c r="BL507" s="34">
        <f>IF(AND(BK507&gt;0,MIN($F507:$G507)&lt;150,$E507="Enerji Açığı"),-100*BK507*1.03,IF(AND(BK507&gt;0,MIN($F507:$G507)&lt;150,$E507="Enerji Fazlası"),-100*BK507*1.06,IF(AND(BK507&gt;0,MIN($F507:$G507)&gt;=150,$E507="Enerji Açığı"),BK507*MIN($F507:$G507)*0.97,IF(AND(BK507&gt;0,MIN($F507:$G507)&gt;=150,$E507="Enerji Fazlası"),BK507*MIN($F507:$G507)*0.94,IF(AND(BK507&lt;0,MAX($F507:$G507)=4500,$E507="Enerji Açığı"),4500*1.05*1.06*BK507,IF(AND(BK507&lt;0,MAX($F507:$G507)=4500,$E507="Enerji Fazlası"),4500*1.05*1.03*BK507,IF(AND(BK507&lt;0,$E507="Enerji Açığı"),MAX($F507,$G507,150)*BK507*1.06,IF(AND(BK507&lt;0,$E507="Enerji Fazlası"),MAX($F507,$G507,150)*BK507*1.03,IF(AND(BK507&lt;0,$E507="Dengede"),MAX($F507:$G507,150)*1.03*BK507,MIN($F507:$G507)*0.97*BK507)))))))))</f>
        <v/>
      </c>
      <c r="BM507" s="34">
        <f>BE507-BI507-BN507</f>
        <v/>
      </c>
      <c r="BN507" s="34">
        <f>BB507</f>
        <v/>
      </c>
      <c r="BO507" s="34">
        <f>BE507-BI507</f>
        <v/>
      </c>
      <c r="BP507" s="34">
        <f>IF(AY507=0,0,BO507/AY507)</f>
        <v/>
      </c>
      <c r="BQ507" s="34">
        <f>MAX((AY507+MAX((-J507+L507-N507+Q507),0)),(MAX((J507-L507+N507-Q507),0)))</f>
        <v/>
      </c>
      <c r="BR507" s="82">
        <f>IFERROR(ABS(BK507/BQ507),0)</f>
        <v/>
      </c>
      <c r="BS507" s="34">
        <f>IF(BR507&lt;=0.1,0,BK507/BR507*(BR507-0.1))</f>
        <v/>
      </c>
      <c r="BT507" s="34">
        <f>IF((BS507)&lt;0,MAX(F507:G507)*(BS507)*1.03,MIN(F507:G507)*(BS507)*0.97)</f>
        <v/>
      </c>
      <c r="BU507" s="34">
        <f>IF(BR507&gt;0.1,1,0)</f>
        <v/>
      </c>
      <c r="BV507" s="34">
        <f>BF507+BG507+BH507+BY507-CA507</f>
        <v/>
      </c>
      <c r="BW507" s="34">
        <f>ABS(BX507)</f>
        <v/>
      </c>
      <c r="BX507" s="34">
        <f>AY507-(J507-L507+N507-Q507+T507-X507)</f>
        <v/>
      </c>
      <c r="BY507" s="34">
        <f>IF(AND(BX507&gt;0,MIN($F507:$G507)&lt;150,$E507="Enerji Açığı"),-100*BX507*1.03,IF(AND(BX507&gt;0,MIN($F507:$G507)&lt;150,$E507="Enerji Fazlası"),-100*BX507*1.06,IF(AND(BX507&gt;0,MIN($F507:$G507)&gt;=150,$E507="Enerji Açığı"),BX507*MIN($F507:$G507)*0.97,IF(AND(BX507&gt;0,MIN($F507:$G507)&gt;=150,$E507="Enerji Fazlası"),BX507*MIN($F507:$G507)*0.94,IF(AND(BX507&lt;0,MAX($F507:$G507)=4500,$E507="Enerji Açığı"),4500*1.05*1.06*BX507,IF(AND(BX507&lt;0,MAX($F507:$G507)=4500,$E507="Enerji Fazlası"),4500*1.05*1.03*BX507,IF(AND(BX507&lt;0,$E507="Enerji Açığı"),MAX($F507,$G507,150)*BX507*1.06,IF(AND(BX507&lt;0,$E507="Enerji Fazlası"),MAX($F507,$G507,150)*BX507*1.03,IF(AND(BX507&lt;0,$E507="Dengede"),MAX($F507:$G507,150)*1.03*BX507,MIN($F507:$G507)*0.97*BX507)))))))))</f>
        <v/>
      </c>
      <c r="BZ507" s="34">
        <f>BE507-BV507-CA507</f>
        <v/>
      </c>
      <c r="CA507" s="34">
        <f>BD507</f>
        <v/>
      </c>
      <c r="CB507" s="33">
        <f>BE507-BV507</f>
        <v/>
      </c>
      <c r="CC507" s="34">
        <f>IF(AY507=0,0,CB507/AY507)</f>
        <v/>
      </c>
      <c r="CD507" s="34">
        <f>MAX((AY507+MAX((-J507+L507-N507+Q507-T507+X507),0)),(MAX((J507-L507+N507-Q507+T507-X507),0)))</f>
        <v/>
      </c>
      <c r="CE507" s="82">
        <f>IFERROR(ABS(BX507/CD507),0)</f>
        <v/>
      </c>
      <c r="CF507" s="34">
        <f>IF(CE507&lt;=0.1,0,BX507/CE507*(CE507-0.1))</f>
        <v/>
      </c>
      <c r="CG507" s="34">
        <f>IF((CF507)&lt;0,MAX(F507:G507)*(CF507)*1.03,MIN(F507:G507)*(CF507)*0.97)</f>
        <v/>
      </c>
      <c r="CH507" s="34">
        <f>IF(CE507&gt;0.1,1,0)</f>
        <v/>
      </c>
      <c r="CI507" s="34">
        <f>(F507*BX507)-BY507</f>
        <v/>
      </c>
      <c r="CJ507" s="34">
        <f>IF(AY507=0,0,CI507/AY507)</f>
        <v/>
      </c>
    </row>
    <row r="508">
      <c r="A508" s="29">
        <f>[1]FİYATLAR!A483</f>
        <v/>
      </c>
      <c r="B508" s="29">
        <f>[1]FİYATLAR!B483</f>
        <v/>
      </c>
      <c r="C508" s="35">
        <f>INT(A508)</f>
        <v/>
      </c>
      <c r="D508" s="36">
        <f>MONTH(A508)</f>
        <v/>
      </c>
      <c r="E508" s="147">
        <f>[1]FİYATLAR!G483</f>
        <v/>
      </c>
      <c r="F508" s="30">
        <f>[1]FİYATLAR!C483</f>
        <v/>
      </c>
      <c r="G508" s="30">
        <f>[1]FİYATLAR!E483</f>
        <v/>
      </c>
      <c r="H508" s="30">
        <f>[1]FİYATLAR!D483</f>
        <v/>
      </c>
      <c r="I508" s="30">
        <f>[1]FİYATLAR!F483</f>
        <v/>
      </c>
      <c r="J508" s="119" t="n">
        <v>0</v>
      </c>
      <c r="K508" s="34">
        <f>F508*J508</f>
        <v/>
      </c>
      <c r="L508" s="119" t="n"/>
      <c r="M508" s="34">
        <f>L508*F508</f>
        <v/>
      </c>
      <c r="N508" s="119" t="n"/>
      <c r="O508" s="34">
        <f>F508</f>
        <v/>
      </c>
      <c r="P508" s="34">
        <f>N508*O508</f>
        <v/>
      </c>
      <c r="Q508" s="117" t="n">
        <v>0</v>
      </c>
      <c r="R508" s="34">
        <f>F508</f>
        <v/>
      </c>
      <c r="S508" s="34">
        <f>R508*Q508</f>
        <v/>
      </c>
      <c r="T508" s="34">
        <f>SUMIFS('[1]GİP VERİLERİ'!$C:$C,'[1]GİP VERİLERİ'!$B:$B,A508,'[1]GİP VERİLERİ'!$M:$M,"40X000000104782K",'[1]GİP VERİLERİ'!$G:$G,"SELL")</f>
        <v/>
      </c>
      <c r="U508" s="34">
        <f>IFERROR(W508/T508,0)</f>
        <v/>
      </c>
      <c r="V508" s="34">
        <f>IF(U508=0,0,U508-F508)</f>
        <v/>
      </c>
      <c r="W508" s="34">
        <f>SUMIFS('[1]GİP VERİLERİ'!$O:$O,'[1]GİP VERİLERİ'!$B:$B,A508,'[1]GİP VERİLERİ'!$M:$M,"40X000000104782K",'[1]GİP VERİLERİ'!$G:$G,"SELL")</f>
        <v/>
      </c>
      <c r="X508" s="34">
        <f>SUMIFS('[1]GİP VERİLERİ'!$C:$C,'[1]GİP VERİLERİ'!$B:$B,A508,'[1]GİP VERİLERİ'!$M:$M,"40X000000104782K",'[1]GİP VERİLERİ'!$G:$G,"BUY")</f>
        <v/>
      </c>
      <c r="Y508" s="34">
        <f>IFERROR(AA508/X508,0)</f>
        <v/>
      </c>
      <c r="Z508" s="34">
        <f>IF(Y508=0,0,F508-Y508)</f>
        <v/>
      </c>
      <c r="AA508" s="34">
        <f>SUMIFS('[1]GİP VERİLERİ'!$O:$O,'[1]GİP VERİLERİ'!$B:$B,A508,'[1]GİP VERİLERİ'!$M:$M,"40X000000104782K",'[1]GİP VERİLERİ'!$G:$G,"BUY")</f>
        <v/>
      </c>
      <c r="AB508" s="34">
        <f>'[1]GÖP VERİLERİ'!H509</f>
        <v/>
      </c>
      <c r="AC508" s="34">
        <f>'[1]GÖP VERİLERİ'!I509</f>
        <v/>
      </c>
      <c r="AD508" s="34">
        <f>IF(AB508&gt;AC508*1.05,AB508-AC508*1.05,IF(AB508&lt;AC508*0.95,AC508*0.95-AB508,0))</f>
        <v/>
      </c>
      <c r="AE508" s="34">
        <f>MAX(F508,G508,750)*0.05*AD508</f>
        <v/>
      </c>
      <c r="AF508" s="34">
        <f>'[1]GÖP VERİLERİ'!J509</f>
        <v/>
      </c>
      <c r="AG508" s="34">
        <f>IF(AB508&gt;AF508*1.05,AB508-AF508*1.05,IF(AB508&lt;AF508*0.95,AF508*0.95-AB508,0))</f>
        <v/>
      </c>
      <c r="AH508" s="34">
        <f>MAX(I508,J508,750)*0.05*AG508</f>
        <v/>
      </c>
      <c r="AI508">
        <f>'[1]GÖP VERİLERİ'!E509</f>
        <v/>
      </c>
      <c r="AJ508">
        <f>'[1]GÖP VERİLERİ'!F509</f>
        <v/>
      </c>
      <c r="AK508" s="34">
        <f>IF(AI508&gt;AJ508*1.05,AI508-AJ508*1.05,IF(AI508&lt;AJ508*0.95,AJ508*0.95-AI508,0))</f>
        <v/>
      </c>
      <c r="AL508" s="34">
        <f>MAX(F508,G508,750)*0.05*AK508</f>
        <v/>
      </c>
      <c r="AM508" s="39">
        <f>'[1]GÖP VERİLERİ'!G509</f>
        <v/>
      </c>
      <c r="AN508" s="34">
        <f>IF(AI508&gt;AM508*1.05,AI508-AM508*1.05,IF(AI508&lt;AM508*0.95,AM508*0.95-AI508,0))</f>
        <v/>
      </c>
      <c r="AO508" s="34">
        <f>MAX(F508,G508,750)*0.05*AN508</f>
        <v/>
      </c>
      <c r="AP508" s="34">
        <f>'[1]GÖP VERİLERİ'!B509</f>
        <v/>
      </c>
      <c r="AQ508" s="34">
        <f>'[1]GÖP VERİLERİ'!C509</f>
        <v/>
      </c>
      <c r="AR508" s="34">
        <f>IF(AP508&gt;AQ508*1.05,AP508-AQ508*1.05,IF(AP508&lt;AQ508*0.95,AQ508*0.95-AP508,0))</f>
        <v/>
      </c>
      <c r="AS508" s="34">
        <f>MAX(F508:G508,750)*0.05*AR508</f>
        <v/>
      </c>
      <c r="AT508">
        <f>'[1]GÖP VERİLERİ'!D509</f>
        <v/>
      </c>
      <c r="AU508" s="34">
        <f>IF(AP508&gt;AT508*1.05,AP508-AT508*1.05,IF(AP508&lt;AT508*0.95,AT508*0.95-AP508,0))</f>
        <v/>
      </c>
      <c r="AV508" s="34">
        <f>MAX(F508:G508,750)*0.05*AU508</f>
        <v/>
      </c>
      <c r="AW508" s="34">
        <f>AC508+AJ508+AQ508</f>
        <v/>
      </c>
      <c r="AX508" s="34">
        <f>AF508+AM508+AT508</f>
        <v/>
      </c>
      <c r="AY508" s="34">
        <f>AB508+AI508+AP508</f>
        <v/>
      </c>
      <c r="AZ508" s="34" t="n">
        <v>0</v>
      </c>
      <c r="BA508" s="34">
        <f>AD508+AK508+AR508</f>
        <v/>
      </c>
      <c r="BB508" s="34">
        <f>MAX(F508:G508,750)*0.05*BA508</f>
        <v/>
      </c>
      <c r="BC508" s="34">
        <f>AG508+AN508+AU508</f>
        <v/>
      </c>
      <c r="BD508" s="34">
        <f>MAX(F508:G508,750)*0.05*BC508</f>
        <v/>
      </c>
      <c r="BE508" s="34">
        <f>F508*AY508</f>
        <v/>
      </c>
      <c r="BF508" s="34">
        <f>K508-M508</f>
        <v/>
      </c>
      <c r="BG508" s="34">
        <f>P508-S508</f>
        <v/>
      </c>
      <c r="BH508" s="34">
        <f>W508-AA508</f>
        <v/>
      </c>
      <c r="BI508" s="34">
        <f>BF508+BG508+BL508-BN508</f>
        <v/>
      </c>
      <c r="BJ508" s="34">
        <f>ABS(BK508)</f>
        <v/>
      </c>
      <c r="BK508" s="34">
        <f>AY508-(J508-L508+N508-Q508)</f>
        <v/>
      </c>
      <c r="BL508" s="34">
        <f>IF(AND(BK508&gt;0,MIN($F508:$G508)&lt;150,$E508="Enerji Açığı"),-100*BK508*1.03,IF(AND(BK508&gt;0,MIN($F508:$G508)&lt;150,$E508="Enerji Fazlası"),-100*BK508*1.06,IF(AND(BK508&gt;0,MIN($F508:$G508)&gt;=150,$E508="Enerji Açığı"),BK508*MIN($F508:$G508)*0.97,IF(AND(BK508&gt;0,MIN($F508:$G508)&gt;=150,$E508="Enerji Fazlası"),BK508*MIN($F508:$G508)*0.94,IF(AND(BK508&lt;0,MAX($F508:$G508)=4500,$E508="Enerji Açığı"),4500*1.05*1.06*BK508,IF(AND(BK508&lt;0,MAX($F508:$G508)=4500,$E508="Enerji Fazlası"),4500*1.05*1.03*BK508,IF(AND(BK508&lt;0,$E508="Enerji Açığı"),MAX($F508,$G508,150)*BK508*1.06,IF(AND(BK508&lt;0,$E508="Enerji Fazlası"),MAX($F508,$G508,150)*BK508*1.03,IF(AND(BK508&lt;0,$E508="Dengede"),MAX($F508:$G508,150)*1.03*BK508,MIN($F508:$G508)*0.97*BK508)))))))))</f>
        <v/>
      </c>
      <c r="BM508" s="34">
        <f>BE508-BI508-BN508</f>
        <v/>
      </c>
      <c r="BN508" s="34">
        <f>BB508</f>
        <v/>
      </c>
      <c r="BO508" s="34">
        <f>BE508-BI508</f>
        <v/>
      </c>
      <c r="BP508" s="34">
        <f>IF(AY508=0,0,BO508/AY508)</f>
        <v/>
      </c>
      <c r="BQ508" s="34">
        <f>MAX((AY508+MAX((-J508+L508-N508+Q508),0)),(MAX((J508-L508+N508-Q508),0)))</f>
        <v/>
      </c>
      <c r="BR508" s="82">
        <f>IFERROR(ABS(BK508/BQ508),0)</f>
        <v/>
      </c>
      <c r="BS508" s="34">
        <f>IF(BR508&lt;=0.1,0,BK508/BR508*(BR508-0.1))</f>
        <v/>
      </c>
      <c r="BT508" s="34">
        <f>IF((BS508)&lt;0,MAX(F508:G508)*(BS508)*1.03,MIN(F508:G508)*(BS508)*0.97)</f>
        <v/>
      </c>
      <c r="BU508" s="34">
        <f>IF(BR508&gt;0.1,1,0)</f>
        <v/>
      </c>
      <c r="BV508" s="34">
        <f>BF508+BG508+BH508+BY508-CA508</f>
        <v/>
      </c>
      <c r="BW508" s="34">
        <f>ABS(BX508)</f>
        <v/>
      </c>
      <c r="BX508" s="34">
        <f>AY508-(J508-L508+N508-Q508+T508-X508)</f>
        <v/>
      </c>
      <c r="BY508" s="34">
        <f>IF(AND(BX508&gt;0,MIN($F508:$G508)&lt;150,$E508="Enerji Açığı"),-100*BX508*1.03,IF(AND(BX508&gt;0,MIN($F508:$G508)&lt;150,$E508="Enerji Fazlası"),-100*BX508*1.06,IF(AND(BX508&gt;0,MIN($F508:$G508)&gt;=150,$E508="Enerji Açığı"),BX508*MIN($F508:$G508)*0.97,IF(AND(BX508&gt;0,MIN($F508:$G508)&gt;=150,$E508="Enerji Fazlası"),BX508*MIN($F508:$G508)*0.94,IF(AND(BX508&lt;0,MAX($F508:$G508)=4500,$E508="Enerji Açığı"),4500*1.05*1.06*BX508,IF(AND(BX508&lt;0,MAX($F508:$G508)=4500,$E508="Enerji Fazlası"),4500*1.05*1.03*BX508,IF(AND(BX508&lt;0,$E508="Enerji Açığı"),MAX($F508,$G508,150)*BX508*1.06,IF(AND(BX508&lt;0,$E508="Enerji Fazlası"),MAX($F508,$G508,150)*BX508*1.03,IF(AND(BX508&lt;0,$E508="Dengede"),MAX($F508:$G508,150)*1.03*BX508,MIN($F508:$G508)*0.97*BX508)))))))))</f>
        <v/>
      </c>
      <c r="BZ508" s="34">
        <f>BE508-BV508-CA508</f>
        <v/>
      </c>
      <c r="CA508" s="34">
        <f>BD508</f>
        <v/>
      </c>
      <c r="CB508" s="33">
        <f>BE508-BV508</f>
        <v/>
      </c>
      <c r="CC508" s="34">
        <f>IF(AY508=0,0,CB508/AY508)</f>
        <v/>
      </c>
      <c r="CD508" s="34">
        <f>MAX((AY508+MAX((-J508+L508-N508+Q508-T508+X508),0)),(MAX((J508-L508+N508-Q508+T508-X508),0)))</f>
        <v/>
      </c>
      <c r="CE508" s="82">
        <f>IFERROR(ABS(BX508/CD508),0)</f>
        <v/>
      </c>
      <c r="CF508" s="34">
        <f>IF(CE508&lt;=0.1,0,BX508/CE508*(CE508-0.1))</f>
        <v/>
      </c>
      <c r="CG508" s="34">
        <f>IF((CF508)&lt;0,MAX(F508:G508)*(CF508)*1.03,MIN(F508:G508)*(CF508)*0.97)</f>
        <v/>
      </c>
      <c r="CH508" s="34">
        <f>IF(CE508&gt;0.1,1,0)</f>
        <v/>
      </c>
      <c r="CI508" s="34">
        <f>(F508*BX508)-BY508</f>
        <v/>
      </c>
      <c r="CJ508" s="34">
        <f>IF(AY508=0,0,CI508/AY508)</f>
        <v/>
      </c>
    </row>
    <row r="509">
      <c r="A509" s="29">
        <f>[1]FİYATLAR!A484</f>
        <v/>
      </c>
      <c r="B509" s="29">
        <f>[1]FİYATLAR!B484</f>
        <v/>
      </c>
      <c r="C509" s="35">
        <f>INT(A509)</f>
        <v/>
      </c>
      <c r="D509" s="36">
        <f>MONTH(A509)</f>
        <v/>
      </c>
      <c r="E509" s="147">
        <f>[1]FİYATLAR!G484</f>
        <v/>
      </c>
      <c r="F509" s="30">
        <f>[1]FİYATLAR!C484</f>
        <v/>
      </c>
      <c r="G509" s="30">
        <f>[1]FİYATLAR!E484</f>
        <v/>
      </c>
      <c r="H509" s="30">
        <f>[1]FİYATLAR!D484</f>
        <v/>
      </c>
      <c r="I509" s="30">
        <f>[1]FİYATLAR!F484</f>
        <v/>
      </c>
      <c r="J509" s="119" t="n">
        <v>0</v>
      </c>
      <c r="K509" s="34">
        <f>F509*J509</f>
        <v/>
      </c>
      <c r="L509" s="119" t="n"/>
      <c r="M509" s="34">
        <f>L509*F509</f>
        <v/>
      </c>
      <c r="N509" s="119" t="n"/>
      <c r="O509" s="34">
        <f>F509</f>
        <v/>
      </c>
      <c r="P509" s="34">
        <f>N509*O509</f>
        <v/>
      </c>
      <c r="Q509" s="117" t="n">
        <v>0</v>
      </c>
      <c r="R509" s="34">
        <f>F509</f>
        <v/>
      </c>
      <c r="S509" s="34">
        <f>R509*Q509</f>
        <v/>
      </c>
      <c r="T509" s="34">
        <f>SUMIFS('[1]GİP VERİLERİ'!$C:$C,'[1]GİP VERİLERİ'!$B:$B,A509,'[1]GİP VERİLERİ'!$M:$M,"40X000000104782K",'[1]GİP VERİLERİ'!$G:$G,"SELL")</f>
        <v/>
      </c>
      <c r="U509" s="34">
        <f>IFERROR(W509/T509,0)</f>
        <v/>
      </c>
      <c r="V509" s="34">
        <f>IF(U509=0,0,U509-F509)</f>
        <v/>
      </c>
      <c r="W509" s="34">
        <f>SUMIFS('[1]GİP VERİLERİ'!$O:$O,'[1]GİP VERİLERİ'!$B:$B,A509,'[1]GİP VERİLERİ'!$M:$M,"40X000000104782K",'[1]GİP VERİLERİ'!$G:$G,"SELL")</f>
        <v/>
      </c>
      <c r="X509" s="34">
        <f>SUMIFS('[1]GİP VERİLERİ'!$C:$C,'[1]GİP VERİLERİ'!$B:$B,A509,'[1]GİP VERİLERİ'!$M:$M,"40X000000104782K",'[1]GİP VERİLERİ'!$G:$G,"BUY")</f>
        <v/>
      </c>
      <c r="Y509" s="34">
        <f>IFERROR(AA509/X509,0)</f>
        <v/>
      </c>
      <c r="Z509" s="34">
        <f>IF(Y509=0,0,F509-Y509)</f>
        <v/>
      </c>
      <c r="AA509" s="34">
        <f>SUMIFS('[1]GİP VERİLERİ'!$O:$O,'[1]GİP VERİLERİ'!$B:$B,A509,'[1]GİP VERİLERİ'!$M:$M,"40X000000104782K",'[1]GİP VERİLERİ'!$G:$G,"BUY")</f>
        <v/>
      </c>
      <c r="AB509" s="34">
        <f>'[1]GÖP VERİLERİ'!H510</f>
        <v/>
      </c>
      <c r="AC509" s="34">
        <f>'[1]GÖP VERİLERİ'!I510</f>
        <v/>
      </c>
      <c r="AD509" s="34">
        <f>IF(AB509&gt;AC509*1.05,AB509-AC509*1.05,IF(AB509&lt;AC509*0.95,AC509*0.95-AB509,0))</f>
        <v/>
      </c>
      <c r="AE509" s="34">
        <f>MAX(F509,G509,750)*0.05*AD509</f>
        <v/>
      </c>
      <c r="AF509" s="34">
        <f>'[1]GÖP VERİLERİ'!J510</f>
        <v/>
      </c>
      <c r="AG509" s="34">
        <f>IF(AB509&gt;AF509*1.05,AB509-AF509*1.05,IF(AB509&lt;AF509*0.95,AF509*0.95-AB509,0))</f>
        <v/>
      </c>
      <c r="AH509" s="34">
        <f>MAX(I509,J509,750)*0.05*AG509</f>
        <v/>
      </c>
      <c r="AI509">
        <f>'[1]GÖP VERİLERİ'!E510</f>
        <v/>
      </c>
      <c r="AJ509">
        <f>'[1]GÖP VERİLERİ'!F510</f>
        <v/>
      </c>
      <c r="AK509" s="34">
        <f>IF(AI509&gt;AJ509*1.05,AI509-AJ509*1.05,IF(AI509&lt;AJ509*0.95,AJ509*0.95-AI509,0))</f>
        <v/>
      </c>
      <c r="AL509" s="34">
        <f>MAX(F509,G509,750)*0.05*AK509</f>
        <v/>
      </c>
      <c r="AM509" s="39">
        <f>'[1]GÖP VERİLERİ'!G510</f>
        <v/>
      </c>
      <c r="AN509" s="34">
        <f>IF(AI509&gt;AM509*1.05,AI509-AM509*1.05,IF(AI509&lt;AM509*0.95,AM509*0.95-AI509,0))</f>
        <v/>
      </c>
      <c r="AO509" s="34">
        <f>MAX(F509,G509,750)*0.05*AN509</f>
        <v/>
      </c>
      <c r="AP509" s="34">
        <f>'[1]GÖP VERİLERİ'!B510</f>
        <v/>
      </c>
      <c r="AQ509" s="34">
        <f>'[1]GÖP VERİLERİ'!C510</f>
        <v/>
      </c>
      <c r="AR509" s="34">
        <f>IF(AP509&gt;AQ509*1.05,AP509-AQ509*1.05,IF(AP509&lt;AQ509*0.95,AQ509*0.95-AP509,0))</f>
        <v/>
      </c>
      <c r="AS509" s="34">
        <f>MAX(F509:G509,750)*0.05*AR509</f>
        <v/>
      </c>
      <c r="AT509">
        <f>'[1]GÖP VERİLERİ'!D510</f>
        <v/>
      </c>
      <c r="AU509" s="34">
        <f>IF(AP509&gt;AT509*1.05,AP509-AT509*1.05,IF(AP509&lt;AT509*0.95,AT509*0.95-AP509,0))</f>
        <v/>
      </c>
      <c r="AV509" s="34">
        <f>MAX(F509:G509,750)*0.05*AU509</f>
        <v/>
      </c>
      <c r="AW509" s="34">
        <f>AC509+AJ509+AQ509</f>
        <v/>
      </c>
      <c r="AX509" s="34">
        <f>AF509+AM509+AT509</f>
        <v/>
      </c>
      <c r="AY509" s="34">
        <f>AB509+AI509+AP509</f>
        <v/>
      </c>
      <c r="AZ509" s="34" t="n">
        <v>0</v>
      </c>
      <c r="BA509" s="34">
        <f>AD509+AK509+AR509</f>
        <v/>
      </c>
      <c r="BB509" s="34">
        <f>MAX(F509:G509,750)*0.05*BA509</f>
        <v/>
      </c>
      <c r="BC509" s="34">
        <f>AG509+AN509+AU509</f>
        <v/>
      </c>
      <c r="BD509" s="34">
        <f>MAX(F509:G509,750)*0.05*BC509</f>
        <v/>
      </c>
      <c r="BE509" s="34">
        <f>F509*AY509</f>
        <v/>
      </c>
      <c r="BF509" s="34">
        <f>K509-M509</f>
        <v/>
      </c>
      <c r="BG509" s="34">
        <f>P509-S509</f>
        <v/>
      </c>
      <c r="BH509" s="34">
        <f>W509-AA509</f>
        <v/>
      </c>
      <c r="BI509" s="34">
        <f>BF509+BG509+BL509-BN509</f>
        <v/>
      </c>
      <c r="BJ509" s="34">
        <f>ABS(BK509)</f>
        <v/>
      </c>
      <c r="BK509" s="34">
        <f>AY509-(J509-L509+N509-Q509)</f>
        <v/>
      </c>
      <c r="BL509" s="34">
        <f>IF(AND(BK509&gt;0,MIN($F509:$G509)&lt;150,$E509="Enerji Açığı"),-100*BK509*1.03,IF(AND(BK509&gt;0,MIN($F509:$G509)&lt;150,$E509="Enerji Fazlası"),-100*BK509*1.06,IF(AND(BK509&gt;0,MIN($F509:$G509)&gt;=150,$E509="Enerji Açığı"),BK509*MIN($F509:$G509)*0.97,IF(AND(BK509&gt;0,MIN($F509:$G509)&gt;=150,$E509="Enerji Fazlası"),BK509*MIN($F509:$G509)*0.94,IF(AND(BK509&lt;0,MAX($F509:$G509)=4500,$E509="Enerji Açığı"),4500*1.05*1.06*BK509,IF(AND(BK509&lt;0,MAX($F509:$G509)=4500,$E509="Enerji Fazlası"),4500*1.05*1.03*BK509,IF(AND(BK509&lt;0,$E509="Enerji Açığı"),MAX($F509,$G509,150)*BK509*1.06,IF(AND(BK509&lt;0,$E509="Enerji Fazlası"),MAX($F509,$G509,150)*BK509*1.03,IF(AND(BK509&lt;0,$E509="Dengede"),MAX($F509:$G509,150)*1.03*BK509,MIN($F509:$G509)*0.97*BK509)))))))))</f>
        <v/>
      </c>
      <c r="BM509" s="34">
        <f>BE509-BI509-BN509</f>
        <v/>
      </c>
      <c r="BN509" s="34">
        <f>BB509</f>
        <v/>
      </c>
      <c r="BO509" s="34">
        <f>BE509-BI509</f>
        <v/>
      </c>
      <c r="BP509" s="34">
        <f>IF(AY509=0,0,BO509/AY509)</f>
        <v/>
      </c>
      <c r="BQ509" s="34">
        <f>MAX((AY509+MAX((-J509+L509-N509+Q509),0)),(MAX((J509-L509+N509-Q509),0)))</f>
        <v/>
      </c>
      <c r="BR509" s="82">
        <f>IFERROR(ABS(BK509/BQ509),0)</f>
        <v/>
      </c>
      <c r="BS509" s="34">
        <f>IF(BR509&lt;=0.1,0,BK509/BR509*(BR509-0.1))</f>
        <v/>
      </c>
      <c r="BT509" s="34">
        <f>IF((BS509)&lt;0,MAX(F509:G509)*(BS509)*1.03,MIN(F509:G509)*(BS509)*0.97)</f>
        <v/>
      </c>
      <c r="BU509" s="34">
        <f>IF(BR509&gt;0.1,1,0)</f>
        <v/>
      </c>
      <c r="BV509" s="34">
        <f>BF509+BG509+BH509+BY509-CA509</f>
        <v/>
      </c>
      <c r="BW509" s="34">
        <f>ABS(BX509)</f>
        <v/>
      </c>
      <c r="BX509" s="34">
        <f>AY509-(J509-L509+N509-Q509+T509-X509)</f>
        <v/>
      </c>
      <c r="BY509" s="34">
        <f>IF(AND(BX509&gt;0,MIN($F509:$G509)&lt;150,$E509="Enerji Açığı"),-100*BX509*1.03,IF(AND(BX509&gt;0,MIN($F509:$G509)&lt;150,$E509="Enerji Fazlası"),-100*BX509*1.06,IF(AND(BX509&gt;0,MIN($F509:$G509)&gt;=150,$E509="Enerji Açığı"),BX509*MIN($F509:$G509)*0.97,IF(AND(BX509&gt;0,MIN($F509:$G509)&gt;=150,$E509="Enerji Fazlası"),BX509*MIN($F509:$G509)*0.94,IF(AND(BX509&lt;0,MAX($F509:$G509)=4500,$E509="Enerji Açığı"),4500*1.05*1.06*BX509,IF(AND(BX509&lt;0,MAX($F509:$G509)=4500,$E509="Enerji Fazlası"),4500*1.05*1.03*BX509,IF(AND(BX509&lt;0,$E509="Enerji Açığı"),MAX($F509,$G509,150)*BX509*1.06,IF(AND(BX509&lt;0,$E509="Enerji Fazlası"),MAX($F509,$G509,150)*BX509*1.03,IF(AND(BX509&lt;0,$E509="Dengede"),MAX($F509:$G509,150)*1.03*BX509,MIN($F509:$G509)*0.97*BX509)))))))))</f>
        <v/>
      </c>
      <c r="BZ509" s="34">
        <f>BE509-BV509-CA509</f>
        <v/>
      </c>
      <c r="CA509" s="34">
        <f>BD509</f>
        <v/>
      </c>
      <c r="CB509" s="33">
        <f>BE509-BV509</f>
        <v/>
      </c>
      <c r="CC509" s="34">
        <f>IF(AY509=0,0,CB509/AY509)</f>
        <v/>
      </c>
      <c r="CD509" s="34">
        <f>MAX((AY509+MAX((-J509+L509-N509+Q509-T509+X509),0)),(MAX((J509-L509+N509-Q509+T509-X509),0)))</f>
        <v/>
      </c>
      <c r="CE509" s="82">
        <f>IFERROR(ABS(BX509/CD509),0)</f>
        <v/>
      </c>
      <c r="CF509" s="34">
        <f>IF(CE509&lt;=0.1,0,BX509/CE509*(CE509-0.1))</f>
        <v/>
      </c>
      <c r="CG509" s="34">
        <f>IF((CF509)&lt;0,MAX(F509:G509)*(CF509)*1.03,MIN(F509:G509)*(CF509)*0.97)</f>
        <v/>
      </c>
      <c r="CH509" s="34">
        <f>IF(CE509&gt;0.1,1,0)</f>
        <v/>
      </c>
      <c r="CI509" s="34">
        <f>(F509*BX509)-BY509</f>
        <v/>
      </c>
      <c r="CJ509" s="34">
        <f>IF(AY509=0,0,CI509/AY509)</f>
        <v/>
      </c>
    </row>
    <row r="510">
      <c r="A510" s="29">
        <f>[1]FİYATLAR!A485</f>
        <v/>
      </c>
      <c r="B510" s="29">
        <f>[1]FİYATLAR!B485</f>
        <v/>
      </c>
      <c r="C510" s="35">
        <f>INT(A510)</f>
        <v/>
      </c>
      <c r="D510" s="36">
        <f>MONTH(A510)</f>
        <v/>
      </c>
      <c r="E510" s="147">
        <f>[1]FİYATLAR!G485</f>
        <v/>
      </c>
      <c r="F510" s="30">
        <f>[1]FİYATLAR!C485</f>
        <v/>
      </c>
      <c r="G510" s="30">
        <f>[1]FİYATLAR!E485</f>
        <v/>
      </c>
      <c r="H510" s="30">
        <f>[1]FİYATLAR!D485</f>
        <v/>
      </c>
      <c r="I510" s="30">
        <f>[1]FİYATLAR!F485</f>
        <v/>
      </c>
      <c r="J510" s="119" t="n">
        <v>0</v>
      </c>
      <c r="K510" s="34">
        <f>F510*J510</f>
        <v/>
      </c>
      <c r="L510" s="119" t="n"/>
      <c r="M510" s="34">
        <f>L510*F510</f>
        <v/>
      </c>
      <c r="N510" s="119" t="n"/>
      <c r="O510" s="34">
        <f>F510</f>
        <v/>
      </c>
      <c r="P510" s="34">
        <f>N510*O510</f>
        <v/>
      </c>
      <c r="Q510" s="117" t="n">
        <v>0</v>
      </c>
      <c r="R510" s="34">
        <f>F510</f>
        <v/>
      </c>
      <c r="S510" s="34">
        <f>R510*Q510</f>
        <v/>
      </c>
      <c r="T510" s="34">
        <f>SUMIFS('[1]GİP VERİLERİ'!$C:$C,'[1]GİP VERİLERİ'!$B:$B,A510,'[1]GİP VERİLERİ'!$M:$M,"40X000000104782K",'[1]GİP VERİLERİ'!$G:$G,"SELL")</f>
        <v/>
      </c>
      <c r="U510" s="34">
        <f>IFERROR(W510/T510,0)</f>
        <v/>
      </c>
      <c r="V510" s="34">
        <f>IF(U510=0,0,U510-F510)</f>
        <v/>
      </c>
      <c r="W510" s="34">
        <f>SUMIFS('[1]GİP VERİLERİ'!$O:$O,'[1]GİP VERİLERİ'!$B:$B,A510,'[1]GİP VERİLERİ'!$M:$M,"40X000000104782K",'[1]GİP VERİLERİ'!$G:$G,"SELL")</f>
        <v/>
      </c>
      <c r="X510" s="34">
        <f>SUMIFS('[1]GİP VERİLERİ'!$C:$C,'[1]GİP VERİLERİ'!$B:$B,A510,'[1]GİP VERİLERİ'!$M:$M,"40X000000104782K",'[1]GİP VERİLERİ'!$G:$G,"BUY")</f>
        <v/>
      </c>
      <c r="Y510" s="34">
        <f>IFERROR(AA510/X510,0)</f>
        <v/>
      </c>
      <c r="Z510" s="34">
        <f>IF(Y510=0,0,F510-Y510)</f>
        <v/>
      </c>
      <c r="AA510" s="34">
        <f>SUMIFS('[1]GİP VERİLERİ'!$O:$O,'[1]GİP VERİLERİ'!$B:$B,A510,'[1]GİP VERİLERİ'!$M:$M,"40X000000104782K",'[1]GİP VERİLERİ'!$G:$G,"BUY")</f>
        <v/>
      </c>
      <c r="AB510" s="34">
        <f>'[1]GÖP VERİLERİ'!H511</f>
        <v/>
      </c>
      <c r="AC510" s="34">
        <f>'[1]GÖP VERİLERİ'!I511</f>
        <v/>
      </c>
      <c r="AD510" s="34">
        <f>IF(AB510&gt;AC510*1.05,AB510-AC510*1.05,IF(AB510&lt;AC510*0.95,AC510*0.95-AB510,0))</f>
        <v/>
      </c>
      <c r="AE510" s="34">
        <f>MAX(F510,G510,750)*0.05*AD510</f>
        <v/>
      </c>
      <c r="AF510" s="34">
        <f>'[1]GÖP VERİLERİ'!J511</f>
        <v/>
      </c>
      <c r="AG510" s="34">
        <f>IF(AB510&gt;AF510*1.05,AB510-AF510*1.05,IF(AB510&lt;AF510*0.95,AF510*0.95-AB510,0))</f>
        <v/>
      </c>
      <c r="AH510" s="34">
        <f>MAX(I510,J510,750)*0.05*AG510</f>
        <v/>
      </c>
      <c r="AI510">
        <f>'[1]GÖP VERİLERİ'!E511</f>
        <v/>
      </c>
      <c r="AJ510">
        <f>'[1]GÖP VERİLERİ'!F511</f>
        <v/>
      </c>
      <c r="AK510" s="34">
        <f>IF(AI510&gt;AJ510*1.05,AI510-AJ510*1.05,IF(AI510&lt;AJ510*0.95,AJ510*0.95-AI510,0))</f>
        <v/>
      </c>
      <c r="AL510" s="34">
        <f>MAX(F510,G510,750)*0.05*AK510</f>
        <v/>
      </c>
      <c r="AM510" s="39">
        <f>'[1]GÖP VERİLERİ'!G511</f>
        <v/>
      </c>
      <c r="AN510" s="34">
        <f>IF(AI510&gt;AM510*1.05,AI510-AM510*1.05,IF(AI510&lt;AM510*0.95,AM510*0.95-AI510,0))</f>
        <v/>
      </c>
      <c r="AO510" s="34">
        <f>MAX(F510,G510,750)*0.05*AN510</f>
        <v/>
      </c>
      <c r="AP510" s="34">
        <f>'[1]GÖP VERİLERİ'!B511</f>
        <v/>
      </c>
      <c r="AQ510" s="34">
        <f>'[1]GÖP VERİLERİ'!C511</f>
        <v/>
      </c>
      <c r="AR510" s="34">
        <f>IF(AP510&gt;AQ510*1.05,AP510-AQ510*1.05,IF(AP510&lt;AQ510*0.95,AQ510*0.95-AP510,0))</f>
        <v/>
      </c>
      <c r="AS510" s="34">
        <f>MAX(F510:G510,750)*0.05*AR510</f>
        <v/>
      </c>
      <c r="AT510">
        <f>'[1]GÖP VERİLERİ'!D511</f>
        <v/>
      </c>
      <c r="AU510" s="34">
        <f>IF(AP510&gt;AT510*1.05,AP510-AT510*1.05,IF(AP510&lt;AT510*0.95,AT510*0.95-AP510,0))</f>
        <v/>
      </c>
      <c r="AV510" s="34">
        <f>MAX(F510:G510,750)*0.05*AU510</f>
        <v/>
      </c>
      <c r="AW510" s="34">
        <f>AC510+AJ510+AQ510</f>
        <v/>
      </c>
      <c r="AX510" s="34">
        <f>AF510+AM510+AT510</f>
        <v/>
      </c>
      <c r="AY510" s="34">
        <f>AB510+AI510+AP510</f>
        <v/>
      </c>
      <c r="AZ510" s="34" t="n">
        <v>0</v>
      </c>
      <c r="BA510" s="34">
        <f>AD510+AK510+AR510</f>
        <v/>
      </c>
      <c r="BB510" s="34">
        <f>MAX(F510:G510,750)*0.05*BA510</f>
        <v/>
      </c>
      <c r="BC510" s="34">
        <f>AG510+AN510+AU510</f>
        <v/>
      </c>
      <c r="BD510" s="34">
        <f>MAX(F510:G510,750)*0.05*BC510</f>
        <v/>
      </c>
      <c r="BE510" s="34">
        <f>F510*AY510</f>
        <v/>
      </c>
      <c r="BF510" s="34">
        <f>K510-M510</f>
        <v/>
      </c>
      <c r="BG510" s="34">
        <f>P510-S510</f>
        <v/>
      </c>
      <c r="BH510" s="34">
        <f>W510-AA510</f>
        <v/>
      </c>
      <c r="BI510" s="34">
        <f>BF510+BG510+BL510-BN510</f>
        <v/>
      </c>
      <c r="BJ510" s="34">
        <f>ABS(BK510)</f>
        <v/>
      </c>
      <c r="BK510" s="34">
        <f>AY510-(J510-L510+N510-Q510)</f>
        <v/>
      </c>
      <c r="BL510" s="34">
        <f>IF(AND(BK510&gt;0,MIN($F510:$G510)&lt;150,$E510="Enerji Açığı"),-100*BK510*1.03,IF(AND(BK510&gt;0,MIN($F510:$G510)&lt;150,$E510="Enerji Fazlası"),-100*BK510*1.06,IF(AND(BK510&gt;0,MIN($F510:$G510)&gt;=150,$E510="Enerji Açığı"),BK510*MIN($F510:$G510)*0.97,IF(AND(BK510&gt;0,MIN($F510:$G510)&gt;=150,$E510="Enerji Fazlası"),BK510*MIN($F510:$G510)*0.94,IF(AND(BK510&lt;0,MAX($F510:$G510)=4500,$E510="Enerji Açığı"),4500*1.05*1.06*BK510,IF(AND(BK510&lt;0,MAX($F510:$G510)=4500,$E510="Enerji Fazlası"),4500*1.05*1.03*BK510,IF(AND(BK510&lt;0,$E510="Enerji Açığı"),MAX($F510,$G510,150)*BK510*1.06,IF(AND(BK510&lt;0,$E510="Enerji Fazlası"),MAX($F510,$G510,150)*BK510*1.03,IF(AND(BK510&lt;0,$E510="Dengede"),MAX($F510:$G510,150)*1.03*BK510,MIN($F510:$G510)*0.97*BK510)))))))))</f>
        <v/>
      </c>
      <c r="BM510" s="34">
        <f>BE510-BI510-BN510</f>
        <v/>
      </c>
      <c r="BN510" s="34">
        <f>BB510</f>
        <v/>
      </c>
      <c r="BO510" s="34">
        <f>BE510-BI510</f>
        <v/>
      </c>
      <c r="BP510" s="34">
        <f>IF(AY510=0,0,BO510/AY510)</f>
        <v/>
      </c>
      <c r="BQ510" s="34">
        <f>MAX((AY510+MAX((-J510+L510-N510+Q510),0)),(MAX((J510-L510+N510-Q510),0)))</f>
        <v/>
      </c>
      <c r="BR510" s="82">
        <f>IFERROR(ABS(BK510/BQ510),0)</f>
        <v/>
      </c>
      <c r="BS510" s="34">
        <f>IF(BR510&lt;=0.1,0,BK510/BR510*(BR510-0.1))</f>
        <v/>
      </c>
      <c r="BT510" s="34">
        <f>IF((BS510)&lt;0,MAX(F510:G510)*(BS510)*1.03,MIN(F510:G510)*(BS510)*0.97)</f>
        <v/>
      </c>
      <c r="BU510" s="34">
        <f>IF(BR510&gt;0.1,1,0)</f>
        <v/>
      </c>
      <c r="BV510" s="34">
        <f>BF510+BG510+BH510+BY510-CA510</f>
        <v/>
      </c>
      <c r="BW510" s="34">
        <f>ABS(BX510)</f>
        <v/>
      </c>
      <c r="BX510" s="34">
        <f>AY510-(J510-L510+N510-Q510+T510-X510)</f>
        <v/>
      </c>
      <c r="BY510" s="34">
        <f>IF(AND(BX510&gt;0,MIN($F510:$G510)&lt;150,$E510="Enerji Açığı"),-100*BX510*1.03,IF(AND(BX510&gt;0,MIN($F510:$G510)&lt;150,$E510="Enerji Fazlası"),-100*BX510*1.06,IF(AND(BX510&gt;0,MIN($F510:$G510)&gt;=150,$E510="Enerji Açığı"),BX510*MIN($F510:$G510)*0.97,IF(AND(BX510&gt;0,MIN($F510:$G510)&gt;=150,$E510="Enerji Fazlası"),BX510*MIN($F510:$G510)*0.94,IF(AND(BX510&lt;0,MAX($F510:$G510)=4500,$E510="Enerji Açığı"),4500*1.05*1.06*BX510,IF(AND(BX510&lt;0,MAX($F510:$G510)=4500,$E510="Enerji Fazlası"),4500*1.05*1.03*BX510,IF(AND(BX510&lt;0,$E510="Enerji Açığı"),MAX($F510,$G510,150)*BX510*1.06,IF(AND(BX510&lt;0,$E510="Enerji Fazlası"),MAX($F510,$G510,150)*BX510*1.03,IF(AND(BX510&lt;0,$E510="Dengede"),MAX($F510:$G510,150)*1.03*BX510,MIN($F510:$G510)*0.97*BX510)))))))))</f>
        <v/>
      </c>
      <c r="BZ510" s="34">
        <f>BE510-BV510-CA510</f>
        <v/>
      </c>
      <c r="CA510" s="34">
        <f>BD510</f>
        <v/>
      </c>
      <c r="CB510" s="33">
        <f>BE510-BV510</f>
        <v/>
      </c>
      <c r="CC510" s="34">
        <f>IF(AY510=0,0,CB510/AY510)</f>
        <v/>
      </c>
      <c r="CD510" s="34">
        <f>MAX((AY510+MAX((-J510+L510-N510+Q510-T510+X510),0)),(MAX((J510-L510+N510-Q510+T510-X510),0)))</f>
        <v/>
      </c>
      <c r="CE510" s="82">
        <f>IFERROR(ABS(BX510/CD510),0)</f>
        <v/>
      </c>
      <c r="CF510" s="34">
        <f>IF(CE510&lt;=0.1,0,BX510/CE510*(CE510-0.1))</f>
        <v/>
      </c>
      <c r="CG510" s="34">
        <f>IF((CF510)&lt;0,MAX(F510:G510)*(CF510)*1.03,MIN(F510:G510)*(CF510)*0.97)</f>
        <v/>
      </c>
      <c r="CH510" s="34">
        <f>IF(CE510&gt;0.1,1,0)</f>
        <v/>
      </c>
      <c r="CI510" s="34">
        <f>(F510*BX510)-BY510</f>
        <v/>
      </c>
      <c r="CJ510" s="34">
        <f>IF(AY510=0,0,CI510/AY510)</f>
        <v/>
      </c>
    </row>
    <row r="511">
      <c r="A511" s="29">
        <f>[1]FİYATLAR!A486</f>
        <v/>
      </c>
      <c r="B511" s="29">
        <f>[1]FİYATLAR!B486</f>
        <v/>
      </c>
      <c r="C511" s="35">
        <f>INT(A511)</f>
        <v/>
      </c>
      <c r="D511" s="36">
        <f>MONTH(A511)</f>
        <v/>
      </c>
      <c r="E511" s="147">
        <f>[1]FİYATLAR!G486</f>
        <v/>
      </c>
      <c r="F511" s="30">
        <f>[1]FİYATLAR!C486</f>
        <v/>
      </c>
      <c r="G511" s="30">
        <f>[1]FİYATLAR!E486</f>
        <v/>
      </c>
      <c r="H511" s="30">
        <f>[1]FİYATLAR!D486</f>
        <v/>
      </c>
      <c r="I511" s="30">
        <f>[1]FİYATLAR!F486</f>
        <v/>
      </c>
      <c r="J511" s="119" t="n">
        <v>0</v>
      </c>
      <c r="K511" s="34">
        <f>F511*J511</f>
        <v/>
      </c>
      <c r="L511" s="119" t="n"/>
      <c r="M511" s="34">
        <f>L511*F511</f>
        <v/>
      </c>
      <c r="N511" s="119" t="n"/>
      <c r="O511" s="34">
        <f>F511</f>
        <v/>
      </c>
      <c r="P511" s="34">
        <f>N511*O511</f>
        <v/>
      </c>
      <c r="Q511" s="117" t="n">
        <v>0</v>
      </c>
      <c r="R511" s="34">
        <f>F511</f>
        <v/>
      </c>
      <c r="S511" s="34">
        <f>R511*Q511</f>
        <v/>
      </c>
      <c r="T511" s="34">
        <f>SUMIFS('[1]GİP VERİLERİ'!$C:$C,'[1]GİP VERİLERİ'!$B:$B,A511,'[1]GİP VERİLERİ'!$M:$M,"40X000000104782K",'[1]GİP VERİLERİ'!$G:$G,"SELL")</f>
        <v/>
      </c>
      <c r="U511" s="34">
        <f>IFERROR(W511/T511,0)</f>
        <v/>
      </c>
      <c r="V511" s="34">
        <f>IF(U511=0,0,U511-F511)</f>
        <v/>
      </c>
      <c r="W511" s="34">
        <f>SUMIFS('[1]GİP VERİLERİ'!$O:$O,'[1]GİP VERİLERİ'!$B:$B,A511,'[1]GİP VERİLERİ'!$M:$M,"40X000000104782K",'[1]GİP VERİLERİ'!$G:$G,"SELL")</f>
        <v/>
      </c>
      <c r="X511" s="34">
        <f>SUMIFS('[1]GİP VERİLERİ'!$C:$C,'[1]GİP VERİLERİ'!$B:$B,A511,'[1]GİP VERİLERİ'!$M:$M,"40X000000104782K",'[1]GİP VERİLERİ'!$G:$G,"BUY")</f>
        <v/>
      </c>
      <c r="Y511" s="34">
        <f>IFERROR(AA511/X511,0)</f>
        <v/>
      </c>
      <c r="Z511" s="34">
        <f>IF(Y511=0,0,F511-Y511)</f>
        <v/>
      </c>
      <c r="AA511" s="34">
        <f>SUMIFS('[1]GİP VERİLERİ'!$O:$O,'[1]GİP VERİLERİ'!$B:$B,A511,'[1]GİP VERİLERİ'!$M:$M,"40X000000104782K",'[1]GİP VERİLERİ'!$G:$G,"BUY")</f>
        <v/>
      </c>
      <c r="AB511" s="34">
        <f>'[1]GÖP VERİLERİ'!H512</f>
        <v/>
      </c>
      <c r="AC511" s="34">
        <f>'[1]GÖP VERİLERİ'!I512</f>
        <v/>
      </c>
      <c r="AD511" s="34">
        <f>IF(AB511&gt;AC511*1.05,AB511-AC511*1.05,IF(AB511&lt;AC511*0.95,AC511*0.95-AB511,0))</f>
        <v/>
      </c>
      <c r="AE511" s="34">
        <f>MAX(F511,G511,750)*0.05*AD511</f>
        <v/>
      </c>
      <c r="AF511" s="34">
        <f>'[1]GÖP VERİLERİ'!J512</f>
        <v/>
      </c>
      <c r="AG511" s="34">
        <f>IF(AB511&gt;AF511*1.05,AB511-AF511*1.05,IF(AB511&lt;AF511*0.95,AF511*0.95-AB511,0))</f>
        <v/>
      </c>
      <c r="AH511" s="34">
        <f>MAX(I511,J511,750)*0.05*AG511</f>
        <v/>
      </c>
      <c r="AI511">
        <f>'[1]GÖP VERİLERİ'!E512</f>
        <v/>
      </c>
      <c r="AJ511">
        <f>'[1]GÖP VERİLERİ'!F512</f>
        <v/>
      </c>
      <c r="AK511" s="34">
        <f>IF(AI511&gt;AJ511*1.05,AI511-AJ511*1.05,IF(AI511&lt;AJ511*0.95,AJ511*0.95-AI511,0))</f>
        <v/>
      </c>
      <c r="AL511" s="34">
        <f>MAX(F511,G511,750)*0.05*AK511</f>
        <v/>
      </c>
      <c r="AM511" s="39">
        <f>'[1]GÖP VERİLERİ'!G512</f>
        <v/>
      </c>
      <c r="AN511" s="34">
        <f>IF(AI511&gt;AM511*1.05,AI511-AM511*1.05,IF(AI511&lt;AM511*0.95,AM511*0.95-AI511,0))</f>
        <v/>
      </c>
      <c r="AO511" s="34">
        <f>MAX(F511,G511,750)*0.05*AN511</f>
        <v/>
      </c>
      <c r="AP511" s="34">
        <f>'[1]GÖP VERİLERİ'!B512</f>
        <v/>
      </c>
      <c r="AQ511" s="34">
        <f>'[1]GÖP VERİLERİ'!C512</f>
        <v/>
      </c>
      <c r="AR511" s="34">
        <f>IF(AP511&gt;AQ511*1.05,AP511-AQ511*1.05,IF(AP511&lt;AQ511*0.95,AQ511*0.95-AP511,0))</f>
        <v/>
      </c>
      <c r="AS511" s="34">
        <f>MAX(F511:G511,750)*0.05*AR511</f>
        <v/>
      </c>
      <c r="AT511">
        <f>'[1]GÖP VERİLERİ'!D512</f>
        <v/>
      </c>
      <c r="AU511" s="34">
        <f>IF(AP511&gt;AT511*1.05,AP511-AT511*1.05,IF(AP511&lt;AT511*0.95,AT511*0.95-AP511,0))</f>
        <v/>
      </c>
      <c r="AV511" s="34">
        <f>MAX(F511:G511,750)*0.05*AU511</f>
        <v/>
      </c>
      <c r="AW511" s="34">
        <f>AC511+AJ511+AQ511</f>
        <v/>
      </c>
      <c r="AX511" s="34">
        <f>AF511+AM511+AT511</f>
        <v/>
      </c>
      <c r="AY511" s="34">
        <f>AB511+AI511+AP511</f>
        <v/>
      </c>
      <c r="AZ511" s="34" t="n">
        <v>0</v>
      </c>
      <c r="BA511" s="34">
        <f>AD511+AK511+AR511</f>
        <v/>
      </c>
      <c r="BB511" s="34">
        <f>MAX(F511:G511,750)*0.05*BA511</f>
        <v/>
      </c>
      <c r="BC511" s="34">
        <f>AG511+AN511+AU511</f>
        <v/>
      </c>
      <c r="BD511" s="34">
        <f>MAX(F511:G511,750)*0.05*BC511</f>
        <v/>
      </c>
      <c r="BE511" s="34">
        <f>F511*AY511</f>
        <v/>
      </c>
      <c r="BF511" s="34">
        <f>K511-M511</f>
        <v/>
      </c>
      <c r="BG511" s="34">
        <f>P511-S511</f>
        <v/>
      </c>
      <c r="BH511" s="34">
        <f>W511-AA511</f>
        <v/>
      </c>
      <c r="BI511" s="34">
        <f>BF511+BG511+BL511-BN511</f>
        <v/>
      </c>
      <c r="BJ511" s="34">
        <f>ABS(BK511)</f>
        <v/>
      </c>
      <c r="BK511" s="34">
        <f>AY511-(J511-L511+N511-Q511)</f>
        <v/>
      </c>
      <c r="BL511" s="34">
        <f>IF(AND(BK511&gt;0,MIN($F511:$G511)&lt;150,$E511="Enerji Açığı"),-100*BK511*1.03,IF(AND(BK511&gt;0,MIN($F511:$G511)&lt;150,$E511="Enerji Fazlası"),-100*BK511*1.06,IF(AND(BK511&gt;0,MIN($F511:$G511)&gt;=150,$E511="Enerji Açığı"),BK511*MIN($F511:$G511)*0.97,IF(AND(BK511&gt;0,MIN($F511:$G511)&gt;=150,$E511="Enerji Fazlası"),BK511*MIN($F511:$G511)*0.94,IF(AND(BK511&lt;0,MAX($F511:$G511)=4500,$E511="Enerji Açığı"),4500*1.05*1.06*BK511,IF(AND(BK511&lt;0,MAX($F511:$G511)=4500,$E511="Enerji Fazlası"),4500*1.05*1.03*BK511,IF(AND(BK511&lt;0,$E511="Enerji Açığı"),MAX($F511,$G511,150)*BK511*1.06,IF(AND(BK511&lt;0,$E511="Enerji Fazlası"),MAX($F511,$G511,150)*BK511*1.03,IF(AND(BK511&lt;0,$E511="Dengede"),MAX($F511:$G511,150)*1.03*BK511,MIN($F511:$G511)*0.97*BK511)))))))))</f>
        <v/>
      </c>
      <c r="BM511" s="34">
        <f>BE511-BI511-BN511</f>
        <v/>
      </c>
      <c r="BN511" s="34">
        <f>BB511</f>
        <v/>
      </c>
      <c r="BO511" s="34">
        <f>BE511-BI511</f>
        <v/>
      </c>
      <c r="BP511" s="34">
        <f>IF(AY511=0,0,BO511/AY511)</f>
        <v/>
      </c>
      <c r="BQ511" s="34">
        <f>MAX((AY511+MAX((-J511+L511-N511+Q511),0)),(MAX((J511-L511+N511-Q511),0)))</f>
        <v/>
      </c>
      <c r="BR511" s="82">
        <f>IFERROR(ABS(BK511/BQ511),0)</f>
        <v/>
      </c>
      <c r="BS511" s="34">
        <f>IF(BR511&lt;=0.1,0,BK511/BR511*(BR511-0.1))</f>
        <v/>
      </c>
      <c r="BT511" s="34">
        <f>IF((BS511)&lt;0,MAX(F511:G511)*(BS511)*1.03,MIN(F511:G511)*(BS511)*0.97)</f>
        <v/>
      </c>
      <c r="BU511" s="34">
        <f>IF(BR511&gt;0.1,1,0)</f>
        <v/>
      </c>
      <c r="BV511" s="34">
        <f>BF511+BG511+BH511+BY511-CA511</f>
        <v/>
      </c>
      <c r="BW511" s="34">
        <f>ABS(BX511)</f>
        <v/>
      </c>
      <c r="BX511" s="34">
        <f>AY511-(J511-L511+N511-Q511+T511-X511)</f>
        <v/>
      </c>
      <c r="BY511" s="34">
        <f>IF(AND(BX511&gt;0,MIN($F511:$G511)&lt;150,$E511="Enerji Açığı"),-100*BX511*1.03,IF(AND(BX511&gt;0,MIN($F511:$G511)&lt;150,$E511="Enerji Fazlası"),-100*BX511*1.06,IF(AND(BX511&gt;0,MIN($F511:$G511)&gt;=150,$E511="Enerji Açığı"),BX511*MIN($F511:$G511)*0.97,IF(AND(BX511&gt;0,MIN($F511:$G511)&gt;=150,$E511="Enerji Fazlası"),BX511*MIN($F511:$G511)*0.94,IF(AND(BX511&lt;0,MAX($F511:$G511)=4500,$E511="Enerji Açığı"),4500*1.05*1.06*BX511,IF(AND(BX511&lt;0,MAX($F511:$G511)=4500,$E511="Enerji Fazlası"),4500*1.05*1.03*BX511,IF(AND(BX511&lt;0,$E511="Enerji Açığı"),MAX($F511,$G511,150)*BX511*1.06,IF(AND(BX511&lt;0,$E511="Enerji Fazlası"),MAX($F511,$G511,150)*BX511*1.03,IF(AND(BX511&lt;0,$E511="Dengede"),MAX($F511:$G511,150)*1.03*BX511,MIN($F511:$G511)*0.97*BX511)))))))))</f>
        <v/>
      </c>
      <c r="BZ511" s="34">
        <f>BE511-BV511-CA511</f>
        <v/>
      </c>
      <c r="CA511" s="34">
        <f>BD511</f>
        <v/>
      </c>
      <c r="CB511" s="33">
        <f>BE511-BV511</f>
        <v/>
      </c>
      <c r="CC511" s="34">
        <f>IF(AY511=0,0,CB511/AY511)</f>
        <v/>
      </c>
      <c r="CD511" s="34">
        <f>MAX((AY511+MAX((-J511+L511-N511+Q511-T511+X511),0)),(MAX((J511-L511+N511-Q511+T511-X511),0)))</f>
        <v/>
      </c>
      <c r="CE511" s="82">
        <f>IFERROR(ABS(BX511/CD511),0)</f>
        <v/>
      </c>
      <c r="CF511" s="34">
        <f>IF(CE511&lt;=0.1,0,BX511/CE511*(CE511-0.1))</f>
        <v/>
      </c>
      <c r="CG511" s="34">
        <f>IF((CF511)&lt;0,MAX(F511:G511)*(CF511)*1.03,MIN(F511:G511)*(CF511)*0.97)</f>
        <v/>
      </c>
      <c r="CH511" s="34">
        <f>IF(CE511&gt;0.1,1,0)</f>
        <v/>
      </c>
      <c r="CI511" s="34">
        <f>(F511*BX511)-BY511</f>
        <v/>
      </c>
      <c r="CJ511" s="34">
        <f>IF(AY511=0,0,CI511/AY511)</f>
        <v/>
      </c>
    </row>
    <row r="512">
      <c r="A512" s="29">
        <f>[1]FİYATLAR!A487</f>
        <v/>
      </c>
      <c r="B512" s="29">
        <f>[1]FİYATLAR!B487</f>
        <v/>
      </c>
      <c r="C512" s="35">
        <f>INT(A512)</f>
        <v/>
      </c>
      <c r="D512" s="36">
        <f>MONTH(A512)</f>
        <v/>
      </c>
      <c r="E512" s="147">
        <f>[1]FİYATLAR!G487</f>
        <v/>
      </c>
      <c r="F512" s="30">
        <f>[1]FİYATLAR!C487</f>
        <v/>
      </c>
      <c r="G512" s="30">
        <f>[1]FİYATLAR!E487</f>
        <v/>
      </c>
      <c r="H512" s="30">
        <f>[1]FİYATLAR!D487</f>
        <v/>
      </c>
      <c r="I512" s="30">
        <f>[1]FİYATLAR!F487</f>
        <v/>
      </c>
      <c r="J512" s="119" t="n">
        <v>0</v>
      </c>
      <c r="K512" s="34">
        <f>F512*J512</f>
        <v/>
      </c>
      <c r="L512" s="119" t="n"/>
      <c r="M512" s="34">
        <f>L512*F512</f>
        <v/>
      </c>
      <c r="N512" s="119" t="n"/>
      <c r="O512" s="34">
        <f>F512</f>
        <v/>
      </c>
      <c r="P512" s="34">
        <f>N512*O512</f>
        <v/>
      </c>
      <c r="Q512" s="117" t="n">
        <v>0</v>
      </c>
      <c r="R512" s="34">
        <f>F512</f>
        <v/>
      </c>
      <c r="S512" s="34">
        <f>R512*Q512</f>
        <v/>
      </c>
      <c r="T512" s="34">
        <f>SUMIFS('[1]GİP VERİLERİ'!$C:$C,'[1]GİP VERİLERİ'!$B:$B,A512,'[1]GİP VERİLERİ'!$M:$M,"40X000000104782K",'[1]GİP VERİLERİ'!$G:$G,"SELL")</f>
        <v/>
      </c>
      <c r="U512" s="34">
        <f>IFERROR(W512/T512,0)</f>
        <v/>
      </c>
      <c r="V512" s="34">
        <f>IF(U512=0,0,U512-F512)</f>
        <v/>
      </c>
      <c r="W512" s="34">
        <f>SUMIFS('[1]GİP VERİLERİ'!$O:$O,'[1]GİP VERİLERİ'!$B:$B,A512,'[1]GİP VERİLERİ'!$M:$M,"40X000000104782K",'[1]GİP VERİLERİ'!$G:$G,"SELL")</f>
        <v/>
      </c>
      <c r="X512" s="34">
        <f>SUMIFS('[1]GİP VERİLERİ'!$C:$C,'[1]GİP VERİLERİ'!$B:$B,A512,'[1]GİP VERİLERİ'!$M:$M,"40X000000104782K",'[1]GİP VERİLERİ'!$G:$G,"BUY")</f>
        <v/>
      </c>
      <c r="Y512" s="34">
        <f>IFERROR(AA512/X512,0)</f>
        <v/>
      </c>
      <c r="Z512" s="34">
        <f>IF(Y512=0,0,F512-Y512)</f>
        <v/>
      </c>
      <c r="AA512" s="34">
        <f>SUMIFS('[1]GİP VERİLERİ'!$O:$O,'[1]GİP VERİLERİ'!$B:$B,A512,'[1]GİP VERİLERİ'!$M:$M,"40X000000104782K",'[1]GİP VERİLERİ'!$G:$G,"BUY")</f>
        <v/>
      </c>
      <c r="AB512" s="34">
        <f>'[1]GÖP VERİLERİ'!H513</f>
        <v/>
      </c>
      <c r="AC512" s="34">
        <f>'[1]GÖP VERİLERİ'!I513</f>
        <v/>
      </c>
      <c r="AD512" s="34">
        <f>IF(AB512&gt;AC512*1.05,AB512-AC512*1.05,IF(AB512&lt;AC512*0.95,AC512*0.95-AB512,0))</f>
        <v/>
      </c>
      <c r="AE512" s="34">
        <f>MAX(F512,G512,750)*0.05*AD512</f>
        <v/>
      </c>
      <c r="AF512" s="34">
        <f>'[1]GÖP VERİLERİ'!J513</f>
        <v/>
      </c>
      <c r="AG512" s="34">
        <f>IF(AB512&gt;AF512*1.05,AB512-AF512*1.05,IF(AB512&lt;AF512*0.95,AF512*0.95-AB512,0))</f>
        <v/>
      </c>
      <c r="AH512" s="34">
        <f>MAX(I512,J512,750)*0.05*AG512</f>
        <v/>
      </c>
      <c r="AI512">
        <f>'[1]GÖP VERİLERİ'!E513</f>
        <v/>
      </c>
      <c r="AJ512">
        <f>'[1]GÖP VERİLERİ'!F513</f>
        <v/>
      </c>
      <c r="AK512" s="34">
        <f>IF(AI512&gt;AJ512*1.05,AI512-AJ512*1.05,IF(AI512&lt;AJ512*0.95,AJ512*0.95-AI512,0))</f>
        <v/>
      </c>
      <c r="AL512" s="34">
        <f>MAX(F512,G512,750)*0.05*AK512</f>
        <v/>
      </c>
      <c r="AM512" s="39">
        <f>'[1]GÖP VERİLERİ'!G513</f>
        <v/>
      </c>
      <c r="AN512" s="34">
        <f>IF(AI512&gt;AM512*1.05,AI512-AM512*1.05,IF(AI512&lt;AM512*0.95,AM512*0.95-AI512,0))</f>
        <v/>
      </c>
      <c r="AO512" s="34">
        <f>MAX(F512,G512,750)*0.05*AN512</f>
        <v/>
      </c>
      <c r="AP512" s="34">
        <f>'[1]GÖP VERİLERİ'!B513</f>
        <v/>
      </c>
      <c r="AQ512" s="34">
        <f>'[1]GÖP VERİLERİ'!C513</f>
        <v/>
      </c>
      <c r="AR512" s="34">
        <f>IF(AP512&gt;AQ512*1.05,AP512-AQ512*1.05,IF(AP512&lt;AQ512*0.95,AQ512*0.95-AP512,0))</f>
        <v/>
      </c>
      <c r="AS512" s="34">
        <f>MAX(F512:G512,750)*0.05*AR512</f>
        <v/>
      </c>
      <c r="AT512">
        <f>'[1]GÖP VERİLERİ'!D513</f>
        <v/>
      </c>
      <c r="AU512" s="34">
        <f>IF(AP512&gt;AT512*1.05,AP512-AT512*1.05,IF(AP512&lt;AT512*0.95,AT512*0.95-AP512,0))</f>
        <v/>
      </c>
      <c r="AV512" s="34">
        <f>MAX(F512:G512,750)*0.05*AU512</f>
        <v/>
      </c>
      <c r="AW512" s="34">
        <f>AC512+AJ512+AQ512</f>
        <v/>
      </c>
      <c r="AX512" s="34">
        <f>AF512+AM512+AT512</f>
        <v/>
      </c>
      <c r="AY512" s="34">
        <f>AB512+AI512+AP512</f>
        <v/>
      </c>
      <c r="AZ512" s="34" t="n">
        <v>0</v>
      </c>
      <c r="BA512" s="34">
        <f>AD512+AK512+AR512</f>
        <v/>
      </c>
      <c r="BB512" s="34">
        <f>MAX(F512:G512,750)*0.05*BA512</f>
        <v/>
      </c>
      <c r="BC512" s="34">
        <f>AG512+AN512+AU512</f>
        <v/>
      </c>
      <c r="BD512" s="34">
        <f>MAX(F512:G512,750)*0.05*BC512</f>
        <v/>
      </c>
      <c r="BE512" s="34">
        <f>F512*AY512</f>
        <v/>
      </c>
      <c r="BF512" s="34">
        <f>K512-M512</f>
        <v/>
      </c>
      <c r="BG512" s="34">
        <f>P512-S512</f>
        <v/>
      </c>
      <c r="BH512" s="34">
        <f>W512-AA512</f>
        <v/>
      </c>
      <c r="BI512" s="34">
        <f>BF512+BG512+BL512-BN512</f>
        <v/>
      </c>
      <c r="BJ512" s="34">
        <f>ABS(BK512)</f>
        <v/>
      </c>
      <c r="BK512" s="34">
        <f>AY512-(J512-L512+N512-Q512)</f>
        <v/>
      </c>
      <c r="BL512" s="34">
        <f>IF(AND(BK512&gt;0,MIN($F512:$G512)&lt;150,$E512="Enerji Açığı"),-100*BK512*1.03,IF(AND(BK512&gt;0,MIN($F512:$G512)&lt;150,$E512="Enerji Fazlası"),-100*BK512*1.06,IF(AND(BK512&gt;0,MIN($F512:$G512)&gt;=150,$E512="Enerji Açığı"),BK512*MIN($F512:$G512)*0.97,IF(AND(BK512&gt;0,MIN($F512:$G512)&gt;=150,$E512="Enerji Fazlası"),BK512*MIN($F512:$G512)*0.94,IF(AND(BK512&lt;0,MAX($F512:$G512)=4500,$E512="Enerji Açığı"),4500*1.05*1.06*BK512,IF(AND(BK512&lt;0,MAX($F512:$G512)=4500,$E512="Enerji Fazlası"),4500*1.05*1.03*BK512,IF(AND(BK512&lt;0,$E512="Enerji Açığı"),MAX($F512,$G512,150)*BK512*1.06,IF(AND(BK512&lt;0,$E512="Enerji Fazlası"),MAX($F512,$G512,150)*BK512*1.03,IF(AND(BK512&lt;0,$E512="Dengede"),MAX($F512:$G512,150)*1.03*BK512,MIN($F512:$G512)*0.97*BK512)))))))))</f>
        <v/>
      </c>
      <c r="BM512" s="34">
        <f>BE512-BI512-BN512</f>
        <v/>
      </c>
      <c r="BN512" s="34">
        <f>BB512</f>
        <v/>
      </c>
      <c r="BO512" s="34">
        <f>BE512-BI512</f>
        <v/>
      </c>
      <c r="BP512" s="34">
        <f>IF(AY512=0,0,BO512/AY512)</f>
        <v/>
      </c>
      <c r="BQ512" s="34">
        <f>MAX((AY512+MAX((-J512+L512-N512+Q512),0)),(MAX((J512-L512+N512-Q512),0)))</f>
        <v/>
      </c>
      <c r="BR512" s="82">
        <f>IFERROR(ABS(BK512/BQ512),0)</f>
        <v/>
      </c>
      <c r="BS512" s="34">
        <f>IF(BR512&lt;=0.1,0,BK512/BR512*(BR512-0.1))</f>
        <v/>
      </c>
      <c r="BT512" s="34">
        <f>IF((BS512)&lt;0,MAX(F512:G512)*(BS512)*1.03,MIN(F512:G512)*(BS512)*0.97)</f>
        <v/>
      </c>
      <c r="BU512" s="34">
        <f>IF(BR512&gt;0.1,1,0)</f>
        <v/>
      </c>
      <c r="BV512" s="34">
        <f>BF512+BG512+BH512+BY512-CA512</f>
        <v/>
      </c>
      <c r="BW512" s="34">
        <f>ABS(BX512)</f>
        <v/>
      </c>
      <c r="BX512" s="34">
        <f>AY512-(J512-L512+N512-Q512+T512-X512)</f>
        <v/>
      </c>
      <c r="BY512" s="34">
        <f>IF(AND(BX512&gt;0,MIN($F512:$G512)&lt;150,$E512="Enerji Açığı"),-100*BX512*1.03,IF(AND(BX512&gt;0,MIN($F512:$G512)&lt;150,$E512="Enerji Fazlası"),-100*BX512*1.06,IF(AND(BX512&gt;0,MIN($F512:$G512)&gt;=150,$E512="Enerji Açığı"),BX512*MIN($F512:$G512)*0.97,IF(AND(BX512&gt;0,MIN($F512:$G512)&gt;=150,$E512="Enerji Fazlası"),BX512*MIN($F512:$G512)*0.94,IF(AND(BX512&lt;0,MAX($F512:$G512)=4500,$E512="Enerji Açığı"),4500*1.05*1.06*BX512,IF(AND(BX512&lt;0,MAX($F512:$G512)=4500,$E512="Enerji Fazlası"),4500*1.05*1.03*BX512,IF(AND(BX512&lt;0,$E512="Enerji Açığı"),MAX($F512,$G512,150)*BX512*1.06,IF(AND(BX512&lt;0,$E512="Enerji Fazlası"),MAX($F512,$G512,150)*BX512*1.03,IF(AND(BX512&lt;0,$E512="Dengede"),MAX($F512:$G512,150)*1.03*BX512,MIN($F512:$G512)*0.97*BX512)))))))))</f>
        <v/>
      </c>
      <c r="BZ512" s="34">
        <f>BE512-BV512-CA512</f>
        <v/>
      </c>
      <c r="CA512" s="34">
        <f>BD512</f>
        <v/>
      </c>
      <c r="CB512" s="33">
        <f>BE512-BV512</f>
        <v/>
      </c>
      <c r="CC512" s="34">
        <f>IF(AY512=0,0,CB512/AY512)</f>
        <v/>
      </c>
      <c r="CD512" s="34">
        <f>MAX((AY512+MAX((-J512+L512-N512+Q512-T512+X512),0)),(MAX((J512-L512+N512-Q512+T512-X512),0)))</f>
        <v/>
      </c>
      <c r="CE512" s="82">
        <f>IFERROR(ABS(BX512/CD512),0)</f>
        <v/>
      </c>
      <c r="CF512" s="34">
        <f>IF(CE512&lt;=0.1,0,BX512/CE512*(CE512-0.1))</f>
        <v/>
      </c>
      <c r="CG512" s="34">
        <f>IF((CF512)&lt;0,MAX(F512:G512)*(CF512)*1.03,MIN(F512:G512)*(CF512)*0.97)</f>
        <v/>
      </c>
      <c r="CH512" s="34">
        <f>IF(CE512&gt;0.1,1,0)</f>
        <v/>
      </c>
      <c r="CI512" s="34">
        <f>(F512*BX512)-BY512</f>
        <v/>
      </c>
      <c r="CJ512" s="34">
        <f>IF(AY512=0,0,CI512/AY512)</f>
        <v/>
      </c>
    </row>
    <row r="513">
      <c r="A513" s="29">
        <f>[1]FİYATLAR!A488</f>
        <v/>
      </c>
      <c r="B513" s="29">
        <f>[1]FİYATLAR!B488</f>
        <v/>
      </c>
      <c r="C513" s="35">
        <f>INT(A513)</f>
        <v/>
      </c>
      <c r="D513" s="36">
        <f>MONTH(A513)</f>
        <v/>
      </c>
      <c r="E513" s="147">
        <f>[1]FİYATLAR!G488</f>
        <v/>
      </c>
      <c r="F513" s="30">
        <f>[1]FİYATLAR!C488</f>
        <v/>
      </c>
      <c r="G513" s="30">
        <f>[1]FİYATLAR!E488</f>
        <v/>
      </c>
      <c r="H513" s="30">
        <f>[1]FİYATLAR!D488</f>
        <v/>
      </c>
      <c r="I513" s="30">
        <f>[1]FİYATLAR!F488</f>
        <v/>
      </c>
      <c r="J513" s="119" t="n">
        <v>0</v>
      </c>
      <c r="K513" s="34">
        <f>F513*J513</f>
        <v/>
      </c>
      <c r="L513" s="119" t="n"/>
      <c r="M513" s="34">
        <f>L513*F513</f>
        <v/>
      </c>
      <c r="N513" s="119" t="n"/>
      <c r="O513" s="34">
        <f>F513</f>
        <v/>
      </c>
      <c r="P513" s="34">
        <f>N513*O513</f>
        <v/>
      </c>
      <c r="Q513" s="117" t="n">
        <v>0</v>
      </c>
      <c r="R513" s="34">
        <f>F513</f>
        <v/>
      </c>
      <c r="S513" s="34">
        <f>R513*Q513</f>
        <v/>
      </c>
      <c r="T513" s="34">
        <f>SUMIFS('[1]GİP VERİLERİ'!$C:$C,'[1]GİP VERİLERİ'!$B:$B,A513,'[1]GİP VERİLERİ'!$M:$M,"40X000000104782K",'[1]GİP VERİLERİ'!$G:$G,"SELL")</f>
        <v/>
      </c>
      <c r="U513" s="34">
        <f>IFERROR(W513/T513,0)</f>
        <v/>
      </c>
      <c r="V513" s="34">
        <f>IF(U513=0,0,U513-F513)</f>
        <v/>
      </c>
      <c r="W513" s="34">
        <f>SUMIFS('[1]GİP VERİLERİ'!$O:$O,'[1]GİP VERİLERİ'!$B:$B,A513,'[1]GİP VERİLERİ'!$M:$M,"40X000000104782K",'[1]GİP VERİLERİ'!$G:$G,"SELL")</f>
        <v/>
      </c>
      <c r="X513" s="34">
        <f>SUMIFS('[1]GİP VERİLERİ'!$C:$C,'[1]GİP VERİLERİ'!$B:$B,A513,'[1]GİP VERİLERİ'!$M:$M,"40X000000104782K",'[1]GİP VERİLERİ'!$G:$G,"BUY")</f>
        <v/>
      </c>
      <c r="Y513" s="34">
        <f>IFERROR(AA513/X513,0)</f>
        <v/>
      </c>
      <c r="Z513" s="34">
        <f>IF(Y513=0,0,F513-Y513)</f>
        <v/>
      </c>
      <c r="AA513" s="34">
        <f>SUMIFS('[1]GİP VERİLERİ'!$O:$O,'[1]GİP VERİLERİ'!$B:$B,A513,'[1]GİP VERİLERİ'!$M:$M,"40X000000104782K",'[1]GİP VERİLERİ'!$G:$G,"BUY")</f>
        <v/>
      </c>
      <c r="AB513" s="34">
        <f>'[1]GÖP VERİLERİ'!H514</f>
        <v/>
      </c>
      <c r="AC513" s="34">
        <f>'[1]GÖP VERİLERİ'!I514</f>
        <v/>
      </c>
      <c r="AD513" s="34">
        <f>IF(AB513&gt;AC513*1.05,AB513-AC513*1.05,IF(AB513&lt;AC513*0.95,AC513*0.95-AB513,0))</f>
        <v/>
      </c>
      <c r="AE513" s="34">
        <f>MAX(F513,G513,750)*0.05*AD513</f>
        <v/>
      </c>
      <c r="AF513" s="34">
        <f>'[1]GÖP VERİLERİ'!J514</f>
        <v/>
      </c>
      <c r="AG513" s="34">
        <f>IF(AB513&gt;AF513*1.05,AB513-AF513*1.05,IF(AB513&lt;AF513*0.95,AF513*0.95-AB513,0))</f>
        <v/>
      </c>
      <c r="AH513" s="34">
        <f>MAX(I513,J513,750)*0.05*AG513</f>
        <v/>
      </c>
      <c r="AI513">
        <f>'[1]GÖP VERİLERİ'!E514</f>
        <v/>
      </c>
      <c r="AJ513">
        <f>'[1]GÖP VERİLERİ'!F514</f>
        <v/>
      </c>
      <c r="AK513" s="34">
        <f>IF(AI513&gt;AJ513*1.05,AI513-AJ513*1.05,IF(AI513&lt;AJ513*0.95,AJ513*0.95-AI513,0))</f>
        <v/>
      </c>
      <c r="AL513" s="34">
        <f>MAX(F513,G513,750)*0.05*AK513</f>
        <v/>
      </c>
      <c r="AM513" s="39">
        <f>'[1]GÖP VERİLERİ'!G514</f>
        <v/>
      </c>
      <c r="AN513" s="34">
        <f>IF(AI513&gt;AM513*1.05,AI513-AM513*1.05,IF(AI513&lt;AM513*0.95,AM513*0.95-AI513,0))</f>
        <v/>
      </c>
      <c r="AO513" s="34">
        <f>MAX(F513,G513,750)*0.05*AN513</f>
        <v/>
      </c>
      <c r="AP513" s="34">
        <f>'[1]GÖP VERİLERİ'!B514</f>
        <v/>
      </c>
      <c r="AQ513" s="34">
        <f>'[1]GÖP VERİLERİ'!C514</f>
        <v/>
      </c>
      <c r="AR513" s="34">
        <f>IF(AP513&gt;AQ513*1.05,AP513-AQ513*1.05,IF(AP513&lt;AQ513*0.95,AQ513*0.95-AP513,0))</f>
        <v/>
      </c>
      <c r="AS513" s="34">
        <f>MAX(F513:G513,750)*0.05*AR513</f>
        <v/>
      </c>
      <c r="AT513">
        <f>'[1]GÖP VERİLERİ'!D514</f>
        <v/>
      </c>
      <c r="AU513" s="34">
        <f>IF(AP513&gt;AT513*1.05,AP513-AT513*1.05,IF(AP513&lt;AT513*0.95,AT513*0.95-AP513,0))</f>
        <v/>
      </c>
      <c r="AV513" s="34">
        <f>MAX(F513:G513,750)*0.05*AU513</f>
        <v/>
      </c>
      <c r="AW513" s="34">
        <f>AC513+AJ513+AQ513</f>
        <v/>
      </c>
      <c r="AX513" s="34">
        <f>AF513+AM513+AT513</f>
        <v/>
      </c>
      <c r="AY513" s="34">
        <f>AB513+AI513+AP513</f>
        <v/>
      </c>
      <c r="AZ513" s="34" t="n">
        <v>0</v>
      </c>
      <c r="BA513" s="34">
        <f>AD513+AK513+AR513</f>
        <v/>
      </c>
      <c r="BB513" s="34">
        <f>MAX(F513:G513,750)*0.05*BA513</f>
        <v/>
      </c>
      <c r="BC513" s="34">
        <f>AG513+AN513+AU513</f>
        <v/>
      </c>
      <c r="BD513" s="34">
        <f>MAX(F513:G513,750)*0.05*BC513</f>
        <v/>
      </c>
      <c r="BE513" s="34">
        <f>F513*AY513</f>
        <v/>
      </c>
      <c r="BF513" s="34">
        <f>K513-M513</f>
        <v/>
      </c>
      <c r="BG513" s="34">
        <f>P513-S513</f>
        <v/>
      </c>
      <c r="BH513" s="34">
        <f>W513-AA513</f>
        <v/>
      </c>
      <c r="BI513" s="34">
        <f>BF513+BG513+BL513-BN513</f>
        <v/>
      </c>
      <c r="BJ513" s="34">
        <f>ABS(BK513)</f>
        <v/>
      </c>
      <c r="BK513" s="34">
        <f>AY513-(J513-L513+N513-Q513)</f>
        <v/>
      </c>
      <c r="BL513" s="34">
        <f>IF(AND(BK513&gt;0,MIN($F513:$G513)&lt;150,$E513="Enerji Açığı"),-100*BK513*1.03,IF(AND(BK513&gt;0,MIN($F513:$G513)&lt;150,$E513="Enerji Fazlası"),-100*BK513*1.06,IF(AND(BK513&gt;0,MIN($F513:$G513)&gt;=150,$E513="Enerji Açığı"),BK513*MIN($F513:$G513)*0.97,IF(AND(BK513&gt;0,MIN($F513:$G513)&gt;=150,$E513="Enerji Fazlası"),BK513*MIN($F513:$G513)*0.94,IF(AND(BK513&lt;0,MAX($F513:$G513)=4500,$E513="Enerji Açığı"),4500*1.05*1.06*BK513,IF(AND(BK513&lt;0,MAX($F513:$G513)=4500,$E513="Enerji Fazlası"),4500*1.05*1.03*BK513,IF(AND(BK513&lt;0,$E513="Enerji Açığı"),MAX($F513,$G513,150)*BK513*1.06,IF(AND(BK513&lt;0,$E513="Enerji Fazlası"),MAX($F513,$G513,150)*BK513*1.03,IF(AND(BK513&lt;0,$E513="Dengede"),MAX($F513:$G513,150)*1.03*BK513,MIN($F513:$G513)*0.97*BK513)))))))))</f>
        <v/>
      </c>
      <c r="BM513" s="34">
        <f>BE513-BI513-BN513</f>
        <v/>
      </c>
      <c r="BN513" s="34">
        <f>BB513</f>
        <v/>
      </c>
      <c r="BO513" s="34">
        <f>BE513-BI513</f>
        <v/>
      </c>
      <c r="BP513" s="34">
        <f>IF(AY513=0,0,BO513/AY513)</f>
        <v/>
      </c>
      <c r="BQ513" s="34">
        <f>MAX((AY513+MAX((-J513+L513-N513+Q513),0)),(MAX((J513-L513+N513-Q513),0)))</f>
        <v/>
      </c>
      <c r="BR513" s="82">
        <f>IFERROR(ABS(BK513/BQ513),0)</f>
        <v/>
      </c>
      <c r="BS513" s="34">
        <f>IF(BR513&lt;=0.1,0,BK513/BR513*(BR513-0.1))</f>
        <v/>
      </c>
      <c r="BT513" s="34">
        <f>IF((BS513)&lt;0,MAX(F513:G513)*(BS513)*1.03,MIN(F513:G513)*(BS513)*0.97)</f>
        <v/>
      </c>
      <c r="BU513" s="34">
        <f>IF(BR513&gt;0.1,1,0)</f>
        <v/>
      </c>
      <c r="BV513" s="34">
        <f>BF513+BG513+BH513+BY513-CA513</f>
        <v/>
      </c>
      <c r="BW513" s="34">
        <f>ABS(BX513)</f>
        <v/>
      </c>
      <c r="BX513" s="34">
        <f>AY513-(J513-L513+N513-Q513+T513-X513)</f>
        <v/>
      </c>
      <c r="BY513" s="34">
        <f>IF(AND(BX513&gt;0,MIN($F513:$G513)&lt;150,$E513="Enerji Açığı"),-100*BX513*1.03,IF(AND(BX513&gt;0,MIN($F513:$G513)&lt;150,$E513="Enerji Fazlası"),-100*BX513*1.06,IF(AND(BX513&gt;0,MIN($F513:$G513)&gt;=150,$E513="Enerji Açığı"),BX513*MIN($F513:$G513)*0.97,IF(AND(BX513&gt;0,MIN($F513:$G513)&gt;=150,$E513="Enerji Fazlası"),BX513*MIN($F513:$G513)*0.94,IF(AND(BX513&lt;0,MAX($F513:$G513)=4500,$E513="Enerji Açığı"),4500*1.05*1.06*BX513,IF(AND(BX513&lt;0,MAX($F513:$G513)=4500,$E513="Enerji Fazlası"),4500*1.05*1.03*BX513,IF(AND(BX513&lt;0,$E513="Enerji Açığı"),MAX($F513,$G513,150)*BX513*1.06,IF(AND(BX513&lt;0,$E513="Enerji Fazlası"),MAX($F513,$G513,150)*BX513*1.03,IF(AND(BX513&lt;0,$E513="Dengede"),MAX($F513:$G513,150)*1.03*BX513,MIN($F513:$G513)*0.97*BX513)))))))))</f>
        <v/>
      </c>
      <c r="BZ513" s="34">
        <f>BE513-BV513-CA513</f>
        <v/>
      </c>
      <c r="CA513" s="34">
        <f>BD513</f>
        <v/>
      </c>
      <c r="CB513" s="33">
        <f>BE513-BV513</f>
        <v/>
      </c>
      <c r="CC513" s="34">
        <f>IF(AY513=0,0,CB513/AY513)</f>
        <v/>
      </c>
      <c r="CD513" s="34">
        <f>MAX((AY513+MAX((-J513+L513-N513+Q513-T513+X513),0)),(MAX((J513-L513+N513-Q513+T513-X513),0)))</f>
        <v/>
      </c>
      <c r="CE513" s="82">
        <f>IFERROR(ABS(BX513/CD513),0)</f>
        <v/>
      </c>
      <c r="CF513" s="34">
        <f>IF(CE513&lt;=0.1,0,BX513/CE513*(CE513-0.1))</f>
        <v/>
      </c>
      <c r="CG513" s="34">
        <f>IF((CF513)&lt;0,MAX(F513:G513)*(CF513)*1.03,MIN(F513:G513)*(CF513)*0.97)</f>
        <v/>
      </c>
      <c r="CH513" s="34">
        <f>IF(CE513&gt;0.1,1,0)</f>
        <v/>
      </c>
      <c r="CI513" s="34">
        <f>(F513*BX513)-BY513</f>
        <v/>
      </c>
      <c r="CJ513" s="34">
        <f>IF(AY513=0,0,CI513/AY513)</f>
        <v/>
      </c>
    </row>
    <row r="514">
      <c r="A514" s="29">
        <f>[1]FİYATLAR!A489</f>
        <v/>
      </c>
      <c r="B514" s="29">
        <f>[1]FİYATLAR!B489</f>
        <v/>
      </c>
      <c r="C514" s="35">
        <f>INT(A514)</f>
        <v/>
      </c>
      <c r="D514" s="36">
        <f>MONTH(A514)</f>
        <v/>
      </c>
      <c r="E514" s="147">
        <f>[1]FİYATLAR!G489</f>
        <v/>
      </c>
      <c r="F514" s="30">
        <f>[1]FİYATLAR!C489</f>
        <v/>
      </c>
      <c r="G514" s="30">
        <f>[1]FİYATLAR!E489</f>
        <v/>
      </c>
      <c r="H514" s="30">
        <f>[1]FİYATLAR!D489</f>
        <v/>
      </c>
      <c r="I514" s="30">
        <f>[1]FİYATLAR!F489</f>
        <v/>
      </c>
      <c r="J514" s="119" t="n">
        <v>0</v>
      </c>
      <c r="K514" s="34">
        <f>F514*J514</f>
        <v/>
      </c>
      <c r="L514" s="119" t="n"/>
      <c r="M514" s="34">
        <f>L514*F514</f>
        <v/>
      </c>
      <c r="N514" s="119" t="n"/>
      <c r="O514" s="34">
        <f>F514</f>
        <v/>
      </c>
      <c r="P514" s="34">
        <f>N514*O514</f>
        <v/>
      </c>
      <c r="Q514" s="117" t="n">
        <v>0</v>
      </c>
      <c r="R514" s="34">
        <f>F514</f>
        <v/>
      </c>
      <c r="S514" s="34">
        <f>R514*Q514</f>
        <v/>
      </c>
      <c r="T514" s="34">
        <f>SUMIFS('[1]GİP VERİLERİ'!$C:$C,'[1]GİP VERİLERİ'!$B:$B,A514,'[1]GİP VERİLERİ'!$M:$M,"40X000000104782K",'[1]GİP VERİLERİ'!$G:$G,"SELL")</f>
        <v/>
      </c>
      <c r="U514" s="34">
        <f>IFERROR(W514/T514,0)</f>
        <v/>
      </c>
      <c r="V514" s="34">
        <f>IF(U514=0,0,U514-F514)</f>
        <v/>
      </c>
      <c r="W514" s="34">
        <f>SUMIFS('[1]GİP VERİLERİ'!$O:$O,'[1]GİP VERİLERİ'!$B:$B,A514,'[1]GİP VERİLERİ'!$M:$M,"40X000000104782K",'[1]GİP VERİLERİ'!$G:$G,"SELL")</f>
        <v/>
      </c>
      <c r="X514" s="34">
        <f>SUMIFS('[1]GİP VERİLERİ'!$C:$C,'[1]GİP VERİLERİ'!$B:$B,A514,'[1]GİP VERİLERİ'!$M:$M,"40X000000104782K",'[1]GİP VERİLERİ'!$G:$G,"BUY")</f>
        <v/>
      </c>
      <c r="Y514" s="34">
        <f>IFERROR(AA514/X514,0)</f>
        <v/>
      </c>
      <c r="Z514" s="34">
        <f>IF(Y514=0,0,F514-Y514)</f>
        <v/>
      </c>
      <c r="AA514" s="34">
        <f>SUMIFS('[1]GİP VERİLERİ'!$O:$O,'[1]GİP VERİLERİ'!$B:$B,A514,'[1]GİP VERİLERİ'!$M:$M,"40X000000104782K",'[1]GİP VERİLERİ'!$G:$G,"BUY")</f>
        <v/>
      </c>
      <c r="AB514" s="34">
        <f>'[1]GÖP VERİLERİ'!H515</f>
        <v/>
      </c>
      <c r="AC514" s="34">
        <f>'[1]GÖP VERİLERİ'!I515</f>
        <v/>
      </c>
      <c r="AD514" s="34">
        <f>IF(AB514&gt;AC514*1.05,AB514-AC514*1.05,IF(AB514&lt;AC514*0.95,AC514*0.95-AB514,0))</f>
        <v/>
      </c>
      <c r="AE514" s="34">
        <f>MAX(F514,G514,750)*0.05*AD514</f>
        <v/>
      </c>
      <c r="AF514" s="34">
        <f>'[1]GÖP VERİLERİ'!J515</f>
        <v/>
      </c>
      <c r="AG514" s="34">
        <f>IF(AB514&gt;AF514*1.05,AB514-AF514*1.05,IF(AB514&lt;AF514*0.95,AF514*0.95-AB514,0))</f>
        <v/>
      </c>
      <c r="AH514" s="34">
        <f>MAX(I514,J514,750)*0.05*AG514</f>
        <v/>
      </c>
      <c r="AI514">
        <f>'[1]GÖP VERİLERİ'!E515</f>
        <v/>
      </c>
      <c r="AJ514">
        <f>'[1]GÖP VERİLERİ'!F515</f>
        <v/>
      </c>
      <c r="AK514" s="34">
        <f>IF(AI514&gt;AJ514*1.05,AI514-AJ514*1.05,IF(AI514&lt;AJ514*0.95,AJ514*0.95-AI514,0))</f>
        <v/>
      </c>
      <c r="AL514" s="34">
        <f>MAX(F514,G514,750)*0.05*AK514</f>
        <v/>
      </c>
      <c r="AM514" s="39">
        <f>'[1]GÖP VERİLERİ'!G515</f>
        <v/>
      </c>
      <c r="AN514" s="34">
        <f>IF(AI514&gt;AM514*1.05,AI514-AM514*1.05,IF(AI514&lt;AM514*0.95,AM514*0.95-AI514,0))</f>
        <v/>
      </c>
      <c r="AO514" s="34">
        <f>MAX(F514,G514,750)*0.05*AN514</f>
        <v/>
      </c>
      <c r="AP514" s="34">
        <f>'[1]GÖP VERİLERİ'!B515</f>
        <v/>
      </c>
      <c r="AQ514" s="34">
        <f>'[1]GÖP VERİLERİ'!C515</f>
        <v/>
      </c>
      <c r="AR514" s="34">
        <f>IF(AP514&gt;AQ514*1.05,AP514-AQ514*1.05,IF(AP514&lt;AQ514*0.95,AQ514*0.95-AP514,0))</f>
        <v/>
      </c>
      <c r="AS514" s="34">
        <f>MAX(F514:G514,750)*0.05*AR514</f>
        <v/>
      </c>
      <c r="AT514">
        <f>'[1]GÖP VERİLERİ'!D515</f>
        <v/>
      </c>
      <c r="AU514" s="34">
        <f>IF(AP514&gt;AT514*1.05,AP514-AT514*1.05,IF(AP514&lt;AT514*0.95,AT514*0.95-AP514,0))</f>
        <v/>
      </c>
      <c r="AV514" s="34">
        <f>MAX(F514:G514,750)*0.05*AU514</f>
        <v/>
      </c>
      <c r="AW514" s="34">
        <f>AC514+AJ514+AQ514</f>
        <v/>
      </c>
      <c r="AX514" s="34">
        <f>AF514+AM514+AT514</f>
        <v/>
      </c>
      <c r="AY514" s="34">
        <f>AB514+AI514+AP514</f>
        <v/>
      </c>
      <c r="AZ514" s="34" t="n">
        <v>0</v>
      </c>
      <c r="BA514" s="34">
        <f>AD514+AK514+AR514</f>
        <v/>
      </c>
      <c r="BB514" s="34">
        <f>MAX(F514:G514,750)*0.05*BA514</f>
        <v/>
      </c>
      <c r="BC514" s="34">
        <f>AG514+AN514+AU514</f>
        <v/>
      </c>
      <c r="BD514" s="34">
        <f>MAX(F514:G514,750)*0.05*BC514</f>
        <v/>
      </c>
      <c r="BE514" s="34">
        <f>F514*AY514</f>
        <v/>
      </c>
      <c r="BF514" s="34">
        <f>K514-M514</f>
        <v/>
      </c>
      <c r="BG514" s="34">
        <f>P514-S514</f>
        <v/>
      </c>
      <c r="BH514" s="34">
        <f>W514-AA514</f>
        <v/>
      </c>
      <c r="BI514" s="34">
        <f>BF514+BG514+BL514-BN514</f>
        <v/>
      </c>
      <c r="BJ514" s="34">
        <f>ABS(BK514)</f>
        <v/>
      </c>
      <c r="BK514" s="34">
        <f>AY514-(J514-L514+N514-Q514)</f>
        <v/>
      </c>
      <c r="BL514" s="34">
        <f>IF(AND(BK514&gt;0,MIN($F514:$G514)&lt;150,$E514="Enerji Açığı"),-100*BK514*1.03,IF(AND(BK514&gt;0,MIN($F514:$G514)&lt;150,$E514="Enerji Fazlası"),-100*BK514*1.06,IF(AND(BK514&gt;0,MIN($F514:$G514)&gt;=150,$E514="Enerji Açığı"),BK514*MIN($F514:$G514)*0.97,IF(AND(BK514&gt;0,MIN($F514:$G514)&gt;=150,$E514="Enerji Fazlası"),BK514*MIN($F514:$G514)*0.94,IF(AND(BK514&lt;0,MAX($F514:$G514)=4500,$E514="Enerji Açığı"),4500*1.05*1.06*BK514,IF(AND(BK514&lt;0,MAX($F514:$G514)=4500,$E514="Enerji Fazlası"),4500*1.05*1.03*BK514,IF(AND(BK514&lt;0,$E514="Enerji Açığı"),MAX($F514,$G514,150)*BK514*1.06,IF(AND(BK514&lt;0,$E514="Enerji Fazlası"),MAX($F514,$G514,150)*BK514*1.03,IF(AND(BK514&lt;0,$E514="Dengede"),MAX($F514:$G514,150)*1.03*BK514,MIN($F514:$G514)*0.97*BK514)))))))))</f>
        <v/>
      </c>
      <c r="BM514" s="34">
        <f>BE514-BI514-BN514</f>
        <v/>
      </c>
      <c r="BN514" s="34">
        <f>BB514</f>
        <v/>
      </c>
      <c r="BO514" s="34">
        <f>BE514-BI514</f>
        <v/>
      </c>
      <c r="BP514" s="34">
        <f>IF(AY514=0,0,BO514/AY514)</f>
        <v/>
      </c>
      <c r="BQ514" s="34">
        <f>MAX((AY514+MAX((-J514+L514-N514+Q514),0)),(MAX((J514-L514+N514-Q514),0)))</f>
        <v/>
      </c>
      <c r="BR514" s="82">
        <f>IFERROR(ABS(BK514/BQ514),0)</f>
        <v/>
      </c>
      <c r="BS514" s="34">
        <f>IF(BR514&lt;=0.1,0,BK514/BR514*(BR514-0.1))</f>
        <v/>
      </c>
      <c r="BT514" s="34">
        <f>IF((BS514)&lt;0,MAX(F514:G514)*(BS514)*1.03,MIN(F514:G514)*(BS514)*0.97)</f>
        <v/>
      </c>
      <c r="BU514" s="34">
        <f>IF(BR514&gt;0.1,1,0)</f>
        <v/>
      </c>
      <c r="BV514" s="34">
        <f>BF514+BG514+BH514+BY514-CA514</f>
        <v/>
      </c>
      <c r="BW514" s="34">
        <f>ABS(BX514)</f>
        <v/>
      </c>
      <c r="BX514" s="34">
        <f>AY514-(J514-L514+N514-Q514+T514-X514)</f>
        <v/>
      </c>
      <c r="BY514" s="34">
        <f>IF(AND(BX514&gt;0,MIN($F514:$G514)&lt;150,$E514="Enerji Açığı"),-100*BX514*1.03,IF(AND(BX514&gt;0,MIN($F514:$G514)&lt;150,$E514="Enerji Fazlası"),-100*BX514*1.06,IF(AND(BX514&gt;0,MIN($F514:$G514)&gt;=150,$E514="Enerji Açığı"),BX514*MIN($F514:$G514)*0.97,IF(AND(BX514&gt;0,MIN($F514:$G514)&gt;=150,$E514="Enerji Fazlası"),BX514*MIN($F514:$G514)*0.94,IF(AND(BX514&lt;0,MAX($F514:$G514)=4500,$E514="Enerji Açığı"),4500*1.05*1.06*BX514,IF(AND(BX514&lt;0,MAX($F514:$G514)=4500,$E514="Enerji Fazlası"),4500*1.05*1.03*BX514,IF(AND(BX514&lt;0,$E514="Enerji Açığı"),MAX($F514,$G514,150)*BX514*1.06,IF(AND(BX514&lt;0,$E514="Enerji Fazlası"),MAX($F514,$G514,150)*BX514*1.03,IF(AND(BX514&lt;0,$E514="Dengede"),MAX($F514:$G514,150)*1.03*BX514,MIN($F514:$G514)*0.97*BX514)))))))))</f>
        <v/>
      </c>
      <c r="BZ514" s="34">
        <f>BE514-BV514-CA514</f>
        <v/>
      </c>
      <c r="CA514" s="34">
        <f>BD514</f>
        <v/>
      </c>
      <c r="CB514" s="33">
        <f>BE514-BV514</f>
        <v/>
      </c>
      <c r="CC514" s="34">
        <f>IF(AY514=0,0,CB514/AY514)</f>
        <v/>
      </c>
      <c r="CD514" s="34">
        <f>MAX((AY514+MAX((-J514+L514-N514+Q514-T514+X514),0)),(MAX((J514-L514+N514-Q514+T514-X514),0)))</f>
        <v/>
      </c>
      <c r="CE514" s="82">
        <f>IFERROR(ABS(BX514/CD514),0)</f>
        <v/>
      </c>
      <c r="CF514" s="34">
        <f>IF(CE514&lt;=0.1,0,BX514/CE514*(CE514-0.1))</f>
        <v/>
      </c>
      <c r="CG514" s="34">
        <f>IF((CF514)&lt;0,MAX(F514:G514)*(CF514)*1.03,MIN(F514:G514)*(CF514)*0.97)</f>
        <v/>
      </c>
      <c r="CH514" s="34">
        <f>IF(CE514&gt;0.1,1,0)</f>
        <v/>
      </c>
      <c r="CI514" s="34">
        <f>(F514*BX514)-BY514</f>
        <v/>
      </c>
      <c r="CJ514" s="34">
        <f>IF(AY514=0,0,CI514/AY514)</f>
        <v/>
      </c>
    </row>
    <row r="515">
      <c r="A515" s="29">
        <f>[1]FİYATLAR!A490</f>
        <v/>
      </c>
      <c r="B515" s="29">
        <f>[1]FİYATLAR!B490</f>
        <v/>
      </c>
      <c r="C515" s="35">
        <f>INT(A515)</f>
        <v/>
      </c>
      <c r="D515" s="36">
        <f>MONTH(A515)</f>
        <v/>
      </c>
      <c r="E515" s="147">
        <f>[1]FİYATLAR!G490</f>
        <v/>
      </c>
      <c r="F515" s="30">
        <f>[1]FİYATLAR!C490</f>
        <v/>
      </c>
      <c r="G515" s="30">
        <f>[1]FİYATLAR!E490</f>
        <v/>
      </c>
      <c r="H515" s="30">
        <f>[1]FİYATLAR!D490</f>
        <v/>
      </c>
      <c r="I515" s="30">
        <f>[1]FİYATLAR!F490</f>
        <v/>
      </c>
      <c r="J515" s="119" t="n">
        <v>0</v>
      </c>
      <c r="K515" s="34">
        <f>F515*J515</f>
        <v/>
      </c>
      <c r="L515" s="119" t="n"/>
      <c r="M515" s="34">
        <f>L515*F515</f>
        <v/>
      </c>
      <c r="N515" s="119" t="n"/>
      <c r="O515" s="34">
        <f>F515</f>
        <v/>
      </c>
      <c r="P515" s="34">
        <f>N515*O515</f>
        <v/>
      </c>
      <c r="Q515" s="117" t="n">
        <v>0</v>
      </c>
      <c r="R515" s="34">
        <f>F515</f>
        <v/>
      </c>
      <c r="S515" s="34">
        <f>R515*Q515</f>
        <v/>
      </c>
      <c r="T515" s="34">
        <f>SUMIFS('[1]GİP VERİLERİ'!$C:$C,'[1]GİP VERİLERİ'!$B:$B,A515,'[1]GİP VERİLERİ'!$M:$M,"40X000000104782K",'[1]GİP VERİLERİ'!$G:$G,"SELL")</f>
        <v/>
      </c>
      <c r="U515" s="34">
        <f>IFERROR(W515/T515,0)</f>
        <v/>
      </c>
      <c r="V515" s="34">
        <f>IF(U515=0,0,U515-F515)</f>
        <v/>
      </c>
      <c r="W515" s="34">
        <f>SUMIFS('[1]GİP VERİLERİ'!$O:$O,'[1]GİP VERİLERİ'!$B:$B,A515,'[1]GİP VERİLERİ'!$M:$M,"40X000000104782K",'[1]GİP VERİLERİ'!$G:$G,"SELL")</f>
        <v/>
      </c>
      <c r="X515" s="34">
        <f>SUMIFS('[1]GİP VERİLERİ'!$C:$C,'[1]GİP VERİLERİ'!$B:$B,A515,'[1]GİP VERİLERİ'!$M:$M,"40X000000104782K",'[1]GİP VERİLERİ'!$G:$G,"BUY")</f>
        <v/>
      </c>
      <c r="Y515" s="34">
        <f>IFERROR(AA515/X515,0)</f>
        <v/>
      </c>
      <c r="Z515" s="34">
        <f>IF(Y515=0,0,F515-Y515)</f>
        <v/>
      </c>
      <c r="AA515" s="34">
        <f>SUMIFS('[1]GİP VERİLERİ'!$O:$O,'[1]GİP VERİLERİ'!$B:$B,A515,'[1]GİP VERİLERİ'!$M:$M,"40X000000104782K",'[1]GİP VERİLERİ'!$G:$G,"BUY")</f>
        <v/>
      </c>
      <c r="AB515" s="34">
        <f>'[1]GÖP VERİLERİ'!H516</f>
        <v/>
      </c>
      <c r="AC515" s="34">
        <f>'[1]GÖP VERİLERİ'!I516</f>
        <v/>
      </c>
      <c r="AD515" s="34">
        <f>IF(AB515&gt;AC515*1.05,AB515-AC515*1.05,IF(AB515&lt;AC515*0.95,AC515*0.95-AB515,0))</f>
        <v/>
      </c>
      <c r="AE515" s="34">
        <f>MAX(F515,G515,750)*0.05*AD515</f>
        <v/>
      </c>
      <c r="AF515" s="34">
        <f>'[1]GÖP VERİLERİ'!J516</f>
        <v/>
      </c>
      <c r="AG515" s="34">
        <f>IF(AB515&gt;AF515*1.05,AB515-AF515*1.05,IF(AB515&lt;AF515*0.95,AF515*0.95-AB515,0))</f>
        <v/>
      </c>
      <c r="AH515" s="34">
        <f>MAX(I515,J515,750)*0.05*AG515</f>
        <v/>
      </c>
      <c r="AI515">
        <f>'[1]GÖP VERİLERİ'!E516</f>
        <v/>
      </c>
      <c r="AJ515">
        <f>'[1]GÖP VERİLERİ'!F516</f>
        <v/>
      </c>
      <c r="AK515" s="34">
        <f>IF(AI515&gt;AJ515*1.05,AI515-AJ515*1.05,IF(AI515&lt;AJ515*0.95,AJ515*0.95-AI515,0))</f>
        <v/>
      </c>
      <c r="AL515" s="34">
        <f>MAX(F515,G515,750)*0.05*AK515</f>
        <v/>
      </c>
      <c r="AM515" s="39">
        <f>'[1]GÖP VERİLERİ'!G516</f>
        <v/>
      </c>
      <c r="AN515" s="34">
        <f>IF(AI515&gt;AM515*1.05,AI515-AM515*1.05,IF(AI515&lt;AM515*0.95,AM515*0.95-AI515,0))</f>
        <v/>
      </c>
      <c r="AO515" s="34">
        <f>MAX(F515,G515,750)*0.05*AN515</f>
        <v/>
      </c>
      <c r="AP515" s="34">
        <f>'[1]GÖP VERİLERİ'!B516</f>
        <v/>
      </c>
      <c r="AQ515" s="34">
        <f>'[1]GÖP VERİLERİ'!C516</f>
        <v/>
      </c>
      <c r="AR515" s="34">
        <f>IF(AP515&gt;AQ515*1.05,AP515-AQ515*1.05,IF(AP515&lt;AQ515*0.95,AQ515*0.95-AP515,0))</f>
        <v/>
      </c>
      <c r="AS515" s="34">
        <f>MAX(F515:G515,750)*0.05*AR515</f>
        <v/>
      </c>
      <c r="AT515">
        <f>'[1]GÖP VERİLERİ'!D516</f>
        <v/>
      </c>
      <c r="AU515" s="34">
        <f>IF(AP515&gt;AT515*1.05,AP515-AT515*1.05,IF(AP515&lt;AT515*0.95,AT515*0.95-AP515,0))</f>
        <v/>
      </c>
      <c r="AV515" s="34">
        <f>MAX(F515:G515,750)*0.05*AU515</f>
        <v/>
      </c>
      <c r="AW515" s="34">
        <f>AC515+AJ515+AQ515</f>
        <v/>
      </c>
      <c r="AX515" s="34">
        <f>AF515+AM515+AT515</f>
        <v/>
      </c>
      <c r="AY515" s="34">
        <f>AB515+AI515+AP515</f>
        <v/>
      </c>
      <c r="AZ515" s="34" t="n">
        <v>0</v>
      </c>
      <c r="BA515" s="34">
        <f>AD515+AK515+AR515</f>
        <v/>
      </c>
      <c r="BB515" s="34">
        <f>MAX(F515:G515,750)*0.05*BA515</f>
        <v/>
      </c>
      <c r="BC515" s="34">
        <f>AG515+AN515+AU515</f>
        <v/>
      </c>
      <c r="BD515" s="34">
        <f>MAX(F515:G515,750)*0.05*BC515</f>
        <v/>
      </c>
      <c r="BE515" s="34">
        <f>F515*AY515</f>
        <v/>
      </c>
      <c r="BF515" s="34">
        <f>K515-M515</f>
        <v/>
      </c>
      <c r="BG515" s="34">
        <f>P515-S515</f>
        <v/>
      </c>
      <c r="BH515" s="34">
        <f>W515-AA515</f>
        <v/>
      </c>
      <c r="BI515" s="34">
        <f>BF515+BG515+BL515-BN515</f>
        <v/>
      </c>
      <c r="BJ515" s="34">
        <f>ABS(BK515)</f>
        <v/>
      </c>
      <c r="BK515" s="34">
        <f>AY515-(J515-L515+N515-Q515)</f>
        <v/>
      </c>
      <c r="BL515" s="34">
        <f>IF(AND(BK515&gt;0,MIN($F515:$G515)&lt;150,$E515="Enerji Açığı"),-100*BK515*1.03,IF(AND(BK515&gt;0,MIN($F515:$G515)&lt;150,$E515="Enerji Fazlası"),-100*BK515*1.06,IF(AND(BK515&gt;0,MIN($F515:$G515)&gt;=150,$E515="Enerji Açığı"),BK515*MIN($F515:$G515)*0.97,IF(AND(BK515&gt;0,MIN($F515:$G515)&gt;=150,$E515="Enerji Fazlası"),BK515*MIN($F515:$G515)*0.94,IF(AND(BK515&lt;0,MAX($F515:$G515)=4500,$E515="Enerji Açığı"),4500*1.05*1.06*BK515,IF(AND(BK515&lt;0,MAX($F515:$G515)=4500,$E515="Enerji Fazlası"),4500*1.05*1.03*BK515,IF(AND(BK515&lt;0,$E515="Enerji Açığı"),MAX($F515,$G515,150)*BK515*1.06,IF(AND(BK515&lt;0,$E515="Enerji Fazlası"),MAX($F515,$G515,150)*BK515*1.03,IF(AND(BK515&lt;0,$E515="Dengede"),MAX($F515:$G515,150)*1.03*BK515,MIN($F515:$G515)*0.97*BK515)))))))))</f>
        <v/>
      </c>
      <c r="BM515" s="34">
        <f>BE515-BI515-BN515</f>
        <v/>
      </c>
      <c r="BN515" s="34">
        <f>BB515</f>
        <v/>
      </c>
      <c r="BO515" s="34">
        <f>BE515-BI515</f>
        <v/>
      </c>
      <c r="BP515" s="34">
        <f>IF(AY515=0,0,BO515/AY515)</f>
        <v/>
      </c>
      <c r="BQ515" s="34">
        <f>MAX((AY515+MAX((-J515+L515-N515+Q515),0)),(MAX((J515-L515+N515-Q515),0)))</f>
        <v/>
      </c>
      <c r="BR515" s="82">
        <f>IFERROR(ABS(BK515/BQ515),0)</f>
        <v/>
      </c>
      <c r="BS515" s="34">
        <f>IF(BR515&lt;=0.1,0,BK515/BR515*(BR515-0.1))</f>
        <v/>
      </c>
      <c r="BT515" s="34">
        <f>IF((BS515)&lt;0,MAX(F515:G515)*(BS515)*1.03,MIN(F515:G515)*(BS515)*0.97)</f>
        <v/>
      </c>
      <c r="BU515" s="34">
        <f>IF(BR515&gt;0.1,1,0)</f>
        <v/>
      </c>
      <c r="BV515" s="34">
        <f>BF515+BG515+BH515+BY515-CA515</f>
        <v/>
      </c>
      <c r="BW515" s="34">
        <f>ABS(BX515)</f>
        <v/>
      </c>
      <c r="BX515" s="34">
        <f>AY515-(J515-L515+N515-Q515+T515-X515)</f>
        <v/>
      </c>
      <c r="BY515" s="34">
        <f>IF(AND(BX515&gt;0,MIN($F515:$G515)&lt;150,$E515="Enerji Açığı"),-100*BX515*1.03,IF(AND(BX515&gt;0,MIN($F515:$G515)&lt;150,$E515="Enerji Fazlası"),-100*BX515*1.06,IF(AND(BX515&gt;0,MIN($F515:$G515)&gt;=150,$E515="Enerji Açığı"),BX515*MIN($F515:$G515)*0.97,IF(AND(BX515&gt;0,MIN($F515:$G515)&gt;=150,$E515="Enerji Fazlası"),BX515*MIN($F515:$G515)*0.94,IF(AND(BX515&lt;0,MAX($F515:$G515)=4500,$E515="Enerji Açığı"),4500*1.05*1.06*BX515,IF(AND(BX515&lt;0,MAX($F515:$G515)=4500,$E515="Enerji Fazlası"),4500*1.05*1.03*BX515,IF(AND(BX515&lt;0,$E515="Enerji Açığı"),MAX($F515,$G515,150)*BX515*1.06,IF(AND(BX515&lt;0,$E515="Enerji Fazlası"),MAX($F515,$G515,150)*BX515*1.03,IF(AND(BX515&lt;0,$E515="Dengede"),MAX($F515:$G515,150)*1.03*BX515,MIN($F515:$G515)*0.97*BX515)))))))))</f>
        <v/>
      </c>
      <c r="BZ515" s="34">
        <f>BE515-BV515-CA515</f>
        <v/>
      </c>
      <c r="CA515" s="34">
        <f>BD515</f>
        <v/>
      </c>
      <c r="CB515" s="33">
        <f>BE515-BV515</f>
        <v/>
      </c>
      <c r="CC515" s="34">
        <f>IF(AY515=0,0,CB515/AY515)</f>
        <v/>
      </c>
      <c r="CD515" s="34">
        <f>MAX((AY515+MAX((-J515+L515-N515+Q515-T515+X515),0)),(MAX((J515-L515+N515-Q515+T515-X515),0)))</f>
        <v/>
      </c>
      <c r="CE515" s="82">
        <f>IFERROR(ABS(BX515/CD515),0)</f>
        <v/>
      </c>
      <c r="CF515" s="34">
        <f>IF(CE515&lt;=0.1,0,BX515/CE515*(CE515-0.1))</f>
        <v/>
      </c>
      <c r="CG515" s="34">
        <f>IF((CF515)&lt;0,MAX(F515:G515)*(CF515)*1.03,MIN(F515:G515)*(CF515)*0.97)</f>
        <v/>
      </c>
      <c r="CH515" s="34">
        <f>IF(CE515&gt;0.1,1,0)</f>
        <v/>
      </c>
      <c r="CI515" s="34">
        <f>(F515*BX515)-BY515</f>
        <v/>
      </c>
      <c r="CJ515" s="34">
        <f>IF(AY515=0,0,CI515/AY515)</f>
        <v/>
      </c>
    </row>
    <row r="516">
      <c r="A516" s="29">
        <f>[1]FİYATLAR!A491</f>
        <v/>
      </c>
      <c r="B516" s="29">
        <f>[1]FİYATLAR!B491</f>
        <v/>
      </c>
      <c r="C516" s="35">
        <f>INT(A516)</f>
        <v/>
      </c>
      <c r="D516" s="36">
        <f>MONTH(A516)</f>
        <v/>
      </c>
      <c r="E516" s="147">
        <f>[1]FİYATLAR!G491</f>
        <v/>
      </c>
      <c r="F516" s="30">
        <f>[1]FİYATLAR!C491</f>
        <v/>
      </c>
      <c r="G516" s="30">
        <f>[1]FİYATLAR!E491</f>
        <v/>
      </c>
      <c r="H516" s="30">
        <f>[1]FİYATLAR!D491</f>
        <v/>
      </c>
      <c r="I516" s="30">
        <f>[1]FİYATLAR!F491</f>
        <v/>
      </c>
      <c r="J516" s="119" t="n">
        <v>0</v>
      </c>
      <c r="K516" s="34">
        <f>F516*J516</f>
        <v/>
      </c>
      <c r="L516" s="119" t="n"/>
      <c r="M516" s="34">
        <f>L516*F516</f>
        <v/>
      </c>
      <c r="N516" s="119" t="n"/>
      <c r="O516" s="34">
        <f>F516</f>
        <v/>
      </c>
      <c r="P516" s="34">
        <f>N516*O516</f>
        <v/>
      </c>
      <c r="Q516" s="117" t="n">
        <v>0</v>
      </c>
      <c r="R516" s="34">
        <f>F516</f>
        <v/>
      </c>
      <c r="S516" s="34">
        <f>R516*Q516</f>
        <v/>
      </c>
      <c r="T516" s="34">
        <f>SUMIFS('[1]GİP VERİLERİ'!$C:$C,'[1]GİP VERİLERİ'!$B:$B,A516,'[1]GİP VERİLERİ'!$M:$M,"40X000000104782K",'[1]GİP VERİLERİ'!$G:$G,"SELL")</f>
        <v/>
      </c>
      <c r="U516" s="34">
        <f>IFERROR(W516/T516,0)</f>
        <v/>
      </c>
      <c r="V516" s="34">
        <f>IF(U516=0,0,U516-F516)</f>
        <v/>
      </c>
      <c r="W516" s="34">
        <f>SUMIFS('[1]GİP VERİLERİ'!$O:$O,'[1]GİP VERİLERİ'!$B:$B,A516,'[1]GİP VERİLERİ'!$M:$M,"40X000000104782K",'[1]GİP VERİLERİ'!$G:$G,"SELL")</f>
        <v/>
      </c>
      <c r="X516" s="34">
        <f>SUMIFS('[1]GİP VERİLERİ'!$C:$C,'[1]GİP VERİLERİ'!$B:$B,A516,'[1]GİP VERİLERİ'!$M:$M,"40X000000104782K",'[1]GİP VERİLERİ'!$G:$G,"BUY")</f>
        <v/>
      </c>
      <c r="Y516" s="34">
        <f>IFERROR(AA516/X516,0)</f>
        <v/>
      </c>
      <c r="Z516" s="34">
        <f>IF(Y516=0,0,F516-Y516)</f>
        <v/>
      </c>
      <c r="AA516" s="34">
        <f>SUMIFS('[1]GİP VERİLERİ'!$O:$O,'[1]GİP VERİLERİ'!$B:$B,A516,'[1]GİP VERİLERİ'!$M:$M,"40X000000104782K",'[1]GİP VERİLERİ'!$G:$G,"BUY")</f>
        <v/>
      </c>
      <c r="AB516" s="34">
        <f>'[1]GÖP VERİLERİ'!H517</f>
        <v/>
      </c>
      <c r="AC516" s="34">
        <f>'[1]GÖP VERİLERİ'!I517</f>
        <v/>
      </c>
      <c r="AD516" s="34">
        <f>IF(AB516&gt;AC516*1.05,AB516-AC516*1.05,IF(AB516&lt;AC516*0.95,AC516*0.95-AB516,0))</f>
        <v/>
      </c>
      <c r="AE516" s="34">
        <f>MAX(F516,G516,750)*0.05*AD516</f>
        <v/>
      </c>
      <c r="AF516" s="34">
        <f>'[1]GÖP VERİLERİ'!J517</f>
        <v/>
      </c>
      <c r="AG516" s="34">
        <f>IF(AB516&gt;AF516*1.05,AB516-AF516*1.05,IF(AB516&lt;AF516*0.95,AF516*0.95-AB516,0))</f>
        <v/>
      </c>
      <c r="AH516" s="34">
        <f>MAX(I516,J516,750)*0.05*AG516</f>
        <v/>
      </c>
      <c r="AI516">
        <f>'[1]GÖP VERİLERİ'!E517</f>
        <v/>
      </c>
      <c r="AJ516">
        <f>'[1]GÖP VERİLERİ'!F517</f>
        <v/>
      </c>
      <c r="AK516" s="34">
        <f>IF(AI516&gt;AJ516*1.05,AI516-AJ516*1.05,IF(AI516&lt;AJ516*0.95,AJ516*0.95-AI516,0))</f>
        <v/>
      </c>
      <c r="AL516" s="34">
        <f>MAX(F516,G516,750)*0.05*AK516</f>
        <v/>
      </c>
      <c r="AM516" s="39">
        <f>'[1]GÖP VERİLERİ'!G517</f>
        <v/>
      </c>
      <c r="AN516" s="34">
        <f>IF(AI516&gt;AM516*1.05,AI516-AM516*1.05,IF(AI516&lt;AM516*0.95,AM516*0.95-AI516,0))</f>
        <v/>
      </c>
      <c r="AO516" s="34">
        <f>MAX(F516,G516,750)*0.05*AN516</f>
        <v/>
      </c>
      <c r="AP516" s="34">
        <f>'[1]GÖP VERİLERİ'!B517</f>
        <v/>
      </c>
      <c r="AQ516" s="34">
        <f>'[1]GÖP VERİLERİ'!C517</f>
        <v/>
      </c>
      <c r="AR516" s="34">
        <f>IF(AP516&gt;AQ516*1.05,AP516-AQ516*1.05,IF(AP516&lt;AQ516*0.95,AQ516*0.95-AP516,0))</f>
        <v/>
      </c>
      <c r="AS516" s="34">
        <f>MAX(F516:G516,750)*0.05*AR516</f>
        <v/>
      </c>
      <c r="AT516">
        <f>'[1]GÖP VERİLERİ'!D517</f>
        <v/>
      </c>
      <c r="AU516" s="34">
        <f>IF(AP516&gt;AT516*1.05,AP516-AT516*1.05,IF(AP516&lt;AT516*0.95,AT516*0.95-AP516,0))</f>
        <v/>
      </c>
      <c r="AV516" s="34">
        <f>MAX(F516:G516,750)*0.05*AU516</f>
        <v/>
      </c>
      <c r="AW516" s="34">
        <f>AC516+AJ516+AQ516</f>
        <v/>
      </c>
      <c r="AX516" s="34">
        <f>AF516+AM516+AT516</f>
        <v/>
      </c>
      <c r="AY516" s="34">
        <f>AB516+AI516+AP516</f>
        <v/>
      </c>
      <c r="AZ516" s="34" t="n">
        <v>0</v>
      </c>
      <c r="BA516" s="34">
        <f>AD516+AK516+AR516</f>
        <v/>
      </c>
      <c r="BB516" s="34">
        <f>MAX(F516:G516,750)*0.05*BA516</f>
        <v/>
      </c>
      <c r="BC516" s="34">
        <f>AG516+AN516+AU516</f>
        <v/>
      </c>
      <c r="BD516" s="34">
        <f>MAX(F516:G516,750)*0.05*BC516</f>
        <v/>
      </c>
      <c r="BE516" s="34">
        <f>F516*AY516</f>
        <v/>
      </c>
      <c r="BF516" s="34">
        <f>K516-M516</f>
        <v/>
      </c>
      <c r="BG516" s="34">
        <f>P516-S516</f>
        <v/>
      </c>
      <c r="BH516" s="34">
        <f>W516-AA516</f>
        <v/>
      </c>
      <c r="BI516" s="34">
        <f>BF516+BG516+BL516-BN516</f>
        <v/>
      </c>
      <c r="BJ516" s="34">
        <f>ABS(BK516)</f>
        <v/>
      </c>
      <c r="BK516" s="34">
        <f>AY516-(J516-L516+N516-Q516)</f>
        <v/>
      </c>
      <c r="BL516" s="34">
        <f>IF(AND(BK516&gt;0,MIN($F516:$G516)&lt;150,$E516="Enerji Açığı"),-100*BK516*1.03,IF(AND(BK516&gt;0,MIN($F516:$G516)&lt;150,$E516="Enerji Fazlası"),-100*BK516*1.06,IF(AND(BK516&gt;0,MIN($F516:$G516)&gt;=150,$E516="Enerji Açığı"),BK516*MIN($F516:$G516)*0.97,IF(AND(BK516&gt;0,MIN($F516:$G516)&gt;=150,$E516="Enerji Fazlası"),BK516*MIN($F516:$G516)*0.94,IF(AND(BK516&lt;0,MAX($F516:$G516)=4500,$E516="Enerji Açığı"),4500*1.05*1.06*BK516,IF(AND(BK516&lt;0,MAX($F516:$G516)=4500,$E516="Enerji Fazlası"),4500*1.05*1.03*BK516,IF(AND(BK516&lt;0,$E516="Enerji Açığı"),MAX($F516,$G516,150)*BK516*1.06,IF(AND(BK516&lt;0,$E516="Enerji Fazlası"),MAX($F516,$G516,150)*BK516*1.03,IF(AND(BK516&lt;0,$E516="Dengede"),MAX($F516:$G516,150)*1.03*BK516,MIN($F516:$G516)*0.97*BK516)))))))))</f>
        <v/>
      </c>
      <c r="BM516" s="34">
        <f>BE516-BI516-BN516</f>
        <v/>
      </c>
      <c r="BN516" s="34">
        <f>BB516</f>
        <v/>
      </c>
      <c r="BO516" s="34">
        <f>BE516-BI516</f>
        <v/>
      </c>
      <c r="BP516" s="34">
        <f>IF(AY516=0,0,BO516/AY516)</f>
        <v/>
      </c>
      <c r="BQ516" s="34">
        <f>MAX((AY516+MAX((-J516+L516-N516+Q516),0)),(MAX((J516-L516+N516-Q516),0)))</f>
        <v/>
      </c>
      <c r="BR516" s="82">
        <f>IFERROR(ABS(BK516/BQ516),0)</f>
        <v/>
      </c>
      <c r="BS516" s="34">
        <f>IF(BR516&lt;=0.1,0,BK516/BR516*(BR516-0.1))</f>
        <v/>
      </c>
      <c r="BT516" s="34">
        <f>IF((BS516)&lt;0,MAX(F516:G516)*(BS516)*1.03,MIN(F516:G516)*(BS516)*0.97)</f>
        <v/>
      </c>
      <c r="BU516" s="34">
        <f>IF(BR516&gt;0.1,1,0)</f>
        <v/>
      </c>
      <c r="BV516" s="34">
        <f>BF516+BG516+BH516+BY516-CA516</f>
        <v/>
      </c>
      <c r="BW516" s="34">
        <f>ABS(BX516)</f>
        <v/>
      </c>
      <c r="BX516" s="34">
        <f>AY516-(J516-L516+N516-Q516+T516-X516)</f>
        <v/>
      </c>
      <c r="BY516" s="34">
        <f>IF(AND(BX516&gt;0,MIN($F516:$G516)&lt;150,$E516="Enerji Açığı"),-100*BX516*1.03,IF(AND(BX516&gt;0,MIN($F516:$G516)&lt;150,$E516="Enerji Fazlası"),-100*BX516*1.06,IF(AND(BX516&gt;0,MIN($F516:$G516)&gt;=150,$E516="Enerji Açığı"),BX516*MIN($F516:$G516)*0.97,IF(AND(BX516&gt;0,MIN($F516:$G516)&gt;=150,$E516="Enerji Fazlası"),BX516*MIN($F516:$G516)*0.94,IF(AND(BX516&lt;0,MAX($F516:$G516)=4500,$E516="Enerji Açığı"),4500*1.05*1.06*BX516,IF(AND(BX516&lt;0,MAX($F516:$G516)=4500,$E516="Enerji Fazlası"),4500*1.05*1.03*BX516,IF(AND(BX516&lt;0,$E516="Enerji Açığı"),MAX($F516,$G516,150)*BX516*1.06,IF(AND(BX516&lt;0,$E516="Enerji Fazlası"),MAX($F516,$G516,150)*BX516*1.03,IF(AND(BX516&lt;0,$E516="Dengede"),MAX($F516:$G516,150)*1.03*BX516,MIN($F516:$G516)*0.97*BX516)))))))))</f>
        <v/>
      </c>
      <c r="BZ516" s="34">
        <f>BE516-BV516-CA516</f>
        <v/>
      </c>
      <c r="CA516" s="34">
        <f>BD516</f>
        <v/>
      </c>
      <c r="CB516" s="33">
        <f>BE516-BV516</f>
        <v/>
      </c>
      <c r="CC516" s="34">
        <f>IF(AY516=0,0,CB516/AY516)</f>
        <v/>
      </c>
      <c r="CD516" s="34">
        <f>MAX((AY516+MAX((-J516+L516-N516+Q516-T516+X516),0)),(MAX((J516-L516+N516-Q516+T516-X516),0)))</f>
        <v/>
      </c>
      <c r="CE516" s="82">
        <f>IFERROR(ABS(BX516/CD516),0)</f>
        <v/>
      </c>
      <c r="CF516" s="34">
        <f>IF(CE516&lt;=0.1,0,BX516/CE516*(CE516-0.1))</f>
        <v/>
      </c>
      <c r="CG516" s="34">
        <f>IF((CF516)&lt;0,MAX(F516:G516)*(CF516)*1.03,MIN(F516:G516)*(CF516)*0.97)</f>
        <v/>
      </c>
      <c r="CH516" s="34">
        <f>IF(CE516&gt;0.1,1,0)</f>
        <v/>
      </c>
      <c r="CI516" s="34">
        <f>(F516*BX516)-BY516</f>
        <v/>
      </c>
      <c r="CJ516" s="34">
        <f>IF(AY516=0,0,CI516/AY516)</f>
        <v/>
      </c>
    </row>
    <row r="517">
      <c r="A517" s="29">
        <f>[1]FİYATLAR!A492</f>
        <v/>
      </c>
      <c r="B517" s="29">
        <f>[1]FİYATLAR!B492</f>
        <v/>
      </c>
      <c r="C517" s="35">
        <f>INT(A517)</f>
        <v/>
      </c>
      <c r="D517" s="36">
        <f>MONTH(A517)</f>
        <v/>
      </c>
      <c r="E517" s="147">
        <f>[1]FİYATLAR!G492</f>
        <v/>
      </c>
      <c r="F517" s="30">
        <f>[1]FİYATLAR!C492</f>
        <v/>
      </c>
      <c r="G517" s="30">
        <f>[1]FİYATLAR!E492</f>
        <v/>
      </c>
      <c r="H517" s="30">
        <f>[1]FİYATLAR!D492</f>
        <v/>
      </c>
      <c r="I517" s="30">
        <f>[1]FİYATLAR!F492</f>
        <v/>
      </c>
      <c r="J517" s="119" t="n">
        <v>0</v>
      </c>
      <c r="K517" s="34">
        <f>F517*J517</f>
        <v/>
      </c>
      <c r="L517" s="119" t="n"/>
      <c r="M517" s="34">
        <f>L517*F517</f>
        <v/>
      </c>
      <c r="N517" s="119" t="n"/>
      <c r="O517" s="34">
        <f>F517</f>
        <v/>
      </c>
      <c r="P517" s="34">
        <f>N517*O517</f>
        <v/>
      </c>
      <c r="Q517" s="117" t="n">
        <v>0</v>
      </c>
      <c r="R517" s="34">
        <f>F517</f>
        <v/>
      </c>
      <c r="S517" s="34">
        <f>R517*Q517</f>
        <v/>
      </c>
      <c r="T517" s="34">
        <f>SUMIFS('[1]GİP VERİLERİ'!$C:$C,'[1]GİP VERİLERİ'!$B:$B,A517,'[1]GİP VERİLERİ'!$M:$M,"40X000000104782K",'[1]GİP VERİLERİ'!$G:$G,"SELL")</f>
        <v/>
      </c>
      <c r="U517" s="34">
        <f>IFERROR(W517/T517,0)</f>
        <v/>
      </c>
      <c r="V517" s="34">
        <f>IF(U517=0,0,U517-F517)</f>
        <v/>
      </c>
      <c r="W517" s="34">
        <f>SUMIFS('[1]GİP VERİLERİ'!$O:$O,'[1]GİP VERİLERİ'!$B:$B,A517,'[1]GİP VERİLERİ'!$M:$M,"40X000000104782K",'[1]GİP VERİLERİ'!$G:$G,"SELL")</f>
        <v/>
      </c>
      <c r="X517" s="34">
        <f>SUMIFS('[1]GİP VERİLERİ'!$C:$C,'[1]GİP VERİLERİ'!$B:$B,A517,'[1]GİP VERİLERİ'!$M:$M,"40X000000104782K",'[1]GİP VERİLERİ'!$G:$G,"BUY")</f>
        <v/>
      </c>
      <c r="Y517" s="34">
        <f>IFERROR(AA517/X517,0)</f>
        <v/>
      </c>
      <c r="Z517" s="34">
        <f>IF(Y517=0,0,F517-Y517)</f>
        <v/>
      </c>
      <c r="AA517" s="34">
        <f>SUMIFS('[1]GİP VERİLERİ'!$O:$O,'[1]GİP VERİLERİ'!$B:$B,A517,'[1]GİP VERİLERİ'!$M:$M,"40X000000104782K",'[1]GİP VERİLERİ'!$G:$G,"BUY")</f>
        <v/>
      </c>
      <c r="AB517" s="34">
        <f>'[1]GÖP VERİLERİ'!H518</f>
        <v/>
      </c>
      <c r="AC517" s="34">
        <f>'[1]GÖP VERİLERİ'!I518</f>
        <v/>
      </c>
      <c r="AD517" s="34">
        <f>IF(AB517&gt;AC517*1.05,AB517-AC517*1.05,IF(AB517&lt;AC517*0.95,AC517*0.95-AB517,0))</f>
        <v/>
      </c>
      <c r="AE517" s="34">
        <f>MAX(F517,G517,750)*0.05*AD517</f>
        <v/>
      </c>
      <c r="AF517" s="34">
        <f>'[1]GÖP VERİLERİ'!J518</f>
        <v/>
      </c>
      <c r="AG517" s="34">
        <f>IF(AB517&gt;AF517*1.05,AB517-AF517*1.05,IF(AB517&lt;AF517*0.95,AF517*0.95-AB517,0))</f>
        <v/>
      </c>
      <c r="AH517" s="34">
        <f>MAX(I517,J517,750)*0.05*AG517</f>
        <v/>
      </c>
      <c r="AI517">
        <f>'[1]GÖP VERİLERİ'!E518</f>
        <v/>
      </c>
      <c r="AJ517">
        <f>'[1]GÖP VERİLERİ'!F518</f>
        <v/>
      </c>
      <c r="AK517" s="34">
        <f>IF(AI517&gt;AJ517*1.05,AI517-AJ517*1.05,IF(AI517&lt;AJ517*0.95,AJ517*0.95-AI517,0))</f>
        <v/>
      </c>
      <c r="AL517" s="34">
        <f>MAX(F517,G517,750)*0.05*AK517</f>
        <v/>
      </c>
      <c r="AM517" s="39">
        <f>'[1]GÖP VERİLERİ'!G518</f>
        <v/>
      </c>
      <c r="AN517" s="34">
        <f>IF(AI517&gt;AM517*1.05,AI517-AM517*1.05,IF(AI517&lt;AM517*0.95,AM517*0.95-AI517,0))</f>
        <v/>
      </c>
      <c r="AO517" s="34">
        <f>MAX(F517,G517,750)*0.05*AN517</f>
        <v/>
      </c>
      <c r="AP517" s="34">
        <f>'[1]GÖP VERİLERİ'!B518</f>
        <v/>
      </c>
      <c r="AQ517" s="34">
        <f>'[1]GÖP VERİLERİ'!C518</f>
        <v/>
      </c>
      <c r="AR517" s="34">
        <f>IF(AP517&gt;AQ517*1.05,AP517-AQ517*1.05,IF(AP517&lt;AQ517*0.95,AQ517*0.95-AP517,0))</f>
        <v/>
      </c>
      <c r="AS517" s="34">
        <f>MAX(F517:G517,750)*0.05*AR517</f>
        <v/>
      </c>
      <c r="AT517">
        <f>'[1]GÖP VERİLERİ'!D518</f>
        <v/>
      </c>
      <c r="AU517" s="34">
        <f>IF(AP517&gt;AT517*1.05,AP517-AT517*1.05,IF(AP517&lt;AT517*0.95,AT517*0.95-AP517,0))</f>
        <v/>
      </c>
      <c r="AV517" s="34">
        <f>MAX(F517:G517,750)*0.05*AU517</f>
        <v/>
      </c>
      <c r="AW517" s="34">
        <f>AC517+AJ517+AQ517</f>
        <v/>
      </c>
      <c r="AX517" s="34">
        <f>AF517+AM517+AT517</f>
        <v/>
      </c>
      <c r="AY517" s="34">
        <f>AB517+AI517+AP517</f>
        <v/>
      </c>
      <c r="AZ517" s="34" t="n">
        <v>0</v>
      </c>
      <c r="BA517" s="34">
        <f>AD517+AK517+AR517</f>
        <v/>
      </c>
      <c r="BB517" s="34">
        <f>MAX(F517:G517,750)*0.05*BA517</f>
        <v/>
      </c>
      <c r="BC517" s="34">
        <f>AG517+AN517+AU517</f>
        <v/>
      </c>
      <c r="BD517" s="34">
        <f>MAX(F517:G517,750)*0.05*BC517</f>
        <v/>
      </c>
      <c r="BE517" s="34">
        <f>F517*AY517</f>
        <v/>
      </c>
      <c r="BF517" s="34">
        <f>K517-M517</f>
        <v/>
      </c>
      <c r="BG517" s="34">
        <f>P517-S517</f>
        <v/>
      </c>
      <c r="BH517" s="34">
        <f>W517-AA517</f>
        <v/>
      </c>
      <c r="BI517" s="34">
        <f>BF517+BG517+BL517-BN517</f>
        <v/>
      </c>
      <c r="BJ517" s="34">
        <f>ABS(BK517)</f>
        <v/>
      </c>
      <c r="BK517" s="34">
        <f>AY517-(J517-L517+N517-Q517)</f>
        <v/>
      </c>
      <c r="BL517" s="34">
        <f>IF(AND(BK517&gt;0,MIN($F517:$G517)&lt;150,$E517="Enerji Açığı"),-100*BK517*1.03,IF(AND(BK517&gt;0,MIN($F517:$G517)&lt;150,$E517="Enerji Fazlası"),-100*BK517*1.06,IF(AND(BK517&gt;0,MIN($F517:$G517)&gt;=150,$E517="Enerji Açığı"),BK517*MIN($F517:$G517)*0.97,IF(AND(BK517&gt;0,MIN($F517:$G517)&gt;=150,$E517="Enerji Fazlası"),BK517*MIN($F517:$G517)*0.94,IF(AND(BK517&lt;0,MAX($F517:$G517)=4500,$E517="Enerji Açığı"),4500*1.05*1.06*BK517,IF(AND(BK517&lt;0,MAX($F517:$G517)=4500,$E517="Enerji Fazlası"),4500*1.05*1.03*BK517,IF(AND(BK517&lt;0,$E517="Enerji Açığı"),MAX($F517,$G517,150)*BK517*1.06,IF(AND(BK517&lt;0,$E517="Enerji Fazlası"),MAX($F517,$G517,150)*BK517*1.03,IF(AND(BK517&lt;0,$E517="Dengede"),MAX($F517:$G517,150)*1.03*BK517,MIN($F517:$G517)*0.97*BK517)))))))))</f>
        <v/>
      </c>
      <c r="BM517" s="34">
        <f>BE517-BI517-BN517</f>
        <v/>
      </c>
      <c r="BN517" s="34">
        <f>BB517</f>
        <v/>
      </c>
      <c r="BO517" s="34">
        <f>BE517-BI517</f>
        <v/>
      </c>
      <c r="BP517" s="34">
        <f>IF(AY517=0,0,BO517/AY517)</f>
        <v/>
      </c>
      <c r="BQ517" s="34">
        <f>MAX((AY517+MAX((-J517+L517-N517+Q517),0)),(MAX((J517-L517+N517-Q517),0)))</f>
        <v/>
      </c>
      <c r="BR517" s="82">
        <f>IFERROR(ABS(BK517/BQ517),0)</f>
        <v/>
      </c>
      <c r="BS517" s="34">
        <f>IF(BR517&lt;=0.1,0,BK517/BR517*(BR517-0.1))</f>
        <v/>
      </c>
      <c r="BT517" s="34">
        <f>IF((BS517)&lt;0,MAX(F517:G517)*(BS517)*1.03,MIN(F517:G517)*(BS517)*0.97)</f>
        <v/>
      </c>
      <c r="BU517" s="34">
        <f>IF(BR517&gt;0.1,1,0)</f>
        <v/>
      </c>
      <c r="BV517" s="34">
        <f>BF517+BG517+BH517+BY517-CA517</f>
        <v/>
      </c>
      <c r="BW517" s="34">
        <f>ABS(BX517)</f>
        <v/>
      </c>
      <c r="BX517" s="34">
        <f>AY517-(J517-L517+N517-Q517+T517-X517)</f>
        <v/>
      </c>
      <c r="BY517" s="34">
        <f>IF(AND(BX517&gt;0,MIN($F517:$G517)&lt;150,$E517="Enerji Açığı"),-100*BX517*1.03,IF(AND(BX517&gt;0,MIN($F517:$G517)&lt;150,$E517="Enerji Fazlası"),-100*BX517*1.06,IF(AND(BX517&gt;0,MIN($F517:$G517)&gt;=150,$E517="Enerji Açığı"),BX517*MIN($F517:$G517)*0.97,IF(AND(BX517&gt;0,MIN($F517:$G517)&gt;=150,$E517="Enerji Fazlası"),BX517*MIN($F517:$G517)*0.94,IF(AND(BX517&lt;0,MAX($F517:$G517)=4500,$E517="Enerji Açığı"),4500*1.05*1.06*BX517,IF(AND(BX517&lt;0,MAX($F517:$G517)=4500,$E517="Enerji Fazlası"),4500*1.05*1.03*BX517,IF(AND(BX517&lt;0,$E517="Enerji Açığı"),MAX($F517,$G517,150)*BX517*1.06,IF(AND(BX517&lt;0,$E517="Enerji Fazlası"),MAX($F517,$G517,150)*BX517*1.03,IF(AND(BX517&lt;0,$E517="Dengede"),MAX($F517:$G517,150)*1.03*BX517,MIN($F517:$G517)*0.97*BX517)))))))))</f>
        <v/>
      </c>
      <c r="BZ517" s="34">
        <f>BE517-BV517-CA517</f>
        <v/>
      </c>
      <c r="CA517" s="34">
        <f>BD517</f>
        <v/>
      </c>
      <c r="CB517" s="33">
        <f>BE517-BV517</f>
        <v/>
      </c>
      <c r="CC517" s="34">
        <f>IF(AY517=0,0,CB517/AY517)</f>
        <v/>
      </c>
      <c r="CD517" s="34">
        <f>MAX((AY517+MAX((-J517+L517-N517+Q517-T517+X517),0)),(MAX((J517-L517+N517-Q517+T517-X517),0)))</f>
        <v/>
      </c>
      <c r="CE517" s="82">
        <f>IFERROR(ABS(BX517/CD517),0)</f>
        <v/>
      </c>
      <c r="CF517" s="34">
        <f>IF(CE517&lt;=0.1,0,BX517/CE517*(CE517-0.1))</f>
        <v/>
      </c>
      <c r="CG517" s="34">
        <f>IF((CF517)&lt;0,MAX(F517:G517)*(CF517)*1.03,MIN(F517:G517)*(CF517)*0.97)</f>
        <v/>
      </c>
      <c r="CH517" s="34">
        <f>IF(CE517&gt;0.1,1,0)</f>
        <v/>
      </c>
      <c r="CI517" s="34">
        <f>(F517*BX517)-BY517</f>
        <v/>
      </c>
      <c r="CJ517" s="34">
        <f>IF(AY517=0,0,CI517/AY517)</f>
        <v/>
      </c>
    </row>
    <row r="518">
      <c r="A518" s="29">
        <f>[1]FİYATLAR!A493</f>
        <v/>
      </c>
      <c r="B518" s="29">
        <f>[1]FİYATLAR!B493</f>
        <v/>
      </c>
      <c r="C518" s="35">
        <f>INT(A518)</f>
        <v/>
      </c>
      <c r="D518" s="36">
        <f>MONTH(A518)</f>
        <v/>
      </c>
      <c r="E518" s="147">
        <f>[1]FİYATLAR!G493</f>
        <v/>
      </c>
      <c r="F518" s="30">
        <f>[1]FİYATLAR!C493</f>
        <v/>
      </c>
      <c r="G518" s="30">
        <f>[1]FİYATLAR!E493</f>
        <v/>
      </c>
      <c r="H518" s="30">
        <f>[1]FİYATLAR!D493</f>
        <v/>
      </c>
      <c r="I518" s="30">
        <f>[1]FİYATLAR!F493</f>
        <v/>
      </c>
      <c r="J518" s="119" t="n">
        <v>0</v>
      </c>
      <c r="K518" s="34">
        <f>F518*J518</f>
        <v/>
      </c>
      <c r="L518" s="119" t="n"/>
      <c r="M518" s="34">
        <f>L518*F518</f>
        <v/>
      </c>
      <c r="N518" s="119" t="n"/>
      <c r="O518" s="34">
        <f>F518</f>
        <v/>
      </c>
      <c r="P518" s="34">
        <f>N518*O518</f>
        <v/>
      </c>
      <c r="Q518" s="117" t="n">
        <v>0</v>
      </c>
      <c r="R518" s="34">
        <f>F518</f>
        <v/>
      </c>
      <c r="S518" s="34">
        <f>R518*Q518</f>
        <v/>
      </c>
      <c r="T518" s="34">
        <f>SUMIFS('[1]GİP VERİLERİ'!$C:$C,'[1]GİP VERİLERİ'!$B:$B,A518,'[1]GİP VERİLERİ'!$M:$M,"40X000000104782K",'[1]GİP VERİLERİ'!$G:$G,"SELL")</f>
        <v/>
      </c>
      <c r="U518" s="34">
        <f>IFERROR(W518/T518,0)</f>
        <v/>
      </c>
      <c r="V518" s="34">
        <f>IF(U518=0,0,U518-F518)</f>
        <v/>
      </c>
      <c r="W518" s="34">
        <f>SUMIFS('[1]GİP VERİLERİ'!$O:$O,'[1]GİP VERİLERİ'!$B:$B,A518,'[1]GİP VERİLERİ'!$M:$M,"40X000000104782K",'[1]GİP VERİLERİ'!$G:$G,"SELL")</f>
        <v/>
      </c>
      <c r="X518" s="34">
        <f>SUMIFS('[1]GİP VERİLERİ'!$C:$C,'[1]GİP VERİLERİ'!$B:$B,A518,'[1]GİP VERİLERİ'!$M:$M,"40X000000104782K",'[1]GİP VERİLERİ'!$G:$G,"BUY")</f>
        <v/>
      </c>
      <c r="Y518" s="34">
        <f>IFERROR(AA518/X518,0)</f>
        <v/>
      </c>
      <c r="Z518" s="34">
        <f>IF(Y518=0,0,F518-Y518)</f>
        <v/>
      </c>
      <c r="AA518" s="34">
        <f>SUMIFS('[1]GİP VERİLERİ'!$O:$O,'[1]GİP VERİLERİ'!$B:$B,A518,'[1]GİP VERİLERİ'!$M:$M,"40X000000104782K",'[1]GİP VERİLERİ'!$G:$G,"BUY")</f>
        <v/>
      </c>
      <c r="AB518" s="34">
        <f>'[1]GÖP VERİLERİ'!H519</f>
        <v/>
      </c>
      <c r="AC518" s="34">
        <f>'[1]GÖP VERİLERİ'!I519</f>
        <v/>
      </c>
      <c r="AD518" s="34">
        <f>IF(AB518&gt;AC518*1.05,AB518-AC518*1.05,IF(AB518&lt;AC518*0.95,AC518*0.95-AB518,0))</f>
        <v/>
      </c>
      <c r="AE518" s="34">
        <f>MAX(F518,G518,750)*0.05*AD518</f>
        <v/>
      </c>
      <c r="AF518" s="34">
        <f>'[1]GÖP VERİLERİ'!J519</f>
        <v/>
      </c>
      <c r="AG518" s="34">
        <f>IF(AB518&gt;AF518*1.05,AB518-AF518*1.05,IF(AB518&lt;AF518*0.95,AF518*0.95-AB518,0))</f>
        <v/>
      </c>
      <c r="AH518" s="34">
        <f>MAX(I518,J518,750)*0.05*AG518</f>
        <v/>
      </c>
      <c r="AI518">
        <f>'[1]GÖP VERİLERİ'!E519</f>
        <v/>
      </c>
      <c r="AJ518">
        <f>'[1]GÖP VERİLERİ'!F519</f>
        <v/>
      </c>
      <c r="AK518" s="34">
        <f>IF(AI518&gt;AJ518*1.05,AI518-AJ518*1.05,IF(AI518&lt;AJ518*0.95,AJ518*0.95-AI518,0))</f>
        <v/>
      </c>
      <c r="AL518" s="34">
        <f>MAX(F518,G518,750)*0.05*AK518</f>
        <v/>
      </c>
      <c r="AM518" s="39">
        <f>'[1]GÖP VERİLERİ'!G519</f>
        <v/>
      </c>
      <c r="AN518" s="34">
        <f>IF(AI518&gt;AM518*1.05,AI518-AM518*1.05,IF(AI518&lt;AM518*0.95,AM518*0.95-AI518,0))</f>
        <v/>
      </c>
      <c r="AO518" s="34">
        <f>MAX(F518,G518,750)*0.05*AN518</f>
        <v/>
      </c>
      <c r="AP518" s="34">
        <f>'[1]GÖP VERİLERİ'!B519</f>
        <v/>
      </c>
      <c r="AQ518" s="34">
        <f>'[1]GÖP VERİLERİ'!C519</f>
        <v/>
      </c>
      <c r="AR518" s="34">
        <f>IF(AP518&gt;AQ518*1.05,AP518-AQ518*1.05,IF(AP518&lt;AQ518*0.95,AQ518*0.95-AP518,0))</f>
        <v/>
      </c>
      <c r="AS518" s="34">
        <f>MAX(F518:G518,750)*0.05*AR518</f>
        <v/>
      </c>
      <c r="AT518">
        <f>'[1]GÖP VERİLERİ'!D519</f>
        <v/>
      </c>
      <c r="AU518" s="34">
        <f>IF(AP518&gt;AT518*1.05,AP518-AT518*1.05,IF(AP518&lt;AT518*0.95,AT518*0.95-AP518,0))</f>
        <v/>
      </c>
      <c r="AV518" s="34">
        <f>MAX(F518:G518,750)*0.05*AU518</f>
        <v/>
      </c>
      <c r="AW518" s="34">
        <f>AC518+AJ518+AQ518</f>
        <v/>
      </c>
      <c r="AX518" s="34">
        <f>AF518+AM518+AT518</f>
        <v/>
      </c>
      <c r="AY518" s="34">
        <f>AB518+AI518+AP518</f>
        <v/>
      </c>
      <c r="AZ518" s="34" t="n">
        <v>0</v>
      </c>
      <c r="BA518" s="34">
        <f>AD518+AK518+AR518</f>
        <v/>
      </c>
      <c r="BB518" s="34">
        <f>MAX(F518:G518,750)*0.05*BA518</f>
        <v/>
      </c>
      <c r="BC518" s="34">
        <f>AG518+AN518+AU518</f>
        <v/>
      </c>
      <c r="BD518" s="34">
        <f>MAX(F518:G518,750)*0.05*BC518</f>
        <v/>
      </c>
      <c r="BE518" s="34">
        <f>F518*AY518</f>
        <v/>
      </c>
      <c r="BF518" s="34">
        <f>K518-M518</f>
        <v/>
      </c>
      <c r="BG518" s="34">
        <f>P518-S518</f>
        <v/>
      </c>
      <c r="BH518" s="34">
        <f>W518-AA518</f>
        <v/>
      </c>
      <c r="BI518" s="34">
        <f>BF518+BG518+BL518-BN518</f>
        <v/>
      </c>
      <c r="BJ518" s="34">
        <f>ABS(BK518)</f>
        <v/>
      </c>
      <c r="BK518" s="34">
        <f>AY518-(J518-L518+N518-Q518)</f>
        <v/>
      </c>
      <c r="BL518" s="34">
        <f>IF(AND(BK518&gt;0,MIN($F518:$G518)&lt;150,$E518="Enerji Açığı"),-100*BK518*1.03,IF(AND(BK518&gt;0,MIN($F518:$G518)&lt;150,$E518="Enerji Fazlası"),-100*BK518*1.06,IF(AND(BK518&gt;0,MIN($F518:$G518)&gt;=150,$E518="Enerji Açığı"),BK518*MIN($F518:$G518)*0.97,IF(AND(BK518&gt;0,MIN($F518:$G518)&gt;=150,$E518="Enerji Fazlası"),BK518*MIN($F518:$G518)*0.94,IF(AND(BK518&lt;0,MAX($F518:$G518)=4500,$E518="Enerji Açığı"),4500*1.05*1.06*BK518,IF(AND(BK518&lt;0,MAX($F518:$G518)=4500,$E518="Enerji Fazlası"),4500*1.05*1.03*BK518,IF(AND(BK518&lt;0,$E518="Enerji Açığı"),MAX($F518,$G518,150)*BK518*1.06,IF(AND(BK518&lt;0,$E518="Enerji Fazlası"),MAX($F518,$G518,150)*BK518*1.03,IF(AND(BK518&lt;0,$E518="Dengede"),MAX($F518:$G518,150)*1.03*BK518,MIN($F518:$G518)*0.97*BK518)))))))))</f>
        <v/>
      </c>
      <c r="BM518" s="34">
        <f>BE518-BI518-BN518</f>
        <v/>
      </c>
      <c r="BN518" s="34">
        <f>BB518</f>
        <v/>
      </c>
      <c r="BO518" s="34">
        <f>BE518-BI518</f>
        <v/>
      </c>
      <c r="BP518" s="34">
        <f>IF(AY518=0,0,BO518/AY518)</f>
        <v/>
      </c>
      <c r="BQ518" s="34">
        <f>MAX((AY518+MAX((-J518+L518-N518+Q518),0)),(MAX((J518-L518+N518-Q518),0)))</f>
        <v/>
      </c>
      <c r="BR518" s="82">
        <f>IFERROR(ABS(BK518/BQ518),0)</f>
        <v/>
      </c>
      <c r="BS518" s="34">
        <f>IF(BR518&lt;=0.1,0,BK518/BR518*(BR518-0.1))</f>
        <v/>
      </c>
      <c r="BT518" s="34">
        <f>IF((BS518)&lt;0,MAX(F518:G518)*(BS518)*1.03,MIN(F518:G518)*(BS518)*0.97)</f>
        <v/>
      </c>
      <c r="BU518" s="34">
        <f>IF(BR518&gt;0.1,1,0)</f>
        <v/>
      </c>
      <c r="BV518" s="34">
        <f>BF518+BG518+BH518+BY518-CA518</f>
        <v/>
      </c>
      <c r="BW518" s="34">
        <f>ABS(BX518)</f>
        <v/>
      </c>
      <c r="BX518" s="34">
        <f>AY518-(J518-L518+N518-Q518+T518-X518)</f>
        <v/>
      </c>
      <c r="BY518" s="34">
        <f>IF(AND(BX518&gt;0,MIN($F518:$G518)&lt;150,$E518="Enerji Açığı"),-100*BX518*1.03,IF(AND(BX518&gt;0,MIN($F518:$G518)&lt;150,$E518="Enerji Fazlası"),-100*BX518*1.06,IF(AND(BX518&gt;0,MIN($F518:$G518)&gt;=150,$E518="Enerji Açığı"),BX518*MIN($F518:$G518)*0.97,IF(AND(BX518&gt;0,MIN($F518:$G518)&gt;=150,$E518="Enerji Fazlası"),BX518*MIN($F518:$G518)*0.94,IF(AND(BX518&lt;0,MAX($F518:$G518)=4500,$E518="Enerji Açığı"),4500*1.05*1.06*BX518,IF(AND(BX518&lt;0,MAX($F518:$G518)=4500,$E518="Enerji Fazlası"),4500*1.05*1.03*BX518,IF(AND(BX518&lt;0,$E518="Enerji Açığı"),MAX($F518,$G518,150)*BX518*1.06,IF(AND(BX518&lt;0,$E518="Enerji Fazlası"),MAX($F518,$G518,150)*BX518*1.03,IF(AND(BX518&lt;0,$E518="Dengede"),MAX($F518:$G518,150)*1.03*BX518,MIN($F518:$G518)*0.97*BX518)))))))))</f>
        <v/>
      </c>
      <c r="BZ518" s="34">
        <f>BE518-BV518-CA518</f>
        <v/>
      </c>
      <c r="CA518" s="34">
        <f>BD518</f>
        <v/>
      </c>
      <c r="CB518" s="33">
        <f>BE518-BV518</f>
        <v/>
      </c>
      <c r="CC518" s="34">
        <f>IF(AY518=0,0,CB518/AY518)</f>
        <v/>
      </c>
      <c r="CD518" s="34">
        <f>MAX((AY518+MAX((-J518+L518-N518+Q518-T518+X518),0)),(MAX((J518-L518+N518-Q518+T518-X518),0)))</f>
        <v/>
      </c>
      <c r="CE518" s="82">
        <f>IFERROR(ABS(BX518/CD518),0)</f>
        <v/>
      </c>
      <c r="CF518" s="34">
        <f>IF(CE518&lt;=0.1,0,BX518/CE518*(CE518-0.1))</f>
        <v/>
      </c>
      <c r="CG518" s="34">
        <f>IF((CF518)&lt;0,MAX(F518:G518)*(CF518)*1.03,MIN(F518:G518)*(CF518)*0.97)</f>
        <v/>
      </c>
      <c r="CH518" s="34">
        <f>IF(CE518&gt;0.1,1,0)</f>
        <v/>
      </c>
      <c r="CI518" s="34">
        <f>(F518*BX518)-BY518</f>
        <v/>
      </c>
      <c r="CJ518" s="34">
        <f>IF(AY518=0,0,CI518/AY518)</f>
        <v/>
      </c>
    </row>
    <row r="519">
      <c r="A519" s="29">
        <f>[1]FİYATLAR!A494</f>
        <v/>
      </c>
      <c r="B519" s="29">
        <f>[1]FİYATLAR!B494</f>
        <v/>
      </c>
      <c r="C519" s="35">
        <f>INT(A519)</f>
        <v/>
      </c>
      <c r="D519" s="36">
        <f>MONTH(A519)</f>
        <v/>
      </c>
      <c r="E519" s="147">
        <f>[1]FİYATLAR!G494</f>
        <v/>
      </c>
      <c r="F519" s="30">
        <f>[1]FİYATLAR!C494</f>
        <v/>
      </c>
      <c r="G519" s="30">
        <f>[1]FİYATLAR!E494</f>
        <v/>
      </c>
      <c r="H519" s="30">
        <f>[1]FİYATLAR!D494</f>
        <v/>
      </c>
      <c r="I519" s="30">
        <f>[1]FİYATLAR!F494</f>
        <v/>
      </c>
      <c r="J519" s="119" t="n">
        <v>0</v>
      </c>
      <c r="K519" s="34">
        <f>F519*J519</f>
        <v/>
      </c>
      <c r="L519" s="119" t="n"/>
      <c r="M519" s="34">
        <f>L519*F519</f>
        <v/>
      </c>
      <c r="N519" s="119" t="n"/>
      <c r="O519" s="34">
        <f>F519</f>
        <v/>
      </c>
      <c r="P519" s="34">
        <f>N519*O519</f>
        <v/>
      </c>
      <c r="Q519" s="117" t="n">
        <v>0</v>
      </c>
      <c r="R519" s="34">
        <f>F519</f>
        <v/>
      </c>
      <c r="S519" s="34">
        <f>R519*Q519</f>
        <v/>
      </c>
      <c r="T519" s="34">
        <f>SUMIFS('[1]GİP VERİLERİ'!$C:$C,'[1]GİP VERİLERİ'!$B:$B,A519,'[1]GİP VERİLERİ'!$M:$M,"40X000000104782K",'[1]GİP VERİLERİ'!$G:$G,"SELL")</f>
        <v/>
      </c>
      <c r="U519" s="34">
        <f>IFERROR(W519/T519,0)</f>
        <v/>
      </c>
      <c r="V519" s="34">
        <f>IF(U519=0,0,U519-F519)</f>
        <v/>
      </c>
      <c r="W519" s="34">
        <f>SUMIFS('[1]GİP VERİLERİ'!$O:$O,'[1]GİP VERİLERİ'!$B:$B,A519,'[1]GİP VERİLERİ'!$M:$M,"40X000000104782K",'[1]GİP VERİLERİ'!$G:$G,"SELL")</f>
        <v/>
      </c>
      <c r="X519" s="34">
        <f>SUMIFS('[1]GİP VERİLERİ'!$C:$C,'[1]GİP VERİLERİ'!$B:$B,A519,'[1]GİP VERİLERİ'!$M:$M,"40X000000104782K",'[1]GİP VERİLERİ'!$G:$G,"BUY")</f>
        <v/>
      </c>
      <c r="Y519" s="34">
        <f>IFERROR(AA519/X519,0)</f>
        <v/>
      </c>
      <c r="Z519" s="34">
        <f>IF(Y519=0,0,F519-Y519)</f>
        <v/>
      </c>
      <c r="AA519" s="34">
        <f>SUMIFS('[1]GİP VERİLERİ'!$O:$O,'[1]GİP VERİLERİ'!$B:$B,A519,'[1]GİP VERİLERİ'!$M:$M,"40X000000104782K",'[1]GİP VERİLERİ'!$G:$G,"BUY")</f>
        <v/>
      </c>
      <c r="AB519" s="34">
        <f>'[1]GÖP VERİLERİ'!H520</f>
        <v/>
      </c>
      <c r="AC519" s="34">
        <f>'[1]GÖP VERİLERİ'!I520</f>
        <v/>
      </c>
      <c r="AD519" s="34">
        <f>IF(AB519&gt;AC519*1.05,AB519-AC519*1.05,IF(AB519&lt;AC519*0.95,AC519*0.95-AB519,0))</f>
        <v/>
      </c>
      <c r="AE519" s="34">
        <f>MAX(F519,G519,750)*0.05*AD519</f>
        <v/>
      </c>
      <c r="AF519" s="34">
        <f>'[1]GÖP VERİLERİ'!J520</f>
        <v/>
      </c>
      <c r="AG519" s="34">
        <f>IF(AB519&gt;AF519*1.05,AB519-AF519*1.05,IF(AB519&lt;AF519*0.95,AF519*0.95-AB519,0))</f>
        <v/>
      </c>
      <c r="AH519" s="34">
        <f>MAX(I519,J519,750)*0.05*AG519</f>
        <v/>
      </c>
      <c r="AI519">
        <f>'[1]GÖP VERİLERİ'!E520</f>
        <v/>
      </c>
      <c r="AJ519">
        <f>'[1]GÖP VERİLERİ'!F520</f>
        <v/>
      </c>
      <c r="AK519" s="34">
        <f>IF(AI519&gt;AJ519*1.05,AI519-AJ519*1.05,IF(AI519&lt;AJ519*0.95,AJ519*0.95-AI519,0))</f>
        <v/>
      </c>
      <c r="AL519" s="34">
        <f>MAX(F519,G519,750)*0.05*AK519</f>
        <v/>
      </c>
      <c r="AM519" s="39">
        <f>'[1]GÖP VERİLERİ'!G520</f>
        <v/>
      </c>
      <c r="AN519" s="34">
        <f>IF(AI519&gt;AM519*1.05,AI519-AM519*1.05,IF(AI519&lt;AM519*0.95,AM519*0.95-AI519,0))</f>
        <v/>
      </c>
      <c r="AO519" s="34">
        <f>MAX(F519,G519,750)*0.05*AN519</f>
        <v/>
      </c>
      <c r="AP519" s="34">
        <f>'[1]GÖP VERİLERİ'!B520</f>
        <v/>
      </c>
      <c r="AQ519" s="34">
        <f>'[1]GÖP VERİLERİ'!C520</f>
        <v/>
      </c>
      <c r="AR519" s="34">
        <f>IF(AP519&gt;AQ519*1.05,AP519-AQ519*1.05,IF(AP519&lt;AQ519*0.95,AQ519*0.95-AP519,0))</f>
        <v/>
      </c>
      <c r="AS519" s="34">
        <f>MAX(F519:G519,750)*0.05*AR519</f>
        <v/>
      </c>
      <c r="AT519">
        <f>'[1]GÖP VERİLERİ'!D520</f>
        <v/>
      </c>
      <c r="AU519" s="34">
        <f>IF(AP519&gt;AT519*1.05,AP519-AT519*1.05,IF(AP519&lt;AT519*0.95,AT519*0.95-AP519,0))</f>
        <v/>
      </c>
      <c r="AV519" s="34">
        <f>MAX(F519:G519,750)*0.05*AU519</f>
        <v/>
      </c>
      <c r="AW519" s="34">
        <f>AC519+AJ519+AQ519</f>
        <v/>
      </c>
      <c r="AX519" s="34">
        <f>AF519+AM519+AT519</f>
        <v/>
      </c>
      <c r="AY519" s="34">
        <f>AB519+AI519+AP519</f>
        <v/>
      </c>
      <c r="AZ519" s="34" t="n">
        <v>0</v>
      </c>
      <c r="BA519" s="34">
        <f>AD519+AK519+AR519</f>
        <v/>
      </c>
      <c r="BB519" s="34">
        <f>MAX(F519:G519,750)*0.05*BA519</f>
        <v/>
      </c>
      <c r="BC519" s="34">
        <f>AG519+AN519+AU519</f>
        <v/>
      </c>
      <c r="BD519" s="34">
        <f>MAX(F519:G519,750)*0.05*BC519</f>
        <v/>
      </c>
      <c r="BE519" s="34">
        <f>F519*AY519</f>
        <v/>
      </c>
      <c r="BF519" s="34">
        <f>K519-M519</f>
        <v/>
      </c>
      <c r="BG519" s="34">
        <f>P519-S519</f>
        <v/>
      </c>
      <c r="BH519" s="34">
        <f>W519-AA519</f>
        <v/>
      </c>
      <c r="BI519" s="34">
        <f>BF519+BG519+BL519-BN519</f>
        <v/>
      </c>
      <c r="BJ519" s="34">
        <f>ABS(BK519)</f>
        <v/>
      </c>
      <c r="BK519" s="34">
        <f>AY519-(J519-L519+N519-Q519)</f>
        <v/>
      </c>
      <c r="BL519" s="34">
        <f>IF(AND(BK519&gt;0,MIN($F519:$G519)&lt;150,$E519="Enerji Açığı"),-100*BK519*1.03,IF(AND(BK519&gt;0,MIN($F519:$G519)&lt;150,$E519="Enerji Fazlası"),-100*BK519*1.06,IF(AND(BK519&gt;0,MIN($F519:$G519)&gt;=150,$E519="Enerji Açığı"),BK519*MIN($F519:$G519)*0.97,IF(AND(BK519&gt;0,MIN($F519:$G519)&gt;=150,$E519="Enerji Fazlası"),BK519*MIN($F519:$G519)*0.94,IF(AND(BK519&lt;0,MAX($F519:$G519)=4500,$E519="Enerji Açığı"),4500*1.05*1.06*BK519,IF(AND(BK519&lt;0,MAX($F519:$G519)=4500,$E519="Enerji Fazlası"),4500*1.05*1.03*BK519,IF(AND(BK519&lt;0,$E519="Enerji Açığı"),MAX($F519,$G519,150)*BK519*1.06,IF(AND(BK519&lt;0,$E519="Enerji Fazlası"),MAX($F519,$G519,150)*BK519*1.03,IF(AND(BK519&lt;0,$E519="Dengede"),MAX($F519:$G519,150)*1.03*BK519,MIN($F519:$G519)*0.97*BK519)))))))))</f>
        <v/>
      </c>
      <c r="BM519" s="34">
        <f>BE519-BI519-BN519</f>
        <v/>
      </c>
      <c r="BN519" s="34">
        <f>BB519</f>
        <v/>
      </c>
      <c r="BO519" s="34">
        <f>BE519-BI519</f>
        <v/>
      </c>
      <c r="BP519" s="34">
        <f>IF(AY519=0,0,BO519/AY519)</f>
        <v/>
      </c>
      <c r="BQ519" s="34">
        <f>MAX((AY519+MAX((-J519+L519-N519+Q519),0)),(MAX((J519-L519+N519-Q519),0)))</f>
        <v/>
      </c>
      <c r="BR519" s="82">
        <f>IFERROR(ABS(BK519/BQ519),0)</f>
        <v/>
      </c>
      <c r="BS519" s="34">
        <f>IF(BR519&lt;=0.1,0,BK519/BR519*(BR519-0.1))</f>
        <v/>
      </c>
      <c r="BT519" s="34">
        <f>IF((BS519)&lt;0,MAX(F519:G519)*(BS519)*1.03,MIN(F519:G519)*(BS519)*0.97)</f>
        <v/>
      </c>
      <c r="BU519" s="34">
        <f>IF(BR519&gt;0.1,1,0)</f>
        <v/>
      </c>
      <c r="BV519" s="34">
        <f>BF519+BG519+BH519+BY519-CA519</f>
        <v/>
      </c>
      <c r="BW519" s="34">
        <f>ABS(BX519)</f>
        <v/>
      </c>
      <c r="BX519" s="34">
        <f>AY519-(J519-L519+N519-Q519+T519-X519)</f>
        <v/>
      </c>
      <c r="BY519" s="34">
        <f>IF(AND(BX519&gt;0,MIN($F519:$G519)&lt;150,$E519="Enerji Açığı"),-100*BX519*1.03,IF(AND(BX519&gt;0,MIN($F519:$G519)&lt;150,$E519="Enerji Fazlası"),-100*BX519*1.06,IF(AND(BX519&gt;0,MIN($F519:$G519)&gt;=150,$E519="Enerji Açığı"),BX519*MIN($F519:$G519)*0.97,IF(AND(BX519&gt;0,MIN($F519:$G519)&gt;=150,$E519="Enerji Fazlası"),BX519*MIN($F519:$G519)*0.94,IF(AND(BX519&lt;0,MAX($F519:$G519)=4500,$E519="Enerji Açığı"),4500*1.05*1.06*BX519,IF(AND(BX519&lt;0,MAX($F519:$G519)=4500,$E519="Enerji Fazlası"),4500*1.05*1.03*BX519,IF(AND(BX519&lt;0,$E519="Enerji Açığı"),MAX($F519,$G519,150)*BX519*1.06,IF(AND(BX519&lt;0,$E519="Enerji Fazlası"),MAX($F519,$G519,150)*BX519*1.03,IF(AND(BX519&lt;0,$E519="Dengede"),MAX($F519:$G519,150)*1.03*BX519,MIN($F519:$G519)*0.97*BX519)))))))))</f>
        <v/>
      </c>
      <c r="BZ519" s="34">
        <f>BE519-BV519-CA519</f>
        <v/>
      </c>
      <c r="CA519" s="34">
        <f>BD519</f>
        <v/>
      </c>
      <c r="CB519" s="33">
        <f>BE519-BV519</f>
        <v/>
      </c>
      <c r="CC519" s="34">
        <f>IF(AY519=0,0,CB519/AY519)</f>
        <v/>
      </c>
      <c r="CD519" s="34">
        <f>MAX((AY519+MAX((-J519+L519-N519+Q519-T519+X519),0)),(MAX((J519-L519+N519-Q519+T519-X519),0)))</f>
        <v/>
      </c>
      <c r="CE519" s="82">
        <f>IFERROR(ABS(BX519/CD519),0)</f>
        <v/>
      </c>
      <c r="CF519" s="34">
        <f>IF(CE519&lt;=0.1,0,BX519/CE519*(CE519-0.1))</f>
        <v/>
      </c>
      <c r="CG519" s="34">
        <f>IF((CF519)&lt;0,MAX(F519:G519)*(CF519)*1.03,MIN(F519:G519)*(CF519)*0.97)</f>
        <v/>
      </c>
      <c r="CH519" s="34">
        <f>IF(CE519&gt;0.1,1,0)</f>
        <v/>
      </c>
      <c r="CI519" s="34">
        <f>(F519*BX519)-BY519</f>
        <v/>
      </c>
      <c r="CJ519" s="34">
        <f>IF(AY519=0,0,CI519/AY519)</f>
        <v/>
      </c>
    </row>
    <row r="520">
      <c r="A520" s="29">
        <f>[1]FİYATLAR!A495</f>
        <v/>
      </c>
      <c r="B520" s="29">
        <f>[1]FİYATLAR!B495</f>
        <v/>
      </c>
      <c r="C520" s="35">
        <f>INT(A520)</f>
        <v/>
      </c>
      <c r="D520" s="36">
        <f>MONTH(A520)</f>
        <v/>
      </c>
      <c r="E520" s="147">
        <f>[1]FİYATLAR!G495</f>
        <v/>
      </c>
      <c r="F520" s="30">
        <f>[1]FİYATLAR!C495</f>
        <v/>
      </c>
      <c r="G520" s="30">
        <f>[1]FİYATLAR!E495</f>
        <v/>
      </c>
      <c r="H520" s="30">
        <f>[1]FİYATLAR!D495</f>
        <v/>
      </c>
      <c r="I520" s="30">
        <f>[1]FİYATLAR!F495</f>
        <v/>
      </c>
      <c r="J520" s="119" t="n">
        <v>0</v>
      </c>
      <c r="K520" s="34">
        <f>F520*J520</f>
        <v/>
      </c>
      <c r="L520" s="119" t="n"/>
      <c r="M520" s="34">
        <f>L520*F520</f>
        <v/>
      </c>
      <c r="N520" s="119" t="n"/>
      <c r="O520" s="34">
        <f>F520</f>
        <v/>
      </c>
      <c r="P520" s="34">
        <f>N520*O520</f>
        <v/>
      </c>
      <c r="Q520" s="117" t="n">
        <v>0</v>
      </c>
      <c r="R520" s="34">
        <f>F520</f>
        <v/>
      </c>
      <c r="S520" s="34">
        <f>R520*Q520</f>
        <v/>
      </c>
      <c r="T520" s="34">
        <f>SUMIFS('[1]GİP VERİLERİ'!$C:$C,'[1]GİP VERİLERİ'!$B:$B,A520,'[1]GİP VERİLERİ'!$M:$M,"40X000000104782K",'[1]GİP VERİLERİ'!$G:$G,"SELL")</f>
        <v/>
      </c>
      <c r="U520" s="34">
        <f>IFERROR(W520/T520,0)</f>
        <v/>
      </c>
      <c r="V520" s="34">
        <f>IF(U520=0,0,U520-F520)</f>
        <v/>
      </c>
      <c r="W520" s="34">
        <f>SUMIFS('[1]GİP VERİLERİ'!$O:$O,'[1]GİP VERİLERİ'!$B:$B,A520,'[1]GİP VERİLERİ'!$M:$M,"40X000000104782K",'[1]GİP VERİLERİ'!$G:$G,"SELL")</f>
        <v/>
      </c>
      <c r="X520" s="34">
        <f>SUMIFS('[1]GİP VERİLERİ'!$C:$C,'[1]GİP VERİLERİ'!$B:$B,A520,'[1]GİP VERİLERİ'!$M:$M,"40X000000104782K",'[1]GİP VERİLERİ'!$G:$G,"BUY")</f>
        <v/>
      </c>
      <c r="Y520" s="34">
        <f>IFERROR(AA520/X520,0)</f>
        <v/>
      </c>
      <c r="Z520" s="34">
        <f>IF(Y520=0,0,F520-Y520)</f>
        <v/>
      </c>
      <c r="AA520" s="34">
        <f>SUMIFS('[1]GİP VERİLERİ'!$O:$O,'[1]GİP VERİLERİ'!$B:$B,A520,'[1]GİP VERİLERİ'!$M:$M,"40X000000104782K",'[1]GİP VERİLERİ'!$G:$G,"BUY")</f>
        <v/>
      </c>
      <c r="AB520" s="34">
        <f>'[1]GÖP VERİLERİ'!H521</f>
        <v/>
      </c>
      <c r="AC520" s="34">
        <f>'[1]GÖP VERİLERİ'!I521</f>
        <v/>
      </c>
      <c r="AD520" s="34">
        <f>IF(AB520&gt;AC520*1.05,AB520-AC520*1.05,IF(AB520&lt;AC520*0.95,AC520*0.95-AB520,0))</f>
        <v/>
      </c>
      <c r="AE520" s="34">
        <f>MAX(F520,G520,750)*0.05*AD520</f>
        <v/>
      </c>
      <c r="AF520" s="34">
        <f>'[1]GÖP VERİLERİ'!J521</f>
        <v/>
      </c>
      <c r="AG520" s="34">
        <f>IF(AB520&gt;AF520*1.05,AB520-AF520*1.05,IF(AB520&lt;AF520*0.95,AF520*0.95-AB520,0))</f>
        <v/>
      </c>
      <c r="AH520" s="34">
        <f>MAX(I520,J520,750)*0.05*AG520</f>
        <v/>
      </c>
      <c r="AI520">
        <f>'[1]GÖP VERİLERİ'!E521</f>
        <v/>
      </c>
      <c r="AJ520">
        <f>'[1]GÖP VERİLERİ'!F521</f>
        <v/>
      </c>
      <c r="AK520" s="34">
        <f>IF(AI520&gt;AJ520*1.05,AI520-AJ520*1.05,IF(AI520&lt;AJ520*0.95,AJ520*0.95-AI520,0))</f>
        <v/>
      </c>
      <c r="AL520" s="34">
        <f>MAX(F520,G520,750)*0.05*AK520</f>
        <v/>
      </c>
      <c r="AM520" s="39">
        <f>'[1]GÖP VERİLERİ'!G521</f>
        <v/>
      </c>
      <c r="AN520" s="34">
        <f>IF(AI520&gt;AM520*1.05,AI520-AM520*1.05,IF(AI520&lt;AM520*0.95,AM520*0.95-AI520,0))</f>
        <v/>
      </c>
      <c r="AO520" s="34">
        <f>MAX(F520,G520,750)*0.05*AN520</f>
        <v/>
      </c>
      <c r="AP520" s="34">
        <f>'[1]GÖP VERİLERİ'!B521</f>
        <v/>
      </c>
      <c r="AQ520" s="34">
        <f>'[1]GÖP VERİLERİ'!C521</f>
        <v/>
      </c>
      <c r="AR520" s="34">
        <f>IF(AP520&gt;AQ520*1.05,AP520-AQ520*1.05,IF(AP520&lt;AQ520*0.95,AQ520*0.95-AP520,0))</f>
        <v/>
      </c>
      <c r="AS520" s="34">
        <f>MAX(F520:G520,750)*0.05*AR520</f>
        <v/>
      </c>
      <c r="AT520">
        <f>'[1]GÖP VERİLERİ'!D521</f>
        <v/>
      </c>
      <c r="AU520" s="34">
        <f>IF(AP520&gt;AT520*1.05,AP520-AT520*1.05,IF(AP520&lt;AT520*0.95,AT520*0.95-AP520,0))</f>
        <v/>
      </c>
      <c r="AV520" s="34">
        <f>MAX(F520:G520,750)*0.05*AU520</f>
        <v/>
      </c>
      <c r="AW520" s="34">
        <f>AC520+AJ520+AQ520</f>
        <v/>
      </c>
      <c r="AX520" s="34">
        <f>AF520+AM520+AT520</f>
        <v/>
      </c>
      <c r="AY520" s="34">
        <f>AB520+AI520+AP520</f>
        <v/>
      </c>
      <c r="AZ520" s="34" t="n">
        <v>0</v>
      </c>
      <c r="BA520" s="34">
        <f>AD520+AK520+AR520</f>
        <v/>
      </c>
      <c r="BB520" s="34">
        <f>MAX(F520:G520,750)*0.05*BA520</f>
        <v/>
      </c>
      <c r="BC520" s="34">
        <f>AG520+AN520+AU520</f>
        <v/>
      </c>
      <c r="BD520" s="34">
        <f>MAX(F520:G520,750)*0.05*BC520</f>
        <v/>
      </c>
      <c r="BE520" s="34">
        <f>F520*AY520</f>
        <v/>
      </c>
      <c r="BF520" s="34">
        <f>K520-M520</f>
        <v/>
      </c>
      <c r="BG520" s="34">
        <f>P520-S520</f>
        <v/>
      </c>
      <c r="BH520" s="34">
        <f>W520-AA520</f>
        <v/>
      </c>
      <c r="BI520" s="34">
        <f>BF520+BG520+BL520-BN520</f>
        <v/>
      </c>
      <c r="BJ520" s="34">
        <f>ABS(BK520)</f>
        <v/>
      </c>
      <c r="BK520" s="34">
        <f>AY520-(J520-L520+N520-Q520)</f>
        <v/>
      </c>
      <c r="BL520" s="34">
        <f>IF(AND(BK520&gt;0,MIN($F520:$G520)&lt;150,$E520="Enerji Açığı"),-100*BK520*1.03,IF(AND(BK520&gt;0,MIN($F520:$G520)&lt;150,$E520="Enerji Fazlası"),-100*BK520*1.06,IF(AND(BK520&gt;0,MIN($F520:$G520)&gt;=150,$E520="Enerji Açığı"),BK520*MIN($F520:$G520)*0.97,IF(AND(BK520&gt;0,MIN($F520:$G520)&gt;=150,$E520="Enerji Fazlası"),BK520*MIN($F520:$G520)*0.94,IF(AND(BK520&lt;0,MAX($F520:$G520)=4500,$E520="Enerji Açığı"),4500*1.05*1.06*BK520,IF(AND(BK520&lt;0,MAX($F520:$G520)=4500,$E520="Enerji Fazlası"),4500*1.05*1.03*BK520,IF(AND(BK520&lt;0,$E520="Enerji Açığı"),MAX($F520,$G520,150)*BK520*1.06,IF(AND(BK520&lt;0,$E520="Enerji Fazlası"),MAX($F520,$G520,150)*BK520*1.03,IF(AND(BK520&lt;0,$E520="Dengede"),MAX($F520:$G520,150)*1.03*BK520,MIN($F520:$G520)*0.97*BK520)))))))))</f>
        <v/>
      </c>
      <c r="BM520" s="34">
        <f>BE520-BI520-BN520</f>
        <v/>
      </c>
      <c r="BN520" s="34">
        <f>BB520</f>
        <v/>
      </c>
      <c r="BO520" s="34">
        <f>BE520-BI520</f>
        <v/>
      </c>
      <c r="BP520" s="34">
        <f>IF(AY520=0,0,BO520/AY520)</f>
        <v/>
      </c>
      <c r="BQ520" s="34">
        <f>MAX((AY520+MAX((-J520+L520-N520+Q520),0)),(MAX((J520-L520+N520-Q520),0)))</f>
        <v/>
      </c>
      <c r="BR520" s="82">
        <f>IFERROR(ABS(BK520/BQ520),0)</f>
        <v/>
      </c>
      <c r="BS520" s="34">
        <f>IF(BR520&lt;=0.1,0,BK520/BR520*(BR520-0.1))</f>
        <v/>
      </c>
      <c r="BT520" s="34">
        <f>IF((BS520)&lt;0,MAX(F520:G520)*(BS520)*1.03,MIN(F520:G520)*(BS520)*0.97)</f>
        <v/>
      </c>
      <c r="BU520" s="34">
        <f>IF(BR520&gt;0.1,1,0)</f>
        <v/>
      </c>
      <c r="BV520" s="34">
        <f>BF520+BG520+BH520+BY520-CA520</f>
        <v/>
      </c>
      <c r="BW520" s="34">
        <f>ABS(BX520)</f>
        <v/>
      </c>
      <c r="BX520" s="34">
        <f>AY520-(J520-L520+N520-Q520+T520-X520)</f>
        <v/>
      </c>
      <c r="BY520" s="34">
        <f>IF(AND(BX520&gt;0,MIN($F520:$G520)&lt;150,$E520="Enerji Açığı"),-100*BX520*1.03,IF(AND(BX520&gt;0,MIN($F520:$G520)&lt;150,$E520="Enerji Fazlası"),-100*BX520*1.06,IF(AND(BX520&gt;0,MIN($F520:$G520)&gt;=150,$E520="Enerji Açığı"),BX520*MIN($F520:$G520)*0.97,IF(AND(BX520&gt;0,MIN($F520:$G520)&gt;=150,$E520="Enerji Fazlası"),BX520*MIN($F520:$G520)*0.94,IF(AND(BX520&lt;0,MAX($F520:$G520)=4500,$E520="Enerji Açığı"),4500*1.05*1.06*BX520,IF(AND(BX520&lt;0,MAX($F520:$G520)=4500,$E520="Enerji Fazlası"),4500*1.05*1.03*BX520,IF(AND(BX520&lt;0,$E520="Enerji Açığı"),MAX($F520,$G520,150)*BX520*1.06,IF(AND(BX520&lt;0,$E520="Enerji Fazlası"),MAX($F520,$G520,150)*BX520*1.03,IF(AND(BX520&lt;0,$E520="Dengede"),MAX($F520:$G520,150)*1.03*BX520,MIN($F520:$G520)*0.97*BX520)))))))))</f>
        <v/>
      </c>
      <c r="BZ520" s="34">
        <f>BE520-BV520-CA520</f>
        <v/>
      </c>
      <c r="CA520" s="34">
        <f>BD520</f>
        <v/>
      </c>
      <c r="CB520" s="33">
        <f>BE520-BV520</f>
        <v/>
      </c>
      <c r="CC520" s="34">
        <f>IF(AY520=0,0,CB520/AY520)</f>
        <v/>
      </c>
      <c r="CD520" s="34">
        <f>MAX((AY520+MAX((-J520+L520-N520+Q520-T520+X520),0)),(MAX((J520-L520+N520-Q520+T520-X520),0)))</f>
        <v/>
      </c>
      <c r="CE520" s="82">
        <f>IFERROR(ABS(BX520/CD520),0)</f>
        <v/>
      </c>
      <c r="CF520" s="34">
        <f>IF(CE520&lt;=0.1,0,BX520/CE520*(CE520-0.1))</f>
        <v/>
      </c>
      <c r="CG520" s="34">
        <f>IF((CF520)&lt;0,MAX(F520:G520)*(CF520)*1.03,MIN(F520:G520)*(CF520)*0.97)</f>
        <v/>
      </c>
      <c r="CH520" s="34">
        <f>IF(CE520&gt;0.1,1,0)</f>
        <v/>
      </c>
      <c r="CI520" s="34">
        <f>(F520*BX520)-BY520</f>
        <v/>
      </c>
      <c r="CJ520" s="34">
        <f>IF(AY520=0,0,CI520/AY520)</f>
        <v/>
      </c>
    </row>
    <row r="521">
      <c r="A521" s="29">
        <f>[1]FİYATLAR!A496</f>
        <v/>
      </c>
      <c r="B521" s="29">
        <f>[1]FİYATLAR!B496</f>
        <v/>
      </c>
      <c r="C521" s="35">
        <f>INT(A521)</f>
        <v/>
      </c>
      <c r="D521" s="36">
        <f>MONTH(A521)</f>
        <v/>
      </c>
      <c r="E521" s="147">
        <f>[1]FİYATLAR!G496</f>
        <v/>
      </c>
      <c r="F521" s="30">
        <f>[1]FİYATLAR!C496</f>
        <v/>
      </c>
      <c r="G521" s="30">
        <f>[1]FİYATLAR!E496</f>
        <v/>
      </c>
      <c r="H521" s="30">
        <f>[1]FİYATLAR!D496</f>
        <v/>
      </c>
      <c r="I521" s="30">
        <f>[1]FİYATLAR!F496</f>
        <v/>
      </c>
      <c r="J521" s="119" t="n">
        <v>0</v>
      </c>
      <c r="K521" s="34">
        <f>F521*J521</f>
        <v/>
      </c>
      <c r="L521" s="119" t="n"/>
      <c r="M521" s="34">
        <f>L521*F521</f>
        <v/>
      </c>
      <c r="N521" s="119" t="n"/>
      <c r="O521" s="34">
        <f>F521</f>
        <v/>
      </c>
      <c r="P521" s="34">
        <f>N521*O521</f>
        <v/>
      </c>
      <c r="Q521" s="117" t="n">
        <v>0</v>
      </c>
      <c r="R521" s="34">
        <f>F521</f>
        <v/>
      </c>
      <c r="S521" s="34">
        <f>R521*Q521</f>
        <v/>
      </c>
      <c r="T521" s="34">
        <f>SUMIFS('[1]GİP VERİLERİ'!$C:$C,'[1]GİP VERİLERİ'!$B:$B,A521,'[1]GİP VERİLERİ'!$M:$M,"40X000000104782K",'[1]GİP VERİLERİ'!$G:$G,"SELL")</f>
        <v/>
      </c>
      <c r="U521" s="34">
        <f>IFERROR(W521/T521,0)</f>
        <v/>
      </c>
      <c r="V521" s="34">
        <f>IF(U521=0,0,U521-F521)</f>
        <v/>
      </c>
      <c r="W521" s="34">
        <f>SUMIFS('[1]GİP VERİLERİ'!$O:$O,'[1]GİP VERİLERİ'!$B:$B,A521,'[1]GİP VERİLERİ'!$M:$M,"40X000000104782K",'[1]GİP VERİLERİ'!$G:$G,"SELL")</f>
        <v/>
      </c>
      <c r="X521" s="34">
        <f>SUMIFS('[1]GİP VERİLERİ'!$C:$C,'[1]GİP VERİLERİ'!$B:$B,A521,'[1]GİP VERİLERİ'!$M:$M,"40X000000104782K",'[1]GİP VERİLERİ'!$G:$G,"BUY")</f>
        <v/>
      </c>
      <c r="Y521" s="34">
        <f>IFERROR(AA521/X521,0)</f>
        <v/>
      </c>
      <c r="Z521" s="34">
        <f>IF(Y521=0,0,F521-Y521)</f>
        <v/>
      </c>
      <c r="AA521" s="34">
        <f>SUMIFS('[1]GİP VERİLERİ'!$O:$O,'[1]GİP VERİLERİ'!$B:$B,A521,'[1]GİP VERİLERİ'!$M:$M,"40X000000104782K",'[1]GİP VERİLERİ'!$G:$G,"BUY")</f>
        <v/>
      </c>
      <c r="AB521" s="34">
        <f>'[1]GÖP VERİLERİ'!H522</f>
        <v/>
      </c>
      <c r="AC521" s="34">
        <f>'[1]GÖP VERİLERİ'!I522</f>
        <v/>
      </c>
      <c r="AD521" s="34">
        <f>IF(AB521&gt;AC521*1.05,AB521-AC521*1.05,IF(AB521&lt;AC521*0.95,AC521*0.95-AB521,0))</f>
        <v/>
      </c>
      <c r="AE521" s="34">
        <f>MAX(F521,G521,750)*0.05*AD521</f>
        <v/>
      </c>
      <c r="AF521" s="34">
        <f>'[1]GÖP VERİLERİ'!J522</f>
        <v/>
      </c>
      <c r="AG521" s="34">
        <f>IF(AB521&gt;AF521*1.05,AB521-AF521*1.05,IF(AB521&lt;AF521*0.95,AF521*0.95-AB521,0))</f>
        <v/>
      </c>
      <c r="AH521" s="34">
        <f>MAX(I521,J521,750)*0.05*AG521</f>
        <v/>
      </c>
      <c r="AI521">
        <f>'[1]GÖP VERİLERİ'!E522</f>
        <v/>
      </c>
      <c r="AJ521">
        <f>'[1]GÖP VERİLERİ'!F522</f>
        <v/>
      </c>
      <c r="AK521" s="34">
        <f>IF(AI521&gt;AJ521*1.05,AI521-AJ521*1.05,IF(AI521&lt;AJ521*0.95,AJ521*0.95-AI521,0))</f>
        <v/>
      </c>
      <c r="AL521" s="34">
        <f>MAX(F521,G521,750)*0.05*AK521</f>
        <v/>
      </c>
      <c r="AM521" s="39">
        <f>'[1]GÖP VERİLERİ'!G522</f>
        <v/>
      </c>
      <c r="AN521" s="34">
        <f>IF(AI521&gt;AM521*1.05,AI521-AM521*1.05,IF(AI521&lt;AM521*0.95,AM521*0.95-AI521,0))</f>
        <v/>
      </c>
      <c r="AO521" s="34">
        <f>MAX(F521,G521,750)*0.05*AN521</f>
        <v/>
      </c>
      <c r="AP521" s="34">
        <f>'[1]GÖP VERİLERİ'!B522</f>
        <v/>
      </c>
      <c r="AQ521" s="34">
        <f>'[1]GÖP VERİLERİ'!C522</f>
        <v/>
      </c>
      <c r="AR521" s="34">
        <f>IF(AP521&gt;AQ521*1.05,AP521-AQ521*1.05,IF(AP521&lt;AQ521*0.95,AQ521*0.95-AP521,0))</f>
        <v/>
      </c>
      <c r="AS521" s="34">
        <f>MAX(F521:G521,750)*0.05*AR521</f>
        <v/>
      </c>
      <c r="AT521">
        <f>'[1]GÖP VERİLERİ'!D522</f>
        <v/>
      </c>
      <c r="AU521" s="34">
        <f>IF(AP521&gt;AT521*1.05,AP521-AT521*1.05,IF(AP521&lt;AT521*0.95,AT521*0.95-AP521,0))</f>
        <v/>
      </c>
      <c r="AV521" s="34">
        <f>MAX(F521:G521,750)*0.05*AU521</f>
        <v/>
      </c>
      <c r="AW521" s="34">
        <f>AC521+AJ521+AQ521</f>
        <v/>
      </c>
      <c r="AX521" s="34">
        <f>AF521+AM521+AT521</f>
        <v/>
      </c>
      <c r="AY521" s="34">
        <f>AB521+AI521+AP521</f>
        <v/>
      </c>
      <c r="AZ521" s="34" t="n">
        <v>0</v>
      </c>
      <c r="BA521" s="34">
        <f>AD521+AK521+AR521</f>
        <v/>
      </c>
      <c r="BB521" s="34">
        <f>MAX(F521:G521,750)*0.05*BA521</f>
        <v/>
      </c>
      <c r="BC521" s="34">
        <f>AG521+AN521+AU521</f>
        <v/>
      </c>
      <c r="BD521" s="34">
        <f>MAX(F521:G521,750)*0.05*BC521</f>
        <v/>
      </c>
      <c r="BE521" s="34">
        <f>F521*AY521</f>
        <v/>
      </c>
      <c r="BF521" s="34">
        <f>K521-M521</f>
        <v/>
      </c>
      <c r="BG521" s="34">
        <f>P521-S521</f>
        <v/>
      </c>
      <c r="BH521" s="34">
        <f>W521-AA521</f>
        <v/>
      </c>
      <c r="BI521" s="34">
        <f>BF521+BG521+BL521-BN521</f>
        <v/>
      </c>
      <c r="BJ521" s="34">
        <f>ABS(BK521)</f>
        <v/>
      </c>
      <c r="BK521" s="34">
        <f>AY521-(J521-L521+N521-Q521)</f>
        <v/>
      </c>
      <c r="BL521" s="34">
        <f>IF(AND(BK521&gt;0,MIN($F521:$G521)&lt;150,$E521="Enerji Açığı"),-100*BK521*1.03,IF(AND(BK521&gt;0,MIN($F521:$G521)&lt;150,$E521="Enerji Fazlası"),-100*BK521*1.06,IF(AND(BK521&gt;0,MIN($F521:$G521)&gt;=150,$E521="Enerji Açığı"),BK521*MIN($F521:$G521)*0.97,IF(AND(BK521&gt;0,MIN($F521:$G521)&gt;=150,$E521="Enerji Fazlası"),BK521*MIN($F521:$G521)*0.94,IF(AND(BK521&lt;0,MAX($F521:$G521)=4500,$E521="Enerji Açığı"),4500*1.05*1.06*BK521,IF(AND(BK521&lt;0,MAX($F521:$G521)=4500,$E521="Enerji Fazlası"),4500*1.05*1.03*BK521,IF(AND(BK521&lt;0,$E521="Enerji Açığı"),MAX($F521,$G521,150)*BK521*1.06,IF(AND(BK521&lt;0,$E521="Enerji Fazlası"),MAX($F521,$G521,150)*BK521*1.03,IF(AND(BK521&lt;0,$E521="Dengede"),MAX($F521:$G521,150)*1.03*BK521,MIN($F521:$G521)*0.97*BK521)))))))))</f>
        <v/>
      </c>
      <c r="BM521" s="34">
        <f>BE521-BI521-BN521</f>
        <v/>
      </c>
      <c r="BN521" s="34">
        <f>BB521</f>
        <v/>
      </c>
      <c r="BO521" s="34">
        <f>BE521-BI521</f>
        <v/>
      </c>
      <c r="BP521" s="34">
        <f>IF(AY521=0,0,BO521/AY521)</f>
        <v/>
      </c>
      <c r="BQ521" s="34">
        <f>MAX((AY521+MAX((-J521+L521-N521+Q521),0)),(MAX((J521-L521+N521-Q521),0)))</f>
        <v/>
      </c>
      <c r="BR521" s="82">
        <f>IFERROR(ABS(BK521/BQ521),0)</f>
        <v/>
      </c>
      <c r="BS521" s="34">
        <f>IF(BR521&lt;=0.1,0,BK521/BR521*(BR521-0.1))</f>
        <v/>
      </c>
      <c r="BT521" s="34">
        <f>IF((BS521)&lt;0,MAX(F521:G521)*(BS521)*1.03,MIN(F521:G521)*(BS521)*0.97)</f>
        <v/>
      </c>
      <c r="BU521" s="34">
        <f>IF(BR521&gt;0.1,1,0)</f>
        <v/>
      </c>
      <c r="BV521" s="34">
        <f>BF521+BG521+BH521+BY521-CA521</f>
        <v/>
      </c>
      <c r="BW521" s="34">
        <f>ABS(BX521)</f>
        <v/>
      </c>
      <c r="BX521" s="34">
        <f>AY521-(J521-L521+N521-Q521+T521-X521)</f>
        <v/>
      </c>
      <c r="BY521" s="34">
        <f>IF(AND(BX521&gt;0,MIN($F521:$G521)&lt;150,$E521="Enerji Açığı"),-100*BX521*1.03,IF(AND(BX521&gt;0,MIN($F521:$G521)&lt;150,$E521="Enerji Fazlası"),-100*BX521*1.06,IF(AND(BX521&gt;0,MIN($F521:$G521)&gt;=150,$E521="Enerji Açığı"),BX521*MIN($F521:$G521)*0.97,IF(AND(BX521&gt;0,MIN($F521:$G521)&gt;=150,$E521="Enerji Fazlası"),BX521*MIN($F521:$G521)*0.94,IF(AND(BX521&lt;0,MAX($F521:$G521)=4500,$E521="Enerji Açığı"),4500*1.05*1.06*BX521,IF(AND(BX521&lt;0,MAX($F521:$G521)=4500,$E521="Enerji Fazlası"),4500*1.05*1.03*BX521,IF(AND(BX521&lt;0,$E521="Enerji Açığı"),MAX($F521,$G521,150)*BX521*1.06,IF(AND(BX521&lt;0,$E521="Enerji Fazlası"),MAX($F521,$G521,150)*BX521*1.03,IF(AND(BX521&lt;0,$E521="Dengede"),MAX($F521:$G521,150)*1.03*BX521,MIN($F521:$G521)*0.97*BX521)))))))))</f>
        <v/>
      </c>
      <c r="BZ521" s="34">
        <f>BE521-BV521-CA521</f>
        <v/>
      </c>
      <c r="CA521" s="34">
        <f>BD521</f>
        <v/>
      </c>
      <c r="CB521" s="33">
        <f>BE521-BV521</f>
        <v/>
      </c>
      <c r="CC521" s="34">
        <f>IF(AY521=0,0,CB521/AY521)</f>
        <v/>
      </c>
      <c r="CD521" s="34">
        <f>MAX((AY521+MAX((-J521+L521-N521+Q521-T521+X521),0)),(MAX((J521-L521+N521-Q521+T521-X521),0)))</f>
        <v/>
      </c>
      <c r="CE521" s="82">
        <f>IFERROR(ABS(BX521/CD521),0)</f>
        <v/>
      </c>
      <c r="CF521" s="34">
        <f>IF(CE521&lt;=0.1,0,BX521/CE521*(CE521-0.1))</f>
        <v/>
      </c>
      <c r="CG521" s="34">
        <f>IF((CF521)&lt;0,MAX(F521:G521)*(CF521)*1.03,MIN(F521:G521)*(CF521)*0.97)</f>
        <v/>
      </c>
      <c r="CH521" s="34">
        <f>IF(CE521&gt;0.1,1,0)</f>
        <v/>
      </c>
      <c r="CI521" s="34">
        <f>(F521*BX521)-BY521</f>
        <v/>
      </c>
      <c r="CJ521" s="34">
        <f>IF(AY521=0,0,CI521/AY521)</f>
        <v/>
      </c>
    </row>
    <row r="522">
      <c r="A522" s="29">
        <f>[1]FİYATLAR!A497</f>
        <v/>
      </c>
      <c r="B522" s="29">
        <f>[1]FİYATLAR!B497</f>
        <v/>
      </c>
      <c r="C522" s="35">
        <f>INT(A522)</f>
        <v/>
      </c>
      <c r="D522" s="36">
        <f>MONTH(A522)</f>
        <v/>
      </c>
      <c r="E522" s="147">
        <f>[1]FİYATLAR!G497</f>
        <v/>
      </c>
      <c r="F522" s="30">
        <f>[1]FİYATLAR!C497</f>
        <v/>
      </c>
      <c r="G522" s="30">
        <f>[1]FİYATLAR!E497</f>
        <v/>
      </c>
      <c r="H522" s="30">
        <f>[1]FİYATLAR!D497</f>
        <v/>
      </c>
      <c r="I522" s="30">
        <f>[1]FİYATLAR!F497</f>
        <v/>
      </c>
      <c r="J522" s="119" t="n">
        <v>0</v>
      </c>
      <c r="K522" s="34">
        <f>F522*J522</f>
        <v/>
      </c>
      <c r="L522" s="119" t="n"/>
      <c r="M522" s="34">
        <f>L522*F522</f>
        <v/>
      </c>
      <c r="N522" s="119" t="n"/>
      <c r="O522" s="34">
        <f>F522</f>
        <v/>
      </c>
      <c r="P522" s="34">
        <f>N522*O522</f>
        <v/>
      </c>
      <c r="Q522" s="117" t="n">
        <v>0</v>
      </c>
      <c r="R522" s="34">
        <f>F522</f>
        <v/>
      </c>
      <c r="S522" s="34">
        <f>R522*Q522</f>
        <v/>
      </c>
      <c r="T522" s="34">
        <f>SUMIFS('[1]GİP VERİLERİ'!$C:$C,'[1]GİP VERİLERİ'!$B:$B,A522,'[1]GİP VERİLERİ'!$M:$M,"40X000000104782K",'[1]GİP VERİLERİ'!$G:$G,"SELL")</f>
        <v/>
      </c>
      <c r="U522" s="34">
        <f>IFERROR(W522/T522,0)</f>
        <v/>
      </c>
      <c r="V522" s="34">
        <f>IF(U522=0,0,U522-F522)</f>
        <v/>
      </c>
      <c r="W522" s="34">
        <f>SUMIFS('[1]GİP VERİLERİ'!$O:$O,'[1]GİP VERİLERİ'!$B:$B,A522,'[1]GİP VERİLERİ'!$M:$M,"40X000000104782K",'[1]GİP VERİLERİ'!$G:$G,"SELL")</f>
        <v/>
      </c>
      <c r="X522" s="34">
        <f>SUMIFS('[1]GİP VERİLERİ'!$C:$C,'[1]GİP VERİLERİ'!$B:$B,A522,'[1]GİP VERİLERİ'!$M:$M,"40X000000104782K",'[1]GİP VERİLERİ'!$G:$G,"BUY")</f>
        <v/>
      </c>
      <c r="Y522" s="34">
        <f>IFERROR(AA522/X522,0)</f>
        <v/>
      </c>
      <c r="Z522" s="34">
        <f>IF(Y522=0,0,F522-Y522)</f>
        <v/>
      </c>
      <c r="AA522" s="34">
        <f>SUMIFS('[1]GİP VERİLERİ'!$O:$O,'[1]GİP VERİLERİ'!$B:$B,A522,'[1]GİP VERİLERİ'!$M:$M,"40X000000104782K",'[1]GİP VERİLERİ'!$G:$G,"BUY")</f>
        <v/>
      </c>
      <c r="AB522" s="34">
        <f>'[1]GÖP VERİLERİ'!H523</f>
        <v/>
      </c>
      <c r="AC522" s="34">
        <f>'[1]GÖP VERİLERİ'!I523</f>
        <v/>
      </c>
      <c r="AD522" s="34">
        <f>IF(AB522&gt;AC522*1.05,AB522-AC522*1.05,IF(AB522&lt;AC522*0.95,AC522*0.95-AB522,0))</f>
        <v/>
      </c>
      <c r="AE522" s="34">
        <f>MAX(F522,G522,750)*0.05*AD522</f>
        <v/>
      </c>
      <c r="AF522" s="34">
        <f>'[1]GÖP VERİLERİ'!J523</f>
        <v/>
      </c>
      <c r="AG522" s="34">
        <f>IF(AB522&gt;AF522*1.05,AB522-AF522*1.05,IF(AB522&lt;AF522*0.95,AF522*0.95-AB522,0))</f>
        <v/>
      </c>
      <c r="AH522" s="34">
        <f>MAX(I522,J522,750)*0.05*AG522</f>
        <v/>
      </c>
      <c r="AI522">
        <f>'[1]GÖP VERİLERİ'!E523</f>
        <v/>
      </c>
      <c r="AJ522">
        <f>'[1]GÖP VERİLERİ'!F523</f>
        <v/>
      </c>
      <c r="AK522" s="34">
        <f>IF(AI522&gt;AJ522*1.05,AI522-AJ522*1.05,IF(AI522&lt;AJ522*0.95,AJ522*0.95-AI522,0))</f>
        <v/>
      </c>
      <c r="AL522" s="34">
        <f>MAX(F522,G522,750)*0.05*AK522</f>
        <v/>
      </c>
      <c r="AM522" s="39">
        <f>'[1]GÖP VERİLERİ'!G523</f>
        <v/>
      </c>
      <c r="AN522" s="34">
        <f>IF(AI522&gt;AM522*1.05,AI522-AM522*1.05,IF(AI522&lt;AM522*0.95,AM522*0.95-AI522,0))</f>
        <v/>
      </c>
      <c r="AO522" s="34">
        <f>MAX(F522,G522,750)*0.05*AN522</f>
        <v/>
      </c>
      <c r="AP522" s="34">
        <f>'[1]GÖP VERİLERİ'!B523</f>
        <v/>
      </c>
      <c r="AQ522" s="34">
        <f>'[1]GÖP VERİLERİ'!C523</f>
        <v/>
      </c>
      <c r="AR522" s="34">
        <f>IF(AP522&gt;AQ522*1.05,AP522-AQ522*1.05,IF(AP522&lt;AQ522*0.95,AQ522*0.95-AP522,0))</f>
        <v/>
      </c>
      <c r="AS522" s="34">
        <f>MAX(F522:G522,750)*0.05*AR522</f>
        <v/>
      </c>
      <c r="AT522">
        <f>'[1]GÖP VERİLERİ'!D523</f>
        <v/>
      </c>
      <c r="AU522" s="34">
        <f>IF(AP522&gt;AT522*1.05,AP522-AT522*1.05,IF(AP522&lt;AT522*0.95,AT522*0.95-AP522,0))</f>
        <v/>
      </c>
      <c r="AV522" s="34">
        <f>MAX(F522:G522,750)*0.05*AU522</f>
        <v/>
      </c>
      <c r="AW522" s="34">
        <f>AC522+AJ522+AQ522</f>
        <v/>
      </c>
      <c r="AX522" s="34">
        <f>AF522+AM522+AT522</f>
        <v/>
      </c>
      <c r="AY522" s="34">
        <f>AB522+AI522+AP522</f>
        <v/>
      </c>
      <c r="AZ522" s="34" t="n">
        <v>0</v>
      </c>
      <c r="BA522" s="34">
        <f>AD522+AK522+AR522</f>
        <v/>
      </c>
      <c r="BB522" s="34">
        <f>MAX(F522:G522,750)*0.05*BA522</f>
        <v/>
      </c>
      <c r="BC522" s="34">
        <f>AG522+AN522+AU522</f>
        <v/>
      </c>
      <c r="BD522" s="34">
        <f>MAX(F522:G522,750)*0.05*BC522</f>
        <v/>
      </c>
      <c r="BE522" s="34">
        <f>F522*AY522</f>
        <v/>
      </c>
      <c r="BF522" s="34">
        <f>K522-M522</f>
        <v/>
      </c>
      <c r="BG522" s="34">
        <f>P522-S522</f>
        <v/>
      </c>
      <c r="BH522" s="34">
        <f>W522-AA522</f>
        <v/>
      </c>
      <c r="BI522" s="34">
        <f>BF522+BG522+BL522-BN522</f>
        <v/>
      </c>
      <c r="BJ522" s="34">
        <f>ABS(BK522)</f>
        <v/>
      </c>
      <c r="BK522" s="34">
        <f>AY522-(J522-L522+N522-Q522)</f>
        <v/>
      </c>
      <c r="BL522" s="34">
        <f>IF(AND(BK522&gt;0,MIN($F522:$G522)&lt;150,$E522="Enerji Açığı"),-100*BK522*1.03,IF(AND(BK522&gt;0,MIN($F522:$G522)&lt;150,$E522="Enerji Fazlası"),-100*BK522*1.06,IF(AND(BK522&gt;0,MIN($F522:$G522)&gt;=150,$E522="Enerji Açığı"),BK522*MIN($F522:$G522)*0.97,IF(AND(BK522&gt;0,MIN($F522:$G522)&gt;=150,$E522="Enerji Fazlası"),BK522*MIN($F522:$G522)*0.94,IF(AND(BK522&lt;0,MAX($F522:$G522)=4500,$E522="Enerji Açığı"),4500*1.05*1.06*BK522,IF(AND(BK522&lt;0,MAX($F522:$G522)=4500,$E522="Enerji Fazlası"),4500*1.05*1.03*BK522,IF(AND(BK522&lt;0,$E522="Enerji Açığı"),MAX($F522,$G522,150)*BK522*1.06,IF(AND(BK522&lt;0,$E522="Enerji Fazlası"),MAX($F522,$G522,150)*BK522*1.03,IF(AND(BK522&lt;0,$E522="Dengede"),MAX($F522:$G522,150)*1.03*BK522,MIN($F522:$G522)*0.97*BK522)))))))))</f>
        <v/>
      </c>
      <c r="BM522" s="34">
        <f>BE522-BI522-BN522</f>
        <v/>
      </c>
      <c r="BN522" s="34">
        <f>BB522</f>
        <v/>
      </c>
      <c r="BO522" s="34">
        <f>BE522-BI522</f>
        <v/>
      </c>
      <c r="BP522" s="34">
        <f>IF(AY522=0,0,BO522/AY522)</f>
        <v/>
      </c>
      <c r="BQ522" s="34">
        <f>MAX((AY522+MAX((-J522+L522-N522+Q522),0)),(MAX((J522-L522+N522-Q522),0)))</f>
        <v/>
      </c>
      <c r="BR522" s="82">
        <f>IFERROR(ABS(BK522/BQ522),0)</f>
        <v/>
      </c>
      <c r="BS522" s="34">
        <f>IF(BR522&lt;=0.1,0,BK522/BR522*(BR522-0.1))</f>
        <v/>
      </c>
      <c r="BT522" s="34">
        <f>IF((BS522)&lt;0,MAX(F522:G522)*(BS522)*1.03,MIN(F522:G522)*(BS522)*0.97)</f>
        <v/>
      </c>
      <c r="BU522" s="34">
        <f>IF(BR522&gt;0.1,1,0)</f>
        <v/>
      </c>
      <c r="BV522" s="34">
        <f>BF522+BG522+BH522+BY522-CA522</f>
        <v/>
      </c>
      <c r="BW522" s="34">
        <f>ABS(BX522)</f>
        <v/>
      </c>
      <c r="BX522" s="34">
        <f>AY522-(J522-L522+N522-Q522+T522-X522)</f>
        <v/>
      </c>
      <c r="BY522" s="34">
        <f>IF(AND(BX522&gt;0,MIN($F522:$G522)&lt;150,$E522="Enerji Açığı"),-100*BX522*1.03,IF(AND(BX522&gt;0,MIN($F522:$G522)&lt;150,$E522="Enerji Fazlası"),-100*BX522*1.06,IF(AND(BX522&gt;0,MIN($F522:$G522)&gt;=150,$E522="Enerji Açığı"),BX522*MIN($F522:$G522)*0.97,IF(AND(BX522&gt;0,MIN($F522:$G522)&gt;=150,$E522="Enerji Fazlası"),BX522*MIN($F522:$G522)*0.94,IF(AND(BX522&lt;0,MAX($F522:$G522)=4500,$E522="Enerji Açığı"),4500*1.05*1.06*BX522,IF(AND(BX522&lt;0,MAX($F522:$G522)=4500,$E522="Enerji Fazlası"),4500*1.05*1.03*BX522,IF(AND(BX522&lt;0,$E522="Enerji Açığı"),MAX($F522,$G522,150)*BX522*1.06,IF(AND(BX522&lt;0,$E522="Enerji Fazlası"),MAX($F522,$G522,150)*BX522*1.03,IF(AND(BX522&lt;0,$E522="Dengede"),MAX($F522:$G522,150)*1.03*BX522,MIN($F522:$G522)*0.97*BX522)))))))))</f>
        <v/>
      </c>
      <c r="BZ522" s="34">
        <f>BE522-BV522-CA522</f>
        <v/>
      </c>
      <c r="CA522" s="34">
        <f>BD522</f>
        <v/>
      </c>
      <c r="CB522" s="33">
        <f>BE522-BV522</f>
        <v/>
      </c>
      <c r="CC522" s="34">
        <f>IF(AY522=0,0,CB522/AY522)</f>
        <v/>
      </c>
      <c r="CD522" s="34">
        <f>MAX((AY522+MAX((-J522+L522-N522+Q522-T522+X522),0)),(MAX((J522-L522+N522-Q522+T522-X522),0)))</f>
        <v/>
      </c>
      <c r="CE522" s="82">
        <f>IFERROR(ABS(BX522/CD522),0)</f>
        <v/>
      </c>
      <c r="CF522" s="34">
        <f>IF(CE522&lt;=0.1,0,BX522/CE522*(CE522-0.1))</f>
        <v/>
      </c>
      <c r="CG522" s="34">
        <f>IF((CF522)&lt;0,MAX(F522:G522)*(CF522)*1.03,MIN(F522:G522)*(CF522)*0.97)</f>
        <v/>
      </c>
      <c r="CH522" s="34">
        <f>IF(CE522&gt;0.1,1,0)</f>
        <v/>
      </c>
      <c r="CI522" s="34">
        <f>(F522*BX522)-BY522</f>
        <v/>
      </c>
      <c r="CJ522" s="34">
        <f>IF(AY522=0,0,CI522/AY522)</f>
        <v/>
      </c>
    </row>
    <row r="523">
      <c r="A523" s="29">
        <f>[1]FİYATLAR!A498</f>
        <v/>
      </c>
      <c r="B523" s="29">
        <f>[1]FİYATLAR!B498</f>
        <v/>
      </c>
      <c r="C523" s="35">
        <f>INT(A523)</f>
        <v/>
      </c>
      <c r="D523" s="36">
        <f>MONTH(A523)</f>
        <v/>
      </c>
      <c r="E523" s="147">
        <f>[1]FİYATLAR!G498</f>
        <v/>
      </c>
      <c r="F523" s="30">
        <f>[1]FİYATLAR!C498</f>
        <v/>
      </c>
      <c r="G523" s="30">
        <f>[1]FİYATLAR!E498</f>
        <v/>
      </c>
      <c r="H523" s="30">
        <f>[1]FİYATLAR!D498</f>
        <v/>
      </c>
      <c r="I523" s="30">
        <f>[1]FİYATLAR!F498</f>
        <v/>
      </c>
      <c r="J523" s="119" t="n">
        <v>0</v>
      </c>
      <c r="K523" s="34">
        <f>F523*J523</f>
        <v/>
      </c>
      <c r="L523" s="119" t="n"/>
      <c r="M523" s="34">
        <f>L523*F523</f>
        <v/>
      </c>
      <c r="N523" s="119" t="n"/>
      <c r="O523" s="34">
        <f>F523</f>
        <v/>
      </c>
      <c r="P523" s="34">
        <f>N523*O523</f>
        <v/>
      </c>
      <c r="Q523" s="117" t="n">
        <v>0</v>
      </c>
      <c r="R523" s="34">
        <f>F523</f>
        <v/>
      </c>
      <c r="S523" s="34">
        <f>R523*Q523</f>
        <v/>
      </c>
      <c r="T523" s="34">
        <f>SUMIFS('[1]GİP VERİLERİ'!$C:$C,'[1]GİP VERİLERİ'!$B:$B,A523,'[1]GİP VERİLERİ'!$M:$M,"40X000000104782K",'[1]GİP VERİLERİ'!$G:$G,"SELL")</f>
        <v/>
      </c>
      <c r="U523" s="34">
        <f>IFERROR(W523/T523,0)</f>
        <v/>
      </c>
      <c r="V523" s="34">
        <f>IF(U523=0,0,U523-F523)</f>
        <v/>
      </c>
      <c r="W523" s="34">
        <f>SUMIFS('[1]GİP VERİLERİ'!$O:$O,'[1]GİP VERİLERİ'!$B:$B,A523,'[1]GİP VERİLERİ'!$M:$M,"40X000000104782K",'[1]GİP VERİLERİ'!$G:$G,"SELL")</f>
        <v/>
      </c>
      <c r="X523" s="34">
        <f>SUMIFS('[1]GİP VERİLERİ'!$C:$C,'[1]GİP VERİLERİ'!$B:$B,A523,'[1]GİP VERİLERİ'!$M:$M,"40X000000104782K",'[1]GİP VERİLERİ'!$G:$G,"BUY")</f>
        <v/>
      </c>
      <c r="Y523" s="34">
        <f>IFERROR(AA523/X523,0)</f>
        <v/>
      </c>
      <c r="Z523" s="34">
        <f>IF(Y523=0,0,F523-Y523)</f>
        <v/>
      </c>
      <c r="AA523" s="34">
        <f>SUMIFS('[1]GİP VERİLERİ'!$O:$O,'[1]GİP VERİLERİ'!$B:$B,A523,'[1]GİP VERİLERİ'!$M:$M,"40X000000104782K",'[1]GİP VERİLERİ'!$G:$G,"BUY")</f>
        <v/>
      </c>
      <c r="AB523" s="34">
        <f>'[1]GÖP VERİLERİ'!H524</f>
        <v/>
      </c>
      <c r="AC523" s="34">
        <f>'[1]GÖP VERİLERİ'!I524</f>
        <v/>
      </c>
      <c r="AD523" s="34">
        <f>IF(AB523&gt;AC523*1.05,AB523-AC523*1.05,IF(AB523&lt;AC523*0.95,AC523*0.95-AB523,0))</f>
        <v/>
      </c>
      <c r="AE523" s="34">
        <f>MAX(F523,G523,750)*0.05*AD523</f>
        <v/>
      </c>
      <c r="AF523" s="34">
        <f>'[1]GÖP VERİLERİ'!J524</f>
        <v/>
      </c>
      <c r="AG523" s="34">
        <f>IF(AB523&gt;AF523*1.05,AB523-AF523*1.05,IF(AB523&lt;AF523*0.95,AF523*0.95-AB523,0))</f>
        <v/>
      </c>
      <c r="AH523" s="34">
        <f>MAX(I523,J523,750)*0.05*AG523</f>
        <v/>
      </c>
      <c r="AI523">
        <f>'[1]GÖP VERİLERİ'!E524</f>
        <v/>
      </c>
      <c r="AJ523">
        <f>'[1]GÖP VERİLERİ'!F524</f>
        <v/>
      </c>
      <c r="AK523" s="34">
        <f>IF(AI523&gt;AJ523*1.05,AI523-AJ523*1.05,IF(AI523&lt;AJ523*0.95,AJ523*0.95-AI523,0))</f>
        <v/>
      </c>
      <c r="AL523" s="34">
        <f>MAX(F523,G523,750)*0.05*AK523</f>
        <v/>
      </c>
      <c r="AM523" s="39">
        <f>'[1]GÖP VERİLERİ'!G524</f>
        <v/>
      </c>
      <c r="AN523" s="34">
        <f>IF(AI523&gt;AM523*1.05,AI523-AM523*1.05,IF(AI523&lt;AM523*0.95,AM523*0.95-AI523,0))</f>
        <v/>
      </c>
      <c r="AO523" s="34">
        <f>MAX(F523,G523,750)*0.05*AN523</f>
        <v/>
      </c>
      <c r="AP523" s="34">
        <f>'[1]GÖP VERİLERİ'!B524</f>
        <v/>
      </c>
      <c r="AQ523" s="34">
        <f>'[1]GÖP VERİLERİ'!C524</f>
        <v/>
      </c>
      <c r="AR523" s="34">
        <f>IF(AP523&gt;AQ523*1.05,AP523-AQ523*1.05,IF(AP523&lt;AQ523*0.95,AQ523*0.95-AP523,0))</f>
        <v/>
      </c>
      <c r="AS523" s="34">
        <f>MAX(F523:G523,750)*0.05*AR523</f>
        <v/>
      </c>
      <c r="AT523">
        <f>'[1]GÖP VERİLERİ'!D524</f>
        <v/>
      </c>
      <c r="AU523" s="34">
        <f>IF(AP523&gt;AT523*1.05,AP523-AT523*1.05,IF(AP523&lt;AT523*0.95,AT523*0.95-AP523,0))</f>
        <v/>
      </c>
      <c r="AV523" s="34">
        <f>MAX(F523:G523,750)*0.05*AU523</f>
        <v/>
      </c>
      <c r="AW523" s="34">
        <f>AC523+AJ523+AQ523</f>
        <v/>
      </c>
      <c r="AX523" s="34">
        <f>AF523+AM523+AT523</f>
        <v/>
      </c>
      <c r="AY523" s="34">
        <f>AB523+AI523+AP523</f>
        <v/>
      </c>
      <c r="AZ523" s="34" t="n">
        <v>0</v>
      </c>
      <c r="BA523" s="34">
        <f>AD523+AK523+AR523</f>
        <v/>
      </c>
      <c r="BB523" s="34">
        <f>MAX(F523:G523,750)*0.05*BA523</f>
        <v/>
      </c>
      <c r="BC523" s="34">
        <f>AG523+AN523+AU523</f>
        <v/>
      </c>
      <c r="BD523" s="34">
        <f>MAX(F523:G523,750)*0.05*BC523</f>
        <v/>
      </c>
      <c r="BE523" s="34">
        <f>F523*AY523</f>
        <v/>
      </c>
      <c r="BF523" s="34">
        <f>K523-M523</f>
        <v/>
      </c>
      <c r="BG523" s="34">
        <f>P523-S523</f>
        <v/>
      </c>
      <c r="BH523" s="34">
        <f>W523-AA523</f>
        <v/>
      </c>
      <c r="BI523" s="34">
        <f>BF523+BG523+BL523-BN523</f>
        <v/>
      </c>
      <c r="BJ523" s="34">
        <f>ABS(BK523)</f>
        <v/>
      </c>
      <c r="BK523" s="34">
        <f>AY523-(J523-L523+N523-Q523)</f>
        <v/>
      </c>
      <c r="BL523" s="34">
        <f>IF(AND(BK523&gt;0,MIN($F523:$G523)&lt;150,$E523="Enerji Açığı"),-100*BK523*1.03,IF(AND(BK523&gt;0,MIN($F523:$G523)&lt;150,$E523="Enerji Fazlası"),-100*BK523*1.06,IF(AND(BK523&gt;0,MIN($F523:$G523)&gt;=150,$E523="Enerji Açığı"),BK523*MIN($F523:$G523)*0.97,IF(AND(BK523&gt;0,MIN($F523:$G523)&gt;=150,$E523="Enerji Fazlası"),BK523*MIN($F523:$G523)*0.94,IF(AND(BK523&lt;0,MAX($F523:$G523)=4500,$E523="Enerji Açığı"),4500*1.05*1.06*BK523,IF(AND(BK523&lt;0,MAX($F523:$G523)=4500,$E523="Enerji Fazlası"),4500*1.05*1.03*BK523,IF(AND(BK523&lt;0,$E523="Enerji Açığı"),MAX($F523,$G523,150)*BK523*1.06,IF(AND(BK523&lt;0,$E523="Enerji Fazlası"),MAX($F523,$G523,150)*BK523*1.03,IF(AND(BK523&lt;0,$E523="Dengede"),MAX($F523:$G523,150)*1.03*BK523,MIN($F523:$G523)*0.97*BK523)))))))))</f>
        <v/>
      </c>
      <c r="BM523" s="34">
        <f>BE523-BI523-BN523</f>
        <v/>
      </c>
      <c r="BN523" s="34">
        <f>BB523</f>
        <v/>
      </c>
      <c r="BO523" s="34">
        <f>BE523-BI523</f>
        <v/>
      </c>
      <c r="BP523" s="34">
        <f>IF(AY523=0,0,BO523/AY523)</f>
        <v/>
      </c>
      <c r="BQ523" s="34">
        <f>MAX((AY523+MAX((-J523+L523-N523+Q523),0)),(MAX((J523-L523+N523-Q523),0)))</f>
        <v/>
      </c>
      <c r="BR523" s="82">
        <f>IFERROR(ABS(BK523/BQ523),0)</f>
        <v/>
      </c>
      <c r="BS523" s="34">
        <f>IF(BR523&lt;=0.1,0,BK523/BR523*(BR523-0.1))</f>
        <v/>
      </c>
      <c r="BT523" s="34">
        <f>IF((BS523)&lt;0,MAX(F523:G523)*(BS523)*1.03,MIN(F523:G523)*(BS523)*0.97)</f>
        <v/>
      </c>
      <c r="BU523" s="34">
        <f>IF(BR523&gt;0.1,1,0)</f>
        <v/>
      </c>
      <c r="BV523" s="34">
        <f>BF523+BG523+BH523+BY523-CA523</f>
        <v/>
      </c>
      <c r="BW523" s="34">
        <f>ABS(BX523)</f>
        <v/>
      </c>
      <c r="BX523" s="34">
        <f>AY523-(J523-L523+N523-Q523+T523-X523)</f>
        <v/>
      </c>
      <c r="BY523" s="34">
        <f>IF(AND(BX523&gt;0,MIN($F523:$G523)&lt;150,$E523="Enerji Açığı"),-100*BX523*1.03,IF(AND(BX523&gt;0,MIN($F523:$G523)&lt;150,$E523="Enerji Fazlası"),-100*BX523*1.06,IF(AND(BX523&gt;0,MIN($F523:$G523)&gt;=150,$E523="Enerji Açığı"),BX523*MIN($F523:$G523)*0.97,IF(AND(BX523&gt;0,MIN($F523:$G523)&gt;=150,$E523="Enerji Fazlası"),BX523*MIN($F523:$G523)*0.94,IF(AND(BX523&lt;0,MAX($F523:$G523)=4500,$E523="Enerji Açığı"),4500*1.05*1.06*BX523,IF(AND(BX523&lt;0,MAX($F523:$G523)=4500,$E523="Enerji Fazlası"),4500*1.05*1.03*BX523,IF(AND(BX523&lt;0,$E523="Enerji Açığı"),MAX($F523,$G523,150)*BX523*1.06,IF(AND(BX523&lt;0,$E523="Enerji Fazlası"),MAX($F523,$G523,150)*BX523*1.03,IF(AND(BX523&lt;0,$E523="Dengede"),MAX($F523:$G523,150)*1.03*BX523,MIN($F523:$G523)*0.97*BX523)))))))))</f>
        <v/>
      </c>
      <c r="BZ523" s="34">
        <f>BE523-BV523-CA523</f>
        <v/>
      </c>
      <c r="CA523" s="34">
        <f>BD523</f>
        <v/>
      </c>
      <c r="CB523" s="33">
        <f>BE523-BV523</f>
        <v/>
      </c>
      <c r="CC523" s="34">
        <f>IF(AY523=0,0,CB523/AY523)</f>
        <v/>
      </c>
      <c r="CD523" s="34">
        <f>MAX((AY523+MAX((-J523+L523-N523+Q523-T523+X523),0)),(MAX((J523-L523+N523-Q523+T523-X523),0)))</f>
        <v/>
      </c>
      <c r="CE523" s="82">
        <f>IFERROR(ABS(BX523/CD523),0)</f>
        <v/>
      </c>
      <c r="CF523" s="34">
        <f>IF(CE523&lt;=0.1,0,BX523/CE523*(CE523-0.1))</f>
        <v/>
      </c>
      <c r="CG523" s="34">
        <f>IF((CF523)&lt;0,MAX(F523:G523)*(CF523)*1.03,MIN(F523:G523)*(CF523)*0.97)</f>
        <v/>
      </c>
      <c r="CH523" s="34">
        <f>IF(CE523&gt;0.1,1,0)</f>
        <v/>
      </c>
      <c r="CI523" s="34">
        <f>(F523*BX523)-BY523</f>
        <v/>
      </c>
      <c r="CJ523" s="34">
        <f>IF(AY523=0,0,CI523/AY523)</f>
        <v/>
      </c>
    </row>
    <row r="524">
      <c r="A524" s="29">
        <f>[1]FİYATLAR!A499</f>
        <v/>
      </c>
      <c r="B524" s="29">
        <f>[1]FİYATLAR!B499</f>
        <v/>
      </c>
      <c r="C524" s="35">
        <f>INT(A524)</f>
        <v/>
      </c>
      <c r="D524" s="36">
        <f>MONTH(A524)</f>
        <v/>
      </c>
      <c r="E524" s="147">
        <f>[1]FİYATLAR!G499</f>
        <v/>
      </c>
      <c r="F524" s="30">
        <f>[1]FİYATLAR!C499</f>
        <v/>
      </c>
      <c r="G524" s="30">
        <f>[1]FİYATLAR!E499</f>
        <v/>
      </c>
      <c r="H524" s="30">
        <f>[1]FİYATLAR!D499</f>
        <v/>
      </c>
      <c r="I524" s="30">
        <f>[1]FİYATLAR!F499</f>
        <v/>
      </c>
      <c r="J524" s="119" t="n">
        <v>0</v>
      </c>
      <c r="K524" s="34">
        <f>F524*J524</f>
        <v/>
      </c>
      <c r="L524" s="119" t="n"/>
      <c r="M524" s="34">
        <f>L524*F524</f>
        <v/>
      </c>
      <c r="N524" s="119" t="n"/>
      <c r="O524" s="34">
        <f>F524</f>
        <v/>
      </c>
      <c r="P524" s="34">
        <f>N524*O524</f>
        <v/>
      </c>
      <c r="Q524" s="117" t="n">
        <v>0</v>
      </c>
      <c r="R524" s="34">
        <f>F524</f>
        <v/>
      </c>
      <c r="S524" s="34">
        <f>R524*Q524</f>
        <v/>
      </c>
      <c r="T524" s="34">
        <f>SUMIFS('[1]GİP VERİLERİ'!$C:$C,'[1]GİP VERİLERİ'!$B:$B,A524,'[1]GİP VERİLERİ'!$M:$M,"40X000000104782K",'[1]GİP VERİLERİ'!$G:$G,"SELL")</f>
        <v/>
      </c>
      <c r="U524" s="34">
        <f>IFERROR(W524/T524,0)</f>
        <v/>
      </c>
      <c r="V524" s="34">
        <f>IF(U524=0,0,U524-F524)</f>
        <v/>
      </c>
      <c r="W524" s="34">
        <f>SUMIFS('[1]GİP VERİLERİ'!$O:$O,'[1]GİP VERİLERİ'!$B:$B,A524,'[1]GİP VERİLERİ'!$M:$M,"40X000000104782K",'[1]GİP VERİLERİ'!$G:$G,"SELL")</f>
        <v/>
      </c>
      <c r="X524" s="34">
        <f>SUMIFS('[1]GİP VERİLERİ'!$C:$C,'[1]GİP VERİLERİ'!$B:$B,A524,'[1]GİP VERİLERİ'!$M:$M,"40X000000104782K",'[1]GİP VERİLERİ'!$G:$G,"BUY")</f>
        <v/>
      </c>
      <c r="Y524" s="34">
        <f>IFERROR(AA524/X524,0)</f>
        <v/>
      </c>
      <c r="Z524" s="34">
        <f>IF(Y524=0,0,F524-Y524)</f>
        <v/>
      </c>
      <c r="AA524" s="34">
        <f>SUMIFS('[1]GİP VERİLERİ'!$O:$O,'[1]GİP VERİLERİ'!$B:$B,A524,'[1]GİP VERİLERİ'!$M:$M,"40X000000104782K",'[1]GİP VERİLERİ'!$G:$G,"BUY")</f>
        <v/>
      </c>
      <c r="AB524" s="34">
        <f>'[1]GÖP VERİLERİ'!H525</f>
        <v/>
      </c>
      <c r="AC524" s="34">
        <f>'[1]GÖP VERİLERİ'!I525</f>
        <v/>
      </c>
      <c r="AD524" s="34">
        <f>IF(AB524&gt;AC524*1.05,AB524-AC524*1.05,IF(AB524&lt;AC524*0.95,AC524*0.95-AB524,0))</f>
        <v/>
      </c>
      <c r="AE524" s="34">
        <f>MAX(F524,G524,750)*0.05*AD524</f>
        <v/>
      </c>
      <c r="AF524" s="34">
        <f>'[1]GÖP VERİLERİ'!J525</f>
        <v/>
      </c>
      <c r="AG524" s="34">
        <f>IF(AB524&gt;AF524*1.05,AB524-AF524*1.05,IF(AB524&lt;AF524*0.95,AF524*0.95-AB524,0))</f>
        <v/>
      </c>
      <c r="AH524" s="34">
        <f>MAX(I524,J524,750)*0.05*AG524</f>
        <v/>
      </c>
      <c r="AI524">
        <f>'[1]GÖP VERİLERİ'!E525</f>
        <v/>
      </c>
      <c r="AJ524">
        <f>'[1]GÖP VERİLERİ'!F525</f>
        <v/>
      </c>
      <c r="AK524" s="34">
        <f>IF(AI524&gt;AJ524*1.05,AI524-AJ524*1.05,IF(AI524&lt;AJ524*0.95,AJ524*0.95-AI524,0))</f>
        <v/>
      </c>
      <c r="AL524" s="34">
        <f>MAX(F524,G524,750)*0.05*AK524</f>
        <v/>
      </c>
      <c r="AM524" s="39">
        <f>'[1]GÖP VERİLERİ'!G525</f>
        <v/>
      </c>
      <c r="AN524" s="34">
        <f>IF(AI524&gt;AM524*1.05,AI524-AM524*1.05,IF(AI524&lt;AM524*0.95,AM524*0.95-AI524,0))</f>
        <v/>
      </c>
      <c r="AO524" s="34">
        <f>MAX(F524,G524,750)*0.05*AN524</f>
        <v/>
      </c>
      <c r="AP524" s="34">
        <f>'[1]GÖP VERİLERİ'!B525</f>
        <v/>
      </c>
      <c r="AQ524" s="34">
        <f>'[1]GÖP VERİLERİ'!C525</f>
        <v/>
      </c>
      <c r="AR524" s="34">
        <f>IF(AP524&gt;AQ524*1.05,AP524-AQ524*1.05,IF(AP524&lt;AQ524*0.95,AQ524*0.95-AP524,0))</f>
        <v/>
      </c>
      <c r="AS524" s="34">
        <f>MAX(F524:G524,750)*0.05*AR524</f>
        <v/>
      </c>
      <c r="AT524">
        <f>'[1]GÖP VERİLERİ'!D525</f>
        <v/>
      </c>
      <c r="AU524" s="34">
        <f>IF(AP524&gt;AT524*1.05,AP524-AT524*1.05,IF(AP524&lt;AT524*0.95,AT524*0.95-AP524,0))</f>
        <v/>
      </c>
      <c r="AV524" s="34">
        <f>MAX(F524:G524,750)*0.05*AU524</f>
        <v/>
      </c>
      <c r="AW524" s="34">
        <f>AC524+AJ524+AQ524</f>
        <v/>
      </c>
      <c r="AX524" s="34">
        <f>AF524+AM524+AT524</f>
        <v/>
      </c>
      <c r="AY524" s="34">
        <f>AB524+AI524+AP524</f>
        <v/>
      </c>
      <c r="AZ524" s="34" t="n">
        <v>0</v>
      </c>
      <c r="BA524" s="34">
        <f>AD524+AK524+AR524</f>
        <v/>
      </c>
      <c r="BB524" s="34">
        <f>MAX(F524:G524,750)*0.05*BA524</f>
        <v/>
      </c>
      <c r="BC524" s="34">
        <f>AG524+AN524+AU524</f>
        <v/>
      </c>
      <c r="BD524" s="34">
        <f>MAX(F524:G524,750)*0.05*BC524</f>
        <v/>
      </c>
      <c r="BE524" s="34">
        <f>F524*AY524</f>
        <v/>
      </c>
      <c r="BF524" s="34">
        <f>K524-M524</f>
        <v/>
      </c>
      <c r="BG524" s="34">
        <f>P524-S524</f>
        <v/>
      </c>
      <c r="BH524" s="34">
        <f>W524-AA524</f>
        <v/>
      </c>
      <c r="BI524" s="34">
        <f>BF524+BG524+BL524-BN524</f>
        <v/>
      </c>
      <c r="BJ524" s="34">
        <f>ABS(BK524)</f>
        <v/>
      </c>
      <c r="BK524" s="34">
        <f>AY524-(J524-L524+N524-Q524)</f>
        <v/>
      </c>
      <c r="BL524" s="34">
        <f>IF(AND(BK524&gt;0,MIN($F524:$G524)&lt;150,$E524="Enerji Açığı"),-100*BK524*1.03,IF(AND(BK524&gt;0,MIN($F524:$G524)&lt;150,$E524="Enerji Fazlası"),-100*BK524*1.06,IF(AND(BK524&gt;0,MIN($F524:$G524)&gt;=150,$E524="Enerji Açığı"),BK524*MIN($F524:$G524)*0.97,IF(AND(BK524&gt;0,MIN($F524:$G524)&gt;=150,$E524="Enerji Fazlası"),BK524*MIN($F524:$G524)*0.94,IF(AND(BK524&lt;0,MAX($F524:$G524)=4500,$E524="Enerji Açığı"),4500*1.05*1.06*BK524,IF(AND(BK524&lt;0,MAX($F524:$G524)=4500,$E524="Enerji Fazlası"),4500*1.05*1.03*BK524,IF(AND(BK524&lt;0,$E524="Enerji Açığı"),MAX($F524,$G524,150)*BK524*1.06,IF(AND(BK524&lt;0,$E524="Enerji Fazlası"),MAX($F524,$G524,150)*BK524*1.03,IF(AND(BK524&lt;0,$E524="Dengede"),MAX($F524:$G524,150)*1.03*BK524,MIN($F524:$G524)*0.97*BK524)))))))))</f>
        <v/>
      </c>
      <c r="BM524" s="34">
        <f>BE524-BI524-BN524</f>
        <v/>
      </c>
      <c r="BN524" s="34">
        <f>BB524</f>
        <v/>
      </c>
      <c r="BO524" s="34">
        <f>BE524-BI524</f>
        <v/>
      </c>
      <c r="BP524" s="34">
        <f>IF(AY524=0,0,BO524/AY524)</f>
        <v/>
      </c>
      <c r="BQ524" s="34">
        <f>MAX((AY524+MAX((-J524+L524-N524+Q524),0)),(MAX((J524-L524+N524-Q524),0)))</f>
        <v/>
      </c>
      <c r="BR524" s="82">
        <f>IFERROR(ABS(BK524/BQ524),0)</f>
        <v/>
      </c>
      <c r="BS524" s="34">
        <f>IF(BR524&lt;=0.1,0,BK524/BR524*(BR524-0.1))</f>
        <v/>
      </c>
      <c r="BT524" s="34">
        <f>IF((BS524)&lt;0,MAX(F524:G524)*(BS524)*1.03,MIN(F524:G524)*(BS524)*0.97)</f>
        <v/>
      </c>
      <c r="BU524" s="34">
        <f>IF(BR524&gt;0.1,1,0)</f>
        <v/>
      </c>
      <c r="BV524" s="34">
        <f>BF524+BG524+BH524+BY524-CA524</f>
        <v/>
      </c>
      <c r="BW524" s="34">
        <f>ABS(BX524)</f>
        <v/>
      </c>
      <c r="BX524" s="34">
        <f>AY524-(J524-L524+N524-Q524+T524-X524)</f>
        <v/>
      </c>
      <c r="BY524" s="34">
        <f>IF(AND(BX524&gt;0,MIN($F524:$G524)&lt;150,$E524="Enerji Açığı"),-100*BX524*1.03,IF(AND(BX524&gt;0,MIN($F524:$G524)&lt;150,$E524="Enerji Fazlası"),-100*BX524*1.06,IF(AND(BX524&gt;0,MIN($F524:$G524)&gt;=150,$E524="Enerji Açığı"),BX524*MIN($F524:$G524)*0.97,IF(AND(BX524&gt;0,MIN($F524:$G524)&gt;=150,$E524="Enerji Fazlası"),BX524*MIN($F524:$G524)*0.94,IF(AND(BX524&lt;0,MAX($F524:$G524)=4500,$E524="Enerji Açığı"),4500*1.05*1.06*BX524,IF(AND(BX524&lt;0,MAX($F524:$G524)=4500,$E524="Enerji Fazlası"),4500*1.05*1.03*BX524,IF(AND(BX524&lt;0,$E524="Enerji Açığı"),MAX($F524,$G524,150)*BX524*1.06,IF(AND(BX524&lt;0,$E524="Enerji Fazlası"),MAX($F524,$G524,150)*BX524*1.03,IF(AND(BX524&lt;0,$E524="Dengede"),MAX($F524:$G524,150)*1.03*BX524,MIN($F524:$G524)*0.97*BX524)))))))))</f>
        <v/>
      </c>
      <c r="BZ524" s="34">
        <f>BE524-BV524-CA524</f>
        <v/>
      </c>
      <c r="CA524" s="34">
        <f>BD524</f>
        <v/>
      </c>
      <c r="CB524" s="33">
        <f>BE524-BV524</f>
        <v/>
      </c>
      <c r="CC524" s="34">
        <f>IF(AY524=0,0,CB524/AY524)</f>
        <v/>
      </c>
      <c r="CD524" s="34">
        <f>MAX((AY524+MAX((-J524+L524-N524+Q524-T524+X524),0)),(MAX((J524-L524+N524-Q524+T524-X524),0)))</f>
        <v/>
      </c>
      <c r="CE524" s="82">
        <f>IFERROR(ABS(BX524/CD524),0)</f>
        <v/>
      </c>
      <c r="CF524" s="34">
        <f>IF(CE524&lt;=0.1,0,BX524/CE524*(CE524-0.1))</f>
        <v/>
      </c>
      <c r="CG524" s="34">
        <f>IF((CF524)&lt;0,MAX(F524:G524)*(CF524)*1.03,MIN(F524:G524)*(CF524)*0.97)</f>
        <v/>
      </c>
      <c r="CH524" s="34">
        <f>IF(CE524&gt;0.1,1,0)</f>
        <v/>
      </c>
      <c r="CI524" s="34">
        <f>(F524*BX524)-BY524</f>
        <v/>
      </c>
      <c r="CJ524" s="34">
        <f>IF(AY524=0,0,CI524/AY524)</f>
        <v/>
      </c>
    </row>
    <row r="525">
      <c r="A525" s="29">
        <f>[1]FİYATLAR!A500</f>
        <v/>
      </c>
      <c r="B525" s="29">
        <f>[1]FİYATLAR!B500</f>
        <v/>
      </c>
      <c r="C525" s="35">
        <f>INT(A525)</f>
        <v/>
      </c>
      <c r="D525" s="36">
        <f>MONTH(A525)</f>
        <v/>
      </c>
      <c r="E525" s="147">
        <f>[1]FİYATLAR!G500</f>
        <v/>
      </c>
      <c r="F525" s="30">
        <f>[1]FİYATLAR!C500</f>
        <v/>
      </c>
      <c r="G525" s="30">
        <f>[1]FİYATLAR!E500</f>
        <v/>
      </c>
      <c r="H525" s="30">
        <f>[1]FİYATLAR!D500</f>
        <v/>
      </c>
      <c r="I525" s="30">
        <f>[1]FİYATLAR!F500</f>
        <v/>
      </c>
      <c r="J525" s="119" t="n">
        <v>0</v>
      </c>
      <c r="K525" s="34">
        <f>F525*J525</f>
        <v/>
      </c>
      <c r="L525" s="119" t="n"/>
      <c r="M525" s="34">
        <f>L525*F525</f>
        <v/>
      </c>
      <c r="N525" s="119" t="n"/>
      <c r="O525" s="34">
        <f>F525</f>
        <v/>
      </c>
      <c r="P525" s="34">
        <f>N525*O525</f>
        <v/>
      </c>
      <c r="Q525" s="117" t="n">
        <v>0</v>
      </c>
      <c r="R525" s="34">
        <f>F525</f>
        <v/>
      </c>
      <c r="S525" s="34">
        <f>R525*Q525</f>
        <v/>
      </c>
      <c r="T525" s="34">
        <f>SUMIFS('[1]GİP VERİLERİ'!$C:$C,'[1]GİP VERİLERİ'!$B:$B,A525,'[1]GİP VERİLERİ'!$M:$M,"40X000000104782K",'[1]GİP VERİLERİ'!$G:$G,"SELL")</f>
        <v/>
      </c>
      <c r="U525" s="34">
        <f>IFERROR(W525/T525,0)</f>
        <v/>
      </c>
      <c r="V525" s="34">
        <f>IF(U525=0,0,U525-F525)</f>
        <v/>
      </c>
      <c r="W525" s="34">
        <f>SUMIFS('[1]GİP VERİLERİ'!$O:$O,'[1]GİP VERİLERİ'!$B:$B,A525,'[1]GİP VERİLERİ'!$M:$M,"40X000000104782K",'[1]GİP VERİLERİ'!$G:$G,"SELL")</f>
        <v/>
      </c>
      <c r="X525" s="34">
        <f>SUMIFS('[1]GİP VERİLERİ'!$C:$C,'[1]GİP VERİLERİ'!$B:$B,A525,'[1]GİP VERİLERİ'!$M:$M,"40X000000104782K",'[1]GİP VERİLERİ'!$G:$G,"BUY")</f>
        <v/>
      </c>
      <c r="Y525" s="34">
        <f>IFERROR(AA525/X525,0)</f>
        <v/>
      </c>
      <c r="Z525" s="34">
        <f>IF(Y525=0,0,F525-Y525)</f>
        <v/>
      </c>
      <c r="AA525" s="34">
        <f>SUMIFS('[1]GİP VERİLERİ'!$O:$O,'[1]GİP VERİLERİ'!$B:$B,A525,'[1]GİP VERİLERİ'!$M:$M,"40X000000104782K",'[1]GİP VERİLERİ'!$G:$G,"BUY")</f>
        <v/>
      </c>
      <c r="AB525" s="34">
        <f>'[1]GÖP VERİLERİ'!H526</f>
        <v/>
      </c>
      <c r="AC525" s="34">
        <f>'[1]GÖP VERİLERİ'!I526</f>
        <v/>
      </c>
      <c r="AD525" s="34">
        <f>IF(AB525&gt;AC525*1.05,AB525-AC525*1.05,IF(AB525&lt;AC525*0.95,AC525*0.95-AB525,0))</f>
        <v/>
      </c>
      <c r="AE525" s="34">
        <f>MAX(F525,G525,750)*0.05*AD525</f>
        <v/>
      </c>
      <c r="AF525" s="34">
        <f>'[1]GÖP VERİLERİ'!J526</f>
        <v/>
      </c>
      <c r="AG525" s="34">
        <f>IF(AB525&gt;AF525*1.05,AB525-AF525*1.05,IF(AB525&lt;AF525*0.95,AF525*0.95-AB525,0))</f>
        <v/>
      </c>
      <c r="AH525" s="34">
        <f>MAX(I525,J525,750)*0.05*AG525</f>
        <v/>
      </c>
      <c r="AI525">
        <f>'[1]GÖP VERİLERİ'!E526</f>
        <v/>
      </c>
      <c r="AJ525">
        <f>'[1]GÖP VERİLERİ'!F526</f>
        <v/>
      </c>
      <c r="AK525" s="34">
        <f>IF(AI525&gt;AJ525*1.05,AI525-AJ525*1.05,IF(AI525&lt;AJ525*0.95,AJ525*0.95-AI525,0))</f>
        <v/>
      </c>
      <c r="AL525" s="34">
        <f>MAX(F525,G525,750)*0.05*AK525</f>
        <v/>
      </c>
      <c r="AM525" s="39">
        <f>'[1]GÖP VERİLERİ'!G526</f>
        <v/>
      </c>
      <c r="AN525" s="34">
        <f>IF(AI525&gt;AM525*1.05,AI525-AM525*1.05,IF(AI525&lt;AM525*0.95,AM525*0.95-AI525,0))</f>
        <v/>
      </c>
      <c r="AO525" s="34">
        <f>MAX(F525,G525,750)*0.05*AN525</f>
        <v/>
      </c>
      <c r="AP525" s="34">
        <f>'[1]GÖP VERİLERİ'!B526</f>
        <v/>
      </c>
      <c r="AQ525" s="34">
        <f>'[1]GÖP VERİLERİ'!C526</f>
        <v/>
      </c>
      <c r="AR525" s="34">
        <f>IF(AP525&gt;AQ525*1.05,AP525-AQ525*1.05,IF(AP525&lt;AQ525*0.95,AQ525*0.95-AP525,0))</f>
        <v/>
      </c>
      <c r="AS525" s="34">
        <f>MAX(F525:G525,750)*0.05*AR525</f>
        <v/>
      </c>
      <c r="AT525">
        <f>'[1]GÖP VERİLERİ'!D526</f>
        <v/>
      </c>
      <c r="AU525" s="34">
        <f>IF(AP525&gt;AT525*1.05,AP525-AT525*1.05,IF(AP525&lt;AT525*0.95,AT525*0.95-AP525,0))</f>
        <v/>
      </c>
      <c r="AV525" s="34">
        <f>MAX(F525:G525,750)*0.05*AU525</f>
        <v/>
      </c>
      <c r="AW525" s="34">
        <f>AC525+AJ525+AQ525</f>
        <v/>
      </c>
      <c r="AX525" s="34">
        <f>AF525+AM525+AT525</f>
        <v/>
      </c>
      <c r="AY525" s="34">
        <f>AB525+AI525+AP525</f>
        <v/>
      </c>
      <c r="AZ525" s="34" t="n">
        <v>0</v>
      </c>
      <c r="BA525" s="34">
        <f>AD525+AK525+AR525</f>
        <v/>
      </c>
      <c r="BB525" s="34">
        <f>MAX(F525:G525,750)*0.05*BA525</f>
        <v/>
      </c>
      <c r="BC525" s="34">
        <f>AG525+AN525+AU525</f>
        <v/>
      </c>
      <c r="BD525" s="34">
        <f>MAX(F525:G525,750)*0.05*BC525</f>
        <v/>
      </c>
      <c r="BE525" s="34">
        <f>F525*AY525</f>
        <v/>
      </c>
      <c r="BF525" s="34">
        <f>K525-M525</f>
        <v/>
      </c>
      <c r="BG525" s="34">
        <f>P525-S525</f>
        <v/>
      </c>
      <c r="BH525" s="34">
        <f>W525-AA525</f>
        <v/>
      </c>
      <c r="BI525" s="34">
        <f>BF525+BG525+BL525-BN525</f>
        <v/>
      </c>
      <c r="BJ525" s="34">
        <f>ABS(BK525)</f>
        <v/>
      </c>
      <c r="BK525" s="34">
        <f>AY525-(J525-L525+N525-Q525)</f>
        <v/>
      </c>
      <c r="BL525" s="34">
        <f>IF(AND(BK525&gt;0,MIN($F525:$G525)&lt;150,$E525="Enerji Açığı"),-100*BK525*1.03,IF(AND(BK525&gt;0,MIN($F525:$G525)&lt;150,$E525="Enerji Fazlası"),-100*BK525*1.06,IF(AND(BK525&gt;0,MIN($F525:$G525)&gt;=150,$E525="Enerji Açığı"),BK525*MIN($F525:$G525)*0.97,IF(AND(BK525&gt;0,MIN($F525:$G525)&gt;=150,$E525="Enerji Fazlası"),BK525*MIN($F525:$G525)*0.94,IF(AND(BK525&lt;0,MAX($F525:$G525)=4500,$E525="Enerji Açığı"),4500*1.05*1.06*BK525,IF(AND(BK525&lt;0,MAX($F525:$G525)=4500,$E525="Enerji Fazlası"),4500*1.05*1.03*BK525,IF(AND(BK525&lt;0,$E525="Enerji Açığı"),MAX($F525,$G525,150)*BK525*1.06,IF(AND(BK525&lt;0,$E525="Enerji Fazlası"),MAX($F525,$G525,150)*BK525*1.03,IF(AND(BK525&lt;0,$E525="Dengede"),MAX($F525:$G525,150)*1.03*BK525,MIN($F525:$G525)*0.97*BK525)))))))))</f>
        <v/>
      </c>
      <c r="BM525" s="34">
        <f>BE525-BI525-BN525</f>
        <v/>
      </c>
      <c r="BN525" s="34">
        <f>BB525</f>
        <v/>
      </c>
      <c r="BO525" s="34">
        <f>BE525-BI525</f>
        <v/>
      </c>
      <c r="BP525" s="34">
        <f>IF(AY525=0,0,BO525/AY525)</f>
        <v/>
      </c>
      <c r="BQ525" s="34">
        <f>MAX((AY525+MAX((-J525+L525-N525+Q525),0)),(MAX((J525-L525+N525-Q525),0)))</f>
        <v/>
      </c>
      <c r="BR525" s="82">
        <f>IFERROR(ABS(BK525/BQ525),0)</f>
        <v/>
      </c>
      <c r="BS525" s="34">
        <f>IF(BR525&lt;=0.1,0,BK525/BR525*(BR525-0.1))</f>
        <v/>
      </c>
      <c r="BT525" s="34">
        <f>IF((BS525)&lt;0,MAX(F525:G525)*(BS525)*1.03,MIN(F525:G525)*(BS525)*0.97)</f>
        <v/>
      </c>
      <c r="BU525" s="34">
        <f>IF(BR525&gt;0.1,1,0)</f>
        <v/>
      </c>
      <c r="BV525" s="34">
        <f>BF525+BG525+BH525+BY525-CA525</f>
        <v/>
      </c>
      <c r="BW525" s="34">
        <f>ABS(BX525)</f>
        <v/>
      </c>
      <c r="BX525" s="34">
        <f>AY525-(J525-L525+N525-Q525+T525-X525)</f>
        <v/>
      </c>
      <c r="BY525" s="34">
        <f>IF(AND(BX525&gt;0,MIN($F525:$G525)&lt;150,$E525="Enerji Açığı"),-100*BX525*1.03,IF(AND(BX525&gt;0,MIN($F525:$G525)&lt;150,$E525="Enerji Fazlası"),-100*BX525*1.06,IF(AND(BX525&gt;0,MIN($F525:$G525)&gt;=150,$E525="Enerji Açığı"),BX525*MIN($F525:$G525)*0.97,IF(AND(BX525&gt;0,MIN($F525:$G525)&gt;=150,$E525="Enerji Fazlası"),BX525*MIN($F525:$G525)*0.94,IF(AND(BX525&lt;0,MAX($F525:$G525)=4500,$E525="Enerji Açığı"),4500*1.05*1.06*BX525,IF(AND(BX525&lt;0,MAX($F525:$G525)=4500,$E525="Enerji Fazlası"),4500*1.05*1.03*BX525,IF(AND(BX525&lt;0,$E525="Enerji Açığı"),MAX($F525,$G525,150)*BX525*1.06,IF(AND(BX525&lt;0,$E525="Enerji Fazlası"),MAX($F525,$G525,150)*BX525*1.03,IF(AND(BX525&lt;0,$E525="Dengede"),MAX($F525:$G525,150)*1.03*BX525,MIN($F525:$G525)*0.97*BX525)))))))))</f>
        <v/>
      </c>
      <c r="BZ525" s="34">
        <f>BE525-BV525-CA525</f>
        <v/>
      </c>
      <c r="CA525" s="34">
        <f>BD525</f>
        <v/>
      </c>
      <c r="CB525" s="33">
        <f>BE525-BV525</f>
        <v/>
      </c>
      <c r="CC525" s="34">
        <f>IF(AY525=0,0,CB525/AY525)</f>
        <v/>
      </c>
      <c r="CD525" s="34">
        <f>MAX((AY525+MAX((-J525+L525-N525+Q525-T525+X525),0)),(MAX((J525-L525+N525-Q525+T525-X525),0)))</f>
        <v/>
      </c>
      <c r="CE525" s="82">
        <f>IFERROR(ABS(BX525/CD525),0)</f>
        <v/>
      </c>
      <c r="CF525" s="34">
        <f>IF(CE525&lt;=0.1,0,BX525/CE525*(CE525-0.1))</f>
        <v/>
      </c>
      <c r="CG525" s="34">
        <f>IF((CF525)&lt;0,MAX(F525:G525)*(CF525)*1.03,MIN(F525:G525)*(CF525)*0.97)</f>
        <v/>
      </c>
      <c r="CH525" s="34">
        <f>IF(CE525&gt;0.1,1,0)</f>
        <v/>
      </c>
      <c r="CI525" s="34">
        <f>(F525*BX525)-BY525</f>
        <v/>
      </c>
      <c r="CJ525" s="34">
        <f>IF(AY525=0,0,CI525/AY525)</f>
        <v/>
      </c>
    </row>
    <row r="526">
      <c r="A526" s="29">
        <f>[1]FİYATLAR!A501</f>
        <v/>
      </c>
      <c r="B526" s="29">
        <f>[1]FİYATLAR!B501</f>
        <v/>
      </c>
      <c r="C526" s="35">
        <f>INT(A526)</f>
        <v/>
      </c>
      <c r="D526" s="36">
        <f>MONTH(A526)</f>
        <v/>
      </c>
      <c r="E526" s="147">
        <f>[1]FİYATLAR!G501</f>
        <v/>
      </c>
      <c r="F526" s="30">
        <f>[1]FİYATLAR!C501</f>
        <v/>
      </c>
      <c r="G526" s="30">
        <f>[1]FİYATLAR!E501</f>
        <v/>
      </c>
      <c r="H526" s="30">
        <f>[1]FİYATLAR!D501</f>
        <v/>
      </c>
      <c r="I526" s="30">
        <f>[1]FİYATLAR!F501</f>
        <v/>
      </c>
      <c r="J526" s="119" t="n">
        <v>0</v>
      </c>
      <c r="K526" s="34">
        <f>F526*J526</f>
        <v/>
      </c>
      <c r="L526" s="119" t="n"/>
      <c r="M526" s="34">
        <f>L526*F526</f>
        <v/>
      </c>
      <c r="N526" s="119" t="n"/>
      <c r="O526" s="34">
        <f>F526</f>
        <v/>
      </c>
      <c r="P526" s="34">
        <f>N526*O526</f>
        <v/>
      </c>
      <c r="Q526" s="117" t="n">
        <v>0</v>
      </c>
      <c r="R526" s="34">
        <f>F526</f>
        <v/>
      </c>
      <c r="S526" s="34">
        <f>R526*Q526</f>
        <v/>
      </c>
      <c r="T526" s="34">
        <f>SUMIFS('[1]GİP VERİLERİ'!$C:$C,'[1]GİP VERİLERİ'!$B:$B,A526,'[1]GİP VERİLERİ'!$M:$M,"40X000000104782K",'[1]GİP VERİLERİ'!$G:$G,"SELL")</f>
        <v/>
      </c>
      <c r="U526" s="34">
        <f>IFERROR(W526/T526,0)</f>
        <v/>
      </c>
      <c r="V526" s="34">
        <f>IF(U526=0,0,U526-F526)</f>
        <v/>
      </c>
      <c r="W526" s="34">
        <f>SUMIFS('[1]GİP VERİLERİ'!$O:$O,'[1]GİP VERİLERİ'!$B:$B,A526,'[1]GİP VERİLERİ'!$M:$M,"40X000000104782K",'[1]GİP VERİLERİ'!$G:$G,"SELL")</f>
        <v/>
      </c>
      <c r="X526" s="34">
        <f>SUMIFS('[1]GİP VERİLERİ'!$C:$C,'[1]GİP VERİLERİ'!$B:$B,A526,'[1]GİP VERİLERİ'!$M:$M,"40X000000104782K",'[1]GİP VERİLERİ'!$G:$G,"BUY")</f>
        <v/>
      </c>
      <c r="Y526" s="34">
        <f>IFERROR(AA526/X526,0)</f>
        <v/>
      </c>
      <c r="Z526" s="34">
        <f>IF(Y526=0,0,F526-Y526)</f>
        <v/>
      </c>
      <c r="AA526" s="34">
        <f>SUMIFS('[1]GİP VERİLERİ'!$O:$O,'[1]GİP VERİLERİ'!$B:$B,A526,'[1]GİP VERİLERİ'!$M:$M,"40X000000104782K",'[1]GİP VERİLERİ'!$G:$G,"BUY")</f>
        <v/>
      </c>
      <c r="AB526" s="34">
        <f>'[1]GÖP VERİLERİ'!H527</f>
        <v/>
      </c>
      <c r="AC526" s="34">
        <f>'[1]GÖP VERİLERİ'!I527</f>
        <v/>
      </c>
      <c r="AD526" s="34">
        <f>IF(AB526&gt;AC526*1.05,AB526-AC526*1.05,IF(AB526&lt;AC526*0.95,AC526*0.95-AB526,0))</f>
        <v/>
      </c>
      <c r="AE526" s="34">
        <f>MAX(F526,G526,750)*0.05*AD526</f>
        <v/>
      </c>
      <c r="AF526" s="34">
        <f>'[1]GÖP VERİLERİ'!J527</f>
        <v/>
      </c>
      <c r="AG526" s="34">
        <f>IF(AB526&gt;AF526*1.05,AB526-AF526*1.05,IF(AB526&lt;AF526*0.95,AF526*0.95-AB526,0))</f>
        <v/>
      </c>
      <c r="AH526" s="34">
        <f>MAX(I526,J526,750)*0.05*AG526</f>
        <v/>
      </c>
      <c r="AI526">
        <f>'[1]GÖP VERİLERİ'!E527</f>
        <v/>
      </c>
      <c r="AJ526">
        <f>'[1]GÖP VERİLERİ'!F527</f>
        <v/>
      </c>
      <c r="AK526" s="34">
        <f>IF(AI526&gt;AJ526*1.05,AI526-AJ526*1.05,IF(AI526&lt;AJ526*0.95,AJ526*0.95-AI526,0))</f>
        <v/>
      </c>
      <c r="AL526" s="34">
        <f>MAX(F526,G526,750)*0.05*AK526</f>
        <v/>
      </c>
      <c r="AM526" s="39">
        <f>'[1]GÖP VERİLERİ'!G527</f>
        <v/>
      </c>
      <c r="AN526" s="34">
        <f>IF(AI526&gt;AM526*1.05,AI526-AM526*1.05,IF(AI526&lt;AM526*0.95,AM526*0.95-AI526,0))</f>
        <v/>
      </c>
      <c r="AO526" s="34">
        <f>MAX(F526,G526,750)*0.05*AN526</f>
        <v/>
      </c>
      <c r="AP526" s="34">
        <f>'[1]GÖP VERİLERİ'!B527</f>
        <v/>
      </c>
      <c r="AQ526" s="34">
        <f>'[1]GÖP VERİLERİ'!C527</f>
        <v/>
      </c>
      <c r="AR526" s="34">
        <f>IF(AP526&gt;AQ526*1.05,AP526-AQ526*1.05,IF(AP526&lt;AQ526*0.95,AQ526*0.95-AP526,0))</f>
        <v/>
      </c>
      <c r="AS526" s="34">
        <f>MAX(F526:G526,750)*0.05*AR526</f>
        <v/>
      </c>
      <c r="AT526">
        <f>'[1]GÖP VERİLERİ'!D527</f>
        <v/>
      </c>
      <c r="AU526" s="34">
        <f>IF(AP526&gt;AT526*1.05,AP526-AT526*1.05,IF(AP526&lt;AT526*0.95,AT526*0.95-AP526,0))</f>
        <v/>
      </c>
      <c r="AV526" s="34">
        <f>MAX(F526:G526,750)*0.05*AU526</f>
        <v/>
      </c>
      <c r="AW526" s="34">
        <f>AC526+AJ526+AQ526</f>
        <v/>
      </c>
      <c r="AX526" s="34">
        <f>AF526+AM526+AT526</f>
        <v/>
      </c>
      <c r="AY526" s="34">
        <f>AB526+AI526+AP526</f>
        <v/>
      </c>
      <c r="AZ526" s="34" t="n">
        <v>0</v>
      </c>
      <c r="BA526" s="34">
        <f>AD526+AK526+AR526</f>
        <v/>
      </c>
      <c r="BB526" s="34">
        <f>MAX(F526:G526,750)*0.05*BA526</f>
        <v/>
      </c>
      <c r="BC526" s="34">
        <f>AG526+AN526+AU526</f>
        <v/>
      </c>
      <c r="BD526" s="34">
        <f>MAX(F526:G526,750)*0.05*BC526</f>
        <v/>
      </c>
      <c r="BE526" s="34">
        <f>F526*AY526</f>
        <v/>
      </c>
      <c r="BF526" s="34">
        <f>K526-M526</f>
        <v/>
      </c>
      <c r="BG526" s="34">
        <f>P526-S526</f>
        <v/>
      </c>
      <c r="BH526" s="34">
        <f>W526-AA526</f>
        <v/>
      </c>
      <c r="BI526" s="34">
        <f>BF526+BG526+BL526-BN526</f>
        <v/>
      </c>
      <c r="BJ526" s="34">
        <f>ABS(BK526)</f>
        <v/>
      </c>
      <c r="BK526" s="34">
        <f>AY526-(J526-L526+N526-Q526)</f>
        <v/>
      </c>
      <c r="BL526" s="34">
        <f>IF(AND(BK526&gt;0,MIN($F526:$G526)&lt;150,$E526="Enerji Açığı"),-100*BK526*1.03,IF(AND(BK526&gt;0,MIN($F526:$G526)&lt;150,$E526="Enerji Fazlası"),-100*BK526*1.06,IF(AND(BK526&gt;0,MIN($F526:$G526)&gt;=150,$E526="Enerji Açığı"),BK526*MIN($F526:$G526)*0.97,IF(AND(BK526&gt;0,MIN($F526:$G526)&gt;=150,$E526="Enerji Fazlası"),BK526*MIN($F526:$G526)*0.94,IF(AND(BK526&lt;0,MAX($F526:$G526)=4500,$E526="Enerji Açığı"),4500*1.05*1.06*BK526,IF(AND(BK526&lt;0,MAX($F526:$G526)=4500,$E526="Enerji Fazlası"),4500*1.05*1.03*BK526,IF(AND(BK526&lt;0,$E526="Enerji Açığı"),MAX($F526,$G526,150)*BK526*1.06,IF(AND(BK526&lt;0,$E526="Enerji Fazlası"),MAX($F526,$G526,150)*BK526*1.03,IF(AND(BK526&lt;0,$E526="Dengede"),MAX($F526:$G526,150)*1.03*BK526,MIN($F526:$G526)*0.97*BK526)))))))))</f>
        <v/>
      </c>
      <c r="BM526" s="34">
        <f>BE526-BI526-BN526</f>
        <v/>
      </c>
      <c r="BN526" s="34">
        <f>BB526</f>
        <v/>
      </c>
      <c r="BO526" s="34">
        <f>BE526-BI526</f>
        <v/>
      </c>
      <c r="BP526" s="34">
        <f>IF(AY526=0,0,BO526/AY526)</f>
        <v/>
      </c>
      <c r="BQ526" s="34">
        <f>MAX((AY526+MAX((-J526+L526-N526+Q526),0)),(MAX((J526-L526+N526-Q526),0)))</f>
        <v/>
      </c>
      <c r="BR526" s="82">
        <f>IFERROR(ABS(BK526/BQ526),0)</f>
        <v/>
      </c>
      <c r="BS526" s="34">
        <f>IF(BR526&lt;=0.1,0,BK526/BR526*(BR526-0.1))</f>
        <v/>
      </c>
      <c r="BT526" s="34">
        <f>IF((BS526)&lt;0,MAX(F526:G526)*(BS526)*1.03,MIN(F526:G526)*(BS526)*0.97)</f>
        <v/>
      </c>
      <c r="BU526" s="34">
        <f>IF(BR526&gt;0.1,1,0)</f>
        <v/>
      </c>
      <c r="BV526" s="34">
        <f>BF526+BG526+BH526+BY526-CA526</f>
        <v/>
      </c>
      <c r="BW526" s="34">
        <f>ABS(BX526)</f>
        <v/>
      </c>
      <c r="BX526" s="34">
        <f>AY526-(J526-L526+N526-Q526+T526-X526)</f>
        <v/>
      </c>
      <c r="BY526" s="34">
        <f>IF(AND(BX526&gt;0,MIN($F526:$G526)&lt;150,$E526="Enerji Açığı"),-100*BX526*1.03,IF(AND(BX526&gt;0,MIN($F526:$G526)&lt;150,$E526="Enerji Fazlası"),-100*BX526*1.06,IF(AND(BX526&gt;0,MIN($F526:$G526)&gt;=150,$E526="Enerji Açığı"),BX526*MIN($F526:$G526)*0.97,IF(AND(BX526&gt;0,MIN($F526:$G526)&gt;=150,$E526="Enerji Fazlası"),BX526*MIN($F526:$G526)*0.94,IF(AND(BX526&lt;0,MAX($F526:$G526)=4500,$E526="Enerji Açığı"),4500*1.05*1.06*BX526,IF(AND(BX526&lt;0,MAX($F526:$G526)=4500,$E526="Enerji Fazlası"),4500*1.05*1.03*BX526,IF(AND(BX526&lt;0,$E526="Enerji Açığı"),MAX($F526,$G526,150)*BX526*1.06,IF(AND(BX526&lt;0,$E526="Enerji Fazlası"),MAX($F526,$G526,150)*BX526*1.03,IF(AND(BX526&lt;0,$E526="Dengede"),MAX($F526:$G526,150)*1.03*BX526,MIN($F526:$G526)*0.97*BX526)))))))))</f>
        <v/>
      </c>
      <c r="BZ526" s="34">
        <f>BE526-BV526-CA526</f>
        <v/>
      </c>
      <c r="CA526" s="34">
        <f>BD526</f>
        <v/>
      </c>
      <c r="CB526" s="33">
        <f>BE526-BV526</f>
        <v/>
      </c>
      <c r="CC526" s="34">
        <f>IF(AY526=0,0,CB526/AY526)</f>
        <v/>
      </c>
      <c r="CD526" s="34">
        <f>MAX((AY526+MAX((-J526+L526-N526+Q526-T526+X526),0)),(MAX((J526-L526+N526-Q526+T526-X526),0)))</f>
        <v/>
      </c>
      <c r="CE526" s="82">
        <f>IFERROR(ABS(BX526/CD526),0)</f>
        <v/>
      </c>
      <c r="CF526" s="34">
        <f>IF(CE526&lt;=0.1,0,BX526/CE526*(CE526-0.1))</f>
        <v/>
      </c>
      <c r="CG526" s="34">
        <f>IF((CF526)&lt;0,MAX(F526:G526)*(CF526)*1.03,MIN(F526:G526)*(CF526)*0.97)</f>
        <v/>
      </c>
      <c r="CH526" s="34">
        <f>IF(CE526&gt;0.1,1,0)</f>
        <v/>
      </c>
      <c r="CI526" s="34">
        <f>(F526*BX526)-BY526</f>
        <v/>
      </c>
      <c r="CJ526" s="34">
        <f>IF(AY526=0,0,CI526/AY526)</f>
        <v/>
      </c>
    </row>
    <row r="527">
      <c r="A527" s="29">
        <f>[1]FİYATLAR!A502</f>
        <v/>
      </c>
      <c r="B527" s="29">
        <f>[1]FİYATLAR!B502</f>
        <v/>
      </c>
      <c r="C527" s="35">
        <f>INT(A527)</f>
        <v/>
      </c>
      <c r="D527" s="36">
        <f>MONTH(A527)</f>
        <v/>
      </c>
      <c r="E527" s="147">
        <f>[1]FİYATLAR!G502</f>
        <v/>
      </c>
      <c r="F527" s="30">
        <f>[1]FİYATLAR!C502</f>
        <v/>
      </c>
      <c r="G527" s="30">
        <f>[1]FİYATLAR!E502</f>
        <v/>
      </c>
      <c r="H527" s="30">
        <f>[1]FİYATLAR!D502</f>
        <v/>
      </c>
      <c r="I527" s="30">
        <f>[1]FİYATLAR!F502</f>
        <v/>
      </c>
      <c r="J527" s="119" t="n">
        <v>0</v>
      </c>
      <c r="K527" s="34">
        <f>F527*J527</f>
        <v/>
      </c>
      <c r="L527" s="119" t="n"/>
      <c r="M527" s="34">
        <f>L527*F527</f>
        <v/>
      </c>
      <c r="N527" s="119" t="n"/>
      <c r="O527" s="34">
        <f>F527</f>
        <v/>
      </c>
      <c r="P527" s="34">
        <f>N527*O527</f>
        <v/>
      </c>
      <c r="Q527" s="117" t="n">
        <v>0</v>
      </c>
      <c r="R527" s="34">
        <f>F527</f>
        <v/>
      </c>
      <c r="S527" s="34">
        <f>R527*Q527</f>
        <v/>
      </c>
      <c r="T527" s="34">
        <f>SUMIFS('[1]GİP VERİLERİ'!$C:$C,'[1]GİP VERİLERİ'!$B:$B,A527,'[1]GİP VERİLERİ'!$M:$M,"40X000000104782K",'[1]GİP VERİLERİ'!$G:$G,"SELL")</f>
        <v/>
      </c>
      <c r="U527" s="34">
        <f>IFERROR(W527/T527,0)</f>
        <v/>
      </c>
      <c r="V527" s="34">
        <f>IF(U527=0,0,U527-F527)</f>
        <v/>
      </c>
      <c r="W527" s="34">
        <f>SUMIFS('[1]GİP VERİLERİ'!$O:$O,'[1]GİP VERİLERİ'!$B:$B,A527,'[1]GİP VERİLERİ'!$M:$M,"40X000000104782K",'[1]GİP VERİLERİ'!$G:$G,"SELL")</f>
        <v/>
      </c>
      <c r="X527" s="34">
        <f>SUMIFS('[1]GİP VERİLERİ'!$C:$C,'[1]GİP VERİLERİ'!$B:$B,A527,'[1]GİP VERİLERİ'!$M:$M,"40X000000104782K",'[1]GİP VERİLERİ'!$G:$G,"BUY")</f>
        <v/>
      </c>
      <c r="Y527" s="34">
        <f>IFERROR(AA527/X527,0)</f>
        <v/>
      </c>
      <c r="Z527" s="34">
        <f>IF(Y527=0,0,F527-Y527)</f>
        <v/>
      </c>
      <c r="AA527" s="34">
        <f>SUMIFS('[1]GİP VERİLERİ'!$O:$O,'[1]GİP VERİLERİ'!$B:$B,A527,'[1]GİP VERİLERİ'!$M:$M,"40X000000104782K",'[1]GİP VERİLERİ'!$G:$G,"BUY")</f>
        <v/>
      </c>
      <c r="AB527" s="34">
        <f>'[1]GÖP VERİLERİ'!H528</f>
        <v/>
      </c>
      <c r="AC527" s="34">
        <f>'[1]GÖP VERİLERİ'!I528</f>
        <v/>
      </c>
      <c r="AD527" s="34">
        <f>IF(AB527&gt;AC527*1.05,AB527-AC527*1.05,IF(AB527&lt;AC527*0.95,AC527*0.95-AB527,0))</f>
        <v/>
      </c>
      <c r="AE527" s="34">
        <f>MAX(F527,G527,750)*0.05*AD527</f>
        <v/>
      </c>
      <c r="AF527" s="34">
        <f>'[1]GÖP VERİLERİ'!J528</f>
        <v/>
      </c>
      <c r="AG527" s="34">
        <f>IF(AB527&gt;AF527*1.05,AB527-AF527*1.05,IF(AB527&lt;AF527*0.95,AF527*0.95-AB527,0))</f>
        <v/>
      </c>
      <c r="AH527" s="34">
        <f>MAX(I527,J527,750)*0.05*AG527</f>
        <v/>
      </c>
      <c r="AI527">
        <f>'[1]GÖP VERİLERİ'!E528</f>
        <v/>
      </c>
      <c r="AJ527">
        <f>'[1]GÖP VERİLERİ'!F528</f>
        <v/>
      </c>
      <c r="AK527" s="34">
        <f>IF(AI527&gt;AJ527*1.05,AI527-AJ527*1.05,IF(AI527&lt;AJ527*0.95,AJ527*0.95-AI527,0))</f>
        <v/>
      </c>
      <c r="AL527" s="34">
        <f>MAX(F527,G527,750)*0.05*AK527</f>
        <v/>
      </c>
      <c r="AM527" s="39">
        <f>'[1]GÖP VERİLERİ'!G528</f>
        <v/>
      </c>
      <c r="AN527" s="34">
        <f>IF(AI527&gt;AM527*1.05,AI527-AM527*1.05,IF(AI527&lt;AM527*0.95,AM527*0.95-AI527,0))</f>
        <v/>
      </c>
      <c r="AO527" s="34">
        <f>MAX(F527,G527,750)*0.05*AN527</f>
        <v/>
      </c>
      <c r="AP527" s="34">
        <f>'[1]GÖP VERİLERİ'!B528</f>
        <v/>
      </c>
      <c r="AQ527" s="34">
        <f>'[1]GÖP VERİLERİ'!C528</f>
        <v/>
      </c>
      <c r="AR527" s="34">
        <f>IF(AP527&gt;AQ527*1.05,AP527-AQ527*1.05,IF(AP527&lt;AQ527*0.95,AQ527*0.95-AP527,0))</f>
        <v/>
      </c>
      <c r="AS527" s="34">
        <f>MAX(F527:G527,750)*0.05*AR527</f>
        <v/>
      </c>
      <c r="AT527">
        <f>'[1]GÖP VERİLERİ'!D528</f>
        <v/>
      </c>
      <c r="AU527" s="34">
        <f>IF(AP527&gt;AT527*1.05,AP527-AT527*1.05,IF(AP527&lt;AT527*0.95,AT527*0.95-AP527,0))</f>
        <v/>
      </c>
      <c r="AV527" s="34">
        <f>MAX(F527:G527,750)*0.05*AU527</f>
        <v/>
      </c>
      <c r="AW527" s="34">
        <f>AC527+AJ527+AQ527</f>
        <v/>
      </c>
      <c r="AX527" s="34">
        <f>AF527+AM527+AT527</f>
        <v/>
      </c>
      <c r="AY527" s="34">
        <f>AB527+AI527+AP527</f>
        <v/>
      </c>
      <c r="AZ527" s="34" t="n">
        <v>0</v>
      </c>
      <c r="BA527" s="34">
        <f>AD527+AK527+AR527</f>
        <v/>
      </c>
      <c r="BB527" s="34">
        <f>MAX(F527:G527,750)*0.05*BA527</f>
        <v/>
      </c>
      <c r="BC527" s="34">
        <f>AG527+AN527+AU527</f>
        <v/>
      </c>
      <c r="BD527" s="34">
        <f>MAX(F527:G527,750)*0.05*BC527</f>
        <v/>
      </c>
      <c r="BE527" s="34">
        <f>F527*AY527</f>
        <v/>
      </c>
      <c r="BF527" s="34">
        <f>K527-M527</f>
        <v/>
      </c>
      <c r="BG527" s="34">
        <f>P527-S527</f>
        <v/>
      </c>
      <c r="BH527" s="34">
        <f>W527-AA527</f>
        <v/>
      </c>
      <c r="BI527" s="34">
        <f>BF527+BG527+BL527-BN527</f>
        <v/>
      </c>
      <c r="BJ527" s="34">
        <f>ABS(BK527)</f>
        <v/>
      </c>
      <c r="BK527" s="34">
        <f>AY527-(J527-L527+N527-Q527)</f>
        <v/>
      </c>
      <c r="BL527" s="34">
        <f>IF(AND(BK527&gt;0,MIN($F527:$G527)&lt;150,$E527="Enerji Açığı"),-100*BK527*1.03,IF(AND(BK527&gt;0,MIN($F527:$G527)&lt;150,$E527="Enerji Fazlası"),-100*BK527*1.06,IF(AND(BK527&gt;0,MIN($F527:$G527)&gt;=150,$E527="Enerji Açığı"),BK527*MIN($F527:$G527)*0.97,IF(AND(BK527&gt;0,MIN($F527:$G527)&gt;=150,$E527="Enerji Fazlası"),BK527*MIN($F527:$G527)*0.94,IF(AND(BK527&lt;0,MAX($F527:$G527)=4500,$E527="Enerji Açığı"),4500*1.05*1.06*BK527,IF(AND(BK527&lt;0,MAX($F527:$G527)=4500,$E527="Enerji Fazlası"),4500*1.05*1.03*BK527,IF(AND(BK527&lt;0,$E527="Enerji Açığı"),MAX($F527,$G527,150)*BK527*1.06,IF(AND(BK527&lt;0,$E527="Enerji Fazlası"),MAX($F527,$G527,150)*BK527*1.03,IF(AND(BK527&lt;0,$E527="Dengede"),MAX($F527:$G527,150)*1.03*BK527,MIN($F527:$G527)*0.97*BK527)))))))))</f>
        <v/>
      </c>
      <c r="BM527" s="34">
        <f>BE527-BI527-BN527</f>
        <v/>
      </c>
      <c r="BN527" s="34">
        <f>BB527</f>
        <v/>
      </c>
      <c r="BO527" s="34">
        <f>BE527-BI527</f>
        <v/>
      </c>
      <c r="BP527" s="34">
        <f>IF(AY527=0,0,BO527/AY527)</f>
        <v/>
      </c>
      <c r="BQ527" s="34">
        <f>MAX((AY527+MAX((-J527+L527-N527+Q527),0)),(MAX((J527-L527+N527-Q527),0)))</f>
        <v/>
      </c>
      <c r="BR527" s="82">
        <f>IFERROR(ABS(BK527/BQ527),0)</f>
        <v/>
      </c>
      <c r="BS527" s="34">
        <f>IF(BR527&lt;=0.1,0,BK527/BR527*(BR527-0.1))</f>
        <v/>
      </c>
      <c r="BT527" s="34">
        <f>IF((BS527)&lt;0,MAX(F527:G527)*(BS527)*1.03,MIN(F527:G527)*(BS527)*0.97)</f>
        <v/>
      </c>
      <c r="BU527" s="34">
        <f>IF(BR527&gt;0.1,1,0)</f>
        <v/>
      </c>
      <c r="BV527" s="34">
        <f>BF527+BG527+BH527+BY527-CA527</f>
        <v/>
      </c>
      <c r="BW527" s="34">
        <f>ABS(BX527)</f>
        <v/>
      </c>
      <c r="BX527" s="34">
        <f>AY527-(J527-L527+N527-Q527+T527-X527)</f>
        <v/>
      </c>
      <c r="BY527" s="34">
        <f>IF(AND(BX527&gt;0,MIN($F527:$G527)&lt;150,$E527="Enerji Açığı"),-100*BX527*1.03,IF(AND(BX527&gt;0,MIN($F527:$G527)&lt;150,$E527="Enerji Fazlası"),-100*BX527*1.06,IF(AND(BX527&gt;0,MIN($F527:$G527)&gt;=150,$E527="Enerji Açığı"),BX527*MIN($F527:$G527)*0.97,IF(AND(BX527&gt;0,MIN($F527:$G527)&gt;=150,$E527="Enerji Fazlası"),BX527*MIN($F527:$G527)*0.94,IF(AND(BX527&lt;0,MAX($F527:$G527)=4500,$E527="Enerji Açığı"),4500*1.05*1.06*BX527,IF(AND(BX527&lt;0,MAX($F527:$G527)=4500,$E527="Enerji Fazlası"),4500*1.05*1.03*BX527,IF(AND(BX527&lt;0,$E527="Enerji Açığı"),MAX($F527,$G527,150)*BX527*1.06,IF(AND(BX527&lt;0,$E527="Enerji Fazlası"),MAX($F527,$G527,150)*BX527*1.03,IF(AND(BX527&lt;0,$E527="Dengede"),MAX($F527:$G527,150)*1.03*BX527,MIN($F527:$G527)*0.97*BX527)))))))))</f>
        <v/>
      </c>
      <c r="BZ527" s="34">
        <f>BE527-BV527-CA527</f>
        <v/>
      </c>
      <c r="CA527" s="34">
        <f>BD527</f>
        <v/>
      </c>
      <c r="CB527" s="33">
        <f>BE527-BV527</f>
        <v/>
      </c>
      <c r="CC527" s="34">
        <f>IF(AY527=0,0,CB527/AY527)</f>
        <v/>
      </c>
      <c r="CD527" s="34">
        <f>MAX((AY527+MAX((-J527+L527-N527+Q527-T527+X527),0)),(MAX((J527-L527+N527-Q527+T527-X527),0)))</f>
        <v/>
      </c>
      <c r="CE527" s="82">
        <f>IFERROR(ABS(BX527/CD527),0)</f>
        <v/>
      </c>
      <c r="CF527" s="34">
        <f>IF(CE527&lt;=0.1,0,BX527/CE527*(CE527-0.1))</f>
        <v/>
      </c>
      <c r="CG527" s="34">
        <f>IF((CF527)&lt;0,MAX(F527:G527)*(CF527)*1.03,MIN(F527:G527)*(CF527)*0.97)</f>
        <v/>
      </c>
      <c r="CH527" s="34">
        <f>IF(CE527&gt;0.1,1,0)</f>
        <v/>
      </c>
      <c r="CI527" s="34">
        <f>(F527*BX527)-BY527</f>
        <v/>
      </c>
      <c r="CJ527" s="34">
        <f>IF(AY527=0,0,CI527/AY527)</f>
        <v/>
      </c>
    </row>
    <row r="528">
      <c r="A528" s="29">
        <f>[1]FİYATLAR!A503</f>
        <v/>
      </c>
      <c r="B528" s="29">
        <f>[1]FİYATLAR!B503</f>
        <v/>
      </c>
      <c r="C528" s="35">
        <f>INT(A528)</f>
        <v/>
      </c>
      <c r="D528" s="36">
        <f>MONTH(A528)</f>
        <v/>
      </c>
      <c r="E528" s="147">
        <f>[1]FİYATLAR!G503</f>
        <v/>
      </c>
      <c r="F528" s="30">
        <f>[1]FİYATLAR!C503</f>
        <v/>
      </c>
      <c r="G528" s="30">
        <f>[1]FİYATLAR!E503</f>
        <v/>
      </c>
      <c r="H528" s="30">
        <f>[1]FİYATLAR!D503</f>
        <v/>
      </c>
      <c r="I528" s="30">
        <f>[1]FİYATLAR!F503</f>
        <v/>
      </c>
      <c r="J528" s="119" t="n">
        <v>0</v>
      </c>
      <c r="K528" s="34">
        <f>F528*J528</f>
        <v/>
      </c>
      <c r="L528" s="119" t="n"/>
      <c r="M528" s="34">
        <f>L528*F528</f>
        <v/>
      </c>
      <c r="N528" s="119" t="n"/>
      <c r="O528" s="34">
        <f>F528</f>
        <v/>
      </c>
      <c r="P528" s="34">
        <f>N528*O528</f>
        <v/>
      </c>
      <c r="Q528" s="117" t="n">
        <v>0</v>
      </c>
      <c r="R528" s="34">
        <f>F528</f>
        <v/>
      </c>
      <c r="S528" s="34">
        <f>R528*Q528</f>
        <v/>
      </c>
      <c r="T528" s="34">
        <f>SUMIFS('[1]GİP VERİLERİ'!$C:$C,'[1]GİP VERİLERİ'!$B:$B,A528,'[1]GİP VERİLERİ'!$M:$M,"40X000000104782K",'[1]GİP VERİLERİ'!$G:$G,"SELL")</f>
        <v/>
      </c>
      <c r="U528" s="34">
        <f>IFERROR(W528/T528,0)</f>
        <v/>
      </c>
      <c r="V528" s="34">
        <f>IF(U528=0,0,U528-F528)</f>
        <v/>
      </c>
      <c r="W528" s="34">
        <f>SUMIFS('[1]GİP VERİLERİ'!$O:$O,'[1]GİP VERİLERİ'!$B:$B,A528,'[1]GİP VERİLERİ'!$M:$M,"40X000000104782K",'[1]GİP VERİLERİ'!$G:$G,"SELL")</f>
        <v/>
      </c>
      <c r="X528" s="34">
        <f>SUMIFS('[1]GİP VERİLERİ'!$C:$C,'[1]GİP VERİLERİ'!$B:$B,A528,'[1]GİP VERİLERİ'!$M:$M,"40X000000104782K",'[1]GİP VERİLERİ'!$G:$G,"BUY")</f>
        <v/>
      </c>
      <c r="Y528" s="34">
        <f>IFERROR(AA528/X528,0)</f>
        <v/>
      </c>
      <c r="Z528" s="34">
        <f>IF(Y528=0,0,F528-Y528)</f>
        <v/>
      </c>
      <c r="AA528" s="34">
        <f>SUMIFS('[1]GİP VERİLERİ'!$O:$O,'[1]GİP VERİLERİ'!$B:$B,A528,'[1]GİP VERİLERİ'!$M:$M,"40X000000104782K",'[1]GİP VERİLERİ'!$G:$G,"BUY")</f>
        <v/>
      </c>
      <c r="AB528" s="34">
        <f>'[1]GÖP VERİLERİ'!H529</f>
        <v/>
      </c>
      <c r="AC528" s="34">
        <f>'[1]GÖP VERİLERİ'!I529</f>
        <v/>
      </c>
      <c r="AD528" s="34">
        <f>IF(AB528&gt;AC528*1.05,AB528-AC528*1.05,IF(AB528&lt;AC528*0.95,AC528*0.95-AB528,0))</f>
        <v/>
      </c>
      <c r="AE528" s="34">
        <f>MAX(F528,G528,750)*0.05*AD528</f>
        <v/>
      </c>
      <c r="AF528" s="34">
        <f>'[1]GÖP VERİLERİ'!J529</f>
        <v/>
      </c>
      <c r="AG528" s="34">
        <f>IF(AB528&gt;AF528*1.05,AB528-AF528*1.05,IF(AB528&lt;AF528*0.95,AF528*0.95-AB528,0))</f>
        <v/>
      </c>
      <c r="AH528" s="34">
        <f>MAX(I528,J528,750)*0.05*AG528</f>
        <v/>
      </c>
      <c r="AI528">
        <f>'[1]GÖP VERİLERİ'!E529</f>
        <v/>
      </c>
      <c r="AJ528">
        <f>'[1]GÖP VERİLERİ'!F529</f>
        <v/>
      </c>
      <c r="AK528" s="34">
        <f>IF(AI528&gt;AJ528*1.05,AI528-AJ528*1.05,IF(AI528&lt;AJ528*0.95,AJ528*0.95-AI528,0))</f>
        <v/>
      </c>
      <c r="AL528" s="34">
        <f>MAX(F528,G528,750)*0.05*AK528</f>
        <v/>
      </c>
      <c r="AM528" s="39">
        <f>'[1]GÖP VERİLERİ'!G529</f>
        <v/>
      </c>
      <c r="AN528" s="34">
        <f>IF(AI528&gt;AM528*1.05,AI528-AM528*1.05,IF(AI528&lt;AM528*0.95,AM528*0.95-AI528,0))</f>
        <v/>
      </c>
      <c r="AO528" s="34">
        <f>MAX(F528,G528,750)*0.05*AN528</f>
        <v/>
      </c>
      <c r="AP528" s="34">
        <f>'[1]GÖP VERİLERİ'!B529</f>
        <v/>
      </c>
      <c r="AQ528" s="34">
        <f>'[1]GÖP VERİLERİ'!C529</f>
        <v/>
      </c>
      <c r="AR528" s="34">
        <f>IF(AP528&gt;AQ528*1.05,AP528-AQ528*1.05,IF(AP528&lt;AQ528*0.95,AQ528*0.95-AP528,0))</f>
        <v/>
      </c>
      <c r="AS528" s="34">
        <f>MAX(F528:G528,750)*0.05*AR528</f>
        <v/>
      </c>
      <c r="AT528">
        <f>'[1]GÖP VERİLERİ'!D529</f>
        <v/>
      </c>
      <c r="AU528" s="34">
        <f>IF(AP528&gt;AT528*1.05,AP528-AT528*1.05,IF(AP528&lt;AT528*0.95,AT528*0.95-AP528,0))</f>
        <v/>
      </c>
      <c r="AV528" s="34">
        <f>MAX(F528:G528,750)*0.05*AU528</f>
        <v/>
      </c>
      <c r="AW528" s="34">
        <f>AC528+AJ528+AQ528</f>
        <v/>
      </c>
      <c r="AX528" s="34">
        <f>AF528+AM528+AT528</f>
        <v/>
      </c>
      <c r="AY528" s="34">
        <f>AB528+AI528+AP528</f>
        <v/>
      </c>
      <c r="AZ528" s="34" t="n">
        <v>0</v>
      </c>
      <c r="BA528" s="34">
        <f>AD528+AK528+AR528</f>
        <v/>
      </c>
      <c r="BB528" s="34">
        <f>MAX(F528:G528,750)*0.05*BA528</f>
        <v/>
      </c>
      <c r="BC528" s="34">
        <f>AG528+AN528+AU528</f>
        <v/>
      </c>
      <c r="BD528" s="34">
        <f>MAX(F528:G528,750)*0.05*BC528</f>
        <v/>
      </c>
      <c r="BE528" s="34">
        <f>F528*AY528</f>
        <v/>
      </c>
      <c r="BF528" s="34">
        <f>K528-M528</f>
        <v/>
      </c>
      <c r="BG528" s="34">
        <f>P528-S528</f>
        <v/>
      </c>
      <c r="BH528" s="34">
        <f>W528-AA528</f>
        <v/>
      </c>
      <c r="BI528" s="34">
        <f>BF528+BG528+BL528-BN528</f>
        <v/>
      </c>
      <c r="BJ528" s="34">
        <f>ABS(BK528)</f>
        <v/>
      </c>
      <c r="BK528" s="34">
        <f>AY528-(J528-L528+N528-Q528)</f>
        <v/>
      </c>
      <c r="BL528" s="34">
        <f>IF(AND(BK528&gt;0,MIN($F528:$G528)&lt;150,$E528="Enerji Açığı"),-100*BK528*1.03,IF(AND(BK528&gt;0,MIN($F528:$G528)&lt;150,$E528="Enerji Fazlası"),-100*BK528*1.06,IF(AND(BK528&gt;0,MIN($F528:$G528)&gt;=150,$E528="Enerji Açığı"),BK528*MIN($F528:$G528)*0.97,IF(AND(BK528&gt;0,MIN($F528:$G528)&gt;=150,$E528="Enerji Fazlası"),BK528*MIN($F528:$G528)*0.94,IF(AND(BK528&lt;0,MAX($F528:$G528)=4500,$E528="Enerji Açığı"),4500*1.05*1.06*BK528,IF(AND(BK528&lt;0,MAX($F528:$G528)=4500,$E528="Enerji Fazlası"),4500*1.05*1.03*BK528,IF(AND(BK528&lt;0,$E528="Enerji Açığı"),MAX($F528,$G528,150)*BK528*1.06,IF(AND(BK528&lt;0,$E528="Enerji Fazlası"),MAX($F528,$G528,150)*BK528*1.03,IF(AND(BK528&lt;0,$E528="Dengede"),MAX($F528:$G528,150)*1.03*BK528,MIN($F528:$G528)*0.97*BK528)))))))))</f>
        <v/>
      </c>
      <c r="BM528" s="34">
        <f>BE528-BI528-BN528</f>
        <v/>
      </c>
      <c r="BN528" s="34">
        <f>BB528</f>
        <v/>
      </c>
      <c r="BO528" s="34">
        <f>BE528-BI528</f>
        <v/>
      </c>
      <c r="BP528" s="34">
        <f>IF(AY528=0,0,BO528/AY528)</f>
        <v/>
      </c>
      <c r="BQ528" s="34">
        <f>MAX((AY528+MAX((-J528+L528-N528+Q528),0)),(MAX((J528-L528+N528-Q528),0)))</f>
        <v/>
      </c>
      <c r="BR528" s="82">
        <f>IFERROR(ABS(BK528/BQ528),0)</f>
        <v/>
      </c>
      <c r="BS528" s="34">
        <f>IF(BR528&lt;=0.1,0,BK528/BR528*(BR528-0.1))</f>
        <v/>
      </c>
      <c r="BT528" s="34">
        <f>IF((BS528)&lt;0,MAX(F528:G528)*(BS528)*1.03,MIN(F528:G528)*(BS528)*0.97)</f>
        <v/>
      </c>
      <c r="BU528" s="34">
        <f>IF(BR528&gt;0.1,1,0)</f>
        <v/>
      </c>
      <c r="BV528" s="34">
        <f>BF528+BG528+BH528+BY528-CA528</f>
        <v/>
      </c>
      <c r="BW528" s="34">
        <f>ABS(BX528)</f>
        <v/>
      </c>
      <c r="BX528" s="34">
        <f>AY528-(J528-L528+N528-Q528+T528-X528)</f>
        <v/>
      </c>
      <c r="BY528" s="34">
        <f>IF(AND(BX528&gt;0,MIN($F528:$G528)&lt;150,$E528="Enerji Açığı"),-100*BX528*1.03,IF(AND(BX528&gt;0,MIN($F528:$G528)&lt;150,$E528="Enerji Fazlası"),-100*BX528*1.06,IF(AND(BX528&gt;0,MIN($F528:$G528)&gt;=150,$E528="Enerji Açığı"),BX528*MIN($F528:$G528)*0.97,IF(AND(BX528&gt;0,MIN($F528:$G528)&gt;=150,$E528="Enerji Fazlası"),BX528*MIN($F528:$G528)*0.94,IF(AND(BX528&lt;0,MAX($F528:$G528)=4500,$E528="Enerji Açığı"),4500*1.05*1.06*BX528,IF(AND(BX528&lt;0,MAX($F528:$G528)=4500,$E528="Enerji Fazlası"),4500*1.05*1.03*BX528,IF(AND(BX528&lt;0,$E528="Enerji Açığı"),MAX($F528,$G528,150)*BX528*1.06,IF(AND(BX528&lt;0,$E528="Enerji Fazlası"),MAX($F528,$G528,150)*BX528*1.03,IF(AND(BX528&lt;0,$E528="Dengede"),MAX($F528:$G528,150)*1.03*BX528,MIN($F528:$G528)*0.97*BX528)))))))))</f>
        <v/>
      </c>
      <c r="BZ528" s="34">
        <f>BE528-BV528-CA528</f>
        <v/>
      </c>
      <c r="CA528" s="34">
        <f>BD528</f>
        <v/>
      </c>
      <c r="CB528" s="33">
        <f>BE528-BV528</f>
        <v/>
      </c>
      <c r="CC528" s="34">
        <f>IF(AY528=0,0,CB528/AY528)</f>
        <v/>
      </c>
      <c r="CD528" s="34">
        <f>MAX((AY528+MAX((-J528+L528-N528+Q528-T528+X528),0)),(MAX((J528-L528+N528-Q528+T528-X528),0)))</f>
        <v/>
      </c>
      <c r="CE528" s="82">
        <f>IFERROR(ABS(BX528/CD528),0)</f>
        <v/>
      </c>
      <c r="CF528" s="34">
        <f>IF(CE528&lt;=0.1,0,BX528/CE528*(CE528-0.1))</f>
        <v/>
      </c>
      <c r="CG528" s="34">
        <f>IF((CF528)&lt;0,MAX(F528:G528)*(CF528)*1.03,MIN(F528:G528)*(CF528)*0.97)</f>
        <v/>
      </c>
      <c r="CH528" s="34">
        <f>IF(CE528&gt;0.1,1,0)</f>
        <v/>
      </c>
      <c r="CI528" s="34">
        <f>(F528*BX528)-BY528</f>
        <v/>
      </c>
      <c r="CJ528" s="34">
        <f>IF(AY528=0,0,CI528/AY528)</f>
        <v/>
      </c>
    </row>
    <row r="529">
      <c r="A529" s="29">
        <f>[1]FİYATLAR!A504</f>
        <v/>
      </c>
      <c r="B529" s="29">
        <f>[1]FİYATLAR!B504</f>
        <v/>
      </c>
      <c r="C529" s="35">
        <f>INT(A529)</f>
        <v/>
      </c>
      <c r="D529" s="36">
        <f>MONTH(A529)</f>
        <v/>
      </c>
      <c r="E529" s="147">
        <f>[1]FİYATLAR!G504</f>
        <v/>
      </c>
      <c r="F529" s="30">
        <f>[1]FİYATLAR!C504</f>
        <v/>
      </c>
      <c r="G529" s="30">
        <f>[1]FİYATLAR!E504</f>
        <v/>
      </c>
      <c r="H529" s="30">
        <f>[1]FİYATLAR!D504</f>
        <v/>
      </c>
      <c r="I529" s="30">
        <f>[1]FİYATLAR!F504</f>
        <v/>
      </c>
      <c r="J529" s="119" t="n">
        <v>0</v>
      </c>
      <c r="K529" s="34">
        <f>F529*J529</f>
        <v/>
      </c>
      <c r="L529" s="119" t="n"/>
      <c r="M529" s="34">
        <f>L529*F529</f>
        <v/>
      </c>
      <c r="N529" s="119" t="n"/>
      <c r="O529" s="34">
        <f>F529</f>
        <v/>
      </c>
      <c r="P529" s="34">
        <f>N529*O529</f>
        <v/>
      </c>
      <c r="Q529" s="117" t="n">
        <v>0</v>
      </c>
      <c r="R529" s="34">
        <f>F529</f>
        <v/>
      </c>
      <c r="S529" s="34">
        <f>R529*Q529</f>
        <v/>
      </c>
      <c r="T529" s="34">
        <f>SUMIFS('[1]GİP VERİLERİ'!$C:$C,'[1]GİP VERİLERİ'!$B:$B,A529,'[1]GİP VERİLERİ'!$M:$M,"40X000000104782K",'[1]GİP VERİLERİ'!$G:$G,"SELL")</f>
        <v/>
      </c>
      <c r="U529" s="34">
        <f>IFERROR(W529/T529,0)</f>
        <v/>
      </c>
      <c r="V529" s="34">
        <f>IF(U529=0,0,U529-F529)</f>
        <v/>
      </c>
      <c r="W529" s="34">
        <f>SUMIFS('[1]GİP VERİLERİ'!$O:$O,'[1]GİP VERİLERİ'!$B:$B,A529,'[1]GİP VERİLERİ'!$M:$M,"40X000000104782K",'[1]GİP VERİLERİ'!$G:$G,"SELL")</f>
        <v/>
      </c>
      <c r="X529" s="34">
        <f>SUMIFS('[1]GİP VERİLERİ'!$C:$C,'[1]GİP VERİLERİ'!$B:$B,A529,'[1]GİP VERİLERİ'!$M:$M,"40X000000104782K",'[1]GİP VERİLERİ'!$G:$G,"BUY")</f>
        <v/>
      </c>
      <c r="Y529" s="34">
        <f>IFERROR(AA529/X529,0)</f>
        <v/>
      </c>
      <c r="Z529" s="34">
        <f>IF(Y529=0,0,F529-Y529)</f>
        <v/>
      </c>
      <c r="AA529" s="34">
        <f>SUMIFS('[1]GİP VERİLERİ'!$O:$O,'[1]GİP VERİLERİ'!$B:$B,A529,'[1]GİP VERİLERİ'!$M:$M,"40X000000104782K",'[1]GİP VERİLERİ'!$G:$G,"BUY")</f>
        <v/>
      </c>
      <c r="AB529" s="34">
        <f>'[1]GÖP VERİLERİ'!H530</f>
        <v/>
      </c>
      <c r="AC529" s="34">
        <f>'[1]GÖP VERİLERİ'!I530</f>
        <v/>
      </c>
      <c r="AD529" s="34">
        <f>IF(AB529&gt;AC529*1.05,AB529-AC529*1.05,IF(AB529&lt;AC529*0.95,AC529*0.95-AB529,0))</f>
        <v/>
      </c>
      <c r="AE529" s="34">
        <f>MAX(F529,G529,750)*0.05*AD529</f>
        <v/>
      </c>
      <c r="AF529" s="34">
        <f>'[1]GÖP VERİLERİ'!J530</f>
        <v/>
      </c>
      <c r="AG529" s="34">
        <f>IF(AB529&gt;AF529*1.05,AB529-AF529*1.05,IF(AB529&lt;AF529*0.95,AF529*0.95-AB529,0))</f>
        <v/>
      </c>
      <c r="AH529" s="34">
        <f>MAX(I529,J529,750)*0.05*AG529</f>
        <v/>
      </c>
      <c r="AI529">
        <f>'[1]GÖP VERİLERİ'!E530</f>
        <v/>
      </c>
      <c r="AJ529">
        <f>'[1]GÖP VERİLERİ'!F530</f>
        <v/>
      </c>
      <c r="AK529" s="34">
        <f>IF(AI529&gt;AJ529*1.05,AI529-AJ529*1.05,IF(AI529&lt;AJ529*0.95,AJ529*0.95-AI529,0))</f>
        <v/>
      </c>
      <c r="AL529" s="34">
        <f>MAX(F529,G529,750)*0.05*AK529</f>
        <v/>
      </c>
      <c r="AM529" s="39">
        <f>'[1]GÖP VERİLERİ'!G530</f>
        <v/>
      </c>
      <c r="AN529" s="34">
        <f>IF(AI529&gt;AM529*1.05,AI529-AM529*1.05,IF(AI529&lt;AM529*0.95,AM529*0.95-AI529,0))</f>
        <v/>
      </c>
      <c r="AO529" s="34">
        <f>MAX(F529,G529,750)*0.05*AN529</f>
        <v/>
      </c>
      <c r="AP529" s="34">
        <f>'[1]GÖP VERİLERİ'!B530</f>
        <v/>
      </c>
      <c r="AQ529" s="34">
        <f>'[1]GÖP VERİLERİ'!C530</f>
        <v/>
      </c>
      <c r="AR529" s="34">
        <f>IF(AP529&gt;AQ529*1.05,AP529-AQ529*1.05,IF(AP529&lt;AQ529*0.95,AQ529*0.95-AP529,0))</f>
        <v/>
      </c>
      <c r="AS529" s="34">
        <f>MAX(F529:G529,750)*0.05*AR529</f>
        <v/>
      </c>
      <c r="AT529">
        <f>'[1]GÖP VERİLERİ'!D530</f>
        <v/>
      </c>
      <c r="AU529" s="34">
        <f>IF(AP529&gt;AT529*1.05,AP529-AT529*1.05,IF(AP529&lt;AT529*0.95,AT529*0.95-AP529,0))</f>
        <v/>
      </c>
      <c r="AV529" s="34">
        <f>MAX(F529:G529,750)*0.05*AU529</f>
        <v/>
      </c>
      <c r="AW529" s="34">
        <f>AC529+AJ529+AQ529</f>
        <v/>
      </c>
      <c r="AX529" s="34">
        <f>AF529+AM529+AT529</f>
        <v/>
      </c>
      <c r="AY529" s="34">
        <f>AB529+AI529+AP529</f>
        <v/>
      </c>
      <c r="AZ529" s="34" t="n">
        <v>0</v>
      </c>
      <c r="BA529" s="34">
        <f>AD529+AK529+AR529</f>
        <v/>
      </c>
      <c r="BB529" s="34">
        <f>MAX(F529:G529,750)*0.05*BA529</f>
        <v/>
      </c>
      <c r="BC529" s="34">
        <f>AG529+AN529+AU529</f>
        <v/>
      </c>
      <c r="BD529" s="34">
        <f>MAX(F529:G529,750)*0.05*BC529</f>
        <v/>
      </c>
      <c r="BE529" s="34">
        <f>F529*AY529</f>
        <v/>
      </c>
      <c r="BF529" s="34">
        <f>K529-M529</f>
        <v/>
      </c>
      <c r="BG529" s="34">
        <f>P529-S529</f>
        <v/>
      </c>
      <c r="BH529" s="34">
        <f>W529-AA529</f>
        <v/>
      </c>
      <c r="BI529" s="34">
        <f>BF529+BG529+BL529-BN529</f>
        <v/>
      </c>
      <c r="BJ529" s="34">
        <f>ABS(BK529)</f>
        <v/>
      </c>
      <c r="BK529" s="34">
        <f>AY529-(J529-L529+N529-Q529)</f>
        <v/>
      </c>
      <c r="BL529" s="34">
        <f>IF(AND(BK529&gt;0,MIN($F529:$G529)&lt;150,$E529="Enerji Açığı"),-100*BK529*1.03,IF(AND(BK529&gt;0,MIN($F529:$G529)&lt;150,$E529="Enerji Fazlası"),-100*BK529*1.06,IF(AND(BK529&gt;0,MIN($F529:$G529)&gt;=150,$E529="Enerji Açığı"),BK529*MIN($F529:$G529)*0.97,IF(AND(BK529&gt;0,MIN($F529:$G529)&gt;=150,$E529="Enerji Fazlası"),BK529*MIN($F529:$G529)*0.94,IF(AND(BK529&lt;0,MAX($F529:$G529)=4500,$E529="Enerji Açığı"),4500*1.05*1.06*BK529,IF(AND(BK529&lt;0,MAX($F529:$G529)=4500,$E529="Enerji Fazlası"),4500*1.05*1.03*BK529,IF(AND(BK529&lt;0,$E529="Enerji Açığı"),MAX($F529,$G529,150)*BK529*1.06,IF(AND(BK529&lt;0,$E529="Enerji Fazlası"),MAX($F529,$G529,150)*BK529*1.03,IF(AND(BK529&lt;0,$E529="Dengede"),MAX($F529:$G529,150)*1.03*BK529,MIN($F529:$G529)*0.97*BK529)))))))))</f>
        <v/>
      </c>
      <c r="BM529" s="34">
        <f>BE529-BI529-BN529</f>
        <v/>
      </c>
      <c r="BN529" s="34">
        <f>BB529</f>
        <v/>
      </c>
      <c r="BO529" s="34">
        <f>BE529-BI529</f>
        <v/>
      </c>
      <c r="BP529" s="34">
        <f>IF(AY529=0,0,BO529/AY529)</f>
        <v/>
      </c>
      <c r="BQ529" s="34">
        <f>MAX((AY529+MAX((-J529+L529-N529+Q529),0)),(MAX((J529-L529+N529-Q529),0)))</f>
        <v/>
      </c>
      <c r="BR529" s="82">
        <f>IFERROR(ABS(BK529/BQ529),0)</f>
        <v/>
      </c>
      <c r="BS529" s="34">
        <f>IF(BR529&lt;=0.1,0,BK529/BR529*(BR529-0.1))</f>
        <v/>
      </c>
      <c r="BT529" s="34">
        <f>IF((BS529)&lt;0,MAX(F529:G529)*(BS529)*1.03,MIN(F529:G529)*(BS529)*0.97)</f>
        <v/>
      </c>
      <c r="BU529" s="34">
        <f>IF(BR529&gt;0.1,1,0)</f>
        <v/>
      </c>
      <c r="BV529" s="34">
        <f>BF529+BG529+BH529+BY529-CA529</f>
        <v/>
      </c>
      <c r="BW529" s="34">
        <f>ABS(BX529)</f>
        <v/>
      </c>
      <c r="BX529" s="34">
        <f>AY529-(J529-L529+N529-Q529+T529-X529)</f>
        <v/>
      </c>
      <c r="BY529" s="34">
        <f>IF(AND(BX529&gt;0,MIN($F529:$G529)&lt;150,$E529="Enerji Açığı"),-100*BX529*1.03,IF(AND(BX529&gt;0,MIN($F529:$G529)&lt;150,$E529="Enerji Fazlası"),-100*BX529*1.06,IF(AND(BX529&gt;0,MIN($F529:$G529)&gt;=150,$E529="Enerji Açığı"),BX529*MIN($F529:$G529)*0.97,IF(AND(BX529&gt;0,MIN($F529:$G529)&gt;=150,$E529="Enerji Fazlası"),BX529*MIN($F529:$G529)*0.94,IF(AND(BX529&lt;0,MAX($F529:$G529)=4500,$E529="Enerji Açığı"),4500*1.05*1.06*BX529,IF(AND(BX529&lt;0,MAX($F529:$G529)=4500,$E529="Enerji Fazlası"),4500*1.05*1.03*BX529,IF(AND(BX529&lt;0,$E529="Enerji Açığı"),MAX($F529,$G529,150)*BX529*1.06,IF(AND(BX529&lt;0,$E529="Enerji Fazlası"),MAX($F529,$G529,150)*BX529*1.03,IF(AND(BX529&lt;0,$E529="Dengede"),MAX($F529:$G529,150)*1.03*BX529,MIN($F529:$G529)*0.97*BX529)))))))))</f>
        <v/>
      </c>
      <c r="BZ529" s="34">
        <f>BE529-BV529-CA529</f>
        <v/>
      </c>
      <c r="CA529" s="34">
        <f>BD529</f>
        <v/>
      </c>
      <c r="CB529" s="33">
        <f>BE529-BV529</f>
        <v/>
      </c>
      <c r="CC529" s="34">
        <f>IF(AY529=0,0,CB529/AY529)</f>
        <v/>
      </c>
      <c r="CD529" s="34">
        <f>MAX((AY529+MAX((-J529+L529-N529+Q529-T529+X529),0)),(MAX((J529-L529+N529-Q529+T529-X529),0)))</f>
        <v/>
      </c>
      <c r="CE529" s="82">
        <f>IFERROR(ABS(BX529/CD529),0)</f>
        <v/>
      </c>
      <c r="CF529" s="34">
        <f>IF(CE529&lt;=0.1,0,BX529/CE529*(CE529-0.1))</f>
        <v/>
      </c>
      <c r="CG529" s="34">
        <f>IF((CF529)&lt;0,MAX(F529:G529)*(CF529)*1.03,MIN(F529:G529)*(CF529)*0.97)</f>
        <v/>
      </c>
      <c r="CH529" s="34">
        <f>IF(CE529&gt;0.1,1,0)</f>
        <v/>
      </c>
      <c r="CI529" s="34">
        <f>(F529*BX529)-BY529</f>
        <v/>
      </c>
      <c r="CJ529" s="34">
        <f>IF(AY529=0,0,CI529/AY529)</f>
        <v/>
      </c>
    </row>
    <row r="530">
      <c r="A530" s="29">
        <f>[1]FİYATLAR!A505</f>
        <v/>
      </c>
      <c r="B530" s="29">
        <f>[1]FİYATLAR!B505</f>
        <v/>
      </c>
      <c r="C530" s="35">
        <f>INT(A530)</f>
        <v/>
      </c>
      <c r="D530" s="36">
        <f>MONTH(A530)</f>
        <v/>
      </c>
      <c r="E530" s="147">
        <f>[1]FİYATLAR!G505</f>
        <v/>
      </c>
      <c r="F530" s="30">
        <f>[1]FİYATLAR!C505</f>
        <v/>
      </c>
      <c r="G530" s="30">
        <f>[1]FİYATLAR!E505</f>
        <v/>
      </c>
      <c r="H530" s="30">
        <f>[1]FİYATLAR!D505</f>
        <v/>
      </c>
      <c r="I530" s="30">
        <f>[1]FİYATLAR!F505</f>
        <v/>
      </c>
      <c r="J530" s="119" t="n">
        <v>0</v>
      </c>
      <c r="K530" s="34">
        <f>F530*J530</f>
        <v/>
      </c>
      <c r="L530" s="119" t="n"/>
      <c r="M530" s="34">
        <f>L530*F530</f>
        <v/>
      </c>
      <c r="N530" s="119" t="n"/>
      <c r="O530" s="34">
        <f>F530</f>
        <v/>
      </c>
      <c r="P530" s="34">
        <f>N530*O530</f>
        <v/>
      </c>
      <c r="Q530" s="117" t="n">
        <v>0</v>
      </c>
      <c r="R530" s="34">
        <f>F530</f>
        <v/>
      </c>
      <c r="S530" s="34">
        <f>R530*Q530</f>
        <v/>
      </c>
      <c r="T530" s="34">
        <f>SUMIFS('[1]GİP VERİLERİ'!$C:$C,'[1]GİP VERİLERİ'!$B:$B,A530,'[1]GİP VERİLERİ'!$M:$M,"40X000000104782K",'[1]GİP VERİLERİ'!$G:$G,"SELL")</f>
        <v/>
      </c>
      <c r="U530" s="34">
        <f>IFERROR(W530/T530,0)</f>
        <v/>
      </c>
      <c r="V530" s="34">
        <f>IF(U530=0,0,U530-F530)</f>
        <v/>
      </c>
      <c r="W530" s="34">
        <f>SUMIFS('[1]GİP VERİLERİ'!$O:$O,'[1]GİP VERİLERİ'!$B:$B,A530,'[1]GİP VERİLERİ'!$M:$M,"40X000000104782K",'[1]GİP VERİLERİ'!$G:$G,"SELL")</f>
        <v/>
      </c>
      <c r="X530" s="34">
        <f>SUMIFS('[1]GİP VERİLERİ'!$C:$C,'[1]GİP VERİLERİ'!$B:$B,A530,'[1]GİP VERİLERİ'!$M:$M,"40X000000104782K",'[1]GİP VERİLERİ'!$G:$G,"BUY")</f>
        <v/>
      </c>
      <c r="Y530" s="34">
        <f>IFERROR(AA530/X530,0)</f>
        <v/>
      </c>
      <c r="Z530" s="34">
        <f>IF(Y530=0,0,F530-Y530)</f>
        <v/>
      </c>
      <c r="AA530" s="34">
        <f>SUMIFS('[1]GİP VERİLERİ'!$O:$O,'[1]GİP VERİLERİ'!$B:$B,A530,'[1]GİP VERİLERİ'!$M:$M,"40X000000104782K",'[1]GİP VERİLERİ'!$G:$G,"BUY")</f>
        <v/>
      </c>
      <c r="AB530" s="34">
        <f>'[1]GÖP VERİLERİ'!H531</f>
        <v/>
      </c>
      <c r="AC530" s="34">
        <f>'[1]GÖP VERİLERİ'!I531</f>
        <v/>
      </c>
      <c r="AD530" s="34">
        <f>IF(AB530&gt;AC530*1.05,AB530-AC530*1.05,IF(AB530&lt;AC530*0.95,AC530*0.95-AB530,0))</f>
        <v/>
      </c>
      <c r="AE530" s="34">
        <f>MAX(F530,G530,750)*0.05*AD530</f>
        <v/>
      </c>
      <c r="AF530" s="34">
        <f>'[1]GÖP VERİLERİ'!J531</f>
        <v/>
      </c>
      <c r="AG530" s="34">
        <f>IF(AB530&gt;AF530*1.05,AB530-AF530*1.05,IF(AB530&lt;AF530*0.95,AF530*0.95-AB530,0))</f>
        <v/>
      </c>
      <c r="AH530" s="34">
        <f>MAX(I530,J530,750)*0.05*AG530</f>
        <v/>
      </c>
      <c r="AI530">
        <f>'[1]GÖP VERİLERİ'!E531</f>
        <v/>
      </c>
      <c r="AJ530">
        <f>'[1]GÖP VERİLERİ'!F531</f>
        <v/>
      </c>
      <c r="AK530" s="34">
        <f>IF(AI530&gt;AJ530*1.05,AI530-AJ530*1.05,IF(AI530&lt;AJ530*0.95,AJ530*0.95-AI530,0))</f>
        <v/>
      </c>
      <c r="AL530" s="34">
        <f>MAX(F530,G530,750)*0.05*AK530</f>
        <v/>
      </c>
      <c r="AM530" s="39">
        <f>'[1]GÖP VERİLERİ'!G531</f>
        <v/>
      </c>
      <c r="AN530" s="34">
        <f>IF(AI530&gt;AM530*1.05,AI530-AM530*1.05,IF(AI530&lt;AM530*0.95,AM530*0.95-AI530,0))</f>
        <v/>
      </c>
      <c r="AO530" s="34">
        <f>MAX(F530,G530,750)*0.05*AN530</f>
        <v/>
      </c>
      <c r="AP530" s="34">
        <f>'[1]GÖP VERİLERİ'!B531</f>
        <v/>
      </c>
      <c r="AQ530" s="34">
        <f>'[1]GÖP VERİLERİ'!C531</f>
        <v/>
      </c>
      <c r="AR530" s="34">
        <f>IF(AP530&gt;AQ530*1.05,AP530-AQ530*1.05,IF(AP530&lt;AQ530*0.95,AQ530*0.95-AP530,0))</f>
        <v/>
      </c>
      <c r="AS530" s="34">
        <f>MAX(F530:G530,750)*0.05*AR530</f>
        <v/>
      </c>
      <c r="AT530">
        <f>'[1]GÖP VERİLERİ'!D531</f>
        <v/>
      </c>
      <c r="AU530" s="34">
        <f>IF(AP530&gt;AT530*1.05,AP530-AT530*1.05,IF(AP530&lt;AT530*0.95,AT530*0.95-AP530,0))</f>
        <v/>
      </c>
      <c r="AV530" s="34">
        <f>MAX(F530:G530,750)*0.05*AU530</f>
        <v/>
      </c>
      <c r="AW530" s="34">
        <f>AC530+AJ530+AQ530</f>
        <v/>
      </c>
      <c r="AX530" s="34">
        <f>AF530+AM530+AT530</f>
        <v/>
      </c>
      <c r="AY530" s="34">
        <f>AB530+AI530+AP530</f>
        <v/>
      </c>
      <c r="AZ530" s="34" t="n">
        <v>0</v>
      </c>
      <c r="BA530" s="34">
        <f>AD530+AK530+AR530</f>
        <v/>
      </c>
      <c r="BB530" s="34">
        <f>MAX(F530:G530,750)*0.05*BA530</f>
        <v/>
      </c>
      <c r="BC530" s="34">
        <f>AG530+AN530+AU530</f>
        <v/>
      </c>
      <c r="BD530" s="34">
        <f>MAX(F530:G530,750)*0.05*BC530</f>
        <v/>
      </c>
      <c r="BE530" s="34">
        <f>F530*AY530</f>
        <v/>
      </c>
      <c r="BF530" s="34">
        <f>K530-M530</f>
        <v/>
      </c>
      <c r="BG530" s="34">
        <f>P530-S530</f>
        <v/>
      </c>
      <c r="BH530" s="34">
        <f>W530-AA530</f>
        <v/>
      </c>
      <c r="BI530" s="34">
        <f>BF530+BG530+BL530-BN530</f>
        <v/>
      </c>
      <c r="BJ530" s="34">
        <f>ABS(BK530)</f>
        <v/>
      </c>
      <c r="BK530" s="34">
        <f>AY530-(J530-L530+N530-Q530)</f>
        <v/>
      </c>
      <c r="BL530" s="34">
        <f>IF(AND(BK530&gt;0,MIN($F530:$G530)&lt;150,$E530="Enerji Açığı"),-100*BK530*1.03,IF(AND(BK530&gt;0,MIN($F530:$G530)&lt;150,$E530="Enerji Fazlası"),-100*BK530*1.06,IF(AND(BK530&gt;0,MIN($F530:$G530)&gt;=150,$E530="Enerji Açığı"),BK530*MIN($F530:$G530)*0.97,IF(AND(BK530&gt;0,MIN($F530:$G530)&gt;=150,$E530="Enerji Fazlası"),BK530*MIN($F530:$G530)*0.94,IF(AND(BK530&lt;0,MAX($F530:$G530)=4500,$E530="Enerji Açığı"),4500*1.05*1.06*BK530,IF(AND(BK530&lt;0,MAX($F530:$G530)=4500,$E530="Enerji Fazlası"),4500*1.05*1.03*BK530,IF(AND(BK530&lt;0,$E530="Enerji Açığı"),MAX($F530,$G530,150)*BK530*1.06,IF(AND(BK530&lt;0,$E530="Enerji Fazlası"),MAX($F530,$G530,150)*BK530*1.03,IF(AND(BK530&lt;0,$E530="Dengede"),MAX($F530:$G530,150)*1.03*BK530,MIN($F530:$G530)*0.97*BK530)))))))))</f>
        <v/>
      </c>
      <c r="BM530" s="34">
        <f>BE530-BI530-BN530</f>
        <v/>
      </c>
      <c r="BN530" s="34">
        <f>BB530</f>
        <v/>
      </c>
      <c r="BO530" s="34">
        <f>BE530-BI530</f>
        <v/>
      </c>
      <c r="BP530" s="34">
        <f>IF(AY530=0,0,BO530/AY530)</f>
        <v/>
      </c>
      <c r="BQ530" s="34">
        <f>MAX((AY530+MAX((-J530+L530-N530+Q530),0)),(MAX((J530-L530+N530-Q530),0)))</f>
        <v/>
      </c>
      <c r="BR530" s="82">
        <f>IFERROR(ABS(BK530/BQ530),0)</f>
        <v/>
      </c>
      <c r="BS530" s="34">
        <f>IF(BR530&lt;=0.1,0,BK530/BR530*(BR530-0.1))</f>
        <v/>
      </c>
      <c r="BT530" s="34">
        <f>IF((BS530)&lt;0,MAX(F530:G530)*(BS530)*1.03,MIN(F530:G530)*(BS530)*0.97)</f>
        <v/>
      </c>
      <c r="BU530" s="34">
        <f>IF(BR530&gt;0.1,1,0)</f>
        <v/>
      </c>
      <c r="BV530" s="34">
        <f>BF530+BG530+BH530+BY530-CA530</f>
        <v/>
      </c>
      <c r="BW530" s="34">
        <f>ABS(BX530)</f>
        <v/>
      </c>
      <c r="BX530" s="34">
        <f>AY530-(J530-L530+N530-Q530+T530-X530)</f>
        <v/>
      </c>
      <c r="BY530" s="34">
        <f>IF(AND(BX530&gt;0,MIN($F530:$G530)&lt;150,$E530="Enerji Açığı"),-100*BX530*1.03,IF(AND(BX530&gt;0,MIN($F530:$G530)&lt;150,$E530="Enerji Fazlası"),-100*BX530*1.06,IF(AND(BX530&gt;0,MIN($F530:$G530)&gt;=150,$E530="Enerji Açığı"),BX530*MIN($F530:$G530)*0.97,IF(AND(BX530&gt;0,MIN($F530:$G530)&gt;=150,$E530="Enerji Fazlası"),BX530*MIN($F530:$G530)*0.94,IF(AND(BX530&lt;0,MAX($F530:$G530)=4500,$E530="Enerji Açığı"),4500*1.05*1.06*BX530,IF(AND(BX530&lt;0,MAX($F530:$G530)=4500,$E530="Enerji Fazlası"),4500*1.05*1.03*BX530,IF(AND(BX530&lt;0,$E530="Enerji Açığı"),MAX($F530,$G530,150)*BX530*1.06,IF(AND(BX530&lt;0,$E530="Enerji Fazlası"),MAX($F530,$G530,150)*BX530*1.03,IF(AND(BX530&lt;0,$E530="Dengede"),MAX($F530:$G530,150)*1.03*BX530,MIN($F530:$G530)*0.97*BX530)))))))))</f>
        <v/>
      </c>
      <c r="BZ530" s="34">
        <f>BE530-BV530-CA530</f>
        <v/>
      </c>
      <c r="CA530" s="34">
        <f>BD530</f>
        <v/>
      </c>
      <c r="CB530" s="33">
        <f>BE530-BV530</f>
        <v/>
      </c>
      <c r="CC530" s="34">
        <f>IF(AY530=0,0,CB530/AY530)</f>
        <v/>
      </c>
      <c r="CD530" s="34">
        <f>MAX((AY530+MAX((-J530+L530-N530+Q530-T530+X530),0)),(MAX((J530-L530+N530-Q530+T530-X530),0)))</f>
        <v/>
      </c>
      <c r="CE530" s="82">
        <f>IFERROR(ABS(BX530/CD530),0)</f>
        <v/>
      </c>
      <c r="CF530" s="34">
        <f>IF(CE530&lt;=0.1,0,BX530/CE530*(CE530-0.1))</f>
        <v/>
      </c>
      <c r="CG530" s="34">
        <f>IF((CF530)&lt;0,MAX(F530:G530)*(CF530)*1.03,MIN(F530:G530)*(CF530)*0.97)</f>
        <v/>
      </c>
      <c r="CH530" s="34">
        <f>IF(CE530&gt;0.1,1,0)</f>
        <v/>
      </c>
      <c r="CI530" s="34">
        <f>(F530*BX530)-BY530</f>
        <v/>
      </c>
      <c r="CJ530" s="34">
        <f>IF(AY530=0,0,CI530/AY530)</f>
        <v/>
      </c>
    </row>
    <row r="531">
      <c r="A531" s="29">
        <f>[1]FİYATLAR!A506</f>
        <v/>
      </c>
      <c r="B531" s="29">
        <f>[1]FİYATLAR!B506</f>
        <v/>
      </c>
      <c r="C531" s="35">
        <f>INT(A531)</f>
        <v/>
      </c>
      <c r="D531" s="36">
        <f>MONTH(A531)</f>
        <v/>
      </c>
      <c r="E531" s="147">
        <f>[1]FİYATLAR!G506</f>
        <v/>
      </c>
      <c r="F531" s="30">
        <f>[1]FİYATLAR!C506</f>
        <v/>
      </c>
      <c r="G531" s="30">
        <f>[1]FİYATLAR!E506</f>
        <v/>
      </c>
      <c r="H531" s="30">
        <f>[1]FİYATLAR!D506</f>
        <v/>
      </c>
      <c r="I531" s="30">
        <f>[1]FİYATLAR!F506</f>
        <v/>
      </c>
      <c r="J531" s="119" t="n">
        <v>0</v>
      </c>
      <c r="K531" s="34">
        <f>F531*J531</f>
        <v/>
      </c>
      <c r="L531" s="119" t="n"/>
      <c r="M531" s="34">
        <f>L531*F531</f>
        <v/>
      </c>
      <c r="N531" s="119" t="n"/>
      <c r="O531" s="34">
        <f>F531</f>
        <v/>
      </c>
      <c r="P531" s="34">
        <f>N531*O531</f>
        <v/>
      </c>
      <c r="Q531" s="117" t="n">
        <v>0</v>
      </c>
      <c r="R531" s="34">
        <f>F531</f>
        <v/>
      </c>
      <c r="S531" s="34">
        <f>R531*Q531</f>
        <v/>
      </c>
      <c r="T531" s="34">
        <f>SUMIFS('[1]GİP VERİLERİ'!$C:$C,'[1]GİP VERİLERİ'!$B:$B,A531,'[1]GİP VERİLERİ'!$M:$M,"40X000000104782K",'[1]GİP VERİLERİ'!$G:$G,"SELL")</f>
        <v/>
      </c>
      <c r="U531" s="34">
        <f>IFERROR(W531/T531,0)</f>
        <v/>
      </c>
      <c r="V531" s="34">
        <f>IF(U531=0,0,U531-F531)</f>
        <v/>
      </c>
      <c r="W531" s="34">
        <f>SUMIFS('[1]GİP VERİLERİ'!$O:$O,'[1]GİP VERİLERİ'!$B:$B,A531,'[1]GİP VERİLERİ'!$M:$M,"40X000000104782K",'[1]GİP VERİLERİ'!$G:$G,"SELL")</f>
        <v/>
      </c>
      <c r="X531" s="34">
        <f>SUMIFS('[1]GİP VERİLERİ'!$C:$C,'[1]GİP VERİLERİ'!$B:$B,A531,'[1]GİP VERİLERİ'!$M:$M,"40X000000104782K",'[1]GİP VERİLERİ'!$G:$G,"BUY")</f>
        <v/>
      </c>
      <c r="Y531" s="34">
        <f>IFERROR(AA531/X531,0)</f>
        <v/>
      </c>
      <c r="Z531" s="34">
        <f>IF(Y531=0,0,F531-Y531)</f>
        <v/>
      </c>
      <c r="AA531" s="34">
        <f>SUMIFS('[1]GİP VERİLERİ'!$O:$O,'[1]GİP VERİLERİ'!$B:$B,A531,'[1]GİP VERİLERİ'!$M:$M,"40X000000104782K",'[1]GİP VERİLERİ'!$G:$G,"BUY")</f>
        <v/>
      </c>
      <c r="AB531" s="34">
        <f>'[1]GÖP VERİLERİ'!H532</f>
        <v/>
      </c>
      <c r="AC531" s="34">
        <f>'[1]GÖP VERİLERİ'!I532</f>
        <v/>
      </c>
      <c r="AD531" s="34">
        <f>IF(AB531&gt;AC531*1.05,AB531-AC531*1.05,IF(AB531&lt;AC531*0.95,AC531*0.95-AB531,0))</f>
        <v/>
      </c>
      <c r="AE531" s="34">
        <f>MAX(F531,G531,750)*0.05*AD531</f>
        <v/>
      </c>
      <c r="AF531" s="34">
        <f>'[1]GÖP VERİLERİ'!J532</f>
        <v/>
      </c>
      <c r="AG531" s="34">
        <f>IF(AB531&gt;AF531*1.05,AB531-AF531*1.05,IF(AB531&lt;AF531*0.95,AF531*0.95-AB531,0))</f>
        <v/>
      </c>
      <c r="AH531" s="34">
        <f>MAX(I531,J531,750)*0.05*AG531</f>
        <v/>
      </c>
      <c r="AI531">
        <f>'[1]GÖP VERİLERİ'!E532</f>
        <v/>
      </c>
      <c r="AJ531">
        <f>'[1]GÖP VERİLERİ'!F532</f>
        <v/>
      </c>
      <c r="AK531" s="34">
        <f>IF(AI531&gt;AJ531*1.05,AI531-AJ531*1.05,IF(AI531&lt;AJ531*0.95,AJ531*0.95-AI531,0))</f>
        <v/>
      </c>
      <c r="AL531" s="34">
        <f>MAX(F531,G531,750)*0.05*AK531</f>
        <v/>
      </c>
      <c r="AM531" s="39">
        <f>'[1]GÖP VERİLERİ'!G532</f>
        <v/>
      </c>
      <c r="AN531" s="34">
        <f>IF(AI531&gt;AM531*1.05,AI531-AM531*1.05,IF(AI531&lt;AM531*0.95,AM531*0.95-AI531,0))</f>
        <v/>
      </c>
      <c r="AO531" s="34">
        <f>MAX(F531,G531,750)*0.05*AN531</f>
        <v/>
      </c>
      <c r="AP531" s="34">
        <f>'[1]GÖP VERİLERİ'!B532</f>
        <v/>
      </c>
      <c r="AQ531" s="34">
        <f>'[1]GÖP VERİLERİ'!C532</f>
        <v/>
      </c>
      <c r="AR531" s="34">
        <f>IF(AP531&gt;AQ531*1.05,AP531-AQ531*1.05,IF(AP531&lt;AQ531*0.95,AQ531*0.95-AP531,0))</f>
        <v/>
      </c>
      <c r="AS531" s="34">
        <f>MAX(F531:G531,750)*0.05*AR531</f>
        <v/>
      </c>
      <c r="AT531">
        <f>'[1]GÖP VERİLERİ'!D532</f>
        <v/>
      </c>
      <c r="AU531" s="34">
        <f>IF(AP531&gt;AT531*1.05,AP531-AT531*1.05,IF(AP531&lt;AT531*0.95,AT531*0.95-AP531,0))</f>
        <v/>
      </c>
      <c r="AV531" s="34">
        <f>MAX(F531:G531,750)*0.05*AU531</f>
        <v/>
      </c>
      <c r="AW531" s="34">
        <f>AC531+AJ531+AQ531</f>
        <v/>
      </c>
      <c r="AX531" s="34">
        <f>AF531+AM531+AT531</f>
        <v/>
      </c>
      <c r="AY531" s="34">
        <f>AB531+AI531+AP531</f>
        <v/>
      </c>
      <c r="AZ531" s="34" t="n">
        <v>0</v>
      </c>
      <c r="BA531" s="34">
        <f>AD531+AK531+AR531</f>
        <v/>
      </c>
      <c r="BB531" s="34">
        <f>MAX(F531:G531,750)*0.05*BA531</f>
        <v/>
      </c>
      <c r="BC531" s="34">
        <f>AG531+AN531+AU531</f>
        <v/>
      </c>
      <c r="BD531" s="34">
        <f>MAX(F531:G531,750)*0.05*BC531</f>
        <v/>
      </c>
      <c r="BE531" s="34">
        <f>F531*AY531</f>
        <v/>
      </c>
      <c r="BF531" s="34">
        <f>K531-M531</f>
        <v/>
      </c>
      <c r="BG531" s="34">
        <f>P531-S531</f>
        <v/>
      </c>
      <c r="BH531" s="34">
        <f>W531-AA531</f>
        <v/>
      </c>
      <c r="BI531" s="34">
        <f>BF531+BG531+BL531-BN531</f>
        <v/>
      </c>
      <c r="BJ531" s="34">
        <f>ABS(BK531)</f>
        <v/>
      </c>
      <c r="BK531" s="34">
        <f>AY531-(J531-L531+N531-Q531)</f>
        <v/>
      </c>
      <c r="BL531" s="34">
        <f>IF(AND(BK531&gt;0,MIN($F531:$G531)&lt;150,$E531="Enerji Açığı"),-100*BK531*1.03,IF(AND(BK531&gt;0,MIN($F531:$G531)&lt;150,$E531="Enerji Fazlası"),-100*BK531*1.06,IF(AND(BK531&gt;0,MIN($F531:$G531)&gt;=150,$E531="Enerji Açığı"),BK531*MIN($F531:$G531)*0.97,IF(AND(BK531&gt;0,MIN($F531:$G531)&gt;=150,$E531="Enerji Fazlası"),BK531*MIN($F531:$G531)*0.94,IF(AND(BK531&lt;0,MAX($F531:$G531)=4500,$E531="Enerji Açığı"),4500*1.05*1.06*BK531,IF(AND(BK531&lt;0,MAX($F531:$G531)=4500,$E531="Enerji Fazlası"),4500*1.05*1.03*BK531,IF(AND(BK531&lt;0,$E531="Enerji Açığı"),MAX($F531,$G531,150)*BK531*1.06,IF(AND(BK531&lt;0,$E531="Enerji Fazlası"),MAX($F531,$G531,150)*BK531*1.03,IF(AND(BK531&lt;0,$E531="Dengede"),MAX($F531:$G531,150)*1.03*BK531,MIN($F531:$G531)*0.97*BK531)))))))))</f>
        <v/>
      </c>
      <c r="BM531" s="34">
        <f>BE531-BI531-BN531</f>
        <v/>
      </c>
      <c r="BN531" s="34">
        <f>BB531</f>
        <v/>
      </c>
      <c r="BO531" s="34">
        <f>BE531-BI531</f>
        <v/>
      </c>
      <c r="BP531" s="34">
        <f>IF(AY531=0,0,BO531/AY531)</f>
        <v/>
      </c>
      <c r="BQ531" s="34">
        <f>MAX((AY531+MAX((-J531+L531-N531+Q531),0)),(MAX((J531-L531+N531-Q531),0)))</f>
        <v/>
      </c>
      <c r="BR531" s="82">
        <f>IFERROR(ABS(BK531/BQ531),0)</f>
        <v/>
      </c>
      <c r="BS531" s="34">
        <f>IF(BR531&lt;=0.1,0,BK531/BR531*(BR531-0.1))</f>
        <v/>
      </c>
      <c r="BT531" s="34">
        <f>IF((BS531)&lt;0,MAX(F531:G531)*(BS531)*1.03,MIN(F531:G531)*(BS531)*0.97)</f>
        <v/>
      </c>
      <c r="BU531" s="34">
        <f>IF(BR531&gt;0.1,1,0)</f>
        <v/>
      </c>
      <c r="BV531" s="34">
        <f>BF531+BG531+BH531+BY531-CA531</f>
        <v/>
      </c>
      <c r="BW531" s="34">
        <f>ABS(BX531)</f>
        <v/>
      </c>
      <c r="BX531" s="34">
        <f>AY531-(J531-L531+N531-Q531+T531-X531)</f>
        <v/>
      </c>
      <c r="BY531" s="34">
        <f>IF(AND(BX531&gt;0,MIN($F531:$G531)&lt;150,$E531="Enerji Açığı"),-100*BX531*1.03,IF(AND(BX531&gt;0,MIN($F531:$G531)&lt;150,$E531="Enerji Fazlası"),-100*BX531*1.06,IF(AND(BX531&gt;0,MIN($F531:$G531)&gt;=150,$E531="Enerji Açığı"),BX531*MIN($F531:$G531)*0.97,IF(AND(BX531&gt;0,MIN($F531:$G531)&gt;=150,$E531="Enerji Fazlası"),BX531*MIN($F531:$G531)*0.94,IF(AND(BX531&lt;0,MAX($F531:$G531)=4500,$E531="Enerji Açığı"),4500*1.05*1.06*BX531,IF(AND(BX531&lt;0,MAX($F531:$G531)=4500,$E531="Enerji Fazlası"),4500*1.05*1.03*BX531,IF(AND(BX531&lt;0,$E531="Enerji Açığı"),MAX($F531,$G531,150)*BX531*1.06,IF(AND(BX531&lt;0,$E531="Enerji Fazlası"),MAX($F531,$G531,150)*BX531*1.03,IF(AND(BX531&lt;0,$E531="Dengede"),MAX($F531:$G531,150)*1.03*BX531,MIN($F531:$G531)*0.97*BX531)))))))))</f>
        <v/>
      </c>
      <c r="BZ531" s="34">
        <f>BE531-BV531-CA531</f>
        <v/>
      </c>
      <c r="CA531" s="34">
        <f>BD531</f>
        <v/>
      </c>
      <c r="CB531" s="33">
        <f>BE531-BV531</f>
        <v/>
      </c>
      <c r="CC531" s="34">
        <f>IF(AY531=0,0,CB531/AY531)</f>
        <v/>
      </c>
      <c r="CD531" s="34">
        <f>MAX((AY531+MAX((-J531+L531-N531+Q531-T531+X531),0)),(MAX((J531-L531+N531-Q531+T531-X531),0)))</f>
        <v/>
      </c>
      <c r="CE531" s="82">
        <f>IFERROR(ABS(BX531/CD531),0)</f>
        <v/>
      </c>
      <c r="CF531" s="34">
        <f>IF(CE531&lt;=0.1,0,BX531/CE531*(CE531-0.1))</f>
        <v/>
      </c>
      <c r="CG531" s="34">
        <f>IF((CF531)&lt;0,MAX(F531:G531)*(CF531)*1.03,MIN(F531:G531)*(CF531)*0.97)</f>
        <v/>
      </c>
      <c r="CH531" s="34">
        <f>IF(CE531&gt;0.1,1,0)</f>
        <v/>
      </c>
      <c r="CI531" s="34">
        <f>(F531*BX531)-BY531</f>
        <v/>
      </c>
      <c r="CJ531" s="34">
        <f>IF(AY531=0,0,CI531/AY531)</f>
        <v/>
      </c>
    </row>
    <row r="532">
      <c r="A532" s="29">
        <f>[1]FİYATLAR!A507</f>
        <v/>
      </c>
      <c r="B532" s="29">
        <f>[1]FİYATLAR!B507</f>
        <v/>
      </c>
      <c r="C532" s="35">
        <f>INT(A532)</f>
        <v/>
      </c>
      <c r="D532" s="36">
        <f>MONTH(A532)</f>
        <v/>
      </c>
      <c r="E532" s="147">
        <f>[1]FİYATLAR!G507</f>
        <v/>
      </c>
      <c r="F532" s="30">
        <f>[1]FİYATLAR!C507</f>
        <v/>
      </c>
      <c r="G532" s="30">
        <f>[1]FİYATLAR!E507</f>
        <v/>
      </c>
      <c r="H532" s="30">
        <f>[1]FİYATLAR!D507</f>
        <v/>
      </c>
      <c r="I532" s="30">
        <f>[1]FİYATLAR!F507</f>
        <v/>
      </c>
      <c r="J532" s="119" t="n">
        <v>0</v>
      </c>
      <c r="K532" s="34">
        <f>F532*J532</f>
        <v/>
      </c>
      <c r="L532" s="119" t="n"/>
      <c r="M532" s="34">
        <f>L532*F532</f>
        <v/>
      </c>
      <c r="N532" s="119" t="n"/>
      <c r="O532" s="34">
        <f>F532</f>
        <v/>
      </c>
      <c r="P532" s="34">
        <f>N532*O532</f>
        <v/>
      </c>
      <c r="Q532" s="117" t="n">
        <v>0</v>
      </c>
      <c r="R532" s="34">
        <f>F532</f>
        <v/>
      </c>
      <c r="S532" s="34">
        <f>R532*Q532</f>
        <v/>
      </c>
      <c r="T532" s="34">
        <f>SUMIFS('[1]GİP VERİLERİ'!$C:$C,'[1]GİP VERİLERİ'!$B:$B,A532,'[1]GİP VERİLERİ'!$M:$M,"40X000000104782K",'[1]GİP VERİLERİ'!$G:$G,"SELL")</f>
        <v/>
      </c>
      <c r="U532" s="34">
        <f>IFERROR(W532/T532,0)</f>
        <v/>
      </c>
      <c r="V532" s="34">
        <f>IF(U532=0,0,U532-F532)</f>
        <v/>
      </c>
      <c r="W532" s="34">
        <f>SUMIFS('[1]GİP VERİLERİ'!$O:$O,'[1]GİP VERİLERİ'!$B:$B,A532,'[1]GİP VERİLERİ'!$M:$M,"40X000000104782K",'[1]GİP VERİLERİ'!$G:$G,"SELL")</f>
        <v/>
      </c>
      <c r="X532" s="34">
        <f>SUMIFS('[1]GİP VERİLERİ'!$C:$C,'[1]GİP VERİLERİ'!$B:$B,A532,'[1]GİP VERİLERİ'!$M:$M,"40X000000104782K",'[1]GİP VERİLERİ'!$G:$G,"BUY")</f>
        <v/>
      </c>
      <c r="Y532" s="34">
        <f>IFERROR(AA532/X532,0)</f>
        <v/>
      </c>
      <c r="Z532" s="34">
        <f>IF(Y532=0,0,F532-Y532)</f>
        <v/>
      </c>
      <c r="AA532" s="34">
        <f>SUMIFS('[1]GİP VERİLERİ'!$O:$O,'[1]GİP VERİLERİ'!$B:$B,A532,'[1]GİP VERİLERİ'!$M:$M,"40X000000104782K",'[1]GİP VERİLERİ'!$G:$G,"BUY")</f>
        <v/>
      </c>
      <c r="AB532" s="34">
        <f>'[1]GÖP VERİLERİ'!H533</f>
        <v/>
      </c>
      <c r="AC532" s="34">
        <f>'[1]GÖP VERİLERİ'!I533</f>
        <v/>
      </c>
      <c r="AD532" s="34">
        <f>IF(AB532&gt;AC532*1.05,AB532-AC532*1.05,IF(AB532&lt;AC532*0.95,AC532*0.95-AB532,0))</f>
        <v/>
      </c>
      <c r="AE532" s="34">
        <f>MAX(F532,G532,750)*0.05*AD532</f>
        <v/>
      </c>
      <c r="AF532" s="34">
        <f>'[1]GÖP VERİLERİ'!J533</f>
        <v/>
      </c>
      <c r="AG532" s="34">
        <f>IF(AB532&gt;AF532*1.05,AB532-AF532*1.05,IF(AB532&lt;AF532*0.95,AF532*0.95-AB532,0))</f>
        <v/>
      </c>
      <c r="AH532" s="34">
        <f>MAX(I532,J532,750)*0.05*AG532</f>
        <v/>
      </c>
      <c r="AI532">
        <f>'[1]GÖP VERİLERİ'!E533</f>
        <v/>
      </c>
      <c r="AJ532">
        <f>'[1]GÖP VERİLERİ'!F533</f>
        <v/>
      </c>
      <c r="AK532" s="34">
        <f>IF(AI532&gt;AJ532*1.05,AI532-AJ532*1.05,IF(AI532&lt;AJ532*0.95,AJ532*0.95-AI532,0))</f>
        <v/>
      </c>
      <c r="AL532" s="34">
        <f>MAX(F532,G532,750)*0.05*AK532</f>
        <v/>
      </c>
      <c r="AM532" s="39">
        <f>'[1]GÖP VERİLERİ'!G533</f>
        <v/>
      </c>
      <c r="AN532" s="34">
        <f>IF(AI532&gt;AM532*1.05,AI532-AM532*1.05,IF(AI532&lt;AM532*0.95,AM532*0.95-AI532,0))</f>
        <v/>
      </c>
      <c r="AO532" s="34">
        <f>MAX(F532,G532,750)*0.05*AN532</f>
        <v/>
      </c>
      <c r="AP532" s="34">
        <f>'[1]GÖP VERİLERİ'!B533</f>
        <v/>
      </c>
      <c r="AQ532" s="34">
        <f>'[1]GÖP VERİLERİ'!C533</f>
        <v/>
      </c>
      <c r="AR532" s="34">
        <f>IF(AP532&gt;AQ532*1.05,AP532-AQ532*1.05,IF(AP532&lt;AQ532*0.95,AQ532*0.95-AP532,0))</f>
        <v/>
      </c>
      <c r="AS532" s="34">
        <f>MAX(F532:G532,750)*0.05*AR532</f>
        <v/>
      </c>
      <c r="AT532">
        <f>'[1]GÖP VERİLERİ'!D533</f>
        <v/>
      </c>
      <c r="AU532" s="34">
        <f>IF(AP532&gt;AT532*1.05,AP532-AT532*1.05,IF(AP532&lt;AT532*0.95,AT532*0.95-AP532,0))</f>
        <v/>
      </c>
      <c r="AV532" s="34">
        <f>MAX(F532:G532,750)*0.05*AU532</f>
        <v/>
      </c>
      <c r="AW532" s="34">
        <f>AC532+AJ532+AQ532</f>
        <v/>
      </c>
      <c r="AX532" s="34">
        <f>AF532+AM532+AT532</f>
        <v/>
      </c>
      <c r="AY532" s="34">
        <f>AB532+AI532+AP532</f>
        <v/>
      </c>
      <c r="AZ532" s="34" t="n">
        <v>0</v>
      </c>
      <c r="BA532" s="34">
        <f>AD532+AK532+AR532</f>
        <v/>
      </c>
      <c r="BB532" s="34">
        <f>MAX(F532:G532,750)*0.05*BA532</f>
        <v/>
      </c>
      <c r="BC532" s="34">
        <f>AG532+AN532+AU532</f>
        <v/>
      </c>
      <c r="BD532" s="34">
        <f>MAX(F532:G532,750)*0.05*BC532</f>
        <v/>
      </c>
      <c r="BE532" s="34">
        <f>F532*AY532</f>
        <v/>
      </c>
      <c r="BF532" s="34">
        <f>K532-M532</f>
        <v/>
      </c>
      <c r="BG532" s="34">
        <f>P532-S532</f>
        <v/>
      </c>
      <c r="BH532" s="34">
        <f>W532-AA532</f>
        <v/>
      </c>
      <c r="BI532" s="34">
        <f>BF532+BG532+BL532-BN532</f>
        <v/>
      </c>
      <c r="BJ532" s="34">
        <f>ABS(BK532)</f>
        <v/>
      </c>
      <c r="BK532" s="34">
        <f>AY532-(J532-L532+N532-Q532)</f>
        <v/>
      </c>
      <c r="BL532" s="34">
        <f>IF(AND(BK532&gt;0,MIN($F532:$G532)&lt;150,$E532="Enerji Açığı"),-100*BK532*1.03,IF(AND(BK532&gt;0,MIN($F532:$G532)&lt;150,$E532="Enerji Fazlası"),-100*BK532*1.06,IF(AND(BK532&gt;0,MIN($F532:$G532)&gt;=150,$E532="Enerji Açığı"),BK532*MIN($F532:$G532)*0.97,IF(AND(BK532&gt;0,MIN($F532:$G532)&gt;=150,$E532="Enerji Fazlası"),BK532*MIN($F532:$G532)*0.94,IF(AND(BK532&lt;0,MAX($F532:$G532)=4500,$E532="Enerji Açığı"),4500*1.05*1.06*BK532,IF(AND(BK532&lt;0,MAX($F532:$G532)=4500,$E532="Enerji Fazlası"),4500*1.05*1.03*BK532,IF(AND(BK532&lt;0,$E532="Enerji Açığı"),MAX($F532,$G532,150)*BK532*1.06,IF(AND(BK532&lt;0,$E532="Enerji Fazlası"),MAX($F532,$G532,150)*BK532*1.03,IF(AND(BK532&lt;0,$E532="Dengede"),MAX($F532:$G532,150)*1.03*BK532,MIN($F532:$G532)*0.97*BK532)))))))))</f>
        <v/>
      </c>
      <c r="BM532" s="34">
        <f>BE532-BI532-BN532</f>
        <v/>
      </c>
      <c r="BN532" s="34">
        <f>BB532</f>
        <v/>
      </c>
      <c r="BO532" s="34">
        <f>BE532-BI532</f>
        <v/>
      </c>
      <c r="BP532" s="34">
        <f>IF(AY532=0,0,BO532/AY532)</f>
        <v/>
      </c>
      <c r="BQ532" s="34">
        <f>MAX((AY532+MAX((-J532+L532-N532+Q532),0)),(MAX((J532-L532+N532-Q532),0)))</f>
        <v/>
      </c>
      <c r="BR532" s="82">
        <f>IFERROR(ABS(BK532/BQ532),0)</f>
        <v/>
      </c>
      <c r="BS532" s="34">
        <f>IF(BR532&lt;=0.1,0,BK532/BR532*(BR532-0.1))</f>
        <v/>
      </c>
      <c r="BT532" s="34">
        <f>IF((BS532)&lt;0,MAX(F532:G532)*(BS532)*1.03,MIN(F532:G532)*(BS532)*0.97)</f>
        <v/>
      </c>
      <c r="BU532" s="34">
        <f>IF(BR532&gt;0.1,1,0)</f>
        <v/>
      </c>
      <c r="BV532" s="34">
        <f>BF532+BG532+BH532+BY532-CA532</f>
        <v/>
      </c>
      <c r="BW532" s="34">
        <f>ABS(BX532)</f>
        <v/>
      </c>
      <c r="BX532" s="34">
        <f>AY532-(J532-L532+N532-Q532+T532-X532)</f>
        <v/>
      </c>
      <c r="BY532" s="34">
        <f>IF(AND(BX532&gt;0,MIN($F532:$G532)&lt;150,$E532="Enerji Açığı"),-100*BX532*1.03,IF(AND(BX532&gt;0,MIN($F532:$G532)&lt;150,$E532="Enerji Fazlası"),-100*BX532*1.06,IF(AND(BX532&gt;0,MIN($F532:$G532)&gt;=150,$E532="Enerji Açığı"),BX532*MIN($F532:$G532)*0.97,IF(AND(BX532&gt;0,MIN($F532:$G532)&gt;=150,$E532="Enerji Fazlası"),BX532*MIN($F532:$G532)*0.94,IF(AND(BX532&lt;0,MAX($F532:$G532)=4500,$E532="Enerji Açığı"),4500*1.05*1.06*BX532,IF(AND(BX532&lt;0,MAX($F532:$G532)=4500,$E532="Enerji Fazlası"),4500*1.05*1.03*BX532,IF(AND(BX532&lt;0,$E532="Enerji Açığı"),MAX($F532,$G532,150)*BX532*1.06,IF(AND(BX532&lt;0,$E532="Enerji Fazlası"),MAX($F532,$G532,150)*BX532*1.03,IF(AND(BX532&lt;0,$E532="Dengede"),MAX($F532:$G532,150)*1.03*BX532,MIN($F532:$G532)*0.97*BX532)))))))))</f>
        <v/>
      </c>
      <c r="BZ532" s="34">
        <f>BE532-BV532-CA532</f>
        <v/>
      </c>
      <c r="CA532" s="34">
        <f>BD532</f>
        <v/>
      </c>
      <c r="CB532" s="33">
        <f>BE532-BV532</f>
        <v/>
      </c>
      <c r="CC532" s="34">
        <f>IF(AY532=0,0,CB532/AY532)</f>
        <v/>
      </c>
      <c r="CD532" s="34">
        <f>MAX((AY532+MAX((-J532+L532-N532+Q532-T532+X532),0)),(MAX((J532-L532+N532-Q532+T532-X532),0)))</f>
        <v/>
      </c>
      <c r="CE532" s="82">
        <f>IFERROR(ABS(BX532/CD532),0)</f>
        <v/>
      </c>
      <c r="CF532" s="34">
        <f>IF(CE532&lt;=0.1,0,BX532/CE532*(CE532-0.1))</f>
        <v/>
      </c>
      <c r="CG532" s="34">
        <f>IF((CF532)&lt;0,MAX(F532:G532)*(CF532)*1.03,MIN(F532:G532)*(CF532)*0.97)</f>
        <v/>
      </c>
      <c r="CH532" s="34">
        <f>IF(CE532&gt;0.1,1,0)</f>
        <v/>
      </c>
      <c r="CI532" s="34">
        <f>(F532*BX532)-BY532</f>
        <v/>
      </c>
      <c r="CJ532" s="34">
        <f>IF(AY532=0,0,CI532/AY532)</f>
        <v/>
      </c>
    </row>
    <row r="533">
      <c r="A533" s="29">
        <f>[1]FİYATLAR!A508</f>
        <v/>
      </c>
      <c r="B533" s="29">
        <f>[1]FİYATLAR!B508</f>
        <v/>
      </c>
      <c r="C533" s="35">
        <f>INT(A533)</f>
        <v/>
      </c>
      <c r="D533" s="36">
        <f>MONTH(A533)</f>
        <v/>
      </c>
      <c r="E533" s="147">
        <f>[1]FİYATLAR!G508</f>
        <v/>
      </c>
      <c r="F533" s="30">
        <f>[1]FİYATLAR!C508</f>
        <v/>
      </c>
      <c r="G533" s="30">
        <f>[1]FİYATLAR!E508</f>
        <v/>
      </c>
      <c r="H533" s="30">
        <f>[1]FİYATLAR!D508</f>
        <v/>
      </c>
      <c r="I533" s="30">
        <f>[1]FİYATLAR!F508</f>
        <v/>
      </c>
      <c r="J533" s="119" t="n">
        <v>0</v>
      </c>
      <c r="K533" s="34">
        <f>F533*J533</f>
        <v/>
      </c>
      <c r="L533" s="119" t="n"/>
      <c r="M533" s="34">
        <f>L533*F533</f>
        <v/>
      </c>
      <c r="N533" s="119" t="n"/>
      <c r="O533" s="34">
        <f>F533</f>
        <v/>
      </c>
      <c r="P533" s="34">
        <f>N533*O533</f>
        <v/>
      </c>
      <c r="Q533" s="117" t="n">
        <v>0</v>
      </c>
      <c r="R533" s="34">
        <f>F533</f>
        <v/>
      </c>
      <c r="S533" s="34">
        <f>R533*Q533</f>
        <v/>
      </c>
      <c r="T533" s="34">
        <f>SUMIFS('[1]GİP VERİLERİ'!$C:$C,'[1]GİP VERİLERİ'!$B:$B,A533,'[1]GİP VERİLERİ'!$M:$M,"40X000000104782K",'[1]GİP VERİLERİ'!$G:$G,"SELL")</f>
        <v/>
      </c>
      <c r="U533" s="34">
        <f>IFERROR(W533/T533,0)</f>
        <v/>
      </c>
      <c r="V533" s="34">
        <f>IF(U533=0,0,U533-F533)</f>
        <v/>
      </c>
      <c r="W533" s="34">
        <f>SUMIFS('[1]GİP VERİLERİ'!$O:$O,'[1]GİP VERİLERİ'!$B:$B,A533,'[1]GİP VERİLERİ'!$M:$M,"40X000000104782K",'[1]GİP VERİLERİ'!$G:$G,"SELL")</f>
        <v/>
      </c>
      <c r="X533" s="34">
        <f>SUMIFS('[1]GİP VERİLERİ'!$C:$C,'[1]GİP VERİLERİ'!$B:$B,A533,'[1]GİP VERİLERİ'!$M:$M,"40X000000104782K",'[1]GİP VERİLERİ'!$G:$G,"BUY")</f>
        <v/>
      </c>
      <c r="Y533" s="34">
        <f>IFERROR(AA533/X533,0)</f>
        <v/>
      </c>
      <c r="Z533" s="34">
        <f>IF(Y533=0,0,F533-Y533)</f>
        <v/>
      </c>
      <c r="AA533" s="34">
        <f>SUMIFS('[1]GİP VERİLERİ'!$O:$O,'[1]GİP VERİLERİ'!$B:$B,A533,'[1]GİP VERİLERİ'!$M:$M,"40X000000104782K",'[1]GİP VERİLERİ'!$G:$G,"BUY")</f>
        <v/>
      </c>
      <c r="AB533" s="34">
        <f>'[1]GÖP VERİLERİ'!H534</f>
        <v/>
      </c>
      <c r="AC533" s="34">
        <f>'[1]GÖP VERİLERİ'!I534</f>
        <v/>
      </c>
      <c r="AD533" s="34">
        <f>IF(AB533&gt;AC533*1.05,AB533-AC533*1.05,IF(AB533&lt;AC533*0.95,AC533*0.95-AB533,0))</f>
        <v/>
      </c>
      <c r="AE533" s="34">
        <f>MAX(F533,G533,750)*0.05*AD533</f>
        <v/>
      </c>
      <c r="AF533" s="34">
        <f>'[1]GÖP VERİLERİ'!J534</f>
        <v/>
      </c>
      <c r="AG533" s="34">
        <f>IF(AB533&gt;AF533*1.05,AB533-AF533*1.05,IF(AB533&lt;AF533*0.95,AF533*0.95-AB533,0))</f>
        <v/>
      </c>
      <c r="AH533" s="34">
        <f>MAX(I533,J533,750)*0.05*AG533</f>
        <v/>
      </c>
      <c r="AI533">
        <f>'[1]GÖP VERİLERİ'!E534</f>
        <v/>
      </c>
      <c r="AJ533">
        <f>'[1]GÖP VERİLERİ'!F534</f>
        <v/>
      </c>
      <c r="AK533" s="34">
        <f>IF(AI533&gt;AJ533*1.05,AI533-AJ533*1.05,IF(AI533&lt;AJ533*0.95,AJ533*0.95-AI533,0))</f>
        <v/>
      </c>
      <c r="AL533" s="34">
        <f>MAX(F533,G533,750)*0.05*AK533</f>
        <v/>
      </c>
      <c r="AM533" s="39">
        <f>'[1]GÖP VERİLERİ'!G534</f>
        <v/>
      </c>
      <c r="AN533" s="34">
        <f>IF(AI533&gt;AM533*1.05,AI533-AM533*1.05,IF(AI533&lt;AM533*0.95,AM533*0.95-AI533,0))</f>
        <v/>
      </c>
      <c r="AO533" s="34">
        <f>MAX(F533,G533,750)*0.05*AN533</f>
        <v/>
      </c>
      <c r="AP533" s="34">
        <f>'[1]GÖP VERİLERİ'!B534</f>
        <v/>
      </c>
      <c r="AQ533" s="34">
        <f>'[1]GÖP VERİLERİ'!C534</f>
        <v/>
      </c>
      <c r="AR533" s="34">
        <f>IF(AP533&gt;AQ533*1.05,AP533-AQ533*1.05,IF(AP533&lt;AQ533*0.95,AQ533*0.95-AP533,0))</f>
        <v/>
      </c>
      <c r="AS533" s="34">
        <f>MAX(F533:G533,750)*0.05*AR533</f>
        <v/>
      </c>
      <c r="AT533">
        <f>'[1]GÖP VERİLERİ'!D534</f>
        <v/>
      </c>
      <c r="AU533" s="34">
        <f>IF(AP533&gt;AT533*1.05,AP533-AT533*1.05,IF(AP533&lt;AT533*0.95,AT533*0.95-AP533,0))</f>
        <v/>
      </c>
      <c r="AV533" s="34">
        <f>MAX(F533:G533,750)*0.05*AU533</f>
        <v/>
      </c>
      <c r="AW533" s="34">
        <f>AC533+AJ533+AQ533</f>
        <v/>
      </c>
      <c r="AX533" s="34">
        <f>AF533+AM533+AT533</f>
        <v/>
      </c>
      <c r="AY533" s="34">
        <f>AB533+AI533+AP533</f>
        <v/>
      </c>
      <c r="AZ533" s="34" t="n">
        <v>0</v>
      </c>
      <c r="BA533" s="34">
        <f>AD533+AK533+AR533</f>
        <v/>
      </c>
      <c r="BB533" s="34">
        <f>MAX(F533:G533,750)*0.05*BA533</f>
        <v/>
      </c>
      <c r="BC533" s="34">
        <f>AG533+AN533+AU533</f>
        <v/>
      </c>
      <c r="BD533" s="34">
        <f>MAX(F533:G533,750)*0.05*BC533</f>
        <v/>
      </c>
      <c r="BE533" s="34">
        <f>F533*AY533</f>
        <v/>
      </c>
      <c r="BF533" s="34">
        <f>K533-M533</f>
        <v/>
      </c>
      <c r="BG533" s="34">
        <f>P533-S533</f>
        <v/>
      </c>
      <c r="BH533" s="34">
        <f>W533-AA533</f>
        <v/>
      </c>
      <c r="BI533" s="34">
        <f>BF533+BG533+BL533-BN533</f>
        <v/>
      </c>
      <c r="BJ533" s="34">
        <f>ABS(BK533)</f>
        <v/>
      </c>
      <c r="BK533" s="34">
        <f>AY533-(J533-L533+N533-Q533)</f>
        <v/>
      </c>
      <c r="BL533" s="34">
        <f>IF(AND(BK533&gt;0,MIN($F533:$G533)&lt;150,$E533="Enerji Açığı"),-100*BK533*1.03,IF(AND(BK533&gt;0,MIN($F533:$G533)&lt;150,$E533="Enerji Fazlası"),-100*BK533*1.06,IF(AND(BK533&gt;0,MIN($F533:$G533)&gt;=150,$E533="Enerji Açığı"),BK533*MIN($F533:$G533)*0.97,IF(AND(BK533&gt;0,MIN($F533:$G533)&gt;=150,$E533="Enerji Fazlası"),BK533*MIN($F533:$G533)*0.94,IF(AND(BK533&lt;0,MAX($F533:$G533)=4500,$E533="Enerji Açığı"),4500*1.05*1.06*BK533,IF(AND(BK533&lt;0,MAX($F533:$G533)=4500,$E533="Enerji Fazlası"),4500*1.05*1.03*BK533,IF(AND(BK533&lt;0,$E533="Enerji Açığı"),MAX($F533,$G533,150)*BK533*1.06,IF(AND(BK533&lt;0,$E533="Enerji Fazlası"),MAX($F533,$G533,150)*BK533*1.03,IF(AND(BK533&lt;0,$E533="Dengede"),MAX($F533:$G533,150)*1.03*BK533,MIN($F533:$G533)*0.97*BK533)))))))))</f>
        <v/>
      </c>
      <c r="BM533" s="34">
        <f>BE533-BI533-BN533</f>
        <v/>
      </c>
      <c r="BN533" s="34">
        <f>BB533</f>
        <v/>
      </c>
      <c r="BO533" s="34">
        <f>BE533-BI533</f>
        <v/>
      </c>
      <c r="BP533" s="34">
        <f>IF(AY533=0,0,BO533/AY533)</f>
        <v/>
      </c>
      <c r="BQ533" s="34">
        <f>MAX((AY533+MAX((-J533+L533-N533+Q533),0)),(MAX((J533-L533+N533-Q533),0)))</f>
        <v/>
      </c>
      <c r="BR533" s="82">
        <f>IFERROR(ABS(BK533/BQ533),0)</f>
        <v/>
      </c>
      <c r="BS533" s="34">
        <f>IF(BR533&lt;=0.1,0,BK533/BR533*(BR533-0.1))</f>
        <v/>
      </c>
      <c r="BT533" s="34">
        <f>IF((BS533)&lt;0,MAX(F533:G533)*(BS533)*1.03,MIN(F533:G533)*(BS533)*0.97)</f>
        <v/>
      </c>
      <c r="BU533" s="34">
        <f>IF(BR533&gt;0.1,1,0)</f>
        <v/>
      </c>
      <c r="BV533" s="34">
        <f>BF533+BG533+BH533+BY533-CA533</f>
        <v/>
      </c>
      <c r="BW533" s="34">
        <f>ABS(BX533)</f>
        <v/>
      </c>
      <c r="BX533" s="34">
        <f>AY533-(J533-L533+N533-Q533+T533-X533)</f>
        <v/>
      </c>
      <c r="BY533" s="34">
        <f>IF(AND(BX533&gt;0,MIN($F533:$G533)&lt;150,$E533="Enerji Açığı"),-100*BX533*1.03,IF(AND(BX533&gt;0,MIN($F533:$G533)&lt;150,$E533="Enerji Fazlası"),-100*BX533*1.06,IF(AND(BX533&gt;0,MIN($F533:$G533)&gt;=150,$E533="Enerji Açığı"),BX533*MIN($F533:$G533)*0.97,IF(AND(BX533&gt;0,MIN($F533:$G533)&gt;=150,$E533="Enerji Fazlası"),BX533*MIN($F533:$G533)*0.94,IF(AND(BX533&lt;0,MAX($F533:$G533)=4500,$E533="Enerji Açığı"),4500*1.05*1.06*BX533,IF(AND(BX533&lt;0,MAX($F533:$G533)=4500,$E533="Enerji Fazlası"),4500*1.05*1.03*BX533,IF(AND(BX533&lt;0,$E533="Enerji Açığı"),MAX($F533,$G533,150)*BX533*1.06,IF(AND(BX533&lt;0,$E533="Enerji Fazlası"),MAX($F533,$G533,150)*BX533*1.03,IF(AND(BX533&lt;0,$E533="Dengede"),MAX($F533:$G533,150)*1.03*BX533,MIN($F533:$G533)*0.97*BX533)))))))))</f>
        <v/>
      </c>
      <c r="BZ533" s="34">
        <f>BE533-BV533-CA533</f>
        <v/>
      </c>
      <c r="CA533" s="34">
        <f>BD533</f>
        <v/>
      </c>
      <c r="CB533" s="33">
        <f>BE533-BV533</f>
        <v/>
      </c>
      <c r="CC533" s="34">
        <f>IF(AY533=0,0,CB533/AY533)</f>
        <v/>
      </c>
      <c r="CD533" s="34">
        <f>MAX((AY533+MAX((-J533+L533-N533+Q533-T533+X533),0)),(MAX((J533-L533+N533-Q533+T533-X533),0)))</f>
        <v/>
      </c>
      <c r="CE533" s="82">
        <f>IFERROR(ABS(BX533/CD533),0)</f>
        <v/>
      </c>
      <c r="CF533" s="34">
        <f>IF(CE533&lt;=0.1,0,BX533/CE533*(CE533-0.1))</f>
        <v/>
      </c>
      <c r="CG533" s="34">
        <f>IF((CF533)&lt;0,MAX(F533:G533)*(CF533)*1.03,MIN(F533:G533)*(CF533)*0.97)</f>
        <v/>
      </c>
      <c r="CH533" s="34">
        <f>IF(CE533&gt;0.1,1,0)</f>
        <v/>
      </c>
      <c r="CI533" s="34">
        <f>(F533*BX533)-BY533</f>
        <v/>
      </c>
      <c r="CJ533" s="34">
        <f>IF(AY533=0,0,CI533/AY533)</f>
        <v/>
      </c>
    </row>
    <row r="534">
      <c r="A534" s="29">
        <f>[1]FİYATLAR!A509</f>
        <v/>
      </c>
      <c r="B534" s="29">
        <f>[1]FİYATLAR!B509</f>
        <v/>
      </c>
      <c r="C534" s="35">
        <f>INT(A534)</f>
        <v/>
      </c>
      <c r="D534" s="36">
        <f>MONTH(A534)</f>
        <v/>
      </c>
      <c r="E534" s="147">
        <f>[1]FİYATLAR!G509</f>
        <v/>
      </c>
      <c r="F534" s="30">
        <f>[1]FİYATLAR!C509</f>
        <v/>
      </c>
      <c r="G534" s="30">
        <f>[1]FİYATLAR!E509</f>
        <v/>
      </c>
      <c r="H534" s="30">
        <f>[1]FİYATLAR!D509</f>
        <v/>
      </c>
      <c r="I534" s="30">
        <f>[1]FİYATLAR!F509</f>
        <v/>
      </c>
      <c r="J534" s="119" t="n">
        <v>0</v>
      </c>
      <c r="K534" s="34">
        <f>F534*J534</f>
        <v/>
      </c>
      <c r="L534" s="119" t="n"/>
      <c r="M534" s="34">
        <f>L534*F534</f>
        <v/>
      </c>
      <c r="N534" s="119" t="n"/>
      <c r="O534" s="34">
        <f>F534</f>
        <v/>
      </c>
      <c r="P534" s="34">
        <f>N534*O534</f>
        <v/>
      </c>
      <c r="Q534" s="117" t="n">
        <v>0</v>
      </c>
      <c r="R534" s="34">
        <f>F534</f>
        <v/>
      </c>
      <c r="S534" s="34">
        <f>R534*Q534</f>
        <v/>
      </c>
      <c r="T534" s="34">
        <f>SUMIFS('[1]GİP VERİLERİ'!$C:$C,'[1]GİP VERİLERİ'!$B:$B,A534,'[1]GİP VERİLERİ'!$M:$M,"40X000000104782K",'[1]GİP VERİLERİ'!$G:$G,"SELL")</f>
        <v/>
      </c>
      <c r="U534" s="34">
        <f>IFERROR(W534/T534,0)</f>
        <v/>
      </c>
      <c r="V534" s="34">
        <f>IF(U534=0,0,U534-F534)</f>
        <v/>
      </c>
      <c r="W534" s="34">
        <f>SUMIFS('[1]GİP VERİLERİ'!$O:$O,'[1]GİP VERİLERİ'!$B:$B,A534,'[1]GİP VERİLERİ'!$M:$M,"40X000000104782K",'[1]GİP VERİLERİ'!$G:$G,"SELL")</f>
        <v/>
      </c>
      <c r="X534" s="34">
        <f>SUMIFS('[1]GİP VERİLERİ'!$C:$C,'[1]GİP VERİLERİ'!$B:$B,A534,'[1]GİP VERİLERİ'!$M:$M,"40X000000104782K",'[1]GİP VERİLERİ'!$G:$G,"BUY")</f>
        <v/>
      </c>
      <c r="Y534" s="34">
        <f>IFERROR(AA534/X534,0)</f>
        <v/>
      </c>
      <c r="Z534" s="34">
        <f>IF(Y534=0,0,F534-Y534)</f>
        <v/>
      </c>
      <c r="AA534" s="34">
        <f>SUMIFS('[1]GİP VERİLERİ'!$O:$O,'[1]GİP VERİLERİ'!$B:$B,A534,'[1]GİP VERİLERİ'!$M:$M,"40X000000104782K",'[1]GİP VERİLERİ'!$G:$G,"BUY")</f>
        <v/>
      </c>
      <c r="AB534" s="34">
        <f>'[1]GÖP VERİLERİ'!H535</f>
        <v/>
      </c>
      <c r="AC534" s="34">
        <f>'[1]GÖP VERİLERİ'!I535</f>
        <v/>
      </c>
      <c r="AD534" s="34">
        <f>IF(AB534&gt;AC534*1.05,AB534-AC534*1.05,IF(AB534&lt;AC534*0.95,AC534*0.95-AB534,0))</f>
        <v/>
      </c>
      <c r="AE534" s="34">
        <f>MAX(F534,G534,750)*0.05*AD534</f>
        <v/>
      </c>
      <c r="AF534" s="34">
        <f>'[1]GÖP VERİLERİ'!J535</f>
        <v/>
      </c>
      <c r="AG534" s="34">
        <f>IF(AB534&gt;AF534*1.05,AB534-AF534*1.05,IF(AB534&lt;AF534*0.95,AF534*0.95-AB534,0))</f>
        <v/>
      </c>
      <c r="AH534" s="34">
        <f>MAX(I534,J534,750)*0.05*AG534</f>
        <v/>
      </c>
      <c r="AI534">
        <f>'[1]GÖP VERİLERİ'!E535</f>
        <v/>
      </c>
      <c r="AJ534">
        <f>'[1]GÖP VERİLERİ'!F535</f>
        <v/>
      </c>
      <c r="AK534" s="34">
        <f>IF(AI534&gt;AJ534*1.05,AI534-AJ534*1.05,IF(AI534&lt;AJ534*0.95,AJ534*0.95-AI534,0))</f>
        <v/>
      </c>
      <c r="AL534" s="34">
        <f>MAX(F534,G534,750)*0.05*AK534</f>
        <v/>
      </c>
      <c r="AM534" s="39">
        <f>'[1]GÖP VERİLERİ'!G535</f>
        <v/>
      </c>
      <c r="AN534" s="34">
        <f>IF(AI534&gt;AM534*1.05,AI534-AM534*1.05,IF(AI534&lt;AM534*0.95,AM534*0.95-AI534,0))</f>
        <v/>
      </c>
      <c r="AO534" s="34">
        <f>MAX(F534,G534,750)*0.05*AN534</f>
        <v/>
      </c>
      <c r="AP534" s="34">
        <f>'[1]GÖP VERİLERİ'!B535</f>
        <v/>
      </c>
      <c r="AQ534" s="34">
        <f>'[1]GÖP VERİLERİ'!C535</f>
        <v/>
      </c>
      <c r="AR534" s="34">
        <f>IF(AP534&gt;AQ534*1.05,AP534-AQ534*1.05,IF(AP534&lt;AQ534*0.95,AQ534*0.95-AP534,0))</f>
        <v/>
      </c>
      <c r="AS534" s="34">
        <f>MAX(F534:G534,750)*0.05*AR534</f>
        <v/>
      </c>
      <c r="AT534">
        <f>'[1]GÖP VERİLERİ'!D535</f>
        <v/>
      </c>
      <c r="AU534" s="34">
        <f>IF(AP534&gt;AT534*1.05,AP534-AT534*1.05,IF(AP534&lt;AT534*0.95,AT534*0.95-AP534,0))</f>
        <v/>
      </c>
      <c r="AV534" s="34">
        <f>MAX(F534:G534,750)*0.05*AU534</f>
        <v/>
      </c>
      <c r="AW534" s="34">
        <f>AC534+AJ534+AQ534</f>
        <v/>
      </c>
      <c r="AX534" s="34">
        <f>AF534+AM534+AT534</f>
        <v/>
      </c>
      <c r="AY534" s="34">
        <f>AB534+AI534+AP534</f>
        <v/>
      </c>
      <c r="AZ534" s="34" t="n">
        <v>0</v>
      </c>
      <c r="BA534" s="34">
        <f>AD534+AK534+AR534</f>
        <v/>
      </c>
      <c r="BB534" s="34">
        <f>MAX(F534:G534,750)*0.05*BA534</f>
        <v/>
      </c>
      <c r="BC534" s="34">
        <f>AG534+AN534+AU534</f>
        <v/>
      </c>
      <c r="BD534" s="34">
        <f>MAX(F534:G534,750)*0.05*BC534</f>
        <v/>
      </c>
      <c r="BE534" s="34">
        <f>F534*AY534</f>
        <v/>
      </c>
      <c r="BF534" s="34">
        <f>K534-M534</f>
        <v/>
      </c>
      <c r="BG534" s="34">
        <f>P534-S534</f>
        <v/>
      </c>
      <c r="BH534" s="34">
        <f>W534-AA534</f>
        <v/>
      </c>
      <c r="BI534" s="34">
        <f>BF534+BG534+BL534-BN534</f>
        <v/>
      </c>
      <c r="BJ534" s="34">
        <f>ABS(BK534)</f>
        <v/>
      </c>
      <c r="BK534" s="34">
        <f>AY534-(J534-L534+N534-Q534)</f>
        <v/>
      </c>
      <c r="BL534" s="34">
        <f>IF(AND(BK534&gt;0,MIN($F534:$G534)&lt;150,$E534="Enerji Açığı"),-100*BK534*1.03,IF(AND(BK534&gt;0,MIN($F534:$G534)&lt;150,$E534="Enerji Fazlası"),-100*BK534*1.06,IF(AND(BK534&gt;0,MIN($F534:$G534)&gt;=150,$E534="Enerji Açığı"),BK534*MIN($F534:$G534)*0.97,IF(AND(BK534&gt;0,MIN($F534:$G534)&gt;=150,$E534="Enerji Fazlası"),BK534*MIN($F534:$G534)*0.94,IF(AND(BK534&lt;0,MAX($F534:$G534)=4500,$E534="Enerji Açığı"),4500*1.05*1.06*BK534,IF(AND(BK534&lt;0,MAX($F534:$G534)=4500,$E534="Enerji Fazlası"),4500*1.05*1.03*BK534,IF(AND(BK534&lt;0,$E534="Enerji Açığı"),MAX($F534,$G534,150)*BK534*1.06,IF(AND(BK534&lt;0,$E534="Enerji Fazlası"),MAX($F534,$G534,150)*BK534*1.03,IF(AND(BK534&lt;0,$E534="Dengede"),MAX($F534:$G534,150)*1.03*BK534,MIN($F534:$G534)*0.97*BK534)))))))))</f>
        <v/>
      </c>
      <c r="BM534" s="34">
        <f>BE534-BI534-BN534</f>
        <v/>
      </c>
      <c r="BN534" s="34">
        <f>BB534</f>
        <v/>
      </c>
      <c r="BO534" s="34">
        <f>BE534-BI534</f>
        <v/>
      </c>
      <c r="BP534" s="34">
        <f>IF(AY534=0,0,BO534/AY534)</f>
        <v/>
      </c>
      <c r="BQ534" s="34">
        <f>MAX((AY534+MAX((-J534+L534-N534+Q534),0)),(MAX((J534-L534+N534-Q534),0)))</f>
        <v/>
      </c>
      <c r="BR534" s="82">
        <f>IFERROR(ABS(BK534/BQ534),0)</f>
        <v/>
      </c>
      <c r="BS534" s="34">
        <f>IF(BR534&lt;=0.1,0,BK534/BR534*(BR534-0.1))</f>
        <v/>
      </c>
      <c r="BT534" s="34">
        <f>IF((BS534)&lt;0,MAX(F534:G534)*(BS534)*1.03,MIN(F534:G534)*(BS534)*0.97)</f>
        <v/>
      </c>
      <c r="BU534" s="34">
        <f>IF(BR534&gt;0.1,1,0)</f>
        <v/>
      </c>
      <c r="BV534" s="34">
        <f>BF534+BG534+BH534+BY534-CA534</f>
        <v/>
      </c>
      <c r="BW534" s="34">
        <f>ABS(BX534)</f>
        <v/>
      </c>
      <c r="BX534" s="34">
        <f>AY534-(J534-L534+N534-Q534+T534-X534)</f>
        <v/>
      </c>
      <c r="BY534" s="34">
        <f>IF(AND(BX534&gt;0,MIN($F534:$G534)&lt;150,$E534="Enerji Açığı"),-100*BX534*1.03,IF(AND(BX534&gt;0,MIN($F534:$G534)&lt;150,$E534="Enerji Fazlası"),-100*BX534*1.06,IF(AND(BX534&gt;0,MIN($F534:$G534)&gt;=150,$E534="Enerji Açığı"),BX534*MIN($F534:$G534)*0.97,IF(AND(BX534&gt;0,MIN($F534:$G534)&gt;=150,$E534="Enerji Fazlası"),BX534*MIN($F534:$G534)*0.94,IF(AND(BX534&lt;0,MAX($F534:$G534)=4500,$E534="Enerji Açığı"),4500*1.05*1.06*BX534,IF(AND(BX534&lt;0,MAX($F534:$G534)=4500,$E534="Enerji Fazlası"),4500*1.05*1.03*BX534,IF(AND(BX534&lt;0,$E534="Enerji Açığı"),MAX($F534,$G534,150)*BX534*1.06,IF(AND(BX534&lt;0,$E534="Enerji Fazlası"),MAX($F534,$G534,150)*BX534*1.03,IF(AND(BX534&lt;0,$E534="Dengede"),MAX($F534:$G534,150)*1.03*BX534,MIN($F534:$G534)*0.97*BX534)))))))))</f>
        <v/>
      </c>
      <c r="BZ534" s="34">
        <f>BE534-BV534-CA534</f>
        <v/>
      </c>
      <c r="CA534" s="34">
        <f>BD534</f>
        <v/>
      </c>
      <c r="CB534" s="33">
        <f>BE534-BV534</f>
        <v/>
      </c>
      <c r="CC534" s="34">
        <f>IF(AY534=0,0,CB534/AY534)</f>
        <v/>
      </c>
      <c r="CD534" s="34">
        <f>MAX((AY534+MAX((-J534+L534-N534+Q534-T534+X534),0)),(MAX((J534-L534+N534-Q534+T534-X534),0)))</f>
        <v/>
      </c>
      <c r="CE534" s="82">
        <f>IFERROR(ABS(BX534/CD534),0)</f>
        <v/>
      </c>
      <c r="CF534" s="34">
        <f>IF(CE534&lt;=0.1,0,BX534/CE534*(CE534-0.1))</f>
        <v/>
      </c>
      <c r="CG534" s="34">
        <f>IF((CF534)&lt;0,MAX(F534:G534)*(CF534)*1.03,MIN(F534:G534)*(CF534)*0.97)</f>
        <v/>
      </c>
      <c r="CH534" s="34">
        <f>IF(CE534&gt;0.1,1,0)</f>
        <v/>
      </c>
      <c r="CI534" s="34">
        <f>(F534*BX534)-BY534</f>
        <v/>
      </c>
      <c r="CJ534" s="34">
        <f>IF(AY534=0,0,CI534/AY534)</f>
        <v/>
      </c>
    </row>
    <row r="535">
      <c r="A535" s="29">
        <f>[1]FİYATLAR!A510</f>
        <v/>
      </c>
      <c r="B535" s="29">
        <f>[1]FİYATLAR!B510</f>
        <v/>
      </c>
      <c r="C535" s="35">
        <f>INT(A535)</f>
        <v/>
      </c>
      <c r="D535" s="36">
        <f>MONTH(A535)</f>
        <v/>
      </c>
      <c r="E535" s="147">
        <f>[1]FİYATLAR!G510</f>
        <v/>
      </c>
      <c r="F535" s="30">
        <f>[1]FİYATLAR!C510</f>
        <v/>
      </c>
      <c r="G535" s="30">
        <f>[1]FİYATLAR!E510</f>
        <v/>
      </c>
      <c r="H535" s="30">
        <f>[1]FİYATLAR!D510</f>
        <v/>
      </c>
      <c r="I535" s="30">
        <f>[1]FİYATLAR!F510</f>
        <v/>
      </c>
      <c r="J535" s="119" t="n">
        <v>0</v>
      </c>
      <c r="K535" s="34">
        <f>F535*J535</f>
        <v/>
      </c>
      <c r="L535" s="119" t="n"/>
      <c r="M535" s="34">
        <f>L535*F535</f>
        <v/>
      </c>
      <c r="N535" s="119" t="n"/>
      <c r="O535" s="34">
        <f>F535</f>
        <v/>
      </c>
      <c r="P535" s="34">
        <f>N535*O535</f>
        <v/>
      </c>
      <c r="Q535" s="117" t="n">
        <v>0</v>
      </c>
      <c r="R535" s="34">
        <f>F535</f>
        <v/>
      </c>
      <c r="S535" s="34">
        <f>R535*Q535</f>
        <v/>
      </c>
      <c r="T535" s="34">
        <f>SUMIFS('[1]GİP VERİLERİ'!$C:$C,'[1]GİP VERİLERİ'!$B:$B,A535,'[1]GİP VERİLERİ'!$M:$M,"40X000000104782K",'[1]GİP VERİLERİ'!$G:$G,"SELL")</f>
        <v/>
      </c>
      <c r="U535" s="34">
        <f>IFERROR(W535/T535,0)</f>
        <v/>
      </c>
      <c r="V535" s="34">
        <f>IF(U535=0,0,U535-F535)</f>
        <v/>
      </c>
      <c r="W535" s="34">
        <f>SUMIFS('[1]GİP VERİLERİ'!$O:$O,'[1]GİP VERİLERİ'!$B:$B,A535,'[1]GİP VERİLERİ'!$M:$M,"40X000000104782K",'[1]GİP VERİLERİ'!$G:$G,"SELL")</f>
        <v/>
      </c>
      <c r="X535" s="34">
        <f>SUMIFS('[1]GİP VERİLERİ'!$C:$C,'[1]GİP VERİLERİ'!$B:$B,A535,'[1]GİP VERİLERİ'!$M:$M,"40X000000104782K",'[1]GİP VERİLERİ'!$G:$G,"BUY")</f>
        <v/>
      </c>
      <c r="Y535" s="34">
        <f>IFERROR(AA535/X535,0)</f>
        <v/>
      </c>
      <c r="Z535" s="34">
        <f>IF(Y535=0,0,F535-Y535)</f>
        <v/>
      </c>
      <c r="AA535" s="34">
        <f>SUMIFS('[1]GİP VERİLERİ'!$O:$O,'[1]GİP VERİLERİ'!$B:$B,A535,'[1]GİP VERİLERİ'!$M:$M,"40X000000104782K",'[1]GİP VERİLERİ'!$G:$G,"BUY")</f>
        <v/>
      </c>
      <c r="AB535" s="34">
        <f>'[1]GÖP VERİLERİ'!H536</f>
        <v/>
      </c>
      <c r="AC535" s="34">
        <f>'[1]GÖP VERİLERİ'!I536</f>
        <v/>
      </c>
      <c r="AD535" s="34">
        <f>IF(AB535&gt;AC535*1.05,AB535-AC535*1.05,IF(AB535&lt;AC535*0.95,AC535*0.95-AB535,0))</f>
        <v/>
      </c>
      <c r="AE535" s="34">
        <f>MAX(F535,G535,750)*0.05*AD535</f>
        <v/>
      </c>
      <c r="AF535" s="34">
        <f>'[1]GÖP VERİLERİ'!J536</f>
        <v/>
      </c>
      <c r="AG535" s="34">
        <f>IF(AB535&gt;AF535*1.05,AB535-AF535*1.05,IF(AB535&lt;AF535*0.95,AF535*0.95-AB535,0))</f>
        <v/>
      </c>
      <c r="AH535" s="34">
        <f>MAX(I535,J535,750)*0.05*AG535</f>
        <v/>
      </c>
      <c r="AI535">
        <f>'[1]GÖP VERİLERİ'!E536</f>
        <v/>
      </c>
      <c r="AJ535">
        <f>'[1]GÖP VERİLERİ'!F536</f>
        <v/>
      </c>
      <c r="AK535" s="34">
        <f>IF(AI535&gt;AJ535*1.05,AI535-AJ535*1.05,IF(AI535&lt;AJ535*0.95,AJ535*0.95-AI535,0))</f>
        <v/>
      </c>
      <c r="AL535" s="34">
        <f>MAX(F535,G535,750)*0.05*AK535</f>
        <v/>
      </c>
      <c r="AM535" s="39">
        <f>'[1]GÖP VERİLERİ'!G536</f>
        <v/>
      </c>
      <c r="AN535" s="34">
        <f>IF(AI535&gt;AM535*1.05,AI535-AM535*1.05,IF(AI535&lt;AM535*0.95,AM535*0.95-AI535,0))</f>
        <v/>
      </c>
      <c r="AO535" s="34">
        <f>MAX(F535,G535,750)*0.05*AN535</f>
        <v/>
      </c>
      <c r="AP535" s="34">
        <f>'[1]GÖP VERİLERİ'!B536</f>
        <v/>
      </c>
      <c r="AQ535" s="34">
        <f>'[1]GÖP VERİLERİ'!C536</f>
        <v/>
      </c>
      <c r="AR535" s="34">
        <f>IF(AP535&gt;AQ535*1.05,AP535-AQ535*1.05,IF(AP535&lt;AQ535*0.95,AQ535*0.95-AP535,0))</f>
        <v/>
      </c>
      <c r="AS535" s="34">
        <f>MAX(F535:G535,750)*0.05*AR535</f>
        <v/>
      </c>
      <c r="AT535">
        <f>'[1]GÖP VERİLERİ'!D536</f>
        <v/>
      </c>
      <c r="AU535" s="34">
        <f>IF(AP535&gt;AT535*1.05,AP535-AT535*1.05,IF(AP535&lt;AT535*0.95,AT535*0.95-AP535,0))</f>
        <v/>
      </c>
      <c r="AV535" s="34">
        <f>MAX(F535:G535,750)*0.05*AU535</f>
        <v/>
      </c>
      <c r="AW535" s="34">
        <f>AC535+AJ535+AQ535</f>
        <v/>
      </c>
      <c r="AX535" s="34">
        <f>AF535+AM535+AT535</f>
        <v/>
      </c>
      <c r="AY535" s="34">
        <f>AB535+AI535+AP535</f>
        <v/>
      </c>
      <c r="AZ535" s="34" t="n">
        <v>0</v>
      </c>
      <c r="BA535" s="34">
        <f>AD535+AK535+AR535</f>
        <v/>
      </c>
      <c r="BB535" s="34">
        <f>MAX(F535:G535,750)*0.05*BA535</f>
        <v/>
      </c>
      <c r="BC535" s="34">
        <f>AG535+AN535+AU535</f>
        <v/>
      </c>
      <c r="BD535" s="34">
        <f>MAX(F535:G535,750)*0.05*BC535</f>
        <v/>
      </c>
      <c r="BE535" s="34">
        <f>F535*AY535</f>
        <v/>
      </c>
      <c r="BF535" s="34">
        <f>K535-M535</f>
        <v/>
      </c>
      <c r="BG535" s="34">
        <f>P535-S535</f>
        <v/>
      </c>
      <c r="BH535" s="34">
        <f>W535-AA535</f>
        <v/>
      </c>
      <c r="BI535" s="34">
        <f>BF535+BG535+BL535-BN535</f>
        <v/>
      </c>
      <c r="BJ535" s="34">
        <f>ABS(BK535)</f>
        <v/>
      </c>
      <c r="BK535" s="34">
        <f>AY535-(J535-L535+N535-Q535)</f>
        <v/>
      </c>
      <c r="BL535" s="34">
        <f>IF(AND(BK535&gt;0,MIN($F535:$G535)&lt;150,$E535="Enerji Açığı"),-100*BK535*1.03,IF(AND(BK535&gt;0,MIN($F535:$G535)&lt;150,$E535="Enerji Fazlası"),-100*BK535*1.06,IF(AND(BK535&gt;0,MIN($F535:$G535)&gt;=150,$E535="Enerji Açığı"),BK535*MIN($F535:$G535)*0.97,IF(AND(BK535&gt;0,MIN($F535:$G535)&gt;=150,$E535="Enerji Fazlası"),BK535*MIN($F535:$G535)*0.94,IF(AND(BK535&lt;0,MAX($F535:$G535)=4500,$E535="Enerji Açığı"),4500*1.05*1.06*BK535,IF(AND(BK535&lt;0,MAX($F535:$G535)=4500,$E535="Enerji Fazlası"),4500*1.05*1.03*BK535,IF(AND(BK535&lt;0,$E535="Enerji Açığı"),MAX($F535,$G535,150)*BK535*1.06,IF(AND(BK535&lt;0,$E535="Enerji Fazlası"),MAX($F535,$G535,150)*BK535*1.03,IF(AND(BK535&lt;0,$E535="Dengede"),MAX($F535:$G535,150)*1.03*BK535,MIN($F535:$G535)*0.97*BK535)))))))))</f>
        <v/>
      </c>
      <c r="BM535" s="34">
        <f>BE535-BI535-BN535</f>
        <v/>
      </c>
      <c r="BN535" s="34">
        <f>BB535</f>
        <v/>
      </c>
      <c r="BO535" s="34">
        <f>BE535-BI535</f>
        <v/>
      </c>
      <c r="BP535" s="34">
        <f>IF(AY535=0,0,BO535/AY535)</f>
        <v/>
      </c>
      <c r="BQ535" s="34">
        <f>MAX((AY535+MAX((-J535+L535-N535+Q535),0)),(MAX((J535-L535+N535-Q535),0)))</f>
        <v/>
      </c>
      <c r="BR535" s="82">
        <f>IFERROR(ABS(BK535/BQ535),0)</f>
        <v/>
      </c>
      <c r="BS535" s="34">
        <f>IF(BR535&lt;=0.1,0,BK535/BR535*(BR535-0.1))</f>
        <v/>
      </c>
      <c r="BT535" s="34">
        <f>IF((BS535)&lt;0,MAX(F535:G535)*(BS535)*1.03,MIN(F535:G535)*(BS535)*0.97)</f>
        <v/>
      </c>
      <c r="BU535" s="34">
        <f>IF(BR535&gt;0.1,1,0)</f>
        <v/>
      </c>
      <c r="BV535" s="34">
        <f>BF535+BG535+BH535+BY535-CA535</f>
        <v/>
      </c>
      <c r="BW535" s="34">
        <f>ABS(BX535)</f>
        <v/>
      </c>
      <c r="BX535" s="34">
        <f>AY535-(J535-L535+N535-Q535+T535-X535)</f>
        <v/>
      </c>
      <c r="BY535" s="34">
        <f>IF(AND(BX535&gt;0,MIN($F535:$G535)&lt;150,$E535="Enerji Açığı"),-100*BX535*1.03,IF(AND(BX535&gt;0,MIN($F535:$G535)&lt;150,$E535="Enerji Fazlası"),-100*BX535*1.06,IF(AND(BX535&gt;0,MIN($F535:$G535)&gt;=150,$E535="Enerji Açığı"),BX535*MIN($F535:$G535)*0.97,IF(AND(BX535&gt;0,MIN($F535:$G535)&gt;=150,$E535="Enerji Fazlası"),BX535*MIN($F535:$G535)*0.94,IF(AND(BX535&lt;0,MAX($F535:$G535)=4500,$E535="Enerji Açığı"),4500*1.05*1.06*BX535,IF(AND(BX535&lt;0,MAX($F535:$G535)=4500,$E535="Enerji Fazlası"),4500*1.05*1.03*BX535,IF(AND(BX535&lt;0,$E535="Enerji Açığı"),MAX($F535,$G535,150)*BX535*1.06,IF(AND(BX535&lt;0,$E535="Enerji Fazlası"),MAX($F535,$G535,150)*BX535*1.03,IF(AND(BX535&lt;0,$E535="Dengede"),MAX($F535:$G535,150)*1.03*BX535,MIN($F535:$G535)*0.97*BX535)))))))))</f>
        <v/>
      </c>
      <c r="BZ535" s="34">
        <f>BE535-BV535-CA535</f>
        <v/>
      </c>
      <c r="CA535" s="34">
        <f>BD535</f>
        <v/>
      </c>
      <c r="CB535" s="33">
        <f>BE535-BV535</f>
        <v/>
      </c>
      <c r="CC535" s="34">
        <f>IF(AY535=0,0,CB535/AY535)</f>
        <v/>
      </c>
      <c r="CD535" s="34">
        <f>MAX((AY535+MAX((-J535+L535-N535+Q535-T535+X535),0)),(MAX((J535-L535+N535-Q535+T535-X535),0)))</f>
        <v/>
      </c>
      <c r="CE535" s="82">
        <f>IFERROR(ABS(BX535/CD535),0)</f>
        <v/>
      </c>
      <c r="CF535" s="34">
        <f>IF(CE535&lt;=0.1,0,BX535/CE535*(CE535-0.1))</f>
        <v/>
      </c>
      <c r="CG535" s="34">
        <f>IF((CF535)&lt;0,MAX(F535:G535)*(CF535)*1.03,MIN(F535:G535)*(CF535)*0.97)</f>
        <v/>
      </c>
      <c r="CH535" s="34">
        <f>IF(CE535&gt;0.1,1,0)</f>
        <v/>
      </c>
      <c r="CI535" s="34">
        <f>(F535*BX535)-BY535</f>
        <v/>
      </c>
      <c r="CJ535" s="34">
        <f>IF(AY535=0,0,CI535/AY535)</f>
        <v/>
      </c>
    </row>
    <row r="536">
      <c r="A536" s="29">
        <f>[1]FİYATLAR!A511</f>
        <v/>
      </c>
      <c r="B536" s="29">
        <f>[1]FİYATLAR!B511</f>
        <v/>
      </c>
      <c r="C536" s="35">
        <f>INT(A536)</f>
        <v/>
      </c>
      <c r="D536" s="36">
        <f>MONTH(A536)</f>
        <v/>
      </c>
      <c r="E536" s="147">
        <f>[1]FİYATLAR!G511</f>
        <v/>
      </c>
      <c r="F536" s="30">
        <f>[1]FİYATLAR!C511</f>
        <v/>
      </c>
      <c r="G536" s="30">
        <f>[1]FİYATLAR!E511</f>
        <v/>
      </c>
      <c r="H536" s="30">
        <f>[1]FİYATLAR!D511</f>
        <v/>
      </c>
      <c r="I536" s="30">
        <f>[1]FİYATLAR!F511</f>
        <v/>
      </c>
      <c r="J536" s="119" t="n">
        <v>0</v>
      </c>
      <c r="K536" s="34">
        <f>F536*J536</f>
        <v/>
      </c>
      <c r="L536" s="119" t="n"/>
      <c r="M536" s="34">
        <f>L536*F536</f>
        <v/>
      </c>
      <c r="N536" s="119" t="n"/>
      <c r="O536" s="34">
        <f>F536</f>
        <v/>
      </c>
      <c r="P536" s="34">
        <f>N536*O536</f>
        <v/>
      </c>
      <c r="Q536" s="117" t="n">
        <v>0</v>
      </c>
      <c r="R536" s="34">
        <f>F536</f>
        <v/>
      </c>
      <c r="S536" s="34">
        <f>R536*Q536</f>
        <v/>
      </c>
      <c r="T536" s="34">
        <f>SUMIFS('[1]GİP VERİLERİ'!$C:$C,'[1]GİP VERİLERİ'!$B:$B,A536,'[1]GİP VERİLERİ'!$M:$M,"40X000000104782K",'[1]GİP VERİLERİ'!$G:$G,"SELL")</f>
        <v/>
      </c>
      <c r="U536" s="34">
        <f>IFERROR(W536/T536,0)</f>
        <v/>
      </c>
      <c r="V536" s="34">
        <f>IF(U536=0,0,U536-F536)</f>
        <v/>
      </c>
      <c r="W536" s="34">
        <f>SUMIFS('[1]GİP VERİLERİ'!$O:$O,'[1]GİP VERİLERİ'!$B:$B,A536,'[1]GİP VERİLERİ'!$M:$M,"40X000000104782K",'[1]GİP VERİLERİ'!$G:$G,"SELL")</f>
        <v/>
      </c>
      <c r="X536" s="34">
        <f>SUMIFS('[1]GİP VERİLERİ'!$C:$C,'[1]GİP VERİLERİ'!$B:$B,A536,'[1]GİP VERİLERİ'!$M:$M,"40X000000104782K",'[1]GİP VERİLERİ'!$G:$G,"BUY")</f>
        <v/>
      </c>
      <c r="Y536" s="34">
        <f>IFERROR(AA536/X536,0)</f>
        <v/>
      </c>
      <c r="Z536" s="34">
        <f>IF(Y536=0,0,F536-Y536)</f>
        <v/>
      </c>
      <c r="AA536" s="34">
        <f>SUMIFS('[1]GİP VERİLERİ'!$O:$O,'[1]GİP VERİLERİ'!$B:$B,A536,'[1]GİP VERİLERİ'!$M:$M,"40X000000104782K",'[1]GİP VERİLERİ'!$G:$G,"BUY")</f>
        <v/>
      </c>
      <c r="AB536" s="34">
        <f>'[1]GÖP VERİLERİ'!H537</f>
        <v/>
      </c>
      <c r="AC536" s="34">
        <f>'[1]GÖP VERİLERİ'!I537</f>
        <v/>
      </c>
      <c r="AD536" s="34">
        <f>IF(AB536&gt;AC536*1.05,AB536-AC536*1.05,IF(AB536&lt;AC536*0.95,AC536*0.95-AB536,0))</f>
        <v/>
      </c>
      <c r="AE536" s="34">
        <f>MAX(F536,G536,750)*0.05*AD536</f>
        <v/>
      </c>
      <c r="AF536" s="34">
        <f>'[1]GÖP VERİLERİ'!J537</f>
        <v/>
      </c>
      <c r="AG536" s="34">
        <f>IF(AB536&gt;AF536*1.05,AB536-AF536*1.05,IF(AB536&lt;AF536*0.95,AF536*0.95-AB536,0))</f>
        <v/>
      </c>
      <c r="AH536" s="34">
        <f>MAX(I536,J536,750)*0.05*AG536</f>
        <v/>
      </c>
      <c r="AI536">
        <f>'[1]GÖP VERİLERİ'!E537</f>
        <v/>
      </c>
      <c r="AJ536">
        <f>'[1]GÖP VERİLERİ'!F537</f>
        <v/>
      </c>
      <c r="AK536" s="34">
        <f>IF(AI536&gt;AJ536*1.05,AI536-AJ536*1.05,IF(AI536&lt;AJ536*0.95,AJ536*0.95-AI536,0))</f>
        <v/>
      </c>
      <c r="AL536" s="34">
        <f>MAX(F536,G536,750)*0.05*AK536</f>
        <v/>
      </c>
      <c r="AM536" s="39">
        <f>'[1]GÖP VERİLERİ'!G537</f>
        <v/>
      </c>
      <c r="AN536" s="34">
        <f>IF(AI536&gt;AM536*1.05,AI536-AM536*1.05,IF(AI536&lt;AM536*0.95,AM536*0.95-AI536,0))</f>
        <v/>
      </c>
      <c r="AO536" s="34">
        <f>MAX(F536,G536,750)*0.05*AN536</f>
        <v/>
      </c>
      <c r="AP536" s="34">
        <f>'[1]GÖP VERİLERİ'!B537</f>
        <v/>
      </c>
      <c r="AQ536" s="34">
        <f>'[1]GÖP VERİLERİ'!C537</f>
        <v/>
      </c>
      <c r="AR536" s="34">
        <f>IF(AP536&gt;AQ536*1.05,AP536-AQ536*1.05,IF(AP536&lt;AQ536*0.95,AQ536*0.95-AP536,0))</f>
        <v/>
      </c>
      <c r="AS536" s="34">
        <f>MAX(F536:G536,750)*0.05*AR536</f>
        <v/>
      </c>
      <c r="AT536">
        <f>'[1]GÖP VERİLERİ'!D537</f>
        <v/>
      </c>
      <c r="AU536" s="34">
        <f>IF(AP536&gt;AT536*1.05,AP536-AT536*1.05,IF(AP536&lt;AT536*0.95,AT536*0.95-AP536,0))</f>
        <v/>
      </c>
      <c r="AV536" s="34">
        <f>MAX(F536:G536,750)*0.05*AU536</f>
        <v/>
      </c>
      <c r="AW536" s="34">
        <f>AC536+AJ536+AQ536</f>
        <v/>
      </c>
      <c r="AX536" s="34">
        <f>AF536+AM536+AT536</f>
        <v/>
      </c>
      <c r="AY536" s="34">
        <f>AB536+AI536+AP536</f>
        <v/>
      </c>
      <c r="AZ536" s="34" t="n">
        <v>0</v>
      </c>
      <c r="BA536" s="34">
        <f>AD536+AK536+AR536</f>
        <v/>
      </c>
      <c r="BB536" s="34">
        <f>MAX(F536:G536,750)*0.05*BA536</f>
        <v/>
      </c>
      <c r="BC536" s="34">
        <f>AG536+AN536+AU536</f>
        <v/>
      </c>
      <c r="BD536" s="34">
        <f>MAX(F536:G536,750)*0.05*BC536</f>
        <v/>
      </c>
      <c r="BE536" s="34">
        <f>F536*AY536</f>
        <v/>
      </c>
      <c r="BF536" s="34">
        <f>K536-M536</f>
        <v/>
      </c>
      <c r="BG536" s="34">
        <f>P536-S536</f>
        <v/>
      </c>
      <c r="BH536" s="34">
        <f>W536-AA536</f>
        <v/>
      </c>
      <c r="BI536" s="34">
        <f>BF536+BG536+BL536-BN536</f>
        <v/>
      </c>
      <c r="BJ536" s="34">
        <f>ABS(BK536)</f>
        <v/>
      </c>
      <c r="BK536" s="34">
        <f>AY536-(J536-L536+N536-Q536)</f>
        <v/>
      </c>
      <c r="BL536" s="34">
        <f>IF(AND(BK536&gt;0,MIN($F536:$G536)&lt;150,$E536="Enerji Açığı"),-100*BK536*1.03,IF(AND(BK536&gt;0,MIN($F536:$G536)&lt;150,$E536="Enerji Fazlası"),-100*BK536*1.06,IF(AND(BK536&gt;0,MIN($F536:$G536)&gt;=150,$E536="Enerji Açığı"),BK536*MIN($F536:$G536)*0.97,IF(AND(BK536&gt;0,MIN($F536:$G536)&gt;=150,$E536="Enerji Fazlası"),BK536*MIN($F536:$G536)*0.94,IF(AND(BK536&lt;0,MAX($F536:$G536)=4500,$E536="Enerji Açığı"),4500*1.05*1.06*BK536,IF(AND(BK536&lt;0,MAX($F536:$G536)=4500,$E536="Enerji Fazlası"),4500*1.05*1.03*BK536,IF(AND(BK536&lt;0,$E536="Enerji Açığı"),MAX($F536,$G536,150)*BK536*1.06,IF(AND(BK536&lt;0,$E536="Enerji Fazlası"),MAX($F536,$G536,150)*BK536*1.03,IF(AND(BK536&lt;0,$E536="Dengede"),MAX($F536:$G536,150)*1.03*BK536,MIN($F536:$G536)*0.97*BK536)))))))))</f>
        <v/>
      </c>
      <c r="BM536" s="34">
        <f>BE536-BI536-BN536</f>
        <v/>
      </c>
      <c r="BN536" s="34">
        <f>BB536</f>
        <v/>
      </c>
      <c r="BO536" s="34">
        <f>BE536-BI536</f>
        <v/>
      </c>
      <c r="BP536" s="34">
        <f>IF(AY536=0,0,BO536/AY536)</f>
        <v/>
      </c>
      <c r="BQ536" s="34">
        <f>MAX((AY536+MAX((-J536+L536-N536+Q536),0)),(MAX((J536-L536+N536-Q536),0)))</f>
        <v/>
      </c>
      <c r="BR536" s="82">
        <f>IFERROR(ABS(BK536/BQ536),0)</f>
        <v/>
      </c>
      <c r="BS536" s="34">
        <f>IF(BR536&lt;=0.1,0,BK536/BR536*(BR536-0.1))</f>
        <v/>
      </c>
      <c r="BT536" s="34">
        <f>IF((BS536)&lt;0,MAX(F536:G536)*(BS536)*1.03,MIN(F536:G536)*(BS536)*0.97)</f>
        <v/>
      </c>
      <c r="BU536" s="34">
        <f>IF(BR536&gt;0.1,1,0)</f>
        <v/>
      </c>
      <c r="BV536" s="34">
        <f>BF536+BG536+BH536+BY536-CA536</f>
        <v/>
      </c>
      <c r="BW536" s="34">
        <f>ABS(BX536)</f>
        <v/>
      </c>
      <c r="BX536" s="34">
        <f>AY536-(J536-L536+N536-Q536+T536-X536)</f>
        <v/>
      </c>
      <c r="BY536" s="34">
        <f>IF(AND(BX536&gt;0,MIN($F536:$G536)&lt;150,$E536="Enerji Açığı"),-100*BX536*1.03,IF(AND(BX536&gt;0,MIN($F536:$G536)&lt;150,$E536="Enerji Fazlası"),-100*BX536*1.06,IF(AND(BX536&gt;0,MIN($F536:$G536)&gt;=150,$E536="Enerji Açığı"),BX536*MIN($F536:$G536)*0.97,IF(AND(BX536&gt;0,MIN($F536:$G536)&gt;=150,$E536="Enerji Fazlası"),BX536*MIN($F536:$G536)*0.94,IF(AND(BX536&lt;0,MAX($F536:$G536)=4500,$E536="Enerji Açığı"),4500*1.05*1.06*BX536,IF(AND(BX536&lt;0,MAX($F536:$G536)=4500,$E536="Enerji Fazlası"),4500*1.05*1.03*BX536,IF(AND(BX536&lt;0,$E536="Enerji Açığı"),MAX($F536,$G536,150)*BX536*1.06,IF(AND(BX536&lt;0,$E536="Enerji Fazlası"),MAX($F536,$G536,150)*BX536*1.03,IF(AND(BX536&lt;0,$E536="Dengede"),MAX($F536:$G536,150)*1.03*BX536,MIN($F536:$G536)*0.97*BX536)))))))))</f>
        <v/>
      </c>
      <c r="BZ536" s="34">
        <f>BE536-BV536-CA536</f>
        <v/>
      </c>
      <c r="CA536" s="34">
        <f>BD536</f>
        <v/>
      </c>
      <c r="CB536" s="33">
        <f>BE536-BV536</f>
        <v/>
      </c>
      <c r="CC536" s="34">
        <f>IF(AY536=0,0,CB536/AY536)</f>
        <v/>
      </c>
      <c r="CD536" s="34">
        <f>MAX((AY536+MAX((-J536+L536-N536+Q536-T536+X536),0)),(MAX((J536-L536+N536-Q536+T536-X536),0)))</f>
        <v/>
      </c>
      <c r="CE536" s="82">
        <f>IFERROR(ABS(BX536/CD536),0)</f>
        <v/>
      </c>
      <c r="CF536" s="34">
        <f>IF(CE536&lt;=0.1,0,BX536/CE536*(CE536-0.1))</f>
        <v/>
      </c>
      <c r="CG536" s="34">
        <f>IF((CF536)&lt;0,MAX(F536:G536)*(CF536)*1.03,MIN(F536:G536)*(CF536)*0.97)</f>
        <v/>
      </c>
      <c r="CH536" s="34">
        <f>IF(CE536&gt;0.1,1,0)</f>
        <v/>
      </c>
      <c r="CI536" s="34">
        <f>(F536*BX536)-BY536</f>
        <v/>
      </c>
      <c r="CJ536" s="34">
        <f>IF(AY536=0,0,CI536/AY536)</f>
        <v/>
      </c>
    </row>
    <row r="537">
      <c r="A537" s="29">
        <f>[1]FİYATLAR!A512</f>
        <v/>
      </c>
      <c r="B537" s="29">
        <f>[1]FİYATLAR!B512</f>
        <v/>
      </c>
      <c r="C537" s="35">
        <f>INT(A537)</f>
        <v/>
      </c>
      <c r="D537" s="36">
        <f>MONTH(A537)</f>
        <v/>
      </c>
      <c r="E537" s="147">
        <f>[1]FİYATLAR!G512</f>
        <v/>
      </c>
      <c r="F537" s="30">
        <f>[1]FİYATLAR!C512</f>
        <v/>
      </c>
      <c r="G537" s="30">
        <f>[1]FİYATLAR!E512</f>
        <v/>
      </c>
      <c r="H537" s="30">
        <f>[1]FİYATLAR!D512</f>
        <v/>
      </c>
      <c r="I537" s="30">
        <f>[1]FİYATLAR!F512</f>
        <v/>
      </c>
      <c r="J537" s="119" t="n">
        <v>0</v>
      </c>
      <c r="K537" s="34">
        <f>F537*J537</f>
        <v/>
      </c>
      <c r="L537" s="119" t="n"/>
      <c r="M537" s="34">
        <f>L537*F537</f>
        <v/>
      </c>
      <c r="N537" s="119" t="n"/>
      <c r="O537" s="34">
        <f>F537</f>
        <v/>
      </c>
      <c r="P537" s="34">
        <f>N537*O537</f>
        <v/>
      </c>
      <c r="Q537" s="117" t="n">
        <v>0</v>
      </c>
      <c r="R537" s="34">
        <f>F537</f>
        <v/>
      </c>
      <c r="S537" s="34">
        <f>R537*Q537</f>
        <v/>
      </c>
      <c r="T537" s="34">
        <f>SUMIFS('[1]GİP VERİLERİ'!$C:$C,'[1]GİP VERİLERİ'!$B:$B,A537,'[1]GİP VERİLERİ'!$M:$M,"40X000000104782K",'[1]GİP VERİLERİ'!$G:$G,"SELL")</f>
        <v/>
      </c>
      <c r="U537" s="34">
        <f>IFERROR(W537/T537,0)</f>
        <v/>
      </c>
      <c r="V537" s="34">
        <f>IF(U537=0,0,U537-F537)</f>
        <v/>
      </c>
      <c r="W537" s="34">
        <f>SUMIFS('[1]GİP VERİLERİ'!$O:$O,'[1]GİP VERİLERİ'!$B:$B,A537,'[1]GİP VERİLERİ'!$M:$M,"40X000000104782K",'[1]GİP VERİLERİ'!$G:$G,"SELL")</f>
        <v/>
      </c>
      <c r="X537" s="34">
        <f>SUMIFS('[1]GİP VERİLERİ'!$C:$C,'[1]GİP VERİLERİ'!$B:$B,A537,'[1]GİP VERİLERİ'!$M:$M,"40X000000104782K",'[1]GİP VERİLERİ'!$G:$G,"BUY")</f>
        <v/>
      </c>
      <c r="Y537" s="34">
        <f>IFERROR(AA537/X537,0)</f>
        <v/>
      </c>
      <c r="Z537" s="34">
        <f>IF(Y537=0,0,F537-Y537)</f>
        <v/>
      </c>
      <c r="AA537" s="34">
        <f>SUMIFS('[1]GİP VERİLERİ'!$O:$O,'[1]GİP VERİLERİ'!$B:$B,A537,'[1]GİP VERİLERİ'!$M:$M,"40X000000104782K",'[1]GİP VERİLERİ'!$G:$G,"BUY")</f>
        <v/>
      </c>
      <c r="AB537" s="34">
        <f>'[1]GÖP VERİLERİ'!H538</f>
        <v/>
      </c>
      <c r="AC537" s="34">
        <f>'[1]GÖP VERİLERİ'!I538</f>
        <v/>
      </c>
      <c r="AD537" s="34">
        <f>IF(AB537&gt;AC537*1.05,AB537-AC537*1.05,IF(AB537&lt;AC537*0.95,AC537*0.95-AB537,0))</f>
        <v/>
      </c>
      <c r="AE537" s="34">
        <f>MAX(F537,G537,750)*0.05*AD537</f>
        <v/>
      </c>
      <c r="AF537" s="34">
        <f>'[1]GÖP VERİLERİ'!J538</f>
        <v/>
      </c>
      <c r="AG537" s="34">
        <f>IF(AB537&gt;AF537*1.05,AB537-AF537*1.05,IF(AB537&lt;AF537*0.95,AF537*0.95-AB537,0))</f>
        <v/>
      </c>
      <c r="AH537" s="34">
        <f>MAX(I537,J537,750)*0.05*AG537</f>
        <v/>
      </c>
      <c r="AI537">
        <f>'[1]GÖP VERİLERİ'!E538</f>
        <v/>
      </c>
      <c r="AJ537">
        <f>'[1]GÖP VERİLERİ'!F538</f>
        <v/>
      </c>
      <c r="AK537" s="34">
        <f>IF(AI537&gt;AJ537*1.05,AI537-AJ537*1.05,IF(AI537&lt;AJ537*0.95,AJ537*0.95-AI537,0))</f>
        <v/>
      </c>
      <c r="AL537" s="34">
        <f>MAX(F537,G537,750)*0.05*AK537</f>
        <v/>
      </c>
      <c r="AM537" s="39">
        <f>'[1]GÖP VERİLERİ'!G538</f>
        <v/>
      </c>
      <c r="AN537" s="34">
        <f>IF(AI537&gt;AM537*1.05,AI537-AM537*1.05,IF(AI537&lt;AM537*0.95,AM537*0.95-AI537,0))</f>
        <v/>
      </c>
      <c r="AO537" s="34">
        <f>MAX(F537,G537,750)*0.05*AN537</f>
        <v/>
      </c>
      <c r="AP537" s="34">
        <f>'[1]GÖP VERİLERİ'!B538</f>
        <v/>
      </c>
      <c r="AQ537" s="34">
        <f>'[1]GÖP VERİLERİ'!C538</f>
        <v/>
      </c>
      <c r="AR537" s="34">
        <f>IF(AP537&gt;AQ537*1.05,AP537-AQ537*1.05,IF(AP537&lt;AQ537*0.95,AQ537*0.95-AP537,0))</f>
        <v/>
      </c>
      <c r="AS537" s="34">
        <f>MAX(F537:G537,750)*0.05*AR537</f>
        <v/>
      </c>
      <c r="AT537">
        <f>'[1]GÖP VERİLERİ'!D538</f>
        <v/>
      </c>
      <c r="AU537" s="34">
        <f>IF(AP537&gt;AT537*1.05,AP537-AT537*1.05,IF(AP537&lt;AT537*0.95,AT537*0.95-AP537,0))</f>
        <v/>
      </c>
      <c r="AV537" s="34">
        <f>MAX(F537:G537,750)*0.05*AU537</f>
        <v/>
      </c>
      <c r="AW537" s="34">
        <f>AC537+AJ537+AQ537</f>
        <v/>
      </c>
      <c r="AX537" s="34">
        <f>AF537+AM537+AT537</f>
        <v/>
      </c>
      <c r="AY537" s="34">
        <f>AB537+AI537+AP537</f>
        <v/>
      </c>
      <c r="AZ537" s="34" t="n">
        <v>0</v>
      </c>
      <c r="BA537" s="34">
        <f>AD537+AK537+AR537</f>
        <v/>
      </c>
      <c r="BB537" s="34">
        <f>MAX(F537:G537,750)*0.05*BA537</f>
        <v/>
      </c>
      <c r="BC537" s="34">
        <f>AG537+AN537+AU537</f>
        <v/>
      </c>
      <c r="BD537" s="34">
        <f>MAX(F537:G537,750)*0.05*BC537</f>
        <v/>
      </c>
      <c r="BE537" s="34">
        <f>F537*AY537</f>
        <v/>
      </c>
      <c r="BF537" s="34">
        <f>K537-M537</f>
        <v/>
      </c>
      <c r="BG537" s="34">
        <f>P537-S537</f>
        <v/>
      </c>
      <c r="BH537" s="34">
        <f>W537-AA537</f>
        <v/>
      </c>
      <c r="BI537" s="34">
        <f>BF537+BG537+BL537-BN537</f>
        <v/>
      </c>
      <c r="BJ537" s="34">
        <f>ABS(BK537)</f>
        <v/>
      </c>
      <c r="BK537" s="34">
        <f>AY537-(J537-L537+N537-Q537)</f>
        <v/>
      </c>
      <c r="BL537" s="34">
        <f>IF(AND(BK537&gt;0,MIN($F537:$G537)&lt;150,$E537="Enerji Açığı"),-100*BK537*1.03,IF(AND(BK537&gt;0,MIN($F537:$G537)&lt;150,$E537="Enerji Fazlası"),-100*BK537*1.06,IF(AND(BK537&gt;0,MIN($F537:$G537)&gt;=150,$E537="Enerji Açığı"),BK537*MIN($F537:$G537)*0.97,IF(AND(BK537&gt;0,MIN($F537:$G537)&gt;=150,$E537="Enerji Fazlası"),BK537*MIN($F537:$G537)*0.94,IF(AND(BK537&lt;0,MAX($F537:$G537)=4500,$E537="Enerji Açığı"),4500*1.05*1.06*BK537,IF(AND(BK537&lt;0,MAX($F537:$G537)=4500,$E537="Enerji Fazlası"),4500*1.05*1.03*BK537,IF(AND(BK537&lt;0,$E537="Enerji Açığı"),MAX($F537,$G537,150)*BK537*1.06,IF(AND(BK537&lt;0,$E537="Enerji Fazlası"),MAX($F537,$G537,150)*BK537*1.03,IF(AND(BK537&lt;0,$E537="Dengede"),MAX($F537:$G537,150)*1.03*BK537,MIN($F537:$G537)*0.97*BK537)))))))))</f>
        <v/>
      </c>
      <c r="BM537" s="34">
        <f>BE537-BI537-BN537</f>
        <v/>
      </c>
      <c r="BN537" s="34">
        <f>BB537</f>
        <v/>
      </c>
      <c r="BO537" s="34">
        <f>BE537-BI537</f>
        <v/>
      </c>
      <c r="BP537" s="34">
        <f>IF(AY537=0,0,BO537/AY537)</f>
        <v/>
      </c>
      <c r="BQ537" s="34">
        <f>MAX((AY537+MAX((-J537+L537-N537+Q537),0)),(MAX((J537-L537+N537-Q537),0)))</f>
        <v/>
      </c>
      <c r="BR537" s="82">
        <f>IFERROR(ABS(BK537/BQ537),0)</f>
        <v/>
      </c>
      <c r="BS537" s="34">
        <f>IF(BR537&lt;=0.1,0,BK537/BR537*(BR537-0.1))</f>
        <v/>
      </c>
      <c r="BT537" s="34">
        <f>IF((BS537)&lt;0,MAX(F537:G537)*(BS537)*1.03,MIN(F537:G537)*(BS537)*0.97)</f>
        <v/>
      </c>
      <c r="BU537" s="34">
        <f>IF(BR537&gt;0.1,1,0)</f>
        <v/>
      </c>
      <c r="BV537" s="34">
        <f>BF537+BG537+BH537+BY537-CA537</f>
        <v/>
      </c>
      <c r="BW537" s="34">
        <f>ABS(BX537)</f>
        <v/>
      </c>
      <c r="BX537" s="34">
        <f>AY537-(J537-L537+N537-Q537+T537-X537)</f>
        <v/>
      </c>
      <c r="BY537" s="34">
        <f>IF(AND(BX537&gt;0,MIN($F537:$G537)&lt;150,$E537="Enerji Açığı"),-100*BX537*1.03,IF(AND(BX537&gt;0,MIN($F537:$G537)&lt;150,$E537="Enerji Fazlası"),-100*BX537*1.06,IF(AND(BX537&gt;0,MIN($F537:$G537)&gt;=150,$E537="Enerji Açığı"),BX537*MIN($F537:$G537)*0.97,IF(AND(BX537&gt;0,MIN($F537:$G537)&gt;=150,$E537="Enerji Fazlası"),BX537*MIN($F537:$G537)*0.94,IF(AND(BX537&lt;0,MAX($F537:$G537)=4500,$E537="Enerji Açığı"),4500*1.05*1.06*BX537,IF(AND(BX537&lt;0,MAX($F537:$G537)=4500,$E537="Enerji Fazlası"),4500*1.05*1.03*BX537,IF(AND(BX537&lt;0,$E537="Enerji Açığı"),MAX($F537,$G537,150)*BX537*1.06,IF(AND(BX537&lt;0,$E537="Enerji Fazlası"),MAX($F537,$G537,150)*BX537*1.03,IF(AND(BX537&lt;0,$E537="Dengede"),MAX($F537:$G537,150)*1.03*BX537,MIN($F537:$G537)*0.97*BX537)))))))))</f>
        <v/>
      </c>
      <c r="BZ537" s="34">
        <f>BE537-BV537-CA537</f>
        <v/>
      </c>
      <c r="CA537" s="34">
        <f>BD537</f>
        <v/>
      </c>
      <c r="CB537" s="33">
        <f>BE537-BV537</f>
        <v/>
      </c>
      <c r="CC537" s="34">
        <f>IF(AY537=0,0,CB537/AY537)</f>
        <v/>
      </c>
      <c r="CD537" s="34">
        <f>MAX((AY537+MAX((-J537+L537-N537+Q537-T537+X537),0)),(MAX((J537-L537+N537-Q537+T537-X537),0)))</f>
        <v/>
      </c>
      <c r="CE537" s="82">
        <f>IFERROR(ABS(BX537/CD537),0)</f>
        <v/>
      </c>
      <c r="CF537" s="34">
        <f>IF(CE537&lt;=0.1,0,BX537/CE537*(CE537-0.1))</f>
        <v/>
      </c>
      <c r="CG537" s="34">
        <f>IF((CF537)&lt;0,MAX(F537:G537)*(CF537)*1.03,MIN(F537:G537)*(CF537)*0.97)</f>
        <v/>
      </c>
      <c r="CH537" s="34">
        <f>IF(CE537&gt;0.1,1,0)</f>
        <v/>
      </c>
      <c r="CI537" s="34">
        <f>(F537*BX537)-BY537</f>
        <v/>
      </c>
      <c r="CJ537" s="34">
        <f>IF(AY537=0,0,CI537/AY537)</f>
        <v/>
      </c>
    </row>
    <row r="538">
      <c r="A538" s="29">
        <f>[1]FİYATLAR!A513</f>
        <v/>
      </c>
      <c r="B538" s="29">
        <f>[1]FİYATLAR!B513</f>
        <v/>
      </c>
      <c r="C538" s="35">
        <f>INT(A538)</f>
        <v/>
      </c>
      <c r="D538" s="36">
        <f>MONTH(A538)</f>
        <v/>
      </c>
      <c r="E538" s="147">
        <f>[1]FİYATLAR!G513</f>
        <v/>
      </c>
      <c r="F538" s="30">
        <f>[1]FİYATLAR!C513</f>
        <v/>
      </c>
      <c r="G538" s="30">
        <f>[1]FİYATLAR!E513</f>
        <v/>
      </c>
      <c r="H538" s="30">
        <f>[1]FİYATLAR!D513</f>
        <v/>
      </c>
      <c r="I538" s="30">
        <f>[1]FİYATLAR!F513</f>
        <v/>
      </c>
      <c r="J538" s="119" t="n">
        <v>0</v>
      </c>
      <c r="K538" s="34">
        <f>F538*J538</f>
        <v/>
      </c>
      <c r="L538" s="119" t="n"/>
      <c r="M538" s="34">
        <f>L538*F538</f>
        <v/>
      </c>
      <c r="N538" s="119" t="n"/>
      <c r="O538" s="34">
        <f>F538</f>
        <v/>
      </c>
      <c r="P538" s="34">
        <f>N538*O538</f>
        <v/>
      </c>
      <c r="Q538" s="117" t="n">
        <v>0</v>
      </c>
      <c r="R538" s="34">
        <f>F538</f>
        <v/>
      </c>
      <c r="S538" s="34">
        <f>R538*Q538</f>
        <v/>
      </c>
      <c r="T538" s="34">
        <f>SUMIFS('[1]GİP VERİLERİ'!$C:$C,'[1]GİP VERİLERİ'!$B:$B,A538,'[1]GİP VERİLERİ'!$M:$M,"40X000000104782K",'[1]GİP VERİLERİ'!$G:$G,"SELL")</f>
        <v/>
      </c>
      <c r="U538" s="34">
        <f>IFERROR(W538/T538,0)</f>
        <v/>
      </c>
      <c r="V538" s="34">
        <f>IF(U538=0,0,U538-F538)</f>
        <v/>
      </c>
      <c r="W538" s="34">
        <f>SUMIFS('[1]GİP VERİLERİ'!$O:$O,'[1]GİP VERİLERİ'!$B:$B,A538,'[1]GİP VERİLERİ'!$M:$M,"40X000000104782K",'[1]GİP VERİLERİ'!$G:$G,"SELL")</f>
        <v/>
      </c>
      <c r="X538" s="34">
        <f>SUMIFS('[1]GİP VERİLERİ'!$C:$C,'[1]GİP VERİLERİ'!$B:$B,A538,'[1]GİP VERİLERİ'!$M:$M,"40X000000104782K",'[1]GİP VERİLERİ'!$G:$G,"BUY")</f>
        <v/>
      </c>
      <c r="Y538" s="34">
        <f>IFERROR(AA538/X538,0)</f>
        <v/>
      </c>
      <c r="Z538" s="34">
        <f>IF(Y538=0,0,F538-Y538)</f>
        <v/>
      </c>
      <c r="AA538" s="34">
        <f>SUMIFS('[1]GİP VERİLERİ'!$O:$O,'[1]GİP VERİLERİ'!$B:$B,A538,'[1]GİP VERİLERİ'!$M:$M,"40X000000104782K",'[1]GİP VERİLERİ'!$G:$G,"BUY")</f>
        <v/>
      </c>
      <c r="AB538" s="34">
        <f>'[1]GÖP VERİLERİ'!H539</f>
        <v/>
      </c>
      <c r="AC538" s="34">
        <f>'[1]GÖP VERİLERİ'!I539</f>
        <v/>
      </c>
      <c r="AD538" s="34">
        <f>IF(AB538&gt;AC538*1.05,AB538-AC538*1.05,IF(AB538&lt;AC538*0.95,AC538*0.95-AB538,0))</f>
        <v/>
      </c>
      <c r="AE538" s="34">
        <f>MAX(F538,G538,750)*0.05*AD538</f>
        <v/>
      </c>
      <c r="AF538" s="34">
        <f>'[1]GÖP VERİLERİ'!J539</f>
        <v/>
      </c>
      <c r="AG538" s="34">
        <f>IF(AB538&gt;AF538*1.05,AB538-AF538*1.05,IF(AB538&lt;AF538*0.95,AF538*0.95-AB538,0))</f>
        <v/>
      </c>
      <c r="AH538" s="34">
        <f>MAX(I538,J538,750)*0.05*AG538</f>
        <v/>
      </c>
      <c r="AI538">
        <f>'[1]GÖP VERİLERİ'!E539</f>
        <v/>
      </c>
      <c r="AJ538">
        <f>'[1]GÖP VERİLERİ'!F539</f>
        <v/>
      </c>
      <c r="AK538" s="34">
        <f>IF(AI538&gt;AJ538*1.05,AI538-AJ538*1.05,IF(AI538&lt;AJ538*0.95,AJ538*0.95-AI538,0))</f>
        <v/>
      </c>
      <c r="AL538" s="34">
        <f>MAX(F538,G538,750)*0.05*AK538</f>
        <v/>
      </c>
      <c r="AM538" s="39">
        <f>'[1]GÖP VERİLERİ'!G539</f>
        <v/>
      </c>
      <c r="AN538" s="34">
        <f>IF(AI538&gt;AM538*1.05,AI538-AM538*1.05,IF(AI538&lt;AM538*0.95,AM538*0.95-AI538,0))</f>
        <v/>
      </c>
      <c r="AO538" s="34">
        <f>MAX(F538,G538,750)*0.05*AN538</f>
        <v/>
      </c>
      <c r="AP538" s="34">
        <f>'[1]GÖP VERİLERİ'!B539</f>
        <v/>
      </c>
      <c r="AQ538" s="34">
        <f>'[1]GÖP VERİLERİ'!C539</f>
        <v/>
      </c>
      <c r="AR538" s="34">
        <f>IF(AP538&gt;AQ538*1.05,AP538-AQ538*1.05,IF(AP538&lt;AQ538*0.95,AQ538*0.95-AP538,0))</f>
        <v/>
      </c>
      <c r="AS538" s="34">
        <f>MAX(F538:G538,750)*0.05*AR538</f>
        <v/>
      </c>
      <c r="AT538">
        <f>'[1]GÖP VERİLERİ'!D539</f>
        <v/>
      </c>
      <c r="AU538" s="34">
        <f>IF(AP538&gt;AT538*1.05,AP538-AT538*1.05,IF(AP538&lt;AT538*0.95,AT538*0.95-AP538,0))</f>
        <v/>
      </c>
      <c r="AV538" s="34">
        <f>MAX(F538:G538,750)*0.05*AU538</f>
        <v/>
      </c>
      <c r="AW538" s="34">
        <f>AC538+AJ538+AQ538</f>
        <v/>
      </c>
      <c r="AX538" s="34">
        <f>AF538+AM538+AT538</f>
        <v/>
      </c>
      <c r="AY538" s="34">
        <f>AB538+AI538+AP538</f>
        <v/>
      </c>
      <c r="AZ538" s="34" t="n">
        <v>0</v>
      </c>
      <c r="BA538" s="34">
        <f>AD538+AK538+AR538</f>
        <v/>
      </c>
      <c r="BB538" s="34">
        <f>MAX(F538:G538,750)*0.05*BA538</f>
        <v/>
      </c>
      <c r="BC538" s="34">
        <f>AG538+AN538+AU538</f>
        <v/>
      </c>
      <c r="BD538" s="34">
        <f>MAX(F538:G538,750)*0.05*BC538</f>
        <v/>
      </c>
      <c r="BE538" s="34">
        <f>F538*AY538</f>
        <v/>
      </c>
      <c r="BF538" s="34">
        <f>K538-M538</f>
        <v/>
      </c>
      <c r="BG538" s="34">
        <f>P538-S538</f>
        <v/>
      </c>
      <c r="BH538" s="34">
        <f>W538-AA538</f>
        <v/>
      </c>
      <c r="BI538" s="34">
        <f>BF538+BG538+BL538-BN538</f>
        <v/>
      </c>
      <c r="BJ538" s="34">
        <f>ABS(BK538)</f>
        <v/>
      </c>
      <c r="BK538" s="34">
        <f>AY538-(J538-L538+N538-Q538)</f>
        <v/>
      </c>
      <c r="BL538" s="34">
        <f>IF(AND(BK538&gt;0,MIN($F538:$G538)&lt;150,$E538="Enerji Açığı"),-100*BK538*1.03,IF(AND(BK538&gt;0,MIN($F538:$G538)&lt;150,$E538="Enerji Fazlası"),-100*BK538*1.06,IF(AND(BK538&gt;0,MIN($F538:$G538)&gt;=150,$E538="Enerji Açığı"),BK538*MIN($F538:$G538)*0.97,IF(AND(BK538&gt;0,MIN($F538:$G538)&gt;=150,$E538="Enerji Fazlası"),BK538*MIN($F538:$G538)*0.94,IF(AND(BK538&lt;0,MAX($F538:$G538)=4500,$E538="Enerji Açığı"),4500*1.05*1.06*BK538,IF(AND(BK538&lt;0,MAX($F538:$G538)=4500,$E538="Enerji Fazlası"),4500*1.05*1.03*BK538,IF(AND(BK538&lt;0,$E538="Enerji Açığı"),MAX($F538,$G538,150)*BK538*1.06,IF(AND(BK538&lt;0,$E538="Enerji Fazlası"),MAX($F538,$G538,150)*BK538*1.03,IF(AND(BK538&lt;0,$E538="Dengede"),MAX($F538:$G538,150)*1.03*BK538,MIN($F538:$G538)*0.97*BK538)))))))))</f>
        <v/>
      </c>
      <c r="BM538" s="34">
        <f>BE538-BI538-BN538</f>
        <v/>
      </c>
      <c r="BN538" s="34">
        <f>BB538</f>
        <v/>
      </c>
      <c r="BO538" s="34">
        <f>BE538-BI538</f>
        <v/>
      </c>
      <c r="BP538" s="34">
        <f>IF(AY538=0,0,BO538/AY538)</f>
        <v/>
      </c>
      <c r="BQ538" s="34">
        <f>MAX((AY538+MAX((-J538+L538-N538+Q538),0)),(MAX((J538-L538+N538-Q538),0)))</f>
        <v/>
      </c>
      <c r="BR538" s="82">
        <f>IFERROR(ABS(BK538/BQ538),0)</f>
        <v/>
      </c>
      <c r="BS538" s="34">
        <f>IF(BR538&lt;=0.1,0,BK538/BR538*(BR538-0.1))</f>
        <v/>
      </c>
      <c r="BT538" s="34">
        <f>IF((BS538)&lt;0,MAX(F538:G538)*(BS538)*1.03,MIN(F538:G538)*(BS538)*0.97)</f>
        <v/>
      </c>
      <c r="BU538" s="34">
        <f>IF(BR538&gt;0.1,1,0)</f>
        <v/>
      </c>
      <c r="BV538" s="34">
        <f>BF538+BG538+BH538+BY538-CA538</f>
        <v/>
      </c>
      <c r="BW538" s="34">
        <f>ABS(BX538)</f>
        <v/>
      </c>
      <c r="BX538" s="34">
        <f>AY538-(J538-L538+N538-Q538+T538-X538)</f>
        <v/>
      </c>
      <c r="BY538" s="34">
        <f>IF(AND(BX538&gt;0,MIN($F538:$G538)&lt;150,$E538="Enerji Açığı"),-100*BX538*1.03,IF(AND(BX538&gt;0,MIN($F538:$G538)&lt;150,$E538="Enerji Fazlası"),-100*BX538*1.06,IF(AND(BX538&gt;0,MIN($F538:$G538)&gt;=150,$E538="Enerji Açığı"),BX538*MIN($F538:$G538)*0.97,IF(AND(BX538&gt;0,MIN($F538:$G538)&gt;=150,$E538="Enerji Fazlası"),BX538*MIN($F538:$G538)*0.94,IF(AND(BX538&lt;0,MAX($F538:$G538)=4500,$E538="Enerji Açığı"),4500*1.05*1.06*BX538,IF(AND(BX538&lt;0,MAX($F538:$G538)=4500,$E538="Enerji Fazlası"),4500*1.05*1.03*BX538,IF(AND(BX538&lt;0,$E538="Enerji Açığı"),MAX($F538,$G538,150)*BX538*1.06,IF(AND(BX538&lt;0,$E538="Enerji Fazlası"),MAX($F538,$G538,150)*BX538*1.03,IF(AND(BX538&lt;0,$E538="Dengede"),MAX($F538:$G538,150)*1.03*BX538,MIN($F538:$G538)*0.97*BX538)))))))))</f>
        <v/>
      </c>
      <c r="BZ538" s="34">
        <f>BE538-BV538-CA538</f>
        <v/>
      </c>
      <c r="CA538" s="34">
        <f>BD538</f>
        <v/>
      </c>
      <c r="CB538" s="33">
        <f>BE538-BV538</f>
        <v/>
      </c>
      <c r="CC538" s="34">
        <f>IF(AY538=0,0,CB538/AY538)</f>
        <v/>
      </c>
      <c r="CD538" s="34">
        <f>MAX((AY538+MAX((-J538+L538-N538+Q538-T538+X538),0)),(MAX((J538-L538+N538-Q538+T538-X538),0)))</f>
        <v/>
      </c>
      <c r="CE538" s="82">
        <f>IFERROR(ABS(BX538/CD538),0)</f>
        <v/>
      </c>
      <c r="CF538" s="34">
        <f>IF(CE538&lt;=0.1,0,BX538/CE538*(CE538-0.1))</f>
        <v/>
      </c>
      <c r="CG538" s="34">
        <f>IF((CF538)&lt;0,MAX(F538:G538)*(CF538)*1.03,MIN(F538:G538)*(CF538)*0.97)</f>
        <v/>
      </c>
      <c r="CH538" s="34">
        <f>IF(CE538&gt;0.1,1,0)</f>
        <v/>
      </c>
      <c r="CI538" s="34">
        <f>(F538*BX538)-BY538</f>
        <v/>
      </c>
      <c r="CJ538" s="34">
        <f>IF(AY538=0,0,CI538/AY538)</f>
        <v/>
      </c>
    </row>
    <row r="539">
      <c r="A539" s="29">
        <f>[1]FİYATLAR!A514</f>
        <v/>
      </c>
      <c r="B539" s="29">
        <f>[1]FİYATLAR!B514</f>
        <v/>
      </c>
      <c r="C539" s="35">
        <f>INT(A539)</f>
        <v/>
      </c>
      <c r="D539" s="36">
        <f>MONTH(A539)</f>
        <v/>
      </c>
      <c r="E539" s="147">
        <f>[1]FİYATLAR!G514</f>
        <v/>
      </c>
      <c r="F539" s="30">
        <f>[1]FİYATLAR!C514</f>
        <v/>
      </c>
      <c r="G539" s="30">
        <f>[1]FİYATLAR!E514</f>
        <v/>
      </c>
      <c r="H539" s="30">
        <f>[1]FİYATLAR!D514</f>
        <v/>
      </c>
      <c r="I539" s="30">
        <f>[1]FİYATLAR!F514</f>
        <v/>
      </c>
      <c r="J539" s="119" t="n">
        <v>0</v>
      </c>
      <c r="K539" s="34">
        <f>F539*J539</f>
        <v/>
      </c>
      <c r="L539" s="119" t="n"/>
      <c r="M539" s="34">
        <f>L539*F539</f>
        <v/>
      </c>
      <c r="N539" s="119" t="n"/>
      <c r="O539" s="34">
        <f>F539</f>
        <v/>
      </c>
      <c r="P539" s="34">
        <f>N539*O539</f>
        <v/>
      </c>
      <c r="Q539" s="117" t="n">
        <v>0</v>
      </c>
      <c r="R539" s="34">
        <f>F539</f>
        <v/>
      </c>
      <c r="S539" s="34">
        <f>R539*Q539</f>
        <v/>
      </c>
      <c r="T539" s="34">
        <f>SUMIFS('[1]GİP VERİLERİ'!$C:$C,'[1]GİP VERİLERİ'!$B:$B,A539,'[1]GİP VERİLERİ'!$M:$M,"40X000000104782K",'[1]GİP VERİLERİ'!$G:$G,"SELL")</f>
        <v/>
      </c>
      <c r="U539" s="34">
        <f>IFERROR(W539/T539,0)</f>
        <v/>
      </c>
      <c r="V539" s="34">
        <f>IF(U539=0,0,U539-F539)</f>
        <v/>
      </c>
      <c r="W539" s="34">
        <f>SUMIFS('[1]GİP VERİLERİ'!$O:$O,'[1]GİP VERİLERİ'!$B:$B,A539,'[1]GİP VERİLERİ'!$M:$M,"40X000000104782K",'[1]GİP VERİLERİ'!$G:$G,"SELL")</f>
        <v/>
      </c>
      <c r="X539" s="34">
        <f>SUMIFS('[1]GİP VERİLERİ'!$C:$C,'[1]GİP VERİLERİ'!$B:$B,A539,'[1]GİP VERİLERİ'!$M:$M,"40X000000104782K",'[1]GİP VERİLERİ'!$G:$G,"BUY")</f>
        <v/>
      </c>
      <c r="Y539" s="34">
        <f>IFERROR(AA539/X539,0)</f>
        <v/>
      </c>
      <c r="Z539" s="34">
        <f>IF(Y539=0,0,F539-Y539)</f>
        <v/>
      </c>
      <c r="AA539" s="34">
        <f>SUMIFS('[1]GİP VERİLERİ'!$O:$O,'[1]GİP VERİLERİ'!$B:$B,A539,'[1]GİP VERİLERİ'!$M:$M,"40X000000104782K",'[1]GİP VERİLERİ'!$G:$G,"BUY")</f>
        <v/>
      </c>
      <c r="AB539" s="34">
        <f>'[1]GÖP VERİLERİ'!H540</f>
        <v/>
      </c>
      <c r="AC539" s="34">
        <f>'[1]GÖP VERİLERİ'!I540</f>
        <v/>
      </c>
      <c r="AD539" s="34">
        <f>IF(AB539&gt;AC539*1.05,AB539-AC539*1.05,IF(AB539&lt;AC539*0.95,AC539*0.95-AB539,0))</f>
        <v/>
      </c>
      <c r="AE539" s="34">
        <f>MAX(F539,G539,750)*0.05*AD539</f>
        <v/>
      </c>
      <c r="AF539" s="34">
        <f>'[1]GÖP VERİLERİ'!J540</f>
        <v/>
      </c>
      <c r="AG539" s="34">
        <f>IF(AB539&gt;AF539*1.05,AB539-AF539*1.05,IF(AB539&lt;AF539*0.95,AF539*0.95-AB539,0))</f>
        <v/>
      </c>
      <c r="AH539" s="34">
        <f>MAX(I539,J539,750)*0.05*AG539</f>
        <v/>
      </c>
      <c r="AI539">
        <f>'[1]GÖP VERİLERİ'!E540</f>
        <v/>
      </c>
      <c r="AJ539">
        <f>'[1]GÖP VERİLERİ'!F540</f>
        <v/>
      </c>
      <c r="AK539" s="34">
        <f>IF(AI539&gt;AJ539*1.05,AI539-AJ539*1.05,IF(AI539&lt;AJ539*0.95,AJ539*0.95-AI539,0))</f>
        <v/>
      </c>
      <c r="AL539" s="34">
        <f>MAX(F539,G539,750)*0.05*AK539</f>
        <v/>
      </c>
      <c r="AM539" s="39">
        <f>'[1]GÖP VERİLERİ'!G540</f>
        <v/>
      </c>
      <c r="AN539" s="34">
        <f>IF(AI539&gt;AM539*1.05,AI539-AM539*1.05,IF(AI539&lt;AM539*0.95,AM539*0.95-AI539,0))</f>
        <v/>
      </c>
      <c r="AO539" s="34">
        <f>MAX(F539,G539,750)*0.05*AN539</f>
        <v/>
      </c>
      <c r="AP539" s="34">
        <f>'[1]GÖP VERİLERİ'!B540</f>
        <v/>
      </c>
      <c r="AQ539" s="34">
        <f>'[1]GÖP VERİLERİ'!C540</f>
        <v/>
      </c>
      <c r="AR539" s="34">
        <f>IF(AP539&gt;AQ539*1.05,AP539-AQ539*1.05,IF(AP539&lt;AQ539*0.95,AQ539*0.95-AP539,0))</f>
        <v/>
      </c>
      <c r="AS539" s="34">
        <f>MAX(F539:G539,750)*0.05*AR539</f>
        <v/>
      </c>
      <c r="AT539">
        <f>'[1]GÖP VERİLERİ'!D540</f>
        <v/>
      </c>
      <c r="AU539" s="34">
        <f>IF(AP539&gt;AT539*1.05,AP539-AT539*1.05,IF(AP539&lt;AT539*0.95,AT539*0.95-AP539,0))</f>
        <v/>
      </c>
      <c r="AV539" s="34">
        <f>MAX(F539:G539,750)*0.05*AU539</f>
        <v/>
      </c>
      <c r="AW539" s="34">
        <f>AC539+AJ539+AQ539</f>
        <v/>
      </c>
      <c r="AX539" s="34">
        <f>AF539+AM539+AT539</f>
        <v/>
      </c>
      <c r="AY539" s="34">
        <f>AB539+AI539+AP539</f>
        <v/>
      </c>
      <c r="AZ539" s="34" t="n">
        <v>0</v>
      </c>
      <c r="BA539" s="34">
        <f>AD539+AK539+AR539</f>
        <v/>
      </c>
      <c r="BB539" s="34">
        <f>MAX(F539:G539,750)*0.05*BA539</f>
        <v/>
      </c>
      <c r="BC539" s="34">
        <f>AG539+AN539+AU539</f>
        <v/>
      </c>
      <c r="BD539" s="34">
        <f>MAX(F539:G539,750)*0.05*BC539</f>
        <v/>
      </c>
      <c r="BE539" s="34">
        <f>F539*AY539</f>
        <v/>
      </c>
      <c r="BF539" s="34">
        <f>K539-M539</f>
        <v/>
      </c>
      <c r="BG539" s="34">
        <f>P539-S539</f>
        <v/>
      </c>
      <c r="BH539" s="34">
        <f>W539-AA539</f>
        <v/>
      </c>
      <c r="BI539" s="34">
        <f>BF539+BG539+BL539-BN539</f>
        <v/>
      </c>
      <c r="BJ539" s="34">
        <f>ABS(BK539)</f>
        <v/>
      </c>
      <c r="BK539" s="34">
        <f>AY539-(J539-L539+N539-Q539)</f>
        <v/>
      </c>
      <c r="BL539" s="34">
        <f>IF(AND(BK539&gt;0,MIN($F539:$G539)&lt;150,$E539="Enerji Açığı"),-100*BK539*1.03,IF(AND(BK539&gt;0,MIN($F539:$G539)&lt;150,$E539="Enerji Fazlası"),-100*BK539*1.06,IF(AND(BK539&gt;0,MIN($F539:$G539)&gt;=150,$E539="Enerji Açığı"),BK539*MIN($F539:$G539)*0.97,IF(AND(BK539&gt;0,MIN($F539:$G539)&gt;=150,$E539="Enerji Fazlası"),BK539*MIN($F539:$G539)*0.94,IF(AND(BK539&lt;0,MAX($F539:$G539)=4500,$E539="Enerji Açığı"),4500*1.05*1.06*BK539,IF(AND(BK539&lt;0,MAX($F539:$G539)=4500,$E539="Enerji Fazlası"),4500*1.05*1.03*BK539,IF(AND(BK539&lt;0,$E539="Enerji Açığı"),MAX($F539,$G539,150)*BK539*1.06,IF(AND(BK539&lt;0,$E539="Enerji Fazlası"),MAX($F539,$G539,150)*BK539*1.03,IF(AND(BK539&lt;0,$E539="Dengede"),MAX($F539:$G539,150)*1.03*BK539,MIN($F539:$G539)*0.97*BK539)))))))))</f>
        <v/>
      </c>
      <c r="BM539" s="34">
        <f>BE539-BI539-BN539</f>
        <v/>
      </c>
      <c r="BN539" s="34">
        <f>BB539</f>
        <v/>
      </c>
      <c r="BO539" s="34">
        <f>BE539-BI539</f>
        <v/>
      </c>
      <c r="BP539" s="34">
        <f>IF(AY539=0,0,BO539/AY539)</f>
        <v/>
      </c>
      <c r="BQ539" s="34">
        <f>MAX((AY539+MAX((-J539+L539-N539+Q539),0)),(MAX((J539-L539+N539-Q539),0)))</f>
        <v/>
      </c>
      <c r="BR539" s="82">
        <f>IFERROR(ABS(BK539/BQ539),0)</f>
        <v/>
      </c>
      <c r="BS539" s="34">
        <f>IF(BR539&lt;=0.1,0,BK539/BR539*(BR539-0.1))</f>
        <v/>
      </c>
      <c r="BT539" s="34">
        <f>IF((BS539)&lt;0,MAX(F539:G539)*(BS539)*1.03,MIN(F539:G539)*(BS539)*0.97)</f>
        <v/>
      </c>
      <c r="BU539" s="34">
        <f>IF(BR539&gt;0.1,1,0)</f>
        <v/>
      </c>
      <c r="BV539" s="34">
        <f>BF539+BG539+BH539+BY539-CA539</f>
        <v/>
      </c>
      <c r="BW539" s="34">
        <f>ABS(BX539)</f>
        <v/>
      </c>
      <c r="BX539" s="34">
        <f>AY539-(J539-L539+N539-Q539+T539-X539)</f>
        <v/>
      </c>
      <c r="BY539" s="34">
        <f>IF(AND(BX539&gt;0,MIN($F539:$G539)&lt;150,$E539="Enerji Açığı"),-100*BX539*1.03,IF(AND(BX539&gt;0,MIN($F539:$G539)&lt;150,$E539="Enerji Fazlası"),-100*BX539*1.06,IF(AND(BX539&gt;0,MIN($F539:$G539)&gt;=150,$E539="Enerji Açığı"),BX539*MIN($F539:$G539)*0.97,IF(AND(BX539&gt;0,MIN($F539:$G539)&gt;=150,$E539="Enerji Fazlası"),BX539*MIN($F539:$G539)*0.94,IF(AND(BX539&lt;0,MAX($F539:$G539)=4500,$E539="Enerji Açığı"),4500*1.05*1.06*BX539,IF(AND(BX539&lt;0,MAX($F539:$G539)=4500,$E539="Enerji Fazlası"),4500*1.05*1.03*BX539,IF(AND(BX539&lt;0,$E539="Enerji Açığı"),MAX($F539,$G539,150)*BX539*1.06,IF(AND(BX539&lt;0,$E539="Enerji Fazlası"),MAX($F539,$G539,150)*BX539*1.03,IF(AND(BX539&lt;0,$E539="Dengede"),MAX($F539:$G539,150)*1.03*BX539,MIN($F539:$G539)*0.97*BX539)))))))))</f>
        <v/>
      </c>
      <c r="BZ539" s="34">
        <f>BE539-BV539-CA539</f>
        <v/>
      </c>
      <c r="CA539" s="34">
        <f>BD539</f>
        <v/>
      </c>
      <c r="CB539" s="33">
        <f>BE539-BV539</f>
        <v/>
      </c>
      <c r="CC539" s="34">
        <f>IF(AY539=0,0,CB539/AY539)</f>
        <v/>
      </c>
      <c r="CD539" s="34">
        <f>MAX((AY539+MAX((-J539+L539-N539+Q539-T539+X539),0)),(MAX((J539-L539+N539-Q539+T539-X539),0)))</f>
        <v/>
      </c>
      <c r="CE539" s="82">
        <f>IFERROR(ABS(BX539/CD539),0)</f>
        <v/>
      </c>
      <c r="CF539" s="34">
        <f>IF(CE539&lt;=0.1,0,BX539/CE539*(CE539-0.1))</f>
        <v/>
      </c>
      <c r="CG539" s="34">
        <f>IF((CF539)&lt;0,MAX(F539:G539)*(CF539)*1.03,MIN(F539:G539)*(CF539)*0.97)</f>
        <v/>
      </c>
      <c r="CH539" s="34">
        <f>IF(CE539&gt;0.1,1,0)</f>
        <v/>
      </c>
      <c r="CI539" s="34">
        <f>(F539*BX539)-BY539</f>
        <v/>
      </c>
      <c r="CJ539" s="34">
        <f>IF(AY539=0,0,CI539/AY539)</f>
        <v/>
      </c>
    </row>
    <row r="540">
      <c r="A540" s="29">
        <f>[1]FİYATLAR!A515</f>
        <v/>
      </c>
      <c r="B540" s="29">
        <f>[1]FİYATLAR!B515</f>
        <v/>
      </c>
      <c r="C540" s="35">
        <f>INT(A540)</f>
        <v/>
      </c>
      <c r="D540" s="36">
        <f>MONTH(A540)</f>
        <v/>
      </c>
      <c r="E540" s="147">
        <f>[1]FİYATLAR!G515</f>
        <v/>
      </c>
      <c r="F540" s="30">
        <f>[1]FİYATLAR!C515</f>
        <v/>
      </c>
      <c r="G540" s="30">
        <f>[1]FİYATLAR!E515</f>
        <v/>
      </c>
      <c r="H540" s="30">
        <f>[1]FİYATLAR!D515</f>
        <v/>
      </c>
      <c r="I540" s="30">
        <f>[1]FİYATLAR!F515</f>
        <v/>
      </c>
      <c r="J540" s="119" t="n">
        <v>0</v>
      </c>
      <c r="K540" s="34">
        <f>F540*J540</f>
        <v/>
      </c>
      <c r="L540" s="119" t="n"/>
      <c r="M540" s="34">
        <f>L540*F540</f>
        <v/>
      </c>
      <c r="N540" s="119" t="n"/>
      <c r="O540" s="34">
        <f>F540</f>
        <v/>
      </c>
      <c r="P540" s="34">
        <f>N540*O540</f>
        <v/>
      </c>
      <c r="Q540" s="117" t="n">
        <v>0</v>
      </c>
      <c r="R540" s="34">
        <f>F540</f>
        <v/>
      </c>
      <c r="S540" s="34">
        <f>R540*Q540</f>
        <v/>
      </c>
      <c r="T540" s="34">
        <f>SUMIFS('[1]GİP VERİLERİ'!$C:$C,'[1]GİP VERİLERİ'!$B:$B,A540,'[1]GİP VERİLERİ'!$M:$M,"40X000000104782K",'[1]GİP VERİLERİ'!$G:$G,"SELL")</f>
        <v/>
      </c>
      <c r="U540" s="34">
        <f>IFERROR(W540/T540,0)</f>
        <v/>
      </c>
      <c r="V540" s="34">
        <f>IF(U540=0,0,U540-F540)</f>
        <v/>
      </c>
      <c r="W540" s="34">
        <f>SUMIFS('[1]GİP VERİLERİ'!$O:$O,'[1]GİP VERİLERİ'!$B:$B,A540,'[1]GİP VERİLERİ'!$M:$M,"40X000000104782K",'[1]GİP VERİLERİ'!$G:$G,"SELL")</f>
        <v/>
      </c>
      <c r="X540" s="34">
        <f>SUMIFS('[1]GİP VERİLERİ'!$C:$C,'[1]GİP VERİLERİ'!$B:$B,A540,'[1]GİP VERİLERİ'!$M:$M,"40X000000104782K",'[1]GİP VERİLERİ'!$G:$G,"BUY")</f>
        <v/>
      </c>
      <c r="Y540" s="34">
        <f>IFERROR(AA540/X540,0)</f>
        <v/>
      </c>
      <c r="Z540" s="34">
        <f>IF(Y540=0,0,F540-Y540)</f>
        <v/>
      </c>
      <c r="AA540" s="34">
        <f>SUMIFS('[1]GİP VERİLERİ'!$O:$O,'[1]GİP VERİLERİ'!$B:$B,A540,'[1]GİP VERİLERİ'!$M:$M,"40X000000104782K",'[1]GİP VERİLERİ'!$G:$G,"BUY")</f>
        <v/>
      </c>
      <c r="AB540" s="34">
        <f>'[1]GÖP VERİLERİ'!H541</f>
        <v/>
      </c>
      <c r="AC540" s="34">
        <f>'[1]GÖP VERİLERİ'!I541</f>
        <v/>
      </c>
      <c r="AD540" s="34">
        <f>IF(AB540&gt;AC540*1.05,AB540-AC540*1.05,IF(AB540&lt;AC540*0.95,AC540*0.95-AB540,0))</f>
        <v/>
      </c>
      <c r="AE540" s="34">
        <f>MAX(F540,G540,750)*0.05*AD540</f>
        <v/>
      </c>
      <c r="AF540" s="34">
        <f>'[1]GÖP VERİLERİ'!J541</f>
        <v/>
      </c>
      <c r="AG540" s="34">
        <f>IF(AB540&gt;AF540*1.05,AB540-AF540*1.05,IF(AB540&lt;AF540*0.95,AF540*0.95-AB540,0))</f>
        <v/>
      </c>
      <c r="AH540" s="34">
        <f>MAX(I540,J540,750)*0.05*AG540</f>
        <v/>
      </c>
      <c r="AI540">
        <f>'[1]GÖP VERİLERİ'!E541</f>
        <v/>
      </c>
      <c r="AJ540">
        <f>'[1]GÖP VERİLERİ'!F541</f>
        <v/>
      </c>
      <c r="AK540" s="34">
        <f>IF(AI540&gt;AJ540*1.05,AI540-AJ540*1.05,IF(AI540&lt;AJ540*0.95,AJ540*0.95-AI540,0))</f>
        <v/>
      </c>
      <c r="AL540" s="34">
        <f>MAX(F540,G540,750)*0.05*AK540</f>
        <v/>
      </c>
      <c r="AM540" s="39">
        <f>'[1]GÖP VERİLERİ'!G541</f>
        <v/>
      </c>
      <c r="AN540" s="34">
        <f>IF(AI540&gt;AM540*1.05,AI540-AM540*1.05,IF(AI540&lt;AM540*0.95,AM540*0.95-AI540,0))</f>
        <v/>
      </c>
      <c r="AO540" s="34">
        <f>MAX(F540,G540,750)*0.05*AN540</f>
        <v/>
      </c>
      <c r="AP540" s="34">
        <f>'[1]GÖP VERİLERİ'!B541</f>
        <v/>
      </c>
      <c r="AQ540" s="34">
        <f>'[1]GÖP VERİLERİ'!C541</f>
        <v/>
      </c>
      <c r="AR540" s="34">
        <f>IF(AP540&gt;AQ540*1.05,AP540-AQ540*1.05,IF(AP540&lt;AQ540*0.95,AQ540*0.95-AP540,0))</f>
        <v/>
      </c>
      <c r="AS540" s="34">
        <f>MAX(F540:G540,750)*0.05*AR540</f>
        <v/>
      </c>
      <c r="AT540">
        <f>'[1]GÖP VERİLERİ'!D541</f>
        <v/>
      </c>
      <c r="AU540" s="34">
        <f>IF(AP540&gt;AT540*1.05,AP540-AT540*1.05,IF(AP540&lt;AT540*0.95,AT540*0.95-AP540,0))</f>
        <v/>
      </c>
      <c r="AV540" s="34">
        <f>MAX(F540:G540,750)*0.05*AU540</f>
        <v/>
      </c>
      <c r="AW540" s="34">
        <f>AC540+AJ540+AQ540</f>
        <v/>
      </c>
      <c r="AX540" s="34">
        <f>AF540+AM540+AT540</f>
        <v/>
      </c>
      <c r="AY540" s="34">
        <f>AB540+AI540+AP540</f>
        <v/>
      </c>
      <c r="AZ540" s="34" t="n">
        <v>0</v>
      </c>
      <c r="BA540" s="34">
        <f>AD540+AK540+AR540</f>
        <v/>
      </c>
      <c r="BB540" s="34">
        <f>MAX(F540:G540,750)*0.05*BA540</f>
        <v/>
      </c>
      <c r="BC540" s="34">
        <f>AG540+AN540+AU540</f>
        <v/>
      </c>
      <c r="BD540" s="34">
        <f>MAX(F540:G540,750)*0.05*BC540</f>
        <v/>
      </c>
      <c r="BE540" s="34">
        <f>F540*AY540</f>
        <v/>
      </c>
      <c r="BF540" s="34">
        <f>K540-M540</f>
        <v/>
      </c>
      <c r="BG540" s="34">
        <f>P540-S540</f>
        <v/>
      </c>
      <c r="BH540" s="34">
        <f>W540-AA540</f>
        <v/>
      </c>
      <c r="BI540" s="34">
        <f>BF540+BG540+BL540-BN540</f>
        <v/>
      </c>
      <c r="BJ540" s="34">
        <f>ABS(BK540)</f>
        <v/>
      </c>
      <c r="BK540" s="34">
        <f>AY540-(J540-L540+N540-Q540)</f>
        <v/>
      </c>
      <c r="BL540" s="34">
        <f>IF(AND(BK540&gt;0,MIN($F540:$G540)&lt;150,$E540="Enerji Açığı"),-100*BK540*1.03,IF(AND(BK540&gt;0,MIN($F540:$G540)&lt;150,$E540="Enerji Fazlası"),-100*BK540*1.06,IF(AND(BK540&gt;0,MIN($F540:$G540)&gt;=150,$E540="Enerji Açığı"),BK540*MIN($F540:$G540)*0.97,IF(AND(BK540&gt;0,MIN($F540:$G540)&gt;=150,$E540="Enerji Fazlası"),BK540*MIN($F540:$G540)*0.94,IF(AND(BK540&lt;0,MAX($F540:$G540)=4500,$E540="Enerji Açığı"),4500*1.05*1.06*BK540,IF(AND(BK540&lt;0,MAX($F540:$G540)=4500,$E540="Enerji Fazlası"),4500*1.05*1.03*BK540,IF(AND(BK540&lt;0,$E540="Enerji Açığı"),MAX($F540,$G540,150)*BK540*1.06,IF(AND(BK540&lt;0,$E540="Enerji Fazlası"),MAX($F540,$G540,150)*BK540*1.03,IF(AND(BK540&lt;0,$E540="Dengede"),MAX($F540:$G540,150)*1.03*BK540,MIN($F540:$G540)*0.97*BK540)))))))))</f>
        <v/>
      </c>
      <c r="BM540" s="34">
        <f>BE540-BI540-BN540</f>
        <v/>
      </c>
      <c r="BN540" s="34">
        <f>BB540</f>
        <v/>
      </c>
      <c r="BO540" s="34">
        <f>BE540-BI540</f>
        <v/>
      </c>
      <c r="BP540" s="34">
        <f>IF(AY540=0,0,BO540/AY540)</f>
        <v/>
      </c>
      <c r="BQ540" s="34">
        <f>MAX((AY540+MAX((-J540+L540-N540+Q540),0)),(MAX((J540-L540+N540-Q540),0)))</f>
        <v/>
      </c>
      <c r="BR540" s="82">
        <f>IFERROR(ABS(BK540/BQ540),0)</f>
        <v/>
      </c>
      <c r="BS540" s="34">
        <f>IF(BR540&lt;=0.1,0,BK540/BR540*(BR540-0.1))</f>
        <v/>
      </c>
      <c r="BT540" s="34">
        <f>IF((BS540)&lt;0,MAX(F540:G540)*(BS540)*1.03,MIN(F540:G540)*(BS540)*0.97)</f>
        <v/>
      </c>
      <c r="BU540" s="34">
        <f>IF(BR540&gt;0.1,1,0)</f>
        <v/>
      </c>
      <c r="BV540" s="34">
        <f>BF540+BG540+BH540+BY540-CA540</f>
        <v/>
      </c>
      <c r="BW540" s="34">
        <f>ABS(BX540)</f>
        <v/>
      </c>
      <c r="BX540" s="34">
        <f>AY540-(J540-L540+N540-Q540+T540-X540)</f>
        <v/>
      </c>
      <c r="BY540" s="34">
        <f>IF(AND(BX540&gt;0,MIN($F540:$G540)&lt;150,$E540="Enerji Açığı"),-100*BX540*1.03,IF(AND(BX540&gt;0,MIN($F540:$G540)&lt;150,$E540="Enerji Fazlası"),-100*BX540*1.06,IF(AND(BX540&gt;0,MIN($F540:$G540)&gt;=150,$E540="Enerji Açığı"),BX540*MIN($F540:$G540)*0.97,IF(AND(BX540&gt;0,MIN($F540:$G540)&gt;=150,$E540="Enerji Fazlası"),BX540*MIN($F540:$G540)*0.94,IF(AND(BX540&lt;0,MAX($F540:$G540)=4500,$E540="Enerji Açığı"),4500*1.05*1.06*BX540,IF(AND(BX540&lt;0,MAX($F540:$G540)=4500,$E540="Enerji Fazlası"),4500*1.05*1.03*BX540,IF(AND(BX540&lt;0,$E540="Enerji Açığı"),MAX($F540,$G540,150)*BX540*1.06,IF(AND(BX540&lt;0,$E540="Enerji Fazlası"),MAX($F540,$G540,150)*BX540*1.03,IF(AND(BX540&lt;0,$E540="Dengede"),MAX($F540:$G540,150)*1.03*BX540,MIN($F540:$G540)*0.97*BX540)))))))))</f>
        <v/>
      </c>
      <c r="BZ540" s="34">
        <f>BE540-BV540-CA540</f>
        <v/>
      </c>
      <c r="CA540" s="34">
        <f>BD540</f>
        <v/>
      </c>
      <c r="CB540" s="33">
        <f>BE540-BV540</f>
        <v/>
      </c>
      <c r="CC540" s="34">
        <f>IF(AY540=0,0,CB540/AY540)</f>
        <v/>
      </c>
      <c r="CD540" s="34">
        <f>MAX((AY540+MAX((-J540+L540-N540+Q540-T540+X540),0)),(MAX((J540-L540+N540-Q540+T540-X540),0)))</f>
        <v/>
      </c>
      <c r="CE540" s="82">
        <f>IFERROR(ABS(BX540/CD540),0)</f>
        <v/>
      </c>
      <c r="CF540" s="34">
        <f>IF(CE540&lt;=0.1,0,BX540/CE540*(CE540-0.1))</f>
        <v/>
      </c>
      <c r="CG540" s="34">
        <f>IF((CF540)&lt;0,MAX(F540:G540)*(CF540)*1.03,MIN(F540:G540)*(CF540)*0.97)</f>
        <v/>
      </c>
      <c r="CH540" s="34">
        <f>IF(CE540&gt;0.1,1,0)</f>
        <v/>
      </c>
      <c r="CI540" s="34">
        <f>(F540*BX540)-BY540</f>
        <v/>
      </c>
      <c r="CJ540" s="34">
        <f>IF(AY540=0,0,CI540/AY540)</f>
        <v/>
      </c>
    </row>
    <row r="541">
      <c r="A541" s="29">
        <f>[1]FİYATLAR!A516</f>
        <v/>
      </c>
      <c r="B541" s="29">
        <f>[1]FİYATLAR!B516</f>
        <v/>
      </c>
      <c r="C541" s="35">
        <f>INT(A541)</f>
        <v/>
      </c>
      <c r="D541" s="36">
        <f>MONTH(A541)</f>
        <v/>
      </c>
      <c r="E541" s="147">
        <f>[1]FİYATLAR!G516</f>
        <v/>
      </c>
      <c r="F541" s="30">
        <f>[1]FİYATLAR!C516</f>
        <v/>
      </c>
      <c r="G541" s="30">
        <f>[1]FİYATLAR!E516</f>
        <v/>
      </c>
      <c r="H541" s="30">
        <f>[1]FİYATLAR!D516</f>
        <v/>
      </c>
      <c r="I541" s="30">
        <f>[1]FİYATLAR!F516</f>
        <v/>
      </c>
      <c r="J541" s="119" t="n">
        <v>0</v>
      </c>
      <c r="K541" s="34">
        <f>F541*J541</f>
        <v/>
      </c>
      <c r="L541" s="119" t="n"/>
      <c r="M541" s="34">
        <f>L541*F541</f>
        <v/>
      </c>
      <c r="N541" s="119" t="n"/>
      <c r="O541" s="34">
        <f>F541</f>
        <v/>
      </c>
      <c r="P541" s="34">
        <f>N541*O541</f>
        <v/>
      </c>
      <c r="Q541" s="117" t="n">
        <v>0</v>
      </c>
      <c r="R541" s="34">
        <f>F541</f>
        <v/>
      </c>
      <c r="S541" s="34">
        <f>R541*Q541</f>
        <v/>
      </c>
      <c r="T541" s="34">
        <f>SUMIFS('[1]GİP VERİLERİ'!$C:$C,'[1]GİP VERİLERİ'!$B:$B,A541,'[1]GİP VERİLERİ'!$M:$M,"40X000000104782K",'[1]GİP VERİLERİ'!$G:$G,"SELL")</f>
        <v/>
      </c>
      <c r="U541" s="34">
        <f>IFERROR(W541/T541,0)</f>
        <v/>
      </c>
      <c r="V541" s="34">
        <f>IF(U541=0,0,U541-F541)</f>
        <v/>
      </c>
      <c r="W541" s="34">
        <f>SUMIFS('[1]GİP VERİLERİ'!$O:$O,'[1]GİP VERİLERİ'!$B:$B,A541,'[1]GİP VERİLERİ'!$M:$M,"40X000000104782K",'[1]GİP VERİLERİ'!$G:$G,"SELL")</f>
        <v/>
      </c>
      <c r="X541" s="34">
        <f>SUMIFS('[1]GİP VERİLERİ'!$C:$C,'[1]GİP VERİLERİ'!$B:$B,A541,'[1]GİP VERİLERİ'!$M:$M,"40X000000104782K",'[1]GİP VERİLERİ'!$G:$G,"BUY")</f>
        <v/>
      </c>
      <c r="Y541" s="34">
        <f>IFERROR(AA541/X541,0)</f>
        <v/>
      </c>
      <c r="Z541" s="34">
        <f>IF(Y541=0,0,F541-Y541)</f>
        <v/>
      </c>
      <c r="AA541" s="34">
        <f>SUMIFS('[1]GİP VERİLERİ'!$O:$O,'[1]GİP VERİLERİ'!$B:$B,A541,'[1]GİP VERİLERİ'!$M:$M,"40X000000104782K",'[1]GİP VERİLERİ'!$G:$G,"BUY")</f>
        <v/>
      </c>
      <c r="AB541" s="34">
        <f>'[1]GÖP VERİLERİ'!H542</f>
        <v/>
      </c>
      <c r="AC541" s="34">
        <f>'[1]GÖP VERİLERİ'!I542</f>
        <v/>
      </c>
      <c r="AD541" s="34">
        <f>IF(AB541&gt;AC541*1.05,AB541-AC541*1.05,IF(AB541&lt;AC541*0.95,AC541*0.95-AB541,0))</f>
        <v/>
      </c>
      <c r="AE541" s="34">
        <f>MAX(F541,G541,750)*0.05*AD541</f>
        <v/>
      </c>
      <c r="AF541" s="34">
        <f>'[1]GÖP VERİLERİ'!J542</f>
        <v/>
      </c>
      <c r="AG541" s="34">
        <f>IF(AB541&gt;AF541*1.05,AB541-AF541*1.05,IF(AB541&lt;AF541*0.95,AF541*0.95-AB541,0))</f>
        <v/>
      </c>
      <c r="AH541" s="34">
        <f>MAX(I541,J541,750)*0.05*AG541</f>
        <v/>
      </c>
      <c r="AI541">
        <f>'[1]GÖP VERİLERİ'!E542</f>
        <v/>
      </c>
      <c r="AJ541">
        <f>'[1]GÖP VERİLERİ'!F542</f>
        <v/>
      </c>
      <c r="AK541" s="34">
        <f>IF(AI541&gt;AJ541*1.05,AI541-AJ541*1.05,IF(AI541&lt;AJ541*0.95,AJ541*0.95-AI541,0))</f>
        <v/>
      </c>
      <c r="AL541" s="34">
        <f>MAX(F541,G541,750)*0.05*AK541</f>
        <v/>
      </c>
      <c r="AM541" s="39">
        <f>'[1]GÖP VERİLERİ'!G542</f>
        <v/>
      </c>
      <c r="AN541" s="34">
        <f>IF(AI541&gt;AM541*1.05,AI541-AM541*1.05,IF(AI541&lt;AM541*0.95,AM541*0.95-AI541,0))</f>
        <v/>
      </c>
      <c r="AO541" s="34">
        <f>MAX(F541,G541,750)*0.05*AN541</f>
        <v/>
      </c>
      <c r="AP541" s="34">
        <f>'[1]GÖP VERİLERİ'!B542</f>
        <v/>
      </c>
      <c r="AQ541" s="34">
        <f>'[1]GÖP VERİLERİ'!C542</f>
        <v/>
      </c>
      <c r="AR541" s="34">
        <f>IF(AP541&gt;AQ541*1.05,AP541-AQ541*1.05,IF(AP541&lt;AQ541*0.95,AQ541*0.95-AP541,0))</f>
        <v/>
      </c>
      <c r="AS541" s="34">
        <f>MAX(F541:G541,750)*0.05*AR541</f>
        <v/>
      </c>
      <c r="AT541">
        <f>'[1]GÖP VERİLERİ'!D542</f>
        <v/>
      </c>
      <c r="AU541" s="34">
        <f>IF(AP541&gt;AT541*1.05,AP541-AT541*1.05,IF(AP541&lt;AT541*0.95,AT541*0.95-AP541,0))</f>
        <v/>
      </c>
      <c r="AV541" s="34">
        <f>MAX(F541:G541,750)*0.05*AU541</f>
        <v/>
      </c>
      <c r="AW541" s="34">
        <f>AC541+AJ541+AQ541</f>
        <v/>
      </c>
      <c r="AX541" s="34">
        <f>AF541+AM541+AT541</f>
        <v/>
      </c>
      <c r="AY541" s="34">
        <f>AB541+AI541+AP541</f>
        <v/>
      </c>
      <c r="AZ541" s="34" t="n">
        <v>0</v>
      </c>
      <c r="BA541" s="34">
        <f>AD541+AK541+AR541</f>
        <v/>
      </c>
      <c r="BB541" s="34">
        <f>MAX(F541:G541,750)*0.05*BA541</f>
        <v/>
      </c>
      <c r="BC541" s="34">
        <f>AG541+AN541+AU541</f>
        <v/>
      </c>
      <c r="BD541" s="34">
        <f>MAX(F541:G541,750)*0.05*BC541</f>
        <v/>
      </c>
      <c r="BE541" s="34">
        <f>F541*AY541</f>
        <v/>
      </c>
      <c r="BF541" s="34">
        <f>K541-M541</f>
        <v/>
      </c>
      <c r="BG541" s="34">
        <f>P541-S541</f>
        <v/>
      </c>
      <c r="BH541" s="34">
        <f>W541-AA541</f>
        <v/>
      </c>
      <c r="BI541" s="34">
        <f>BF541+BG541+BL541-BN541</f>
        <v/>
      </c>
      <c r="BJ541" s="34">
        <f>ABS(BK541)</f>
        <v/>
      </c>
      <c r="BK541" s="34">
        <f>AY541-(J541-L541+N541-Q541)</f>
        <v/>
      </c>
      <c r="BL541" s="34">
        <f>IF(AND(BK541&gt;0,MIN($F541:$G541)&lt;150,$E541="Enerji Açığı"),-100*BK541*1.03,IF(AND(BK541&gt;0,MIN($F541:$G541)&lt;150,$E541="Enerji Fazlası"),-100*BK541*1.06,IF(AND(BK541&gt;0,MIN($F541:$G541)&gt;=150,$E541="Enerji Açığı"),BK541*MIN($F541:$G541)*0.97,IF(AND(BK541&gt;0,MIN($F541:$G541)&gt;=150,$E541="Enerji Fazlası"),BK541*MIN($F541:$G541)*0.94,IF(AND(BK541&lt;0,MAX($F541:$G541)=4500,$E541="Enerji Açığı"),4500*1.05*1.06*BK541,IF(AND(BK541&lt;0,MAX($F541:$G541)=4500,$E541="Enerji Fazlası"),4500*1.05*1.03*BK541,IF(AND(BK541&lt;0,$E541="Enerji Açığı"),MAX($F541,$G541,150)*BK541*1.06,IF(AND(BK541&lt;0,$E541="Enerji Fazlası"),MAX($F541,$G541,150)*BK541*1.03,IF(AND(BK541&lt;0,$E541="Dengede"),MAX($F541:$G541,150)*1.03*BK541,MIN($F541:$G541)*0.97*BK541)))))))))</f>
        <v/>
      </c>
      <c r="BM541" s="34">
        <f>BE541-BI541-BN541</f>
        <v/>
      </c>
      <c r="BN541" s="34">
        <f>BB541</f>
        <v/>
      </c>
      <c r="BO541" s="34">
        <f>BE541-BI541</f>
        <v/>
      </c>
      <c r="BP541" s="34">
        <f>IF(AY541=0,0,BO541/AY541)</f>
        <v/>
      </c>
      <c r="BQ541" s="34">
        <f>MAX((AY541+MAX((-J541+L541-N541+Q541),0)),(MAX((J541-L541+N541-Q541),0)))</f>
        <v/>
      </c>
      <c r="BR541" s="82">
        <f>IFERROR(ABS(BK541/BQ541),0)</f>
        <v/>
      </c>
      <c r="BS541" s="34">
        <f>IF(BR541&lt;=0.1,0,BK541/BR541*(BR541-0.1))</f>
        <v/>
      </c>
      <c r="BT541" s="34">
        <f>IF((BS541)&lt;0,MAX(F541:G541)*(BS541)*1.03,MIN(F541:G541)*(BS541)*0.97)</f>
        <v/>
      </c>
      <c r="BU541" s="34">
        <f>IF(BR541&gt;0.1,1,0)</f>
        <v/>
      </c>
      <c r="BV541" s="34">
        <f>BF541+BG541+BH541+BY541-CA541</f>
        <v/>
      </c>
      <c r="BW541" s="34">
        <f>ABS(BX541)</f>
        <v/>
      </c>
      <c r="BX541" s="34">
        <f>AY541-(J541-L541+N541-Q541+T541-X541)</f>
        <v/>
      </c>
      <c r="BY541" s="34">
        <f>IF(AND(BX541&gt;0,MIN($F541:$G541)&lt;150,$E541="Enerji Açığı"),-100*BX541*1.03,IF(AND(BX541&gt;0,MIN($F541:$G541)&lt;150,$E541="Enerji Fazlası"),-100*BX541*1.06,IF(AND(BX541&gt;0,MIN($F541:$G541)&gt;=150,$E541="Enerji Açığı"),BX541*MIN($F541:$G541)*0.97,IF(AND(BX541&gt;0,MIN($F541:$G541)&gt;=150,$E541="Enerji Fazlası"),BX541*MIN($F541:$G541)*0.94,IF(AND(BX541&lt;0,MAX($F541:$G541)=4500,$E541="Enerji Açığı"),4500*1.05*1.06*BX541,IF(AND(BX541&lt;0,MAX($F541:$G541)=4500,$E541="Enerji Fazlası"),4500*1.05*1.03*BX541,IF(AND(BX541&lt;0,$E541="Enerji Açığı"),MAX($F541,$G541,150)*BX541*1.06,IF(AND(BX541&lt;0,$E541="Enerji Fazlası"),MAX($F541,$G541,150)*BX541*1.03,IF(AND(BX541&lt;0,$E541="Dengede"),MAX($F541:$G541,150)*1.03*BX541,MIN($F541:$G541)*0.97*BX541)))))))))</f>
        <v/>
      </c>
      <c r="BZ541" s="34">
        <f>BE541-BV541-CA541</f>
        <v/>
      </c>
      <c r="CA541" s="34">
        <f>BD541</f>
        <v/>
      </c>
      <c r="CB541" s="33">
        <f>BE541-BV541</f>
        <v/>
      </c>
      <c r="CC541" s="34">
        <f>IF(AY541=0,0,CB541/AY541)</f>
        <v/>
      </c>
      <c r="CD541" s="34">
        <f>MAX((AY541+MAX((-J541+L541-N541+Q541-T541+X541),0)),(MAX((J541-L541+N541-Q541+T541-X541),0)))</f>
        <v/>
      </c>
      <c r="CE541" s="82">
        <f>IFERROR(ABS(BX541/CD541),0)</f>
        <v/>
      </c>
      <c r="CF541" s="34">
        <f>IF(CE541&lt;=0.1,0,BX541/CE541*(CE541-0.1))</f>
        <v/>
      </c>
      <c r="CG541" s="34">
        <f>IF((CF541)&lt;0,MAX(F541:G541)*(CF541)*1.03,MIN(F541:G541)*(CF541)*0.97)</f>
        <v/>
      </c>
      <c r="CH541" s="34">
        <f>IF(CE541&gt;0.1,1,0)</f>
        <v/>
      </c>
      <c r="CI541" s="34">
        <f>(F541*BX541)-BY541</f>
        <v/>
      </c>
      <c r="CJ541" s="34">
        <f>IF(AY541=0,0,CI541/AY541)</f>
        <v/>
      </c>
    </row>
    <row r="542">
      <c r="A542" s="29">
        <f>[1]FİYATLAR!A517</f>
        <v/>
      </c>
      <c r="B542" s="29">
        <f>[1]FİYATLAR!B517</f>
        <v/>
      </c>
      <c r="C542" s="35">
        <f>INT(A542)</f>
        <v/>
      </c>
      <c r="D542" s="36">
        <f>MONTH(A542)</f>
        <v/>
      </c>
      <c r="E542" s="147">
        <f>[1]FİYATLAR!G517</f>
        <v/>
      </c>
      <c r="F542" s="30">
        <f>[1]FİYATLAR!C517</f>
        <v/>
      </c>
      <c r="G542" s="30">
        <f>[1]FİYATLAR!E517</f>
        <v/>
      </c>
      <c r="H542" s="30">
        <f>[1]FİYATLAR!D517</f>
        <v/>
      </c>
      <c r="I542" s="30">
        <f>[1]FİYATLAR!F517</f>
        <v/>
      </c>
      <c r="J542" s="119" t="n">
        <v>0</v>
      </c>
      <c r="K542" s="34">
        <f>F542*J542</f>
        <v/>
      </c>
      <c r="L542" s="119" t="n"/>
      <c r="M542" s="34">
        <f>L542*F542</f>
        <v/>
      </c>
      <c r="N542" s="119" t="n"/>
      <c r="O542" s="34">
        <f>F542</f>
        <v/>
      </c>
      <c r="P542" s="34">
        <f>N542*O542</f>
        <v/>
      </c>
      <c r="Q542" s="117" t="n">
        <v>0</v>
      </c>
      <c r="R542" s="34">
        <f>F542</f>
        <v/>
      </c>
      <c r="S542" s="34">
        <f>R542*Q542</f>
        <v/>
      </c>
      <c r="T542" s="34">
        <f>SUMIFS('[1]GİP VERİLERİ'!$C:$C,'[1]GİP VERİLERİ'!$B:$B,A542,'[1]GİP VERİLERİ'!$M:$M,"40X000000104782K",'[1]GİP VERİLERİ'!$G:$G,"SELL")</f>
        <v/>
      </c>
      <c r="U542" s="34">
        <f>IFERROR(W542/T542,0)</f>
        <v/>
      </c>
      <c r="V542" s="34">
        <f>IF(U542=0,0,U542-F542)</f>
        <v/>
      </c>
      <c r="W542" s="34">
        <f>SUMIFS('[1]GİP VERİLERİ'!$O:$O,'[1]GİP VERİLERİ'!$B:$B,A542,'[1]GİP VERİLERİ'!$M:$M,"40X000000104782K",'[1]GİP VERİLERİ'!$G:$G,"SELL")</f>
        <v/>
      </c>
      <c r="X542" s="34">
        <f>SUMIFS('[1]GİP VERİLERİ'!$C:$C,'[1]GİP VERİLERİ'!$B:$B,A542,'[1]GİP VERİLERİ'!$M:$M,"40X000000104782K",'[1]GİP VERİLERİ'!$G:$G,"BUY")</f>
        <v/>
      </c>
      <c r="Y542" s="34">
        <f>IFERROR(AA542/X542,0)</f>
        <v/>
      </c>
      <c r="Z542" s="34">
        <f>IF(Y542=0,0,F542-Y542)</f>
        <v/>
      </c>
      <c r="AA542" s="34">
        <f>SUMIFS('[1]GİP VERİLERİ'!$O:$O,'[1]GİP VERİLERİ'!$B:$B,A542,'[1]GİP VERİLERİ'!$M:$M,"40X000000104782K",'[1]GİP VERİLERİ'!$G:$G,"BUY")</f>
        <v/>
      </c>
      <c r="AB542" s="34">
        <f>'[1]GÖP VERİLERİ'!H543</f>
        <v/>
      </c>
      <c r="AC542" s="34">
        <f>'[1]GÖP VERİLERİ'!I543</f>
        <v/>
      </c>
      <c r="AD542" s="34">
        <f>IF(AB542&gt;AC542*1.05,AB542-AC542*1.05,IF(AB542&lt;AC542*0.95,AC542*0.95-AB542,0))</f>
        <v/>
      </c>
      <c r="AE542" s="34">
        <f>MAX(F542,G542,750)*0.05*AD542</f>
        <v/>
      </c>
      <c r="AF542" s="34">
        <f>'[1]GÖP VERİLERİ'!J543</f>
        <v/>
      </c>
      <c r="AG542" s="34">
        <f>IF(AB542&gt;AF542*1.05,AB542-AF542*1.05,IF(AB542&lt;AF542*0.95,AF542*0.95-AB542,0))</f>
        <v/>
      </c>
      <c r="AH542" s="34">
        <f>MAX(I542,J542,750)*0.05*AG542</f>
        <v/>
      </c>
      <c r="AI542">
        <f>'[1]GÖP VERİLERİ'!E543</f>
        <v/>
      </c>
      <c r="AJ542">
        <f>'[1]GÖP VERİLERİ'!F543</f>
        <v/>
      </c>
      <c r="AK542" s="34">
        <f>IF(AI542&gt;AJ542*1.05,AI542-AJ542*1.05,IF(AI542&lt;AJ542*0.95,AJ542*0.95-AI542,0))</f>
        <v/>
      </c>
      <c r="AL542" s="34">
        <f>MAX(F542,G542,750)*0.05*AK542</f>
        <v/>
      </c>
      <c r="AM542" s="39">
        <f>'[1]GÖP VERİLERİ'!G543</f>
        <v/>
      </c>
      <c r="AN542" s="34">
        <f>IF(AI542&gt;AM542*1.05,AI542-AM542*1.05,IF(AI542&lt;AM542*0.95,AM542*0.95-AI542,0))</f>
        <v/>
      </c>
      <c r="AO542" s="34">
        <f>MAX(F542,G542,750)*0.05*AN542</f>
        <v/>
      </c>
      <c r="AP542" s="34">
        <f>'[1]GÖP VERİLERİ'!B543</f>
        <v/>
      </c>
      <c r="AQ542" s="34">
        <f>'[1]GÖP VERİLERİ'!C543</f>
        <v/>
      </c>
      <c r="AR542" s="34">
        <f>IF(AP542&gt;AQ542*1.05,AP542-AQ542*1.05,IF(AP542&lt;AQ542*0.95,AQ542*0.95-AP542,0))</f>
        <v/>
      </c>
      <c r="AS542" s="34">
        <f>MAX(F542:G542,750)*0.05*AR542</f>
        <v/>
      </c>
      <c r="AT542">
        <f>'[1]GÖP VERİLERİ'!D543</f>
        <v/>
      </c>
      <c r="AU542" s="34">
        <f>IF(AP542&gt;AT542*1.05,AP542-AT542*1.05,IF(AP542&lt;AT542*0.95,AT542*0.95-AP542,0))</f>
        <v/>
      </c>
      <c r="AV542" s="34">
        <f>MAX(F542:G542,750)*0.05*AU542</f>
        <v/>
      </c>
      <c r="AW542" s="34">
        <f>AC542+AJ542+AQ542</f>
        <v/>
      </c>
      <c r="AX542" s="34">
        <f>AF542+AM542+AT542</f>
        <v/>
      </c>
      <c r="AY542" s="34">
        <f>AB542+AI542+AP542</f>
        <v/>
      </c>
      <c r="AZ542" s="34" t="n">
        <v>0</v>
      </c>
      <c r="BA542" s="34">
        <f>AD542+AK542+AR542</f>
        <v/>
      </c>
      <c r="BB542" s="34">
        <f>MAX(F542:G542,750)*0.05*BA542</f>
        <v/>
      </c>
      <c r="BC542" s="34">
        <f>AG542+AN542+AU542</f>
        <v/>
      </c>
      <c r="BD542" s="34">
        <f>MAX(F542:G542,750)*0.05*BC542</f>
        <v/>
      </c>
      <c r="BE542" s="34">
        <f>F542*AY542</f>
        <v/>
      </c>
      <c r="BF542" s="34">
        <f>K542-M542</f>
        <v/>
      </c>
      <c r="BG542" s="34">
        <f>P542-S542</f>
        <v/>
      </c>
      <c r="BH542" s="34">
        <f>W542-AA542</f>
        <v/>
      </c>
      <c r="BI542" s="34">
        <f>BF542+BG542+BL542-BN542</f>
        <v/>
      </c>
      <c r="BJ542" s="34">
        <f>ABS(BK542)</f>
        <v/>
      </c>
      <c r="BK542" s="34">
        <f>AY542-(J542-L542+N542-Q542)</f>
        <v/>
      </c>
      <c r="BL542" s="34">
        <f>IF(AND(BK542&gt;0,MIN($F542:$G542)&lt;150,$E542="Enerji Açığı"),-100*BK542*1.03,IF(AND(BK542&gt;0,MIN($F542:$G542)&lt;150,$E542="Enerji Fazlası"),-100*BK542*1.06,IF(AND(BK542&gt;0,MIN($F542:$G542)&gt;=150,$E542="Enerji Açığı"),BK542*MIN($F542:$G542)*0.97,IF(AND(BK542&gt;0,MIN($F542:$G542)&gt;=150,$E542="Enerji Fazlası"),BK542*MIN($F542:$G542)*0.94,IF(AND(BK542&lt;0,MAX($F542:$G542)=4500,$E542="Enerji Açığı"),4500*1.05*1.06*BK542,IF(AND(BK542&lt;0,MAX($F542:$G542)=4500,$E542="Enerji Fazlası"),4500*1.05*1.03*BK542,IF(AND(BK542&lt;0,$E542="Enerji Açığı"),MAX($F542,$G542,150)*BK542*1.06,IF(AND(BK542&lt;0,$E542="Enerji Fazlası"),MAX($F542,$G542,150)*BK542*1.03,IF(AND(BK542&lt;0,$E542="Dengede"),MAX($F542:$G542,150)*1.03*BK542,MIN($F542:$G542)*0.97*BK542)))))))))</f>
        <v/>
      </c>
      <c r="BM542" s="34">
        <f>BE542-BI542-BN542</f>
        <v/>
      </c>
      <c r="BN542" s="34">
        <f>BB542</f>
        <v/>
      </c>
      <c r="BO542" s="34">
        <f>BE542-BI542</f>
        <v/>
      </c>
      <c r="BP542" s="34">
        <f>IF(AY542=0,0,BO542/AY542)</f>
        <v/>
      </c>
      <c r="BQ542" s="34">
        <f>MAX((AY542+MAX((-J542+L542-N542+Q542),0)),(MAX((J542-L542+N542-Q542),0)))</f>
        <v/>
      </c>
      <c r="BR542" s="82">
        <f>IFERROR(ABS(BK542/BQ542),0)</f>
        <v/>
      </c>
      <c r="BS542" s="34">
        <f>IF(BR542&lt;=0.1,0,BK542/BR542*(BR542-0.1))</f>
        <v/>
      </c>
      <c r="BT542" s="34">
        <f>IF((BS542)&lt;0,MAX(F542:G542)*(BS542)*1.03,MIN(F542:G542)*(BS542)*0.97)</f>
        <v/>
      </c>
      <c r="BU542" s="34">
        <f>IF(BR542&gt;0.1,1,0)</f>
        <v/>
      </c>
      <c r="BV542" s="34">
        <f>BF542+BG542+BH542+BY542-CA542</f>
        <v/>
      </c>
      <c r="BW542" s="34">
        <f>ABS(BX542)</f>
        <v/>
      </c>
      <c r="BX542" s="34">
        <f>AY542-(J542-L542+N542-Q542+T542-X542)</f>
        <v/>
      </c>
      <c r="BY542" s="34">
        <f>IF(AND(BX542&gt;0,MIN($F542:$G542)&lt;150,$E542="Enerji Açığı"),-100*BX542*1.03,IF(AND(BX542&gt;0,MIN($F542:$G542)&lt;150,$E542="Enerji Fazlası"),-100*BX542*1.06,IF(AND(BX542&gt;0,MIN($F542:$G542)&gt;=150,$E542="Enerji Açığı"),BX542*MIN($F542:$G542)*0.97,IF(AND(BX542&gt;0,MIN($F542:$G542)&gt;=150,$E542="Enerji Fazlası"),BX542*MIN($F542:$G542)*0.94,IF(AND(BX542&lt;0,MAX($F542:$G542)=4500,$E542="Enerji Açığı"),4500*1.05*1.06*BX542,IF(AND(BX542&lt;0,MAX($F542:$G542)=4500,$E542="Enerji Fazlası"),4500*1.05*1.03*BX542,IF(AND(BX542&lt;0,$E542="Enerji Açığı"),MAX($F542,$G542,150)*BX542*1.06,IF(AND(BX542&lt;0,$E542="Enerji Fazlası"),MAX($F542,$G542,150)*BX542*1.03,IF(AND(BX542&lt;0,$E542="Dengede"),MAX($F542:$G542,150)*1.03*BX542,MIN($F542:$G542)*0.97*BX542)))))))))</f>
        <v/>
      </c>
      <c r="BZ542" s="34">
        <f>BE542-BV542-CA542</f>
        <v/>
      </c>
      <c r="CA542" s="34">
        <f>BD542</f>
        <v/>
      </c>
      <c r="CB542" s="33">
        <f>BE542-BV542</f>
        <v/>
      </c>
      <c r="CC542" s="34">
        <f>IF(AY542=0,0,CB542/AY542)</f>
        <v/>
      </c>
      <c r="CD542" s="34">
        <f>MAX((AY542+MAX((-J542+L542-N542+Q542-T542+X542),0)),(MAX((J542-L542+N542-Q542+T542-X542),0)))</f>
        <v/>
      </c>
      <c r="CE542" s="82">
        <f>IFERROR(ABS(BX542/CD542),0)</f>
        <v/>
      </c>
      <c r="CF542" s="34">
        <f>IF(CE542&lt;=0.1,0,BX542/CE542*(CE542-0.1))</f>
        <v/>
      </c>
      <c r="CG542" s="34">
        <f>IF((CF542)&lt;0,MAX(F542:G542)*(CF542)*1.03,MIN(F542:G542)*(CF542)*0.97)</f>
        <v/>
      </c>
      <c r="CH542" s="34">
        <f>IF(CE542&gt;0.1,1,0)</f>
        <v/>
      </c>
      <c r="CI542" s="34">
        <f>(F542*BX542)-BY542</f>
        <v/>
      </c>
      <c r="CJ542" s="34">
        <f>IF(AY542=0,0,CI542/AY542)</f>
        <v/>
      </c>
    </row>
    <row r="543">
      <c r="A543" s="29">
        <f>[1]FİYATLAR!A518</f>
        <v/>
      </c>
      <c r="B543" s="29">
        <f>[1]FİYATLAR!B518</f>
        <v/>
      </c>
      <c r="C543" s="35">
        <f>INT(A543)</f>
        <v/>
      </c>
      <c r="D543" s="36">
        <f>MONTH(A543)</f>
        <v/>
      </c>
      <c r="E543" s="147">
        <f>[1]FİYATLAR!G518</f>
        <v/>
      </c>
      <c r="F543" s="30">
        <f>[1]FİYATLAR!C518</f>
        <v/>
      </c>
      <c r="G543" s="30">
        <f>[1]FİYATLAR!E518</f>
        <v/>
      </c>
      <c r="H543" s="30">
        <f>[1]FİYATLAR!D518</f>
        <v/>
      </c>
      <c r="I543" s="30">
        <f>[1]FİYATLAR!F518</f>
        <v/>
      </c>
      <c r="J543" s="119" t="n">
        <v>0</v>
      </c>
      <c r="K543" s="34">
        <f>F543*J543</f>
        <v/>
      </c>
      <c r="L543" s="119" t="n"/>
      <c r="M543" s="34">
        <f>L543*F543</f>
        <v/>
      </c>
      <c r="N543" s="119" t="n"/>
      <c r="O543" s="34">
        <f>F543</f>
        <v/>
      </c>
      <c r="P543" s="34">
        <f>N543*O543</f>
        <v/>
      </c>
      <c r="Q543" s="117" t="n">
        <v>0</v>
      </c>
      <c r="R543" s="34">
        <f>F543</f>
        <v/>
      </c>
      <c r="S543" s="34">
        <f>R543*Q543</f>
        <v/>
      </c>
      <c r="T543" s="34">
        <f>SUMIFS('[1]GİP VERİLERİ'!$C:$C,'[1]GİP VERİLERİ'!$B:$B,A543,'[1]GİP VERİLERİ'!$M:$M,"40X000000104782K",'[1]GİP VERİLERİ'!$G:$G,"SELL")</f>
        <v/>
      </c>
      <c r="U543" s="34">
        <f>IFERROR(W543/T543,0)</f>
        <v/>
      </c>
      <c r="V543" s="34">
        <f>IF(U543=0,0,U543-F543)</f>
        <v/>
      </c>
      <c r="W543" s="34">
        <f>SUMIFS('[1]GİP VERİLERİ'!$O:$O,'[1]GİP VERİLERİ'!$B:$B,A543,'[1]GİP VERİLERİ'!$M:$M,"40X000000104782K",'[1]GİP VERİLERİ'!$G:$G,"SELL")</f>
        <v/>
      </c>
      <c r="X543" s="34">
        <f>SUMIFS('[1]GİP VERİLERİ'!$C:$C,'[1]GİP VERİLERİ'!$B:$B,A543,'[1]GİP VERİLERİ'!$M:$M,"40X000000104782K",'[1]GİP VERİLERİ'!$G:$G,"BUY")</f>
        <v/>
      </c>
      <c r="Y543" s="34">
        <f>IFERROR(AA543/X543,0)</f>
        <v/>
      </c>
      <c r="Z543" s="34">
        <f>IF(Y543=0,0,F543-Y543)</f>
        <v/>
      </c>
      <c r="AA543" s="34">
        <f>SUMIFS('[1]GİP VERİLERİ'!$O:$O,'[1]GİP VERİLERİ'!$B:$B,A543,'[1]GİP VERİLERİ'!$M:$M,"40X000000104782K",'[1]GİP VERİLERİ'!$G:$G,"BUY")</f>
        <v/>
      </c>
      <c r="AB543" s="34">
        <f>'[1]GÖP VERİLERİ'!H544</f>
        <v/>
      </c>
      <c r="AC543" s="34">
        <f>'[1]GÖP VERİLERİ'!I544</f>
        <v/>
      </c>
      <c r="AD543" s="34">
        <f>IF(AB543&gt;AC543*1.05,AB543-AC543*1.05,IF(AB543&lt;AC543*0.95,AC543*0.95-AB543,0))</f>
        <v/>
      </c>
      <c r="AE543" s="34">
        <f>MAX(F543,G543,750)*0.05*AD543</f>
        <v/>
      </c>
      <c r="AF543" s="34">
        <f>'[1]GÖP VERİLERİ'!J544</f>
        <v/>
      </c>
      <c r="AG543" s="34">
        <f>IF(AB543&gt;AF543*1.05,AB543-AF543*1.05,IF(AB543&lt;AF543*0.95,AF543*0.95-AB543,0))</f>
        <v/>
      </c>
      <c r="AH543" s="34">
        <f>MAX(I543,J543,750)*0.05*AG543</f>
        <v/>
      </c>
      <c r="AI543">
        <f>'[1]GÖP VERİLERİ'!E544</f>
        <v/>
      </c>
      <c r="AJ543">
        <f>'[1]GÖP VERİLERİ'!F544</f>
        <v/>
      </c>
      <c r="AK543" s="34">
        <f>IF(AI543&gt;AJ543*1.05,AI543-AJ543*1.05,IF(AI543&lt;AJ543*0.95,AJ543*0.95-AI543,0))</f>
        <v/>
      </c>
      <c r="AL543" s="34">
        <f>MAX(F543,G543,750)*0.05*AK543</f>
        <v/>
      </c>
      <c r="AM543" s="39">
        <f>'[1]GÖP VERİLERİ'!G544</f>
        <v/>
      </c>
      <c r="AN543" s="34">
        <f>IF(AI543&gt;AM543*1.05,AI543-AM543*1.05,IF(AI543&lt;AM543*0.95,AM543*0.95-AI543,0))</f>
        <v/>
      </c>
      <c r="AO543" s="34">
        <f>MAX(F543,G543,750)*0.05*AN543</f>
        <v/>
      </c>
      <c r="AP543" s="34">
        <f>'[1]GÖP VERİLERİ'!B544</f>
        <v/>
      </c>
      <c r="AQ543" s="34">
        <f>'[1]GÖP VERİLERİ'!C544</f>
        <v/>
      </c>
      <c r="AR543" s="34">
        <f>IF(AP543&gt;AQ543*1.05,AP543-AQ543*1.05,IF(AP543&lt;AQ543*0.95,AQ543*0.95-AP543,0))</f>
        <v/>
      </c>
      <c r="AS543" s="34">
        <f>MAX(F543:G543,750)*0.05*AR543</f>
        <v/>
      </c>
      <c r="AT543">
        <f>'[1]GÖP VERİLERİ'!D544</f>
        <v/>
      </c>
      <c r="AU543" s="34">
        <f>IF(AP543&gt;AT543*1.05,AP543-AT543*1.05,IF(AP543&lt;AT543*0.95,AT543*0.95-AP543,0))</f>
        <v/>
      </c>
      <c r="AV543" s="34">
        <f>MAX(F543:G543,750)*0.05*AU543</f>
        <v/>
      </c>
      <c r="AW543" s="34">
        <f>AC543+AJ543+AQ543</f>
        <v/>
      </c>
      <c r="AX543" s="34">
        <f>AF543+AM543+AT543</f>
        <v/>
      </c>
      <c r="AY543" s="34">
        <f>AB543+AI543+AP543</f>
        <v/>
      </c>
      <c r="AZ543" s="34" t="n">
        <v>0</v>
      </c>
      <c r="BA543" s="34">
        <f>AD543+AK543+AR543</f>
        <v/>
      </c>
      <c r="BB543" s="34">
        <f>MAX(F543:G543,750)*0.05*BA543</f>
        <v/>
      </c>
      <c r="BC543" s="34">
        <f>AG543+AN543+AU543</f>
        <v/>
      </c>
      <c r="BD543" s="34">
        <f>MAX(F543:G543,750)*0.05*BC543</f>
        <v/>
      </c>
      <c r="BE543" s="34">
        <f>F543*AY543</f>
        <v/>
      </c>
      <c r="BF543" s="34">
        <f>K543-M543</f>
        <v/>
      </c>
      <c r="BG543" s="34">
        <f>P543-S543</f>
        <v/>
      </c>
      <c r="BH543" s="34">
        <f>W543-AA543</f>
        <v/>
      </c>
      <c r="BI543" s="34">
        <f>BF543+BG543+BL543-BN543</f>
        <v/>
      </c>
      <c r="BJ543" s="34">
        <f>ABS(BK543)</f>
        <v/>
      </c>
      <c r="BK543" s="34">
        <f>AY543-(J543-L543+N543-Q543)</f>
        <v/>
      </c>
      <c r="BL543" s="34">
        <f>IF(AND(BK543&gt;0,MIN($F543:$G543)&lt;150,$E543="Enerji Açığı"),-100*BK543*1.03,IF(AND(BK543&gt;0,MIN($F543:$G543)&lt;150,$E543="Enerji Fazlası"),-100*BK543*1.06,IF(AND(BK543&gt;0,MIN($F543:$G543)&gt;=150,$E543="Enerji Açığı"),BK543*MIN($F543:$G543)*0.97,IF(AND(BK543&gt;0,MIN($F543:$G543)&gt;=150,$E543="Enerji Fazlası"),BK543*MIN($F543:$G543)*0.94,IF(AND(BK543&lt;0,MAX($F543:$G543)=4500,$E543="Enerji Açığı"),4500*1.05*1.06*BK543,IF(AND(BK543&lt;0,MAX($F543:$G543)=4500,$E543="Enerji Fazlası"),4500*1.05*1.03*BK543,IF(AND(BK543&lt;0,$E543="Enerji Açığı"),MAX($F543,$G543,150)*BK543*1.06,IF(AND(BK543&lt;0,$E543="Enerji Fazlası"),MAX($F543,$G543,150)*BK543*1.03,IF(AND(BK543&lt;0,$E543="Dengede"),MAX($F543:$G543,150)*1.03*BK543,MIN($F543:$G543)*0.97*BK543)))))))))</f>
        <v/>
      </c>
      <c r="BM543" s="34">
        <f>BE543-BI543-BN543</f>
        <v/>
      </c>
      <c r="BN543" s="34">
        <f>BB543</f>
        <v/>
      </c>
      <c r="BO543" s="34">
        <f>BE543-BI543</f>
        <v/>
      </c>
      <c r="BP543" s="34">
        <f>IF(AY543=0,0,BO543/AY543)</f>
        <v/>
      </c>
      <c r="BQ543" s="34">
        <f>MAX((AY543+MAX((-J543+L543-N543+Q543),0)),(MAX((J543-L543+N543-Q543),0)))</f>
        <v/>
      </c>
      <c r="BR543" s="82">
        <f>IFERROR(ABS(BK543/BQ543),0)</f>
        <v/>
      </c>
      <c r="BS543" s="34">
        <f>IF(BR543&lt;=0.1,0,BK543/BR543*(BR543-0.1))</f>
        <v/>
      </c>
      <c r="BT543" s="34">
        <f>IF((BS543)&lt;0,MAX(F543:G543)*(BS543)*1.03,MIN(F543:G543)*(BS543)*0.97)</f>
        <v/>
      </c>
      <c r="BU543" s="34">
        <f>IF(BR543&gt;0.1,1,0)</f>
        <v/>
      </c>
      <c r="BV543" s="34">
        <f>BF543+BG543+BH543+BY543-CA543</f>
        <v/>
      </c>
      <c r="BW543" s="34">
        <f>ABS(BX543)</f>
        <v/>
      </c>
      <c r="BX543" s="34">
        <f>AY543-(J543-L543+N543-Q543+T543-X543)</f>
        <v/>
      </c>
      <c r="BY543" s="34">
        <f>IF(AND(BX543&gt;0,MIN($F543:$G543)&lt;150,$E543="Enerji Açığı"),-100*BX543*1.03,IF(AND(BX543&gt;0,MIN($F543:$G543)&lt;150,$E543="Enerji Fazlası"),-100*BX543*1.06,IF(AND(BX543&gt;0,MIN($F543:$G543)&gt;=150,$E543="Enerji Açığı"),BX543*MIN($F543:$G543)*0.97,IF(AND(BX543&gt;0,MIN($F543:$G543)&gt;=150,$E543="Enerji Fazlası"),BX543*MIN($F543:$G543)*0.94,IF(AND(BX543&lt;0,MAX($F543:$G543)=4500,$E543="Enerji Açığı"),4500*1.05*1.06*BX543,IF(AND(BX543&lt;0,MAX($F543:$G543)=4500,$E543="Enerji Fazlası"),4500*1.05*1.03*BX543,IF(AND(BX543&lt;0,$E543="Enerji Açığı"),MAX($F543,$G543,150)*BX543*1.06,IF(AND(BX543&lt;0,$E543="Enerji Fazlası"),MAX($F543,$G543,150)*BX543*1.03,IF(AND(BX543&lt;0,$E543="Dengede"),MAX($F543:$G543,150)*1.03*BX543,MIN($F543:$G543)*0.97*BX543)))))))))</f>
        <v/>
      </c>
      <c r="BZ543" s="34">
        <f>BE543-BV543-CA543</f>
        <v/>
      </c>
      <c r="CA543" s="34">
        <f>BD543</f>
        <v/>
      </c>
      <c r="CB543" s="33">
        <f>BE543-BV543</f>
        <v/>
      </c>
      <c r="CC543" s="34">
        <f>IF(AY543=0,0,CB543/AY543)</f>
        <v/>
      </c>
      <c r="CD543" s="34">
        <f>MAX((AY543+MAX((-J543+L543-N543+Q543-T543+X543),0)),(MAX((J543-L543+N543-Q543+T543-X543),0)))</f>
        <v/>
      </c>
      <c r="CE543" s="82">
        <f>IFERROR(ABS(BX543/CD543),0)</f>
        <v/>
      </c>
      <c r="CF543" s="34">
        <f>IF(CE543&lt;=0.1,0,BX543/CE543*(CE543-0.1))</f>
        <v/>
      </c>
      <c r="CG543" s="34">
        <f>IF((CF543)&lt;0,MAX(F543:G543)*(CF543)*1.03,MIN(F543:G543)*(CF543)*0.97)</f>
        <v/>
      </c>
      <c r="CH543" s="34">
        <f>IF(CE543&gt;0.1,1,0)</f>
        <v/>
      </c>
      <c r="CI543" s="34">
        <f>(F543*BX543)-BY543</f>
        <v/>
      </c>
      <c r="CJ543" s="34">
        <f>IF(AY543=0,0,CI543/AY543)</f>
        <v/>
      </c>
    </row>
    <row r="544">
      <c r="A544" s="29">
        <f>[1]FİYATLAR!A519</f>
        <v/>
      </c>
      <c r="B544" s="29">
        <f>[1]FİYATLAR!B519</f>
        <v/>
      </c>
      <c r="C544" s="35">
        <f>INT(A544)</f>
        <v/>
      </c>
      <c r="D544" s="36">
        <f>MONTH(A544)</f>
        <v/>
      </c>
      <c r="E544" s="147">
        <f>[1]FİYATLAR!G519</f>
        <v/>
      </c>
      <c r="F544" s="30">
        <f>[1]FİYATLAR!C519</f>
        <v/>
      </c>
      <c r="G544" s="30">
        <f>[1]FİYATLAR!E519</f>
        <v/>
      </c>
      <c r="H544" s="30">
        <f>[1]FİYATLAR!D519</f>
        <v/>
      </c>
      <c r="I544" s="30">
        <f>[1]FİYATLAR!F519</f>
        <v/>
      </c>
      <c r="J544" s="119" t="n">
        <v>0</v>
      </c>
      <c r="K544" s="34">
        <f>F544*J544</f>
        <v/>
      </c>
      <c r="L544" s="119" t="n"/>
      <c r="M544" s="34">
        <f>L544*F544</f>
        <v/>
      </c>
      <c r="N544" s="119" t="n"/>
      <c r="O544" s="34">
        <f>F544</f>
        <v/>
      </c>
      <c r="P544" s="34">
        <f>N544*O544</f>
        <v/>
      </c>
      <c r="Q544" s="117" t="n">
        <v>0</v>
      </c>
      <c r="R544" s="34">
        <f>F544</f>
        <v/>
      </c>
      <c r="S544" s="34">
        <f>R544*Q544</f>
        <v/>
      </c>
      <c r="T544" s="34">
        <f>SUMIFS('[1]GİP VERİLERİ'!$C:$C,'[1]GİP VERİLERİ'!$B:$B,A544,'[1]GİP VERİLERİ'!$M:$M,"40X000000104782K",'[1]GİP VERİLERİ'!$G:$G,"SELL")</f>
        <v/>
      </c>
      <c r="U544" s="34">
        <f>IFERROR(W544/T544,0)</f>
        <v/>
      </c>
      <c r="V544" s="34">
        <f>IF(U544=0,0,U544-F544)</f>
        <v/>
      </c>
      <c r="W544" s="34">
        <f>SUMIFS('[1]GİP VERİLERİ'!$O:$O,'[1]GİP VERİLERİ'!$B:$B,A544,'[1]GİP VERİLERİ'!$M:$M,"40X000000104782K",'[1]GİP VERİLERİ'!$G:$G,"SELL")</f>
        <v/>
      </c>
      <c r="X544" s="34">
        <f>SUMIFS('[1]GİP VERİLERİ'!$C:$C,'[1]GİP VERİLERİ'!$B:$B,A544,'[1]GİP VERİLERİ'!$M:$M,"40X000000104782K",'[1]GİP VERİLERİ'!$G:$G,"BUY")</f>
        <v/>
      </c>
      <c r="Y544" s="34">
        <f>IFERROR(AA544/X544,0)</f>
        <v/>
      </c>
      <c r="Z544" s="34">
        <f>IF(Y544=0,0,F544-Y544)</f>
        <v/>
      </c>
      <c r="AA544" s="34">
        <f>SUMIFS('[1]GİP VERİLERİ'!$O:$O,'[1]GİP VERİLERİ'!$B:$B,A544,'[1]GİP VERİLERİ'!$M:$M,"40X000000104782K",'[1]GİP VERİLERİ'!$G:$G,"BUY")</f>
        <v/>
      </c>
      <c r="AB544" s="34">
        <f>'[1]GÖP VERİLERİ'!H545</f>
        <v/>
      </c>
      <c r="AC544" s="34">
        <f>'[1]GÖP VERİLERİ'!I545</f>
        <v/>
      </c>
      <c r="AD544" s="34">
        <f>IF(AB544&gt;AC544*1.05,AB544-AC544*1.05,IF(AB544&lt;AC544*0.95,AC544*0.95-AB544,0))</f>
        <v/>
      </c>
      <c r="AE544" s="34">
        <f>MAX(F544,G544,750)*0.05*AD544</f>
        <v/>
      </c>
      <c r="AF544" s="34">
        <f>'[1]GÖP VERİLERİ'!J545</f>
        <v/>
      </c>
      <c r="AG544" s="34">
        <f>IF(AB544&gt;AF544*1.05,AB544-AF544*1.05,IF(AB544&lt;AF544*0.95,AF544*0.95-AB544,0))</f>
        <v/>
      </c>
      <c r="AH544" s="34">
        <f>MAX(I544,J544,750)*0.05*AG544</f>
        <v/>
      </c>
      <c r="AI544">
        <f>'[1]GÖP VERİLERİ'!E545</f>
        <v/>
      </c>
      <c r="AJ544">
        <f>'[1]GÖP VERİLERİ'!F545</f>
        <v/>
      </c>
      <c r="AK544" s="34">
        <f>IF(AI544&gt;AJ544*1.05,AI544-AJ544*1.05,IF(AI544&lt;AJ544*0.95,AJ544*0.95-AI544,0))</f>
        <v/>
      </c>
      <c r="AL544" s="34">
        <f>MAX(F544,G544,750)*0.05*AK544</f>
        <v/>
      </c>
      <c r="AM544" s="39">
        <f>'[1]GÖP VERİLERİ'!G545</f>
        <v/>
      </c>
      <c r="AN544" s="34">
        <f>IF(AI544&gt;AM544*1.05,AI544-AM544*1.05,IF(AI544&lt;AM544*0.95,AM544*0.95-AI544,0))</f>
        <v/>
      </c>
      <c r="AO544" s="34">
        <f>MAX(F544,G544,750)*0.05*AN544</f>
        <v/>
      </c>
      <c r="AP544" s="34">
        <f>'[1]GÖP VERİLERİ'!B545</f>
        <v/>
      </c>
      <c r="AQ544" s="34">
        <f>'[1]GÖP VERİLERİ'!C545</f>
        <v/>
      </c>
      <c r="AR544" s="34">
        <f>IF(AP544&gt;AQ544*1.05,AP544-AQ544*1.05,IF(AP544&lt;AQ544*0.95,AQ544*0.95-AP544,0))</f>
        <v/>
      </c>
      <c r="AS544" s="34">
        <f>MAX(F544:G544,750)*0.05*AR544</f>
        <v/>
      </c>
      <c r="AT544">
        <f>'[1]GÖP VERİLERİ'!D545</f>
        <v/>
      </c>
      <c r="AU544" s="34">
        <f>IF(AP544&gt;AT544*1.05,AP544-AT544*1.05,IF(AP544&lt;AT544*0.95,AT544*0.95-AP544,0))</f>
        <v/>
      </c>
      <c r="AV544" s="34">
        <f>MAX(F544:G544,750)*0.05*AU544</f>
        <v/>
      </c>
      <c r="AW544" s="34">
        <f>AC544+AJ544+AQ544</f>
        <v/>
      </c>
      <c r="AX544" s="34">
        <f>AF544+AM544+AT544</f>
        <v/>
      </c>
      <c r="AY544" s="34">
        <f>AB544+AI544+AP544</f>
        <v/>
      </c>
      <c r="AZ544" s="34" t="n">
        <v>0</v>
      </c>
      <c r="BA544" s="34">
        <f>AD544+AK544+AR544</f>
        <v/>
      </c>
      <c r="BB544" s="34">
        <f>MAX(F544:G544,750)*0.05*BA544</f>
        <v/>
      </c>
      <c r="BC544" s="34">
        <f>AG544+AN544+AU544</f>
        <v/>
      </c>
      <c r="BD544" s="34">
        <f>MAX(F544:G544,750)*0.05*BC544</f>
        <v/>
      </c>
      <c r="BE544" s="34">
        <f>F544*AY544</f>
        <v/>
      </c>
      <c r="BF544" s="34">
        <f>K544-M544</f>
        <v/>
      </c>
      <c r="BG544" s="34">
        <f>P544-S544</f>
        <v/>
      </c>
      <c r="BH544" s="34">
        <f>W544-AA544</f>
        <v/>
      </c>
      <c r="BI544" s="34">
        <f>BF544+BG544+BL544-BN544</f>
        <v/>
      </c>
      <c r="BJ544" s="34">
        <f>ABS(BK544)</f>
        <v/>
      </c>
      <c r="BK544" s="34">
        <f>AY544-(J544-L544+N544-Q544)</f>
        <v/>
      </c>
      <c r="BL544" s="34">
        <f>IF(AND(BK544&gt;0,MIN($F544:$G544)&lt;150,$E544="Enerji Açığı"),-100*BK544*1.03,IF(AND(BK544&gt;0,MIN($F544:$G544)&lt;150,$E544="Enerji Fazlası"),-100*BK544*1.06,IF(AND(BK544&gt;0,MIN($F544:$G544)&gt;=150,$E544="Enerji Açığı"),BK544*MIN($F544:$G544)*0.97,IF(AND(BK544&gt;0,MIN($F544:$G544)&gt;=150,$E544="Enerji Fazlası"),BK544*MIN($F544:$G544)*0.94,IF(AND(BK544&lt;0,MAX($F544:$G544)=4500,$E544="Enerji Açığı"),4500*1.05*1.06*BK544,IF(AND(BK544&lt;0,MAX($F544:$G544)=4500,$E544="Enerji Fazlası"),4500*1.05*1.03*BK544,IF(AND(BK544&lt;0,$E544="Enerji Açığı"),MAX($F544,$G544,150)*BK544*1.06,IF(AND(BK544&lt;0,$E544="Enerji Fazlası"),MAX($F544,$G544,150)*BK544*1.03,IF(AND(BK544&lt;0,$E544="Dengede"),MAX($F544:$G544,150)*1.03*BK544,MIN($F544:$G544)*0.97*BK544)))))))))</f>
        <v/>
      </c>
      <c r="BM544" s="34">
        <f>BE544-BI544-BN544</f>
        <v/>
      </c>
      <c r="BN544" s="34">
        <f>BB544</f>
        <v/>
      </c>
      <c r="BO544" s="34">
        <f>BE544-BI544</f>
        <v/>
      </c>
      <c r="BP544" s="34">
        <f>IF(AY544=0,0,BO544/AY544)</f>
        <v/>
      </c>
      <c r="BQ544" s="34">
        <f>MAX((AY544+MAX((-J544+L544-N544+Q544),0)),(MAX((J544-L544+N544-Q544),0)))</f>
        <v/>
      </c>
      <c r="BR544" s="82">
        <f>IFERROR(ABS(BK544/BQ544),0)</f>
        <v/>
      </c>
      <c r="BS544" s="34">
        <f>IF(BR544&lt;=0.1,0,BK544/BR544*(BR544-0.1))</f>
        <v/>
      </c>
      <c r="BT544" s="34">
        <f>IF((BS544)&lt;0,MAX(F544:G544)*(BS544)*1.03,MIN(F544:G544)*(BS544)*0.97)</f>
        <v/>
      </c>
      <c r="BU544" s="34">
        <f>IF(BR544&gt;0.1,1,0)</f>
        <v/>
      </c>
      <c r="BV544" s="34">
        <f>BF544+BG544+BH544+BY544-CA544</f>
        <v/>
      </c>
      <c r="BW544" s="34">
        <f>ABS(BX544)</f>
        <v/>
      </c>
      <c r="BX544" s="34">
        <f>AY544-(J544-L544+N544-Q544+T544-X544)</f>
        <v/>
      </c>
      <c r="BY544" s="34">
        <f>IF(AND(BX544&gt;0,MIN($F544:$G544)&lt;150,$E544="Enerji Açığı"),-100*BX544*1.03,IF(AND(BX544&gt;0,MIN($F544:$G544)&lt;150,$E544="Enerji Fazlası"),-100*BX544*1.06,IF(AND(BX544&gt;0,MIN($F544:$G544)&gt;=150,$E544="Enerji Açığı"),BX544*MIN($F544:$G544)*0.97,IF(AND(BX544&gt;0,MIN($F544:$G544)&gt;=150,$E544="Enerji Fazlası"),BX544*MIN($F544:$G544)*0.94,IF(AND(BX544&lt;0,MAX($F544:$G544)=4500,$E544="Enerji Açığı"),4500*1.05*1.06*BX544,IF(AND(BX544&lt;0,MAX($F544:$G544)=4500,$E544="Enerji Fazlası"),4500*1.05*1.03*BX544,IF(AND(BX544&lt;0,$E544="Enerji Açığı"),MAX($F544,$G544,150)*BX544*1.06,IF(AND(BX544&lt;0,$E544="Enerji Fazlası"),MAX($F544,$G544,150)*BX544*1.03,IF(AND(BX544&lt;0,$E544="Dengede"),MAX($F544:$G544,150)*1.03*BX544,MIN($F544:$G544)*0.97*BX544)))))))))</f>
        <v/>
      </c>
      <c r="BZ544" s="34">
        <f>BE544-BV544-CA544</f>
        <v/>
      </c>
      <c r="CA544" s="34">
        <f>BD544</f>
        <v/>
      </c>
      <c r="CB544" s="33">
        <f>BE544-BV544</f>
        <v/>
      </c>
      <c r="CC544" s="34">
        <f>IF(AY544=0,0,CB544/AY544)</f>
        <v/>
      </c>
      <c r="CD544" s="34">
        <f>MAX((AY544+MAX((-J544+L544-N544+Q544-T544+X544),0)),(MAX((J544-L544+N544-Q544+T544-X544),0)))</f>
        <v/>
      </c>
      <c r="CE544" s="82">
        <f>IFERROR(ABS(BX544/CD544),0)</f>
        <v/>
      </c>
      <c r="CF544" s="34">
        <f>IF(CE544&lt;=0.1,0,BX544/CE544*(CE544-0.1))</f>
        <v/>
      </c>
      <c r="CG544" s="34">
        <f>IF((CF544)&lt;0,MAX(F544:G544)*(CF544)*1.03,MIN(F544:G544)*(CF544)*0.97)</f>
        <v/>
      </c>
      <c r="CH544" s="34">
        <f>IF(CE544&gt;0.1,1,0)</f>
        <v/>
      </c>
      <c r="CI544" s="34">
        <f>(F544*BX544)-BY544</f>
        <v/>
      </c>
      <c r="CJ544" s="34">
        <f>IF(AY544=0,0,CI544/AY544)</f>
        <v/>
      </c>
    </row>
    <row r="545">
      <c r="A545" s="29">
        <f>[1]FİYATLAR!A520</f>
        <v/>
      </c>
      <c r="B545" s="29">
        <f>[1]FİYATLAR!B520</f>
        <v/>
      </c>
      <c r="C545" s="35">
        <f>INT(A545)</f>
        <v/>
      </c>
      <c r="D545" s="36">
        <f>MONTH(A545)</f>
        <v/>
      </c>
      <c r="E545" s="147">
        <f>[1]FİYATLAR!G520</f>
        <v/>
      </c>
      <c r="F545" s="30">
        <f>[1]FİYATLAR!C520</f>
        <v/>
      </c>
      <c r="G545" s="30">
        <f>[1]FİYATLAR!E520</f>
        <v/>
      </c>
      <c r="H545" s="30">
        <f>[1]FİYATLAR!D520</f>
        <v/>
      </c>
      <c r="I545" s="30">
        <f>[1]FİYATLAR!F520</f>
        <v/>
      </c>
      <c r="J545" s="119" t="n">
        <v>0</v>
      </c>
      <c r="K545" s="34">
        <f>F545*J545</f>
        <v/>
      </c>
      <c r="L545" s="119" t="n"/>
      <c r="M545" s="34">
        <f>L545*F545</f>
        <v/>
      </c>
      <c r="N545" s="119" t="n"/>
      <c r="O545" s="34">
        <f>F545</f>
        <v/>
      </c>
      <c r="P545" s="34">
        <f>N545*O545</f>
        <v/>
      </c>
      <c r="Q545" s="117" t="n">
        <v>0</v>
      </c>
      <c r="R545" s="34">
        <f>F545</f>
        <v/>
      </c>
      <c r="S545" s="34">
        <f>R545*Q545</f>
        <v/>
      </c>
      <c r="T545" s="34">
        <f>SUMIFS('[1]GİP VERİLERİ'!$C:$C,'[1]GİP VERİLERİ'!$B:$B,A545,'[1]GİP VERİLERİ'!$M:$M,"40X000000104782K",'[1]GİP VERİLERİ'!$G:$G,"SELL")</f>
        <v/>
      </c>
      <c r="U545" s="34">
        <f>IFERROR(W545/T545,0)</f>
        <v/>
      </c>
      <c r="V545" s="34">
        <f>IF(U545=0,0,U545-F545)</f>
        <v/>
      </c>
      <c r="W545" s="34">
        <f>SUMIFS('[1]GİP VERİLERİ'!$O:$O,'[1]GİP VERİLERİ'!$B:$B,A545,'[1]GİP VERİLERİ'!$M:$M,"40X000000104782K",'[1]GİP VERİLERİ'!$G:$G,"SELL")</f>
        <v/>
      </c>
      <c r="X545" s="34">
        <f>SUMIFS('[1]GİP VERİLERİ'!$C:$C,'[1]GİP VERİLERİ'!$B:$B,A545,'[1]GİP VERİLERİ'!$M:$M,"40X000000104782K",'[1]GİP VERİLERİ'!$G:$G,"BUY")</f>
        <v/>
      </c>
      <c r="Y545" s="34">
        <f>IFERROR(AA545/X545,0)</f>
        <v/>
      </c>
      <c r="Z545" s="34">
        <f>IF(Y545=0,0,F545-Y545)</f>
        <v/>
      </c>
      <c r="AA545" s="34">
        <f>SUMIFS('[1]GİP VERİLERİ'!$O:$O,'[1]GİP VERİLERİ'!$B:$B,A545,'[1]GİP VERİLERİ'!$M:$M,"40X000000104782K",'[1]GİP VERİLERİ'!$G:$G,"BUY")</f>
        <v/>
      </c>
      <c r="AB545" s="34">
        <f>'[1]GÖP VERİLERİ'!H546</f>
        <v/>
      </c>
      <c r="AC545" s="34">
        <f>'[1]GÖP VERİLERİ'!I546</f>
        <v/>
      </c>
      <c r="AD545" s="34">
        <f>IF(AB545&gt;AC545*1.05,AB545-AC545*1.05,IF(AB545&lt;AC545*0.95,AC545*0.95-AB545,0))</f>
        <v/>
      </c>
      <c r="AE545" s="34">
        <f>MAX(F545,G545,750)*0.05*AD545</f>
        <v/>
      </c>
      <c r="AF545" s="34">
        <f>'[1]GÖP VERİLERİ'!J546</f>
        <v/>
      </c>
      <c r="AG545" s="34">
        <f>IF(AB545&gt;AF545*1.05,AB545-AF545*1.05,IF(AB545&lt;AF545*0.95,AF545*0.95-AB545,0))</f>
        <v/>
      </c>
      <c r="AH545" s="34">
        <f>MAX(I545,J545,750)*0.05*AG545</f>
        <v/>
      </c>
      <c r="AI545">
        <f>'[1]GÖP VERİLERİ'!E546</f>
        <v/>
      </c>
      <c r="AJ545">
        <f>'[1]GÖP VERİLERİ'!F546</f>
        <v/>
      </c>
      <c r="AK545" s="34">
        <f>IF(AI545&gt;AJ545*1.05,AI545-AJ545*1.05,IF(AI545&lt;AJ545*0.95,AJ545*0.95-AI545,0))</f>
        <v/>
      </c>
      <c r="AL545" s="34">
        <f>MAX(F545,G545,750)*0.05*AK545</f>
        <v/>
      </c>
      <c r="AM545" s="39">
        <f>'[1]GÖP VERİLERİ'!G546</f>
        <v/>
      </c>
      <c r="AN545" s="34">
        <f>IF(AI545&gt;AM545*1.05,AI545-AM545*1.05,IF(AI545&lt;AM545*0.95,AM545*0.95-AI545,0))</f>
        <v/>
      </c>
      <c r="AO545" s="34">
        <f>MAX(F545,G545,750)*0.05*AN545</f>
        <v/>
      </c>
      <c r="AP545" s="34">
        <f>'[1]GÖP VERİLERİ'!B546</f>
        <v/>
      </c>
      <c r="AQ545" s="34">
        <f>'[1]GÖP VERİLERİ'!C546</f>
        <v/>
      </c>
      <c r="AR545" s="34">
        <f>IF(AP545&gt;AQ545*1.05,AP545-AQ545*1.05,IF(AP545&lt;AQ545*0.95,AQ545*0.95-AP545,0))</f>
        <v/>
      </c>
      <c r="AS545" s="34">
        <f>MAX(F545:G545,750)*0.05*AR545</f>
        <v/>
      </c>
      <c r="AT545">
        <f>'[1]GÖP VERİLERİ'!D546</f>
        <v/>
      </c>
      <c r="AU545" s="34">
        <f>IF(AP545&gt;AT545*1.05,AP545-AT545*1.05,IF(AP545&lt;AT545*0.95,AT545*0.95-AP545,0))</f>
        <v/>
      </c>
      <c r="AV545" s="34">
        <f>MAX(F545:G545,750)*0.05*AU545</f>
        <v/>
      </c>
      <c r="AW545" s="34">
        <f>AC545+AJ545+AQ545</f>
        <v/>
      </c>
      <c r="AX545" s="34">
        <f>AF545+AM545+AT545</f>
        <v/>
      </c>
      <c r="AY545" s="34">
        <f>AB545+AI545+AP545</f>
        <v/>
      </c>
      <c r="AZ545" s="34" t="n">
        <v>0</v>
      </c>
      <c r="BA545" s="34">
        <f>AD545+AK545+AR545</f>
        <v/>
      </c>
      <c r="BB545" s="34">
        <f>MAX(F545:G545,750)*0.05*BA545</f>
        <v/>
      </c>
      <c r="BC545" s="34">
        <f>AG545+AN545+AU545</f>
        <v/>
      </c>
      <c r="BD545" s="34">
        <f>MAX(F545:G545,750)*0.05*BC545</f>
        <v/>
      </c>
      <c r="BE545" s="34">
        <f>F545*AY545</f>
        <v/>
      </c>
      <c r="BF545" s="34">
        <f>K545-M545</f>
        <v/>
      </c>
      <c r="BG545" s="34">
        <f>P545-S545</f>
        <v/>
      </c>
      <c r="BH545" s="34">
        <f>W545-AA545</f>
        <v/>
      </c>
      <c r="BI545" s="34">
        <f>BF545+BG545+BL545-BN545</f>
        <v/>
      </c>
      <c r="BJ545" s="34">
        <f>ABS(BK545)</f>
        <v/>
      </c>
      <c r="BK545" s="34">
        <f>AY545-(J545-L545+N545-Q545)</f>
        <v/>
      </c>
      <c r="BL545" s="34">
        <f>IF(AND(BK545&gt;0,MIN($F545:$G545)&lt;150,$E545="Enerji Açığı"),-100*BK545*1.03,IF(AND(BK545&gt;0,MIN($F545:$G545)&lt;150,$E545="Enerji Fazlası"),-100*BK545*1.06,IF(AND(BK545&gt;0,MIN($F545:$G545)&gt;=150,$E545="Enerji Açığı"),BK545*MIN($F545:$G545)*0.97,IF(AND(BK545&gt;0,MIN($F545:$G545)&gt;=150,$E545="Enerji Fazlası"),BK545*MIN($F545:$G545)*0.94,IF(AND(BK545&lt;0,MAX($F545:$G545)=4500,$E545="Enerji Açığı"),4500*1.05*1.06*BK545,IF(AND(BK545&lt;0,MAX($F545:$G545)=4500,$E545="Enerji Fazlası"),4500*1.05*1.03*BK545,IF(AND(BK545&lt;0,$E545="Enerji Açığı"),MAX($F545,$G545,150)*BK545*1.06,IF(AND(BK545&lt;0,$E545="Enerji Fazlası"),MAX($F545,$G545,150)*BK545*1.03,IF(AND(BK545&lt;0,$E545="Dengede"),MAX($F545:$G545,150)*1.03*BK545,MIN($F545:$G545)*0.97*BK545)))))))))</f>
        <v/>
      </c>
      <c r="BM545" s="34">
        <f>BE545-BI545-BN545</f>
        <v/>
      </c>
      <c r="BN545" s="34">
        <f>BB545</f>
        <v/>
      </c>
      <c r="BO545" s="34">
        <f>BE545-BI545</f>
        <v/>
      </c>
      <c r="BP545" s="34">
        <f>IF(AY545=0,0,BO545/AY545)</f>
        <v/>
      </c>
      <c r="BQ545" s="34">
        <f>MAX((AY545+MAX((-J545+L545-N545+Q545),0)),(MAX((J545-L545+N545-Q545),0)))</f>
        <v/>
      </c>
      <c r="BR545" s="82">
        <f>IFERROR(ABS(BK545/BQ545),0)</f>
        <v/>
      </c>
      <c r="BS545" s="34">
        <f>IF(BR545&lt;=0.1,0,BK545/BR545*(BR545-0.1))</f>
        <v/>
      </c>
      <c r="BT545" s="34">
        <f>IF((BS545)&lt;0,MAX(F545:G545)*(BS545)*1.03,MIN(F545:G545)*(BS545)*0.97)</f>
        <v/>
      </c>
      <c r="BU545" s="34">
        <f>IF(BR545&gt;0.1,1,0)</f>
        <v/>
      </c>
      <c r="BV545" s="34">
        <f>BF545+BG545+BH545+BY545-CA545</f>
        <v/>
      </c>
      <c r="BW545" s="34">
        <f>ABS(BX545)</f>
        <v/>
      </c>
      <c r="BX545" s="34">
        <f>AY545-(J545-L545+N545-Q545+T545-X545)</f>
        <v/>
      </c>
      <c r="BY545" s="34">
        <f>IF(AND(BX545&gt;0,MIN($F545:$G545)&lt;150,$E545="Enerji Açığı"),-100*BX545*1.03,IF(AND(BX545&gt;0,MIN($F545:$G545)&lt;150,$E545="Enerji Fazlası"),-100*BX545*1.06,IF(AND(BX545&gt;0,MIN($F545:$G545)&gt;=150,$E545="Enerji Açığı"),BX545*MIN($F545:$G545)*0.97,IF(AND(BX545&gt;0,MIN($F545:$G545)&gt;=150,$E545="Enerji Fazlası"),BX545*MIN($F545:$G545)*0.94,IF(AND(BX545&lt;0,MAX($F545:$G545)=4500,$E545="Enerji Açığı"),4500*1.05*1.06*BX545,IF(AND(BX545&lt;0,MAX($F545:$G545)=4500,$E545="Enerji Fazlası"),4500*1.05*1.03*BX545,IF(AND(BX545&lt;0,$E545="Enerji Açığı"),MAX($F545,$G545,150)*BX545*1.06,IF(AND(BX545&lt;0,$E545="Enerji Fazlası"),MAX($F545,$G545,150)*BX545*1.03,IF(AND(BX545&lt;0,$E545="Dengede"),MAX($F545:$G545,150)*1.03*BX545,MIN($F545:$G545)*0.97*BX545)))))))))</f>
        <v/>
      </c>
      <c r="BZ545" s="34">
        <f>BE545-BV545-CA545</f>
        <v/>
      </c>
      <c r="CA545" s="34">
        <f>BD545</f>
        <v/>
      </c>
      <c r="CB545" s="33">
        <f>BE545-BV545</f>
        <v/>
      </c>
      <c r="CC545" s="34">
        <f>IF(AY545=0,0,CB545/AY545)</f>
        <v/>
      </c>
      <c r="CD545" s="34">
        <f>MAX((AY545+MAX((-J545+L545-N545+Q545-T545+X545),0)),(MAX((J545-L545+N545-Q545+T545-X545),0)))</f>
        <v/>
      </c>
      <c r="CE545" s="82">
        <f>IFERROR(ABS(BX545/CD545),0)</f>
        <v/>
      </c>
      <c r="CF545" s="34">
        <f>IF(CE545&lt;=0.1,0,BX545/CE545*(CE545-0.1))</f>
        <v/>
      </c>
      <c r="CG545" s="34">
        <f>IF((CF545)&lt;0,MAX(F545:G545)*(CF545)*1.03,MIN(F545:G545)*(CF545)*0.97)</f>
        <v/>
      </c>
      <c r="CH545" s="34">
        <f>IF(CE545&gt;0.1,1,0)</f>
        <v/>
      </c>
      <c r="CI545" s="34">
        <f>(F545*BX545)-BY545</f>
        <v/>
      </c>
      <c r="CJ545" s="34">
        <f>IF(AY545=0,0,CI545/AY545)</f>
        <v/>
      </c>
    </row>
    <row r="546">
      <c r="A546" s="29">
        <f>[1]FİYATLAR!A521</f>
        <v/>
      </c>
      <c r="B546" s="29">
        <f>[1]FİYATLAR!B521</f>
        <v/>
      </c>
      <c r="C546" s="35">
        <f>INT(A546)</f>
        <v/>
      </c>
      <c r="D546" s="36">
        <f>MONTH(A546)</f>
        <v/>
      </c>
      <c r="E546" s="147">
        <f>[1]FİYATLAR!G521</f>
        <v/>
      </c>
      <c r="F546" s="30">
        <f>[1]FİYATLAR!C521</f>
        <v/>
      </c>
      <c r="G546" s="30">
        <f>[1]FİYATLAR!E521</f>
        <v/>
      </c>
      <c r="H546" s="30">
        <f>[1]FİYATLAR!D521</f>
        <v/>
      </c>
      <c r="I546" s="30">
        <f>[1]FİYATLAR!F521</f>
        <v/>
      </c>
      <c r="J546" s="119" t="n">
        <v>0</v>
      </c>
      <c r="K546" s="34">
        <f>F546*J546</f>
        <v/>
      </c>
      <c r="L546" s="119" t="n"/>
      <c r="M546" s="34">
        <f>L546*F546</f>
        <v/>
      </c>
      <c r="N546" s="119" t="n"/>
      <c r="O546" s="34">
        <f>F546</f>
        <v/>
      </c>
      <c r="P546" s="34">
        <f>N546*O546</f>
        <v/>
      </c>
      <c r="Q546" s="117" t="n">
        <v>0</v>
      </c>
      <c r="R546" s="34">
        <f>F546</f>
        <v/>
      </c>
      <c r="S546" s="34">
        <f>R546*Q546</f>
        <v/>
      </c>
      <c r="T546" s="34">
        <f>SUMIFS('[1]GİP VERİLERİ'!$C:$C,'[1]GİP VERİLERİ'!$B:$B,A546,'[1]GİP VERİLERİ'!$M:$M,"40X000000104782K",'[1]GİP VERİLERİ'!$G:$G,"SELL")</f>
        <v/>
      </c>
      <c r="U546" s="34">
        <f>IFERROR(W546/T546,0)</f>
        <v/>
      </c>
      <c r="V546" s="34">
        <f>IF(U546=0,0,U546-F546)</f>
        <v/>
      </c>
      <c r="W546" s="34">
        <f>SUMIFS('[1]GİP VERİLERİ'!$O:$O,'[1]GİP VERİLERİ'!$B:$B,A546,'[1]GİP VERİLERİ'!$M:$M,"40X000000104782K",'[1]GİP VERİLERİ'!$G:$G,"SELL")</f>
        <v/>
      </c>
      <c r="X546" s="34">
        <f>SUMIFS('[1]GİP VERİLERİ'!$C:$C,'[1]GİP VERİLERİ'!$B:$B,A546,'[1]GİP VERİLERİ'!$M:$M,"40X000000104782K",'[1]GİP VERİLERİ'!$G:$G,"BUY")</f>
        <v/>
      </c>
      <c r="Y546" s="34">
        <f>IFERROR(AA546/X546,0)</f>
        <v/>
      </c>
      <c r="Z546" s="34">
        <f>IF(Y546=0,0,F546-Y546)</f>
        <v/>
      </c>
      <c r="AA546" s="34">
        <f>SUMIFS('[1]GİP VERİLERİ'!$O:$O,'[1]GİP VERİLERİ'!$B:$B,A546,'[1]GİP VERİLERİ'!$M:$M,"40X000000104782K",'[1]GİP VERİLERİ'!$G:$G,"BUY")</f>
        <v/>
      </c>
      <c r="AB546" s="34">
        <f>'[1]GÖP VERİLERİ'!H547</f>
        <v/>
      </c>
      <c r="AC546" s="34">
        <f>'[1]GÖP VERİLERİ'!I547</f>
        <v/>
      </c>
      <c r="AD546" s="34">
        <f>IF(AB546&gt;AC546*1.05,AB546-AC546*1.05,IF(AB546&lt;AC546*0.95,AC546*0.95-AB546,0))</f>
        <v/>
      </c>
      <c r="AE546" s="34">
        <f>MAX(F546,G546,750)*0.05*AD546</f>
        <v/>
      </c>
      <c r="AF546" s="34">
        <f>'[1]GÖP VERİLERİ'!J547</f>
        <v/>
      </c>
      <c r="AG546" s="34">
        <f>IF(AB546&gt;AF546*1.05,AB546-AF546*1.05,IF(AB546&lt;AF546*0.95,AF546*0.95-AB546,0))</f>
        <v/>
      </c>
      <c r="AH546" s="34">
        <f>MAX(I546,J546,750)*0.05*AG546</f>
        <v/>
      </c>
      <c r="AI546">
        <f>'[1]GÖP VERİLERİ'!E547</f>
        <v/>
      </c>
      <c r="AJ546">
        <f>'[1]GÖP VERİLERİ'!F547</f>
        <v/>
      </c>
      <c r="AK546" s="34">
        <f>IF(AI546&gt;AJ546*1.05,AI546-AJ546*1.05,IF(AI546&lt;AJ546*0.95,AJ546*0.95-AI546,0))</f>
        <v/>
      </c>
      <c r="AL546" s="34">
        <f>MAX(F546,G546,750)*0.05*AK546</f>
        <v/>
      </c>
      <c r="AM546" s="39">
        <f>'[1]GÖP VERİLERİ'!G547</f>
        <v/>
      </c>
      <c r="AN546" s="34">
        <f>IF(AI546&gt;AM546*1.05,AI546-AM546*1.05,IF(AI546&lt;AM546*0.95,AM546*0.95-AI546,0))</f>
        <v/>
      </c>
      <c r="AO546" s="34">
        <f>MAX(F546,G546,750)*0.05*AN546</f>
        <v/>
      </c>
      <c r="AP546" s="34">
        <f>'[1]GÖP VERİLERİ'!B547</f>
        <v/>
      </c>
      <c r="AQ546" s="34">
        <f>'[1]GÖP VERİLERİ'!C547</f>
        <v/>
      </c>
      <c r="AR546" s="34">
        <f>IF(AP546&gt;AQ546*1.05,AP546-AQ546*1.05,IF(AP546&lt;AQ546*0.95,AQ546*0.95-AP546,0))</f>
        <v/>
      </c>
      <c r="AS546" s="34">
        <f>MAX(F546:G546,750)*0.05*AR546</f>
        <v/>
      </c>
      <c r="AT546">
        <f>'[1]GÖP VERİLERİ'!D547</f>
        <v/>
      </c>
      <c r="AU546" s="34">
        <f>IF(AP546&gt;AT546*1.05,AP546-AT546*1.05,IF(AP546&lt;AT546*0.95,AT546*0.95-AP546,0))</f>
        <v/>
      </c>
      <c r="AV546" s="34">
        <f>MAX(F546:G546,750)*0.05*AU546</f>
        <v/>
      </c>
      <c r="AW546" s="34">
        <f>AC546+AJ546+AQ546</f>
        <v/>
      </c>
      <c r="AX546" s="34">
        <f>AF546+AM546+AT546</f>
        <v/>
      </c>
      <c r="AY546" s="34">
        <f>AB546+AI546+AP546</f>
        <v/>
      </c>
      <c r="AZ546" s="34" t="n">
        <v>0</v>
      </c>
      <c r="BA546" s="34">
        <f>AD546+AK546+AR546</f>
        <v/>
      </c>
      <c r="BB546" s="34">
        <f>MAX(F546:G546,750)*0.05*BA546</f>
        <v/>
      </c>
      <c r="BC546" s="34">
        <f>AG546+AN546+AU546</f>
        <v/>
      </c>
      <c r="BD546" s="34">
        <f>MAX(F546:G546,750)*0.05*BC546</f>
        <v/>
      </c>
      <c r="BE546" s="34">
        <f>F546*AY546</f>
        <v/>
      </c>
      <c r="BF546" s="34">
        <f>K546-M546</f>
        <v/>
      </c>
      <c r="BG546" s="34">
        <f>P546-S546</f>
        <v/>
      </c>
      <c r="BH546" s="34">
        <f>W546-AA546</f>
        <v/>
      </c>
      <c r="BI546" s="34">
        <f>BF546+BG546+BL546-BN546</f>
        <v/>
      </c>
      <c r="BJ546" s="34">
        <f>ABS(BK546)</f>
        <v/>
      </c>
      <c r="BK546" s="34">
        <f>AY546-(J546-L546+N546-Q546)</f>
        <v/>
      </c>
      <c r="BL546" s="34">
        <f>IF(AND(BK546&gt;0,MIN($F546:$G546)&lt;150,$E546="Enerji Açığı"),-100*BK546*1.03,IF(AND(BK546&gt;0,MIN($F546:$G546)&lt;150,$E546="Enerji Fazlası"),-100*BK546*1.06,IF(AND(BK546&gt;0,MIN($F546:$G546)&gt;=150,$E546="Enerji Açığı"),BK546*MIN($F546:$G546)*0.97,IF(AND(BK546&gt;0,MIN($F546:$G546)&gt;=150,$E546="Enerji Fazlası"),BK546*MIN($F546:$G546)*0.94,IF(AND(BK546&lt;0,MAX($F546:$G546)=4500,$E546="Enerji Açığı"),4500*1.05*1.06*BK546,IF(AND(BK546&lt;0,MAX($F546:$G546)=4500,$E546="Enerji Fazlası"),4500*1.05*1.03*BK546,IF(AND(BK546&lt;0,$E546="Enerji Açığı"),MAX($F546,$G546,150)*BK546*1.06,IF(AND(BK546&lt;0,$E546="Enerji Fazlası"),MAX($F546,$G546,150)*BK546*1.03,IF(AND(BK546&lt;0,$E546="Dengede"),MAX($F546:$G546,150)*1.03*BK546,MIN($F546:$G546)*0.97*BK546)))))))))</f>
        <v/>
      </c>
      <c r="BM546" s="34">
        <f>BE546-BI546-BN546</f>
        <v/>
      </c>
      <c r="BN546" s="34">
        <f>BB546</f>
        <v/>
      </c>
      <c r="BO546" s="34">
        <f>BE546-BI546</f>
        <v/>
      </c>
      <c r="BP546" s="34">
        <f>IF(AY546=0,0,BO546/AY546)</f>
        <v/>
      </c>
      <c r="BQ546" s="34">
        <f>MAX((AY546+MAX((-J546+L546-N546+Q546),0)),(MAX((J546-L546+N546-Q546),0)))</f>
        <v/>
      </c>
      <c r="BR546" s="82">
        <f>IFERROR(ABS(BK546/BQ546),0)</f>
        <v/>
      </c>
      <c r="BS546" s="34">
        <f>IF(BR546&lt;=0.1,0,BK546/BR546*(BR546-0.1))</f>
        <v/>
      </c>
      <c r="BT546" s="34">
        <f>IF((BS546)&lt;0,MAX(F546:G546)*(BS546)*1.03,MIN(F546:G546)*(BS546)*0.97)</f>
        <v/>
      </c>
      <c r="BU546" s="34">
        <f>IF(BR546&gt;0.1,1,0)</f>
        <v/>
      </c>
      <c r="BV546" s="34">
        <f>BF546+BG546+BH546+BY546-CA546</f>
        <v/>
      </c>
      <c r="BW546" s="34">
        <f>ABS(BX546)</f>
        <v/>
      </c>
      <c r="BX546" s="34">
        <f>AY546-(J546-L546+N546-Q546+T546-X546)</f>
        <v/>
      </c>
      <c r="BY546" s="34">
        <f>IF(AND(BX546&gt;0,MIN($F546:$G546)&lt;150,$E546="Enerji Açığı"),-100*BX546*1.03,IF(AND(BX546&gt;0,MIN($F546:$G546)&lt;150,$E546="Enerji Fazlası"),-100*BX546*1.06,IF(AND(BX546&gt;0,MIN($F546:$G546)&gt;=150,$E546="Enerji Açığı"),BX546*MIN($F546:$G546)*0.97,IF(AND(BX546&gt;0,MIN($F546:$G546)&gt;=150,$E546="Enerji Fazlası"),BX546*MIN($F546:$G546)*0.94,IF(AND(BX546&lt;0,MAX($F546:$G546)=4500,$E546="Enerji Açığı"),4500*1.05*1.06*BX546,IF(AND(BX546&lt;0,MAX($F546:$G546)=4500,$E546="Enerji Fazlası"),4500*1.05*1.03*BX546,IF(AND(BX546&lt;0,$E546="Enerji Açığı"),MAX($F546,$G546,150)*BX546*1.06,IF(AND(BX546&lt;0,$E546="Enerji Fazlası"),MAX($F546,$G546,150)*BX546*1.03,IF(AND(BX546&lt;0,$E546="Dengede"),MAX($F546:$G546,150)*1.03*BX546,MIN($F546:$G546)*0.97*BX546)))))))))</f>
        <v/>
      </c>
      <c r="BZ546" s="34">
        <f>BE546-BV546-CA546</f>
        <v/>
      </c>
      <c r="CA546" s="34">
        <f>BD546</f>
        <v/>
      </c>
      <c r="CB546" s="33">
        <f>BE546-BV546</f>
        <v/>
      </c>
      <c r="CC546" s="34">
        <f>IF(AY546=0,0,CB546/AY546)</f>
        <v/>
      </c>
      <c r="CD546" s="34">
        <f>MAX((AY546+MAX((-J546+L546-N546+Q546-T546+X546),0)),(MAX((J546-L546+N546-Q546+T546-X546),0)))</f>
        <v/>
      </c>
      <c r="CE546" s="82">
        <f>IFERROR(ABS(BX546/CD546),0)</f>
        <v/>
      </c>
      <c r="CF546" s="34">
        <f>IF(CE546&lt;=0.1,0,BX546/CE546*(CE546-0.1))</f>
        <v/>
      </c>
      <c r="CG546" s="34">
        <f>IF((CF546)&lt;0,MAX(F546:G546)*(CF546)*1.03,MIN(F546:G546)*(CF546)*0.97)</f>
        <v/>
      </c>
      <c r="CH546" s="34">
        <f>IF(CE546&gt;0.1,1,0)</f>
        <v/>
      </c>
      <c r="CI546" s="34">
        <f>(F546*BX546)-BY546</f>
        <v/>
      </c>
      <c r="CJ546" s="34">
        <f>IF(AY546=0,0,CI546/AY546)</f>
        <v/>
      </c>
    </row>
    <row r="547">
      <c r="A547" s="29">
        <f>[1]FİYATLAR!A522</f>
        <v/>
      </c>
      <c r="B547" s="29">
        <f>[1]FİYATLAR!B522</f>
        <v/>
      </c>
      <c r="C547" s="35">
        <f>INT(A547)</f>
        <v/>
      </c>
      <c r="D547" s="36">
        <f>MONTH(A547)</f>
        <v/>
      </c>
      <c r="E547" s="147">
        <f>[1]FİYATLAR!G522</f>
        <v/>
      </c>
      <c r="F547" s="30">
        <f>[1]FİYATLAR!C522</f>
        <v/>
      </c>
      <c r="G547" s="30">
        <f>[1]FİYATLAR!E522</f>
        <v/>
      </c>
      <c r="H547" s="30">
        <f>[1]FİYATLAR!D522</f>
        <v/>
      </c>
      <c r="I547" s="30">
        <f>[1]FİYATLAR!F522</f>
        <v/>
      </c>
      <c r="J547" s="119" t="n">
        <v>0</v>
      </c>
      <c r="K547" s="34">
        <f>F547*J547</f>
        <v/>
      </c>
      <c r="L547" s="119" t="n"/>
      <c r="M547" s="34">
        <f>L547*F547</f>
        <v/>
      </c>
      <c r="N547" s="119" t="n"/>
      <c r="O547" s="34">
        <f>F547</f>
        <v/>
      </c>
      <c r="P547" s="34">
        <f>N547*O547</f>
        <v/>
      </c>
      <c r="Q547" s="117" t="n">
        <v>0</v>
      </c>
      <c r="R547" s="34">
        <f>F547</f>
        <v/>
      </c>
      <c r="S547" s="34">
        <f>R547*Q547</f>
        <v/>
      </c>
      <c r="T547" s="34">
        <f>SUMIFS('[1]GİP VERİLERİ'!$C:$C,'[1]GİP VERİLERİ'!$B:$B,A547,'[1]GİP VERİLERİ'!$M:$M,"40X000000104782K",'[1]GİP VERİLERİ'!$G:$G,"SELL")</f>
        <v/>
      </c>
      <c r="U547" s="34">
        <f>IFERROR(W547/T547,0)</f>
        <v/>
      </c>
      <c r="V547" s="34">
        <f>IF(U547=0,0,U547-F547)</f>
        <v/>
      </c>
      <c r="W547" s="34">
        <f>SUMIFS('[1]GİP VERİLERİ'!$O:$O,'[1]GİP VERİLERİ'!$B:$B,A547,'[1]GİP VERİLERİ'!$M:$M,"40X000000104782K",'[1]GİP VERİLERİ'!$G:$G,"SELL")</f>
        <v/>
      </c>
      <c r="X547" s="34">
        <f>SUMIFS('[1]GİP VERİLERİ'!$C:$C,'[1]GİP VERİLERİ'!$B:$B,A547,'[1]GİP VERİLERİ'!$M:$M,"40X000000104782K",'[1]GİP VERİLERİ'!$G:$G,"BUY")</f>
        <v/>
      </c>
      <c r="Y547" s="34">
        <f>IFERROR(AA547/X547,0)</f>
        <v/>
      </c>
      <c r="Z547" s="34">
        <f>IF(Y547=0,0,F547-Y547)</f>
        <v/>
      </c>
      <c r="AA547" s="34">
        <f>SUMIFS('[1]GİP VERİLERİ'!$O:$O,'[1]GİP VERİLERİ'!$B:$B,A547,'[1]GİP VERİLERİ'!$M:$M,"40X000000104782K",'[1]GİP VERİLERİ'!$G:$G,"BUY")</f>
        <v/>
      </c>
      <c r="AB547" s="34">
        <f>'[1]GÖP VERİLERİ'!H548</f>
        <v/>
      </c>
      <c r="AC547" s="34">
        <f>'[1]GÖP VERİLERİ'!I548</f>
        <v/>
      </c>
      <c r="AD547" s="34">
        <f>IF(AB547&gt;AC547*1.05,AB547-AC547*1.05,IF(AB547&lt;AC547*0.95,AC547*0.95-AB547,0))</f>
        <v/>
      </c>
      <c r="AE547" s="34">
        <f>MAX(F547,G547,750)*0.05*AD547</f>
        <v/>
      </c>
      <c r="AF547" s="34">
        <f>'[1]GÖP VERİLERİ'!J548</f>
        <v/>
      </c>
      <c r="AG547" s="34">
        <f>IF(AB547&gt;AF547*1.05,AB547-AF547*1.05,IF(AB547&lt;AF547*0.95,AF547*0.95-AB547,0))</f>
        <v/>
      </c>
      <c r="AH547" s="34">
        <f>MAX(I547,J547,750)*0.05*AG547</f>
        <v/>
      </c>
      <c r="AI547">
        <f>'[1]GÖP VERİLERİ'!E548</f>
        <v/>
      </c>
      <c r="AJ547">
        <f>'[1]GÖP VERİLERİ'!F548</f>
        <v/>
      </c>
      <c r="AK547" s="34">
        <f>IF(AI547&gt;AJ547*1.05,AI547-AJ547*1.05,IF(AI547&lt;AJ547*0.95,AJ547*0.95-AI547,0))</f>
        <v/>
      </c>
      <c r="AL547" s="34">
        <f>MAX(F547,G547,750)*0.05*AK547</f>
        <v/>
      </c>
      <c r="AM547" s="39">
        <f>'[1]GÖP VERİLERİ'!G548</f>
        <v/>
      </c>
      <c r="AN547" s="34">
        <f>IF(AI547&gt;AM547*1.05,AI547-AM547*1.05,IF(AI547&lt;AM547*0.95,AM547*0.95-AI547,0))</f>
        <v/>
      </c>
      <c r="AO547" s="34">
        <f>MAX(F547,G547,750)*0.05*AN547</f>
        <v/>
      </c>
      <c r="AP547" s="34">
        <f>'[1]GÖP VERİLERİ'!B548</f>
        <v/>
      </c>
      <c r="AQ547" s="34">
        <f>'[1]GÖP VERİLERİ'!C548</f>
        <v/>
      </c>
      <c r="AR547" s="34">
        <f>IF(AP547&gt;AQ547*1.05,AP547-AQ547*1.05,IF(AP547&lt;AQ547*0.95,AQ547*0.95-AP547,0))</f>
        <v/>
      </c>
      <c r="AS547" s="34">
        <f>MAX(F547:G547,750)*0.05*AR547</f>
        <v/>
      </c>
      <c r="AT547">
        <f>'[1]GÖP VERİLERİ'!D548</f>
        <v/>
      </c>
      <c r="AU547" s="34">
        <f>IF(AP547&gt;AT547*1.05,AP547-AT547*1.05,IF(AP547&lt;AT547*0.95,AT547*0.95-AP547,0))</f>
        <v/>
      </c>
      <c r="AV547" s="34">
        <f>MAX(F547:G547,750)*0.05*AU547</f>
        <v/>
      </c>
      <c r="AW547" s="34">
        <f>AC547+AJ547+AQ547</f>
        <v/>
      </c>
      <c r="AX547" s="34">
        <f>AF547+AM547+AT547</f>
        <v/>
      </c>
      <c r="AY547" s="34">
        <f>AB547+AI547+AP547</f>
        <v/>
      </c>
      <c r="AZ547" s="34" t="n">
        <v>0</v>
      </c>
      <c r="BA547" s="34">
        <f>AD547+AK547+AR547</f>
        <v/>
      </c>
      <c r="BB547" s="34">
        <f>MAX(F547:G547,750)*0.05*BA547</f>
        <v/>
      </c>
      <c r="BC547" s="34">
        <f>AG547+AN547+AU547</f>
        <v/>
      </c>
      <c r="BD547" s="34">
        <f>MAX(F547:G547,750)*0.05*BC547</f>
        <v/>
      </c>
      <c r="BE547" s="34">
        <f>F547*AY547</f>
        <v/>
      </c>
      <c r="BF547" s="34">
        <f>K547-M547</f>
        <v/>
      </c>
      <c r="BG547" s="34">
        <f>P547-S547</f>
        <v/>
      </c>
      <c r="BH547" s="34">
        <f>W547-AA547</f>
        <v/>
      </c>
      <c r="BI547" s="34">
        <f>BF547+BG547+BL547-BN547</f>
        <v/>
      </c>
      <c r="BJ547" s="34">
        <f>ABS(BK547)</f>
        <v/>
      </c>
      <c r="BK547" s="34">
        <f>AY547-(J547-L547+N547-Q547)</f>
        <v/>
      </c>
      <c r="BL547" s="34">
        <f>IF(AND(BK547&gt;0,MIN($F547:$G547)&lt;150,$E547="Enerji Açığı"),-100*BK547*1.03,IF(AND(BK547&gt;0,MIN($F547:$G547)&lt;150,$E547="Enerji Fazlası"),-100*BK547*1.06,IF(AND(BK547&gt;0,MIN($F547:$G547)&gt;=150,$E547="Enerji Açığı"),BK547*MIN($F547:$G547)*0.97,IF(AND(BK547&gt;0,MIN($F547:$G547)&gt;=150,$E547="Enerji Fazlası"),BK547*MIN($F547:$G547)*0.94,IF(AND(BK547&lt;0,MAX($F547:$G547)=4500,$E547="Enerji Açığı"),4500*1.05*1.06*BK547,IF(AND(BK547&lt;0,MAX($F547:$G547)=4500,$E547="Enerji Fazlası"),4500*1.05*1.03*BK547,IF(AND(BK547&lt;0,$E547="Enerji Açığı"),MAX($F547,$G547,150)*BK547*1.06,IF(AND(BK547&lt;0,$E547="Enerji Fazlası"),MAX($F547,$G547,150)*BK547*1.03,IF(AND(BK547&lt;0,$E547="Dengede"),MAX($F547:$G547,150)*1.03*BK547,MIN($F547:$G547)*0.97*BK547)))))))))</f>
        <v/>
      </c>
      <c r="BM547" s="34">
        <f>BE547-BI547-BN547</f>
        <v/>
      </c>
      <c r="BN547" s="34">
        <f>BB547</f>
        <v/>
      </c>
      <c r="BO547" s="34">
        <f>BE547-BI547</f>
        <v/>
      </c>
      <c r="BP547" s="34">
        <f>IF(AY547=0,0,BO547/AY547)</f>
        <v/>
      </c>
      <c r="BQ547" s="34">
        <f>MAX((AY547+MAX((-J547+L547-N547+Q547),0)),(MAX((J547-L547+N547-Q547),0)))</f>
        <v/>
      </c>
      <c r="BR547" s="82">
        <f>IFERROR(ABS(BK547/BQ547),0)</f>
        <v/>
      </c>
      <c r="BS547" s="34">
        <f>IF(BR547&lt;=0.1,0,BK547/BR547*(BR547-0.1))</f>
        <v/>
      </c>
      <c r="BT547" s="34">
        <f>IF((BS547)&lt;0,MAX(F547:G547)*(BS547)*1.03,MIN(F547:G547)*(BS547)*0.97)</f>
        <v/>
      </c>
      <c r="BU547" s="34">
        <f>IF(BR547&gt;0.1,1,0)</f>
        <v/>
      </c>
      <c r="BV547" s="34">
        <f>BF547+BG547+BH547+BY547-CA547</f>
        <v/>
      </c>
      <c r="BW547" s="34">
        <f>ABS(BX547)</f>
        <v/>
      </c>
      <c r="BX547" s="34">
        <f>AY547-(J547-L547+N547-Q547+T547-X547)</f>
        <v/>
      </c>
      <c r="BY547" s="34">
        <f>IF(AND(BX547&gt;0,MIN($F547:$G547)&lt;150,$E547="Enerji Açığı"),-100*BX547*1.03,IF(AND(BX547&gt;0,MIN($F547:$G547)&lt;150,$E547="Enerji Fazlası"),-100*BX547*1.06,IF(AND(BX547&gt;0,MIN($F547:$G547)&gt;=150,$E547="Enerji Açığı"),BX547*MIN($F547:$G547)*0.97,IF(AND(BX547&gt;0,MIN($F547:$G547)&gt;=150,$E547="Enerji Fazlası"),BX547*MIN($F547:$G547)*0.94,IF(AND(BX547&lt;0,MAX($F547:$G547)=4500,$E547="Enerji Açığı"),4500*1.05*1.06*BX547,IF(AND(BX547&lt;0,MAX($F547:$G547)=4500,$E547="Enerji Fazlası"),4500*1.05*1.03*BX547,IF(AND(BX547&lt;0,$E547="Enerji Açığı"),MAX($F547,$G547,150)*BX547*1.06,IF(AND(BX547&lt;0,$E547="Enerji Fazlası"),MAX($F547,$G547,150)*BX547*1.03,IF(AND(BX547&lt;0,$E547="Dengede"),MAX($F547:$G547,150)*1.03*BX547,MIN($F547:$G547)*0.97*BX547)))))))))</f>
        <v/>
      </c>
      <c r="BZ547" s="34">
        <f>BE547-BV547-CA547</f>
        <v/>
      </c>
      <c r="CA547" s="34">
        <f>BD547</f>
        <v/>
      </c>
      <c r="CB547" s="33">
        <f>BE547-BV547</f>
        <v/>
      </c>
      <c r="CC547" s="34">
        <f>IF(AY547=0,0,CB547/AY547)</f>
        <v/>
      </c>
      <c r="CD547" s="34">
        <f>MAX((AY547+MAX((-J547+L547-N547+Q547-T547+X547),0)),(MAX((J547-L547+N547-Q547+T547-X547),0)))</f>
        <v/>
      </c>
      <c r="CE547" s="82">
        <f>IFERROR(ABS(BX547/CD547),0)</f>
        <v/>
      </c>
      <c r="CF547" s="34">
        <f>IF(CE547&lt;=0.1,0,BX547/CE547*(CE547-0.1))</f>
        <v/>
      </c>
      <c r="CG547" s="34">
        <f>IF((CF547)&lt;0,MAX(F547:G547)*(CF547)*1.03,MIN(F547:G547)*(CF547)*0.97)</f>
        <v/>
      </c>
      <c r="CH547" s="34">
        <f>IF(CE547&gt;0.1,1,0)</f>
        <v/>
      </c>
      <c r="CI547" s="34">
        <f>(F547*BX547)-BY547</f>
        <v/>
      </c>
      <c r="CJ547" s="34">
        <f>IF(AY547=0,0,CI547/AY547)</f>
        <v/>
      </c>
    </row>
    <row r="548">
      <c r="A548" s="29">
        <f>[1]FİYATLAR!A523</f>
        <v/>
      </c>
      <c r="B548" s="29">
        <f>[1]FİYATLAR!B523</f>
        <v/>
      </c>
      <c r="C548" s="35">
        <f>INT(A548)</f>
        <v/>
      </c>
      <c r="D548" s="36">
        <f>MONTH(A548)</f>
        <v/>
      </c>
      <c r="E548" s="147">
        <f>[1]FİYATLAR!G523</f>
        <v/>
      </c>
      <c r="F548" s="30">
        <f>[1]FİYATLAR!C523</f>
        <v/>
      </c>
      <c r="G548" s="30">
        <f>[1]FİYATLAR!E523</f>
        <v/>
      </c>
      <c r="H548" s="30">
        <f>[1]FİYATLAR!D523</f>
        <v/>
      </c>
      <c r="I548" s="30">
        <f>[1]FİYATLAR!F523</f>
        <v/>
      </c>
      <c r="J548" s="119" t="n">
        <v>0</v>
      </c>
      <c r="K548" s="34">
        <f>F548*J548</f>
        <v/>
      </c>
      <c r="L548" s="119" t="n"/>
      <c r="M548" s="34">
        <f>L548*F548</f>
        <v/>
      </c>
      <c r="N548" s="119" t="n"/>
      <c r="O548" s="34">
        <f>F548</f>
        <v/>
      </c>
      <c r="P548" s="34">
        <f>N548*O548</f>
        <v/>
      </c>
      <c r="Q548" s="117" t="n">
        <v>0</v>
      </c>
      <c r="R548" s="34">
        <f>F548</f>
        <v/>
      </c>
      <c r="S548" s="34">
        <f>R548*Q548</f>
        <v/>
      </c>
      <c r="T548" s="34">
        <f>SUMIFS('[1]GİP VERİLERİ'!$C:$C,'[1]GİP VERİLERİ'!$B:$B,A548,'[1]GİP VERİLERİ'!$M:$M,"40X000000104782K",'[1]GİP VERİLERİ'!$G:$G,"SELL")</f>
        <v/>
      </c>
      <c r="U548" s="34">
        <f>IFERROR(W548/T548,0)</f>
        <v/>
      </c>
      <c r="V548" s="34">
        <f>IF(U548=0,0,U548-F548)</f>
        <v/>
      </c>
      <c r="W548" s="34">
        <f>SUMIFS('[1]GİP VERİLERİ'!$O:$O,'[1]GİP VERİLERİ'!$B:$B,A548,'[1]GİP VERİLERİ'!$M:$M,"40X000000104782K",'[1]GİP VERİLERİ'!$G:$G,"SELL")</f>
        <v/>
      </c>
      <c r="X548" s="34">
        <f>SUMIFS('[1]GİP VERİLERİ'!$C:$C,'[1]GİP VERİLERİ'!$B:$B,A548,'[1]GİP VERİLERİ'!$M:$M,"40X000000104782K",'[1]GİP VERİLERİ'!$G:$G,"BUY")</f>
        <v/>
      </c>
      <c r="Y548" s="34">
        <f>IFERROR(AA548/X548,0)</f>
        <v/>
      </c>
      <c r="Z548" s="34">
        <f>IF(Y548=0,0,F548-Y548)</f>
        <v/>
      </c>
      <c r="AA548" s="34">
        <f>SUMIFS('[1]GİP VERİLERİ'!$O:$O,'[1]GİP VERİLERİ'!$B:$B,A548,'[1]GİP VERİLERİ'!$M:$M,"40X000000104782K",'[1]GİP VERİLERİ'!$G:$G,"BUY")</f>
        <v/>
      </c>
      <c r="AB548" s="34">
        <f>'[1]GÖP VERİLERİ'!H549</f>
        <v/>
      </c>
      <c r="AC548" s="34">
        <f>'[1]GÖP VERİLERİ'!I549</f>
        <v/>
      </c>
      <c r="AD548" s="34">
        <f>IF(AB548&gt;AC548*1.05,AB548-AC548*1.05,IF(AB548&lt;AC548*0.95,AC548*0.95-AB548,0))</f>
        <v/>
      </c>
      <c r="AE548" s="34">
        <f>MAX(F548,G548,750)*0.05*AD548</f>
        <v/>
      </c>
      <c r="AF548" s="34">
        <f>'[1]GÖP VERİLERİ'!J549</f>
        <v/>
      </c>
      <c r="AG548" s="34">
        <f>IF(AB548&gt;AF548*1.05,AB548-AF548*1.05,IF(AB548&lt;AF548*0.95,AF548*0.95-AB548,0))</f>
        <v/>
      </c>
      <c r="AH548" s="34">
        <f>MAX(I548,J548,750)*0.05*AG548</f>
        <v/>
      </c>
      <c r="AI548">
        <f>'[1]GÖP VERİLERİ'!E549</f>
        <v/>
      </c>
      <c r="AJ548">
        <f>'[1]GÖP VERİLERİ'!F549</f>
        <v/>
      </c>
      <c r="AK548" s="34">
        <f>IF(AI548&gt;AJ548*1.05,AI548-AJ548*1.05,IF(AI548&lt;AJ548*0.95,AJ548*0.95-AI548,0))</f>
        <v/>
      </c>
      <c r="AL548" s="34">
        <f>MAX(F548,G548,750)*0.05*AK548</f>
        <v/>
      </c>
      <c r="AM548" s="39">
        <f>'[1]GÖP VERİLERİ'!G549</f>
        <v/>
      </c>
      <c r="AN548" s="34">
        <f>IF(AI548&gt;AM548*1.05,AI548-AM548*1.05,IF(AI548&lt;AM548*0.95,AM548*0.95-AI548,0))</f>
        <v/>
      </c>
      <c r="AO548" s="34">
        <f>MAX(F548,G548,750)*0.05*AN548</f>
        <v/>
      </c>
      <c r="AP548" s="34">
        <f>'[1]GÖP VERİLERİ'!B549</f>
        <v/>
      </c>
      <c r="AQ548" s="34">
        <f>'[1]GÖP VERİLERİ'!C549</f>
        <v/>
      </c>
      <c r="AR548" s="34">
        <f>IF(AP548&gt;AQ548*1.05,AP548-AQ548*1.05,IF(AP548&lt;AQ548*0.95,AQ548*0.95-AP548,0))</f>
        <v/>
      </c>
      <c r="AS548" s="34">
        <f>MAX(F548:G548,750)*0.05*AR548</f>
        <v/>
      </c>
      <c r="AT548">
        <f>'[1]GÖP VERİLERİ'!D549</f>
        <v/>
      </c>
      <c r="AU548" s="34">
        <f>IF(AP548&gt;AT548*1.05,AP548-AT548*1.05,IF(AP548&lt;AT548*0.95,AT548*0.95-AP548,0))</f>
        <v/>
      </c>
      <c r="AV548" s="34">
        <f>MAX(F548:G548,750)*0.05*AU548</f>
        <v/>
      </c>
      <c r="AW548" s="34">
        <f>AC548+AJ548+AQ548</f>
        <v/>
      </c>
      <c r="AX548" s="34">
        <f>AF548+AM548+AT548</f>
        <v/>
      </c>
      <c r="AY548" s="34">
        <f>AB548+AI548+AP548</f>
        <v/>
      </c>
      <c r="AZ548" s="34" t="n">
        <v>0</v>
      </c>
      <c r="BA548" s="34">
        <f>AD548+AK548+AR548</f>
        <v/>
      </c>
      <c r="BB548" s="34">
        <f>MAX(F548:G548,750)*0.05*BA548</f>
        <v/>
      </c>
      <c r="BC548" s="34">
        <f>AG548+AN548+AU548</f>
        <v/>
      </c>
      <c r="BD548" s="34">
        <f>MAX(F548:G548,750)*0.05*BC548</f>
        <v/>
      </c>
      <c r="BE548" s="34">
        <f>F548*AY548</f>
        <v/>
      </c>
      <c r="BF548" s="34">
        <f>K548-M548</f>
        <v/>
      </c>
      <c r="BG548" s="34">
        <f>P548-S548</f>
        <v/>
      </c>
      <c r="BH548" s="34">
        <f>W548-AA548</f>
        <v/>
      </c>
      <c r="BI548" s="34">
        <f>BF548+BG548+BL548-BN548</f>
        <v/>
      </c>
      <c r="BJ548" s="34">
        <f>ABS(BK548)</f>
        <v/>
      </c>
      <c r="BK548" s="34">
        <f>AY548-(J548-L548+N548-Q548)</f>
        <v/>
      </c>
      <c r="BL548" s="34">
        <f>IF(AND(BK548&gt;0,MIN($F548:$G548)&lt;150,$E548="Enerji Açığı"),-100*BK548*1.03,IF(AND(BK548&gt;0,MIN($F548:$G548)&lt;150,$E548="Enerji Fazlası"),-100*BK548*1.06,IF(AND(BK548&gt;0,MIN($F548:$G548)&gt;=150,$E548="Enerji Açığı"),BK548*MIN($F548:$G548)*0.97,IF(AND(BK548&gt;0,MIN($F548:$G548)&gt;=150,$E548="Enerji Fazlası"),BK548*MIN($F548:$G548)*0.94,IF(AND(BK548&lt;0,MAX($F548:$G548)=4500,$E548="Enerji Açığı"),4500*1.05*1.06*BK548,IF(AND(BK548&lt;0,MAX($F548:$G548)=4500,$E548="Enerji Fazlası"),4500*1.05*1.03*BK548,IF(AND(BK548&lt;0,$E548="Enerji Açığı"),MAX($F548,$G548,150)*BK548*1.06,IF(AND(BK548&lt;0,$E548="Enerji Fazlası"),MAX($F548,$G548,150)*BK548*1.03,IF(AND(BK548&lt;0,$E548="Dengede"),MAX($F548:$G548,150)*1.03*BK548,MIN($F548:$G548)*0.97*BK548)))))))))</f>
        <v/>
      </c>
      <c r="BM548" s="34">
        <f>BE548-BI548-BN548</f>
        <v/>
      </c>
      <c r="BN548" s="34">
        <f>BB548</f>
        <v/>
      </c>
      <c r="BO548" s="34">
        <f>BE548-BI548</f>
        <v/>
      </c>
      <c r="BP548" s="34">
        <f>IF(AY548=0,0,BO548/AY548)</f>
        <v/>
      </c>
      <c r="BQ548" s="34">
        <f>MAX((AY548+MAX((-J548+L548-N548+Q548),0)),(MAX((J548-L548+N548-Q548),0)))</f>
        <v/>
      </c>
      <c r="BR548" s="82">
        <f>IFERROR(ABS(BK548/BQ548),0)</f>
        <v/>
      </c>
      <c r="BS548" s="34">
        <f>IF(BR548&lt;=0.1,0,BK548/BR548*(BR548-0.1))</f>
        <v/>
      </c>
      <c r="BT548" s="34">
        <f>IF((BS548)&lt;0,MAX(F548:G548)*(BS548)*1.03,MIN(F548:G548)*(BS548)*0.97)</f>
        <v/>
      </c>
      <c r="BU548" s="34">
        <f>IF(BR548&gt;0.1,1,0)</f>
        <v/>
      </c>
      <c r="BV548" s="34">
        <f>BF548+BG548+BH548+BY548-CA548</f>
        <v/>
      </c>
      <c r="BW548" s="34">
        <f>ABS(BX548)</f>
        <v/>
      </c>
      <c r="BX548" s="34">
        <f>AY548-(J548-L548+N548-Q548+T548-X548)</f>
        <v/>
      </c>
      <c r="BY548" s="34">
        <f>IF(AND(BX548&gt;0,MIN($F548:$G548)&lt;150,$E548="Enerji Açığı"),-100*BX548*1.03,IF(AND(BX548&gt;0,MIN($F548:$G548)&lt;150,$E548="Enerji Fazlası"),-100*BX548*1.06,IF(AND(BX548&gt;0,MIN($F548:$G548)&gt;=150,$E548="Enerji Açığı"),BX548*MIN($F548:$G548)*0.97,IF(AND(BX548&gt;0,MIN($F548:$G548)&gt;=150,$E548="Enerji Fazlası"),BX548*MIN($F548:$G548)*0.94,IF(AND(BX548&lt;0,MAX($F548:$G548)=4500,$E548="Enerji Açığı"),4500*1.05*1.06*BX548,IF(AND(BX548&lt;0,MAX($F548:$G548)=4500,$E548="Enerji Fazlası"),4500*1.05*1.03*BX548,IF(AND(BX548&lt;0,$E548="Enerji Açığı"),MAX($F548,$G548,150)*BX548*1.06,IF(AND(BX548&lt;0,$E548="Enerji Fazlası"),MAX($F548,$G548,150)*BX548*1.03,IF(AND(BX548&lt;0,$E548="Dengede"),MAX($F548:$G548,150)*1.03*BX548,MIN($F548:$G548)*0.97*BX548)))))))))</f>
        <v/>
      </c>
      <c r="BZ548" s="34">
        <f>BE548-BV548-CA548</f>
        <v/>
      </c>
      <c r="CA548" s="34">
        <f>BD548</f>
        <v/>
      </c>
      <c r="CB548" s="33">
        <f>BE548-BV548</f>
        <v/>
      </c>
      <c r="CC548" s="34">
        <f>IF(AY548=0,0,CB548/AY548)</f>
        <v/>
      </c>
      <c r="CD548" s="34">
        <f>MAX((AY548+MAX((-J548+L548-N548+Q548-T548+X548),0)),(MAX((J548-L548+N548-Q548+T548-X548),0)))</f>
        <v/>
      </c>
      <c r="CE548" s="82">
        <f>IFERROR(ABS(BX548/CD548),0)</f>
        <v/>
      </c>
      <c r="CF548" s="34">
        <f>IF(CE548&lt;=0.1,0,BX548/CE548*(CE548-0.1))</f>
        <v/>
      </c>
      <c r="CG548" s="34">
        <f>IF((CF548)&lt;0,MAX(F548:G548)*(CF548)*1.03,MIN(F548:G548)*(CF548)*0.97)</f>
        <v/>
      </c>
      <c r="CH548" s="34">
        <f>IF(CE548&gt;0.1,1,0)</f>
        <v/>
      </c>
      <c r="CI548" s="34">
        <f>(F548*BX548)-BY548</f>
        <v/>
      </c>
      <c r="CJ548" s="34">
        <f>IF(AY548=0,0,CI548/AY548)</f>
        <v/>
      </c>
    </row>
    <row r="549">
      <c r="A549" s="29">
        <f>[1]FİYATLAR!A524</f>
        <v/>
      </c>
      <c r="B549" s="29">
        <f>[1]FİYATLAR!B524</f>
        <v/>
      </c>
      <c r="C549" s="35">
        <f>INT(A549)</f>
        <v/>
      </c>
      <c r="D549" s="36">
        <f>MONTH(A549)</f>
        <v/>
      </c>
      <c r="E549" s="147">
        <f>[1]FİYATLAR!G524</f>
        <v/>
      </c>
      <c r="F549" s="30">
        <f>[1]FİYATLAR!C524</f>
        <v/>
      </c>
      <c r="G549" s="30">
        <f>[1]FİYATLAR!E524</f>
        <v/>
      </c>
      <c r="H549" s="30">
        <f>[1]FİYATLAR!D524</f>
        <v/>
      </c>
      <c r="I549" s="30">
        <f>[1]FİYATLAR!F524</f>
        <v/>
      </c>
      <c r="J549" s="119" t="n">
        <v>0</v>
      </c>
      <c r="K549" s="34">
        <f>F549*J549</f>
        <v/>
      </c>
      <c r="L549" s="119" t="n"/>
      <c r="M549" s="34">
        <f>L549*F549</f>
        <v/>
      </c>
      <c r="N549" s="119" t="n"/>
      <c r="O549" s="34">
        <f>F549</f>
        <v/>
      </c>
      <c r="P549" s="34">
        <f>N549*O549</f>
        <v/>
      </c>
      <c r="Q549" s="117" t="n">
        <v>0</v>
      </c>
      <c r="R549" s="34">
        <f>F549</f>
        <v/>
      </c>
      <c r="S549" s="34">
        <f>R549*Q549</f>
        <v/>
      </c>
      <c r="T549" s="34">
        <f>SUMIFS('[1]GİP VERİLERİ'!$C:$C,'[1]GİP VERİLERİ'!$B:$B,A549,'[1]GİP VERİLERİ'!$M:$M,"40X000000104782K",'[1]GİP VERİLERİ'!$G:$G,"SELL")</f>
        <v/>
      </c>
      <c r="U549" s="34">
        <f>IFERROR(W549/T549,0)</f>
        <v/>
      </c>
      <c r="V549" s="34">
        <f>IF(U549=0,0,U549-F549)</f>
        <v/>
      </c>
      <c r="W549" s="34">
        <f>SUMIFS('[1]GİP VERİLERİ'!$O:$O,'[1]GİP VERİLERİ'!$B:$B,A549,'[1]GİP VERİLERİ'!$M:$M,"40X000000104782K",'[1]GİP VERİLERİ'!$G:$G,"SELL")</f>
        <v/>
      </c>
      <c r="X549" s="34">
        <f>SUMIFS('[1]GİP VERİLERİ'!$C:$C,'[1]GİP VERİLERİ'!$B:$B,A549,'[1]GİP VERİLERİ'!$M:$M,"40X000000104782K",'[1]GİP VERİLERİ'!$G:$G,"BUY")</f>
        <v/>
      </c>
      <c r="Y549" s="34">
        <f>IFERROR(AA549/X549,0)</f>
        <v/>
      </c>
      <c r="Z549" s="34">
        <f>IF(Y549=0,0,F549-Y549)</f>
        <v/>
      </c>
      <c r="AA549" s="34">
        <f>SUMIFS('[1]GİP VERİLERİ'!$O:$O,'[1]GİP VERİLERİ'!$B:$B,A549,'[1]GİP VERİLERİ'!$M:$M,"40X000000104782K",'[1]GİP VERİLERİ'!$G:$G,"BUY")</f>
        <v/>
      </c>
      <c r="AB549" s="34">
        <f>'[1]GÖP VERİLERİ'!H550</f>
        <v/>
      </c>
      <c r="AC549" s="34">
        <f>'[1]GÖP VERİLERİ'!I550</f>
        <v/>
      </c>
      <c r="AD549" s="34">
        <f>IF(AB549&gt;AC549*1.05,AB549-AC549*1.05,IF(AB549&lt;AC549*0.95,AC549*0.95-AB549,0))</f>
        <v/>
      </c>
      <c r="AE549" s="34">
        <f>MAX(F549,G549,750)*0.05*AD549</f>
        <v/>
      </c>
      <c r="AF549" s="34">
        <f>'[1]GÖP VERİLERİ'!J550</f>
        <v/>
      </c>
      <c r="AG549" s="34">
        <f>IF(AB549&gt;AF549*1.05,AB549-AF549*1.05,IF(AB549&lt;AF549*0.95,AF549*0.95-AB549,0))</f>
        <v/>
      </c>
      <c r="AH549" s="34">
        <f>MAX(I549,J549,750)*0.05*AG549</f>
        <v/>
      </c>
      <c r="AI549">
        <f>'[1]GÖP VERİLERİ'!E550</f>
        <v/>
      </c>
      <c r="AJ549">
        <f>'[1]GÖP VERİLERİ'!F550</f>
        <v/>
      </c>
      <c r="AK549" s="34">
        <f>IF(AI549&gt;AJ549*1.05,AI549-AJ549*1.05,IF(AI549&lt;AJ549*0.95,AJ549*0.95-AI549,0))</f>
        <v/>
      </c>
      <c r="AL549" s="34">
        <f>MAX(F549,G549,750)*0.05*AK549</f>
        <v/>
      </c>
      <c r="AM549" s="39">
        <f>'[1]GÖP VERİLERİ'!G550</f>
        <v/>
      </c>
      <c r="AN549" s="34">
        <f>IF(AI549&gt;AM549*1.05,AI549-AM549*1.05,IF(AI549&lt;AM549*0.95,AM549*0.95-AI549,0))</f>
        <v/>
      </c>
      <c r="AO549" s="34">
        <f>MAX(F549,G549,750)*0.05*AN549</f>
        <v/>
      </c>
      <c r="AP549" s="34">
        <f>'[1]GÖP VERİLERİ'!B550</f>
        <v/>
      </c>
      <c r="AQ549" s="34">
        <f>'[1]GÖP VERİLERİ'!C550</f>
        <v/>
      </c>
      <c r="AR549" s="34">
        <f>IF(AP549&gt;AQ549*1.05,AP549-AQ549*1.05,IF(AP549&lt;AQ549*0.95,AQ549*0.95-AP549,0))</f>
        <v/>
      </c>
      <c r="AS549" s="34">
        <f>MAX(F549:G549,750)*0.05*AR549</f>
        <v/>
      </c>
      <c r="AT549">
        <f>'[1]GÖP VERİLERİ'!D550</f>
        <v/>
      </c>
      <c r="AU549" s="34">
        <f>IF(AP549&gt;AT549*1.05,AP549-AT549*1.05,IF(AP549&lt;AT549*0.95,AT549*0.95-AP549,0))</f>
        <v/>
      </c>
      <c r="AV549" s="34">
        <f>MAX(F549:G549,750)*0.05*AU549</f>
        <v/>
      </c>
      <c r="AW549" s="34">
        <f>AC549+AJ549+AQ549</f>
        <v/>
      </c>
      <c r="AX549" s="34">
        <f>AF549+AM549+AT549</f>
        <v/>
      </c>
      <c r="AY549" s="34">
        <f>AB549+AI549+AP549</f>
        <v/>
      </c>
      <c r="AZ549" s="34" t="n">
        <v>0</v>
      </c>
      <c r="BA549" s="34">
        <f>AD549+AK549+AR549</f>
        <v/>
      </c>
      <c r="BB549" s="34">
        <f>MAX(F549:G549,750)*0.05*BA549</f>
        <v/>
      </c>
      <c r="BC549" s="34">
        <f>AG549+AN549+AU549</f>
        <v/>
      </c>
      <c r="BD549" s="34">
        <f>MAX(F549:G549,750)*0.05*BC549</f>
        <v/>
      </c>
      <c r="BE549" s="34">
        <f>F549*AY549</f>
        <v/>
      </c>
      <c r="BF549" s="34">
        <f>K549-M549</f>
        <v/>
      </c>
      <c r="BG549" s="34">
        <f>P549-S549</f>
        <v/>
      </c>
      <c r="BH549" s="34">
        <f>W549-AA549</f>
        <v/>
      </c>
      <c r="BI549" s="34">
        <f>BF549+BG549+BL549-BN549</f>
        <v/>
      </c>
      <c r="BJ549" s="34">
        <f>ABS(BK549)</f>
        <v/>
      </c>
      <c r="BK549" s="34">
        <f>AY549-(J549-L549+N549-Q549)</f>
        <v/>
      </c>
      <c r="BL549" s="34">
        <f>IF(AND(BK549&gt;0,MIN($F549:$G549)&lt;150,$E549="Enerji Açığı"),-100*BK549*1.03,IF(AND(BK549&gt;0,MIN($F549:$G549)&lt;150,$E549="Enerji Fazlası"),-100*BK549*1.06,IF(AND(BK549&gt;0,MIN($F549:$G549)&gt;=150,$E549="Enerji Açığı"),BK549*MIN($F549:$G549)*0.97,IF(AND(BK549&gt;0,MIN($F549:$G549)&gt;=150,$E549="Enerji Fazlası"),BK549*MIN($F549:$G549)*0.94,IF(AND(BK549&lt;0,MAX($F549:$G549)=4500,$E549="Enerji Açığı"),4500*1.05*1.06*BK549,IF(AND(BK549&lt;0,MAX($F549:$G549)=4500,$E549="Enerji Fazlası"),4500*1.05*1.03*BK549,IF(AND(BK549&lt;0,$E549="Enerji Açığı"),MAX($F549,$G549,150)*BK549*1.06,IF(AND(BK549&lt;0,$E549="Enerji Fazlası"),MAX($F549,$G549,150)*BK549*1.03,IF(AND(BK549&lt;0,$E549="Dengede"),MAX($F549:$G549,150)*1.03*BK549,MIN($F549:$G549)*0.97*BK549)))))))))</f>
        <v/>
      </c>
      <c r="BM549" s="34">
        <f>BE549-BI549-BN549</f>
        <v/>
      </c>
      <c r="BN549" s="34">
        <f>BB549</f>
        <v/>
      </c>
      <c r="BO549" s="34">
        <f>BE549-BI549</f>
        <v/>
      </c>
      <c r="BP549" s="34">
        <f>IF(AY549=0,0,BO549/AY549)</f>
        <v/>
      </c>
      <c r="BQ549" s="34">
        <f>MAX((AY549+MAX((-J549+L549-N549+Q549),0)),(MAX((J549-L549+N549-Q549),0)))</f>
        <v/>
      </c>
      <c r="BR549" s="82">
        <f>IFERROR(ABS(BK549/BQ549),0)</f>
        <v/>
      </c>
      <c r="BS549" s="34">
        <f>IF(BR549&lt;=0.1,0,BK549/BR549*(BR549-0.1))</f>
        <v/>
      </c>
      <c r="BT549" s="34">
        <f>IF((BS549)&lt;0,MAX(F549:G549)*(BS549)*1.03,MIN(F549:G549)*(BS549)*0.97)</f>
        <v/>
      </c>
      <c r="BU549" s="34">
        <f>IF(BR549&gt;0.1,1,0)</f>
        <v/>
      </c>
      <c r="BV549" s="34">
        <f>BF549+BG549+BH549+BY549-CA549</f>
        <v/>
      </c>
      <c r="BW549" s="34">
        <f>ABS(BX549)</f>
        <v/>
      </c>
      <c r="BX549" s="34">
        <f>AY549-(J549-L549+N549-Q549+T549-X549)</f>
        <v/>
      </c>
      <c r="BY549" s="34">
        <f>IF(AND(BX549&gt;0,MIN($F549:$G549)&lt;150,$E549="Enerji Açığı"),-100*BX549*1.03,IF(AND(BX549&gt;0,MIN($F549:$G549)&lt;150,$E549="Enerji Fazlası"),-100*BX549*1.06,IF(AND(BX549&gt;0,MIN($F549:$G549)&gt;=150,$E549="Enerji Açığı"),BX549*MIN($F549:$G549)*0.97,IF(AND(BX549&gt;0,MIN($F549:$G549)&gt;=150,$E549="Enerji Fazlası"),BX549*MIN($F549:$G549)*0.94,IF(AND(BX549&lt;0,MAX($F549:$G549)=4500,$E549="Enerji Açığı"),4500*1.05*1.06*BX549,IF(AND(BX549&lt;0,MAX($F549:$G549)=4500,$E549="Enerji Fazlası"),4500*1.05*1.03*BX549,IF(AND(BX549&lt;0,$E549="Enerji Açığı"),MAX($F549,$G549,150)*BX549*1.06,IF(AND(BX549&lt;0,$E549="Enerji Fazlası"),MAX($F549,$G549,150)*BX549*1.03,IF(AND(BX549&lt;0,$E549="Dengede"),MAX($F549:$G549,150)*1.03*BX549,MIN($F549:$G549)*0.97*BX549)))))))))</f>
        <v/>
      </c>
      <c r="BZ549" s="34">
        <f>BE549-BV549-CA549</f>
        <v/>
      </c>
      <c r="CA549" s="34">
        <f>BD549</f>
        <v/>
      </c>
      <c r="CB549" s="33">
        <f>BE549-BV549</f>
        <v/>
      </c>
      <c r="CC549" s="34">
        <f>IF(AY549=0,0,CB549/AY549)</f>
        <v/>
      </c>
      <c r="CD549" s="34">
        <f>MAX((AY549+MAX((-J549+L549-N549+Q549-T549+X549),0)),(MAX((J549-L549+N549-Q549+T549-X549),0)))</f>
        <v/>
      </c>
      <c r="CE549" s="82">
        <f>IFERROR(ABS(BX549/CD549),0)</f>
        <v/>
      </c>
      <c r="CF549" s="34">
        <f>IF(CE549&lt;=0.1,0,BX549/CE549*(CE549-0.1))</f>
        <v/>
      </c>
      <c r="CG549" s="34">
        <f>IF((CF549)&lt;0,MAX(F549:G549)*(CF549)*1.03,MIN(F549:G549)*(CF549)*0.97)</f>
        <v/>
      </c>
      <c r="CH549" s="34">
        <f>IF(CE549&gt;0.1,1,0)</f>
        <v/>
      </c>
      <c r="CI549" s="34">
        <f>(F549*BX549)-BY549</f>
        <v/>
      </c>
      <c r="CJ549" s="34">
        <f>IF(AY549=0,0,CI549/AY549)</f>
        <v/>
      </c>
    </row>
    <row r="550">
      <c r="A550" s="29">
        <f>[1]FİYATLAR!A525</f>
        <v/>
      </c>
      <c r="B550" s="29">
        <f>[1]FİYATLAR!B525</f>
        <v/>
      </c>
      <c r="C550" s="35">
        <f>INT(A550)</f>
        <v/>
      </c>
      <c r="D550" s="36">
        <f>MONTH(A550)</f>
        <v/>
      </c>
      <c r="E550" s="147">
        <f>[1]FİYATLAR!G525</f>
        <v/>
      </c>
      <c r="F550" s="30">
        <f>[1]FİYATLAR!C525</f>
        <v/>
      </c>
      <c r="G550" s="30">
        <f>[1]FİYATLAR!E525</f>
        <v/>
      </c>
      <c r="H550" s="30">
        <f>[1]FİYATLAR!D525</f>
        <v/>
      </c>
      <c r="I550" s="30">
        <f>[1]FİYATLAR!F525</f>
        <v/>
      </c>
      <c r="J550" s="119" t="n">
        <v>0</v>
      </c>
      <c r="K550" s="34">
        <f>F550*J550</f>
        <v/>
      </c>
      <c r="L550" s="119" t="n"/>
      <c r="M550" s="34">
        <f>L550*F550</f>
        <v/>
      </c>
      <c r="N550" s="119" t="n"/>
      <c r="O550" s="34">
        <f>F550</f>
        <v/>
      </c>
      <c r="P550" s="34">
        <f>N550*O550</f>
        <v/>
      </c>
      <c r="Q550" s="117" t="n">
        <v>0</v>
      </c>
      <c r="R550" s="34">
        <f>F550</f>
        <v/>
      </c>
      <c r="S550" s="34">
        <f>R550*Q550</f>
        <v/>
      </c>
      <c r="T550" s="34">
        <f>SUMIFS('[1]GİP VERİLERİ'!$C:$C,'[1]GİP VERİLERİ'!$B:$B,A550,'[1]GİP VERİLERİ'!$M:$M,"40X000000104782K",'[1]GİP VERİLERİ'!$G:$G,"SELL")</f>
        <v/>
      </c>
      <c r="U550" s="34">
        <f>IFERROR(W550/T550,0)</f>
        <v/>
      </c>
      <c r="V550" s="34">
        <f>IF(U550=0,0,U550-F550)</f>
        <v/>
      </c>
      <c r="W550" s="34">
        <f>SUMIFS('[1]GİP VERİLERİ'!$O:$O,'[1]GİP VERİLERİ'!$B:$B,A550,'[1]GİP VERİLERİ'!$M:$M,"40X000000104782K",'[1]GİP VERİLERİ'!$G:$G,"SELL")</f>
        <v/>
      </c>
      <c r="X550" s="34">
        <f>SUMIFS('[1]GİP VERİLERİ'!$C:$C,'[1]GİP VERİLERİ'!$B:$B,A550,'[1]GİP VERİLERİ'!$M:$M,"40X000000104782K",'[1]GİP VERİLERİ'!$G:$G,"BUY")</f>
        <v/>
      </c>
      <c r="Y550" s="34">
        <f>IFERROR(AA550/X550,0)</f>
        <v/>
      </c>
      <c r="Z550" s="34">
        <f>IF(Y550=0,0,F550-Y550)</f>
        <v/>
      </c>
      <c r="AA550" s="34">
        <f>SUMIFS('[1]GİP VERİLERİ'!$O:$O,'[1]GİP VERİLERİ'!$B:$B,A550,'[1]GİP VERİLERİ'!$M:$M,"40X000000104782K",'[1]GİP VERİLERİ'!$G:$G,"BUY")</f>
        <v/>
      </c>
      <c r="AB550" s="34">
        <f>'[1]GÖP VERİLERİ'!H551</f>
        <v/>
      </c>
      <c r="AC550" s="34">
        <f>'[1]GÖP VERİLERİ'!I551</f>
        <v/>
      </c>
      <c r="AD550" s="34">
        <f>IF(AB550&gt;AC550*1.05,AB550-AC550*1.05,IF(AB550&lt;AC550*0.95,AC550*0.95-AB550,0))</f>
        <v/>
      </c>
      <c r="AE550" s="34">
        <f>MAX(F550,G550,750)*0.05*AD550</f>
        <v/>
      </c>
      <c r="AF550" s="34">
        <f>'[1]GÖP VERİLERİ'!J551</f>
        <v/>
      </c>
      <c r="AG550" s="34">
        <f>IF(AB550&gt;AF550*1.05,AB550-AF550*1.05,IF(AB550&lt;AF550*0.95,AF550*0.95-AB550,0))</f>
        <v/>
      </c>
      <c r="AH550" s="34">
        <f>MAX(I550,J550,750)*0.05*AG550</f>
        <v/>
      </c>
      <c r="AI550">
        <f>'[1]GÖP VERİLERİ'!E551</f>
        <v/>
      </c>
      <c r="AJ550">
        <f>'[1]GÖP VERİLERİ'!F551</f>
        <v/>
      </c>
      <c r="AK550" s="34">
        <f>IF(AI550&gt;AJ550*1.05,AI550-AJ550*1.05,IF(AI550&lt;AJ550*0.95,AJ550*0.95-AI550,0))</f>
        <v/>
      </c>
      <c r="AL550" s="34">
        <f>MAX(F550,G550,750)*0.05*AK550</f>
        <v/>
      </c>
      <c r="AM550" s="39">
        <f>'[1]GÖP VERİLERİ'!G551</f>
        <v/>
      </c>
      <c r="AN550" s="34">
        <f>IF(AI550&gt;AM550*1.05,AI550-AM550*1.05,IF(AI550&lt;AM550*0.95,AM550*0.95-AI550,0))</f>
        <v/>
      </c>
      <c r="AO550" s="34">
        <f>MAX(F550,G550,750)*0.05*AN550</f>
        <v/>
      </c>
      <c r="AP550" s="34">
        <f>'[1]GÖP VERİLERİ'!B551</f>
        <v/>
      </c>
      <c r="AQ550" s="34">
        <f>'[1]GÖP VERİLERİ'!C551</f>
        <v/>
      </c>
      <c r="AR550" s="34">
        <f>IF(AP550&gt;AQ550*1.05,AP550-AQ550*1.05,IF(AP550&lt;AQ550*0.95,AQ550*0.95-AP550,0))</f>
        <v/>
      </c>
      <c r="AS550" s="34">
        <f>MAX(F550:G550,750)*0.05*AR550</f>
        <v/>
      </c>
      <c r="AT550">
        <f>'[1]GÖP VERİLERİ'!D551</f>
        <v/>
      </c>
      <c r="AU550" s="34">
        <f>IF(AP550&gt;AT550*1.05,AP550-AT550*1.05,IF(AP550&lt;AT550*0.95,AT550*0.95-AP550,0))</f>
        <v/>
      </c>
      <c r="AV550" s="34">
        <f>MAX(F550:G550,750)*0.05*AU550</f>
        <v/>
      </c>
      <c r="AW550" s="34">
        <f>AC550+AJ550+AQ550</f>
        <v/>
      </c>
      <c r="AX550" s="34">
        <f>AF550+AM550+AT550</f>
        <v/>
      </c>
      <c r="AY550" s="34">
        <f>AB550+AI550+AP550</f>
        <v/>
      </c>
      <c r="AZ550" s="34" t="n">
        <v>0</v>
      </c>
      <c r="BA550" s="34">
        <f>AD550+AK550+AR550</f>
        <v/>
      </c>
      <c r="BB550" s="34">
        <f>MAX(F550:G550,750)*0.05*BA550</f>
        <v/>
      </c>
      <c r="BC550" s="34">
        <f>AG550+AN550+AU550</f>
        <v/>
      </c>
      <c r="BD550" s="34">
        <f>MAX(F550:G550,750)*0.05*BC550</f>
        <v/>
      </c>
      <c r="BE550" s="34">
        <f>F550*AY550</f>
        <v/>
      </c>
      <c r="BF550" s="34">
        <f>K550-M550</f>
        <v/>
      </c>
      <c r="BG550" s="34">
        <f>P550-S550</f>
        <v/>
      </c>
      <c r="BH550" s="34">
        <f>W550-AA550</f>
        <v/>
      </c>
      <c r="BI550" s="34">
        <f>BF550+BG550+BL550-BN550</f>
        <v/>
      </c>
      <c r="BJ550" s="34">
        <f>ABS(BK550)</f>
        <v/>
      </c>
      <c r="BK550" s="34">
        <f>AY550-(J550-L550+N550-Q550)</f>
        <v/>
      </c>
      <c r="BL550" s="34">
        <f>IF(AND(BK550&gt;0,MIN($F550:$G550)&lt;150,$E550="Enerji Açığı"),-100*BK550*1.03,IF(AND(BK550&gt;0,MIN($F550:$G550)&lt;150,$E550="Enerji Fazlası"),-100*BK550*1.06,IF(AND(BK550&gt;0,MIN($F550:$G550)&gt;=150,$E550="Enerji Açığı"),BK550*MIN($F550:$G550)*0.97,IF(AND(BK550&gt;0,MIN($F550:$G550)&gt;=150,$E550="Enerji Fazlası"),BK550*MIN($F550:$G550)*0.94,IF(AND(BK550&lt;0,MAX($F550:$G550)=4500,$E550="Enerji Açığı"),4500*1.05*1.06*BK550,IF(AND(BK550&lt;0,MAX($F550:$G550)=4500,$E550="Enerji Fazlası"),4500*1.05*1.03*BK550,IF(AND(BK550&lt;0,$E550="Enerji Açığı"),MAX($F550,$G550,150)*BK550*1.06,IF(AND(BK550&lt;0,$E550="Enerji Fazlası"),MAX($F550,$G550,150)*BK550*1.03,IF(AND(BK550&lt;0,$E550="Dengede"),MAX($F550:$G550,150)*1.03*BK550,MIN($F550:$G550)*0.97*BK550)))))))))</f>
        <v/>
      </c>
      <c r="BM550" s="34">
        <f>BE550-BI550-BN550</f>
        <v/>
      </c>
      <c r="BN550" s="34">
        <f>BB550</f>
        <v/>
      </c>
      <c r="BO550" s="34">
        <f>BE550-BI550</f>
        <v/>
      </c>
      <c r="BP550" s="34">
        <f>IF(AY550=0,0,BO550/AY550)</f>
        <v/>
      </c>
      <c r="BQ550" s="34">
        <f>MAX((AY550+MAX((-J550+L550-N550+Q550),0)),(MAX((J550-L550+N550-Q550),0)))</f>
        <v/>
      </c>
      <c r="BR550" s="82">
        <f>IFERROR(ABS(BK550/BQ550),0)</f>
        <v/>
      </c>
      <c r="BS550" s="34">
        <f>IF(BR550&lt;=0.1,0,BK550/BR550*(BR550-0.1))</f>
        <v/>
      </c>
      <c r="BT550" s="34">
        <f>IF((BS550)&lt;0,MAX(F550:G550)*(BS550)*1.03,MIN(F550:G550)*(BS550)*0.97)</f>
        <v/>
      </c>
      <c r="BU550" s="34">
        <f>IF(BR550&gt;0.1,1,0)</f>
        <v/>
      </c>
      <c r="BV550" s="34">
        <f>BF550+BG550+BH550+BY550-CA550</f>
        <v/>
      </c>
      <c r="BW550" s="34">
        <f>ABS(BX550)</f>
        <v/>
      </c>
      <c r="BX550" s="34">
        <f>AY550-(J550-L550+N550-Q550+T550-X550)</f>
        <v/>
      </c>
      <c r="BY550" s="34">
        <f>IF(AND(BX550&gt;0,MIN($F550:$G550)&lt;150,$E550="Enerji Açığı"),-100*BX550*1.03,IF(AND(BX550&gt;0,MIN($F550:$G550)&lt;150,$E550="Enerji Fazlası"),-100*BX550*1.06,IF(AND(BX550&gt;0,MIN($F550:$G550)&gt;=150,$E550="Enerji Açığı"),BX550*MIN($F550:$G550)*0.97,IF(AND(BX550&gt;0,MIN($F550:$G550)&gt;=150,$E550="Enerji Fazlası"),BX550*MIN($F550:$G550)*0.94,IF(AND(BX550&lt;0,MAX($F550:$G550)=4500,$E550="Enerji Açığı"),4500*1.05*1.06*BX550,IF(AND(BX550&lt;0,MAX($F550:$G550)=4500,$E550="Enerji Fazlası"),4500*1.05*1.03*BX550,IF(AND(BX550&lt;0,$E550="Enerji Açığı"),MAX($F550,$G550,150)*BX550*1.06,IF(AND(BX550&lt;0,$E550="Enerji Fazlası"),MAX($F550,$G550,150)*BX550*1.03,IF(AND(BX550&lt;0,$E550="Dengede"),MAX($F550:$G550,150)*1.03*BX550,MIN($F550:$G550)*0.97*BX550)))))))))</f>
        <v/>
      </c>
      <c r="BZ550" s="34">
        <f>BE550-BV550-CA550</f>
        <v/>
      </c>
      <c r="CA550" s="34">
        <f>BD550</f>
        <v/>
      </c>
      <c r="CB550" s="33">
        <f>BE550-BV550</f>
        <v/>
      </c>
      <c r="CC550" s="34">
        <f>IF(AY550=0,0,CB550/AY550)</f>
        <v/>
      </c>
      <c r="CD550" s="34">
        <f>MAX((AY550+MAX((-J550+L550-N550+Q550-T550+X550),0)),(MAX((J550-L550+N550-Q550+T550-X550),0)))</f>
        <v/>
      </c>
      <c r="CE550" s="82">
        <f>IFERROR(ABS(BX550/CD550),0)</f>
        <v/>
      </c>
      <c r="CF550" s="34">
        <f>IF(CE550&lt;=0.1,0,BX550/CE550*(CE550-0.1))</f>
        <v/>
      </c>
      <c r="CG550" s="34">
        <f>IF((CF550)&lt;0,MAX(F550:G550)*(CF550)*1.03,MIN(F550:G550)*(CF550)*0.97)</f>
        <v/>
      </c>
      <c r="CH550" s="34">
        <f>IF(CE550&gt;0.1,1,0)</f>
        <v/>
      </c>
      <c r="CI550" s="34">
        <f>(F550*BX550)-BY550</f>
        <v/>
      </c>
      <c r="CJ550" s="34">
        <f>IF(AY550=0,0,CI550/AY550)</f>
        <v/>
      </c>
    </row>
    <row r="551">
      <c r="A551" s="29">
        <f>[1]FİYATLAR!A526</f>
        <v/>
      </c>
      <c r="B551" s="29">
        <f>[1]FİYATLAR!B526</f>
        <v/>
      </c>
      <c r="C551" s="35">
        <f>INT(A551)</f>
        <v/>
      </c>
      <c r="D551" s="36">
        <f>MONTH(A551)</f>
        <v/>
      </c>
      <c r="E551" s="147">
        <f>[1]FİYATLAR!G526</f>
        <v/>
      </c>
      <c r="F551" s="30">
        <f>[1]FİYATLAR!C526</f>
        <v/>
      </c>
      <c r="G551" s="30">
        <f>[1]FİYATLAR!E526</f>
        <v/>
      </c>
      <c r="H551" s="30">
        <f>[1]FİYATLAR!D526</f>
        <v/>
      </c>
      <c r="I551" s="30">
        <f>[1]FİYATLAR!F526</f>
        <v/>
      </c>
      <c r="J551" s="119" t="n">
        <v>0</v>
      </c>
      <c r="K551" s="34">
        <f>F551*J551</f>
        <v/>
      </c>
      <c r="L551" s="119" t="n"/>
      <c r="M551" s="34">
        <f>L551*F551</f>
        <v/>
      </c>
      <c r="N551" s="119" t="n"/>
      <c r="O551" s="34">
        <f>F551</f>
        <v/>
      </c>
      <c r="P551" s="34">
        <f>N551*O551</f>
        <v/>
      </c>
      <c r="Q551" s="117" t="n">
        <v>0</v>
      </c>
      <c r="R551" s="34">
        <f>F551</f>
        <v/>
      </c>
      <c r="S551" s="34">
        <f>R551*Q551</f>
        <v/>
      </c>
      <c r="T551" s="34">
        <f>SUMIFS('[1]GİP VERİLERİ'!$C:$C,'[1]GİP VERİLERİ'!$B:$B,A551,'[1]GİP VERİLERİ'!$M:$M,"40X000000104782K",'[1]GİP VERİLERİ'!$G:$G,"SELL")</f>
        <v/>
      </c>
      <c r="U551" s="34">
        <f>IFERROR(W551/T551,0)</f>
        <v/>
      </c>
      <c r="V551" s="34">
        <f>IF(U551=0,0,U551-F551)</f>
        <v/>
      </c>
      <c r="W551" s="34">
        <f>SUMIFS('[1]GİP VERİLERİ'!$O:$O,'[1]GİP VERİLERİ'!$B:$B,A551,'[1]GİP VERİLERİ'!$M:$M,"40X000000104782K",'[1]GİP VERİLERİ'!$G:$G,"SELL")</f>
        <v/>
      </c>
      <c r="X551" s="34">
        <f>SUMIFS('[1]GİP VERİLERİ'!$C:$C,'[1]GİP VERİLERİ'!$B:$B,A551,'[1]GİP VERİLERİ'!$M:$M,"40X000000104782K",'[1]GİP VERİLERİ'!$G:$G,"BUY")</f>
        <v/>
      </c>
      <c r="Y551" s="34">
        <f>IFERROR(AA551/X551,0)</f>
        <v/>
      </c>
      <c r="Z551" s="34">
        <f>IF(Y551=0,0,F551-Y551)</f>
        <v/>
      </c>
      <c r="AA551" s="34">
        <f>SUMIFS('[1]GİP VERİLERİ'!$O:$O,'[1]GİP VERİLERİ'!$B:$B,A551,'[1]GİP VERİLERİ'!$M:$M,"40X000000104782K",'[1]GİP VERİLERİ'!$G:$G,"BUY")</f>
        <v/>
      </c>
      <c r="AB551" s="34">
        <f>'[1]GÖP VERİLERİ'!H552</f>
        <v/>
      </c>
      <c r="AC551" s="34">
        <f>'[1]GÖP VERİLERİ'!I552</f>
        <v/>
      </c>
      <c r="AD551" s="34">
        <f>IF(AB551&gt;AC551*1.05,AB551-AC551*1.05,IF(AB551&lt;AC551*0.95,AC551*0.95-AB551,0))</f>
        <v/>
      </c>
      <c r="AE551" s="34">
        <f>MAX(F551,G551,750)*0.05*AD551</f>
        <v/>
      </c>
      <c r="AF551" s="34">
        <f>'[1]GÖP VERİLERİ'!J552</f>
        <v/>
      </c>
      <c r="AG551" s="34">
        <f>IF(AB551&gt;AF551*1.05,AB551-AF551*1.05,IF(AB551&lt;AF551*0.95,AF551*0.95-AB551,0))</f>
        <v/>
      </c>
      <c r="AH551" s="34">
        <f>MAX(I551,J551,750)*0.05*AG551</f>
        <v/>
      </c>
      <c r="AI551">
        <f>'[1]GÖP VERİLERİ'!E552</f>
        <v/>
      </c>
      <c r="AJ551">
        <f>'[1]GÖP VERİLERİ'!F552</f>
        <v/>
      </c>
      <c r="AK551" s="34">
        <f>IF(AI551&gt;AJ551*1.05,AI551-AJ551*1.05,IF(AI551&lt;AJ551*0.95,AJ551*0.95-AI551,0))</f>
        <v/>
      </c>
      <c r="AL551" s="34">
        <f>MAX(F551,G551,750)*0.05*AK551</f>
        <v/>
      </c>
      <c r="AM551" s="39">
        <f>'[1]GÖP VERİLERİ'!G552</f>
        <v/>
      </c>
      <c r="AN551" s="34">
        <f>IF(AI551&gt;AM551*1.05,AI551-AM551*1.05,IF(AI551&lt;AM551*0.95,AM551*0.95-AI551,0))</f>
        <v/>
      </c>
      <c r="AO551" s="34">
        <f>MAX(F551,G551,750)*0.05*AN551</f>
        <v/>
      </c>
      <c r="AP551" s="34">
        <f>'[1]GÖP VERİLERİ'!B552</f>
        <v/>
      </c>
      <c r="AQ551" s="34">
        <f>'[1]GÖP VERİLERİ'!C552</f>
        <v/>
      </c>
      <c r="AR551" s="34">
        <f>IF(AP551&gt;AQ551*1.05,AP551-AQ551*1.05,IF(AP551&lt;AQ551*0.95,AQ551*0.95-AP551,0))</f>
        <v/>
      </c>
      <c r="AS551" s="34">
        <f>MAX(F551:G551,750)*0.05*AR551</f>
        <v/>
      </c>
      <c r="AT551">
        <f>'[1]GÖP VERİLERİ'!D552</f>
        <v/>
      </c>
      <c r="AU551" s="34">
        <f>IF(AP551&gt;AT551*1.05,AP551-AT551*1.05,IF(AP551&lt;AT551*0.95,AT551*0.95-AP551,0))</f>
        <v/>
      </c>
      <c r="AV551" s="34">
        <f>MAX(F551:G551,750)*0.05*AU551</f>
        <v/>
      </c>
      <c r="AW551" s="34">
        <f>AC551+AJ551+AQ551</f>
        <v/>
      </c>
      <c r="AX551" s="34">
        <f>AF551+AM551+AT551</f>
        <v/>
      </c>
      <c r="AY551" s="34">
        <f>AB551+AI551+AP551</f>
        <v/>
      </c>
      <c r="AZ551" s="34" t="n">
        <v>0</v>
      </c>
      <c r="BA551" s="34">
        <f>AD551+AK551+AR551</f>
        <v/>
      </c>
      <c r="BB551" s="34">
        <f>MAX(F551:G551,750)*0.05*BA551</f>
        <v/>
      </c>
      <c r="BC551" s="34">
        <f>AG551+AN551+AU551</f>
        <v/>
      </c>
      <c r="BD551" s="34">
        <f>MAX(F551:G551,750)*0.05*BC551</f>
        <v/>
      </c>
      <c r="BE551" s="34">
        <f>F551*AY551</f>
        <v/>
      </c>
      <c r="BF551" s="34">
        <f>K551-M551</f>
        <v/>
      </c>
      <c r="BG551" s="34">
        <f>P551-S551</f>
        <v/>
      </c>
      <c r="BH551" s="34">
        <f>W551-AA551</f>
        <v/>
      </c>
      <c r="BI551" s="34">
        <f>BF551+BG551+BL551-BN551</f>
        <v/>
      </c>
      <c r="BJ551" s="34">
        <f>ABS(BK551)</f>
        <v/>
      </c>
      <c r="BK551" s="34">
        <f>AY551-(J551-L551+N551-Q551)</f>
        <v/>
      </c>
      <c r="BL551" s="34">
        <f>IF(AND(BK551&gt;0,MIN($F551:$G551)&lt;150,$E551="Enerji Açığı"),-100*BK551*1.03,IF(AND(BK551&gt;0,MIN($F551:$G551)&lt;150,$E551="Enerji Fazlası"),-100*BK551*1.06,IF(AND(BK551&gt;0,MIN($F551:$G551)&gt;=150,$E551="Enerji Açığı"),BK551*MIN($F551:$G551)*0.97,IF(AND(BK551&gt;0,MIN($F551:$G551)&gt;=150,$E551="Enerji Fazlası"),BK551*MIN($F551:$G551)*0.94,IF(AND(BK551&lt;0,MAX($F551:$G551)=4500,$E551="Enerji Açığı"),4500*1.05*1.06*BK551,IF(AND(BK551&lt;0,MAX($F551:$G551)=4500,$E551="Enerji Fazlası"),4500*1.05*1.03*BK551,IF(AND(BK551&lt;0,$E551="Enerji Açığı"),MAX($F551,$G551,150)*BK551*1.06,IF(AND(BK551&lt;0,$E551="Enerji Fazlası"),MAX($F551,$G551,150)*BK551*1.03,IF(AND(BK551&lt;0,$E551="Dengede"),MAX($F551:$G551,150)*1.03*BK551,MIN($F551:$G551)*0.97*BK551)))))))))</f>
        <v/>
      </c>
      <c r="BM551" s="34">
        <f>BE551-BI551-BN551</f>
        <v/>
      </c>
      <c r="BN551" s="34">
        <f>BB551</f>
        <v/>
      </c>
      <c r="BO551" s="34">
        <f>BE551-BI551</f>
        <v/>
      </c>
      <c r="BP551" s="34">
        <f>IF(AY551=0,0,BO551/AY551)</f>
        <v/>
      </c>
      <c r="BQ551" s="34">
        <f>MAX((AY551+MAX((-J551+L551-N551+Q551),0)),(MAX((J551-L551+N551-Q551),0)))</f>
        <v/>
      </c>
      <c r="BR551" s="82">
        <f>IFERROR(ABS(BK551/BQ551),0)</f>
        <v/>
      </c>
      <c r="BS551" s="34">
        <f>IF(BR551&lt;=0.1,0,BK551/BR551*(BR551-0.1))</f>
        <v/>
      </c>
      <c r="BT551" s="34">
        <f>IF((BS551)&lt;0,MAX(F551:G551)*(BS551)*1.03,MIN(F551:G551)*(BS551)*0.97)</f>
        <v/>
      </c>
      <c r="BU551" s="34">
        <f>IF(BR551&gt;0.1,1,0)</f>
        <v/>
      </c>
      <c r="BV551" s="34">
        <f>BF551+BG551+BH551+BY551-CA551</f>
        <v/>
      </c>
      <c r="BW551" s="34">
        <f>ABS(BX551)</f>
        <v/>
      </c>
      <c r="BX551" s="34">
        <f>AY551-(J551-L551+N551-Q551+T551-X551)</f>
        <v/>
      </c>
      <c r="BY551" s="34">
        <f>IF(AND(BX551&gt;0,MIN($F551:$G551)&lt;150,$E551="Enerji Açığı"),-100*BX551*1.03,IF(AND(BX551&gt;0,MIN($F551:$G551)&lt;150,$E551="Enerji Fazlası"),-100*BX551*1.06,IF(AND(BX551&gt;0,MIN($F551:$G551)&gt;=150,$E551="Enerji Açığı"),BX551*MIN($F551:$G551)*0.97,IF(AND(BX551&gt;0,MIN($F551:$G551)&gt;=150,$E551="Enerji Fazlası"),BX551*MIN($F551:$G551)*0.94,IF(AND(BX551&lt;0,MAX($F551:$G551)=4500,$E551="Enerji Açığı"),4500*1.05*1.06*BX551,IF(AND(BX551&lt;0,MAX($F551:$G551)=4500,$E551="Enerji Fazlası"),4500*1.05*1.03*BX551,IF(AND(BX551&lt;0,$E551="Enerji Açığı"),MAX($F551,$G551,150)*BX551*1.06,IF(AND(BX551&lt;0,$E551="Enerji Fazlası"),MAX($F551,$G551,150)*BX551*1.03,IF(AND(BX551&lt;0,$E551="Dengede"),MAX($F551:$G551,150)*1.03*BX551,MIN($F551:$G551)*0.97*BX551)))))))))</f>
        <v/>
      </c>
      <c r="BZ551" s="34">
        <f>BE551-BV551-CA551</f>
        <v/>
      </c>
      <c r="CA551" s="34">
        <f>BD551</f>
        <v/>
      </c>
      <c r="CB551" s="33">
        <f>BE551-BV551</f>
        <v/>
      </c>
      <c r="CC551" s="34">
        <f>IF(AY551=0,0,CB551/AY551)</f>
        <v/>
      </c>
      <c r="CD551" s="34">
        <f>MAX((AY551+MAX((-J551+L551-N551+Q551-T551+X551),0)),(MAX((J551-L551+N551-Q551+T551-X551),0)))</f>
        <v/>
      </c>
      <c r="CE551" s="82">
        <f>IFERROR(ABS(BX551/CD551),0)</f>
        <v/>
      </c>
      <c r="CF551" s="34">
        <f>IF(CE551&lt;=0.1,0,BX551/CE551*(CE551-0.1))</f>
        <v/>
      </c>
      <c r="CG551" s="34">
        <f>IF((CF551)&lt;0,MAX(F551:G551)*(CF551)*1.03,MIN(F551:G551)*(CF551)*0.97)</f>
        <v/>
      </c>
      <c r="CH551" s="34">
        <f>IF(CE551&gt;0.1,1,0)</f>
        <v/>
      </c>
      <c r="CI551" s="34">
        <f>(F551*BX551)-BY551</f>
        <v/>
      </c>
      <c r="CJ551" s="34">
        <f>IF(AY551=0,0,CI551/AY551)</f>
        <v/>
      </c>
    </row>
    <row r="552">
      <c r="A552" s="29">
        <f>[1]FİYATLAR!A527</f>
        <v/>
      </c>
      <c r="B552" s="29">
        <f>[1]FİYATLAR!B527</f>
        <v/>
      </c>
      <c r="C552" s="35">
        <f>INT(A552)</f>
        <v/>
      </c>
      <c r="D552" s="36">
        <f>MONTH(A552)</f>
        <v/>
      </c>
      <c r="E552" s="147">
        <f>[1]FİYATLAR!G527</f>
        <v/>
      </c>
      <c r="F552" s="30">
        <f>[1]FİYATLAR!C527</f>
        <v/>
      </c>
      <c r="G552" s="30">
        <f>[1]FİYATLAR!E527</f>
        <v/>
      </c>
      <c r="H552" s="30">
        <f>[1]FİYATLAR!D527</f>
        <v/>
      </c>
      <c r="I552" s="30">
        <f>[1]FİYATLAR!F527</f>
        <v/>
      </c>
      <c r="J552" s="119" t="n">
        <v>0</v>
      </c>
      <c r="K552" s="34">
        <f>F552*J552</f>
        <v/>
      </c>
      <c r="L552" s="119" t="n"/>
      <c r="M552" s="34">
        <f>L552*F552</f>
        <v/>
      </c>
      <c r="N552" s="119" t="n"/>
      <c r="O552" s="34">
        <f>F552</f>
        <v/>
      </c>
      <c r="P552" s="34">
        <f>N552*O552</f>
        <v/>
      </c>
      <c r="Q552" s="117" t="n">
        <v>0</v>
      </c>
      <c r="R552" s="34">
        <f>F552</f>
        <v/>
      </c>
      <c r="S552" s="34">
        <f>R552*Q552</f>
        <v/>
      </c>
      <c r="T552" s="34">
        <f>SUMIFS('[1]GİP VERİLERİ'!$C:$C,'[1]GİP VERİLERİ'!$B:$B,A552,'[1]GİP VERİLERİ'!$M:$M,"40X000000104782K",'[1]GİP VERİLERİ'!$G:$G,"SELL")</f>
        <v/>
      </c>
      <c r="U552" s="34">
        <f>IFERROR(W552/T552,0)</f>
        <v/>
      </c>
      <c r="V552" s="34">
        <f>IF(U552=0,0,U552-F552)</f>
        <v/>
      </c>
      <c r="W552" s="34">
        <f>SUMIFS('[1]GİP VERİLERİ'!$O:$O,'[1]GİP VERİLERİ'!$B:$B,A552,'[1]GİP VERİLERİ'!$M:$M,"40X000000104782K",'[1]GİP VERİLERİ'!$G:$G,"SELL")</f>
        <v/>
      </c>
      <c r="X552" s="34">
        <f>SUMIFS('[1]GİP VERİLERİ'!$C:$C,'[1]GİP VERİLERİ'!$B:$B,A552,'[1]GİP VERİLERİ'!$M:$M,"40X000000104782K",'[1]GİP VERİLERİ'!$G:$G,"BUY")</f>
        <v/>
      </c>
      <c r="Y552" s="34">
        <f>IFERROR(AA552/X552,0)</f>
        <v/>
      </c>
      <c r="Z552" s="34">
        <f>IF(Y552=0,0,F552-Y552)</f>
        <v/>
      </c>
      <c r="AA552" s="34">
        <f>SUMIFS('[1]GİP VERİLERİ'!$O:$O,'[1]GİP VERİLERİ'!$B:$B,A552,'[1]GİP VERİLERİ'!$M:$M,"40X000000104782K",'[1]GİP VERİLERİ'!$G:$G,"BUY")</f>
        <v/>
      </c>
      <c r="AB552" s="34">
        <f>'[1]GÖP VERİLERİ'!H553</f>
        <v/>
      </c>
      <c r="AC552" s="34">
        <f>'[1]GÖP VERİLERİ'!I553</f>
        <v/>
      </c>
      <c r="AD552" s="34">
        <f>IF(AB552&gt;AC552*1.05,AB552-AC552*1.05,IF(AB552&lt;AC552*0.95,AC552*0.95-AB552,0))</f>
        <v/>
      </c>
      <c r="AE552" s="34">
        <f>MAX(F552,G552,750)*0.05*AD552</f>
        <v/>
      </c>
      <c r="AF552" s="34">
        <f>'[1]GÖP VERİLERİ'!J553</f>
        <v/>
      </c>
      <c r="AG552" s="34">
        <f>IF(AB552&gt;AF552*1.05,AB552-AF552*1.05,IF(AB552&lt;AF552*0.95,AF552*0.95-AB552,0))</f>
        <v/>
      </c>
      <c r="AH552" s="34">
        <f>MAX(I552,J552,750)*0.05*AG552</f>
        <v/>
      </c>
      <c r="AI552">
        <f>'[1]GÖP VERİLERİ'!E553</f>
        <v/>
      </c>
      <c r="AJ552">
        <f>'[1]GÖP VERİLERİ'!F553</f>
        <v/>
      </c>
      <c r="AK552" s="34">
        <f>IF(AI552&gt;AJ552*1.05,AI552-AJ552*1.05,IF(AI552&lt;AJ552*0.95,AJ552*0.95-AI552,0))</f>
        <v/>
      </c>
      <c r="AL552" s="34">
        <f>MAX(F552,G552,750)*0.05*AK552</f>
        <v/>
      </c>
      <c r="AM552" s="39">
        <f>'[1]GÖP VERİLERİ'!G553</f>
        <v/>
      </c>
      <c r="AN552" s="34">
        <f>IF(AI552&gt;AM552*1.05,AI552-AM552*1.05,IF(AI552&lt;AM552*0.95,AM552*0.95-AI552,0))</f>
        <v/>
      </c>
      <c r="AO552" s="34">
        <f>MAX(F552,G552,750)*0.05*AN552</f>
        <v/>
      </c>
      <c r="AP552" s="34">
        <f>'[1]GÖP VERİLERİ'!B553</f>
        <v/>
      </c>
      <c r="AQ552" s="34">
        <f>'[1]GÖP VERİLERİ'!C553</f>
        <v/>
      </c>
      <c r="AR552" s="34">
        <f>IF(AP552&gt;AQ552*1.05,AP552-AQ552*1.05,IF(AP552&lt;AQ552*0.95,AQ552*0.95-AP552,0))</f>
        <v/>
      </c>
      <c r="AS552" s="34">
        <f>MAX(F552:G552,750)*0.05*AR552</f>
        <v/>
      </c>
      <c r="AT552">
        <f>'[1]GÖP VERİLERİ'!D553</f>
        <v/>
      </c>
      <c r="AU552" s="34">
        <f>IF(AP552&gt;AT552*1.05,AP552-AT552*1.05,IF(AP552&lt;AT552*0.95,AT552*0.95-AP552,0))</f>
        <v/>
      </c>
      <c r="AV552" s="34">
        <f>MAX(F552:G552,750)*0.05*AU552</f>
        <v/>
      </c>
      <c r="AW552" s="34">
        <f>AC552+AJ552+AQ552</f>
        <v/>
      </c>
      <c r="AX552" s="34">
        <f>AF552+AM552+AT552</f>
        <v/>
      </c>
      <c r="AY552" s="34">
        <f>AB552+AI552+AP552</f>
        <v/>
      </c>
      <c r="AZ552" s="34" t="n">
        <v>0</v>
      </c>
      <c r="BA552" s="34">
        <f>AD552+AK552+AR552</f>
        <v/>
      </c>
      <c r="BB552" s="34">
        <f>MAX(F552:G552,750)*0.05*BA552</f>
        <v/>
      </c>
      <c r="BC552" s="34">
        <f>AG552+AN552+AU552</f>
        <v/>
      </c>
      <c r="BD552" s="34">
        <f>MAX(F552:G552,750)*0.05*BC552</f>
        <v/>
      </c>
      <c r="BE552" s="34">
        <f>F552*AY552</f>
        <v/>
      </c>
      <c r="BF552" s="34">
        <f>K552-M552</f>
        <v/>
      </c>
      <c r="BG552" s="34">
        <f>P552-S552</f>
        <v/>
      </c>
      <c r="BH552" s="34">
        <f>W552-AA552</f>
        <v/>
      </c>
      <c r="BI552" s="34">
        <f>BF552+BG552+BL552-BN552</f>
        <v/>
      </c>
      <c r="BJ552" s="34">
        <f>ABS(BK552)</f>
        <v/>
      </c>
      <c r="BK552" s="34">
        <f>AY552-(J552-L552+N552-Q552)</f>
        <v/>
      </c>
      <c r="BL552" s="34">
        <f>IF(AND(BK552&gt;0,MIN($F552:$G552)&lt;150,$E552="Enerji Açığı"),-100*BK552*1.03,IF(AND(BK552&gt;0,MIN($F552:$G552)&lt;150,$E552="Enerji Fazlası"),-100*BK552*1.06,IF(AND(BK552&gt;0,MIN($F552:$G552)&gt;=150,$E552="Enerji Açığı"),BK552*MIN($F552:$G552)*0.97,IF(AND(BK552&gt;0,MIN($F552:$G552)&gt;=150,$E552="Enerji Fazlası"),BK552*MIN($F552:$G552)*0.94,IF(AND(BK552&lt;0,MAX($F552:$G552)=4500,$E552="Enerji Açığı"),4500*1.05*1.06*BK552,IF(AND(BK552&lt;0,MAX($F552:$G552)=4500,$E552="Enerji Fazlası"),4500*1.05*1.03*BK552,IF(AND(BK552&lt;0,$E552="Enerji Açığı"),MAX($F552,$G552,150)*BK552*1.06,IF(AND(BK552&lt;0,$E552="Enerji Fazlası"),MAX($F552,$G552,150)*BK552*1.03,IF(AND(BK552&lt;0,$E552="Dengede"),MAX($F552:$G552,150)*1.03*BK552,MIN($F552:$G552)*0.97*BK552)))))))))</f>
        <v/>
      </c>
      <c r="BM552" s="34">
        <f>BE552-BI552-BN552</f>
        <v/>
      </c>
      <c r="BN552" s="34">
        <f>BB552</f>
        <v/>
      </c>
      <c r="BO552" s="34">
        <f>BE552-BI552</f>
        <v/>
      </c>
      <c r="BP552" s="34">
        <f>IF(AY552=0,0,BO552/AY552)</f>
        <v/>
      </c>
      <c r="BQ552" s="34">
        <f>MAX((AY552+MAX((-J552+L552-N552+Q552),0)),(MAX((J552-L552+N552-Q552),0)))</f>
        <v/>
      </c>
      <c r="BR552" s="82">
        <f>IFERROR(ABS(BK552/BQ552),0)</f>
        <v/>
      </c>
      <c r="BS552" s="34">
        <f>IF(BR552&lt;=0.1,0,BK552/BR552*(BR552-0.1))</f>
        <v/>
      </c>
      <c r="BT552" s="34">
        <f>IF((BS552)&lt;0,MAX(F552:G552)*(BS552)*1.03,MIN(F552:G552)*(BS552)*0.97)</f>
        <v/>
      </c>
      <c r="BU552" s="34">
        <f>IF(BR552&gt;0.1,1,0)</f>
        <v/>
      </c>
      <c r="BV552" s="34">
        <f>BF552+BG552+BH552+BY552-CA552</f>
        <v/>
      </c>
      <c r="BW552" s="34">
        <f>ABS(BX552)</f>
        <v/>
      </c>
      <c r="BX552" s="34">
        <f>AY552-(J552-L552+N552-Q552+T552-X552)</f>
        <v/>
      </c>
      <c r="BY552" s="34">
        <f>IF(AND(BX552&gt;0,MIN($F552:$G552)&lt;150,$E552="Enerji Açığı"),-100*BX552*1.03,IF(AND(BX552&gt;0,MIN($F552:$G552)&lt;150,$E552="Enerji Fazlası"),-100*BX552*1.06,IF(AND(BX552&gt;0,MIN($F552:$G552)&gt;=150,$E552="Enerji Açığı"),BX552*MIN($F552:$G552)*0.97,IF(AND(BX552&gt;0,MIN($F552:$G552)&gt;=150,$E552="Enerji Fazlası"),BX552*MIN($F552:$G552)*0.94,IF(AND(BX552&lt;0,MAX($F552:$G552)=4500,$E552="Enerji Açığı"),4500*1.05*1.06*BX552,IF(AND(BX552&lt;0,MAX($F552:$G552)=4500,$E552="Enerji Fazlası"),4500*1.05*1.03*BX552,IF(AND(BX552&lt;0,$E552="Enerji Açığı"),MAX($F552,$G552,150)*BX552*1.06,IF(AND(BX552&lt;0,$E552="Enerji Fazlası"),MAX($F552,$G552,150)*BX552*1.03,IF(AND(BX552&lt;0,$E552="Dengede"),MAX($F552:$G552,150)*1.03*BX552,MIN($F552:$G552)*0.97*BX552)))))))))</f>
        <v/>
      </c>
      <c r="BZ552" s="34">
        <f>BE552-BV552-CA552</f>
        <v/>
      </c>
      <c r="CA552" s="34">
        <f>BD552</f>
        <v/>
      </c>
      <c r="CB552" s="33">
        <f>BE552-BV552</f>
        <v/>
      </c>
      <c r="CC552" s="34">
        <f>IF(AY552=0,0,CB552/AY552)</f>
        <v/>
      </c>
      <c r="CD552" s="34">
        <f>MAX((AY552+MAX((-J552+L552-N552+Q552-T552+X552),0)),(MAX((J552-L552+N552-Q552+T552-X552),0)))</f>
        <v/>
      </c>
      <c r="CE552" s="82">
        <f>IFERROR(ABS(BX552/CD552),0)</f>
        <v/>
      </c>
      <c r="CF552" s="34">
        <f>IF(CE552&lt;=0.1,0,BX552/CE552*(CE552-0.1))</f>
        <v/>
      </c>
      <c r="CG552" s="34">
        <f>IF((CF552)&lt;0,MAX(F552:G552)*(CF552)*1.03,MIN(F552:G552)*(CF552)*0.97)</f>
        <v/>
      </c>
      <c r="CH552" s="34">
        <f>IF(CE552&gt;0.1,1,0)</f>
        <v/>
      </c>
      <c r="CI552" s="34">
        <f>(F552*BX552)-BY552</f>
        <v/>
      </c>
      <c r="CJ552" s="34">
        <f>IF(AY552=0,0,CI552/AY552)</f>
        <v/>
      </c>
    </row>
    <row r="553">
      <c r="A553" s="29">
        <f>[1]FİYATLAR!A528</f>
        <v/>
      </c>
      <c r="B553" s="29">
        <f>[1]FİYATLAR!B528</f>
        <v/>
      </c>
      <c r="C553" s="35">
        <f>INT(A553)</f>
        <v/>
      </c>
      <c r="D553" s="36">
        <f>MONTH(A553)</f>
        <v/>
      </c>
      <c r="E553" s="147">
        <f>[1]FİYATLAR!G528</f>
        <v/>
      </c>
      <c r="F553" s="30">
        <f>[1]FİYATLAR!C528</f>
        <v/>
      </c>
      <c r="G553" s="30">
        <f>[1]FİYATLAR!E528</f>
        <v/>
      </c>
      <c r="H553" s="30">
        <f>[1]FİYATLAR!D528</f>
        <v/>
      </c>
      <c r="I553" s="30">
        <f>[1]FİYATLAR!F528</f>
        <v/>
      </c>
      <c r="J553" s="119" t="n">
        <v>0</v>
      </c>
      <c r="K553" s="34">
        <f>F553*J553</f>
        <v/>
      </c>
      <c r="L553" s="119" t="n"/>
      <c r="M553" s="34">
        <f>L553*F553</f>
        <v/>
      </c>
      <c r="N553" s="119" t="n"/>
      <c r="O553" s="34">
        <f>F553</f>
        <v/>
      </c>
      <c r="P553" s="34">
        <f>N553*O553</f>
        <v/>
      </c>
      <c r="Q553" s="117" t="n">
        <v>0</v>
      </c>
      <c r="R553" s="34">
        <f>F553</f>
        <v/>
      </c>
      <c r="S553" s="34">
        <f>R553*Q553</f>
        <v/>
      </c>
      <c r="T553" s="34">
        <f>SUMIFS('[1]GİP VERİLERİ'!$C:$C,'[1]GİP VERİLERİ'!$B:$B,A553,'[1]GİP VERİLERİ'!$M:$M,"40X000000104782K",'[1]GİP VERİLERİ'!$G:$G,"SELL")</f>
        <v/>
      </c>
      <c r="U553" s="34">
        <f>IFERROR(W553/T553,0)</f>
        <v/>
      </c>
      <c r="V553" s="34">
        <f>IF(U553=0,0,U553-F553)</f>
        <v/>
      </c>
      <c r="W553" s="34">
        <f>SUMIFS('[1]GİP VERİLERİ'!$O:$O,'[1]GİP VERİLERİ'!$B:$B,A553,'[1]GİP VERİLERİ'!$M:$M,"40X000000104782K",'[1]GİP VERİLERİ'!$G:$G,"SELL")</f>
        <v/>
      </c>
      <c r="X553" s="34">
        <f>SUMIFS('[1]GİP VERİLERİ'!$C:$C,'[1]GİP VERİLERİ'!$B:$B,A553,'[1]GİP VERİLERİ'!$M:$M,"40X000000104782K",'[1]GİP VERİLERİ'!$G:$G,"BUY")</f>
        <v/>
      </c>
      <c r="Y553" s="34">
        <f>IFERROR(AA553/X553,0)</f>
        <v/>
      </c>
      <c r="Z553" s="34">
        <f>IF(Y553=0,0,F553-Y553)</f>
        <v/>
      </c>
      <c r="AA553" s="34">
        <f>SUMIFS('[1]GİP VERİLERİ'!$O:$O,'[1]GİP VERİLERİ'!$B:$B,A553,'[1]GİP VERİLERİ'!$M:$M,"40X000000104782K",'[1]GİP VERİLERİ'!$G:$G,"BUY")</f>
        <v/>
      </c>
      <c r="AB553" s="34">
        <f>'[1]GÖP VERİLERİ'!H554</f>
        <v/>
      </c>
      <c r="AC553" s="34">
        <f>'[1]GÖP VERİLERİ'!I554</f>
        <v/>
      </c>
      <c r="AD553" s="34">
        <f>IF(AB553&gt;AC553*1.05,AB553-AC553*1.05,IF(AB553&lt;AC553*0.95,AC553*0.95-AB553,0))</f>
        <v/>
      </c>
      <c r="AE553" s="34">
        <f>MAX(F553,G553,750)*0.05*AD553</f>
        <v/>
      </c>
      <c r="AF553" s="34">
        <f>'[1]GÖP VERİLERİ'!J554</f>
        <v/>
      </c>
      <c r="AG553" s="34">
        <f>IF(AB553&gt;AF553*1.05,AB553-AF553*1.05,IF(AB553&lt;AF553*0.95,AF553*0.95-AB553,0))</f>
        <v/>
      </c>
      <c r="AH553" s="34">
        <f>MAX(I553,J553,750)*0.05*AG553</f>
        <v/>
      </c>
      <c r="AI553">
        <f>'[1]GÖP VERİLERİ'!E554</f>
        <v/>
      </c>
      <c r="AJ553">
        <f>'[1]GÖP VERİLERİ'!F554</f>
        <v/>
      </c>
      <c r="AK553" s="34">
        <f>IF(AI553&gt;AJ553*1.05,AI553-AJ553*1.05,IF(AI553&lt;AJ553*0.95,AJ553*0.95-AI553,0))</f>
        <v/>
      </c>
      <c r="AL553" s="34">
        <f>MAX(F553,G553,750)*0.05*AK553</f>
        <v/>
      </c>
      <c r="AM553" s="39">
        <f>'[1]GÖP VERİLERİ'!G554</f>
        <v/>
      </c>
      <c r="AN553" s="34">
        <f>IF(AI553&gt;AM553*1.05,AI553-AM553*1.05,IF(AI553&lt;AM553*0.95,AM553*0.95-AI553,0))</f>
        <v/>
      </c>
      <c r="AO553" s="34">
        <f>MAX(F553,G553,750)*0.05*AN553</f>
        <v/>
      </c>
      <c r="AP553" s="34">
        <f>'[1]GÖP VERİLERİ'!B554</f>
        <v/>
      </c>
      <c r="AQ553" s="34">
        <f>'[1]GÖP VERİLERİ'!C554</f>
        <v/>
      </c>
      <c r="AR553" s="34">
        <f>IF(AP553&gt;AQ553*1.05,AP553-AQ553*1.05,IF(AP553&lt;AQ553*0.95,AQ553*0.95-AP553,0))</f>
        <v/>
      </c>
      <c r="AS553" s="34">
        <f>MAX(F553:G553,750)*0.05*AR553</f>
        <v/>
      </c>
      <c r="AT553">
        <f>'[1]GÖP VERİLERİ'!D554</f>
        <v/>
      </c>
      <c r="AU553" s="34">
        <f>IF(AP553&gt;AT553*1.05,AP553-AT553*1.05,IF(AP553&lt;AT553*0.95,AT553*0.95-AP553,0))</f>
        <v/>
      </c>
      <c r="AV553" s="34">
        <f>MAX(F553:G553,750)*0.05*AU553</f>
        <v/>
      </c>
      <c r="AW553" s="34">
        <f>AC553+AJ553+AQ553</f>
        <v/>
      </c>
      <c r="AX553" s="34">
        <f>AF553+AM553+AT553</f>
        <v/>
      </c>
      <c r="AY553" s="34">
        <f>AB553+AI553+AP553</f>
        <v/>
      </c>
      <c r="AZ553" s="34" t="n">
        <v>0</v>
      </c>
      <c r="BA553" s="34">
        <f>AD553+AK553+AR553</f>
        <v/>
      </c>
      <c r="BB553" s="34">
        <f>MAX(F553:G553,750)*0.05*BA553</f>
        <v/>
      </c>
      <c r="BC553" s="34">
        <f>AG553+AN553+AU553</f>
        <v/>
      </c>
      <c r="BD553" s="34">
        <f>MAX(F553:G553,750)*0.05*BC553</f>
        <v/>
      </c>
      <c r="BE553" s="34">
        <f>F553*AY553</f>
        <v/>
      </c>
      <c r="BF553" s="34">
        <f>K553-M553</f>
        <v/>
      </c>
      <c r="BG553" s="34">
        <f>P553-S553</f>
        <v/>
      </c>
      <c r="BH553" s="34">
        <f>W553-AA553</f>
        <v/>
      </c>
      <c r="BI553" s="34">
        <f>BF553+BG553+BL553-BN553</f>
        <v/>
      </c>
      <c r="BJ553" s="34">
        <f>ABS(BK553)</f>
        <v/>
      </c>
      <c r="BK553" s="34">
        <f>AY553-(J553-L553+N553-Q553)</f>
        <v/>
      </c>
      <c r="BL553" s="34">
        <f>IF(AND(BK553&gt;0,MIN($F553:$G553)&lt;150,$E553="Enerji Açığı"),-100*BK553*1.03,IF(AND(BK553&gt;0,MIN($F553:$G553)&lt;150,$E553="Enerji Fazlası"),-100*BK553*1.06,IF(AND(BK553&gt;0,MIN($F553:$G553)&gt;=150,$E553="Enerji Açığı"),BK553*MIN($F553:$G553)*0.97,IF(AND(BK553&gt;0,MIN($F553:$G553)&gt;=150,$E553="Enerji Fazlası"),BK553*MIN($F553:$G553)*0.94,IF(AND(BK553&lt;0,MAX($F553:$G553)=4500,$E553="Enerji Açığı"),4500*1.05*1.06*BK553,IF(AND(BK553&lt;0,MAX($F553:$G553)=4500,$E553="Enerji Fazlası"),4500*1.05*1.03*BK553,IF(AND(BK553&lt;0,$E553="Enerji Açığı"),MAX($F553,$G553,150)*BK553*1.06,IF(AND(BK553&lt;0,$E553="Enerji Fazlası"),MAX($F553,$G553,150)*BK553*1.03,IF(AND(BK553&lt;0,$E553="Dengede"),MAX($F553:$G553,150)*1.03*BK553,MIN($F553:$G553)*0.97*BK553)))))))))</f>
        <v/>
      </c>
      <c r="BM553" s="34">
        <f>BE553-BI553-BN553</f>
        <v/>
      </c>
      <c r="BN553" s="34">
        <f>BB553</f>
        <v/>
      </c>
      <c r="BO553" s="34">
        <f>BE553-BI553</f>
        <v/>
      </c>
      <c r="BP553" s="34">
        <f>IF(AY553=0,0,BO553/AY553)</f>
        <v/>
      </c>
      <c r="BQ553" s="34">
        <f>MAX((AY553+MAX((-J553+L553-N553+Q553),0)),(MAX((J553-L553+N553-Q553),0)))</f>
        <v/>
      </c>
      <c r="BR553" s="82">
        <f>IFERROR(ABS(BK553/BQ553),0)</f>
        <v/>
      </c>
      <c r="BS553" s="34">
        <f>IF(BR553&lt;=0.1,0,BK553/BR553*(BR553-0.1))</f>
        <v/>
      </c>
      <c r="BT553" s="34">
        <f>IF((BS553)&lt;0,MAX(F553:G553)*(BS553)*1.03,MIN(F553:G553)*(BS553)*0.97)</f>
        <v/>
      </c>
      <c r="BU553" s="34">
        <f>IF(BR553&gt;0.1,1,0)</f>
        <v/>
      </c>
      <c r="BV553" s="34">
        <f>BF553+BG553+BH553+BY553-CA553</f>
        <v/>
      </c>
      <c r="BW553" s="34">
        <f>ABS(BX553)</f>
        <v/>
      </c>
      <c r="BX553" s="34">
        <f>AY553-(J553-L553+N553-Q553+T553-X553)</f>
        <v/>
      </c>
      <c r="BY553" s="34">
        <f>IF(AND(BX553&gt;0,MIN($F553:$G553)&lt;150,$E553="Enerji Açığı"),-100*BX553*1.03,IF(AND(BX553&gt;0,MIN($F553:$G553)&lt;150,$E553="Enerji Fazlası"),-100*BX553*1.06,IF(AND(BX553&gt;0,MIN($F553:$G553)&gt;=150,$E553="Enerji Açığı"),BX553*MIN($F553:$G553)*0.97,IF(AND(BX553&gt;0,MIN($F553:$G553)&gt;=150,$E553="Enerji Fazlası"),BX553*MIN($F553:$G553)*0.94,IF(AND(BX553&lt;0,MAX($F553:$G553)=4500,$E553="Enerji Açığı"),4500*1.05*1.06*BX553,IF(AND(BX553&lt;0,MAX($F553:$G553)=4500,$E553="Enerji Fazlası"),4500*1.05*1.03*BX553,IF(AND(BX553&lt;0,$E553="Enerji Açığı"),MAX($F553,$G553,150)*BX553*1.06,IF(AND(BX553&lt;0,$E553="Enerji Fazlası"),MAX($F553,$G553,150)*BX553*1.03,IF(AND(BX553&lt;0,$E553="Dengede"),MAX($F553:$G553,150)*1.03*BX553,MIN($F553:$G553)*0.97*BX553)))))))))</f>
        <v/>
      </c>
      <c r="BZ553" s="34">
        <f>BE553-BV553-CA553</f>
        <v/>
      </c>
      <c r="CA553" s="34">
        <f>BD553</f>
        <v/>
      </c>
      <c r="CB553" s="33">
        <f>BE553-BV553</f>
        <v/>
      </c>
      <c r="CC553" s="34">
        <f>IF(AY553=0,0,CB553/AY553)</f>
        <v/>
      </c>
      <c r="CD553" s="34">
        <f>MAX((AY553+MAX((-J553+L553-N553+Q553-T553+X553),0)),(MAX((J553-L553+N553-Q553+T553-X553),0)))</f>
        <v/>
      </c>
      <c r="CE553" s="82">
        <f>IFERROR(ABS(BX553/CD553),0)</f>
        <v/>
      </c>
      <c r="CF553" s="34">
        <f>IF(CE553&lt;=0.1,0,BX553/CE553*(CE553-0.1))</f>
        <v/>
      </c>
      <c r="CG553" s="34">
        <f>IF((CF553)&lt;0,MAX(F553:G553)*(CF553)*1.03,MIN(F553:G553)*(CF553)*0.97)</f>
        <v/>
      </c>
      <c r="CH553" s="34">
        <f>IF(CE553&gt;0.1,1,0)</f>
        <v/>
      </c>
      <c r="CI553" s="34">
        <f>(F553*BX553)-BY553</f>
        <v/>
      </c>
      <c r="CJ553" s="34">
        <f>IF(AY553=0,0,CI553/AY553)</f>
        <v/>
      </c>
    </row>
    <row r="554">
      <c r="A554" s="29">
        <f>[1]FİYATLAR!A529</f>
        <v/>
      </c>
      <c r="B554" s="29">
        <f>[1]FİYATLAR!B529</f>
        <v/>
      </c>
      <c r="C554" s="35">
        <f>INT(A554)</f>
        <v/>
      </c>
      <c r="D554" s="36">
        <f>MONTH(A554)</f>
        <v/>
      </c>
      <c r="E554" s="147">
        <f>[1]FİYATLAR!G529</f>
        <v/>
      </c>
      <c r="F554" s="30">
        <f>[1]FİYATLAR!C529</f>
        <v/>
      </c>
      <c r="G554" s="30">
        <f>[1]FİYATLAR!E529</f>
        <v/>
      </c>
      <c r="H554" s="30">
        <f>[1]FİYATLAR!D529</f>
        <v/>
      </c>
      <c r="I554" s="30">
        <f>[1]FİYATLAR!F529</f>
        <v/>
      </c>
      <c r="J554" s="119" t="n">
        <v>0</v>
      </c>
      <c r="K554" s="34">
        <f>F554*J554</f>
        <v/>
      </c>
      <c r="L554" s="119" t="n"/>
      <c r="M554" s="34">
        <f>L554*F554</f>
        <v/>
      </c>
      <c r="N554" s="119" t="n"/>
      <c r="O554" s="34">
        <f>F554</f>
        <v/>
      </c>
      <c r="P554" s="34">
        <f>N554*O554</f>
        <v/>
      </c>
      <c r="Q554" s="117" t="n">
        <v>0</v>
      </c>
      <c r="R554" s="34">
        <f>F554</f>
        <v/>
      </c>
      <c r="S554" s="34">
        <f>R554*Q554</f>
        <v/>
      </c>
      <c r="T554" s="34">
        <f>SUMIFS('[1]GİP VERİLERİ'!$C:$C,'[1]GİP VERİLERİ'!$B:$B,A554,'[1]GİP VERİLERİ'!$M:$M,"40X000000104782K",'[1]GİP VERİLERİ'!$G:$G,"SELL")</f>
        <v/>
      </c>
      <c r="U554" s="34">
        <f>IFERROR(W554/T554,0)</f>
        <v/>
      </c>
      <c r="V554" s="34">
        <f>IF(U554=0,0,U554-F554)</f>
        <v/>
      </c>
      <c r="W554" s="34">
        <f>SUMIFS('[1]GİP VERİLERİ'!$O:$O,'[1]GİP VERİLERİ'!$B:$B,A554,'[1]GİP VERİLERİ'!$M:$M,"40X000000104782K",'[1]GİP VERİLERİ'!$G:$G,"SELL")</f>
        <v/>
      </c>
      <c r="X554" s="34">
        <f>SUMIFS('[1]GİP VERİLERİ'!$C:$C,'[1]GİP VERİLERİ'!$B:$B,A554,'[1]GİP VERİLERİ'!$M:$M,"40X000000104782K",'[1]GİP VERİLERİ'!$G:$G,"BUY")</f>
        <v/>
      </c>
      <c r="Y554" s="34">
        <f>IFERROR(AA554/X554,0)</f>
        <v/>
      </c>
      <c r="Z554" s="34">
        <f>IF(Y554=0,0,F554-Y554)</f>
        <v/>
      </c>
      <c r="AA554" s="34">
        <f>SUMIFS('[1]GİP VERİLERİ'!$O:$O,'[1]GİP VERİLERİ'!$B:$B,A554,'[1]GİP VERİLERİ'!$M:$M,"40X000000104782K",'[1]GİP VERİLERİ'!$G:$G,"BUY")</f>
        <v/>
      </c>
      <c r="AB554" s="34">
        <f>'[1]GÖP VERİLERİ'!H555</f>
        <v/>
      </c>
      <c r="AC554" s="34">
        <f>'[1]GÖP VERİLERİ'!I555</f>
        <v/>
      </c>
      <c r="AD554" s="34">
        <f>IF(AB554&gt;AC554*1.05,AB554-AC554*1.05,IF(AB554&lt;AC554*0.95,AC554*0.95-AB554,0))</f>
        <v/>
      </c>
      <c r="AE554" s="34">
        <f>MAX(F554,G554,750)*0.05*AD554</f>
        <v/>
      </c>
      <c r="AF554" s="34">
        <f>'[1]GÖP VERİLERİ'!J555</f>
        <v/>
      </c>
      <c r="AG554" s="34">
        <f>IF(AB554&gt;AF554*1.05,AB554-AF554*1.05,IF(AB554&lt;AF554*0.95,AF554*0.95-AB554,0))</f>
        <v/>
      </c>
      <c r="AH554" s="34">
        <f>MAX(I554,J554,750)*0.05*AG554</f>
        <v/>
      </c>
      <c r="AI554">
        <f>'[1]GÖP VERİLERİ'!E555</f>
        <v/>
      </c>
      <c r="AJ554">
        <f>'[1]GÖP VERİLERİ'!F555</f>
        <v/>
      </c>
      <c r="AK554" s="34">
        <f>IF(AI554&gt;AJ554*1.05,AI554-AJ554*1.05,IF(AI554&lt;AJ554*0.95,AJ554*0.95-AI554,0))</f>
        <v/>
      </c>
      <c r="AL554" s="34">
        <f>MAX(F554,G554,750)*0.05*AK554</f>
        <v/>
      </c>
      <c r="AM554" s="39">
        <f>'[1]GÖP VERİLERİ'!G555</f>
        <v/>
      </c>
      <c r="AN554" s="34">
        <f>IF(AI554&gt;AM554*1.05,AI554-AM554*1.05,IF(AI554&lt;AM554*0.95,AM554*0.95-AI554,0))</f>
        <v/>
      </c>
      <c r="AO554" s="34">
        <f>MAX(F554,G554,750)*0.05*AN554</f>
        <v/>
      </c>
      <c r="AP554" s="34">
        <f>'[1]GÖP VERİLERİ'!B555</f>
        <v/>
      </c>
      <c r="AQ554" s="34">
        <f>'[1]GÖP VERİLERİ'!C555</f>
        <v/>
      </c>
      <c r="AR554" s="34">
        <f>IF(AP554&gt;AQ554*1.05,AP554-AQ554*1.05,IF(AP554&lt;AQ554*0.95,AQ554*0.95-AP554,0))</f>
        <v/>
      </c>
      <c r="AS554" s="34">
        <f>MAX(F554:G554,750)*0.05*AR554</f>
        <v/>
      </c>
      <c r="AT554">
        <f>'[1]GÖP VERİLERİ'!D555</f>
        <v/>
      </c>
      <c r="AU554" s="34">
        <f>IF(AP554&gt;AT554*1.05,AP554-AT554*1.05,IF(AP554&lt;AT554*0.95,AT554*0.95-AP554,0))</f>
        <v/>
      </c>
      <c r="AV554" s="34">
        <f>MAX(F554:G554,750)*0.05*AU554</f>
        <v/>
      </c>
      <c r="AW554" s="34">
        <f>AC554+AJ554+AQ554</f>
        <v/>
      </c>
      <c r="AX554" s="34">
        <f>AF554+AM554+AT554</f>
        <v/>
      </c>
      <c r="AY554" s="34">
        <f>AB554+AI554+AP554</f>
        <v/>
      </c>
      <c r="AZ554" s="34" t="n">
        <v>0</v>
      </c>
      <c r="BA554" s="34">
        <f>AD554+AK554+AR554</f>
        <v/>
      </c>
      <c r="BB554" s="34">
        <f>MAX(F554:G554,750)*0.05*BA554</f>
        <v/>
      </c>
      <c r="BC554" s="34">
        <f>AG554+AN554+AU554</f>
        <v/>
      </c>
      <c r="BD554" s="34">
        <f>MAX(F554:G554,750)*0.05*BC554</f>
        <v/>
      </c>
      <c r="BE554" s="34">
        <f>F554*AY554</f>
        <v/>
      </c>
      <c r="BF554" s="34">
        <f>K554-M554</f>
        <v/>
      </c>
      <c r="BG554" s="34">
        <f>P554-S554</f>
        <v/>
      </c>
      <c r="BH554" s="34">
        <f>W554-AA554</f>
        <v/>
      </c>
      <c r="BI554" s="34">
        <f>BF554+BG554+BL554-BN554</f>
        <v/>
      </c>
      <c r="BJ554" s="34">
        <f>ABS(BK554)</f>
        <v/>
      </c>
      <c r="BK554" s="34">
        <f>AY554-(J554-L554+N554-Q554)</f>
        <v/>
      </c>
      <c r="BL554" s="34">
        <f>IF(AND(BK554&gt;0,MIN($F554:$G554)&lt;150,$E554="Enerji Açığı"),-100*BK554*1.03,IF(AND(BK554&gt;0,MIN($F554:$G554)&lt;150,$E554="Enerji Fazlası"),-100*BK554*1.06,IF(AND(BK554&gt;0,MIN($F554:$G554)&gt;=150,$E554="Enerji Açığı"),BK554*MIN($F554:$G554)*0.97,IF(AND(BK554&gt;0,MIN($F554:$G554)&gt;=150,$E554="Enerji Fazlası"),BK554*MIN($F554:$G554)*0.94,IF(AND(BK554&lt;0,MAX($F554:$G554)=4500,$E554="Enerji Açığı"),4500*1.05*1.06*BK554,IF(AND(BK554&lt;0,MAX($F554:$G554)=4500,$E554="Enerji Fazlası"),4500*1.05*1.03*BK554,IF(AND(BK554&lt;0,$E554="Enerji Açığı"),MAX($F554,$G554,150)*BK554*1.06,IF(AND(BK554&lt;0,$E554="Enerji Fazlası"),MAX($F554,$G554,150)*BK554*1.03,IF(AND(BK554&lt;0,$E554="Dengede"),MAX($F554:$G554,150)*1.03*BK554,MIN($F554:$G554)*0.97*BK554)))))))))</f>
        <v/>
      </c>
      <c r="BM554" s="34">
        <f>BE554-BI554-BN554</f>
        <v/>
      </c>
      <c r="BN554" s="34">
        <f>BB554</f>
        <v/>
      </c>
      <c r="BO554" s="34">
        <f>BE554-BI554</f>
        <v/>
      </c>
      <c r="BP554" s="34">
        <f>IF(AY554=0,0,BO554/AY554)</f>
        <v/>
      </c>
      <c r="BQ554" s="34">
        <f>MAX((AY554+MAX((-J554+L554-N554+Q554),0)),(MAX((J554-L554+N554-Q554),0)))</f>
        <v/>
      </c>
      <c r="BR554" s="82">
        <f>IFERROR(ABS(BK554/BQ554),0)</f>
        <v/>
      </c>
      <c r="BS554" s="34">
        <f>IF(BR554&lt;=0.1,0,BK554/BR554*(BR554-0.1))</f>
        <v/>
      </c>
      <c r="BT554" s="34">
        <f>IF((BS554)&lt;0,MAX(F554:G554)*(BS554)*1.03,MIN(F554:G554)*(BS554)*0.97)</f>
        <v/>
      </c>
      <c r="BU554" s="34">
        <f>IF(BR554&gt;0.1,1,0)</f>
        <v/>
      </c>
      <c r="BV554" s="34">
        <f>BF554+BG554+BH554+BY554-CA554</f>
        <v/>
      </c>
      <c r="BW554" s="34">
        <f>ABS(BX554)</f>
        <v/>
      </c>
      <c r="BX554" s="34">
        <f>AY554-(J554-L554+N554-Q554+T554-X554)</f>
        <v/>
      </c>
      <c r="BY554" s="34">
        <f>IF(AND(BX554&gt;0,MIN($F554:$G554)&lt;150,$E554="Enerji Açığı"),-100*BX554*1.03,IF(AND(BX554&gt;0,MIN($F554:$G554)&lt;150,$E554="Enerji Fazlası"),-100*BX554*1.06,IF(AND(BX554&gt;0,MIN($F554:$G554)&gt;=150,$E554="Enerji Açığı"),BX554*MIN($F554:$G554)*0.97,IF(AND(BX554&gt;0,MIN($F554:$G554)&gt;=150,$E554="Enerji Fazlası"),BX554*MIN($F554:$G554)*0.94,IF(AND(BX554&lt;0,MAX($F554:$G554)=4500,$E554="Enerji Açığı"),4500*1.05*1.06*BX554,IF(AND(BX554&lt;0,MAX($F554:$G554)=4500,$E554="Enerji Fazlası"),4500*1.05*1.03*BX554,IF(AND(BX554&lt;0,$E554="Enerji Açığı"),MAX($F554,$G554,150)*BX554*1.06,IF(AND(BX554&lt;0,$E554="Enerji Fazlası"),MAX($F554,$G554,150)*BX554*1.03,IF(AND(BX554&lt;0,$E554="Dengede"),MAX($F554:$G554,150)*1.03*BX554,MIN($F554:$G554)*0.97*BX554)))))))))</f>
        <v/>
      </c>
      <c r="BZ554" s="34">
        <f>BE554-BV554-CA554</f>
        <v/>
      </c>
      <c r="CA554" s="34">
        <f>BD554</f>
        <v/>
      </c>
      <c r="CB554" s="33">
        <f>BE554-BV554</f>
        <v/>
      </c>
      <c r="CC554" s="34">
        <f>IF(AY554=0,0,CB554/AY554)</f>
        <v/>
      </c>
      <c r="CD554" s="34">
        <f>MAX((AY554+MAX((-J554+L554-N554+Q554-T554+X554),0)),(MAX((J554-L554+N554-Q554+T554-X554),0)))</f>
        <v/>
      </c>
      <c r="CE554" s="82">
        <f>IFERROR(ABS(BX554/CD554),0)</f>
        <v/>
      </c>
      <c r="CF554" s="34">
        <f>IF(CE554&lt;=0.1,0,BX554/CE554*(CE554-0.1))</f>
        <v/>
      </c>
      <c r="CG554" s="34">
        <f>IF((CF554)&lt;0,MAX(F554:G554)*(CF554)*1.03,MIN(F554:G554)*(CF554)*0.97)</f>
        <v/>
      </c>
      <c r="CH554" s="34">
        <f>IF(CE554&gt;0.1,1,0)</f>
        <v/>
      </c>
      <c r="CI554" s="34">
        <f>(F554*BX554)-BY554</f>
        <v/>
      </c>
      <c r="CJ554" s="34">
        <f>IF(AY554=0,0,CI554/AY554)</f>
        <v/>
      </c>
    </row>
    <row r="555">
      <c r="A555" s="29">
        <f>[1]FİYATLAR!A530</f>
        <v/>
      </c>
      <c r="B555" s="29">
        <f>[1]FİYATLAR!B530</f>
        <v/>
      </c>
      <c r="C555" s="35">
        <f>INT(A555)</f>
        <v/>
      </c>
      <c r="D555" s="36">
        <f>MONTH(A555)</f>
        <v/>
      </c>
      <c r="E555" s="147">
        <f>[1]FİYATLAR!G530</f>
        <v/>
      </c>
      <c r="F555" s="30">
        <f>[1]FİYATLAR!C530</f>
        <v/>
      </c>
      <c r="G555" s="30">
        <f>[1]FİYATLAR!E530</f>
        <v/>
      </c>
      <c r="H555" s="30">
        <f>[1]FİYATLAR!D530</f>
        <v/>
      </c>
      <c r="I555" s="30">
        <f>[1]FİYATLAR!F530</f>
        <v/>
      </c>
      <c r="J555" s="119" t="n">
        <v>0</v>
      </c>
      <c r="K555" s="34">
        <f>F555*J555</f>
        <v/>
      </c>
      <c r="L555" s="119" t="n"/>
      <c r="M555" s="34">
        <f>L555*F555</f>
        <v/>
      </c>
      <c r="N555" s="119" t="n"/>
      <c r="O555" s="34">
        <f>F555</f>
        <v/>
      </c>
      <c r="P555" s="34">
        <f>N555*O555</f>
        <v/>
      </c>
      <c r="Q555" s="117" t="n">
        <v>0</v>
      </c>
      <c r="R555" s="34">
        <f>F555</f>
        <v/>
      </c>
      <c r="S555" s="34">
        <f>R555*Q555</f>
        <v/>
      </c>
      <c r="T555" s="34">
        <f>SUMIFS('[1]GİP VERİLERİ'!$C:$C,'[1]GİP VERİLERİ'!$B:$B,A555,'[1]GİP VERİLERİ'!$M:$M,"40X000000104782K",'[1]GİP VERİLERİ'!$G:$G,"SELL")</f>
        <v/>
      </c>
      <c r="U555" s="34">
        <f>IFERROR(W555/T555,0)</f>
        <v/>
      </c>
      <c r="V555" s="34">
        <f>IF(U555=0,0,U555-F555)</f>
        <v/>
      </c>
      <c r="W555" s="34">
        <f>SUMIFS('[1]GİP VERİLERİ'!$O:$O,'[1]GİP VERİLERİ'!$B:$B,A555,'[1]GİP VERİLERİ'!$M:$M,"40X000000104782K",'[1]GİP VERİLERİ'!$G:$G,"SELL")</f>
        <v/>
      </c>
      <c r="X555" s="34">
        <f>SUMIFS('[1]GİP VERİLERİ'!$C:$C,'[1]GİP VERİLERİ'!$B:$B,A555,'[1]GİP VERİLERİ'!$M:$M,"40X000000104782K",'[1]GİP VERİLERİ'!$G:$G,"BUY")</f>
        <v/>
      </c>
      <c r="Y555" s="34">
        <f>IFERROR(AA555/X555,0)</f>
        <v/>
      </c>
      <c r="Z555" s="34">
        <f>IF(Y555=0,0,F555-Y555)</f>
        <v/>
      </c>
      <c r="AA555" s="34">
        <f>SUMIFS('[1]GİP VERİLERİ'!$O:$O,'[1]GİP VERİLERİ'!$B:$B,A555,'[1]GİP VERİLERİ'!$M:$M,"40X000000104782K",'[1]GİP VERİLERİ'!$G:$G,"BUY")</f>
        <v/>
      </c>
      <c r="AB555" s="34">
        <f>'[1]GÖP VERİLERİ'!H556</f>
        <v/>
      </c>
      <c r="AC555" s="34">
        <f>'[1]GÖP VERİLERİ'!I556</f>
        <v/>
      </c>
      <c r="AD555" s="34">
        <f>IF(AB555&gt;AC555*1.05,AB555-AC555*1.05,IF(AB555&lt;AC555*0.95,AC555*0.95-AB555,0))</f>
        <v/>
      </c>
      <c r="AE555" s="34">
        <f>MAX(F555,G555,750)*0.05*AD555</f>
        <v/>
      </c>
      <c r="AF555" s="34">
        <f>'[1]GÖP VERİLERİ'!J556</f>
        <v/>
      </c>
      <c r="AG555" s="34">
        <f>IF(AB555&gt;AF555*1.05,AB555-AF555*1.05,IF(AB555&lt;AF555*0.95,AF555*0.95-AB555,0))</f>
        <v/>
      </c>
      <c r="AH555" s="34">
        <f>MAX(I555,J555,750)*0.05*AG555</f>
        <v/>
      </c>
      <c r="AI555">
        <f>'[1]GÖP VERİLERİ'!E556</f>
        <v/>
      </c>
      <c r="AJ555">
        <f>'[1]GÖP VERİLERİ'!F556</f>
        <v/>
      </c>
      <c r="AK555" s="34">
        <f>IF(AI555&gt;AJ555*1.05,AI555-AJ555*1.05,IF(AI555&lt;AJ555*0.95,AJ555*0.95-AI555,0))</f>
        <v/>
      </c>
      <c r="AL555" s="34">
        <f>MAX(F555,G555,750)*0.05*AK555</f>
        <v/>
      </c>
      <c r="AM555" s="39">
        <f>'[1]GÖP VERİLERİ'!G556</f>
        <v/>
      </c>
      <c r="AN555" s="34">
        <f>IF(AI555&gt;AM555*1.05,AI555-AM555*1.05,IF(AI555&lt;AM555*0.95,AM555*0.95-AI555,0))</f>
        <v/>
      </c>
      <c r="AO555" s="34">
        <f>MAX(F555,G555,750)*0.05*AN555</f>
        <v/>
      </c>
      <c r="AP555" s="34">
        <f>'[1]GÖP VERİLERİ'!B556</f>
        <v/>
      </c>
      <c r="AQ555" s="34">
        <f>'[1]GÖP VERİLERİ'!C556</f>
        <v/>
      </c>
      <c r="AR555" s="34">
        <f>IF(AP555&gt;AQ555*1.05,AP555-AQ555*1.05,IF(AP555&lt;AQ555*0.95,AQ555*0.95-AP555,0))</f>
        <v/>
      </c>
      <c r="AS555" s="34">
        <f>MAX(F555:G555,750)*0.05*AR555</f>
        <v/>
      </c>
      <c r="AT555">
        <f>'[1]GÖP VERİLERİ'!D556</f>
        <v/>
      </c>
      <c r="AU555" s="34">
        <f>IF(AP555&gt;AT555*1.05,AP555-AT555*1.05,IF(AP555&lt;AT555*0.95,AT555*0.95-AP555,0))</f>
        <v/>
      </c>
      <c r="AV555" s="34">
        <f>MAX(F555:G555,750)*0.05*AU555</f>
        <v/>
      </c>
      <c r="AW555" s="34">
        <f>AC555+AJ555+AQ555</f>
        <v/>
      </c>
      <c r="AX555" s="34">
        <f>AF555+AM555+AT555</f>
        <v/>
      </c>
      <c r="AY555" s="34">
        <f>AB555+AI555+AP555</f>
        <v/>
      </c>
      <c r="AZ555" s="34" t="n">
        <v>0</v>
      </c>
      <c r="BA555" s="34">
        <f>AD555+AK555+AR555</f>
        <v/>
      </c>
      <c r="BB555" s="34">
        <f>MAX(F555:G555,750)*0.05*BA555</f>
        <v/>
      </c>
      <c r="BC555" s="34">
        <f>AG555+AN555+AU555</f>
        <v/>
      </c>
      <c r="BD555" s="34">
        <f>MAX(F555:G555,750)*0.05*BC555</f>
        <v/>
      </c>
      <c r="BE555" s="34">
        <f>F555*AY555</f>
        <v/>
      </c>
      <c r="BF555" s="34">
        <f>K555-M555</f>
        <v/>
      </c>
      <c r="BG555" s="34">
        <f>P555-S555</f>
        <v/>
      </c>
      <c r="BH555" s="34">
        <f>W555-AA555</f>
        <v/>
      </c>
      <c r="BI555" s="34">
        <f>BF555+BG555+BL555-BN555</f>
        <v/>
      </c>
      <c r="BJ555" s="34">
        <f>ABS(BK555)</f>
        <v/>
      </c>
      <c r="BK555" s="34">
        <f>AY555-(J555-L555+N555-Q555)</f>
        <v/>
      </c>
      <c r="BL555" s="34">
        <f>IF(AND(BK555&gt;0,MIN($F555:$G555)&lt;150,$E555="Enerji Açığı"),-100*BK555*1.03,IF(AND(BK555&gt;0,MIN($F555:$G555)&lt;150,$E555="Enerji Fazlası"),-100*BK555*1.06,IF(AND(BK555&gt;0,MIN($F555:$G555)&gt;=150,$E555="Enerji Açığı"),BK555*MIN($F555:$G555)*0.97,IF(AND(BK555&gt;0,MIN($F555:$G555)&gt;=150,$E555="Enerji Fazlası"),BK555*MIN($F555:$G555)*0.94,IF(AND(BK555&lt;0,MAX($F555:$G555)=4500,$E555="Enerji Açığı"),4500*1.05*1.06*BK555,IF(AND(BK555&lt;0,MAX($F555:$G555)=4500,$E555="Enerji Fazlası"),4500*1.05*1.03*BK555,IF(AND(BK555&lt;0,$E555="Enerji Açığı"),MAX($F555,$G555,150)*BK555*1.06,IF(AND(BK555&lt;0,$E555="Enerji Fazlası"),MAX($F555,$G555,150)*BK555*1.03,IF(AND(BK555&lt;0,$E555="Dengede"),MAX($F555:$G555,150)*1.03*BK555,MIN($F555:$G555)*0.97*BK555)))))))))</f>
        <v/>
      </c>
      <c r="BM555" s="34">
        <f>BE555-BI555-BN555</f>
        <v/>
      </c>
      <c r="BN555" s="34">
        <f>BB555</f>
        <v/>
      </c>
      <c r="BO555" s="34">
        <f>BE555-BI555</f>
        <v/>
      </c>
      <c r="BP555" s="34">
        <f>IF(AY555=0,0,BO555/AY555)</f>
        <v/>
      </c>
      <c r="BQ555" s="34">
        <f>MAX((AY555+MAX((-J555+L555-N555+Q555),0)),(MAX((J555-L555+N555-Q555),0)))</f>
        <v/>
      </c>
      <c r="BR555" s="82">
        <f>IFERROR(ABS(BK555/BQ555),0)</f>
        <v/>
      </c>
      <c r="BS555" s="34">
        <f>IF(BR555&lt;=0.1,0,BK555/BR555*(BR555-0.1))</f>
        <v/>
      </c>
      <c r="BT555" s="34">
        <f>IF((BS555)&lt;0,MAX(F555:G555)*(BS555)*1.03,MIN(F555:G555)*(BS555)*0.97)</f>
        <v/>
      </c>
      <c r="BU555" s="34">
        <f>IF(BR555&gt;0.1,1,0)</f>
        <v/>
      </c>
      <c r="BV555" s="34">
        <f>BF555+BG555+BH555+BY555-CA555</f>
        <v/>
      </c>
      <c r="BW555" s="34">
        <f>ABS(BX555)</f>
        <v/>
      </c>
      <c r="BX555" s="34">
        <f>AY555-(J555-L555+N555-Q555+T555-X555)</f>
        <v/>
      </c>
      <c r="BY555" s="34">
        <f>IF(AND(BX555&gt;0,MIN($F555:$G555)&lt;150,$E555="Enerji Açığı"),-100*BX555*1.03,IF(AND(BX555&gt;0,MIN($F555:$G555)&lt;150,$E555="Enerji Fazlası"),-100*BX555*1.06,IF(AND(BX555&gt;0,MIN($F555:$G555)&gt;=150,$E555="Enerji Açığı"),BX555*MIN($F555:$G555)*0.97,IF(AND(BX555&gt;0,MIN($F555:$G555)&gt;=150,$E555="Enerji Fazlası"),BX555*MIN($F555:$G555)*0.94,IF(AND(BX555&lt;0,MAX($F555:$G555)=4500,$E555="Enerji Açığı"),4500*1.05*1.06*BX555,IF(AND(BX555&lt;0,MAX($F555:$G555)=4500,$E555="Enerji Fazlası"),4500*1.05*1.03*BX555,IF(AND(BX555&lt;0,$E555="Enerji Açığı"),MAX($F555,$G555,150)*BX555*1.06,IF(AND(BX555&lt;0,$E555="Enerji Fazlası"),MAX($F555,$G555,150)*BX555*1.03,IF(AND(BX555&lt;0,$E555="Dengede"),MAX($F555:$G555,150)*1.03*BX555,MIN($F555:$G555)*0.97*BX555)))))))))</f>
        <v/>
      </c>
      <c r="BZ555" s="34">
        <f>BE555-BV555-CA555</f>
        <v/>
      </c>
      <c r="CA555" s="34">
        <f>BD555</f>
        <v/>
      </c>
      <c r="CB555" s="33">
        <f>BE555-BV555</f>
        <v/>
      </c>
      <c r="CC555" s="34">
        <f>IF(AY555=0,0,CB555/AY555)</f>
        <v/>
      </c>
      <c r="CD555" s="34">
        <f>MAX((AY555+MAX((-J555+L555-N555+Q555-T555+X555),0)),(MAX((J555-L555+N555-Q555+T555-X555),0)))</f>
        <v/>
      </c>
      <c r="CE555" s="82">
        <f>IFERROR(ABS(BX555/CD555),0)</f>
        <v/>
      </c>
      <c r="CF555" s="34">
        <f>IF(CE555&lt;=0.1,0,BX555/CE555*(CE555-0.1))</f>
        <v/>
      </c>
      <c r="CG555" s="34">
        <f>IF((CF555)&lt;0,MAX(F555:G555)*(CF555)*1.03,MIN(F555:G555)*(CF555)*0.97)</f>
        <v/>
      </c>
      <c r="CH555" s="34">
        <f>IF(CE555&gt;0.1,1,0)</f>
        <v/>
      </c>
      <c r="CI555" s="34">
        <f>(F555*BX555)-BY555</f>
        <v/>
      </c>
      <c r="CJ555" s="34">
        <f>IF(AY555=0,0,CI555/AY555)</f>
        <v/>
      </c>
    </row>
    <row r="556">
      <c r="A556" s="29">
        <f>[1]FİYATLAR!A531</f>
        <v/>
      </c>
      <c r="B556" s="29">
        <f>[1]FİYATLAR!B531</f>
        <v/>
      </c>
      <c r="C556" s="35">
        <f>INT(A556)</f>
        <v/>
      </c>
      <c r="D556" s="36">
        <f>MONTH(A556)</f>
        <v/>
      </c>
      <c r="E556" s="147">
        <f>[1]FİYATLAR!G531</f>
        <v/>
      </c>
      <c r="F556" s="30">
        <f>[1]FİYATLAR!C531</f>
        <v/>
      </c>
      <c r="G556" s="30">
        <f>[1]FİYATLAR!E531</f>
        <v/>
      </c>
      <c r="H556" s="30">
        <f>[1]FİYATLAR!D531</f>
        <v/>
      </c>
      <c r="I556" s="30">
        <f>[1]FİYATLAR!F531</f>
        <v/>
      </c>
      <c r="J556" s="119" t="n">
        <v>0</v>
      </c>
      <c r="K556" s="34">
        <f>F556*J556</f>
        <v/>
      </c>
      <c r="L556" s="119" t="n"/>
      <c r="M556" s="34">
        <f>L556*F556</f>
        <v/>
      </c>
      <c r="N556" s="119" t="n"/>
      <c r="O556" s="34">
        <f>F556</f>
        <v/>
      </c>
      <c r="P556" s="34">
        <f>N556*O556</f>
        <v/>
      </c>
      <c r="Q556" s="117" t="n">
        <v>0</v>
      </c>
      <c r="R556" s="34">
        <f>F556</f>
        <v/>
      </c>
      <c r="S556" s="34">
        <f>R556*Q556</f>
        <v/>
      </c>
      <c r="T556" s="34">
        <f>SUMIFS('[1]GİP VERİLERİ'!$C:$C,'[1]GİP VERİLERİ'!$B:$B,A556,'[1]GİP VERİLERİ'!$M:$M,"40X000000104782K",'[1]GİP VERİLERİ'!$G:$G,"SELL")</f>
        <v/>
      </c>
      <c r="U556" s="34">
        <f>IFERROR(W556/T556,0)</f>
        <v/>
      </c>
      <c r="V556" s="34">
        <f>IF(U556=0,0,U556-F556)</f>
        <v/>
      </c>
      <c r="W556" s="34">
        <f>SUMIFS('[1]GİP VERİLERİ'!$O:$O,'[1]GİP VERİLERİ'!$B:$B,A556,'[1]GİP VERİLERİ'!$M:$M,"40X000000104782K",'[1]GİP VERİLERİ'!$G:$G,"SELL")</f>
        <v/>
      </c>
      <c r="X556" s="34">
        <f>SUMIFS('[1]GİP VERİLERİ'!$C:$C,'[1]GİP VERİLERİ'!$B:$B,A556,'[1]GİP VERİLERİ'!$M:$M,"40X000000104782K",'[1]GİP VERİLERİ'!$G:$G,"BUY")</f>
        <v/>
      </c>
      <c r="Y556" s="34">
        <f>IFERROR(AA556/X556,0)</f>
        <v/>
      </c>
      <c r="Z556" s="34">
        <f>IF(Y556=0,0,F556-Y556)</f>
        <v/>
      </c>
      <c r="AA556" s="34">
        <f>SUMIFS('[1]GİP VERİLERİ'!$O:$O,'[1]GİP VERİLERİ'!$B:$B,A556,'[1]GİP VERİLERİ'!$M:$M,"40X000000104782K",'[1]GİP VERİLERİ'!$G:$G,"BUY")</f>
        <v/>
      </c>
      <c r="AB556" s="34">
        <f>'[1]GÖP VERİLERİ'!H557</f>
        <v/>
      </c>
      <c r="AC556" s="34">
        <f>'[1]GÖP VERİLERİ'!I557</f>
        <v/>
      </c>
      <c r="AD556" s="34">
        <f>IF(AB556&gt;AC556*1.05,AB556-AC556*1.05,IF(AB556&lt;AC556*0.95,AC556*0.95-AB556,0))</f>
        <v/>
      </c>
      <c r="AE556" s="34">
        <f>MAX(F556,G556,750)*0.05*AD556</f>
        <v/>
      </c>
      <c r="AF556" s="34">
        <f>'[1]GÖP VERİLERİ'!J557</f>
        <v/>
      </c>
      <c r="AG556" s="34">
        <f>IF(AB556&gt;AF556*1.05,AB556-AF556*1.05,IF(AB556&lt;AF556*0.95,AF556*0.95-AB556,0))</f>
        <v/>
      </c>
      <c r="AH556" s="34">
        <f>MAX(I556,J556,750)*0.05*AG556</f>
        <v/>
      </c>
      <c r="AI556">
        <f>'[1]GÖP VERİLERİ'!E557</f>
        <v/>
      </c>
      <c r="AJ556">
        <f>'[1]GÖP VERİLERİ'!F557</f>
        <v/>
      </c>
      <c r="AK556" s="34">
        <f>IF(AI556&gt;AJ556*1.05,AI556-AJ556*1.05,IF(AI556&lt;AJ556*0.95,AJ556*0.95-AI556,0))</f>
        <v/>
      </c>
      <c r="AL556" s="34">
        <f>MAX(F556,G556,750)*0.05*AK556</f>
        <v/>
      </c>
      <c r="AM556" s="39">
        <f>'[1]GÖP VERİLERİ'!G557</f>
        <v/>
      </c>
      <c r="AN556" s="34">
        <f>IF(AI556&gt;AM556*1.05,AI556-AM556*1.05,IF(AI556&lt;AM556*0.95,AM556*0.95-AI556,0))</f>
        <v/>
      </c>
      <c r="AO556" s="34">
        <f>MAX(F556,G556,750)*0.05*AN556</f>
        <v/>
      </c>
      <c r="AP556" s="34">
        <f>'[1]GÖP VERİLERİ'!B557</f>
        <v/>
      </c>
      <c r="AQ556" s="34">
        <f>'[1]GÖP VERİLERİ'!C557</f>
        <v/>
      </c>
      <c r="AR556" s="34">
        <f>IF(AP556&gt;AQ556*1.05,AP556-AQ556*1.05,IF(AP556&lt;AQ556*0.95,AQ556*0.95-AP556,0))</f>
        <v/>
      </c>
      <c r="AS556" s="34">
        <f>MAX(F556:G556,750)*0.05*AR556</f>
        <v/>
      </c>
      <c r="AT556">
        <f>'[1]GÖP VERİLERİ'!D557</f>
        <v/>
      </c>
      <c r="AU556" s="34">
        <f>IF(AP556&gt;AT556*1.05,AP556-AT556*1.05,IF(AP556&lt;AT556*0.95,AT556*0.95-AP556,0))</f>
        <v/>
      </c>
      <c r="AV556" s="34">
        <f>MAX(F556:G556,750)*0.05*AU556</f>
        <v/>
      </c>
      <c r="AW556" s="34">
        <f>AC556+AJ556+AQ556</f>
        <v/>
      </c>
      <c r="AX556" s="34">
        <f>AF556+AM556+AT556</f>
        <v/>
      </c>
      <c r="AY556" s="34">
        <f>AB556+AI556+AP556</f>
        <v/>
      </c>
      <c r="AZ556" s="34" t="n">
        <v>0</v>
      </c>
      <c r="BA556" s="34">
        <f>AD556+AK556+AR556</f>
        <v/>
      </c>
      <c r="BB556" s="34">
        <f>MAX(F556:G556,750)*0.05*BA556</f>
        <v/>
      </c>
      <c r="BC556" s="34">
        <f>AG556+AN556+AU556</f>
        <v/>
      </c>
      <c r="BD556" s="34">
        <f>MAX(F556:G556,750)*0.05*BC556</f>
        <v/>
      </c>
      <c r="BE556" s="34">
        <f>F556*AY556</f>
        <v/>
      </c>
      <c r="BF556" s="34">
        <f>K556-M556</f>
        <v/>
      </c>
      <c r="BG556" s="34">
        <f>P556-S556</f>
        <v/>
      </c>
      <c r="BH556" s="34">
        <f>W556-AA556</f>
        <v/>
      </c>
      <c r="BI556" s="34">
        <f>BF556+BG556+BL556-BN556</f>
        <v/>
      </c>
      <c r="BJ556" s="34">
        <f>ABS(BK556)</f>
        <v/>
      </c>
      <c r="BK556" s="34">
        <f>AY556-(J556-L556+N556-Q556)</f>
        <v/>
      </c>
      <c r="BL556" s="34">
        <f>IF(AND(BK556&gt;0,MIN($F556:$G556)&lt;150,$E556="Enerji Açığı"),-100*BK556*1.03,IF(AND(BK556&gt;0,MIN($F556:$G556)&lt;150,$E556="Enerji Fazlası"),-100*BK556*1.06,IF(AND(BK556&gt;0,MIN($F556:$G556)&gt;=150,$E556="Enerji Açığı"),BK556*MIN($F556:$G556)*0.97,IF(AND(BK556&gt;0,MIN($F556:$G556)&gt;=150,$E556="Enerji Fazlası"),BK556*MIN($F556:$G556)*0.94,IF(AND(BK556&lt;0,MAX($F556:$G556)=4500,$E556="Enerji Açığı"),4500*1.05*1.06*BK556,IF(AND(BK556&lt;0,MAX($F556:$G556)=4500,$E556="Enerji Fazlası"),4500*1.05*1.03*BK556,IF(AND(BK556&lt;0,$E556="Enerji Açığı"),MAX($F556,$G556,150)*BK556*1.06,IF(AND(BK556&lt;0,$E556="Enerji Fazlası"),MAX($F556,$G556,150)*BK556*1.03,IF(AND(BK556&lt;0,$E556="Dengede"),MAX($F556:$G556,150)*1.03*BK556,MIN($F556:$G556)*0.97*BK556)))))))))</f>
        <v/>
      </c>
      <c r="BM556" s="34">
        <f>BE556-BI556-BN556</f>
        <v/>
      </c>
      <c r="BN556" s="34">
        <f>BB556</f>
        <v/>
      </c>
      <c r="BO556" s="34">
        <f>BE556-BI556</f>
        <v/>
      </c>
      <c r="BP556" s="34">
        <f>IF(AY556=0,0,BO556/AY556)</f>
        <v/>
      </c>
      <c r="BQ556" s="34">
        <f>MAX((AY556+MAX((-J556+L556-N556+Q556),0)),(MAX((J556-L556+N556-Q556),0)))</f>
        <v/>
      </c>
      <c r="BR556" s="82">
        <f>IFERROR(ABS(BK556/BQ556),0)</f>
        <v/>
      </c>
      <c r="BS556" s="34">
        <f>IF(BR556&lt;=0.1,0,BK556/BR556*(BR556-0.1))</f>
        <v/>
      </c>
      <c r="BT556" s="34">
        <f>IF((BS556)&lt;0,MAX(F556:G556)*(BS556)*1.03,MIN(F556:G556)*(BS556)*0.97)</f>
        <v/>
      </c>
      <c r="BU556" s="34">
        <f>IF(BR556&gt;0.1,1,0)</f>
        <v/>
      </c>
      <c r="BV556" s="34">
        <f>BF556+BG556+BH556+BY556-CA556</f>
        <v/>
      </c>
      <c r="BW556" s="34">
        <f>ABS(BX556)</f>
        <v/>
      </c>
      <c r="BX556" s="34">
        <f>AY556-(J556-L556+N556-Q556+T556-X556)</f>
        <v/>
      </c>
      <c r="BY556" s="34">
        <f>IF(AND(BX556&gt;0,MIN($F556:$G556)&lt;150,$E556="Enerji Açığı"),-100*BX556*1.03,IF(AND(BX556&gt;0,MIN($F556:$G556)&lt;150,$E556="Enerji Fazlası"),-100*BX556*1.06,IF(AND(BX556&gt;0,MIN($F556:$G556)&gt;=150,$E556="Enerji Açığı"),BX556*MIN($F556:$G556)*0.97,IF(AND(BX556&gt;0,MIN($F556:$G556)&gt;=150,$E556="Enerji Fazlası"),BX556*MIN($F556:$G556)*0.94,IF(AND(BX556&lt;0,MAX($F556:$G556)=4500,$E556="Enerji Açığı"),4500*1.05*1.06*BX556,IF(AND(BX556&lt;0,MAX($F556:$G556)=4500,$E556="Enerji Fazlası"),4500*1.05*1.03*BX556,IF(AND(BX556&lt;0,$E556="Enerji Açığı"),MAX($F556,$G556,150)*BX556*1.06,IF(AND(BX556&lt;0,$E556="Enerji Fazlası"),MAX($F556,$G556,150)*BX556*1.03,IF(AND(BX556&lt;0,$E556="Dengede"),MAX($F556:$G556,150)*1.03*BX556,MIN($F556:$G556)*0.97*BX556)))))))))</f>
        <v/>
      </c>
      <c r="BZ556" s="34">
        <f>BE556-BV556-CA556</f>
        <v/>
      </c>
      <c r="CA556" s="34">
        <f>BD556</f>
        <v/>
      </c>
      <c r="CB556" s="33">
        <f>BE556-BV556</f>
        <v/>
      </c>
      <c r="CC556" s="34">
        <f>IF(AY556=0,0,CB556/AY556)</f>
        <v/>
      </c>
      <c r="CD556" s="34">
        <f>MAX((AY556+MAX((-J556+L556-N556+Q556-T556+X556),0)),(MAX((J556-L556+N556-Q556+T556-X556),0)))</f>
        <v/>
      </c>
      <c r="CE556" s="82">
        <f>IFERROR(ABS(BX556/CD556),0)</f>
        <v/>
      </c>
      <c r="CF556" s="34">
        <f>IF(CE556&lt;=0.1,0,BX556/CE556*(CE556-0.1))</f>
        <v/>
      </c>
      <c r="CG556" s="34">
        <f>IF((CF556)&lt;0,MAX(F556:G556)*(CF556)*1.03,MIN(F556:G556)*(CF556)*0.97)</f>
        <v/>
      </c>
      <c r="CH556" s="34">
        <f>IF(CE556&gt;0.1,1,0)</f>
        <v/>
      </c>
      <c r="CI556" s="34">
        <f>(F556*BX556)-BY556</f>
        <v/>
      </c>
      <c r="CJ556" s="34">
        <f>IF(AY556=0,0,CI556/AY556)</f>
        <v/>
      </c>
    </row>
    <row r="557">
      <c r="A557" s="29">
        <f>[1]FİYATLAR!A532</f>
        <v/>
      </c>
      <c r="B557" s="29">
        <f>[1]FİYATLAR!B532</f>
        <v/>
      </c>
      <c r="C557" s="35">
        <f>INT(A557)</f>
        <v/>
      </c>
      <c r="D557" s="36">
        <f>MONTH(A557)</f>
        <v/>
      </c>
      <c r="E557" s="147">
        <f>[1]FİYATLAR!G532</f>
        <v/>
      </c>
      <c r="F557" s="30">
        <f>[1]FİYATLAR!C532</f>
        <v/>
      </c>
      <c r="G557" s="30">
        <f>[1]FİYATLAR!E532</f>
        <v/>
      </c>
      <c r="H557" s="30">
        <f>[1]FİYATLAR!D532</f>
        <v/>
      </c>
      <c r="I557" s="30">
        <f>[1]FİYATLAR!F532</f>
        <v/>
      </c>
      <c r="J557" s="119" t="n">
        <v>0</v>
      </c>
      <c r="K557" s="34">
        <f>F557*J557</f>
        <v/>
      </c>
      <c r="L557" s="119" t="n"/>
      <c r="M557" s="34">
        <f>L557*F557</f>
        <v/>
      </c>
      <c r="N557" s="119" t="n"/>
      <c r="O557" s="34">
        <f>F557</f>
        <v/>
      </c>
      <c r="P557" s="34">
        <f>N557*O557</f>
        <v/>
      </c>
      <c r="Q557" s="117" t="n">
        <v>0</v>
      </c>
      <c r="R557" s="34">
        <f>F557</f>
        <v/>
      </c>
      <c r="S557" s="34">
        <f>R557*Q557</f>
        <v/>
      </c>
      <c r="T557" s="34">
        <f>SUMIFS('[1]GİP VERİLERİ'!$C:$C,'[1]GİP VERİLERİ'!$B:$B,A557,'[1]GİP VERİLERİ'!$M:$M,"40X000000104782K",'[1]GİP VERİLERİ'!$G:$G,"SELL")</f>
        <v/>
      </c>
      <c r="U557" s="34">
        <f>IFERROR(W557/T557,0)</f>
        <v/>
      </c>
      <c r="V557" s="34">
        <f>IF(U557=0,0,U557-F557)</f>
        <v/>
      </c>
      <c r="W557" s="34">
        <f>SUMIFS('[1]GİP VERİLERİ'!$O:$O,'[1]GİP VERİLERİ'!$B:$B,A557,'[1]GİP VERİLERİ'!$M:$M,"40X000000104782K",'[1]GİP VERİLERİ'!$G:$G,"SELL")</f>
        <v/>
      </c>
      <c r="X557" s="34">
        <f>SUMIFS('[1]GİP VERİLERİ'!$C:$C,'[1]GİP VERİLERİ'!$B:$B,A557,'[1]GİP VERİLERİ'!$M:$M,"40X000000104782K",'[1]GİP VERİLERİ'!$G:$G,"BUY")</f>
        <v/>
      </c>
      <c r="Y557" s="34">
        <f>IFERROR(AA557/X557,0)</f>
        <v/>
      </c>
      <c r="Z557" s="34">
        <f>IF(Y557=0,0,F557-Y557)</f>
        <v/>
      </c>
      <c r="AA557" s="34">
        <f>SUMIFS('[1]GİP VERİLERİ'!$O:$O,'[1]GİP VERİLERİ'!$B:$B,A557,'[1]GİP VERİLERİ'!$M:$M,"40X000000104782K",'[1]GİP VERİLERİ'!$G:$G,"BUY")</f>
        <v/>
      </c>
      <c r="AB557" s="34">
        <f>'[1]GÖP VERİLERİ'!H558</f>
        <v/>
      </c>
      <c r="AC557" s="34">
        <f>'[1]GÖP VERİLERİ'!I558</f>
        <v/>
      </c>
      <c r="AD557" s="34">
        <f>IF(AB557&gt;AC557*1.05,AB557-AC557*1.05,IF(AB557&lt;AC557*0.95,AC557*0.95-AB557,0))</f>
        <v/>
      </c>
      <c r="AE557" s="34">
        <f>MAX(F557,G557,750)*0.05*AD557</f>
        <v/>
      </c>
      <c r="AF557" s="34">
        <f>'[1]GÖP VERİLERİ'!J558</f>
        <v/>
      </c>
      <c r="AG557" s="34">
        <f>IF(AB557&gt;AF557*1.05,AB557-AF557*1.05,IF(AB557&lt;AF557*0.95,AF557*0.95-AB557,0))</f>
        <v/>
      </c>
      <c r="AH557" s="34">
        <f>MAX(I557,J557,750)*0.05*AG557</f>
        <v/>
      </c>
      <c r="AI557">
        <f>'[1]GÖP VERİLERİ'!E558</f>
        <v/>
      </c>
      <c r="AJ557">
        <f>'[1]GÖP VERİLERİ'!F558</f>
        <v/>
      </c>
      <c r="AK557" s="34">
        <f>IF(AI557&gt;AJ557*1.05,AI557-AJ557*1.05,IF(AI557&lt;AJ557*0.95,AJ557*0.95-AI557,0))</f>
        <v/>
      </c>
      <c r="AL557" s="34">
        <f>MAX(F557,G557,750)*0.05*AK557</f>
        <v/>
      </c>
      <c r="AM557" s="39">
        <f>'[1]GÖP VERİLERİ'!G558</f>
        <v/>
      </c>
      <c r="AN557" s="34">
        <f>IF(AI557&gt;AM557*1.05,AI557-AM557*1.05,IF(AI557&lt;AM557*0.95,AM557*0.95-AI557,0))</f>
        <v/>
      </c>
      <c r="AO557" s="34">
        <f>MAX(F557,G557,750)*0.05*AN557</f>
        <v/>
      </c>
      <c r="AP557" s="34">
        <f>'[1]GÖP VERİLERİ'!B558</f>
        <v/>
      </c>
      <c r="AQ557" s="34">
        <f>'[1]GÖP VERİLERİ'!C558</f>
        <v/>
      </c>
      <c r="AR557" s="34">
        <f>IF(AP557&gt;AQ557*1.05,AP557-AQ557*1.05,IF(AP557&lt;AQ557*0.95,AQ557*0.95-AP557,0))</f>
        <v/>
      </c>
      <c r="AS557" s="34">
        <f>MAX(F557:G557,750)*0.05*AR557</f>
        <v/>
      </c>
      <c r="AT557">
        <f>'[1]GÖP VERİLERİ'!D558</f>
        <v/>
      </c>
      <c r="AU557" s="34">
        <f>IF(AP557&gt;AT557*1.05,AP557-AT557*1.05,IF(AP557&lt;AT557*0.95,AT557*0.95-AP557,0))</f>
        <v/>
      </c>
      <c r="AV557" s="34">
        <f>MAX(F557:G557,750)*0.05*AU557</f>
        <v/>
      </c>
      <c r="AW557" s="34">
        <f>AC557+AJ557+AQ557</f>
        <v/>
      </c>
      <c r="AX557" s="34">
        <f>AF557+AM557+AT557</f>
        <v/>
      </c>
      <c r="AY557" s="34">
        <f>AB557+AI557+AP557</f>
        <v/>
      </c>
      <c r="AZ557" s="34" t="n">
        <v>0</v>
      </c>
      <c r="BA557" s="34">
        <f>AD557+AK557+AR557</f>
        <v/>
      </c>
      <c r="BB557" s="34">
        <f>MAX(F557:G557,750)*0.05*BA557</f>
        <v/>
      </c>
      <c r="BC557" s="34">
        <f>AG557+AN557+AU557</f>
        <v/>
      </c>
      <c r="BD557" s="34">
        <f>MAX(F557:G557,750)*0.05*BC557</f>
        <v/>
      </c>
      <c r="BE557" s="34">
        <f>F557*AY557</f>
        <v/>
      </c>
      <c r="BF557" s="34">
        <f>K557-M557</f>
        <v/>
      </c>
      <c r="BG557" s="34">
        <f>P557-S557</f>
        <v/>
      </c>
      <c r="BH557" s="34">
        <f>W557-AA557</f>
        <v/>
      </c>
      <c r="BI557" s="34">
        <f>BF557+BG557+BL557-BN557</f>
        <v/>
      </c>
      <c r="BJ557" s="34">
        <f>ABS(BK557)</f>
        <v/>
      </c>
      <c r="BK557" s="34">
        <f>AY557-(J557-L557+N557-Q557)</f>
        <v/>
      </c>
      <c r="BL557" s="34">
        <f>IF(AND(BK557&gt;0,MIN($F557:$G557)&lt;150,$E557="Enerji Açığı"),-100*BK557*1.03,IF(AND(BK557&gt;0,MIN($F557:$G557)&lt;150,$E557="Enerji Fazlası"),-100*BK557*1.06,IF(AND(BK557&gt;0,MIN($F557:$G557)&gt;=150,$E557="Enerji Açığı"),BK557*MIN($F557:$G557)*0.97,IF(AND(BK557&gt;0,MIN($F557:$G557)&gt;=150,$E557="Enerji Fazlası"),BK557*MIN($F557:$G557)*0.94,IF(AND(BK557&lt;0,MAX($F557:$G557)=4500,$E557="Enerji Açığı"),4500*1.05*1.06*BK557,IF(AND(BK557&lt;0,MAX($F557:$G557)=4500,$E557="Enerji Fazlası"),4500*1.05*1.03*BK557,IF(AND(BK557&lt;0,$E557="Enerji Açığı"),MAX($F557,$G557,150)*BK557*1.06,IF(AND(BK557&lt;0,$E557="Enerji Fazlası"),MAX($F557,$G557,150)*BK557*1.03,IF(AND(BK557&lt;0,$E557="Dengede"),MAX($F557:$G557,150)*1.03*BK557,MIN($F557:$G557)*0.97*BK557)))))))))</f>
        <v/>
      </c>
      <c r="BM557" s="34">
        <f>BE557-BI557-BN557</f>
        <v/>
      </c>
      <c r="BN557" s="34">
        <f>BB557</f>
        <v/>
      </c>
      <c r="BO557" s="34">
        <f>BE557-BI557</f>
        <v/>
      </c>
      <c r="BP557" s="34">
        <f>IF(AY557=0,0,BO557/AY557)</f>
        <v/>
      </c>
      <c r="BQ557" s="34">
        <f>MAX((AY557+MAX((-J557+L557-N557+Q557),0)),(MAX((J557-L557+N557-Q557),0)))</f>
        <v/>
      </c>
      <c r="BR557" s="82">
        <f>IFERROR(ABS(BK557/BQ557),0)</f>
        <v/>
      </c>
      <c r="BS557" s="34">
        <f>IF(BR557&lt;=0.1,0,BK557/BR557*(BR557-0.1))</f>
        <v/>
      </c>
      <c r="BT557" s="34">
        <f>IF((BS557)&lt;0,MAX(F557:G557)*(BS557)*1.03,MIN(F557:G557)*(BS557)*0.97)</f>
        <v/>
      </c>
      <c r="BU557" s="34">
        <f>IF(BR557&gt;0.1,1,0)</f>
        <v/>
      </c>
      <c r="BV557" s="34">
        <f>BF557+BG557+BH557+BY557-CA557</f>
        <v/>
      </c>
      <c r="BW557" s="34">
        <f>ABS(BX557)</f>
        <v/>
      </c>
      <c r="BX557" s="34">
        <f>AY557-(J557-L557+N557-Q557+T557-X557)</f>
        <v/>
      </c>
      <c r="BY557" s="34">
        <f>IF(AND(BX557&gt;0,MIN($F557:$G557)&lt;150,$E557="Enerji Açığı"),-100*BX557*1.03,IF(AND(BX557&gt;0,MIN($F557:$G557)&lt;150,$E557="Enerji Fazlası"),-100*BX557*1.06,IF(AND(BX557&gt;0,MIN($F557:$G557)&gt;=150,$E557="Enerji Açığı"),BX557*MIN($F557:$G557)*0.97,IF(AND(BX557&gt;0,MIN($F557:$G557)&gt;=150,$E557="Enerji Fazlası"),BX557*MIN($F557:$G557)*0.94,IF(AND(BX557&lt;0,MAX($F557:$G557)=4500,$E557="Enerji Açığı"),4500*1.05*1.06*BX557,IF(AND(BX557&lt;0,MAX($F557:$G557)=4500,$E557="Enerji Fazlası"),4500*1.05*1.03*BX557,IF(AND(BX557&lt;0,$E557="Enerji Açığı"),MAX($F557,$G557,150)*BX557*1.06,IF(AND(BX557&lt;0,$E557="Enerji Fazlası"),MAX($F557,$G557,150)*BX557*1.03,IF(AND(BX557&lt;0,$E557="Dengede"),MAX($F557:$G557,150)*1.03*BX557,MIN($F557:$G557)*0.97*BX557)))))))))</f>
        <v/>
      </c>
      <c r="BZ557" s="34">
        <f>BE557-BV557-CA557</f>
        <v/>
      </c>
      <c r="CA557" s="34">
        <f>BD557</f>
        <v/>
      </c>
      <c r="CB557" s="33">
        <f>BE557-BV557</f>
        <v/>
      </c>
      <c r="CC557" s="34">
        <f>IF(AY557=0,0,CB557/AY557)</f>
        <v/>
      </c>
      <c r="CD557" s="34">
        <f>MAX((AY557+MAX((-J557+L557-N557+Q557-T557+X557),0)),(MAX((J557-L557+N557-Q557+T557-X557),0)))</f>
        <v/>
      </c>
      <c r="CE557" s="82">
        <f>IFERROR(ABS(BX557/CD557),0)</f>
        <v/>
      </c>
      <c r="CF557" s="34">
        <f>IF(CE557&lt;=0.1,0,BX557/CE557*(CE557-0.1))</f>
        <v/>
      </c>
      <c r="CG557" s="34">
        <f>IF((CF557)&lt;0,MAX(F557:G557)*(CF557)*1.03,MIN(F557:G557)*(CF557)*0.97)</f>
        <v/>
      </c>
      <c r="CH557" s="34">
        <f>IF(CE557&gt;0.1,1,0)</f>
        <v/>
      </c>
      <c r="CI557" s="34">
        <f>(F557*BX557)-BY557</f>
        <v/>
      </c>
      <c r="CJ557" s="34">
        <f>IF(AY557=0,0,CI557/AY557)</f>
        <v/>
      </c>
    </row>
    <row r="558">
      <c r="A558" s="29">
        <f>[1]FİYATLAR!A533</f>
        <v/>
      </c>
      <c r="B558" s="29">
        <f>[1]FİYATLAR!B533</f>
        <v/>
      </c>
      <c r="C558" s="35">
        <f>INT(A558)</f>
        <v/>
      </c>
      <c r="D558" s="36">
        <f>MONTH(A558)</f>
        <v/>
      </c>
      <c r="E558" s="147">
        <f>[1]FİYATLAR!G533</f>
        <v/>
      </c>
      <c r="F558" s="30">
        <f>[1]FİYATLAR!C533</f>
        <v/>
      </c>
      <c r="G558" s="30">
        <f>[1]FİYATLAR!E533</f>
        <v/>
      </c>
      <c r="H558" s="30">
        <f>[1]FİYATLAR!D533</f>
        <v/>
      </c>
      <c r="I558" s="30">
        <f>[1]FİYATLAR!F533</f>
        <v/>
      </c>
      <c r="J558" s="119" t="n">
        <v>0</v>
      </c>
      <c r="K558" s="34">
        <f>F558*J558</f>
        <v/>
      </c>
      <c r="L558" s="119" t="n"/>
      <c r="M558" s="34">
        <f>L558*F558</f>
        <v/>
      </c>
      <c r="N558" s="119" t="n"/>
      <c r="O558" s="34">
        <f>F558</f>
        <v/>
      </c>
      <c r="P558" s="34">
        <f>N558*O558</f>
        <v/>
      </c>
      <c r="Q558" s="117" t="n">
        <v>0</v>
      </c>
      <c r="R558" s="34">
        <f>F558</f>
        <v/>
      </c>
      <c r="S558" s="34">
        <f>R558*Q558</f>
        <v/>
      </c>
      <c r="T558" s="34">
        <f>SUMIFS('[1]GİP VERİLERİ'!$C:$C,'[1]GİP VERİLERİ'!$B:$B,A558,'[1]GİP VERİLERİ'!$M:$M,"40X000000104782K",'[1]GİP VERİLERİ'!$G:$G,"SELL")</f>
        <v/>
      </c>
      <c r="U558" s="34">
        <f>IFERROR(W558/T558,0)</f>
        <v/>
      </c>
      <c r="V558" s="34">
        <f>IF(U558=0,0,U558-F558)</f>
        <v/>
      </c>
      <c r="W558" s="34">
        <f>SUMIFS('[1]GİP VERİLERİ'!$O:$O,'[1]GİP VERİLERİ'!$B:$B,A558,'[1]GİP VERİLERİ'!$M:$M,"40X000000104782K",'[1]GİP VERİLERİ'!$G:$G,"SELL")</f>
        <v/>
      </c>
      <c r="X558" s="34">
        <f>SUMIFS('[1]GİP VERİLERİ'!$C:$C,'[1]GİP VERİLERİ'!$B:$B,A558,'[1]GİP VERİLERİ'!$M:$M,"40X000000104782K",'[1]GİP VERİLERİ'!$G:$G,"BUY")</f>
        <v/>
      </c>
      <c r="Y558" s="34">
        <f>IFERROR(AA558/X558,0)</f>
        <v/>
      </c>
      <c r="Z558" s="34">
        <f>IF(Y558=0,0,F558-Y558)</f>
        <v/>
      </c>
      <c r="AA558" s="34">
        <f>SUMIFS('[1]GİP VERİLERİ'!$O:$O,'[1]GİP VERİLERİ'!$B:$B,A558,'[1]GİP VERİLERİ'!$M:$M,"40X000000104782K",'[1]GİP VERİLERİ'!$G:$G,"BUY")</f>
        <v/>
      </c>
      <c r="AB558" s="34">
        <f>'[1]GÖP VERİLERİ'!H559</f>
        <v/>
      </c>
      <c r="AC558" s="34">
        <f>'[1]GÖP VERİLERİ'!I559</f>
        <v/>
      </c>
      <c r="AD558" s="34">
        <f>IF(AB558&gt;AC558*1.05,AB558-AC558*1.05,IF(AB558&lt;AC558*0.95,AC558*0.95-AB558,0))</f>
        <v/>
      </c>
      <c r="AE558" s="34">
        <f>MAX(F558,G558,750)*0.05*AD558</f>
        <v/>
      </c>
      <c r="AF558" s="34">
        <f>'[1]GÖP VERİLERİ'!J559</f>
        <v/>
      </c>
      <c r="AG558" s="34">
        <f>IF(AB558&gt;AF558*1.05,AB558-AF558*1.05,IF(AB558&lt;AF558*0.95,AF558*0.95-AB558,0))</f>
        <v/>
      </c>
      <c r="AH558" s="34">
        <f>MAX(I558,J558,750)*0.05*AG558</f>
        <v/>
      </c>
      <c r="AI558">
        <f>'[1]GÖP VERİLERİ'!E559</f>
        <v/>
      </c>
      <c r="AJ558">
        <f>'[1]GÖP VERİLERİ'!F559</f>
        <v/>
      </c>
      <c r="AK558" s="34">
        <f>IF(AI558&gt;AJ558*1.05,AI558-AJ558*1.05,IF(AI558&lt;AJ558*0.95,AJ558*0.95-AI558,0))</f>
        <v/>
      </c>
      <c r="AL558" s="34">
        <f>MAX(F558,G558,750)*0.05*AK558</f>
        <v/>
      </c>
      <c r="AM558" s="39">
        <f>'[1]GÖP VERİLERİ'!G559</f>
        <v/>
      </c>
      <c r="AN558" s="34">
        <f>IF(AI558&gt;AM558*1.05,AI558-AM558*1.05,IF(AI558&lt;AM558*0.95,AM558*0.95-AI558,0))</f>
        <v/>
      </c>
      <c r="AO558" s="34">
        <f>MAX(F558,G558,750)*0.05*AN558</f>
        <v/>
      </c>
      <c r="AP558" s="34">
        <f>'[1]GÖP VERİLERİ'!B559</f>
        <v/>
      </c>
      <c r="AQ558" s="34">
        <f>'[1]GÖP VERİLERİ'!C559</f>
        <v/>
      </c>
      <c r="AR558" s="34">
        <f>IF(AP558&gt;AQ558*1.05,AP558-AQ558*1.05,IF(AP558&lt;AQ558*0.95,AQ558*0.95-AP558,0))</f>
        <v/>
      </c>
      <c r="AS558" s="34">
        <f>MAX(F558:G558,750)*0.05*AR558</f>
        <v/>
      </c>
      <c r="AT558">
        <f>'[1]GÖP VERİLERİ'!D559</f>
        <v/>
      </c>
      <c r="AU558" s="34">
        <f>IF(AP558&gt;AT558*1.05,AP558-AT558*1.05,IF(AP558&lt;AT558*0.95,AT558*0.95-AP558,0))</f>
        <v/>
      </c>
      <c r="AV558" s="34">
        <f>MAX(F558:G558,750)*0.05*AU558</f>
        <v/>
      </c>
      <c r="AW558" s="34">
        <f>AC558+AJ558+AQ558</f>
        <v/>
      </c>
      <c r="AX558" s="34">
        <f>AF558+AM558+AT558</f>
        <v/>
      </c>
      <c r="AY558" s="34">
        <f>AB558+AI558+AP558</f>
        <v/>
      </c>
      <c r="AZ558" s="34" t="n">
        <v>0</v>
      </c>
      <c r="BA558" s="34">
        <f>AD558+AK558+AR558</f>
        <v/>
      </c>
      <c r="BB558" s="34">
        <f>MAX(F558:G558,750)*0.05*BA558</f>
        <v/>
      </c>
      <c r="BC558" s="34">
        <f>AG558+AN558+AU558</f>
        <v/>
      </c>
      <c r="BD558" s="34">
        <f>MAX(F558:G558,750)*0.05*BC558</f>
        <v/>
      </c>
      <c r="BE558" s="34">
        <f>F558*AY558</f>
        <v/>
      </c>
      <c r="BF558" s="34">
        <f>K558-M558</f>
        <v/>
      </c>
      <c r="BG558" s="34">
        <f>P558-S558</f>
        <v/>
      </c>
      <c r="BH558" s="34">
        <f>W558-AA558</f>
        <v/>
      </c>
      <c r="BI558" s="34">
        <f>BF558+BG558+BL558-BN558</f>
        <v/>
      </c>
      <c r="BJ558" s="34">
        <f>ABS(BK558)</f>
        <v/>
      </c>
      <c r="BK558" s="34">
        <f>AY558-(J558-L558+N558-Q558)</f>
        <v/>
      </c>
      <c r="BL558" s="34">
        <f>IF(AND(BK558&gt;0,MIN($F558:$G558)&lt;150,$E558="Enerji Açığı"),-100*BK558*1.03,IF(AND(BK558&gt;0,MIN($F558:$G558)&lt;150,$E558="Enerji Fazlası"),-100*BK558*1.06,IF(AND(BK558&gt;0,MIN($F558:$G558)&gt;=150,$E558="Enerji Açığı"),BK558*MIN($F558:$G558)*0.97,IF(AND(BK558&gt;0,MIN($F558:$G558)&gt;=150,$E558="Enerji Fazlası"),BK558*MIN($F558:$G558)*0.94,IF(AND(BK558&lt;0,MAX($F558:$G558)=4500,$E558="Enerji Açığı"),4500*1.05*1.06*BK558,IF(AND(BK558&lt;0,MAX($F558:$G558)=4500,$E558="Enerji Fazlası"),4500*1.05*1.03*BK558,IF(AND(BK558&lt;0,$E558="Enerji Açığı"),MAX($F558,$G558,150)*BK558*1.06,IF(AND(BK558&lt;0,$E558="Enerji Fazlası"),MAX($F558,$G558,150)*BK558*1.03,IF(AND(BK558&lt;0,$E558="Dengede"),MAX($F558:$G558,150)*1.03*BK558,MIN($F558:$G558)*0.97*BK558)))))))))</f>
        <v/>
      </c>
      <c r="BM558" s="34">
        <f>BE558-BI558-BN558</f>
        <v/>
      </c>
      <c r="BN558" s="34">
        <f>BB558</f>
        <v/>
      </c>
      <c r="BO558" s="34">
        <f>BE558-BI558</f>
        <v/>
      </c>
      <c r="BP558" s="34">
        <f>IF(AY558=0,0,BO558/AY558)</f>
        <v/>
      </c>
      <c r="BQ558" s="34">
        <f>MAX((AY558+MAX((-J558+L558-N558+Q558),0)),(MAX((J558-L558+N558-Q558),0)))</f>
        <v/>
      </c>
      <c r="BR558" s="82">
        <f>IFERROR(ABS(BK558/BQ558),0)</f>
        <v/>
      </c>
      <c r="BS558" s="34">
        <f>IF(BR558&lt;=0.1,0,BK558/BR558*(BR558-0.1))</f>
        <v/>
      </c>
      <c r="BT558" s="34">
        <f>IF((BS558)&lt;0,MAX(F558:G558)*(BS558)*1.03,MIN(F558:G558)*(BS558)*0.97)</f>
        <v/>
      </c>
      <c r="BU558" s="34">
        <f>IF(BR558&gt;0.1,1,0)</f>
        <v/>
      </c>
      <c r="BV558" s="34">
        <f>BF558+BG558+BH558+BY558-CA558</f>
        <v/>
      </c>
      <c r="BW558" s="34">
        <f>ABS(BX558)</f>
        <v/>
      </c>
      <c r="BX558" s="34">
        <f>AY558-(J558-L558+N558-Q558+T558-X558)</f>
        <v/>
      </c>
      <c r="BY558" s="34">
        <f>IF(AND(BX558&gt;0,MIN($F558:$G558)&lt;150,$E558="Enerji Açığı"),-100*BX558*1.03,IF(AND(BX558&gt;0,MIN($F558:$G558)&lt;150,$E558="Enerji Fazlası"),-100*BX558*1.06,IF(AND(BX558&gt;0,MIN($F558:$G558)&gt;=150,$E558="Enerji Açığı"),BX558*MIN($F558:$G558)*0.97,IF(AND(BX558&gt;0,MIN($F558:$G558)&gt;=150,$E558="Enerji Fazlası"),BX558*MIN($F558:$G558)*0.94,IF(AND(BX558&lt;0,MAX($F558:$G558)=4500,$E558="Enerji Açığı"),4500*1.05*1.06*BX558,IF(AND(BX558&lt;0,MAX($F558:$G558)=4500,$E558="Enerji Fazlası"),4500*1.05*1.03*BX558,IF(AND(BX558&lt;0,$E558="Enerji Açığı"),MAX($F558,$G558,150)*BX558*1.06,IF(AND(BX558&lt;0,$E558="Enerji Fazlası"),MAX($F558,$G558,150)*BX558*1.03,IF(AND(BX558&lt;0,$E558="Dengede"),MAX($F558:$G558,150)*1.03*BX558,MIN($F558:$G558)*0.97*BX558)))))))))</f>
        <v/>
      </c>
      <c r="BZ558" s="34">
        <f>BE558-BV558-CA558</f>
        <v/>
      </c>
      <c r="CA558" s="34">
        <f>BD558</f>
        <v/>
      </c>
      <c r="CB558" s="33">
        <f>BE558-BV558</f>
        <v/>
      </c>
      <c r="CC558" s="34">
        <f>IF(AY558=0,0,CB558/AY558)</f>
        <v/>
      </c>
      <c r="CD558" s="34">
        <f>MAX((AY558+MAX((-J558+L558-N558+Q558-T558+X558),0)),(MAX((J558-L558+N558-Q558+T558-X558),0)))</f>
        <v/>
      </c>
      <c r="CE558" s="82">
        <f>IFERROR(ABS(BX558/CD558),0)</f>
        <v/>
      </c>
      <c r="CF558" s="34">
        <f>IF(CE558&lt;=0.1,0,BX558/CE558*(CE558-0.1))</f>
        <v/>
      </c>
      <c r="CG558" s="34">
        <f>IF((CF558)&lt;0,MAX(F558:G558)*(CF558)*1.03,MIN(F558:G558)*(CF558)*0.97)</f>
        <v/>
      </c>
      <c r="CH558" s="34">
        <f>IF(CE558&gt;0.1,1,0)</f>
        <v/>
      </c>
      <c r="CI558" s="34">
        <f>(F558*BX558)-BY558</f>
        <v/>
      </c>
      <c r="CJ558" s="34">
        <f>IF(AY558=0,0,CI558/AY558)</f>
        <v/>
      </c>
    </row>
    <row r="559">
      <c r="A559" s="29">
        <f>[1]FİYATLAR!A534</f>
        <v/>
      </c>
      <c r="B559" s="29">
        <f>[1]FİYATLAR!B534</f>
        <v/>
      </c>
      <c r="C559" s="35">
        <f>INT(A559)</f>
        <v/>
      </c>
      <c r="D559" s="36">
        <f>MONTH(A559)</f>
        <v/>
      </c>
      <c r="E559" s="147">
        <f>[1]FİYATLAR!G534</f>
        <v/>
      </c>
      <c r="F559" s="30">
        <f>[1]FİYATLAR!C534</f>
        <v/>
      </c>
      <c r="G559" s="30">
        <f>[1]FİYATLAR!E534</f>
        <v/>
      </c>
      <c r="H559" s="30">
        <f>[1]FİYATLAR!D534</f>
        <v/>
      </c>
      <c r="I559" s="30">
        <f>[1]FİYATLAR!F534</f>
        <v/>
      </c>
      <c r="J559" s="119" t="n">
        <v>0</v>
      </c>
      <c r="K559" s="34">
        <f>F559*J559</f>
        <v/>
      </c>
      <c r="L559" s="119" t="n"/>
      <c r="M559" s="34">
        <f>L559*F559</f>
        <v/>
      </c>
      <c r="N559" s="119" t="n"/>
      <c r="O559" s="34">
        <f>F559</f>
        <v/>
      </c>
      <c r="P559" s="34">
        <f>N559*O559</f>
        <v/>
      </c>
      <c r="Q559" s="117" t="n">
        <v>0</v>
      </c>
      <c r="R559" s="34">
        <f>F559</f>
        <v/>
      </c>
      <c r="S559" s="34">
        <f>R559*Q559</f>
        <v/>
      </c>
      <c r="T559" s="34">
        <f>SUMIFS('[1]GİP VERİLERİ'!$C:$C,'[1]GİP VERİLERİ'!$B:$B,A559,'[1]GİP VERİLERİ'!$M:$M,"40X000000104782K",'[1]GİP VERİLERİ'!$G:$G,"SELL")</f>
        <v/>
      </c>
      <c r="U559" s="34">
        <f>IFERROR(W559/T559,0)</f>
        <v/>
      </c>
      <c r="V559" s="34">
        <f>IF(U559=0,0,U559-F559)</f>
        <v/>
      </c>
      <c r="W559" s="34">
        <f>SUMIFS('[1]GİP VERİLERİ'!$O:$O,'[1]GİP VERİLERİ'!$B:$B,A559,'[1]GİP VERİLERİ'!$M:$M,"40X000000104782K",'[1]GİP VERİLERİ'!$G:$G,"SELL")</f>
        <v/>
      </c>
      <c r="X559" s="34">
        <f>SUMIFS('[1]GİP VERİLERİ'!$C:$C,'[1]GİP VERİLERİ'!$B:$B,A559,'[1]GİP VERİLERİ'!$M:$M,"40X000000104782K",'[1]GİP VERİLERİ'!$G:$G,"BUY")</f>
        <v/>
      </c>
      <c r="Y559" s="34">
        <f>IFERROR(AA559/X559,0)</f>
        <v/>
      </c>
      <c r="Z559" s="34">
        <f>IF(Y559=0,0,F559-Y559)</f>
        <v/>
      </c>
      <c r="AA559" s="34">
        <f>SUMIFS('[1]GİP VERİLERİ'!$O:$O,'[1]GİP VERİLERİ'!$B:$B,A559,'[1]GİP VERİLERİ'!$M:$M,"40X000000104782K",'[1]GİP VERİLERİ'!$G:$G,"BUY")</f>
        <v/>
      </c>
      <c r="AB559" s="34">
        <f>'[1]GÖP VERİLERİ'!H560</f>
        <v/>
      </c>
      <c r="AC559" s="34">
        <f>'[1]GÖP VERİLERİ'!I560</f>
        <v/>
      </c>
      <c r="AD559" s="34">
        <f>IF(AB559&gt;AC559*1.05,AB559-AC559*1.05,IF(AB559&lt;AC559*0.95,AC559*0.95-AB559,0))</f>
        <v/>
      </c>
      <c r="AE559" s="34">
        <f>MAX(F559,G559,750)*0.05*AD559</f>
        <v/>
      </c>
      <c r="AF559" s="34">
        <f>'[1]GÖP VERİLERİ'!J560</f>
        <v/>
      </c>
      <c r="AG559" s="34">
        <f>IF(AB559&gt;AF559*1.05,AB559-AF559*1.05,IF(AB559&lt;AF559*0.95,AF559*0.95-AB559,0))</f>
        <v/>
      </c>
      <c r="AH559" s="34">
        <f>MAX(I559,J559,750)*0.05*AG559</f>
        <v/>
      </c>
      <c r="AI559">
        <f>'[1]GÖP VERİLERİ'!E560</f>
        <v/>
      </c>
      <c r="AJ559">
        <f>'[1]GÖP VERİLERİ'!F560</f>
        <v/>
      </c>
      <c r="AK559" s="34">
        <f>IF(AI559&gt;AJ559*1.05,AI559-AJ559*1.05,IF(AI559&lt;AJ559*0.95,AJ559*0.95-AI559,0))</f>
        <v/>
      </c>
      <c r="AL559" s="34">
        <f>MAX(F559,G559,750)*0.05*AK559</f>
        <v/>
      </c>
      <c r="AM559" s="39">
        <f>'[1]GÖP VERİLERİ'!G560</f>
        <v/>
      </c>
      <c r="AN559" s="34">
        <f>IF(AI559&gt;AM559*1.05,AI559-AM559*1.05,IF(AI559&lt;AM559*0.95,AM559*0.95-AI559,0))</f>
        <v/>
      </c>
      <c r="AO559" s="34">
        <f>MAX(F559,G559,750)*0.05*AN559</f>
        <v/>
      </c>
      <c r="AP559" s="34">
        <f>'[1]GÖP VERİLERİ'!B560</f>
        <v/>
      </c>
      <c r="AQ559" s="34">
        <f>'[1]GÖP VERİLERİ'!C560</f>
        <v/>
      </c>
      <c r="AR559" s="34">
        <f>IF(AP559&gt;AQ559*1.05,AP559-AQ559*1.05,IF(AP559&lt;AQ559*0.95,AQ559*0.95-AP559,0))</f>
        <v/>
      </c>
      <c r="AS559" s="34">
        <f>MAX(F559:G559,750)*0.05*AR559</f>
        <v/>
      </c>
      <c r="AT559">
        <f>'[1]GÖP VERİLERİ'!D560</f>
        <v/>
      </c>
      <c r="AU559" s="34">
        <f>IF(AP559&gt;AT559*1.05,AP559-AT559*1.05,IF(AP559&lt;AT559*0.95,AT559*0.95-AP559,0))</f>
        <v/>
      </c>
      <c r="AV559" s="34">
        <f>MAX(F559:G559,750)*0.05*AU559</f>
        <v/>
      </c>
      <c r="AW559" s="34">
        <f>AC559+AJ559+AQ559</f>
        <v/>
      </c>
      <c r="AX559" s="34">
        <f>AF559+AM559+AT559</f>
        <v/>
      </c>
      <c r="AY559" s="34">
        <f>AB559+AI559+AP559</f>
        <v/>
      </c>
      <c r="AZ559" s="34" t="n">
        <v>0</v>
      </c>
      <c r="BA559" s="34">
        <f>AD559+AK559+AR559</f>
        <v/>
      </c>
      <c r="BB559" s="34">
        <f>MAX(F559:G559,750)*0.05*BA559</f>
        <v/>
      </c>
      <c r="BC559" s="34">
        <f>AG559+AN559+AU559</f>
        <v/>
      </c>
      <c r="BD559" s="34">
        <f>MAX(F559:G559,750)*0.05*BC559</f>
        <v/>
      </c>
      <c r="BE559" s="34">
        <f>F559*AY559</f>
        <v/>
      </c>
      <c r="BF559" s="34">
        <f>K559-M559</f>
        <v/>
      </c>
      <c r="BG559" s="34">
        <f>P559-S559</f>
        <v/>
      </c>
      <c r="BH559" s="34">
        <f>W559-AA559</f>
        <v/>
      </c>
      <c r="BI559" s="34">
        <f>BF559+BG559+BL559-BN559</f>
        <v/>
      </c>
      <c r="BJ559" s="34">
        <f>ABS(BK559)</f>
        <v/>
      </c>
      <c r="BK559" s="34">
        <f>AY559-(J559-L559+N559-Q559)</f>
        <v/>
      </c>
      <c r="BL559" s="34">
        <f>IF(AND(BK559&gt;0,MIN($F559:$G559)&lt;150,$E559="Enerji Açığı"),-100*BK559*1.03,IF(AND(BK559&gt;0,MIN($F559:$G559)&lt;150,$E559="Enerji Fazlası"),-100*BK559*1.06,IF(AND(BK559&gt;0,MIN($F559:$G559)&gt;=150,$E559="Enerji Açığı"),BK559*MIN($F559:$G559)*0.97,IF(AND(BK559&gt;0,MIN($F559:$G559)&gt;=150,$E559="Enerji Fazlası"),BK559*MIN($F559:$G559)*0.94,IF(AND(BK559&lt;0,MAX($F559:$G559)=4500,$E559="Enerji Açığı"),4500*1.05*1.06*BK559,IF(AND(BK559&lt;0,MAX($F559:$G559)=4500,$E559="Enerji Fazlası"),4500*1.05*1.03*BK559,IF(AND(BK559&lt;0,$E559="Enerji Açığı"),MAX($F559,$G559,150)*BK559*1.06,IF(AND(BK559&lt;0,$E559="Enerji Fazlası"),MAX($F559,$G559,150)*BK559*1.03,IF(AND(BK559&lt;0,$E559="Dengede"),MAX($F559:$G559,150)*1.03*BK559,MIN($F559:$G559)*0.97*BK559)))))))))</f>
        <v/>
      </c>
      <c r="BM559" s="34">
        <f>BE559-BI559-BN559</f>
        <v/>
      </c>
      <c r="BN559" s="34">
        <f>BB559</f>
        <v/>
      </c>
      <c r="BO559" s="34">
        <f>BE559-BI559</f>
        <v/>
      </c>
      <c r="BP559" s="34">
        <f>IF(AY559=0,0,BO559/AY559)</f>
        <v/>
      </c>
      <c r="BQ559" s="34">
        <f>MAX((AY559+MAX((-J559+L559-N559+Q559),0)),(MAX((J559-L559+N559-Q559),0)))</f>
        <v/>
      </c>
      <c r="BR559" s="82">
        <f>IFERROR(ABS(BK559/BQ559),0)</f>
        <v/>
      </c>
      <c r="BS559" s="34">
        <f>IF(BR559&lt;=0.1,0,BK559/BR559*(BR559-0.1))</f>
        <v/>
      </c>
      <c r="BT559" s="34">
        <f>IF((BS559)&lt;0,MAX(F559:G559)*(BS559)*1.03,MIN(F559:G559)*(BS559)*0.97)</f>
        <v/>
      </c>
      <c r="BU559" s="34">
        <f>IF(BR559&gt;0.1,1,0)</f>
        <v/>
      </c>
      <c r="BV559" s="34">
        <f>BF559+BG559+BH559+BY559-CA559</f>
        <v/>
      </c>
      <c r="BW559" s="34">
        <f>ABS(BX559)</f>
        <v/>
      </c>
      <c r="BX559" s="34">
        <f>AY559-(J559-L559+N559-Q559+T559-X559)</f>
        <v/>
      </c>
      <c r="BY559" s="34">
        <f>IF(AND(BX559&gt;0,MIN($F559:$G559)&lt;150,$E559="Enerji Açığı"),-100*BX559*1.03,IF(AND(BX559&gt;0,MIN($F559:$G559)&lt;150,$E559="Enerji Fazlası"),-100*BX559*1.06,IF(AND(BX559&gt;0,MIN($F559:$G559)&gt;=150,$E559="Enerji Açığı"),BX559*MIN($F559:$G559)*0.97,IF(AND(BX559&gt;0,MIN($F559:$G559)&gt;=150,$E559="Enerji Fazlası"),BX559*MIN($F559:$G559)*0.94,IF(AND(BX559&lt;0,MAX($F559:$G559)=4500,$E559="Enerji Açığı"),4500*1.05*1.06*BX559,IF(AND(BX559&lt;0,MAX($F559:$G559)=4500,$E559="Enerji Fazlası"),4500*1.05*1.03*BX559,IF(AND(BX559&lt;0,$E559="Enerji Açığı"),MAX($F559,$G559,150)*BX559*1.06,IF(AND(BX559&lt;0,$E559="Enerji Fazlası"),MAX($F559,$G559,150)*BX559*1.03,IF(AND(BX559&lt;0,$E559="Dengede"),MAX($F559:$G559,150)*1.03*BX559,MIN($F559:$G559)*0.97*BX559)))))))))</f>
        <v/>
      </c>
      <c r="BZ559" s="34">
        <f>BE559-BV559-CA559</f>
        <v/>
      </c>
      <c r="CA559" s="34">
        <f>BD559</f>
        <v/>
      </c>
      <c r="CB559" s="33">
        <f>BE559-BV559</f>
        <v/>
      </c>
      <c r="CC559" s="34">
        <f>IF(AY559=0,0,CB559/AY559)</f>
        <v/>
      </c>
      <c r="CD559" s="34">
        <f>MAX((AY559+MAX((-J559+L559-N559+Q559-T559+X559),0)),(MAX((J559-L559+N559-Q559+T559-X559),0)))</f>
        <v/>
      </c>
      <c r="CE559" s="82">
        <f>IFERROR(ABS(BX559/CD559),0)</f>
        <v/>
      </c>
      <c r="CF559" s="34">
        <f>IF(CE559&lt;=0.1,0,BX559/CE559*(CE559-0.1))</f>
        <v/>
      </c>
      <c r="CG559" s="34">
        <f>IF((CF559)&lt;0,MAX(F559:G559)*(CF559)*1.03,MIN(F559:G559)*(CF559)*0.97)</f>
        <v/>
      </c>
      <c r="CH559" s="34">
        <f>IF(CE559&gt;0.1,1,0)</f>
        <v/>
      </c>
      <c r="CI559" s="34">
        <f>(F559*BX559)-BY559</f>
        <v/>
      </c>
      <c r="CJ559" s="34">
        <f>IF(AY559=0,0,CI559/AY559)</f>
        <v/>
      </c>
    </row>
    <row r="560">
      <c r="A560" s="29">
        <f>[1]FİYATLAR!A535</f>
        <v/>
      </c>
      <c r="B560" s="29">
        <f>[1]FİYATLAR!B535</f>
        <v/>
      </c>
      <c r="C560" s="35">
        <f>INT(A560)</f>
        <v/>
      </c>
      <c r="D560" s="36">
        <f>MONTH(A560)</f>
        <v/>
      </c>
      <c r="E560" s="147">
        <f>[1]FİYATLAR!G535</f>
        <v/>
      </c>
      <c r="F560" s="30">
        <f>[1]FİYATLAR!C535</f>
        <v/>
      </c>
      <c r="G560" s="30">
        <f>[1]FİYATLAR!E535</f>
        <v/>
      </c>
      <c r="H560" s="30">
        <f>[1]FİYATLAR!D535</f>
        <v/>
      </c>
      <c r="I560" s="30">
        <f>[1]FİYATLAR!F535</f>
        <v/>
      </c>
      <c r="J560" s="119" t="n">
        <v>0</v>
      </c>
      <c r="K560" s="34">
        <f>F560*J560</f>
        <v/>
      </c>
      <c r="L560" s="119" t="n"/>
      <c r="M560" s="34">
        <f>L560*F560</f>
        <v/>
      </c>
      <c r="N560" s="119" t="n"/>
      <c r="O560" s="34">
        <f>F560</f>
        <v/>
      </c>
      <c r="P560" s="34">
        <f>N560*O560</f>
        <v/>
      </c>
      <c r="Q560" s="117" t="n">
        <v>0</v>
      </c>
      <c r="R560" s="34">
        <f>F560</f>
        <v/>
      </c>
      <c r="S560" s="34">
        <f>R560*Q560</f>
        <v/>
      </c>
      <c r="T560" s="34">
        <f>SUMIFS('[1]GİP VERİLERİ'!$C:$C,'[1]GİP VERİLERİ'!$B:$B,A560,'[1]GİP VERİLERİ'!$M:$M,"40X000000104782K",'[1]GİP VERİLERİ'!$G:$G,"SELL")</f>
        <v/>
      </c>
      <c r="U560" s="34">
        <f>IFERROR(W560/T560,0)</f>
        <v/>
      </c>
      <c r="V560" s="34">
        <f>IF(U560=0,0,U560-F560)</f>
        <v/>
      </c>
      <c r="W560" s="34">
        <f>SUMIFS('[1]GİP VERİLERİ'!$O:$O,'[1]GİP VERİLERİ'!$B:$B,A560,'[1]GİP VERİLERİ'!$M:$M,"40X000000104782K",'[1]GİP VERİLERİ'!$G:$G,"SELL")</f>
        <v/>
      </c>
      <c r="X560" s="34">
        <f>SUMIFS('[1]GİP VERİLERİ'!$C:$C,'[1]GİP VERİLERİ'!$B:$B,A560,'[1]GİP VERİLERİ'!$M:$M,"40X000000104782K",'[1]GİP VERİLERİ'!$G:$G,"BUY")</f>
        <v/>
      </c>
      <c r="Y560" s="34">
        <f>IFERROR(AA560/X560,0)</f>
        <v/>
      </c>
      <c r="Z560" s="34">
        <f>IF(Y560=0,0,F560-Y560)</f>
        <v/>
      </c>
      <c r="AA560" s="34">
        <f>SUMIFS('[1]GİP VERİLERİ'!$O:$O,'[1]GİP VERİLERİ'!$B:$B,A560,'[1]GİP VERİLERİ'!$M:$M,"40X000000104782K",'[1]GİP VERİLERİ'!$G:$G,"BUY")</f>
        <v/>
      </c>
      <c r="AB560" s="34">
        <f>'[1]GÖP VERİLERİ'!H561</f>
        <v/>
      </c>
      <c r="AC560" s="34">
        <f>'[1]GÖP VERİLERİ'!I561</f>
        <v/>
      </c>
      <c r="AD560" s="34">
        <f>IF(AB560&gt;AC560*1.05,AB560-AC560*1.05,IF(AB560&lt;AC560*0.95,AC560*0.95-AB560,0))</f>
        <v/>
      </c>
      <c r="AE560" s="34">
        <f>MAX(F560,G560,750)*0.05*AD560</f>
        <v/>
      </c>
      <c r="AF560" s="34">
        <f>'[1]GÖP VERİLERİ'!J561</f>
        <v/>
      </c>
      <c r="AG560" s="34">
        <f>IF(AB560&gt;AF560*1.05,AB560-AF560*1.05,IF(AB560&lt;AF560*0.95,AF560*0.95-AB560,0))</f>
        <v/>
      </c>
      <c r="AH560" s="34">
        <f>MAX(I560,J560,750)*0.05*AG560</f>
        <v/>
      </c>
      <c r="AI560">
        <f>'[1]GÖP VERİLERİ'!E561</f>
        <v/>
      </c>
      <c r="AJ560">
        <f>'[1]GÖP VERİLERİ'!F561</f>
        <v/>
      </c>
      <c r="AK560" s="34">
        <f>IF(AI560&gt;AJ560*1.05,AI560-AJ560*1.05,IF(AI560&lt;AJ560*0.95,AJ560*0.95-AI560,0))</f>
        <v/>
      </c>
      <c r="AL560" s="34">
        <f>MAX(F560,G560,750)*0.05*AK560</f>
        <v/>
      </c>
      <c r="AM560" s="39">
        <f>'[1]GÖP VERİLERİ'!G561</f>
        <v/>
      </c>
      <c r="AN560" s="34">
        <f>IF(AI560&gt;AM560*1.05,AI560-AM560*1.05,IF(AI560&lt;AM560*0.95,AM560*0.95-AI560,0))</f>
        <v/>
      </c>
      <c r="AO560" s="34">
        <f>MAX(F560,G560,750)*0.05*AN560</f>
        <v/>
      </c>
      <c r="AP560" s="34">
        <f>'[1]GÖP VERİLERİ'!B561</f>
        <v/>
      </c>
      <c r="AQ560" s="34">
        <f>'[1]GÖP VERİLERİ'!C561</f>
        <v/>
      </c>
      <c r="AR560" s="34">
        <f>IF(AP560&gt;AQ560*1.05,AP560-AQ560*1.05,IF(AP560&lt;AQ560*0.95,AQ560*0.95-AP560,0))</f>
        <v/>
      </c>
      <c r="AS560" s="34">
        <f>MAX(F560:G560,750)*0.05*AR560</f>
        <v/>
      </c>
      <c r="AT560">
        <f>'[1]GÖP VERİLERİ'!D561</f>
        <v/>
      </c>
      <c r="AU560" s="34">
        <f>IF(AP560&gt;AT560*1.05,AP560-AT560*1.05,IF(AP560&lt;AT560*0.95,AT560*0.95-AP560,0))</f>
        <v/>
      </c>
      <c r="AV560" s="34">
        <f>MAX(F560:G560,750)*0.05*AU560</f>
        <v/>
      </c>
      <c r="AW560" s="34">
        <f>AC560+AJ560+AQ560</f>
        <v/>
      </c>
      <c r="AX560" s="34">
        <f>AF560+AM560+AT560</f>
        <v/>
      </c>
      <c r="AY560" s="34">
        <f>AB560+AI560+AP560</f>
        <v/>
      </c>
      <c r="AZ560" s="34" t="n">
        <v>0</v>
      </c>
      <c r="BA560" s="34">
        <f>AD560+AK560+AR560</f>
        <v/>
      </c>
      <c r="BB560" s="34">
        <f>MAX(F560:G560,750)*0.05*BA560</f>
        <v/>
      </c>
      <c r="BC560" s="34">
        <f>AG560+AN560+AU560</f>
        <v/>
      </c>
      <c r="BD560" s="34">
        <f>MAX(F560:G560,750)*0.05*BC560</f>
        <v/>
      </c>
      <c r="BE560" s="34">
        <f>F560*AY560</f>
        <v/>
      </c>
      <c r="BF560" s="34">
        <f>K560-M560</f>
        <v/>
      </c>
      <c r="BG560" s="34">
        <f>P560-S560</f>
        <v/>
      </c>
      <c r="BH560" s="34">
        <f>W560-AA560</f>
        <v/>
      </c>
      <c r="BI560" s="34">
        <f>BF560+BG560+BL560-BN560</f>
        <v/>
      </c>
      <c r="BJ560" s="34">
        <f>ABS(BK560)</f>
        <v/>
      </c>
      <c r="BK560" s="34">
        <f>AY560-(J560-L560+N560-Q560)</f>
        <v/>
      </c>
      <c r="BL560" s="34">
        <f>IF(AND(BK560&gt;0,MIN($F560:$G560)&lt;150,$E560="Enerji Açığı"),-100*BK560*1.03,IF(AND(BK560&gt;0,MIN($F560:$G560)&lt;150,$E560="Enerji Fazlası"),-100*BK560*1.06,IF(AND(BK560&gt;0,MIN($F560:$G560)&gt;=150,$E560="Enerji Açığı"),BK560*MIN($F560:$G560)*0.97,IF(AND(BK560&gt;0,MIN($F560:$G560)&gt;=150,$E560="Enerji Fazlası"),BK560*MIN($F560:$G560)*0.94,IF(AND(BK560&lt;0,MAX($F560:$G560)=4500,$E560="Enerji Açığı"),4500*1.05*1.06*BK560,IF(AND(BK560&lt;0,MAX($F560:$G560)=4500,$E560="Enerji Fazlası"),4500*1.05*1.03*BK560,IF(AND(BK560&lt;0,$E560="Enerji Açığı"),MAX($F560,$G560,150)*BK560*1.06,IF(AND(BK560&lt;0,$E560="Enerji Fazlası"),MAX($F560,$G560,150)*BK560*1.03,IF(AND(BK560&lt;0,$E560="Dengede"),MAX($F560:$G560,150)*1.03*BK560,MIN($F560:$G560)*0.97*BK560)))))))))</f>
        <v/>
      </c>
      <c r="BM560" s="34">
        <f>BE560-BI560-BN560</f>
        <v/>
      </c>
      <c r="BN560" s="34">
        <f>BB560</f>
        <v/>
      </c>
      <c r="BO560" s="34">
        <f>BE560-BI560</f>
        <v/>
      </c>
      <c r="BP560" s="34">
        <f>IF(AY560=0,0,BO560/AY560)</f>
        <v/>
      </c>
      <c r="BQ560" s="34">
        <f>MAX((AY560+MAX((-J560+L560-N560+Q560),0)),(MAX((J560-L560+N560-Q560),0)))</f>
        <v/>
      </c>
      <c r="BR560" s="82">
        <f>IFERROR(ABS(BK560/BQ560),0)</f>
        <v/>
      </c>
      <c r="BS560" s="34">
        <f>IF(BR560&lt;=0.1,0,BK560/BR560*(BR560-0.1))</f>
        <v/>
      </c>
      <c r="BT560" s="34">
        <f>IF((BS560)&lt;0,MAX(F560:G560)*(BS560)*1.03,MIN(F560:G560)*(BS560)*0.97)</f>
        <v/>
      </c>
      <c r="BU560" s="34">
        <f>IF(BR560&gt;0.1,1,0)</f>
        <v/>
      </c>
      <c r="BV560" s="34">
        <f>BF560+BG560+BH560+BY560-CA560</f>
        <v/>
      </c>
      <c r="BW560" s="34">
        <f>ABS(BX560)</f>
        <v/>
      </c>
      <c r="BX560" s="34">
        <f>AY560-(J560-L560+N560-Q560+T560-X560)</f>
        <v/>
      </c>
      <c r="BY560" s="34">
        <f>IF(AND(BX560&gt;0,MIN($F560:$G560)&lt;150,$E560="Enerji Açığı"),-100*BX560*1.03,IF(AND(BX560&gt;0,MIN($F560:$G560)&lt;150,$E560="Enerji Fazlası"),-100*BX560*1.06,IF(AND(BX560&gt;0,MIN($F560:$G560)&gt;=150,$E560="Enerji Açığı"),BX560*MIN($F560:$G560)*0.97,IF(AND(BX560&gt;0,MIN($F560:$G560)&gt;=150,$E560="Enerji Fazlası"),BX560*MIN($F560:$G560)*0.94,IF(AND(BX560&lt;0,MAX($F560:$G560)=4500,$E560="Enerji Açığı"),4500*1.05*1.06*BX560,IF(AND(BX560&lt;0,MAX($F560:$G560)=4500,$E560="Enerji Fazlası"),4500*1.05*1.03*BX560,IF(AND(BX560&lt;0,$E560="Enerji Açığı"),MAX($F560,$G560,150)*BX560*1.06,IF(AND(BX560&lt;0,$E560="Enerji Fazlası"),MAX($F560,$G560,150)*BX560*1.03,IF(AND(BX560&lt;0,$E560="Dengede"),MAX($F560:$G560,150)*1.03*BX560,MIN($F560:$G560)*0.97*BX560)))))))))</f>
        <v/>
      </c>
      <c r="BZ560" s="34">
        <f>BE560-BV560-CA560</f>
        <v/>
      </c>
      <c r="CA560" s="34">
        <f>BD560</f>
        <v/>
      </c>
      <c r="CB560" s="33">
        <f>BE560-BV560</f>
        <v/>
      </c>
      <c r="CC560" s="34">
        <f>IF(AY560=0,0,CB560/AY560)</f>
        <v/>
      </c>
      <c r="CD560" s="34">
        <f>MAX((AY560+MAX((-J560+L560-N560+Q560-T560+X560),0)),(MAX((J560-L560+N560-Q560+T560-X560),0)))</f>
        <v/>
      </c>
      <c r="CE560" s="82">
        <f>IFERROR(ABS(BX560/CD560),0)</f>
        <v/>
      </c>
      <c r="CF560" s="34">
        <f>IF(CE560&lt;=0.1,0,BX560/CE560*(CE560-0.1))</f>
        <v/>
      </c>
      <c r="CG560" s="34">
        <f>IF((CF560)&lt;0,MAX(F560:G560)*(CF560)*1.03,MIN(F560:G560)*(CF560)*0.97)</f>
        <v/>
      </c>
      <c r="CH560" s="34">
        <f>IF(CE560&gt;0.1,1,0)</f>
        <v/>
      </c>
      <c r="CI560" s="34">
        <f>(F560*BX560)-BY560</f>
        <v/>
      </c>
      <c r="CJ560" s="34">
        <f>IF(AY560=0,0,CI560/AY560)</f>
        <v/>
      </c>
    </row>
    <row r="561">
      <c r="A561" s="29">
        <f>[1]FİYATLAR!A536</f>
        <v/>
      </c>
      <c r="B561" s="29">
        <f>[1]FİYATLAR!B536</f>
        <v/>
      </c>
      <c r="C561" s="35">
        <f>INT(A561)</f>
        <v/>
      </c>
      <c r="D561" s="36">
        <f>MONTH(A561)</f>
        <v/>
      </c>
      <c r="E561" s="147">
        <f>[1]FİYATLAR!G536</f>
        <v/>
      </c>
      <c r="F561" s="30">
        <f>[1]FİYATLAR!C536</f>
        <v/>
      </c>
      <c r="G561" s="30">
        <f>[1]FİYATLAR!E536</f>
        <v/>
      </c>
      <c r="H561" s="30">
        <f>[1]FİYATLAR!D536</f>
        <v/>
      </c>
      <c r="I561" s="30">
        <f>[1]FİYATLAR!F536</f>
        <v/>
      </c>
      <c r="J561" s="119" t="n">
        <v>0</v>
      </c>
      <c r="K561" s="34">
        <f>F561*J561</f>
        <v/>
      </c>
      <c r="L561" s="119" t="n"/>
      <c r="M561" s="34">
        <f>L561*F561</f>
        <v/>
      </c>
      <c r="N561" s="119" t="n"/>
      <c r="O561" s="34">
        <f>F561</f>
        <v/>
      </c>
      <c r="P561" s="34">
        <f>N561*O561</f>
        <v/>
      </c>
      <c r="Q561" s="117" t="n">
        <v>0</v>
      </c>
      <c r="R561" s="34">
        <f>F561</f>
        <v/>
      </c>
      <c r="S561" s="34">
        <f>R561*Q561</f>
        <v/>
      </c>
      <c r="T561" s="34">
        <f>SUMIFS('[1]GİP VERİLERİ'!$C:$C,'[1]GİP VERİLERİ'!$B:$B,A561,'[1]GİP VERİLERİ'!$M:$M,"40X000000104782K",'[1]GİP VERİLERİ'!$G:$G,"SELL")</f>
        <v/>
      </c>
      <c r="U561" s="34">
        <f>IFERROR(W561/T561,0)</f>
        <v/>
      </c>
      <c r="V561" s="34">
        <f>IF(U561=0,0,U561-F561)</f>
        <v/>
      </c>
      <c r="W561" s="34">
        <f>SUMIFS('[1]GİP VERİLERİ'!$O:$O,'[1]GİP VERİLERİ'!$B:$B,A561,'[1]GİP VERİLERİ'!$M:$M,"40X000000104782K",'[1]GİP VERİLERİ'!$G:$G,"SELL")</f>
        <v/>
      </c>
      <c r="X561" s="34">
        <f>SUMIFS('[1]GİP VERİLERİ'!$C:$C,'[1]GİP VERİLERİ'!$B:$B,A561,'[1]GİP VERİLERİ'!$M:$M,"40X000000104782K",'[1]GİP VERİLERİ'!$G:$G,"BUY")</f>
        <v/>
      </c>
      <c r="Y561" s="34">
        <f>IFERROR(AA561/X561,0)</f>
        <v/>
      </c>
      <c r="Z561" s="34">
        <f>IF(Y561=0,0,F561-Y561)</f>
        <v/>
      </c>
      <c r="AA561" s="34">
        <f>SUMIFS('[1]GİP VERİLERİ'!$O:$O,'[1]GİP VERİLERİ'!$B:$B,A561,'[1]GİP VERİLERİ'!$M:$M,"40X000000104782K",'[1]GİP VERİLERİ'!$G:$G,"BUY")</f>
        <v/>
      </c>
      <c r="AB561" s="34">
        <f>'[1]GÖP VERİLERİ'!H562</f>
        <v/>
      </c>
      <c r="AC561" s="34">
        <f>'[1]GÖP VERİLERİ'!I562</f>
        <v/>
      </c>
      <c r="AD561" s="34">
        <f>IF(AB561&gt;AC561*1.05,AB561-AC561*1.05,IF(AB561&lt;AC561*0.95,AC561*0.95-AB561,0))</f>
        <v/>
      </c>
      <c r="AE561" s="34">
        <f>MAX(F561,G561,750)*0.05*AD561</f>
        <v/>
      </c>
      <c r="AF561" s="34">
        <f>'[1]GÖP VERİLERİ'!J562</f>
        <v/>
      </c>
      <c r="AG561" s="34">
        <f>IF(AB561&gt;AF561*1.05,AB561-AF561*1.05,IF(AB561&lt;AF561*0.95,AF561*0.95-AB561,0))</f>
        <v/>
      </c>
      <c r="AH561" s="34">
        <f>MAX(I561,J561,750)*0.05*AG561</f>
        <v/>
      </c>
      <c r="AI561">
        <f>'[1]GÖP VERİLERİ'!E562</f>
        <v/>
      </c>
      <c r="AJ561">
        <f>'[1]GÖP VERİLERİ'!F562</f>
        <v/>
      </c>
      <c r="AK561" s="34">
        <f>IF(AI561&gt;AJ561*1.05,AI561-AJ561*1.05,IF(AI561&lt;AJ561*0.95,AJ561*0.95-AI561,0))</f>
        <v/>
      </c>
      <c r="AL561" s="34">
        <f>MAX(F561,G561,750)*0.05*AK561</f>
        <v/>
      </c>
      <c r="AM561" s="39">
        <f>'[1]GÖP VERİLERİ'!G562</f>
        <v/>
      </c>
      <c r="AN561" s="34">
        <f>IF(AI561&gt;AM561*1.05,AI561-AM561*1.05,IF(AI561&lt;AM561*0.95,AM561*0.95-AI561,0))</f>
        <v/>
      </c>
      <c r="AO561" s="34">
        <f>MAX(F561,G561,750)*0.05*AN561</f>
        <v/>
      </c>
      <c r="AP561" s="34">
        <f>'[1]GÖP VERİLERİ'!B562</f>
        <v/>
      </c>
      <c r="AQ561" s="34">
        <f>'[1]GÖP VERİLERİ'!C562</f>
        <v/>
      </c>
      <c r="AR561" s="34">
        <f>IF(AP561&gt;AQ561*1.05,AP561-AQ561*1.05,IF(AP561&lt;AQ561*0.95,AQ561*0.95-AP561,0))</f>
        <v/>
      </c>
      <c r="AS561" s="34">
        <f>MAX(F561:G561,750)*0.05*AR561</f>
        <v/>
      </c>
      <c r="AT561">
        <f>'[1]GÖP VERİLERİ'!D562</f>
        <v/>
      </c>
      <c r="AU561" s="34">
        <f>IF(AP561&gt;AT561*1.05,AP561-AT561*1.05,IF(AP561&lt;AT561*0.95,AT561*0.95-AP561,0))</f>
        <v/>
      </c>
      <c r="AV561" s="34">
        <f>MAX(F561:G561,750)*0.05*AU561</f>
        <v/>
      </c>
      <c r="AW561" s="34">
        <f>AC561+AJ561+AQ561</f>
        <v/>
      </c>
      <c r="AX561" s="34">
        <f>AF561+AM561+AT561</f>
        <v/>
      </c>
      <c r="AY561" s="34">
        <f>AB561+AI561+AP561</f>
        <v/>
      </c>
      <c r="AZ561" s="34" t="n">
        <v>0</v>
      </c>
      <c r="BA561" s="34">
        <f>AD561+AK561+AR561</f>
        <v/>
      </c>
      <c r="BB561" s="34">
        <f>MAX(F561:G561,750)*0.05*BA561</f>
        <v/>
      </c>
      <c r="BC561" s="34">
        <f>AG561+AN561+AU561</f>
        <v/>
      </c>
      <c r="BD561" s="34">
        <f>MAX(F561:G561,750)*0.05*BC561</f>
        <v/>
      </c>
      <c r="BE561" s="34">
        <f>F561*AY561</f>
        <v/>
      </c>
      <c r="BF561" s="34">
        <f>K561-M561</f>
        <v/>
      </c>
      <c r="BG561" s="34">
        <f>P561-S561</f>
        <v/>
      </c>
      <c r="BH561" s="34">
        <f>W561-AA561</f>
        <v/>
      </c>
      <c r="BI561" s="34">
        <f>BF561+BG561+BL561-BN561</f>
        <v/>
      </c>
      <c r="BJ561" s="34">
        <f>ABS(BK561)</f>
        <v/>
      </c>
      <c r="BK561" s="34">
        <f>AY561-(J561-L561+N561-Q561)</f>
        <v/>
      </c>
      <c r="BL561" s="34">
        <f>IF(AND(BK561&gt;0,MIN($F561:$G561)&lt;150,$E561="Enerji Açığı"),-100*BK561*1.03,IF(AND(BK561&gt;0,MIN($F561:$G561)&lt;150,$E561="Enerji Fazlası"),-100*BK561*1.06,IF(AND(BK561&gt;0,MIN($F561:$G561)&gt;=150,$E561="Enerji Açığı"),BK561*MIN($F561:$G561)*0.97,IF(AND(BK561&gt;0,MIN($F561:$G561)&gt;=150,$E561="Enerji Fazlası"),BK561*MIN($F561:$G561)*0.94,IF(AND(BK561&lt;0,MAX($F561:$G561)=4500,$E561="Enerji Açığı"),4500*1.05*1.06*BK561,IF(AND(BK561&lt;0,MAX($F561:$G561)=4500,$E561="Enerji Fazlası"),4500*1.05*1.03*BK561,IF(AND(BK561&lt;0,$E561="Enerji Açığı"),MAX($F561,$G561,150)*BK561*1.06,IF(AND(BK561&lt;0,$E561="Enerji Fazlası"),MAX($F561,$G561,150)*BK561*1.03,IF(AND(BK561&lt;0,$E561="Dengede"),MAX($F561:$G561,150)*1.03*BK561,MIN($F561:$G561)*0.97*BK561)))))))))</f>
        <v/>
      </c>
      <c r="BM561" s="34">
        <f>BE561-BI561-BN561</f>
        <v/>
      </c>
      <c r="BN561" s="34">
        <f>BB561</f>
        <v/>
      </c>
      <c r="BO561" s="34">
        <f>BE561-BI561</f>
        <v/>
      </c>
      <c r="BP561" s="34">
        <f>IF(AY561=0,0,BO561/AY561)</f>
        <v/>
      </c>
      <c r="BQ561" s="34">
        <f>MAX((AY561+MAX((-J561+L561-N561+Q561),0)),(MAX((J561-L561+N561-Q561),0)))</f>
        <v/>
      </c>
      <c r="BR561" s="82">
        <f>IFERROR(ABS(BK561/BQ561),0)</f>
        <v/>
      </c>
      <c r="BS561" s="34">
        <f>IF(BR561&lt;=0.1,0,BK561/BR561*(BR561-0.1))</f>
        <v/>
      </c>
      <c r="BT561" s="34">
        <f>IF((BS561)&lt;0,MAX(F561:G561)*(BS561)*1.03,MIN(F561:G561)*(BS561)*0.97)</f>
        <v/>
      </c>
      <c r="BU561" s="34">
        <f>IF(BR561&gt;0.1,1,0)</f>
        <v/>
      </c>
      <c r="BV561" s="34">
        <f>BF561+BG561+BH561+BY561-CA561</f>
        <v/>
      </c>
      <c r="BW561" s="34">
        <f>ABS(BX561)</f>
        <v/>
      </c>
      <c r="BX561" s="34">
        <f>AY561-(J561-L561+N561-Q561+T561-X561)</f>
        <v/>
      </c>
      <c r="BY561" s="34">
        <f>IF(AND(BX561&gt;0,MIN($F561:$G561)&lt;150,$E561="Enerji Açığı"),-100*BX561*1.03,IF(AND(BX561&gt;0,MIN($F561:$G561)&lt;150,$E561="Enerji Fazlası"),-100*BX561*1.06,IF(AND(BX561&gt;0,MIN($F561:$G561)&gt;=150,$E561="Enerji Açığı"),BX561*MIN($F561:$G561)*0.97,IF(AND(BX561&gt;0,MIN($F561:$G561)&gt;=150,$E561="Enerji Fazlası"),BX561*MIN($F561:$G561)*0.94,IF(AND(BX561&lt;0,MAX($F561:$G561)=4500,$E561="Enerji Açığı"),4500*1.05*1.06*BX561,IF(AND(BX561&lt;0,MAX($F561:$G561)=4500,$E561="Enerji Fazlası"),4500*1.05*1.03*BX561,IF(AND(BX561&lt;0,$E561="Enerji Açığı"),MAX($F561,$G561,150)*BX561*1.06,IF(AND(BX561&lt;0,$E561="Enerji Fazlası"),MAX($F561,$G561,150)*BX561*1.03,IF(AND(BX561&lt;0,$E561="Dengede"),MAX($F561:$G561,150)*1.03*BX561,MIN($F561:$G561)*0.97*BX561)))))))))</f>
        <v/>
      </c>
      <c r="BZ561" s="34">
        <f>BE561-BV561-CA561</f>
        <v/>
      </c>
      <c r="CA561" s="34">
        <f>BD561</f>
        <v/>
      </c>
      <c r="CB561" s="33">
        <f>BE561-BV561</f>
        <v/>
      </c>
      <c r="CC561" s="34">
        <f>IF(AY561=0,0,CB561/AY561)</f>
        <v/>
      </c>
      <c r="CD561" s="34">
        <f>MAX((AY561+MAX((-J561+L561-N561+Q561-T561+X561),0)),(MAX((J561-L561+N561-Q561+T561-X561),0)))</f>
        <v/>
      </c>
      <c r="CE561" s="82">
        <f>IFERROR(ABS(BX561/CD561),0)</f>
        <v/>
      </c>
      <c r="CF561" s="34">
        <f>IF(CE561&lt;=0.1,0,BX561/CE561*(CE561-0.1))</f>
        <v/>
      </c>
      <c r="CG561" s="34">
        <f>IF((CF561)&lt;0,MAX(F561:G561)*(CF561)*1.03,MIN(F561:G561)*(CF561)*0.97)</f>
        <v/>
      </c>
      <c r="CH561" s="34">
        <f>IF(CE561&gt;0.1,1,0)</f>
        <v/>
      </c>
      <c r="CI561" s="34">
        <f>(F561*BX561)-BY561</f>
        <v/>
      </c>
      <c r="CJ561" s="34">
        <f>IF(AY561=0,0,CI561/AY561)</f>
        <v/>
      </c>
    </row>
    <row r="562">
      <c r="A562" s="29">
        <f>[1]FİYATLAR!A537</f>
        <v/>
      </c>
      <c r="B562" s="29">
        <f>[1]FİYATLAR!B537</f>
        <v/>
      </c>
      <c r="C562" s="35">
        <f>INT(A562)</f>
        <v/>
      </c>
      <c r="D562" s="36">
        <f>MONTH(A562)</f>
        <v/>
      </c>
      <c r="E562" s="147">
        <f>[1]FİYATLAR!G537</f>
        <v/>
      </c>
      <c r="F562" s="30">
        <f>[1]FİYATLAR!C537</f>
        <v/>
      </c>
      <c r="G562" s="30">
        <f>[1]FİYATLAR!E537</f>
        <v/>
      </c>
      <c r="H562" s="30">
        <f>[1]FİYATLAR!D537</f>
        <v/>
      </c>
      <c r="I562" s="30">
        <f>[1]FİYATLAR!F537</f>
        <v/>
      </c>
      <c r="J562" s="119" t="n">
        <v>0</v>
      </c>
      <c r="K562" s="34">
        <f>F562*J562</f>
        <v/>
      </c>
      <c r="L562" s="119" t="n"/>
      <c r="M562" s="34">
        <f>L562*F562</f>
        <v/>
      </c>
      <c r="N562" s="119" t="n"/>
      <c r="O562" s="34">
        <f>F562</f>
        <v/>
      </c>
      <c r="P562" s="34">
        <f>N562*O562</f>
        <v/>
      </c>
      <c r="Q562" s="117" t="n">
        <v>0</v>
      </c>
      <c r="R562" s="34">
        <f>F562</f>
        <v/>
      </c>
      <c r="S562" s="34">
        <f>R562*Q562</f>
        <v/>
      </c>
      <c r="T562" s="34">
        <f>SUMIFS('[1]GİP VERİLERİ'!$C:$C,'[1]GİP VERİLERİ'!$B:$B,A562,'[1]GİP VERİLERİ'!$M:$M,"40X000000104782K",'[1]GİP VERİLERİ'!$G:$G,"SELL")</f>
        <v/>
      </c>
      <c r="U562" s="34">
        <f>IFERROR(W562/T562,0)</f>
        <v/>
      </c>
      <c r="V562" s="34">
        <f>IF(U562=0,0,U562-F562)</f>
        <v/>
      </c>
      <c r="W562" s="34">
        <f>SUMIFS('[1]GİP VERİLERİ'!$O:$O,'[1]GİP VERİLERİ'!$B:$B,A562,'[1]GİP VERİLERİ'!$M:$M,"40X000000104782K",'[1]GİP VERİLERİ'!$G:$G,"SELL")</f>
        <v/>
      </c>
      <c r="X562" s="34">
        <f>SUMIFS('[1]GİP VERİLERİ'!$C:$C,'[1]GİP VERİLERİ'!$B:$B,A562,'[1]GİP VERİLERİ'!$M:$M,"40X000000104782K",'[1]GİP VERİLERİ'!$G:$G,"BUY")</f>
        <v/>
      </c>
      <c r="Y562" s="34">
        <f>IFERROR(AA562/X562,0)</f>
        <v/>
      </c>
      <c r="Z562" s="34">
        <f>IF(Y562=0,0,F562-Y562)</f>
        <v/>
      </c>
      <c r="AA562" s="34">
        <f>SUMIFS('[1]GİP VERİLERİ'!$O:$O,'[1]GİP VERİLERİ'!$B:$B,A562,'[1]GİP VERİLERİ'!$M:$M,"40X000000104782K",'[1]GİP VERİLERİ'!$G:$G,"BUY")</f>
        <v/>
      </c>
      <c r="AB562" s="34">
        <f>'[1]GÖP VERİLERİ'!H563</f>
        <v/>
      </c>
      <c r="AC562" s="34">
        <f>'[1]GÖP VERİLERİ'!I563</f>
        <v/>
      </c>
      <c r="AD562" s="34">
        <f>IF(AB562&gt;AC562*1.05,AB562-AC562*1.05,IF(AB562&lt;AC562*0.95,AC562*0.95-AB562,0))</f>
        <v/>
      </c>
      <c r="AE562" s="34">
        <f>MAX(F562,G562,750)*0.05*AD562</f>
        <v/>
      </c>
      <c r="AF562" s="34">
        <f>'[1]GÖP VERİLERİ'!J563</f>
        <v/>
      </c>
      <c r="AG562" s="34">
        <f>IF(AB562&gt;AF562*1.05,AB562-AF562*1.05,IF(AB562&lt;AF562*0.95,AF562*0.95-AB562,0))</f>
        <v/>
      </c>
      <c r="AH562" s="34">
        <f>MAX(I562,J562,750)*0.05*AG562</f>
        <v/>
      </c>
      <c r="AI562">
        <f>'[1]GÖP VERİLERİ'!E563</f>
        <v/>
      </c>
      <c r="AJ562">
        <f>'[1]GÖP VERİLERİ'!F563</f>
        <v/>
      </c>
      <c r="AK562" s="34">
        <f>IF(AI562&gt;AJ562*1.05,AI562-AJ562*1.05,IF(AI562&lt;AJ562*0.95,AJ562*0.95-AI562,0))</f>
        <v/>
      </c>
      <c r="AL562" s="34">
        <f>MAX(F562,G562,750)*0.05*AK562</f>
        <v/>
      </c>
      <c r="AM562" s="39">
        <f>'[1]GÖP VERİLERİ'!G563</f>
        <v/>
      </c>
      <c r="AN562" s="34">
        <f>IF(AI562&gt;AM562*1.05,AI562-AM562*1.05,IF(AI562&lt;AM562*0.95,AM562*0.95-AI562,0))</f>
        <v/>
      </c>
      <c r="AO562" s="34">
        <f>MAX(F562,G562,750)*0.05*AN562</f>
        <v/>
      </c>
      <c r="AP562" s="34">
        <f>'[1]GÖP VERİLERİ'!B563</f>
        <v/>
      </c>
      <c r="AQ562" s="34">
        <f>'[1]GÖP VERİLERİ'!C563</f>
        <v/>
      </c>
      <c r="AR562" s="34">
        <f>IF(AP562&gt;AQ562*1.05,AP562-AQ562*1.05,IF(AP562&lt;AQ562*0.95,AQ562*0.95-AP562,0))</f>
        <v/>
      </c>
      <c r="AS562" s="34">
        <f>MAX(F562:G562,750)*0.05*AR562</f>
        <v/>
      </c>
      <c r="AT562">
        <f>'[1]GÖP VERİLERİ'!D563</f>
        <v/>
      </c>
      <c r="AU562" s="34">
        <f>IF(AP562&gt;AT562*1.05,AP562-AT562*1.05,IF(AP562&lt;AT562*0.95,AT562*0.95-AP562,0))</f>
        <v/>
      </c>
      <c r="AV562" s="34">
        <f>MAX(F562:G562,750)*0.05*AU562</f>
        <v/>
      </c>
      <c r="AW562" s="34">
        <f>AC562+AJ562+AQ562</f>
        <v/>
      </c>
      <c r="AX562" s="34">
        <f>AF562+AM562+AT562</f>
        <v/>
      </c>
      <c r="AY562" s="34">
        <f>AB562+AI562+AP562</f>
        <v/>
      </c>
      <c r="AZ562" s="34" t="n">
        <v>0</v>
      </c>
      <c r="BA562" s="34">
        <f>AD562+AK562+AR562</f>
        <v/>
      </c>
      <c r="BB562" s="34">
        <f>MAX(F562:G562,750)*0.05*BA562</f>
        <v/>
      </c>
      <c r="BC562" s="34">
        <f>AG562+AN562+AU562</f>
        <v/>
      </c>
      <c r="BD562" s="34">
        <f>MAX(F562:G562,750)*0.05*BC562</f>
        <v/>
      </c>
      <c r="BE562" s="34">
        <f>F562*AY562</f>
        <v/>
      </c>
      <c r="BF562" s="34">
        <f>K562-M562</f>
        <v/>
      </c>
      <c r="BG562" s="34">
        <f>P562-S562</f>
        <v/>
      </c>
      <c r="BH562" s="34">
        <f>W562-AA562</f>
        <v/>
      </c>
      <c r="BI562" s="34">
        <f>BF562+BG562+BL562-BN562</f>
        <v/>
      </c>
      <c r="BJ562" s="34">
        <f>ABS(BK562)</f>
        <v/>
      </c>
      <c r="BK562" s="34">
        <f>AY562-(J562-L562+N562-Q562)</f>
        <v/>
      </c>
      <c r="BL562" s="34">
        <f>IF(AND(BK562&gt;0,MIN($F562:$G562)&lt;150,$E562="Enerji Açığı"),-100*BK562*1.03,IF(AND(BK562&gt;0,MIN($F562:$G562)&lt;150,$E562="Enerji Fazlası"),-100*BK562*1.06,IF(AND(BK562&gt;0,MIN($F562:$G562)&gt;=150,$E562="Enerji Açığı"),BK562*MIN($F562:$G562)*0.97,IF(AND(BK562&gt;0,MIN($F562:$G562)&gt;=150,$E562="Enerji Fazlası"),BK562*MIN($F562:$G562)*0.94,IF(AND(BK562&lt;0,MAX($F562:$G562)=4500,$E562="Enerji Açığı"),4500*1.05*1.06*BK562,IF(AND(BK562&lt;0,MAX($F562:$G562)=4500,$E562="Enerji Fazlası"),4500*1.05*1.03*BK562,IF(AND(BK562&lt;0,$E562="Enerji Açığı"),MAX($F562,$G562,150)*BK562*1.06,IF(AND(BK562&lt;0,$E562="Enerji Fazlası"),MAX($F562,$G562,150)*BK562*1.03,IF(AND(BK562&lt;0,$E562="Dengede"),MAX($F562:$G562,150)*1.03*BK562,MIN($F562:$G562)*0.97*BK562)))))))))</f>
        <v/>
      </c>
      <c r="BM562" s="34">
        <f>BE562-BI562-BN562</f>
        <v/>
      </c>
      <c r="BN562" s="34">
        <f>BB562</f>
        <v/>
      </c>
      <c r="BO562" s="34">
        <f>BE562-BI562</f>
        <v/>
      </c>
      <c r="BP562" s="34">
        <f>IF(AY562=0,0,BO562/AY562)</f>
        <v/>
      </c>
      <c r="BQ562" s="34">
        <f>MAX((AY562+MAX((-J562+L562-N562+Q562),0)),(MAX((J562-L562+N562-Q562),0)))</f>
        <v/>
      </c>
      <c r="BR562" s="82">
        <f>IFERROR(ABS(BK562/BQ562),0)</f>
        <v/>
      </c>
      <c r="BS562" s="34">
        <f>IF(BR562&lt;=0.1,0,BK562/BR562*(BR562-0.1))</f>
        <v/>
      </c>
      <c r="BT562" s="34">
        <f>IF((BS562)&lt;0,MAX(F562:G562)*(BS562)*1.03,MIN(F562:G562)*(BS562)*0.97)</f>
        <v/>
      </c>
      <c r="BU562" s="34">
        <f>IF(BR562&gt;0.1,1,0)</f>
        <v/>
      </c>
      <c r="BV562" s="34">
        <f>BF562+BG562+BH562+BY562-CA562</f>
        <v/>
      </c>
      <c r="BW562" s="34">
        <f>ABS(BX562)</f>
        <v/>
      </c>
      <c r="BX562" s="34">
        <f>AY562-(J562-L562+N562-Q562+T562-X562)</f>
        <v/>
      </c>
      <c r="BY562" s="34">
        <f>IF(AND(BX562&gt;0,MIN($F562:$G562)&lt;150,$E562="Enerji Açığı"),-100*BX562*1.03,IF(AND(BX562&gt;0,MIN($F562:$G562)&lt;150,$E562="Enerji Fazlası"),-100*BX562*1.06,IF(AND(BX562&gt;0,MIN($F562:$G562)&gt;=150,$E562="Enerji Açığı"),BX562*MIN($F562:$G562)*0.97,IF(AND(BX562&gt;0,MIN($F562:$G562)&gt;=150,$E562="Enerji Fazlası"),BX562*MIN($F562:$G562)*0.94,IF(AND(BX562&lt;0,MAX($F562:$G562)=4500,$E562="Enerji Açığı"),4500*1.05*1.06*BX562,IF(AND(BX562&lt;0,MAX($F562:$G562)=4500,$E562="Enerji Fazlası"),4500*1.05*1.03*BX562,IF(AND(BX562&lt;0,$E562="Enerji Açığı"),MAX($F562,$G562,150)*BX562*1.06,IF(AND(BX562&lt;0,$E562="Enerji Fazlası"),MAX($F562,$G562,150)*BX562*1.03,IF(AND(BX562&lt;0,$E562="Dengede"),MAX($F562:$G562,150)*1.03*BX562,MIN($F562:$G562)*0.97*BX562)))))))))</f>
        <v/>
      </c>
      <c r="BZ562" s="34">
        <f>BE562-BV562-CA562</f>
        <v/>
      </c>
      <c r="CA562" s="34">
        <f>BD562</f>
        <v/>
      </c>
      <c r="CB562" s="33">
        <f>BE562-BV562</f>
        <v/>
      </c>
      <c r="CC562" s="34">
        <f>IF(AY562=0,0,CB562/AY562)</f>
        <v/>
      </c>
      <c r="CD562" s="34">
        <f>MAX((AY562+MAX((-J562+L562-N562+Q562-T562+X562),0)),(MAX((J562-L562+N562-Q562+T562-X562),0)))</f>
        <v/>
      </c>
      <c r="CE562" s="82">
        <f>IFERROR(ABS(BX562/CD562),0)</f>
        <v/>
      </c>
      <c r="CF562" s="34">
        <f>IF(CE562&lt;=0.1,0,BX562/CE562*(CE562-0.1))</f>
        <v/>
      </c>
      <c r="CG562" s="34">
        <f>IF((CF562)&lt;0,MAX(F562:G562)*(CF562)*1.03,MIN(F562:G562)*(CF562)*0.97)</f>
        <v/>
      </c>
      <c r="CH562" s="34">
        <f>IF(CE562&gt;0.1,1,0)</f>
        <v/>
      </c>
      <c r="CI562" s="34">
        <f>(F562*BX562)-BY562</f>
        <v/>
      </c>
      <c r="CJ562" s="34">
        <f>IF(AY562=0,0,CI562/AY562)</f>
        <v/>
      </c>
    </row>
    <row r="563">
      <c r="A563" s="29">
        <f>[1]FİYATLAR!A538</f>
        <v/>
      </c>
      <c r="B563" s="29">
        <f>[1]FİYATLAR!B538</f>
        <v/>
      </c>
      <c r="C563" s="35">
        <f>INT(A563)</f>
        <v/>
      </c>
      <c r="D563" s="36">
        <f>MONTH(A563)</f>
        <v/>
      </c>
      <c r="E563" s="147">
        <f>[1]FİYATLAR!G538</f>
        <v/>
      </c>
      <c r="F563" s="30">
        <f>[1]FİYATLAR!C538</f>
        <v/>
      </c>
      <c r="G563" s="30">
        <f>[1]FİYATLAR!E538</f>
        <v/>
      </c>
      <c r="H563" s="30">
        <f>[1]FİYATLAR!D538</f>
        <v/>
      </c>
      <c r="I563" s="30">
        <f>[1]FİYATLAR!F538</f>
        <v/>
      </c>
      <c r="J563" s="119" t="n">
        <v>0</v>
      </c>
      <c r="K563" s="34">
        <f>F563*J563</f>
        <v/>
      </c>
      <c r="L563" s="119" t="n"/>
      <c r="M563" s="34">
        <f>L563*F563</f>
        <v/>
      </c>
      <c r="N563" s="119" t="n"/>
      <c r="O563" s="34">
        <f>F563</f>
        <v/>
      </c>
      <c r="P563" s="34">
        <f>N563*O563</f>
        <v/>
      </c>
      <c r="Q563" s="117" t="n">
        <v>0</v>
      </c>
      <c r="R563" s="34">
        <f>F563</f>
        <v/>
      </c>
      <c r="S563" s="34">
        <f>R563*Q563</f>
        <v/>
      </c>
      <c r="T563" s="34">
        <f>SUMIFS('[1]GİP VERİLERİ'!$C:$C,'[1]GİP VERİLERİ'!$B:$B,A563,'[1]GİP VERİLERİ'!$M:$M,"40X000000104782K",'[1]GİP VERİLERİ'!$G:$G,"SELL")</f>
        <v/>
      </c>
      <c r="U563" s="34">
        <f>IFERROR(W563/T563,0)</f>
        <v/>
      </c>
      <c r="V563" s="34">
        <f>IF(U563=0,0,U563-F563)</f>
        <v/>
      </c>
      <c r="W563" s="34">
        <f>SUMIFS('[1]GİP VERİLERİ'!$O:$O,'[1]GİP VERİLERİ'!$B:$B,A563,'[1]GİP VERİLERİ'!$M:$M,"40X000000104782K",'[1]GİP VERİLERİ'!$G:$G,"SELL")</f>
        <v/>
      </c>
      <c r="X563" s="34">
        <f>SUMIFS('[1]GİP VERİLERİ'!$C:$C,'[1]GİP VERİLERİ'!$B:$B,A563,'[1]GİP VERİLERİ'!$M:$M,"40X000000104782K",'[1]GİP VERİLERİ'!$G:$G,"BUY")</f>
        <v/>
      </c>
      <c r="Y563" s="34">
        <f>IFERROR(AA563/X563,0)</f>
        <v/>
      </c>
      <c r="Z563" s="34">
        <f>IF(Y563=0,0,F563-Y563)</f>
        <v/>
      </c>
      <c r="AA563" s="34">
        <f>SUMIFS('[1]GİP VERİLERİ'!$O:$O,'[1]GİP VERİLERİ'!$B:$B,A563,'[1]GİP VERİLERİ'!$M:$M,"40X000000104782K",'[1]GİP VERİLERİ'!$G:$G,"BUY")</f>
        <v/>
      </c>
      <c r="AB563" s="34">
        <f>'[1]GÖP VERİLERİ'!H564</f>
        <v/>
      </c>
      <c r="AC563" s="34">
        <f>'[1]GÖP VERİLERİ'!I564</f>
        <v/>
      </c>
      <c r="AD563" s="34">
        <f>IF(AB563&gt;AC563*1.05,AB563-AC563*1.05,IF(AB563&lt;AC563*0.95,AC563*0.95-AB563,0))</f>
        <v/>
      </c>
      <c r="AE563" s="34">
        <f>MAX(F563,G563,750)*0.05*AD563</f>
        <v/>
      </c>
      <c r="AF563" s="34">
        <f>'[1]GÖP VERİLERİ'!J564</f>
        <v/>
      </c>
      <c r="AG563" s="34">
        <f>IF(AB563&gt;AF563*1.05,AB563-AF563*1.05,IF(AB563&lt;AF563*0.95,AF563*0.95-AB563,0))</f>
        <v/>
      </c>
      <c r="AH563" s="34">
        <f>MAX(I563,J563,750)*0.05*AG563</f>
        <v/>
      </c>
      <c r="AI563">
        <f>'[1]GÖP VERİLERİ'!E564</f>
        <v/>
      </c>
      <c r="AJ563">
        <f>'[1]GÖP VERİLERİ'!F564</f>
        <v/>
      </c>
      <c r="AK563" s="34">
        <f>IF(AI563&gt;AJ563*1.05,AI563-AJ563*1.05,IF(AI563&lt;AJ563*0.95,AJ563*0.95-AI563,0))</f>
        <v/>
      </c>
      <c r="AL563" s="34">
        <f>MAX(F563,G563,750)*0.05*AK563</f>
        <v/>
      </c>
      <c r="AM563" s="39">
        <f>'[1]GÖP VERİLERİ'!G564</f>
        <v/>
      </c>
      <c r="AN563" s="34">
        <f>IF(AI563&gt;AM563*1.05,AI563-AM563*1.05,IF(AI563&lt;AM563*0.95,AM563*0.95-AI563,0))</f>
        <v/>
      </c>
      <c r="AO563" s="34">
        <f>MAX(F563,G563,750)*0.05*AN563</f>
        <v/>
      </c>
      <c r="AP563" s="34">
        <f>'[1]GÖP VERİLERİ'!B564</f>
        <v/>
      </c>
      <c r="AQ563" s="34">
        <f>'[1]GÖP VERİLERİ'!C564</f>
        <v/>
      </c>
      <c r="AR563" s="34">
        <f>IF(AP563&gt;AQ563*1.05,AP563-AQ563*1.05,IF(AP563&lt;AQ563*0.95,AQ563*0.95-AP563,0))</f>
        <v/>
      </c>
      <c r="AS563" s="34">
        <f>MAX(F563:G563,750)*0.05*AR563</f>
        <v/>
      </c>
      <c r="AT563">
        <f>'[1]GÖP VERİLERİ'!D564</f>
        <v/>
      </c>
      <c r="AU563" s="34">
        <f>IF(AP563&gt;AT563*1.05,AP563-AT563*1.05,IF(AP563&lt;AT563*0.95,AT563*0.95-AP563,0))</f>
        <v/>
      </c>
      <c r="AV563" s="34">
        <f>MAX(F563:G563,750)*0.05*AU563</f>
        <v/>
      </c>
      <c r="AW563" s="34">
        <f>AC563+AJ563+AQ563</f>
        <v/>
      </c>
      <c r="AX563" s="34">
        <f>AF563+AM563+AT563</f>
        <v/>
      </c>
      <c r="AY563" s="34">
        <f>AB563+AI563+AP563</f>
        <v/>
      </c>
      <c r="AZ563" s="34" t="n">
        <v>0</v>
      </c>
      <c r="BA563" s="34">
        <f>AD563+AK563+AR563</f>
        <v/>
      </c>
      <c r="BB563" s="34">
        <f>MAX(F563:G563,750)*0.05*BA563</f>
        <v/>
      </c>
      <c r="BC563" s="34">
        <f>AG563+AN563+AU563</f>
        <v/>
      </c>
      <c r="BD563" s="34">
        <f>MAX(F563:G563,750)*0.05*BC563</f>
        <v/>
      </c>
      <c r="BE563" s="34">
        <f>F563*AY563</f>
        <v/>
      </c>
      <c r="BF563" s="34">
        <f>K563-M563</f>
        <v/>
      </c>
      <c r="BG563" s="34">
        <f>P563-S563</f>
        <v/>
      </c>
      <c r="BH563" s="34">
        <f>W563-AA563</f>
        <v/>
      </c>
      <c r="BI563" s="34">
        <f>BF563+BG563+BL563-BN563</f>
        <v/>
      </c>
      <c r="BJ563" s="34">
        <f>ABS(BK563)</f>
        <v/>
      </c>
      <c r="BK563" s="34">
        <f>AY563-(J563-L563+N563-Q563)</f>
        <v/>
      </c>
      <c r="BL563" s="34">
        <f>IF(AND(BK563&gt;0,MIN($F563:$G563)&lt;150,$E563="Enerji Açığı"),-100*BK563*1.03,IF(AND(BK563&gt;0,MIN($F563:$G563)&lt;150,$E563="Enerji Fazlası"),-100*BK563*1.06,IF(AND(BK563&gt;0,MIN($F563:$G563)&gt;=150,$E563="Enerji Açığı"),BK563*MIN($F563:$G563)*0.97,IF(AND(BK563&gt;0,MIN($F563:$G563)&gt;=150,$E563="Enerji Fazlası"),BK563*MIN($F563:$G563)*0.94,IF(AND(BK563&lt;0,MAX($F563:$G563)=4500,$E563="Enerji Açığı"),4500*1.05*1.06*BK563,IF(AND(BK563&lt;0,MAX($F563:$G563)=4500,$E563="Enerji Fazlası"),4500*1.05*1.03*BK563,IF(AND(BK563&lt;0,$E563="Enerji Açığı"),MAX($F563,$G563,150)*BK563*1.06,IF(AND(BK563&lt;0,$E563="Enerji Fazlası"),MAX($F563,$G563,150)*BK563*1.03,IF(AND(BK563&lt;0,$E563="Dengede"),MAX($F563:$G563,150)*1.03*BK563,MIN($F563:$G563)*0.97*BK563)))))))))</f>
        <v/>
      </c>
      <c r="BM563" s="34">
        <f>BE563-BI563-BN563</f>
        <v/>
      </c>
      <c r="BN563" s="34">
        <f>BB563</f>
        <v/>
      </c>
      <c r="BO563" s="34">
        <f>BE563-BI563</f>
        <v/>
      </c>
      <c r="BP563" s="34">
        <f>IF(AY563=0,0,BO563/AY563)</f>
        <v/>
      </c>
      <c r="BQ563" s="34">
        <f>MAX((AY563+MAX((-J563+L563-N563+Q563),0)),(MAX((J563-L563+N563-Q563),0)))</f>
        <v/>
      </c>
      <c r="BR563" s="82">
        <f>IFERROR(ABS(BK563/BQ563),0)</f>
        <v/>
      </c>
      <c r="BS563" s="34">
        <f>IF(BR563&lt;=0.1,0,BK563/BR563*(BR563-0.1))</f>
        <v/>
      </c>
      <c r="BT563" s="34">
        <f>IF((BS563)&lt;0,MAX(F563:G563)*(BS563)*1.03,MIN(F563:G563)*(BS563)*0.97)</f>
        <v/>
      </c>
      <c r="BU563" s="34">
        <f>IF(BR563&gt;0.1,1,0)</f>
        <v/>
      </c>
      <c r="BV563" s="34">
        <f>BF563+BG563+BH563+BY563-CA563</f>
        <v/>
      </c>
      <c r="BW563" s="34">
        <f>ABS(BX563)</f>
        <v/>
      </c>
      <c r="BX563" s="34">
        <f>AY563-(J563-L563+N563-Q563+T563-X563)</f>
        <v/>
      </c>
      <c r="BY563" s="34">
        <f>IF(AND(BX563&gt;0,MIN($F563:$G563)&lt;150,$E563="Enerji Açığı"),-100*BX563*1.03,IF(AND(BX563&gt;0,MIN($F563:$G563)&lt;150,$E563="Enerji Fazlası"),-100*BX563*1.06,IF(AND(BX563&gt;0,MIN($F563:$G563)&gt;=150,$E563="Enerji Açığı"),BX563*MIN($F563:$G563)*0.97,IF(AND(BX563&gt;0,MIN($F563:$G563)&gt;=150,$E563="Enerji Fazlası"),BX563*MIN($F563:$G563)*0.94,IF(AND(BX563&lt;0,MAX($F563:$G563)=4500,$E563="Enerji Açığı"),4500*1.05*1.06*BX563,IF(AND(BX563&lt;0,MAX($F563:$G563)=4500,$E563="Enerji Fazlası"),4500*1.05*1.03*BX563,IF(AND(BX563&lt;0,$E563="Enerji Açığı"),MAX($F563,$G563,150)*BX563*1.06,IF(AND(BX563&lt;0,$E563="Enerji Fazlası"),MAX($F563,$G563,150)*BX563*1.03,IF(AND(BX563&lt;0,$E563="Dengede"),MAX($F563:$G563,150)*1.03*BX563,MIN($F563:$G563)*0.97*BX563)))))))))</f>
        <v/>
      </c>
      <c r="BZ563" s="34">
        <f>BE563-BV563-CA563</f>
        <v/>
      </c>
      <c r="CA563" s="34">
        <f>BD563</f>
        <v/>
      </c>
      <c r="CB563" s="33">
        <f>BE563-BV563</f>
        <v/>
      </c>
      <c r="CC563" s="34">
        <f>IF(AY563=0,0,CB563/AY563)</f>
        <v/>
      </c>
      <c r="CD563" s="34">
        <f>MAX((AY563+MAX((-J563+L563-N563+Q563-T563+X563),0)),(MAX((J563-L563+N563-Q563+T563-X563),0)))</f>
        <v/>
      </c>
      <c r="CE563" s="82">
        <f>IFERROR(ABS(BX563/CD563),0)</f>
        <v/>
      </c>
      <c r="CF563" s="34">
        <f>IF(CE563&lt;=0.1,0,BX563/CE563*(CE563-0.1))</f>
        <v/>
      </c>
      <c r="CG563" s="34">
        <f>IF((CF563)&lt;0,MAX(F563:G563)*(CF563)*1.03,MIN(F563:G563)*(CF563)*0.97)</f>
        <v/>
      </c>
      <c r="CH563" s="34">
        <f>IF(CE563&gt;0.1,1,0)</f>
        <v/>
      </c>
      <c r="CI563" s="34">
        <f>(F563*BX563)-BY563</f>
        <v/>
      </c>
      <c r="CJ563" s="34">
        <f>IF(AY563=0,0,CI563/AY563)</f>
        <v/>
      </c>
    </row>
    <row r="564">
      <c r="A564" s="29">
        <f>[1]FİYATLAR!A539</f>
        <v/>
      </c>
      <c r="B564" s="29">
        <f>[1]FİYATLAR!B539</f>
        <v/>
      </c>
      <c r="C564" s="35">
        <f>INT(A564)</f>
        <v/>
      </c>
      <c r="D564" s="36">
        <f>MONTH(A564)</f>
        <v/>
      </c>
      <c r="E564" s="147">
        <f>[1]FİYATLAR!G539</f>
        <v/>
      </c>
      <c r="F564" s="30">
        <f>[1]FİYATLAR!C539</f>
        <v/>
      </c>
      <c r="G564" s="30">
        <f>[1]FİYATLAR!E539</f>
        <v/>
      </c>
      <c r="H564" s="30">
        <f>[1]FİYATLAR!D539</f>
        <v/>
      </c>
      <c r="I564" s="30">
        <f>[1]FİYATLAR!F539</f>
        <v/>
      </c>
      <c r="J564" s="119" t="n">
        <v>0</v>
      </c>
      <c r="K564" s="34">
        <f>F564*J564</f>
        <v/>
      </c>
      <c r="L564" s="119" t="n"/>
      <c r="M564" s="34">
        <f>L564*F564</f>
        <v/>
      </c>
      <c r="N564" s="119" t="n"/>
      <c r="O564" s="34">
        <f>F564</f>
        <v/>
      </c>
      <c r="P564" s="34">
        <f>N564*O564</f>
        <v/>
      </c>
      <c r="Q564" s="117" t="n">
        <v>0</v>
      </c>
      <c r="R564" s="34">
        <f>F564</f>
        <v/>
      </c>
      <c r="S564" s="34">
        <f>R564*Q564</f>
        <v/>
      </c>
      <c r="T564" s="34">
        <f>SUMIFS('[1]GİP VERİLERİ'!$C:$C,'[1]GİP VERİLERİ'!$B:$B,A564,'[1]GİP VERİLERİ'!$M:$M,"40X000000104782K",'[1]GİP VERİLERİ'!$G:$G,"SELL")</f>
        <v/>
      </c>
      <c r="U564" s="34">
        <f>IFERROR(W564/T564,0)</f>
        <v/>
      </c>
      <c r="V564" s="34">
        <f>IF(U564=0,0,U564-F564)</f>
        <v/>
      </c>
      <c r="W564" s="34">
        <f>SUMIFS('[1]GİP VERİLERİ'!$O:$O,'[1]GİP VERİLERİ'!$B:$B,A564,'[1]GİP VERİLERİ'!$M:$M,"40X000000104782K",'[1]GİP VERİLERİ'!$G:$G,"SELL")</f>
        <v/>
      </c>
      <c r="X564" s="34">
        <f>SUMIFS('[1]GİP VERİLERİ'!$C:$C,'[1]GİP VERİLERİ'!$B:$B,A564,'[1]GİP VERİLERİ'!$M:$M,"40X000000104782K",'[1]GİP VERİLERİ'!$G:$G,"BUY")</f>
        <v/>
      </c>
      <c r="Y564" s="34">
        <f>IFERROR(AA564/X564,0)</f>
        <v/>
      </c>
      <c r="Z564" s="34">
        <f>IF(Y564=0,0,F564-Y564)</f>
        <v/>
      </c>
      <c r="AA564" s="34">
        <f>SUMIFS('[1]GİP VERİLERİ'!$O:$O,'[1]GİP VERİLERİ'!$B:$B,A564,'[1]GİP VERİLERİ'!$M:$M,"40X000000104782K",'[1]GİP VERİLERİ'!$G:$G,"BUY")</f>
        <v/>
      </c>
      <c r="AB564" s="34">
        <f>'[1]GÖP VERİLERİ'!H565</f>
        <v/>
      </c>
      <c r="AC564" s="34">
        <f>'[1]GÖP VERİLERİ'!I565</f>
        <v/>
      </c>
      <c r="AD564" s="34">
        <f>IF(AB564&gt;AC564*1.05,AB564-AC564*1.05,IF(AB564&lt;AC564*0.95,AC564*0.95-AB564,0))</f>
        <v/>
      </c>
      <c r="AE564" s="34">
        <f>MAX(F564,G564,750)*0.05*AD564</f>
        <v/>
      </c>
      <c r="AF564" s="34">
        <f>'[1]GÖP VERİLERİ'!J565</f>
        <v/>
      </c>
      <c r="AG564" s="34">
        <f>IF(AB564&gt;AF564*1.05,AB564-AF564*1.05,IF(AB564&lt;AF564*0.95,AF564*0.95-AB564,0))</f>
        <v/>
      </c>
      <c r="AH564" s="34">
        <f>MAX(I564,J564,750)*0.05*AG564</f>
        <v/>
      </c>
      <c r="AI564">
        <f>'[1]GÖP VERİLERİ'!E565</f>
        <v/>
      </c>
      <c r="AJ564">
        <f>'[1]GÖP VERİLERİ'!F565</f>
        <v/>
      </c>
      <c r="AK564" s="34">
        <f>IF(AI564&gt;AJ564*1.05,AI564-AJ564*1.05,IF(AI564&lt;AJ564*0.95,AJ564*0.95-AI564,0))</f>
        <v/>
      </c>
      <c r="AL564" s="34">
        <f>MAX(F564,G564,750)*0.05*AK564</f>
        <v/>
      </c>
      <c r="AM564" s="39">
        <f>'[1]GÖP VERİLERİ'!G565</f>
        <v/>
      </c>
      <c r="AN564" s="34">
        <f>IF(AI564&gt;AM564*1.05,AI564-AM564*1.05,IF(AI564&lt;AM564*0.95,AM564*0.95-AI564,0))</f>
        <v/>
      </c>
      <c r="AO564" s="34">
        <f>MAX(F564,G564,750)*0.05*AN564</f>
        <v/>
      </c>
      <c r="AP564" s="34">
        <f>'[1]GÖP VERİLERİ'!B565</f>
        <v/>
      </c>
      <c r="AQ564" s="34">
        <f>'[1]GÖP VERİLERİ'!C565</f>
        <v/>
      </c>
      <c r="AR564" s="34">
        <f>IF(AP564&gt;AQ564*1.05,AP564-AQ564*1.05,IF(AP564&lt;AQ564*0.95,AQ564*0.95-AP564,0))</f>
        <v/>
      </c>
      <c r="AS564" s="34">
        <f>MAX(F564:G564,750)*0.05*AR564</f>
        <v/>
      </c>
      <c r="AT564">
        <f>'[1]GÖP VERİLERİ'!D565</f>
        <v/>
      </c>
      <c r="AU564" s="34">
        <f>IF(AP564&gt;AT564*1.05,AP564-AT564*1.05,IF(AP564&lt;AT564*0.95,AT564*0.95-AP564,0))</f>
        <v/>
      </c>
      <c r="AV564" s="34">
        <f>MAX(F564:G564,750)*0.05*AU564</f>
        <v/>
      </c>
      <c r="AW564" s="34">
        <f>AC564+AJ564+AQ564</f>
        <v/>
      </c>
      <c r="AX564" s="34">
        <f>AF564+AM564+AT564</f>
        <v/>
      </c>
      <c r="AY564" s="34">
        <f>AB564+AI564+AP564</f>
        <v/>
      </c>
      <c r="AZ564" s="34" t="n">
        <v>0</v>
      </c>
      <c r="BA564" s="34">
        <f>AD564+AK564+AR564</f>
        <v/>
      </c>
      <c r="BB564" s="34">
        <f>MAX(F564:G564,750)*0.05*BA564</f>
        <v/>
      </c>
      <c r="BC564" s="34">
        <f>AG564+AN564+AU564</f>
        <v/>
      </c>
      <c r="BD564" s="34">
        <f>MAX(F564:G564,750)*0.05*BC564</f>
        <v/>
      </c>
      <c r="BE564" s="34">
        <f>F564*AY564</f>
        <v/>
      </c>
      <c r="BF564" s="34">
        <f>K564-M564</f>
        <v/>
      </c>
      <c r="BG564" s="34">
        <f>P564-S564</f>
        <v/>
      </c>
      <c r="BH564" s="34">
        <f>W564-AA564</f>
        <v/>
      </c>
      <c r="BI564" s="34">
        <f>BF564+BG564+BL564-BN564</f>
        <v/>
      </c>
      <c r="BJ564" s="34">
        <f>ABS(BK564)</f>
        <v/>
      </c>
      <c r="BK564" s="34">
        <f>AY564-(J564-L564+N564-Q564)</f>
        <v/>
      </c>
      <c r="BL564" s="34">
        <f>IF(AND(BK564&gt;0,MIN($F564:$G564)&lt;150,$E564="Enerji Açığı"),-100*BK564*1.03,IF(AND(BK564&gt;0,MIN($F564:$G564)&lt;150,$E564="Enerji Fazlası"),-100*BK564*1.06,IF(AND(BK564&gt;0,MIN($F564:$G564)&gt;=150,$E564="Enerji Açığı"),BK564*MIN($F564:$G564)*0.97,IF(AND(BK564&gt;0,MIN($F564:$G564)&gt;=150,$E564="Enerji Fazlası"),BK564*MIN($F564:$G564)*0.94,IF(AND(BK564&lt;0,MAX($F564:$G564)=4500,$E564="Enerji Açığı"),4500*1.05*1.06*BK564,IF(AND(BK564&lt;0,MAX($F564:$G564)=4500,$E564="Enerji Fazlası"),4500*1.05*1.03*BK564,IF(AND(BK564&lt;0,$E564="Enerji Açığı"),MAX($F564,$G564,150)*BK564*1.06,IF(AND(BK564&lt;0,$E564="Enerji Fazlası"),MAX($F564,$G564,150)*BK564*1.03,IF(AND(BK564&lt;0,$E564="Dengede"),MAX($F564:$G564,150)*1.03*BK564,MIN($F564:$G564)*0.97*BK564)))))))))</f>
        <v/>
      </c>
      <c r="BM564" s="34">
        <f>BE564-BI564-BN564</f>
        <v/>
      </c>
      <c r="BN564" s="34">
        <f>BB564</f>
        <v/>
      </c>
      <c r="BO564" s="34">
        <f>BE564-BI564</f>
        <v/>
      </c>
      <c r="BP564" s="34">
        <f>IF(AY564=0,0,BO564/AY564)</f>
        <v/>
      </c>
      <c r="BQ564" s="34">
        <f>MAX((AY564+MAX((-J564+L564-N564+Q564),0)),(MAX((J564-L564+N564-Q564),0)))</f>
        <v/>
      </c>
      <c r="BR564" s="82">
        <f>IFERROR(ABS(BK564/BQ564),0)</f>
        <v/>
      </c>
      <c r="BS564" s="34">
        <f>IF(BR564&lt;=0.1,0,BK564/BR564*(BR564-0.1))</f>
        <v/>
      </c>
      <c r="BT564" s="34">
        <f>IF((BS564)&lt;0,MAX(F564:G564)*(BS564)*1.03,MIN(F564:G564)*(BS564)*0.97)</f>
        <v/>
      </c>
      <c r="BU564" s="34">
        <f>IF(BR564&gt;0.1,1,0)</f>
        <v/>
      </c>
      <c r="BV564" s="34">
        <f>BF564+BG564+BH564+BY564-CA564</f>
        <v/>
      </c>
      <c r="BW564" s="34">
        <f>ABS(BX564)</f>
        <v/>
      </c>
      <c r="BX564" s="34">
        <f>AY564-(J564-L564+N564-Q564+T564-X564)</f>
        <v/>
      </c>
      <c r="BY564" s="34">
        <f>IF(AND(BX564&gt;0,MIN($F564:$G564)&lt;150,$E564="Enerji Açığı"),-100*BX564*1.03,IF(AND(BX564&gt;0,MIN($F564:$G564)&lt;150,$E564="Enerji Fazlası"),-100*BX564*1.06,IF(AND(BX564&gt;0,MIN($F564:$G564)&gt;=150,$E564="Enerji Açığı"),BX564*MIN($F564:$G564)*0.97,IF(AND(BX564&gt;0,MIN($F564:$G564)&gt;=150,$E564="Enerji Fazlası"),BX564*MIN($F564:$G564)*0.94,IF(AND(BX564&lt;0,MAX($F564:$G564)=4500,$E564="Enerji Açığı"),4500*1.05*1.06*BX564,IF(AND(BX564&lt;0,MAX($F564:$G564)=4500,$E564="Enerji Fazlası"),4500*1.05*1.03*BX564,IF(AND(BX564&lt;0,$E564="Enerji Açığı"),MAX($F564,$G564,150)*BX564*1.06,IF(AND(BX564&lt;0,$E564="Enerji Fazlası"),MAX($F564,$G564,150)*BX564*1.03,IF(AND(BX564&lt;0,$E564="Dengede"),MAX($F564:$G564,150)*1.03*BX564,MIN($F564:$G564)*0.97*BX564)))))))))</f>
        <v/>
      </c>
      <c r="BZ564" s="34">
        <f>BE564-BV564-CA564</f>
        <v/>
      </c>
      <c r="CA564" s="34">
        <f>BD564</f>
        <v/>
      </c>
      <c r="CB564" s="33">
        <f>BE564-BV564</f>
        <v/>
      </c>
      <c r="CC564" s="34">
        <f>IF(AY564=0,0,CB564/AY564)</f>
        <v/>
      </c>
      <c r="CD564" s="34">
        <f>MAX((AY564+MAX((-J564+L564-N564+Q564-T564+X564),0)),(MAX((J564-L564+N564-Q564+T564-X564),0)))</f>
        <v/>
      </c>
      <c r="CE564" s="82">
        <f>IFERROR(ABS(BX564/CD564),0)</f>
        <v/>
      </c>
      <c r="CF564" s="34">
        <f>IF(CE564&lt;=0.1,0,BX564/CE564*(CE564-0.1))</f>
        <v/>
      </c>
      <c r="CG564" s="34">
        <f>IF((CF564)&lt;0,MAX(F564:G564)*(CF564)*1.03,MIN(F564:G564)*(CF564)*0.97)</f>
        <v/>
      </c>
      <c r="CH564" s="34">
        <f>IF(CE564&gt;0.1,1,0)</f>
        <v/>
      </c>
      <c r="CI564" s="34">
        <f>(F564*BX564)-BY564</f>
        <v/>
      </c>
      <c r="CJ564" s="34">
        <f>IF(AY564=0,0,CI564/AY564)</f>
        <v/>
      </c>
    </row>
    <row r="565">
      <c r="A565" s="29">
        <f>[1]FİYATLAR!A540</f>
        <v/>
      </c>
      <c r="B565" s="29">
        <f>[1]FİYATLAR!B540</f>
        <v/>
      </c>
      <c r="C565" s="35">
        <f>INT(A565)</f>
        <v/>
      </c>
      <c r="D565" s="36">
        <f>MONTH(A565)</f>
        <v/>
      </c>
      <c r="E565" s="147">
        <f>[1]FİYATLAR!G540</f>
        <v/>
      </c>
      <c r="F565" s="30">
        <f>[1]FİYATLAR!C540</f>
        <v/>
      </c>
      <c r="G565" s="30">
        <f>[1]FİYATLAR!E540</f>
        <v/>
      </c>
      <c r="H565" s="30">
        <f>[1]FİYATLAR!D540</f>
        <v/>
      </c>
      <c r="I565" s="30">
        <f>[1]FİYATLAR!F540</f>
        <v/>
      </c>
      <c r="J565" s="119" t="n">
        <v>0</v>
      </c>
      <c r="K565" s="34">
        <f>F565*J565</f>
        <v/>
      </c>
      <c r="L565" s="119" t="n"/>
      <c r="M565" s="34">
        <f>L565*F565</f>
        <v/>
      </c>
      <c r="N565" s="119" t="n"/>
      <c r="O565" s="34">
        <f>F565</f>
        <v/>
      </c>
      <c r="P565" s="34">
        <f>N565*O565</f>
        <v/>
      </c>
      <c r="Q565" s="117" t="n">
        <v>0</v>
      </c>
      <c r="R565" s="34">
        <f>F565</f>
        <v/>
      </c>
      <c r="S565" s="34">
        <f>R565*Q565</f>
        <v/>
      </c>
      <c r="T565" s="34">
        <f>SUMIFS('[1]GİP VERİLERİ'!$C:$C,'[1]GİP VERİLERİ'!$B:$B,A565,'[1]GİP VERİLERİ'!$M:$M,"40X000000104782K",'[1]GİP VERİLERİ'!$G:$G,"SELL")</f>
        <v/>
      </c>
      <c r="U565" s="34">
        <f>IFERROR(W565/T565,0)</f>
        <v/>
      </c>
      <c r="V565" s="34">
        <f>IF(U565=0,0,U565-F565)</f>
        <v/>
      </c>
      <c r="W565" s="34">
        <f>SUMIFS('[1]GİP VERİLERİ'!$O:$O,'[1]GİP VERİLERİ'!$B:$B,A565,'[1]GİP VERİLERİ'!$M:$M,"40X000000104782K",'[1]GİP VERİLERİ'!$G:$G,"SELL")</f>
        <v/>
      </c>
      <c r="X565" s="34">
        <f>SUMIFS('[1]GİP VERİLERİ'!$C:$C,'[1]GİP VERİLERİ'!$B:$B,A565,'[1]GİP VERİLERİ'!$M:$M,"40X000000104782K",'[1]GİP VERİLERİ'!$G:$G,"BUY")</f>
        <v/>
      </c>
      <c r="Y565" s="34">
        <f>IFERROR(AA565/X565,0)</f>
        <v/>
      </c>
      <c r="Z565" s="34">
        <f>IF(Y565=0,0,F565-Y565)</f>
        <v/>
      </c>
      <c r="AA565" s="34">
        <f>SUMIFS('[1]GİP VERİLERİ'!$O:$O,'[1]GİP VERİLERİ'!$B:$B,A565,'[1]GİP VERİLERİ'!$M:$M,"40X000000104782K",'[1]GİP VERİLERİ'!$G:$G,"BUY")</f>
        <v/>
      </c>
      <c r="AB565" s="34">
        <f>'[1]GÖP VERİLERİ'!H566</f>
        <v/>
      </c>
      <c r="AC565" s="34">
        <f>'[1]GÖP VERİLERİ'!I566</f>
        <v/>
      </c>
      <c r="AD565" s="34">
        <f>IF(AB565&gt;AC565*1.05,AB565-AC565*1.05,IF(AB565&lt;AC565*0.95,AC565*0.95-AB565,0))</f>
        <v/>
      </c>
      <c r="AE565" s="34">
        <f>MAX(F565,G565,750)*0.05*AD565</f>
        <v/>
      </c>
      <c r="AF565" s="34">
        <f>'[1]GÖP VERİLERİ'!J566</f>
        <v/>
      </c>
      <c r="AG565" s="34">
        <f>IF(AB565&gt;AF565*1.05,AB565-AF565*1.05,IF(AB565&lt;AF565*0.95,AF565*0.95-AB565,0))</f>
        <v/>
      </c>
      <c r="AH565" s="34">
        <f>MAX(I565,J565,750)*0.05*AG565</f>
        <v/>
      </c>
      <c r="AI565">
        <f>'[1]GÖP VERİLERİ'!E566</f>
        <v/>
      </c>
      <c r="AJ565">
        <f>'[1]GÖP VERİLERİ'!F566</f>
        <v/>
      </c>
      <c r="AK565" s="34">
        <f>IF(AI565&gt;AJ565*1.05,AI565-AJ565*1.05,IF(AI565&lt;AJ565*0.95,AJ565*0.95-AI565,0))</f>
        <v/>
      </c>
      <c r="AL565" s="34">
        <f>MAX(F565,G565,750)*0.05*AK565</f>
        <v/>
      </c>
      <c r="AM565" s="39">
        <f>'[1]GÖP VERİLERİ'!G566</f>
        <v/>
      </c>
      <c r="AN565" s="34">
        <f>IF(AI565&gt;AM565*1.05,AI565-AM565*1.05,IF(AI565&lt;AM565*0.95,AM565*0.95-AI565,0))</f>
        <v/>
      </c>
      <c r="AO565" s="34">
        <f>MAX(F565,G565,750)*0.05*AN565</f>
        <v/>
      </c>
      <c r="AP565" s="34">
        <f>'[1]GÖP VERİLERİ'!B566</f>
        <v/>
      </c>
      <c r="AQ565" s="34">
        <f>'[1]GÖP VERİLERİ'!C566</f>
        <v/>
      </c>
      <c r="AR565" s="34">
        <f>IF(AP565&gt;AQ565*1.05,AP565-AQ565*1.05,IF(AP565&lt;AQ565*0.95,AQ565*0.95-AP565,0))</f>
        <v/>
      </c>
      <c r="AS565" s="34">
        <f>MAX(F565:G565,750)*0.05*AR565</f>
        <v/>
      </c>
      <c r="AT565">
        <f>'[1]GÖP VERİLERİ'!D566</f>
        <v/>
      </c>
      <c r="AU565" s="34">
        <f>IF(AP565&gt;AT565*1.05,AP565-AT565*1.05,IF(AP565&lt;AT565*0.95,AT565*0.95-AP565,0))</f>
        <v/>
      </c>
      <c r="AV565" s="34">
        <f>MAX(F565:G565,750)*0.05*AU565</f>
        <v/>
      </c>
      <c r="AW565" s="34">
        <f>AC565+AJ565+AQ565</f>
        <v/>
      </c>
      <c r="AX565" s="34">
        <f>AF565+AM565+AT565</f>
        <v/>
      </c>
      <c r="AY565" s="34">
        <f>AB565+AI565+AP565</f>
        <v/>
      </c>
      <c r="AZ565" s="34" t="n">
        <v>0</v>
      </c>
      <c r="BA565" s="34">
        <f>AD565+AK565+AR565</f>
        <v/>
      </c>
      <c r="BB565" s="34">
        <f>MAX(F565:G565,750)*0.05*BA565</f>
        <v/>
      </c>
      <c r="BC565" s="34">
        <f>AG565+AN565+AU565</f>
        <v/>
      </c>
      <c r="BD565" s="34">
        <f>MAX(F565:G565,750)*0.05*BC565</f>
        <v/>
      </c>
      <c r="BE565" s="34">
        <f>F565*AY565</f>
        <v/>
      </c>
      <c r="BF565" s="34">
        <f>K565-M565</f>
        <v/>
      </c>
      <c r="BG565" s="34">
        <f>P565-S565</f>
        <v/>
      </c>
      <c r="BH565" s="34">
        <f>W565-AA565</f>
        <v/>
      </c>
      <c r="BI565" s="34">
        <f>BF565+BG565+BL565-BN565</f>
        <v/>
      </c>
      <c r="BJ565" s="34">
        <f>ABS(BK565)</f>
        <v/>
      </c>
      <c r="BK565" s="34">
        <f>AY565-(J565-L565+N565-Q565)</f>
        <v/>
      </c>
      <c r="BL565" s="34">
        <f>IF(AND(BK565&gt;0,MIN($F565:$G565)&lt;150,$E565="Enerji Açığı"),-100*BK565*1.03,IF(AND(BK565&gt;0,MIN($F565:$G565)&lt;150,$E565="Enerji Fazlası"),-100*BK565*1.06,IF(AND(BK565&gt;0,MIN($F565:$G565)&gt;=150,$E565="Enerji Açığı"),BK565*MIN($F565:$G565)*0.97,IF(AND(BK565&gt;0,MIN($F565:$G565)&gt;=150,$E565="Enerji Fazlası"),BK565*MIN($F565:$G565)*0.94,IF(AND(BK565&lt;0,MAX($F565:$G565)=4500,$E565="Enerji Açığı"),4500*1.05*1.06*BK565,IF(AND(BK565&lt;0,MAX($F565:$G565)=4500,$E565="Enerji Fazlası"),4500*1.05*1.03*BK565,IF(AND(BK565&lt;0,$E565="Enerji Açığı"),MAX($F565,$G565,150)*BK565*1.06,IF(AND(BK565&lt;0,$E565="Enerji Fazlası"),MAX($F565,$G565,150)*BK565*1.03,IF(AND(BK565&lt;0,$E565="Dengede"),MAX($F565:$G565,150)*1.03*BK565,MIN($F565:$G565)*0.97*BK565)))))))))</f>
        <v/>
      </c>
      <c r="BM565" s="34">
        <f>BE565-BI565-BN565</f>
        <v/>
      </c>
      <c r="BN565" s="34">
        <f>BB565</f>
        <v/>
      </c>
      <c r="BO565" s="34">
        <f>BE565-BI565</f>
        <v/>
      </c>
      <c r="BP565" s="34">
        <f>IF(AY565=0,0,BO565/AY565)</f>
        <v/>
      </c>
      <c r="BQ565" s="34">
        <f>MAX((AY565+MAX((-J565+L565-N565+Q565),0)),(MAX((J565-L565+N565-Q565),0)))</f>
        <v/>
      </c>
      <c r="BR565" s="82">
        <f>IFERROR(ABS(BK565/BQ565),0)</f>
        <v/>
      </c>
      <c r="BS565" s="34">
        <f>IF(BR565&lt;=0.1,0,BK565/BR565*(BR565-0.1))</f>
        <v/>
      </c>
      <c r="BT565" s="34">
        <f>IF((BS565)&lt;0,MAX(F565:G565)*(BS565)*1.03,MIN(F565:G565)*(BS565)*0.97)</f>
        <v/>
      </c>
      <c r="BU565" s="34">
        <f>IF(BR565&gt;0.1,1,0)</f>
        <v/>
      </c>
      <c r="BV565" s="34">
        <f>BF565+BG565+BH565+BY565-CA565</f>
        <v/>
      </c>
      <c r="BW565" s="34">
        <f>ABS(BX565)</f>
        <v/>
      </c>
      <c r="BX565" s="34">
        <f>AY565-(J565-L565+N565-Q565+T565-X565)</f>
        <v/>
      </c>
      <c r="BY565" s="34">
        <f>IF(AND(BX565&gt;0,MIN($F565:$G565)&lt;150,$E565="Enerji Açığı"),-100*BX565*1.03,IF(AND(BX565&gt;0,MIN($F565:$G565)&lt;150,$E565="Enerji Fazlası"),-100*BX565*1.06,IF(AND(BX565&gt;0,MIN($F565:$G565)&gt;=150,$E565="Enerji Açığı"),BX565*MIN($F565:$G565)*0.97,IF(AND(BX565&gt;0,MIN($F565:$G565)&gt;=150,$E565="Enerji Fazlası"),BX565*MIN($F565:$G565)*0.94,IF(AND(BX565&lt;0,MAX($F565:$G565)=4500,$E565="Enerji Açığı"),4500*1.05*1.06*BX565,IF(AND(BX565&lt;0,MAX($F565:$G565)=4500,$E565="Enerji Fazlası"),4500*1.05*1.03*BX565,IF(AND(BX565&lt;0,$E565="Enerji Açığı"),MAX($F565,$G565,150)*BX565*1.06,IF(AND(BX565&lt;0,$E565="Enerji Fazlası"),MAX($F565,$G565,150)*BX565*1.03,IF(AND(BX565&lt;0,$E565="Dengede"),MAX($F565:$G565,150)*1.03*BX565,MIN($F565:$G565)*0.97*BX565)))))))))</f>
        <v/>
      </c>
      <c r="BZ565" s="34">
        <f>BE565-BV565-CA565</f>
        <v/>
      </c>
      <c r="CA565" s="34">
        <f>BD565</f>
        <v/>
      </c>
      <c r="CB565" s="33">
        <f>BE565-BV565</f>
        <v/>
      </c>
      <c r="CC565" s="34">
        <f>IF(AY565=0,0,CB565/AY565)</f>
        <v/>
      </c>
      <c r="CD565" s="34">
        <f>MAX((AY565+MAX((-J565+L565-N565+Q565-T565+X565),0)),(MAX((J565-L565+N565-Q565+T565-X565),0)))</f>
        <v/>
      </c>
      <c r="CE565" s="82">
        <f>IFERROR(ABS(BX565/CD565),0)</f>
        <v/>
      </c>
      <c r="CF565" s="34">
        <f>IF(CE565&lt;=0.1,0,BX565/CE565*(CE565-0.1))</f>
        <v/>
      </c>
      <c r="CG565" s="34">
        <f>IF((CF565)&lt;0,MAX(F565:G565)*(CF565)*1.03,MIN(F565:G565)*(CF565)*0.97)</f>
        <v/>
      </c>
      <c r="CH565" s="34">
        <f>IF(CE565&gt;0.1,1,0)</f>
        <v/>
      </c>
      <c r="CI565" s="34">
        <f>(F565*BX565)-BY565</f>
        <v/>
      </c>
      <c r="CJ565" s="34">
        <f>IF(AY565=0,0,CI565/AY565)</f>
        <v/>
      </c>
    </row>
    <row r="566">
      <c r="A566" s="29">
        <f>[1]FİYATLAR!A541</f>
        <v/>
      </c>
      <c r="B566" s="29">
        <f>[1]FİYATLAR!B541</f>
        <v/>
      </c>
      <c r="C566" s="35">
        <f>INT(A566)</f>
        <v/>
      </c>
      <c r="D566" s="36">
        <f>MONTH(A566)</f>
        <v/>
      </c>
      <c r="E566" s="147">
        <f>[1]FİYATLAR!G541</f>
        <v/>
      </c>
      <c r="F566" s="30">
        <f>[1]FİYATLAR!C541</f>
        <v/>
      </c>
      <c r="G566" s="30">
        <f>[1]FİYATLAR!E541</f>
        <v/>
      </c>
      <c r="H566" s="30">
        <f>[1]FİYATLAR!D541</f>
        <v/>
      </c>
      <c r="I566" s="30">
        <f>[1]FİYATLAR!F541</f>
        <v/>
      </c>
      <c r="J566" s="119" t="n">
        <v>0</v>
      </c>
      <c r="K566" s="34">
        <f>F566*J566</f>
        <v/>
      </c>
      <c r="L566" s="119" t="n"/>
      <c r="M566" s="34">
        <f>L566*F566</f>
        <v/>
      </c>
      <c r="N566" s="119" t="n"/>
      <c r="O566" s="34">
        <f>F566</f>
        <v/>
      </c>
      <c r="P566" s="34">
        <f>N566*O566</f>
        <v/>
      </c>
      <c r="Q566" s="117" t="n">
        <v>0</v>
      </c>
      <c r="R566" s="34">
        <f>F566</f>
        <v/>
      </c>
      <c r="S566" s="34">
        <f>R566*Q566</f>
        <v/>
      </c>
      <c r="T566" s="34">
        <f>SUMIFS('[1]GİP VERİLERİ'!$C:$C,'[1]GİP VERİLERİ'!$B:$B,A566,'[1]GİP VERİLERİ'!$M:$M,"40X000000104782K",'[1]GİP VERİLERİ'!$G:$G,"SELL")</f>
        <v/>
      </c>
      <c r="U566" s="34">
        <f>IFERROR(W566/T566,0)</f>
        <v/>
      </c>
      <c r="V566" s="34">
        <f>IF(U566=0,0,U566-F566)</f>
        <v/>
      </c>
      <c r="W566" s="34">
        <f>SUMIFS('[1]GİP VERİLERİ'!$O:$O,'[1]GİP VERİLERİ'!$B:$B,A566,'[1]GİP VERİLERİ'!$M:$M,"40X000000104782K",'[1]GİP VERİLERİ'!$G:$G,"SELL")</f>
        <v/>
      </c>
      <c r="X566" s="34">
        <f>SUMIFS('[1]GİP VERİLERİ'!$C:$C,'[1]GİP VERİLERİ'!$B:$B,A566,'[1]GİP VERİLERİ'!$M:$M,"40X000000104782K",'[1]GİP VERİLERİ'!$G:$G,"BUY")</f>
        <v/>
      </c>
      <c r="Y566" s="34">
        <f>IFERROR(AA566/X566,0)</f>
        <v/>
      </c>
      <c r="Z566" s="34">
        <f>IF(Y566=0,0,F566-Y566)</f>
        <v/>
      </c>
      <c r="AA566" s="34">
        <f>SUMIFS('[1]GİP VERİLERİ'!$O:$O,'[1]GİP VERİLERİ'!$B:$B,A566,'[1]GİP VERİLERİ'!$M:$M,"40X000000104782K",'[1]GİP VERİLERİ'!$G:$G,"BUY")</f>
        <v/>
      </c>
      <c r="AB566" s="34">
        <f>'[1]GÖP VERİLERİ'!H567</f>
        <v/>
      </c>
      <c r="AC566" s="34">
        <f>'[1]GÖP VERİLERİ'!I567</f>
        <v/>
      </c>
      <c r="AD566" s="34">
        <f>IF(AB566&gt;AC566*1.05,AB566-AC566*1.05,IF(AB566&lt;AC566*0.95,AC566*0.95-AB566,0))</f>
        <v/>
      </c>
      <c r="AE566" s="34">
        <f>MAX(F566,G566,750)*0.05*AD566</f>
        <v/>
      </c>
      <c r="AF566" s="34">
        <f>'[1]GÖP VERİLERİ'!J567</f>
        <v/>
      </c>
      <c r="AG566" s="34">
        <f>IF(AB566&gt;AF566*1.05,AB566-AF566*1.05,IF(AB566&lt;AF566*0.95,AF566*0.95-AB566,0))</f>
        <v/>
      </c>
      <c r="AH566" s="34">
        <f>MAX(I566,J566,750)*0.05*AG566</f>
        <v/>
      </c>
      <c r="AI566">
        <f>'[1]GÖP VERİLERİ'!E567</f>
        <v/>
      </c>
      <c r="AJ566">
        <f>'[1]GÖP VERİLERİ'!F567</f>
        <v/>
      </c>
      <c r="AK566" s="34">
        <f>IF(AI566&gt;AJ566*1.05,AI566-AJ566*1.05,IF(AI566&lt;AJ566*0.95,AJ566*0.95-AI566,0))</f>
        <v/>
      </c>
      <c r="AL566" s="34">
        <f>MAX(F566,G566,750)*0.05*AK566</f>
        <v/>
      </c>
      <c r="AM566" s="39">
        <f>'[1]GÖP VERİLERİ'!G567</f>
        <v/>
      </c>
      <c r="AN566" s="34">
        <f>IF(AI566&gt;AM566*1.05,AI566-AM566*1.05,IF(AI566&lt;AM566*0.95,AM566*0.95-AI566,0))</f>
        <v/>
      </c>
      <c r="AO566" s="34">
        <f>MAX(F566,G566,750)*0.05*AN566</f>
        <v/>
      </c>
      <c r="AP566" s="34">
        <f>'[1]GÖP VERİLERİ'!B567</f>
        <v/>
      </c>
      <c r="AQ566" s="34">
        <f>'[1]GÖP VERİLERİ'!C567</f>
        <v/>
      </c>
      <c r="AR566" s="34">
        <f>IF(AP566&gt;AQ566*1.05,AP566-AQ566*1.05,IF(AP566&lt;AQ566*0.95,AQ566*0.95-AP566,0))</f>
        <v/>
      </c>
      <c r="AS566" s="34">
        <f>MAX(F566:G566,750)*0.05*AR566</f>
        <v/>
      </c>
      <c r="AT566">
        <f>'[1]GÖP VERİLERİ'!D567</f>
        <v/>
      </c>
      <c r="AU566" s="34">
        <f>IF(AP566&gt;AT566*1.05,AP566-AT566*1.05,IF(AP566&lt;AT566*0.95,AT566*0.95-AP566,0))</f>
        <v/>
      </c>
      <c r="AV566" s="34">
        <f>MAX(F566:G566,750)*0.05*AU566</f>
        <v/>
      </c>
      <c r="AW566" s="34">
        <f>AC566+AJ566+AQ566</f>
        <v/>
      </c>
      <c r="AX566" s="34">
        <f>AF566+AM566+AT566</f>
        <v/>
      </c>
      <c r="AY566" s="34">
        <f>AB566+AI566+AP566</f>
        <v/>
      </c>
      <c r="AZ566" s="34" t="n">
        <v>0</v>
      </c>
      <c r="BA566" s="34">
        <f>AD566+AK566+AR566</f>
        <v/>
      </c>
      <c r="BB566" s="34">
        <f>MAX(F566:G566,750)*0.05*BA566</f>
        <v/>
      </c>
      <c r="BC566" s="34">
        <f>AG566+AN566+AU566</f>
        <v/>
      </c>
      <c r="BD566" s="34">
        <f>MAX(F566:G566,750)*0.05*BC566</f>
        <v/>
      </c>
      <c r="BE566" s="34">
        <f>F566*AY566</f>
        <v/>
      </c>
      <c r="BF566" s="34">
        <f>K566-M566</f>
        <v/>
      </c>
      <c r="BG566" s="34">
        <f>P566-S566</f>
        <v/>
      </c>
      <c r="BH566" s="34">
        <f>W566-AA566</f>
        <v/>
      </c>
      <c r="BI566" s="34">
        <f>BF566+BG566+BL566-BN566</f>
        <v/>
      </c>
      <c r="BJ566" s="34">
        <f>ABS(BK566)</f>
        <v/>
      </c>
      <c r="BK566" s="34">
        <f>AY566-(J566-L566+N566-Q566)</f>
        <v/>
      </c>
      <c r="BL566" s="34">
        <f>IF(AND(BK566&gt;0,MIN($F566:$G566)&lt;150,$E566="Enerji Açığı"),-100*BK566*1.03,IF(AND(BK566&gt;0,MIN($F566:$G566)&lt;150,$E566="Enerji Fazlası"),-100*BK566*1.06,IF(AND(BK566&gt;0,MIN($F566:$G566)&gt;=150,$E566="Enerji Açığı"),BK566*MIN($F566:$G566)*0.97,IF(AND(BK566&gt;0,MIN($F566:$G566)&gt;=150,$E566="Enerji Fazlası"),BK566*MIN($F566:$G566)*0.94,IF(AND(BK566&lt;0,MAX($F566:$G566)=4500,$E566="Enerji Açığı"),4500*1.05*1.06*BK566,IF(AND(BK566&lt;0,MAX($F566:$G566)=4500,$E566="Enerji Fazlası"),4500*1.05*1.03*BK566,IF(AND(BK566&lt;0,$E566="Enerji Açığı"),MAX($F566,$G566,150)*BK566*1.06,IF(AND(BK566&lt;0,$E566="Enerji Fazlası"),MAX($F566,$G566,150)*BK566*1.03,IF(AND(BK566&lt;0,$E566="Dengede"),MAX($F566:$G566,150)*1.03*BK566,MIN($F566:$G566)*0.97*BK566)))))))))</f>
        <v/>
      </c>
      <c r="BM566" s="34">
        <f>BE566-BI566-BN566</f>
        <v/>
      </c>
      <c r="BN566" s="34">
        <f>BB566</f>
        <v/>
      </c>
      <c r="BO566" s="34">
        <f>BE566-BI566</f>
        <v/>
      </c>
      <c r="BP566" s="34">
        <f>IF(AY566=0,0,BO566/AY566)</f>
        <v/>
      </c>
      <c r="BQ566" s="34">
        <f>MAX((AY566+MAX((-J566+L566-N566+Q566),0)),(MAX((J566-L566+N566-Q566),0)))</f>
        <v/>
      </c>
      <c r="BR566" s="82">
        <f>IFERROR(ABS(BK566/BQ566),0)</f>
        <v/>
      </c>
      <c r="BS566" s="34">
        <f>IF(BR566&lt;=0.1,0,BK566/BR566*(BR566-0.1))</f>
        <v/>
      </c>
      <c r="BT566" s="34">
        <f>IF((BS566)&lt;0,MAX(F566:G566)*(BS566)*1.03,MIN(F566:G566)*(BS566)*0.97)</f>
        <v/>
      </c>
      <c r="BU566" s="34">
        <f>IF(BR566&gt;0.1,1,0)</f>
        <v/>
      </c>
      <c r="BV566" s="34">
        <f>BF566+BG566+BH566+BY566-CA566</f>
        <v/>
      </c>
      <c r="BW566" s="34">
        <f>ABS(BX566)</f>
        <v/>
      </c>
      <c r="BX566" s="34">
        <f>AY566-(J566-L566+N566-Q566+T566-X566)</f>
        <v/>
      </c>
      <c r="BY566" s="34">
        <f>IF(AND(BX566&gt;0,MIN($F566:$G566)&lt;150,$E566="Enerji Açığı"),-100*BX566*1.03,IF(AND(BX566&gt;0,MIN($F566:$G566)&lt;150,$E566="Enerji Fazlası"),-100*BX566*1.06,IF(AND(BX566&gt;0,MIN($F566:$G566)&gt;=150,$E566="Enerji Açığı"),BX566*MIN($F566:$G566)*0.97,IF(AND(BX566&gt;0,MIN($F566:$G566)&gt;=150,$E566="Enerji Fazlası"),BX566*MIN($F566:$G566)*0.94,IF(AND(BX566&lt;0,MAX($F566:$G566)=4500,$E566="Enerji Açığı"),4500*1.05*1.06*BX566,IF(AND(BX566&lt;0,MAX($F566:$G566)=4500,$E566="Enerji Fazlası"),4500*1.05*1.03*BX566,IF(AND(BX566&lt;0,$E566="Enerji Açığı"),MAX($F566,$G566,150)*BX566*1.06,IF(AND(BX566&lt;0,$E566="Enerji Fazlası"),MAX($F566,$G566,150)*BX566*1.03,IF(AND(BX566&lt;0,$E566="Dengede"),MAX($F566:$G566,150)*1.03*BX566,MIN($F566:$G566)*0.97*BX566)))))))))</f>
        <v/>
      </c>
      <c r="BZ566" s="34">
        <f>BE566-BV566-CA566</f>
        <v/>
      </c>
      <c r="CA566" s="34">
        <f>BD566</f>
        <v/>
      </c>
      <c r="CB566" s="33">
        <f>BE566-BV566</f>
        <v/>
      </c>
      <c r="CC566" s="34">
        <f>IF(AY566=0,0,CB566/AY566)</f>
        <v/>
      </c>
      <c r="CD566" s="34">
        <f>MAX((AY566+MAX((-J566+L566-N566+Q566-T566+X566),0)),(MAX((J566-L566+N566-Q566+T566-X566),0)))</f>
        <v/>
      </c>
      <c r="CE566" s="82">
        <f>IFERROR(ABS(BX566/CD566),0)</f>
        <v/>
      </c>
      <c r="CF566" s="34">
        <f>IF(CE566&lt;=0.1,0,BX566/CE566*(CE566-0.1))</f>
        <v/>
      </c>
      <c r="CG566" s="34">
        <f>IF((CF566)&lt;0,MAX(F566:G566)*(CF566)*1.03,MIN(F566:G566)*(CF566)*0.97)</f>
        <v/>
      </c>
      <c r="CH566" s="34">
        <f>IF(CE566&gt;0.1,1,0)</f>
        <v/>
      </c>
      <c r="CI566" s="34">
        <f>(F566*BX566)-BY566</f>
        <v/>
      </c>
      <c r="CJ566" s="34">
        <f>IF(AY566=0,0,CI566/AY566)</f>
        <v/>
      </c>
    </row>
    <row r="567">
      <c r="A567" s="29">
        <f>[1]FİYATLAR!A542</f>
        <v/>
      </c>
      <c r="B567" s="29">
        <f>[1]FİYATLAR!B542</f>
        <v/>
      </c>
      <c r="C567" s="35">
        <f>INT(A567)</f>
        <v/>
      </c>
      <c r="D567" s="36">
        <f>MONTH(A567)</f>
        <v/>
      </c>
      <c r="E567" s="147">
        <f>[1]FİYATLAR!G542</f>
        <v/>
      </c>
      <c r="F567" s="30">
        <f>[1]FİYATLAR!C542</f>
        <v/>
      </c>
      <c r="G567" s="30">
        <f>[1]FİYATLAR!E542</f>
        <v/>
      </c>
      <c r="H567" s="30">
        <f>[1]FİYATLAR!D542</f>
        <v/>
      </c>
      <c r="I567" s="30">
        <f>[1]FİYATLAR!F542</f>
        <v/>
      </c>
      <c r="J567" s="119" t="n">
        <v>0</v>
      </c>
      <c r="K567" s="34">
        <f>F567*J567</f>
        <v/>
      </c>
      <c r="L567" s="119" t="n"/>
      <c r="M567" s="34">
        <f>L567*F567</f>
        <v/>
      </c>
      <c r="N567" s="119" t="n"/>
      <c r="O567" s="34">
        <f>F567</f>
        <v/>
      </c>
      <c r="P567" s="34">
        <f>N567*O567</f>
        <v/>
      </c>
      <c r="Q567" s="117" t="n">
        <v>0</v>
      </c>
      <c r="R567" s="34">
        <f>F567</f>
        <v/>
      </c>
      <c r="S567" s="34">
        <f>R567*Q567</f>
        <v/>
      </c>
      <c r="T567" s="34">
        <f>SUMIFS('[1]GİP VERİLERİ'!$C:$C,'[1]GİP VERİLERİ'!$B:$B,A567,'[1]GİP VERİLERİ'!$M:$M,"40X000000104782K",'[1]GİP VERİLERİ'!$G:$G,"SELL")</f>
        <v/>
      </c>
      <c r="U567" s="34">
        <f>IFERROR(W567/T567,0)</f>
        <v/>
      </c>
      <c r="V567" s="34">
        <f>IF(U567=0,0,U567-F567)</f>
        <v/>
      </c>
      <c r="W567" s="34">
        <f>SUMIFS('[1]GİP VERİLERİ'!$O:$O,'[1]GİP VERİLERİ'!$B:$B,A567,'[1]GİP VERİLERİ'!$M:$M,"40X000000104782K",'[1]GİP VERİLERİ'!$G:$G,"SELL")</f>
        <v/>
      </c>
      <c r="X567" s="34">
        <f>SUMIFS('[1]GİP VERİLERİ'!$C:$C,'[1]GİP VERİLERİ'!$B:$B,A567,'[1]GİP VERİLERİ'!$M:$M,"40X000000104782K",'[1]GİP VERİLERİ'!$G:$G,"BUY")</f>
        <v/>
      </c>
      <c r="Y567" s="34">
        <f>IFERROR(AA567/X567,0)</f>
        <v/>
      </c>
      <c r="Z567" s="34">
        <f>IF(Y567=0,0,F567-Y567)</f>
        <v/>
      </c>
      <c r="AA567" s="34">
        <f>SUMIFS('[1]GİP VERİLERİ'!$O:$O,'[1]GİP VERİLERİ'!$B:$B,A567,'[1]GİP VERİLERİ'!$M:$M,"40X000000104782K",'[1]GİP VERİLERİ'!$G:$G,"BUY")</f>
        <v/>
      </c>
      <c r="AB567" s="34">
        <f>'[1]GÖP VERİLERİ'!H568</f>
        <v/>
      </c>
      <c r="AC567" s="34">
        <f>'[1]GÖP VERİLERİ'!I568</f>
        <v/>
      </c>
      <c r="AD567" s="34">
        <f>IF(AB567&gt;AC567*1.05,AB567-AC567*1.05,IF(AB567&lt;AC567*0.95,AC567*0.95-AB567,0))</f>
        <v/>
      </c>
      <c r="AE567" s="34">
        <f>MAX(F567,G567,750)*0.05*AD567</f>
        <v/>
      </c>
      <c r="AF567" s="34">
        <f>'[1]GÖP VERİLERİ'!J568</f>
        <v/>
      </c>
      <c r="AG567" s="34">
        <f>IF(AB567&gt;AF567*1.05,AB567-AF567*1.05,IF(AB567&lt;AF567*0.95,AF567*0.95-AB567,0))</f>
        <v/>
      </c>
      <c r="AH567" s="34">
        <f>MAX(I567,J567,750)*0.05*AG567</f>
        <v/>
      </c>
      <c r="AI567">
        <f>'[1]GÖP VERİLERİ'!E568</f>
        <v/>
      </c>
      <c r="AJ567">
        <f>'[1]GÖP VERİLERİ'!F568</f>
        <v/>
      </c>
      <c r="AK567" s="34">
        <f>IF(AI567&gt;AJ567*1.05,AI567-AJ567*1.05,IF(AI567&lt;AJ567*0.95,AJ567*0.95-AI567,0))</f>
        <v/>
      </c>
      <c r="AL567" s="34">
        <f>MAX(F567,G567,750)*0.05*AK567</f>
        <v/>
      </c>
      <c r="AM567" s="39">
        <f>'[1]GÖP VERİLERİ'!G568</f>
        <v/>
      </c>
      <c r="AN567" s="34">
        <f>IF(AI567&gt;AM567*1.05,AI567-AM567*1.05,IF(AI567&lt;AM567*0.95,AM567*0.95-AI567,0))</f>
        <v/>
      </c>
      <c r="AO567" s="34">
        <f>MAX(F567,G567,750)*0.05*AN567</f>
        <v/>
      </c>
      <c r="AP567" s="34">
        <f>'[1]GÖP VERİLERİ'!B568</f>
        <v/>
      </c>
      <c r="AQ567" s="34">
        <f>'[1]GÖP VERİLERİ'!C568</f>
        <v/>
      </c>
      <c r="AR567" s="34">
        <f>IF(AP567&gt;AQ567*1.05,AP567-AQ567*1.05,IF(AP567&lt;AQ567*0.95,AQ567*0.95-AP567,0))</f>
        <v/>
      </c>
      <c r="AS567" s="34">
        <f>MAX(F567:G567,750)*0.05*AR567</f>
        <v/>
      </c>
      <c r="AT567">
        <f>'[1]GÖP VERİLERİ'!D568</f>
        <v/>
      </c>
      <c r="AU567" s="34">
        <f>IF(AP567&gt;AT567*1.05,AP567-AT567*1.05,IF(AP567&lt;AT567*0.95,AT567*0.95-AP567,0))</f>
        <v/>
      </c>
      <c r="AV567" s="34">
        <f>MAX(F567:G567,750)*0.05*AU567</f>
        <v/>
      </c>
      <c r="AW567" s="34">
        <f>AC567+AJ567+AQ567</f>
        <v/>
      </c>
      <c r="AX567" s="34">
        <f>AF567+AM567+AT567</f>
        <v/>
      </c>
      <c r="AY567" s="34">
        <f>AB567+AI567+AP567</f>
        <v/>
      </c>
      <c r="AZ567" s="34" t="n">
        <v>0</v>
      </c>
      <c r="BA567" s="34">
        <f>AD567+AK567+AR567</f>
        <v/>
      </c>
      <c r="BB567" s="34">
        <f>MAX(F567:G567,750)*0.05*BA567</f>
        <v/>
      </c>
      <c r="BC567" s="34">
        <f>AG567+AN567+AU567</f>
        <v/>
      </c>
      <c r="BD567" s="34">
        <f>MAX(F567:G567,750)*0.05*BC567</f>
        <v/>
      </c>
      <c r="BE567" s="34">
        <f>F567*AY567</f>
        <v/>
      </c>
      <c r="BF567" s="34">
        <f>K567-M567</f>
        <v/>
      </c>
      <c r="BG567" s="34">
        <f>P567-S567</f>
        <v/>
      </c>
      <c r="BH567" s="34">
        <f>W567-AA567</f>
        <v/>
      </c>
      <c r="BI567" s="34">
        <f>BF567+BG567+BL567-BN567</f>
        <v/>
      </c>
      <c r="BJ567" s="34">
        <f>ABS(BK567)</f>
        <v/>
      </c>
      <c r="BK567" s="34">
        <f>AY567-(J567-L567+N567-Q567)</f>
        <v/>
      </c>
      <c r="BL567" s="34">
        <f>IF(AND(BK567&gt;0,MIN($F567:$G567)&lt;150,$E567="Enerji Açığı"),-100*BK567*1.03,IF(AND(BK567&gt;0,MIN($F567:$G567)&lt;150,$E567="Enerji Fazlası"),-100*BK567*1.06,IF(AND(BK567&gt;0,MIN($F567:$G567)&gt;=150,$E567="Enerji Açığı"),BK567*MIN($F567:$G567)*0.97,IF(AND(BK567&gt;0,MIN($F567:$G567)&gt;=150,$E567="Enerji Fazlası"),BK567*MIN($F567:$G567)*0.94,IF(AND(BK567&lt;0,MAX($F567:$G567)=4500,$E567="Enerji Açığı"),4500*1.05*1.06*BK567,IF(AND(BK567&lt;0,MAX($F567:$G567)=4500,$E567="Enerji Fazlası"),4500*1.05*1.03*BK567,IF(AND(BK567&lt;0,$E567="Enerji Açığı"),MAX($F567,$G567,150)*BK567*1.06,IF(AND(BK567&lt;0,$E567="Enerji Fazlası"),MAX($F567,$G567,150)*BK567*1.03,IF(AND(BK567&lt;0,$E567="Dengede"),MAX($F567:$G567,150)*1.03*BK567,MIN($F567:$G567)*0.97*BK567)))))))))</f>
        <v/>
      </c>
      <c r="BM567" s="34">
        <f>BE567-BI567-BN567</f>
        <v/>
      </c>
      <c r="BN567" s="34">
        <f>BB567</f>
        <v/>
      </c>
      <c r="BO567" s="34">
        <f>BE567-BI567</f>
        <v/>
      </c>
      <c r="BP567" s="34">
        <f>IF(AY567=0,0,BO567/AY567)</f>
        <v/>
      </c>
      <c r="BQ567" s="34">
        <f>MAX((AY567+MAX((-J567+L567-N567+Q567),0)),(MAX((J567-L567+N567-Q567),0)))</f>
        <v/>
      </c>
      <c r="BR567" s="82">
        <f>IFERROR(ABS(BK567/BQ567),0)</f>
        <v/>
      </c>
      <c r="BS567" s="34">
        <f>IF(BR567&lt;=0.1,0,BK567/BR567*(BR567-0.1))</f>
        <v/>
      </c>
      <c r="BT567" s="34">
        <f>IF((BS567)&lt;0,MAX(F567:G567)*(BS567)*1.03,MIN(F567:G567)*(BS567)*0.97)</f>
        <v/>
      </c>
      <c r="BU567" s="34">
        <f>IF(BR567&gt;0.1,1,0)</f>
        <v/>
      </c>
      <c r="BV567" s="34">
        <f>BF567+BG567+BH567+BY567-CA567</f>
        <v/>
      </c>
      <c r="BW567" s="34">
        <f>ABS(BX567)</f>
        <v/>
      </c>
      <c r="BX567" s="34">
        <f>AY567-(J567-L567+N567-Q567+T567-X567)</f>
        <v/>
      </c>
      <c r="BY567" s="34">
        <f>IF(AND(BX567&gt;0,MIN($F567:$G567)&lt;150,$E567="Enerji Açığı"),-100*BX567*1.03,IF(AND(BX567&gt;0,MIN($F567:$G567)&lt;150,$E567="Enerji Fazlası"),-100*BX567*1.06,IF(AND(BX567&gt;0,MIN($F567:$G567)&gt;=150,$E567="Enerji Açığı"),BX567*MIN($F567:$G567)*0.97,IF(AND(BX567&gt;0,MIN($F567:$G567)&gt;=150,$E567="Enerji Fazlası"),BX567*MIN($F567:$G567)*0.94,IF(AND(BX567&lt;0,MAX($F567:$G567)=4500,$E567="Enerji Açığı"),4500*1.05*1.06*BX567,IF(AND(BX567&lt;0,MAX($F567:$G567)=4500,$E567="Enerji Fazlası"),4500*1.05*1.03*BX567,IF(AND(BX567&lt;0,$E567="Enerji Açığı"),MAX($F567,$G567,150)*BX567*1.06,IF(AND(BX567&lt;0,$E567="Enerji Fazlası"),MAX($F567,$G567,150)*BX567*1.03,IF(AND(BX567&lt;0,$E567="Dengede"),MAX($F567:$G567,150)*1.03*BX567,MIN($F567:$G567)*0.97*BX567)))))))))</f>
        <v/>
      </c>
      <c r="BZ567" s="34">
        <f>BE567-BV567-CA567</f>
        <v/>
      </c>
      <c r="CA567" s="34">
        <f>BD567</f>
        <v/>
      </c>
      <c r="CB567" s="33">
        <f>BE567-BV567</f>
        <v/>
      </c>
      <c r="CC567" s="34">
        <f>IF(AY567=0,0,CB567/AY567)</f>
        <v/>
      </c>
      <c r="CD567" s="34">
        <f>MAX((AY567+MAX((-J567+L567-N567+Q567-T567+X567),0)),(MAX((J567-L567+N567-Q567+T567-X567),0)))</f>
        <v/>
      </c>
      <c r="CE567" s="82">
        <f>IFERROR(ABS(BX567/CD567),0)</f>
        <v/>
      </c>
      <c r="CF567" s="34">
        <f>IF(CE567&lt;=0.1,0,BX567/CE567*(CE567-0.1))</f>
        <v/>
      </c>
      <c r="CG567" s="34">
        <f>IF((CF567)&lt;0,MAX(F567:G567)*(CF567)*1.03,MIN(F567:G567)*(CF567)*0.97)</f>
        <v/>
      </c>
      <c r="CH567" s="34">
        <f>IF(CE567&gt;0.1,1,0)</f>
        <v/>
      </c>
      <c r="CI567" s="34">
        <f>(F567*BX567)-BY567</f>
        <v/>
      </c>
      <c r="CJ567" s="34">
        <f>IF(AY567=0,0,CI567/AY567)</f>
        <v/>
      </c>
    </row>
    <row r="568">
      <c r="A568" s="29">
        <f>[1]FİYATLAR!A543</f>
        <v/>
      </c>
      <c r="B568" s="29">
        <f>[1]FİYATLAR!B543</f>
        <v/>
      </c>
      <c r="C568" s="35">
        <f>INT(A568)</f>
        <v/>
      </c>
      <c r="D568" s="36">
        <f>MONTH(A568)</f>
        <v/>
      </c>
      <c r="E568" s="147">
        <f>[1]FİYATLAR!G543</f>
        <v/>
      </c>
      <c r="F568" s="30">
        <f>[1]FİYATLAR!C543</f>
        <v/>
      </c>
      <c r="G568" s="30">
        <f>[1]FİYATLAR!E543</f>
        <v/>
      </c>
      <c r="H568" s="30">
        <f>[1]FİYATLAR!D543</f>
        <v/>
      </c>
      <c r="I568" s="30">
        <f>[1]FİYATLAR!F543</f>
        <v/>
      </c>
      <c r="J568" s="119" t="n">
        <v>0</v>
      </c>
      <c r="K568" s="34">
        <f>F568*J568</f>
        <v/>
      </c>
      <c r="L568" s="119" t="n"/>
      <c r="M568" s="34">
        <f>L568*F568</f>
        <v/>
      </c>
      <c r="N568" s="119" t="n"/>
      <c r="O568" s="34">
        <f>F568</f>
        <v/>
      </c>
      <c r="P568" s="34">
        <f>N568*O568</f>
        <v/>
      </c>
      <c r="Q568" s="117" t="n">
        <v>0</v>
      </c>
      <c r="R568" s="34">
        <f>F568</f>
        <v/>
      </c>
      <c r="S568" s="34">
        <f>R568*Q568</f>
        <v/>
      </c>
      <c r="T568" s="34">
        <f>SUMIFS('[1]GİP VERİLERİ'!$C:$C,'[1]GİP VERİLERİ'!$B:$B,A568,'[1]GİP VERİLERİ'!$M:$M,"40X000000104782K",'[1]GİP VERİLERİ'!$G:$G,"SELL")</f>
        <v/>
      </c>
      <c r="U568" s="34">
        <f>IFERROR(W568/T568,0)</f>
        <v/>
      </c>
      <c r="V568" s="34">
        <f>IF(U568=0,0,U568-F568)</f>
        <v/>
      </c>
      <c r="W568" s="34">
        <f>SUMIFS('[1]GİP VERİLERİ'!$O:$O,'[1]GİP VERİLERİ'!$B:$B,A568,'[1]GİP VERİLERİ'!$M:$M,"40X000000104782K",'[1]GİP VERİLERİ'!$G:$G,"SELL")</f>
        <v/>
      </c>
      <c r="X568" s="34">
        <f>SUMIFS('[1]GİP VERİLERİ'!$C:$C,'[1]GİP VERİLERİ'!$B:$B,A568,'[1]GİP VERİLERİ'!$M:$M,"40X000000104782K",'[1]GİP VERİLERİ'!$G:$G,"BUY")</f>
        <v/>
      </c>
      <c r="Y568" s="34">
        <f>IFERROR(AA568/X568,0)</f>
        <v/>
      </c>
      <c r="Z568" s="34">
        <f>IF(Y568=0,0,F568-Y568)</f>
        <v/>
      </c>
      <c r="AA568" s="34">
        <f>SUMIFS('[1]GİP VERİLERİ'!$O:$O,'[1]GİP VERİLERİ'!$B:$B,A568,'[1]GİP VERİLERİ'!$M:$M,"40X000000104782K",'[1]GİP VERİLERİ'!$G:$G,"BUY")</f>
        <v/>
      </c>
      <c r="AB568" s="34">
        <f>'[1]GÖP VERİLERİ'!H569</f>
        <v/>
      </c>
      <c r="AC568" s="34">
        <f>'[1]GÖP VERİLERİ'!I569</f>
        <v/>
      </c>
      <c r="AD568" s="34">
        <f>IF(AB568&gt;AC568*1.05,AB568-AC568*1.05,IF(AB568&lt;AC568*0.95,AC568*0.95-AB568,0))</f>
        <v/>
      </c>
      <c r="AE568" s="34">
        <f>MAX(F568,G568,750)*0.05*AD568</f>
        <v/>
      </c>
      <c r="AF568" s="34">
        <f>'[1]GÖP VERİLERİ'!J569</f>
        <v/>
      </c>
      <c r="AG568" s="34">
        <f>IF(AB568&gt;AF568*1.05,AB568-AF568*1.05,IF(AB568&lt;AF568*0.95,AF568*0.95-AB568,0))</f>
        <v/>
      </c>
      <c r="AH568" s="34">
        <f>MAX(I568,J568,750)*0.05*AG568</f>
        <v/>
      </c>
      <c r="AI568">
        <f>'[1]GÖP VERİLERİ'!E569</f>
        <v/>
      </c>
      <c r="AJ568">
        <f>'[1]GÖP VERİLERİ'!F569</f>
        <v/>
      </c>
      <c r="AK568" s="34">
        <f>IF(AI568&gt;AJ568*1.05,AI568-AJ568*1.05,IF(AI568&lt;AJ568*0.95,AJ568*0.95-AI568,0))</f>
        <v/>
      </c>
      <c r="AL568" s="34">
        <f>MAX(F568,G568,750)*0.05*AK568</f>
        <v/>
      </c>
      <c r="AM568" s="39">
        <f>'[1]GÖP VERİLERİ'!G569</f>
        <v/>
      </c>
      <c r="AN568" s="34">
        <f>IF(AI568&gt;AM568*1.05,AI568-AM568*1.05,IF(AI568&lt;AM568*0.95,AM568*0.95-AI568,0))</f>
        <v/>
      </c>
      <c r="AO568" s="34">
        <f>MAX(F568,G568,750)*0.05*AN568</f>
        <v/>
      </c>
      <c r="AP568" s="34">
        <f>'[1]GÖP VERİLERİ'!B569</f>
        <v/>
      </c>
      <c r="AQ568" s="34">
        <f>'[1]GÖP VERİLERİ'!C569</f>
        <v/>
      </c>
      <c r="AR568" s="34">
        <f>IF(AP568&gt;AQ568*1.05,AP568-AQ568*1.05,IF(AP568&lt;AQ568*0.95,AQ568*0.95-AP568,0))</f>
        <v/>
      </c>
      <c r="AS568" s="34">
        <f>MAX(F568:G568,750)*0.05*AR568</f>
        <v/>
      </c>
      <c r="AT568">
        <f>'[1]GÖP VERİLERİ'!D569</f>
        <v/>
      </c>
      <c r="AU568" s="34">
        <f>IF(AP568&gt;AT568*1.05,AP568-AT568*1.05,IF(AP568&lt;AT568*0.95,AT568*0.95-AP568,0))</f>
        <v/>
      </c>
      <c r="AV568" s="34">
        <f>MAX(F568:G568,750)*0.05*AU568</f>
        <v/>
      </c>
      <c r="AW568" s="34">
        <f>AC568+AJ568+AQ568</f>
        <v/>
      </c>
      <c r="AX568" s="34">
        <f>AF568+AM568+AT568</f>
        <v/>
      </c>
      <c r="AY568" s="34">
        <f>AB568+AI568+AP568</f>
        <v/>
      </c>
      <c r="AZ568" s="34" t="n">
        <v>0</v>
      </c>
      <c r="BA568" s="34">
        <f>AD568+AK568+AR568</f>
        <v/>
      </c>
      <c r="BB568" s="34">
        <f>MAX(F568:G568,750)*0.05*BA568</f>
        <v/>
      </c>
      <c r="BC568" s="34">
        <f>AG568+AN568+AU568</f>
        <v/>
      </c>
      <c r="BD568" s="34">
        <f>MAX(F568:G568,750)*0.05*BC568</f>
        <v/>
      </c>
      <c r="BE568" s="34">
        <f>F568*AY568</f>
        <v/>
      </c>
      <c r="BF568" s="34">
        <f>K568-M568</f>
        <v/>
      </c>
      <c r="BG568" s="34">
        <f>P568-S568</f>
        <v/>
      </c>
      <c r="BH568" s="34">
        <f>W568-AA568</f>
        <v/>
      </c>
      <c r="BI568" s="34">
        <f>BF568+BG568+BL568-BN568</f>
        <v/>
      </c>
      <c r="BJ568" s="34">
        <f>ABS(BK568)</f>
        <v/>
      </c>
      <c r="BK568" s="34">
        <f>AY568-(J568-L568+N568-Q568)</f>
        <v/>
      </c>
      <c r="BL568" s="34">
        <f>IF(AND(BK568&gt;0,MIN($F568:$G568)&lt;150,$E568="Enerji Açığı"),-100*BK568*1.03,IF(AND(BK568&gt;0,MIN($F568:$G568)&lt;150,$E568="Enerji Fazlası"),-100*BK568*1.06,IF(AND(BK568&gt;0,MIN($F568:$G568)&gt;=150,$E568="Enerji Açığı"),BK568*MIN($F568:$G568)*0.97,IF(AND(BK568&gt;0,MIN($F568:$G568)&gt;=150,$E568="Enerji Fazlası"),BK568*MIN($F568:$G568)*0.94,IF(AND(BK568&lt;0,MAX($F568:$G568)=4500,$E568="Enerji Açığı"),4500*1.05*1.06*BK568,IF(AND(BK568&lt;0,MAX($F568:$G568)=4500,$E568="Enerji Fazlası"),4500*1.05*1.03*BK568,IF(AND(BK568&lt;0,$E568="Enerji Açığı"),MAX($F568,$G568,150)*BK568*1.06,IF(AND(BK568&lt;0,$E568="Enerji Fazlası"),MAX($F568,$G568,150)*BK568*1.03,IF(AND(BK568&lt;0,$E568="Dengede"),MAX($F568:$G568,150)*1.03*BK568,MIN($F568:$G568)*0.97*BK568)))))))))</f>
        <v/>
      </c>
      <c r="BM568" s="34">
        <f>BE568-BI568-BN568</f>
        <v/>
      </c>
      <c r="BN568" s="34">
        <f>BB568</f>
        <v/>
      </c>
      <c r="BO568" s="34">
        <f>BE568-BI568</f>
        <v/>
      </c>
      <c r="BP568" s="34">
        <f>IF(AY568=0,0,BO568/AY568)</f>
        <v/>
      </c>
      <c r="BQ568" s="34">
        <f>MAX((AY568+MAX((-J568+L568-N568+Q568),0)),(MAX((J568-L568+N568-Q568),0)))</f>
        <v/>
      </c>
      <c r="BR568" s="82">
        <f>IFERROR(ABS(BK568/BQ568),0)</f>
        <v/>
      </c>
      <c r="BS568" s="34">
        <f>IF(BR568&lt;=0.1,0,BK568/BR568*(BR568-0.1))</f>
        <v/>
      </c>
      <c r="BT568" s="34">
        <f>IF((BS568)&lt;0,MAX(F568:G568)*(BS568)*1.03,MIN(F568:G568)*(BS568)*0.97)</f>
        <v/>
      </c>
      <c r="BU568" s="34">
        <f>IF(BR568&gt;0.1,1,0)</f>
        <v/>
      </c>
      <c r="BV568" s="34">
        <f>BF568+BG568+BH568+BY568-CA568</f>
        <v/>
      </c>
      <c r="BW568" s="34">
        <f>ABS(BX568)</f>
        <v/>
      </c>
      <c r="BX568" s="34">
        <f>AY568-(J568-L568+N568-Q568+T568-X568)</f>
        <v/>
      </c>
      <c r="BY568" s="34">
        <f>IF(AND(BX568&gt;0,MIN($F568:$G568)&lt;150,$E568="Enerji Açığı"),-100*BX568*1.03,IF(AND(BX568&gt;0,MIN($F568:$G568)&lt;150,$E568="Enerji Fazlası"),-100*BX568*1.06,IF(AND(BX568&gt;0,MIN($F568:$G568)&gt;=150,$E568="Enerji Açığı"),BX568*MIN($F568:$G568)*0.97,IF(AND(BX568&gt;0,MIN($F568:$G568)&gt;=150,$E568="Enerji Fazlası"),BX568*MIN($F568:$G568)*0.94,IF(AND(BX568&lt;0,MAX($F568:$G568)=4500,$E568="Enerji Açığı"),4500*1.05*1.06*BX568,IF(AND(BX568&lt;0,MAX($F568:$G568)=4500,$E568="Enerji Fazlası"),4500*1.05*1.03*BX568,IF(AND(BX568&lt;0,$E568="Enerji Açığı"),MAX($F568,$G568,150)*BX568*1.06,IF(AND(BX568&lt;0,$E568="Enerji Fazlası"),MAX($F568,$G568,150)*BX568*1.03,IF(AND(BX568&lt;0,$E568="Dengede"),MAX($F568:$G568,150)*1.03*BX568,MIN($F568:$G568)*0.97*BX568)))))))))</f>
        <v/>
      </c>
      <c r="BZ568" s="34">
        <f>BE568-BV568-CA568</f>
        <v/>
      </c>
      <c r="CA568" s="34">
        <f>BD568</f>
        <v/>
      </c>
      <c r="CB568" s="33">
        <f>BE568-BV568</f>
        <v/>
      </c>
      <c r="CC568" s="34">
        <f>IF(AY568=0,0,CB568/AY568)</f>
        <v/>
      </c>
      <c r="CD568" s="34">
        <f>MAX((AY568+MAX((-J568+L568-N568+Q568-T568+X568),0)),(MAX((J568-L568+N568-Q568+T568-X568),0)))</f>
        <v/>
      </c>
      <c r="CE568" s="82">
        <f>IFERROR(ABS(BX568/CD568),0)</f>
        <v/>
      </c>
      <c r="CF568" s="34">
        <f>IF(CE568&lt;=0.1,0,BX568/CE568*(CE568-0.1))</f>
        <v/>
      </c>
      <c r="CG568" s="34">
        <f>IF((CF568)&lt;0,MAX(F568:G568)*(CF568)*1.03,MIN(F568:G568)*(CF568)*0.97)</f>
        <v/>
      </c>
      <c r="CH568" s="34">
        <f>IF(CE568&gt;0.1,1,0)</f>
        <v/>
      </c>
      <c r="CI568" s="34">
        <f>(F568*BX568)-BY568</f>
        <v/>
      </c>
      <c r="CJ568" s="34">
        <f>IF(AY568=0,0,CI568/AY568)</f>
        <v/>
      </c>
    </row>
    <row r="569">
      <c r="A569" s="29">
        <f>[1]FİYATLAR!A544</f>
        <v/>
      </c>
      <c r="B569" s="29">
        <f>[1]FİYATLAR!B544</f>
        <v/>
      </c>
      <c r="C569" s="35">
        <f>INT(A569)</f>
        <v/>
      </c>
      <c r="D569" s="36">
        <f>MONTH(A569)</f>
        <v/>
      </c>
      <c r="E569" s="147">
        <f>[1]FİYATLAR!G544</f>
        <v/>
      </c>
      <c r="F569" s="30">
        <f>[1]FİYATLAR!C544</f>
        <v/>
      </c>
      <c r="G569" s="30">
        <f>[1]FİYATLAR!E544</f>
        <v/>
      </c>
      <c r="H569" s="30">
        <f>[1]FİYATLAR!D544</f>
        <v/>
      </c>
      <c r="I569" s="30">
        <f>[1]FİYATLAR!F544</f>
        <v/>
      </c>
      <c r="J569" s="119" t="n">
        <v>0</v>
      </c>
      <c r="K569" s="34">
        <f>F569*J569</f>
        <v/>
      </c>
      <c r="L569" s="119" t="n"/>
      <c r="M569" s="34">
        <f>L569*F569</f>
        <v/>
      </c>
      <c r="N569" s="119" t="n"/>
      <c r="O569" s="34">
        <f>F569</f>
        <v/>
      </c>
      <c r="P569" s="34">
        <f>N569*O569</f>
        <v/>
      </c>
      <c r="Q569" s="117" t="n">
        <v>0</v>
      </c>
      <c r="R569" s="34">
        <f>F569</f>
        <v/>
      </c>
      <c r="S569" s="34">
        <f>R569*Q569</f>
        <v/>
      </c>
      <c r="T569" s="34">
        <f>SUMIFS('[1]GİP VERİLERİ'!$C:$C,'[1]GİP VERİLERİ'!$B:$B,A569,'[1]GİP VERİLERİ'!$M:$M,"40X000000104782K",'[1]GİP VERİLERİ'!$G:$G,"SELL")</f>
        <v/>
      </c>
      <c r="U569" s="34">
        <f>IFERROR(W569/T569,0)</f>
        <v/>
      </c>
      <c r="V569" s="34">
        <f>IF(U569=0,0,U569-F569)</f>
        <v/>
      </c>
      <c r="W569" s="34">
        <f>SUMIFS('[1]GİP VERİLERİ'!$O:$O,'[1]GİP VERİLERİ'!$B:$B,A569,'[1]GİP VERİLERİ'!$M:$M,"40X000000104782K",'[1]GİP VERİLERİ'!$G:$G,"SELL")</f>
        <v/>
      </c>
      <c r="X569" s="34">
        <f>SUMIFS('[1]GİP VERİLERİ'!$C:$C,'[1]GİP VERİLERİ'!$B:$B,A569,'[1]GİP VERİLERİ'!$M:$M,"40X000000104782K",'[1]GİP VERİLERİ'!$G:$G,"BUY")</f>
        <v/>
      </c>
      <c r="Y569" s="34">
        <f>IFERROR(AA569/X569,0)</f>
        <v/>
      </c>
      <c r="Z569" s="34">
        <f>IF(Y569=0,0,F569-Y569)</f>
        <v/>
      </c>
      <c r="AA569" s="34">
        <f>SUMIFS('[1]GİP VERİLERİ'!$O:$O,'[1]GİP VERİLERİ'!$B:$B,A569,'[1]GİP VERİLERİ'!$M:$M,"40X000000104782K",'[1]GİP VERİLERİ'!$G:$G,"BUY")</f>
        <v/>
      </c>
      <c r="AB569" s="34">
        <f>'[1]GÖP VERİLERİ'!H570</f>
        <v/>
      </c>
      <c r="AC569" s="34">
        <f>'[1]GÖP VERİLERİ'!I570</f>
        <v/>
      </c>
      <c r="AD569" s="34">
        <f>IF(AB569&gt;AC569*1.05,AB569-AC569*1.05,IF(AB569&lt;AC569*0.95,AC569*0.95-AB569,0))</f>
        <v/>
      </c>
      <c r="AE569" s="34">
        <f>MAX(F569,G569,750)*0.05*AD569</f>
        <v/>
      </c>
      <c r="AF569" s="34">
        <f>'[1]GÖP VERİLERİ'!J570</f>
        <v/>
      </c>
      <c r="AG569" s="34">
        <f>IF(AB569&gt;AF569*1.05,AB569-AF569*1.05,IF(AB569&lt;AF569*0.95,AF569*0.95-AB569,0))</f>
        <v/>
      </c>
      <c r="AH569" s="34">
        <f>MAX(I569,J569,750)*0.05*AG569</f>
        <v/>
      </c>
      <c r="AI569">
        <f>'[1]GÖP VERİLERİ'!E570</f>
        <v/>
      </c>
      <c r="AJ569">
        <f>'[1]GÖP VERİLERİ'!F570</f>
        <v/>
      </c>
      <c r="AK569" s="34">
        <f>IF(AI569&gt;AJ569*1.05,AI569-AJ569*1.05,IF(AI569&lt;AJ569*0.95,AJ569*0.95-AI569,0))</f>
        <v/>
      </c>
      <c r="AL569" s="34">
        <f>MAX(F569,G569,750)*0.05*AK569</f>
        <v/>
      </c>
      <c r="AM569" s="39">
        <f>'[1]GÖP VERİLERİ'!G570</f>
        <v/>
      </c>
      <c r="AN569" s="34">
        <f>IF(AI569&gt;AM569*1.05,AI569-AM569*1.05,IF(AI569&lt;AM569*0.95,AM569*0.95-AI569,0))</f>
        <v/>
      </c>
      <c r="AO569" s="34">
        <f>MAX(F569,G569,750)*0.05*AN569</f>
        <v/>
      </c>
      <c r="AP569" s="34">
        <f>'[1]GÖP VERİLERİ'!B570</f>
        <v/>
      </c>
      <c r="AQ569" s="34">
        <f>'[1]GÖP VERİLERİ'!C570</f>
        <v/>
      </c>
      <c r="AR569" s="34">
        <f>IF(AP569&gt;AQ569*1.05,AP569-AQ569*1.05,IF(AP569&lt;AQ569*0.95,AQ569*0.95-AP569,0))</f>
        <v/>
      </c>
      <c r="AS569" s="34">
        <f>MAX(F569:G569,750)*0.05*AR569</f>
        <v/>
      </c>
      <c r="AT569">
        <f>'[1]GÖP VERİLERİ'!D570</f>
        <v/>
      </c>
      <c r="AU569" s="34">
        <f>IF(AP569&gt;AT569*1.05,AP569-AT569*1.05,IF(AP569&lt;AT569*0.95,AT569*0.95-AP569,0))</f>
        <v/>
      </c>
      <c r="AV569" s="34">
        <f>MAX(F569:G569,750)*0.05*AU569</f>
        <v/>
      </c>
      <c r="AW569" s="34">
        <f>AC569+AJ569+AQ569</f>
        <v/>
      </c>
      <c r="AX569" s="34">
        <f>AF569+AM569+AT569</f>
        <v/>
      </c>
      <c r="AY569" s="34">
        <f>AB569+AI569+AP569</f>
        <v/>
      </c>
      <c r="AZ569" s="34" t="n">
        <v>0</v>
      </c>
      <c r="BA569" s="34">
        <f>AD569+AK569+AR569</f>
        <v/>
      </c>
      <c r="BB569" s="34">
        <f>MAX(F569:G569,750)*0.05*BA569</f>
        <v/>
      </c>
      <c r="BC569" s="34">
        <f>AG569+AN569+AU569</f>
        <v/>
      </c>
      <c r="BD569" s="34">
        <f>MAX(F569:G569,750)*0.05*BC569</f>
        <v/>
      </c>
      <c r="BE569" s="34">
        <f>F569*AY569</f>
        <v/>
      </c>
      <c r="BF569" s="34">
        <f>K569-M569</f>
        <v/>
      </c>
      <c r="BG569" s="34">
        <f>P569-S569</f>
        <v/>
      </c>
      <c r="BH569" s="34">
        <f>W569-AA569</f>
        <v/>
      </c>
      <c r="BI569" s="34">
        <f>BF569+BG569+BL569-BN569</f>
        <v/>
      </c>
      <c r="BJ569" s="34">
        <f>ABS(BK569)</f>
        <v/>
      </c>
      <c r="BK569" s="34">
        <f>AY569-(J569-L569+N569-Q569)</f>
        <v/>
      </c>
      <c r="BL569" s="34">
        <f>IF(AND(BK569&gt;0,MIN($F569:$G569)&lt;150,$E569="Enerji Açığı"),-100*BK569*1.03,IF(AND(BK569&gt;0,MIN($F569:$G569)&lt;150,$E569="Enerji Fazlası"),-100*BK569*1.06,IF(AND(BK569&gt;0,MIN($F569:$G569)&gt;=150,$E569="Enerji Açığı"),BK569*MIN($F569:$G569)*0.97,IF(AND(BK569&gt;0,MIN($F569:$G569)&gt;=150,$E569="Enerji Fazlası"),BK569*MIN($F569:$G569)*0.94,IF(AND(BK569&lt;0,MAX($F569:$G569)=4500,$E569="Enerji Açığı"),4500*1.05*1.06*BK569,IF(AND(BK569&lt;0,MAX($F569:$G569)=4500,$E569="Enerji Fazlası"),4500*1.05*1.03*BK569,IF(AND(BK569&lt;0,$E569="Enerji Açığı"),MAX($F569,$G569,150)*BK569*1.06,IF(AND(BK569&lt;0,$E569="Enerji Fazlası"),MAX($F569,$G569,150)*BK569*1.03,IF(AND(BK569&lt;0,$E569="Dengede"),MAX($F569:$G569,150)*1.03*BK569,MIN($F569:$G569)*0.97*BK569)))))))))</f>
        <v/>
      </c>
      <c r="BM569" s="34">
        <f>BE569-BI569-BN569</f>
        <v/>
      </c>
      <c r="BN569" s="34">
        <f>BB569</f>
        <v/>
      </c>
      <c r="BO569" s="34">
        <f>BE569-BI569</f>
        <v/>
      </c>
      <c r="BP569" s="34">
        <f>IF(AY569=0,0,BO569/AY569)</f>
        <v/>
      </c>
      <c r="BQ569" s="34">
        <f>MAX((AY569+MAX((-J569+L569-N569+Q569),0)),(MAX((J569-L569+N569-Q569),0)))</f>
        <v/>
      </c>
      <c r="BR569" s="82">
        <f>IFERROR(ABS(BK569/BQ569),0)</f>
        <v/>
      </c>
      <c r="BS569" s="34">
        <f>IF(BR569&lt;=0.1,0,BK569/BR569*(BR569-0.1))</f>
        <v/>
      </c>
      <c r="BT569" s="34">
        <f>IF((BS569)&lt;0,MAX(F569:G569)*(BS569)*1.03,MIN(F569:G569)*(BS569)*0.97)</f>
        <v/>
      </c>
      <c r="BU569" s="34">
        <f>IF(BR569&gt;0.1,1,0)</f>
        <v/>
      </c>
      <c r="BV569" s="34">
        <f>BF569+BG569+BH569+BY569-CA569</f>
        <v/>
      </c>
      <c r="BW569" s="34">
        <f>ABS(BX569)</f>
        <v/>
      </c>
      <c r="BX569" s="34">
        <f>AY569-(J569-L569+N569-Q569+T569-X569)</f>
        <v/>
      </c>
      <c r="BY569" s="34">
        <f>IF(AND(BX569&gt;0,MIN($F569:$G569)&lt;150,$E569="Enerji Açığı"),-100*BX569*1.03,IF(AND(BX569&gt;0,MIN($F569:$G569)&lt;150,$E569="Enerji Fazlası"),-100*BX569*1.06,IF(AND(BX569&gt;0,MIN($F569:$G569)&gt;=150,$E569="Enerji Açığı"),BX569*MIN($F569:$G569)*0.97,IF(AND(BX569&gt;0,MIN($F569:$G569)&gt;=150,$E569="Enerji Fazlası"),BX569*MIN($F569:$G569)*0.94,IF(AND(BX569&lt;0,MAX($F569:$G569)=4500,$E569="Enerji Açığı"),4500*1.05*1.06*BX569,IF(AND(BX569&lt;0,MAX($F569:$G569)=4500,$E569="Enerji Fazlası"),4500*1.05*1.03*BX569,IF(AND(BX569&lt;0,$E569="Enerji Açığı"),MAX($F569,$G569,150)*BX569*1.06,IF(AND(BX569&lt;0,$E569="Enerji Fazlası"),MAX($F569,$G569,150)*BX569*1.03,IF(AND(BX569&lt;0,$E569="Dengede"),MAX($F569:$G569,150)*1.03*BX569,MIN($F569:$G569)*0.97*BX569)))))))))</f>
        <v/>
      </c>
      <c r="BZ569" s="34">
        <f>BE569-BV569-CA569</f>
        <v/>
      </c>
      <c r="CA569" s="34">
        <f>BD569</f>
        <v/>
      </c>
      <c r="CB569" s="33">
        <f>BE569-BV569</f>
        <v/>
      </c>
      <c r="CC569" s="34">
        <f>IF(AY569=0,0,CB569/AY569)</f>
        <v/>
      </c>
      <c r="CD569" s="34">
        <f>MAX((AY569+MAX((-J569+L569-N569+Q569-T569+X569),0)),(MAX((J569-L569+N569-Q569+T569-X569),0)))</f>
        <v/>
      </c>
      <c r="CE569" s="82">
        <f>IFERROR(ABS(BX569/CD569),0)</f>
        <v/>
      </c>
      <c r="CF569" s="34">
        <f>IF(CE569&lt;=0.1,0,BX569/CE569*(CE569-0.1))</f>
        <v/>
      </c>
      <c r="CG569" s="34">
        <f>IF((CF569)&lt;0,MAX(F569:G569)*(CF569)*1.03,MIN(F569:G569)*(CF569)*0.97)</f>
        <v/>
      </c>
      <c r="CH569" s="34">
        <f>IF(CE569&gt;0.1,1,0)</f>
        <v/>
      </c>
      <c r="CI569" s="34">
        <f>(F569*BX569)-BY569</f>
        <v/>
      </c>
      <c r="CJ569" s="34">
        <f>IF(AY569=0,0,CI569/AY569)</f>
        <v/>
      </c>
    </row>
    <row r="570">
      <c r="A570" s="29">
        <f>[1]FİYATLAR!A545</f>
        <v/>
      </c>
      <c r="B570" s="29">
        <f>[1]FİYATLAR!B545</f>
        <v/>
      </c>
      <c r="C570" s="35">
        <f>INT(A570)</f>
        <v/>
      </c>
      <c r="D570" s="36">
        <f>MONTH(A570)</f>
        <v/>
      </c>
      <c r="E570" s="147">
        <f>[1]FİYATLAR!G545</f>
        <v/>
      </c>
      <c r="F570" s="30">
        <f>[1]FİYATLAR!C545</f>
        <v/>
      </c>
      <c r="G570" s="30">
        <f>[1]FİYATLAR!E545</f>
        <v/>
      </c>
      <c r="H570" s="30">
        <f>[1]FİYATLAR!D545</f>
        <v/>
      </c>
      <c r="I570" s="30">
        <f>[1]FİYATLAR!F545</f>
        <v/>
      </c>
      <c r="J570" s="119" t="n">
        <v>0</v>
      </c>
      <c r="K570" s="34">
        <f>F570*J570</f>
        <v/>
      </c>
      <c r="L570" s="119" t="n"/>
      <c r="M570" s="34">
        <f>L570*F570</f>
        <v/>
      </c>
      <c r="N570" s="119" t="n"/>
      <c r="O570" s="34">
        <f>F570</f>
        <v/>
      </c>
      <c r="P570" s="34">
        <f>N570*O570</f>
        <v/>
      </c>
      <c r="Q570" s="117" t="n">
        <v>0</v>
      </c>
      <c r="R570" s="34">
        <f>F570</f>
        <v/>
      </c>
      <c r="S570" s="34">
        <f>R570*Q570</f>
        <v/>
      </c>
      <c r="T570" s="34">
        <f>SUMIFS('[1]GİP VERİLERİ'!$C:$C,'[1]GİP VERİLERİ'!$B:$B,A570,'[1]GİP VERİLERİ'!$M:$M,"40X000000104782K",'[1]GİP VERİLERİ'!$G:$G,"SELL")</f>
        <v/>
      </c>
      <c r="U570" s="34">
        <f>IFERROR(W570/T570,0)</f>
        <v/>
      </c>
      <c r="V570" s="34">
        <f>IF(U570=0,0,U570-F570)</f>
        <v/>
      </c>
      <c r="W570" s="34">
        <f>SUMIFS('[1]GİP VERİLERİ'!$O:$O,'[1]GİP VERİLERİ'!$B:$B,A570,'[1]GİP VERİLERİ'!$M:$M,"40X000000104782K",'[1]GİP VERİLERİ'!$G:$G,"SELL")</f>
        <v/>
      </c>
      <c r="X570" s="34">
        <f>SUMIFS('[1]GİP VERİLERİ'!$C:$C,'[1]GİP VERİLERİ'!$B:$B,A570,'[1]GİP VERİLERİ'!$M:$M,"40X000000104782K",'[1]GİP VERİLERİ'!$G:$G,"BUY")</f>
        <v/>
      </c>
      <c r="Y570" s="34">
        <f>IFERROR(AA570/X570,0)</f>
        <v/>
      </c>
      <c r="Z570" s="34">
        <f>IF(Y570=0,0,F570-Y570)</f>
        <v/>
      </c>
      <c r="AA570" s="34">
        <f>SUMIFS('[1]GİP VERİLERİ'!$O:$O,'[1]GİP VERİLERİ'!$B:$B,A570,'[1]GİP VERİLERİ'!$M:$M,"40X000000104782K",'[1]GİP VERİLERİ'!$G:$G,"BUY")</f>
        <v/>
      </c>
      <c r="AB570" s="34">
        <f>'[1]GÖP VERİLERİ'!H571</f>
        <v/>
      </c>
      <c r="AC570" s="34">
        <f>'[1]GÖP VERİLERİ'!I571</f>
        <v/>
      </c>
      <c r="AD570" s="34">
        <f>IF(AB570&gt;AC570*1.05,AB570-AC570*1.05,IF(AB570&lt;AC570*0.95,AC570*0.95-AB570,0))</f>
        <v/>
      </c>
      <c r="AE570" s="34">
        <f>MAX(F570,G570,750)*0.05*AD570</f>
        <v/>
      </c>
      <c r="AF570" s="34">
        <f>'[1]GÖP VERİLERİ'!J571</f>
        <v/>
      </c>
      <c r="AG570" s="34">
        <f>IF(AB570&gt;AF570*1.05,AB570-AF570*1.05,IF(AB570&lt;AF570*0.95,AF570*0.95-AB570,0))</f>
        <v/>
      </c>
      <c r="AH570" s="34">
        <f>MAX(I570,J570,750)*0.05*AG570</f>
        <v/>
      </c>
      <c r="AI570">
        <f>'[1]GÖP VERİLERİ'!E571</f>
        <v/>
      </c>
      <c r="AJ570">
        <f>'[1]GÖP VERİLERİ'!F571</f>
        <v/>
      </c>
      <c r="AK570" s="34">
        <f>IF(AI570&gt;AJ570*1.05,AI570-AJ570*1.05,IF(AI570&lt;AJ570*0.95,AJ570*0.95-AI570,0))</f>
        <v/>
      </c>
      <c r="AL570" s="34">
        <f>MAX(F570,G570,750)*0.05*AK570</f>
        <v/>
      </c>
      <c r="AM570" s="39">
        <f>'[1]GÖP VERİLERİ'!G571</f>
        <v/>
      </c>
      <c r="AN570" s="34">
        <f>IF(AI570&gt;AM570*1.05,AI570-AM570*1.05,IF(AI570&lt;AM570*0.95,AM570*0.95-AI570,0))</f>
        <v/>
      </c>
      <c r="AO570" s="34">
        <f>MAX(F570,G570,750)*0.05*AN570</f>
        <v/>
      </c>
      <c r="AP570" s="34">
        <f>'[1]GÖP VERİLERİ'!B571</f>
        <v/>
      </c>
      <c r="AQ570" s="34">
        <f>'[1]GÖP VERİLERİ'!C571</f>
        <v/>
      </c>
      <c r="AR570" s="34">
        <f>IF(AP570&gt;AQ570*1.05,AP570-AQ570*1.05,IF(AP570&lt;AQ570*0.95,AQ570*0.95-AP570,0))</f>
        <v/>
      </c>
      <c r="AS570" s="34">
        <f>MAX(F570:G570,750)*0.05*AR570</f>
        <v/>
      </c>
      <c r="AT570">
        <f>'[1]GÖP VERİLERİ'!D571</f>
        <v/>
      </c>
      <c r="AU570" s="34">
        <f>IF(AP570&gt;AT570*1.05,AP570-AT570*1.05,IF(AP570&lt;AT570*0.95,AT570*0.95-AP570,0))</f>
        <v/>
      </c>
      <c r="AV570" s="34">
        <f>MAX(F570:G570,750)*0.05*AU570</f>
        <v/>
      </c>
      <c r="AW570" s="34">
        <f>AC570+AJ570+AQ570</f>
        <v/>
      </c>
      <c r="AX570" s="34">
        <f>AF570+AM570+AT570</f>
        <v/>
      </c>
      <c r="AY570" s="34">
        <f>AB570+AI570+AP570</f>
        <v/>
      </c>
      <c r="AZ570" s="34" t="n">
        <v>0</v>
      </c>
      <c r="BA570" s="34">
        <f>AD570+AK570+AR570</f>
        <v/>
      </c>
      <c r="BB570" s="34">
        <f>MAX(F570:G570,750)*0.05*BA570</f>
        <v/>
      </c>
      <c r="BC570" s="34">
        <f>AG570+AN570+AU570</f>
        <v/>
      </c>
      <c r="BD570" s="34">
        <f>MAX(F570:G570,750)*0.05*BC570</f>
        <v/>
      </c>
      <c r="BE570" s="34">
        <f>F570*AY570</f>
        <v/>
      </c>
      <c r="BF570" s="34">
        <f>K570-M570</f>
        <v/>
      </c>
      <c r="BG570" s="34">
        <f>P570-S570</f>
        <v/>
      </c>
      <c r="BH570" s="34">
        <f>W570-AA570</f>
        <v/>
      </c>
      <c r="BI570" s="34">
        <f>BF570+BG570+BL570-BN570</f>
        <v/>
      </c>
      <c r="BJ570" s="34">
        <f>ABS(BK570)</f>
        <v/>
      </c>
      <c r="BK570" s="34">
        <f>AY570-(J570-L570+N570-Q570)</f>
        <v/>
      </c>
      <c r="BL570" s="34">
        <f>IF(AND(BK570&gt;0,MIN($F570:$G570)&lt;150,$E570="Enerji Açığı"),-100*BK570*1.03,IF(AND(BK570&gt;0,MIN($F570:$G570)&lt;150,$E570="Enerji Fazlası"),-100*BK570*1.06,IF(AND(BK570&gt;0,MIN($F570:$G570)&gt;=150,$E570="Enerji Açığı"),BK570*MIN($F570:$G570)*0.97,IF(AND(BK570&gt;0,MIN($F570:$G570)&gt;=150,$E570="Enerji Fazlası"),BK570*MIN($F570:$G570)*0.94,IF(AND(BK570&lt;0,MAX($F570:$G570)=4500,$E570="Enerji Açığı"),4500*1.05*1.06*BK570,IF(AND(BK570&lt;0,MAX($F570:$G570)=4500,$E570="Enerji Fazlası"),4500*1.05*1.03*BK570,IF(AND(BK570&lt;0,$E570="Enerji Açığı"),MAX($F570,$G570,150)*BK570*1.06,IF(AND(BK570&lt;0,$E570="Enerji Fazlası"),MAX($F570,$G570,150)*BK570*1.03,IF(AND(BK570&lt;0,$E570="Dengede"),MAX($F570:$G570,150)*1.03*BK570,MIN($F570:$G570)*0.97*BK570)))))))))</f>
        <v/>
      </c>
      <c r="BM570" s="34">
        <f>BE570-BI570-BN570</f>
        <v/>
      </c>
      <c r="BN570" s="34">
        <f>BB570</f>
        <v/>
      </c>
      <c r="BO570" s="34">
        <f>BE570-BI570</f>
        <v/>
      </c>
      <c r="BP570" s="34">
        <f>IF(AY570=0,0,BO570/AY570)</f>
        <v/>
      </c>
      <c r="BQ570" s="34">
        <f>MAX((AY570+MAX((-J570+L570-N570+Q570),0)),(MAX((J570-L570+N570-Q570),0)))</f>
        <v/>
      </c>
      <c r="BR570" s="82">
        <f>IFERROR(ABS(BK570/BQ570),0)</f>
        <v/>
      </c>
      <c r="BS570" s="34">
        <f>IF(BR570&lt;=0.1,0,BK570/BR570*(BR570-0.1))</f>
        <v/>
      </c>
      <c r="BT570" s="34">
        <f>IF((BS570)&lt;0,MAX(F570:G570)*(BS570)*1.03,MIN(F570:G570)*(BS570)*0.97)</f>
        <v/>
      </c>
      <c r="BU570" s="34">
        <f>IF(BR570&gt;0.1,1,0)</f>
        <v/>
      </c>
      <c r="BV570" s="34">
        <f>BF570+BG570+BH570+BY570-CA570</f>
        <v/>
      </c>
      <c r="BW570" s="34">
        <f>ABS(BX570)</f>
        <v/>
      </c>
      <c r="BX570" s="34">
        <f>AY570-(J570-L570+N570-Q570+T570-X570)</f>
        <v/>
      </c>
      <c r="BY570" s="34">
        <f>IF(AND(BX570&gt;0,MIN($F570:$G570)&lt;150,$E570="Enerji Açığı"),-100*BX570*1.03,IF(AND(BX570&gt;0,MIN($F570:$G570)&lt;150,$E570="Enerji Fazlası"),-100*BX570*1.06,IF(AND(BX570&gt;0,MIN($F570:$G570)&gt;=150,$E570="Enerji Açığı"),BX570*MIN($F570:$G570)*0.97,IF(AND(BX570&gt;0,MIN($F570:$G570)&gt;=150,$E570="Enerji Fazlası"),BX570*MIN($F570:$G570)*0.94,IF(AND(BX570&lt;0,MAX($F570:$G570)=4500,$E570="Enerji Açığı"),4500*1.05*1.06*BX570,IF(AND(BX570&lt;0,MAX($F570:$G570)=4500,$E570="Enerji Fazlası"),4500*1.05*1.03*BX570,IF(AND(BX570&lt;0,$E570="Enerji Açığı"),MAX($F570,$G570,150)*BX570*1.06,IF(AND(BX570&lt;0,$E570="Enerji Fazlası"),MAX($F570,$G570,150)*BX570*1.03,IF(AND(BX570&lt;0,$E570="Dengede"),MAX($F570:$G570,150)*1.03*BX570,MIN($F570:$G570)*0.97*BX570)))))))))</f>
        <v/>
      </c>
      <c r="BZ570" s="34">
        <f>BE570-BV570-CA570</f>
        <v/>
      </c>
      <c r="CA570" s="34">
        <f>BD570</f>
        <v/>
      </c>
      <c r="CB570" s="33">
        <f>BE570-BV570</f>
        <v/>
      </c>
      <c r="CC570" s="34">
        <f>IF(AY570=0,0,CB570/AY570)</f>
        <v/>
      </c>
      <c r="CD570" s="34">
        <f>MAX((AY570+MAX((-J570+L570-N570+Q570-T570+X570),0)),(MAX((J570-L570+N570-Q570+T570-X570),0)))</f>
        <v/>
      </c>
      <c r="CE570" s="82">
        <f>IFERROR(ABS(BX570/CD570),0)</f>
        <v/>
      </c>
      <c r="CF570" s="34">
        <f>IF(CE570&lt;=0.1,0,BX570/CE570*(CE570-0.1))</f>
        <v/>
      </c>
      <c r="CG570" s="34">
        <f>IF((CF570)&lt;0,MAX(F570:G570)*(CF570)*1.03,MIN(F570:G570)*(CF570)*0.97)</f>
        <v/>
      </c>
      <c r="CH570" s="34">
        <f>IF(CE570&gt;0.1,1,0)</f>
        <v/>
      </c>
      <c r="CI570" s="34">
        <f>(F570*BX570)-BY570</f>
        <v/>
      </c>
      <c r="CJ570" s="34">
        <f>IF(AY570=0,0,CI570/AY570)</f>
        <v/>
      </c>
    </row>
    <row r="571">
      <c r="A571" s="29">
        <f>[1]FİYATLAR!A546</f>
        <v/>
      </c>
      <c r="B571" s="29">
        <f>[1]FİYATLAR!B546</f>
        <v/>
      </c>
      <c r="C571" s="35">
        <f>INT(A571)</f>
        <v/>
      </c>
      <c r="D571" s="36">
        <f>MONTH(A571)</f>
        <v/>
      </c>
      <c r="E571" s="147">
        <f>[1]FİYATLAR!G546</f>
        <v/>
      </c>
      <c r="F571" s="30">
        <f>[1]FİYATLAR!C546</f>
        <v/>
      </c>
      <c r="G571" s="30">
        <f>[1]FİYATLAR!E546</f>
        <v/>
      </c>
      <c r="H571" s="30">
        <f>[1]FİYATLAR!D546</f>
        <v/>
      </c>
      <c r="I571" s="30">
        <f>[1]FİYATLAR!F546</f>
        <v/>
      </c>
      <c r="J571" s="119" t="n">
        <v>0</v>
      </c>
      <c r="K571" s="34">
        <f>F571*J571</f>
        <v/>
      </c>
      <c r="L571" s="119" t="n"/>
      <c r="M571" s="34">
        <f>L571*F571</f>
        <v/>
      </c>
      <c r="N571" s="119" t="n"/>
      <c r="O571" s="34">
        <f>F571</f>
        <v/>
      </c>
      <c r="P571" s="34">
        <f>N571*O571</f>
        <v/>
      </c>
      <c r="Q571" s="117" t="n">
        <v>0</v>
      </c>
      <c r="R571" s="34">
        <f>F571</f>
        <v/>
      </c>
      <c r="S571" s="34">
        <f>R571*Q571</f>
        <v/>
      </c>
      <c r="T571" s="34">
        <f>SUMIFS('[1]GİP VERİLERİ'!$C:$C,'[1]GİP VERİLERİ'!$B:$B,A571,'[1]GİP VERİLERİ'!$M:$M,"40X000000104782K",'[1]GİP VERİLERİ'!$G:$G,"SELL")</f>
        <v/>
      </c>
      <c r="U571" s="34">
        <f>IFERROR(W571/T571,0)</f>
        <v/>
      </c>
      <c r="V571" s="34">
        <f>IF(U571=0,0,U571-F571)</f>
        <v/>
      </c>
      <c r="W571" s="34">
        <f>SUMIFS('[1]GİP VERİLERİ'!$O:$O,'[1]GİP VERİLERİ'!$B:$B,A571,'[1]GİP VERİLERİ'!$M:$M,"40X000000104782K",'[1]GİP VERİLERİ'!$G:$G,"SELL")</f>
        <v/>
      </c>
      <c r="X571" s="34">
        <f>SUMIFS('[1]GİP VERİLERİ'!$C:$C,'[1]GİP VERİLERİ'!$B:$B,A571,'[1]GİP VERİLERİ'!$M:$M,"40X000000104782K",'[1]GİP VERİLERİ'!$G:$G,"BUY")</f>
        <v/>
      </c>
      <c r="Y571" s="34">
        <f>IFERROR(AA571/X571,0)</f>
        <v/>
      </c>
      <c r="Z571" s="34">
        <f>IF(Y571=0,0,F571-Y571)</f>
        <v/>
      </c>
      <c r="AA571" s="34">
        <f>SUMIFS('[1]GİP VERİLERİ'!$O:$O,'[1]GİP VERİLERİ'!$B:$B,A571,'[1]GİP VERİLERİ'!$M:$M,"40X000000104782K",'[1]GİP VERİLERİ'!$G:$G,"BUY")</f>
        <v/>
      </c>
      <c r="AB571" s="34">
        <f>'[1]GÖP VERİLERİ'!H572</f>
        <v/>
      </c>
      <c r="AC571" s="34">
        <f>'[1]GÖP VERİLERİ'!I572</f>
        <v/>
      </c>
      <c r="AD571" s="34">
        <f>IF(AB571&gt;AC571*1.05,AB571-AC571*1.05,IF(AB571&lt;AC571*0.95,AC571*0.95-AB571,0))</f>
        <v/>
      </c>
      <c r="AE571" s="34">
        <f>MAX(F571,G571,750)*0.05*AD571</f>
        <v/>
      </c>
      <c r="AF571" s="34">
        <f>'[1]GÖP VERİLERİ'!J572</f>
        <v/>
      </c>
      <c r="AG571" s="34">
        <f>IF(AB571&gt;AF571*1.05,AB571-AF571*1.05,IF(AB571&lt;AF571*0.95,AF571*0.95-AB571,0))</f>
        <v/>
      </c>
      <c r="AH571" s="34">
        <f>MAX(I571,J571,750)*0.05*AG571</f>
        <v/>
      </c>
      <c r="AI571">
        <f>'[1]GÖP VERİLERİ'!E572</f>
        <v/>
      </c>
      <c r="AJ571">
        <f>'[1]GÖP VERİLERİ'!F572</f>
        <v/>
      </c>
      <c r="AK571" s="34">
        <f>IF(AI571&gt;AJ571*1.05,AI571-AJ571*1.05,IF(AI571&lt;AJ571*0.95,AJ571*0.95-AI571,0))</f>
        <v/>
      </c>
      <c r="AL571" s="34">
        <f>MAX(F571,G571,750)*0.05*AK571</f>
        <v/>
      </c>
      <c r="AM571" s="39">
        <f>'[1]GÖP VERİLERİ'!G572</f>
        <v/>
      </c>
      <c r="AN571" s="34">
        <f>IF(AI571&gt;AM571*1.05,AI571-AM571*1.05,IF(AI571&lt;AM571*0.95,AM571*0.95-AI571,0))</f>
        <v/>
      </c>
      <c r="AO571" s="34">
        <f>MAX(F571,G571,750)*0.05*AN571</f>
        <v/>
      </c>
      <c r="AP571" s="34">
        <f>'[1]GÖP VERİLERİ'!B572</f>
        <v/>
      </c>
      <c r="AQ571" s="34">
        <f>'[1]GÖP VERİLERİ'!C572</f>
        <v/>
      </c>
      <c r="AR571" s="34">
        <f>IF(AP571&gt;AQ571*1.05,AP571-AQ571*1.05,IF(AP571&lt;AQ571*0.95,AQ571*0.95-AP571,0))</f>
        <v/>
      </c>
      <c r="AS571" s="34">
        <f>MAX(F571:G571,750)*0.05*AR571</f>
        <v/>
      </c>
      <c r="AT571">
        <f>'[1]GÖP VERİLERİ'!D572</f>
        <v/>
      </c>
      <c r="AU571" s="34">
        <f>IF(AP571&gt;AT571*1.05,AP571-AT571*1.05,IF(AP571&lt;AT571*0.95,AT571*0.95-AP571,0))</f>
        <v/>
      </c>
      <c r="AV571" s="34">
        <f>MAX(F571:G571,750)*0.05*AU571</f>
        <v/>
      </c>
      <c r="AW571" s="34">
        <f>AC571+AJ571+AQ571</f>
        <v/>
      </c>
      <c r="AX571" s="34">
        <f>AF571+AM571+AT571</f>
        <v/>
      </c>
      <c r="AY571" s="34">
        <f>AB571+AI571+AP571</f>
        <v/>
      </c>
      <c r="AZ571" s="34" t="n">
        <v>0</v>
      </c>
      <c r="BA571" s="34">
        <f>AD571+AK571+AR571</f>
        <v/>
      </c>
      <c r="BB571" s="34">
        <f>MAX(F571:G571,750)*0.05*BA571</f>
        <v/>
      </c>
      <c r="BC571" s="34">
        <f>AG571+AN571+AU571</f>
        <v/>
      </c>
      <c r="BD571" s="34">
        <f>MAX(F571:G571,750)*0.05*BC571</f>
        <v/>
      </c>
      <c r="BE571" s="34">
        <f>F571*AY571</f>
        <v/>
      </c>
      <c r="BF571" s="34">
        <f>K571-M571</f>
        <v/>
      </c>
      <c r="BG571" s="34">
        <f>P571-S571</f>
        <v/>
      </c>
      <c r="BH571" s="34">
        <f>W571-AA571</f>
        <v/>
      </c>
      <c r="BI571" s="34">
        <f>BF571+BG571+BL571-BN571</f>
        <v/>
      </c>
      <c r="BJ571" s="34">
        <f>ABS(BK571)</f>
        <v/>
      </c>
      <c r="BK571" s="34">
        <f>AY571-(J571-L571+N571-Q571)</f>
        <v/>
      </c>
      <c r="BL571" s="34">
        <f>IF(AND(BK571&gt;0,MIN($F571:$G571)&lt;150,$E571="Enerji Açığı"),-100*BK571*1.03,IF(AND(BK571&gt;0,MIN($F571:$G571)&lt;150,$E571="Enerji Fazlası"),-100*BK571*1.06,IF(AND(BK571&gt;0,MIN($F571:$G571)&gt;=150,$E571="Enerji Açığı"),BK571*MIN($F571:$G571)*0.97,IF(AND(BK571&gt;0,MIN($F571:$G571)&gt;=150,$E571="Enerji Fazlası"),BK571*MIN($F571:$G571)*0.94,IF(AND(BK571&lt;0,MAX($F571:$G571)=4500,$E571="Enerji Açığı"),4500*1.05*1.06*BK571,IF(AND(BK571&lt;0,MAX($F571:$G571)=4500,$E571="Enerji Fazlası"),4500*1.05*1.03*BK571,IF(AND(BK571&lt;0,$E571="Enerji Açığı"),MAX($F571,$G571,150)*BK571*1.06,IF(AND(BK571&lt;0,$E571="Enerji Fazlası"),MAX($F571,$G571,150)*BK571*1.03,IF(AND(BK571&lt;0,$E571="Dengede"),MAX($F571:$G571,150)*1.03*BK571,MIN($F571:$G571)*0.97*BK571)))))))))</f>
        <v/>
      </c>
      <c r="BM571" s="34">
        <f>BE571-BI571-BN571</f>
        <v/>
      </c>
      <c r="BN571" s="34">
        <f>BB571</f>
        <v/>
      </c>
      <c r="BO571" s="34">
        <f>BE571-BI571</f>
        <v/>
      </c>
      <c r="BP571" s="34">
        <f>IF(AY571=0,0,BO571/AY571)</f>
        <v/>
      </c>
      <c r="BQ571" s="34">
        <f>MAX((AY571+MAX((-J571+L571-N571+Q571),0)),(MAX((J571-L571+N571-Q571),0)))</f>
        <v/>
      </c>
      <c r="BR571" s="82">
        <f>IFERROR(ABS(BK571/BQ571),0)</f>
        <v/>
      </c>
      <c r="BS571" s="34">
        <f>IF(BR571&lt;=0.1,0,BK571/BR571*(BR571-0.1))</f>
        <v/>
      </c>
      <c r="BT571" s="34">
        <f>IF((BS571)&lt;0,MAX(F571:G571)*(BS571)*1.03,MIN(F571:G571)*(BS571)*0.97)</f>
        <v/>
      </c>
      <c r="BU571" s="34">
        <f>IF(BR571&gt;0.1,1,0)</f>
        <v/>
      </c>
      <c r="BV571" s="34">
        <f>BF571+BG571+BH571+BY571-CA571</f>
        <v/>
      </c>
      <c r="BW571" s="34">
        <f>ABS(BX571)</f>
        <v/>
      </c>
      <c r="BX571" s="34">
        <f>AY571-(J571-L571+N571-Q571+T571-X571)</f>
        <v/>
      </c>
      <c r="BY571" s="34">
        <f>IF(AND(BX571&gt;0,MIN($F571:$G571)&lt;150,$E571="Enerji Açığı"),-100*BX571*1.03,IF(AND(BX571&gt;0,MIN($F571:$G571)&lt;150,$E571="Enerji Fazlası"),-100*BX571*1.06,IF(AND(BX571&gt;0,MIN($F571:$G571)&gt;=150,$E571="Enerji Açığı"),BX571*MIN($F571:$G571)*0.97,IF(AND(BX571&gt;0,MIN($F571:$G571)&gt;=150,$E571="Enerji Fazlası"),BX571*MIN($F571:$G571)*0.94,IF(AND(BX571&lt;0,MAX($F571:$G571)=4500,$E571="Enerji Açığı"),4500*1.05*1.06*BX571,IF(AND(BX571&lt;0,MAX($F571:$G571)=4500,$E571="Enerji Fazlası"),4500*1.05*1.03*BX571,IF(AND(BX571&lt;0,$E571="Enerji Açığı"),MAX($F571,$G571,150)*BX571*1.06,IF(AND(BX571&lt;0,$E571="Enerji Fazlası"),MAX($F571,$G571,150)*BX571*1.03,IF(AND(BX571&lt;0,$E571="Dengede"),MAX($F571:$G571,150)*1.03*BX571,MIN($F571:$G571)*0.97*BX571)))))))))</f>
        <v/>
      </c>
      <c r="BZ571" s="34">
        <f>BE571-BV571-CA571</f>
        <v/>
      </c>
      <c r="CA571" s="34">
        <f>BD571</f>
        <v/>
      </c>
      <c r="CB571" s="33">
        <f>BE571-BV571</f>
        <v/>
      </c>
      <c r="CC571" s="34">
        <f>IF(AY571=0,0,CB571/AY571)</f>
        <v/>
      </c>
      <c r="CD571" s="34">
        <f>MAX((AY571+MAX((-J571+L571-N571+Q571-T571+X571),0)),(MAX((J571-L571+N571-Q571+T571-X571),0)))</f>
        <v/>
      </c>
      <c r="CE571" s="82">
        <f>IFERROR(ABS(BX571/CD571),0)</f>
        <v/>
      </c>
      <c r="CF571" s="34">
        <f>IF(CE571&lt;=0.1,0,BX571/CE571*(CE571-0.1))</f>
        <v/>
      </c>
      <c r="CG571" s="34">
        <f>IF((CF571)&lt;0,MAX(F571:G571)*(CF571)*1.03,MIN(F571:G571)*(CF571)*0.97)</f>
        <v/>
      </c>
      <c r="CH571" s="34">
        <f>IF(CE571&gt;0.1,1,0)</f>
        <v/>
      </c>
      <c r="CI571" s="34">
        <f>(F571*BX571)-BY571</f>
        <v/>
      </c>
      <c r="CJ571" s="34">
        <f>IF(AY571=0,0,CI571/AY571)</f>
        <v/>
      </c>
    </row>
    <row r="572">
      <c r="A572" s="29">
        <f>[1]FİYATLAR!A547</f>
        <v/>
      </c>
      <c r="B572" s="29">
        <f>[1]FİYATLAR!B547</f>
        <v/>
      </c>
      <c r="C572" s="35">
        <f>INT(A572)</f>
        <v/>
      </c>
      <c r="D572" s="36">
        <f>MONTH(A572)</f>
        <v/>
      </c>
      <c r="E572" s="147">
        <f>[1]FİYATLAR!G547</f>
        <v/>
      </c>
      <c r="F572" s="30">
        <f>[1]FİYATLAR!C547</f>
        <v/>
      </c>
      <c r="G572" s="30">
        <f>[1]FİYATLAR!E547</f>
        <v/>
      </c>
      <c r="H572" s="30">
        <f>[1]FİYATLAR!D547</f>
        <v/>
      </c>
      <c r="I572" s="30">
        <f>[1]FİYATLAR!F547</f>
        <v/>
      </c>
      <c r="J572" s="119" t="n">
        <v>0</v>
      </c>
      <c r="K572" s="34">
        <f>F572*J572</f>
        <v/>
      </c>
      <c r="L572" s="119" t="n"/>
      <c r="M572" s="34">
        <f>L572*F572</f>
        <v/>
      </c>
      <c r="N572" s="119" t="n"/>
      <c r="O572" s="34">
        <f>F572</f>
        <v/>
      </c>
      <c r="P572" s="34">
        <f>N572*O572</f>
        <v/>
      </c>
      <c r="Q572" s="117" t="n">
        <v>0</v>
      </c>
      <c r="R572" s="34">
        <f>F572</f>
        <v/>
      </c>
      <c r="S572" s="34">
        <f>R572*Q572</f>
        <v/>
      </c>
      <c r="T572" s="34">
        <f>SUMIFS('[1]GİP VERİLERİ'!$C:$C,'[1]GİP VERİLERİ'!$B:$B,A572,'[1]GİP VERİLERİ'!$M:$M,"40X000000104782K",'[1]GİP VERİLERİ'!$G:$G,"SELL")</f>
        <v/>
      </c>
      <c r="U572" s="34">
        <f>IFERROR(W572/T572,0)</f>
        <v/>
      </c>
      <c r="V572" s="34">
        <f>IF(U572=0,0,U572-F572)</f>
        <v/>
      </c>
      <c r="W572" s="34">
        <f>SUMIFS('[1]GİP VERİLERİ'!$O:$O,'[1]GİP VERİLERİ'!$B:$B,A572,'[1]GİP VERİLERİ'!$M:$M,"40X000000104782K",'[1]GİP VERİLERİ'!$G:$G,"SELL")</f>
        <v/>
      </c>
      <c r="X572" s="34">
        <f>SUMIFS('[1]GİP VERİLERİ'!$C:$C,'[1]GİP VERİLERİ'!$B:$B,A572,'[1]GİP VERİLERİ'!$M:$M,"40X000000104782K",'[1]GİP VERİLERİ'!$G:$G,"BUY")</f>
        <v/>
      </c>
      <c r="Y572" s="34">
        <f>IFERROR(AA572/X572,0)</f>
        <v/>
      </c>
      <c r="Z572" s="34">
        <f>IF(Y572=0,0,F572-Y572)</f>
        <v/>
      </c>
      <c r="AA572" s="34">
        <f>SUMIFS('[1]GİP VERİLERİ'!$O:$O,'[1]GİP VERİLERİ'!$B:$B,A572,'[1]GİP VERİLERİ'!$M:$M,"40X000000104782K",'[1]GİP VERİLERİ'!$G:$G,"BUY")</f>
        <v/>
      </c>
      <c r="AB572" s="34">
        <f>'[1]GÖP VERİLERİ'!H573</f>
        <v/>
      </c>
      <c r="AC572" s="34">
        <f>'[1]GÖP VERİLERİ'!I573</f>
        <v/>
      </c>
      <c r="AD572" s="34">
        <f>IF(AB572&gt;AC572*1.05,AB572-AC572*1.05,IF(AB572&lt;AC572*0.95,AC572*0.95-AB572,0))</f>
        <v/>
      </c>
      <c r="AE572" s="34">
        <f>MAX(F572,G572,750)*0.05*AD572</f>
        <v/>
      </c>
      <c r="AF572" s="34">
        <f>'[1]GÖP VERİLERİ'!J573</f>
        <v/>
      </c>
      <c r="AG572" s="34">
        <f>IF(AB572&gt;AF572*1.05,AB572-AF572*1.05,IF(AB572&lt;AF572*0.95,AF572*0.95-AB572,0))</f>
        <v/>
      </c>
      <c r="AH572" s="34">
        <f>MAX(I572,J572,750)*0.05*AG572</f>
        <v/>
      </c>
      <c r="AI572">
        <f>'[1]GÖP VERİLERİ'!E573</f>
        <v/>
      </c>
      <c r="AJ572">
        <f>'[1]GÖP VERİLERİ'!F573</f>
        <v/>
      </c>
      <c r="AK572" s="34">
        <f>IF(AI572&gt;AJ572*1.05,AI572-AJ572*1.05,IF(AI572&lt;AJ572*0.95,AJ572*0.95-AI572,0))</f>
        <v/>
      </c>
      <c r="AL572" s="34">
        <f>MAX(F572,G572,750)*0.05*AK572</f>
        <v/>
      </c>
      <c r="AM572" s="39">
        <f>'[1]GÖP VERİLERİ'!G573</f>
        <v/>
      </c>
      <c r="AN572" s="34">
        <f>IF(AI572&gt;AM572*1.05,AI572-AM572*1.05,IF(AI572&lt;AM572*0.95,AM572*0.95-AI572,0))</f>
        <v/>
      </c>
      <c r="AO572" s="34">
        <f>MAX(F572,G572,750)*0.05*AN572</f>
        <v/>
      </c>
      <c r="AP572" s="34">
        <f>'[1]GÖP VERİLERİ'!B573</f>
        <v/>
      </c>
      <c r="AQ572" s="34">
        <f>'[1]GÖP VERİLERİ'!C573</f>
        <v/>
      </c>
      <c r="AR572" s="34">
        <f>IF(AP572&gt;AQ572*1.05,AP572-AQ572*1.05,IF(AP572&lt;AQ572*0.95,AQ572*0.95-AP572,0))</f>
        <v/>
      </c>
      <c r="AS572" s="34">
        <f>MAX(F572:G572,750)*0.05*AR572</f>
        <v/>
      </c>
      <c r="AT572">
        <f>'[1]GÖP VERİLERİ'!D573</f>
        <v/>
      </c>
      <c r="AU572" s="34">
        <f>IF(AP572&gt;AT572*1.05,AP572-AT572*1.05,IF(AP572&lt;AT572*0.95,AT572*0.95-AP572,0))</f>
        <v/>
      </c>
      <c r="AV572" s="34">
        <f>MAX(F572:G572,750)*0.05*AU572</f>
        <v/>
      </c>
      <c r="AW572" s="34">
        <f>AC572+AJ572+AQ572</f>
        <v/>
      </c>
      <c r="AX572" s="34">
        <f>AF572+AM572+AT572</f>
        <v/>
      </c>
      <c r="AY572" s="34">
        <f>AB572+AI572+AP572</f>
        <v/>
      </c>
      <c r="AZ572" s="34" t="n">
        <v>0</v>
      </c>
      <c r="BA572" s="34">
        <f>AD572+AK572+AR572</f>
        <v/>
      </c>
      <c r="BB572" s="34">
        <f>MAX(F572:G572,750)*0.05*BA572</f>
        <v/>
      </c>
      <c r="BC572" s="34">
        <f>AG572+AN572+AU572</f>
        <v/>
      </c>
      <c r="BD572" s="34">
        <f>MAX(F572:G572,750)*0.05*BC572</f>
        <v/>
      </c>
      <c r="BE572" s="34">
        <f>F572*AY572</f>
        <v/>
      </c>
      <c r="BF572" s="34">
        <f>K572-M572</f>
        <v/>
      </c>
      <c r="BG572" s="34">
        <f>P572-S572</f>
        <v/>
      </c>
      <c r="BH572" s="34">
        <f>W572-AA572</f>
        <v/>
      </c>
      <c r="BI572" s="34">
        <f>BF572+BG572+BL572-BN572</f>
        <v/>
      </c>
      <c r="BJ572" s="34">
        <f>ABS(BK572)</f>
        <v/>
      </c>
      <c r="BK572" s="34">
        <f>AY572-(J572-L572+N572-Q572)</f>
        <v/>
      </c>
      <c r="BL572" s="34">
        <f>IF(AND(BK572&gt;0,MIN($F572:$G572)&lt;150,$E572="Enerji Açığı"),-100*BK572*1.03,IF(AND(BK572&gt;0,MIN($F572:$G572)&lt;150,$E572="Enerji Fazlası"),-100*BK572*1.06,IF(AND(BK572&gt;0,MIN($F572:$G572)&gt;=150,$E572="Enerji Açığı"),BK572*MIN($F572:$G572)*0.97,IF(AND(BK572&gt;0,MIN($F572:$G572)&gt;=150,$E572="Enerji Fazlası"),BK572*MIN($F572:$G572)*0.94,IF(AND(BK572&lt;0,MAX($F572:$G572)=4500,$E572="Enerji Açığı"),4500*1.05*1.06*BK572,IF(AND(BK572&lt;0,MAX($F572:$G572)=4500,$E572="Enerji Fazlası"),4500*1.05*1.03*BK572,IF(AND(BK572&lt;0,$E572="Enerji Açığı"),MAX($F572,$G572,150)*BK572*1.06,IF(AND(BK572&lt;0,$E572="Enerji Fazlası"),MAX($F572,$G572,150)*BK572*1.03,IF(AND(BK572&lt;0,$E572="Dengede"),MAX($F572:$G572,150)*1.03*BK572,MIN($F572:$G572)*0.97*BK572)))))))))</f>
        <v/>
      </c>
      <c r="BM572" s="34">
        <f>BE572-BI572-BN572</f>
        <v/>
      </c>
      <c r="BN572" s="34">
        <f>BB572</f>
        <v/>
      </c>
      <c r="BO572" s="34">
        <f>BE572-BI572</f>
        <v/>
      </c>
      <c r="BP572" s="34">
        <f>IF(AY572=0,0,BO572/AY572)</f>
        <v/>
      </c>
      <c r="BQ572" s="34">
        <f>MAX((AY572+MAX((-J572+L572-N572+Q572),0)),(MAX((J572-L572+N572-Q572),0)))</f>
        <v/>
      </c>
      <c r="BR572" s="82">
        <f>IFERROR(ABS(BK572/BQ572),0)</f>
        <v/>
      </c>
      <c r="BS572" s="34">
        <f>IF(BR572&lt;=0.1,0,BK572/BR572*(BR572-0.1))</f>
        <v/>
      </c>
      <c r="BT572" s="34">
        <f>IF((BS572)&lt;0,MAX(F572:G572)*(BS572)*1.03,MIN(F572:G572)*(BS572)*0.97)</f>
        <v/>
      </c>
      <c r="BU572" s="34">
        <f>IF(BR572&gt;0.1,1,0)</f>
        <v/>
      </c>
      <c r="BV572" s="34">
        <f>BF572+BG572+BH572+BY572-CA572</f>
        <v/>
      </c>
      <c r="BW572" s="34">
        <f>ABS(BX572)</f>
        <v/>
      </c>
      <c r="BX572" s="34">
        <f>AY572-(J572-L572+N572-Q572+T572-X572)</f>
        <v/>
      </c>
      <c r="BY572" s="34">
        <f>IF(AND(BX572&gt;0,MIN($F572:$G572)&lt;150,$E572="Enerji Açığı"),-100*BX572*1.03,IF(AND(BX572&gt;0,MIN($F572:$G572)&lt;150,$E572="Enerji Fazlası"),-100*BX572*1.06,IF(AND(BX572&gt;0,MIN($F572:$G572)&gt;=150,$E572="Enerji Açığı"),BX572*MIN($F572:$G572)*0.97,IF(AND(BX572&gt;0,MIN($F572:$G572)&gt;=150,$E572="Enerji Fazlası"),BX572*MIN($F572:$G572)*0.94,IF(AND(BX572&lt;0,MAX($F572:$G572)=4500,$E572="Enerji Açığı"),4500*1.05*1.06*BX572,IF(AND(BX572&lt;0,MAX($F572:$G572)=4500,$E572="Enerji Fazlası"),4500*1.05*1.03*BX572,IF(AND(BX572&lt;0,$E572="Enerji Açığı"),MAX($F572,$G572,150)*BX572*1.06,IF(AND(BX572&lt;0,$E572="Enerji Fazlası"),MAX($F572,$G572,150)*BX572*1.03,IF(AND(BX572&lt;0,$E572="Dengede"),MAX($F572:$G572,150)*1.03*BX572,MIN($F572:$G572)*0.97*BX572)))))))))</f>
        <v/>
      </c>
      <c r="BZ572" s="34">
        <f>BE572-BV572-CA572</f>
        <v/>
      </c>
      <c r="CA572" s="34">
        <f>BD572</f>
        <v/>
      </c>
      <c r="CB572" s="33">
        <f>BE572-BV572</f>
        <v/>
      </c>
      <c r="CC572" s="34">
        <f>IF(AY572=0,0,CB572/AY572)</f>
        <v/>
      </c>
      <c r="CD572" s="34">
        <f>MAX((AY572+MAX((-J572+L572-N572+Q572-T572+X572),0)),(MAX((J572-L572+N572-Q572+T572-X572),0)))</f>
        <v/>
      </c>
      <c r="CE572" s="82">
        <f>IFERROR(ABS(BX572/CD572),0)</f>
        <v/>
      </c>
      <c r="CF572" s="34">
        <f>IF(CE572&lt;=0.1,0,BX572/CE572*(CE572-0.1))</f>
        <v/>
      </c>
      <c r="CG572" s="34">
        <f>IF((CF572)&lt;0,MAX(F572:G572)*(CF572)*1.03,MIN(F572:G572)*(CF572)*0.97)</f>
        <v/>
      </c>
      <c r="CH572" s="34">
        <f>IF(CE572&gt;0.1,1,0)</f>
        <v/>
      </c>
      <c r="CI572" s="34">
        <f>(F572*BX572)-BY572</f>
        <v/>
      </c>
      <c r="CJ572" s="34">
        <f>IF(AY572=0,0,CI572/AY572)</f>
        <v/>
      </c>
    </row>
    <row r="573">
      <c r="A573" s="29">
        <f>[1]FİYATLAR!A548</f>
        <v/>
      </c>
      <c r="B573" s="29">
        <f>[1]FİYATLAR!B548</f>
        <v/>
      </c>
      <c r="C573" s="35">
        <f>INT(A573)</f>
        <v/>
      </c>
      <c r="D573" s="36">
        <f>MONTH(A573)</f>
        <v/>
      </c>
      <c r="E573" s="147">
        <f>[1]FİYATLAR!G548</f>
        <v/>
      </c>
      <c r="F573" s="30">
        <f>[1]FİYATLAR!C548</f>
        <v/>
      </c>
      <c r="G573" s="30">
        <f>[1]FİYATLAR!E548</f>
        <v/>
      </c>
      <c r="H573" s="30">
        <f>[1]FİYATLAR!D548</f>
        <v/>
      </c>
      <c r="I573" s="30">
        <f>[1]FİYATLAR!F548</f>
        <v/>
      </c>
      <c r="J573" s="119" t="n">
        <v>0</v>
      </c>
      <c r="K573" s="34">
        <f>F573*J573</f>
        <v/>
      </c>
      <c r="L573" s="119" t="n"/>
      <c r="M573" s="34">
        <f>L573*F573</f>
        <v/>
      </c>
      <c r="N573" s="119" t="n"/>
      <c r="O573" s="34">
        <f>F573</f>
        <v/>
      </c>
      <c r="P573" s="34">
        <f>N573*O573</f>
        <v/>
      </c>
      <c r="Q573" s="117" t="n">
        <v>0</v>
      </c>
      <c r="R573" s="34">
        <f>F573</f>
        <v/>
      </c>
      <c r="S573" s="34">
        <f>R573*Q573</f>
        <v/>
      </c>
      <c r="T573" s="34">
        <f>SUMIFS('[1]GİP VERİLERİ'!$C:$C,'[1]GİP VERİLERİ'!$B:$B,A573,'[1]GİP VERİLERİ'!$M:$M,"40X000000104782K",'[1]GİP VERİLERİ'!$G:$G,"SELL")</f>
        <v/>
      </c>
      <c r="U573" s="34">
        <f>IFERROR(W573/T573,0)</f>
        <v/>
      </c>
      <c r="V573" s="34">
        <f>IF(U573=0,0,U573-F573)</f>
        <v/>
      </c>
      <c r="W573" s="34">
        <f>SUMIFS('[1]GİP VERİLERİ'!$O:$O,'[1]GİP VERİLERİ'!$B:$B,A573,'[1]GİP VERİLERİ'!$M:$M,"40X000000104782K",'[1]GİP VERİLERİ'!$G:$G,"SELL")</f>
        <v/>
      </c>
      <c r="X573" s="34">
        <f>SUMIFS('[1]GİP VERİLERİ'!$C:$C,'[1]GİP VERİLERİ'!$B:$B,A573,'[1]GİP VERİLERİ'!$M:$M,"40X000000104782K",'[1]GİP VERİLERİ'!$G:$G,"BUY")</f>
        <v/>
      </c>
      <c r="Y573" s="34">
        <f>IFERROR(AA573/X573,0)</f>
        <v/>
      </c>
      <c r="Z573" s="34">
        <f>IF(Y573=0,0,F573-Y573)</f>
        <v/>
      </c>
      <c r="AA573" s="34">
        <f>SUMIFS('[1]GİP VERİLERİ'!$O:$O,'[1]GİP VERİLERİ'!$B:$B,A573,'[1]GİP VERİLERİ'!$M:$M,"40X000000104782K",'[1]GİP VERİLERİ'!$G:$G,"BUY")</f>
        <v/>
      </c>
      <c r="AB573" s="34">
        <f>'[1]GÖP VERİLERİ'!H574</f>
        <v/>
      </c>
      <c r="AC573" s="34">
        <f>'[1]GÖP VERİLERİ'!I574</f>
        <v/>
      </c>
      <c r="AD573" s="34">
        <f>IF(AB573&gt;AC573*1.05,AB573-AC573*1.05,IF(AB573&lt;AC573*0.95,AC573*0.95-AB573,0))</f>
        <v/>
      </c>
      <c r="AE573" s="34">
        <f>MAX(F573,G573,750)*0.05*AD573</f>
        <v/>
      </c>
      <c r="AF573" s="34">
        <f>'[1]GÖP VERİLERİ'!J574</f>
        <v/>
      </c>
      <c r="AG573" s="34">
        <f>IF(AB573&gt;AF573*1.05,AB573-AF573*1.05,IF(AB573&lt;AF573*0.95,AF573*0.95-AB573,0))</f>
        <v/>
      </c>
      <c r="AH573" s="34">
        <f>MAX(I573,J573,750)*0.05*AG573</f>
        <v/>
      </c>
      <c r="AI573">
        <f>'[1]GÖP VERİLERİ'!E574</f>
        <v/>
      </c>
      <c r="AJ573">
        <f>'[1]GÖP VERİLERİ'!F574</f>
        <v/>
      </c>
      <c r="AK573" s="34">
        <f>IF(AI573&gt;AJ573*1.05,AI573-AJ573*1.05,IF(AI573&lt;AJ573*0.95,AJ573*0.95-AI573,0))</f>
        <v/>
      </c>
      <c r="AL573" s="34">
        <f>MAX(F573,G573,750)*0.05*AK573</f>
        <v/>
      </c>
      <c r="AM573" s="39">
        <f>'[1]GÖP VERİLERİ'!G574</f>
        <v/>
      </c>
      <c r="AN573" s="34">
        <f>IF(AI573&gt;AM573*1.05,AI573-AM573*1.05,IF(AI573&lt;AM573*0.95,AM573*0.95-AI573,0))</f>
        <v/>
      </c>
      <c r="AO573" s="34">
        <f>MAX(F573,G573,750)*0.05*AN573</f>
        <v/>
      </c>
      <c r="AP573" s="34">
        <f>'[1]GÖP VERİLERİ'!B574</f>
        <v/>
      </c>
      <c r="AQ573" s="34">
        <f>'[1]GÖP VERİLERİ'!C574</f>
        <v/>
      </c>
      <c r="AR573" s="34">
        <f>IF(AP573&gt;AQ573*1.05,AP573-AQ573*1.05,IF(AP573&lt;AQ573*0.95,AQ573*0.95-AP573,0))</f>
        <v/>
      </c>
      <c r="AS573" s="34">
        <f>MAX(F573:G573,750)*0.05*AR573</f>
        <v/>
      </c>
      <c r="AT573">
        <f>'[1]GÖP VERİLERİ'!D574</f>
        <v/>
      </c>
      <c r="AU573" s="34">
        <f>IF(AP573&gt;AT573*1.05,AP573-AT573*1.05,IF(AP573&lt;AT573*0.95,AT573*0.95-AP573,0))</f>
        <v/>
      </c>
      <c r="AV573" s="34">
        <f>MAX(F573:G573,750)*0.05*AU573</f>
        <v/>
      </c>
      <c r="AW573" s="34">
        <f>AC573+AJ573+AQ573</f>
        <v/>
      </c>
      <c r="AX573" s="34">
        <f>AF573+AM573+AT573</f>
        <v/>
      </c>
      <c r="AY573" s="34">
        <f>AB573+AI573+AP573</f>
        <v/>
      </c>
      <c r="AZ573" s="34" t="n">
        <v>0</v>
      </c>
      <c r="BA573" s="34">
        <f>AD573+AK573+AR573</f>
        <v/>
      </c>
      <c r="BB573" s="34">
        <f>MAX(F573:G573,750)*0.05*BA573</f>
        <v/>
      </c>
      <c r="BC573" s="34">
        <f>AG573+AN573+AU573</f>
        <v/>
      </c>
      <c r="BD573" s="34">
        <f>MAX(F573:G573,750)*0.05*BC573</f>
        <v/>
      </c>
      <c r="BE573" s="34">
        <f>F573*AY573</f>
        <v/>
      </c>
      <c r="BF573" s="34">
        <f>K573-M573</f>
        <v/>
      </c>
      <c r="BG573" s="34">
        <f>P573-S573</f>
        <v/>
      </c>
      <c r="BH573" s="34">
        <f>W573-AA573</f>
        <v/>
      </c>
      <c r="BI573" s="34">
        <f>BF573+BG573+BL573-BN573</f>
        <v/>
      </c>
      <c r="BJ573" s="34">
        <f>ABS(BK573)</f>
        <v/>
      </c>
      <c r="BK573" s="34">
        <f>AY573-(J573-L573+N573-Q573)</f>
        <v/>
      </c>
      <c r="BL573" s="34">
        <f>IF(AND(BK573&gt;0,MIN($F573:$G573)&lt;150,$E573="Enerji Açığı"),-100*BK573*1.03,IF(AND(BK573&gt;0,MIN($F573:$G573)&lt;150,$E573="Enerji Fazlası"),-100*BK573*1.06,IF(AND(BK573&gt;0,MIN($F573:$G573)&gt;=150,$E573="Enerji Açığı"),BK573*MIN($F573:$G573)*0.97,IF(AND(BK573&gt;0,MIN($F573:$G573)&gt;=150,$E573="Enerji Fazlası"),BK573*MIN($F573:$G573)*0.94,IF(AND(BK573&lt;0,MAX($F573:$G573)=4500,$E573="Enerji Açığı"),4500*1.05*1.06*BK573,IF(AND(BK573&lt;0,MAX($F573:$G573)=4500,$E573="Enerji Fazlası"),4500*1.05*1.03*BK573,IF(AND(BK573&lt;0,$E573="Enerji Açığı"),MAX($F573,$G573,150)*BK573*1.06,IF(AND(BK573&lt;0,$E573="Enerji Fazlası"),MAX($F573,$G573,150)*BK573*1.03,IF(AND(BK573&lt;0,$E573="Dengede"),MAX($F573:$G573,150)*1.03*BK573,MIN($F573:$G573)*0.97*BK573)))))))))</f>
        <v/>
      </c>
      <c r="BM573" s="34">
        <f>BE573-BI573-BN573</f>
        <v/>
      </c>
      <c r="BN573" s="34">
        <f>BB573</f>
        <v/>
      </c>
      <c r="BO573" s="34">
        <f>BE573-BI573</f>
        <v/>
      </c>
      <c r="BP573" s="34">
        <f>IF(AY573=0,0,BO573/AY573)</f>
        <v/>
      </c>
      <c r="BQ573" s="34">
        <f>MAX((AY573+MAX((-J573+L573-N573+Q573),0)),(MAX((J573-L573+N573-Q573),0)))</f>
        <v/>
      </c>
      <c r="BR573" s="82">
        <f>IFERROR(ABS(BK573/BQ573),0)</f>
        <v/>
      </c>
      <c r="BS573" s="34">
        <f>IF(BR573&lt;=0.1,0,BK573/BR573*(BR573-0.1))</f>
        <v/>
      </c>
      <c r="BT573" s="34">
        <f>IF((BS573)&lt;0,MAX(F573:G573)*(BS573)*1.03,MIN(F573:G573)*(BS573)*0.97)</f>
        <v/>
      </c>
      <c r="BU573" s="34">
        <f>IF(BR573&gt;0.1,1,0)</f>
        <v/>
      </c>
      <c r="BV573" s="34">
        <f>BF573+BG573+BH573+BY573-CA573</f>
        <v/>
      </c>
      <c r="BW573" s="34">
        <f>ABS(BX573)</f>
        <v/>
      </c>
      <c r="BX573" s="34">
        <f>AY573-(J573-L573+N573-Q573+T573-X573)</f>
        <v/>
      </c>
      <c r="BY573" s="34">
        <f>IF(AND(BX573&gt;0,MIN($F573:$G573)&lt;150,$E573="Enerji Açığı"),-100*BX573*1.03,IF(AND(BX573&gt;0,MIN($F573:$G573)&lt;150,$E573="Enerji Fazlası"),-100*BX573*1.06,IF(AND(BX573&gt;0,MIN($F573:$G573)&gt;=150,$E573="Enerji Açığı"),BX573*MIN($F573:$G573)*0.97,IF(AND(BX573&gt;0,MIN($F573:$G573)&gt;=150,$E573="Enerji Fazlası"),BX573*MIN($F573:$G573)*0.94,IF(AND(BX573&lt;0,MAX($F573:$G573)=4500,$E573="Enerji Açığı"),4500*1.05*1.06*BX573,IF(AND(BX573&lt;0,MAX($F573:$G573)=4500,$E573="Enerji Fazlası"),4500*1.05*1.03*BX573,IF(AND(BX573&lt;0,$E573="Enerji Açığı"),MAX($F573,$G573,150)*BX573*1.06,IF(AND(BX573&lt;0,$E573="Enerji Fazlası"),MAX($F573,$G573,150)*BX573*1.03,IF(AND(BX573&lt;0,$E573="Dengede"),MAX($F573:$G573,150)*1.03*BX573,MIN($F573:$G573)*0.97*BX573)))))))))</f>
        <v/>
      </c>
      <c r="BZ573" s="34">
        <f>BE573-BV573-CA573</f>
        <v/>
      </c>
      <c r="CA573" s="34">
        <f>BD573</f>
        <v/>
      </c>
      <c r="CB573" s="33">
        <f>BE573-BV573</f>
        <v/>
      </c>
      <c r="CC573" s="34">
        <f>IF(AY573=0,0,CB573/AY573)</f>
        <v/>
      </c>
      <c r="CD573" s="34">
        <f>MAX((AY573+MAX((-J573+L573-N573+Q573-T573+X573),0)),(MAX((J573-L573+N573-Q573+T573-X573),0)))</f>
        <v/>
      </c>
      <c r="CE573" s="82">
        <f>IFERROR(ABS(BX573/CD573),0)</f>
        <v/>
      </c>
      <c r="CF573" s="34">
        <f>IF(CE573&lt;=0.1,0,BX573/CE573*(CE573-0.1))</f>
        <v/>
      </c>
      <c r="CG573" s="34">
        <f>IF((CF573)&lt;0,MAX(F573:G573)*(CF573)*1.03,MIN(F573:G573)*(CF573)*0.97)</f>
        <v/>
      </c>
      <c r="CH573" s="34">
        <f>IF(CE573&gt;0.1,1,0)</f>
        <v/>
      </c>
      <c r="CI573" s="34">
        <f>(F573*BX573)-BY573</f>
        <v/>
      </c>
      <c r="CJ573" s="34">
        <f>IF(AY573=0,0,CI573/AY573)</f>
        <v/>
      </c>
    </row>
    <row r="574">
      <c r="A574" s="29">
        <f>[1]FİYATLAR!A549</f>
        <v/>
      </c>
      <c r="B574" s="29">
        <f>[1]FİYATLAR!B549</f>
        <v/>
      </c>
      <c r="C574" s="35">
        <f>INT(A574)</f>
        <v/>
      </c>
      <c r="D574" s="36">
        <f>MONTH(A574)</f>
        <v/>
      </c>
      <c r="E574" s="147">
        <f>[1]FİYATLAR!G549</f>
        <v/>
      </c>
      <c r="F574" s="30">
        <f>[1]FİYATLAR!C549</f>
        <v/>
      </c>
      <c r="G574" s="30">
        <f>[1]FİYATLAR!E549</f>
        <v/>
      </c>
      <c r="H574" s="30">
        <f>[1]FİYATLAR!D549</f>
        <v/>
      </c>
      <c r="I574" s="30">
        <f>[1]FİYATLAR!F549</f>
        <v/>
      </c>
      <c r="J574" s="119" t="n">
        <v>0</v>
      </c>
      <c r="K574" s="34">
        <f>F574*J574</f>
        <v/>
      </c>
      <c r="L574" s="119" t="n"/>
      <c r="M574" s="34">
        <f>L574*F574</f>
        <v/>
      </c>
      <c r="N574" s="119" t="n"/>
      <c r="O574" s="34">
        <f>F574</f>
        <v/>
      </c>
      <c r="P574" s="34">
        <f>N574*O574</f>
        <v/>
      </c>
      <c r="Q574" s="117" t="n">
        <v>0</v>
      </c>
      <c r="R574" s="34">
        <f>F574</f>
        <v/>
      </c>
      <c r="S574" s="34">
        <f>R574*Q574</f>
        <v/>
      </c>
      <c r="T574" s="34">
        <f>SUMIFS('[1]GİP VERİLERİ'!$C:$C,'[1]GİP VERİLERİ'!$B:$B,A574,'[1]GİP VERİLERİ'!$M:$M,"40X000000104782K",'[1]GİP VERİLERİ'!$G:$G,"SELL")</f>
        <v/>
      </c>
      <c r="U574" s="34">
        <f>IFERROR(W574/T574,0)</f>
        <v/>
      </c>
      <c r="V574" s="34">
        <f>IF(U574=0,0,U574-F574)</f>
        <v/>
      </c>
      <c r="W574" s="34">
        <f>SUMIFS('[1]GİP VERİLERİ'!$O:$O,'[1]GİP VERİLERİ'!$B:$B,A574,'[1]GİP VERİLERİ'!$M:$M,"40X000000104782K",'[1]GİP VERİLERİ'!$G:$G,"SELL")</f>
        <v/>
      </c>
      <c r="X574" s="34">
        <f>SUMIFS('[1]GİP VERİLERİ'!$C:$C,'[1]GİP VERİLERİ'!$B:$B,A574,'[1]GİP VERİLERİ'!$M:$M,"40X000000104782K",'[1]GİP VERİLERİ'!$G:$G,"BUY")</f>
        <v/>
      </c>
      <c r="Y574" s="34">
        <f>IFERROR(AA574/X574,0)</f>
        <v/>
      </c>
      <c r="Z574" s="34">
        <f>IF(Y574=0,0,F574-Y574)</f>
        <v/>
      </c>
      <c r="AA574" s="34">
        <f>SUMIFS('[1]GİP VERİLERİ'!$O:$O,'[1]GİP VERİLERİ'!$B:$B,A574,'[1]GİP VERİLERİ'!$M:$M,"40X000000104782K",'[1]GİP VERİLERİ'!$G:$G,"BUY")</f>
        <v/>
      </c>
      <c r="AB574" s="34">
        <f>'[1]GÖP VERİLERİ'!H575</f>
        <v/>
      </c>
      <c r="AC574" s="34">
        <f>'[1]GÖP VERİLERİ'!I575</f>
        <v/>
      </c>
      <c r="AD574" s="34">
        <f>IF(AB574&gt;AC574*1.05,AB574-AC574*1.05,IF(AB574&lt;AC574*0.95,AC574*0.95-AB574,0))</f>
        <v/>
      </c>
      <c r="AE574" s="34">
        <f>MAX(F574,G574,750)*0.05*AD574</f>
        <v/>
      </c>
      <c r="AF574" s="34">
        <f>'[1]GÖP VERİLERİ'!J575</f>
        <v/>
      </c>
      <c r="AG574" s="34">
        <f>IF(AB574&gt;AF574*1.05,AB574-AF574*1.05,IF(AB574&lt;AF574*0.95,AF574*0.95-AB574,0))</f>
        <v/>
      </c>
      <c r="AH574" s="34">
        <f>MAX(I574,J574,750)*0.05*AG574</f>
        <v/>
      </c>
      <c r="AI574">
        <f>'[1]GÖP VERİLERİ'!E575</f>
        <v/>
      </c>
      <c r="AJ574">
        <f>'[1]GÖP VERİLERİ'!F575</f>
        <v/>
      </c>
      <c r="AK574" s="34">
        <f>IF(AI574&gt;AJ574*1.05,AI574-AJ574*1.05,IF(AI574&lt;AJ574*0.95,AJ574*0.95-AI574,0))</f>
        <v/>
      </c>
      <c r="AL574" s="34">
        <f>MAX(F574,G574,750)*0.05*AK574</f>
        <v/>
      </c>
      <c r="AM574" s="39">
        <f>'[1]GÖP VERİLERİ'!G575</f>
        <v/>
      </c>
      <c r="AN574" s="34">
        <f>IF(AI574&gt;AM574*1.05,AI574-AM574*1.05,IF(AI574&lt;AM574*0.95,AM574*0.95-AI574,0))</f>
        <v/>
      </c>
      <c r="AO574" s="34">
        <f>MAX(F574,G574,750)*0.05*AN574</f>
        <v/>
      </c>
      <c r="AP574" s="34">
        <f>'[1]GÖP VERİLERİ'!B575</f>
        <v/>
      </c>
      <c r="AQ574" s="34">
        <f>'[1]GÖP VERİLERİ'!C575</f>
        <v/>
      </c>
      <c r="AR574" s="34">
        <f>IF(AP574&gt;AQ574*1.05,AP574-AQ574*1.05,IF(AP574&lt;AQ574*0.95,AQ574*0.95-AP574,0))</f>
        <v/>
      </c>
      <c r="AS574" s="34">
        <f>MAX(F574:G574,750)*0.05*AR574</f>
        <v/>
      </c>
      <c r="AT574">
        <f>'[1]GÖP VERİLERİ'!D575</f>
        <v/>
      </c>
      <c r="AU574" s="34">
        <f>IF(AP574&gt;AT574*1.05,AP574-AT574*1.05,IF(AP574&lt;AT574*0.95,AT574*0.95-AP574,0))</f>
        <v/>
      </c>
      <c r="AV574" s="34">
        <f>MAX(F574:G574,750)*0.05*AU574</f>
        <v/>
      </c>
      <c r="AW574" s="34">
        <f>AC574+AJ574+AQ574</f>
        <v/>
      </c>
      <c r="AX574" s="34">
        <f>AF574+AM574+AT574</f>
        <v/>
      </c>
      <c r="AY574" s="34">
        <f>AB574+AI574+AP574</f>
        <v/>
      </c>
      <c r="AZ574" s="34" t="n">
        <v>0</v>
      </c>
      <c r="BA574" s="34">
        <f>AD574+AK574+AR574</f>
        <v/>
      </c>
      <c r="BB574" s="34">
        <f>MAX(F574:G574,750)*0.05*BA574</f>
        <v/>
      </c>
      <c r="BC574" s="34">
        <f>AG574+AN574+AU574</f>
        <v/>
      </c>
      <c r="BD574" s="34">
        <f>MAX(F574:G574,750)*0.05*BC574</f>
        <v/>
      </c>
      <c r="BE574" s="34">
        <f>F574*AY574</f>
        <v/>
      </c>
      <c r="BF574" s="34">
        <f>K574-M574</f>
        <v/>
      </c>
      <c r="BG574" s="34">
        <f>P574-S574</f>
        <v/>
      </c>
      <c r="BH574" s="34">
        <f>W574-AA574</f>
        <v/>
      </c>
      <c r="BI574" s="34">
        <f>BF574+BG574+BL574-BN574</f>
        <v/>
      </c>
      <c r="BJ574" s="34">
        <f>ABS(BK574)</f>
        <v/>
      </c>
      <c r="BK574" s="34">
        <f>AY574-(J574-L574+N574-Q574)</f>
        <v/>
      </c>
      <c r="BL574" s="34">
        <f>IF(AND(BK574&gt;0,MIN($F574:$G574)&lt;150,$E574="Enerji Açığı"),-100*BK574*1.03,IF(AND(BK574&gt;0,MIN($F574:$G574)&lt;150,$E574="Enerji Fazlası"),-100*BK574*1.06,IF(AND(BK574&gt;0,MIN($F574:$G574)&gt;=150,$E574="Enerji Açığı"),BK574*MIN($F574:$G574)*0.97,IF(AND(BK574&gt;0,MIN($F574:$G574)&gt;=150,$E574="Enerji Fazlası"),BK574*MIN($F574:$G574)*0.94,IF(AND(BK574&lt;0,MAX($F574:$G574)=4500,$E574="Enerji Açığı"),4500*1.05*1.06*BK574,IF(AND(BK574&lt;0,MAX($F574:$G574)=4500,$E574="Enerji Fazlası"),4500*1.05*1.03*BK574,IF(AND(BK574&lt;0,$E574="Enerji Açığı"),MAX($F574,$G574,150)*BK574*1.06,IF(AND(BK574&lt;0,$E574="Enerji Fazlası"),MAX($F574,$G574,150)*BK574*1.03,IF(AND(BK574&lt;0,$E574="Dengede"),MAX($F574:$G574,150)*1.03*BK574,MIN($F574:$G574)*0.97*BK574)))))))))</f>
        <v/>
      </c>
      <c r="BM574" s="34">
        <f>BE574-BI574-BN574</f>
        <v/>
      </c>
      <c r="BN574" s="34">
        <f>BB574</f>
        <v/>
      </c>
      <c r="BO574" s="34">
        <f>BE574-BI574</f>
        <v/>
      </c>
      <c r="BP574" s="34">
        <f>IF(AY574=0,0,BO574/AY574)</f>
        <v/>
      </c>
      <c r="BQ574" s="34">
        <f>MAX((AY574+MAX((-J574+L574-N574+Q574),0)),(MAX((J574-L574+N574-Q574),0)))</f>
        <v/>
      </c>
      <c r="BR574" s="82">
        <f>IFERROR(ABS(BK574/BQ574),0)</f>
        <v/>
      </c>
      <c r="BS574" s="34">
        <f>IF(BR574&lt;=0.1,0,BK574/BR574*(BR574-0.1))</f>
        <v/>
      </c>
      <c r="BT574" s="34">
        <f>IF((BS574)&lt;0,MAX(F574:G574)*(BS574)*1.03,MIN(F574:G574)*(BS574)*0.97)</f>
        <v/>
      </c>
      <c r="BU574" s="34">
        <f>IF(BR574&gt;0.1,1,0)</f>
        <v/>
      </c>
      <c r="BV574" s="34">
        <f>BF574+BG574+BH574+BY574-CA574</f>
        <v/>
      </c>
      <c r="BW574" s="34">
        <f>ABS(BX574)</f>
        <v/>
      </c>
      <c r="BX574" s="34">
        <f>AY574-(J574-L574+N574-Q574+T574-X574)</f>
        <v/>
      </c>
      <c r="BY574" s="34">
        <f>IF(AND(BX574&gt;0,MIN($F574:$G574)&lt;150,$E574="Enerji Açığı"),-100*BX574*1.03,IF(AND(BX574&gt;0,MIN($F574:$G574)&lt;150,$E574="Enerji Fazlası"),-100*BX574*1.06,IF(AND(BX574&gt;0,MIN($F574:$G574)&gt;=150,$E574="Enerji Açığı"),BX574*MIN($F574:$G574)*0.97,IF(AND(BX574&gt;0,MIN($F574:$G574)&gt;=150,$E574="Enerji Fazlası"),BX574*MIN($F574:$G574)*0.94,IF(AND(BX574&lt;0,MAX($F574:$G574)=4500,$E574="Enerji Açığı"),4500*1.05*1.06*BX574,IF(AND(BX574&lt;0,MAX($F574:$G574)=4500,$E574="Enerji Fazlası"),4500*1.05*1.03*BX574,IF(AND(BX574&lt;0,$E574="Enerji Açığı"),MAX($F574,$G574,150)*BX574*1.06,IF(AND(BX574&lt;0,$E574="Enerji Fazlası"),MAX($F574,$G574,150)*BX574*1.03,IF(AND(BX574&lt;0,$E574="Dengede"),MAX($F574:$G574,150)*1.03*BX574,MIN($F574:$G574)*0.97*BX574)))))))))</f>
        <v/>
      </c>
      <c r="BZ574" s="34">
        <f>BE574-BV574-CA574</f>
        <v/>
      </c>
      <c r="CA574" s="34">
        <f>BD574</f>
        <v/>
      </c>
      <c r="CB574" s="33">
        <f>BE574-BV574</f>
        <v/>
      </c>
      <c r="CC574" s="34">
        <f>IF(AY574=0,0,CB574/AY574)</f>
        <v/>
      </c>
      <c r="CD574" s="34">
        <f>MAX((AY574+MAX((-J574+L574-N574+Q574-T574+X574),0)),(MAX((J574-L574+N574-Q574+T574-X574),0)))</f>
        <v/>
      </c>
      <c r="CE574" s="82">
        <f>IFERROR(ABS(BX574/CD574),0)</f>
        <v/>
      </c>
      <c r="CF574" s="34">
        <f>IF(CE574&lt;=0.1,0,BX574/CE574*(CE574-0.1))</f>
        <v/>
      </c>
      <c r="CG574" s="34">
        <f>IF((CF574)&lt;0,MAX(F574:G574)*(CF574)*1.03,MIN(F574:G574)*(CF574)*0.97)</f>
        <v/>
      </c>
      <c r="CH574" s="34">
        <f>IF(CE574&gt;0.1,1,0)</f>
        <v/>
      </c>
      <c r="CI574" s="34">
        <f>(F574*BX574)-BY574</f>
        <v/>
      </c>
      <c r="CJ574" s="34">
        <f>IF(AY574=0,0,CI574/AY574)</f>
        <v/>
      </c>
    </row>
    <row r="575">
      <c r="A575" s="29">
        <f>[1]FİYATLAR!A550</f>
        <v/>
      </c>
      <c r="B575" s="29">
        <f>[1]FİYATLAR!B550</f>
        <v/>
      </c>
      <c r="C575" s="35">
        <f>INT(A575)</f>
        <v/>
      </c>
      <c r="D575" s="36">
        <f>MONTH(A575)</f>
        <v/>
      </c>
      <c r="E575" s="147">
        <f>[1]FİYATLAR!G550</f>
        <v/>
      </c>
      <c r="F575" s="30">
        <f>[1]FİYATLAR!C550</f>
        <v/>
      </c>
      <c r="G575" s="30">
        <f>[1]FİYATLAR!E550</f>
        <v/>
      </c>
      <c r="H575" s="30">
        <f>[1]FİYATLAR!D550</f>
        <v/>
      </c>
      <c r="I575" s="30">
        <f>[1]FİYATLAR!F550</f>
        <v/>
      </c>
      <c r="J575" s="119" t="n">
        <v>0</v>
      </c>
      <c r="K575" s="34">
        <f>F575*J575</f>
        <v/>
      </c>
      <c r="L575" s="119" t="n"/>
      <c r="M575" s="34">
        <f>L575*F575</f>
        <v/>
      </c>
      <c r="N575" s="119" t="n"/>
      <c r="O575" s="34">
        <f>F575</f>
        <v/>
      </c>
      <c r="P575" s="34">
        <f>N575*O575</f>
        <v/>
      </c>
      <c r="Q575" s="117" t="n">
        <v>0</v>
      </c>
      <c r="R575" s="34">
        <f>F575</f>
        <v/>
      </c>
      <c r="S575" s="34">
        <f>R575*Q575</f>
        <v/>
      </c>
      <c r="T575" s="34">
        <f>SUMIFS('[1]GİP VERİLERİ'!$C:$C,'[1]GİP VERİLERİ'!$B:$B,A575,'[1]GİP VERİLERİ'!$M:$M,"40X000000104782K",'[1]GİP VERİLERİ'!$G:$G,"SELL")</f>
        <v/>
      </c>
      <c r="U575" s="34">
        <f>IFERROR(W575/T575,0)</f>
        <v/>
      </c>
      <c r="V575" s="34">
        <f>IF(U575=0,0,U575-F575)</f>
        <v/>
      </c>
      <c r="W575" s="34">
        <f>SUMIFS('[1]GİP VERİLERİ'!$O:$O,'[1]GİP VERİLERİ'!$B:$B,A575,'[1]GİP VERİLERİ'!$M:$M,"40X000000104782K",'[1]GİP VERİLERİ'!$G:$G,"SELL")</f>
        <v/>
      </c>
      <c r="X575" s="34">
        <f>SUMIFS('[1]GİP VERİLERİ'!$C:$C,'[1]GİP VERİLERİ'!$B:$B,A575,'[1]GİP VERİLERİ'!$M:$M,"40X000000104782K",'[1]GİP VERİLERİ'!$G:$G,"BUY")</f>
        <v/>
      </c>
      <c r="Y575" s="34">
        <f>IFERROR(AA575/X575,0)</f>
        <v/>
      </c>
      <c r="Z575" s="34">
        <f>IF(Y575=0,0,F575-Y575)</f>
        <v/>
      </c>
      <c r="AA575" s="34">
        <f>SUMIFS('[1]GİP VERİLERİ'!$O:$O,'[1]GİP VERİLERİ'!$B:$B,A575,'[1]GİP VERİLERİ'!$M:$M,"40X000000104782K",'[1]GİP VERİLERİ'!$G:$G,"BUY")</f>
        <v/>
      </c>
      <c r="AB575" s="34">
        <f>'[1]GÖP VERİLERİ'!H576</f>
        <v/>
      </c>
      <c r="AC575" s="34">
        <f>'[1]GÖP VERİLERİ'!I576</f>
        <v/>
      </c>
      <c r="AD575" s="34">
        <f>IF(AB575&gt;AC575*1.05,AB575-AC575*1.05,IF(AB575&lt;AC575*0.95,AC575*0.95-AB575,0))</f>
        <v/>
      </c>
      <c r="AE575" s="34">
        <f>MAX(F575,G575,750)*0.05*AD575</f>
        <v/>
      </c>
      <c r="AF575" s="34">
        <f>'[1]GÖP VERİLERİ'!J576</f>
        <v/>
      </c>
      <c r="AG575" s="34">
        <f>IF(AB575&gt;AF575*1.05,AB575-AF575*1.05,IF(AB575&lt;AF575*0.95,AF575*0.95-AB575,0))</f>
        <v/>
      </c>
      <c r="AH575" s="34">
        <f>MAX(I575,J575,750)*0.05*AG575</f>
        <v/>
      </c>
      <c r="AI575">
        <f>'[1]GÖP VERİLERİ'!E576</f>
        <v/>
      </c>
      <c r="AJ575">
        <f>'[1]GÖP VERİLERİ'!F576</f>
        <v/>
      </c>
      <c r="AK575" s="34">
        <f>IF(AI575&gt;AJ575*1.05,AI575-AJ575*1.05,IF(AI575&lt;AJ575*0.95,AJ575*0.95-AI575,0))</f>
        <v/>
      </c>
      <c r="AL575" s="34">
        <f>MAX(F575,G575,750)*0.05*AK575</f>
        <v/>
      </c>
      <c r="AM575" s="39">
        <f>'[1]GÖP VERİLERİ'!G576</f>
        <v/>
      </c>
      <c r="AN575" s="34">
        <f>IF(AI575&gt;AM575*1.05,AI575-AM575*1.05,IF(AI575&lt;AM575*0.95,AM575*0.95-AI575,0))</f>
        <v/>
      </c>
      <c r="AO575" s="34">
        <f>MAX(F575,G575,750)*0.05*AN575</f>
        <v/>
      </c>
      <c r="AP575" s="34">
        <f>'[1]GÖP VERİLERİ'!B576</f>
        <v/>
      </c>
      <c r="AQ575" s="34">
        <f>'[1]GÖP VERİLERİ'!C576</f>
        <v/>
      </c>
      <c r="AR575" s="34">
        <f>IF(AP575&gt;AQ575*1.05,AP575-AQ575*1.05,IF(AP575&lt;AQ575*0.95,AQ575*0.95-AP575,0))</f>
        <v/>
      </c>
      <c r="AS575" s="34">
        <f>MAX(F575:G575,750)*0.05*AR575</f>
        <v/>
      </c>
      <c r="AT575">
        <f>'[1]GÖP VERİLERİ'!D576</f>
        <v/>
      </c>
      <c r="AU575" s="34">
        <f>IF(AP575&gt;AT575*1.05,AP575-AT575*1.05,IF(AP575&lt;AT575*0.95,AT575*0.95-AP575,0))</f>
        <v/>
      </c>
      <c r="AV575" s="34">
        <f>MAX(F575:G575,750)*0.05*AU575</f>
        <v/>
      </c>
      <c r="AW575" s="34">
        <f>AC575+AJ575+AQ575</f>
        <v/>
      </c>
      <c r="AX575" s="34">
        <f>AF575+AM575+AT575</f>
        <v/>
      </c>
      <c r="AY575" s="34">
        <f>AB575+AI575+AP575</f>
        <v/>
      </c>
      <c r="AZ575" s="34" t="n">
        <v>0</v>
      </c>
      <c r="BA575" s="34">
        <f>AD575+AK575+AR575</f>
        <v/>
      </c>
      <c r="BB575" s="34">
        <f>MAX(F575:G575,750)*0.05*BA575</f>
        <v/>
      </c>
      <c r="BC575" s="34">
        <f>AG575+AN575+AU575</f>
        <v/>
      </c>
      <c r="BD575" s="34">
        <f>MAX(F575:G575,750)*0.05*BC575</f>
        <v/>
      </c>
      <c r="BE575" s="34">
        <f>F575*AY575</f>
        <v/>
      </c>
      <c r="BF575" s="34">
        <f>K575-M575</f>
        <v/>
      </c>
      <c r="BG575" s="34">
        <f>P575-S575</f>
        <v/>
      </c>
      <c r="BH575" s="34">
        <f>W575-AA575</f>
        <v/>
      </c>
      <c r="BI575" s="34">
        <f>BF575+BG575+BL575-BN575</f>
        <v/>
      </c>
      <c r="BJ575" s="34">
        <f>ABS(BK575)</f>
        <v/>
      </c>
      <c r="BK575" s="34">
        <f>AY575-(J575-L575+N575-Q575)</f>
        <v/>
      </c>
      <c r="BL575" s="34">
        <f>IF(AND(BK575&gt;0,MIN($F575:$G575)&lt;150,$E575="Enerji Açığı"),-100*BK575*1.03,IF(AND(BK575&gt;0,MIN($F575:$G575)&lt;150,$E575="Enerji Fazlası"),-100*BK575*1.06,IF(AND(BK575&gt;0,MIN($F575:$G575)&gt;=150,$E575="Enerji Açığı"),BK575*MIN($F575:$G575)*0.97,IF(AND(BK575&gt;0,MIN($F575:$G575)&gt;=150,$E575="Enerji Fazlası"),BK575*MIN($F575:$G575)*0.94,IF(AND(BK575&lt;0,MAX($F575:$G575)=4500,$E575="Enerji Açığı"),4500*1.05*1.06*BK575,IF(AND(BK575&lt;0,MAX($F575:$G575)=4500,$E575="Enerji Fazlası"),4500*1.05*1.03*BK575,IF(AND(BK575&lt;0,$E575="Enerji Açığı"),MAX($F575,$G575,150)*BK575*1.06,IF(AND(BK575&lt;0,$E575="Enerji Fazlası"),MAX($F575,$G575,150)*BK575*1.03,IF(AND(BK575&lt;0,$E575="Dengede"),MAX($F575:$G575,150)*1.03*BK575,MIN($F575:$G575)*0.97*BK575)))))))))</f>
        <v/>
      </c>
      <c r="BM575" s="34">
        <f>BE575-BI575-BN575</f>
        <v/>
      </c>
      <c r="BN575" s="34">
        <f>BB575</f>
        <v/>
      </c>
      <c r="BO575" s="34">
        <f>BE575-BI575</f>
        <v/>
      </c>
      <c r="BP575" s="34">
        <f>IF(AY575=0,0,BO575/AY575)</f>
        <v/>
      </c>
      <c r="BQ575" s="34">
        <f>MAX((AY575+MAX((-J575+L575-N575+Q575),0)),(MAX((J575-L575+N575-Q575),0)))</f>
        <v/>
      </c>
      <c r="BR575" s="82">
        <f>IFERROR(ABS(BK575/BQ575),0)</f>
        <v/>
      </c>
      <c r="BS575" s="34">
        <f>IF(BR575&lt;=0.1,0,BK575/BR575*(BR575-0.1))</f>
        <v/>
      </c>
      <c r="BT575" s="34">
        <f>IF((BS575)&lt;0,MAX(F575:G575)*(BS575)*1.03,MIN(F575:G575)*(BS575)*0.97)</f>
        <v/>
      </c>
      <c r="BU575" s="34">
        <f>IF(BR575&gt;0.1,1,0)</f>
        <v/>
      </c>
      <c r="BV575" s="34">
        <f>BF575+BG575+BH575+BY575-CA575</f>
        <v/>
      </c>
      <c r="BW575" s="34">
        <f>ABS(BX575)</f>
        <v/>
      </c>
      <c r="BX575" s="34">
        <f>AY575-(J575-L575+N575-Q575+T575-X575)</f>
        <v/>
      </c>
      <c r="BY575" s="34">
        <f>IF(AND(BX575&gt;0,MIN($F575:$G575)&lt;150,$E575="Enerji Açığı"),-100*BX575*1.03,IF(AND(BX575&gt;0,MIN($F575:$G575)&lt;150,$E575="Enerji Fazlası"),-100*BX575*1.06,IF(AND(BX575&gt;0,MIN($F575:$G575)&gt;=150,$E575="Enerji Açığı"),BX575*MIN($F575:$G575)*0.97,IF(AND(BX575&gt;0,MIN($F575:$G575)&gt;=150,$E575="Enerji Fazlası"),BX575*MIN($F575:$G575)*0.94,IF(AND(BX575&lt;0,MAX($F575:$G575)=4500,$E575="Enerji Açığı"),4500*1.05*1.06*BX575,IF(AND(BX575&lt;0,MAX($F575:$G575)=4500,$E575="Enerji Fazlası"),4500*1.05*1.03*BX575,IF(AND(BX575&lt;0,$E575="Enerji Açığı"),MAX($F575,$G575,150)*BX575*1.06,IF(AND(BX575&lt;0,$E575="Enerji Fazlası"),MAX($F575,$G575,150)*BX575*1.03,IF(AND(BX575&lt;0,$E575="Dengede"),MAX($F575:$G575,150)*1.03*BX575,MIN($F575:$G575)*0.97*BX575)))))))))</f>
        <v/>
      </c>
      <c r="BZ575" s="34">
        <f>BE575-BV575-CA575</f>
        <v/>
      </c>
      <c r="CA575" s="34">
        <f>BD575</f>
        <v/>
      </c>
      <c r="CB575" s="33">
        <f>BE575-BV575</f>
        <v/>
      </c>
      <c r="CC575" s="34">
        <f>IF(AY575=0,0,CB575/AY575)</f>
        <v/>
      </c>
      <c r="CD575" s="34">
        <f>MAX((AY575+MAX((-J575+L575-N575+Q575-T575+X575),0)),(MAX((J575-L575+N575-Q575+T575-X575),0)))</f>
        <v/>
      </c>
      <c r="CE575" s="82">
        <f>IFERROR(ABS(BX575/CD575),0)</f>
        <v/>
      </c>
      <c r="CF575" s="34">
        <f>IF(CE575&lt;=0.1,0,BX575/CE575*(CE575-0.1))</f>
        <v/>
      </c>
      <c r="CG575" s="34">
        <f>IF((CF575)&lt;0,MAX(F575:G575)*(CF575)*1.03,MIN(F575:G575)*(CF575)*0.97)</f>
        <v/>
      </c>
      <c r="CH575" s="34">
        <f>IF(CE575&gt;0.1,1,0)</f>
        <v/>
      </c>
      <c r="CI575" s="34">
        <f>(F575*BX575)-BY575</f>
        <v/>
      </c>
      <c r="CJ575" s="34">
        <f>IF(AY575=0,0,CI575/AY575)</f>
        <v/>
      </c>
    </row>
    <row r="576">
      <c r="A576" s="29">
        <f>[1]FİYATLAR!A551</f>
        <v/>
      </c>
      <c r="B576" s="29">
        <f>[1]FİYATLAR!B551</f>
        <v/>
      </c>
      <c r="C576" s="35">
        <f>INT(A576)</f>
        <v/>
      </c>
      <c r="D576" s="36">
        <f>MONTH(A576)</f>
        <v/>
      </c>
      <c r="E576" s="147">
        <f>[1]FİYATLAR!G551</f>
        <v/>
      </c>
      <c r="F576" s="30">
        <f>[1]FİYATLAR!C551</f>
        <v/>
      </c>
      <c r="G576" s="30">
        <f>[1]FİYATLAR!E551</f>
        <v/>
      </c>
      <c r="H576" s="30">
        <f>[1]FİYATLAR!D551</f>
        <v/>
      </c>
      <c r="I576" s="30">
        <f>[1]FİYATLAR!F551</f>
        <v/>
      </c>
      <c r="J576" s="119" t="n">
        <v>0</v>
      </c>
      <c r="K576" s="34">
        <f>F576*J576</f>
        <v/>
      </c>
      <c r="L576" s="119" t="n"/>
      <c r="M576" s="34">
        <f>L576*F576</f>
        <v/>
      </c>
      <c r="N576" s="119" t="n"/>
      <c r="O576" s="34">
        <f>F576</f>
        <v/>
      </c>
      <c r="P576" s="34">
        <f>N576*O576</f>
        <v/>
      </c>
      <c r="Q576" s="117" t="n">
        <v>0</v>
      </c>
      <c r="R576" s="34">
        <f>F576</f>
        <v/>
      </c>
      <c r="S576" s="34">
        <f>R576*Q576</f>
        <v/>
      </c>
      <c r="T576" s="34">
        <f>SUMIFS('[1]GİP VERİLERİ'!$C:$C,'[1]GİP VERİLERİ'!$B:$B,A576,'[1]GİP VERİLERİ'!$M:$M,"40X000000104782K",'[1]GİP VERİLERİ'!$G:$G,"SELL")</f>
        <v/>
      </c>
      <c r="U576" s="34">
        <f>IFERROR(W576/T576,0)</f>
        <v/>
      </c>
      <c r="V576" s="34">
        <f>IF(U576=0,0,U576-F576)</f>
        <v/>
      </c>
      <c r="W576" s="34">
        <f>SUMIFS('[1]GİP VERİLERİ'!$O:$O,'[1]GİP VERİLERİ'!$B:$B,A576,'[1]GİP VERİLERİ'!$M:$M,"40X000000104782K",'[1]GİP VERİLERİ'!$G:$G,"SELL")</f>
        <v/>
      </c>
      <c r="X576" s="34">
        <f>SUMIFS('[1]GİP VERİLERİ'!$C:$C,'[1]GİP VERİLERİ'!$B:$B,A576,'[1]GİP VERİLERİ'!$M:$M,"40X000000104782K",'[1]GİP VERİLERİ'!$G:$G,"BUY")</f>
        <v/>
      </c>
      <c r="Y576" s="34">
        <f>IFERROR(AA576/X576,0)</f>
        <v/>
      </c>
      <c r="Z576" s="34">
        <f>IF(Y576=0,0,F576-Y576)</f>
        <v/>
      </c>
      <c r="AA576" s="34">
        <f>SUMIFS('[1]GİP VERİLERİ'!$O:$O,'[1]GİP VERİLERİ'!$B:$B,A576,'[1]GİP VERİLERİ'!$M:$M,"40X000000104782K",'[1]GİP VERİLERİ'!$G:$G,"BUY")</f>
        <v/>
      </c>
      <c r="AB576" s="34">
        <f>'[1]GÖP VERİLERİ'!H577</f>
        <v/>
      </c>
      <c r="AC576" s="34">
        <f>'[1]GÖP VERİLERİ'!I577</f>
        <v/>
      </c>
      <c r="AD576" s="34">
        <f>IF(AB576&gt;AC576*1.05,AB576-AC576*1.05,IF(AB576&lt;AC576*0.95,AC576*0.95-AB576,0))</f>
        <v/>
      </c>
      <c r="AE576" s="34">
        <f>MAX(F576,G576,750)*0.05*AD576</f>
        <v/>
      </c>
      <c r="AF576" s="34">
        <f>'[1]GÖP VERİLERİ'!J577</f>
        <v/>
      </c>
      <c r="AG576" s="34">
        <f>IF(AB576&gt;AF576*1.05,AB576-AF576*1.05,IF(AB576&lt;AF576*0.95,AF576*0.95-AB576,0))</f>
        <v/>
      </c>
      <c r="AH576" s="34">
        <f>MAX(I576,J576,750)*0.05*AG576</f>
        <v/>
      </c>
      <c r="AI576">
        <f>'[1]GÖP VERİLERİ'!E577</f>
        <v/>
      </c>
      <c r="AJ576">
        <f>'[1]GÖP VERİLERİ'!F577</f>
        <v/>
      </c>
      <c r="AK576" s="34">
        <f>IF(AI576&gt;AJ576*1.05,AI576-AJ576*1.05,IF(AI576&lt;AJ576*0.95,AJ576*0.95-AI576,0))</f>
        <v/>
      </c>
      <c r="AL576" s="34">
        <f>MAX(F576,G576,750)*0.05*AK576</f>
        <v/>
      </c>
      <c r="AM576" s="39">
        <f>'[1]GÖP VERİLERİ'!G577</f>
        <v/>
      </c>
      <c r="AN576" s="34">
        <f>IF(AI576&gt;AM576*1.05,AI576-AM576*1.05,IF(AI576&lt;AM576*0.95,AM576*0.95-AI576,0))</f>
        <v/>
      </c>
      <c r="AO576" s="34">
        <f>MAX(F576,G576,750)*0.05*AN576</f>
        <v/>
      </c>
      <c r="AP576" s="34">
        <f>'[1]GÖP VERİLERİ'!B577</f>
        <v/>
      </c>
      <c r="AQ576" s="34">
        <f>'[1]GÖP VERİLERİ'!C577</f>
        <v/>
      </c>
      <c r="AR576" s="34">
        <f>IF(AP576&gt;AQ576*1.05,AP576-AQ576*1.05,IF(AP576&lt;AQ576*0.95,AQ576*0.95-AP576,0))</f>
        <v/>
      </c>
      <c r="AS576" s="34">
        <f>MAX(F576:G576,750)*0.05*AR576</f>
        <v/>
      </c>
      <c r="AT576">
        <f>'[1]GÖP VERİLERİ'!D577</f>
        <v/>
      </c>
      <c r="AU576" s="34">
        <f>IF(AP576&gt;AT576*1.05,AP576-AT576*1.05,IF(AP576&lt;AT576*0.95,AT576*0.95-AP576,0))</f>
        <v/>
      </c>
      <c r="AV576" s="34">
        <f>MAX(F576:G576,750)*0.05*AU576</f>
        <v/>
      </c>
      <c r="AW576" s="34">
        <f>AC576+AJ576+AQ576</f>
        <v/>
      </c>
      <c r="AX576" s="34">
        <f>AF576+AM576+AT576</f>
        <v/>
      </c>
      <c r="AY576" s="34">
        <f>AB576+AI576+AP576</f>
        <v/>
      </c>
      <c r="AZ576" s="34" t="n">
        <v>0</v>
      </c>
      <c r="BA576" s="34">
        <f>AD576+AK576+AR576</f>
        <v/>
      </c>
      <c r="BB576" s="34">
        <f>MAX(F576:G576,750)*0.05*BA576</f>
        <v/>
      </c>
      <c r="BC576" s="34">
        <f>AG576+AN576+AU576</f>
        <v/>
      </c>
      <c r="BD576" s="34">
        <f>MAX(F576:G576,750)*0.05*BC576</f>
        <v/>
      </c>
      <c r="BE576" s="34">
        <f>F576*AY576</f>
        <v/>
      </c>
      <c r="BF576" s="34">
        <f>K576-M576</f>
        <v/>
      </c>
      <c r="BG576" s="34">
        <f>P576-S576</f>
        <v/>
      </c>
      <c r="BH576" s="34">
        <f>W576-AA576</f>
        <v/>
      </c>
      <c r="BI576" s="34">
        <f>BF576+BG576+BL576-BN576</f>
        <v/>
      </c>
      <c r="BJ576" s="34">
        <f>ABS(BK576)</f>
        <v/>
      </c>
      <c r="BK576" s="34">
        <f>AY576-(J576-L576+N576-Q576)</f>
        <v/>
      </c>
      <c r="BL576" s="34">
        <f>IF(AND(BK576&gt;0,MIN($F576:$G576)&lt;150,$E576="Enerji Açığı"),-100*BK576*1.03,IF(AND(BK576&gt;0,MIN($F576:$G576)&lt;150,$E576="Enerji Fazlası"),-100*BK576*1.06,IF(AND(BK576&gt;0,MIN($F576:$G576)&gt;=150,$E576="Enerji Açığı"),BK576*MIN($F576:$G576)*0.97,IF(AND(BK576&gt;0,MIN($F576:$G576)&gt;=150,$E576="Enerji Fazlası"),BK576*MIN($F576:$G576)*0.94,IF(AND(BK576&lt;0,MAX($F576:$G576)=4500,$E576="Enerji Açığı"),4500*1.05*1.06*BK576,IF(AND(BK576&lt;0,MAX($F576:$G576)=4500,$E576="Enerji Fazlası"),4500*1.05*1.03*BK576,IF(AND(BK576&lt;0,$E576="Enerji Açığı"),MAX($F576,$G576,150)*BK576*1.06,IF(AND(BK576&lt;0,$E576="Enerji Fazlası"),MAX($F576,$G576,150)*BK576*1.03,IF(AND(BK576&lt;0,$E576="Dengede"),MAX($F576:$G576,150)*1.03*BK576,MIN($F576:$G576)*0.97*BK576)))))))))</f>
        <v/>
      </c>
      <c r="BM576" s="34">
        <f>BE576-BI576-BN576</f>
        <v/>
      </c>
      <c r="BN576" s="34">
        <f>BB576</f>
        <v/>
      </c>
      <c r="BO576" s="34">
        <f>BE576-BI576</f>
        <v/>
      </c>
      <c r="BP576" s="34">
        <f>IF(AY576=0,0,BO576/AY576)</f>
        <v/>
      </c>
      <c r="BQ576" s="34">
        <f>MAX((AY576+MAX((-J576+L576-N576+Q576),0)),(MAX((J576-L576+N576-Q576),0)))</f>
        <v/>
      </c>
      <c r="BR576" s="82">
        <f>IFERROR(ABS(BK576/BQ576),0)</f>
        <v/>
      </c>
      <c r="BS576" s="34">
        <f>IF(BR576&lt;=0.1,0,BK576/BR576*(BR576-0.1))</f>
        <v/>
      </c>
      <c r="BT576" s="34">
        <f>IF((BS576)&lt;0,MAX(F576:G576)*(BS576)*1.03,MIN(F576:G576)*(BS576)*0.97)</f>
        <v/>
      </c>
      <c r="BU576" s="34">
        <f>IF(BR576&gt;0.1,1,0)</f>
        <v/>
      </c>
      <c r="BV576" s="34">
        <f>BF576+BG576+BH576+BY576-CA576</f>
        <v/>
      </c>
      <c r="BW576" s="34">
        <f>ABS(BX576)</f>
        <v/>
      </c>
      <c r="BX576" s="34">
        <f>AY576-(J576-L576+N576-Q576+T576-X576)</f>
        <v/>
      </c>
      <c r="BY576" s="34">
        <f>IF(AND(BX576&gt;0,MIN($F576:$G576)&lt;150,$E576="Enerji Açığı"),-100*BX576*1.03,IF(AND(BX576&gt;0,MIN($F576:$G576)&lt;150,$E576="Enerji Fazlası"),-100*BX576*1.06,IF(AND(BX576&gt;0,MIN($F576:$G576)&gt;=150,$E576="Enerji Açığı"),BX576*MIN($F576:$G576)*0.97,IF(AND(BX576&gt;0,MIN($F576:$G576)&gt;=150,$E576="Enerji Fazlası"),BX576*MIN($F576:$G576)*0.94,IF(AND(BX576&lt;0,MAX($F576:$G576)=4500,$E576="Enerji Açığı"),4500*1.05*1.06*BX576,IF(AND(BX576&lt;0,MAX($F576:$G576)=4500,$E576="Enerji Fazlası"),4500*1.05*1.03*BX576,IF(AND(BX576&lt;0,$E576="Enerji Açığı"),MAX($F576,$G576,150)*BX576*1.06,IF(AND(BX576&lt;0,$E576="Enerji Fazlası"),MAX($F576,$G576,150)*BX576*1.03,IF(AND(BX576&lt;0,$E576="Dengede"),MAX($F576:$G576,150)*1.03*BX576,MIN($F576:$G576)*0.97*BX576)))))))))</f>
        <v/>
      </c>
      <c r="BZ576" s="34">
        <f>BE576-BV576-CA576</f>
        <v/>
      </c>
      <c r="CA576" s="34">
        <f>BD576</f>
        <v/>
      </c>
      <c r="CB576" s="33">
        <f>BE576-BV576</f>
        <v/>
      </c>
      <c r="CC576" s="34">
        <f>IF(AY576=0,0,CB576/AY576)</f>
        <v/>
      </c>
      <c r="CD576" s="34">
        <f>MAX((AY576+MAX((-J576+L576-N576+Q576-T576+X576),0)),(MAX((J576-L576+N576-Q576+T576-X576),0)))</f>
        <v/>
      </c>
      <c r="CE576" s="82">
        <f>IFERROR(ABS(BX576/CD576),0)</f>
        <v/>
      </c>
      <c r="CF576" s="34">
        <f>IF(CE576&lt;=0.1,0,BX576/CE576*(CE576-0.1))</f>
        <v/>
      </c>
      <c r="CG576" s="34">
        <f>IF((CF576)&lt;0,MAX(F576:G576)*(CF576)*1.03,MIN(F576:G576)*(CF576)*0.97)</f>
        <v/>
      </c>
      <c r="CH576" s="34">
        <f>IF(CE576&gt;0.1,1,0)</f>
        <v/>
      </c>
      <c r="CI576" s="34">
        <f>(F576*BX576)-BY576</f>
        <v/>
      </c>
      <c r="CJ576" s="34">
        <f>IF(AY576=0,0,CI576/AY576)</f>
        <v/>
      </c>
    </row>
    <row r="577">
      <c r="A577" s="29">
        <f>[1]FİYATLAR!A552</f>
        <v/>
      </c>
      <c r="B577" s="29">
        <f>[1]FİYATLAR!B552</f>
        <v/>
      </c>
      <c r="C577" s="35">
        <f>INT(A577)</f>
        <v/>
      </c>
      <c r="D577" s="36">
        <f>MONTH(A577)</f>
        <v/>
      </c>
      <c r="E577" s="147">
        <f>[1]FİYATLAR!G552</f>
        <v/>
      </c>
      <c r="F577" s="30">
        <f>[1]FİYATLAR!C552</f>
        <v/>
      </c>
      <c r="G577" s="30">
        <f>[1]FİYATLAR!E552</f>
        <v/>
      </c>
      <c r="H577" s="30">
        <f>[1]FİYATLAR!D552</f>
        <v/>
      </c>
      <c r="I577" s="30">
        <f>[1]FİYATLAR!F552</f>
        <v/>
      </c>
      <c r="J577" s="119" t="n">
        <v>0</v>
      </c>
      <c r="K577" s="34">
        <f>F577*J577</f>
        <v/>
      </c>
      <c r="L577" s="119" t="n"/>
      <c r="M577" s="34">
        <f>L577*F577</f>
        <v/>
      </c>
      <c r="N577" s="119" t="n"/>
      <c r="O577" s="34">
        <f>F577</f>
        <v/>
      </c>
      <c r="P577" s="34">
        <f>N577*O577</f>
        <v/>
      </c>
      <c r="Q577" s="117" t="n">
        <v>0</v>
      </c>
      <c r="R577" s="34">
        <f>F577</f>
        <v/>
      </c>
      <c r="S577" s="34">
        <f>R577*Q577</f>
        <v/>
      </c>
      <c r="T577" s="34">
        <f>SUMIFS('[1]GİP VERİLERİ'!$C:$C,'[1]GİP VERİLERİ'!$B:$B,A577,'[1]GİP VERİLERİ'!$M:$M,"40X000000104782K",'[1]GİP VERİLERİ'!$G:$G,"SELL")</f>
        <v/>
      </c>
      <c r="U577" s="34">
        <f>IFERROR(W577/T577,0)</f>
        <v/>
      </c>
      <c r="V577" s="34">
        <f>IF(U577=0,0,U577-F577)</f>
        <v/>
      </c>
      <c r="W577" s="34">
        <f>SUMIFS('[1]GİP VERİLERİ'!$O:$O,'[1]GİP VERİLERİ'!$B:$B,A577,'[1]GİP VERİLERİ'!$M:$M,"40X000000104782K",'[1]GİP VERİLERİ'!$G:$G,"SELL")</f>
        <v/>
      </c>
      <c r="X577" s="34">
        <f>SUMIFS('[1]GİP VERİLERİ'!$C:$C,'[1]GİP VERİLERİ'!$B:$B,A577,'[1]GİP VERİLERİ'!$M:$M,"40X000000104782K",'[1]GİP VERİLERİ'!$G:$G,"BUY")</f>
        <v/>
      </c>
      <c r="Y577" s="34">
        <f>IFERROR(AA577/X577,0)</f>
        <v/>
      </c>
      <c r="Z577" s="34">
        <f>IF(Y577=0,0,F577-Y577)</f>
        <v/>
      </c>
      <c r="AA577" s="34">
        <f>SUMIFS('[1]GİP VERİLERİ'!$O:$O,'[1]GİP VERİLERİ'!$B:$B,A577,'[1]GİP VERİLERİ'!$M:$M,"40X000000104782K",'[1]GİP VERİLERİ'!$G:$G,"BUY")</f>
        <v/>
      </c>
      <c r="AB577" s="34">
        <f>'[1]GÖP VERİLERİ'!H578</f>
        <v/>
      </c>
      <c r="AC577" s="34">
        <f>'[1]GÖP VERİLERİ'!I578</f>
        <v/>
      </c>
      <c r="AD577" s="34">
        <f>IF(AB577&gt;AC577*1.05,AB577-AC577*1.05,IF(AB577&lt;AC577*0.95,AC577*0.95-AB577,0))</f>
        <v/>
      </c>
      <c r="AE577" s="34">
        <f>MAX(F577,G577,750)*0.05*AD577</f>
        <v/>
      </c>
      <c r="AF577" s="34">
        <f>'[1]GÖP VERİLERİ'!J578</f>
        <v/>
      </c>
      <c r="AG577" s="34">
        <f>IF(AB577&gt;AF577*1.05,AB577-AF577*1.05,IF(AB577&lt;AF577*0.95,AF577*0.95-AB577,0))</f>
        <v/>
      </c>
      <c r="AH577" s="34">
        <f>MAX(I577,J577,750)*0.05*AG577</f>
        <v/>
      </c>
      <c r="AI577">
        <f>'[1]GÖP VERİLERİ'!E578</f>
        <v/>
      </c>
      <c r="AJ577">
        <f>'[1]GÖP VERİLERİ'!F578</f>
        <v/>
      </c>
      <c r="AK577" s="34">
        <f>IF(AI577&gt;AJ577*1.05,AI577-AJ577*1.05,IF(AI577&lt;AJ577*0.95,AJ577*0.95-AI577,0))</f>
        <v/>
      </c>
      <c r="AL577" s="34">
        <f>MAX(F577,G577,750)*0.05*AK577</f>
        <v/>
      </c>
      <c r="AM577" s="39">
        <f>'[1]GÖP VERİLERİ'!G578</f>
        <v/>
      </c>
      <c r="AN577" s="34">
        <f>IF(AI577&gt;AM577*1.05,AI577-AM577*1.05,IF(AI577&lt;AM577*0.95,AM577*0.95-AI577,0))</f>
        <v/>
      </c>
      <c r="AO577" s="34">
        <f>MAX(F577,G577,750)*0.05*AN577</f>
        <v/>
      </c>
      <c r="AP577" s="34">
        <f>'[1]GÖP VERİLERİ'!B578</f>
        <v/>
      </c>
      <c r="AQ577" s="34">
        <f>'[1]GÖP VERİLERİ'!C578</f>
        <v/>
      </c>
      <c r="AR577" s="34">
        <f>IF(AP577&gt;AQ577*1.05,AP577-AQ577*1.05,IF(AP577&lt;AQ577*0.95,AQ577*0.95-AP577,0))</f>
        <v/>
      </c>
      <c r="AS577" s="34">
        <f>MAX(F577:G577,750)*0.05*AR577</f>
        <v/>
      </c>
      <c r="AT577">
        <f>'[1]GÖP VERİLERİ'!D578</f>
        <v/>
      </c>
      <c r="AU577" s="34">
        <f>IF(AP577&gt;AT577*1.05,AP577-AT577*1.05,IF(AP577&lt;AT577*0.95,AT577*0.95-AP577,0))</f>
        <v/>
      </c>
      <c r="AV577" s="34">
        <f>MAX(F577:G577,750)*0.05*AU577</f>
        <v/>
      </c>
      <c r="AW577" s="34">
        <f>AC577+AJ577+AQ577</f>
        <v/>
      </c>
      <c r="AX577" s="34">
        <f>AF577+AM577+AT577</f>
        <v/>
      </c>
      <c r="AY577" s="34">
        <f>AB577+AI577+AP577</f>
        <v/>
      </c>
      <c r="AZ577" s="34" t="n">
        <v>0</v>
      </c>
      <c r="BA577" s="34">
        <f>AD577+AK577+AR577</f>
        <v/>
      </c>
      <c r="BB577" s="34">
        <f>MAX(F577:G577,750)*0.05*BA577</f>
        <v/>
      </c>
      <c r="BC577" s="34">
        <f>AG577+AN577+AU577</f>
        <v/>
      </c>
      <c r="BD577" s="34">
        <f>MAX(F577:G577,750)*0.05*BC577</f>
        <v/>
      </c>
      <c r="BE577" s="34">
        <f>F577*AY577</f>
        <v/>
      </c>
      <c r="BF577" s="34">
        <f>K577-M577</f>
        <v/>
      </c>
      <c r="BG577" s="34">
        <f>P577-S577</f>
        <v/>
      </c>
      <c r="BH577" s="34">
        <f>W577-AA577</f>
        <v/>
      </c>
      <c r="BI577" s="34">
        <f>BF577+BG577+BL577-BN577</f>
        <v/>
      </c>
      <c r="BJ577" s="34">
        <f>ABS(BK577)</f>
        <v/>
      </c>
      <c r="BK577" s="34">
        <f>AY577-(J577-L577+N577-Q577)</f>
        <v/>
      </c>
      <c r="BL577" s="34">
        <f>IF(AND(BK577&gt;0,MIN($F577:$G577)&lt;150,$E577="Enerji Açığı"),-100*BK577*1.03,IF(AND(BK577&gt;0,MIN($F577:$G577)&lt;150,$E577="Enerji Fazlası"),-100*BK577*1.06,IF(AND(BK577&gt;0,MIN($F577:$G577)&gt;=150,$E577="Enerji Açığı"),BK577*MIN($F577:$G577)*0.97,IF(AND(BK577&gt;0,MIN($F577:$G577)&gt;=150,$E577="Enerji Fazlası"),BK577*MIN($F577:$G577)*0.94,IF(AND(BK577&lt;0,MAX($F577:$G577)=4500,$E577="Enerji Açığı"),4500*1.05*1.06*BK577,IF(AND(BK577&lt;0,MAX($F577:$G577)=4500,$E577="Enerji Fazlası"),4500*1.05*1.03*BK577,IF(AND(BK577&lt;0,$E577="Enerji Açığı"),MAX($F577,$G577,150)*BK577*1.06,IF(AND(BK577&lt;0,$E577="Enerji Fazlası"),MAX($F577,$G577,150)*BK577*1.03,IF(AND(BK577&lt;0,$E577="Dengede"),MAX($F577:$G577,150)*1.03*BK577,MIN($F577:$G577)*0.97*BK577)))))))))</f>
        <v/>
      </c>
      <c r="BM577" s="34">
        <f>BE577-BI577-BN577</f>
        <v/>
      </c>
      <c r="BN577" s="34">
        <f>BB577</f>
        <v/>
      </c>
      <c r="BO577" s="34">
        <f>BE577-BI577</f>
        <v/>
      </c>
      <c r="BP577" s="34">
        <f>IF(AY577=0,0,BO577/AY577)</f>
        <v/>
      </c>
      <c r="BQ577" s="34">
        <f>MAX((AY577+MAX((-J577+L577-N577+Q577),0)),(MAX((J577-L577+N577-Q577),0)))</f>
        <v/>
      </c>
      <c r="BR577" s="82">
        <f>IFERROR(ABS(BK577/BQ577),0)</f>
        <v/>
      </c>
      <c r="BS577" s="34">
        <f>IF(BR577&lt;=0.1,0,BK577/BR577*(BR577-0.1))</f>
        <v/>
      </c>
      <c r="BT577" s="34">
        <f>IF((BS577)&lt;0,MAX(F577:G577)*(BS577)*1.03,MIN(F577:G577)*(BS577)*0.97)</f>
        <v/>
      </c>
      <c r="BU577" s="34">
        <f>IF(BR577&gt;0.1,1,0)</f>
        <v/>
      </c>
      <c r="BV577" s="34">
        <f>BF577+BG577+BH577+BY577-CA577</f>
        <v/>
      </c>
      <c r="BW577" s="34">
        <f>ABS(BX577)</f>
        <v/>
      </c>
      <c r="BX577" s="34">
        <f>AY577-(J577-L577+N577-Q577+T577-X577)</f>
        <v/>
      </c>
      <c r="BY577" s="34">
        <f>IF(AND(BX577&gt;0,MIN($F577:$G577)&lt;150,$E577="Enerji Açığı"),-100*BX577*1.03,IF(AND(BX577&gt;0,MIN($F577:$G577)&lt;150,$E577="Enerji Fazlası"),-100*BX577*1.06,IF(AND(BX577&gt;0,MIN($F577:$G577)&gt;=150,$E577="Enerji Açığı"),BX577*MIN($F577:$G577)*0.97,IF(AND(BX577&gt;0,MIN($F577:$G577)&gt;=150,$E577="Enerji Fazlası"),BX577*MIN($F577:$G577)*0.94,IF(AND(BX577&lt;0,MAX($F577:$G577)=4500,$E577="Enerji Açığı"),4500*1.05*1.06*BX577,IF(AND(BX577&lt;0,MAX($F577:$G577)=4500,$E577="Enerji Fazlası"),4500*1.05*1.03*BX577,IF(AND(BX577&lt;0,$E577="Enerji Açığı"),MAX($F577,$G577,150)*BX577*1.06,IF(AND(BX577&lt;0,$E577="Enerji Fazlası"),MAX($F577,$G577,150)*BX577*1.03,IF(AND(BX577&lt;0,$E577="Dengede"),MAX($F577:$G577,150)*1.03*BX577,MIN($F577:$G577)*0.97*BX577)))))))))</f>
        <v/>
      </c>
      <c r="BZ577" s="34">
        <f>BE577-BV577-CA577</f>
        <v/>
      </c>
      <c r="CA577" s="34">
        <f>BD577</f>
        <v/>
      </c>
      <c r="CB577" s="33">
        <f>BE577-BV577</f>
        <v/>
      </c>
      <c r="CC577" s="34">
        <f>IF(AY577=0,0,CB577/AY577)</f>
        <v/>
      </c>
      <c r="CD577" s="34">
        <f>MAX((AY577+MAX((-J577+L577-N577+Q577-T577+X577),0)),(MAX((J577-L577+N577-Q577+T577-X577),0)))</f>
        <v/>
      </c>
      <c r="CE577" s="82">
        <f>IFERROR(ABS(BX577/CD577),0)</f>
        <v/>
      </c>
      <c r="CF577" s="34">
        <f>IF(CE577&lt;=0.1,0,BX577/CE577*(CE577-0.1))</f>
        <v/>
      </c>
      <c r="CG577" s="34">
        <f>IF((CF577)&lt;0,MAX(F577:G577)*(CF577)*1.03,MIN(F577:G577)*(CF577)*0.97)</f>
        <v/>
      </c>
      <c r="CH577" s="34">
        <f>IF(CE577&gt;0.1,1,0)</f>
        <v/>
      </c>
      <c r="CI577" s="34">
        <f>(F577*BX577)-BY577</f>
        <v/>
      </c>
      <c r="CJ577" s="34">
        <f>IF(AY577=0,0,CI577/AY577)</f>
        <v/>
      </c>
    </row>
    <row r="578">
      <c r="A578" s="29">
        <f>[1]FİYATLAR!A553</f>
        <v/>
      </c>
      <c r="B578" s="29">
        <f>[1]FİYATLAR!B553</f>
        <v/>
      </c>
      <c r="C578" s="35">
        <f>INT(A578)</f>
        <v/>
      </c>
      <c r="D578" s="36">
        <f>MONTH(A578)</f>
        <v/>
      </c>
      <c r="E578" s="147">
        <f>[1]FİYATLAR!G553</f>
        <v/>
      </c>
      <c r="F578" s="30">
        <f>[1]FİYATLAR!C553</f>
        <v/>
      </c>
      <c r="G578" s="30">
        <f>[1]FİYATLAR!E553</f>
        <v/>
      </c>
      <c r="H578" s="30">
        <f>[1]FİYATLAR!D553</f>
        <v/>
      </c>
      <c r="I578" s="30">
        <f>[1]FİYATLAR!F553</f>
        <v/>
      </c>
      <c r="J578" s="119" t="n">
        <v>0</v>
      </c>
      <c r="K578" s="34">
        <f>F578*J578</f>
        <v/>
      </c>
      <c r="L578" s="119" t="n"/>
      <c r="M578" s="34">
        <f>L578*F578</f>
        <v/>
      </c>
      <c r="N578" s="119" t="n"/>
      <c r="O578" s="34">
        <f>F578</f>
        <v/>
      </c>
      <c r="P578" s="34">
        <f>N578*O578</f>
        <v/>
      </c>
      <c r="Q578" s="117" t="n">
        <v>0</v>
      </c>
      <c r="R578" s="34">
        <f>F578</f>
        <v/>
      </c>
      <c r="S578" s="34">
        <f>R578*Q578</f>
        <v/>
      </c>
      <c r="T578" s="34">
        <f>SUMIFS('[1]GİP VERİLERİ'!$C:$C,'[1]GİP VERİLERİ'!$B:$B,A578,'[1]GİP VERİLERİ'!$M:$M,"40X000000104782K",'[1]GİP VERİLERİ'!$G:$G,"SELL")</f>
        <v/>
      </c>
      <c r="U578" s="34">
        <f>IFERROR(W578/T578,0)</f>
        <v/>
      </c>
      <c r="V578" s="34">
        <f>IF(U578=0,0,U578-F578)</f>
        <v/>
      </c>
      <c r="W578" s="34">
        <f>SUMIFS('[1]GİP VERİLERİ'!$O:$O,'[1]GİP VERİLERİ'!$B:$B,A578,'[1]GİP VERİLERİ'!$M:$M,"40X000000104782K",'[1]GİP VERİLERİ'!$G:$G,"SELL")</f>
        <v/>
      </c>
      <c r="X578" s="34">
        <f>SUMIFS('[1]GİP VERİLERİ'!$C:$C,'[1]GİP VERİLERİ'!$B:$B,A578,'[1]GİP VERİLERİ'!$M:$M,"40X000000104782K",'[1]GİP VERİLERİ'!$G:$G,"BUY")</f>
        <v/>
      </c>
      <c r="Y578" s="34">
        <f>IFERROR(AA578/X578,0)</f>
        <v/>
      </c>
      <c r="Z578" s="34">
        <f>IF(Y578=0,0,F578-Y578)</f>
        <v/>
      </c>
      <c r="AA578" s="34">
        <f>SUMIFS('[1]GİP VERİLERİ'!$O:$O,'[1]GİP VERİLERİ'!$B:$B,A578,'[1]GİP VERİLERİ'!$M:$M,"40X000000104782K",'[1]GİP VERİLERİ'!$G:$G,"BUY")</f>
        <v/>
      </c>
      <c r="AB578" s="34">
        <f>'[1]GÖP VERİLERİ'!H579</f>
        <v/>
      </c>
      <c r="AC578" s="34">
        <f>'[1]GÖP VERİLERİ'!I579</f>
        <v/>
      </c>
      <c r="AD578" s="34">
        <f>IF(AB578&gt;AC578*1.05,AB578-AC578*1.05,IF(AB578&lt;AC578*0.95,AC578*0.95-AB578,0))</f>
        <v/>
      </c>
      <c r="AE578" s="34">
        <f>MAX(F578,G578,750)*0.05*AD578</f>
        <v/>
      </c>
      <c r="AF578" s="34">
        <f>'[1]GÖP VERİLERİ'!J579</f>
        <v/>
      </c>
      <c r="AG578" s="34">
        <f>IF(AB578&gt;AF578*1.05,AB578-AF578*1.05,IF(AB578&lt;AF578*0.95,AF578*0.95-AB578,0))</f>
        <v/>
      </c>
      <c r="AH578" s="34">
        <f>MAX(I578,J578,750)*0.05*AG578</f>
        <v/>
      </c>
      <c r="AI578">
        <f>'[1]GÖP VERİLERİ'!E579</f>
        <v/>
      </c>
      <c r="AJ578">
        <f>'[1]GÖP VERİLERİ'!F579</f>
        <v/>
      </c>
      <c r="AK578" s="34">
        <f>IF(AI578&gt;AJ578*1.05,AI578-AJ578*1.05,IF(AI578&lt;AJ578*0.95,AJ578*0.95-AI578,0))</f>
        <v/>
      </c>
      <c r="AL578" s="34">
        <f>MAX(F578,G578,750)*0.05*AK578</f>
        <v/>
      </c>
      <c r="AM578" s="39">
        <f>'[1]GÖP VERİLERİ'!G579</f>
        <v/>
      </c>
      <c r="AN578" s="34">
        <f>IF(AI578&gt;AM578*1.05,AI578-AM578*1.05,IF(AI578&lt;AM578*0.95,AM578*0.95-AI578,0))</f>
        <v/>
      </c>
      <c r="AO578" s="34">
        <f>MAX(F578,G578,750)*0.05*AN578</f>
        <v/>
      </c>
      <c r="AP578" s="34">
        <f>'[1]GÖP VERİLERİ'!B579</f>
        <v/>
      </c>
      <c r="AQ578" s="34">
        <f>'[1]GÖP VERİLERİ'!C579</f>
        <v/>
      </c>
      <c r="AR578" s="34">
        <f>IF(AP578&gt;AQ578*1.05,AP578-AQ578*1.05,IF(AP578&lt;AQ578*0.95,AQ578*0.95-AP578,0))</f>
        <v/>
      </c>
      <c r="AS578" s="34">
        <f>MAX(F578:G578,750)*0.05*AR578</f>
        <v/>
      </c>
      <c r="AT578">
        <f>'[1]GÖP VERİLERİ'!D579</f>
        <v/>
      </c>
      <c r="AU578" s="34">
        <f>IF(AP578&gt;AT578*1.05,AP578-AT578*1.05,IF(AP578&lt;AT578*0.95,AT578*0.95-AP578,0))</f>
        <v/>
      </c>
      <c r="AV578" s="34">
        <f>MAX(F578:G578,750)*0.05*AU578</f>
        <v/>
      </c>
      <c r="AW578" s="34">
        <f>AC578+AJ578+AQ578</f>
        <v/>
      </c>
      <c r="AX578" s="34">
        <f>AF578+AM578+AT578</f>
        <v/>
      </c>
      <c r="AY578" s="34">
        <f>AB578+AI578+AP578</f>
        <v/>
      </c>
      <c r="AZ578" s="34" t="n">
        <v>0</v>
      </c>
      <c r="BA578" s="34">
        <f>AD578+AK578+AR578</f>
        <v/>
      </c>
      <c r="BB578" s="34">
        <f>MAX(F578:G578,750)*0.05*BA578</f>
        <v/>
      </c>
      <c r="BC578" s="34">
        <f>AG578+AN578+AU578</f>
        <v/>
      </c>
      <c r="BD578" s="34">
        <f>MAX(F578:G578,750)*0.05*BC578</f>
        <v/>
      </c>
      <c r="BE578" s="34">
        <f>F578*AY578</f>
        <v/>
      </c>
      <c r="BF578" s="34">
        <f>K578-M578</f>
        <v/>
      </c>
      <c r="BG578" s="34">
        <f>P578-S578</f>
        <v/>
      </c>
      <c r="BH578" s="34">
        <f>W578-AA578</f>
        <v/>
      </c>
      <c r="BI578" s="34">
        <f>BF578+BG578+BL578-BN578</f>
        <v/>
      </c>
      <c r="BJ578" s="34">
        <f>ABS(BK578)</f>
        <v/>
      </c>
      <c r="BK578" s="34">
        <f>AY578-(J578-L578+N578-Q578)</f>
        <v/>
      </c>
      <c r="BL578" s="34">
        <f>IF(AND(BK578&gt;0,MIN($F578:$G578)&lt;150,$E578="Enerji Açığı"),-100*BK578*1.03,IF(AND(BK578&gt;0,MIN($F578:$G578)&lt;150,$E578="Enerji Fazlası"),-100*BK578*1.06,IF(AND(BK578&gt;0,MIN($F578:$G578)&gt;=150,$E578="Enerji Açığı"),BK578*MIN($F578:$G578)*0.97,IF(AND(BK578&gt;0,MIN($F578:$G578)&gt;=150,$E578="Enerji Fazlası"),BK578*MIN($F578:$G578)*0.94,IF(AND(BK578&lt;0,MAX($F578:$G578)=4500,$E578="Enerji Açığı"),4500*1.05*1.06*BK578,IF(AND(BK578&lt;0,MAX($F578:$G578)=4500,$E578="Enerji Fazlası"),4500*1.05*1.03*BK578,IF(AND(BK578&lt;0,$E578="Enerji Açığı"),MAX($F578,$G578,150)*BK578*1.06,IF(AND(BK578&lt;0,$E578="Enerji Fazlası"),MAX($F578,$G578,150)*BK578*1.03,IF(AND(BK578&lt;0,$E578="Dengede"),MAX($F578:$G578,150)*1.03*BK578,MIN($F578:$G578)*0.97*BK578)))))))))</f>
        <v/>
      </c>
      <c r="BM578" s="34">
        <f>BE578-BI578-BN578</f>
        <v/>
      </c>
      <c r="BN578" s="34">
        <f>BB578</f>
        <v/>
      </c>
      <c r="BO578" s="34">
        <f>BE578-BI578</f>
        <v/>
      </c>
      <c r="BP578" s="34">
        <f>IF(AY578=0,0,BO578/AY578)</f>
        <v/>
      </c>
      <c r="BQ578" s="34">
        <f>MAX((AY578+MAX((-J578+L578-N578+Q578),0)),(MAX((J578-L578+N578-Q578),0)))</f>
        <v/>
      </c>
      <c r="BR578" s="82">
        <f>IFERROR(ABS(BK578/BQ578),0)</f>
        <v/>
      </c>
      <c r="BS578" s="34">
        <f>IF(BR578&lt;=0.1,0,BK578/BR578*(BR578-0.1))</f>
        <v/>
      </c>
      <c r="BT578" s="34">
        <f>IF((BS578)&lt;0,MAX(F578:G578)*(BS578)*1.03,MIN(F578:G578)*(BS578)*0.97)</f>
        <v/>
      </c>
      <c r="BU578" s="34">
        <f>IF(BR578&gt;0.1,1,0)</f>
        <v/>
      </c>
      <c r="BV578" s="34">
        <f>BF578+BG578+BH578+BY578-CA578</f>
        <v/>
      </c>
      <c r="BW578" s="34">
        <f>ABS(BX578)</f>
        <v/>
      </c>
      <c r="BX578" s="34">
        <f>AY578-(J578-L578+N578-Q578+T578-X578)</f>
        <v/>
      </c>
      <c r="BY578" s="34">
        <f>IF(AND(BX578&gt;0,MIN($F578:$G578)&lt;150,$E578="Enerji Açığı"),-100*BX578*1.03,IF(AND(BX578&gt;0,MIN($F578:$G578)&lt;150,$E578="Enerji Fazlası"),-100*BX578*1.06,IF(AND(BX578&gt;0,MIN($F578:$G578)&gt;=150,$E578="Enerji Açığı"),BX578*MIN($F578:$G578)*0.97,IF(AND(BX578&gt;0,MIN($F578:$G578)&gt;=150,$E578="Enerji Fazlası"),BX578*MIN($F578:$G578)*0.94,IF(AND(BX578&lt;0,MAX($F578:$G578)=4500,$E578="Enerji Açığı"),4500*1.05*1.06*BX578,IF(AND(BX578&lt;0,MAX($F578:$G578)=4500,$E578="Enerji Fazlası"),4500*1.05*1.03*BX578,IF(AND(BX578&lt;0,$E578="Enerji Açığı"),MAX($F578,$G578,150)*BX578*1.06,IF(AND(BX578&lt;0,$E578="Enerji Fazlası"),MAX($F578,$G578,150)*BX578*1.03,IF(AND(BX578&lt;0,$E578="Dengede"),MAX($F578:$G578,150)*1.03*BX578,MIN($F578:$G578)*0.97*BX578)))))))))</f>
        <v/>
      </c>
      <c r="BZ578" s="34">
        <f>BE578-BV578-CA578</f>
        <v/>
      </c>
      <c r="CA578" s="34">
        <f>BD578</f>
        <v/>
      </c>
      <c r="CB578" s="33">
        <f>BE578-BV578</f>
        <v/>
      </c>
      <c r="CC578" s="34">
        <f>IF(AY578=0,0,CB578/AY578)</f>
        <v/>
      </c>
      <c r="CD578" s="34">
        <f>MAX((AY578+MAX((-J578+L578-N578+Q578-T578+X578),0)),(MAX((J578-L578+N578-Q578+T578-X578),0)))</f>
        <v/>
      </c>
      <c r="CE578" s="82">
        <f>IFERROR(ABS(BX578/CD578),0)</f>
        <v/>
      </c>
      <c r="CF578" s="34">
        <f>IF(CE578&lt;=0.1,0,BX578/CE578*(CE578-0.1))</f>
        <v/>
      </c>
      <c r="CG578" s="34">
        <f>IF((CF578)&lt;0,MAX(F578:G578)*(CF578)*1.03,MIN(F578:G578)*(CF578)*0.97)</f>
        <v/>
      </c>
      <c r="CH578" s="34">
        <f>IF(CE578&gt;0.1,1,0)</f>
        <v/>
      </c>
      <c r="CI578" s="34">
        <f>(F578*BX578)-BY578</f>
        <v/>
      </c>
      <c r="CJ578" s="34">
        <f>IF(AY578=0,0,CI578/AY578)</f>
        <v/>
      </c>
    </row>
    <row r="579">
      <c r="A579" s="29">
        <f>[1]FİYATLAR!A554</f>
        <v/>
      </c>
      <c r="B579" s="29">
        <f>[1]FİYATLAR!B578</f>
        <v/>
      </c>
      <c r="C579" s="35">
        <f>INT(A579)</f>
        <v/>
      </c>
      <c r="D579" s="36">
        <f>MONTH(A579)</f>
        <v/>
      </c>
      <c r="E579" s="147">
        <f>[1]FİYATLAR!G554</f>
        <v/>
      </c>
      <c r="F579" s="30">
        <f>[1]FİYATLAR!C554</f>
        <v/>
      </c>
      <c r="G579" s="30">
        <f>[1]FİYATLAR!E554</f>
        <v/>
      </c>
      <c r="H579" s="30">
        <f>[1]FİYATLAR!D554</f>
        <v/>
      </c>
      <c r="I579" s="30">
        <f>[1]FİYATLAR!F554</f>
        <v/>
      </c>
      <c r="J579" s="119" t="n">
        <v>0</v>
      </c>
      <c r="K579" s="34">
        <f>F579*J579</f>
        <v/>
      </c>
      <c r="L579" s="119" t="n"/>
      <c r="M579" s="34">
        <f>L579*F579</f>
        <v/>
      </c>
      <c r="N579" s="119" t="n"/>
      <c r="O579" s="34">
        <f>F579</f>
        <v/>
      </c>
      <c r="P579" s="34">
        <f>N579*O579</f>
        <v/>
      </c>
      <c r="Q579" s="117" t="n">
        <v>0</v>
      </c>
      <c r="R579" s="34">
        <f>F579</f>
        <v/>
      </c>
      <c r="S579" s="34">
        <f>R579*Q579</f>
        <v/>
      </c>
      <c r="T579" s="34">
        <f>SUMIFS('[1]GİP VERİLERİ'!$C:$C,'[1]GİP VERİLERİ'!$B:$B,A579,'[1]GİP VERİLERİ'!$M:$M,"40X000000104782K",'[1]GİP VERİLERİ'!$G:$G,"SELL")</f>
        <v/>
      </c>
      <c r="U579" s="34">
        <f>IFERROR(W579/T579,0)</f>
        <v/>
      </c>
      <c r="V579" s="34">
        <f>IF(U579=0,0,U579-F579)</f>
        <v/>
      </c>
      <c r="W579" s="34">
        <f>SUMIFS('[1]GİP VERİLERİ'!$O:$O,'[1]GİP VERİLERİ'!$B:$B,A579,'[1]GİP VERİLERİ'!$M:$M,"40X000000104782K",'[1]GİP VERİLERİ'!$G:$G,"SELL")</f>
        <v/>
      </c>
      <c r="X579" s="34">
        <f>SUMIFS('[1]GİP VERİLERİ'!$C:$C,'[1]GİP VERİLERİ'!$B:$B,A579,'[1]GİP VERİLERİ'!$M:$M,"40X000000104782K",'[1]GİP VERİLERİ'!$G:$G,"BUY")</f>
        <v/>
      </c>
      <c r="Y579" s="34">
        <f>IFERROR(AA579/X579,0)</f>
        <v/>
      </c>
      <c r="Z579" s="34">
        <f>IF(Y579=0,0,F579-Y579)</f>
        <v/>
      </c>
      <c r="AA579" s="34">
        <f>SUMIFS('[1]GİP VERİLERİ'!$O:$O,'[1]GİP VERİLERİ'!$B:$B,A579,'[1]GİP VERİLERİ'!$M:$M,"40X000000104782K",'[1]GİP VERİLERİ'!$G:$G,"BUY")</f>
        <v/>
      </c>
      <c r="AB579" s="34">
        <f>'[1]GÖP VERİLERİ'!H580</f>
        <v/>
      </c>
      <c r="AC579" s="34">
        <f>'[1]GÖP VERİLERİ'!I580</f>
        <v/>
      </c>
      <c r="AD579" s="34">
        <f>IF(AB579&gt;AC579*1.05,AB579-AC579*1.05,IF(AB579&lt;AC579*0.95,AC579*0.95-AB579,0))</f>
        <v/>
      </c>
      <c r="AE579" s="34">
        <f>MAX(F579,G579,750)*0.05*AD579</f>
        <v/>
      </c>
      <c r="AF579" s="34">
        <f>'[1]GÖP VERİLERİ'!J580</f>
        <v/>
      </c>
      <c r="AG579" s="34">
        <f>IF(AB579&gt;AF579*1.05,AB579-AF579*1.05,IF(AB579&lt;AF579*0.95,AF579*0.95-AB579,0))</f>
        <v/>
      </c>
      <c r="AH579" s="34">
        <f>MAX(I579,J579,750)*0.05*AG579</f>
        <v/>
      </c>
      <c r="AI579">
        <f>'[1]GÖP VERİLERİ'!E580</f>
        <v/>
      </c>
      <c r="AJ579">
        <f>'[1]GÖP VERİLERİ'!F580</f>
        <v/>
      </c>
      <c r="AK579" s="34">
        <f>IF(AI579&gt;AJ579*1.05,AI579-AJ579*1.05,IF(AI579&lt;AJ579*0.95,AJ579*0.95-AI579,0))</f>
        <v/>
      </c>
      <c r="AL579" s="34">
        <f>MAX(F579,G579,750)*0.05*AK579</f>
        <v/>
      </c>
      <c r="AM579" s="39">
        <f>'[1]GÖP VERİLERİ'!G580</f>
        <v/>
      </c>
      <c r="AN579" s="34">
        <f>IF(AI579&gt;AM579*1.05,AI579-AM579*1.05,IF(AI579&lt;AM579*0.95,AM579*0.95-AI579,0))</f>
        <v/>
      </c>
      <c r="AO579" s="34">
        <f>MAX(F579,G579,750)*0.05*AN579</f>
        <v/>
      </c>
      <c r="AP579" s="34">
        <f>'[1]GÖP VERİLERİ'!B580</f>
        <v/>
      </c>
      <c r="AQ579" s="34">
        <f>'[1]GÖP VERİLERİ'!C580</f>
        <v/>
      </c>
      <c r="AR579" s="34">
        <f>IF(AP579&gt;AQ579*1.05,AP579-AQ579*1.05,IF(AP579&lt;AQ579*0.95,AQ579*0.95-AP579,0))</f>
        <v/>
      </c>
      <c r="AS579" s="34">
        <f>MAX(F579:G579,750)*0.05*AR579</f>
        <v/>
      </c>
      <c r="AT579">
        <f>'[1]GÖP VERİLERİ'!D580</f>
        <v/>
      </c>
      <c r="AU579" s="34">
        <f>IF(AP579&gt;AT579*1.05,AP579-AT579*1.05,IF(AP579&lt;AT579*0.95,AT579*0.95-AP579,0))</f>
        <v/>
      </c>
      <c r="AV579" s="34">
        <f>MAX(F579:G579,750)*0.05*AU579</f>
        <v/>
      </c>
      <c r="AW579" s="34">
        <f>AC579+AJ579+AQ579</f>
        <v/>
      </c>
      <c r="AX579" s="34">
        <f>AF579+AM579+AT579</f>
        <v/>
      </c>
      <c r="AY579" s="34">
        <f>AB579+AI579+AP579</f>
        <v/>
      </c>
      <c r="AZ579" s="34" t="n">
        <v>0</v>
      </c>
      <c r="BA579" s="34">
        <f>AD579+AK579+AR579</f>
        <v/>
      </c>
      <c r="BB579" s="34">
        <f>MAX(F579:G579,750)*0.05*BA579</f>
        <v/>
      </c>
      <c r="BC579" s="34">
        <f>AG579+AN579+AU579</f>
        <v/>
      </c>
      <c r="BD579" s="34">
        <f>MAX(F579:G579,750)*0.05*BC579</f>
        <v/>
      </c>
      <c r="BE579" s="34">
        <f>F579*AY579</f>
        <v/>
      </c>
      <c r="BF579" s="34">
        <f>K579-M579</f>
        <v/>
      </c>
      <c r="BG579" s="34">
        <f>P579-S579</f>
        <v/>
      </c>
      <c r="BH579" s="34">
        <f>W579-AA579</f>
        <v/>
      </c>
      <c r="BI579" s="34">
        <f>BF579+BG579+BL579-BN579</f>
        <v/>
      </c>
      <c r="BJ579" s="34">
        <f>ABS(BK579)</f>
        <v/>
      </c>
      <c r="BK579" s="34">
        <f>AY579-(J579-L579+N579-Q579)</f>
        <v/>
      </c>
      <c r="BL579" s="34">
        <f>IF(AND(BK579&gt;0,MIN($F579:$G579)&lt;150,$E579="Enerji Açığı"),-100*BK579*1.03,IF(AND(BK579&gt;0,MIN($F579:$G579)&lt;150,$E579="Enerji Fazlası"),-100*BK579*1.06,IF(AND(BK579&gt;0,MIN($F579:$G579)&gt;=150,$E579="Enerji Açığı"),BK579*MIN($F579:$G579)*0.97,IF(AND(BK579&gt;0,MIN($F579:$G579)&gt;=150,$E579="Enerji Fazlası"),BK579*MIN($F579:$G579)*0.94,IF(AND(BK579&lt;0,MAX($F579:$G579)=4500,$E579="Enerji Açığı"),4500*1.05*1.06*BK579,IF(AND(BK579&lt;0,MAX($F579:$G579)=4500,$E579="Enerji Fazlası"),4500*1.05*1.03*BK579,IF(AND(BK579&lt;0,$E579="Enerji Açığı"),MAX($F579,$G579,150)*BK579*1.06,IF(AND(BK579&lt;0,$E579="Enerji Fazlası"),MAX($F579,$G579,150)*BK579*1.03,IF(AND(BK579&lt;0,$E579="Dengede"),MAX($F579:$G579,150)*1.03*BK579,MIN($F579:$G579)*0.97*BK579)))))))))</f>
        <v/>
      </c>
      <c r="BM579" s="34">
        <f>BE579-BI579-BN579</f>
        <v/>
      </c>
      <c r="BN579" s="34">
        <f>BB579</f>
        <v/>
      </c>
      <c r="BO579" s="34">
        <f>BE579-BI579</f>
        <v/>
      </c>
      <c r="BP579" s="34">
        <f>IF(AY579=0,0,BO579/AY579)</f>
        <v/>
      </c>
      <c r="BQ579" s="34">
        <f>MAX((AY579+MAX((-J579+L579-N579+Q579),0)),(MAX((J579-L579+N579-Q579),0)))</f>
        <v/>
      </c>
      <c r="BR579" s="82">
        <f>IFERROR(ABS(BK579/BQ579),0)</f>
        <v/>
      </c>
      <c r="BS579" s="34">
        <f>IF(BR579&lt;=0.1,0,BK579/BR579*(BR579-0.1))</f>
        <v/>
      </c>
      <c r="BT579" s="34">
        <f>IF((BS579)&lt;0,MAX(F579:G579)*(BS579)*1.03,MIN(F579:G579)*(BS579)*0.97)</f>
        <v/>
      </c>
      <c r="BU579" s="34">
        <f>IF(BR579&gt;0.1,1,0)</f>
        <v/>
      </c>
      <c r="BV579" s="34">
        <f>BF579+BG579+BH579+BY579-CA579</f>
        <v/>
      </c>
      <c r="BW579" s="34">
        <f>ABS(BX579)</f>
        <v/>
      </c>
      <c r="BX579" s="34">
        <f>AY579-(J579-L579+N579-Q579+T579-X579)</f>
        <v/>
      </c>
      <c r="BY579" s="34">
        <f>IF(AND(BX579&gt;0,MIN($F579:$G579)&lt;150,$E579="Enerji Açığı"),-100*BX579*1.03,IF(AND(BX579&gt;0,MIN($F579:$G579)&lt;150,$E579="Enerji Fazlası"),-100*BX579*1.06,IF(AND(BX579&gt;0,MIN($F579:$G579)&gt;=150,$E579="Enerji Açığı"),BX579*MIN($F579:$G579)*0.97,IF(AND(BX579&gt;0,MIN($F579:$G579)&gt;=150,$E579="Enerji Fazlası"),BX579*MIN($F579:$G579)*0.94,IF(AND(BX579&lt;0,MAX($F579:$G579)=4500,$E579="Enerji Açığı"),4500*1.05*1.06*BX579,IF(AND(BX579&lt;0,MAX($F579:$G579)=4500,$E579="Enerji Fazlası"),4500*1.05*1.03*BX579,IF(AND(BX579&lt;0,$E579="Enerji Açığı"),MAX($F579,$G579,150)*BX579*1.06,IF(AND(BX579&lt;0,$E579="Enerji Fazlası"),MAX($F579,$G579,150)*BX579*1.03,IF(AND(BX579&lt;0,$E579="Dengede"),MAX($F579:$G579,150)*1.03*BX579,MIN($F579:$G579)*0.97*BX579)))))))))</f>
        <v/>
      </c>
      <c r="BZ579" s="34">
        <f>BE579-BV579-CA579</f>
        <v/>
      </c>
      <c r="CA579" s="34">
        <f>BD579</f>
        <v/>
      </c>
      <c r="CB579" s="33">
        <f>BE579-BV579</f>
        <v/>
      </c>
      <c r="CC579" s="34">
        <f>IF(AY579=0,0,CB579/AY579)</f>
        <v/>
      </c>
      <c r="CD579" s="34">
        <f>MAX((AY579+MAX((-J579+L579-N579+Q579-T579+X579),0)),(MAX((J579-L579+N579-Q579+T579-X579),0)))</f>
        <v/>
      </c>
      <c r="CE579" s="82">
        <f>IFERROR(ABS(BX579/CD579),0)</f>
        <v/>
      </c>
      <c r="CF579" s="34">
        <f>IF(CE579&lt;=0.1,0,BX579/CE579*(CE579-0.1))</f>
        <v/>
      </c>
      <c r="CG579" s="34">
        <f>IF((CF579)&lt;0,MAX(F579:G579)*(CF579)*1.03,MIN(F579:G579)*(CF579)*0.97)</f>
        <v/>
      </c>
      <c r="CH579" s="34">
        <f>IF(CE579&gt;0.1,1,0)</f>
        <v/>
      </c>
      <c r="CI579" s="34">
        <f>(F579*BX579)-BY579</f>
        <v/>
      </c>
      <c r="CJ579" s="34">
        <f>IF(AY579=0,0,CI579/AY579)</f>
        <v/>
      </c>
    </row>
    <row r="580">
      <c r="A580" s="29">
        <f>[1]FİYATLAR!A555</f>
        <v/>
      </c>
      <c r="B580" s="29">
        <f>[1]FİYATLAR!B579</f>
        <v/>
      </c>
      <c r="C580" s="35">
        <f>INT(A580)</f>
        <v/>
      </c>
      <c r="D580" s="36">
        <f>MONTH(A580)</f>
        <v/>
      </c>
      <c r="E580" s="147">
        <f>[1]FİYATLAR!G555</f>
        <v/>
      </c>
      <c r="F580" s="30">
        <f>[1]FİYATLAR!C555</f>
        <v/>
      </c>
      <c r="G580" s="30">
        <f>[1]FİYATLAR!E555</f>
        <v/>
      </c>
      <c r="H580" s="30">
        <f>[1]FİYATLAR!D555</f>
        <v/>
      </c>
      <c r="I580" s="30">
        <f>[1]FİYATLAR!F555</f>
        <v/>
      </c>
      <c r="J580" s="119" t="n">
        <v>0</v>
      </c>
      <c r="K580" s="34">
        <f>F580*J580</f>
        <v/>
      </c>
      <c r="L580" s="119" t="n"/>
      <c r="M580" s="34">
        <f>L580*F580</f>
        <v/>
      </c>
      <c r="N580" s="119" t="n"/>
      <c r="O580" s="34">
        <f>F580</f>
        <v/>
      </c>
      <c r="P580" s="34">
        <f>N580*O580</f>
        <v/>
      </c>
      <c r="Q580" s="117" t="n">
        <v>0</v>
      </c>
      <c r="R580" s="34">
        <f>F580</f>
        <v/>
      </c>
      <c r="S580" s="34">
        <f>R580*Q580</f>
        <v/>
      </c>
      <c r="T580" s="34">
        <f>SUMIFS('[1]GİP VERİLERİ'!$C:$C,'[1]GİP VERİLERİ'!$B:$B,A580,'[1]GİP VERİLERİ'!$M:$M,"40X000000104782K",'[1]GİP VERİLERİ'!$G:$G,"SELL")</f>
        <v/>
      </c>
      <c r="U580" s="34">
        <f>IFERROR(W580/T580,0)</f>
        <v/>
      </c>
      <c r="V580" s="34">
        <f>IF(U580=0,0,U580-F580)</f>
        <v/>
      </c>
      <c r="W580" s="34">
        <f>SUMIFS('[1]GİP VERİLERİ'!$O:$O,'[1]GİP VERİLERİ'!$B:$B,A580,'[1]GİP VERİLERİ'!$M:$M,"40X000000104782K",'[1]GİP VERİLERİ'!$G:$G,"SELL")</f>
        <v/>
      </c>
      <c r="X580" s="34">
        <f>SUMIFS('[1]GİP VERİLERİ'!$C:$C,'[1]GİP VERİLERİ'!$B:$B,A580,'[1]GİP VERİLERİ'!$M:$M,"40X000000104782K",'[1]GİP VERİLERİ'!$G:$G,"BUY")</f>
        <v/>
      </c>
      <c r="Y580" s="34">
        <f>IFERROR(AA580/X580,0)</f>
        <v/>
      </c>
      <c r="Z580" s="34">
        <f>IF(Y580=0,0,F580-Y580)</f>
        <v/>
      </c>
      <c r="AA580" s="34">
        <f>SUMIFS('[1]GİP VERİLERİ'!$O:$O,'[1]GİP VERİLERİ'!$B:$B,A580,'[1]GİP VERİLERİ'!$M:$M,"40X000000104782K",'[1]GİP VERİLERİ'!$G:$G,"BUY")</f>
        <v/>
      </c>
      <c r="AB580" s="34">
        <f>'[1]GÖP VERİLERİ'!H581</f>
        <v/>
      </c>
      <c r="AC580" s="34">
        <f>'[1]GÖP VERİLERİ'!I581</f>
        <v/>
      </c>
      <c r="AD580" s="34">
        <f>IF(AB580&gt;AC580*1.05,AB580-AC580*1.05,IF(AB580&lt;AC580*0.95,AC580*0.95-AB580,0))</f>
        <v/>
      </c>
      <c r="AE580" s="34">
        <f>MAX(F580,G580,750)*0.05*AD580</f>
        <v/>
      </c>
      <c r="AF580" s="34">
        <f>'[1]GÖP VERİLERİ'!J581</f>
        <v/>
      </c>
      <c r="AG580" s="34">
        <f>IF(AB580&gt;AF580*1.05,AB580-AF580*1.05,IF(AB580&lt;AF580*0.95,AF580*0.95-AB580,0))</f>
        <v/>
      </c>
      <c r="AH580" s="34">
        <f>MAX(I580,J580,750)*0.05*AG580</f>
        <v/>
      </c>
      <c r="AI580">
        <f>'[1]GÖP VERİLERİ'!E581</f>
        <v/>
      </c>
      <c r="AJ580">
        <f>'[1]GÖP VERİLERİ'!F581</f>
        <v/>
      </c>
      <c r="AK580" s="34">
        <f>IF(AI580&gt;AJ580*1.05,AI580-AJ580*1.05,IF(AI580&lt;AJ580*0.95,AJ580*0.95-AI580,0))</f>
        <v/>
      </c>
      <c r="AL580" s="34">
        <f>MAX(F580,G580,750)*0.05*AK580</f>
        <v/>
      </c>
      <c r="AM580" s="39">
        <f>'[1]GÖP VERİLERİ'!G581</f>
        <v/>
      </c>
      <c r="AN580" s="34">
        <f>IF(AI580&gt;AM580*1.05,AI580-AM580*1.05,IF(AI580&lt;AM580*0.95,AM580*0.95-AI580,0))</f>
        <v/>
      </c>
      <c r="AO580" s="34">
        <f>MAX(F580,G580,750)*0.05*AN580</f>
        <v/>
      </c>
      <c r="AP580" s="34">
        <f>'[1]GÖP VERİLERİ'!B581</f>
        <v/>
      </c>
      <c r="AQ580" s="34">
        <f>'[1]GÖP VERİLERİ'!C581</f>
        <v/>
      </c>
      <c r="AR580" s="34">
        <f>IF(AP580&gt;AQ580*1.05,AP580-AQ580*1.05,IF(AP580&lt;AQ580*0.95,AQ580*0.95-AP580,0))</f>
        <v/>
      </c>
      <c r="AS580" s="34">
        <f>MAX(F580:G580,750)*0.05*AR580</f>
        <v/>
      </c>
      <c r="AT580">
        <f>'[1]GÖP VERİLERİ'!D581</f>
        <v/>
      </c>
      <c r="AU580" s="34">
        <f>IF(AP580&gt;AT580*1.05,AP580-AT580*1.05,IF(AP580&lt;AT580*0.95,AT580*0.95-AP580,0))</f>
        <v/>
      </c>
      <c r="AV580" s="34">
        <f>MAX(F580:G580,750)*0.05*AU580</f>
        <v/>
      </c>
      <c r="AW580" s="34">
        <f>AC580+AJ580+AQ580</f>
        <v/>
      </c>
      <c r="AX580" s="34">
        <f>AF580+AM580+AT580</f>
        <v/>
      </c>
      <c r="AY580" s="34">
        <f>AB580+AI580+AP580</f>
        <v/>
      </c>
      <c r="AZ580" s="34" t="n">
        <v>0</v>
      </c>
      <c r="BA580" s="34">
        <f>AD580+AK580+AR580</f>
        <v/>
      </c>
      <c r="BB580" s="34">
        <f>MAX(F580:G580,750)*0.05*BA580</f>
        <v/>
      </c>
      <c r="BC580" s="34">
        <f>AG580+AN580+AU580</f>
        <v/>
      </c>
      <c r="BD580" s="34">
        <f>MAX(F580:G580,750)*0.05*BC580</f>
        <v/>
      </c>
      <c r="BE580" s="34">
        <f>F580*AY580</f>
        <v/>
      </c>
      <c r="BF580" s="34">
        <f>K580-M580</f>
        <v/>
      </c>
      <c r="BG580" s="34">
        <f>P580-S580</f>
        <v/>
      </c>
      <c r="BH580" s="34">
        <f>W580-AA580</f>
        <v/>
      </c>
      <c r="BI580" s="34">
        <f>BF580+BG580+BL580-BN580</f>
        <v/>
      </c>
      <c r="BJ580" s="34">
        <f>ABS(BK580)</f>
        <v/>
      </c>
      <c r="BK580" s="34">
        <f>AY580-(J580-L580+N580-Q580)</f>
        <v/>
      </c>
      <c r="BL580" s="34">
        <f>IF(AND(BK580&gt;0,MIN($F580:$G580)&lt;150,$E580="Enerji Açığı"),-100*BK580*1.03,IF(AND(BK580&gt;0,MIN($F580:$G580)&lt;150,$E580="Enerji Fazlası"),-100*BK580*1.06,IF(AND(BK580&gt;0,MIN($F580:$G580)&gt;=150,$E580="Enerji Açığı"),BK580*MIN($F580:$G580)*0.97,IF(AND(BK580&gt;0,MIN($F580:$G580)&gt;=150,$E580="Enerji Fazlası"),BK580*MIN($F580:$G580)*0.94,IF(AND(BK580&lt;0,MAX($F580:$G580)=4500,$E580="Enerji Açığı"),4500*1.05*1.06*BK580,IF(AND(BK580&lt;0,MAX($F580:$G580)=4500,$E580="Enerji Fazlası"),4500*1.05*1.03*BK580,IF(AND(BK580&lt;0,$E580="Enerji Açığı"),MAX($F580,$G580,150)*BK580*1.06,IF(AND(BK580&lt;0,$E580="Enerji Fazlası"),MAX($F580,$G580,150)*BK580*1.03,IF(AND(BK580&lt;0,$E580="Dengede"),MAX($F580:$G580,150)*1.03*BK580,MIN($F580:$G580)*0.97*BK580)))))))))</f>
        <v/>
      </c>
      <c r="BM580" s="34">
        <f>BE580-BI580-BN580</f>
        <v/>
      </c>
      <c r="BN580" s="34">
        <f>BB580</f>
        <v/>
      </c>
      <c r="BO580" s="34">
        <f>BE580-BI580</f>
        <v/>
      </c>
      <c r="BP580" s="34">
        <f>IF(AY580=0,0,BO580/AY580)</f>
        <v/>
      </c>
      <c r="BQ580" s="34">
        <f>MAX((AY580+MAX((-J580+L580-N580+Q580),0)),(MAX((J580-L580+N580-Q580),0)))</f>
        <v/>
      </c>
      <c r="BR580" s="82">
        <f>IFERROR(ABS(BK580/BQ580),0)</f>
        <v/>
      </c>
      <c r="BS580" s="34">
        <f>IF(BR580&lt;=0.1,0,BK580/BR580*(BR580-0.1))</f>
        <v/>
      </c>
      <c r="BT580" s="34">
        <f>IF((BS580)&lt;0,MAX(F580:G580)*(BS580)*1.03,MIN(F580:G580)*(BS580)*0.97)</f>
        <v/>
      </c>
      <c r="BU580" s="34">
        <f>IF(BR580&gt;0.1,1,0)</f>
        <v/>
      </c>
      <c r="BV580" s="34">
        <f>BF580+BG580+BH580+BY580-CA580</f>
        <v/>
      </c>
      <c r="BW580" s="34">
        <f>ABS(BX580)</f>
        <v/>
      </c>
      <c r="BX580" s="34">
        <f>AY580-(J580-L580+N580-Q580+T580-X580)</f>
        <v/>
      </c>
      <c r="BY580" s="34">
        <f>IF(AND(BX580&gt;0,MIN($F580:$G580)&lt;150,$E580="Enerji Açığı"),-100*BX580*1.03,IF(AND(BX580&gt;0,MIN($F580:$G580)&lt;150,$E580="Enerji Fazlası"),-100*BX580*1.06,IF(AND(BX580&gt;0,MIN($F580:$G580)&gt;=150,$E580="Enerji Açığı"),BX580*MIN($F580:$G580)*0.97,IF(AND(BX580&gt;0,MIN($F580:$G580)&gt;=150,$E580="Enerji Fazlası"),BX580*MIN($F580:$G580)*0.94,IF(AND(BX580&lt;0,MAX($F580:$G580)=4500,$E580="Enerji Açığı"),4500*1.05*1.06*BX580,IF(AND(BX580&lt;0,MAX($F580:$G580)=4500,$E580="Enerji Fazlası"),4500*1.05*1.03*BX580,IF(AND(BX580&lt;0,$E580="Enerji Açığı"),MAX($F580,$G580,150)*BX580*1.06,IF(AND(BX580&lt;0,$E580="Enerji Fazlası"),MAX($F580,$G580,150)*BX580*1.03,IF(AND(BX580&lt;0,$E580="Dengede"),MAX($F580:$G580,150)*1.03*BX580,MIN($F580:$G580)*0.97*BX580)))))))))</f>
        <v/>
      </c>
      <c r="BZ580" s="34">
        <f>BE580-BV580-CA580</f>
        <v/>
      </c>
      <c r="CA580" s="34">
        <f>BD580</f>
        <v/>
      </c>
      <c r="CB580" s="33">
        <f>BE580-BV580</f>
        <v/>
      </c>
      <c r="CC580" s="34">
        <f>IF(AY580=0,0,CB580/AY580)</f>
        <v/>
      </c>
      <c r="CD580" s="34">
        <f>MAX((AY580+MAX((-J580+L580-N580+Q580-T580+X580),0)),(MAX((J580-L580+N580-Q580+T580-X580),0)))</f>
        <v/>
      </c>
      <c r="CE580" s="82">
        <f>IFERROR(ABS(BX580/CD580),0)</f>
        <v/>
      </c>
      <c r="CF580" s="34">
        <f>IF(CE580&lt;=0.1,0,BX580/CE580*(CE580-0.1))</f>
        <v/>
      </c>
      <c r="CG580" s="34">
        <f>IF((CF580)&lt;0,MAX(F580:G580)*(CF580)*1.03,MIN(F580:G580)*(CF580)*0.97)</f>
        <v/>
      </c>
      <c r="CH580" s="34">
        <f>IF(CE580&gt;0.1,1,0)</f>
        <v/>
      </c>
      <c r="CI580" s="34">
        <f>(F580*BX580)-BY580</f>
        <v/>
      </c>
      <c r="CJ580" s="34">
        <f>IF(AY580=0,0,CI580/AY580)</f>
        <v/>
      </c>
    </row>
    <row r="581">
      <c r="A581" s="29">
        <f>[1]FİYATLAR!A556</f>
        <v/>
      </c>
      <c r="B581" s="29">
        <f>[1]FİYATLAR!B580</f>
        <v/>
      </c>
      <c r="C581" s="35">
        <f>INT(A581)</f>
        <v/>
      </c>
      <c r="D581" s="36">
        <f>MONTH(A581)</f>
        <v/>
      </c>
      <c r="E581" s="147">
        <f>[1]FİYATLAR!G556</f>
        <v/>
      </c>
      <c r="F581" s="30">
        <f>[1]FİYATLAR!C556</f>
        <v/>
      </c>
      <c r="G581" s="30">
        <f>[1]FİYATLAR!E556</f>
        <v/>
      </c>
      <c r="H581" s="30">
        <f>[1]FİYATLAR!D556</f>
        <v/>
      </c>
      <c r="I581" s="30">
        <f>[1]FİYATLAR!F556</f>
        <v/>
      </c>
      <c r="J581" s="119" t="n">
        <v>0</v>
      </c>
      <c r="K581" s="34">
        <f>F581*J581</f>
        <v/>
      </c>
      <c r="L581" s="119" t="n"/>
      <c r="M581" s="34">
        <f>L581*F581</f>
        <v/>
      </c>
      <c r="N581" s="119" t="n"/>
      <c r="O581" s="34">
        <f>F581</f>
        <v/>
      </c>
      <c r="P581" s="34">
        <f>N581*O581</f>
        <v/>
      </c>
      <c r="Q581" s="117" t="n">
        <v>0</v>
      </c>
      <c r="R581" s="34">
        <f>F581</f>
        <v/>
      </c>
      <c r="S581" s="34">
        <f>R581*Q581</f>
        <v/>
      </c>
      <c r="T581" s="34">
        <f>SUMIFS('[1]GİP VERİLERİ'!$C:$C,'[1]GİP VERİLERİ'!$B:$B,A581,'[1]GİP VERİLERİ'!$M:$M,"40X000000104782K",'[1]GİP VERİLERİ'!$G:$G,"SELL")</f>
        <v/>
      </c>
      <c r="U581" s="34">
        <f>IFERROR(W581/T581,0)</f>
        <v/>
      </c>
      <c r="V581" s="34">
        <f>IF(U581=0,0,U581-F581)</f>
        <v/>
      </c>
      <c r="W581" s="34">
        <f>SUMIFS('[1]GİP VERİLERİ'!$O:$O,'[1]GİP VERİLERİ'!$B:$B,A581,'[1]GİP VERİLERİ'!$M:$M,"40X000000104782K",'[1]GİP VERİLERİ'!$G:$G,"SELL")</f>
        <v/>
      </c>
      <c r="X581" s="34">
        <f>SUMIFS('[1]GİP VERİLERİ'!$C:$C,'[1]GİP VERİLERİ'!$B:$B,A581,'[1]GİP VERİLERİ'!$M:$M,"40X000000104782K",'[1]GİP VERİLERİ'!$G:$G,"BUY")</f>
        <v/>
      </c>
      <c r="Y581" s="34">
        <f>IFERROR(AA581/X581,0)</f>
        <v/>
      </c>
      <c r="Z581" s="34">
        <f>IF(Y581=0,0,F581-Y581)</f>
        <v/>
      </c>
      <c r="AA581" s="34">
        <f>SUMIFS('[1]GİP VERİLERİ'!$O:$O,'[1]GİP VERİLERİ'!$B:$B,A581,'[1]GİP VERİLERİ'!$M:$M,"40X000000104782K",'[1]GİP VERİLERİ'!$G:$G,"BUY")</f>
        <v/>
      </c>
      <c r="AB581" s="34">
        <f>'[1]GÖP VERİLERİ'!H582</f>
        <v/>
      </c>
      <c r="AC581" s="34">
        <f>'[1]GÖP VERİLERİ'!I582</f>
        <v/>
      </c>
      <c r="AD581" s="34">
        <f>IF(AB581&gt;AC581*1.05,AB581-AC581*1.05,IF(AB581&lt;AC581*0.95,AC581*0.95-AB581,0))</f>
        <v/>
      </c>
      <c r="AE581" s="34">
        <f>MAX(F581,G581,750)*0.05*AD581</f>
        <v/>
      </c>
      <c r="AF581" s="34">
        <f>'[1]GÖP VERİLERİ'!J582</f>
        <v/>
      </c>
      <c r="AG581" s="34">
        <f>IF(AB581&gt;AF581*1.05,AB581-AF581*1.05,IF(AB581&lt;AF581*0.95,AF581*0.95-AB581,0))</f>
        <v/>
      </c>
      <c r="AH581" s="34">
        <f>MAX(I581,J581,750)*0.05*AG581</f>
        <v/>
      </c>
      <c r="AI581">
        <f>'[1]GÖP VERİLERİ'!E582</f>
        <v/>
      </c>
      <c r="AJ581">
        <f>'[1]GÖP VERİLERİ'!F582</f>
        <v/>
      </c>
      <c r="AK581" s="34">
        <f>IF(AI581&gt;AJ581*1.05,AI581-AJ581*1.05,IF(AI581&lt;AJ581*0.95,AJ581*0.95-AI581,0))</f>
        <v/>
      </c>
      <c r="AL581" s="34">
        <f>MAX(F581,G581,750)*0.05*AK581</f>
        <v/>
      </c>
      <c r="AM581" s="39">
        <f>'[1]GÖP VERİLERİ'!G582</f>
        <v/>
      </c>
      <c r="AN581" s="34">
        <f>IF(AI581&gt;AM581*1.05,AI581-AM581*1.05,IF(AI581&lt;AM581*0.95,AM581*0.95-AI581,0))</f>
        <v/>
      </c>
      <c r="AO581" s="34">
        <f>MAX(F581,G581,750)*0.05*AN581</f>
        <v/>
      </c>
      <c r="AP581" s="34">
        <f>'[1]GÖP VERİLERİ'!B582</f>
        <v/>
      </c>
      <c r="AQ581" s="34">
        <f>'[1]GÖP VERİLERİ'!C582</f>
        <v/>
      </c>
      <c r="AR581" s="34">
        <f>IF(AP581&gt;AQ581*1.05,AP581-AQ581*1.05,IF(AP581&lt;AQ581*0.95,AQ581*0.95-AP581,0))</f>
        <v/>
      </c>
      <c r="AS581" s="34">
        <f>MAX(F581:G581,750)*0.05*AR581</f>
        <v/>
      </c>
      <c r="AT581">
        <f>'[1]GÖP VERİLERİ'!D582</f>
        <v/>
      </c>
      <c r="AU581" s="34">
        <f>IF(AP581&gt;AT581*1.05,AP581-AT581*1.05,IF(AP581&lt;AT581*0.95,AT581*0.95-AP581,0))</f>
        <v/>
      </c>
      <c r="AV581" s="34">
        <f>MAX(F581:G581,750)*0.05*AU581</f>
        <v/>
      </c>
      <c r="AW581" s="34">
        <f>AC581+AJ581+AQ581</f>
        <v/>
      </c>
      <c r="AX581" s="34">
        <f>AF581+AM581+AT581</f>
        <v/>
      </c>
      <c r="AY581" s="34">
        <f>AB581+AI581+AP581</f>
        <v/>
      </c>
      <c r="AZ581" s="34" t="n">
        <v>0</v>
      </c>
      <c r="BA581" s="34">
        <f>AD581+AK581+AR581</f>
        <v/>
      </c>
      <c r="BB581" s="34">
        <f>MAX(F581:G581,750)*0.05*BA581</f>
        <v/>
      </c>
      <c r="BC581" s="34">
        <f>AG581+AN581+AU581</f>
        <v/>
      </c>
      <c r="BD581" s="34">
        <f>MAX(F581:G581,750)*0.05*BC581</f>
        <v/>
      </c>
      <c r="BE581" s="34">
        <f>F581*AY581</f>
        <v/>
      </c>
      <c r="BF581" s="34">
        <f>K581-M581</f>
        <v/>
      </c>
      <c r="BG581" s="34">
        <f>P581-S581</f>
        <v/>
      </c>
      <c r="BH581" s="34">
        <f>W581-AA581</f>
        <v/>
      </c>
      <c r="BI581" s="34">
        <f>BF581+BG581+BL581-BN581</f>
        <v/>
      </c>
      <c r="BJ581" s="34">
        <f>ABS(BK581)</f>
        <v/>
      </c>
      <c r="BK581" s="34">
        <f>AY581-(J581-L581+N581-Q581)</f>
        <v/>
      </c>
      <c r="BL581" s="34">
        <f>IF(AND(BK581&gt;0,MIN($F581:$G581)&lt;150,$E581="Enerji Açığı"),-100*BK581*1.03,IF(AND(BK581&gt;0,MIN($F581:$G581)&lt;150,$E581="Enerji Fazlası"),-100*BK581*1.06,IF(AND(BK581&gt;0,MIN($F581:$G581)&gt;=150,$E581="Enerji Açığı"),BK581*MIN($F581:$G581)*0.97,IF(AND(BK581&gt;0,MIN($F581:$G581)&gt;=150,$E581="Enerji Fazlası"),BK581*MIN($F581:$G581)*0.94,IF(AND(BK581&lt;0,MAX($F581:$G581)=4500,$E581="Enerji Açığı"),4500*1.05*1.06*BK581,IF(AND(BK581&lt;0,MAX($F581:$G581)=4500,$E581="Enerji Fazlası"),4500*1.05*1.03*BK581,IF(AND(BK581&lt;0,$E581="Enerji Açığı"),MAX($F581,$G581,150)*BK581*1.06,IF(AND(BK581&lt;0,$E581="Enerji Fazlası"),MAX($F581,$G581,150)*BK581*1.03,IF(AND(BK581&lt;0,$E581="Dengede"),MAX($F581:$G581,150)*1.03*BK581,MIN($F581:$G581)*0.97*BK581)))))))))</f>
        <v/>
      </c>
      <c r="BM581" s="34">
        <f>BE581-BI581-BN581</f>
        <v/>
      </c>
      <c r="BN581" s="34">
        <f>BB581</f>
        <v/>
      </c>
      <c r="BO581" s="34">
        <f>BE581-BI581</f>
        <v/>
      </c>
      <c r="BP581" s="34">
        <f>IF(AY581=0,0,BO581/AY581)</f>
        <v/>
      </c>
      <c r="BQ581" s="34">
        <f>MAX((AY581+MAX((-J581+L581-N581+Q581),0)),(MAX((J581-L581+N581-Q581),0)))</f>
        <v/>
      </c>
      <c r="BR581" s="82">
        <f>IFERROR(ABS(BK581/BQ581),0)</f>
        <v/>
      </c>
      <c r="BS581" s="34">
        <f>IF(BR581&lt;=0.1,0,BK581/BR581*(BR581-0.1))</f>
        <v/>
      </c>
      <c r="BT581" s="34">
        <f>IF((BS581)&lt;0,MAX(F581:G581)*(BS581)*1.03,MIN(F581:G581)*(BS581)*0.97)</f>
        <v/>
      </c>
      <c r="BU581" s="34">
        <f>IF(BR581&gt;0.1,1,0)</f>
        <v/>
      </c>
      <c r="BV581" s="34">
        <f>BF581+BG581+BH581+BY581-CA581</f>
        <v/>
      </c>
      <c r="BW581" s="34">
        <f>ABS(BX581)</f>
        <v/>
      </c>
      <c r="BX581" s="34">
        <f>AY581-(J581-L581+N581-Q581+T581-X581)</f>
        <v/>
      </c>
      <c r="BY581" s="34">
        <f>IF(AND(BX581&gt;0,MIN($F581:$G581)&lt;150,$E581="Enerji Açığı"),-100*BX581*1.03,IF(AND(BX581&gt;0,MIN($F581:$G581)&lt;150,$E581="Enerji Fazlası"),-100*BX581*1.06,IF(AND(BX581&gt;0,MIN($F581:$G581)&gt;=150,$E581="Enerji Açığı"),BX581*MIN($F581:$G581)*0.97,IF(AND(BX581&gt;0,MIN($F581:$G581)&gt;=150,$E581="Enerji Fazlası"),BX581*MIN($F581:$G581)*0.94,IF(AND(BX581&lt;0,MAX($F581:$G581)=4500,$E581="Enerji Açığı"),4500*1.05*1.06*BX581,IF(AND(BX581&lt;0,MAX($F581:$G581)=4500,$E581="Enerji Fazlası"),4500*1.05*1.03*BX581,IF(AND(BX581&lt;0,$E581="Enerji Açığı"),MAX($F581,$G581,150)*BX581*1.06,IF(AND(BX581&lt;0,$E581="Enerji Fazlası"),MAX($F581,$G581,150)*BX581*1.03,IF(AND(BX581&lt;0,$E581="Dengede"),MAX($F581:$G581,150)*1.03*BX581,MIN($F581:$G581)*0.97*BX581)))))))))</f>
        <v/>
      </c>
      <c r="BZ581" s="34">
        <f>BE581-BV581-CA581</f>
        <v/>
      </c>
      <c r="CA581" s="34">
        <f>BD581</f>
        <v/>
      </c>
      <c r="CB581" s="33">
        <f>BE581-BV581</f>
        <v/>
      </c>
      <c r="CC581" s="34">
        <f>IF(AY581=0,0,CB581/AY581)</f>
        <v/>
      </c>
      <c r="CD581" s="34">
        <f>MAX((AY581+MAX((-J581+L581-N581+Q581-T581+X581),0)),(MAX((J581-L581+N581-Q581+T581-X581),0)))</f>
        <v/>
      </c>
      <c r="CE581" s="82">
        <f>IFERROR(ABS(BX581/CD581),0)</f>
        <v/>
      </c>
      <c r="CF581" s="34">
        <f>IF(CE581&lt;=0.1,0,BX581/CE581*(CE581-0.1))</f>
        <v/>
      </c>
      <c r="CG581" s="34">
        <f>IF((CF581)&lt;0,MAX(F581:G581)*(CF581)*1.03,MIN(F581:G581)*(CF581)*0.97)</f>
        <v/>
      </c>
      <c r="CH581" s="34">
        <f>IF(CE581&gt;0.1,1,0)</f>
        <v/>
      </c>
      <c r="CI581" s="34">
        <f>(F581*BX581)-BY581</f>
        <v/>
      </c>
      <c r="CJ581" s="34">
        <f>IF(AY581=0,0,CI581/AY581)</f>
        <v/>
      </c>
    </row>
    <row r="582">
      <c r="A582" s="29">
        <f>[1]FİYATLAR!A557</f>
        <v/>
      </c>
      <c r="B582" s="29">
        <f>[1]FİYATLAR!B581</f>
        <v/>
      </c>
      <c r="C582" s="35">
        <f>INT(A582)</f>
        <v/>
      </c>
      <c r="D582" s="36">
        <f>MONTH(A582)</f>
        <v/>
      </c>
      <c r="E582" s="147">
        <f>[1]FİYATLAR!G557</f>
        <v/>
      </c>
      <c r="F582" s="30">
        <f>[1]FİYATLAR!C557</f>
        <v/>
      </c>
      <c r="G582" s="30">
        <f>[1]FİYATLAR!E557</f>
        <v/>
      </c>
      <c r="H582" s="30">
        <f>[1]FİYATLAR!D557</f>
        <v/>
      </c>
      <c r="I582" s="30">
        <f>[1]FİYATLAR!F557</f>
        <v/>
      </c>
      <c r="J582" s="119" t="n">
        <v>0</v>
      </c>
      <c r="K582" s="34">
        <f>F582*J582</f>
        <v/>
      </c>
      <c r="L582" s="119" t="n"/>
      <c r="M582" s="34">
        <f>L582*F582</f>
        <v/>
      </c>
      <c r="N582" s="119" t="n"/>
      <c r="O582" s="34">
        <f>F582</f>
        <v/>
      </c>
      <c r="P582" s="34">
        <f>N582*O582</f>
        <v/>
      </c>
      <c r="Q582" s="117" t="n">
        <v>0</v>
      </c>
      <c r="R582" s="34">
        <f>F582</f>
        <v/>
      </c>
      <c r="S582" s="34">
        <f>R582*Q582</f>
        <v/>
      </c>
      <c r="T582" s="34">
        <f>SUMIFS('[1]GİP VERİLERİ'!$C:$C,'[1]GİP VERİLERİ'!$B:$B,A582,'[1]GİP VERİLERİ'!$M:$M,"40X000000104782K",'[1]GİP VERİLERİ'!$G:$G,"SELL")</f>
        <v/>
      </c>
      <c r="U582" s="34">
        <f>IFERROR(W582/T582,0)</f>
        <v/>
      </c>
      <c r="V582" s="34">
        <f>IF(U582=0,0,U582-F582)</f>
        <v/>
      </c>
      <c r="W582" s="34">
        <f>SUMIFS('[1]GİP VERİLERİ'!$O:$O,'[1]GİP VERİLERİ'!$B:$B,A582,'[1]GİP VERİLERİ'!$M:$M,"40X000000104782K",'[1]GİP VERİLERİ'!$G:$G,"SELL")</f>
        <v/>
      </c>
      <c r="X582" s="34">
        <f>SUMIFS('[1]GİP VERİLERİ'!$C:$C,'[1]GİP VERİLERİ'!$B:$B,A582,'[1]GİP VERİLERİ'!$M:$M,"40X000000104782K",'[1]GİP VERİLERİ'!$G:$G,"BUY")</f>
        <v/>
      </c>
      <c r="Y582" s="34">
        <f>IFERROR(AA582/X582,0)</f>
        <v/>
      </c>
      <c r="Z582" s="34">
        <f>IF(Y582=0,0,F582-Y582)</f>
        <v/>
      </c>
      <c r="AA582" s="34">
        <f>SUMIFS('[1]GİP VERİLERİ'!$O:$O,'[1]GİP VERİLERİ'!$B:$B,A582,'[1]GİP VERİLERİ'!$M:$M,"40X000000104782K",'[1]GİP VERİLERİ'!$G:$G,"BUY")</f>
        <v/>
      </c>
      <c r="AB582" s="34">
        <f>'[1]GÖP VERİLERİ'!H583</f>
        <v/>
      </c>
      <c r="AC582" s="34">
        <f>'[1]GÖP VERİLERİ'!I583</f>
        <v/>
      </c>
      <c r="AD582" s="34">
        <f>IF(AB582&gt;AC582*1.05,AB582-AC582*1.05,IF(AB582&lt;AC582*0.95,AC582*0.95-AB582,0))</f>
        <v/>
      </c>
      <c r="AE582" s="34">
        <f>MAX(F582,G582,750)*0.05*AD582</f>
        <v/>
      </c>
      <c r="AF582" s="34">
        <f>'[1]GÖP VERİLERİ'!J583</f>
        <v/>
      </c>
      <c r="AG582" s="34">
        <f>IF(AB582&gt;AF582*1.05,AB582-AF582*1.05,IF(AB582&lt;AF582*0.95,AF582*0.95-AB582,0))</f>
        <v/>
      </c>
      <c r="AH582" s="34">
        <f>MAX(I582,J582,750)*0.05*AG582</f>
        <v/>
      </c>
      <c r="AI582">
        <f>'[1]GÖP VERİLERİ'!E583</f>
        <v/>
      </c>
      <c r="AJ582">
        <f>'[1]GÖP VERİLERİ'!F583</f>
        <v/>
      </c>
      <c r="AK582" s="34">
        <f>IF(AI582&gt;AJ582*1.05,AI582-AJ582*1.05,IF(AI582&lt;AJ582*0.95,AJ582*0.95-AI582,0))</f>
        <v/>
      </c>
      <c r="AL582" s="34">
        <f>MAX(F582,G582,750)*0.05*AK582</f>
        <v/>
      </c>
      <c r="AM582" s="39">
        <f>'[1]GÖP VERİLERİ'!G583</f>
        <v/>
      </c>
      <c r="AN582" s="34">
        <f>IF(AI582&gt;AM582*1.05,AI582-AM582*1.05,IF(AI582&lt;AM582*0.95,AM582*0.95-AI582,0))</f>
        <v/>
      </c>
      <c r="AO582" s="34">
        <f>MAX(F582,G582,750)*0.05*AN582</f>
        <v/>
      </c>
      <c r="AP582" s="34">
        <f>'[1]GÖP VERİLERİ'!B583</f>
        <v/>
      </c>
      <c r="AQ582" s="34">
        <f>'[1]GÖP VERİLERİ'!C583</f>
        <v/>
      </c>
      <c r="AR582" s="34">
        <f>IF(AP582&gt;AQ582*1.05,AP582-AQ582*1.05,IF(AP582&lt;AQ582*0.95,AQ582*0.95-AP582,0))</f>
        <v/>
      </c>
      <c r="AS582" s="34">
        <f>MAX(F582:G582,750)*0.05*AR582</f>
        <v/>
      </c>
      <c r="AT582">
        <f>'[1]GÖP VERİLERİ'!D583</f>
        <v/>
      </c>
      <c r="AU582" s="34">
        <f>IF(AP582&gt;AT582*1.05,AP582-AT582*1.05,IF(AP582&lt;AT582*0.95,AT582*0.95-AP582,0))</f>
        <v/>
      </c>
      <c r="AV582" s="34">
        <f>MAX(F582:G582,750)*0.05*AU582</f>
        <v/>
      </c>
      <c r="AW582" s="34">
        <f>AC582+AJ582+AQ582</f>
        <v/>
      </c>
      <c r="AX582" s="34">
        <f>AF582+AM582+AT582</f>
        <v/>
      </c>
      <c r="AY582" s="34">
        <f>AB582+AI582+AP582</f>
        <v/>
      </c>
      <c r="AZ582" s="34" t="n">
        <v>0</v>
      </c>
      <c r="BA582" s="34">
        <f>AD582+AK582+AR582</f>
        <v/>
      </c>
      <c r="BB582" s="34">
        <f>MAX(F582:G582,750)*0.05*BA582</f>
        <v/>
      </c>
      <c r="BC582" s="34">
        <f>AG582+AN582+AU582</f>
        <v/>
      </c>
      <c r="BD582" s="34">
        <f>MAX(F582:G582,750)*0.05*BC582</f>
        <v/>
      </c>
      <c r="BE582" s="34">
        <f>F582*AY582</f>
        <v/>
      </c>
      <c r="BF582" s="34">
        <f>K582-M582</f>
        <v/>
      </c>
      <c r="BG582" s="34">
        <f>P582-S582</f>
        <v/>
      </c>
      <c r="BH582" s="34">
        <f>W582-AA582</f>
        <v/>
      </c>
      <c r="BI582" s="34">
        <f>BF582+BG582+BL582-BN582</f>
        <v/>
      </c>
      <c r="BJ582" s="34">
        <f>ABS(BK582)</f>
        <v/>
      </c>
      <c r="BK582" s="34">
        <f>AY582-(J582-L582+N582-Q582)</f>
        <v/>
      </c>
      <c r="BL582" s="34">
        <f>IF(AND(BK582&gt;0,MIN($F582:$G582)&lt;150,$E582="Enerji Açığı"),-100*BK582*1.03,IF(AND(BK582&gt;0,MIN($F582:$G582)&lt;150,$E582="Enerji Fazlası"),-100*BK582*1.06,IF(AND(BK582&gt;0,MIN($F582:$G582)&gt;=150,$E582="Enerji Açığı"),BK582*MIN($F582:$G582)*0.97,IF(AND(BK582&gt;0,MIN($F582:$G582)&gt;=150,$E582="Enerji Fazlası"),BK582*MIN($F582:$G582)*0.94,IF(AND(BK582&lt;0,MAX($F582:$G582)=4500,$E582="Enerji Açığı"),4500*1.05*1.06*BK582,IF(AND(BK582&lt;0,MAX($F582:$G582)=4500,$E582="Enerji Fazlası"),4500*1.05*1.03*BK582,IF(AND(BK582&lt;0,$E582="Enerji Açığı"),MAX($F582,$G582,150)*BK582*1.06,IF(AND(BK582&lt;0,$E582="Enerji Fazlası"),MAX($F582,$G582,150)*BK582*1.03,IF(AND(BK582&lt;0,$E582="Dengede"),MAX($F582:$G582,150)*1.03*BK582,MIN($F582:$G582)*0.97*BK582)))))))))</f>
        <v/>
      </c>
      <c r="BM582" s="34">
        <f>BE582-BI582-BN582</f>
        <v/>
      </c>
      <c r="BN582" s="34">
        <f>BB582</f>
        <v/>
      </c>
      <c r="BO582" s="34">
        <f>BE582-BI582</f>
        <v/>
      </c>
      <c r="BP582" s="34">
        <f>IF(AY582=0,0,BO582/AY582)</f>
        <v/>
      </c>
      <c r="BQ582" s="34">
        <f>MAX((AY582+MAX((-J582+L582-N582+Q582),0)),(MAX((J582-L582+N582-Q582),0)))</f>
        <v/>
      </c>
      <c r="BR582" s="82">
        <f>IFERROR(ABS(BK582/BQ582),0)</f>
        <v/>
      </c>
      <c r="BS582" s="34">
        <f>IF(BR582&lt;=0.1,0,BK582/BR582*(BR582-0.1))</f>
        <v/>
      </c>
      <c r="BT582" s="34">
        <f>IF((BS582)&lt;0,MAX(F582:G582)*(BS582)*1.03,MIN(F582:G582)*(BS582)*0.97)</f>
        <v/>
      </c>
      <c r="BU582" s="34">
        <f>IF(BR582&gt;0.1,1,0)</f>
        <v/>
      </c>
      <c r="BV582" s="34">
        <f>BF582+BG582+BH582+BY582-CA582</f>
        <v/>
      </c>
      <c r="BW582" s="34">
        <f>ABS(BX582)</f>
        <v/>
      </c>
      <c r="BX582" s="34">
        <f>AY582-(J582-L582+N582-Q582+T582-X582)</f>
        <v/>
      </c>
      <c r="BY582" s="34">
        <f>IF(AND(BX582&gt;0,MIN($F582:$G582)&lt;150,$E582="Enerji Açığı"),-100*BX582*1.03,IF(AND(BX582&gt;0,MIN($F582:$G582)&lt;150,$E582="Enerji Fazlası"),-100*BX582*1.06,IF(AND(BX582&gt;0,MIN($F582:$G582)&gt;=150,$E582="Enerji Açığı"),BX582*MIN($F582:$G582)*0.97,IF(AND(BX582&gt;0,MIN($F582:$G582)&gt;=150,$E582="Enerji Fazlası"),BX582*MIN($F582:$G582)*0.94,IF(AND(BX582&lt;0,MAX($F582:$G582)=4500,$E582="Enerji Açığı"),4500*1.05*1.06*BX582,IF(AND(BX582&lt;0,MAX($F582:$G582)=4500,$E582="Enerji Fazlası"),4500*1.05*1.03*BX582,IF(AND(BX582&lt;0,$E582="Enerji Açığı"),MAX($F582,$G582,150)*BX582*1.06,IF(AND(BX582&lt;0,$E582="Enerji Fazlası"),MAX($F582,$G582,150)*BX582*1.03,IF(AND(BX582&lt;0,$E582="Dengede"),MAX($F582:$G582,150)*1.03*BX582,MIN($F582:$G582)*0.97*BX582)))))))))</f>
        <v/>
      </c>
      <c r="BZ582" s="34">
        <f>BE582-BV582-CA582</f>
        <v/>
      </c>
      <c r="CA582" s="34">
        <f>BD582</f>
        <v/>
      </c>
      <c r="CB582" s="33">
        <f>BE582-BV582</f>
        <v/>
      </c>
      <c r="CC582" s="34">
        <f>IF(AY582=0,0,CB582/AY582)</f>
        <v/>
      </c>
      <c r="CD582" s="34">
        <f>MAX((AY582+MAX((-J582+L582-N582+Q582-T582+X582),0)),(MAX((J582-L582+N582-Q582+T582-X582),0)))</f>
        <v/>
      </c>
      <c r="CE582" s="82">
        <f>IFERROR(ABS(BX582/CD582),0)</f>
        <v/>
      </c>
      <c r="CF582" s="34">
        <f>IF(CE582&lt;=0.1,0,BX582/CE582*(CE582-0.1))</f>
        <v/>
      </c>
      <c r="CG582" s="34">
        <f>IF((CF582)&lt;0,MAX(F582:G582)*(CF582)*1.03,MIN(F582:G582)*(CF582)*0.97)</f>
        <v/>
      </c>
      <c r="CH582" s="34">
        <f>IF(CE582&gt;0.1,1,0)</f>
        <v/>
      </c>
      <c r="CI582" s="34">
        <f>(F582*BX582)-BY582</f>
        <v/>
      </c>
      <c r="CJ582" s="34">
        <f>IF(AY582=0,0,CI582/AY582)</f>
        <v/>
      </c>
    </row>
    <row r="583">
      <c r="A583" s="29">
        <f>[1]FİYATLAR!A558</f>
        <v/>
      </c>
      <c r="B583" s="29">
        <f>[1]FİYATLAR!B582</f>
        <v/>
      </c>
      <c r="C583" s="35">
        <f>INT(A583)</f>
        <v/>
      </c>
      <c r="D583" s="36">
        <f>MONTH(A583)</f>
        <v/>
      </c>
      <c r="E583" s="147">
        <f>[1]FİYATLAR!G558</f>
        <v/>
      </c>
      <c r="F583" s="30">
        <f>[1]FİYATLAR!C558</f>
        <v/>
      </c>
      <c r="G583" s="30">
        <f>[1]FİYATLAR!E558</f>
        <v/>
      </c>
      <c r="H583" s="30">
        <f>[1]FİYATLAR!D558</f>
        <v/>
      </c>
      <c r="I583" s="30">
        <f>[1]FİYATLAR!F558</f>
        <v/>
      </c>
      <c r="J583" s="119" t="n">
        <v>0</v>
      </c>
      <c r="K583" s="34">
        <f>F583*J583</f>
        <v/>
      </c>
      <c r="L583" s="119" t="n"/>
      <c r="M583" s="34">
        <f>L583*F583</f>
        <v/>
      </c>
      <c r="N583" s="119" t="n"/>
      <c r="O583" s="34">
        <f>F583</f>
        <v/>
      </c>
      <c r="P583" s="34">
        <f>N583*O583</f>
        <v/>
      </c>
      <c r="Q583" s="117" t="n">
        <v>0</v>
      </c>
      <c r="R583" s="34">
        <f>F583</f>
        <v/>
      </c>
      <c r="S583" s="34">
        <f>R583*Q583</f>
        <v/>
      </c>
      <c r="T583" s="34">
        <f>SUMIFS('[1]GİP VERİLERİ'!$C:$C,'[1]GİP VERİLERİ'!$B:$B,A583,'[1]GİP VERİLERİ'!$M:$M,"40X000000104782K",'[1]GİP VERİLERİ'!$G:$G,"SELL")</f>
        <v/>
      </c>
      <c r="U583" s="34">
        <f>IFERROR(W583/T583,0)</f>
        <v/>
      </c>
      <c r="V583" s="34">
        <f>IF(U583=0,0,U583-F583)</f>
        <v/>
      </c>
      <c r="W583" s="34">
        <f>SUMIFS('[1]GİP VERİLERİ'!$O:$O,'[1]GİP VERİLERİ'!$B:$B,A583,'[1]GİP VERİLERİ'!$M:$M,"40X000000104782K",'[1]GİP VERİLERİ'!$G:$G,"SELL")</f>
        <v/>
      </c>
      <c r="X583" s="34">
        <f>SUMIFS('[1]GİP VERİLERİ'!$C:$C,'[1]GİP VERİLERİ'!$B:$B,A583,'[1]GİP VERİLERİ'!$M:$M,"40X000000104782K",'[1]GİP VERİLERİ'!$G:$G,"BUY")</f>
        <v/>
      </c>
      <c r="Y583" s="34">
        <f>IFERROR(AA583/X583,0)</f>
        <v/>
      </c>
      <c r="Z583" s="34">
        <f>IF(Y583=0,0,F583-Y583)</f>
        <v/>
      </c>
      <c r="AA583" s="34">
        <f>SUMIFS('[1]GİP VERİLERİ'!$O:$O,'[1]GİP VERİLERİ'!$B:$B,A583,'[1]GİP VERİLERİ'!$M:$M,"40X000000104782K",'[1]GİP VERİLERİ'!$G:$G,"BUY")</f>
        <v/>
      </c>
      <c r="AB583" s="34">
        <f>'[1]GÖP VERİLERİ'!H584</f>
        <v/>
      </c>
      <c r="AC583" s="34">
        <f>'[1]GÖP VERİLERİ'!I584</f>
        <v/>
      </c>
      <c r="AD583" s="34">
        <f>IF(AB583&gt;AC583*1.05,AB583-AC583*1.05,IF(AB583&lt;AC583*0.95,AC583*0.95-AB583,0))</f>
        <v/>
      </c>
      <c r="AE583" s="34">
        <f>MAX(F583,G583,750)*0.05*AD583</f>
        <v/>
      </c>
      <c r="AF583" s="34">
        <f>'[1]GÖP VERİLERİ'!J584</f>
        <v/>
      </c>
      <c r="AG583" s="34">
        <f>IF(AB583&gt;AF583*1.05,AB583-AF583*1.05,IF(AB583&lt;AF583*0.95,AF583*0.95-AB583,0))</f>
        <v/>
      </c>
      <c r="AH583" s="34">
        <f>MAX(I583,J583,750)*0.05*AG583</f>
        <v/>
      </c>
      <c r="AI583">
        <f>'[1]GÖP VERİLERİ'!E584</f>
        <v/>
      </c>
      <c r="AJ583">
        <f>'[1]GÖP VERİLERİ'!F584</f>
        <v/>
      </c>
      <c r="AK583" s="34">
        <f>IF(AI583&gt;AJ583*1.05,AI583-AJ583*1.05,IF(AI583&lt;AJ583*0.95,AJ583*0.95-AI583,0))</f>
        <v/>
      </c>
      <c r="AL583" s="34">
        <f>MAX(F583,G583,750)*0.05*AK583</f>
        <v/>
      </c>
      <c r="AM583" s="39">
        <f>'[1]GÖP VERİLERİ'!G584</f>
        <v/>
      </c>
      <c r="AN583" s="34">
        <f>IF(AI583&gt;AM583*1.05,AI583-AM583*1.05,IF(AI583&lt;AM583*0.95,AM583*0.95-AI583,0))</f>
        <v/>
      </c>
      <c r="AO583" s="34">
        <f>MAX(F583,G583,750)*0.05*AN583</f>
        <v/>
      </c>
      <c r="AP583" s="34">
        <f>'[1]GÖP VERİLERİ'!B584</f>
        <v/>
      </c>
      <c r="AQ583" s="34">
        <f>'[1]GÖP VERİLERİ'!C584</f>
        <v/>
      </c>
      <c r="AR583" s="34">
        <f>IF(AP583&gt;AQ583*1.05,AP583-AQ583*1.05,IF(AP583&lt;AQ583*0.95,AQ583*0.95-AP583,0))</f>
        <v/>
      </c>
      <c r="AS583" s="34">
        <f>MAX(F583:G583,750)*0.05*AR583</f>
        <v/>
      </c>
      <c r="AT583">
        <f>'[1]GÖP VERİLERİ'!D584</f>
        <v/>
      </c>
      <c r="AU583" s="34">
        <f>IF(AP583&gt;AT583*1.05,AP583-AT583*1.05,IF(AP583&lt;AT583*0.95,AT583*0.95-AP583,0))</f>
        <v/>
      </c>
      <c r="AV583" s="34">
        <f>MAX(F583:G583,750)*0.05*AU583</f>
        <v/>
      </c>
      <c r="AW583" s="34">
        <f>AC583+AJ583+AQ583</f>
        <v/>
      </c>
      <c r="AX583" s="34">
        <f>AF583+AM583+AT583</f>
        <v/>
      </c>
      <c r="AY583" s="34">
        <f>AB583+AI583+AP583</f>
        <v/>
      </c>
      <c r="AZ583" s="34" t="n">
        <v>0</v>
      </c>
      <c r="BA583" s="34">
        <f>AD583+AK583+AR583</f>
        <v/>
      </c>
      <c r="BB583" s="34">
        <f>MAX(F583:G583,750)*0.05*BA583</f>
        <v/>
      </c>
      <c r="BC583" s="34">
        <f>AG583+AN583+AU583</f>
        <v/>
      </c>
      <c r="BD583" s="34">
        <f>MAX(F583:G583,750)*0.05*BC583</f>
        <v/>
      </c>
      <c r="BE583" s="34">
        <f>F583*AY583</f>
        <v/>
      </c>
      <c r="BF583" s="34">
        <f>K583-M583</f>
        <v/>
      </c>
      <c r="BG583" s="34">
        <f>P583-S583</f>
        <v/>
      </c>
      <c r="BH583" s="34">
        <f>W583-AA583</f>
        <v/>
      </c>
      <c r="BI583" s="34">
        <f>BF583+BG583+BL583-BN583</f>
        <v/>
      </c>
      <c r="BJ583" s="34">
        <f>ABS(BK583)</f>
        <v/>
      </c>
      <c r="BK583" s="34">
        <f>AY583-(J583-L583+N583-Q583)</f>
        <v/>
      </c>
      <c r="BL583" s="34">
        <f>IF(AND(BK583&gt;0,MIN($F583:$G583)&lt;150,$E583="Enerji Açığı"),-100*BK583*1.03,IF(AND(BK583&gt;0,MIN($F583:$G583)&lt;150,$E583="Enerji Fazlası"),-100*BK583*1.06,IF(AND(BK583&gt;0,MIN($F583:$G583)&gt;=150,$E583="Enerji Açığı"),BK583*MIN($F583:$G583)*0.97,IF(AND(BK583&gt;0,MIN($F583:$G583)&gt;=150,$E583="Enerji Fazlası"),BK583*MIN($F583:$G583)*0.94,IF(AND(BK583&lt;0,MAX($F583:$G583)=4500,$E583="Enerji Açığı"),4500*1.05*1.06*BK583,IF(AND(BK583&lt;0,MAX($F583:$G583)=4500,$E583="Enerji Fazlası"),4500*1.05*1.03*BK583,IF(AND(BK583&lt;0,$E583="Enerji Açığı"),MAX($F583,$G583,150)*BK583*1.06,IF(AND(BK583&lt;0,$E583="Enerji Fazlası"),MAX($F583,$G583,150)*BK583*1.03,IF(AND(BK583&lt;0,$E583="Dengede"),MAX($F583:$G583,150)*1.03*BK583,MIN($F583:$G583)*0.97*BK583)))))))))</f>
        <v/>
      </c>
      <c r="BM583" s="34">
        <f>BE583-BI583-BN583</f>
        <v/>
      </c>
      <c r="BN583" s="34">
        <f>BB583</f>
        <v/>
      </c>
      <c r="BO583" s="34">
        <f>BE583-BI583</f>
        <v/>
      </c>
      <c r="BP583" s="34">
        <f>IF(AY583=0,0,BO583/AY583)</f>
        <v/>
      </c>
      <c r="BQ583" s="34">
        <f>MAX((AY583+MAX((-J583+L583-N583+Q583),0)),(MAX((J583-L583+N583-Q583),0)))</f>
        <v/>
      </c>
      <c r="BR583" s="82">
        <f>IFERROR(ABS(BK583/BQ583),0)</f>
        <v/>
      </c>
      <c r="BS583" s="34">
        <f>IF(BR583&lt;=0.1,0,BK583/BR583*(BR583-0.1))</f>
        <v/>
      </c>
      <c r="BT583" s="34">
        <f>IF((BS583)&lt;0,MAX(F583:G583)*(BS583)*1.03,MIN(F583:G583)*(BS583)*0.97)</f>
        <v/>
      </c>
      <c r="BU583" s="34">
        <f>IF(BR583&gt;0.1,1,0)</f>
        <v/>
      </c>
      <c r="BV583" s="34">
        <f>BF583+BG583+BH583+BY583-CA583</f>
        <v/>
      </c>
      <c r="BW583" s="34">
        <f>ABS(BX583)</f>
        <v/>
      </c>
      <c r="BX583" s="34">
        <f>AY583-(J583-L583+N583-Q583+T583-X583)</f>
        <v/>
      </c>
      <c r="BY583" s="34">
        <f>IF(AND(BX583&gt;0,MIN($F583:$G583)&lt;150,$E583="Enerji Açığı"),-100*BX583*1.03,IF(AND(BX583&gt;0,MIN($F583:$G583)&lt;150,$E583="Enerji Fazlası"),-100*BX583*1.06,IF(AND(BX583&gt;0,MIN($F583:$G583)&gt;=150,$E583="Enerji Açığı"),BX583*MIN($F583:$G583)*0.97,IF(AND(BX583&gt;0,MIN($F583:$G583)&gt;=150,$E583="Enerji Fazlası"),BX583*MIN($F583:$G583)*0.94,IF(AND(BX583&lt;0,MAX($F583:$G583)=4500,$E583="Enerji Açığı"),4500*1.05*1.06*BX583,IF(AND(BX583&lt;0,MAX($F583:$G583)=4500,$E583="Enerji Fazlası"),4500*1.05*1.03*BX583,IF(AND(BX583&lt;0,$E583="Enerji Açığı"),MAX($F583,$G583,150)*BX583*1.06,IF(AND(BX583&lt;0,$E583="Enerji Fazlası"),MAX($F583,$G583,150)*BX583*1.03,IF(AND(BX583&lt;0,$E583="Dengede"),MAX($F583:$G583,150)*1.03*BX583,MIN($F583:$G583)*0.97*BX583)))))))))</f>
        <v/>
      </c>
      <c r="BZ583" s="34">
        <f>BE583-BV583-CA583</f>
        <v/>
      </c>
      <c r="CA583" s="34">
        <f>BD583</f>
        <v/>
      </c>
      <c r="CB583" s="33">
        <f>BE583-BV583</f>
        <v/>
      </c>
      <c r="CC583" s="34">
        <f>IF(AY583=0,0,CB583/AY583)</f>
        <v/>
      </c>
      <c r="CD583" s="34">
        <f>MAX((AY583+MAX((-J583+L583-N583+Q583-T583+X583),0)),(MAX((J583-L583+N583-Q583+T583-X583),0)))</f>
        <v/>
      </c>
      <c r="CE583" s="82">
        <f>IFERROR(ABS(BX583/CD583),0)</f>
        <v/>
      </c>
      <c r="CF583" s="34">
        <f>IF(CE583&lt;=0.1,0,BX583/CE583*(CE583-0.1))</f>
        <v/>
      </c>
      <c r="CG583" s="34">
        <f>IF((CF583)&lt;0,MAX(F583:G583)*(CF583)*1.03,MIN(F583:G583)*(CF583)*0.97)</f>
        <v/>
      </c>
      <c r="CH583" s="34">
        <f>IF(CE583&gt;0.1,1,0)</f>
        <v/>
      </c>
      <c r="CI583" s="34">
        <f>(F583*BX583)-BY583</f>
        <v/>
      </c>
      <c r="CJ583" s="34">
        <f>IF(AY583=0,0,CI583/AY583)</f>
        <v/>
      </c>
    </row>
    <row r="584">
      <c r="A584" s="29">
        <f>[1]FİYATLAR!A559</f>
        <v/>
      </c>
      <c r="B584" s="29">
        <f>[1]FİYATLAR!B583</f>
        <v/>
      </c>
      <c r="C584" s="35">
        <f>INT(A584)</f>
        <v/>
      </c>
      <c r="D584" s="36">
        <f>MONTH(A584)</f>
        <v/>
      </c>
      <c r="E584" s="147">
        <f>[1]FİYATLAR!G559</f>
        <v/>
      </c>
      <c r="F584" s="30">
        <f>[1]FİYATLAR!C559</f>
        <v/>
      </c>
      <c r="G584" s="30">
        <f>[1]FİYATLAR!E559</f>
        <v/>
      </c>
      <c r="H584" s="30">
        <f>[1]FİYATLAR!D559</f>
        <v/>
      </c>
      <c r="I584" s="30">
        <f>[1]FİYATLAR!F559</f>
        <v/>
      </c>
      <c r="J584" s="119" t="n">
        <v>0</v>
      </c>
      <c r="K584" s="34">
        <f>F584*J584</f>
        <v/>
      </c>
      <c r="L584" s="119" t="n"/>
      <c r="M584" s="34">
        <f>L584*F584</f>
        <v/>
      </c>
      <c r="N584" s="119" t="n"/>
      <c r="O584" s="34">
        <f>F584</f>
        <v/>
      </c>
      <c r="P584" s="34">
        <f>N584*O584</f>
        <v/>
      </c>
      <c r="Q584" s="117" t="n">
        <v>0</v>
      </c>
      <c r="R584" s="34">
        <f>F584</f>
        <v/>
      </c>
      <c r="S584" s="34">
        <f>R584*Q584</f>
        <v/>
      </c>
      <c r="T584" s="34">
        <f>SUMIFS('[1]GİP VERİLERİ'!$C:$C,'[1]GİP VERİLERİ'!$B:$B,A584,'[1]GİP VERİLERİ'!$M:$M,"40X000000104782K",'[1]GİP VERİLERİ'!$G:$G,"SELL")</f>
        <v/>
      </c>
      <c r="U584" s="34">
        <f>IFERROR(W584/T584,0)</f>
        <v/>
      </c>
      <c r="V584" s="34">
        <f>IF(U584=0,0,U584-F584)</f>
        <v/>
      </c>
      <c r="W584" s="34">
        <f>SUMIFS('[1]GİP VERİLERİ'!$O:$O,'[1]GİP VERİLERİ'!$B:$B,A584,'[1]GİP VERİLERİ'!$M:$M,"40X000000104782K",'[1]GİP VERİLERİ'!$G:$G,"SELL")</f>
        <v/>
      </c>
      <c r="X584" s="34">
        <f>SUMIFS('[1]GİP VERİLERİ'!$C:$C,'[1]GİP VERİLERİ'!$B:$B,A584,'[1]GİP VERİLERİ'!$M:$M,"40X000000104782K",'[1]GİP VERİLERİ'!$G:$G,"BUY")</f>
        <v/>
      </c>
      <c r="Y584" s="34">
        <f>IFERROR(AA584/X584,0)</f>
        <v/>
      </c>
      <c r="Z584" s="34">
        <f>IF(Y584=0,0,F584-Y584)</f>
        <v/>
      </c>
      <c r="AA584" s="34">
        <f>SUMIFS('[1]GİP VERİLERİ'!$O:$O,'[1]GİP VERİLERİ'!$B:$B,A584,'[1]GİP VERİLERİ'!$M:$M,"40X000000104782K",'[1]GİP VERİLERİ'!$G:$G,"BUY")</f>
        <v/>
      </c>
      <c r="AB584" s="34">
        <f>'[1]GÖP VERİLERİ'!H585</f>
        <v/>
      </c>
      <c r="AC584" s="34">
        <f>'[1]GÖP VERİLERİ'!I585</f>
        <v/>
      </c>
      <c r="AD584" s="34">
        <f>IF(AB584&gt;AC584*1.05,AB584-AC584*1.05,IF(AB584&lt;AC584*0.95,AC584*0.95-AB584,0))</f>
        <v/>
      </c>
      <c r="AE584" s="34">
        <f>MAX(F584,G584,750)*0.05*AD584</f>
        <v/>
      </c>
      <c r="AF584" s="34">
        <f>'[1]GÖP VERİLERİ'!J585</f>
        <v/>
      </c>
      <c r="AG584" s="34">
        <f>IF(AB584&gt;AF584*1.05,AB584-AF584*1.05,IF(AB584&lt;AF584*0.95,AF584*0.95-AB584,0))</f>
        <v/>
      </c>
      <c r="AH584" s="34">
        <f>MAX(I584,J584,750)*0.05*AG584</f>
        <v/>
      </c>
      <c r="AI584">
        <f>'[1]GÖP VERİLERİ'!E585</f>
        <v/>
      </c>
      <c r="AJ584">
        <f>'[1]GÖP VERİLERİ'!F585</f>
        <v/>
      </c>
      <c r="AK584" s="34">
        <f>IF(AI584&gt;AJ584*1.05,AI584-AJ584*1.05,IF(AI584&lt;AJ584*0.95,AJ584*0.95-AI584,0))</f>
        <v/>
      </c>
      <c r="AL584" s="34">
        <f>MAX(F584,G584,750)*0.05*AK584</f>
        <v/>
      </c>
      <c r="AM584" s="39">
        <f>'[1]GÖP VERİLERİ'!G585</f>
        <v/>
      </c>
      <c r="AN584" s="34">
        <f>IF(AI584&gt;AM584*1.05,AI584-AM584*1.05,IF(AI584&lt;AM584*0.95,AM584*0.95-AI584,0))</f>
        <v/>
      </c>
      <c r="AO584" s="34">
        <f>MAX(F584,G584,750)*0.05*AN584</f>
        <v/>
      </c>
      <c r="AP584" s="34">
        <f>'[1]GÖP VERİLERİ'!B585</f>
        <v/>
      </c>
      <c r="AQ584" s="34">
        <f>'[1]GÖP VERİLERİ'!C585</f>
        <v/>
      </c>
      <c r="AR584" s="34">
        <f>IF(AP584&gt;AQ584*1.05,AP584-AQ584*1.05,IF(AP584&lt;AQ584*0.95,AQ584*0.95-AP584,0))</f>
        <v/>
      </c>
      <c r="AS584" s="34">
        <f>MAX(F584:G584,750)*0.05*AR584</f>
        <v/>
      </c>
      <c r="AT584">
        <f>'[1]GÖP VERİLERİ'!D585</f>
        <v/>
      </c>
      <c r="AU584" s="34">
        <f>IF(AP584&gt;AT584*1.05,AP584-AT584*1.05,IF(AP584&lt;AT584*0.95,AT584*0.95-AP584,0))</f>
        <v/>
      </c>
      <c r="AV584" s="34">
        <f>MAX(F584:G584,750)*0.05*AU584</f>
        <v/>
      </c>
      <c r="AW584" s="34">
        <f>AC584+AJ584+AQ584</f>
        <v/>
      </c>
      <c r="AX584" s="34">
        <f>AF584+AM584+AT584</f>
        <v/>
      </c>
      <c r="AY584" s="34">
        <f>AB584+AI584+AP584</f>
        <v/>
      </c>
      <c r="AZ584" s="34" t="n">
        <v>0</v>
      </c>
      <c r="BA584" s="34">
        <f>AD584+AK584+AR584</f>
        <v/>
      </c>
      <c r="BB584" s="34">
        <f>MAX(F584:G584,750)*0.05*BA584</f>
        <v/>
      </c>
      <c r="BC584" s="34">
        <f>AG584+AN584+AU584</f>
        <v/>
      </c>
      <c r="BD584" s="34">
        <f>MAX(F584:G584,750)*0.05*BC584</f>
        <v/>
      </c>
      <c r="BE584" s="34">
        <f>F584*AY584</f>
        <v/>
      </c>
      <c r="BF584" s="34">
        <f>K584-M584</f>
        <v/>
      </c>
      <c r="BG584" s="34">
        <f>P584-S584</f>
        <v/>
      </c>
      <c r="BH584" s="34">
        <f>W584-AA584</f>
        <v/>
      </c>
      <c r="BI584" s="34">
        <f>BF584+BG584+BL584-BN584</f>
        <v/>
      </c>
      <c r="BJ584" s="34">
        <f>ABS(BK584)</f>
        <v/>
      </c>
      <c r="BK584" s="34">
        <f>AY584-(J584-L584+N584-Q584)</f>
        <v/>
      </c>
      <c r="BL584" s="34">
        <f>IF(AND(BK584&gt;0,MIN($F584:$G584)&lt;150,$E584="Enerji Açığı"),-100*BK584*1.03,IF(AND(BK584&gt;0,MIN($F584:$G584)&lt;150,$E584="Enerji Fazlası"),-100*BK584*1.06,IF(AND(BK584&gt;0,MIN($F584:$G584)&gt;=150,$E584="Enerji Açığı"),BK584*MIN($F584:$G584)*0.97,IF(AND(BK584&gt;0,MIN($F584:$G584)&gt;=150,$E584="Enerji Fazlası"),BK584*MIN($F584:$G584)*0.94,IF(AND(BK584&lt;0,MAX($F584:$G584)=4500,$E584="Enerji Açığı"),4500*1.05*1.06*BK584,IF(AND(BK584&lt;0,MAX($F584:$G584)=4500,$E584="Enerji Fazlası"),4500*1.05*1.03*BK584,IF(AND(BK584&lt;0,$E584="Enerji Açığı"),MAX($F584,$G584,150)*BK584*1.06,IF(AND(BK584&lt;0,$E584="Enerji Fazlası"),MAX($F584,$G584,150)*BK584*1.03,IF(AND(BK584&lt;0,$E584="Dengede"),MAX($F584:$G584,150)*1.03*BK584,MIN($F584:$G584)*0.97*BK584)))))))))</f>
        <v/>
      </c>
      <c r="BM584" s="34">
        <f>BE584-BI584-BN584</f>
        <v/>
      </c>
      <c r="BN584" s="34">
        <f>BB584</f>
        <v/>
      </c>
      <c r="BO584" s="34">
        <f>BE584-BI584</f>
        <v/>
      </c>
      <c r="BP584" s="34">
        <f>IF(AY584=0,0,BO584/AY584)</f>
        <v/>
      </c>
      <c r="BQ584" s="34">
        <f>MAX((AY584+MAX((-J584+L584-N584+Q584),0)),(MAX((J584-L584+N584-Q584),0)))</f>
        <v/>
      </c>
      <c r="BR584" s="82">
        <f>IFERROR(ABS(BK584/BQ584),0)</f>
        <v/>
      </c>
      <c r="BS584" s="34">
        <f>IF(BR584&lt;=0.1,0,BK584/BR584*(BR584-0.1))</f>
        <v/>
      </c>
      <c r="BT584" s="34">
        <f>IF((BS584)&lt;0,MAX(F584:G584)*(BS584)*1.03,MIN(F584:G584)*(BS584)*0.97)</f>
        <v/>
      </c>
      <c r="BU584" s="34">
        <f>IF(BR584&gt;0.1,1,0)</f>
        <v/>
      </c>
      <c r="BV584" s="34">
        <f>BF584+BG584+BH584+BY584-CA584</f>
        <v/>
      </c>
      <c r="BW584" s="34">
        <f>ABS(BX584)</f>
        <v/>
      </c>
      <c r="BX584" s="34">
        <f>AY584-(J584-L584+N584-Q584+T584-X584)</f>
        <v/>
      </c>
      <c r="BY584" s="34">
        <f>IF(AND(BX584&gt;0,MIN($F584:$G584)&lt;150,$E584="Enerji Açığı"),-100*BX584*1.03,IF(AND(BX584&gt;0,MIN($F584:$G584)&lt;150,$E584="Enerji Fazlası"),-100*BX584*1.06,IF(AND(BX584&gt;0,MIN($F584:$G584)&gt;=150,$E584="Enerji Açığı"),BX584*MIN($F584:$G584)*0.97,IF(AND(BX584&gt;0,MIN($F584:$G584)&gt;=150,$E584="Enerji Fazlası"),BX584*MIN($F584:$G584)*0.94,IF(AND(BX584&lt;0,MAX($F584:$G584)=4500,$E584="Enerji Açığı"),4500*1.05*1.06*BX584,IF(AND(BX584&lt;0,MAX($F584:$G584)=4500,$E584="Enerji Fazlası"),4500*1.05*1.03*BX584,IF(AND(BX584&lt;0,$E584="Enerji Açığı"),MAX($F584,$G584,150)*BX584*1.06,IF(AND(BX584&lt;0,$E584="Enerji Fazlası"),MAX($F584,$G584,150)*BX584*1.03,IF(AND(BX584&lt;0,$E584="Dengede"),MAX($F584:$G584,150)*1.03*BX584,MIN($F584:$G584)*0.97*BX584)))))))))</f>
        <v/>
      </c>
      <c r="BZ584" s="34">
        <f>BE584-BV584-CA584</f>
        <v/>
      </c>
      <c r="CA584" s="34">
        <f>BD584</f>
        <v/>
      </c>
      <c r="CB584" s="33">
        <f>BE584-BV584</f>
        <v/>
      </c>
      <c r="CC584" s="34">
        <f>IF(AY584=0,0,CB584/AY584)</f>
        <v/>
      </c>
      <c r="CD584" s="34">
        <f>MAX((AY584+MAX((-J584+L584-N584+Q584-T584+X584),0)),(MAX((J584-L584+N584-Q584+T584-X584),0)))</f>
        <v/>
      </c>
      <c r="CE584" s="82">
        <f>IFERROR(ABS(BX584/CD584),0)</f>
        <v/>
      </c>
      <c r="CF584" s="34">
        <f>IF(CE584&lt;=0.1,0,BX584/CE584*(CE584-0.1))</f>
        <v/>
      </c>
      <c r="CG584" s="34">
        <f>IF((CF584)&lt;0,MAX(F584:G584)*(CF584)*1.03,MIN(F584:G584)*(CF584)*0.97)</f>
        <v/>
      </c>
      <c r="CH584" s="34">
        <f>IF(CE584&gt;0.1,1,0)</f>
        <v/>
      </c>
      <c r="CI584" s="34">
        <f>(F584*BX584)-BY584</f>
        <v/>
      </c>
      <c r="CJ584" s="34">
        <f>IF(AY584=0,0,CI584/AY584)</f>
        <v/>
      </c>
    </row>
    <row r="585">
      <c r="A585" s="29">
        <f>[1]FİYATLAR!A560</f>
        <v/>
      </c>
      <c r="B585" s="29">
        <f>[1]FİYATLAR!B584</f>
        <v/>
      </c>
      <c r="C585" s="35">
        <f>INT(A585)</f>
        <v/>
      </c>
      <c r="D585" s="36">
        <f>MONTH(A585)</f>
        <v/>
      </c>
      <c r="E585" s="147">
        <f>[1]FİYATLAR!G560</f>
        <v/>
      </c>
      <c r="F585" s="30">
        <f>[1]FİYATLAR!C560</f>
        <v/>
      </c>
      <c r="G585" s="30">
        <f>[1]FİYATLAR!E560</f>
        <v/>
      </c>
      <c r="H585" s="30">
        <f>[1]FİYATLAR!D560</f>
        <v/>
      </c>
      <c r="I585" s="30">
        <f>[1]FİYATLAR!F560</f>
        <v/>
      </c>
      <c r="J585" s="119" t="n">
        <v>0</v>
      </c>
      <c r="K585" s="34">
        <f>F585*J585</f>
        <v/>
      </c>
      <c r="L585" s="119" t="n"/>
      <c r="M585" s="34">
        <f>L585*F585</f>
        <v/>
      </c>
      <c r="N585" s="119" t="n"/>
      <c r="O585" s="34">
        <f>F585</f>
        <v/>
      </c>
      <c r="P585" s="34">
        <f>N585*O585</f>
        <v/>
      </c>
      <c r="Q585" s="117" t="n">
        <v>0</v>
      </c>
      <c r="R585" s="34">
        <f>F585</f>
        <v/>
      </c>
      <c r="S585" s="34">
        <f>R585*Q585</f>
        <v/>
      </c>
      <c r="T585" s="34">
        <f>SUMIFS('[1]GİP VERİLERİ'!$C:$C,'[1]GİP VERİLERİ'!$B:$B,A585,'[1]GİP VERİLERİ'!$M:$M,"40X000000104782K",'[1]GİP VERİLERİ'!$G:$G,"SELL")</f>
        <v/>
      </c>
      <c r="U585" s="34">
        <f>IFERROR(W585/T585,0)</f>
        <v/>
      </c>
      <c r="V585" s="34">
        <f>IF(U585=0,0,U585-F585)</f>
        <v/>
      </c>
      <c r="W585" s="34">
        <f>SUMIFS('[1]GİP VERİLERİ'!$O:$O,'[1]GİP VERİLERİ'!$B:$B,A585,'[1]GİP VERİLERİ'!$M:$M,"40X000000104782K",'[1]GİP VERİLERİ'!$G:$G,"SELL")</f>
        <v/>
      </c>
      <c r="X585" s="34">
        <f>SUMIFS('[1]GİP VERİLERİ'!$C:$C,'[1]GİP VERİLERİ'!$B:$B,A585,'[1]GİP VERİLERİ'!$M:$M,"40X000000104782K",'[1]GİP VERİLERİ'!$G:$G,"BUY")</f>
        <v/>
      </c>
      <c r="Y585" s="34">
        <f>IFERROR(AA585/X585,0)</f>
        <v/>
      </c>
      <c r="Z585" s="34">
        <f>IF(Y585=0,0,F585-Y585)</f>
        <v/>
      </c>
      <c r="AA585" s="34">
        <f>SUMIFS('[1]GİP VERİLERİ'!$O:$O,'[1]GİP VERİLERİ'!$B:$B,A585,'[1]GİP VERİLERİ'!$M:$M,"40X000000104782K",'[1]GİP VERİLERİ'!$G:$G,"BUY")</f>
        <v/>
      </c>
      <c r="AB585" s="34">
        <f>'[1]GÖP VERİLERİ'!H586</f>
        <v/>
      </c>
      <c r="AC585" s="34">
        <f>'[1]GÖP VERİLERİ'!I586</f>
        <v/>
      </c>
      <c r="AD585" s="34">
        <f>IF(AB585&gt;AC585*1.05,AB585-AC585*1.05,IF(AB585&lt;AC585*0.95,AC585*0.95-AB585,0))</f>
        <v/>
      </c>
      <c r="AE585" s="34">
        <f>MAX(F585,G585,750)*0.05*AD585</f>
        <v/>
      </c>
      <c r="AF585" s="34">
        <f>'[1]GÖP VERİLERİ'!J586</f>
        <v/>
      </c>
      <c r="AG585" s="34">
        <f>IF(AB585&gt;AF585*1.05,AB585-AF585*1.05,IF(AB585&lt;AF585*0.95,AF585*0.95-AB585,0))</f>
        <v/>
      </c>
      <c r="AH585" s="34">
        <f>MAX(I585,J585,750)*0.05*AG585</f>
        <v/>
      </c>
      <c r="AI585">
        <f>'[1]GÖP VERİLERİ'!E586</f>
        <v/>
      </c>
      <c r="AJ585">
        <f>'[1]GÖP VERİLERİ'!F586</f>
        <v/>
      </c>
      <c r="AK585" s="34">
        <f>IF(AI585&gt;AJ585*1.05,AI585-AJ585*1.05,IF(AI585&lt;AJ585*0.95,AJ585*0.95-AI585,0))</f>
        <v/>
      </c>
      <c r="AL585" s="34">
        <f>MAX(F585,G585,750)*0.05*AK585</f>
        <v/>
      </c>
      <c r="AM585" s="39">
        <f>'[1]GÖP VERİLERİ'!G586</f>
        <v/>
      </c>
      <c r="AN585" s="34">
        <f>IF(AI585&gt;AM585*1.05,AI585-AM585*1.05,IF(AI585&lt;AM585*0.95,AM585*0.95-AI585,0))</f>
        <v/>
      </c>
      <c r="AO585" s="34">
        <f>MAX(F585,G585,750)*0.05*AN585</f>
        <v/>
      </c>
      <c r="AP585" s="34">
        <f>'[1]GÖP VERİLERİ'!B586</f>
        <v/>
      </c>
      <c r="AQ585" s="34">
        <f>'[1]GÖP VERİLERİ'!C586</f>
        <v/>
      </c>
      <c r="AR585" s="34">
        <f>IF(AP585&gt;AQ585*1.05,AP585-AQ585*1.05,IF(AP585&lt;AQ585*0.95,AQ585*0.95-AP585,0))</f>
        <v/>
      </c>
      <c r="AS585" s="34">
        <f>MAX(F585:G585,750)*0.05*AR585</f>
        <v/>
      </c>
      <c r="AT585">
        <f>'[1]GÖP VERİLERİ'!D586</f>
        <v/>
      </c>
      <c r="AU585" s="34">
        <f>IF(AP585&gt;AT585*1.05,AP585-AT585*1.05,IF(AP585&lt;AT585*0.95,AT585*0.95-AP585,0))</f>
        <v/>
      </c>
      <c r="AV585" s="34">
        <f>MAX(F585:G585,750)*0.05*AU585</f>
        <v/>
      </c>
      <c r="AW585" s="34">
        <f>AC585+AJ585+AQ585</f>
        <v/>
      </c>
      <c r="AX585" s="34">
        <f>AF585+AM585+AT585</f>
        <v/>
      </c>
      <c r="AY585" s="34">
        <f>AB585+AI585+AP585</f>
        <v/>
      </c>
      <c r="AZ585" s="34" t="n">
        <v>0</v>
      </c>
      <c r="BA585" s="34">
        <f>AD585+AK585+AR585</f>
        <v/>
      </c>
      <c r="BB585" s="34">
        <f>MAX(F585:G585,750)*0.05*BA585</f>
        <v/>
      </c>
      <c r="BC585" s="34">
        <f>AG585+AN585+AU585</f>
        <v/>
      </c>
      <c r="BD585" s="34">
        <f>MAX(F585:G585,750)*0.05*BC585</f>
        <v/>
      </c>
      <c r="BE585" s="34">
        <f>F585*AY585</f>
        <v/>
      </c>
      <c r="BF585" s="34">
        <f>K585-M585</f>
        <v/>
      </c>
      <c r="BG585" s="34">
        <f>P585-S585</f>
        <v/>
      </c>
      <c r="BH585" s="34">
        <f>W585-AA585</f>
        <v/>
      </c>
      <c r="BI585" s="34">
        <f>BF585+BG585+BL585-BN585</f>
        <v/>
      </c>
      <c r="BJ585" s="34">
        <f>ABS(BK585)</f>
        <v/>
      </c>
      <c r="BK585" s="34">
        <f>AY585-(J585-L585+N585-Q585)</f>
        <v/>
      </c>
      <c r="BL585" s="34">
        <f>IF(AND(BK585&gt;0,MIN($F585:$G585)&lt;150,$E585="Enerji Açığı"),-100*BK585*1.03,IF(AND(BK585&gt;0,MIN($F585:$G585)&lt;150,$E585="Enerji Fazlası"),-100*BK585*1.06,IF(AND(BK585&gt;0,MIN($F585:$G585)&gt;=150,$E585="Enerji Açığı"),BK585*MIN($F585:$G585)*0.97,IF(AND(BK585&gt;0,MIN($F585:$G585)&gt;=150,$E585="Enerji Fazlası"),BK585*MIN($F585:$G585)*0.94,IF(AND(BK585&lt;0,MAX($F585:$G585)=4500,$E585="Enerji Açığı"),4500*1.05*1.06*BK585,IF(AND(BK585&lt;0,MAX($F585:$G585)=4500,$E585="Enerji Fazlası"),4500*1.05*1.03*BK585,IF(AND(BK585&lt;0,$E585="Enerji Açığı"),MAX($F585,$G585,150)*BK585*1.06,IF(AND(BK585&lt;0,$E585="Enerji Fazlası"),MAX($F585,$G585,150)*BK585*1.03,IF(AND(BK585&lt;0,$E585="Dengede"),MAX($F585:$G585,150)*1.03*BK585,MIN($F585:$G585)*0.97*BK585)))))))))</f>
        <v/>
      </c>
      <c r="BM585" s="34">
        <f>BE585-BI585-BN585</f>
        <v/>
      </c>
      <c r="BN585" s="34">
        <f>BB585</f>
        <v/>
      </c>
      <c r="BO585" s="34">
        <f>BE585-BI585</f>
        <v/>
      </c>
      <c r="BP585" s="34">
        <f>IF(AY585=0,0,BO585/AY585)</f>
        <v/>
      </c>
      <c r="BQ585" s="34">
        <f>MAX((AY585+MAX((-J585+L585-N585+Q585),0)),(MAX((J585-L585+N585-Q585),0)))</f>
        <v/>
      </c>
      <c r="BR585" s="82">
        <f>IFERROR(ABS(BK585/BQ585),0)</f>
        <v/>
      </c>
      <c r="BS585" s="34">
        <f>IF(BR585&lt;=0.1,0,BK585/BR585*(BR585-0.1))</f>
        <v/>
      </c>
      <c r="BT585" s="34">
        <f>IF((BS585)&lt;0,MAX(F585:G585)*(BS585)*1.03,MIN(F585:G585)*(BS585)*0.97)</f>
        <v/>
      </c>
      <c r="BU585" s="34">
        <f>IF(BR585&gt;0.1,1,0)</f>
        <v/>
      </c>
      <c r="BV585" s="34">
        <f>BF585+BG585+BH585+BY585-CA585</f>
        <v/>
      </c>
      <c r="BW585" s="34">
        <f>ABS(BX585)</f>
        <v/>
      </c>
      <c r="BX585" s="34">
        <f>AY585-(J585-L585+N585-Q585+T585-X585)</f>
        <v/>
      </c>
      <c r="BY585" s="34">
        <f>IF(AND(BX585&gt;0,MIN($F585:$G585)&lt;150,$E585="Enerji Açığı"),-100*BX585*1.03,IF(AND(BX585&gt;0,MIN($F585:$G585)&lt;150,$E585="Enerji Fazlası"),-100*BX585*1.06,IF(AND(BX585&gt;0,MIN($F585:$G585)&gt;=150,$E585="Enerji Açığı"),BX585*MIN($F585:$G585)*0.97,IF(AND(BX585&gt;0,MIN($F585:$G585)&gt;=150,$E585="Enerji Fazlası"),BX585*MIN($F585:$G585)*0.94,IF(AND(BX585&lt;0,MAX($F585:$G585)=4500,$E585="Enerji Açığı"),4500*1.05*1.06*BX585,IF(AND(BX585&lt;0,MAX($F585:$G585)=4500,$E585="Enerji Fazlası"),4500*1.05*1.03*BX585,IF(AND(BX585&lt;0,$E585="Enerji Açığı"),MAX($F585,$G585,150)*BX585*1.06,IF(AND(BX585&lt;0,$E585="Enerji Fazlası"),MAX($F585,$G585,150)*BX585*1.03,IF(AND(BX585&lt;0,$E585="Dengede"),MAX($F585:$G585,150)*1.03*BX585,MIN($F585:$G585)*0.97*BX585)))))))))</f>
        <v/>
      </c>
      <c r="BZ585" s="34">
        <f>BE585-BV585-CA585</f>
        <v/>
      </c>
      <c r="CA585" s="34">
        <f>BD585</f>
        <v/>
      </c>
      <c r="CB585" s="33">
        <f>BE585-BV585</f>
        <v/>
      </c>
      <c r="CC585" s="34">
        <f>IF(AY585=0,0,CB585/AY585)</f>
        <v/>
      </c>
      <c r="CD585" s="34">
        <f>MAX((AY585+MAX((-J585+L585-N585+Q585-T585+X585),0)),(MAX((J585-L585+N585-Q585+T585-X585),0)))</f>
        <v/>
      </c>
      <c r="CE585" s="82">
        <f>IFERROR(ABS(BX585/CD585),0)</f>
        <v/>
      </c>
      <c r="CF585" s="34">
        <f>IF(CE585&lt;=0.1,0,BX585/CE585*(CE585-0.1))</f>
        <v/>
      </c>
      <c r="CG585" s="34">
        <f>IF((CF585)&lt;0,MAX(F585:G585)*(CF585)*1.03,MIN(F585:G585)*(CF585)*0.97)</f>
        <v/>
      </c>
      <c r="CH585" s="34">
        <f>IF(CE585&gt;0.1,1,0)</f>
        <v/>
      </c>
      <c r="CI585" s="34">
        <f>(F585*BX585)-BY585</f>
        <v/>
      </c>
      <c r="CJ585" s="34">
        <f>IF(AY585=0,0,CI585/AY585)</f>
        <v/>
      </c>
    </row>
    <row r="586">
      <c r="A586" s="29">
        <f>[1]FİYATLAR!A561</f>
        <v/>
      </c>
      <c r="B586" s="29">
        <f>[1]FİYATLAR!B585</f>
        <v/>
      </c>
      <c r="C586" s="35">
        <f>INT(A586)</f>
        <v/>
      </c>
      <c r="D586" s="36">
        <f>MONTH(A586)</f>
        <v/>
      </c>
      <c r="E586" s="147">
        <f>[1]FİYATLAR!G561</f>
        <v/>
      </c>
      <c r="F586" s="30">
        <f>[1]FİYATLAR!C561</f>
        <v/>
      </c>
      <c r="G586" s="30">
        <f>[1]FİYATLAR!E561</f>
        <v/>
      </c>
      <c r="H586" s="30">
        <f>[1]FİYATLAR!D561</f>
        <v/>
      </c>
      <c r="I586" s="30">
        <f>[1]FİYATLAR!F561</f>
        <v/>
      </c>
      <c r="J586" s="119" t="n">
        <v>0</v>
      </c>
      <c r="K586" s="34">
        <f>F586*J586</f>
        <v/>
      </c>
      <c r="L586" s="119" t="n"/>
      <c r="M586" s="34">
        <f>L586*F586</f>
        <v/>
      </c>
      <c r="N586" s="119" t="n"/>
      <c r="O586" s="34">
        <f>F586</f>
        <v/>
      </c>
      <c r="P586" s="34">
        <f>N586*O586</f>
        <v/>
      </c>
      <c r="Q586" s="117" t="n">
        <v>0</v>
      </c>
      <c r="R586" s="34">
        <f>F586</f>
        <v/>
      </c>
      <c r="S586" s="34">
        <f>R586*Q586</f>
        <v/>
      </c>
      <c r="T586" s="34">
        <f>SUMIFS('[1]GİP VERİLERİ'!$C:$C,'[1]GİP VERİLERİ'!$B:$B,A586,'[1]GİP VERİLERİ'!$M:$M,"40X000000104782K",'[1]GİP VERİLERİ'!$G:$G,"SELL")</f>
        <v/>
      </c>
      <c r="U586" s="34">
        <f>IFERROR(W586/T586,0)</f>
        <v/>
      </c>
      <c r="V586" s="34">
        <f>IF(U586=0,0,U586-F586)</f>
        <v/>
      </c>
      <c r="W586" s="34">
        <f>SUMIFS('[1]GİP VERİLERİ'!$O:$O,'[1]GİP VERİLERİ'!$B:$B,A586,'[1]GİP VERİLERİ'!$M:$M,"40X000000104782K",'[1]GİP VERİLERİ'!$G:$G,"SELL")</f>
        <v/>
      </c>
      <c r="X586" s="34">
        <f>SUMIFS('[1]GİP VERİLERİ'!$C:$C,'[1]GİP VERİLERİ'!$B:$B,A586,'[1]GİP VERİLERİ'!$M:$M,"40X000000104782K",'[1]GİP VERİLERİ'!$G:$G,"BUY")</f>
        <v/>
      </c>
      <c r="Y586" s="34">
        <f>IFERROR(AA586/X586,0)</f>
        <v/>
      </c>
      <c r="Z586" s="34">
        <f>IF(Y586=0,0,F586-Y586)</f>
        <v/>
      </c>
      <c r="AA586" s="34">
        <f>SUMIFS('[1]GİP VERİLERİ'!$O:$O,'[1]GİP VERİLERİ'!$B:$B,A586,'[1]GİP VERİLERİ'!$M:$M,"40X000000104782K",'[1]GİP VERİLERİ'!$G:$G,"BUY")</f>
        <v/>
      </c>
      <c r="AB586" s="34">
        <f>'[1]GÖP VERİLERİ'!H587</f>
        <v/>
      </c>
      <c r="AC586" s="34">
        <f>'[1]GÖP VERİLERİ'!I587</f>
        <v/>
      </c>
      <c r="AD586" s="34">
        <f>IF(AB586&gt;AC586*1.05,AB586-AC586*1.05,IF(AB586&lt;AC586*0.95,AC586*0.95-AB586,0))</f>
        <v/>
      </c>
      <c r="AE586" s="34">
        <f>MAX(F586,G586,750)*0.05*AD586</f>
        <v/>
      </c>
      <c r="AF586" s="34">
        <f>'[1]GÖP VERİLERİ'!J587</f>
        <v/>
      </c>
      <c r="AG586" s="34">
        <f>IF(AB586&gt;AF586*1.05,AB586-AF586*1.05,IF(AB586&lt;AF586*0.95,AF586*0.95-AB586,0))</f>
        <v/>
      </c>
      <c r="AH586" s="34">
        <f>MAX(I586,J586,750)*0.05*AG586</f>
        <v/>
      </c>
      <c r="AI586">
        <f>'[1]GÖP VERİLERİ'!E587</f>
        <v/>
      </c>
      <c r="AJ586">
        <f>'[1]GÖP VERİLERİ'!F587</f>
        <v/>
      </c>
      <c r="AK586" s="34">
        <f>IF(AI586&gt;AJ586*1.05,AI586-AJ586*1.05,IF(AI586&lt;AJ586*0.95,AJ586*0.95-AI586,0))</f>
        <v/>
      </c>
      <c r="AL586" s="34">
        <f>MAX(F586,G586,750)*0.05*AK586</f>
        <v/>
      </c>
      <c r="AM586" s="39">
        <f>'[1]GÖP VERİLERİ'!G587</f>
        <v/>
      </c>
      <c r="AN586" s="34">
        <f>IF(AI586&gt;AM586*1.05,AI586-AM586*1.05,IF(AI586&lt;AM586*0.95,AM586*0.95-AI586,0))</f>
        <v/>
      </c>
      <c r="AO586" s="34">
        <f>MAX(F586,G586,750)*0.05*AN586</f>
        <v/>
      </c>
      <c r="AP586" s="34">
        <f>'[1]GÖP VERİLERİ'!B587</f>
        <v/>
      </c>
      <c r="AQ586" s="34">
        <f>'[1]GÖP VERİLERİ'!C587</f>
        <v/>
      </c>
      <c r="AR586" s="34">
        <f>IF(AP586&gt;AQ586*1.05,AP586-AQ586*1.05,IF(AP586&lt;AQ586*0.95,AQ586*0.95-AP586,0))</f>
        <v/>
      </c>
      <c r="AS586" s="34">
        <f>MAX(F586:G586,750)*0.05*AR586</f>
        <v/>
      </c>
      <c r="AT586">
        <f>'[1]GÖP VERİLERİ'!D587</f>
        <v/>
      </c>
      <c r="AU586" s="34">
        <f>IF(AP586&gt;AT586*1.05,AP586-AT586*1.05,IF(AP586&lt;AT586*0.95,AT586*0.95-AP586,0))</f>
        <v/>
      </c>
      <c r="AV586" s="34">
        <f>MAX(F586:G586,750)*0.05*AU586</f>
        <v/>
      </c>
      <c r="AW586" s="34">
        <f>AC586+AJ586+AQ586</f>
        <v/>
      </c>
      <c r="AX586" s="34">
        <f>AF586+AM586+AT586</f>
        <v/>
      </c>
      <c r="AY586" s="34">
        <f>AB586+AI586+AP586</f>
        <v/>
      </c>
      <c r="AZ586" s="34" t="n">
        <v>0</v>
      </c>
      <c r="BA586" s="34">
        <f>AD586+AK586+AR586</f>
        <v/>
      </c>
      <c r="BB586" s="34">
        <f>MAX(F586:G586,750)*0.05*BA586</f>
        <v/>
      </c>
      <c r="BC586" s="34">
        <f>AG586+AN586+AU586</f>
        <v/>
      </c>
      <c r="BD586" s="34">
        <f>MAX(F586:G586,750)*0.05*BC586</f>
        <v/>
      </c>
      <c r="BE586" s="34">
        <f>F586*AY586</f>
        <v/>
      </c>
      <c r="BF586" s="34">
        <f>K586-M586</f>
        <v/>
      </c>
      <c r="BG586" s="34">
        <f>P586-S586</f>
        <v/>
      </c>
      <c r="BH586" s="34">
        <f>W586-AA586</f>
        <v/>
      </c>
      <c r="BI586" s="34">
        <f>BF586+BG586+BL586-BN586</f>
        <v/>
      </c>
      <c r="BJ586" s="34">
        <f>ABS(BK586)</f>
        <v/>
      </c>
      <c r="BK586" s="34">
        <f>AY586-(J586-L586+N586-Q586)</f>
        <v/>
      </c>
      <c r="BL586" s="34">
        <f>IF(AND(BK586&gt;0,MIN($F586:$G586)&lt;150,$E586="Enerji Açığı"),-100*BK586*1.03,IF(AND(BK586&gt;0,MIN($F586:$G586)&lt;150,$E586="Enerji Fazlası"),-100*BK586*1.06,IF(AND(BK586&gt;0,MIN($F586:$G586)&gt;=150,$E586="Enerji Açığı"),BK586*MIN($F586:$G586)*0.97,IF(AND(BK586&gt;0,MIN($F586:$G586)&gt;=150,$E586="Enerji Fazlası"),BK586*MIN($F586:$G586)*0.94,IF(AND(BK586&lt;0,MAX($F586:$G586)=4500,$E586="Enerji Açığı"),4500*1.05*1.06*BK586,IF(AND(BK586&lt;0,MAX($F586:$G586)=4500,$E586="Enerji Fazlası"),4500*1.05*1.03*BK586,IF(AND(BK586&lt;0,$E586="Enerji Açığı"),MAX($F586,$G586,150)*BK586*1.06,IF(AND(BK586&lt;0,$E586="Enerji Fazlası"),MAX($F586,$G586,150)*BK586*1.03,IF(AND(BK586&lt;0,$E586="Dengede"),MAX($F586:$G586,150)*1.03*BK586,MIN($F586:$G586)*0.97*BK586)))))))))</f>
        <v/>
      </c>
      <c r="BM586" s="34">
        <f>BE586-BI586-BN586</f>
        <v/>
      </c>
      <c r="BN586" s="34">
        <f>BB586</f>
        <v/>
      </c>
      <c r="BO586" s="34">
        <f>BE586-BI586</f>
        <v/>
      </c>
      <c r="BP586" s="34">
        <f>IF(AY586=0,0,BO586/AY586)</f>
        <v/>
      </c>
      <c r="BQ586" s="34">
        <f>MAX((AY586+MAX((-J586+L586-N586+Q586),0)),(MAX((J586-L586+N586-Q586),0)))</f>
        <v/>
      </c>
      <c r="BR586" s="82">
        <f>IFERROR(ABS(BK586/BQ586),0)</f>
        <v/>
      </c>
      <c r="BS586" s="34">
        <f>IF(BR586&lt;=0.1,0,BK586/BR586*(BR586-0.1))</f>
        <v/>
      </c>
      <c r="BT586" s="34">
        <f>IF((BS586)&lt;0,MAX(F586:G586)*(BS586)*1.03,MIN(F586:G586)*(BS586)*0.97)</f>
        <v/>
      </c>
      <c r="BU586" s="34">
        <f>IF(BR586&gt;0.1,1,0)</f>
        <v/>
      </c>
      <c r="BV586" s="34">
        <f>BF586+BG586+BH586+BY586-CA586</f>
        <v/>
      </c>
      <c r="BW586" s="34">
        <f>ABS(BX586)</f>
        <v/>
      </c>
      <c r="BX586" s="34">
        <f>AY586-(J586-L586+N586-Q586+T586-X586)</f>
        <v/>
      </c>
      <c r="BY586" s="34">
        <f>IF(AND(BX586&gt;0,MIN($F586:$G586)&lt;150,$E586="Enerji Açığı"),-100*BX586*1.03,IF(AND(BX586&gt;0,MIN($F586:$G586)&lt;150,$E586="Enerji Fazlası"),-100*BX586*1.06,IF(AND(BX586&gt;0,MIN($F586:$G586)&gt;=150,$E586="Enerji Açığı"),BX586*MIN($F586:$G586)*0.97,IF(AND(BX586&gt;0,MIN($F586:$G586)&gt;=150,$E586="Enerji Fazlası"),BX586*MIN($F586:$G586)*0.94,IF(AND(BX586&lt;0,MAX($F586:$G586)=4500,$E586="Enerji Açığı"),4500*1.05*1.06*BX586,IF(AND(BX586&lt;0,MAX($F586:$G586)=4500,$E586="Enerji Fazlası"),4500*1.05*1.03*BX586,IF(AND(BX586&lt;0,$E586="Enerji Açığı"),MAX($F586,$G586,150)*BX586*1.06,IF(AND(BX586&lt;0,$E586="Enerji Fazlası"),MAX($F586,$G586,150)*BX586*1.03,IF(AND(BX586&lt;0,$E586="Dengede"),MAX($F586:$G586,150)*1.03*BX586,MIN($F586:$G586)*0.97*BX586)))))))))</f>
        <v/>
      </c>
      <c r="BZ586" s="34">
        <f>BE586-BV586-CA586</f>
        <v/>
      </c>
      <c r="CA586" s="34">
        <f>BD586</f>
        <v/>
      </c>
      <c r="CB586" s="33">
        <f>BE586-BV586</f>
        <v/>
      </c>
      <c r="CC586" s="34">
        <f>IF(AY586=0,0,CB586/AY586)</f>
        <v/>
      </c>
      <c r="CD586" s="34">
        <f>MAX((AY586+MAX((-J586+L586-N586+Q586-T586+X586),0)),(MAX((J586-L586+N586-Q586+T586-X586),0)))</f>
        <v/>
      </c>
      <c r="CE586" s="82">
        <f>IFERROR(ABS(BX586/CD586),0)</f>
        <v/>
      </c>
      <c r="CF586" s="34">
        <f>IF(CE586&lt;=0.1,0,BX586/CE586*(CE586-0.1))</f>
        <v/>
      </c>
      <c r="CG586" s="34">
        <f>IF((CF586)&lt;0,MAX(F586:G586)*(CF586)*1.03,MIN(F586:G586)*(CF586)*0.97)</f>
        <v/>
      </c>
      <c r="CH586" s="34">
        <f>IF(CE586&gt;0.1,1,0)</f>
        <v/>
      </c>
      <c r="CI586" s="34">
        <f>(F586*BX586)-BY586</f>
        <v/>
      </c>
      <c r="CJ586" s="34">
        <f>IF(AY586=0,0,CI586/AY586)</f>
        <v/>
      </c>
    </row>
    <row r="587">
      <c r="A587" s="29">
        <f>[1]FİYATLAR!A562</f>
        <v/>
      </c>
      <c r="B587" s="29">
        <f>[1]FİYATLAR!B586</f>
        <v/>
      </c>
      <c r="C587" s="35">
        <f>INT(A587)</f>
        <v/>
      </c>
      <c r="D587" s="36">
        <f>MONTH(A587)</f>
        <v/>
      </c>
      <c r="E587" s="147">
        <f>[1]FİYATLAR!G562</f>
        <v/>
      </c>
      <c r="F587" s="30">
        <f>[1]FİYATLAR!C562</f>
        <v/>
      </c>
      <c r="G587" s="30">
        <f>[1]FİYATLAR!E562</f>
        <v/>
      </c>
      <c r="H587" s="30">
        <f>[1]FİYATLAR!D562</f>
        <v/>
      </c>
      <c r="I587" s="30">
        <f>[1]FİYATLAR!F562</f>
        <v/>
      </c>
      <c r="J587" s="119" t="n">
        <v>0</v>
      </c>
      <c r="K587" s="34">
        <f>F587*J587</f>
        <v/>
      </c>
      <c r="L587" s="119" t="n"/>
      <c r="M587" s="34">
        <f>L587*F587</f>
        <v/>
      </c>
      <c r="N587" s="119" t="n"/>
      <c r="O587" s="34">
        <f>F587</f>
        <v/>
      </c>
      <c r="P587" s="34">
        <f>N587*O587</f>
        <v/>
      </c>
      <c r="Q587" s="117" t="n">
        <v>0</v>
      </c>
      <c r="R587" s="34">
        <f>F587</f>
        <v/>
      </c>
      <c r="S587" s="34">
        <f>R587*Q587</f>
        <v/>
      </c>
      <c r="T587" s="34">
        <f>SUMIFS('[1]GİP VERİLERİ'!$C:$C,'[1]GİP VERİLERİ'!$B:$B,A587,'[1]GİP VERİLERİ'!$M:$M,"40X000000104782K",'[1]GİP VERİLERİ'!$G:$G,"SELL")</f>
        <v/>
      </c>
      <c r="U587" s="34">
        <f>IFERROR(W587/T587,0)</f>
        <v/>
      </c>
      <c r="V587" s="34">
        <f>IF(U587=0,0,U587-F587)</f>
        <v/>
      </c>
      <c r="W587" s="34">
        <f>SUMIFS('[1]GİP VERİLERİ'!$O:$O,'[1]GİP VERİLERİ'!$B:$B,A587,'[1]GİP VERİLERİ'!$M:$M,"40X000000104782K",'[1]GİP VERİLERİ'!$G:$G,"SELL")</f>
        <v/>
      </c>
      <c r="X587" s="34">
        <f>SUMIFS('[1]GİP VERİLERİ'!$C:$C,'[1]GİP VERİLERİ'!$B:$B,A587,'[1]GİP VERİLERİ'!$M:$M,"40X000000104782K",'[1]GİP VERİLERİ'!$G:$G,"BUY")</f>
        <v/>
      </c>
      <c r="Y587" s="34">
        <f>IFERROR(AA587/X587,0)</f>
        <v/>
      </c>
      <c r="Z587" s="34">
        <f>IF(Y587=0,0,F587-Y587)</f>
        <v/>
      </c>
      <c r="AA587" s="34">
        <f>SUMIFS('[1]GİP VERİLERİ'!$O:$O,'[1]GİP VERİLERİ'!$B:$B,A587,'[1]GİP VERİLERİ'!$M:$M,"40X000000104782K",'[1]GİP VERİLERİ'!$G:$G,"BUY")</f>
        <v/>
      </c>
      <c r="AB587" s="34">
        <f>'[1]GÖP VERİLERİ'!H588</f>
        <v/>
      </c>
      <c r="AC587" s="34">
        <f>'[1]GÖP VERİLERİ'!I588</f>
        <v/>
      </c>
      <c r="AD587" s="34">
        <f>IF(AB587&gt;AC587*1.05,AB587-AC587*1.05,IF(AB587&lt;AC587*0.95,AC587*0.95-AB587,0))</f>
        <v/>
      </c>
      <c r="AE587" s="34">
        <f>MAX(F587,G587,750)*0.05*AD587</f>
        <v/>
      </c>
      <c r="AF587" s="34">
        <f>'[1]GÖP VERİLERİ'!J588</f>
        <v/>
      </c>
      <c r="AG587" s="34">
        <f>IF(AB587&gt;AF587*1.05,AB587-AF587*1.05,IF(AB587&lt;AF587*0.95,AF587*0.95-AB587,0))</f>
        <v/>
      </c>
      <c r="AH587" s="34">
        <f>MAX(I587,J587,750)*0.05*AG587</f>
        <v/>
      </c>
      <c r="AI587">
        <f>'[1]GÖP VERİLERİ'!E588</f>
        <v/>
      </c>
      <c r="AJ587">
        <f>'[1]GÖP VERİLERİ'!F588</f>
        <v/>
      </c>
      <c r="AK587" s="34">
        <f>IF(AI587&gt;AJ587*1.05,AI587-AJ587*1.05,IF(AI587&lt;AJ587*0.95,AJ587*0.95-AI587,0))</f>
        <v/>
      </c>
      <c r="AL587" s="34">
        <f>MAX(F587,G587,750)*0.05*AK587</f>
        <v/>
      </c>
      <c r="AM587" s="39">
        <f>'[1]GÖP VERİLERİ'!G588</f>
        <v/>
      </c>
      <c r="AN587" s="34">
        <f>IF(AI587&gt;AM587*1.05,AI587-AM587*1.05,IF(AI587&lt;AM587*0.95,AM587*0.95-AI587,0))</f>
        <v/>
      </c>
      <c r="AO587" s="34">
        <f>MAX(F587,G587,750)*0.05*AN587</f>
        <v/>
      </c>
      <c r="AP587" s="34">
        <f>'[1]GÖP VERİLERİ'!B588</f>
        <v/>
      </c>
      <c r="AQ587" s="34">
        <f>'[1]GÖP VERİLERİ'!C588</f>
        <v/>
      </c>
      <c r="AR587" s="34">
        <f>IF(AP587&gt;AQ587*1.05,AP587-AQ587*1.05,IF(AP587&lt;AQ587*0.95,AQ587*0.95-AP587,0))</f>
        <v/>
      </c>
      <c r="AS587" s="34">
        <f>MAX(F587:G587,750)*0.05*AR587</f>
        <v/>
      </c>
      <c r="AT587">
        <f>'[1]GÖP VERİLERİ'!D588</f>
        <v/>
      </c>
      <c r="AU587" s="34">
        <f>IF(AP587&gt;AT587*1.05,AP587-AT587*1.05,IF(AP587&lt;AT587*0.95,AT587*0.95-AP587,0))</f>
        <v/>
      </c>
      <c r="AV587" s="34">
        <f>MAX(F587:G587,750)*0.05*AU587</f>
        <v/>
      </c>
      <c r="AW587" s="34">
        <f>AC587+AJ587+AQ587</f>
        <v/>
      </c>
      <c r="AX587" s="34">
        <f>AF587+AM587+AT587</f>
        <v/>
      </c>
      <c r="AY587" s="34">
        <f>AB587+AI587+AP587</f>
        <v/>
      </c>
      <c r="AZ587" s="34" t="n">
        <v>0</v>
      </c>
      <c r="BA587" s="34">
        <f>AD587+AK587+AR587</f>
        <v/>
      </c>
      <c r="BB587" s="34">
        <f>MAX(F587:G587,750)*0.05*BA587</f>
        <v/>
      </c>
      <c r="BC587" s="34">
        <f>AG587+AN587+AU587</f>
        <v/>
      </c>
      <c r="BD587" s="34">
        <f>MAX(F587:G587,750)*0.05*BC587</f>
        <v/>
      </c>
      <c r="BE587" s="34">
        <f>F587*AY587</f>
        <v/>
      </c>
      <c r="BF587" s="34">
        <f>K587-M587</f>
        <v/>
      </c>
      <c r="BG587" s="34">
        <f>P587-S587</f>
        <v/>
      </c>
      <c r="BH587" s="34">
        <f>W587-AA587</f>
        <v/>
      </c>
      <c r="BI587" s="34">
        <f>BF587+BG587+BL587-BN587</f>
        <v/>
      </c>
      <c r="BJ587" s="34">
        <f>ABS(BK587)</f>
        <v/>
      </c>
      <c r="BK587" s="34">
        <f>AY587-(J587-L587+N587-Q587)</f>
        <v/>
      </c>
      <c r="BL587" s="34">
        <f>IF(AND(BK587&gt;0,MIN($F587:$G587)&lt;150,$E587="Enerji Açığı"),-100*BK587*1.03,IF(AND(BK587&gt;0,MIN($F587:$G587)&lt;150,$E587="Enerji Fazlası"),-100*BK587*1.06,IF(AND(BK587&gt;0,MIN($F587:$G587)&gt;=150,$E587="Enerji Açığı"),BK587*MIN($F587:$G587)*0.97,IF(AND(BK587&gt;0,MIN($F587:$G587)&gt;=150,$E587="Enerji Fazlası"),BK587*MIN($F587:$G587)*0.94,IF(AND(BK587&lt;0,MAX($F587:$G587)=4500,$E587="Enerji Açığı"),4500*1.05*1.06*BK587,IF(AND(BK587&lt;0,MAX($F587:$G587)=4500,$E587="Enerji Fazlası"),4500*1.05*1.03*BK587,IF(AND(BK587&lt;0,$E587="Enerji Açığı"),MAX($F587,$G587,150)*BK587*1.06,IF(AND(BK587&lt;0,$E587="Enerji Fazlası"),MAX($F587,$G587,150)*BK587*1.03,IF(AND(BK587&lt;0,$E587="Dengede"),MAX($F587:$G587,150)*1.03*BK587,MIN($F587:$G587)*0.97*BK587)))))))))</f>
        <v/>
      </c>
      <c r="BM587" s="34">
        <f>BE587-BI587-BN587</f>
        <v/>
      </c>
      <c r="BN587" s="34">
        <f>BB587</f>
        <v/>
      </c>
      <c r="BO587" s="34">
        <f>BE587-BI587</f>
        <v/>
      </c>
      <c r="BP587" s="34">
        <f>IF(AY587=0,0,BO587/AY587)</f>
        <v/>
      </c>
      <c r="BQ587" s="34">
        <f>MAX((AY587+MAX((-J587+L587-N587+Q587),0)),(MAX((J587-L587+N587-Q587),0)))</f>
        <v/>
      </c>
      <c r="BR587" s="82">
        <f>IFERROR(ABS(BK587/BQ587),0)</f>
        <v/>
      </c>
      <c r="BS587" s="34">
        <f>IF(BR587&lt;=0.1,0,BK587/BR587*(BR587-0.1))</f>
        <v/>
      </c>
      <c r="BT587" s="34">
        <f>IF((BS587)&lt;0,MAX(F587:G587)*(BS587)*1.03,MIN(F587:G587)*(BS587)*0.97)</f>
        <v/>
      </c>
      <c r="BU587" s="34">
        <f>IF(BR587&gt;0.1,1,0)</f>
        <v/>
      </c>
      <c r="BV587" s="34">
        <f>BF587+BG587+BH587+BY587-CA587</f>
        <v/>
      </c>
      <c r="BW587" s="34">
        <f>ABS(BX587)</f>
        <v/>
      </c>
      <c r="BX587" s="34">
        <f>AY587-(J587-L587+N587-Q587+T587-X587)</f>
        <v/>
      </c>
      <c r="BY587" s="34">
        <f>IF(AND(BX587&gt;0,MIN($F587:$G587)&lt;150,$E587="Enerji Açığı"),-100*BX587*1.03,IF(AND(BX587&gt;0,MIN($F587:$G587)&lt;150,$E587="Enerji Fazlası"),-100*BX587*1.06,IF(AND(BX587&gt;0,MIN($F587:$G587)&gt;=150,$E587="Enerji Açığı"),BX587*MIN($F587:$G587)*0.97,IF(AND(BX587&gt;0,MIN($F587:$G587)&gt;=150,$E587="Enerji Fazlası"),BX587*MIN($F587:$G587)*0.94,IF(AND(BX587&lt;0,MAX($F587:$G587)=4500,$E587="Enerji Açığı"),4500*1.05*1.06*BX587,IF(AND(BX587&lt;0,MAX($F587:$G587)=4500,$E587="Enerji Fazlası"),4500*1.05*1.03*BX587,IF(AND(BX587&lt;0,$E587="Enerji Açığı"),MAX($F587,$G587,150)*BX587*1.06,IF(AND(BX587&lt;0,$E587="Enerji Fazlası"),MAX($F587,$G587,150)*BX587*1.03,IF(AND(BX587&lt;0,$E587="Dengede"),MAX($F587:$G587,150)*1.03*BX587,MIN($F587:$G587)*0.97*BX587)))))))))</f>
        <v/>
      </c>
      <c r="BZ587" s="34">
        <f>BE587-BV587-CA587</f>
        <v/>
      </c>
      <c r="CA587" s="34">
        <f>BD587</f>
        <v/>
      </c>
      <c r="CB587" s="33">
        <f>BE587-BV587</f>
        <v/>
      </c>
      <c r="CC587" s="34">
        <f>IF(AY587=0,0,CB587/AY587)</f>
        <v/>
      </c>
      <c r="CD587" s="34">
        <f>MAX((AY587+MAX((-J587+L587-N587+Q587-T587+X587),0)),(MAX((J587-L587+N587-Q587+T587-X587),0)))</f>
        <v/>
      </c>
      <c r="CE587" s="82">
        <f>IFERROR(ABS(BX587/CD587),0)</f>
        <v/>
      </c>
      <c r="CF587" s="34">
        <f>IF(CE587&lt;=0.1,0,BX587/CE587*(CE587-0.1))</f>
        <v/>
      </c>
      <c r="CG587" s="34">
        <f>IF((CF587)&lt;0,MAX(F587:G587)*(CF587)*1.03,MIN(F587:G587)*(CF587)*0.97)</f>
        <v/>
      </c>
      <c r="CH587" s="34">
        <f>IF(CE587&gt;0.1,1,0)</f>
        <v/>
      </c>
      <c r="CI587" s="34">
        <f>(F587*BX587)-BY587</f>
        <v/>
      </c>
      <c r="CJ587" s="34">
        <f>IF(AY587=0,0,CI587/AY587)</f>
        <v/>
      </c>
    </row>
    <row r="588">
      <c r="A588" s="29">
        <f>[1]FİYATLAR!A563</f>
        <v/>
      </c>
      <c r="B588" s="29">
        <f>[1]FİYATLAR!B587</f>
        <v/>
      </c>
      <c r="C588" s="35">
        <f>INT(A588)</f>
        <v/>
      </c>
      <c r="D588" s="36">
        <f>MONTH(A588)</f>
        <v/>
      </c>
      <c r="E588" s="147">
        <f>[1]FİYATLAR!G563</f>
        <v/>
      </c>
      <c r="F588" s="30">
        <f>[1]FİYATLAR!C563</f>
        <v/>
      </c>
      <c r="G588" s="30">
        <f>[1]FİYATLAR!E563</f>
        <v/>
      </c>
      <c r="H588" s="30">
        <f>[1]FİYATLAR!D563</f>
        <v/>
      </c>
      <c r="I588" s="30">
        <f>[1]FİYATLAR!F563</f>
        <v/>
      </c>
      <c r="J588" s="119" t="n">
        <v>0</v>
      </c>
      <c r="K588" s="34">
        <f>F588*J588</f>
        <v/>
      </c>
      <c r="L588" s="119" t="n"/>
      <c r="M588" s="34">
        <f>L588*F588</f>
        <v/>
      </c>
      <c r="N588" s="119" t="n"/>
      <c r="O588" s="34">
        <f>F588</f>
        <v/>
      </c>
      <c r="P588" s="34">
        <f>N588*O588</f>
        <v/>
      </c>
      <c r="Q588" s="117" t="n">
        <v>0</v>
      </c>
      <c r="R588" s="34">
        <f>F588</f>
        <v/>
      </c>
      <c r="S588" s="34">
        <f>R588*Q588</f>
        <v/>
      </c>
      <c r="T588" s="34">
        <f>SUMIFS('[1]GİP VERİLERİ'!$C:$C,'[1]GİP VERİLERİ'!$B:$B,A588,'[1]GİP VERİLERİ'!$M:$M,"40X000000104782K",'[1]GİP VERİLERİ'!$G:$G,"SELL")</f>
        <v/>
      </c>
      <c r="U588" s="34">
        <f>IFERROR(W588/T588,0)</f>
        <v/>
      </c>
      <c r="V588" s="34">
        <f>IF(U588=0,0,U588-F588)</f>
        <v/>
      </c>
      <c r="W588" s="34">
        <f>SUMIFS('[1]GİP VERİLERİ'!$O:$O,'[1]GİP VERİLERİ'!$B:$B,A588,'[1]GİP VERİLERİ'!$M:$M,"40X000000104782K",'[1]GİP VERİLERİ'!$G:$G,"SELL")</f>
        <v/>
      </c>
      <c r="X588" s="34">
        <f>SUMIFS('[1]GİP VERİLERİ'!$C:$C,'[1]GİP VERİLERİ'!$B:$B,A588,'[1]GİP VERİLERİ'!$M:$M,"40X000000104782K",'[1]GİP VERİLERİ'!$G:$G,"BUY")</f>
        <v/>
      </c>
      <c r="Y588" s="34">
        <f>IFERROR(AA588/X588,0)</f>
        <v/>
      </c>
      <c r="Z588" s="34">
        <f>IF(Y588=0,0,F588-Y588)</f>
        <v/>
      </c>
      <c r="AA588" s="34">
        <f>SUMIFS('[1]GİP VERİLERİ'!$O:$O,'[1]GİP VERİLERİ'!$B:$B,A588,'[1]GİP VERİLERİ'!$M:$M,"40X000000104782K",'[1]GİP VERİLERİ'!$G:$G,"BUY")</f>
        <v/>
      </c>
      <c r="AB588" s="34">
        <f>'[1]GÖP VERİLERİ'!H589</f>
        <v/>
      </c>
      <c r="AC588" s="34">
        <f>'[1]GÖP VERİLERİ'!I589</f>
        <v/>
      </c>
      <c r="AD588" s="34">
        <f>IF(AB588&gt;AC588*1.05,AB588-AC588*1.05,IF(AB588&lt;AC588*0.95,AC588*0.95-AB588,0))</f>
        <v/>
      </c>
      <c r="AE588" s="34">
        <f>MAX(F588,G588,750)*0.05*AD588</f>
        <v/>
      </c>
      <c r="AF588" s="34">
        <f>'[1]GÖP VERİLERİ'!J589</f>
        <v/>
      </c>
      <c r="AG588" s="34">
        <f>IF(AB588&gt;AF588*1.05,AB588-AF588*1.05,IF(AB588&lt;AF588*0.95,AF588*0.95-AB588,0))</f>
        <v/>
      </c>
      <c r="AH588" s="34">
        <f>MAX(I588,J588,750)*0.05*AG588</f>
        <v/>
      </c>
      <c r="AI588">
        <f>'[1]GÖP VERİLERİ'!E589</f>
        <v/>
      </c>
      <c r="AJ588">
        <f>'[1]GÖP VERİLERİ'!F589</f>
        <v/>
      </c>
      <c r="AK588" s="34">
        <f>IF(AI588&gt;AJ588*1.05,AI588-AJ588*1.05,IF(AI588&lt;AJ588*0.95,AJ588*0.95-AI588,0))</f>
        <v/>
      </c>
      <c r="AL588" s="34">
        <f>MAX(F588,G588,750)*0.05*AK588</f>
        <v/>
      </c>
      <c r="AM588" s="39">
        <f>'[1]GÖP VERİLERİ'!G589</f>
        <v/>
      </c>
      <c r="AN588" s="34">
        <f>IF(AI588&gt;AM588*1.05,AI588-AM588*1.05,IF(AI588&lt;AM588*0.95,AM588*0.95-AI588,0))</f>
        <v/>
      </c>
      <c r="AO588" s="34">
        <f>MAX(F588,G588,750)*0.05*AN588</f>
        <v/>
      </c>
      <c r="AP588" s="34">
        <f>'[1]GÖP VERİLERİ'!B589</f>
        <v/>
      </c>
      <c r="AQ588" s="34">
        <f>'[1]GÖP VERİLERİ'!C589</f>
        <v/>
      </c>
      <c r="AR588" s="34">
        <f>IF(AP588&gt;AQ588*1.05,AP588-AQ588*1.05,IF(AP588&lt;AQ588*0.95,AQ588*0.95-AP588,0))</f>
        <v/>
      </c>
      <c r="AS588" s="34">
        <f>MAX(F588:G588,750)*0.05*AR588</f>
        <v/>
      </c>
      <c r="AT588">
        <f>'[1]GÖP VERİLERİ'!D589</f>
        <v/>
      </c>
      <c r="AU588" s="34">
        <f>IF(AP588&gt;AT588*1.05,AP588-AT588*1.05,IF(AP588&lt;AT588*0.95,AT588*0.95-AP588,0))</f>
        <v/>
      </c>
      <c r="AV588" s="34">
        <f>MAX(F588:G588,750)*0.05*AU588</f>
        <v/>
      </c>
      <c r="AW588" s="34">
        <f>AC588+AJ588+AQ588</f>
        <v/>
      </c>
      <c r="AX588" s="34">
        <f>AF588+AM588+AT588</f>
        <v/>
      </c>
      <c r="AY588" s="34">
        <f>AB588+AI588+AP588</f>
        <v/>
      </c>
      <c r="AZ588" s="34" t="n">
        <v>0</v>
      </c>
      <c r="BA588" s="34">
        <f>AD588+AK588+AR588</f>
        <v/>
      </c>
      <c r="BB588" s="34">
        <f>MAX(F588:G588,750)*0.05*BA588</f>
        <v/>
      </c>
      <c r="BC588" s="34">
        <f>AG588+AN588+AU588</f>
        <v/>
      </c>
      <c r="BD588" s="34">
        <f>MAX(F588:G588,750)*0.05*BC588</f>
        <v/>
      </c>
      <c r="BE588" s="34">
        <f>F588*AY588</f>
        <v/>
      </c>
      <c r="BF588" s="34">
        <f>K588-M588</f>
        <v/>
      </c>
      <c r="BG588" s="34">
        <f>P588-S588</f>
        <v/>
      </c>
      <c r="BH588" s="34">
        <f>W588-AA588</f>
        <v/>
      </c>
      <c r="BI588" s="34">
        <f>BF588+BG588+BL588-BN588</f>
        <v/>
      </c>
      <c r="BJ588" s="34">
        <f>ABS(BK588)</f>
        <v/>
      </c>
      <c r="BK588" s="34">
        <f>AY588-(J588-L588+N588-Q588)</f>
        <v/>
      </c>
      <c r="BL588" s="34">
        <f>IF(AND(BK588&gt;0,MIN($F588:$G588)&lt;150,$E588="Enerji Açığı"),-100*BK588*1.03,IF(AND(BK588&gt;0,MIN($F588:$G588)&lt;150,$E588="Enerji Fazlası"),-100*BK588*1.06,IF(AND(BK588&gt;0,MIN($F588:$G588)&gt;=150,$E588="Enerji Açığı"),BK588*MIN($F588:$G588)*0.97,IF(AND(BK588&gt;0,MIN($F588:$G588)&gt;=150,$E588="Enerji Fazlası"),BK588*MIN($F588:$G588)*0.94,IF(AND(BK588&lt;0,MAX($F588:$G588)=4500,$E588="Enerji Açığı"),4500*1.05*1.06*BK588,IF(AND(BK588&lt;0,MAX($F588:$G588)=4500,$E588="Enerji Fazlası"),4500*1.05*1.03*BK588,IF(AND(BK588&lt;0,$E588="Enerji Açığı"),MAX($F588,$G588,150)*BK588*1.06,IF(AND(BK588&lt;0,$E588="Enerji Fazlası"),MAX($F588,$G588,150)*BK588*1.03,IF(AND(BK588&lt;0,$E588="Dengede"),MAX($F588:$G588,150)*1.03*BK588,MIN($F588:$G588)*0.97*BK588)))))))))</f>
        <v/>
      </c>
      <c r="BM588" s="34">
        <f>BE588-BI588-BN588</f>
        <v/>
      </c>
      <c r="BN588" s="34">
        <f>BB588</f>
        <v/>
      </c>
      <c r="BO588" s="34">
        <f>BE588-BI588</f>
        <v/>
      </c>
      <c r="BP588" s="34">
        <f>IF(AY588=0,0,BO588/AY588)</f>
        <v/>
      </c>
      <c r="BQ588" s="34">
        <f>MAX((AY588+MAX((-J588+L588-N588+Q588),0)),(MAX((J588-L588+N588-Q588),0)))</f>
        <v/>
      </c>
      <c r="BR588" s="82">
        <f>IFERROR(ABS(BK588/BQ588),0)</f>
        <v/>
      </c>
      <c r="BS588" s="34">
        <f>IF(BR588&lt;=0.1,0,BK588/BR588*(BR588-0.1))</f>
        <v/>
      </c>
      <c r="BT588" s="34">
        <f>IF((BS588)&lt;0,MAX(F588:G588)*(BS588)*1.03,MIN(F588:G588)*(BS588)*0.97)</f>
        <v/>
      </c>
      <c r="BU588" s="34">
        <f>IF(BR588&gt;0.1,1,0)</f>
        <v/>
      </c>
      <c r="BV588" s="34">
        <f>BF588+BG588+BH588+BY588-CA588</f>
        <v/>
      </c>
      <c r="BW588" s="34">
        <f>ABS(BX588)</f>
        <v/>
      </c>
      <c r="BX588" s="34">
        <f>AY588-(J588-L588+N588-Q588+T588-X588)</f>
        <v/>
      </c>
      <c r="BY588" s="34">
        <f>IF(AND(BX588&gt;0,MIN($F588:$G588)&lt;150,$E588="Enerji Açığı"),-100*BX588*1.03,IF(AND(BX588&gt;0,MIN($F588:$G588)&lt;150,$E588="Enerji Fazlası"),-100*BX588*1.06,IF(AND(BX588&gt;0,MIN($F588:$G588)&gt;=150,$E588="Enerji Açığı"),BX588*MIN($F588:$G588)*0.97,IF(AND(BX588&gt;0,MIN($F588:$G588)&gt;=150,$E588="Enerji Fazlası"),BX588*MIN($F588:$G588)*0.94,IF(AND(BX588&lt;0,MAX($F588:$G588)=4500,$E588="Enerji Açığı"),4500*1.05*1.06*BX588,IF(AND(BX588&lt;0,MAX($F588:$G588)=4500,$E588="Enerji Fazlası"),4500*1.05*1.03*BX588,IF(AND(BX588&lt;0,$E588="Enerji Açığı"),MAX($F588,$G588,150)*BX588*1.06,IF(AND(BX588&lt;0,$E588="Enerji Fazlası"),MAX($F588,$G588,150)*BX588*1.03,IF(AND(BX588&lt;0,$E588="Dengede"),MAX($F588:$G588,150)*1.03*BX588,MIN($F588:$G588)*0.97*BX588)))))))))</f>
        <v/>
      </c>
      <c r="BZ588" s="34">
        <f>BE588-BV588-CA588</f>
        <v/>
      </c>
      <c r="CA588" s="34">
        <f>BD588</f>
        <v/>
      </c>
      <c r="CB588" s="33">
        <f>BE588-BV588</f>
        <v/>
      </c>
      <c r="CC588" s="34">
        <f>IF(AY588=0,0,CB588/AY588)</f>
        <v/>
      </c>
      <c r="CD588" s="34">
        <f>MAX((AY588+MAX((-J588+L588-N588+Q588-T588+X588),0)),(MAX((J588-L588+N588-Q588+T588-X588),0)))</f>
        <v/>
      </c>
      <c r="CE588" s="82">
        <f>IFERROR(ABS(BX588/CD588),0)</f>
        <v/>
      </c>
      <c r="CF588" s="34">
        <f>IF(CE588&lt;=0.1,0,BX588/CE588*(CE588-0.1))</f>
        <v/>
      </c>
      <c r="CG588" s="34">
        <f>IF((CF588)&lt;0,MAX(F588:G588)*(CF588)*1.03,MIN(F588:G588)*(CF588)*0.97)</f>
        <v/>
      </c>
      <c r="CH588" s="34">
        <f>IF(CE588&gt;0.1,1,0)</f>
        <v/>
      </c>
      <c r="CI588" s="34">
        <f>(F588*BX588)-BY588</f>
        <v/>
      </c>
      <c r="CJ588" s="34">
        <f>IF(AY588=0,0,CI588/AY588)</f>
        <v/>
      </c>
    </row>
    <row r="589">
      <c r="A589" s="29">
        <f>[1]FİYATLAR!A564</f>
        <v/>
      </c>
      <c r="B589" s="29">
        <f>[1]FİYATLAR!B588</f>
        <v/>
      </c>
      <c r="C589" s="35">
        <f>INT(A589)</f>
        <v/>
      </c>
      <c r="D589" s="36">
        <f>MONTH(A589)</f>
        <v/>
      </c>
      <c r="E589" s="147">
        <f>[1]FİYATLAR!G564</f>
        <v/>
      </c>
      <c r="F589" s="30">
        <f>[1]FİYATLAR!C564</f>
        <v/>
      </c>
      <c r="G589" s="30">
        <f>[1]FİYATLAR!E564</f>
        <v/>
      </c>
      <c r="H589" s="30">
        <f>[1]FİYATLAR!D564</f>
        <v/>
      </c>
      <c r="I589" s="30">
        <f>[1]FİYATLAR!F564</f>
        <v/>
      </c>
      <c r="J589" s="119" t="n">
        <v>0</v>
      </c>
      <c r="K589" s="34">
        <f>F589*J589</f>
        <v/>
      </c>
      <c r="L589" s="119" t="n"/>
      <c r="M589" s="34">
        <f>L589*F589</f>
        <v/>
      </c>
      <c r="N589" s="119" t="n"/>
      <c r="O589" s="34">
        <f>F589</f>
        <v/>
      </c>
      <c r="P589" s="34">
        <f>N589*O589</f>
        <v/>
      </c>
      <c r="Q589" s="117" t="n">
        <v>0</v>
      </c>
      <c r="R589" s="34">
        <f>F589</f>
        <v/>
      </c>
      <c r="S589" s="34">
        <f>R589*Q589</f>
        <v/>
      </c>
      <c r="T589" s="34">
        <f>SUMIFS('[1]GİP VERİLERİ'!$C:$C,'[1]GİP VERİLERİ'!$B:$B,A589,'[1]GİP VERİLERİ'!$M:$M,"40X000000104782K",'[1]GİP VERİLERİ'!$G:$G,"SELL")</f>
        <v/>
      </c>
      <c r="U589" s="34">
        <f>IFERROR(W589/T589,0)</f>
        <v/>
      </c>
      <c r="V589" s="34">
        <f>IF(U589=0,0,U589-F589)</f>
        <v/>
      </c>
      <c r="W589" s="34">
        <f>SUMIFS('[1]GİP VERİLERİ'!$O:$O,'[1]GİP VERİLERİ'!$B:$B,A589,'[1]GİP VERİLERİ'!$M:$M,"40X000000104782K",'[1]GİP VERİLERİ'!$G:$G,"SELL")</f>
        <v/>
      </c>
      <c r="X589" s="34">
        <f>SUMIFS('[1]GİP VERİLERİ'!$C:$C,'[1]GİP VERİLERİ'!$B:$B,A589,'[1]GİP VERİLERİ'!$M:$M,"40X000000104782K",'[1]GİP VERİLERİ'!$G:$G,"BUY")</f>
        <v/>
      </c>
      <c r="Y589" s="34">
        <f>IFERROR(AA589/X589,0)</f>
        <v/>
      </c>
      <c r="Z589" s="34">
        <f>IF(Y589=0,0,F589-Y589)</f>
        <v/>
      </c>
      <c r="AA589" s="34">
        <f>SUMIFS('[1]GİP VERİLERİ'!$O:$O,'[1]GİP VERİLERİ'!$B:$B,A589,'[1]GİP VERİLERİ'!$M:$M,"40X000000104782K",'[1]GİP VERİLERİ'!$G:$G,"BUY")</f>
        <v/>
      </c>
      <c r="AB589" s="34">
        <f>'[1]GÖP VERİLERİ'!H590</f>
        <v/>
      </c>
      <c r="AC589" s="34">
        <f>'[1]GÖP VERİLERİ'!I590</f>
        <v/>
      </c>
      <c r="AD589" s="34">
        <f>IF(AB589&gt;AC589*1.05,AB589-AC589*1.05,IF(AB589&lt;AC589*0.95,AC589*0.95-AB589,0))</f>
        <v/>
      </c>
      <c r="AE589" s="34">
        <f>MAX(F589,G589,750)*0.05*AD589</f>
        <v/>
      </c>
      <c r="AF589" s="34">
        <f>'[1]GÖP VERİLERİ'!J590</f>
        <v/>
      </c>
      <c r="AG589" s="34">
        <f>IF(AB589&gt;AF589*1.05,AB589-AF589*1.05,IF(AB589&lt;AF589*0.95,AF589*0.95-AB589,0))</f>
        <v/>
      </c>
      <c r="AH589" s="34">
        <f>MAX(I589,J589,750)*0.05*AG589</f>
        <v/>
      </c>
      <c r="AI589">
        <f>'[1]GÖP VERİLERİ'!E590</f>
        <v/>
      </c>
      <c r="AJ589">
        <f>'[1]GÖP VERİLERİ'!F590</f>
        <v/>
      </c>
      <c r="AK589" s="34">
        <f>IF(AI589&gt;AJ589*1.05,AI589-AJ589*1.05,IF(AI589&lt;AJ589*0.95,AJ589*0.95-AI589,0))</f>
        <v/>
      </c>
      <c r="AL589" s="34">
        <f>MAX(F589,G589,750)*0.05*AK589</f>
        <v/>
      </c>
      <c r="AM589" s="39">
        <f>'[1]GÖP VERİLERİ'!G590</f>
        <v/>
      </c>
      <c r="AN589" s="34">
        <f>IF(AI589&gt;AM589*1.05,AI589-AM589*1.05,IF(AI589&lt;AM589*0.95,AM589*0.95-AI589,0))</f>
        <v/>
      </c>
      <c r="AO589" s="34">
        <f>MAX(F589,G589,750)*0.05*AN589</f>
        <v/>
      </c>
      <c r="AP589" s="34">
        <f>'[1]GÖP VERİLERİ'!B590</f>
        <v/>
      </c>
      <c r="AQ589" s="34">
        <f>'[1]GÖP VERİLERİ'!C590</f>
        <v/>
      </c>
      <c r="AR589" s="34">
        <f>IF(AP589&gt;AQ589*1.05,AP589-AQ589*1.05,IF(AP589&lt;AQ589*0.95,AQ589*0.95-AP589,0))</f>
        <v/>
      </c>
      <c r="AS589" s="34">
        <f>MAX(F589:G589,750)*0.05*AR589</f>
        <v/>
      </c>
      <c r="AT589">
        <f>'[1]GÖP VERİLERİ'!D590</f>
        <v/>
      </c>
      <c r="AU589" s="34">
        <f>IF(AP589&gt;AT589*1.05,AP589-AT589*1.05,IF(AP589&lt;AT589*0.95,AT589*0.95-AP589,0))</f>
        <v/>
      </c>
      <c r="AV589" s="34">
        <f>MAX(F589:G589,750)*0.05*AU589</f>
        <v/>
      </c>
      <c r="AW589" s="34">
        <f>AC589+AJ589+AQ589</f>
        <v/>
      </c>
      <c r="AX589" s="34">
        <f>AF589+AM589+AT589</f>
        <v/>
      </c>
      <c r="AY589" s="34">
        <f>AB589+AI589+AP589</f>
        <v/>
      </c>
      <c r="AZ589" s="34" t="n">
        <v>0</v>
      </c>
      <c r="BA589" s="34">
        <f>AD589+AK589+AR589</f>
        <v/>
      </c>
      <c r="BB589" s="34">
        <f>MAX(F589:G589,750)*0.05*BA589</f>
        <v/>
      </c>
      <c r="BC589" s="34">
        <f>AG589+AN589+AU589</f>
        <v/>
      </c>
      <c r="BD589" s="34">
        <f>MAX(F589:G589,750)*0.05*BC589</f>
        <v/>
      </c>
      <c r="BE589" s="34">
        <f>F589*AY589</f>
        <v/>
      </c>
      <c r="BF589" s="34">
        <f>K589-M589</f>
        <v/>
      </c>
      <c r="BG589" s="34">
        <f>P589-S589</f>
        <v/>
      </c>
      <c r="BH589" s="34">
        <f>W589-AA589</f>
        <v/>
      </c>
      <c r="BI589" s="34">
        <f>BF589+BG589+BL589-BN589</f>
        <v/>
      </c>
      <c r="BJ589" s="34">
        <f>ABS(BK589)</f>
        <v/>
      </c>
      <c r="BK589" s="34">
        <f>AY589-(J589-L589+N589-Q589)</f>
        <v/>
      </c>
      <c r="BL589" s="34">
        <f>IF(AND(BK589&gt;0,MIN($F589:$G589)&lt;150,$E589="Enerji Açığı"),-100*BK589*1.03,IF(AND(BK589&gt;0,MIN($F589:$G589)&lt;150,$E589="Enerji Fazlası"),-100*BK589*1.06,IF(AND(BK589&gt;0,MIN($F589:$G589)&gt;=150,$E589="Enerji Açığı"),BK589*MIN($F589:$G589)*0.97,IF(AND(BK589&gt;0,MIN($F589:$G589)&gt;=150,$E589="Enerji Fazlası"),BK589*MIN($F589:$G589)*0.94,IF(AND(BK589&lt;0,MAX($F589:$G589)=4500,$E589="Enerji Açığı"),4500*1.05*1.06*BK589,IF(AND(BK589&lt;0,MAX($F589:$G589)=4500,$E589="Enerji Fazlası"),4500*1.05*1.03*BK589,IF(AND(BK589&lt;0,$E589="Enerji Açığı"),MAX($F589,$G589,150)*BK589*1.06,IF(AND(BK589&lt;0,$E589="Enerji Fazlası"),MAX($F589,$G589,150)*BK589*1.03,IF(AND(BK589&lt;0,$E589="Dengede"),MAX($F589:$G589,150)*1.03*BK589,MIN($F589:$G589)*0.97*BK589)))))))))</f>
        <v/>
      </c>
      <c r="BM589" s="34">
        <f>BE589-BI589-BN589</f>
        <v/>
      </c>
      <c r="BN589" s="34">
        <f>BB589</f>
        <v/>
      </c>
      <c r="BO589" s="34">
        <f>BE589-BI589</f>
        <v/>
      </c>
      <c r="BP589" s="34">
        <f>IF(AY589=0,0,BO589/AY589)</f>
        <v/>
      </c>
      <c r="BQ589" s="34">
        <f>MAX((AY589+MAX((-J589+L589-N589+Q589),0)),(MAX((J589-L589+N589-Q589),0)))</f>
        <v/>
      </c>
      <c r="BR589" s="82">
        <f>IFERROR(ABS(BK589/BQ589),0)</f>
        <v/>
      </c>
      <c r="BS589" s="34">
        <f>IF(BR589&lt;=0.1,0,BK589/BR589*(BR589-0.1))</f>
        <v/>
      </c>
      <c r="BT589" s="34">
        <f>IF((BS589)&lt;0,MAX(F589:G589)*(BS589)*1.03,MIN(F589:G589)*(BS589)*0.97)</f>
        <v/>
      </c>
      <c r="BU589" s="34">
        <f>IF(BR589&gt;0.1,1,0)</f>
        <v/>
      </c>
      <c r="BV589" s="34">
        <f>BF589+BG589+BH589+BY589-CA589</f>
        <v/>
      </c>
      <c r="BW589" s="34">
        <f>ABS(BX589)</f>
        <v/>
      </c>
      <c r="BX589" s="34">
        <f>AY589-(J589-L589+N589-Q589+T589-X589)</f>
        <v/>
      </c>
      <c r="BY589" s="34">
        <f>IF(AND(BX589&gt;0,MIN($F589:$G589)&lt;150,$E589="Enerji Açığı"),-100*BX589*1.03,IF(AND(BX589&gt;0,MIN($F589:$G589)&lt;150,$E589="Enerji Fazlası"),-100*BX589*1.06,IF(AND(BX589&gt;0,MIN($F589:$G589)&gt;=150,$E589="Enerji Açığı"),BX589*MIN($F589:$G589)*0.97,IF(AND(BX589&gt;0,MIN($F589:$G589)&gt;=150,$E589="Enerji Fazlası"),BX589*MIN($F589:$G589)*0.94,IF(AND(BX589&lt;0,MAX($F589:$G589)=4500,$E589="Enerji Açığı"),4500*1.05*1.06*BX589,IF(AND(BX589&lt;0,MAX($F589:$G589)=4500,$E589="Enerji Fazlası"),4500*1.05*1.03*BX589,IF(AND(BX589&lt;0,$E589="Enerji Açığı"),MAX($F589,$G589,150)*BX589*1.06,IF(AND(BX589&lt;0,$E589="Enerji Fazlası"),MAX($F589,$G589,150)*BX589*1.03,IF(AND(BX589&lt;0,$E589="Dengede"),MAX($F589:$G589,150)*1.03*BX589,MIN($F589:$G589)*0.97*BX589)))))))))</f>
        <v/>
      </c>
      <c r="BZ589" s="34">
        <f>BE589-BV589-CA589</f>
        <v/>
      </c>
      <c r="CA589" s="34">
        <f>BD589</f>
        <v/>
      </c>
      <c r="CB589" s="33">
        <f>BE589-BV589</f>
        <v/>
      </c>
      <c r="CC589" s="34">
        <f>IF(AY589=0,0,CB589/AY589)</f>
        <v/>
      </c>
      <c r="CD589" s="34">
        <f>MAX((AY589+MAX((-J589+L589-N589+Q589-T589+X589),0)),(MAX((J589-L589+N589-Q589+T589-X589),0)))</f>
        <v/>
      </c>
      <c r="CE589" s="82">
        <f>IFERROR(ABS(BX589/CD589),0)</f>
        <v/>
      </c>
      <c r="CF589" s="34">
        <f>IF(CE589&lt;=0.1,0,BX589/CE589*(CE589-0.1))</f>
        <v/>
      </c>
      <c r="CG589" s="34">
        <f>IF((CF589)&lt;0,MAX(F589:G589)*(CF589)*1.03,MIN(F589:G589)*(CF589)*0.97)</f>
        <v/>
      </c>
      <c r="CH589" s="34">
        <f>IF(CE589&gt;0.1,1,0)</f>
        <v/>
      </c>
      <c r="CI589" s="34">
        <f>(F589*BX589)-BY589</f>
        <v/>
      </c>
      <c r="CJ589" s="34">
        <f>IF(AY589=0,0,CI589/AY589)</f>
        <v/>
      </c>
    </row>
    <row r="590">
      <c r="A590" s="29">
        <f>[1]FİYATLAR!A565</f>
        <v/>
      </c>
      <c r="B590" s="29">
        <f>[1]FİYATLAR!B589</f>
        <v/>
      </c>
      <c r="C590" s="35">
        <f>INT(A590)</f>
        <v/>
      </c>
      <c r="D590" s="36">
        <f>MONTH(A590)</f>
        <v/>
      </c>
      <c r="E590" s="147">
        <f>[1]FİYATLAR!G565</f>
        <v/>
      </c>
      <c r="F590" s="30">
        <f>[1]FİYATLAR!C565</f>
        <v/>
      </c>
      <c r="G590" s="30">
        <f>[1]FİYATLAR!E565</f>
        <v/>
      </c>
      <c r="H590" s="30">
        <f>[1]FİYATLAR!D565</f>
        <v/>
      </c>
      <c r="I590" s="30">
        <f>[1]FİYATLAR!F565</f>
        <v/>
      </c>
      <c r="J590" s="119" t="n">
        <v>0</v>
      </c>
      <c r="K590" s="34">
        <f>F590*J590</f>
        <v/>
      </c>
      <c r="L590" s="119" t="n"/>
      <c r="M590" s="34">
        <f>L590*F590</f>
        <v/>
      </c>
      <c r="N590" s="119" t="n"/>
      <c r="O590" s="34">
        <f>F590</f>
        <v/>
      </c>
      <c r="P590" s="34">
        <f>N590*O590</f>
        <v/>
      </c>
      <c r="Q590" s="117" t="n">
        <v>0</v>
      </c>
      <c r="R590" s="34">
        <f>F590</f>
        <v/>
      </c>
      <c r="S590" s="34">
        <f>R590*Q590</f>
        <v/>
      </c>
      <c r="T590" s="34">
        <f>SUMIFS('[1]GİP VERİLERİ'!$C:$C,'[1]GİP VERİLERİ'!$B:$B,A590,'[1]GİP VERİLERİ'!$M:$M,"40X000000104782K",'[1]GİP VERİLERİ'!$G:$G,"SELL")</f>
        <v/>
      </c>
      <c r="U590" s="34">
        <f>IFERROR(W590/T590,0)</f>
        <v/>
      </c>
      <c r="V590" s="34">
        <f>IF(U590=0,0,U590-F590)</f>
        <v/>
      </c>
      <c r="W590" s="34">
        <f>SUMIFS('[1]GİP VERİLERİ'!$O:$O,'[1]GİP VERİLERİ'!$B:$B,A590,'[1]GİP VERİLERİ'!$M:$M,"40X000000104782K",'[1]GİP VERİLERİ'!$G:$G,"SELL")</f>
        <v/>
      </c>
      <c r="X590" s="34">
        <f>SUMIFS('[1]GİP VERİLERİ'!$C:$C,'[1]GİP VERİLERİ'!$B:$B,A590,'[1]GİP VERİLERİ'!$M:$M,"40X000000104782K",'[1]GİP VERİLERİ'!$G:$G,"BUY")</f>
        <v/>
      </c>
      <c r="Y590" s="34">
        <f>IFERROR(AA590/X590,0)</f>
        <v/>
      </c>
      <c r="Z590" s="34">
        <f>IF(Y590=0,0,F590-Y590)</f>
        <v/>
      </c>
      <c r="AA590" s="34">
        <f>SUMIFS('[1]GİP VERİLERİ'!$O:$O,'[1]GİP VERİLERİ'!$B:$B,A590,'[1]GİP VERİLERİ'!$M:$M,"40X000000104782K",'[1]GİP VERİLERİ'!$G:$G,"BUY")</f>
        <v/>
      </c>
      <c r="AB590" s="34">
        <f>'[1]GÖP VERİLERİ'!H591</f>
        <v/>
      </c>
      <c r="AC590" s="34">
        <f>'[1]GÖP VERİLERİ'!I591</f>
        <v/>
      </c>
      <c r="AD590" s="34">
        <f>IF(AB590&gt;AC590*1.05,AB590-AC590*1.05,IF(AB590&lt;AC590*0.95,AC590*0.95-AB590,0))</f>
        <v/>
      </c>
      <c r="AE590" s="34">
        <f>MAX(F590,G590,750)*0.05*AD590</f>
        <v/>
      </c>
      <c r="AF590" s="34">
        <f>'[1]GÖP VERİLERİ'!J591</f>
        <v/>
      </c>
      <c r="AG590" s="34">
        <f>IF(AB590&gt;AF590*1.05,AB590-AF590*1.05,IF(AB590&lt;AF590*0.95,AF590*0.95-AB590,0))</f>
        <v/>
      </c>
      <c r="AH590" s="34">
        <f>MAX(I590,J590,750)*0.05*AG590</f>
        <v/>
      </c>
      <c r="AI590">
        <f>'[1]GÖP VERİLERİ'!E591</f>
        <v/>
      </c>
      <c r="AJ590">
        <f>'[1]GÖP VERİLERİ'!F591</f>
        <v/>
      </c>
      <c r="AK590" s="34">
        <f>IF(AI590&gt;AJ590*1.05,AI590-AJ590*1.05,IF(AI590&lt;AJ590*0.95,AJ590*0.95-AI590,0))</f>
        <v/>
      </c>
      <c r="AL590" s="34">
        <f>MAX(F590,G590,750)*0.05*AK590</f>
        <v/>
      </c>
      <c r="AM590" s="39">
        <f>'[1]GÖP VERİLERİ'!G591</f>
        <v/>
      </c>
      <c r="AN590" s="34">
        <f>IF(AI590&gt;AM590*1.05,AI590-AM590*1.05,IF(AI590&lt;AM590*0.95,AM590*0.95-AI590,0))</f>
        <v/>
      </c>
      <c r="AO590" s="34">
        <f>MAX(F590,G590,750)*0.05*AN590</f>
        <v/>
      </c>
      <c r="AP590" s="34">
        <f>'[1]GÖP VERİLERİ'!B591</f>
        <v/>
      </c>
      <c r="AQ590" s="34">
        <f>'[1]GÖP VERİLERİ'!C591</f>
        <v/>
      </c>
      <c r="AR590" s="34">
        <f>IF(AP590&gt;AQ590*1.05,AP590-AQ590*1.05,IF(AP590&lt;AQ590*0.95,AQ590*0.95-AP590,0))</f>
        <v/>
      </c>
      <c r="AS590" s="34">
        <f>MAX(F590:G590,750)*0.05*AR590</f>
        <v/>
      </c>
      <c r="AT590">
        <f>'[1]GÖP VERİLERİ'!D591</f>
        <v/>
      </c>
      <c r="AU590" s="34">
        <f>IF(AP590&gt;AT590*1.05,AP590-AT590*1.05,IF(AP590&lt;AT590*0.95,AT590*0.95-AP590,0))</f>
        <v/>
      </c>
      <c r="AV590" s="34">
        <f>MAX(F590:G590,750)*0.05*AU590</f>
        <v/>
      </c>
      <c r="AW590" s="34">
        <f>AC590+AJ590+AQ590</f>
        <v/>
      </c>
      <c r="AX590" s="34">
        <f>AF590+AM590+AT590</f>
        <v/>
      </c>
      <c r="AY590" s="34">
        <f>AB590+AI590+AP590</f>
        <v/>
      </c>
      <c r="AZ590" s="34" t="n">
        <v>0</v>
      </c>
      <c r="BA590" s="34">
        <f>AD590+AK590+AR590</f>
        <v/>
      </c>
      <c r="BB590" s="34">
        <f>MAX(F590:G590,750)*0.05*BA590</f>
        <v/>
      </c>
      <c r="BC590" s="34">
        <f>AG590+AN590+AU590</f>
        <v/>
      </c>
      <c r="BD590" s="34">
        <f>MAX(F590:G590,750)*0.05*BC590</f>
        <v/>
      </c>
      <c r="BE590" s="34">
        <f>F590*AY590</f>
        <v/>
      </c>
      <c r="BF590" s="34">
        <f>K590-M590</f>
        <v/>
      </c>
      <c r="BG590" s="34">
        <f>P590-S590</f>
        <v/>
      </c>
      <c r="BH590" s="34">
        <f>W590-AA590</f>
        <v/>
      </c>
      <c r="BI590" s="34">
        <f>BF590+BG590+BL590-BN590</f>
        <v/>
      </c>
      <c r="BJ590" s="34">
        <f>ABS(BK590)</f>
        <v/>
      </c>
      <c r="BK590" s="34">
        <f>AY590-(J590-L590+N590-Q590)</f>
        <v/>
      </c>
      <c r="BL590" s="34">
        <f>IF(AND(BK590&gt;0,MIN($F590:$G590)&lt;150,$E590="Enerji Açığı"),-100*BK590*1.03,IF(AND(BK590&gt;0,MIN($F590:$G590)&lt;150,$E590="Enerji Fazlası"),-100*BK590*1.06,IF(AND(BK590&gt;0,MIN($F590:$G590)&gt;=150,$E590="Enerji Açığı"),BK590*MIN($F590:$G590)*0.97,IF(AND(BK590&gt;0,MIN($F590:$G590)&gt;=150,$E590="Enerji Fazlası"),BK590*MIN($F590:$G590)*0.94,IF(AND(BK590&lt;0,MAX($F590:$G590)=4500,$E590="Enerji Açığı"),4500*1.05*1.06*BK590,IF(AND(BK590&lt;0,MAX($F590:$G590)=4500,$E590="Enerji Fazlası"),4500*1.05*1.03*BK590,IF(AND(BK590&lt;0,$E590="Enerji Açığı"),MAX($F590,$G590,150)*BK590*1.06,IF(AND(BK590&lt;0,$E590="Enerji Fazlası"),MAX($F590,$G590,150)*BK590*1.03,IF(AND(BK590&lt;0,$E590="Dengede"),MAX($F590:$G590,150)*1.03*BK590,MIN($F590:$G590)*0.97*BK590)))))))))</f>
        <v/>
      </c>
      <c r="BM590" s="34">
        <f>BE590-BI590-BN590</f>
        <v/>
      </c>
      <c r="BN590" s="34">
        <f>BB590</f>
        <v/>
      </c>
      <c r="BO590" s="34">
        <f>BE590-BI590</f>
        <v/>
      </c>
      <c r="BP590" s="34">
        <f>IF(AY590=0,0,BO590/AY590)</f>
        <v/>
      </c>
      <c r="BQ590" s="34">
        <f>MAX((AY590+MAX((-J590+L590-N590+Q590),0)),(MAX((J590-L590+N590-Q590),0)))</f>
        <v/>
      </c>
      <c r="BR590" s="82">
        <f>IFERROR(ABS(BK590/BQ590),0)</f>
        <v/>
      </c>
      <c r="BS590" s="34">
        <f>IF(BR590&lt;=0.1,0,BK590/BR590*(BR590-0.1))</f>
        <v/>
      </c>
      <c r="BT590" s="34">
        <f>IF((BS590)&lt;0,MAX(F590:G590)*(BS590)*1.03,MIN(F590:G590)*(BS590)*0.97)</f>
        <v/>
      </c>
      <c r="BU590" s="34">
        <f>IF(BR590&gt;0.1,1,0)</f>
        <v/>
      </c>
      <c r="BV590" s="34">
        <f>BF590+BG590+BH590+BY590-CA590</f>
        <v/>
      </c>
      <c r="BW590" s="34">
        <f>ABS(BX590)</f>
        <v/>
      </c>
      <c r="BX590" s="34">
        <f>AY590-(J590-L590+N590-Q590+T590-X590)</f>
        <v/>
      </c>
      <c r="BY590" s="34">
        <f>IF(AND(BX590&gt;0,MIN($F590:$G590)&lt;150,$E590="Enerji Açığı"),-100*BX590*1.03,IF(AND(BX590&gt;0,MIN($F590:$G590)&lt;150,$E590="Enerji Fazlası"),-100*BX590*1.06,IF(AND(BX590&gt;0,MIN($F590:$G590)&gt;=150,$E590="Enerji Açığı"),BX590*MIN($F590:$G590)*0.97,IF(AND(BX590&gt;0,MIN($F590:$G590)&gt;=150,$E590="Enerji Fazlası"),BX590*MIN($F590:$G590)*0.94,IF(AND(BX590&lt;0,MAX($F590:$G590)=4500,$E590="Enerji Açığı"),4500*1.05*1.06*BX590,IF(AND(BX590&lt;0,MAX($F590:$G590)=4500,$E590="Enerji Fazlası"),4500*1.05*1.03*BX590,IF(AND(BX590&lt;0,$E590="Enerji Açığı"),MAX($F590,$G590,150)*BX590*1.06,IF(AND(BX590&lt;0,$E590="Enerji Fazlası"),MAX($F590,$G590,150)*BX590*1.03,IF(AND(BX590&lt;0,$E590="Dengede"),MAX($F590:$G590,150)*1.03*BX590,MIN($F590:$G590)*0.97*BX590)))))))))</f>
        <v/>
      </c>
      <c r="BZ590" s="34">
        <f>BE590-BV590-CA590</f>
        <v/>
      </c>
      <c r="CA590" s="34">
        <f>BD590</f>
        <v/>
      </c>
      <c r="CB590" s="33">
        <f>BE590-BV590</f>
        <v/>
      </c>
      <c r="CC590" s="34">
        <f>IF(AY590=0,0,CB590/AY590)</f>
        <v/>
      </c>
      <c r="CD590" s="34">
        <f>MAX((AY590+MAX((-J590+L590-N590+Q590-T590+X590),0)),(MAX((J590-L590+N590-Q590+T590-X590),0)))</f>
        <v/>
      </c>
      <c r="CE590" s="82">
        <f>IFERROR(ABS(BX590/CD590),0)</f>
        <v/>
      </c>
      <c r="CF590" s="34">
        <f>IF(CE590&lt;=0.1,0,BX590/CE590*(CE590-0.1))</f>
        <v/>
      </c>
      <c r="CG590" s="34">
        <f>IF((CF590)&lt;0,MAX(F590:G590)*(CF590)*1.03,MIN(F590:G590)*(CF590)*0.97)</f>
        <v/>
      </c>
      <c r="CH590" s="34">
        <f>IF(CE590&gt;0.1,1,0)</f>
        <v/>
      </c>
      <c r="CI590" s="34">
        <f>(F590*BX590)-BY590</f>
        <v/>
      </c>
      <c r="CJ590" s="34">
        <f>IF(AY590=0,0,CI590/AY590)</f>
        <v/>
      </c>
    </row>
    <row r="591">
      <c r="A591" s="29">
        <f>[1]FİYATLAR!A566</f>
        <v/>
      </c>
      <c r="B591" s="29">
        <f>[1]FİYATLAR!B590</f>
        <v/>
      </c>
      <c r="C591" s="35">
        <f>INT(A591)</f>
        <v/>
      </c>
      <c r="D591" s="36">
        <f>MONTH(A591)</f>
        <v/>
      </c>
      <c r="E591" s="147">
        <f>[1]FİYATLAR!G566</f>
        <v/>
      </c>
      <c r="F591" s="30">
        <f>[1]FİYATLAR!C566</f>
        <v/>
      </c>
      <c r="G591" s="30">
        <f>[1]FİYATLAR!E566</f>
        <v/>
      </c>
      <c r="H591" s="30">
        <f>[1]FİYATLAR!D566</f>
        <v/>
      </c>
      <c r="I591" s="30">
        <f>[1]FİYATLAR!F566</f>
        <v/>
      </c>
      <c r="J591" s="119" t="n">
        <v>0</v>
      </c>
      <c r="K591" s="34">
        <f>F591*J591</f>
        <v/>
      </c>
      <c r="L591" s="119" t="n"/>
      <c r="M591" s="34">
        <f>L591*F591</f>
        <v/>
      </c>
      <c r="N591" s="119" t="n"/>
      <c r="O591" s="34">
        <f>F591</f>
        <v/>
      </c>
      <c r="P591" s="34">
        <f>N591*O591</f>
        <v/>
      </c>
      <c r="Q591" s="117" t="n">
        <v>0</v>
      </c>
      <c r="R591" s="34">
        <f>F591</f>
        <v/>
      </c>
      <c r="S591" s="34">
        <f>R591*Q591</f>
        <v/>
      </c>
      <c r="T591" s="34">
        <f>SUMIFS('[1]GİP VERİLERİ'!$C:$C,'[1]GİP VERİLERİ'!$B:$B,A591,'[1]GİP VERİLERİ'!$M:$M,"40X000000104782K",'[1]GİP VERİLERİ'!$G:$G,"SELL")</f>
        <v/>
      </c>
      <c r="U591" s="34">
        <f>IFERROR(W591/T591,0)</f>
        <v/>
      </c>
      <c r="V591" s="34">
        <f>IF(U591=0,0,U591-F591)</f>
        <v/>
      </c>
      <c r="W591" s="34">
        <f>SUMIFS('[1]GİP VERİLERİ'!$O:$O,'[1]GİP VERİLERİ'!$B:$B,A591,'[1]GİP VERİLERİ'!$M:$M,"40X000000104782K",'[1]GİP VERİLERİ'!$G:$G,"SELL")</f>
        <v/>
      </c>
      <c r="X591" s="34">
        <f>SUMIFS('[1]GİP VERİLERİ'!$C:$C,'[1]GİP VERİLERİ'!$B:$B,A591,'[1]GİP VERİLERİ'!$M:$M,"40X000000104782K",'[1]GİP VERİLERİ'!$G:$G,"BUY")</f>
        <v/>
      </c>
      <c r="Y591" s="34">
        <f>IFERROR(AA591/X591,0)</f>
        <v/>
      </c>
      <c r="Z591" s="34">
        <f>IF(Y591=0,0,F591-Y591)</f>
        <v/>
      </c>
      <c r="AA591" s="34">
        <f>SUMIFS('[1]GİP VERİLERİ'!$O:$O,'[1]GİP VERİLERİ'!$B:$B,A591,'[1]GİP VERİLERİ'!$M:$M,"40X000000104782K",'[1]GİP VERİLERİ'!$G:$G,"BUY")</f>
        <v/>
      </c>
      <c r="AB591" s="34">
        <f>'[1]GÖP VERİLERİ'!H592</f>
        <v/>
      </c>
      <c r="AC591" s="34">
        <f>'[1]GÖP VERİLERİ'!I592</f>
        <v/>
      </c>
      <c r="AD591" s="34">
        <f>IF(AB591&gt;AC591*1.05,AB591-AC591*1.05,IF(AB591&lt;AC591*0.95,AC591*0.95-AB591,0))</f>
        <v/>
      </c>
      <c r="AE591" s="34">
        <f>MAX(F591,G591,750)*0.05*AD591</f>
        <v/>
      </c>
      <c r="AF591" s="34">
        <f>'[1]GÖP VERİLERİ'!J592</f>
        <v/>
      </c>
      <c r="AG591" s="34">
        <f>IF(AB591&gt;AF591*1.05,AB591-AF591*1.05,IF(AB591&lt;AF591*0.95,AF591*0.95-AB591,0))</f>
        <v/>
      </c>
      <c r="AH591" s="34">
        <f>MAX(I591,J591,750)*0.05*AG591</f>
        <v/>
      </c>
      <c r="AI591">
        <f>'[1]GÖP VERİLERİ'!E592</f>
        <v/>
      </c>
      <c r="AJ591">
        <f>'[1]GÖP VERİLERİ'!F592</f>
        <v/>
      </c>
      <c r="AK591" s="34">
        <f>IF(AI591&gt;AJ591*1.05,AI591-AJ591*1.05,IF(AI591&lt;AJ591*0.95,AJ591*0.95-AI591,0))</f>
        <v/>
      </c>
      <c r="AL591" s="34">
        <f>MAX(F591,G591,750)*0.05*AK591</f>
        <v/>
      </c>
      <c r="AM591" s="39">
        <f>'[1]GÖP VERİLERİ'!G592</f>
        <v/>
      </c>
      <c r="AN591" s="34">
        <f>IF(AI591&gt;AM591*1.05,AI591-AM591*1.05,IF(AI591&lt;AM591*0.95,AM591*0.95-AI591,0))</f>
        <v/>
      </c>
      <c r="AO591" s="34">
        <f>MAX(F591,G591,750)*0.05*AN591</f>
        <v/>
      </c>
      <c r="AP591" s="34">
        <f>'[1]GÖP VERİLERİ'!B592</f>
        <v/>
      </c>
      <c r="AQ591" s="34">
        <f>'[1]GÖP VERİLERİ'!C592</f>
        <v/>
      </c>
      <c r="AR591" s="34">
        <f>IF(AP591&gt;AQ591*1.05,AP591-AQ591*1.05,IF(AP591&lt;AQ591*0.95,AQ591*0.95-AP591,0))</f>
        <v/>
      </c>
      <c r="AS591" s="34">
        <f>MAX(F591:G591,750)*0.05*AR591</f>
        <v/>
      </c>
      <c r="AT591">
        <f>'[1]GÖP VERİLERİ'!D592</f>
        <v/>
      </c>
      <c r="AU591" s="34">
        <f>IF(AP591&gt;AT591*1.05,AP591-AT591*1.05,IF(AP591&lt;AT591*0.95,AT591*0.95-AP591,0))</f>
        <v/>
      </c>
      <c r="AV591" s="34">
        <f>MAX(F591:G591,750)*0.05*AU591</f>
        <v/>
      </c>
      <c r="AW591" s="34">
        <f>AC591+AJ591+AQ591</f>
        <v/>
      </c>
      <c r="AX591" s="34">
        <f>AF591+AM591+AT591</f>
        <v/>
      </c>
      <c r="AY591" s="34">
        <f>AB591+AI591+AP591</f>
        <v/>
      </c>
      <c r="AZ591" s="34" t="n">
        <v>0</v>
      </c>
      <c r="BA591" s="34">
        <f>AD591+AK591+AR591</f>
        <v/>
      </c>
      <c r="BB591" s="34">
        <f>MAX(F591:G591,750)*0.05*BA591</f>
        <v/>
      </c>
      <c r="BC591" s="34">
        <f>AG591+AN591+AU591</f>
        <v/>
      </c>
      <c r="BD591" s="34">
        <f>MAX(F591:G591,750)*0.05*BC591</f>
        <v/>
      </c>
      <c r="BE591" s="34">
        <f>F591*AY591</f>
        <v/>
      </c>
      <c r="BF591" s="34">
        <f>K591-M591</f>
        <v/>
      </c>
      <c r="BG591" s="34">
        <f>P591-S591</f>
        <v/>
      </c>
      <c r="BH591" s="34">
        <f>W591-AA591</f>
        <v/>
      </c>
      <c r="BI591" s="34">
        <f>BF591+BG591+BL591-BN591</f>
        <v/>
      </c>
      <c r="BJ591" s="34">
        <f>ABS(BK591)</f>
        <v/>
      </c>
      <c r="BK591" s="34">
        <f>AY591-(J591-L591+N591-Q591)</f>
        <v/>
      </c>
      <c r="BL591" s="34">
        <f>IF(AND(BK591&gt;0,MIN($F591:$G591)&lt;150,$E591="Enerji Açığı"),-100*BK591*1.03,IF(AND(BK591&gt;0,MIN($F591:$G591)&lt;150,$E591="Enerji Fazlası"),-100*BK591*1.06,IF(AND(BK591&gt;0,MIN($F591:$G591)&gt;=150,$E591="Enerji Açığı"),BK591*MIN($F591:$G591)*0.97,IF(AND(BK591&gt;0,MIN($F591:$G591)&gt;=150,$E591="Enerji Fazlası"),BK591*MIN($F591:$G591)*0.94,IF(AND(BK591&lt;0,MAX($F591:$G591)=4500,$E591="Enerji Açığı"),4500*1.05*1.06*BK591,IF(AND(BK591&lt;0,MAX($F591:$G591)=4500,$E591="Enerji Fazlası"),4500*1.05*1.03*BK591,IF(AND(BK591&lt;0,$E591="Enerji Açığı"),MAX($F591,$G591,150)*BK591*1.06,IF(AND(BK591&lt;0,$E591="Enerji Fazlası"),MAX($F591,$G591,150)*BK591*1.03,IF(AND(BK591&lt;0,$E591="Dengede"),MAX($F591:$G591,150)*1.03*BK591,MIN($F591:$G591)*0.97*BK591)))))))))</f>
        <v/>
      </c>
      <c r="BM591" s="34">
        <f>BE591-BI591-BN591</f>
        <v/>
      </c>
      <c r="BN591" s="34">
        <f>BB591</f>
        <v/>
      </c>
      <c r="BO591" s="34">
        <f>BE591-BI591</f>
        <v/>
      </c>
      <c r="BP591" s="34">
        <f>IF(AY591=0,0,BO591/AY591)</f>
        <v/>
      </c>
      <c r="BQ591" s="34">
        <f>MAX((AY591+MAX((-J591+L591-N591+Q591),0)),(MAX((J591-L591+N591-Q591),0)))</f>
        <v/>
      </c>
      <c r="BR591" s="82">
        <f>IFERROR(ABS(BK591/BQ591),0)</f>
        <v/>
      </c>
      <c r="BS591" s="34">
        <f>IF(BR591&lt;=0.1,0,BK591/BR591*(BR591-0.1))</f>
        <v/>
      </c>
      <c r="BT591" s="34">
        <f>IF((BS591)&lt;0,MAX(F591:G591)*(BS591)*1.03,MIN(F591:G591)*(BS591)*0.97)</f>
        <v/>
      </c>
      <c r="BU591" s="34">
        <f>IF(BR591&gt;0.1,1,0)</f>
        <v/>
      </c>
      <c r="BV591" s="34">
        <f>BF591+BG591+BH591+BY591-CA591</f>
        <v/>
      </c>
      <c r="BW591" s="34">
        <f>ABS(BX591)</f>
        <v/>
      </c>
      <c r="BX591" s="34">
        <f>AY591-(J591-L591+N591-Q591+T591-X591)</f>
        <v/>
      </c>
      <c r="BY591" s="34">
        <f>IF(AND(BX591&gt;0,MIN($F591:$G591)&lt;150,$E591="Enerji Açığı"),-100*BX591*1.03,IF(AND(BX591&gt;0,MIN($F591:$G591)&lt;150,$E591="Enerji Fazlası"),-100*BX591*1.06,IF(AND(BX591&gt;0,MIN($F591:$G591)&gt;=150,$E591="Enerji Açığı"),BX591*MIN($F591:$G591)*0.97,IF(AND(BX591&gt;0,MIN($F591:$G591)&gt;=150,$E591="Enerji Fazlası"),BX591*MIN($F591:$G591)*0.94,IF(AND(BX591&lt;0,MAX($F591:$G591)=4500,$E591="Enerji Açığı"),4500*1.05*1.06*BX591,IF(AND(BX591&lt;0,MAX($F591:$G591)=4500,$E591="Enerji Fazlası"),4500*1.05*1.03*BX591,IF(AND(BX591&lt;0,$E591="Enerji Açığı"),MAX($F591,$G591,150)*BX591*1.06,IF(AND(BX591&lt;0,$E591="Enerji Fazlası"),MAX($F591,$G591,150)*BX591*1.03,IF(AND(BX591&lt;0,$E591="Dengede"),MAX($F591:$G591,150)*1.03*BX591,MIN($F591:$G591)*0.97*BX591)))))))))</f>
        <v/>
      </c>
      <c r="BZ591" s="34">
        <f>BE591-BV591-CA591</f>
        <v/>
      </c>
      <c r="CA591" s="34">
        <f>BD591</f>
        <v/>
      </c>
      <c r="CB591" s="33">
        <f>BE591-BV591</f>
        <v/>
      </c>
      <c r="CC591" s="34">
        <f>IF(AY591=0,0,CB591/AY591)</f>
        <v/>
      </c>
      <c r="CD591" s="34">
        <f>MAX((AY591+MAX((-J591+L591-N591+Q591-T591+X591),0)),(MAX((J591-L591+N591-Q591+T591-X591),0)))</f>
        <v/>
      </c>
      <c r="CE591" s="82">
        <f>IFERROR(ABS(BX591/CD591),0)</f>
        <v/>
      </c>
      <c r="CF591" s="34">
        <f>IF(CE591&lt;=0.1,0,BX591/CE591*(CE591-0.1))</f>
        <v/>
      </c>
      <c r="CG591" s="34">
        <f>IF((CF591)&lt;0,MAX(F591:G591)*(CF591)*1.03,MIN(F591:G591)*(CF591)*0.97)</f>
        <v/>
      </c>
      <c r="CH591" s="34">
        <f>IF(CE591&gt;0.1,1,0)</f>
        <v/>
      </c>
      <c r="CI591" s="34">
        <f>(F591*BX591)-BY591</f>
        <v/>
      </c>
      <c r="CJ591" s="34">
        <f>IF(AY591=0,0,CI591/AY591)</f>
        <v/>
      </c>
    </row>
    <row r="592">
      <c r="A592" s="29">
        <f>[1]FİYATLAR!A567</f>
        <v/>
      </c>
      <c r="B592" s="29">
        <f>[1]FİYATLAR!B591</f>
        <v/>
      </c>
      <c r="C592" s="35">
        <f>INT(A592)</f>
        <v/>
      </c>
      <c r="D592" s="36">
        <f>MONTH(A592)</f>
        <v/>
      </c>
      <c r="E592" s="147">
        <f>[1]FİYATLAR!G567</f>
        <v/>
      </c>
      <c r="F592" s="30">
        <f>[1]FİYATLAR!C567</f>
        <v/>
      </c>
      <c r="G592" s="30">
        <f>[1]FİYATLAR!E567</f>
        <v/>
      </c>
      <c r="H592" s="30">
        <f>[1]FİYATLAR!D567</f>
        <v/>
      </c>
      <c r="I592" s="30">
        <f>[1]FİYATLAR!F567</f>
        <v/>
      </c>
      <c r="J592" s="119" t="n">
        <v>0</v>
      </c>
      <c r="K592" s="34">
        <f>F592*J592</f>
        <v/>
      </c>
      <c r="L592" s="119" t="n"/>
      <c r="M592" s="34">
        <f>L592*F592</f>
        <v/>
      </c>
      <c r="N592" s="119" t="n"/>
      <c r="O592" s="34">
        <f>F592</f>
        <v/>
      </c>
      <c r="P592" s="34">
        <f>N592*O592</f>
        <v/>
      </c>
      <c r="Q592" s="117" t="n">
        <v>0</v>
      </c>
      <c r="R592" s="34">
        <f>F592</f>
        <v/>
      </c>
      <c r="S592" s="34">
        <f>R592*Q592</f>
        <v/>
      </c>
      <c r="T592" s="34">
        <f>SUMIFS('[1]GİP VERİLERİ'!$C:$C,'[1]GİP VERİLERİ'!$B:$B,A592,'[1]GİP VERİLERİ'!$M:$M,"40X000000104782K",'[1]GİP VERİLERİ'!$G:$G,"SELL")</f>
        <v/>
      </c>
      <c r="U592" s="34">
        <f>IFERROR(W592/T592,0)</f>
        <v/>
      </c>
      <c r="V592" s="34">
        <f>IF(U592=0,0,U592-F592)</f>
        <v/>
      </c>
      <c r="W592" s="34">
        <f>SUMIFS('[1]GİP VERİLERİ'!$O:$O,'[1]GİP VERİLERİ'!$B:$B,A592,'[1]GİP VERİLERİ'!$M:$M,"40X000000104782K",'[1]GİP VERİLERİ'!$G:$G,"SELL")</f>
        <v/>
      </c>
      <c r="X592" s="34">
        <f>SUMIFS('[1]GİP VERİLERİ'!$C:$C,'[1]GİP VERİLERİ'!$B:$B,A592,'[1]GİP VERİLERİ'!$M:$M,"40X000000104782K",'[1]GİP VERİLERİ'!$G:$G,"BUY")</f>
        <v/>
      </c>
      <c r="Y592" s="34">
        <f>IFERROR(AA592/X592,0)</f>
        <v/>
      </c>
      <c r="Z592" s="34">
        <f>IF(Y592=0,0,F592-Y592)</f>
        <v/>
      </c>
      <c r="AA592" s="34">
        <f>SUMIFS('[1]GİP VERİLERİ'!$O:$O,'[1]GİP VERİLERİ'!$B:$B,A592,'[1]GİP VERİLERİ'!$M:$M,"40X000000104782K",'[1]GİP VERİLERİ'!$G:$G,"BUY")</f>
        <v/>
      </c>
      <c r="AB592" s="34">
        <f>'[1]GÖP VERİLERİ'!H593</f>
        <v/>
      </c>
      <c r="AC592" s="34">
        <f>'[1]GÖP VERİLERİ'!I593</f>
        <v/>
      </c>
      <c r="AD592" s="34">
        <f>IF(AB592&gt;AC592*1.05,AB592-AC592*1.05,IF(AB592&lt;AC592*0.95,AC592*0.95-AB592,0))</f>
        <v/>
      </c>
      <c r="AE592" s="34">
        <f>MAX(F592,G592,750)*0.05*AD592</f>
        <v/>
      </c>
      <c r="AF592" s="34">
        <f>'[1]GÖP VERİLERİ'!J593</f>
        <v/>
      </c>
      <c r="AG592" s="34">
        <f>IF(AB592&gt;AF592*1.05,AB592-AF592*1.05,IF(AB592&lt;AF592*0.95,AF592*0.95-AB592,0))</f>
        <v/>
      </c>
      <c r="AH592" s="34">
        <f>MAX(I592,J592,750)*0.05*AG592</f>
        <v/>
      </c>
      <c r="AI592">
        <f>'[1]GÖP VERİLERİ'!E593</f>
        <v/>
      </c>
      <c r="AJ592">
        <f>'[1]GÖP VERİLERİ'!F593</f>
        <v/>
      </c>
      <c r="AK592" s="34">
        <f>IF(AI592&gt;AJ592*1.05,AI592-AJ592*1.05,IF(AI592&lt;AJ592*0.95,AJ592*0.95-AI592,0))</f>
        <v/>
      </c>
      <c r="AL592" s="34">
        <f>MAX(F592,G592,750)*0.05*AK592</f>
        <v/>
      </c>
      <c r="AM592" s="39">
        <f>'[1]GÖP VERİLERİ'!G593</f>
        <v/>
      </c>
      <c r="AN592" s="34">
        <f>IF(AI592&gt;AM592*1.05,AI592-AM592*1.05,IF(AI592&lt;AM592*0.95,AM592*0.95-AI592,0))</f>
        <v/>
      </c>
      <c r="AO592" s="34">
        <f>MAX(F592,G592,750)*0.05*AN592</f>
        <v/>
      </c>
      <c r="AP592" s="34">
        <f>'[1]GÖP VERİLERİ'!B593</f>
        <v/>
      </c>
      <c r="AQ592" s="34">
        <f>'[1]GÖP VERİLERİ'!C593</f>
        <v/>
      </c>
      <c r="AR592" s="34">
        <f>IF(AP592&gt;AQ592*1.05,AP592-AQ592*1.05,IF(AP592&lt;AQ592*0.95,AQ592*0.95-AP592,0))</f>
        <v/>
      </c>
      <c r="AS592" s="34">
        <f>MAX(F592:G592,750)*0.05*AR592</f>
        <v/>
      </c>
      <c r="AT592">
        <f>'[1]GÖP VERİLERİ'!D593</f>
        <v/>
      </c>
      <c r="AU592" s="34">
        <f>IF(AP592&gt;AT592*1.05,AP592-AT592*1.05,IF(AP592&lt;AT592*0.95,AT592*0.95-AP592,0))</f>
        <v/>
      </c>
      <c r="AV592" s="34">
        <f>MAX(F592:G592,750)*0.05*AU592</f>
        <v/>
      </c>
      <c r="AW592" s="34">
        <f>AC592+AJ592+AQ592</f>
        <v/>
      </c>
      <c r="AX592" s="34">
        <f>AF592+AM592+AT592</f>
        <v/>
      </c>
      <c r="AY592" s="34">
        <f>AB592+AI592+AP592</f>
        <v/>
      </c>
      <c r="AZ592" s="34" t="n">
        <v>0</v>
      </c>
      <c r="BA592" s="34">
        <f>AD592+AK592+AR592</f>
        <v/>
      </c>
      <c r="BB592" s="34">
        <f>MAX(F592:G592,750)*0.05*BA592</f>
        <v/>
      </c>
      <c r="BC592" s="34">
        <f>AG592+AN592+AU592</f>
        <v/>
      </c>
      <c r="BD592" s="34">
        <f>MAX(F592:G592,750)*0.05*BC592</f>
        <v/>
      </c>
      <c r="BE592" s="34">
        <f>F592*AY592</f>
        <v/>
      </c>
      <c r="BF592" s="34">
        <f>K592-M592</f>
        <v/>
      </c>
      <c r="BG592" s="34">
        <f>P592-S592</f>
        <v/>
      </c>
      <c r="BH592" s="34">
        <f>W592-AA592</f>
        <v/>
      </c>
      <c r="BI592" s="34">
        <f>BF592+BG592+BL592-BN592</f>
        <v/>
      </c>
      <c r="BJ592" s="34">
        <f>ABS(BK592)</f>
        <v/>
      </c>
      <c r="BK592" s="34">
        <f>AY592-(J592-L592+N592-Q592)</f>
        <v/>
      </c>
      <c r="BL592" s="34">
        <f>IF(AND(BK592&gt;0,MIN($F592:$G592)&lt;150,$E592="Enerji Açığı"),-100*BK592*1.03,IF(AND(BK592&gt;0,MIN($F592:$G592)&lt;150,$E592="Enerji Fazlası"),-100*BK592*1.06,IF(AND(BK592&gt;0,MIN($F592:$G592)&gt;=150,$E592="Enerji Açığı"),BK592*MIN($F592:$G592)*0.97,IF(AND(BK592&gt;0,MIN($F592:$G592)&gt;=150,$E592="Enerji Fazlası"),BK592*MIN($F592:$G592)*0.94,IF(AND(BK592&lt;0,MAX($F592:$G592)=4500,$E592="Enerji Açığı"),4500*1.05*1.06*BK592,IF(AND(BK592&lt;0,MAX($F592:$G592)=4500,$E592="Enerji Fazlası"),4500*1.05*1.03*BK592,IF(AND(BK592&lt;0,$E592="Enerji Açığı"),MAX($F592,$G592,150)*BK592*1.06,IF(AND(BK592&lt;0,$E592="Enerji Fazlası"),MAX($F592,$G592,150)*BK592*1.03,IF(AND(BK592&lt;0,$E592="Dengede"),MAX($F592:$G592,150)*1.03*BK592,MIN($F592:$G592)*0.97*BK592)))))))))</f>
        <v/>
      </c>
      <c r="BM592" s="34">
        <f>BE592-BI592-BN592</f>
        <v/>
      </c>
      <c r="BN592" s="34">
        <f>BB592</f>
        <v/>
      </c>
      <c r="BO592" s="34">
        <f>BE592-BI592</f>
        <v/>
      </c>
      <c r="BP592" s="34">
        <f>IF(AY592=0,0,BO592/AY592)</f>
        <v/>
      </c>
      <c r="BQ592" s="34">
        <f>MAX((AY592+MAX((-J592+L592-N592+Q592),0)),(MAX((J592-L592+N592-Q592),0)))</f>
        <v/>
      </c>
      <c r="BR592" s="82">
        <f>IFERROR(ABS(BK592/BQ592),0)</f>
        <v/>
      </c>
      <c r="BS592" s="34">
        <f>IF(BR592&lt;=0.1,0,BK592/BR592*(BR592-0.1))</f>
        <v/>
      </c>
      <c r="BT592" s="34">
        <f>IF((BS592)&lt;0,MAX(F592:G592)*(BS592)*1.03,MIN(F592:G592)*(BS592)*0.97)</f>
        <v/>
      </c>
      <c r="BU592" s="34">
        <f>IF(BR592&gt;0.1,1,0)</f>
        <v/>
      </c>
      <c r="BV592" s="34">
        <f>BF592+BG592+BH592+BY592-CA592</f>
        <v/>
      </c>
      <c r="BW592" s="34">
        <f>ABS(BX592)</f>
        <v/>
      </c>
      <c r="BX592" s="34">
        <f>AY592-(J592-L592+N592-Q592+T592-X592)</f>
        <v/>
      </c>
      <c r="BY592" s="34">
        <f>IF(AND(BX592&gt;0,MIN($F592:$G592)&lt;150,$E592="Enerji Açığı"),-100*BX592*1.03,IF(AND(BX592&gt;0,MIN($F592:$G592)&lt;150,$E592="Enerji Fazlası"),-100*BX592*1.06,IF(AND(BX592&gt;0,MIN($F592:$G592)&gt;=150,$E592="Enerji Açığı"),BX592*MIN($F592:$G592)*0.97,IF(AND(BX592&gt;0,MIN($F592:$G592)&gt;=150,$E592="Enerji Fazlası"),BX592*MIN($F592:$G592)*0.94,IF(AND(BX592&lt;0,MAX($F592:$G592)=4500,$E592="Enerji Açığı"),4500*1.05*1.06*BX592,IF(AND(BX592&lt;0,MAX($F592:$G592)=4500,$E592="Enerji Fazlası"),4500*1.05*1.03*BX592,IF(AND(BX592&lt;0,$E592="Enerji Açığı"),MAX($F592,$G592,150)*BX592*1.06,IF(AND(BX592&lt;0,$E592="Enerji Fazlası"),MAX($F592,$G592,150)*BX592*1.03,IF(AND(BX592&lt;0,$E592="Dengede"),MAX($F592:$G592,150)*1.03*BX592,MIN($F592:$G592)*0.97*BX592)))))))))</f>
        <v/>
      </c>
      <c r="BZ592" s="34">
        <f>BE592-BV592-CA592</f>
        <v/>
      </c>
      <c r="CA592" s="34">
        <f>BD592</f>
        <v/>
      </c>
      <c r="CB592" s="33">
        <f>BE592-BV592</f>
        <v/>
      </c>
      <c r="CC592" s="34">
        <f>IF(AY592=0,0,CB592/AY592)</f>
        <v/>
      </c>
      <c r="CD592" s="34">
        <f>MAX((AY592+MAX((-J592+L592-N592+Q592-T592+X592),0)),(MAX((J592-L592+N592-Q592+T592-X592),0)))</f>
        <v/>
      </c>
      <c r="CE592" s="82">
        <f>IFERROR(ABS(BX592/CD592),0)</f>
        <v/>
      </c>
      <c r="CF592" s="34">
        <f>IF(CE592&lt;=0.1,0,BX592/CE592*(CE592-0.1))</f>
        <v/>
      </c>
      <c r="CG592" s="34">
        <f>IF((CF592)&lt;0,MAX(F592:G592)*(CF592)*1.03,MIN(F592:G592)*(CF592)*0.97)</f>
        <v/>
      </c>
      <c r="CH592" s="34">
        <f>IF(CE592&gt;0.1,1,0)</f>
        <v/>
      </c>
      <c r="CI592" s="34">
        <f>(F592*BX592)-BY592</f>
        <v/>
      </c>
      <c r="CJ592" s="34">
        <f>IF(AY592=0,0,CI592/AY592)</f>
        <v/>
      </c>
    </row>
    <row r="593">
      <c r="A593" s="29">
        <f>[1]FİYATLAR!A568</f>
        <v/>
      </c>
      <c r="B593" s="29">
        <f>[1]FİYATLAR!B592</f>
        <v/>
      </c>
      <c r="C593" s="35">
        <f>INT(A593)</f>
        <v/>
      </c>
      <c r="D593" s="36">
        <f>MONTH(A593)</f>
        <v/>
      </c>
      <c r="E593" s="147">
        <f>[1]FİYATLAR!G568</f>
        <v/>
      </c>
      <c r="F593" s="30">
        <f>[1]FİYATLAR!C568</f>
        <v/>
      </c>
      <c r="G593" s="30">
        <f>[1]FİYATLAR!E568</f>
        <v/>
      </c>
      <c r="H593" s="30">
        <f>[1]FİYATLAR!D568</f>
        <v/>
      </c>
      <c r="I593" s="30">
        <f>[1]FİYATLAR!F568</f>
        <v/>
      </c>
      <c r="J593" s="119" t="n">
        <v>0</v>
      </c>
      <c r="K593" s="34">
        <f>F593*J593</f>
        <v/>
      </c>
      <c r="L593" s="119" t="n"/>
      <c r="M593" s="34">
        <f>L593*F593</f>
        <v/>
      </c>
      <c r="N593" s="119" t="n"/>
      <c r="O593" s="34">
        <f>F593</f>
        <v/>
      </c>
      <c r="P593" s="34">
        <f>N593*O593</f>
        <v/>
      </c>
      <c r="Q593" s="117" t="n">
        <v>0</v>
      </c>
      <c r="R593" s="34">
        <f>F593</f>
        <v/>
      </c>
      <c r="S593" s="34">
        <f>R593*Q593</f>
        <v/>
      </c>
      <c r="T593" s="34">
        <f>SUMIFS('[1]GİP VERİLERİ'!$C:$C,'[1]GİP VERİLERİ'!$B:$B,A593,'[1]GİP VERİLERİ'!$M:$M,"40X000000104782K",'[1]GİP VERİLERİ'!$G:$G,"SELL")</f>
        <v/>
      </c>
      <c r="U593" s="34">
        <f>IFERROR(W593/T593,0)</f>
        <v/>
      </c>
      <c r="V593" s="34">
        <f>IF(U593=0,0,U593-F593)</f>
        <v/>
      </c>
      <c r="W593" s="34">
        <f>SUMIFS('[1]GİP VERİLERİ'!$O:$O,'[1]GİP VERİLERİ'!$B:$B,A593,'[1]GİP VERİLERİ'!$M:$M,"40X000000104782K",'[1]GİP VERİLERİ'!$G:$G,"SELL")</f>
        <v/>
      </c>
      <c r="X593" s="34">
        <f>SUMIFS('[1]GİP VERİLERİ'!$C:$C,'[1]GİP VERİLERİ'!$B:$B,A593,'[1]GİP VERİLERİ'!$M:$M,"40X000000104782K",'[1]GİP VERİLERİ'!$G:$G,"BUY")</f>
        <v/>
      </c>
      <c r="Y593" s="34">
        <f>IFERROR(AA593/X593,0)</f>
        <v/>
      </c>
      <c r="Z593" s="34">
        <f>IF(Y593=0,0,F593-Y593)</f>
        <v/>
      </c>
      <c r="AA593" s="34">
        <f>SUMIFS('[1]GİP VERİLERİ'!$O:$O,'[1]GİP VERİLERİ'!$B:$B,A593,'[1]GİP VERİLERİ'!$M:$M,"40X000000104782K",'[1]GİP VERİLERİ'!$G:$G,"BUY")</f>
        <v/>
      </c>
      <c r="AB593" s="34">
        <f>'[1]GÖP VERİLERİ'!H594</f>
        <v/>
      </c>
      <c r="AC593" s="34">
        <f>'[1]GÖP VERİLERİ'!I594</f>
        <v/>
      </c>
      <c r="AD593" s="34">
        <f>IF(AB593&gt;AC593*1.05,AB593-AC593*1.05,IF(AB593&lt;AC593*0.95,AC593*0.95-AB593,0))</f>
        <v/>
      </c>
      <c r="AE593" s="34">
        <f>MAX(F593,G593,750)*0.05*AD593</f>
        <v/>
      </c>
      <c r="AF593" s="34">
        <f>'[1]GÖP VERİLERİ'!J594</f>
        <v/>
      </c>
      <c r="AG593" s="34">
        <f>IF(AB593&gt;AF593*1.05,AB593-AF593*1.05,IF(AB593&lt;AF593*0.95,AF593*0.95-AB593,0))</f>
        <v/>
      </c>
      <c r="AH593" s="34">
        <f>MAX(I593,J593,750)*0.05*AG593</f>
        <v/>
      </c>
      <c r="AI593">
        <f>'[1]GÖP VERİLERİ'!E594</f>
        <v/>
      </c>
      <c r="AJ593">
        <f>'[1]GÖP VERİLERİ'!F594</f>
        <v/>
      </c>
      <c r="AK593" s="34">
        <f>IF(AI593&gt;AJ593*1.05,AI593-AJ593*1.05,IF(AI593&lt;AJ593*0.95,AJ593*0.95-AI593,0))</f>
        <v/>
      </c>
      <c r="AL593" s="34">
        <f>MAX(F593,G593,750)*0.05*AK593</f>
        <v/>
      </c>
      <c r="AM593" s="39">
        <f>'[1]GÖP VERİLERİ'!G594</f>
        <v/>
      </c>
      <c r="AN593" s="34">
        <f>IF(AI593&gt;AM593*1.05,AI593-AM593*1.05,IF(AI593&lt;AM593*0.95,AM593*0.95-AI593,0))</f>
        <v/>
      </c>
      <c r="AO593" s="34">
        <f>MAX(F593,G593,750)*0.05*AN593</f>
        <v/>
      </c>
      <c r="AP593" s="34">
        <f>'[1]GÖP VERİLERİ'!B594</f>
        <v/>
      </c>
      <c r="AQ593" s="34">
        <f>'[1]GÖP VERİLERİ'!C594</f>
        <v/>
      </c>
      <c r="AR593" s="34">
        <f>IF(AP593&gt;AQ593*1.05,AP593-AQ593*1.05,IF(AP593&lt;AQ593*0.95,AQ593*0.95-AP593,0))</f>
        <v/>
      </c>
      <c r="AS593" s="34">
        <f>MAX(F593:G593,750)*0.05*AR593</f>
        <v/>
      </c>
      <c r="AT593">
        <f>'[1]GÖP VERİLERİ'!D594</f>
        <v/>
      </c>
      <c r="AU593" s="34">
        <f>IF(AP593&gt;AT593*1.05,AP593-AT593*1.05,IF(AP593&lt;AT593*0.95,AT593*0.95-AP593,0))</f>
        <v/>
      </c>
      <c r="AV593" s="34">
        <f>MAX(F593:G593,750)*0.05*AU593</f>
        <v/>
      </c>
      <c r="AW593" s="34">
        <f>AC593+AJ593+AQ593</f>
        <v/>
      </c>
      <c r="AX593" s="34">
        <f>AF593+AM593+AT593</f>
        <v/>
      </c>
      <c r="AY593" s="34">
        <f>AB593+AI593+AP593</f>
        <v/>
      </c>
      <c r="AZ593" s="34" t="n">
        <v>0</v>
      </c>
      <c r="BA593" s="34">
        <f>AD593+AK593+AR593</f>
        <v/>
      </c>
      <c r="BB593" s="34">
        <f>MAX(F593:G593,750)*0.05*BA593</f>
        <v/>
      </c>
      <c r="BC593" s="34">
        <f>AG593+AN593+AU593</f>
        <v/>
      </c>
      <c r="BD593" s="34">
        <f>MAX(F593:G593,750)*0.05*BC593</f>
        <v/>
      </c>
      <c r="BE593" s="34">
        <f>F593*AY593</f>
        <v/>
      </c>
      <c r="BF593" s="34">
        <f>K593-M593</f>
        <v/>
      </c>
      <c r="BG593" s="34">
        <f>P593-S593</f>
        <v/>
      </c>
      <c r="BH593" s="34">
        <f>W593-AA593</f>
        <v/>
      </c>
      <c r="BI593" s="34">
        <f>BF593+BG593+BL593-BN593</f>
        <v/>
      </c>
      <c r="BJ593" s="34">
        <f>ABS(BK593)</f>
        <v/>
      </c>
      <c r="BK593" s="34">
        <f>AY593-(J593-L593+N593-Q593)</f>
        <v/>
      </c>
      <c r="BL593" s="34">
        <f>IF(AND(BK593&gt;0,MIN($F593:$G593)&lt;150,$E593="Enerji Açığı"),-100*BK593*1.03,IF(AND(BK593&gt;0,MIN($F593:$G593)&lt;150,$E593="Enerji Fazlası"),-100*BK593*1.06,IF(AND(BK593&gt;0,MIN($F593:$G593)&gt;=150,$E593="Enerji Açığı"),BK593*MIN($F593:$G593)*0.97,IF(AND(BK593&gt;0,MIN($F593:$G593)&gt;=150,$E593="Enerji Fazlası"),BK593*MIN($F593:$G593)*0.94,IF(AND(BK593&lt;0,MAX($F593:$G593)=4500,$E593="Enerji Açığı"),4500*1.05*1.06*BK593,IF(AND(BK593&lt;0,MAX($F593:$G593)=4500,$E593="Enerji Fazlası"),4500*1.05*1.03*BK593,IF(AND(BK593&lt;0,$E593="Enerji Açığı"),MAX($F593,$G593,150)*BK593*1.06,IF(AND(BK593&lt;0,$E593="Enerji Fazlası"),MAX($F593,$G593,150)*BK593*1.03,IF(AND(BK593&lt;0,$E593="Dengede"),MAX($F593:$G593,150)*1.03*BK593,MIN($F593:$G593)*0.97*BK593)))))))))</f>
        <v/>
      </c>
      <c r="BM593" s="34">
        <f>BE593-BI593-BN593</f>
        <v/>
      </c>
      <c r="BN593" s="34">
        <f>BB593</f>
        <v/>
      </c>
      <c r="BO593" s="34">
        <f>BE593-BI593</f>
        <v/>
      </c>
      <c r="BP593" s="34">
        <f>IF(AY593=0,0,BO593/AY593)</f>
        <v/>
      </c>
      <c r="BQ593" s="34">
        <f>MAX((AY593+MAX((-J593+L593-N593+Q593),0)),(MAX((J593-L593+N593-Q593),0)))</f>
        <v/>
      </c>
      <c r="BR593" s="82">
        <f>IFERROR(ABS(BK593/BQ593),0)</f>
        <v/>
      </c>
      <c r="BS593" s="34">
        <f>IF(BR593&lt;=0.1,0,BK593/BR593*(BR593-0.1))</f>
        <v/>
      </c>
      <c r="BT593" s="34">
        <f>IF((BS593)&lt;0,MAX(F593:G593)*(BS593)*1.03,MIN(F593:G593)*(BS593)*0.97)</f>
        <v/>
      </c>
      <c r="BU593" s="34">
        <f>IF(BR593&gt;0.1,1,0)</f>
        <v/>
      </c>
      <c r="BV593" s="34">
        <f>BF593+BG593+BH593+BY593-CA593</f>
        <v/>
      </c>
      <c r="BW593" s="34">
        <f>ABS(BX593)</f>
        <v/>
      </c>
      <c r="BX593" s="34">
        <f>AY593-(J593-L593+N593-Q593+T593-X593)</f>
        <v/>
      </c>
      <c r="BY593" s="34">
        <f>IF(AND(BX593&gt;0,MIN($F593:$G593)&lt;150,$E593="Enerji Açığı"),-100*BX593*1.03,IF(AND(BX593&gt;0,MIN($F593:$G593)&lt;150,$E593="Enerji Fazlası"),-100*BX593*1.06,IF(AND(BX593&gt;0,MIN($F593:$G593)&gt;=150,$E593="Enerji Açığı"),BX593*MIN($F593:$G593)*0.97,IF(AND(BX593&gt;0,MIN($F593:$G593)&gt;=150,$E593="Enerji Fazlası"),BX593*MIN($F593:$G593)*0.94,IF(AND(BX593&lt;0,MAX($F593:$G593)=4500,$E593="Enerji Açığı"),4500*1.05*1.06*BX593,IF(AND(BX593&lt;0,MAX($F593:$G593)=4500,$E593="Enerji Fazlası"),4500*1.05*1.03*BX593,IF(AND(BX593&lt;0,$E593="Enerji Açığı"),MAX($F593,$G593,150)*BX593*1.06,IF(AND(BX593&lt;0,$E593="Enerji Fazlası"),MAX($F593,$G593,150)*BX593*1.03,IF(AND(BX593&lt;0,$E593="Dengede"),MAX($F593:$G593,150)*1.03*BX593,MIN($F593:$G593)*0.97*BX593)))))))))</f>
        <v/>
      </c>
      <c r="BZ593" s="34">
        <f>BE593-BV593-CA593</f>
        <v/>
      </c>
      <c r="CA593" s="34">
        <f>BD593</f>
        <v/>
      </c>
      <c r="CB593" s="33">
        <f>BE593-BV593</f>
        <v/>
      </c>
      <c r="CC593" s="34">
        <f>IF(AY593=0,0,CB593/AY593)</f>
        <v/>
      </c>
      <c r="CD593" s="34">
        <f>MAX((AY593+MAX((-J593+L593-N593+Q593-T593+X593),0)),(MAX((J593-L593+N593-Q593+T593-X593),0)))</f>
        <v/>
      </c>
      <c r="CE593" s="82">
        <f>IFERROR(ABS(BX593/CD593),0)</f>
        <v/>
      </c>
      <c r="CF593" s="34">
        <f>IF(CE593&lt;=0.1,0,BX593/CE593*(CE593-0.1))</f>
        <v/>
      </c>
      <c r="CG593" s="34">
        <f>IF((CF593)&lt;0,MAX(F593:G593)*(CF593)*1.03,MIN(F593:G593)*(CF593)*0.97)</f>
        <v/>
      </c>
      <c r="CH593" s="34">
        <f>IF(CE593&gt;0.1,1,0)</f>
        <v/>
      </c>
      <c r="CI593" s="34">
        <f>(F593*BX593)-BY593</f>
        <v/>
      </c>
      <c r="CJ593" s="34">
        <f>IF(AY593=0,0,CI593/AY593)</f>
        <v/>
      </c>
    </row>
    <row r="594">
      <c r="A594" s="29">
        <f>[1]FİYATLAR!A569</f>
        <v/>
      </c>
      <c r="B594" s="29">
        <f>[1]FİYATLAR!B593</f>
        <v/>
      </c>
      <c r="C594" s="35">
        <f>INT(A594)</f>
        <v/>
      </c>
      <c r="D594" s="36">
        <f>MONTH(A594)</f>
        <v/>
      </c>
      <c r="E594" s="147">
        <f>[1]FİYATLAR!G569</f>
        <v/>
      </c>
      <c r="F594" s="30">
        <f>[1]FİYATLAR!C569</f>
        <v/>
      </c>
      <c r="G594" s="30">
        <f>[1]FİYATLAR!E569</f>
        <v/>
      </c>
      <c r="H594" s="30">
        <f>[1]FİYATLAR!D569</f>
        <v/>
      </c>
      <c r="I594" s="30">
        <f>[1]FİYATLAR!F569</f>
        <v/>
      </c>
      <c r="J594" s="119" t="n">
        <v>0</v>
      </c>
      <c r="K594" s="34">
        <f>F594*J594</f>
        <v/>
      </c>
      <c r="L594" s="119" t="n"/>
      <c r="M594" s="34">
        <f>L594*F594</f>
        <v/>
      </c>
      <c r="N594" s="119" t="n"/>
      <c r="O594" s="34">
        <f>F594</f>
        <v/>
      </c>
      <c r="P594" s="34">
        <f>N594*O594</f>
        <v/>
      </c>
      <c r="Q594" s="117" t="n">
        <v>0</v>
      </c>
      <c r="R594" s="34">
        <f>F594</f>
        <v/>
      </c>
      <c r="S594" s="34">
        <f>R594*Q594</f>
        <v/>
      </c>
      <c r="T594" s="34">
        <f>SUMIFS('[1]GİP VERİLERİ'!$C:$C,'[1]GİP VERİLERİ'!$B:$B,A594,'[1]GİP VERİLERİ'!$M:$M,"40X000000104782K",'[1]GİP VERİLERİ'!$G:$G,"SELL")</f>
        <v/>
      </c>
      <c r="U594" s="34">
        <f>IFERROR(W594/T594,0)</f>
        <v/>
      </c>
      <c r="V594" s="34">
        <f>IF(U594=0,0,U594-F594)</f>
        <v/>
      </c>
      <c r="W594" s="34">
        <f>SUMIFS('[1]GİP VERİLERİ'!$O:$O,'[1]GİP VERİLERİ'!$B:$B,A594,'[1]GİP VERİLERİ'!$M:$M,"40X000000104782K",'[1]GİP VERİLERİ'!$G:$G,"SELL")</f>
        <v/>
      </c>
      <c r="X594" s="34">
        <f>SUMIFS('[1]GİP VERİLERİ'!$C:$C,'[1]GİP VERİLERİ'!$B:$B,A594,'[1]GİP VERİLERİ'!$M:$M,"40X000000104782K",'[1]GİP VERİLERİ'!$G:$G,"BUY")</f>
        <v/>
      </c>
      <c r="Y594" s="34">
        <f>IFERROR(AA594/X594,0)</f>
        <v/>
      </c>
      <c r="Z594" s="34">
        <f>IF(Y594=0,0,F594-Y594)</f>
        <v/>
      </c>
      <c r="AA594" s="34">
        <f>SUMIFS('[1]GİP VERİLERİ'!$O:$O,'[1]GİP VERİLERİ'!$B:$B,A594,'[1]GİP VERİLERİ'!$M:$M,"40X000000104782K",'[1]GİP VERİLERİ'!$G:$G,"BUY")</f>
        <v/>
      </c>
      <c r="AB594" s="34">
        <f>'[1]GÖP VERİLERİ'!H595</f>
        <v/>
      </c>
      <c r="AC594" s="34">
        <f>'[1]GÖP VERİLERİ'!I595</f>
        <v/>
      </c>
      <c r="AD594" s="34">
        <f>IF(AB594&gt;AC594*1.05,AB594-AC594*1.05,IF(AB594&lt;AC594*0.95,AC594*0.95-AB594,0))</f>
        <v/>
      </c>
      <c r="AE594" s="34">
        <f>MAX(F594,G594,750)*0.05*AD594</f>
        <v/>
      </c>
      <c r="AF594" s="34">
        <f>'[1]GÖP VERİLERİ'!J595</f>
        <v/>
      </c>
      <c r="AG594" s="34">
        <f>IF(AB594&gt;AF594*1.05,AB594-AF594*1.05,IF(AB594&lt;AF594*0.95,AF594*0.95-AB594,0))</f>
        <v/>
      </c>
      <c r="AH594" s="34">
        <f>MAX(I594,J594,750)*0.05*AG594</f>
        <v/>
      </c>
      <c r="AI594">
        <f>'[1]GÖP VERİLERİ'!E595</f>
        <v/>
      </c>
      <c r="AJ594">
        <f>'[1]GÖP VERİLERİ'!F595</f>
        <v/>
      </c>
      <c r="AK594" s="34">
        <f>IF(AI594&gt;AJ594*1.05,AI594-AJ594*1.05,IF(AI594&lt;AJ594*0.95,AJ594*0.95-AI594,0))</f>
        <v/>
      </c>
      <c r="AL594" s="34">
        <f>MAX(F594,G594,750)*0.05*AK594</f>
        <v/>
      </c>
      <c r="AM594" s="39">
        <f>'[1]GÖP VERİLERİ'!G595</f>
        <v/>
      </c>
      <c r="AN594" s="34">
        <f>IF(AI594&gt;AM594*1.05,AI594-AM594*1.05,IF(AI594&lt;AM594*0.95,AM594*0.95-AI594,0))</f>
        <v/>
      </c>
      <c r="AO594" s="34">
        <f>MAX(F594,G594,750)*0.05*AN594</f>
        <v/>
      </c>
      <c r="AP594" s="34">
        <f>'[1]GÖP VERİLERİ'!B595</f>
        <v/>
      </c>
      <c r="AQ594" s="34">
        <f>'[1]GÖP VERİLERİ'!C595</f>
        <v/>
      </c>
      <c r="AR594" s="34">
        <f>IF(AP594&gt;AQ594*1.05,AP594-AQ594*1.05,IF(AP594&lt;AQ594*0.95,AQ594*0.95-AP594,0))</f>
        <v/>
      </c>
      <c r="AS594" s="34">
        <f>MAX(F594:G594,750)*0.05*AR594</f>
        <v/>
      </c>
      <c r="AT594">
        <f>'[1]GÖP VERİLERİ'!D595</f>
        <v/>
      </c>
      <c r="AU594" s="34">
        <f>IF(AP594&gt;AT594*1.05,AP594-AT594*1.05,IF(AP594&lt;AT594*0.95,AT594*0.95-AP594,0))</f>
        <v/>
      </c>
      <c r="AV594" s="34">
        <f>MAX(F594:G594,750)*0.05*AU594</f>
        <v/>
      </c>
      <c r="AW594" s="34">
        <f>AC594+AJ594+AQ594</f>
        <v/>
      </c>
      <c r="AX594" s="34">
        <f>AF594+AM594+AT594</f>
        <v/>
      </c>
      <c r="AY594" s="34">
        <f>AB594+AI594+AP594</f>
        <v/>
      </c>
      <c r="AZ594" s="34" t="n">
        <v>0</v>
      </c>
      <c r="BA594" s="34">
        <f>AD594+AK594+AR594</f>
        <v/>
      </c>
      <c r="BB594" s="34">
        <f>MAX(F594:G594,750)*0.05*BA594</f>
        <v/>
      </c>
      <c r="BC594" s="34">
        <f>AG594+AN594+AU594</f>
        <v/>
      </c>
      <c r="BD594" s="34">
        <f>MAX(F594:G594,750)*0.05*BC594</f>
        <v/>
      </c>
      <c r="BE594" s="34">
        <f>F594*AY594</f>
        <v/>
      </c>
      <c r="BF594" s="34">
        <f>K594-M594</f>
        <v/>
      </c>
      <c r="BG594" s="34">
        <f>P594-S594</f>
        <v/>
      </c>
      <c r="BH594" s="34">
        <f>W594-AA594</f>
        <v/>
      </c>
      <c r="BI594" s="34">
        <f>BF594+BG594+BL594-BN594</f>
        <v/>
      </c>
      <c r="BJ594" s="34">
        <f>ABS(BK594)</f>
        <v/>
      </c>
      <c r="BK594" s="34">
        <f>AY594-(J594-L594+N594-Q594)</f>
        <v/>
      </c>
      <c r="BL594" s="34">
        <f>IF(AND(BK594&gt;0,MIN($F594:$G594)&lt;150,$E594="Enerji Açığı"),-100*BK594*1.03,IF(AND(BK594&gt;0,MIN($F594:$G594)&lt;150,$E594="Enerji Fazlası"),-100*BK594*1.06,IF(AND(BK594&gt;0,MIN($F594:$G594)&gt;=150,$E594="Enerji Açığı"),BK594*MIN($F594:$G594)*0.97,IF(AND(BK594&gt;0,MIN($F594:$G594)&gt;=150,$E594="Enerji Fazlası"),BK594*MIN($F594:$G594)*0.94,IF(AND(BK594&lt;0,MAX($F594:$G594)=4500,$E594="Enerji Açığı"),4500*1.05*1.06*BK594,IF(AND(BK594&lt;0,MAX($F594:$G594)=4500,$E594="Enerji Fazlası"),4500*1.05*1.03*BK594,IF(AND(BK594&lt;0,$E594="Enerji Açığı"),MAX($F594,$G594,150)*BK594*1.06,IF(AND(BK594&lt;0,$E594="Enerji Fazlası"),MAX($F594,$G594,150)*BK594*1.03,IF(AND(BK594&lt;0,$E594="Dengede"),MAX($F594:$G594,150)*1.03*BK594,MIN($F594:$G594)*0.97*BK594)))))))))</f>
        <v/>
      </c>
      <c r="BM594" s="34">
        <f>BE594-BI594-BN594</f>
        <v/>
      </c>
      <c r="BN594" s="34">
        <f>BB594</f>
        <v/>
      </c>
      <c r="BO594" s="34">
        <f>BE594-BI594</f>
        <v/>
      </c>
      <c r="BP594" s="34">
        <f>IF(AY594=0,0,BO594/AY594)</f>
        <v/>
      </c>
      <c r="BQ594" s="34">
        <f>MAX((AY594+MAX((-J594+L594-N594+Q594),0)),(MAX((J594-L594+N594-Q594),0)))</f>
        <v/>
      </c>
      <c r="BR594" s="82">
        <f>IFERROR(ABS(BK594/BQ594),0)</f>
        <v/>
      </c>
      <c r="BS594" s="34">
        <f>IF(BR594&lt;=0.1,0,BK594/BR594*(BR594-0.1))</f>
        <v/>
      </c>
      <c r="BT594" s="34">
        <f>IF((BS594)&lt;0,MAX(F594:G594)*(BS594)*1.03,MIN(F594:G594)*(BS594)*0.97)</f>
        <v/>
      </c>
      <c r="BU594" s="34">
        <f>IF(BR594&gt;0.1,1,0)</f>
        <v/>
      </c>
      <c r="BV594" s="34">
        <f>BF594+BG594+BH594+BY594-CA594</f>
        <v/>
      </c>
      <c r="BW594" s="34">
        <f>ABS(BX594)</f>
        <v/>
      </c>
      <c r="BX594" s="34">
        <f>AY594-(J594-L594+N594-Q594+T594-X594)</f>
        <v/>
      </c>
      <c r="BY594" s="34">
        <f>IF(AND(BX594&gt;0,MIN($F594:$G594)&lt;150,$E594="Enerji Açığı"),-100*BX594*1.03,IF(AND(BX594&gt;0,MIN($F594:$G594)&lt;150,$E594="Enerji Fazlası"),-100*BX594*1.06,IF(AND(BX594&gt;0,MIN($F594:$G594)&gt;=150,$E594="Enerji Açığı"),BX594*MIN($F594:$G594)*0.97,IF(AND(BX594&gt;0,MIN($F594:$G594)&gt;=150,$E594="Enerji Fazlası"),BX594*MIN($F594:$G594)*0.94,IF(AND(BX594&lt;0,MAX($F594:$G594)=4500,$E594="Enerji Açığı"),4500*1.05*1.06*BX594,IF(AND(BX594&lt;0,MAX($F594:$G594)=4500,$E594="Enerji Fazlası"),4500*1.05*1.03*BX594,IF(AND(BX594&lt;0,$E594="Enerji Açığı"),MAX($F594,$G594,150)*BX594*1.06,IF(AND(BX594&lt;0,$E594="Enerji Fazlası"),MAX($F594,$G594,150)*BX594*1.03,IF(AND(BX594&lt;0,$E594="Dengede"),MAX($F594:$G594,150)*1.03*BX594,MIN($F594:$G594)*0.97*BX594)))))))))</f>
        <v/>
      </c>
      <c r="BZ594" s="34">
        <f>BE594-BV594-CA594</f>
        <v/>
      </c>
      <c r="CA594" s="34">
        <f>BD594</f>
        <v/>
      </c>
      <c r="CB594" s="33">
        <f>BE594-BV594</f>
        <v/>
      </c>
      <c r="CC594" s="34">
        <f>IF(AY594=0,0,CB594/AY594)</f>
        <v/>
      </c>
      <c r="CD594" s="34">
        <f>MAX((AY594+MAX((-J594+L594-N594+Q594-T594+X594),0)),(MAX((J594-L594+N594-Q594+T594-X594),0)))</f>
        <v/>
      </c>
      <c r="CE594" s="82">
        <f>IFERROR(ABS(BX594/CD594),0)</f>
        <v/>
      </c>
      <c r="CF594" s="34">
        <f>IF(CE594&lt;=0.1,0,BX594/CE594*(CE594-0.1))</f>
        <v/>
      </c>
      <c r="CG594" s="34">
        <f>IF((CF594)&lt;0,MAX(F594:G594)*(CF594)*1.03,MIN(F594:G594)*(CF594)*0.97)</f>
        <v/>
      </c>
      <c r="CH594" s="34">
        <f>IF(CE594&gt;0.1,1,0)</f>
        <v/>
      </c>
      <c r="CI594" s="34">
        <f>(F594*BX594)-BY594</f>
        <v/>
      </c>
      <c r="CJ594" s="34">
        <f>IF(AY594=0,0,CI594/AY594)</f>
        <v/>
      </c>
    </row>
    <row r="595">
      <c r="A595" s="29">
        <f>[1]FİYATLAR!A570</f>
        <v/>
      </c>
      <c r="B595" s="29">
        <f>[1]FİYATLAR!B594</f>
        <v/>
      </c>
      <c r="C595" s="35">
        <f>INT(A595)</f>
        <v/>
      </c>
      <c r="D595" s="36">
        <f>MONTH(A595)</f>
        <v/>
      </c>
      <c r="E595" s="147">
        <f>[1]FİYATLAR!G570</f>
        <v/>
      </c>
      <c r="F595" s="30">
        <f>[1]FİYATLAR!C570</f>
        <v/>
      </c>
      <c r="G595" s="30">
        <f>[1]FİYATLAR!E570</f>
        <v/>
      </c>
      <c r="H595" s="30">
        <f>[1]FİYATLAR!D570</f>
        <v/>
      </c>
      <c r="I595" s="30">
        <f>[1]FİYATLAR!F570</f>
        <v/>
      </c>
      <c r="J595" s="119" t="n">
        <v>0</v>
      </c>
      <c r="K595" s="34">
        <f>F595*J595</f>
        <v/>
      </c>
      <c r="L595" s="119" t="n"/>
      <c r="M595" s="34">
        <f>L595*F595</f>
        <v/>
      </c>
      <c r="N595" s="119" t="n"/>
      <c r="O595" s="34">
        <f>F595</f>
        <v/>
      </c>
      <c r="P595" s="34">
        <f>N595*O595</f>
        <v/>
      </c>
      <c r="Q595" s="117" t="n">
        <v>0</v>
      </c>
      <c r="R595" s="34">
        <f>F595</f>
        <v/>
      </c>
      <c r="S595" s="34">
        <f>R595*Q595</f>
        <v/>
      </c>
      <c r="T595" s="34">
        <f>SUMIFS('[1]GİP VERİLERİ'!$C:$C,'[1]GİP VERİLERİ'!$B:$B,A595,'[1]GİP VERİLERİ'!$M:$M,"40X000000104782K",'[1]GİP VERİLERİ'!$G:$G,"SELL")</f>
        <v/>
      </c>
      <c r="U595" s="34">
        <f>IFERROR(W595/T595,0)</f>
        <v/>
      </c>
      <c r="V595" s="34">
        <f>IF(U595=0,0,U595-F595)</f>
        <v/>
      </c>
      <c r="W595" s="34">
        <f>SUMIFS('[1]GİP VERİLERİ'!$O:$O,'[1]GİP VERİLERİ'!$B:$B,A595,'[1]GİP VERİLERİ'!$M:$M,"40X000000104782K",'[1]GİP VERİLERİ'!$G:$G,"SELL")</f>
        <v/>
      </c>
      <c r="X595" s="34">
        <f>SUMIFS('[1]GİP VERİLERİ'!$C:$C,'[1]GİP VERİLERİ'!$B:$B,A595,'[1]GİP VERİLERİ'!$M:$M,"40X000000104782K",'[1]GİP VERİLERİ'!$G:$G,"BUY")</f>
        <v/>
      </c>
      <c r="Y595" s="34">
        <f>IFERROR(AA595/X595,0)</f>
        <v/>
      </c>
      <c r="Z595" s="34">
        <f>IF(Y595=0,0,F595-Y595)</f>
        <v/>
      </c>
      <c r="AA595" s="34">
        <f>SUMIFS('[1]GİP VERİLERİ'!$O:$O,'[1]GİP VERİLERİ'!$B:$B,A595,'[1]GİP VERİLERİ'!$M:$M,"40X000000104782K",'[1]GİP VERİLERİ'!$G:$G,"BUY")</f>
        <v/>
      </c>
      <c r="AB595" s="34">
        <f>'[1]GÖP VERİLERİ'!H596</f>
        <v/>
      </c>
      <c r="AC595" s="34">
        <f>'[1]GÖP VERİLERİ'!I596</f>
        <v/>
      </c>
      <c r="AD595" s="34">
        <f>IF(AB595&gt;AC595*1.05,AB595-AC595*1.05,IF(AB595&lt;AC595*0.95,AC595*0.95-AB595,0))</f>
        <v/>
      </c>
      <c r="AE595" s="34">
        <f>MAX(F595,G595,750)*0.05*AD595</f>
        <v/>
      </c>
      <c r="AF595" s="34">
        <f>'[1]GÖP VERİLERİ'!J596</f>
        <v/>
      </c>
      <c r="AG595" s="34">
        <f>IF(AB595&gt;AF595*1.05,AB595-AF595*1.05,IF(AB595&lt;AF595*0.95,AF595*0.95-AB595,0))</f>
        <v/>
      </c>
      <c r="AH595" s="34">
        <f>MAX(I595,J595,750)*0.05*AG595</f>
        <v/>
      </c>
      <c r="AI595">
        <f>'[1]GÖP VERİLERİ'!E596</f>
        <v/>
      </c>
      <c r="AJ595">
        <f>'[1]GÖP VERİLERİ'!F596</f>
        <v/>
      </c>
      <c r="AK595" s="34">
        <f>IF(AI595&gt;AJ595*1.05,AI595-AJ595*1.05,IF(AI595&lt;AJ595*0.95,AJ595*0.95-AI595,0))</f>
        <v/>
      </c>
      <c r="AL595" s="34">
        <f>MAX(F595,G595,750)*0.05*AK595</f>
        <v/>
      </c>
      <c r="AM595" s="39">
        <f>'[1]GÖP VERİLERİ'!G596</f>
        <v/>
      </c>
      <c r="AN595" s="34">
        <f>IF(AI595&gt;AM595*1.05,AI595-AM595*1.05,IF(AI595&lt;AM595*0.95,AM595*0.95-AI595,0))</f>
        <v/>
      </c>
      <c r="AO595" s="34">
        <f>MAX(F595,G595,750)*0.05*AN595</f>
        <v/>
      </c>
      <c r="AP595" s="34">
        <f>'[1]GÖP VERİLERİ'!B596</f>
        <v/>
      </c>
      <c r="AQ595" s="34">
        <f>'[1]GÖP VERİLERİ'!C596</f>
        <v/>
      </c>
      <c r="AR595" s="34">
        <f>IF(AP595&gt;AQ595*1.05,AP595-AQ595*1.05,IF(AP595&lt;AQ595*0.95,AQ595*0.95-AP595,0))</f>
        <v/>
      </c>
      <c r="AS595" s="34">
        <f>MAX(F595:G595,750)*0.05*AR595</f>
        <v/>
      </c>
      <c r="AT595">
        <f>'[1]GÖP VERİLERİ'!D596</f>
        <v/>
      </c>
      <c r="AU595" s="34">
        <f>IF(AP595&gt;AT595*1.05,AP595-AT595*1.05,IF(AP595&lt;AT595*0.95,AT595*0.95-AP595,0))</f>
        <v/>
      </c>
      <c r="AV595" s="34">
        <f>MAX(F595:G595,750)*0.05*AU595</f>
        <v/>
      </c>
      <c r="AW595" s="34">
        <f>AC595+AJ595+AQ595</f>
        <v/>
      </c>
      <c r="AX595" s="34">
        <f>AF595+AM595+AT595</f>
        <v/>
      </c>
      <c r="AY595" s="34">
        <f>AB595+AI595+AP595</f>
        <v/>
      </c>
      <c r="AZ595" s="34" t="n">
        <v>0</v>
      </c>
      <c r="BA595" s="34">
        <f>AD595+AK595+AR595</f>
        <v/>
      </c>
      <c r="BB595" s="34">
        <f>MAX(F595:G595,750)*0.05*BA595</f>
        <v/>
      </c>
      <c r="BC595" s="34">
        <f>AG595+AN595+AU595</f>
        <v/>
      </c>
      <c r="BD595" s="34">
        <f>MAX(F595:G595,750)*0.05*BC595</f>
        <v/>
      </c>
      <c r="BE595" s="34">
        <f>F595*AY595</f>
        <v/>
      </c>
      <c r="BF595" s="34">
        <f>K595-M595</f>
        <v/>
      </c>
      <c r="BG595" s="34">
        <f>P595-S595</f>
        <v/>
      </c>
      <c r="BH595" s="34">
        <f>W595-AA595</f>
        <v/>
      </c>
      <c r="BI595" s="34">
        <f>BF595+BG595+BL595-BN595</f>
        <v/>
      </c>
      <c r="BJ595" s="34">
        <f>ABS(BK595)</f>
        <v/>
      </c>
      <c r="BK595" s="34">
        <f>AY595-(J595-L595+N595-Q595)</f>
        <v/>
      </c>
      <c r="BL595" s="34">
        <f>IF(AND(BK595&gt;0,MIN($F595:$G595)&lt;150,$E595="Enerji Açığı"),-100*BK595*1.03,IF(AND(BK595&gt;0,MIN($F595:$G595)&lt;150,$E595="Enerji Fazlası"),-100*BK595*1.06,IF(AND(BK595&gt;0,MIN($F595:$G595)&gt;=150,$E595="Enerji Açığı"),BK595*MIN($F595:$G595)*0.97,IF(AND(BK595&gt;0,MIN($F595:$G595)&gt;=150,$E595="Enerji Fazlası"),BK595*MIN($F595:$G595)*0.94,IF(AND(BK595&lt;0,MAX($F595:$G595)=4500,$E595="Enerji Açığı"),4500*1.05*1.06*BK595,IF(AND(BK595&lt;0,MAX($F595:$G595)=4500,$E595="Enerji Fazlası"),4500*1.05*1.03*BK595,IF(AND(BK595&lt;0,$E595="Enerji Açığı"),MAX($F595,$G595,150)*BK595*1.06,IF(AND(BK595&lt;0,$E595="Enerji Fazlası"),MAX($F595,$G595,150)*BK595*1.03,IF(AND(BK595&lt;0,$E595="Dengede"),MAX($F595:$G595,150)*1.03*BK595,MIN($F595:$G595)*0.97*BK595)))))))))</f>
        <v/>
      </c>
      <c r="BM595" s="34">
        <f>BE595-BI595-BN595</f>
        <v/>
      </c>
      <c r="BN595" s="34">
        <f>BB595</f>
        <v/>
      </c>
      <c r="BO595" s="34">
        <f>BE595-BI595</f>
        <v/>
      </c>
      <c r="BP595" s="34">
        <f>IF(AY595=0,0,BO595/AY595)</f>
        <v/>
      </c>
      <c r="BQ595" s="34">
        <f>MAX((AY595+MAX((-J595+L595-N595+Q595),0)),(MAX((J595-L595+N595-Q595),0)))</f>
        <v/>
      </c>
      <c r="BR595" s="82">
        <f>IFERROR(ABS(BK595/BQ595),0)</f>
        <v/>
      </c>
      <c r="BS595" s="34">
        <f>IF(BR595&lt;=0.1,0,BK595/BR595*(BR595-0.1))</f>
        <v/>
      </c>
      <c r="BT595" s="34">
        <f>IF((BS595)&lt;0,MAX(F595:G595)*(BS595)*1.03,MIN(F595:G595)*(BS595)*0.97)</f>
        <v/>
      </c>
      <c r="BU595" s="34">
        <f>IF(BR595&gt;0.1,1,0)</f>
        <v/>
      </c>
      <c r="BV595" s="34">
        <f>BF595+BG595+BH595+BY595-CA595</f>
        <v/>
      </c>
      <c r="BW595" s="34">
        <f>ABS(BX595)</f>
        <v/>
      </c>
      <c r="BX595" s="34">
        <f>AY595-(J595-L595+N595-Q595+T595-X595)</f>
        <v/>
      </c>
      <c r="BY595" s="34">
        <f>IF(AND(BX595&gt;0,MIN($F595:$G595)&lt;150,$E595="Enerji Açığı"),-100*BX595*1.03,IF(AND(BX595&gt;0,MIN($F595:$G595)&lt;150,$E595="Enerji Fazlası"),-100*BX595*1.06,IF(AND(BX595&gt;0,MIN($F595:$G595)&gt;=150,$E595="Enerji Açığı"),BX595*MIN($F595:$G595)*0.97,IF(AND(BX595&gt;0,MIN($F595:$G595)&gt;=150,$E595="Enerji Fazlası"),BX595*MIN($F595:$G595)*0.94,IF(AND(BX595&lt;0,MAX($F595:$G595)=4500,$E595="Enerji Açığı"),4500*1.05*1.06*BX595,IF(AND(BX595&lt;0,MAX($F595:$G595)=4500,$E595="Enerji Fazlası"),4500*1.05*1.03*BX595,IF(AND(BX595&lt;0,$E595="Enerji Açığı"),MAX($F595,$G595,150)*BX595*1.06,IF(AND(BX595&lt;0,$E595="Enerji Fazlası"),MAX($F595,$G595,150)*BX595*1.03,IF(AND(BX595&lt;0,$E595="Dengede"),MAX($F595:$G595,150)*1.03*BX595,MIN($F595:$G595)*0.97*BX595)))))))))</f>
        <v/>
      </c>
      <c r="BZ595" s="34">
        <f>BE595-BV595-CA595</f>
        <v/>
      </c>
      <c r="CA595" s="34">
        <f>BD595</f>
        <v/>
      </c>
      <c r="CB595" s="33">
        <f>BE595-BV595</f>
        <v/>
      </c>
      <c r="CC595" s="34">
        <f>IF(AY595=0,0,CB595/AY595)</f>
        <v/>
      </c>
      <c r="CD595" s="34">
        <f>MAX((AY595+MAX((-J595+L595-N595+Q595-T595+X595),0)),(MAX((J595-L595+N595-Q595+T595-X595),0)))</f>
        <v/>
      </c>
      <c r="CE595" s="82">
        <f>IFERROR(ABS(BX595/CD595),0)</f>
        <v/>
      </c>
      <c r="CF595" s="34">
        <f>IF(CE595&lt;=0.1,0,BX595/CE595*(CE595-0.1))</f>
        <v/>
      </c>
      <c r="CG595" s="34">
        <f>IF((CF595)&lt;0,MAX(F595:G595)*(CF595)*1.03,MIN(F595:G595)*(CF595)*0.97)</f>
        <v/>
      </c>
      <c r="CH595" s="34">
        <f>IF(CE595&gt;0.1,1,0)</f>
        <v/>
      </c>
      <c r="CI595" s="34">
        <f>(F595*BX595)-BY595</f>
        <v/>
      </c>
      <c r="CJ595" s="34">
        <f>IF(AY595=0,0,CI595/AY595)</f>
        <v/>
      </c>
    </row>
    <row r="596">
      <c r="A596" s="29">
        <f>[1]FİYATLAR!A571</f>
        <v/>
      </c>
      <c r="B596" s="29">
        <f>[1]FİYATLAR!B595</f>
        <v/>
      </c>
      <c r="C596" s="35">
        <f>INT(A596)</f>
        <v/>
      </c>
      <c r="D596" s="36">
        <f>MONTH(A596)</f>
        <v/>
      </c>
      <c r="E596" s="147">
        <f>[1]FİYATLAR!G571</f>
        <v/>
      </c>
      <c r="F596" s="30">
        <f>[1]FİYATLAR!C571</f>
        <v/>
      </c>
      <c r="G596" s="30">
        <f>[1]FİYATLAR!E571</f>
        <v/>
      </c>
      <c r="H596" s="30">
        <f>[1]FİYATLAR!D571</f>
        <v/>
      </c>
      <c r="I596" s="30">
        <f>[1]FİYATLAR!F571</f>
        <v/>
      </c>
      <c r="J596" s="119" t="n">
        <v>0</v>
      </c>
      <c r="K596" s="34">
        <f>F596*J596</f>
        <v/>
      </c>
      <c r="L596" s="119" t="n"/>
      <c r="M596" s="34">
        <f>L596*F596</f>
        <v/>
      </c>
      <c r="N596" s="119" t="n"/>
      <c r="O596" s="34">
        <f>F596</f>
        <v/>
      </c>
      <c r="P596" s="34">
        <f>N596*O596</f>
        <v/>
      </c>
      <c r="Q596" s="117" t="n">
        <v>0</v>
      </c>
      <c r="R596" s="34">
        <f>F596</f>
        <v/>
      </c>
      <c r="S596" s="34">
        <f>R596*Q596</f>
        <v/>
      </c>
      <c r="T596" s="34">
        <f>SUMIFS('[1]GİP VERİLERİ'!$C:$C,'[1]GİP VERİLERİ'!$B:$B,A596,'[1]GİP VERİLERİ'!$M:$M,"40X000000104782K",'[1]GİP VERİLERİ'!$G:$G,"SELL")</f>
        <v/>
      </c>
      <c r="U596" s="34">
        <f>IFERROR(W596/T596,0)</f>
        <v/>
      </c>
      <c r="V596" s="34">
        <f>IF(U596=0,0,U596-F596)</f>
        <v/>
      </c>
      <c r="W596" s="34">
        <f>SUMIFS('[1]GİP VERİLERİ'!$O:$O,'[1]GİP VERİLERİ'!$B:$B,A596,'[1]GİP VERİLERİ'!$M:$M,"40X000000104782K",'[1]GİP VERİLERİ'!$G:$G,"SELL")</f>
        <v/>
      </c>
      <c r="X596" s="34">
        <f>SUMIFS('[1]GİP VERİLERİ'!$C:$C,'[1]GİP VERİLERİ'!$B:$B,A596,'[1]GİP VERİLERİ'!$M:$M,"40X000000104782K",'[1]GİP VERİLERİ'!$G:$G,"BUY")</f>
        <v/>
      </c>
      <c r="Y596" s="34">
        <f>IFERROR(AA596/X596,0)</f>
        <v/>
      </c>
      <c r="Z596" s="34">
        <f>IF(Y596=0,0,F596-Y596)</f>
        <v/>
      </c>
      <c r="AA596" s="34">
        <f>SUMIFS('[1]GİP VERİLERİ'!$O:$O,'[1]GİP VERİLERİ'!$B:$B,A596,'[1]GİP VERİLERİ'!$M:$M,"40X000000104782K",'[1]GİP VERİLERİ'!$G:$G,"BUY")</f>
        <v/>
      </c>
      <c r="AB596" s="34">
        <f>'[1]GÖP VERİLERİ'!H597</f>
        <v/>
      </c>
      <c r="AC596" s="34">
        <f>'[1]GÖP VERİLERİ'!I597</f>
        <v/>
      </c>
      <c r="AD596" s="34">
        <f>IF(AB596&gt;AC596*1.05,AB596-AC596*1.05,IF(AB596&lt;AC596*0.95,AC596*0.95-AB596,0))</f>
        <v/>
      </c>
      <c r="AE596" s="34">
        <f>MAX(F596,G596,750)*0.05*AD596</f>
        <v/>
      </c>
      <c r="AF596" s="34">
        <f>'[1]GÖP VERİLERİ'!J597</f>
        <v/>
      </c>
      <c r="AG596" s="34">
        <f>IF(AB596&gt;AF596*1.05,AB596-AF596*1.05,IF(AB596&lt;AF596*0.95,AF596*0.95-AB596,0))</f>
        <v/>
      </c>
      <c r="AH596" s="34">
        <f>MAX(I596,J596,750)*0.05*AG596</f>
        <v/>
      </c>
      <c r="AI596">
        <f>'[1]GÖP VERİLERİ'!E597</f>
        <v/>
      </c>
      <c r="AJ596">
        <f>'[1]GÖP VERİLERİ'!F597</f>
        <v/>
      </c>
      <c r="AK596" s="34">
        <f>IF(AI596&gt;AJ596*1.05,AI596-AJ596*1.05,IF(AI596&lt;AJ596*0.95,AJ596*0.95-AI596,0))</f>
        <v/>
      </c>
      <c r="AL596" s="34">
        <f>MAX(F596,G596,750)*0.05*AK596</f>
        <v/>
      </c>
      <c r="AM596" s="39">
        <f>'[1]GÖP VERİLERİ'!G597</f>
        <v/>
      </c>
      <c r="AN596" s="34">
        <f>IF(AI596&gt;AM596*1.05,AI596-AM596*1.05,IF(AI596&lt;AM596*0.95,AM596*0.95-AI596,0))</f>
        <v/>
      </c>
      <c r="AO596" s="34">
        <f>MAX(F596,G596,750)*0.05*AN596</f>
        <v/>
      </c>
      <c r="AP596" s="34">
        <f>'[1]GÖP VERİLERİ'!B597</f>
        <v/>
      </c>
      <c r="AQ596" s="34">
        <f>'[1]GÖP VERİLERİ'!C597</f>
        <v/>
      </c>
      <c r="AR596" s="34">
        <f>IF(AP596&gt;AQ596*1.05,AP596-AQ596*1.05,IF(AP596&lt;AQ596*0.95,AQ596*0.95-AP596,0))</f>
        <v/>
      </c>
      <c r="AS596" s="34">
        <f>MAX(F596:G596,750)*0.05*AR596</f>
        <v/>
      </c>
      <c r="AT596">
        <f>'[1]GÖP VERİLERİ'!D597</f>
        <v/>
      </c>
      <c r="AU596" s="34">
        <f>IF(AP596&gt;AT596*1.05,AP596-AT596*1.05,IF(AP596&lt;AT596*0.95,AT596*0.95-AP596,0))</f>
        <v/>
      </c>
      <c r="AV596" s="34">
        <f>MAX(F596:G596,750)*0.05*AU596</f>
        <v/>
      </c>
      <c r="AW596" s="34">
        <f>AC596+AJ596+AQ596</f>
        <v/>
      </c>
      <c r="AX596" s="34">
        <f>AF596+AM596+AT596</f>
        <v/>
      </c>
      <c r="AY596" s="34">
        <f>AB596+AI596+AP596</f>
        <v/>
      </c>
      <c r="AZ596" s="34" t="n">
        <v>0</v>
      </c>
      <c r="BA596" s="34">
        <f>AD596+AK596+AR596</f>
        <v/>
      </c>
      <c r="BB596" s="34">
        <f>MAX(F596:G596,750)*0.05*BA596</f>
        <v/>
      </c>
      <c r="BC596" s="34">
        <f>AG596+AN596+AU596</f>
        <v/>
      </c>
      <c r="BD596" s="34">
        <f>MAX(F596:G596,750)*0.05*BC596</f>
        <v/>
      </c>
      <c r="BE596" s="34">
        <f>F596*AY596</f>
        <v/>
      </c>
      <c r="BF596" s="34">
        <f>K596-M596</f>
        <v/>
      </c>
      <c r="BG596" s="34">
        <f>P596-S596</f>
        <v/>
      </c>
      <c r="BH596" s="34">
        <f>W596-AA596</f>
        <v/>
      </c>
      <c r="BI596" s="34">
        <f>BF596+BG596+BL596-BN596</f>
        <v/>
      </c>
      <c r="BJ596" s="34">
        <f>ABS(BK596)</f>
        <v/>
      </c>
      <c r="BK596" s="34">
        <f>AY596-(J596-L596+N596-Q596)</f>
        <v/>
      </c>
      <c r="BL596" s="34">
        <f>IF(AND(BK596&gt;0,MIN($F596:$G596)&lt;150,$E596="Enerji Açığı"),-100*BK596*1.03,IF(AND(BK596&gt;0,MIN($F596:$G596)&lt;150,$E596="Enerji Fazlası"),-100*BK596*1.06,IF(AND(BK596&gt;0,MIN($F596:$G596)&gt;=150,$E596="Enerji Açığı"),BK596*MIN($F596:$G596)*0.97,IF(AND(BK596&gt;0,MIN($F596:$G596)&gt;=150,$E596="Enerji Fazlası"),BK596*MIN($F596:$G596)*0.94,IF(AND(BK596&lt;0,MAX($F596:$G596)=4500,$E596="Enerji Açığı"),4500*1.05*1.06*BK596,IF(AND(BK596&lt;0,MAX($F596:$G596)=4500,$E596="Enerji Fazlası"),4500*1.05*1.03*BK596,IF(AND(BK596&lt;0,$E596="Enerji Açığı"),MAX($F596,$G596,150)*BK596*1.06,IF(AND(BK596&lt;0,$E596="Enerji Fazlası"),MAX($F596,$G596,150)*BK596*1.03,IF(AND(BK596&lt;0,$E596="Dengede"),MAX($F596:$G596,150)*1.03*BK596,MIN($F596:$G596)*0.97*BK596)))))))))</f>
        <v/>
      </c>
      <c r="BM596" s="34">
        <f>BE596-BI596-BN596</f>
        <v/>
      </c>
      <c r="BN596" s="34">
        <f>BB596</f>
        <v/>
      </c>
      <c r="BO596" s="34">
        <f>BE596-BI596</f>
        <v/>
      </c>
      <c r="BP596" s="34">
        <f>IF(AY596=0,0,BO596/AY596)</f>
        <v/>
      </c>
      <c r="BQ596" s="34">
        <f>MAX((AY596+MAX((-J596+L596-N596+Q596),0)),(MAX((J596-L596+N596-Q596),0)))</f>
        <v/>
      </c>
      <c r="BR596" s="82">
        <f>IFERROR(ABS(BK596/BQ596),0)</f>
        <v/>
      </c>
      <c r="BS596" s="34">
        <f>IF(BR596&lt;=0.1,0,BK596/BR596*(BR596-0.1))</f>
        <v/>
      </c>
      <c r="BT596" s="34">
        <f>IF((BS596)&lt;0,MAX(F596:G596)*(BS596)*1.03,MIN(F596:G596)*(BS596)*0.97)</f>
        <v/>
      </c>
      <c r="BU596" s="34">
        <f>IF(BR596&gt;0.1,1,0)</f>
        <v/>
      </c>
      <c r="BV596" s="34">
        <f>BF596+BG596+BH596+BY596-CA596</f>
        <v/>
      </c>
      <c r="BW596" s="34">
        <f>ABS(BX596)</f>
        <v/>
      </c>
      <c r="BX596" s="34">
        <f>AY596-(J596-L596+N596-Q596+T596-X596)</f>
        <v/>
      </c>
      <c r="BY596" s="34">
        <f>IF(AND(BX596&gt;0,MIN($F596:$G596)&lt;150,$E596="Enerji Açığı"),-100*BX596*1.03,IF(AND(BX596&gt;0,MIN($F596:$G596)&lt;150,$E596="Enerji Fazlası"),-100*BX596*1.06,IF(AND(BX596&gt;0,MIN($F596:$G596)&gt;=150,$E596="Enerji Açığı"),BX596*MIN($F596:$G596)*0.97,IF(AND(BX596&gt;0,MIN($F596:$G596)&gt;=150,$E596="Enerji Fazlası"),BX596*MIN($F596:$G596)*0.94,IF(AND(BX596&lt;0,MAX($F596:$G596)=4500,$E596="Enerji Açığı"),4500*1.05*1.06*BX596,IF(AND(BX596&lt;0,MAX($F596:$G596)=4500,$E596="Enerji Fazlası"),4500*1.05*1.03*BX596,IF(AND(BX596&lt;0,$E596="Enerji Açığı"),MAX($F596,$G596,150)*BX596*1.06,IF(AND(BX596&lt;0,$E596="Enerji Fazlası"),MAX($F596,$G596,150)*BX596*1.03,IF(AND(BX596&lt;0,$E596="Dengede"),MAX($F596:$G596,150)*1.03*BX596,MIN($F596:$G596)*0.97*BX596)))))))))</f>
        <v/>
      </c>
      <c r="BZ596" s="34">
        <f>BE596-BV596-CA596</f>
        <v/>
      </c>
      <c r="CA596" s="34">
        <f>BD596</f>
        <v/>
      </c>
      <c r="CB596" s="33">
        <f>BE596-BV596</f>
        <v/>
      </c>
      <c r="CC596" s="34">
        <f>IF(AY596=0,0,CB596/AY596)</f>
        <v/>
      </c>
      <c r="CD596" s="34">
        <f>MAX((AY596+MAX((-J596+L596-N596+Q596-T596+X596),0)),(MAX((J596-L596+N596-Q596+T596-X596),0)))</f>
        <v/>
      </c>
      <c r="CE596" s="82">
        <f>IFERROR(ABS(BX596/CD596),0)</f>
        <v/>
      </c>
      <c r="CF596" s="34">
        <f>IF(CE596&lt;=0.1,0,BX596/CE596*(CE596-0.1))</f>
        <v/>
      </c>
      <c r="CG596" s="34">
        <f>IF((CF596)&lt;0,MAX(F596:G596)*(CF596)*1.03,MIN(F596:G596)*(CF596)*0.97)</f>
        <v/>
      </c>
      <c r="CH596" s="34">
        <f>IF(CE596&gt;0.1,1,0)</f>
        <v/>
      </c>
      <c r="CI596" s="34">
        <f>(F596*BX596)-BY596</f>
        <v/>
      </c>
      <c r="CJ596" s="34">
        <f>IF(AY596=0,0,CI596/AY596)</f>
        <v/>
      </c>
    </row>
    <row r="597">
      <c r="A597" s="29">
        <f>[1]FİYATLAR!A572</f>
        <v/>
      </c>
      <c r="B597" s="29">
        <f>[1]FİYATLAR!B596</f>
        <v/>
      </c>
      <c r="C597" s="35">
        <f>INT(A597)</f>
        <v/>
      </c>
      <c r="D597" s="36">
        <f>MONTH(A597)</f>
        <v/>
      </c>
      <c r="E597" s="147">
        <f>[1]FİYATLAR!G572</f>
        <v/>
      </c>
      <c r="F597" s="30">
        <f>[1]FİYATLAR!C572</f>
        <v/>
      </c>
      <c r="G597" s="30">
        <f>[1]FİYATLAR!E572</f>
        <v/>
      </c>
      <c r="H597" s="30">
        <f>[1]FİYATLAR!D572</f>
        <v/>
      </c>
      <c r="I597" s="30">
        <f>[1]FİYATLAR!F572</f>
        <v/>
      </c>
      <c r="J597" s="119" t="n">
        <v>0</v>
      </c>
      <c r="K597" s="34">
        <f>F597*J597</f>
        <v/>
      </c>
      <c r="L597" s="119" t="n"/>
      <c r="M597" s="34">
        <f>L597*F597</f>
        <v/>
      </c>
      <c r="N597" s="119" t="n"/>
      <c r="O597" s="34">
        <f>F597</f>
        <v/>
      </c>
      <c r="P597" s="34">
        <f>N597*O597</f>
        <v/>
      </c>
      <c r="Q597" s="117" t="n">
        <v>0</v>
      </c>
      <c r="R597" s="34">
        <f>F597</f>
        <v/>
      </c>
      <c r="S597" s="34">
        <f>R597*Q597</f>
        <v/>
      </c>
      <c r="T597" s="34">
        <f>SUMIFS('[1]GİP VERİLERİ'!$C:$C,'[1]GİP VERİLERİ'!$B:$B,A597,'[1]GİP VERİLERİ'!$M:$M,"40X000000104782K",'[1]GİP VERİLERİ'!$G:$G,"SELL")</f>
        <v/>
      </c>
      <c r="U597" s="34">
        <f>IFERROR(W597/T597,0)</f>
        <v/>
      </c>
      <c r="V597" s="34">
        <f>IF(U597=0,0,U597-F597)</f>
        <v/>
      </c>
      <c r="W597" s="34">
        <f>SUMIFS('[1]GİP VERİLERİ'!$O:$O,'[1]GİP VERİLERİ'!$B:$B,A597,'[1]GİP VERİLERİ'!$M:$M,"40X000000104782K",'[1]GİP VERİLERİ'!$G:$G,"SELL")</f>
        <v/>
      </c>
      <c r="X597" s="34">
        <f>SUMIFS('[1]GİP VERİLERİ'!$C:$C,'[1]GİP VERİLERİ'!$B:$B,A597,'[1]GİP VERİLERİ'!$M:$M,"40X000000104782K",'[1]GİP VERİLERİ'!$G:$G,"BUY")</f>
        <v/>
      </c>
      <c r="Y597" s="34">
        <f>IFERROR(AA597/X597,0)</f>
        <v/>
      </c>
      <c r="Z597" s="34">
        <f>IF(Y597=0,0,F597-Y597)</f>
        <v/>
      </c>
      <c r="AA597" s="34">
        <f>SUMIFS('[1]GİP VERİLERİ'!$O:$O,'[1]GİP VERİLERİ'!$B:$B,A597,'[1]GİP VERİLERİ'!$M:$M,"40X000000104782K",'[1]GİP VERİLERİ'!$G:$G,"BUY")</f>
        <v/>
      </c>
      <c r="AB597" s="34">
        <f>'[1]GÖP VERİLERİ'!H598</f>
        <v/>
      </c>
      <c r="AC597" s="34">
        <f>'[1]GÖP VERİLERİ'!I598</f>
        <v/>
      </c>
      <c r="AD597" s="34">
        <f>IF(AB597&gt;AC597*1.05,AB597-AC597*1.05,IF(AB597&lt;AC597*0.95,AC597*0.95-AB597,0))</f>
        <v/>
      </c>
      <c r="AE597" s="34">
        <f>MAX(F597,G597,750)*0.05*AD597</f>
        <v/>
      </c>
      <c r="AF597" s="34">
        <f>'[1]GÖP VERİLERİ'!J598</f>
        <v/>
      </c>
      <c r="AG597" s="34">
        <f>IF(AB597&gt;AF597*1.05,AB597-AF597*1.05,IF(AB597&lt;AF597*0.95,AF597*0.95-AB597,0))</f>
        <v/>
      </c>
      <c r="AH597" s="34">
        <f>MAX(I597,J597,750)*0.05*AG597</f>
        <v/>
      </c>
      <c r="AI597">
        <f>'[1]GÖP VERİLERİ'!E598</f>
        <v/>
      </c>
      <c r="AJ597">
        <f>'[1]GÖP VERİLERİ'!F598</f>
        <v/>
      </c>
      <c r="AK597" s="34">
        <f>IF(AI597&gt;AJ597*1.05,AI597-AJ597*1.05,IF(AI597&lt;AJ597*0.95,AJ597*0.95-AI597,0))</f>
        <v/>
      </c>
      <c r="AL597" s="34">
        <f>MAX(F597,G597,750)*0.05*AK597</f>
        <v/>
      </c>
      <c r="AM597" s="39">
        <f>'[1]GÖP VERİLERİ'!G598</f>
        <v/>
      </c>
      <c r="AN597" s="34">
        <f>IF(AI597&gt;AM597*1.05,AI597-AM597*1.05,IF(AI597&lt;AM597*0.95,AM597*0.95-AI597,0))</f>
        <v/>
      </c>
      <c r="AO597" s="34">
        <f>MAX(F597,G597,750)*0.05*AN597</f>
        <v/>
      </c>
      <c r="AP597" s="34">
        <f>'[1]GÖP VERİLERİ'!B598</f>
        <v/>
      </c>
      <c r="AQ597" s="34">
        <f>'[1]GÖP VERİLERİ'!C598</f>
        <v/>
      </c>
      <c r="AR597" s="34">
        <f>IF(AP597&gt;AQ597*1.05,AP597-AQ597*1.05,IF(AP597&lt;AQ597*0.95,AQ597*0.95-AP597,0))</f>
        <v/>
      </c>
      <c r="AS597" s="34">
        <f>MAX(F597:G597,750)*0.05*AR597</f>
        <v/>
      </c>
      <c r="AT597">
        <f>'[1]GÖP VERİLERİ'!D598</f>
        <v/>
      </c>
      <c r="AU597" s="34">
        <f>IF(AP597&gt;AT597*1.05,AP597-AT597*1.05,IF(AP597&lt;AT597*0.95,AT597*0.95-AP597,0))</f>
        <v/>
      </c>
      <c r="AV597" s="34">
        <f>MAX(F597:G597,750)*0.05*AU597</f>
        <v/>
      </c>
      <c r="AW597" s="34">
        <f>AC597+AJ597+AQ597</f>
        <v/>
      </c>
      <c r="AX597" s="34">
        <f>AF597+AM597+AT597</f>
        <v/>
      </c>
      <c r="AY597" s="34">
        <f>AB597+AI597+AP597</f>
        <v/>
      </c>
      <c r="AZ597" s="34" t="n">
        <v>0</v>
      </c>
      <c r="BA597" s="34">
        <f>AD597+AK597+AR597</f>
        <v/>
      </c>
      <c r="BB597" s="34">
        <f>MAX(F597:G597,750)*0.05*BA597</f>
        <v/>
      </c>
      <c r="BC597" s="34">
        <f>AG597+AN597+AU597</f>
        <v/>
      </c>
      <c r="BD597" s="34">
        <f>MAX(F597:G597,750)*0.05*BC597</f>
        <v/>
      </c>
      <c r="BE597" s="34">
        <f>F597*AY597</f>
        <v/>
      </c>
      <c r="BF597" s="34">
        <f>K597-M597</f>
        <v/>
      </c>
      <c r="BG597" s="34">
        <f>P597-S597</f>
        <v/>
      </c>
      <c r="BH597" s="34">
        <f>W597-AA597</f>
        <v/>
      </c>
      <c r="BI597" s="34">
        <f>BF597+BG597+BL597-BN597</f>
        <v/>
      </c>
      <c r="BJ597" s="34">
        <f>ABS(BK597)</f>
        <v/>
      </c>
      <c r="BK597" s="34">
        <f>AY597-(J597-L597+N597-Q597)</f>
        <v/>
      </c>
      <c r="BL597" s="34">
        <f>IF(AND(BK597&gt;0,MIN($F597:$G597)&lt;150,$E597="Enerji Açığı"),-100*BK597*1.03,IF(AND(BK597&gt;0,MIN($F597:$G597)&lt;150,$E597="Enerji Fazlası"),-100*BK597*1.06,IF(AND(BK597&gt;0,MIN($F597:$G597)&gt;=150,$E597="Enerji Açığı"),BK597*MIN($F597:$G597)*0.97,IF(AND(BK597&gt;0,MIN($F597:$G597)&gt;=150,$E597="Enerji Fazlası"),BK597*MIN($F597:$G597)*0.94,IF(AND(BK597&lt;0,MAX($F597:$G597)=4500,$E597="Enerji Açığı"),4500*1.05*1.06*BK597,IF(AND(BK597&lt;0,MAX($F597:$G597)=4500,$E597="Enerji Fazlası"),4500*1.05*1.03*BK597,IF(AND(BK597&lt;0,$E597="Enerji Açığı"),MAX($F597,$G597,150)*BK597*1.06,IF(AND(BK597&lt;0,$E597="Enerji Fazlası"),MAX($F597,$G597,150)*BK597*1.03,IF(AND(BK597&lt;0,$E597="Dengede"),MAX($F597:$G597,150)*1.03*BK597,MIN($F597:$G597)*0.97*BK597)))))))))</f>
        <v/>
      </c>
      <c r="BM597" s="34">
        <f>BE597-BI597-BN597</f>
        <v/>
      </c>
      <c r="BN597" s="34">
        <f>BB597</f>
        <v/>
      </c>
      <c r="BO597" s="34">
        <f>BE597-BI597</f>
        <v/>
      </c>
      <c r="BP597" s="34">
        <f>IF(AY597=0,0,BO597/AY597)</f>
        <v/>
      </c>
      <c r="BQ597" s="34">
        <f>MAX((AY597+MAX((-J597+L597-N597+Q597),0)),(MAX((J597-L597+N597-Q597),0)))</f>
        <v/>
      </c>
      <c r="BR597" s="82">
        <f>IFERROR(ABS(BK597/BQ597),0)</f>
        <v/>
      </c>
      <c r="BS597" s="34">
        <f>IF(BR597&lt;=0.1,0,BK597/BR597*(BR597-0.1))</f>
        <v/>
      </c>
      <c r="BT597" s="34">
        <f>IF((BS597)&lt;0,MAX(F597:G597)*(BS597)*1.03,MIN(F597:G597)*(BS597)*0.97)</f>
        <v/>
      </c>
      <c r="BU597" s="34">
        <f>IF(BR597&gt;0.1,1,0)</f>
        <v/>
      </c>
      <c r="BV597" s="34">
        <f>BF597+BG597+BH597+BY597-CA597</f>
        <v/>
      </c>
      <c r="BW597" s="34">
        <f>ABS(BX597)</f>
        <v/>
      </c>
      <c r="BX597" s="34">
        <f>AY597-(J597-L597+N597-Q597+T597-X597)</f>
        <v/>
      </c>
      <c r="BY597" s="34">
        <f>IF(AND(BX597&gt;0,MIN($F597:$G597)&lt;150,$E597="Enerji Açığı"),-100*BX597*1.03,IF(AND(BX597&gt;0,MIN($F597:$G597)&lt;150,$E597="Enerji Fazlası"),-100*BX597*1.06,IF(AND(BX597&gt;0,MIN($F597:$G597)&gt;=150,$E597="Enerji Açığı"),BX597*MIN($F597:$G597)*0.97,IF(AND(BX597&gt;0,MIN($F597:$G597)&gt;=150,$E597="Enerji Fazlası"),BX597*MIN($F597:$G597)*0.94,IF(AND(BX597&lt;0,MAX($F597:$G597)=4500,$E597="Enerji Açığı"),4500*1.05*1.06*BX597,IF(AND(BX597&lt;0,MAX($F597:$G597)=4500,$E597="Enerji Fazlası"),4500*1.05*1.03*BX597,IF(AND(BX597&lt;0,$E597="Enerji Açığı"),MAX($F597,$G597,150)*BX597*1.06,IF(AND(BX597&lt;0,$E597="Enerji Fazlası"),MAX($F597,$G597,150)*BX597*1.03,IF(AND(BX597&lt;0,$E597="Dengede"),MAX($F597:$G597,150)*1.03*BX597,MIN($F597:$G597)*0.97*BX597)))))))))</f>
        <v/>
      </c>
      <c r="BZ597" s="34">
        <f>BE597-BV597-CA597</f>
        <v/>
      </c>
      <c r="CA597" s="34">
        <f>BD597</f>
        <v/>
      </c>
      <c r="CB597" s="33">
        <f>BE597-BV597</f>
        <v/>
      </c>
      <c r="CC597" s="34">
        <f>IF(AY597=0,0,CB597/AY597)</f>
        <v/>
      </c>
      <c r="CD597" s="34">
        <f>MAX((AY597+MAX((-J597+L597-N597+Q597-T597+X597),0)),(MAX((J597-L597+N597-Q597+T597-X597),0)))</f>
        <v/>
      </c>
      <c r="CE597" s="82">
        <f>IFERROR(ABS(BX597/CD597),0)</f>
        <v/>
      </c>
      <c r="CF597" s="34">
        <f>IF(CE597&lt;=0.1,0,BX597/CE597*(CE597-0.1))</f>
        <v/>
      </c>
      <c r="CG597" s="34">
        <f>IF((CF597)&lt;0,MAX(F597:G597)*(CF597)*1.03,MIN(F597:G597)*(CF597)*0.97)</f>
        <v/>
      </c>
      <c r="CH597" s="34">
        <f>IF(CE597&gt;0.1,1,0)</f>
        <v/>
      </c>
      <c r="CI597" s="34">
        <f>(F597*BX597)-BY597</f>
        <v/>
      </c>
      <c r="CJ597" s="34">
        <f>IF(AY597=0,0,CI597/AY597)</f>
        <v/>
      </c>
    </row>
    <row r="598">
      <c r="A598" s="29">
        <f>[1]FİYATLAR!A573</f>
        <v/>
      </c>
      <c r="B598" s="29">
        <f>[1]FİYATLAR!B597</f>
        <v/>
      </c>
      <c r="C598" s="35">
        <f>INT(A598)</f>
        <v/>
      </c>
      <c r="D598" s="36">
        <f>MONTH(A598)</f>
        <v/>
      </c>
      <c r="E598" s="147">
        <f>[1]FİYATLAR!G573</f>
        <v/>
      </c>
      <c r="F598" s="30">
        <f>[1]FİYATLAR!C573</f>
        <v/>
      </c>
      <c r="G598" s="30">
        <f>[1]FİYATLAR!E573</f>
        <v/>
      </c>
      <c r="H598" s="30">
        <f>[1]FİYATLAR!D573</f>
        <v/>
      </c>
      <c r="I598" s="30">
        <f>[1]FİYATLAR!F573</f>
        <v/>
      </c>
      <c r="J598" s="119" t="n">
        <v>0</v>
      </c>
      <c r="K598" s="34">
        <f>F598*J598</f>
        <v/>
      </c>
      <c r="L598" s="119" t="n"/>
      <c r="M598" s="34">
        <f>L598*F598</f>
        <v/>
      </c>
      <c r="N598" s="119" t="n"/>
      <c r="O598" s="34">
        <f>F598</f>
        <v/>
      </c>
      <c r="P598" s="34">
        <f>N598*O598</f>
        <v/>
      </c>
      <c r="Q598" s="117" t="n">
        <v>0</v>
      </c>
      <c r="R598" s="34">
        <f>F598</f>
        <v/>
      </c>
      <c r="S598" s="34">
        <f>R598*Q598</f>
        <v/>
      </c>
      <c r="T598" s="34">
        <f>SUMIFS('[1]GİP VERİLERİ'!$C:$C,'[1]GİP VERİLERİ'!$B:$B,A598,'[1]GİP VERİLERİ'!$M:$M,"40X000000104782K",'[1]GİP VERİLERİ'!$G:$G,"SELL")</f>
        <v/>
      </c>
      <c r="U598" s="34">
        <f>IFERROR(W598/T598,0)</f>
        <v/>
      </c>
      <c r="V598" s="34">
        <f>IF(U598=0,0,U598-F598)</f>
        <v/>
      </c>
      <c r="W598" s="34">
        <f>SUMIFS('[1]GİP VERİLERİ'!$O:$O,'[1]GİP VERİLERİ'!$B:$B,A598,'[1]GİP VERİLERİ'!$M:$M,"40X000000104782K",'[1]GİP VERİLERİ'!$G:$G,"SELL")</f>
        <v/>
      </c>
      <c r="X598" s="34">
        <f>SUMIFS('[1]GİP VERİLERİ'!$C:$C,'[1]GİP VERİLERİ'!$B:$B,A598,'[1]GİP VERİLERİ'!$M:$M,"40X000000104782K",'[1]GİP VERİLERİ'!$G:$G,"BUY")</f>
        <v/>
      </c>
      <c r="Y598" s="34">
        <f>IFERROR(AA598/X598,0)</f>
        <v/>
      </c>
      <c r="Z598" s="34">
        <f>IF(Y598=0,0,F598-Y598)</f>
        <v/>
      </c>
      <c r="AA598" s="34">
        <f>SUMIFS('[1]GİP VERİLERİ'!$O:$O,'[1]GİP VERİLERİ'!$B:$B,A598,'[1]GİP VERİLERİ'!$M:$M,"40X000000104782K",'[1]GİP VERİLERİ'!$G:$G,"BUY")</f>
        <v/>
      </c>
      <c r="AB598" s="34">
        <f>'[1]GÖP VERİLERİ'!H599</f>
        <v/>
      </c>
      <c r="AC598" s="34">
        <f>'[1]GÖP VERİLERİ'!I599</f>
        <v/>
      </c>
      <c r="AD598" s="34">
        <f>IF(AB598&gt;AC598*1.05,AB598-AC598*1.05,IF(AB598&lt;AC598*0.95,AC598*0.95-AB598,0))</f>
        <v/>
      </c>
      <c r="AE598" s="34">
        <f>MAX(F598,G598,750)*0.05*AD598</f>
        <v/>
      </c>
      <c r="AF598" s="34">
        <f>'[1]GÖP VERİLERİ'!J599</f>
        <v/>
      </c>
      <c r="AG598" s="34">
        <f>IF(AB598&gt;AF598*1.05,AB598-AF598*1.05,IF(AB598&lt;AF598*0.95,AF598*0.95-AB598,0))</f>
        <v/>
      </c>
      <c r="AH598" s="34">
        <f>MAX(I598,J598,750)*0.05*AG598</f>
        <v/>
      </c>
      <c r="AI598">
        <f>'[1]GÖP VERİLERİ'!E599</f>
        <v/>
      </c>
      <c r="AJ598">
        <f>'[1]GÖP VERİLERİ'!F599</f>
        <v/>
      </c>
      <c r="AK598" s="34">
        <f>IF(AI598&gt;AJ598*1.05,AI598-AJ598*1.05,IF(AI598&lt;AJ598*0.95,AJ598*0.95-AI598,0))</f>
        <v/>
      </c>
      <c r="AL598" s="34">
        <f>MAX(F598,G598,750)*0.05*AK598</f>
        <v/>
      </c>
      <c r="AM598" s="39">
        <f>'[1]GÖP VERİLERİ'!G599</f>
        <v/>
      </c>
      <c r="AN598" s="34">
        <f>IF(AI598&gt;AM598*1.05,AI598-AM598*1.05,IF(AI598&lt;AM598*0.95,AM598*0.95-AI598,0))</f>
        <v/>
      </c>
      <c r="AO598" s="34">
        <f>MAX(F598,G598,750)*0.05*AN598</f>
        <v/>
      </c>
      <c r="AP598" s="34">
        <f>'[1]GÖP VERİLERİ'!B599</f>
        <v/>
      </c>
      <c r="AQ598" s="34">
        <f>'[1]GÖP VERİLERİ'!C599</f>
        <v/>
      </c>
      <c r="AR598" s="34">
        <f>IF(AP598&gt;AQ598*1.05,AP598-AQ598*1.05,IF(AP598&lt;AQ598*0.95,AQ598*0.95-AP598,0))</f>
        <v/>
      </c>
      <c r="AS598" s="34">
        <f>MAX(F598:G598,750)*0.05*AR598</f>
        <v/>
      </c>
      <c r="AT598">
        <f>'[1]GÖP VERİLERİ'!D599</f>
        <v/>
      </c>
      <c r="AU598" s="34">
        <f>IF(AP598&gt;AT598*1.05,AP598-AT598*1.05,IF(AP598&lt;AT598*0.95,AT598*0.95-AP598,0))</f>
        <v/>
      </c>
      <c r="AV598" s="34">
        <f>MAX(F598:G598,750)*0.05*AU598</f>
        <v/>
      </c>
      <c r="AW598" s="34">
        <f>AC598+AJ598+AQ598</f>
        <v/>
      </c>
      <c r="AX598" s="34">
        <f>AF598+AM598+AT598</f>
        <v/>
      </c>
      <c r="AY598" s="34">
        <f>AB598+AI598+AP598</f>
        <v/>
      </c>
      <c r="AZ598" s="34" t="n">
        <v>0</v>
      </c>
      <c r="BA598" s="34">
        <f>AD598+AK598+AR598</f>
        <v/>
      </c>
      <c r="BB598" s="34">
        <f>MAX(F598:G598,750)*0.05*BA598</f>
        <v/>
      </c>
      <c r="BC598" s="34">
        <f>AG598+AN598+AU598</f>
        <v/>
      </c>
      <c r="BD598" s="34">
        <f>MAX(F598:G598,750)*0.05*BC598</f>
        <v/>
      </c>
      <c r="BE598" s="34">
        <f>F598*AY598</f>
        <v/>
      </c>
      <c r="BF598" s="34">
        <f>K598-M598</f>
        <v/>
      </c>
      <c r="BG598" s="34">
        <f>P598-S598</f>
        <v/>
      </c>
      <c r="BH598" s="34">
        <f>W598-AA598</f>
        <v/>
      </c>
      <c r="BI598" s="34">
        <f>BF598+BG598+BL598-BN598</f>
        <v/>
      </c>
      <c r="BJ598" s="34">
        <f>ABS(BK598)</f>
        <v/>
      </c>
      <c r="BK598" s="34">
        <f>AY598-(J598-L598+N598-Q598)</f>
        <v/>
      </c>
      <c r="BL598" s="34">
        <f>IF(AND(BK598&gt;0,MIN($F598:$G598)&lt;150,$E598="Enerji Açığı"),-100*BK598*1.03,IF(AND(BK598&gt;0,MIN($F598:$G598)&lt;150,$E598="Enerji Fazlası"),-100*BK598*1.06,IF(AND(BK598&gt;0,MIN($F598:$G598)&gt;=150,$E598="Enerji Açığı"),BK598*MIN($F598:$G598)*0.97,IF(AND(BK598&gt;0,MIN($F598:$G598)&gt;=150,$E598="Enerji Fazlası"),BK598*MIN($F598:$G598)*0.94,IF(AND(BK598&lt;0,MAX($F598:$G598)=4500,$E598="Enerji Açığı"),4500*1.05*1.06*BK598,IF(AND(BK598&lt;0,MAX($F598:$G598)=4500,$E598="Enerji Fazlası"),4500*1.05*1.03*BK598,IF(AND(BK598&lt;0,$E598="Enerji Açığı"),MAX($F598,$G598,150)*BK598*1.06,IF(AND(BK598&lt;0,$E598="Enerji Fazlası"),MAX($F598,$G598,150)*BK598*1.03,IF(AND(BK598&lt;0,$E598="Dengede"),MAX($F598:$G598,150)*1.03*BK598,MIN($F598:$G598)*0.97*BK598)))))))))</f>
        <v/>
      </c>
      <c r="BM598" s="34">
        <f>BE598-BI598-BN598</f>
        <v/>
      </c>
      <c r="BN598" s="34">
        <f>BB598</f>
        <v/>
      </c>
      <c r="BO598" s="34">
        <f>BE598-BI598</f>
        <v/>
      </c>
      <c r="BP598" s="34">
        <f>IF(AY598=0,0,BO598/AY598)</f>
        <v/>
      </c>
      <c r="BQ598" s="34">
        <f>MAX((AY598+MAX((-J598+L598-N598+Q598),0)),(MAX((J598-L598+N598-Q598),0)))</f>
        <v/>
      </c>
      <c r="BR598" s="82">
        <f>IFERROR(ABS(BK598/BQ598),0)</f>
        <v/>
      </c>
      <c r="BS598" s="34">
        <f>IF(BR598&lt;=0.1,0,BK598/BR598*(BR598-0.1))</f>
        <v/>
      </c>
      <c r="BT598" s="34">
        <f>IF((BS598)&lt;0,MAX(F598:G598)*(BS598)*1.03,MIN(F598:G598)*(BS598)*0.97)</f>
        <v/>
      </c>
      <c r="BU598" s="34">
        <f>IF(BR598&gt;0.1,1,0)</f>
        <v/>
      </c>
      <c r="BV598" s="34">
        <f>BF598+BG598+BH598+BY598-CA598</f>
        <v/>
      </c>
      <c r="BW598" s="34">
        <f>ABS(BX598)</f>
        <v/>
      </c>
      <c r="BX598" s="34">
        <f>AY598-(J598-L598+N598-Q598+T598-X598)</f>
        <v/>
      </c>
      <c r="BY598" s="34">
        <f>IF(AND(BX598&gt;0,MIN($F598:$G598)&lt;150,$E598="Enerji Açığı"),-100*BX598*1.03,IF(AND(BX598&gt;0,MIN($F598:$G598)&lt;150,$E598="Enerji Fazlası"),-100*BX598*1.06,IF(AND(BX598&gt;0,MIN($F598:$G598)&gt;=150,$E598="Enerji Açığı"),BX598*MIN($F598:$G598)*0.97,IF(AND(BX598&gt;0,MIN($F598:$G598)&gt;=150,$E598="Enerji Fazlası"),BX598*MIN($F598:$G598)*0.94,IF(AND(BX598&lt;0,MAX($F598:$G598)=4500,$E598="Enerji Açığı"),4500*1.05*1.06*BX598,IF(AND(BX598&lt;0,MAX($F598:$G598)=4500,$E598="Enerji Fazlası"),4500*1.05*1.03*BX598,IF(AND(BX598&lt;0,$E598="Enerji Açığı"),MAX($F598,$G598,150)*BX598*1.06,IF(AND(BX598&lt;0,$E598="Enerji Fazlası"),MAX($F598,$G598,150)*BX598*1.03,IF(AND(BX598&lt;0,$E598="Dengede"),MAX($F598:$G598,150)*1.03*BX598,MIN($F598:$G598)*0.97*BX598)))))))))</f>
        <v/>
      </c>
      <c r="BZ598" s="34">
        <f>BE598-BV598-CA598</f>
        <v/>
      </c>
      <c r="CA598" s="34">
        <f>BD598</f>
        <v/>
      </c>
      <c r="CB598" s="33">
        <f>BE598-BV598</f>
        <v/>
      </c>
      <c r="CC598" s="34">
        <f>IF(AY598=0,0,CB598/AY598)</f>
        <v/>
      </c>
      <c r="CD598" s="34">
        <f>MAX((AY598+MAX((-J598+L598-N598+Q598-T598+X598),0)),(MAX((J598-L598+N598-Q598+T598-X598),0)))</f>
        <v/>
      </c>
      <c r="CE598" s="82">
        <f>IFERROR(ABS(BX598/CD598),0)</f>
        <v/>
      </c>
      <c r="CF598" s="34">
        <f>IF(CE598&lt;=0.1,0,BX598/CE598*(CE598-0.1))</f>
        <v/>
      </c>
      <c r="CG598" s="34">
        <f>IF((CF598)&lt;0,MAX(F598:G598)*(CF598)*1.03,MIN(F598:G598)*(CF598)*0.97)</f>
        <v/>
      </c>
      <c r="CH598" s="34">
        <f>IF(CE598&gt;0.1,1,0)</f>
        <v/>
      </c>
      <c r="CI598" s="34">
        <f>(F598*BX598)-BY598</f>
        <v/>
      </c>
      <c r="CJ598" s="34">
        <f>IF(AY598=0,0,CI598/AY598)</f>
        <v/>
      </c>
    </row>
    <row r="599">
      <c r="A599" s="29">
        <f>[1]FİYATLAR!A574</f>
        <v/>
      </c>
      <c r="B599" s="29">
        <f>[1]FİYATLAR!B598</f>
        <v/>
      </c>
      <c r="C599" s="35">
        <f>INT(A599)</f>
        <v/>
      </c>
      <c r="D599" s="36">
        <f>MONTH(A599)</f>
        <v/>
      </c>
      <c r="E599" s="147">
        <f>[1]FİYATLAR!G574</f>
        <v/>
      </c>
      <c r="F599" s="30">
        <f>[1]FİYATLAR!C574</f>
        <v/>
      </c>
      <c r="G599" s="30">
        <f>[1]FİYATLAR!E574</f>
        <v/>
      </c>
      <c r="H599" s="30">
        <f>[1]FİYATLAR!D574</f>
        <v/>
      </c>
      <c r="I599" s="30">
        <f>[1]FİYATLAR!F574</f>
        <v/>
      </c>
      <c r="J599" s="119" t="n">
        <v>0</v>
      </c>
      <c r="K599" s="34">
        <f>F599*J599</f>
        <v/>
      </c>
      <c r="L599" s="119" t="n"/>
      <c r="M599" s="34">
        <f>L599*F599</f>
        <v/>
      </c>
      <c r="N599" s="119" t="n"/>
      <c r="O599" s="34">
        <f>F599</f>
        <v/>
      </c>
      <c r="P599" s="34">
        <f>N599*O599</f>
        <v/>
      </c>
      <c r="Q599" s="117" t="n">
        <v>0</v>
      </c>
      <c r="R599" s="34">
        <f>F599</f>
        <v/>
      </c>
      <c r="S599" s="34">
        <f>R599*Q599</f>
        <v/>
      </c>
      <c r="T599" s="34">
        <f>SUMIFS('[1]GİP VERİLERİ'!$C:$C,'[1]GİP VERİLERİ'!$B:$B,A599,'[1]GİP VERİLERİ'!$M:$M,"40X000000104782K",'[1]GİP VERİLERİ'!$G:$G,"SELL")</f>
        <v/>
      </c>
      <c r="U599" s="34">
        <f>IFERROR(W599/T599,0)</f>
        <v/>
      </c>
      <c r="V599" s="34">
        <f>IF(U599=0,0,U599-F599)</f>
        <v/>
      </c>
      <c r="W599" s="34">
        <f>SUMIFS('[1]GİP VERİLERİ'!$O:$O,'[1]GİP VERİLERİ'!$B:$B,A599,'[1]GİP VERİLERİ'!$M:$M,"40X000000104782K",'[1]GİP VERİLERİ'!$G:$G,"SELL")</f>
        <v/>
      </c>
      <c r="X599" s="34">
        <f>SUMIFS('[1]GİP VERİLERİ'!$C:$C,'[1]GİP VERİLERİ'!$B:$B,A599,'[1]GİP VERİLERİ'!$M:$M,"40X000000104782K",'[1]GİP VERİLERİ'!$G:$G,"BUY")</f>
        <v/>
      </c>
      <c r="Y599" s="34">
        <f>IFERROR(AA599/X599,0)</f>
        <v/>
      </c>
      <c r="Z599" s="34">
        <f>IF(Y599=0,0,F599-Y599)</f>
        <v/>
      </c>
      <c r="AA599" s="34">
        <f>SUMIFS('[1]GİP VERİLERİ'!$O:$O,'[1]GİP VERİLERİ'!$B:$B,A599,'[1]GİP VERİLERİ'!$M:$M,"40X000000104782K",'[1]GİP VERİLERİ'!$G:$G,"BUY")</f>
        <v/>
      </c>
      <c r="AB599" s="34">
        <f>'[1]GÖP VERİLERİ'!H600</f>
        <v/>
      </c>
      <c r="AC599" s="34">
        <f>'[1]GÖP VERİLERİ'!I600</f>
        <v/>
      </c>
      <c r="AD599" s="34">
        <f>IF(AB599&gt;AC599*1.05,AB599-AC599*1.05,IF(AB599&lt;AC599*0.95,AC599*0.95-AB599,0))</f>
        <v/>
      </c>
      <c r="AE599" s="34">
        <f>MAX(F599,G599,750)*0.05*AD599</f>
        <v/>
      </c>
      <c r="AF599" s="34">
        <f>'[1]GÖP VERİLERİ'!J600</f>
        <v/>
      </c>
      <c r="AG599" s="34">
        <f>IF(AB599&gt;AF599*1.05,AB599-AF599*1.05,IF(AB599&lt;AF599*0.95,AF599*0.95-AB599,0))</f>
        <v/>
      </c>
      <c r="AH599" s="34">
        <f>MAX(I599,J599,750)*0.05*AG599</f>
        <v/>
      </c>
      <c r="AI599">
        <f>'[1]GÖP VERİLERİ'!E600</f>
        <v/>
      </c>
      <c r="AJ599">
        <f>'[1]GÖP VERİLERİ'!F600</f>
        <v/>
      </c>
      <c r="AK599" s="34">
        <f>IF(AI599&gt;AJ599*1.05,AI599-AJ599*1.05,IF(AI599&lt;AJ599*0.95,AJ599*0.95-AI599,0))</f>
        <v/>
      </c>
      <c r="AL599" s="34">
        <f>MAX(F599,G599,750)*0.05*AK599</f>
        <v/>
      </c>
      <c r="AM599" s="39">
        <f>'[1]GÖP VERİLERİ'!G600</f>
        <v/>
      </c>
      <c r="AN599" s="34">
        <f>IF(AI599&gt;AM599*1.05,AI599-AM599*1.05,IF(AI599&lt;AM599*0.95,AM599*0.95-AI599,0))</f>
        <v/>
      </c>
      <c r="AO599" s="34">
        <f>MAX(F599,G599,750)*0.05*AN599</f>
        <v/>
      </c>
      <c r="AP599" s="34">
        <f>'[1]GÖP VERİLERİ'!B600</f>
        <v/>
      </c>
      <c r="AQ599" s="34">
        <f>'[1]GÖP VERİLERİ'!C600</f>
        <v/>
      </c>
      <c r="AR599" s="34">
        <f>IF(AP599&gt;AQ599*1.05,AP599-AQ599*1.05,IF(AP599&lt;AQ599*0.95,AQ599*0.95-AP599,0))</f>
        <v/>
      </c>
      <c r="AS599" s="34">
        <f>MAX(F599:G599,750)*0.05*AR599</f>
        <v/>
      </c>
      <c r="AT599">
        <f>'[1]GÖP VERİLERİ'!D600</f>
        <v/>
      </c>
      <c r="AU599" s="34">
        <f>IF(AP599&gt;AT599*1.05,AP599-AT599*1.05,IF(AP599&lt;AT599*0.95,AT599*0.95-AP599,0))</f>
        <v/>
      </c>
      <c r="AV599" s="34">
        <f>MAX(F599:G599,750)*0.05*AU599</f>
        <v/>
      </c>
      <c r="AW599" s="34">
        <f>AC599+AJ599+AQ599</f>
        <v/>
      </c>
      <c r="AX599" s="34">
        <f>AF599+AM599+AT599</f>
        <v/>
      </c>
      <c r="AY599" s="34">
        <f>AB599+AI599+AP599</f>
        <v/>
      </c>
      <c r="AZ599" s="34" t="n">
        <v>0</v>
      </c>
      <c r="BA599" s="34">
        <f>AD599+AK599+AR599</f>
        <v/>
      </c>
      <c r="BB599" s="34">
        <f>MAX(F599:G599,750)*0.05*BA599</f>
        <v/>
      </c>
      <c r="BC599" s="34">
        <f>AG599+AN599+AU599</f>
        <v/>
      </c>
      <c r="BD599" s="34">
        <f>MAX(F599:G599,750)*0.05*BC599</f>
        <v/>
      </c>
      <c r="BE599" s="34">
        <f>F599*AY599</f>
        <v/>
      </c>
      <c r="BF599" s="34">
        <f>K599-M599</f>
        <v/>
      </c>
      <c r="BG599" s="34">
        <f>P599-S599</f>
        <v/>
      </c>
      <c r="BH599" s="34">
        <f>W599-AA599</f>
        <v/>
      </c>
      <c r="BI599" s="34">
        <f>BF599+BG599+BL599-BN599</f>
        <v/>
      </c>
      <c r="BJ599" s="34">
        <f>ABS(BK599)</f>
        <v/>
      </c>
      <c r="BK599" s="34">
        <f>AY599-(J599-L599+N599-Q599)</f>
        <v/>
      </c>
      <c r="BL599" s="34">
        <f>IF(AND(BK599&gt;0,MIN($F599:$G599)&lt;150,$E599="Enerji Açığı"),-100*BK599*1.03,IF(AND(BK599&gt;0,MIN($F599:$G599)&lt;150,$E599="Enerji Fazlası"),-100*BK599*1.06,IF(AND(BK599&gt;0,MIN($F599:$G599)&gt;=150,$E599="Enerji Açığı"),BK599*MIN($F599:$G599)*0.97,IF(AND(BK599&gt;0,MIN($F599:$G599)&gt;=150,$E599="Enerji Fazlası"),BK599*MIN($F599:$G599)*0.94,IF(AND(BK599&lt;0,MAX($F599:$G599)=4500,$E599="Enerji Açığı"),4500*1.05*1.06*BK599,IF(AND(BK599&lt;0,MAX($F599:$G599)=4500,$E599="Enerji Fazlası"),4500*1.05*1.03*BK599,IF(AND(BK599&lt;0,$E599="Enerji Açığı"),MAX($F599,$G599,150)*BK599*1.06,IF(AND(BK599&lt;0,$E599="Enerji Fazlası"),MAX($F599,$G599,150)*BK599*1.03,IF(AND(BK599&lt;0,$E599="Dengede"),MAX($F599:$G599,150)*1.03*BK599,MIN($F599:$G599)*0.97*BK599)))))))))</f>
        <v/>
      </c>
      <c r="BM599" s="34">
        <f>BE599-BI599-BN599</f>
        <v/>
      </c>
      <c r="BN599" s="34">
        <f>BB599</f>
        <v/>
      </c>
      <c r="BO599" s="34">
        <f>BE599-BI599</f>
        <v/>
      </c>
      <c r="BP599" s="34">
        <f>IF(AY599=0,0,BO599/AY599)</f>
        <v/>
      </c>
      <c r="BQ599" s="34">
        <f>MAX((AY599+MAX((-J599+L599-N599+Q599),0)),(MAX((J599-L599+N599-Q599),0)))</f>
        <v/>
      </c>
      <c r="BR599" s="82">
        <f>IFERROR(ABS(BK599/BQ599),0)</f>
        <v/>
      </c>
      <c r="BS599" s="34">
        <f>IF(BR599&lt;=0.1,0,BK599/BR599*(BR599-0.1))</f>
        <v/>
      </c>
      <c r="BT599" s="34">
        <f>IF((BS599)&lt;0,MAX(F599:G599)*(BS599)*1.03,MIN(F599:G599)*(BS599)*0.97)</f>
        <v/>
      </c>
      <c r="BU599" s="34">
        <f>IF(BR599&gt;0.1,1,0)</f>
        <v/>
      </c>
      <c r="BV599" s="34">
        <f>BF599+BG599+BH599+BY599-CA599</f>
        <v/>
      </c>
      <c r="BW599" s="34">
        <f>ABS(BX599)</f>
        <v/>
      </c>
      <c r="BX599" s="34">
        <f>AY599-(J599-L599+N599-Q599+T599-X599)</f>
        <v/>
      </c>
      <c r="BY599" s="34">
        <f>IF(AND(BX599&gt;0,MIN($F599:$G599)&lt;150,$E599="Enerji Açığı"),-100*BX599*1.03,IF(AND(BX599&gt;0,MIN($F599:$G599)&lt;150,$E599="Enerji Fazlası"),-100*BX599*1.06,IF(AND(BX599&gt;0,MIN($F599:$G599)&gt;=150,$E599="Enerji Açığı"),BX599*MIN($F599:$G599)*0.97,IF(AND(BX599&gt;0,MIN($F599:$G599)&gt;=150,$E599="Enerji Fazlası"),BX599*MIN($F599:$G599)*0.94,IF(AND(BX599&lt;0,MAX($F599:$G599)=4500,$E599="Enerji Açığı"),4500*1.05*1.06*BX599,IF(AND(BX599&lt;0,MAX($F599:$G599)=4500,$E599="Enerji Fazlası"),4500*1.05*1.03*BX599,IF(AND(BX599&lt;0,$E599="Enerji Açığı"),MAX($F599,$G599,150)*BX599*1.06,IF(AND(BX599&lt;0,$E599="Enerji Fazlası"),MAX($F599,$G599,150)*BX599*1.03,IF(AND(BX599&lt;0,$E599="Dengede"),MAX($F599:$G599,150)*1.03*BX599,MIN($F599:$G599)*0.97*BX599)))))))))</f>
        <v/>
      </c>
      <c r="BZ599" s="34">
        <f>BE599-BV599-CA599</f>
        <v/>
      </c>
      <c r="CA599" s="34">
        <f>BD599</f>
        <v/>
      </c>
      <c r="CB599" s="33">
        <f>BE599-BV599</f>
        <v/>
      </c>
      <c r="CC599" s="34">
        <f>IF(AY599=0,0,CB599/AY599)</f>
        <v/>
      </c>
      <c r="CD599" s="34">
        <f>MAX((AY599+MAX((-J599+L599-N599+Q599-T599+X599),0)),(MAX((J599-L599+N599-Q599+T599-X599),0)))</f>
        <v/>
      </c>
      <c r="CE599" s="82">
        <f>IFERROR(ABS(BX599/CD599),0)</f>
        <v/>
      </c>
      <c r="CF599" s="34">
        <f>IF(CE599&lt;=0.1,0,BX599/CE599*(CE599-0.1))</f>
        <v/>
      </c>
      <c r="CG599" s="34">
        <f>IF((CF599)&lt;0,MAX(F599:G599)*(CF599)*1.03,MIN(F599:G599)*(CF599)*0.97)</f>
        <v/>
      </c>
      <c r="CH599" s="34">
        <f>IF(CE599&gt;0.1,1,0)</f>
        <v/>
      </c>
      <c r="CI599" s="34">
        <f>(F599*BX599)-BY599</f>
        <v/>
      </c>
      <c r="CJ599" s="34">
        <f>IF(AY599=0,0,CI599/AY599)</f>
        <v/>
      </c>
    </row>
    <row r="600">
      <c r="A600" s="29">
        <f>[1]FİYATLAR!A575</f>
        <v/>
      </c>
      <c r="B600" s="29">
        <f>[1]FİYATLAR!B599</f>
        <v/>
      </c>
      <c r="C600" s="35">
        <f>INT(A600)</f>
        <v/>
      </c>
      <c r="D600" s="36">
        <f>MONTH(A600)</f>
        <v/>
      </c>
      <c r="E600" s="147">
        <f>[1]FİYATLAR!G575</f>
        <v/>
      </c>
      <c r="F600" s="30">
        <f>[1]FİYATLAR!C575</f>
        <v/>
      </c>
      <c r="G600" s="30">
        <f>[1]FİYATLAR!E575</f>
        <v/>
      </c>
      <c r="H600" s="30">
        <f>[1]FİYATLAR!D575</f>
        <v/>
      </c>
      <c r="I600" s="30">
        <f>[1]FİYATLAR!F575</f>
        <v/>
      </c>
      <c r="J600" s="119" t="n">
        <v>0</v>
      </c>
      <c r="K600" s="34">
        <f>F600*J600</f>
        <v/>
      </c>
      <c r="L600" s="119" t="n"/>
      <c r="M600" s="34">
        <f>L600*F600</f>
        <v/>
      </c>
      <c r="N600" s="119" t="n"/>
      <c r="O600" s="34">
        <f>F600</f>
        <v/>
      </c>
      <c r="P600" s="34">
        <f>N600*O600</f>
        <v/>
      </c>
      <c r="Q600" s="117" t="n">
        <v>0</v>
      </c>
      <c r="R600" s="34">
        <f>F600</f>
        <v/>
      </c>
      <c r="S600" s="34">
        <f>R600*Q600</f>
        <v/>
      </c>
      <c r="T600" s="34">
        <f>SUMIFS('[1]GİP VERİLERİ'!$C:$C,'[1]GİP VERİLERİ'!$B:$B,A600,'[1]GİP VERİLERİ'!$M:$M,"40X000000104782K",'[1]GİP VERİLERİ'!$G:$G,"SELL")</f>
        <v/>
      </c>
      <c r="U600" s="34">
        <f>IFERROR(W600/T600,0)</f>
        <v/>
      </c>
      <c r="V600" s="34">
        <f>IF(U600=0,0,U600-F600)</f>
        <v/>
      </c>
      <c r="W600" s="34">
        <f>SUMIFS('[1]GİP VERİLERİ'!$O:$O,'[1]GİP VERİLERİ'!$B:$B,A600,'[1]GİP VERİLERİ'!$M:$M,"40X000000104782K",'[1]GİP VERİLERİ'!$G:$G,"SELL")</f>
        <v/>
      </c>
      <c r="X600" s="34">
        <f>SUMIFS('[1]GİP VERİLERİ'!$C:$C,'[1]GİP VERİLERİ'!$B:$B,A600,'[1]GİP VERİLERİ'!$M:$M,"40X000000104782K",'[1]GİP VERİLERİ'!$G:$G,"BUY")</f>
        <v/>
      </c>
      <c r="Y600" s="34">
        <f>IFERROR(AA600/X600,0)</f>
        <v/>
      </c>
      <c r="Z600" s="34">
        <f>IF(Y600=0,0,F600-Y600)</f>
        <v/>
      </c>
      <c r="AA600" s="34">
        <f>SUMIFS('[1]GİP VERİLERİ'!$O:$O,'[1]GİP VERİLERİ'!$B:$B,A600,'[1]GİP VERİLERİ'!$M:$M,"40X000000104782K",'[1]GİP VERİLERİ'!$G:$G,"BUY")</f>
        <v/>
      </c>
      <c r="AB600" s="34">
        <f>'[1]GÖP VERİLERİ'!H601</f>
        <v/>
      </c>
      <c r="AC600" s="34">
        <f>'[1]GÖP VERİLERİ'!I601</f>
        <v/>
      </c>
      <c r="AD600" s="34">
        <f>IF(AB600&gt;AC600*1.05,AB600-AC600*1.05,IF(AB600&lt;AC600*0.95,AC600*0.95-AB600,0))</f>
        <v/>
      </c>
      <c r="AE600" s="34">
        <f>MAX(F600,G600,750)*0.05*AD600</f>
        <v/>
      </c>
      <c r="AF600" s="34">
        <f>'[1]GÖP VERİLERİ'!J601</f>
        <v/>
      </c>
      <c r="AG600" s="34">
        <f>IF(AB600&gt;AF600*1.05,AB600-AF600*1.05,IF(AB600&lt;AF600*0.95,AF600*0.95-AB600,0))</f>
        <v/>
      </c>
      <c r="AH600" s="34">
        <f>MAX(I600,J600,750)*0.05*AG600</f>
        <v/>
      </c>
      <c r="AI600">
        <f>'[1]GÖP VERİLERİ'!E601</f>
        <v/>
      </c>
      <c r="AJ600">
        <f>'[1]GÖP VERİLERİ'!F601</f>
        <v/>
      </c>
      <c r="AK600" s="34">
        <f>IF(AI600&gt;AJ600*1.05,AI600-AJ600*1.05,IF(AI600&lt;AJ600*0.95,AJ600*0.95-AI600,0))</f>
        <v/>
      </c>
      <c r="AL600" s="34">
        <f>MAX(F600,G600,750)*0.05*AK600</f>
        <v/>
      </c>
      <c r="AM600" s="39">
        <f>'[1]GÖP VERİLERİ'!G601</f>
        <v/>
      </c>
      <c r="AN600" s="34">
        <f>IF(AI600&gt;AM600*1.05,AI600-AM600*1.05,IF(AI600&lt;AM600*0.95,AM600*0.95-AI600,0))</f>
        <v/>
      </c>
      <c r="AO600" s="34">
        <f>MAX(F600,G600,750)*0.05*AN600</f>
        <v/>
      </c>
      <c r="AP600" s="34">
        <f>'[1]GÖP VERİLERİ'!B601</f>
        <v/>
      </c>
      <c r="AQ600" s="34">
        <f>'[1]GÖP VERİLERİ'!C601</f>
        <v/>
      </c>
      <c r="AR600" s="34">
        <f>IF(AP600&gt;AQ600*1.05,AP600-AQ600*1.05,IF(AP600&lt;AQ600*0.95,AQ600*0.95-AP600,0))</f>
        <v/>
      </c>
      <c r="AS600" s="34">
        <f>MAX(F600:G600,750)*0.05*AR600</f>
        <v/>
      </c>
      <c r="AT600">
        <f>'[1]GÖP VERİLERİ'!D601</f>
        <v/>
      </c>
      <c r="AU600" s="34">
        <f>IF(AP600&gt;AT600*1.05,AP600-AT600*1.05,IF(AP600&lt;AT600*0.95,AT600*0.95-AP600,0))</f>
        <v/>
      </c>
      <c r="AV600" s="34">
        <f>MAX(F600:G600,750)*0.05*AU600</f>
        <v/>
      </c>
      <c r="AW600" s="34">
        <f>AC600+AJ600+AQ600</f>
        <v/>
      </c>
      <c r="AX600" s="34">
        <f>AF600+AM600+AT600</f>
        <v/>
      </c>
      <c r="AY600" s="34">
        <f>AB600+AI600+AP600</f>
        <v/>
      </c>
      <c r="AZ600" s="34" t="n">
        <v>0</v>
      </c>
      <c r="BA600" s="34">
        <f>AD600+AK600+AR600</f>
        <v/>
      </c>
      <c r="BB600" s="34">
        <f>MAX(F600:G600,750)*0.05*BA600</f>
        <v/>
      </c>
      <c r="BC600" s="34">
        <f>AG600+AN600+AU600</f>
        <v/>
      </c>
      <c r="BD600" s="34">
        <f>MAX(F600:G600,750)*0.05*BC600</f>
        <v/>
      </c>
      <c r="BE600" s="34">
        <f>F600*AY600</f>
        <v/>
      </c>
      <c r="BF600" s="34">
        <f>K600-M600</f>
        <v/>
      </c>
      <c r="BG600" s="34">
        <f>P600-S600</f>
        <v/>
      </c>
      <c r="BH600" s="34">
        <f>W600-AA600</f>
        <v/>
      </c>
      <c r="BI600" s="34">
        <f>BF600+BG600+BL600-BN600</f>
        <v/>
      </c>
      <c r="BJ600" s="34">
        <f>ABS(BK600)</f>
        <v/>
      </c>
      <c r="BK600" s="34">
        <f>AY600-(J600-L600+N600-Q600)</f>
        <v/>
      </c>
      <c r="BL600" s="34">
        <f>IF(AND(BK600&gt;0,MIN($F600:$G600)&lt;150,$E600="Enerji Açığı"),-100*BK600*1.03,IF(AND(BK600&gt;0,MIN($F600:$G600)&lt;150,$E600="Enerji Fazlası"),-100*BK600*1.06,IF(AND(BK600&gt;0,MIN($F600:$G600)&gt;=150,$E600="Enerji Açığı"),BK600*MIN($F600:$G600)*0.97,IF(AND(BK600&gt;0,MIN($F600:$G600)&gt;=150,$E600="Enerji Fazlası"),BK600*MIN($F600:$G600)*0.94,IF(AND(BK600&lt;0,MAX($F600:$G600)=4500,$E600="Enerji Açığı"),4500*1.05*1.06*BK600,IF(AND(BK600&lt;0,MAX($F600:$G600)=4500,$E600="Enerji Fazlası"),4500*1.05*1.03*BK600,IF(AND(BK600&lt;0,$E600="Enerji Açığı"),MAX($F600,$G600,150)*BK600*1.06,IF(AND(BK600&lt;0,$E600="Enerji Fazlası"),MAX($F600,$G600,150)*BK600*1.03,IF(AND(BK600&lt;0,$E600="Dengede"),MAX($F600:$G600,150)*1.03*BK600,MIN($F600:$G600)*0.97*BK600)))))))))</f>
        <v/>
      </c>
      <c r="BM600" s="34">
        <f>BE600-BI600-BN600</f>
        <v/>
      </c>
      <c r="BN600" s="34">
        <f>BB600</f>
        <v/>
      </c>
      <c r="BO600" s="34">
        <f>BE600-BI600</f>
        <v/>
      </c>
      <c r="BP600" s="34">
        <f>IF(AY600=0,0,BO600/AY600)</f>
        <v/>
      </c>
      <c r="BQ600" s="34">
        <f>MAX((AY600+MAX((-J600+L600-N600+Q600),0)),(MAX((J600-L600+N600-Q600),0)))</f>
        <v/>
      </c>
      <c r="BR600" s="82">
        <f>IFERROR(ABS(BK600/BQ600),0)</f>
        <v/>
      </c>
      <c r="BS600" s="34">
        <f>IF(BR600&lt;=0.1,0,BK600/BR600*(BR600-0.1))</f>
        <v/>
      </c>
      <c r="BT600" s="34">
        <f>IF((BS600)&lt;0,MAX(F600:G600)*(BS600)*1.03,MIN(F600:G600)*(BS600)*0.97)</f>
        <v/>
      </c>
      <c r="BU600" s="34">
        <f>IF(BR600&gt;0.1,1,0)</f>
        <v/>
      </c>
      <c r="BV600" s="34">
        <f>BF600+BG600+BH600+BY600-CA600</f>
        <v/>
      </c>
      <c r="BW600" s="34">
        <f>ABS(BX600)</f>
        <v/>
      </c>
      <c r="BX600" s="34">
        <f>AY600-(J600-L600+N600-Q600+T600-X600)</f>
        <v/>
      </c>
      <c r="BY600" s="34">
        <f>IF(AND(BX600&gt;0,MIN($F600:$G600)&lt;150,$E600="Enerji Açığı"),-100*BX600*1.03,IF(AND(BX600&gt;0,MIN($F600:$G600)&lt;150,$E600="Enerji Fazlası"),-100*BX600*1.06,IF(AND(BX600&gt;0,MIN($F600:$G600)&gt;=150,$E600="Enerji Açığı"),BX600*MIN($F600:$G600)*0.97,IF(AND(BX600&gt;0,MIN($F600:$G600)&gt;=150,$E600="Enerji Fazlası"),BX600*MIN($F600:$G600)*0.94,IF(AND(BX600&lt;0,MAX($F600:$G600)=4500,$E600="Enerji Açığı"),4500*1.05*1.06*BX600,IF(AND(BX600&lt;0,MAX($F600:$G600)=4500,$E600="Enerji Fazlası"),4500*1.05*1.03*BX600,IF(AND(BX600&lt;0,$E600="Enerji Açığı"),MAX($F600,$G600,150)*BX600*1.06,IF(AND(BX600&lt;0,$E600="Enerji Fazlası"),MAX($F600,$G600,150)*BX600*1.03,IF(AND(BX600&lt;0,$E600="Dengede"),MAX($F600:$G600,150)*1.03*BX600,MIN($F600:$G600)*0.97*BX600)))))))))</f>
        <v/>
      </c>
      <c r="BZ600" s="34">
        <f>BE600-BV600-CA600</f>
        <v/>
      </c>
      <c r="CA600" s="34">
        <f>BD600</f>
        <v/>
      </c>
      <c r="CB600" s="33">
        <f>BE600-BV600</f>
        <v/>
      </c>
      <c r="CC600" s="34">
        <f>IF(AY600=0,0,CB600/AY600)</f>
        <v/>
      </c>
      <c r="CD600" s="34">
        <f>MAX((AY600+MAX((-J600+L600-N600+Q600-T600+X600),0)),(MAX((J600-L600+N600-Q600+T600-X600),0)))</f>
        <v/>
      </c>
      <c r="CE600" s="82">
        <f>IFERROR(ABS(BX600/CD600),0)</f>
        <v/>
      </c>
      <c r="CF600" s="34">
        <f>IF(CE600&lt;=0.1,0,BX600/CE600*(CE600-0.1))</f>
        <v/>
      </c>
      <c r="CG600" s="34">
        <f>IF((CF600)&lt;0,MAX(F600:G600)*(CF600)*1.03,MIN(F600:G600)*(CF600)*0.97)</f>
        <v/>
      </c>
      <c r="CH600" s="34">
        <f>IF(CE600&gt;0.1,1,0)</f>
        <v/>
      </c>
      <c r="CI600" s="34">
        <f>(F600*BX600)-BY600</f>
        <v/>
      </c>
      <c r="CJ600" s="34">
        <f>IF(AY600=0,0,CI600/AY600)</f>
        <v/>
      </c>
    </row>
    <row r="601">
      <c r="A601" s="29">
        <f>[1]FİYATLAR!A576</f>
        <v/>
      </c>
      <c r="B601" s="29">
        <f>[1]FİYATLAR!B600</f>
        <v/>
      </c>
      <c r="C601" s="35">
        <f>INT(A601)</f>
        <v/>
      </c>
      <c r="D601" s="36">
        <f>MONTH(A601)</f>
        <v/>
      </c>
      <c r="E601" s="147">
        <f>[1]FİYATLAR!G576</f>
        <v/>
      </c>
      <c r="F601" s="30">
        <f>[1]FİYATLAR!C576</f>
        <v/>
      </c>
      <c r="G601" s="30">
        <f>[1]FİYATLAR!E576</f>
        <v/>
      </c>
      <c r="H601" s="30">
        <f>[1]FİYATLAR!D576</f>
        <v/>
      </c>
      <c r="I601" s="30">
        <f>[1]FİYATLAR!F576</f>
        <v/>
      </c>
      <c r="J601" s="119" t="n">
        <v>0</v>
      </c>
      <c r="K601" s="34">
        <f>F601*J601</f>
        <v/>
      </c>
      <c r="L601" s="119" t="n"/>
      <c r="M601" s="34">
        <f>L601*F601</f>
        <v/>
      </c>
      <c r="N601" s="119" t="n"/>
      <c r="O601" s="34">
        <f>F601</f>
        <v/>
      </c>
      <c r="P601" s="34">
        <f>N601*O601</f>
        <v/>
      </c>
      <c r="Q601" s="117" t="n">
        <v>0</v>
      </c>
      <c r="R601" s="34">
        <f>F601</f>
        <v/>
      </c>
      <c r="S601" s="34">
        <f>R601*Q601</f>
        <v/>
      </c>
      <c r="T601" s="34">
        <f>SUMIFS('[1]GİP VERİLERİ'!$C:$C,'[1]GİP VERİLERİ'!$B:$B,A601,'[1]GİP VERİLERİ'!$M:$M,"40X000000104782K",'[1]GİP VERİLERİ'!$G:$G,"SELL")</f>
        <v/>
      </c>
      <c r="U601" s="34">
        <f>IFERROR(W601/T601,0)</f>
        <v/>
      </c>
      <c r="V601" s="34">
        <f>IF(U601=0,0,U601-F601)</f>
        <v/>
      </c>
      <c r="W601" s="34">
        <f>SUMIFS('[1]GİP VERİLERİ'!$O:$O,'[1]GİP VERİLERİ'!$B:$B,A601,'[1]GİP VERİLERİ'!$M:$M,"40X000000104782K",'[1]GİP VERİLERİ'!$G:$G,"SELL")</f>
        <v/>
      </c>
      <c r="X601" s="34">
        <f>SUMIFS('[1]GİP VERİLERİ'!$C:$C,'[1]GİP VERİLERİ'!$B:$B,A601,'[1]GİP VERİLERİ'!$M:$M,"40X000000104782K",'[1]GİP VERİLERİ'!$G:$G,"BUY")</f>
        <v/>
      </c>
      <c r="Y601" s="34">
        <f>IFERROR(AA601/X601,0)</f>
        <v/>
      </c>
      <c r="Z601" s="34">
        <f>IF(Y601=0,0,F601-Y601)</f>
        <v/>
      </c>
      <c r="AA601" s="34">
        <f>SUMIFS('[1]GİP VERİLERİ'!$O:$O,'[1]GİP VERİLERİ'!$B:$B,A601,'[1]GİP VERİLERİ'!$M:$M,"40X000000104782K",'[1]GİP VERİLERİ'!$G:$G,"BUY")</f>
        <v/>
      </c>
      <c r="AB601" s="34">
        <f>'[1]GÖP VERİLERİ'!H602</f>
        <v/>
      </c>
      <c r="AC601" s="34">
        <f>'[1]GÖP VERİLERİ'!I602</f>
        <v/>
      </c>
      <c r="AD601" s="34">
        <f>IF(AB601&gt;AC601*1.05,AB601-AC601*1.05,IF(AB601&lt;AC601*0.95,AC601*0.95-AB601,0))</f>
        <v/>
      </c>
      <c r="AE601" s="34">
        <f>MAX(F601,G601,750)*0.05*AD601</f>
        <v/>
      </c>
      <c r="AF601" s="34">
        <f>'[1]GÖP VERİLERİ'!J602</f>
        <v/>
      </c>
      <c r="AG601" s="34">
        <f>IF(AB601&gt;AF601*1.05,AB601-AF601*1.05,IF(AB601&lt;AF601*0.95,AF601*0.95-AB601,0))</f>
        <v/>
      </c>
      <c r="AH601" s="34">
        <f>MAX(I601,J601,750)*0.05*AG601</f>
        <v/>
      </c>
      <c r="AI601">
        <f>'[1]GÖP VERİLERİ'!E602</f>
        <v/>
      </c>
      <c r="AJ601">
        <f>'[1]GÖP VERİLERİ'!F602</f>
        <v/>
      </c>
      <c r="AK601" s="34">
        <f>IF(AI601&gt;AJ601*1.05,AI601-AJ601*1.05,IF(AI601&lt;AJ601*0.95,AJ601*0.95-AI601,0))</f>
        <v/>
      </c>
      <c r="AL601" s="34">
        <f>MAX(F601,G601,750)*0.05*AK601</f>
        <v/>
      </c>
      <c r="AM601" s="39">
        <f>'[1]GÖP VERİLERİ'!G602</f>
        <v/>
      </c>
      <c r="AN601" s="34">
        <f>IF(AI601&gt;AM601*1.05,AI601-AM601*1.05,IF(AI601&lt;AM601*0.95,AM601*0.95-AI601,0))</f>
        <v/>
      </c>
      <c r="AO601" s="34">
        <f>MAX(F601,G601,750)*0.05*AN601</f>
        <v/>
      </c>
      <c r="AP601" s="34">
        <f>'[1]GÖP VERİLERİ'!B602</f>
        <v/>
      </c>
      <c r="AQ601" s="34">
        <f>'[1]GÖP VERİLERİ'!C602</f>
        <v/>
      </c>
      <c r="AR601" s="34">
        <f>IF(AP601&gt;AQ601*1.05,AP601-AQ601*1.05,IF(AP601&lt;AQ601*0.95,AQ601*0.95-AP601,0))</f>
        <v/>
      </c>
      <c r="AS601" s="34">
        <f>MAX(F601:G601,750)*0.05*AR601</f>
        <v/>
      </c>
      <c r="AT601">
        <f>'[1]GÖP VERİLERİ'!D602</f>
        <v/>
      </c>
      <c r="AU601" s="34">
        <f>IF(AP601&gt;AT601*1.05,AP601-AT601*1.05,IF(AP601&lt;AT601*0.95,AT601*0.95-AP601,0))</f>
        <v/>
      </c>
      <c r="AV601" s="34">
        <f>MAX(F601:G601,750)*0.05*AU601</f>
        <v/>
      </c>
      <c r="AW601" s="34">
        <f>AC601+AJ601+AQ601</f>
        <v/>
      </c>
      <c r="AX601" s="34">
        <f>AF601+AM601+AT601</f>
        <v/>
      </c>
      <c r="AY601" s="34">
        <f>AB601+AI601+AP601</f>
        <v/>
      </c>
      <c r="AZ601" s="34" t="n">
        <v>0</v>
      </c>
      <c r="BA601" s="34">
        <f>AD601+AK601+AR601</f>
        <v/>
      </c>
      <c r="BB601" s="34">
        <f>MAX(F601:G601,750)*0.05*BA601</f>
        <v/>
      </c>
      <c r="BC601" s="34">
        <f>AG601+AN601+AU601</f>
        <v/>
      </c>
      <c r="BD601" s="34">
        <f>MAX(F601:G601,750)*0.05*BC601</f>
        <v/>
      </c>
      <c r="BE601" s="34">
        <f>F601*AY601</f>
        <v/>
      </c>
      <c r="BF601" s="34">
        <f>K601-M601</f>
        <v/>
      </c>
      <c r="BG601" s="34">
        <f>P601-S601</f>
        <v/>
      </c>
      <c r="BH601" s="34">
        <f>W601-AA601</f>
        <v/>
      </c>
      <c r="BI601" s="34">
        <f>BF601+BG601+BL601-BN601</f>
        <v/>
      </c>
      <c r="BJ601" s="34">
        <f>ABS(BK601)</f>
        <v/>
      </c>
      <c r="BK601" s="34">
        <f>AY601-(J601-L601+N601-Q601)</f>
        <v/>
      </c>
      <c r="BL601" s="34">
        <f>IF(AND(BK601&gt;0,MIN($F601:$G601)&lt;150,$E601="Enerji Açığı"),-100*BK601*1.03,IF(AND(BK601&gt;0,MIN($F601:$G601)&lt;150,$E601="Enerji Fazlası"),-100*BK601*1.06,IF(AND(BK601&gt;0,MIN($F601:$G601)&gt;=150,$E601="Enerji Açığı"),BK601*MIN($F601:$G601)*0.97,IF(AND(BK601&gt;0,MIN($F601:$G601)&gt;=150,$E601="Enerji Fazlası"),BK601*MIN($F601:$G601)*0.94,IF(AND(BK601&lt;0,MAX($F601:$G601)=4500,$E601="Enerji Açığı"),4500*1.05*1.06*BK601,IF(AND(BK601&lt;0,MAX($F601:$G601)=4500,$E601="Enerji Fazlası"),4500*1.05*1.03*BK601,IF(AND(BK601&lt;0,$E601="Enerji Açığı"),MAX($F601,$G601,150)*BK601*1.06,IF(AND(BK601&lt;0,$E601="Enerji Fazlası"),MAX($F601,$G601,150)*BK601*1.03,IF(AND(BK601&lt;0,$E601="Dengede"),MAX($F601:$G601,150)*1.03*BK601,MIN($F601:$G601)*0.97*BK601)))))))))</f>
        <v/>
      </c>
      <c r="BM601" s="34">
        <f>BE601-BI601-BN601</f>
        <v/>
      </c>
      <c r="BN601" s="34">
        <f>BB601</f>
        <v/>
      </c>
      <c r="BO601" s="34">
        <f>BE601-BI601</f>
        <v/>
      </c>
      <c r="BP601" s="34">
        <f>IF(AY601=0,0,BO601/AY601)</f>
        <v/>
      </c>
      <c r="BQ601" s="34">
        <f>MAX((AY601+MAX((-J601+L601-N601+Q601),0)),(MAX((J601-L601+N601-Q601),0)))</f>
        <v/>
      </c>
      <c r="BR601" s="82">
        <f>IFERROR(ABS(BK601/BQ601),0)</f>
        <v/>
      </c>
      <c r="BS601" s="34">
        <f>IF(BR601&lt;=0.1,0,BK601/BR601*(BR601-0.1))</f>
        <v/>
      </c>
      <c r="BT601" s="34">
        <f>IF((BS601)&lt;0,MAX(F601:G601)*(BS601)*1.03,MIN(F601:G601)*(BS601)*0.97)</f>
        <v/>
      </c>
      <c r="BU601" s="34">
        <f>IF(BR601&gt;0.1,1,0)</f>
        <v/>
      </c>
      <c r="BV601" s="34">
        <f>BF601+BG601+BH601+BY601-CA601</f>
        <v/>
      </c>
      <c r="BW601" s="34">
        <f>ABS(BX601)</f>
        <v/>
      </c>
      <c r="BX601" s="34">
        <f>AY601-(J601-L601+N601-Q601+T601-X601)</f>
        <v/>
      </c>
      <c r="BY601" s="34">
        <f>IF(AND(BX601&gt;0,MIN($F601:$G601)&lt;150,$E601="Enerji Açığı"),-100*BX601*1.03,IF(AND(BX601&gt;0,MIN($F601:$G601)&lt;150,$E601="Enerji Fazlası"),-100*BX601*1.06,IF(AND(BX601&gt;0,MIN($F601:$G601)&gt;=150,$E601="Enerji Açığı"),BX601*MIN($F601:$G601)*0.97,IF(AND(BX601&gt;0,MIN($F601:$G601)&gt;=150,$E601="Enerji Fazlası"),BX601*MIN($F601:$G601)*0.94,IF(AND(BX601&lt;0,MAX($F601:$G601)=4500,$E601="Enerji Açığı"),4500*1.05*1.06*BX601,IF(AND(BX601&lt;0,MAX($F601:$G601)=4500,$E601="Enerji Fazlası"),4500*1.05*1.03*BX601,IF(AND(BX601&lt;0,$E601="Enerji Açığı"),MAX($F601,$G601,150)*BX601*1.06,IF(AND(BX601&lt;0,$E601="Enerji Fazlası"),MAX($F601,$G601,150)*BX601*1.03,IF(AND(BX601&lt;0,$E601="Dengede"),MAX($F601:$G601,150)*1.03*BX601,MIN($F601:$G601)*0.97*BX601)))))))))</f>
        <v/>
      </c>
      <c r="BZ601" s="34">
        <f>BE601-BV601-CA601</f>
        <v/>
      </c>
      <c r="CA601" s="34">
        <f>BD601</f>
        <v/>
      </c>
      <c r="CB601" s="33">
        <f>BE601-BV601</f>
        <v/>
      </c>
      <c r="CC601" s="34">
        <f>IF(AY601=0,0,CB601/AY601)</f>
        <v/>
      </c>
      <c r="CD601" s="34">
        <f>MAX((AY601+MAX((-J601+L601-N601+Q601-T601+X601),0)),(MAX((J601-L601+N601-Q601+T601-X601),0)))</f>
        <v/>
      </c>
      <c r="CE601" s="82">
        <f>IFERROR(ABS(BX601/CD601),0)</f>
        <v/>
      </c>
      <c r="CF601" s="34">
        <f>IF(CE601&lt;=0.1,0,BX601/CE601*(CE601-0.1))</f>
        <v/>
      </c>
      <c r="CG601" s="34">
        <f>IF((CF601)&lt;0,MAX(F601:G601)*(CF601)*1.03,MIN(F601:G601)*(CF601)*0.97)</f>
        <v/>
      </c>
      <c r="CH601" s="34">
        <f>IF(CE601&gt;0.1,1,0)</f>
        <v/>
      </c>
      <c r="CI601" s="34">
        <f>(F601*BX601)-BY601</f>
        <v/>
      </c>
      <c r="CJ601" s="34">
        <f>IF(AY601=0,0,CI601/AY601)</f>
        <v/>
      </c>
    </row>
    <row r="602">
      <c r="A602" s="29">
        <f>[1]FİYATLAR!A577</f>
        <v/>
      </c>
      <c r="B602" s="29">
        <f>[1]FİYATLAR!B601</f>
        <v/>
      </c>
      <c r="C602" s="35">
        <f>INT(A602)</f>
        <v/>
      </c>
      <c r="D602" s="36">
        <f>MONTH(A602)</f>
        <v/>
      </c>
      <c r="E602" s="147">
        <f>[1]FİYATLAR!G577</f>
        <v/>
      </c>
      <c r="F602" s="30">
        <f>[1]FİYATLAR!C577</f>
        <v/>
      </c>
      <c r="G602" s="30">
        <f>[1]FİYATLAR!E577</f>
        <v/>
      </c>
      <c r="H602" s="30">
        <f>[1]FİYATLAR!D577</f>
        <v/>
      </c>
      <c r="I602" s="30">
        <f>[1]FİYATLAR!F577</f>
        <v/>
      </c>
      <c r="J602" s="119" t="n">
        <v>0</v>
      </c>
      <c r="K602" s="34">
        <f>F602*J602</f>
        <v/>
      </c>
      <c r="L602" s="119" t="n"/>
      <c r="M602" s="34">
        <f>L602*F602</f>
        <v/>
      </c>
      <c r="N602" s="119" t="n"/>
      <c r="O602" s="34">
        <f>F602</f>
        <v/>
      </c>
      <c r="P602" s="34">
        <f>N602*O602</f>
        <v/>
      </c>
      <c r="Q602" s="117" t="n">
        <v>0</v>
      </c>
      <c r="R602" s="34">
        <f>F602</f>
        <v/>
      </c>
      <c r="S602" s="34">
        <f>R602*Q602</f>
        <v/>
      </c>
      <c r="T602" s="34">
        <f>SUMIFS('[1]GİP VERİLERİ'!$C:$C,'[1]GİP VERİLERİ'!$B:$B,A602,'[1]GİP VERİLERİ'!$M:$M,"40X000000104782K",'[1]GİP VERİLERİ'!$G:$G,"SELL")</f>
        <v/>
      </c>
      <c r="U602" s="34">
        <f>IFERROR(W602/T602,0)</f>
        <v/>
      </c>
      <c r="V602" s="34">
        <f>IF(U602=0,0,U602-F602)</f>
        <v/>
      </c>
      <c r="W602" s="34">
        <f>SUMIFS('[1]GİP VERİLERİ'!$O:$O,'[1]GİP VERİLERİ'!$B:$B,A602,'[1]GİP VERİLERİ'!$M:$M,"40X000000104782K",'[1]GİP VERİLERİ'!$G:$G,"SELL")</f>
        <v/>
      </c>
      <c r="X602" s="34">
        <f>SUMIFS('[1]GİP VERİLERİ'!$C:$C,'[1]GİP VERİLERİ'!$B:$B,A602,'[1]GİP VERİLERİ'!$M:$M,"40X000000104782K",'[1]GİP VERİLERİ'!$G:$G,"BUY")</f>
        <v/>
      </c>
      <c r="Y602" s="34">
        <f>IFERROR(AA602/X602,0)</f>
        <v/>
      </c>
      <c r="Z602" s="34">
        <f>IF(Y602=0,0,F602-Y602)</f>
        <v/>
      </c>
      <c r="AA602" s="34">
        <f>SUMIFS('[1]GİP VERİLERİ'!$O:$O,'[1]GİP VERİLERİ'!$B:$B,A602,'[1]GİP VERİLERİ'!$M:$M,"40X000000104782K",'[1]GİP VERİLERİ'!$G:$G,"BUY")</f>
        <v/>
      </c>
      <c r="AB602" s="34">
        <f>'[1]GÖP VERİLERİ'!H603</f>
        <v/>
      </c>
      <c r="AC602" s="34">
        <f>'[1]GÖP VERİLERİ'!I603</f>
        <v/>
      </c>
      <c r="AD602" s="34">
        <f>IF(AB602&gt;AC602*1.05,AB602-AC602*1.05,IF(AB602&lt;AC602*0.95,AC602*0.95-AB602,0))</f>
        <v/>
      </c>
      <c r="AE602" s="34">
        <f>MAX(F602,G602,750)*0.05*AD602</f>
        <v/>
      </c>
      <c r="AF602" s="34">
        <f>'[1]GÖP VERİLERİ'!J603</f>
        <v/>
      </c>
      <c r="AG602" s="34">
        <f>IF(AB602&gt;AF602*1.05,AB602-AF602*1.05,IF(AB602&lt;AF602*0.95,AF602*0.95-AB602,0))</f>
        <v/>
      </c>
      <c r="AH602" s="34">
        <f>MAX(I602,J602,750)*0.05*AG602</f>
        <v/>
      </c>
      <c r="AI602">
        <f>'[1]GÖP VERİLERİ'!E603</f>
        <v/>
      </c>
      <c r="AJ602">
        <f>'[1]GÖP VERİLERİ'!F603</f>
        <v/>
      </c>
      <c r="AK602" s="34">
        <f>IF(AI602&gt;AJ602*1.05,AI602-AJ602*1.05,IF(AI602&lt;AJ602*0.95,AJ602*0.95-AI602,0))</f>
        <v/>
      </c>
      <c r="AL602" s="34">
        <f>MAX(F602,G602,750)*0.05*AK602</f>
        <v/>
      </c>
      <c r="AM602" s="39">
        <f>'[1]GÖP VERİLERİ'!G603</f>
        <v/>
      </c>
      <c r="AN602" s="34">
        <f>IF(AI602&gt;AM602*1.05,AI602-AM602*1.05,IF(AI602&lt;AM602*0.95,AM602*0.95-AI602,0))</f>
        <v/>
      </c>
      <c r="AO602" s="34">
        <f>MAX(F602,G602,750)*0.05*AN602</f>
        <v/>
      </c>
      <c r="AP602" s="34">
        <f>'[1]GÖP VERİLERİ'!B603</f>
        <v/>
      </c>
      <c r="AQ602" s="34">
        <f>'[1]GÖP VERİLERİ'!C603</f>
        <v/>
      </c>
      <c r="AR602" s="34">
        <f>IF(AP602&gt;AQ602*1.05,AP602-AQ602*1.05,IF(AP602&lt;AQ602*0.95,AQ602*0.95-AP602,0))</f>
        <v/>
      </c>
      <c r="AS602" s="34">
        <f>MAX(F602:G602,750)*0.05*AR602</f>
        <v/>
      </c>
      <c r="AT602">
        <f>'[1]GÖP VERİLERİ'!D603</f>
        <v/>
      </c>
      <c r="AU602" s="34">
        <f>IF(AP602&gt;AT602*1.05,AP602-AT602*1.05,IF(AP602&lt;AT602*0.95,AT602*0.95-AP602,0))</f>
        <v/>
      </c>
      <c r="AV602" s="34">
        <f>MAX(F602:G602,750)*0.05*AU602</f>
        <v/>
      </c>
      <c r="AW602" s="34">
        <f>AC602+AJ602+AQ602</f>
        <v/>
      </c>
      <c r="AX602" s="34">
        <f>AF602+AM602+AT602</f>
        <v/>
      </c>
      <c r="AY602" s="34">
        <f>AB602+AI602+AP602</f>
        <v/>
      </c>
      <c r="AZ602" s="34" t="n">
        <v>0</v>
      </c>
      <c r="BA602" s="34">
        <f>AD602+AK602+AR602</f>
        <v/>
      </c>
      <c r="BB602" s="34">
        <f>MAX(F602:G602,750)*0.05*BA602</f>
        <v/>
      </c>
      <c r="BC602" s="34">
        <f>AG602+AN602+AU602</f>
        <v/>
      </c>
      <c r="BD602" s="34">
        <f>MAX(F602:G602,750)*0.05*BC602</f>
        <v/>
      </c>
      <c r="BE602" s="34">
        <f>F602*AY602</f>
        <v/>
      </c>
      <c r="BF602" s="34">
        <f>K602-M602</f>
        <v/>
      </c>
      <c r="BG602" s="34">
        <f>P602-S602</f>
        <v/>
      </c>
      <c r="BH602" s="34">
        <f>W602-AA602</f>
        <v/>
      </c>
      <c r="BI602" s="34">
        <f>BF602+BG602+BL602-BN602</f>
        <v/>
      </c>
      <c r="BJ602" s="34">
        <f>ABS(BK602)</f>
        <v/>
      </c>
      <c r="BK602" s="34">
        <f>AY602-(J602-L602+N602-Q602)</f>
        <v/>
      </c>
      <c r="BL602" s="34">
        <f>IF(AND(BK602&gt;0,MIN($F602:$G602)&lt;150,$E602="Enerji Açığı"),-100*BK602*1.03,IF(AND(BK602&gt;0,MIN($F602:$G602)&lt;150,$E602="Enerji Fazlası"),-100*BK602*1.06,IF(AND(BK602&gt;0,MIN($F602:$G602)&gt;=150,$E602="Enerji Açığı"),BK602*MIN($F602:$G602)*0.97,IF(AND(BK602&gt;0,MIN($F602:$G602)&gt;=150,$E602="Enerji Fazlası"),BK602*MIN($F602:$G602)*0.94,IF(AND(BK602&lt;0,MAX($F602:$G602)=4500,$E602="Enerji Açığı"),4500*1.05*1.06*BK602,IF(AND(BK602&lt;0,MAX($F602:$G602)=4500,$E602="Enerji Fazlası"),4500*1.05*1.03*BK602,IF(AND(BK602&lt;0,$E602="Enerji Açığı"),MAX($F602,$G602,150)*BK602*1.06,IF(AND(BK602&lt;0,$E602="Enerji Fazlası"),MAX($F602,$G602,150)*BK602*1.03,IF(AND(BK602&lt;0,$E602="Dengede"),MAX($F602:$G602,150)*1.03*BK602,MIN($F602:$G602)*0.97*BK602)))))))))</f>
        <v/>
      </c>
      <c r="BM602" s="34">
        <f>BE602-BI602-BN602</f>
        <v/>
      </c>
      <c r="BN602" s="34">
        <f>BB602</f>
        <v/>
      </c>
      <c r="BO602" s="34">
        <f>BE602-BI602</f>
        <v/>
      </c>
      <c r="BP602" s="34">
        <f>IF(AY602=0,0,BO602/AY602)</f>
        <v/>
      </c>
      <c r="BQ602" s="34">
        <f>MAX((AY602+MAX((-J602+L602-N602+Q602),0)),(MAX((J602-L602+N602-Q602),0)))</f>
        <v/>
      </c>
      <c r="BR602" s="82">
        <f>IFERROR(ABS(BK602/BQ602),0)</f>
        <v/>
      </c>
      <c r="BS602" s="34">
        <f>IF(BR602&lt;=0.1,0,BK602/BR602*(BR602-0.1))</f>
        <v/>
      </c>
      <c r="BT602" s="34">
        <f>IF((BS602)&lt;0,MAX(F602:G602)*(BS602)*1.03,MIN(F602:G602)*(BS602)*0.97)</f>
        <v/>
      </c>
      <c r="BU602" s="34">
        <f>IF(BR602&gt;0.1,1,0)</f>
        <v/>
      </c>
      <c r="BV602" s="34">
        <f>BF602+BG602+BH602+BY602-CA602</f>
        <v/>
      </c>
      <c r="BW602" s="34">
        <f>ABS(BX602)</f>
        <v/>
      </c>
      <c r="BX602" s="34">
        <f>AY602-(J602-L602+N602-Q602+T602-X602)</f>
        <v/>
      </c>
      <c r="BY602" s="34">
        <f>IF(AND(BX602&gt;0,MIN($F602:$G602)&lt;150,$E602="Enerji Açığı"),-100*BX602*1.03,IF(AND(BX602&gt;0,MIN($F602:$G602)&lt;150,$E602="Enerji Fazlası"),-100*BX602*1.06,IF(AND(BX602&gt;0,MIN($F602:$G602)&gt;=150,$E602="Enerji Açığı"),BX602*MIN($F602:$G602)*0.97,IF(AND(BX602&gt;0,MIN($F602:$G602)&gt;=150,$E602="Enerji Fazlası"),BX602*MIN($F602:$G602)*0.94,IF(AND(BX602&lt;0,MAX($F602:$G602)=4500,$E602="Enerji Açığı"),4500*1.05*1.06*BX602,IF(AND(BX602&lt;0,MAX($F602:$G602)=4500,$E602="Enerji Fazlası"),4500*1.05*1.03*BX602,IF(AND(BX602&lt;0,$E602="Enerji Açığı"),MAX($F602,$G602,150)*BX602*1.06,IF(AND(BX602&lt;0,$E602="Enerji Fazlası"),MAX($F602,$G602,150)*BX602*1.03,IF(AND(BX602&lt;0,$E602="Dengede"),MAX($F602:$G602,150)*1.03*BX602,MIN($F602:$G602)*0.97*BX602)))))))))</f>
        <v/>
      </c>
      <c r="BZ602" s="34">
        <f>BE602-BV602-CA602</f>
        <v/>
      </c>
      <c r="CA602" s="34">
        <f>BD602</f>
        <v/>
      </c>
      <c r="CB602" s="33">
        <f>BE602-BV602</f>
        <v/>
      </c>
      <c r="CC602" s="34">
        <f>IF(AY602=0,0,CB602/AY602)</f>
        <v/>
      </c>
      <c r="CD602" s="34">
        <f>MAX((AY602+MAX((-J602+L602-N602+Q602-T602+X602),0)),(MAX((J602-L602+N602-Q602+T602-X602),0)))</f>
        <v/>
      </c>
      <c r="CE602" s="82">
        <f>IFERROR(ABS(BX602/CD602),0)</f>
        <v/>
      </c>
      <c r="CF602" s="34">
        <f>IF(CE602&lt;=0.1,0,BX602/CE602*(CE602-0.1))</f>
        <v/>
      </c>
      <c r="CG602" s="34">
        <f>IF((CF602)&lt;0,MAX(F602:G602)*(CF602)*1.03,MIN(F602:G602)*(CF602)*0.97)</f>
        <v/>
      </c>
      <c r="CH602" s="34">
        <f>IF(CE602&gt;0.1,1,0)</f>
        <v/>
      </c>
      <c r="CI602" s="34">
        <f>(F602*BX602)-BY602</f>
        <v/>
      </c>
      <c r="CJ602" s="34">
        <f>IF(AY602=0,0,CI602/AY602)</f>
        <v/>
      </c>
    </row>
    <row r="603">
      <c r="A603" s="29">
        <f>[1]FİYATLAR!A578</f>
        <v/>
      </c>
      <c r="B603" s="29">
        <f>[1]FİYATLAR!B602</f>
        <v/>
      </c>
      <c r="C603" s="35">
        <f>INT(A603)</f>
        <v/>
      </c>
      <c r="D603" s="36">
        <f>MONTH(A603)</f>
        <v/>
      </c>
      <c r="E603" s="147">
        <f>[1]FİYATLAR!G578</f>
        <v/>
      </c>
      <c r="F603" s="30">
        <f>[1]FİYATLAR!C578</f>
        <v/>
      </c>
      <c r="G603" s="30">
        <f>[1]FİYATLAR!E578</f>
        <v/>
      </c>
      <c r="H603" s="30">
        <f>[1]FİYATLAR!D578</f>
        <v/>
      </c>
      <c r="I603" s="30">
        <f>[1]FİYATLAR!F578</f>
        <v/>
      </c>
      <c r="J603" s="119" t="n">
        <v>0</v>
      </c>
      <c r="K603" s="34">
        <f>F603*J603</f>
        <v/>
      </c>
      <c r="L603" s="119" t="n"/>
      <c r="M603" s="34">
        <f>L603*F603</f>
        <v/>
      </c>
      <c r="N603" s="119" t="n"/>
      <c r="O603" s="34">
        <f>F603</f>
        <v/>
      </c>
      <c r="P603" s="34">
        <f>N603*O603</f>
        <v/>
      </c>
      <c r="Q603" s="117" t="n">
        <v>0</v>
      </c>
      <c r="R603" s="34">
        <f>F603</f>
        <v/>
      </c>
      <c r="S603" s="34">
        <f>R603*Q603</f>
        <v/>
      </c>
      <c r="T603" s="34">
        <f>SUMIFS('[1]GİP VERİLERİ'!$C:$C,'[1]GİP VERİLERİ'!$B:$B,A603,'[1]GİP VERİLERİ'!$M:$M,"40X000000104782K",'[1]GİP VERİLERİ'!$G:$G,"SELL")</f>
        <v/>
      </c>
      <c r="U603" s="34">
        <f>IFERROR(W603/T603,0)</f>
        <v/>
      </c>
      <c r="V603" s="34">
        <f>IF(U603=0,0,U603-F603)</f>
        <v/>
      </c>
      <c r="W603" s="34">
        <f>SUMIFS('[1]GİP VERİLERİ'!$O:$O,'[1]GİP VERİLERİ'!$B:$B,A603,'[1]GİP VERİLERİ'!$M:$M,"40X000000104782K",'[1]GİP VERİLERİ'!$G:$G,"SELL")</f>
        <v/>
      </c>
      <c r="X603" s="34">
        <f>SUMIFS('[1]GİP VERİLERİ'!$C:$C,'[1]GİP VERİLERİ'!$B:$B,A603,'[1]GİP VERİLERİ'!$M:$M,"40X000000104782K",'[1]GİP VERİLERİ'!$G:$G,"BUY")</f>
        <v/>
      </c>
      <c r="Y603" s="34">
        <f>IFERROR(AA603/X603,0)</f>
        <v/>
      </c>
      <c r="Z603" s="34">
        <f>IF(Y603=0,0,F603-Y603)</f>
        <v/>
      </c>
      <c r="AA603" s="34">
        <f>SUMIFS('[1]GİP VERİLERİ'!$O:$O,'[1]GİP VERİLERİ'!$B:$B,A603,'[1]GİP VERİLERİ'!$M:$M,"40X000000104782K",'[1]GİP VERİLERİ'!$G:$G,"BUY")</f>
        <v/>
      </c>
      <c r="AB603" s="34">
        <f>'[1]GÖP VERİLERİ'!H604</f>
        <v/>
      </c>
      <c r="AC603" s="34">
        <f>'[1]GÖP VERİLERİ'!I604</f>
        <v/>
      </c>
      <c r="AD603" s="34">
        <f>IF(AB603&gt;AC603*1.05,AB603-AC603*1.05,IF(AB603&lt;AC603*0.95,AC603*0.95-AB603,0))</f>
        <v/>
      </c>
      <c r="AE603" s="34">
        <f>MAX(F603,G603,750)*0.05*AD603</f>
        <v/>
      </c>
      <c r="AF603" s="34">
        <f>'[1]GÖP VERİLERİ'!J604</f>
        <v/>
      </c>
      <c r="AG603" s="34">
        <f>IF(AB603&gt;AF603*1.05,AB603-AF603*1.05,IF(AB603&lt;AF603*0.95,AF603*0.95-AB603,0))</f>
        <v/>
      </c>
      <c r="AH603" s="34">
        <f>MAX(I603,J603,750)*0.05*AG603</f>
        <v/>
      </c>
      <c r="AI603">
        <f>'[1]GÖP VERİLERİ'!E604</f>
        <v/>
      </c>
      <c r="AJ603">
        <f>'[1]GÖP VERİLERİ'!F604</f>
        <v/>
      </c>
      <c r="AK603" s="34">
        <f>IF(AI603&gt;AJ603*1.05,AI603-AJ603*1.05,IF(AI603&lt;AJ603*0.95,AJ603*0.95-AI603,0))</f>
        <v/>
      </c>
      <c r="AL603" s="34">
        <f>MAX(F603,G603,750)*0.05*AK603</f>
        <v/>
      </c>
      <c r="AM603" s="39">
        <f>'[1]GÖP VERİLERİ'!G604</f>
        <v/>
      </c>
      <c r="AN603" s="34">
        <f>IF(AI603&gt;AM603*1.05,AI603-AM603*1.05,IF(AI603&lt;AM603*0.95,AM603*0.95-AI603,0))</f>
        <v/>
      </c>
      <c r="AO603" s="34">
        <f>MAX(F603,G603,750)*0.05*AN603</f>
        <v/>
      </c>
      <c r="AP603" s="34">
        <f>'[1]GÖP VERİLERİ'!B604</f>
        <v/>
      </c>
      <c r="AQ603" s="34">
        <f>'[1]GÖP VERİLERİ'!C604</f>
        <v/>
      </c>
      <c r="AR603" s="34">
        <f>IF(AP603&gt;AQ603*1.05,AP603-AQ603*1.05,IF(AP603&lt;AQ603*0.95,AQ603*0.95-AP603,0))</f>
        <v/>
      </c>
      <c r="AS603" s="34">
        <f>MAX(F603:G603,750)*0.05*AR603</f>
        <v/>
      </c>
      <c r="AT603">
        <f>'[1]GÖP VERİLERİ'!D604</f>
        <v/>
      </c>
      <c r="AU603" s="34">
        <f>IF(AP603&gt;AT603*1.05,AP603-AT603*1.05,IF(AP603&lt;AT603*0.95,AT603*0.95-AP603,0))</f>
        <v/>
      </c>
      <c r="AV603" s="34">
        <f>MAX(F603:G603,750)*0.05*AU603</f>
        <v/>
      </c>
      <c r="AW603" s="34">
        <f>AC603+AJ603+AQ603</f>
        <v/>
      </c>
      <c r="AX603" s="34">
        <f>AF603+AM603+AT603</f>
        <v/>
      </c>
      <c r="AY603" s="34">
        <f>AB603+AI603+AP603</f>
        <v/>
      </c>
      <c r="AZ603" s="34" t="n">
        <v>0</v>
      </c>
      <c r="BA603" s="34">
        <f>AD603+AK603+AR603</f>
        <v/>
      </c>
      <c r="BB603" s="34">
        <f>MAX(F603:G603,750)*0.05*BA603</f>
        <v/>
      </c>
      <c r="BC603" s="34">
        <f>AG603+AN603+AU603</f>
        <v/>
      </c>
      <c r="BD603" s="34">
        <f>MAX(F603:G603,750)*0.05*BC603</f>
        <v/>
      </c>
      <c r="BE603" s="34">
        <f>F603*AY603</f>
        <v/>
      </c>
      <c r="BF603" s="34">
        <f>K603-M603</f>
        <v/>
      </c>
      <c r="BG603" s="34">
        <f>P603-S603</f>
        <v/>
      </c>
      <c r="BH603" s="34">
        <f>W603-AA603</f>
        <v/>
      </c>
      <c r="BI603" s="34">
        <f>BF603+BG603+BL603-BN603</f>
        <v/>
      </c>
      <c r="BJ603" s="34">
        <f>ABS(BK603)</f>
        <v/>
      </c>
      <c r="BK603" s="34">
        <f>AY603-(J603-L603+N603-Q603)</f>
        <v/>
      </c>
      <c r="BL603" s="34">
        <f>IF(AND(BK603&gt;0,MIN($F603:$G603)&lt;150,$E603="Enerji Açığı"),-100*BK603*1.03,IF(AND(BK603&gt;0,MIN($F603:$G603)&lt;150,$E603="Enerji Fazlası"),-100*BK603*1.06,IF(AND(BK603&gt;0,MIN($F603:$G603)&gt;=150,$E603="Enerji Açığı"),BK603*MIN($F603:$G603)*0.97,IF(AND(BK603&gt;0,MIN($F603:$G603)&gt;=150,$E603="Enerji Fazlası"),BK603*MIN($F603:$G603)*0.94,IF(AND(BK603&lt;0,MAX($F603:$G603)=4500,$E603="Enerji Açığı"),4500*1.05*1.06*BK603,IF(AND(BK603&lt;0,MAX($F603:$G603)=4500,$E603="Enerji Fazlası"),4500*1.05*1.03*BK603,IF(AND(BK603&lt;0,$E603="Enerji Açığı"),MAX($F603,$G603,150)*BK603*1.06,IF(AND(BK603&lt;0,$E603="Enerji Fazlası"),MAX($F603,$G603,150)*BK603*1.03,IF(AND(BK603&lt;0,$E603="Dengede"),MAX($F603:$G603,150)*1.03*BK603,MIN($F603:$G603)*0.97*BK603)))))))))</f>
        <v/>
      </c>
      <c r="BM603" s="34">
        <f>BE603-BI603-BN603</f>
        <v/>
      </c>
      <c r="BN603" s="34">
        <f>BB603</f>
        <v/>
      </c>
      <c r="BO603" s="34">
        <f>BE603-BI603</f>
        <v/>
      </c>
      <c r="BP603" s="34">
        <f>IF(AY603=0,0,BO603/AY603)</f>
        <v/>
      </c>
      <c r="BQ603" s="34">
        <f>MAX((AY603+MAX((-J603+L603-N603+Q603),0)),(MAX((J603-L603+N603-Q603),0)))</f>
        <v/>
      </c>
      <c r="BR603" s="82">
        <f>IFERROR(ABS(BK603/BQ603),0)</f>
        <v/>
      </c>
      <c r="BS603" s="34">
        <f>IF(BR603&lt;=0.1,0,BK603/BR603*(BR603-0.1))</f>
        <v/>
      </c>
      <c r="BT603" s="34">
        <f>IF((BS603)&lt;0,MAX(F603:G603)*(BS603)*1.03,MIN(F603:G603)*(BS603)*0.97)</f>
        <v/>
      </c>
      <c r="BU603" s="34">
        <f>IF(BR603&gt;0.1,1,0)</f>
        <v/>
      </c>
      <c r="BV603" s="34">
        <f>BF603+BG603+BH603+BY603-CA603</f>
        <v/>
      </c>
      <c r="BW603" s="34">
        <f>ABS(BX603)</f>
        <v/>
      </c>
      <c r="BX603" s="34">
        <f>AY603-(J603-L603+N603-Q603+T603-X603)</f>
        <v/>
      </c>
      <c r="BY603" s="34">
        <f>IF(AND(BX603&gt;0,MIN($F603:$G603)&lt;150,$E603="Enerji Açığı"),-100*BX603*1.03,IF(AND(BX603&gt;0,MIN($F603:$G603)&lt;150,$E603="Enerji Fazlası"),-100*BX603*1.06,IF(AND(BX603&gt;0,MIN($F603:$G603)&gt;=150,$E603="Enerji Açığı"),BX603*MIN($F603:$G603)*0.97,IF(AND(BX603&gt;0,MIN($F603:$G603)&gt;=150,$E603="Enerji Fazlası"),BX603*MIN($F603:$G603)*0.94,IF(AND(BX603&lt;0,MAX($F603:$G603)=4500,$E603="Enerji Açığı"),4500*1.05*1.06*BX603,IF(AND(BX603&lt;0,MAX($F603:$G603)=4500,$E603="Enerji Fazlası"),4500*1.05*1.03*BX603,IF(AND(BX603&lt;0,$E603="Enerji Açığı"),MAX($F603,$G603,150)*BX603*1.06,IF(AND(BX603&lt;0,$E603="Enerji Fazlası"),MAX($F603,$G603,150)*BX603*1.03,IF(AND(BX603&lt;0,$E603="Dengede"),MAX($F603:$G603,150)*1.03*BX603,MIN($F603:$G603)*0.97*BX603)))))))))</f>
        <v/>
      </c>
      <c r="BZ603" s="34">
        <f>BE603-BV603-CA603</f>
        <v/>
      </c>
      <c r="CA603" s="34">
        <f>BD603</f>
        <v/>
      </c>
      <c r="CB603" s="33">
        <f>BE603-BV603</f>
        <v/>
      </c>
      <c r="CC603" s="34">
        <f>IF(AY603=0,0,CB603/AY603)</f>
        <v/>
      </c>
      <c r="CD603" s="34">
        <f>MAX((AY603+MAX((-J603+L603-N603+Q603-T603+X603),0)),(MAX((J603-L603+N603-Q603+T603-X603),0)))</f>
        <v/>
      </c>
      <c r="CE603" s="82">
        <f>IFERROR(ABS(BX603/CD603),0)</f>
        <v/>
      </c>
      <c r="CF603" s="34">
        <f>IF(CE603&lt;=0.1,0,BX603/CE603*(CE603-0.1))</f>
        <v/>
      </c>
      <c r="CG603" s="34">
        <f>IF((CF603)&lt;0,MAX(F603:G603)*(CF603)*1.03,MIN(F603:G603)*(CF603)*0.97)</f>
        <v/>
      </c>
      <c r="CH603" s="34">
        <f>IF(CE603&gt;0.1,1,0)</f>
        <v/>
      </c>
      <c r="CI603" s="34">
        <f>(F603*BX603)-BY603</f>
        <v/>
      </c>
      <c r="CJ603" s="34">
        <f>IF(AY603=0,0,CI603/AY603)</f>
        <v/>
      </c>
    </row>
    <row r="604">
      <c r="A604" s="29">
        <f>[1]FİYATLAR!A579</f>
        <v/>
      </c>
      <c r="B604" s="29">
        <f>[1]FİYATLAR!B603</f>
        <v/>
      </c>
      <c r="C604" s="35">
        <f>INT(A604)</f>
        <v/>
      </c>
      <c r="D604" s="36">
        <f>MONTH(A604)</f>
        <v/>
      </c>
      <c r="E604" s="147">
        <f>[1]FİYATLAR!G579</f>
        <v/>
      </c>
      <c r="F604" s="30">
        <f>[1]FİYATLAR!C579</f>
        <v/>
      </c>
      <c r="G604" s="30">
        <f>[1]FİYATLAR!E579</f>
        <v/>
      </c>
      <c r="H604" s="30">
        <f>[1]FİYATLAR!D579</f>
        <v/>
      </c>
      <c r="I604" s="30">
        <f>[1]FİYATLAR!F579</f>
        <v/>
      </c>
      <c r="J604" s="119" t="n">
        <v>0</v>
      </c>
      <c r="K604" s="34">
        <f>F604*J604</f>
        <v/>
      </c>
      <c r="L604" s="119" t="n"/>
      <c r="M604" s="34">
        <f>L604*F604</f>
        <v/>
      </c>
      <c r="N604" s="119" t="n"/>
      <c r="O604" s="34">
        <f>F604</f>
        <v/>
      </c>
      <c r="P604" s="34">
        <f>N604*O604</f>
        <v/>
      </c>
      <c r="Q604" s="117" t="n">
        <v>0</v>
      </c>
      <c r="R604" s="34">
        <f>F604</f>
        <v/>
      </c>
      <c r="S604" s="34">
        <f>R604*Q604</f>
        <v/>
      </c>
      <c r="T604" s="34">
        <f>SUMIFS('[1]GİP VERİLERİ'!$C:$C,'[1]GİP VERİLERİ'!$B:$B,A604,'[1]GİP VERİLERİ'!$M:$M,"40X000000104782K",'[1]GİP VERİLERİ'!$G:$G,"SELL")</f>
        <v/>
      </c>
      <c r="U604" s="34">
        <f>IFERROR(W604/T604,0)</f>
        <v/>
      </c>
      <c r="V604" s="34">
        <f>IF(U604=0,0,U604-F604)</f>
        <v/>
      </c>
      <c r="W604" s="34">
        <f>SUMIFS('[1]GİP VERİLERİ'!$O:$O,'[1]GİP VERİLERİ'!$B:$B,A604,'[1]GİP VERİLERİ'!$M:$M,"40X000000104782K",'[1]GİP VERİLERİ'!$G:$G,"SELL")</f>
        <v/>
      </c>
      <c r="X604" s="34">
        <f>SUMIFS('[1]GİP VERİLERİ'!$C:$C,'[1]GİP VERİLERİ'!$B:$B,A604,'[1]GİP VERİLERİ'!$M:$M,"40X000000104782K",'[1]GİP VERİLERİ'!$G:$G,"BUY")</f>
        <v/>
      </c>
      <c r="Y604" s="34">
        <f>IFERROR(AA604/X604,0)</f>
        <v/>
      </c>
      <c r="Z604" s="34">
        <f>IF(Y604=0,0,F604-Y604)</f>
        <v/>
      </c>
      <c r="AA604" s="34">
        <f>SUMIFS('[1]GİP VERİLERİ'!$O:$O,'[1]GİP VERİLERİ'!$B:$B,A604,'[1]GİP VERİLERİ'!$M:$M,"40X000000104782K",'[1]GİP VERİLERİ'!$G:$G,"BUY")</f>
        <v/>
      </c>
      <c r="AB604" s="34">
        <f>'[1]GÖP VERİLERİ'!H605</f>
        <v/>
      </c>
      <c r="AC604" s="34">
        <f>'[1]GÖP VERİLERİ'!I605</f>
        <v/>
      </c>
      <c r="AD604" s="34">
        <f>IF(AB604&gt;AC604*1.05,AB604-AC604*1.05,IF(AB604&lt;AC604*0.95,AC604*0.95-AB604,0))</f>
        <v/>
      </c>
      <c r="AE604" s="34">
        <f>MAX(F604,G604,750)*0.05*AD604</f>
        <v/>
      </c>
      <c r="AF604" s="34">
        <f>'[1]GÖP VERİLERİ'!J605</f>
        <v/>
      </c>
      <c r="AG604" s="34">
        <f>IF(AB604&gt;AF604*1.05,AB604-AF604*1.05,IF(AB604&lt;AF604*0.95,AF604*0.95-AB604,0))</f>
        <v/>
      </c>
      <c r="AH604" s="34">
        <f>MAX(I604,J604,750)*0.05*AG604</f>
        <v/>
      </c>
      <c r="AI604">
        <f>'[1]GÖP VERİLERİ'!E605</f>
        <v/>
      </c>
      <c r="AJ604">
        <f>'[1]GÖP VERİLERİ'!F605</f>
        <v/>
      </c>
      <c r="AK604" s="34">
        <f>IF(AI604&gt;AJ604*1.05,AI604-AJ604*1.05,IF(AI604&lt;AJ604*0.95,AJ604*0.95-AI604,0))</f>
        <v/>
      </c>
      <c r="AL604" s="34">
        <f>MAX(F604,G604,750)*0.05*AK604</f>
        <v/>
      </c>
      <c r="AM604" s="39">
        <f>'[1]GÖP VERİLERİ'!G605</f>
        <v/>
      </c>
      <c r="AN604" s="34">
        <f>IF(AI604&gt;AM604*1.05,AI604-AM604*1.05,IF(AI604&lt;AM604*0.95,AM604*0.95-AI604,0))</f>
        <v/>
      </c>
      <c r="AO604" s="34">
        <f>MAX(F604,G604,750)*0.05*AN604</f>
        <v/>
      </c>
      <c r="AP604" s="34">
        <f>'[1]GÖP VERİLERİ'!B605</f>
        <v/>
      </c>
      <c r="AQ604" s="34">
        <f>'[1]GÖP VERİLERİ'!C605</f>
        <v/>
      </c>
      <c r="AR604" s="34">
        <f>IF(AP604&gt;AQ604*1.05,AP604-AQ604*1.05,IF(AP604&lt;AQ604*0.95,AQ604*0.95-AP604,0))</f>
        <v/>
      </c>
      <c r="AS604" s="34">
        <f>MAX(F604:G604,750)*0.05*AR604</f>
        <v/>
      </c>
      <c r="AT604">
        <f>'[1]GÖP VERİLERİ'!D605</f>
        <v/>
      </c>
      <c r="AU604" s="34">
        <f>IF(AP604&gt;AT604*1.05,AP604-AT604*1.05,IF(AP604&lt;AT604*0.95,AT604*0.95-AP604,0))</f>
        <v/>
      </c>
      <c r="AV604" s="34">
        <f>MAX(F604:G604,750)*0.05*AU604</f>
        <v/>
      </c>
      <c r="AW604" s="34">
        <f>AC604+AJ604+AQ604</f>
        <v/>
      </c>
      <c r="AX604" s="34">
        <f>AF604+AM604+AT604</f>
        <v/>
      </c>
      <c r="AY604" s="34">
        <f>AB604+AI604+AP604</f>
        <v/>
      </c>
      <c r="AZ604" s="34" t="n">
        <v>0</v>
      </c>
      <c r="BA604" s="34">
        <f>AD604+AK604+AR604</f>
        <v/>
      </c>
      <c r="BB604" s="34">
        <f>MAX(F604:G604,750)*0.05*BA604</f>
        <v/>
      </c>
      <c r="BC604" s="34">
        <f>AG604+AN604+AU604</f>
        <v/>
      </c>
      <c r="BD604" s="34">
        <f>MAX(F604:G604,750)*0.05*BC604</f>
        <v/>
      </c>
      <c r="BE604" s="34">
        <f>F604*AY604</f>
        <v/>
      </c>
      <c r="BF604" s="34">
        <f>K604-M604</f>
        <v/>
      </c>
      <c r="BG604" s="34">
        <f>P604-S604</f>
        <v/>
      </c>
      <c r="BH604" s="34">
        <f>W604-AA604</f>
        <v/>
      </c>
      <c r="BI604" s="34">
        <f>BF604+BG604+BL604-BN604</f>
        <v/>
      </c>
      <c r="BJ604" s="34">
        <f>ABS(BK604)</f>
        <v/>
      </c>
      <c r="BK604" s="34">
        <f>AY604-(J604-L604+N604-Q604)</f>
        <v/>
      </c>
      <c r="BL604" s="34">
        <f>IF(AND(BK604&gt;0,MIN($F604:$G604)&lt;150,$E604="Enerji Açığı"),-100*BK604*1.03,IF(AND(BK604&gt;0,MIN($F604:$G604)&lt;150,$E604="Enerji Fazlası"),-100*BK604*1.06,IF(AND(BK604&gt;0,MIN($F604:$G604)&gt;=150,$E604="Enerji Açığı"),BK604*MIN($F604:$G604)*0.97,IF(AND(BK604&gt;0,MIN($F604:$G604)&gt;=150,$E604="Enerji Fazlası"),BK604*MIN($F604:$G604)*0.94,IF(AND(BK604&lt;0,MAX($F604:$G604)=4500,$E604="Enerji Açığı"),4500*1.05*1.06*BK604,IF(AND(BK604&lt;0,MAX($F604:$G604)=4500,$E604="Enerji Fazlası"),4500*1.05*1.03*BK604,IF(AND(BK604&lt;0,$E604="Enerji Açığı"),MAX($F604,$G604,150)*BK604*1.06,IF(AND(BK604&lt;0,$E604="Enerji Fazlası"),MAX($F604,$G604,150)*BK604*1.03,IF(AND(BK604&lt;0,$E604="Dengede"),MAX($F604:$G604,150)*1.03*BK604,MIN($F604:$G604)*0.97*BK604)))))))))</f>
        <v/>
      </c>
      <c r="BM604" s="34">
        <f>BE604-BI604-BN604</f>
        <v/>
      </c>
      <c r="BN604" s="34">
        <f>BB604</f>
        <v/>
      </c>
      <c r="BO604" s="34">
        <f>BE604-BI604</f>
        <v/>
      </c>
      <c r="BP604" s="34">
        <f>IF(AY604=0,0,BO604/AY604)</f>
        <v/>
      </c>
      <c r="BQ604" s="34">
        <f>MAX((AY604+MAX((-J604+L604-N604+Q604),0)),(MAX((J604-L604+N604-Q604),0)))</f>
        <v/>
      </c>
      <c r="BR604" s="82">
        <f>IFERROR(ABS(BK604/BQ604),0)</f>
        <v/>
      </c>
      <c r="BS604" s="34">
        <f>IF(BR604&lt;=0.1,0,BK604/BR604*(BR604-0.1))</f>
        <v/>
      </c>
      <c r="BT604" s="34">
        <f>IF((BS604)&lt;0,MAX(F604:G604)*(BS604)*1.03,MIN(F604:G604)*(BS604)*0.97)</f>
        <v/>
      </c>
      <c r="BU604" s="34">
        <f>IF(BR604&gt;0.1,1,0)</f>
        <v/>
      </c>
      <c r="BV604" s="34">
        <f>BF604+BG604+BH604+BY604-CA604</f>
        <v/>
      </c>
      <c r="BW604" s="34">
        <f>ABS(BX604)</f>
        <v/>
      </c>
      <c r="BX604" s="34">
        <f>AY604-(J604-L604+N604-Q604+T604-X604)</f>
        <v/>
      </c>
      <c r="BY604" s="34">
        <f>IF(AND(BX604&gt;0,MIN($F604:$G604)&lt;150,$E604="Enerji Açığı"),-100*BX604*1.03,IF(AND(BX604&gt;0,MIN($F604:$G604)&lt;150,$E604="Enerji Fazlası"),-100*BX604*1.06,IF(AND(BX604&gt;0,MIN($F604:$G604)&gt;=150,$E604="Enerji Açığı"),BX604*MIN($F604:$G604)*0.97,IF(AND(BX604&gt;0,MIN($F604:$G604)&gt;=150,$E604="Enerji Fazlası"),BX604*MIN($F604:$G604)*0.94,IF(AND(BX604&lt;0,MAX($F604:$G604)=4500,$E604="Enerji Açığı"),4500*1.05*1.06*BX604,IF(AND(BX604&lt;0,MAX($F604:$G604)=4500,$E604="Enerji Fazlası"),4500*1.05*1.03*BX604,IF(AND(BX604&lt;0,$E604="Enerji Açığı"),MAX($F604,$G604,150)*BX604*1.06,IF(AND(BX604&lt;0,$E604="Enerji Fazlası"),MAX($F604,$G604,150)*BX604*1.03,IF(AND(BX604&lt;0,$E604="Dengede"),MAX($F604:$G604,150)*1.03*BX604,MIN($F604:$G604)*0.97*BX604)))))))))</f>
        <v/>
      </c>
      <c r="BZ604" s="34">
        <f>BE604-BV604-CA604</f>
        <v/>
      </c>
      <c r="CA604" s="34">
        <f>BD604</f>
        <v/>
      </c>
      <c r="CB604" s="33">
        <f>BE604-BV604</f>
        <v/>
      </c>
      <c r="CC604" s="34">
        <f>IF(AY604=0,0,CB604/AY604)</f>
        <v/>
      </c>
      <c r="CD604" s="34">
        <f>MAX((AY604+MAX((-J604+L604-N604+Q604-T604+X604),0)),(MAX((J604-L604+N604-Q604+T604-X604),0)))</f>
        <v/>
      </c>
      <c r="CE604" s="82">
        <f>IFERROR(ABS(BX604/CD604),0)</f>
        <v/>
      </c>
      <c r="CF604" s="34">
        <f>IF(CE604&lt;=0.1,0,BX604/CE604*(CE604-0.1))</f>
        <v/>
      </c>
      <c r="CG604" s="34">
        <f>IF((CF604)&lt;0,MAX(F604:G604)*(CF604)*1.03,MIN(F604:G604)*(CF604)*0.97)</f>
        <v/>
      </c>
      <c r="CH604" s="34">
        <f>IF(CE604&gt;0.1,1,0)</f>
        <v/>
      </c>
      <c r="CI604" s="34">
        <f>(F604*BX604)-BY604</f>
        <v/>
      </c>
      <c r="CJ604" s="34">
        <f>IF(AY604=0,0,CI604/AY604)</f>
        <v/>
      </c>
    </row>
    <row r="605">
      <c r="A605" s="29">
        <f>[1]FİYATLAR!A580</f>
        <v/>
      </c>
      <c r="B605" s="29">
        <f>[1]FİYATLAR!B604</f>
        <v/>
      </c>
      <c r="C605" s="35">
        <f>INT(A605)</f>
        <v/>
      </c>
      <c r="D605" s="36">
        <f>MONTH(A605)</f>
        <v/>
      </c>
      <c r="E605" s="147">
        <f>[1]FİYATLAR!G580</f>
        <v/>
      </c>
      <c r="F605" s="30">
        <f>[1]FİYATLAR!C580</f>
        <v/>
      </c>
      <c r="G605" s="30">
        <f>[1]FİYATLAR!E580</f>
        <v/>
      </c>
      <c r="H605" s="30">
        <f>[1]FİYATLAR!D580</f>
        <v/>
      </c>
      <c r="I605" s="30">
        <f>[1]FİYATLAR!F580</f>
        <v/>
      </c>
      <c r="J605" s="119" t="n">
        <v>0</v>
      </c>
      <c r="K605" s="34">
        <f>F605*J605</f>
        <v/>
      </c>
      <c r="L605" s="119" t="n"/>
      <c r="M605" s="34">
        <f>L605*F605</f>
        <v/>
      </c>
      <c r="N605" s="119" t="n"/>
      <c r="O605" s="34">
        <f>F605</f>
        <v/>
      </c>
      <c r="P605" s="34">
        <f>N605*O605</f>
        <v/>
      </c>
      <c r="Q605" s="117" t="n">
        <v>0</v>
      </c>
      <c r="R605" s="34">
        <f>F605</f>
        <v/>
      </c>
      <c r="S605" s="34">
        <f>R605*Q605</f>
        <v/>
      </c>
      <c r="T605" s="34">
        <f>SUMIFS('[1]GİP VERİLERİ'!$C:$C,'[1]GİP VERİLERİ'!$B:$B,A605,'[1]GİP VERİLERİ'!$M:$M,"40X000000104782K",'[1]GİP VERİLERİ'!$G:$G,"SELL")</f>
        <v/>
      </c>
      <c r="U605" s="34">
        <f>IFERROR(W605/T605,0)</f>
        <v/>
      </c>
      <c r="V605" s="34">
        <f>IF(U605=0,0,U605-F605)</f>
        <v/>
      </c>
      <c r="W605" s="34">
        <f>SUMIFS('[1]GİP VERİLERİ'!$O:$O,'[1]GİP VERİLERİ'!$B:$B,A605,'[1]GİP VERİLERİ'!$M:$M,"40X000000104782K",'[1]GİP VERİLERİ'!$G:$G,"SELL")</f>
        <v/>
      </c>
      <c r="X605" s="34">
        <f>SUMIFS('[1]GİP VERİLERİ'!$C:$C,'[1]GİP VERİLERİ'!$B:$B,A605,'[1]GİP VERİLERİ'!$M:$M,"40X000000104782K",'[1]GİP VERİLERİ'!$G:$G,"BUY")</f>
        <v/>
      </c>
      <c r="Y605" s="34">
        <f>IFERROR(AA605/X605,0)</f>
        <v/>
      </c>
      <c r="Z605" s="34">
        <f>IF(Y605=0,0,F605-Y605)</f>
        <v/>
      </c>
      <c r="AA605" s="34">
        <f>SUMIFS('[1]GİP VERİLERİ'!$O:$O,'[1]GİP VERİLERİ'!$B:$B,A605,'[1]GİP VERİLERİ'!$M:$M,"40X000000104782K",'[1]GİP VERİLERİ'!$G:$G,"BUY")</f>
        <v/>
      </c>
      <c r="AB605" s="34">
        <f>'[1]GÖP VERİLERİ'!H606</f>
        <v/>
      </c>
      <c r="AC605" s="34">
        <f>'[1]GÖP VERİLERİ'!I606</f>
        <v/>
      </c>
      <c r="AD605" s="34">
        <f>IF(AB605&gt;AC605*1.05,AB605-AC605*1.05,IF(AB605&lt;AC605*0.95,AC605*0.95-AB605,0))</f>
        <v/>
      </c>
      <c r="AE605" s="34">
        <f>MAX(F605,G605,750)*0.05*AD605</f>
        <v/>
      </c>
      <c r="AF605" s="34">
        <f>'[1]GÖP VERİLERİ'!J606</f>
        <v/>
      </c>
      <c r="AG605" s="34">
        <f>IF(AB605&gt;AF605*1.05,AB605-AF605*1.05,IF(AB605&lt;AF605*0.95,AF605*0.95-AB605,0))</f>
        <v/>
      </c>
      <c r="AH605" s="34">
        <f>MAX(I605,J605,750)*0.05*AG605</f>
        <v/>
      </c>
      <c r="AI605">
        <f>'[1]GÖP VERİLERİ'!E606</f>
        <v/>
      </c>
      <c r="AJ605">
        <f>'[1]GÖP VERİLERİ'!F606</f>
        <v/>
      </c>
      <c r="AK605" s="34">
        <f>IF(AI605&gt;AJ605*1.05,AI605-AJ605*1.05,IF(AI605&lt;AJ605*0.95,AJ605*0.95-AI605,0))</f>
        <v/>
      </c>
      <c r="AL605" s="34">
        <f>MAX(F605,G605,750)*0.05*AK605</f>
        <v/>
      </c>
      <c r="AM605" s="39">
        <f>'[1]GÖP VERİLERİ'!G606</f>
        <v/>
      </c>
      <c r="AN605" s="34">
        <f>IF(AI605&gt;AM605*1.05,AI605-AM605*1.05,IF(AI605&lt;AM605*0.95,AM605*0.95-AI605,0))</f>
        <v/>
      </c>
      <c r="AO605" s="34">
        <f>MAX(F605,G605,750)*0.05*AN605</f>
        <v/>
      </c>
      <c r="AP605" s="34">
        <f>'[1]GÖP VERİLERİ'!B606</f>
        <v/>
      </c>
      <c r="AQ605" s="34">
        <f>'[1]GÖP VERİLERİ'!C606</f>
        <v/>
      </c>
      <c r="AR605" s="34">
        <f>IF(AP605&gt;AQ605*1.05,AP605-AQ605*1.05,IF(AP605&lt;AQ605*0.95,AQ605*0.95-AP605,0))</f>
        <v/>
      </c>
      <c r="AS605" s="34">
        <f>MAX(F605:G605,750)*0.05*AR605</f>
        <v/>
      </c>
      <c r="AT605">
        <f>'[1]GÖP VERİLERİ'!D606</f>
        <v/>
      </c>
      <c r="AU605" s="34">
        <f>IF(AP605&gt;AT605*1.05,AP605-AT605*1.05,IF(AP605&lt;AT605*0.95,AT605*0.95-AP605,0))</f>
        <v/>
      </c>
      <c r="AV605" s="34">
        <f>MAX(F605:G605,750)*0.05*AU605</f>
        <v/>
      </c>
      <c r="AW605" s="34">
        <f>AC605+AJ605+AQ605</f>
        <v/>
      </c>
      <c r="AX605" s="34">
        <f>AF605+AM605+AT605</f>
        <v/>
      </c>
      <c r="AY605" s="34">
        <f>AB605+AI605+AP605</f>
        <v/>
      </c>
      <c r="AZ605" s="34" t="n">
        <v>0</v>
      </c>
      <c r="BA605" s="34">
        <f>AD605+AK605+AR605</f>
        <v/>
      </c>
      <c r="BB605" s="34">
        <f>MAX(F605:G605,750)*0.05*BA605</f>
        <v/>
      </c>
      <c r="BC605" s="34">
        <f>AG605+AN605+AU605</f>
        <v/>
      </c>
      <c r="BD605" s="34">
        <f>MAX(F605:G605,750)*0.05*BC605</f>
        <v/>
      </c>
      <c r="BE605" s="34">
        <f>F605*AY605</f>
        <v/>
      </c>
      <c r="BF605" s="34">
        <f>K605-M605</f>
        <v/>
      </c>
      <c r="BG605" s="34">
        <f>P605-S605</f>
        <v/>
      </c>
      <c r="BH605" s="34">
        <f>W605-AA605</f>
        <v/>
      </c>
      <c r="BI605" s="34">
        <f>BF605+BG605+BL605-BN605</f>
        <v/>
      </c>
      <c r="BJ605" s="34">
        <f>ABS(BK605)</f>
        <v/>
      </c>
      <c r="BK605" s="34">
        <f>AY605-(J605-L605+N605-Q605)</f>
        <v/>
      </c>
      <c r="BL605" s="34">
        <f>IF(AND(BK605&gt;0,MIN($F605:$G605)&lt;150,$E605="Enerji Açığı"),-100*BK605*1.03,IF(AND(BK605&gt;0,MIN($F605:$G605)&lt;150,$E605="Enerji Fazlası"),-100*BK605*1.06,IF(AND(BK605&gt;0,MIN($F605:$G605)&gt;=150,$E605="Enerji Açığı"),BK605*MIN($F605:$G605)*0.97,IF(AND(BK605&gt;0,MIN($F605:$G605)&gt;=150,$E605="Enerji Fazlası"),BK605*MIN($F605:$G605)*0.94,IF(AND(BK605&lt;0,MAX($F605:$G605)=4500,$E605="Enerji Açığı"),4500*1.05*1.06*BK605,IF(AND(BK605&lt;0,MAX($F605:$G605)=4500,$E605="Enerji Fazlası"),4500*1.05*1.03*BK605,IF(AND(BK605&lt;0,$E605="Enerji Açığı"),MAX($F605,$G605,150)*BK605*1.06,IF(AND(BK605&lt;0,$E605="Enerji Fazlası"),MAX($F605,$G605,150)*BK605*1.03,IF(AND(BK605&lt;0,$E605="Dengede"),MAX($F605:$G605,150)*1.03*BK605,MIN($F605:$G605)*0.97*BK605)))))))))</f>
        <v/>
      </c>
      <c r="BM605" s="34">
        <f>BE605-BI605-BN605</f>
        <v/>
      </c>
      <c r="BN605" s="34">
        <f>BB605</f>
        <v/>
      </c>
      <c r="BO605" s="34">
        <f>BE605-BI605</f>
        <v/>
      </c>
      <c r="BP605" s="34">
        <f>IF(AY605=0,0,BO605/AY605)</f>
        <v/>
      </c>
      <c r="BQ605" s="34">
        <f>MAX((AY605+MAX((-J605+L605-N605+Q605),0)),(MAX((J605-L605+N605-Q605),0)))</f>
        <v/>
      </c>
      <c r="BR605" s="82">
        <f>IFERROR(ABS(BK605/BQ605),0)</f>
        <v/>
      </c>
      <c r="BS605" s="34">
        <f>IF(BR605&lt;=0.1,0,BK605/BR605*(BR605-0.1))</f>
        <v/>
      </c>
      <c r="BT605" s="34">
        <f>IF((BS605)&lt;0,MAX(F605:G605)*(BS605)*1.03,MIN(F605:G605)*(BS605)*0.97)</f>
        <v/>
      </c>
      <c r="BU605" s="34">
        <f>IF(BR605&gt;0.1,1,0)</f>
        <v/>
      </c>
      <c r="BV605" s="34">
        <f>BF605+BG605+BH605+BY605-CA605</f>
        <v/>
      </c>
      <c r="BW605" s="34">
        <f>ABS(BX605)</f>
        <v/>
      </c>
      <c r="BX605" s="34">
        <f>AY605-(J605-L605+N605-Q605+T605-X605)</f>
        <v/>
      </c>
      <c r="BY605" s="34">
        <f>IF(AND(BX605&gt;0,MIN($F605:$G605)&lt;150,$E605="Enerji Açığı"),-100*BX605*1.03,IF(AND(BX605&gt;0,MIN($F605:$G605)&lt;150,$E605="Enerji Fazlası"),-100*BX605*1.06,IF(AND(BX605&gt;0,MIN($F605:$G605)&gt;=150,$E605="Enerji Açığı"),BX605*MIN($F605:$G605)*0.97,IF(AND(BX605&gt;0,MIN($F605:$G605)&gt;=150,$E605="Enerji Fazlası"),BX605*MIN($F605:$G605)*0.94,IF(AND(BX605&lt;0,MAX($F605:$G605)=4500,$E605="Enerji Açığı"),4500*1.05*1.06*BX605,IF(AND(BX605&lt;0,MAX($F605:$G605)=4500,$E605="Enerji Fazlası"),4500*1.05*1.03*BX605,IF(AND(BX605&lt;0,$E605="Enerji Açığı"),MAX($F605,$G605,150)*BX605*1.06,IF(AND(BX605&lt;0,$E605="Enerji Fazlası"),MAX($F605,$G605,150)*BX605*1.03,IF(AND(BX605&lt;0,$E605="Dengede"),MAX($F605:$G605,150)*1.03*BX605,MIN($F605:$G605)*0.97*BX605)))))))))</f>
        <v/>
      </c>
      <c r="BZ605" s="34">
        <f>BE605-BV605-CA605</f>
        <v/>
      </c>
      <c r="CA605" s="34">
        <f>BD605</f>
        <v/>
      </c>
      <c r="CB605" s="33">
        <f>BE605-BV605</f>
        <v/>
      </c>
      <c r="CC605" s="34">
        <f>IF(AY605=0,0,CB605/AY605)</f>
        <v/>
      </c>
      <c r="CD605" s="34">
        <f>MAX((AY605+MAX((-J605+L605-N605+Q605-T605+X605),0)),(MAX((J605-L605+N605-Q605+T605-X605),0)))</f>
        <v/>
      </c>
      <c r="CE605" s="82">
        <f>IFERROR(ABS(BX605/CD605),0)</f>
        <v/>
      </c>
      <c r="CF605" s="34">
        <f>IF(CE605&lt;=0.1,0,BX605/CE605*(CE605-0.1))</f>
        <v/>
      </c>
      <c r="CG605" s="34">
        <f>IF((CF605)&lt;0,MAX(F605:G605)*(CF605)*1.03,MIN(F605:G605)*(CF605)*0.97)</f>
        <v/>
      </c>
      <c r="CH605" s="34">
        <f>IF(CE605&gt;0.1,1,0)</f>
        <v/>
      </c>
      <c r="CI605" s="34">
        <f>(F605*BX605)-BY605</f>
        <v/>
      </c>
      <c r="CJ605" s="34">
        <f>IF(AY605=0,0,CI605/AY605)</f>
        <v/>
      </c>
    </row>
    <row r="606">
      <c r="A606" s="29">
        <f>[1]FİYATLAR!A581</f>
        <v/>
      </c>
      <c r="B606" s="29">
        <f>[1]FİYATLAR!B605</f>
        <v/>
      </c>
      <c r="C606" s="35">
        <f>INT(A606)</f>
        <v/>
      </c>
      <c r="D606" s="36">
        <f>MONTH(A606)</f>
        <v/>
      </c>
      <c r="E606" s="147">
        <f>[1]FİYATLAR!G581</f>
        <v/>
      </c>
      <c r="F606" s="30">
        <f>[1]FİYATLAR!C581</f>
        <v/>
      </c>
      <c r="G606" s="30">
        <f>[1]FİYATLAR!E581</f>
        <v/>
      </c>
      <c r="H606" s="30">
        <f>[1]FİYATLAR!D581</f>
        <v/>
      </c>
      <c r="I606" s="30">
        <f>[1]FİYATLAR!F581</f>
        <v/>
      </c>
      <c r="J606" s="119" t="n">
        <v>0</v>
      </c>
      <c r="K606" s="34">
        <f>F606*J606</f>
        <v/>
      </c>
      <c r="L606" s="119" t="n"/>
      <c r="M606" s="34">
        <f>L606*F606</f>
        <v/>
      </c>
      <c r="N606" s="119" t="n"/>
      <c r="O606" s="34">
        <f>F606</f>
        <v/>
      </c>
      <c r="P606" s="34">
        <f>N606*O606</f>
        <v/>
      </c>
      <c r="Q606" s="117" t="n">
        <v>0</v>
      </c>
      <c r="R606" s="34">
        <f>F606</f>
        <v/>
      </c>
      <c r="S606" s="34">
        <f>R606*Q606</f>
        <v/>
      </c>
      <c r="T606" s="34">
        <f>SUMIFS('[1]GİP VERİLERİ'!$C:$C,'[1]GİP VERİLERİ'!$B:$B,A606,'[1]GİP VERİLERİ'!$M:$M,"40X000000104782K",'[1]GİP VERİLERİ'!$G:$G,"SELL")</f>
        <v/>
      </c>
      <c r="U606" s="34">
        <f>IFERROR(W606/T606,0)</f>
        <v/>
      </c>
      <c r="V606" s="34">
        <f>IF(U606=0,0,U606-F606)</f>
        <v/>
      </c>
      <c r="W606" s="34">
        <f>SUMIFS('[1]GİP VERİLERİ'!$O:$O,'[1]GİP VERİLERİ'!$B:$B,A606,'[1]GİP VERİLERİ'!$M:$M,"40X000000104782K",'[1]GİP VERİLERİ'!$G:$G,"SELL")</f>
        <v/>
      </c>
      <c r="X606" s="34">
        <f>SUMIFS('[1]GİP VERİLERİ'!$C:$C,'[1]GİP VERİLERİ'!$B:$B,A606,'[1]GİP VERİLERİ'!$M:$M,"40X000000104782K",'[1]GİP VERİLERİ'!$G:$G,"BUY")</f>
        <v/>
      </c>
      <c r="Y606" s="34">
        <f>IFERROR(AA606/X606,0)</f>
        <v/>
      </c>
      <c r="Z606" s="34">
        <f>IF(Y606=0,0,F606-Y606)</f>
        <v/>
      </c>
      <c r="AA606" s="34">
        <f>SUMIFS('[1]GİP VERİLERİ'!$O:$O,'[1]GİP VERİLERİ'!$B:$B,A606,'[1]GİP VERİLERİ'!$M:$M,"40X000000104782K",'[1]GİP VERİLERİ'!$G:$G,"BUY")</f>
        <v/>
      </c>
      <c r="AB606" s="34">
        <f>'[1]GÖP VERİLERİ'!H607</f>
        <v/>
      </c>
      <c r="AC606" s="34">
        <f>'[1]GÖP VERİLERİ'!I607</f>
        <v/>
      </c>
      <c r="AD606" s="34">
        <f>IF(AB606&gt;AC606*1.05,AB606-AC606*1.05,IF(AB606&lt;AC606*0.95,AC606*0.95-AB606,0))</f>
        <v/>
      </c>
      <c r="AE606" s="34">
        <f>MAX(F606,G606,750)*0.05*AD606</f>
        <v/>
      </c>
      <c r="AF606" s="34">
        <f>'[1]GÖP VERİLERİ'!J607</f>
        <v/>
      </c>
      <c r="AG606" s="34">
        <f>IF(AB606&gt;AF606*1.05,AB606-AF606*1.05,IF(AB606&lt;AF606*0.95,AF606*0.95-AB606,0))</f>
        <v/>
      </c>
      <c r="AH606" s="34">
        <f>MAX(I606,J606,750)*0.05*AG606</f>
        <v/>
      </c>
      <c r="AI606">
        <f>'[1]GÖP VERİLERİ'!E607</f>
        <v/>
      </c>
      <c r="AJ606">
        <f>'[1]GÖP VERİLERİ'!F607</f>
        <v/>
      </c>
      <c r="AK606" s="34">
        <f>IF(AI606&gt;AJ606*1.05,AI606-AJ606*1.05,IF(AI606&lt;AJ606*0.95,AJ606*0.95-AI606,0))</f>
        <v/>
      </c>
      <c r="AL606" s="34">
        <f>MAX(F606,G606,750)*0.05*AK606</f>
        <v/>
      </c>
      <c r="AM606" s="39">
        <f>'[1]GÖP VERİLERİ'!G607</f>
        <v/>
      </c>
      <c r="AN606" s="34">
        <f>IF(AI606&gt;AM606*1.05,AI606-AM606*1.05,IF(AI606&lt;AM606*0.95,AM606*0.95-AI606,0))</f>
        <v/>
      </c>
      <c r="AO606" s="34">
        <f>MAX(F606,G606,750)*0.05*AN606</f>
        <v/>
      </c>
      <c r="AP606" s="34">
        <f>'[1]GÖP VERİLERİ'!B607</f>
        <v/>
      </c>
      <c r="AQ606" s="34">
        <f>'[1]GÖP VERİLERİ'!C607</f>
        <v/>
      </c>
      <c r="AR606" s="34">
        <f>IF(AP606&gt;AQ606*1.05,AP606-AQ606*1.05,IF(AP606&lt;AQ606*0.95,AQ606*0.95-AP606,0))</f>
        <v/>
      </c>
      <c r="AS606" s="34">
        <f>MAX(F606:G606,750)*0.05*AR606</f>
        <v/>
      </c>
      <c r="AT606">
        <f>'[1]GÖP VERİLERİ'!D607</f>
        <v/>
      </c>
      <c r="AU606" s="34">
        <f>IF(AP606&gt;AT606*1.05,AP606-AT606*1.05,IF(AP606&lt;AT606*0.95,AT606*0.95-AP606,0))</f>
        <v/>
      </c>
      <c r="AV606" s="34">
        <f>MAX(F606:G606,750)*0.05*AU606</f>
        <v/>
      </c>
      <c r="AW606" s="34">
        <f>AC606+AJ606+AQ606</f>
        <v/>
      </c>
      <c r="AX606" s="34">
        <f>AF606+AM606+AT606</f>
        <v/>
      </c>
      <c r="AY606" s="34">
        <f>AB606+AI606+AP606</f>
        <v/>
      </c>
      <c r="AZ606" s="34" t="n">
        <v>0</v>
      </c>
      <c r="BA606" s="34">
        <f>AD606+AK606+AR606</f>
        <v/>
      </c>
      <c r="BB606" s="34">
        <f>MAX(F606:G606,750)*0.05*BA606</f>
        <v/>
      </c>
      <c r="BC606" s="34">
        <f>AG606+AN606+AU606</f>
        <v/>
      </c>
      <c r="BD606" s="34">
        <f>MAX(F606:G606,750)*0.05*BC606</f>
        <v/>
      </c>
      <c r="BE606" s="34">
        <f>F606*AY606</f>
        <v/>
      </c>
      <c r="BF606" s="34">
        <f>K606-M606</f>
        <v/>
      </c>
      <c r="BG606" s="34">
        <f>P606-S606</f>
        <v/>
      </c>
      <c r="BH606" s="34">
        <f>W606-AA606</f>
        <v/>
      </c>
      <c r="BI606" s="34">
        <f>BF606+BG606+BL606-BN606</f>
        <v/>
      </c>
      <c r="BJ606" s="34">
        <f>ABS(BK606)</f>
        <v/>
      </c>
      <c r="BK606" s="34">
        <f>AY606-(J606-L606+N606-Q606)</f>
        <v/>
      </c>
      <c r="BL606" s="34">
        <f>IF(AND(BK606&gt;0,MIN($F606:$G606)&lt;150,$E606="Enerji Açığı"),-100*BK606*1.03,IF(AND(BK606&gt;0,MIN($F606:$G606)&lt;150,$E606="Enerji Fazlası"),-100*BK606*1.06,IF(AND(BK606&gt;0,MIN($F606:$G606)&gt;=150,$E606="Enerji Açığı"),BK606*MIN($F606:$G606)*0.97,IF(AND(BK606&gt;0,MIN($F606:$G606)&gt;=150,$E606="Enerji Fazlası"),BK606*MIN($F606:$G606)*0.94,IF(AND(BK606&lt;0,MAX($F606:$G606)=4500,$E606="Enerji Açığı"),4500*1.05*1.06*BK606,IF(AND(BK606&lt;0,MAX($F606:$G606)=4500,$E606="Enerji Fazlası"),4500*1.05*1.03*BK606,IF(AND(BK606&lt;0,$E606="Enerji Açığı"),MAX($F606,$G606,150)*BK606*1.06,IF(AND(BK606&lt;0,$E606="Enerji Fazlası"),MAX($F606,$G606,150)*BK606*1.03,IF(AND(BK606&lt;0,$E606="Dengede"),MAX($F606:$G606,150)*1.03*BK606,MIN($F606:$G606)*0.97*BK606)))))))))</f>
        <v/>
      </c>
      <c r="BM606" s="34">
        <f>BE606-BI606-BN606</f>
        <v/>
      </c>
      <c r="BN606" s="34">
        <f>BB606</f>
        <v/>
      </c>
      <c r="BO606" s="34">
        <f>BE606-BI606</f>
        <v/>
      </c>
      <c r="BP606" s="34">
        <f>IF(AY606=0,0,BO606/AY606)</f>
        <v/>
      </c>
      <c r="BQ606" s="34">
        <f>MAX((AY606+MAX((-J606+L606-N606+Q606),0)),(MAX((J606-L606+N606-Q606),0)))</f>
        <v/>
      </c>
      <c r="BR606" s="82">
        <f>IFERROR(ABS(BK606/BQ606),0)</f>
        <v/>
      </c>
      <c r="BS606" s="34">
        <f>IF(BR606&lt;=0.1,0,BK606/BR606*(BR606-0.1))</f>
        <v/>
      </c>
      <c r="BT606" s="34">
        <f>IF((BS606)&lt;0,MAX(F606:G606)*(BS606)*1.03,MIN(F606:G606)*(BS606)*0.97)</f>
        <v/>
      </c>
      <c r="BU606" s="34">
        <f>IF(BR606&gt;0.1,1,0)</f>
        <v/>
      </c>
      <c r="BV606" s="34">
        <f>BF606+BG606+BH606+BY606-CA606</f>
        <v/>
      </c>
      <c r="BW606" s="34">
        <f>ABS(BX606)</f>
        <v/>
      </c>
      <c r="BX606" s="34">
        <f>AY606-(J606-L606+N606-Q606+T606-X606)</f>
        <v/>
      </c>
      <c r="BY606" s="34">
        <f>IF(AND(BX606&gt;0,MIN($F606:$G606)&lt;150,$E606="Enerji Açığı"),-100*BX606*1.03,IF(AND(BX606&gt;0,MIN($F606:$G606)&lt;150,$E606="Enerji Fazlası"),-100*BX606*1.06,IF(AND(BX606&gt;0,MIN($F606:$G606)&gt;=150,$E606="Enerji Açığı"),BX606*MIN($F606:$G606)*0.97,IF(AND(BX606&gt;0,MIN($F606:$G606)&gt;=150,$E606="Enerji Fazlası"),BX606*MIN($F606:$G606)*0.94,IF(AND(BX606&lt;0,MAX($F606:$G606)=4500,$E606="Enerji Açığı"),4500*1.05*1.06*BX606,IF(AND(BX606&lt;0,MAX($F606:$G606)=4500,$E606="Enerji Fazlası"),4500*1.05*1.03*BX606,IF(AND(BX606&lt;0,$E606="Enerji Açığı"),MAX($F606,$G606,150)*BX606*1.06,IF(AND(BX606&lt;0,$E606="Enerji Fazlası"),MAX($F606,$G606,150)*BX606*1.03,IF(AND(BX606&lt;0,$E606="Dengede"),MAX($F606:$G606,150)*1.03*BX606,MIN($F606:$G606)*0.97*BX606)))))))))</f>
        <v/>
      </c>
      <c r="BZ606" s="34">
        <f>BE606-BV606-CA606</f>
        <v/>
      </c>
      <c r="CA606" s="34">
        <f>BD606</f>
        <v/>
      </c>
      <c r="CB606" s="33">
        <f>BE606-BV606</f>
        <v/>
      </c>
      <c r="CC606" s="34">
        <f>IF(AY606=0,0,CB606/AY606)</f>
        <v/>
      </c>
      <c r="CD606" s="34">
        <f>MAX((AY606+MAX((-J606+L606-N606+Q606-T606+X606),0)),(MAX((J606-L606+N606-Q606+T606-X606),0)))</f>
        <v/>
      </c>
      <c r="CE606" s="82">
        <f>IFERROR(ABS(BX606/CD606),0)</f>
        <v/>
      </c>
      <c r="CF606" s="34">
        <f>IF(CE606&lt;=0.1,0,BX606/CE606*(CE606-0.1))</f>
        <v/>
      </c>
      <c r="CG606" s="34">
        <f>IF((CF606)&lt;0,MAX(F606:G606)*(CF606)*1.03,MIN(F606:G606)*(CF606)*0.97)</f>
        <v/>
      </c>
      <c r="CH606" s="34">
        <f>IF(CE606&gt;0.1,1,0)</f>
        <v/>
      </c>
      <c r="CI606" s="34">
        <f>(F606*BX606)-BY606</f>
        <v/>
      </c>
      <c r="CJ606" s="34">
        <f>IF(AY606=0,0,CI606/AY606)</f>
        <v/>
      </c>
    </row>
    <row r="607">
      <c r="A607" s="29">
        <f>[1]FİYATLAR!A582</f>
        <v/>
      </c>
      <c r="B607" s="29">
        <f>[1]FİYATLAR!B606</f>
        <v/>
      </c>
      <c r="C607" s="35">
        <f>INT(A607)</f>
        <v/>
      </c>
      <c r="D607" s="36">
        <f>MONTH(A607)</f>
        <v/>
      </c>
      <c r="E607" s="147">
        <f>[1]FİYATLAR!G582</f>
        <v/>
      </c>
      <c r="F607" s="30">
        <f>[1]FİYATLAR!C582</f>
        <v/>
      </c>
      <c r="G607" s="30">
        <f>[1]FİYATLAR!E582</f>
        <v/>
      </c>
      <c r="H607" s="30">
        <f>[1]FİYATLAR!D582</f>
        <v/>
      </c>
      <c r="I607" s="30">
        <f>[1]FİYATLAR!F582</f>
        <v/>
      </c>
      <c r="J607" s="119" t="n">
        <v>0</v>
      </c>
      <c r="K607" s="34">
        <f>F607*J607</f>
        <v/>
      </c>
      <c r="L607" s="119" t="n"/>
      <c r="M607" s="34">
        <f>L607*F607</f>
        <v/>
      </c>
      <c r="N607" s="119" t="n"/>
      <c r="O607" s="34">
        <f>F607</f>
        <v/>
      </c>
      <c r="P607" s="34">
        <f>N607*O607</f>
        <v/>
      </c>
      <c r="Q607" s="117" t="n">
        <v>0</v>
      </c>
      <c r="R607" s="34">
        <f>F607</f>
        <v/>
      </c>
      <c r="S607" s="34">
        <f>R607*Q607</f>
        <v/>
      </c>
      <c r="T607" s="34">
        <f>SUMIFS('[1]GİP VERİLERİ'!$C:$C,'[1]GİP VERİLERİ'!$B:$B,A607,'[1]GİP VERİLERİ'!$M:$M,"40X000000104782K",'[1]GİP VERİLERİ'!$G:$G,"SELL")</f>
        <v/>
      </c>
      <c r="U607" s="34">
        <f>IFERROR(W607/T607,0)</f>
        <v/>
      </c>
      <c r="V607" s="34">
        <f>IF(U607=0,0,U607-F607)</f>
        <v/>
      </c>
      <c r="W607" s="34">
        <f>SUMIFS('[1]GİP VERİLERİ'!$O:$O,'[1]GİP VERİLERİ'!$B:$B,A607,'[1]GİP VERİLERİ'!$M:$M,"40X000000104782K",'[1]GİP VERİLERİ'!$G:$G,"SELL")</f>
        <v/>
      </c>
      <c r="X607" s="34">
        <f>SUMIFS('[1]GİP VERİLERİ'!$C:$C,'[1]GİP VERİLERİ'!$B:$B,A607,'[1]GİP VERİLERİ'!$M:$M,"40X000000104782K",'[1]GİP VERİLERİ'!$G:$G,"BUY")</f>
        <v/>
      </c>
      <c r="Y607" s="34">
        <f>IFERROR(AA607/X607,0)</f>
        <v/>
      </c>
      <c r="Z607" s="34">
        <f>IF(Y607=0,0,F607-Y607)</f>
        <v/>
      </c>
      <c r="AA607" s="34">
        <f>SUMIFS('[1]GİP VERİLERİ'!$O:$O,'[1]GİP VERİLERİ'!$B:$B,A607,'[1]GİP VERİLERİ'!$M:$M,"40X000000104782K",'[1]GİP VERİLERİ'!$G:$G,"BUY")</f>
        <v/>
      </c>
      <c r="AB607" s="34">
        <f>'[1]GÖP VERİLERİ'!H608</f>
        <v/>
      </c>
      <c r="AC607" s="34">
        <f>'[1]GÖP VERİLERİ'!I608</f>
        <v/>
      </c>
      <c r="AD607" s="34">
        <f>IF(AB607&gt;AC607*1.05,AB607-AC607*1.05,IF(AB607&lt;AC607*0.95,AC607*0.95-AB607,0))</f>
        <v/>
      </c>
      <c r="AE607" s="34">
        <f>MAX(F607,G607,750)*0.05*AD607</f>
        <v/>
      </c>
      <c r="AF607" s="34">
        <f>'[1]GÖP VERİLERİ'!J608</f>
        <v/>
      </c>
      <c r="AG607" s="34">
        <f>IF(AB607&gt;AF607*1.05,AB607-AF607*1.05,IF(AB607&lt;AF607*0.95,AF607*0.95-AB607,0))</f>
        <v/>
      </c>
      <c r="AH607" s="34">
        <f>MAX(I607,J607,750)*0.05*AG607</f>
        <v/>
      </c>
      <c r="AI607">
        <f>'[1]GÖP VERİLERİ'!E608</f>
        <v/>
      </c>
      <c r="AJ607">
        <f>'[1]GÖP VERİLERİ'!F608</f>
        <v/>
      </c>
      <c r="AK607" s="34">
        <f>IF(AI607&gt;AJ607*1.05,AI607-AJ607*1.05,IF(AI607&lt;AJ607*0.95,AJ607*0.95-AI607,0))</f>
        <v/>
      </c>
      <c r="AL607" s="34">
        <f>MAX(F607,G607,750)*0.05*AK607</f>
        <v/>
      </c>
      <c r="AM607" s="39">
        <f>'[1]GÖP VERİLERİ'!G608</f>
        <v/>
      </c>
      <c r="AN607" s="34">
        <f>IF(AI607&gt;AM607*1.05,AI607-AM607*1.05,IF(AI607&lt;AM607*0.95,AM607*0.95-AI607,0))</f>
        <v/>
      </c>
      <c r="AO607" s="34">
        <f>MAX(F607,G607,750)*0.05*AN607</f>
        <v/>
      </c>
      <c r="AP607" s="34">
        <f>'[1]GÖP VERİLERİ'!B608</f>
        <v/>
      </c>
      <c r="AQ607" s="34">
        <f>'[1]GÖP VERİLERİ'!C608</f>
        <v/>
      </c>
      <c r="AR607" s="34">
        <f>IF(AP607&gt;AQ607*1.05,AP607-AQ607*1.05,IF(AP607&lt;AQ607*0.95,AQ607*0.95-AP607,0))</f>
        <v/>
      </c>
      <c r="AS607" s="34">
        <f>MAX(F607:G607,750)*0.05*AR607</f>
        <v/>
      </c>
      <c r="AT607">
        <f>'[1]GÖP VERİLERİ'!D608</f>
        <v/>
      </c>
      <c r="AU607" s="34">
        <f>IF(AP607&gt;AT607*1.05,AP607-AT607*1.05,IF(AP607&lt;AT607*0.95,AT607*0.95-AP607,0))</f>
        <v/>
      </c>
      <c r="AV607" s="34">
        <f>MAX(F607:G607,750)*0.05*AU607</f>
        <v/>
      </c>
      <c r="AW607" s="34">
        <f>AC607+AJ607+AQ607</f>
        <v/>
      </c>
      <c r="AX607" s="34">
        <f>AF607+AM607+AT607</f>
        <v/>
      </c>
      <c r="AY607" s="34">
        <f>AB607+AI607+AP607</f>
        <v/>
      </c>
      <c r="AZ607" s="34" t="n">
        <v>0</v>
      </c>
      <c r="BA607" s="34">
        <f>AD607+AK607+AR607</f>
        <v/>
      </c>
      <c r="BB607" s="34">
        <f>MAX(F607:G607,750)*0.05*BA607</f>
        <v/>
      </c>
      <c r="BC607" s="34">
        <f>AG607+AN607+AU607</f>
        <v/>
      </c>
      <c r="BD607" s="34">
        <f>MAX(F607:G607,750)*0.05*BC607</f>
        <v/>
      </c>
      <c r="BE607" s="34">
        <f>F607*AY607</f>
        <v/>
      </c>
      <c r="BF607" s="34">
        <f>K607-M607</f>
        <v/>
      </c>
      <c r="BG607" s="34">
        <f>P607-S607</f>
        <v/>
      </c>
      <c r="BH607" s="34">
        <f>W607-AA607</f>
        <v/>
      </c>
      <c r="BI607" s="34">
        <f>BF607+BG607+BL607-BN607</f>
        <v/>
      </c>
      <c r="BJ607" s="34">
        <f>ABS(BK607)</f>
        <v/>
      </c>
      <c r="BK607" s="34">
        <f>AY607-(J607-L607+N607-Q607)</f>
        <v/>
      </c>
      <c r="BL607" s="34">
        <f>IF(AND(BK607&gt;0,MIN($F607:$G607)&lt;150,$E607="Enerji Açığı"),-100*BK607*1.03,IF(AND(BK607&gt;0,MIN($F607:$G607)&lt;150,$E607="Enerji Fazlası"),-100*BK607*1.06,IF(AND(BK607&gt;0,MIN($F607:$G607)&gt;=150,$E607="Enerji Açığı"),BK607*MIN($F607:$G607)*0.97,IF(AND(BK607&gt;0,MIN($F607:$G607)&gt;=150,$E607="Enerji Fazlası"),BK607*MIN($F607:$G607)*0.94,IF(AND(BK607&lt;0,MAX($F607:$G607)=4500,$E607="Enerji Açığı"),4500*1.05*1.06*BK607,IF(AND(BK607&lt;0,MAX($F607:$G607)=4500,$E607="Enerji Fazlası"),4500*1.05*1.03*BK607,IF(AND(BK607&lt;0,$E607="Enerji Açığı"),MAX($F607,$G607,150)*BK607*1.06,IF(AND(BK607&lt;0,$E607="Enerji Fazlası"),MAX($F607,$G607,150)*BK607*1.03,IF(AND(BK607&lt;0,$E607="Dengede"),MAX($F607:$G607,150)*1.03*BK607,MIN($F607:$G607)*0.97*BK607)))))))))</f>
        <v/>
      </c>
      <c r="BM607" s="34">
        <f>BE607-BI607-BN607</f>
        <v/>
      </c>
      <c r="BN607" s="34">
        <f>BB607</f>
        <v/>
      </c>
      <c r="BO607" s="34">
        <f>BE607-BI607</f>
        <v/>
      </c>
      <c r="BP607" s="34">
        <f>IF(AY607=0,0,BO607/AY607)</f>
        <v/>
      </c>
      <c r="BQ607" s="34">
        <f>MAX((AY607+MAX((-J607+L607-N607+Q607),0)),(MAX((J607-L607+N607-Q607),0)))</f>
        <v/>
      </c>
      <c r="BR607" s="82">
        <f>IFERROR(ABS(BK607/BQ607),0)</f>
        <v/>
      </c>
      <c r="BS607" s="34">
        <f>IF(BR607&lt;=0.1,0,BK607/BR607*(BR607-0.1))</f>
        <v/>
      </c>
      <c r="BT607" s="34">
        <f>IF((BS607)&lt;0,MAX(F607:G607)*(BS607)*1.03,MIN(F607:G607)*(BS607)*0.97)</f>
        <v/>
      </c>
      <c r="BU607" s="34">
        <f>IF(BR607&gt;0.1,1,0)</f>
        <v/>
      </c>
      <c r="BV607" s="34">
        <f>BF607+BG607+BH607+BY607-CA607</f>
        <v/>
      </c>
      <c r="BW607" s="34">
        <f>ABS(BX607)</f>
        <v/>
      </c>
      <c r="BX607" s="34">
        <f>AY607-(J607-L607+N607-Q607+T607-X607)</f>
        <v/>
      </c>
      <c r="BY607" s="34">
        <f>IF(AND(BX607&gt;0,MIN($F607:$G607)&lt;150,$E607="Enerji Açığı"),-100*BX607*1.03,IF(AND(BX607&gt;0,MIN($F607:$G607)&lt;150,$E607="Enerji Fazlası"),-100*BX607*1.06,IF(AND(BX607&gt;0,MIN($F607:$G607)&gt;=150,$E607="Enerji Açığı"),BX607*MIN($F607:$G607)*0.97,IF(AND(BX607&gt;0,MIN($F607:$G607)&gt;=150,$E607="Enerji Fazlası"),BX607*MIN($F607:$G607)*0.94,IF(AND(BX607&lt;0,MAX($F607:$G607)=4500,$E607="Enerji Açığı"),4500*1.05*1.06*BX607,IF(AND(BX607&lt;0,MAX($F607:$G607)=4500,$E607="Enerji Fazlası"),4500*1.05*1.03*BX607,IF(AND(BX607&lt;0,$E607="Enerji Açığı"),MAX($F607,$G607,150)*BX607*1.06,IF(AND(BX607&lt;0,$E607="Enerji Fazlası"),MAX($F607,$G607,150)*BX607*1.03,IF(AND(BX607&lt;0,$E607="Dengede"),MAX($F607:$G607,150)*1.03*BX607,MIN($F607:$G607)*0.97*BX607)))))))))</f>
        <v/>
      </c>
      <c r="BZ607" s="34">
        <f>BE607-BV607-CA607</f>
        <v/>
      </c>
      <c r="CA607" s="34">
        <f>BD607</f>
        <v/>
      </c>
      <c r="CB607" s="33">
        <f>BE607-BV607</f>
        <v/>
      </c>
      <c r="CC607" s="34">
        <f>IF(AY607=0,0,CB607/AY607)</f>
        <v/>
      </c>
      <c r="CD607" s="34">
        <f>MAX((AY607+MAX((-J607+L607-N607+Q607-T607+X607),0)),(MAX((J607-L607+N607-Q607+T607-X607),0)))</f>
        <v/>
      </c>
      <c r="CE607" s="82">
        <f>IFERROR(ABS(BX607/CD607),0)</f>
        <v/>
      </c>
      <c r="CF607" s="34">
        <f>IF(CE607&lt;=0.1,0,BX607/CE607*(CE607-0.1))</f>
        <v/>
      </c>
      <c r="CG607" s="34">
        <f>IF((CF607)&lt;0,MAX(F607:G607)*(CF607)*1.03,MIN(F607:G607)*(CF607)*0.97)</f>
        <v/>
      </c>
      <c r="CH607" s="34">
        <f>IF(CE607&gt;0.1,1,0)</f>
        <v/>
      </c>
      <c r="CI607" s="34">
        <f>(F607*BX607)-BY607</f>
        <v/>
      </c>
      <c r="CJ607" s="34">
        <f>IF(AY607=0,0,CI607/AY607)</f>
        <v/>
      </c>
    </row>
    <row r="608">
      <c r="A608" s="29">
        <f>[1]FİYATLAR!A583</f>
        <v/>
      </c>
      <c r="B608" s="29">
        <f>[1]FİYATLAR!B607</f>
        <v/>
      </c>
      <c r="C608" s="35">
        <f>INT(A608)</f>
        <v/>
      </c>
      <c r="D608" s="36">
        <f>MONTH(A608)</f>
        <v/>
      </c>
      <c r="E608" s="147">
        <f>[1]FİYATLAR!G583</f>
        <v/>
      </c>
      <c r="F608" s="30">
        <f>[1]FİYATLAR!C583</f>
        <v/>
      </c>
      <c r="G608" s="30">
        <f>[1]FİYATLAR!E583</f>
        <v/>
      </c>
      <c r="H608" s="30">
        <f>[1]FİYATLAR!D583</f>
        <v/>
      </c>
      <c r="I608" s="30">
        <f>[1]FİYATLAR!F583</f>
        <v/>
      </c>
      <c r="J608" s="119" t="n">
        <v>0</v>
      </c>
      <c r="K608" s="34">
        <f>F608*J608</f>
        <v/>
      </c>
      <c r="L608" s="119" t="n"/>
      <c r="M608" s="34">
        <f>L608*F608</f>
        <v/>
      </c>
      <c r="N608" s="119" t="n"/>
      <c r="O608" s="34">
        <f>F608</f>
        <v/>
      </c>
      <c r="P608" s="34">
        <f>N608*O608</f>
        <v/>
      </c>
      <c r="Q608" s="117" t="n">
        <v>0</v>
      </c>
      <c r="R608" s="34">
        <f>F608</f>
        <v/>
      </c>
      <c r="S608" s="34">
        <f>R608*Q608</f>
        <v/>
      </c>
      <c r="T608" s="34">
        <f>SUMIFS('[1]GİP VERİLERİ'!$C:$C,'[1]GİP VERİLERİ'!$B:$B,A608,'[1]GİP VERİLERİ'!$M:$M,"40X000000104782K",'[1]GİP VERİLERİ'!$G:$G,"SELL")</f>
        <v/>
      </c>
      <c r="U608" s="34">
        <f>IFERROR(W608/T608,0)</f>
        <v/>
      </c>
      <c r="V608" s="34">
        <f>IF(U608=0,0,U608-F608)</f>
        <v/>
      </c>
      <c r="W608" s="34">
        <f>SUMIFS('[1]GİP VERİLERİ'!$O:$O,'[1]GİP VERİLERİ'!$B:$B,A608,'[1]GİP VERİLERİ'!$M:$M,"40X000000104782K",'[1]GİP VERİLERİ'!$G:$G,"SELL")</f>
        <v/>
      </c>
      <c r="X608" s="34">
        <f>SUMIFS('[1]GİP VERİLERİ'!$C:$C,'[1]GİP VERİLERİ'!$B:$B,A608,'[1]GİP VERİLERİ'!$M:$M,"40X000000104782K",'[1]GİP VERİLERİ'!$G:$G,"BUY")</f>
        <v/>
      </c>
      <c r="Y608" s="34">
        <f>IFERROR(AA608/X608,0)</f>
        <v/>
      </c>
      <c r="Z608" s="34">
        <f>IF(Y608=0,0,F608-Y608)</f>
        <v/>
      </c>
      <c r="AA608" s="34">
        <f>SUMIFS('[1]GİP VERİLERİ'!$O:$O,'[1]GİP VERİLERİ'!$B:$B,A608,'[1]GİP VERİLERİ'!$M:$M,"40X000000104782K",'[1]GİP VERİLERİ'!$G:$G,"BUY")</f>
        <v/>
      </c>
      <c r="AB608" s="34">
        <f>'[1]GÖP VERİLERİ'!H609</f>
        <v/>
      </c>
      <c r="AC608" s="34">
        <f>'[1]GÖP VERİLERİ'!I609</f>
        <v/>
      </c>
      <c r="AD608" s="34">
        <f>IF(AB608&gt;AC608*1.05,AB608-AC608*1.05,IF(AB608&lt;AC608*0.95,AC608*0.95-AB608,0))</f>
        <v/>
      </c>
      <c r="AE608" s="34">
        <f>MAX(F608,G608,750)*0.05*AD608</f>
        <v/>
      </c>
      <c r="AF608" s="34">
        <f>'[1]GÖP VERİLERİ'!J609</f>
        <v/>
      </c>
      <c r="AG608" s="34">
        <f>IF(AB608&gt;AF608*1.05,AB608-AF608*1.05,IF(AB608&lt;AF608*0.95,AF608*0.95-AB608,0))</f>
        <v/>
      </c>
      <c r="AH608" s="34">
        <f>MAX(I608,J608,750)*0.05*AG608</f>
        <v/>
      </c>
      <c r="AI608">
        <f>'[1]GÖP VERİLERİ'!E609</f>
        <v/>
      </c>
      <c r="AJ608">
        <f>'[1]GÖP VERİLERİ'!F609</f>
        <v/>
      </c>
      <c r="AK608" s="34">
        <f>IF(AI608&gt;AJ608*1.05,AI608-AJ608*1.05,IF(AI608&lt;AJ608*0.95,AJ608*0.95-AI608,0))</f>
        <v/>
      </c>
      <c r="AL608" s="34">
        <f>MAX(F608,G608,750)*0.05*AK608</f>
        <v/>
      </c>
      <c r="AM608" s="39">
        <f>'[1]GÖP VERİLERİ'!G609</f>
        <v/>
      </c>
      <c r="AN608" s="34">
        <f>IF(AI608&gt;AM608*1.05,AI608-AM608*1.05,IF(AI608&lt;AM608*0.95,AM608*0.95-AI608,0))</f>
        <v/>
      </c>
      <c r="AO608" s="34">
        <f>MAX(F608,G608,750)*0.05*AN608</f>
        <v/>
      </c>
      <c r="AP608" s="34">
        <f>'[1]GÖP VERİLERİ'!B609</f>
        <v/>
      </c>
      <c r="AQ608" s="34">
        <f>'[1]GÖP VERİLERİ'!C609</f>
        <v/>
      </c>
      <c r="AR608" s="34">
        <f>IF(AP608&gt;AQ608*1.05,AP608-AQ608*1.05,IF(AP608&lt;AQ608*0.95,AQ608*0.95-AP608,0))</f>
        <v/>
      </c>
      <c r="AS608" s="34">
        <f>MAX(F608:G608,750)*0.05*AR608</f>
        <v/>
      </c>
      <c r="AT608">
        <f>'[1]GÖP VERİLERİ'!D609</f>
        <v/>
      </c>
      <c r="AU608" s="34">
        <f>IF(AP608&gt;AT608*1.05,AP608-AT608*1.05,IF(AP608&lt;AT608*0.95,AT608*0.95-AP608,0))</f>
        <v/>
      </c>
      <c r="AV608" s="34">
        <f>MAX(F608:G608,750)*0.05*AU608</f>
        <v/>
      </c>
      <c r="AW608" s="34">
        <f>AC608+AJ608+AQ608</f>
        <v/>
      </c>
      <c r="AX608" s="34">
        <f>AF608+AM608+AT608</f>
        <v/>
      </c>
      <c r="AY608" s="34">
        <f>AB608+AI608+AP608</f>
        <v/>
      </c>
      <c r="AZ608" s="34" t="n">
        <v>0</v>
      </c>
      <c r="BA608" s="34">
        <f>AD608+AK608+AR608</f>
        <v/>
      </c>
      <c r="BB608" s="34">
        <f>MAX(F608:G608,750)*0.05*BA608</f>
        <v/>
      </c>
      <c r="BC608" s="34">
        <f>AG608+AN608+AU608</f>
        <v/>
      </c>
      <c r="BD608" s="34">
        <f>MAX(F608:G608,750)*0.05*BC608</f>
        <v/>
      </c>
      <c r="BE608" s="34">
        <f>F608*AY608</f>
        <v/>
      </c>
      <c r="BF608" s="34">
        <f>K608-M608</f>
        <v/>
      </c>
      <c r="BG608" s="34">
        <f>P608-S608</f>
        <v/>
      </c>
      <c r="BH608" s="34">
        <f>W608-AA608</f>
        <v/>
      </c>
      <c r="BI608" s="34">
        <f>BF608+BG608+BL608-BN608</f>
        <v/>
      </c>
      <c r="BJ608" s="34">
        <f>ABS(BK608)</f>
        <v/>
      </c>
      <c r="BK608" s="34">
        <f>AY608-(J608-L608+N608-Q608)</f>
        <v/>
      </c>
      <c r="BL608" s="34">
        <f>IF(AND(BK608&gt;0,MIN($F608:$G608)&lt;150,$E608="Enerji Açığı"),-100*BK608*1.03,IF(AND(BK608&gt;0,MIN($F608:$G608)&lt;150,$E608="Enerji Fazlası"),-100*BK608*1.06,IF(AND(BK608&gt;0,MIN($F608:$G608)&gt;=150,$E608="Enerji Açığı"),BK608*MIN($F608:$G608)*0.97,IF(AND(BK608&gt;0,MIN($F608:$G608)&gt;=150,$E608="Enerji Fazlası"),BK608*MIN($F608:$G608)*0.94,IF(AND(BK608&lt;0,MAX($F608:$G608)=4500,$E608="Enerji Açığı"),4500*1.05*1.06*BK608,IF(AND(BK608&lt;0,MAX($F608:$G608)=4500,$E608="Enerji Fazlası"),4500*1.05*1.03*BK608,IF(AND(BK608&lt;0,$E608="Enerji Açığı"),MAX($F608,$G608,150)*BK608*1.06,IF(AND(BK608&lt;0,$E608="Enerji Fazlası"),MAX($F608,$G608,150)*BK608*1.03,IF(AND(BK608&lt;0,$E608="Dengede"),MAX($F608:$G608,150)*1.03*BK608,MIN($F608:$G608)*0.97*BK608)))))))))</f>
        <v/>
      </c>
      <c r="BM608" s="34">
        <f>BE608-BI608-BN608</f>
        <v/>
      </c>
      <c r="BN608" s="34">
        <f>BB608</f>
        <v/>
      </c>
      <c r="BO608" s="34">
        <f>BE608-BI608</f>
        <v/>
      </c>
      <c r="BP608" s="34">
        <f>IF(AY608=0,0,BO608/AY608)</f>
        <v/>
      </c>
      <c r="BQ608" s="34">
        <f>MAX((AY608+MAX((-J608+L608-N608+Q608),0)),(MAX((J608-L608+N608-Q608),0)))</f>
        <v/>
      </c>
      <c r="BR608" s="82">
        <f>IFERROR(ABS(BK608/BQ608),0)</f>
        <v/>
      </c>
      <c r="BS608" s="34">
        <f>IF(BR608&lt;=0.1,0,BK608/BR608*(BR608-0.1))</f>
        <v/>
      </c>
      <c r="BT608" s="34">
        <f>IF((BS608)&lt;0,MAX(F608:G608)*(BS608)*1.03,MIN(F608:G608)*(BS608)*0.97)</f>
        <v/>
      </c>
      <c r="BU608" s="34">
        <f>IF(BR608&gt;0.1,1,0)</f>
        <v/>
      </c>
      <c r="BV608" s="34">
        <f>BF608+BG608+BH608+BY608-CA608</f>
        <v/>
      </c>
      <c r="BW608" s="34">
        <f>ABS(BX608)</f>
        <v/>
      </c>
      <c r="BX608" s="34">
        <f>AY608-(J608-L608+N608-Q608+T608-X608)</f>
        <v/>
      </c>
      <c r="BY608" s="34">
        <f>IF(AND(BX608&gt;0,MIN($F608:$G608)&lt;150,$E608="Enerji Açığı"),-100*BX608*1.03,IF(AND(BX608&gt;0,MIN($F608:$G608)&lt;150,$E608="Enerji Fazlası"),-100*BX608*1.06,IF(AND(BX608&gt;0,MIN($F608:$G608)&gt;=150,$E608="Enerji Açığı"),BX608*MIN($F608:$G608)*0.97,IF(AND(BX608&gt;0,MIN($F608:$G608)&gt;=150,$E608="Enerji Fazlası"),BX608*MIN($F608:$G608)*0.94,IF(AND(BX608&lt;0,MAX($F608:$G608)=4500,$E608="Enerji Açığı"),4500*1.05*1.06*BX608,IF(AND(BX608&lt;0,MAX($F608:$G608)=4500,$E608="Enerji Fazlası"),4500*1.05*1.03*BX608,IF(AND(BX608&lt;0,$E608="Enerji Açığı"),MAX($F608,$G608,150)*BX608*1.06,IF(AND(BX608&lt;0,$E608="Enerji Fazlası"),MAX($F608,$G608,150)*BX608*1.03,IF(AND(BX608&lt;0,$E608="Dengede"),MAX($F608:$G608,150)*1.03*BX608,MIN($F608:$G608)*0.97*BX608)))))))))</f>
        <v/>
      </c>
      <c r="BZ608" s="34">
        <f>BE608-BV608-CA608</f>
        <v/>
      </c>
      <c r="CA608" s="34">
        <f>BD608</f>
        <v/>
      </c>
      <c r="CB608" s="33">
        <f>BE608-BV608</f>
        <v/>
      </c>
      <c r="CC608" s="34">
        <f>IF(AY608=0,0,CB608/AY608)</f>
        <v/>
      </c>
      <c r="CD608" s="34">
        <f>MAX((AY608+MAX((-J608+L608-N608+Q608-T608+X608),0)),(MAX((J608-L608+N608-Q608+T608-X608),0)))</f>
        <v/>
      </c>
      <c r="CE608" s="82">
        <f>IFERROR(ABS(BX608/CD608),0)</f>
        <v/>
      </c>
      <c r="CF608" s="34">
        <f>IF(CE608&lt;=0.1,0,BX608/CE608*(CE608-0.1))</f>
        <v/>
      </c>
      <c r="CG608" s="34">
        <f>IF((CF608)&lt;0,MAX(F608:G608)*(CF608)*1.03,MIN(F608:G608)*(CF608)*0.97)</f>
        <v/>
      </c>
      <c r="CH608" s="34">
        <f>IF(CE608&gt;0.1,1,0)</f>
        <v/>
      </c>
      <c r="CI608" s="34">
        <f>(F608*BX608)-BY608</f>
        <v/>
      </c>
      <c r="CJ608" s="34">
        <f>IF(AY608=0,0,CI608/AY608)</f>
        <v/>
      </c>
    </row>
    <row r="609">
      <c r="A609" s="29">
        <f>[1]FİYATLAR!A584</f>
        <v/>
      </c>
      <c r="B609" s="29">
        <f>[1]FİYATLAR!B608</f>
        <v/>
      </c>
      <c r="C609" s="35">
        <f>INT(A609)</f>
        <v/>
      </c>
      <c r="D609" s="36">
        <f>MONTH(A609)</f>
        <v/>
      </c>
      <c r="E609" s="147">
        <f>[1]FİYATLAR!G584</f>
        <v/>
      </c>
      <c r="F609" s="30">
        <f>[1]FİYATLAR!C584</f>
        <v/>
      </c>
      <c r="G609" s="30">
        <f>[1]FİYATLAR!E584</f>
        <v/>
      </c>
      <c r="H609" s="30">
        <f>[1]FİYATLAR!D584</f>
        <v/>
      </c>
      <c r="I609" s="30">
        <f>[1]FİYATLAR!F584</f>
        <v/>
      </c>
      <c r="J609" s="119" t="n">
        <v>0</v>
      </c>
      <c r="K609" s="34">
        <f>F609*J609</f>
        <v/>
      </c>
      <c r="L609" s="119" t="n"/>
      <c r="M609" s="34">
        <f>L609*F609</f>
        <v/>
      </c>
      <c r="N609" s="119" t="n"/>
      <c r="O609" s="34">
        <f>F609</f>
        <v/>
      </c>
      <c r="P609" s="34">
        <f>N609*O609</f>
        <v/>
      </c>
      <c r="Q609" s="117" t="n">
        <v>0</v>
      </c>
      <c r="R609" s="34">
        <f>F609</f>
        <v/>
      </c>
      <c r="S609" s="34">
        <f>R609*Q609</f>
        <v/>
      </c>
      <c r="T609" s="34">
        <f>SUMIFS('[1]GİP VERİLERİ'!$C:$C,'[1]GİP VERİLERİ'!$B:$B,A609,'[1]GİP VERİLERİ'!$M:$M,"40X000000104782K",'[1]GİP VERİLERİ'!$G:$G,"SELL")</f>
        <v/>
      </c>
      <c r="U609" s="34">
        <f>IFERROR(W609/T609,0)</f>
        <v/>
      </c>
      <c r="V609" s="34">
        <f>IF(U609=0,0,U609-F609)</f>
        <v/>
      </c>
      <c r="W609" s="34">
        <f>SUMIFS('[1]GİP VERİLERİ'!$O:$O,'[1]GİP VERİLERİ'!$B:$B,A609,'[1]GİP VERİLERİ'!$M:$M,"40X000000104782K",'[1]GİP VERİLERİ'!$G:$G,"SELL")</f>
        <v/>
      </c>
      <c r="X609" s="34">
        <f>SUMIFS('[1]GİP VERİLERİ'!$C:$C,'[1]GİP VERİLERİ'!$B:$B,A609,'[1]GİP VERİLERİ'!$M:$M,"40X000000104782K",'[1]GİP VERİLERİ'!$G:$G,"BUY")</f>
        <v/>
      </c>
      <c r="Y609" s="34">
        <f>IFERROR(AA609/X609,0)</f>
        <v/>
      </c>
      <c r="Z609" s="34">
        <f>IF(Y609=0,0,F609-Y609)</f>
        <v/>
      </c>
      <c r="AA609" s="34">
        <f>SUMIFS('[1]GİP VERİLERİ'!$O:$O,'[1]GİP VERİLERİ'!$B:$B,A609,'[1]GİP VERİLERİ'!$M:$M,"40X000000104782K",'[1]GİP VERİLERİ'!$G:$G,"BUY")</f>
        <v/>
      </c>
      <c r="AB609" s="34">
        <f>'[1]GÖP VERİLERİ'!H610</f>
        <v/>
      </c>
      <c r="AC609" s="34">
        <f>'[1]GÖP VERİLERİ'!I610</f>
        <v/>
      </c>
      <c r="AD609" s="34">
        <f>IF(AB609&gt;AC609*1.05,AB609-AC609*1.05,IF(AB609&lt;AC609*0.95,AC609*0.95-AB609,0))</f>
        <v/>
      </c>
      <c r="AE609" s="34">
        <f>MAX(F609,G609,750)*0.05*AD609</f>
        <v/>
      </c>
      <c r="AF609" s="34">
        <f>'[1]GÖP VERİLERİ'!J610</f>
        <v/>
      </c>
      <c r="AG609" s="34">
        <f>IF(AB609&gt;AF609*1.05,AB609-AF609*1.05,IF(AB609&lt;AF609*0.95,AF609*0.95-AB609,0))</f>
        <v/>
      </c>
      <c r="AH609" s="34">
        <f>MAX(I609,J609,750)*0.05*AG609</f>
        <v/>
      </c>
      <c r="AI609">
        <f>'[1]GÖP VERİLERİ'!E610</f>
        <v/>
      </c>
      <c r="AJ609">
        <f>'[1]GÖP VERİLERİ'!F610</f>
        <v/>
      </c>
      <c r="AK609" s="34">
        <f>IF(AI609&gt;AJ609*1.05,AI609-AJ609*1.05,IF(AI609&lt;AJ609*0.95,AJ609*0.95-AI609,0))</f>
        <v/>
      </c>
      <c r="AL609" s="34">
        <f>MAX(F609,G609,750)*0.05*AK609</f>
        <v/>
      </c>
      <c r="AM609" s="39">
        <f>'[1]GÖP VERİLERİ'!G610</f>
        <v/>
      </c>
      <c r="AN609" s="34">
        <f>IF(AI609&gt;AM609*1.05,AI609-AM609*1.05,IF(AI609&lt;AM609*0.95,AM609*0.95-AI609,0))</f>
        <v/>
      </c>
      <c r="AO609" s="34">
        <f>MAX(F609,G609,750)*0.05*AN609</f>
        <v/>
      </c>
      <c r="AP609" s="34">
        <f>'[1]GÖP VERİLERİ'!B610</f>
        <v/>
      </c>
      <c r="AQ609" s="34">
        <f>'[1]GÖP VERİLERİ'!C610</f>
        <v/>
      </c>
      <c r="AR609" s="34">
        <f>IF(AP609&gt;AQ609*1.05,AP609-AQ609*1.05,IF(AP609&lt;AQ609*0.95,AQ609*0.95-AP609,0))</f>
        <v/>
      </c>
      <c r="AS609" s="34">
        <f>MAX(F609:G609,750)*0.05*AR609</f>
        <v/>
      </c>
      <c r="AT609">
        <f>'[1]GÖP VERİLERİ'!D610</f>
        <v/>
      </c>
      <c r="AU609" s="34">
        <f>IF(AP609&gt;AT609*1.05,AP609-AT609*1.05,IF(AP609&lt;AT609*0.95,AT609*0.95-AP609,0))</f>
        <v/>
      </c>
      <c r="AV609" s="34">
        <f>MAX(F609:G609,750)*0.05*AU609</f>
        <v/>
      </c>
      <c r="AW609" s="34">
        <f>AC609+AJ609+AQ609</f>
        <v/>
      </c>
      <c r="AX609" s="34">
        <f>AF609+AM609+AT609</f>
        <v/>
      </c>
      <c r="AY609" s="34">
        <f>AB609+AI609+AP609</f>
        <v/>
      </c>
      <c r="AZ609" s="34" t="n">
        <v>0</v>
      </c>
      <c r="BA609" s="34">
        <f>AD609+AK609+AR609</f>
        <v/>
      </c>
      <c r="BB609" s="34">
        <f>MAX(F609:G609,750)*0.05*BA609</f>
        <v/>
      </c>
      <c r="BC609" s="34">
        <f>AG609+AN609+AU609</f>
        <v/>
      </c>
      <c r="BD609" s="34">
        <f>MAX(F609:G609,750)*0.05*BC609</f>
        <v/>
      </c>
      <c r="BE609" s="34">
        <f>F609*AY609</f>
        <v/>
      </c>
      <c r="BF609" s="34">
        <f>K609-M609</f>
        <v/>
      </c>
      <c r="BG609" s="34">
        <f>P609-S609</f>
        <v/>
      </c>
      <c r="BH609" s="34">
        <f>W609-AA609</f>
        <v/>
      </c>
      <c r="BI609" s="34">
        <f>BF609+BG609+BL609-BN609</f>
        <v/>
      </c>
      <c r="BJ609" s="34">
        <f>ABS(BK609)</f>
        <v/>
      </c>
      <c r="BK609" s="34">
        <f>AY609-(J609-L609+N609-Q609)</f>
        <v/>
      </c>
      <c r="BL609" s="34">
        <f>IF(AND(BK609&gt;0,MIN($F609:$G609)&lt;150,$E609="Enerji Açığı"),-100*BK609*1.03,IF(AND(BK609&gt;0,MIN($F609:$G609)&lt;150,$E609="Enerji Fazlası"),-100*BK609*1.06,IF(AND(BK609&gt;0,MIN($F609:$G609)&gt;=150,$E609="Enerji Açığı"),BK609*MIN($F609:$G609)*0.97,IF(AND(BK609&gt;0,MIN($F609:$G609)&gt;=150,$E609="Enerji Fazlası"),BK609*MIN($F609:$G609)*0.94,IF(AND(BK609&lt;0,MAX($F609:$G609)=4500,$E609="Enerji Açığı"),4500*1.05*1.06*BK609,IF(AND(BK609&lt;0,MAX($F609:$G609)=4500,$E609="Enerji Fazlası"),4500*1.05*1.03*BK609,IF(AND(BK609&lt;0,$E609="Enerji Açığı"),MAX($F609,$G609,150)*BK609*1.06,IF(AND(BK609&lt;0,$E609="Enerji Fazlası"),MAX($F609,$G609,150)*BK609*1.03,IF(AND(BK609&lt;0,$E609="Dengede"),MAX($F609:$G609,150)*1.03*BK609,MIN($F609:$G609)*0.97*BK609)))))))))</f>
        <v/>
      </c>
      <c r="BM609" s="34">
        <f>BE609-BI609-BN609</f>
        <v/>
      </c>
      <c r="BN609" s="34">
        <f>BB609</f>
        <v/>
      </c>
      <c r="BO609" s="34">
        <f>BE609-BI609</f>
        <v/>
      </c>
      <c r="BP609" s="34">
        <f>IF(AY609=0,0,BO609/AY609)</f>
        <v/>
      </c>
      <c r="BQ609" s="34">
        <f>MAX((AY609+MAX((-J609+L609-N609+Q609),0)),(MAX((J609-L609+N609-Q609),0)))</f>
        <v/>
      </c>
      <c r="BR609" s="82">
        <f>IFERROR(ABS(BK609/BQ609),0)</f>
        <v/>
      </c>
      <c r="BS609" s="34">
        <f>IF(BR609&lt;=0.1,0,BK609/BR609*(BR609-0.1))</f>
        <v/>
      </c>
      <c r="BT609" s="34">
        <f>IF((BS609)&lt;0,MAX(F609:G609)*(BS609)*1.03,MIN(F609:G609)*(BS609)*0.97)</f>
        <v/>
      </c>
      <c r="BU609" s="34">
        <f>IF(BR609&gt;0.1,1,0)</f>
        <v/>
      </c>
      <c r="BV609" s="34">
        <f>BF609+BG609+BH609+BY609-CA609</f>
        <v/>
      </c>
      <c r="BW609" s="34">
        <f>ABS(BX609)</f>
        <v/>
      </c>
      <c r="BX609" s="34">
        <f>AY609-(J609-L609+N609-Q609+T609-X609)</f>
        <v/>
      </c>
      <c r="BY609" s="34">
        <f>IF(AND(BX609&gt;0,MIN($F609:$G609)&lt;150,$E609="Enerji Açığı"),-100*BX609*1.03,IF(AND(BX609&gt;0,MIN($F609:$G609)&lt;150,$E609="Enerji Fazlası"),-100*BX609*1.06,IF(AND(BX609&gt;0,MIN($F609:$G609)&gt;=150,$E609="Enerji Açığı"),BX609*MIN($F609:$G609)*0.97,IF(AND(BX609&gt;0,MIN($F609:$G609)&gt;=150,$E609="Enerji Fazlası"),BX609*MIN($F609:$G609)*0.94,IF(AND(BX609&lt;0,MAX($F609:$G609)=4500,$E609="Enerji Açığı"),4500*1.05*1.06*BX609,IF(AND(BX609&lt;0,MAX($F609:$G609)=4500,$E609="Enerji Fazlası"),4500*1.05*1.03*BX609,IF(AND(BX609&lt;0,$E609="Enerji Açığı"),MAX($F609,$G609,150)*BX609*1.06,IF(AND(BX609&lt;0,$E609="Enerji Fazlası"),MAX($F609,$G609,150)*BX609*1.03,IF(AND(BX609&lt;0,$E609="Dengede"),MAX($F609:$G609,150)*1.03*BX609,MIN($F609:$G609)*0.97*BX609)))))))))</f>
        <v/>
      </c>
      <c r="BZ609" s="34">
        <f>BE609-BV609-CA609</f>
        <v/>
      </c>
      <c r="CA609" s="34">
        <f>BD609</f>
        <v/>
      </c>
      <c r="CB609" s="33">
        <f>BE609-BV609</f>
        <v/>
      </c>
      <c r="CC609" s="34">
        <f>IF(AY609=0,0,CB609/AY609)</f>
        <v/>
      </c>
      <c r="CD609" s="34">
        <f>MAX((AY609+MAX((-J609+L609-N609+Q609-T609+X609),0)),(MAX((J609-L609+N609-Q609+T609-X609),0)))</f>
        <v/>
      </c>
      <c r="CE609" s="82">
        <f>IFERROR(ABS(BX609/CD609),0)</f>
        <v/>
      </c>
      <c r="CF609" s="34">
        <f>IF(CE609&lt;=0.1,0,BX609/CE609*(CE609-0.1))</f>
        <v/>
      </c>
      <c r="CG609" s="34">
        <f>IF((CF609)&lt;0,MAX(F609:G609)*(CF609)*1.03,MIN(F609:G609)*(CF609)*0.97)</f>
        <v/>
      </c>
      <c r="CH609" s="34">
        <f>IF(CE609&gt;0.1,1,0)</f>
        <v/>
      </c>
      <c r="CI609" s="34">
        <f>(F609*BX609)-BY609</f>
        <v/>
      </c>
      <c r="CJ609" s="34">
        <f>IF(AY609=0,0,CI609/AY609)</f>
        <v/>
      </c>
    </row>
    <row r="610">
      <c r="A610" s="29">
        <f>[1]FİYATLAR!A585</f>
        <v/>
      </c>
      <c r="B610" s="29">
        <f>[1]FİYATLAR!B609</f>
        <v/>
      </c>
      <c r="C610" s="35">
        <f>INT(A610)</f>
        <v/>
      </c>
      <c r="D610" s="36">
        <f>MONTH(A610)</f>
        <v/>
      </c>
      <c r="E610" s="147">
        <f>[1]FİYATLAR!G585</f>
        <v/>
      </c>
      <c r="F610" s="30">
        <f>[1]FİYATLAR!C585</f>
        <v/>
      </c>
      <c r="G610" s="30">
        <f>[1]FİYATLAR!E585</f>
        <v/>
      </c>
      <c r="H610" s="30">
        <f>[1]FİYATLAR!D585</f>
        <v/>
      </c>
      <c r="I610" s="30">
        <f>[1]FİYATLAR!F585</f>
        <v/>
      </c>
      <c r="J610" s="119" t="n">
        <v>0</v>
      </c>
      <c r="K610" s="34">
        <f>F610*J610</f>
        <v/>
      </c>
      <c r="L610" s="119" t="n"/>
      <c r="M610" s="34">
        <f>L610*F610</f>
        <v/>
      </c>
      <c r="N610" s="119" t="n"/>
      <c r="O610" s="34">
        <f>F610</f>
        <v/>
      </c>
      <c r="P610" s="34">
        <f>N610*O610</f>
        <v/>
      </c>
      <c r="Q610" s="117" t="n">
        <v>0</v>
      </c>
      <c r="R610" s="34">
        <f>F610</f>
        <v/>
      </c>
      <c r="S610" s="34">
        <f>R610*Q610</f>
        <v/>
      </c>
      <c r="T610" s="34">
        <f>SUMIFS('[1]GİP VERİLERİ'!$C:$C,'[1]GİP VERİLERİ'!$B:$B,A610,'[1]GİP VERİLERİ'!$M:$M,"40X000000104782K",'[1]GİP VERİLERİ'!$G:$G,"SELL")</f>
        <v/>
      </c>
      <c r="U610" s="34">
        <f>IFERROR(W610/T610,0)</f>
        <v/>
      </c>
      <c r="V610" s="34">
        <f>IF(U610=0,0,U610-F610)</f>
        <v/>
      </c>
      <c r="W610" s="34">
        <f>SUMIFS('[1]GİP VERİLERİ'!$O:$O,'[1]GİP VERİLERİ'!$B:$B,A610,'[1]GİP VERİLERİ'!$M:$M,"40X000000104782K",'[1]GİP VERİLERİ'!$G:$G,"SELL")</f>
        <v/>
      </c>
      <c r="X610" s="34">
        <f>SUMIFS('[1]GİP VERİLERİ'!$C:$C,'[1]GİP VERİLERİ'!$B:$B,A610,'[1]GİP VERİLERİ'!$M:$M,"40X000000104782K",'[1]GİP VERİLERİ'!$G:$G,"BUY")</f>
        <v/>
      </c>
      <c r="Y610" s="34">
        <f>IFERROR(AA610/X610,0)</f>
        <v/>
      </c>
      <c r="Z610" s="34">
        <f>IF(Y610=0,0,F610-Y610)</f>
        <v/>
      </c>
      <c r="AA610" s="34">
        <f>SUMIFS('[1]GİP VERİLERİ'!$O:$O,'[1]GİP VERİLERİ'!$B:$B,A610,'[1]GİP VERİLERİ'!$M:$M,"40X000000104782K",'[1]GİP VERİLERİ'!$G:$G,"BUY")</f>
        <v/>
      </c>
      <c r="AB610" s="34">
        <f>'[1]GÖP VERİLERİ'!H611</f>
        <v/>
      </c>
      <c r="AC610" s="34">
        <f>'[1]GÖP VERİLERİ'!I611</f>
        <v/>
      </c>
      <c r="AD610" s="34">
        <f>IF(AB610&gt;AC610*1.05,AB610-AC610*1.05,IF(AB610&lt;AC610*0.95,AC610*0.95-AB610,0))</f>
        <v/>
      </c>
      <c r="AE610" s="34">
        <f>MAX(F610,G610,750)*0.05*AD610</f>
        <v/>
      </c>
      <c r="AF610" s="34">
        <f>'[1]GÖP VERİLERİ'!J611</f>
        <v/>
      </c>
      <c r="AG610" s="34">
        <f>IF(AB610&gt;AF610*1.05,AB610-AF610*1.05,IF(AB610&lt;AF610*0.95,AF610*0.95-AB610,0))</f>
        <v/>
      </c>
      <c r="AH610" s="34">
        <f>MAX(I610,J610,750)*0.05*AG610</f>
        <v/>
      </c>
      <c r="AI610">
        <f>'[1]GÖP VERİLERİ'!E611</f>
        <v/>
      </c>
      <c r="AJ610">
        <f>'[1]GÖP VERİLERİ'!F611</f>
        <v/>
      </c>
      <c r="AK610" s="34">
        <f>IF(AI610&gt;AJ610*1.05,AI610-AJ610*1.05,IF(AI610&lt;AJ610*0.95,AJ610*0.95-AI610,0))</f>
        <v/>
      </c>
      <c r="AL610" s="34">
        <f>MAX(F610,G610,750)*0.05*AK610</f>
        <v/>
      </c>
      <c r="AM610" s="39">
        <f>'[1]GÖP VERİLERİ'!G611</f>
        <v/>
      </c>
      <c r="AN610" s="34">
        <f>IF(AI610&gt;AM610*1.05,AI610-AM610*1.05,IF(AI610&lt;AM610*0.95,AM610*0.95-AI610,0))</f>
        <v/>
      </c>
      <c r="AO610" s="34">
        <f>MAX(F610,G610,750)*0.05*AN610</f>
        <v/>
      </c>
      <c r="AP610" s="34">
        <f>'[1]GÖP VERİLERİ'!B611</f>
        <v/>
      </c>
      <c r="AQ610" s="34">
        <f>'[1]GÖP VERİLERİ'!C611</f>
        <v/>
      </c>
      <c r="AR610" s="34">
        <f>IF(AP610&gt;AQ610*1.05,AP610-AQ610*1.05,IF(AP610&lt;AQ610*0.95,AQ610*0.95-AP610,0))</f>
        <v/>
      </c>
      <c r="AS610" s="34">
        <f>MAX(F610:G610,750)*0.05*AR610</f>
        <v/>
      </c>
      <c r="AT610">
        <f>'[1]GÖP VERİLERİ'!D611</f>
        <v/>
      </c>
      <c r="AU610" s="34">
        <f>IF(AP610&gt;AT610*1.05,AP610-AT610*1.05,IF(AP610&lt;AT610*0.95,AT610*0.95-AP610,0))</f>
        <v/>
      </c>
      <c r="AV610" s="34">
        <f>MAX(F610:G610,750)*0.05*AU610</f>
        <v/>
      </c>
      <c r="AW610" s="34">
        <f>AC610+AJ610+AQ610</f>
        <v/>
      </c>
      <c r="AX610" s="34">
        <f>AF610+AM610+AT610</f>
        <v/>
      </c>
      <c r="AY610" s="34">
        <f>AB610+AI610+AP610</f>
        <v/>
      </c>
      <c r="AZ610" s="34" t="n">
        <v>0</v>
      </c>
      <c r="BA610" s="34">
        <f>AD610+AK610+AR610</f>
        <v/>
      </c>
      <c r="BB610" s="34">
        <f>MAX(F610:G610,750)*0.05*BA610</f>
        <v/>
      </c>
      <c r="BC610" s="34">
        <f>AG610+AN610+AU610</f>
        <v/>
      </c>
      <c r="BD610" s="34">
        <f>MAX(F610:G610,750)*0.05*BC610</f>
        <v/>
      </c>
      <c r="BE610" s="34">
        <f>F610*AY610</f>
        <v/>
      </c>
      <c r="BF610" s="34">
        <f>K610-M610</f>
        <v/>
      </c>
      <c r="BG610" s="34">
        <f>P610-S610</f>
        <v/>
      </c>
      <c r="BH610" s="34">
        <f>W610-AA610</f>
        <v/>
      </c>
      <c r="BI610" s="34">
        <f>BF610+BG610+BL610-BN610</f>
        <v/>
      </c>
      <c r="BJ610" s="34">
        <f>ABS(BK610)</f>
        <v/>
      </c>
      <c r="BK610" s="34">
        <f>AY610-(J610-L610+N610-Q610)</f>
        <v/>
      </c>
      <c r="BL610" s="34">
        <f>IF(AND(BK610&gt;0,MIN($F610:$G610)&lt;150,$E610="Enerji Açığı"),-100*BK610*1.03,IF(AND(BK610&gt;0,MIN($F610:$G610)&lt;150,$E610="Enerji Fazlası"),-100*BK610*1.06,IF(AND(BK610&gt;0,MIN($F610:$G610)&gt;=150,$E610="Enerji Açığı"),BK610*MIN($F610:$G610)*0.97,IF(AND(BK610&gt;0,MIN($F610:$G610)&gt;=150,$E610="Enerji Fazlası"),BK610*MIN($F610:$G610)*0.94,IF(AND(BK610&lt;0,MAX($F610:$G610)=4500,$E610="Enerji Açığı"),4500*1.05*1.06*BK610,IF(AND(BK610&lt;0,MAX($F610:$G610)=4500,$E610="Enerji Fazlası"),4500*1.05*1.03*BK610,IF(AND(BK610&lt;0,$E610="Enerji Açığı"),MAX($F610,$G610,150)*BK610*1.06,IF(AND(BK610&lt;0,$E610="Enerji Fazlası"),MAX($F610,$G610,150)*BK610*1.03,IF(AND(BK610&lt;0,$E610="Dengede"),MAX($F610:$G610,150)*1.03*BK610,MIN($F610:$G610)*0.97*BK610)))))))))</f>
        <v/>
      </c>
      <c r="BM610" s="34">
        <f>BE610-BI610-BN610</f>
        <v/>
      </c>
      <c r="BN610" s="34">
        <f>BB610</f>
        <v/>
      </c>
      <c r="BO610" s="34">
        <f>BE610-BI610</f>
        <v/>
      </c>
      <c r="BP610" s="34">
        <f>IF(AY610=0,0,BO610/AY610)</f>
        <v/>
      </c>
      <c r="BQ610" s="34">
        <f>MAX((AY610+MAX((-J610+L610-N610+Q610),0)),(MAX((J610-L610+N610-Q610),0)))</f>
        <v/>
      </c>
      <c r="BR610" s="82">
        <f>IFERROR(ABS(BK610/BQ610),0)</f>
        <v/>
      </c>
      <c r="BS610" s="34">
        <f>IF(BR610&lt;=0.1,0,BK610/BR610*(BR610-0.1))</f>
        <v/>
      </c>
      <c r="BT610" s="34">
        <f>IF((BS610)&lt;0,MAX(F610:G610)*(BS610)*1.03,MIN(F610:G610)*(BS610)*0.97)</f>
        <v/>
      </c>
      <c r="BU610" s="34">
        <f>IF(BR610&gt;0.1,1,0)</f>
        <v/>
      </c>
      <c r="BV610" s="34">
        <f>BF610+BG610+BH610+BY610-CA610</f>
        <v/>
      </c>
      <c r="BW610" s="34">
        <f>ABS(BX610)</f>
        <v/>
      </c>
      <c r="BX610" s="34">
        <f>AY610-(J610-L610+N610-Q610+T610-X610)</f>
        <v/>
      </c>
      <c r="BY610" s="34">
        <f>IF(AND(BX610&gt;0,MIN($F610:$G610)&lt;150,$E610="Enerji Açığı"),-100*BX610*1.03,IF(AND(BX610&gt;0,MIN($F610:$G610)&lt;150,$E610="Enerji Fazlası"),-100*BX610*1.06,IF(AND(BX610&gt;0,MIN($F610:$G610)&gt;=150,$E610="Enerji Açığı"),BX610*MIN($F610:$G610)*0.97,IF(AND(BX610&gt;0,MIN($F610:$G610)&gt;=150,$E610="Enerji Fazlası"),BX610*MIN($F610:$G610)*0.94,IF(AND(BX610&lt;0,MAX($F610:$G610)=4500,$E610="Enerji Açığı"),4500*1.05*1.06*BX610,IF(AND(BX610&lt;0,MAX($F610:$G610)=4500,$E610="Enerji Fazlası"),4500*1.05*1.03*BX610,IF(AND(BX610&lt;0,$E610="Enerji Açığı"),MAX($F610,$G610,150)*BX610*1.06,IF(AND(BX610&lt;0,$E610="Enerji Fazlası"),MAX($F610,$G610,150)*BX610*1.03,IF(AND(BX610&lt;0,$E610="Dengede"),MAX($F610:$G610,150)*1.03*BX610,MIN($F610:$G610)*0.97*BX610)))))))))</f>
        <v/>
      </c>
      <c r="BZ610" s="34">
        <f>BE610-BV610-CA610</f>
        <v/>
      </c>
      <c r="CA610" s="34">
        <f>BD610</f>
        <v/>
      </c>
      <c r="CB610" s="33">
        <f>BE610-BV610</f>
        <v/>
      </c>
      <c r="CC610" s="34">
        <f>IF(AY610=0,0,CB610/AY610)</f>
        <v/>
      </c>
      <c r="CD610" s="34">
        <f>MAX((AY610+MAX((-J610+L610-N610+Q610-T610+X610),0)),(MAX((J610-L610+N610-Q610+T610-X610),0)))</f>
        <v/>
      </c>
      <c r="CE610" s="82">
        <f>IFERROR(ABS(BX610/CD610),0)</f>
        <v/>
      </c>
      <c r="CF610" s="34">
        <f>IF(CE610&lt;=0.1,0,BX610/CE610*(CE610-0.1))</f>
        <v/>
      </c>
      <c r="CG610" s="34">
        <f>IF((CF610)&lt;0,MAX(F610:G610)*(CF610)*1.03,MIN(F610:G610)*(CF610)*0.97)</f>
        <v/>
      </c>
      <c r="CH610" s="34">
        <f>IF(CE610&gt;0.1,1,0)</f>
        <v/>
      </c>
      <c r="CI610" s="34">
        <f>(F610*BX610)-BY610</f>
        <v/>
      </c>
      <c r="CJ610" s="34">
        <f>IF(AY610=0,0,CI610/AY610)</f>
        <v/>
      </c>
    </row>
    <row r="611">
      <c r="A611" s="29">
        <f>[1]FİYATLAR!A586</f>
        <v/>
      </c>
      <c r="B611" s="29">
        <f>[1]FİYATLAR!B610</f>
        <v/>
      </c>
      <c r="C611" s="35">
        <f>INT(A611)</f>
        <v/>
      </c>
      <c r="D611" s="36">
        <f>MONTH(A611)</f>
        <v/>
      </c>
      <c r="E611" s="147">
        <f>[1]FİYATLAR!G586</f>
        <v/>
      </c>
      <c r="F611" s="30">
        <f>[1]FİYATLAR!C586</f>
        <v/>
      </c>
      <c r="G611" s="30">
        <f>[1]FİYATLAR!E586</f>
        <v/>
      </c>
      <c r="H611" s="30">
        <f>[1]FİYATLAR!D586</f>
        <v/>
      </c>
      <c r="I611" s="30">
        <f>[1]FİYATLAR!F586</f>
        <v/>
      </c>
      <c r="J611" s="119" t="n">
        <v>0</v>
      </c>
      <c r="K611" s="34">
        <f>F611*J611</f>
        <v/>
      </c>
      <c r="L611" s="119" t="n"/>
      <c r="M611" s="34">
        <f>L611*F611</f>
        <v/>
      </c>
      <c r="N611" s="119" t="n"/>
      <c r="O611" s="34">
        <f>F611</f>
        <v/>
      </c>
      <c r="P611" s="34">
        <f>N611*O611</f>
        <v/>
      </c>
      <c r="Q611" s="117" t="n">
        <v>0</v>
      </c>
      <c r="R611" s="34">
        <f>F611</f>
        <v/>
      </c>
      <c r="S611" s="34">
        <f>R611*Q611</f>
        <v/>
      </c>
      <c r="T611" s="34">
        <f>SUMIFS('[1]GİP VERİLERİ'!$C:$C,'[1]GİP VERİLERİ'!$B:$B,A611,'[1]GİP VERİLERİ'!$M:$M,"40X000000104782K",'[1]GİP VERİLERİ'!$G:$G,"SELL")</f>
        <v/>
      </c>
      <c r="U611" s="34">
        <f>IFERROR(W611/T611,0)</f>
        <v/>
      </c>
      <c r="V611" s="34">
        <f>IF(U611=0,0,U611-F611)</f>
        <v/>
      </c>
      <c r="W611" s="34">
        <f>SUMIFS('[1]GİP VERİLERİ'!$O:$O,'[1]GİP VERİLERİ'!$B:$B,A611,'[1]GİP VERİLERİ'!$M:$M,"40X000000104782K",'[1]GİP VERİLERİ'!$G:$G,"SELL")</f>
        <v/>
      </c>
      <c r="X611" s="34">
        <f>SUMIFS('[1]GİP VERİLERİ'!$C:$C,'[1]GİP VERİLERİ'!$B:$B,A611,'[1]GİP VERİLERİ'!$M:$M,"40X000000104782K",'[1]GİP VERİLERİ'!$G:$G,"BUY")</f>
        <v/>
      </c>
      <c r="Y611" s="34">
        <f>IFERROR(AA611/X611,0)</f>
        <v/>
      </c>
      <c r="Z611" s="34">
        <f>IF(Y611=0,0,F611-Y611)</f>
        <v/>
      </c>
      <c r="AA611" s="34">
        <f>SUMIFS('[1]GİP VERİLERİ'!$O:$O,'[1]GİP VERİLERİ'!$B:$B,A611,'[1]GİP VERİLERİ'!$M:$M,"40X000000104782K",'[1]GİP VERİLERİ'!$G:$G,"BUY")</f>
        <v/>
      </c>
      <c r="AB611" s="34">
        <f>'[1]GÖP VERİLERİ'!H612</f>
        <v/>
      </c>
      <c r="AC611" s="34">
        <f>'[1]GÖP VERİLERİ'!I612</f>
        <v/>
      </c>
      <c r="AD611" s="34">
        <f>IF(AB611&gt;AC611*1.05,AB611-AC611*1.05,IF(AB611&lt;AC611*0.95,AC611*0.95-AB611,0))</f>
        <v/>
      </c>
      <c r="AE611" s="34">
        <f>MAX(F611,G611,750)*0.05*AD611</f>
        <v/>
      </c>
      <c r="AF611" s="34">
        <f>'[1]GÖP VERİLERİ'!J612</f>
        <v/>
      </c>
      <c r="AG611" s="34">
        <f>IF(AB611&gt;AF611*1.05,AB611-AF611*1.05,IF(AB611&lt;AF611*0.95,AF611*0.95-AB611,0))</f>
        <v/>
      </c>
      <c r="AH611" s="34">
        <f>MAX(I611,J611,750)*0.05*AG611</f>
        <v/>
      </c>
      <c r="AI611">
        <f>'[1]GÖP VERİLERİ'!E612</f>
        <v/>
      </c>
      <c r="AJ611">
        <f>'[1]GÖP VERİLERİ'!F612</f>
        <v/>
      </c>
      <c r="AK611" s="34">
        <f>IF(AI611&gt;AJ611*1.05,AI611-AJ611*1.05,IF(AI611&lt;AJ611*0.95,AJ611*0.95-AI611,0))</f>
        <v/>
      </c>
      <c r="AL611" s="34">
        <f>MAX(F611,G611,750)*0.05*AK611</f>
        <v/>
      </c>
      <c r="AM611" s="39">
        <f>'[1]GÖP VERİLERİ'!G612</f>
        <v/>
      </c>
      <c r="AN611" s="34">
        <f>IF(AI611&gt;AM611*1.05,AI611-AM611*1.05,IF(AI611&lt;AM611*0.95,AM611*0.95-AI611,0))</f>
        <v/>
      </c>
      <c r="AO611" s="34">
        <f>MAX(F611,G611,750)*0.05*AN611</f>
        <v/>
      </c>
      <c r="AP611" s="34">
        <f>'[1]GÖP VERİLERİ'!B612</f>
        <v/>
      </c>
      <c r="AQ611" s="34">
        <f>'[1]GÖP VERİLERİ'!C612</f>
        <v/>
      </c>
      <c r="AR611" s="34">
        <f>IF(AP611&gt;AQ611*1.05,AP611-AQ611*1.05,IF(AP611&lt;AQ611*0.95,AQ611*0.95-AP611,0))</f>
        <v/>
      </c>
      <c r="AS611" s="34">
        <f>MAX(F611:G611,750)*0.05*AR611</f>
        <v/>
      </c>
      <c r="AT611">
        <f>'[1]GÖP VERİLERİ'!D612</f>
        <v/>
      </c>
      <c r="AU611" s="34">
        <f>IF(AP611&gt;AT611*1.05,AP611-AT611*1.05,IF(AP611&lt;AT611*0.95,AT611*0.95-AP611,0))</f>
        <v/>
      </c>
      <c r="AV611" s="34">
        <f>MAX(F611:G611,750)*0.05*AU611</f>
        <v/>
      </c>
      <c r="AW611" s="34">
        <f>AC611+AJ611+AQ611</f>
        <v/>
      </c>
      <c r="AX611" s="34">
        <f>AF611+AM611+AT611</f>
        <v/>
      </c>
      <c r="AY611" s="34">
        <f>AB611+AI611+AP611</f>
        <v/>
      </c>
      <c r="AZ611" s="34" t="n">
        <v>0</v>
      </c>
      <c r="BA611" s="34">
        <f>AD611+AK611+AR611</f>
        <v/>
      </c>
      <c r="BB611" s="34">
        <f>MAX(F611:G611,750)*0.05*BA611</f>
        <v/>
      </c>
      <c r="BC611" s="34">
        <f>AG611+AN611+AU611</f>
        <v/>
      </c>
      <c r="BD611" s="34">
        <f>MAX(F611:G611,750)*0.05*BC611</f>
        <v/>
      </c>
      <c r="BE611" s="34">
        <f>F611*AY611</f>
        <v/>
      </c>
      <c r="BF611" s="34">
        <f>K611-M611</f>
        <v/>
      </c>
      <c r="BG611" s="34">
        <f>P611-S611</f>
        <v/>
      </c>
      <c r="BH611" s="34">
        <f>W611-AA611</f>
        <v/>
      </c>
      <c r="BI611" s="34">
        <f>BF611+BG611+BL611-BN611</f>
        <v/>
      </c>
      <c r="BJ611" s="34">
        <f>ABS(BK611)</f>
        <v/>
      </c>
      <c r="BK611" s="34">
        <f>AY611-(J611-L611+N611-Q611)</f>
        <v/>
      </c>
      <c r="BL611" s="34">
        <f>IF(AND(BK611&gt;0,MIN($F611:$G611)&lt;150,$E611="Enerji Açığı"),-100*BK611*1.03,IF(AND(BK611&gt;0,MIN($F611:$G611)&lt;150,$E611="Enerji Fazlası"),-100*BK611*1.06,IF(AND(BK611&gt;0,MIN($F611:$G611)&gt;=150,$E611="Enerji Açığı"),BK611*MIN($F611:$G611)*0.97,IF(AND(BK611&gt;0,MIN($F611:$G611)&gt;=150,$E611="Enerji Fazlası"),BK611*MIN($F611:$G611)*0.94,IF(AND(BK611&lt;0,MAX($F611:$G611)=4500,$E611="Enerji Açığı"),4500*1.05*1.06*BK611,IF(AND(BK611&lt;0,MAX($F611:$G611)=4500,$E611="Enerji Fazlası"),4500*1.05*1.03*BK611,IF(AND(BK611&lt;0,$E611="Enerji Açığı"),MAX($F611,$G611,150)*BK611*1.06,IF(AND(BK611&lt;0,$E611="Enerji Fazlası"),MAX($F611,$G611,150)*BK611*1.03,IF(AND(BK611&lt;0,$E611="Dengede"),MAX($F611:$G611,150)*1.03*BK611,MIN($F611:$G611)*0.97*BK611)))))))))</f>
        <v/>
      </c>
      <c r="BM611" s="34">
        <f>BE611-BI611-BN611</f>
        <v/>
      </c>
      <c r="BN611" s="34">
        <f>BB611</f>
        <v/>
      </c>
      <c r="BO611" s="34">
        <f>BE611-BI611</f>
        <v/>
      </c>
      <c r="BP611" s="34">
        <f>IF(AY611=0,0,BO611/AY611)</f>
        <v/>
      </c>
      <c r="BQ611" s="34">
        <f>MAX((AY611+MAX((-J611+L611-N611+Q611),0)),(MAX((J611-L611+N611-Q611),0)))</f>
        <v/>
      </c>
      <c r="BR611" s="82">
        <f>IFERROR(ABS(BK611/BQ611),0)</f>
        <v/>
      </c>
      <c r="BS611" s="34">
        <f>IF(BR611&lt;=0.1,0,BK611/BR611*(BR611-0.1))</f>
        <v/>
      </c>
      <c r="BT611" s="34">
        <f>IF((BS611)&lt;0,MAX(F611:G611)*(BS611)*1.03,MIN(F611:G611)*(BS611)*0.97)</f>
        <v/>
      </c>
      <c r="BU611" s="34">
        <f>IF(BR611&gt;0.1,1,0)</f>
        <v/>
      </c>
      <c r="BV611" s="34">
        <f>BF611+BG611+BH611+BY611-CA611</f>
        <v/>
      </c>
      <c r="BW611" s="34">
        <f>ABS(BX611)</f>
        <v/>
      </c>
      <c r="BX611" s="34">
        <f>AY611-(J611-L611+N611-Q611+T611-X611)</f>
        <v/>
      </c>
      <c r="BY611" s="34">
        <f>IF(AND(BX611&gt;0,MIN($F611:$G611)&lt;150,$E611="Enerji Açığı"),-100*BX611*1.03,IF(AND(BX611&gt;0,MIN($F611:$G611)&lt;150,$E611="Enerji Fazlası"),-100*BX611*1.06,IF(AND(BX611&gt;0,MIN($F611:$G611)&gt;=150,$E611="Enerji Açığı"),BX611*MIN($F611:$G611)*0.97,IF(AND(BX611&gt;0,MIN($F611:$G611)&gt;=150,$E611="Enerji Fazlası"),BX611*MIN($F611:$G611)*0.94,IF(AND(BX611&lt;0,MAX($F611:$G611)=4500,$E611="Enerji Açığı"),4500*1.05*1.06*BX611,IF(AND(BX611&lt;0,MAX($F611:$G611)=4500,$E611="Enerji Fazlası"),4500*1.05*1.03*BX611,IF(AND(BX611&lt;0,$E611="Enerji Açığı"),MAX($F611,$G611,150)*BX611*1.06,IF(AND(BX611&lt;0,$E611="Enerji Fazlası"),MAX($F611,$G611,150)*BX611*1.03,IF(AND(BX611&lt;0,$E611="Dengede"),MAX($F611:$G611,150)*1.03*BX611,MIN($F611:$G611)*0.97*BX611)))))))))</f>
        <v/>
      </c>
      <c r="BZ611" s="34">
        <f>BE611-BV611-CA611</f>
        <v/>
      </c>
      <c r="CA611" s="34">
        <f>BD611</f>
        <v/>
      </c>
      <c r="CB611" s="33">
        <f>BE611-BV611</f>
        <v/>
      </c>
      <c r="CC611" s="34">
        <f>IF(AY611=0,0,CB611/AY611)</f>
        <v/>
      </c>
      <c r="CD611" s="34">
        <f>MAX((AY611+MAX((-J611+L611-N611+Q611-T611+X611),0)),(MAX((J611-L611+N611-Q611+T611-X611),0)))</f>
        <v/>
      </c>
      <c r="CE611" s="82">
        <f>IFERROR(ABS(BX611/CD611),0)</f>
        <v/>
      </c>
      <c r="CF611" s="34">
        <f>IF(CE611&lt;=0.1,0,BX611/CE611*(CE611-0.1))</f>
        <v/>
      </c>
      <c r="CG611" s="34">
        <f>IF((CF611)&lt;0,MAX(F611:G611)*(CF611)*1.03,MIN(F611:G611)*(CF611)*0.97)</f>
        <v/>
      </c>
      <c r="CH611" s="34">
        <f>IF(CE611&gt;0.1,1,0)</f>
        <v/>
      </c>
      <c r="CI611" s="34">
        <f>(F611*BX611)-BY611</f>
        <v/>
      </c>
      <c r="CJ611" s="34">
        <f>IF(AY611=0,0,CI611/AY611)</f>
        <v/>
      </c>
    </row>
    <row r="612">
      <c r="A612" s="29">
        <f>[1]FİYATLAR!A587</f>
        <v/>
      </c>
      <c r="B612" s="29">
        <f>[1]FİYATLAR!B611</f>
        <v/>
      </c>
      <c r="C612" s="35">
        <f>INT(A612)</f>
        <v/>
      </c>
      <c r="D612" s="36">
        <f>MONTH(A612)</f>
        <v/>
      </c>
      <c r="E612" s="147">
        <f>[1]FİYATLAR!G587</f>
        <v/>
      </c>
      <c r="F612" s="30">
        <f>[1]FİYATLAR!C587</f>
        <v/>
      </c>
      <c r="G612" s="30">
        <f>[1]FİYATLAR!E587</f>
        <v/>
      </c>
      <c r="H612" s="30">
        <f>[1]FİYATLAR!D587</f>
        <v/>
      </c>
      <c r="I612" s="30">
        <f>[1]FİYATLAR!F587</f>
        <v/>
      </c>
      <c r="J612" s="119" t="n">
        <v>0</v>
      </c>
      <c r="K612" s="34">
        <f>F612*J612</f>
        <v/>
      </c>
      <c r="L612" s="119" t="n"/>
      <c r="M612" s="34">
        <f>L612*F612</f>
        <v/>
      </c>
      <c r="N612" s="119" t="n"/>
      <c r="O612" s="34">
        <f>F612</f>
        <v/>
      </c>
      <c r="P612" s="34">
        <f>N612*O612</f>
        <v/>
      </c>
      <c r="Q612" s="117" t="n">
        <v>0</v>
      </c>
      <c r="R612" s="34">
        <f>F612</f>
        <v/>
      </c>
      <c r="S612" s="34">
        <f>R612*Q612</f>
        <v/>
      </c>
      <c r="T612" s="34">
        <f>SUMIFS('[1]GİP VERİLERİ'!$C:$C,'[1]GİP VERİLERİ'!$B:$B,A612,'[1]GİP VERİLERİ'!$M:$M,"40X000000104782K",'[1]GİP VERİLERİ'!$G:$G,"SELL")</f>
        <v/>
      </c>
      <c r="U612" s="34">
        <f>IFERROR(W612/T612,0)</f>
        <v/>
      </c>
      <c r="V612" s="34">
        <f>IF(U612=0,0,U612-F612)</f>
        <v/>
      </c>
      <c r="W612" s="34">
        <f>SUMIFS('[1]GİP VERİLERİ'!$O:$O,'[1]GİP VERİLERİ'!$B:$B,A612,'[1]GİP VERİLERİ'!$M:$M,"40X000000104782K",'[1]GİP VERİLERİ'!$G:$G,"SELL")</f>
        <v/>
      </c>
      <c r="X612" s="34">
        <f>SUMIFS('[1]GİP VERİLERİ'!$C:$C,'[1]GİP VERİLERİ'!$B:$B,A612,'[1]GİP VERİLERİ'!$M:$M,"40X000000104782K",'[1]GİP VERİLERİ'!$G:$G,"BUY")</f>
        <v/>
      </c>
      <c r="Y612" s="34">
        <f>IFERROR(AA612/X612,0)</f>
        <v/>
      </c>
      <c r="Z612" s="34">
        <f>IF(Y612=0,0,F612-Y612)</f>
        <v/>
      </c>
      <c r="AA612" s="34">
        <f>SUMIFS('[1]GİP VERİLERİ'!$O:$O,'[1]GİP VERİLERİ'!$B:$B,A612,'[1]GİP VERİLERİ'!$M:$M,"40X000000104782K",'[1]GİP VERİLERİ'!$G:$G,"BUY")</f>
        <v/>
      </c>
      <c r="AB612" s="34">
        <f>'[1]GÖP VERİLERİ'!H613</f>
        <v/>
      </c>
      <c r="AC612" s="34">
        <f>'[1]GÖP VERİLERİ'!I613</f>
        <v/>
      </c>
      <c r="AD612" s="34">
        <f>IF(AB612&gt;AC612*1.05,AB612-AC612*1.05,IF(AB612&lt;AC612*0.95,AC612*0.95-AB612,0))</f>
        <v/>
      </c>
      <c r="AE612" s="34">
        <f>MAX(F612,G612,750)*0.05*AD612</f>
        <v/>
      </c>
      <c r="AF612" s="34">
        <f>'[1]GÖP VERİLERİ'!J613</f>
        <v/>
      </c>
      <c r="AG612" s="34">
        <f>IF(AB612&gt;AF612*1.05,AB612-AF612*1.05,IF(AB612&lt;AF612*0.95,AF612*0.95-AB612,0))</f>
        <v/>
      </c>
      <c r="AH612" s="34">
        <f>MAX(I612,J612,750)*0.05*AG612</f>
        <v/>
      </c>
      <c r="AI612">
        <f>'[1]GÖP VERİLERİ'!E613</f>
        <v/>
      </c>
      <c r="AJ612">
        <f>'[1]GÖP VERİLERİ'!F613</f>
        <v/>
      </c>
      <c r="AK612" s="34">
        <f>IF(AI612&gt;AJ612*1.05,AI612-AJ612*1.05,IF(AI612&lt;AJ612*0.95,AJ612*0.95-AI612,0))</f>
        <v/>
      </c>
      <c r="AL612" s="34">
        <f>MAX(F612,G612,750)*0.05*AK612</f>
        <v/>
      </c>
      <c r="AM612" s="39">
        <f>'[1]GÖP VERİLERİ'!G613</f>
        <v/>
      </c>
      <c r="AN612" s="34">
        <f>IF(AI612&gt;AM612*1.05,AI612-AM612*1.05,IF(AI612&lt;AM612*0.95,AM612*0.95-AI612,0))</f>
        <v/>
      </c>
      <c r="AO612" s="34">
        <f>MAX(F612,G612,750)*0.05*AN612</f>
        <v/>
      </c>
      <c r="AP612" s="34">
        <f>'[1]GÖP VERİLERİ'!B613</f>
        <v/>
      </c>
      <c r="AQ612" s="34">
        <f>'[1]GÖP VERİLERİ'!C613</f>
        <v/>
      </c>
      <c r="AR612" s="34">
        <f>IF(AP612&gt;AQ612*1.05,AP612-AQ612*1.05,IF(AP612&lt;AQ612*0.95,AQ612*0.95-AP612,0))</f>
        <v/>
      </c>
      <c r="AS612" s="34">
        <f>MAX(F612:G612,750)*0.05*AR612</f>
        <v/>
      </c>
      <c r="AT612">
        <f>'[1]GÖP VERİLERİ'!D613</f>
        <v/>
      </c>
      <c r="AU612" s="34">
        <f>IF(AP612&gt;AT612*1.05,AP612-AT612*1.05,IF(AP612&lt;AT612*0.95,AT612*0.95-AP612,0))</f>
        <v/>
      </c>
      <c r="AV612" s="34">
        <f>MAX(F612:G612,750)*0.05*AU612</f>
        <v/>
      </c>
      <c r="AW612" s="34">
        <f>AC612+AJ612+AQ612</f>
        <v/>
      </c>
      <c r="AX612" s="34">
        <f>AF612+AM612+AT612</f>
        <v/>
      </c>
      <c r="AY612" s="34">
        <f>AB612+AI612+AP612</f>
        <v/>
      </c>
      <c r="AZ612" s="34" t="n">
        <v>0</v>
      </c>
      <c r="BA612" s="34">
        <f>AD612+AK612+AR612</f>
        <v/>
      </c>
      <c r="BB612" s="34">
        <f>MAX(F612:G612,750)*0.05*BA612</f>
        <v/>
      </c>
      <c r="BC612" s="34">
        <f>AG612+AN612+AU612</f>
        <v/>
      </c>
      <c r="BD612" s="34">
        <f>MAX(F612:G612,750)*0.05*BC612</f>
        <v/>
      </c>
      <c r="BE612" s="34">
        <f>F612*AY612</f>
        <v/>
      </c>
      <c r="BF612" s="34">
        <f>K612-M612</f>
        <v/>
      </c>
      <c r="BG612" s="34">
        <f>P612-S612</f>
        <v/>
      </c>
      <c r="BH612" s="34">
        <f>W612-AA612</f>
        <v/>
      </c>
      <c r="BI612" s="34">
        <f>BF612+BG612+BL612-BN612</f>
        <v/>
      </c>
      <c r="BJ612" s="34">
        <f>ABS(BK612)</f>
        <v/>
      </c>
      <c r="BK612" s="34">
        <f>AY612-(J612-L612+N612-Q612)</f>
        <v/>
      </c>
      <c r="BL612" s="34">
        <f>IF(AND(BK612&gt;0,MIN($F612:$G612)&lt;150,$E612="Enerji Açığı"),-100*BK612*1.03,IF(AND(BK612&gt;0,MIN($F612:$G612)&lt;150,$E612="Enerji Fazlası"),-100*BK612*1.06,IF(AND(BK612&gt;0,MIN($F612:$G612)&gt;=150,$E612="Enerji Açığı"),BK612*MIN($F612:$G612)*0.97,IF(AND(BK612&gt;0,MIN($F612:$G612)&gt;=150,$E612="Enerji Fazlası"),BK612*MIN($F612:$G612)*0.94,IF(AND(BK612&lt;0,MAX($F612:$G612)=4500,$E612="Enerji Açığı"),4500*1.05*1.06*BK612,IF(AND(BK612&lt;0,MAX($F612:$G612)=4500,$E612="Enerji Fazlası"),4500*1.05*1.03*BK612,IF(AND(BK612&lt;0,$E612="Enerji Açığı"),MAX($F612,$G612,150)*BK612*1.06,IF(AND(BK612&lt;0,$E612="Enerji Fazlası"),MAX($F612,$G612,150)*BK612*1.03,IF(AND(BK612&lt;0,$E612="Dengede"),MAX($F612:$G612,150)*1.03*BK612,MIN($F612:$G612)*0.97*BK612)))))))))</f>
        <v/>
      </c>
      <c r="BM612" s="34">
        <f>BE612-BI612-BN612</f>
        <v/>
      </c>
      <c r="BN612" s="34">
        <f>BB612</f>
        <v/>
      </c>
      <c r="BO612" s="34">
        <f>BE612-BI612</f>
        <v/>
      </c>
      <c r="BP612" s="34">
        <f>IF(AY612=0,0,BO612/AY612)</f>
        <v/>
      </c>
      <c r="BQ612" s="34">
        <f>MAX((AY612+MAX((-J612+L612-N612+Q612),0)),(MAX((J612-L612+N612-Q612),0)))</f>
        <v/>
      </c>
      <c r="BR612" s="82">
        <f>IFERROR(ABS(BK612/BQ612),0)</f>
        <v/>
      </c>
      <c r="BS612" s="34">
        <f>IF(BR612&lt;=0.1,0,BK612/BR612*(BR612-0.1))</f>
        <v/>
      </c>
      <c r="BT612" s="34">
        <f>IF((BS612)&lt;0,MAX(F612:G612)*(BS612)*1.03,MIN(F612:G612)*(BS612)*0.97)</f>
        <v/>
      </c>
      <c r="BU612" s="34">
        <f>IF(BR612&gt;0.1,1,0)</f>
        <v/>
      </c>
      <c r="BV612" s="34">
        <f>BF612+BG612+BH612+BY612-CA612</f>
        <v/>
      </c>
      <c r="BW612" s="34">
        <f>ABS(BX612)</f>
        <v/>
      </c>
      <c r="BX612" s="34">
        <f>AY612-(J612-L612+N612-Q612+T612-X612)</f>
        <v/>
      </c>
      <c r="BY612" s="34">
        <f>IF(AND(BX612&gt;0,MIN($F612:$G612)&lt;150,$E612="Enerji Açığı"),-100*BX612*1.03,IF(AND(BX612&gt;0,MIN($F612:$G612)&lt;150,$E612="Enerji Fazlası"),-100*BX612*1.06,IF(AND(BX612&gt;0,MIN($F612:$G612)&gt;=150,$E612="Enerji Açığı"),BX612*MIN($F612:$G612)*0.97,IF(AND(BX612&gt;0,MIN($F612:$G612)&gt;=150,$E612="Enerji Fazlası"),BX612*MIN($F612:$G612)*0.94,IF(AND(BX612&lt;0,MAX($F612:$G612)=4500,$E612="Enerji Açığı"),4500*1.05*1.06*BX612,IF(AND(BX612&lt;0,MAX($F612:$G612)=4500,$E612="Enerji Fazlası"),4500*1.05*1.03*BX612,IF(AND(BX612&lt;0,$E612="Enerji Açığı"),MAX($F612,$G612,150)*BX612*1.06,IF(AND(BX612&lt;0,$E612="Enerji Fazlası"),MAX($F612,$G612,150)*BX612*1.03,IF(AND(BX612&lt;0,$E612="Dengede"),MAX($F612:$G612,150)*1.03*BX612,MIN($F612:$G612)*0.97*BX612)))))))))</f>
        <v/>
      </c>
      <c r="BZ612" s="34">
        <f>BE612-BV612-CA612</f>
        <v/>
      </c>
      <c r="CA612" s="34">
        <f>BD612</f>
        <v/>
      </c>
      <c r="CB612" s="33">
        <f>BE612-BV612</f>
        <v/>
      </c>
      <c r="CC612" s="34">
        <f>IF(AY612=0,0,CB612/AY612)</f>
        <v/>
      </c>
      <c r="CD612" s="34">
        <f>MAX((AY612+MAX((-J612+L612-N612+Q612-T612+X612),0)),(MAX((J612-L612+N612-Q612+T612-X612),0)))</f>
        <v/>
      </c>
      <c r="CE612" s="82">
        <f>IFERROR(ABS(BX612/CD612),0)</f>
        <v/>
      </c>
      <c r="CF612" s="34">
        <f>IF(CE612&lt;=0.1,0,BX612/CE612*(CE612-0.1))</f>
        <v/>
      </c>
      <c r="CG612" s="34">
        <f>IF((CF612)&lt;0,MAX(F612:G612)*(CF612)*1.03,MIN(F612:G612)*(CF612)*0.97)</f>
        <v/>
      </c>
      <c r="CH612" s="34">
        <f>IF(CE612&gt;0.1,1,0)</f>
        <v/>
      </c>
      <c r="CI612" s="34">
        <f>(F612*BX612)-BY612</f>
        <v/>
      </c>
      <c r="CJ612" s="34">
        <f>IF(AY612=0,0,CI612/AY612)</f>
        <v/>
      </c>
    </row>
    <row r="613">
      <c r="A613" s="29">
        <f>[1]FİYATLAR!A588</f>
        <v/>
      </c>
      <c r="B613" s="29">
        <f>[1]FİYATLAR!B612</f>
        <v/>
      </c>
      <c r="C613" s="35">
        <f>INT(A613)</f>
        <v/>
      </c>
      <c r="D613" s="36">
        <f>MONTH(A613)</f>
        <v/>
      </c>
      <c r="E613" s="147">
        <f>[1]FİYATLAR!G588</f>
        <v/>
      </c>
      <c r="F613" s="30">
        <f>[1]FİYATLAR!C588</f>
        <v/>
      </c>
      <c r="G613" s="30">
        <f>[1]FİYATLAR!E588</f>
        <v/>
      </c>
      <c r="H613" s="30">
        <f>[1]FİYATLAR!D588</f>
        <v/>
      </c>
      <c r="I613" s="30">
        <f>[1]FİYATLAR!F588</f>
        <v/>
      </c>
      <c r="J613" s="119" t="n">
        <v>0</v>
      </c>
      <c r="K613" s="34">
        <f>F613*J613</f>
        <v/>
      </c>
      <c r="L613" s="119" t="n"/>
      <c r="M613" s="34">
        <f>L613*F613</f>
        <v/>
      </c>
      <c r="N613" s="119" t="n"/>
      <c r="O613" s="34">
        <f>F613</f>
        <v/>
      </c>
      <c r="P613" s="34">
        <f>N613*O613</f>
        <v/>
      </c>
      <c r="Q613" s="117" t="n">
        <v>0</v>
      </c>
      <c r="R613" s="34">
        <f>F613</f>
        <v/>
      </c>
      <c r="S613" s="34">
        <f>R613*Q613</f>
        <v/>
      </c>
      <c r="T613" s="34">
        <f>SUMIFS('[1]GİP VERİLERİ'!$C:$C,'[1]GİP VERİLERİ'!$B:$B,A613,'[1]GİP VERİLERİ'!$M:$M,"40X000000104782K",'[1]GİP VERİLERİ'!$G:$G,"SELL")</f>
        <v/>
      </c>
      <c r="U613" s="34">
        <f>IFERROR(W613/T613,0)</f>
        <v/>
      </c>
      <c r="V613" s="34">
        <f>IF(U613=0,0,U613-F613)</f>
        <v/>
      </c>
      <c r="W613" s="34">
        <f>SUMIFS('[1]GİP VERİLERİ'!$O:$O,'[1]GİP VERİLERİ'!$B:$B,A613,'[1]GİP VERİLERİ'!$M:$M,"40X000000104782K",'[1]GİP VERİLERİ'!$G:$G,"SELL")</f>
        <v/>
      </c>
      <c r="X613" s="34">
        <f>SUMIFS('[1]GİP VERİLERİ'!$C:$C,'[1]GİP VERİLERİ'!$B:$B,A613,'[1]GİP VERİLERİ'!$M:$M,"40X000000104782K",'[1]GİP VERİLERİ'!$G:$G,"BUY")</f>
        <v/>
      </c>
      <c r="Y613" s="34">
        <f>IFERROR(AA613/X613,0)</f>
        <v/>
      </c>
      <c r="Z613" s="34">
        <f>IF(Y613=0,0,F613-Y613)</f>
        <v/>
      </c>
      <c r="AA613" s="34">
        <f>SUMIFS('[1]GİP VERİLERİ'!$O:$O,'[1]GİP VERİLERİ'!$B:$B,A613,'[1]GİP VERİLERİ'!$M:$M,"40X000000104782K",'[1]GİP VERİLERİ'!$G:$G,"BUY")</f>
        <v/>
      </c>
      <c r="AB613" s="34">
        <f>'[1]GÖP VERİLERİ'!H614</f>
        <v/>
      </c>
      <c r="AC613" s="34">
        <f>'[1]GÖP VERİLERİ'!I614</f>
        <v/>
      </c>
      <c r="AD613" s="34">
        <f>IF(AB613&gt;AC613*1.05,AB613-AC613*1.05,IF(AB613&lt;AC613*0.95,AC613*0.95-AB613,0))</f>
        <v/>
      </c>
      <c r="AE613" s="34">
        <f>MAX(F613,G613,750)*0.05*AD613</f>
        <v/>
      </c>
      <c r="AF613" s="34">
        <f>'[1]GÖP VERİLERİ'!J614</f>
        <v/>
      </c>
      <c r="AG613" s="34">
        <f>IF(AB613&gt;AF613*1.05,AB613-AF613*1.05,IF(AB613&lt;AF613*0.95,AF613*0.95-AB613,0))</f>
        <v/>
      </c>
      <c r="AH613" s="34">
        <f>MAX(I613,J613,750)*0.05*AG613</f>
        <v/>
      </c>
      <c r="AI613">
        <f>'[1]GÖP VERİLERİ'!E614</f>
        <v/>
      </c>
      <c r="AJ613">
        <f>'[1]GÖP VERİLERİ'!F614</f>
        <v/>
      </c>
      <c r="AK613" s="34">
        <f>IF(AI613&gt;AJ613*1.05,AI613-AJ613*1.05,IF(AI613&lt;AJ613*0.95,AJ613*0.95-AI613,0))</f>
        <v/>
      </c>
      <c r="AL613" s="34">
        <f>MAX(F613,G613,750)*0.05*AK613</f>
        <v/>
      </c>
      <c r="AM613" s="39">
        <f>'[1]GÖP VERİLERİ'!G614</f>
        <v/>
      </c>
      <c r="AN613" s="34">
        <f>IF(AI613&gt;AM613*1.05,AI613-AM613*1.05,IF(AI613&lt;AM613*0.95,AM613*0.95-AI613,0))</f>
        <v/>
      </c>
      <c r="AO613" s="34">
        <f>MAX(F613,G613,750)*0.05*AN613</f>
        <v/>
      </c>
      <c r="AP613" s="34">
        <f>'[1]GÖP VERİLERİ'!B614</f>
        <v/>
      </c>
      <c r="AQ613" s="34">
        <f>'[1]GÖP VERİLERİ'!C614</f>
        <v/>
      </c>
      <c r="AR613" s="34">
        <f>IF(AP613&gt;AQ613*1.05,AP613-AQ613*1.05,IF(AP613&lt;AQ613*0.95,AQ613*0.95-AP613,0))</f>
        <v/>
      </c>
      <c r="AS613" s="34">
        <f>MAX(F613:G613,750)*0.05*AR613</f>
        <v/>
      </c>
      <c r="AT613">
        <f>'[1]GÖP VERİLERİ'!D614</f>
        <v/>
      </c>
      <c r="AU613" s="34">
        <f>IF(AP613&gt;AT613*1.05,AP613-AT613*1.05,IF(AP613&lt;AT613*0.95,AT613*0.95-AP613,0))</f>
        <v/>
      </c>
      <c r="AV613" s="34">
        <f>MAX(F613:G613,750)*0.05*AU613</f>
        <v/>
      </c>
      <c r="AW613" s="34">
        <f>AC613+AJ613+AQ613</f>
        <v/>
      </c>
      <c r="AX613" s="34">
        <f>AF613+AM613+AT613</f>
        <v/>
      </c>
      <c r="AY613" s="34">
        <f>AB613+AI613+AP613</f>
        <v/>
      </c>
      <c r="AZ613" s="34" t="n">
        <v>0</v>
      </c>
      <c r="BA613" s="34">
        <f>AD613+AK613+AR613</f>
        <v/>
      </c>
      <c r="BB613" s="34">
        <f>MAX(F613:G613,750)*0.05*BA613</f>
        <v/>
      </c>
      <c r="BC613" s="34">
        <f>AG613+AN613+AU613</f>
        <v/>
      </c>
      <c r="BD613" s="34">
        <f>MAX(F613:G613,750)*0.05*BC613</f>
        <v/>
      </c>
      <c r="BE613" s="34">
        <f>F613*AY613</f>
        <v/>
      </c>
      <c r="BF613" s="34">
        <f>K613-M613</f>
        <v/>
      </c>
      <c r="BG613" s="34">
        <f>P613-S613</f>
        <v/>
      </c>
      <c r="BH613" s="34">
        <f>W613-AA613</f>
        <v/>
      </c>
      <c r="BI613" s="34">
        <f>BF613+BG613+BL613-BN613</f>
        <v/>
      </c>
      <c r="BJ613" s="34">
        <f>ABS(BK613)</f>
        <v/>
      </c>
      <c r="BK613" s="34">
        <f>AY613-(J613-L613+N613-Q613)</f>
        <v/>
      </c>
      <c r="BL613" s="34">
        <f>IF(AND(BK613&gt;0,MIN($F613:$G613)&lt;150,$E613="Enerji Açığı"),-100*BK613*1.03,IF(AND(BK613&gt;0,MIN($F613:$G613)&lt;150,$E613="Enerji Fazlası"),-100*BK613*1.06,IF(AND(BK613&gt;0,MIN($F613:$G613)&gt;=150,$E613="Enerji Açığı"),BK613*MIN($F613:$G613)*0.97,IF(AND(BK613&gt;0,MIN($F613:$G613)&gt;=150,$E613="Enerji Fazlası"),BK613*MIN($F613:$G613)*0.94,IF(AND(BK613&lt;0,MAX($F613:$G613)=4500,$E613="Enerji Açığı"),4500*1.05*1.06*BK613,IF(AND(BK613&lt;0,MAX($F613:$G613)=4500,$E613="Enerji Fazlası"),4500*1.05*1.03*BK613,IF(AND(BK613&lt;0,$E613="Enerji Açığı"),MAX($F613,$G613,150)*BK613*1.06,IF(AND(BK613&lt;0,$E613="Enerji Fazlası"),MAX($F613,$G613,150)*BK613*1.03,IF(AND(BK613&lt;0,$E613="Dengede"),MAX($F613:$G613,150)*1.03*BK613,MIN($F613:$G613)*0.97*BK613)))))))))</f>
        <v/>
      </c>
      <c r="BM613" s="34">
        <f>BE613-BI613-BN613</f>
        <v/>
      </c>
      <c r="BN613" s="34">
        <f>BB613</f>
        <v/>
      </c>
      <c r="BO613" s="34">
        <f>BE613-BI613</f>
        <v/>
      </c>
      <c r="BP613" s="34">
        <f>IF(AY613=0,0,BO613/AY613)</f>
        <v/>
      </c>
      <c r="BQ613" s="34">
        <f>MAX((AY613+MAX((-J613+L613-N613+Q613),0)),(MAX((J613-L613+N613-Q613),0)))</f>
        <v/>
      </c>
      <c r="BR613" s="82">
        <f>IFERROR(ABS(BK613/BQ613),0)</f>
        <v/>
      </c>
      <c r="BS613" s="34">
        <f>IF(BR613&lt;=0.1,0,BK613/BR613*(BR613-0.1))</f>
        <v/>
      </c>
      <c r="BT613" s="34">
        <f>IF((BS613)&lt;0,MAX(F613:G613)*(BS613)*1.03,MIN(F613:G613)*(BS613)*0.97)</f>
        <v/>
      </c>
      <c r="BU613" s="34">
        <f>IF(BR613&gt;0.1,1,0)</f>
        <v/>
      </c>
      <c r="BV613" s="34">
        <f>BF613+BG613+BH613+BY613-CA613</f>
        <v/>
      </c>
      <c r="BW613" s="34">
        <f>ABS(BX613)</f>
        <v/>
      </c>
      <c r="BX613" s="34">
        <f>AY613-(J613-L613+N613-Q613+T613-X613)</f>
        <v/>
      </c>
      <c r="BY613" s="34">
        <f>IF(AND(BX613&gt;0,MIN($F613:$G613)&lt;150,$E613="Enerji Açığı"),-100*BX613*1.03,IF(AND(BX613&gt;0,MIN($F613:$G613)&lt;150,$E613="Enerji Fazlası"),-100*BX613*1.06,IF(AND(BX613&gt;0,MIN($F613:$G613)&gt;=150,$E613="Enerji Açığı"),BX613*MIN($F613:$G613)*0.97,IF(AND(BX613&gt;0,MIN($F613:$G613)&gt;=150,$E613="Enerji Fazlası"),BX613*MIN($F613:$G613)*0.94,IF(AND(BX613&lt;0,MAX($F613:$G613)=4500,$E613="Enerji Açığı"),4500*1.05*1.06*BX613,IF(AND(BX613&lt;0,MAX($F613:$G613)=4500,$E613="Enerji Fazlası"),4500*1.05*1.03*BX613,IF(AND(BX613&lt;0,$E613="Enerji Açığı"),MAX($F613,$G613,150)*BX613*1.06,IF(AND(BX613&lt;0,$E613="Enerji Fazlası"),MAX($F613,$G613,150)*BX613*1.03,IF(AND(BX613&lt;0,$E613="Dengede"),MAX($F613:$G613,150)*1.03*BX613,MIN($F613:$G613)*0.97*BX613)))))))))</f>
        <v/>
      </c>
      <c r="BZ613" s="34">
        <f>BE613-BV613-CA613</f>
        <v/>
      </c>
      <c r="CA613" s="34">
        <f>BD613</f>
        <v/>
      </c>
      <c r="CB613" s="33">
        <f>BE613-BV613</f>
        <v/>
      </c>
      <c r="CC613" s="34">
        <f>IF(AY613=0,0,CB613/AY613)</f>
        <v/>
      </c>
      <c r="CD613" s="34">
        <f>MAX((AY613+MAX((-J613+L613-N613+Q613-T613+X613),0)),(MAX((J613-L613+N613-Q613+T613-X613),0)))</f>
        <v/>
      </c>
      <c r="CE613" s="82">
        <f>IFERROR(ABS(BX613/CD613),0)</f>
        <v/>
      </c>
      <c r="CF613" s="34">
        <f>IF(CE613&lt;=0.1,0,BX613/CE613*(CE613-0.1))</f>
        <v/>
      </c>
      <c r="CG613" s="34">
        <f>IF((CF613)&lt;0,MAX(F613:G613)*(CF613)*1.03,MIN(F613:G613)*(CF613)*0.97)</f>
        <v/>
      </c>
      <c r="CH613" s="34">
        <f>IF(CE613&gt;0.1,1,0)</f>
        <v/>
      </c>
      <c r="CI613" s="34">
        <f>(F613*BX613)-BY613</f>
        <v/>
      </c>
      <c r="CJ613" s="34">
        <f>IF(AY613=0,0,CI613/AY613)</f>
        <v/>
      </c>
    </row>
    <row r="614">
      <c r="A614" s="29">
        <f>[1]FİYATLAR!A589</f>
        <v/>
      </c>
      <c r="B614" s="29">
        <f>[1]FİYATLAR!B613</f>
        <v/>
      </c>
      <c r="C614" s="35">
        <f>INT(A614)</f>
        <v/>
      </c>
      <c r="D614" s="36">
        <f>MONTH(A614)</f>
        <v/>
      </c>
      <c r="E614" s="147">
        <f>[1]FİYATLAR!G589</f>
        <v/>
      </c>
      <c r="F614" s="30">
        <f>[1]FİYATLAR!C589</f>
        <v/>
      </c>
      <c r="G614" s="30">
        <f>[1]FİYATLAR!E589</f>
        <v/>
      </c>
      <c r="H614" s="30">
        <f>[1]FİYATLAR!D589</f>
        <v/>
      </c>
      <c r="I614" s="30">
        <f>[1]FİYATLAR!F589</f>
        <v/>
      </c>
      <c r="J614" s="119" t="n">
        <v>0</v>
      </c>
      <c r="K614" s="34">
        <f>F614*J614</f>
        <v/>
      </c>
      <c r="L614" s="119" t="n"/>
      <c r="M614" s="34">
        <f>L614*F614</f>
        <v/>
      </c>
      <c r="N614" s="119" t="n"/>
      <c r="O614" s="34">
        <f>F614</f>
        <v/>
      </c>
      <c r="P614" s="34">
        <f>N614*O614</f>
        <v/>
      </c>
      <c r="Q614" s="117" t="n">
        <v>0</v>
      </c>
      <c r="R614" s="34">
        <f>F614</f>
        <v/>
      </c>
      <c r="S614" s="34">
        <f>R614*Q614</f>
        <v/>
      </c>
      <c r="T614" s="34">
        <f>SUMIFS('[1]GİP VERİLERİ'!$C:$C,'[1]GİP VERİLERİ'!$B:$B,A614,'[1]GİP VERİLERİ'!$M:$M,"40X000000104782K",'[1]GİP VERİLERİ'!$G:$G,"SELL")</f>
        <v/>
      </c>
      <c r="U614" s="34">
        <f>IFERROR(W614/T614,0)</f>
        <v/>
      </c>
      <c r="V614" s="34">
        <f>IF(U614=0,0,U614-F614)</f>
        <v/>
      </c>
      <c r="W614" s="34">
        <f>SUMIFS('[1]GİP VERİLERİ'!$O:$O,'[1]GİP VERİLERİ'!$B:$B,A614,'[1]GİP VERİLERİ'!$M:$M,"40X000000104782K",'[1]GİP VERİLERİ'!$G:$G,"SELL")</f>
        <v/>
      </c>
      <c r="X614" s="34">
        <f>SUMIFS('[1]GİP VERİLERİ'!$C:$C,'[1]GİP VERİLERİ'!$B:$B,A614,'[1]GİP VERİLERİ'!$M:$M,"40X000000104782K",'[1]GİP VERİLERİ'!$G:$G,"BUY")</f>
        <v/>
      </c>
      <c r="Y614" s="34">
        <f>IFERROR(AA614/X614,0)</f>
        <v/>
      </c>
      <c r="Z614" s="34">
        <f>IF(Y614=0,0,F614-Y614)</f>
        <v/>
      </c>
      <c r="AA614" s="34">
        <f>SUMIFS('[1]GİP VERİLERİ'!$O:$O,'[1]GİP VERİLERİ'!$B:$B,A614,'[1]GİP VERİLERİ'!$M:$M,"40X000000104782K",'[1]GİP VERİLERİ'!$G:$G,"BUY")</f>
        <v/>
      </c>
      <c r="AB614" s="34">
        <f>'[1]GÖP VERİLERİ'!H615</f>
        <v/>
      </c>
      <c r="AC614" s="34">
        <f>'[1]GÖP VERİLERİ'!I615</f>
        <v/>
      </c>
      <c r="AD614" s="34">
        <f>IF(AB614&gt;AC614*1.05,AB614-AC614*1.05,IF(AB614&lt;AC614*0.95,AC614*0.95-AB614,0))</f>
        <v/>
      </c>
      <c r="AE614" s="34">
        <f>MAX(F614,G614,750)*0.05*AD614</f>
        <v/>
      </c>
      <c r="AF614" s="34">
        <f>'[1]GÖP VERİLERİ'!J615</f>
        <v/>
      </c>
      <c r="AG614" s="34">
        <f>IF(AB614&gt;AF614*1.05,AB614-AF614*1.05,IF(AB614&lt;AF614*0.95,AF614*0.95-AB614,0))</f>
        <v/>
      </c>
      <c r="AH614" s="34">
        <f>MAX(I614,J614,750)*0.05*AG614</f>
        <v/>
      </c>
      <c r="AI614">
        <f>'[1]GÖP VERİLERİ'!E615</f>
        <v/>
      </c>
      <c r="AJ614">
        <f>'[1]GÖP VERİLERİ'!F615</f>
        <v/>
      </c>
      <c r="AK614" s="34">
        <f>IF(AI614&gt;AJ614*1.05,AI614-AJ614*1.05,IF(AI614&lt;AJ614*0.95,AJ614*0.95-AI614,0))</f>
        <v/>
      </c>
      <c r="AL614" s="34">
        <f>MAX(F614,G614,750)*0.05*AK614</f>
        <v/>
      </c>
      <c r="AM614" s="39">
        <f>'[1]GÖP VERİLERİ'!G615</f>
        <v/>
      </c>
      <c r="AN614" s="34">
        <f>IF(AI614&gt;AM614*1.05,AI614-AM614*1.05,IF(AI614&lt;AM614*0.95,AM614*0.95-AI614,0))</f>
        <v/>
      </c>
      <c r="AO614" s="34">
        <f>MAX(F614,G614,750)*0.05*AN614</f>
        <v/>
      </c>
      <c r="AP614" s="34">
        <f>'[1]GÖP VERİLERİ'!B615</f>
        <v/>
      </c>
      <c r="AQ614" s="34">
        <f>'[1]GÖP VERİLERİ'!C615</f>
        <v/>
      </c>
      <c r="AR614" s="34">
        <f>IF(AP614&gt;AQ614*1.05,AP614-AQ614*1.05,IF(AP614&lt;AQ614*0.95,AQ614*0.95-AP614,0))</f>
        <v/>
      </c>
      <c r="AS614" s="34">
        <f>MAX(F614:G614,750)*0.05*AR614</f>
        <v/>
      </c>
      <c r="AT614">
        <f>'[1]GÖP VERİLERİ'!D615</f>
        <v/>
      </c>
      <c r="AU614" s="34">
        <f>IF(AP614&gt;AT614*1.05,AP614-AT614*1.05,IF(AP614&lt;AT614*0.95,AT614*0.95-AP614,0))</f>
        <v/>
      </c>
      <c r="AV614" s="34">
        <f>MAX(F614:G614,750)*0.05*AU614</f>
        <v/>
      </c>
      <c r="AW614" s="34">
        <f>AC614+AJ614+AQ614</f>
        <v/>
      </c>
      <c r="AX614" s="34">
        <f>AF614+AM614+AT614</f>
        <v/>
      </c>
      <c r="AY614" s="34">
        <f>AB614+AI614+AP614</f>
        <v/>
      </c>
      <c r="AZ614" s="34" t="n">
        <v>0</v>
      </c>
      <c r="BA614" s="34">
        <f>AD614+AK614+AR614</f>
        <v/>
      </c>
      <c r="BB614" s="34">
        <f>MAX(F614:G614,750)*0.05*BA614</f>
        <v/>
      </c>
      <c r="BC614" s="34">
        <f>AG614+AN614+AU614</f>
        <v/>
      </c>
      <c r="BD614" s="34">
        <f>MAX(F614:G614,750)*0.05*BC614</f>
        <v/>
      </c>
      <c r="BE614" s="34">
        <f>F614*AY614</f>
        <v/>
      </c>
      <c r="BF614" s="34">
        <f>K614-M614</f>
        <v/>
      </c>
      <c r="BG614" s="34">
        <f>P614-S614</f>
        <v/>
      </c>
      <c r="BH614" s="34">
        <f>W614-AA614</f>
        <v/>
      </c>
      <c r="BI614" s="34">
        <f>BF614+BG614+BL614-BN614</f>
        <v/>
      </c>
      <c r="BJ614" s="34">
        <f>ABS(BK614)</f>
        <v/>
      </c>
      <c r="BK614" s="34">
        <f>AY614-(J614-L614+N614-Q614)</f>
        <v/>
      </c>
      <c r="BL614" s="34">
        <f>IF(AND(BK614&gt;0,MIN($F614:$G614)&lt;150,$E614="Enerji Açığı"),-100*BK614*1.03,IF(AND(BK614&gt;0,MIN($F614:$G614)&lt;150,$E614="Enerji Fazlası"),-100*BK614*1.06,IF(AND(BK614&gt;0,MIN($F614:$G614)&gt;=150,$E614="Enerji Açığı"),BK614*MIN($F614:$G614)*0.97,IF(AND(BK614&gt;0,MIN($F614:$G614)&gt;=150,$E614="Enerji Fazlası"),BK614*MIN($F614:$G614)*0.94,IF(AND(BK614&lt;0,MAX($F614:$G614)=4500,$E614="Enerji Açığı"),4500*1.05*1.06*BK614,IF(AND(BK614&lt;0,MAX($F614:$G614)=4500,$E614="Enerji Fazlası"),4500*1.05*1.03*BK614,IF(AND(BK614&lt;0,$E614="Enerji Açığı"),MAX($F614,$G614,150)*BK614*1.06,IF(AND(BK614&lt;0,$E614="Enerji Fazlası"),MAX($F614,$G614,150)*BK614*1.03,IF(AND(BK614&lt;0,$E614="Dengede"),MAX($F614:$G614,150)*1.03*BK614,MIN($F614:$G614)*0.97*BK614)))))))))</f>
        <v/>
      </c>
      <c r="BM614" s="34">
        <f>BE614-BI614-BN614</f>
        <v/>
      </c>
      <c r="BN614" s="34">
        <f>BB614</f>
        <v/>
      </c>
      <c r="BO614" s="34">
        <f>BE614-BI614</f>
        <v/>
      </c>
      <c r="BP614" s="34">
        <f>IF(AY614=0,0,BO614/AY614)</f>
        <v/>
      </c>
      <c r="BQ614" s="34">
        <f>MAX((AY614+MAX((-J614+L614-N614+Q614),0)),(MAX((J614-L614+N614-Q614),0)))</f>
        <v/>
      </c>
      <c r="BR614" s="82">
        <f>IFERROR(ABS(BK614/BQ614),0)</f>
        <v/>
      </c>
      <c r="BS614" s="34">
        <f>IF(BR614&lt;=0.1,0,BK614/BR614*(BR614-0.1))</f>
        <v/>
      </c>
      <c r="BT614" s="34">
        <f>IF((BS614)&lt;0,MAX(F614:G614)*(BS614)*1.03,MIN(F614:G614)*(BS614)*0.97)</f>
        <v/>
      </c>
      <c r="BU614" s="34">
        <f>IF(BR614&gt;0.1,1,0)</f>
        <v/>
      </c>
      <c r="BV614" s="34">
        <f>BF614+BG614+BH614+BY614-CA614</f>
        <v/>
      </c>
      <c r="BW614" s="34">
        <f>ABS(BX614)</f>
        <v/>
      </c>
      <c r="BX614" s="34">
        <f>AY614-(J614-L614+N614-Q614+T614-X614)</f>
        <v/>
      </c>
      <c r="BY614" s="34">
        <f>IF(AND(BX614&gt;0,MIN($F614:$G614)&lt;150,$E614="Enerji Açığı"),-100*BX614*1.03,IF(AND(BX614&gt;0,MIN($F614:$G614)&lt;150,$E614="Enerji Fazlası"),-100*BX614*1.06,IF(AND(BX614&gt;0,MIN($F614:$G614)&gt;=150,$E614="Enerji Açığı"),BX614*MIN($F614:$G614)*0.97,IF(AND(BX614&gt;0,MIN($F614:$G614)&gt;=150,$E614="Enerji Fazlası"),BX614*MIN($F614:$G614)*0.94,IF(AND(BX614&lt;0,MAX($F614:$G614)=4500,$E614="Enerji Açığı"),4500*1.05*1.06*BX614,IF(AND(BX614&lt;0,MAX($F614:$G614)=4500,$E614="Enerji Fazlası"),4500*1.05*1.03*BX614,IF(AND(BX614&lt;0,$E614="Enerji Açığı"),MAX($F614,$G614,150)*BX614*1.06,IF(AND(BX614&lt;0,$E614="Enerji Fazlası"),MAX($F614,$G614,150)*BX614*1.03,IF(AND(BX614&lt;0,$E614="Dengede"),MAX($F614:$G614,150)*1.03*BX614,MIN($F614:$G614)*0.97*BX614)))))))))</f>
        <v/>
      </c>
      <c r="BZ614" s="34">
        <f>BE614-BV614-CA614</f>
        <v/>
      </c>
      <c r="CA614" s="34">
        <f>BD614</f>
        <v/>
      </c>
      <c r="CB614" s="33">
        <f>BE614-BV614</f>
        <v/>
      </c>
      <c r="CC614" s="34">
        <f>IF(AY614=0,0,CB614/AY614)</f>
        <v/>
      </c>
      <c r="CD614" s="34">
        <f>MAX((AY614+MAX((-J614+L614-N614+Q614-T614+X614),0)),(MAX((J614-L614+N614-Q614+T614-X614),0)))</f>
        <v/>
      </c>
      <c r="CE614" s="82">
        <f>IFERROR(ABS(BX614/CD614),0)</f>
        <v/>
      </c>
      <c r="CF614" s="34">
        <f>IF(CE614&lt;=0.1,0,BX614/CE614*(CE614-0.1))</f>
        <v/>
      </c>
      <c r="CG614" s="34">
        <f>IF((CF614)&lt;0,MAX(F614:G614)*(CF614)*1.03,MIN(F614:G614)*(CF614)*0.97)</f>
        <v/>
      </c>
      <c r="CH614" s="34">
        <f>IF(CE614&gt;0.1,1,0)</f>
        <v/>
      </c>
      <c r="CI614" s="34">
        <f>(F614*BX614)-BY614</f>
        <v/>
      </c>
      <c r="CJ614" s="34">
        <f>IF(AY614=0,0,CI614/AY614)</f>
        <v/>
      </c>
    </row>
    <row r="615">
      <c r="A615" s="29">
        <f>[1]FİYATLAR!A590</f>
        <v/>
      </c>
      <c r="B615" s="29">
        <f>[1]FİYATLAR!B614</f>
        <v/>
      </c>
      <c r="C615" s="35">
        <f>INT(A615)</f>
        <v/>
      </c>
      <c r="D615" s="36">
        <f>MONTH(A615)</f>
        <v/>
      </c>
      <c r="E615" s="147">
        <f>[1]FİYATLAR!G590</f>
        <v/>
      </c>
      <c r="F615" s="30">
        <f>[1]FİYATLAR!C590</f>
        <v/>
      </c>
      <c r="G615" s="30">
        <f>[1]FİYATLAR!E590</f>
        <v/>
      </c>
      <c r="H615" s="30">
        <f>[1]FİYATLAR!D590</f>
        <v/>
      </c>
      <c r="I615" s="30">
        <f>[1]FİYATLAR!F590</f>
        <v/>
      </c>
      <c r="J615" s="119" t="n">
        <v>0</v>
      </c>
      <c r="K615" s="34">
        <f>F615*J615</f>
        <v/>
      </c>
      <c r="L615" s="119" t="n"/>
      <c r="M615" s="34">
        <f>L615*F615</f>
        <v/>
      </c>
      <c r="N615" s="119" t="n"/>
      <c r="O615" s="34">
        <f>F615</f>
        <v/>
      </c>
      <c r="P615" s="34">
        <f>N615*O615</f>
        <v/>
      </c>
      <c r="Q615" s="117" t="n">
        <v>0</v>
      </c>
      <c r="R615" s="34">
        <f>F615</f>
        <v/>
      </c>
      <c r="S615" s="34">
        <f>R615*Q615</f>
        <v/>
      </c>
      <c r="T615" s="34">
        <f>SUMIFS('[1]GİP VERİLERİ'!$C:$C,'[1]GİP VERİLERİ'!$B:$B,A615,'[1]GİP VERİLERİ'!$M:$M,"40X000000104782K",'[1]GİP VERİLERİ'!$G:$G,"SELL")</f>
        <v/>
      </c>
      <c r="U615" s="34">
        <f>IFERROR(W615/T615,0)</f>
        <v/>
      </c>
      <c r="V615" s="34">
        <f>IF(U615=0,0,U615-F615)</f>
        <v/>
      </c>
      <c r="W615" s="34">
        <f>SUMIFS('[1]GİP VERİLERİ'!$O:$O,'[1]GİP VERİLERİ'!$B:$B,A615,'[1]GİP VERİLERİ'!$M:$M,"40X000000104782K",'[1]GİP VERİLERİ'!$G:$G,"SELL")</f>
        <v/>
      </c>
      <c r="X615" s="34">
        <f>SUMIFS('[1]GİP VERİLERİ'!$C:$C,'[1]GİP VERİLERİ'!$B:$B,A615,'[1]GİP VERİLERİ'!$M:$M,"40X000000104782K",'[1]GİP VERİLERİ'!$G:$G,"BUY")</f>
        <v/>
      </c>
      <c r="Y615" s="34">
        <f>IFERROR(AA615/X615,0)</f>
        <v/>
      </c>
      <c r="Z615" s="34">
        <f>IF(Y615=0,0,F615-Y615)</f>
        <v/>
      </c>
      <c r="AA615" s="34">
        <f>SUMIFS('[1]GİP VERİLERİ'!$O:$O,'[1]GİP VERİLERİ'!$B:$B,A615,'[1]GİP VERİLERİ'!$M:$M,"40X000000104782K",'[1]GİP VERİLERİ'!$G:$G,"BUY")</f>
        <v/>
      </c>
      <c r="AB615" s="34">
        <f>'[1]GÖP VERİLERİ'!H616</f>
        <v/>
      </c>
      <c r="AC615" s="34">
        <f>'[1]GÖP VERİLERİ'!I616</f>
        <v/>
      </c>
      <c r="AD615" s="34">
        <f>IF(AB615&gt;AC615*1.05,AB615-AC615*1.05,IF(AB615&lt;AC615*0.95,AC615*0.95-AB615,0))</f>
        <v/>
      </c>
      <c r="AE615" s="34">
        <f>MAX(F615,G615,750)*0.05*AD615</f>
        <v/>
      </c>
      <c r="AF615" s="34">
        <f>'[1]GÖP VERİLERİ'!J616</f>
        <v/>
      </c>
      <c r="AG615" s="34">
        <f>IF(AB615&gt;AF615*1.05,AB615-AF615*1.05,IF(AB615&lt;AF615*0.95,AF615*0.95-AB615,0))</f>
        <v/>
      </c>
      <c r="AH615" s="34">
        <f>MAX(I615,J615,750)*0.05*AG615</f>
        <v/>
      </c>
      <c r="AI615">
        <f>'[1]GÖP VERİLERİ'!E616</f>
        <v/>
      </c>
      <c r="AJ615">
        <f>'[1]GÖP VERİLERİ'!F616</f>
        <v/>
      </c>
      <c r="AK615" s="34">
        <f>IF(AI615&gt;AJ615*1.05,AI615-AJ615*1.05,IF(AI615&lt;AJ615*0.95,AJ615*0.95-AI615,0))</f>
        <v/>
      </c>
      <c r="AL615" s="34">
        <f>MAX(F615,G615,750)*0.05*AK615</f>
        <v/>
      </c>
      <c r="AM615" s="39">
        <f>'[1]GÖP VERİLERİ'!G616</f>
        <v/>
      </c>
      <c r="AN615" s="34">
        <f>IF(AI615&gt;AM615*1.05,AI615-AM615*1.05,IF(AI615&lt;AM615*0.95,AM615*0.95-AI615,0))</f>
        <v/>
      </c>
      <c r="AO615" s="34">
        <f>MAX(F615,G615,750)*0.05*AN615</f>
        <v/>
      </c>
      <c r="AP615" s="34">
        <f>'[1]GÖP VERİLERİ'!B616</f>
        <v/>
      </c>
      <c r="AQ615" s="34">
        <f>'[1]GÖP VERİLERİ'!C616</f>
        <v/>
      </c>
      <c r="AR615" s="34">
        <f>IF(AP615&gt;AQ615*1.05,AP615-AQ615*1.05,IF(AP615&lt;AQ615*0.95,AQ615*0.95-AP615,0))</f>
        <v/>
      </c>
      <c r="AS615" s="34">
        <f>MAX(F615:G615,750)*0.05*AR615</f>
        <v/>
      </c>
      <c r="AT615">
        <f>'[1]GÖP VERİLERİ'!D616</f>
        <v/>
      </c>
      <c r="AU615" s="34">
        <f>IF(AP615&gt;AT615*1.05,AP615-AT615*1.05,IF(AP615&lt;AT615*0.95,AT615*0.95-AP615,0))</f>
        <v/>
      </c>
      <c r="AV615" s="34">
        <f>MAX(F615:G615,750)*0.05*AU615</f>
        <v/>
      </c>
      <c r="AW615" s="34">
        <f>AC615+AJ615+AQ615</f>
        <v/>
      </c>
      <c r="AX615" s="34">
        <f>AF615+AM615+AT615</f>
        <v/>
      </c>
      <c r="AY615" s="34">
        <f>AB615+AI615+AP615</f>
        <v/>
      </c>
      <c r="AZ615" s="34" t="n">
        <v>0</v>
      </c>
      <c r="BA615" s="34">
        <f>AD615+AK615+AR615</f>
        <v/>
      </c>
      <c r="BB615" s="34">
        <f>MAX(F615:G615,750)*0.05*BA615</f>
        <v/>
      </c>
      <c r="BC615" s="34">
        <f>AG615+AN615+AU615</f>
        <v/>
      </c>
      <c r="BD615" s="34">
        <f>MAX(F615:G615,750)*0.05*BC615</f>
        <v/>
      </c>
      <c r="BE615" s="34">
        <f>F615*AY615</f>
        <v/>
      </c>
      <c r="BF615" s="34">
        <f>K615-M615</f>
        <v/>
      </c>
      <c r="BG615" s="34">
        <f>P615-S615</f>
        <v/>
      </c>
      <c r="BH615" s="34">
        <f>W615-AA615</f>
        <v/>
      </c>
      <c r="BI615" s="34">
        <f>BF615+BG615+BL615-BN615</f>
        <v/>
      </c>
      <c r="BJ615" s="34">
        <f>ABS(BK615)</f>
        <v/>
      </c>
      <c r="BK615" s="34">
        <f>AY615-(J615-L615+N615-Q615)</f>
        <v/>
      </c>
      <c r="BL615" s="34">
        <f>IF(AND(BK615&gt;0,MIN($F615:$G615)&lt;150,$E615="Enerji Açığı"),-100*BK615*1.03,IF(AND(BK615&gt;0,MIN($F615:$G615)&lt;150,$E615="Enerji Fazlası"),-100*BK615*1.06,IF(AND(BK615&gt;0,MIN($F615:$G615)&gt;=150,$E615="Enerji Açığı"),BK615*MIN($F615:$G615)*0.97,IF(AND(BK615&gt;0,MIN($F615:$G615)&gt;=150,$E615="Enerji Fazlası"),BK615*MIN($F615:$G615)*0.94,IF(AND(BK615&lt;0,MAX($F615:$G615)=4500,$E615="Enerji Açığı"),4500*1.05*1.06*BK615,IF(AND(BK615&lt;0,MAX($F615:$G615)=4500,$E615="Enerji Fazlası"),4500*1.05*1.03*BK615,IF(AND(BK615&lt;0,$E615="Enerji Açığı"),MAX($F615,$G615,150)*BK615*1.06,IF(AND(BK615&lt;0,$E615="Enerji Fazlası"),MAX($F615,$G615,150)*BK615*1.03,IF(AND(BK615&lt;0,$E615="Dengede"),MAX($F615:$G615,150)*1.03*BK615,MIN($F615:$G615)*0.97*BK615)))))))))</f>
        <v/>
      </c>
      <c r="BM615" s="34">
        <f>BE615-BI615-BN615</f>
        <v/>
      </c>
      <c r="BN615" s="34">
        <f>BB615</f>
        <v/>
      </c>
      <c r="BO615" s="34">
        <f>BE615-BI615</f>
        <v/>
      </c>
      <c r="BP615" s="34">
        <f>IF(AY615=0,0,BO615/AY615)</f>
        <v/>
      </c>
      <c r="BQ615" s="34">
        <f>MAX((AY615+MAX((-J615+L615-N615+Q615),0)),(MAX((J615-L615+N615-Q615),0)))</f>
        <v/>
      </c>
      <c r="BR615" s="82">
        <f>IFERROR(ABS(BK615/BQ615),0)</f>
        <v/>
      </c>
      <c r="BS615" s="34">
        <f>IF(BR615&lt;=0.1,0,BK615/BR615*(BR615-0.1))</f>
        <v/>
      </c>
      <c r="BT615" s="34">
        <f>IF((BS615)&lt;0,MAX(F615:G615)*(BS615)*1.03,MIN(F615:G615)*(BS615)*0.97)</f>
        <v/>
      </c>
      <c r="BU615" s="34">
        <f>IF(BR615&gt;0.1,1,0)</f>
        <v/>
      </c>
      <c r="BV615" s="34">
        <f>BF615+BG615+BH615+BY615-CA615</f>
        <v/>
      </c>
      <c r="BW615" s="34">
        <f>ABS(BX615)</f>
        <v/>
      </c>
      <c r="BX615" s="34">
        <f>AY615-(J615-L615+N615-Q615+T615-X615)</f>
        <v/>
      </c>
      <c r="BY615" s="34">
        <f>IF(AND(BX615&gt;0,MIN($F615:$G615)&lt;150,$E615="Enerji Açığı"),-100*BX615*1.03,IF(AND(BX615&gt;0,MIN($F615:$G615)&lt;150,$E615="Enerji Fazlası"),-100*BX615*1.06,IF(AND(BX615&gt;0,MIN($F615:$G615)&gt;=150,$E615="Enerji Açığı"),BX615*MIN($F615:$G615)*0.97,IF(AND(BX615&gt;0,MIN($F615:$G615)&gt;=150,$E615="Enerji Fazlası"),BX615*MIN($F615:$G615)*0.94,IF(AND(BX615&lt;0,MAX($F615:$G615)=4500,$E615="Enerji Açığı"),4500*1.05*1.06*BX615,IF(AND(BX615&lt;0,MAX($F615:$G615)=4500,$E615="Enerji Fazlası"),4500*1.05*1.03*BX615,IF(AND(BX615&lt;0,$E615="Enerji Açığı"),MAX($F615,$G615,150)*BX615*1.06,IF(AND(BX615&lt;0,$E615="Enerji Fazlası"),MAX($F615,$G615,150)*BX615*1.03,IF(AND(BX615&lt;0,$E615="Dengede"),MAX($F615:$G615,150)*1.03*BX615,MIN($F615:$G615)*0.97*BX615)))))))))</f>
        <v/>
      </c>
      <c r="BZ615" s="34">
        <f>BE615-BV615-CA615</f>
        <v/>
      </c>
      <c r="CA615" s="34">
        <f>BD615</f>
        <v/>
      </c>
      <c r="CB615" s="33">
        <f>BE615-BV615</f>
        <v/>
      </c>
      <c r="CC615" s="34">
        <f>IF(AY615=0,0,CB615/AY615)</f>
        <v/>
      </c>
      <c r="CD615" s="34">
        <f>MAX((AY615+MAX((-J615+L615-N615+Q615-T615+X615),0)),(MAX((J615-L615+N615-Q615+T615-X615),0)))</f>
        <v/>
      </c>
      <c r="CE615" s="82">
        <f>IFERROR(ABS(BX615/CD615),0)</f>
        <v/>
      </c>
      <c r="CF615" s="34">
        <f>IF(CE615&lt;=0.1,0,BX615/CE615*(CE615-0.1))</f>
        <v/>
      </c>
      <c r="CG615" s="34">
        <f>IF((CF615)&lt;0,MAX(F615:G615)*(CF615)*1.03,MIN(F615:G615)*(CF615)*0.97)</f>
        <v/>
      </c>
      <c r="CH615" s="34">
        <f>IF(CE615&gt;0.1,1,0)</f>
        <v/>
      </c>
      <c r="CI615" s="34">
        <f>(F615*BX615)-BY615</f>
        <v/>
      </c>
      <c r="CJ615" s="34">
        <f>IF(AY615=0,0,CI615/AY615)</f>
        <v/>
      </c>
    </row>
    <row r="616">
      <c r="A616" s="29">
        <f>[1]FİYATLAR!A591</f>
        <v/>
      </c>
      <c r="B616" s="29">
        <f>[1]FİYATLAR!B615</f>
        <v/>
      </c>
      <c r="C616" s="35">
        <f>INT(A616)</f>
        <v/>
      </c>
      <c r="D616" s="36">
        <f>MONTH(A616)</f>
        <v/>
      </c>
      <c r="E616" s="147">
        <f>[1]FİYATLAR!G591</f>
        <v/>
      </c>
      <c r="F616" s="30">
        <f>[1]FİYATLAR!C591</f>
        <v/>
      </c>
      <c r="G616" s="30">
        <f>[1]FİYATLAR!E591</f>
        <v/>
      </c>
      <c r="H616" s="30">
        <f>[1]FİYATLAR!D591</f>
        <v/>
      </c>
      <c r="I616" s="30">
        <f>[1]FİYATLAR!F591</f>
        <v/>
      </c>
      <c r="J616" s="119" t="n">
        <v>0</v>
      </c>
      <c r="K616" s="34">
        <f>F616*J616</f>
        <v/>
      </c>
      <c r="L616" s="119" t="n"/>
      <c r="M616" s="34">
        <f>L616*F616</f>
        <v/>
      </c>
      <c r="N616" s="119" t="n"/>
      <c r="O616" s="34">
        <f>F616</f>
        <v/>
      </c>
      <c r="P616" s="34">
        <f>N616*O616</f>
        <v/>
      </c>
      <c r="Q616" s="117" t="n">
        <v>0</v>
      </c>
      <c r="R616" s="34">
        <f>F616</f>
        <v/>
      </c>
      <c r="S616" s="34">
        <f>R616*Q616</f>
        <v/>
      </c>
      <c r="T616" s="34">
        <f>SUMIFS('[1]GİP VERİLERİ'!$C:$C,'[1]GİP VERİLERİ'!$B:$B,A616,'[1]GİP VERİLERİ'!$M:$M,"40X000000104782K",'[1]GİP VERİLERİ'!$G:$G,"SELL")</f>
        <v/>
      </c>
      <c r="U616" s="34">
        <f>IFERROR(W616/T616,0)</f>
        <v/>
      </c>
      <c r="V616" s="34">
        <f>IF(U616=0,0,U616-F616)</f>
        <v/>
      </c>
      <c r="W616" s="34">
        <f>SUMIFS('[1]GİP VERİLERİ'!$O:$O,'[1]GİP VERİLERİ'!$B:$B,A616,'[1]GİP VERİLERİ'!$M:$M,"40X000000104782K",'[1]GİP VERİLERİ'!$G:$G,"SELL")</f>
        <v/>
      </c>
      <c r="X616" s="34">
        <f>SUMIFS('[1]GİP VERİLERİ'!$C:$C,'[1]GİP VERİLERİ'!$B:$B,A616,'[1]GİP VERİLERİ'!$M:$M,"40X000000104782K",'[1]GİP VERİLERİ'!$G:$G,"BUY")</f>
        <v/>
      </c>
      <c r="Y616" s="34">
        <f>IFERROR(AA616/X616,0)</f>
        <v/>
      </c>
      <c r="Z616" s="34">
        <f>IF(Y616=0,0,F616-Y616)</f>
        <v/>
      </c>
      <c r="AA616" s="34">
        <f>SUMIFS('[1]GİP VERİLERİ'!$O:$O,'[1]GİP VERİLERİ'!$B:$B,A616,'[1]GİP VERİLERİ'!$M:$M,"40X000000104782K",'[1]GİP VERİLERİ'!$G:$G,"BUY")</f>
        <v/>
      </c>
      <c r="AB616" s="34">
        <f>'[1]GÖP VERİLERİ'!H617</f>
        <v/>
      </c>
      <c r="AC616" s="34">
        <f>'[1]GÖP VERİLERİ'!I617</f>
        <v/>
      </c>
      <c r="AD616" s="34">
        <f>IF(AB616&gt;AC616*1.05,AB616-AC616*1.05,IF(AB616&lt;AC616*0.95,AC616*0.95-AB616,0))</f>
        <v/>
      </c>
      <c r="AE616" s="34">
        <f>MAX(F616,G616,750)*0.05*AD616</f>
        <v/>
      </c>
      <c r="AF616" s="34">
        <f>'[1]GÖP VERİLERİ'!J617</f>
        <v/>
      </c>
      <c r="AG616" s="34">
        <f>IF(AB616&gt;AF616*1.05,AB616-AF616*1.05,IF(AB616&lt;AF616*0.95,AF616*0.95-AB616,0))</f>
        <v/>
      </c>
      <c r="AH616" s="34">
        <f>MAX(I616,J616,750)*0.05*AG616</f>
        <v/>
      </c>
      <c r="AI616">
        <f>'[1]GÖP VERİLERİ'!E617</f>
        <v/>
      </c>
      <c r="AJ616">
        <f>'[1]GÖP VERİLERİ'!F617</f>
        <v/>
      </c>
      <c r="AK616" s="34">
        <f>IF(AI616&gt;AJ616*1.05,AI616-AJ616*1.05,IF(AI616&lt;AJ616*0.95,AJ616*0.95-AI616,0))</f>
        <v/>
      </c>
      <c r="AL616" s="34">
        <f>MAX(F616,G616,750)*0.05*AK616</f>
        <v/>
      </c>
      <c r="AM616" s="39">
        <f>'[1]GÖP VERİLERİ'!G617</f>
        <v/>
      </c>
      <c r="AN616" s="34">
        <f>IF(AI616&gt;AM616*1.05,AI616-AM616*1.05,IF(AI616&lt;AM616*0.95,AM616*0.95-AI616,0))</f>
        <v/>
      </c>
      <c r="AO616" s="34">
        <f>MAX(F616,G616,750)*0.05*AN616</f>
        <v/>
      </c>
      <c r="AP616" s="34">
        <f>'[1]GÖP VERİLERİ'!B617</f>
        <v/>
      </c>
      <c r="AQ616" s="34">
        <f>'[1]GÖP VERİLERİ'!C617</f>
        <v/>
      </c>
      <c r="AR616" s="34">
        <f>IF(AP616&gt;AQ616*1.05,AP616-AQ616*1.05,IF(AP616&lt;AQ616*0.95,AQ616*0.95-AP616,0))</f>
        <v/>
      </c>
      <c r="AS616" s="34">
        <f>MAX(F616:G616,750)*0.05*AR616</f>
        <v/>
      </c>
      <c r="AT616">
        <f>'[1]GÖP VERİLERİ'!D617</f>
        <v/>
      </c>
      <c r="AU616" s="34">
        <f>IF(AP616&gt;AT616*1.05,AP616-AT616*1.05,IF(AP616&lt;AT616*0.95,AT616*0.95-AP616,0))</f>
        <v/>
      </c>
      <c r="AV616" s="34">
        <f>MAX(F616:G616,750)*0.05*AU616</f>
        <v/>
      </c>
      <c r="AW616" s="34">
        <f>AC616+AJ616+AQ616</f>
        <v/>
      </c>
      <c r="AX616" s="34">
        <f>AF616+AM616+AT616</f>
        <v/>
      </c>
      <c r="AY616" s="34">
        <f>AB616+AI616+AP616</f>
        <v/>
      </c>
      <c r="AZ616" s="34" t="n">
        <v>0</v>
      </c>
      <c r="BA616" s="34">
        <f>AD616+AK616+AR616</f>
        <v/>
      </c>
      <c r="BB616" s="34">
        <f>MAX(F616:G616,750)*0.05*BA616</f>
        <v/>
      </c>
      <c r="BC616" s="34">
        <f>AG616+AN616+AU616</f>
        <v/>
      </c>
      <c r="BD616" s="34">
        <f>MAX(F616:G616,750)*0.05*BC616</f>
        <v/>
      </c>
      <c r="BE616" s="34">
        <f>F616*AY616</f>
        <v/>
      </c>
      <c r="BF616" s="34">
        <f>K616-M616</f>
        <v/>
      </c>
      <c r="BG616" s="34">
        <f>P616-S616</f>
        <v/>
      </c>
      <c r="BH616" s="34">
        <f>W616-AA616</f>
        <v/>
      </c>
      <c r="BI616" s="34">
        <f>BF616+BG616+BL616-BN616</f>
        <v/>
      </c>
      <c r="BJ616" s="34">
        <f>ABS(BK616)</f>
        <v/>
      </c>
      <c r="BK616" s="34">
        <f>AY616-(J616-L616+N616-Q616)</f>
        <v/>
      </c>
      <c r="BL616" s="34">
        <f>IF(AND(BK616&gt;0,MIN($F616:$G616)&lt;150,$E616="Enerji Açığı"),-100*BK616*1.03,IF(AND(BK616&gt;0,MIN($F616:$G616)&lt;150,$E616="Enerji Fazlası"),-100*BK616*1.06,IF(AND(BK616&gt;0,MIN($F616:$G616)&gt;=150,$E616="Enerji Açığı"),BK616*MIN($F616:$G616)*0.97,IF(AND(BK616&gt;0,MIN($F616:$G616)&gt;=150,$E616="Enerji Fazlası"),BK616*MIN($F616:$G616)*0.94,IF(AND(BK616&lt;0,MAX($F616:$G616)=4500,$E616="Enerji Açığı"),4500*1.05*1.06*BK616,IF(AND(BK616&lt;0,MAX($F616:$G616)=4500,$E616="Enerji Fazlası"),4500*1.05*1.03*BK616,IF(AND(BK616&lt;0,$E616="Enerji Açığı"),MAX($F616,$G616,150)*BK616*1.06,IF(AND(BK616&lt;0,$E616="Enerji Fazlası"),MAX($F616,$G616,150)*BK616*1.03,IF(AND(BK616&lt;0,$E616="Dengede"),MAX($F616:$G616,150)*1.03*BK616,MIN($F616:$G616)*0.97*BK616)))))))))</f>
        <v/>
      </c>
      <c r="BM616" s="34">
        <f>BE616-BI616-BN616</f>
        <v/>
      </c>
      <c r="BN616" s="34">
        <f>BB616</f>
        <v/>
      </c>
      <c r="BO616" s="34">
        <f>BE616-BI616</f>
        <v/>
      </c>
      <c r="BP616" s="34">
        <f>IF(AY616=0,0,BO616/AY616)</f>
        <v/>
      </c>
      <c r="BQ616" s="34">
        <f>MAX((AY616+MAX((-J616+L616-N616+Q616),0)),(MAX((J616-L616+N616-Q616),0)))</f>
        <v/>
      </c>
      <c r="BR616" s="82">
        <f>IFERROR(ABS(BK616/BQ616),0)</f>
        <v/>
      </c>
      <c r="BS616" s="34">
        <f>IF(BR616&lt;=0.1,0,BK616/BR616*(BR616-0.1))</f>
        <v/>
      </c>
      <c r="BT616" s="34">
        <f>IF((BS616)&lt;0,MAX(F616:G616)*(BS616)*1.03,MIN(F616:G616)*(BS616)*0.97)</f>
        <v/>
      </c>
      <c r="BU616" s="34">
        <f>IF(BR616&gt;0.1,1,0)</f>
        <v/>
      </c>
      <c r="BV616" s="34">
        <f>BF616+BG616+BH616+BY616-CA616</f>
        <v/>
      </c>
      <c r="BW616" s="34">
        <f>ABS(BX616)</f>
        <v/>
      </c>
      <c r="BX616" s="34">
        <f>AY616-(J616-L616+N616-Q616+T616-X616)</f>
        <v/>
      </c>
      <c r="BY616" s="34">
        <f>IF(AND(BX616&gt;0,MIN($F616:$G616)&lt;150,$E616="Enerji Açığı"),-100*BX616*1.03,IF(AND(BX616&gt;0,MIN($F616:$G616)&lt;150,$E616="Enerji Fazlası"),-100*BX616*1.06,IF(AND(BX616&gt;0,MIN($F616:$G616)&gt;=150,$E616="Enerji Açığı"),BX616*MIN($F616:$G616)*0.97,IF(AND(BX616&gt;0,MIN($F616:$G616)&gt;=150,$E616="Enerji Fazlası"),BX616*MIN($F616:$G616)*0.94,IF(AND(BX616&lt;0,MAX($F616:$G616)=4500,$E616="Enerji Açığı"),4500*1.05*1.06*BX616,IF(AND(BX616&lt;0,MAX($F616:$G616)=4500,$E616="Enerji Fazlası"),4500*1.05*1.03*BX616,IF(AND(BX616&lt;0,$E616="Enerji Açığı"),MAX($F616,$G616,150)*BX616*1.06,IF(AND(BX616&lt;0,$E616="Enerji Fazlası"),MAX($F616,$G616,150)*BX616*1.03,IF(AND(BX616&lt;0,$E616="Dengede"),MAX($F616:$G616,150)*1.03*BX616,MIN($F616:$G616)*0.97*BX616)))))))))</f>
        <v/>
      </c>
      <c r="BZ616" s="34">
        <f>BE616-BV616-CA616</f>
        <v/>
      </c>
      <c r="CA616" s="34">
        <f>BD616</f>
        <v/>
      </c>
      <c r="CB616" s="33">
        <f>BE616-BV616</f>
        <v/>
      </c>
      <c r="CC616" s="34">
        <f>IF(AY616=0,0,CB616/AY616)</f>
        <v/>
      </c>
      <c r="CD616" s="34">
        <f>MAX((AY616+MAX((-J616+L616-N616+Q616-T616+X616),0)),(MAX((J616-L616+N616-Q616+T616-X616),0)))</f>
        <v/>
      </c>
      <c r="CE616" s="82">
        <f>IFERROR(ABS(BX616/CD616),0)</f>
        <v/>
      </c>
      <c r="CF616" s="34">
        <f>IF(CE616&lt;=0.1,0,BX616/CE616*(CE616-0.1))</f>
        <v/>
      </c>
      <c r="CG616" s="34">
        <f>IF((CF616)&lt;0,MAX(F616:G616)*(CF616)*1.03,MIN(F616:G616)*(CF616)*0.97)</f>
        <v/>
      </c>
      <c r="CH616" s="34">
        <f>IF(CE616&gt;0.1,1,0)</f>
        <v/>
      </c>
      <c r="CI616" s="34">
        <f>(F616*BX616)-BY616</f>
        <v/>
      </c>
      <c r="CJ616" s="34">
        <f>IF(AY616=0,0,CI616/AY616)</f>
        <v/>
      </c>
    </row>
    <row r="617">
      <c r="A617" s="29">
        <f>[1]FİYATLAR!A592</f>
        <v/>
      </c>
      <c r="B617" s="29">
        <f>[1]FİYATLAR!B616</f>
        <v/>
      </c>
      <c r="C617" s="35">
        <f>INT(A617)</f>
        <v/>
      </c>
      <c r="D617" s="36">
        <f>MONTH(A617)</f>
        <v/>
      </c>
      <c r="E617" s="147">
        <f>[1]FİYATLAR!G592</f>
        <v/>
      </c>
      <c r="F617" s="30">
        <f>[1]FİYATLAR!C592</f>
        <v/>
      </c>
      <c r="G617" s="30">
        <f>[1]FİYATLAR!E592</f>
        <v/>
      </c>
      <c r="H617" s="30">
        <f>[1]FİYATLAR!D592</f>
        <v/>
      </c>
      <c r="I617" s="30">
        <f>[1]FİYATLAR!F592</f>
        <v/>
      </c>
      <c r="J617" s="119" t="n">
        <v>0</v>
      </c>
      <c r="K617" s="34">
        <f>F617*J617</f>
        <v/>
      </c>
      <c r="L617" s="119" t="n"/>
      <c r="M617" s="34">
        <f>L617*F617</f>
        <v/>
      </c>
      <c r="N617" s="119" t="n"/>
      <c r="O617" s="34">
        <f>F617</f>
        <v/>
      </c>
      <c r="P617" s="34">
        <f>N617*O617</f>
        <v/>
      </c>
      <c r="Q617" s="117" t="n">
        <v>0</v>
      </c>
      <c r="R617" s="34">
        <f>F617</f>
        <v/>
      </c>
      <c r="S617" s="34">
        <f>R617*Q617</f>
        <v/>
      </c>
      <c r="T617" s="34">
        <f>SUMIFS('[1]GİP VERİLERİ'!$C:$C,'[1]GİP VERİLERİ'!$B:$B,A617,'[1]GİP VERİLERİ'!$M:$M,"40X000000104782K",'[1]GİP VERİLERİ'!$G:$G,"SELL")</f>
        <v/>
      </c>
      <c r="U617" s="34">
        <f>IFERROR(W617/T617,0)</f>
        <v/>
      </c>
      <c r="V617" s="34">
        <f>IF(U617=0,0,U617-F617)</f>
        <v/>
      </c>
      <c r="W617" s="34">
        <f>SUMIFS('[1]GİP VERİLERİ'!$O:$O,'[1]GİP VERİLERİ'!$B:$B,A617,'[1]GİP VERİLERİ'!$M:$M,"40X000000104782K",'[1]GİP VERİLERİ'!$G:$G,"SELL")</f>
        <v/>
      </c>
      <c r="X617" s="34">
        <f>SUMIFS('[1]GİP VERİLERİ'!$C:$C,'[1]GİP VERİLERİ'!$B:$B,A617,'[1]GİP VERİLERİ'!$M:$M,"40X000000104782K",'[1]GİP VERİLERİ'!$G:$G,"BUY")</f>
        <v/>
      </c>
      <c r="Y617" s="34">
        <f>IFERROR(AA617/X617,0)</f>
        <v/>
      </c>
      <c r="Z617" s="34">
        <f>IF(Y617=0,0,F617-Y617)</f>
        <v/>
      </c>
      <c r="AA617" s="34">
        <f>SUMIFS('[1]GİP VERİLERİ'!$O:$O,'[1]GİP VERİLERİ'!$B:$B,A617,'[1]GİP VERİLERİ'!$M:$M,"40X000000104782K",'[1]GİP VERİLERİ'!$G:$G,"BUY")</f>
        <v/>
      </c>
      <c r="AB617" s="34">
        <f>'[1]GÖP VERİLERİ'!H618</f>
        <v/>
      </c>
      <c r="AC617" s="34">
        <f>'[1]GÖP VERİLERİ'!I618</f>
        <v/>
      </c>
      <c r="AD617" s="34">
        <f>IF(AB617&gt;AC617*1.05,AB617-AC617*1.05,IF(AB617&lt;AC617*0.95,AC617*0.95-AB617,0))</f>
        <v/>
      </c>
      <c r="AE617" s="34">
        <f>MAX(F617,G617,750)*0.05*AD617</f>
        <v/>
      </c>
      <c r="AF617" s="34">
        <f>'[1]GÖP VERİLERİ'!J618</f>
        <v/>
      </c>
      <c r="AG617" s="34">
        <f>IF(AB617&gt;AF617*1.05,AB617-AF617*1.05,IF(AB617&lt;AF617*0.95,AF617*0.95-AB617,0))</f>
        <v/>
      </c>
      <c r="AH617" s="34">
        <f>MAX(I617,J617,750)*0.05*AG617</f>
        <v/>
      </c>
      <c r="AI617">
        <f>'[1]GÖP VERİLERİ'!E618</f>
        <v/>
      </c>
      <c r="AJ617">
        <f>'[1]GÖP VERİLERİ'!F618</f>
        <v/>
      </c>
      <c r="AK617" s="34">
        <f>IF(AI617&gt;AJ617*1.05,AI617-AJ617*1.05,IF(AI617&lt;AJ617*0.95,AJ617*0.95-AI617,0))</f>
        <v/>
      </c>
      <c r="AL617" s="34">
        <f>MAX(F617,G617,750)*0.05*AK617</f>
        <v/>
      </c>
      <c r="AM617" s="39">
        <f>'[1]GÖP VERİLERİ'!G618</f>
        <v/>
      </c>
      <c r="AN617" s="34">
        <f>IF(AI617&gt;AM617*1.05,AI617-AM617*1.05,IF(AI617&lt;AM617*0.95,AM617*0.95-AI617,0))</f>
        <v/>
      </c>
      <c r="AO617" s="34">
        <f>MAX(F617,G617,750)*0.05*AN617</f>
        <v/>
      </c>
      <c r="AP617" s="34">
        <f>'[1]GÖP VERİLERİ'!B618</f>
        <v/>
      </c>
      <c r="AQ617" s="34">
        <f>'[1]GÖP VERİLERİ'!C618</f>
        <v/>
      </c>
      <c r="AR617" s="34">
        <f>IF(AP617&gt;AQ617*1.05,AP617-AQ617*1.05,IF(AP617&lt;AQ617*0.95,AQ617*0.95-AP617,0))</f>
        <v/>
      </c>
      <c r="AS617" s="34">
        <f>MAX(F617:G617,750)*0.05*AR617</f>
        <v/>
      </c>
      <c r="AT617">
        <f>'[1]GÖP VERİLERİ'!D618</f>
        <v/>
      </c>
      <c r="AU617" s="34">
        <f>IF(AP617&gt;AT617*1.05,AP617-AT617*1.05,IF(AP617&lt;AT617*0.95,AT617*0.95-AP617,0))</f>
        <v/>
      </c>
      <c r="AV617" s="34">
        <f>MAX(F617:G617,750)*0.05*AU617</f>
        <v/>
      </c>
      <c r="AW617" s="34">
        <f>AC617+AJ617+AQ617</f>
        <v/>
      </c>
      <c r="AX617" s="34">
        <f>AF617+AM617+AT617</f>
        <v/>
      </c>
      <c r="AY617" s="34">
        <f>AB617+AI617+AP617</f>
        <v/>
      </c>
      <c r="AZ617" s="34" t="n">
        <v>0</v>
      </c>
      <c r="BA617" s="34">
        <f>AD617+AK617+AR617</f>
        <v/>
      </c>
      <c r="BB617" s="34">
        <f>MAX(F617:G617,750)*0.05*BA617</f>
        <v/>
      </c>
      <c r="BC617" s="34">
        <f>AG617+AN617+AU617</f>
        <v/>
      </c>
      <c r="BD617" s="34">
        <f>MAX(F617:G617,750)*0.05*BC617</f>
        <v/>
      </c>
      <c r="BE617" s="34">
        <f>F617*AY617</f>
        <v/>
      </c>
      <c r="BF617" s="34">
        <f>K617-M617</f>
        <v/>
      </c>
      <c r="BG617" s="34">
        <f>P617-S617</f>
        <v/>
      </c>
      <c r="BH617" s="34">
        <f>W617-AA617</f>
        <v/>
      </c>
      <c r="BI617" s="34">
        <f>BF617+BG617+BL617-BN617</f>
        <v/>
      </c>
      <c r="BJ617" s="34">
        <f>ABS(BK617)</f>
        <v/>
      </c>
      <c r="BK617" s="34">
        <f>AY617-(J617-L617+N617-Q617)</f>
        <v/>
      </c>
      <c r="BL617" s="34">
        <f>IF(AND(BK617&gt;0,MIN($F617:$G617)&lt;150,$E617="Enerji Açığı"),-100*BK617*1.03,IF(AND(BK617&gt;0,MIN($F617:$G617)&lt;150,$E617="Enerji Fazlası"),-100*BK617*1.06,IF(AND(BK617&gt;0,MIN($F617:$G617)&gt;=150,$E617="Enerji Açığı"),BK617*MIN($F617:$G617)*0.97,IF(AND(BK617&gt;0,MIN($F617:$G617)&gt;=150,$E617="Enerji Fazlası"),BK617*MIN($F617:$G617)*0.94,IF(AND(BK617&lt;0,MAX($F617:$G617)=4500,$E617="Enerji Açığı"),4500*1.05*1.06*BK617,IF(AND(BK617&lt;0,MAX($F617:$G617)=4500,$E617="Enerji Fazlası"),4500*1.05*1.03*BK617,IF(AND(BK617&lt;0,$E617="Enerji Açığı"),MAX($F617,$G617,150)*BK617*1.06,IF(AND(BK617&lt;0,$E617="Enerji Fazlası"),MAX($F617,$G617,150)*BK617*1.03,IF(AND(BK617&lt;0,$E617="Dengede"),MAX($F617:$G617,150)*1.03*BK617,MIN($F617:$G617)*0.97*BK617)))))))))</f>
        <v/>
      </c>
      <c r="BM617" s="34">
        <f>BE617-BI617-BN617</f>
        <v/>
      </c>
      <c r="BN617" s="34">
        <f>BB617</f>
        <v/>
      </c>
      <c r="BO617" s="34">
        <f>BE617-BI617</f>
        <v/>
      </c>
      <c r="BP617" s="34">
        <f>IF(AY617=0,0,BO617/AY617)</f>
        <v/>
      </c>
      <c r="BQ617" s="34">
        <f>MAX((AY617+MAX((-J617+L617-N617+Q617),0)),(MAX((J617-L617+N617-Q617),0)))</f>
        <v/>
      </c>
      <c r="BR617" s="82">
        <f>IFERROR(ABS(BK617/BQ617),0)</f>
        <v/>
      </c>
      <c r="BS617" s="34">
        <f>IF(BR617&lt;=0.1,0,BK617/BR617*(BR617-0.1))</f>
        <v/>
      </c>
      <c r="BT617" s="34">
        <f>IF((BS617)&lt;0,MAX(F617:G617)*(BS617)*1.03,MIN(F617:G617)*(BS617)*0.97)</f>
        <v/>
      </c>
      <c r="BU617" s="34">
        <f>IF(BR617&gt;0.1,1,0)</f>
        <v/>
      </c>
      <c r="BV617" s="34">
        <f>BF617+BG617+BH617+BY617-CA617</f>
        <v/>
      </c>
      <c r="BW617" s="34">
        <f>ABS(BX617)</f>
        <v/>
      </c>
      <c r="BX617" s="34">
        <f>AY617-(J617-L617+N617-Q617+T617-X617)</f>
        <v/>
      </c>
      <c r="BY617" s="34">
        <f>IF(AND(BX617&gt;0,MIN($F617:$G617)&lt;150,$E617="Enerji Açığı"),-100*BX617*1.03,IF(AND(BX617&gt;0,MIN($F617:$G617)&lt;150,$E617="Enerji Fazlası"),-100*BX617*1.06,IF(AND(BX617&gt;0,MIN($F617:$G617)&gt;=150,$E617="Enerji Açığı"),BX617*MIN($F617:$G617)*0.97,IF(AND(BX617&gt;0,MIN($F617:$G617)&gt;=150,$E617="Enerji Fazlası"),BX617*MIN($F617:$G617)*0.94,IF(AND(BX617&lt;0,MAX($F617:$G617)=4500,$E617="Enerji Açığı"),4500*1.05*1.06*BX617,IF(AND(BX617&lt;0,MAX($F617:$G617)=4500,$E617="Enerji Fazlası"),4500*1.05*1.03*BX617,IF(AND(BX617&lt;0,$E617="Enerji Açığı"),MAX($F617,$G617,150)*BX617*1.06,IF(AND(BX617&lt;0,$E617="Enerji Fazlası"),MAX($F617,$G617,150)*BX617*1.03,IF(AND(BX617&lt;0,$E617="Dengede"),MAX($F617:$G617,150)*1.03*BX617,MIN($F617:$G617)*0.97*BX617)))))))))</f>
        <v/>
      </c>
      <c r="BZ617" s="34">
        <f>BE617-BV617-CA617</f>
        <v/>
      </c>
      <c r="CA617" s="34">
        <f>BD617</f>
        <v/>
      </c>
      <c r="CB617" s="33">
        <f>BE617-BV617</f>
        <v/>
      </c>
      <c r="CC617" s="34">
        <f>IF(AY617=0,0,CB617/AY617)</f>
        <v/>
      </c>
      <c r="CD617" s="34">
        <f>MAX((AY617+MAX((-J617+L617-N617+Q617-T617+X617),0)),(MAX((J617-L617+N617-Q617+T617-X617),0)))</f>
        <v/>
      </c>
      <c r="CE617" s="82">
        <f>IFERROR(ABS(BX617/CD617),0)</f>
        <v/>
      </c>
      <c r="CF617" s="34">
        <f>IF(CE617&lt;=0.1,0,BX617/CE617*(CE617-0.1))</f>
        <v/>
      </c>
      <c r="CG617" s="34">
        <f>IF((CF617)&lt;0,MAX(F617:G617)*(CF617)*1.03,MIN(F617:G617)*(CF617)*0.97)</f>
        <v/>
      </c>
      <c r="CH617" s="34">
        <f>IF(CE617&gt;0.1,1,0)</f>
        <v/>
      </c>
      <c r="CI617" s="34">
        <f>(F617*BX617)-BY617</f>
        <v/>
      </c>
      <c r="CJ617" s="34">
        <f>IF(AY617=0,0,CI617/AY617)</f>
        <v/>
      </c>
    </row>
    <row r="618">
      <c r="A618" s="29">
        <f>[1]FİYATLAR!A593</f>
        <v/>
      </c>
      <c r="B618" s="29">
        <f>[1]FİYATLAR!B617</f>
        <v/>
      </c>
      <c r="C618" s="35">
        <f>INT(A618)</f>
        <v/>
      </c>
      <c r="D618" s="36">
        <f>MONTH(A618)</f>
        <v/>
      </c>
      <c r="E618" s="147">
        <f>[1]FİYATLAR!G593</f>
        <v/>
      </c>
      <c r="F618" s="30">
        <f>[1]FİYATLAR!C593</f>
        <v/>
      </c>
      <c r="G618" s="30">
        <f>[1]FİYATLAR!E593</f>
        <v/>
      </c>
      <c r="H618" s="30">
        <f>[1]FİYATLAR!D593</f>
        <v/>
      </c>
      <c r="I618" s="30">
        <f>[1]FİYATLAR!F593</f>
        <v/>
      </c>
      <c r="J618" s="119" t="n">
        <v>0</v>
      </c>
      <c r="K618" s="34">
        <f>F618*J618</f>
        <v/>
      </c>
      <c r="L618" s="119" t="n"/>
      <c r="M618" s="34">
        <f>L618*F618</f>
        <v/>
      </c>
      <c r="N618" s="119" t="n"/>
      <c r="O618" s="34">
        <f>F618</f>
        <v/>
      </c>
      <c r="P618" s="34">
        <f>N618*O618</f>
        <v/>
      </c>
      <c r="Q618" s="117" t="n">
        <v>0</v>
      </c>
      <c r="R618" s="34">
        <f>F618</f>
        <v/>
      </c>
      <c r="S618" s="34">
        <f>R618*Q618</f>
        <v/>
      </c>
      <c r="T618" s="34">
        <f>SUMIFS('[1]GİP VERİLERİ'!$C:$C,'[1]GİP VERİLERİ'!$B:$B,A618,'[1]GİP VERİLERİ'!$M:$M,"40X000000104782K",'[1]GİP VERİLERİ'!$G:$G,"SELL")</f>
        <v/>
      </c>
      <c r="U618" s="34">
        <f>IFERROR(W618/T618,0)</f>
        <v/>
      </c>
      <c r="V618" s="34">
        <f>IF(U618=0,0,U618-F618)</f>
        <v/>
      </c>
      <c r="W618" s="34">
        <f>SUMIFS('[1]GİP VERİLERİ'!$O:$O,'[1]GİP VERİLERİ'!$B:$B,A618,'[1]GİP VERİLERİ'!$M:$M,"40X000000104782K",'[1]GİP VERİLERİ'!$G:$G,"SELL")</f>
        <v/>
      </c>
      <c r="X618" s="34">
        <f>SUMIFS('[1]GİP VERİLERİ'!$C:$C,'[1]GİP VERİLERİ'!$B:$B,A618,'[1]GİP VERİLERİ'!$M:$M,"40X000000104782K",'[1]GİP VERİLERİ'!$G:$G,"BUY")</f>
        <v/>
      </c>
      <c r="Y618" s="34">
        <f>IFERROR(AA618/X618,0)</f>
        <v/>
      </c>
      <c r="Z618" s="34">
        <f>IF(Y618=0,0,F618-Y618)</f>
        <v/>
      </c>
      <c r="AA618" s="34">
        <f>SUMIFS('[1]GİP VERİLERİ'!$O:$O,'[1]GİP VERİLERİ'!$B:$B,A618,'[1]GİP VERİLERİ'!$M:$M,"40X000000104782K",'[1]GİP VERİLERİ'!$G:$G,"BUY")</f>
        <v/>
      </c>
      <c r="AB618" s="34">
        <f>'[1]GÖP VERİLERİ'!H619</f>
        <v/>
      </c>
      <c r="AC618" s="34">
        <f>'[1]GÖP VERİLERİ'!I619</f>
        <v/>
      </c>
      <c r="AD618" s="34">
        <f>IF(AB618&gt;AC618*1.05,AB618-AC618*1.05,IF(AB618&lt;AC618*0.95,AC618*0.95-AB618,0))</f>
        <v/>
      </c>
      <c r="AE618" s="34">
        <f>MAX(F618,G618,750)*0.05*AD618</f>
        <v/>
      </c>
      <c r="AF618" s="34">
        <f>'[1]GÖP VERİLERİ'!J619</f>
        <v/>
      </c>
      <c r="AG618" s="34">
        <f>IF(AB618&gt;AF618*1.05,AB618-AF618*1.05,IF(AB618&lt;AF618*0.95,AF618*0.95-AB618,0))</f>
        <v/>
      </c>
      <c r="AH618" s="34">
        <f>MAX(I618,J618,750)*0.05*AG618</f>
        <v/>
      </c>
      <c r="AI618">
        <f>'[1]GÖP VERİLERİ'!E619</f>
        <v/>
      </c>
      <c r="AJ618">
        <f>'[1]GÖP VERİLERİ'!F619</f>
        <v/>
      </c>
      <c r="AK618" s="34">
        <f>IF(AI618&gt;AJ618*1.05,AI618-AJ618*1.05,IF(AI618&lt;AJ618*0.95,AJ618*0.95-AI618,0))</f>
        <v/>
      </c>
      <c r="AL618" s="34">
        <f>MAX(F618,G618,750)*0.05*AK618</f>
        <v/>
      </c>
      <c r="AM618" s="39">
        <f>'[1]GÖP VERİLERİ'!G619</f>
        <v/>
      </c>
      <c r="AN618" s="34">
        <f>IF(AI618&gt;AM618*1.05,AI618-AM618*1.05,IF(AI618&lt;AM618*0.95,AM618*0.95-AI618,0))</f>
        <v/>
      </c>
      <c r="AO618" s="34">
        <f>MAX(F618,G618,750)*0.05*AN618</f>
        <v/>
      </c>
      <c r="AP618" s="34">
        <f>'[1]GÖP VERİLERİ'!B619</f>
        <v/>
      </c>
      <c r="AQ618" s="34">
        <f>'[1]GÖP VERİLERİ'!C619</f>
        <v/>
      </c>
      <c r="AR618" s="34">
        <f>IF(AP618&gt;AQ618*1.05,AP618-AQ618*1.05,IF(AP618&lt;AQ618*0.95,AQ618*0.95-AP618,0))</f>
        <v/>
      </c>
      <c r="AS618" s="34">
        <f>MAX(F618:G618,750)*0.05*AR618</f>
        <v/>
      </c>
      <c r="AT618">
        <f>'[1]GÖP VERİLERİ'!D619</f>
        <v/>
      </c>
      <c r="AU618" s="34">
        <f>IF(AP618&gt;AT618*1.05,AP618-AT618*1.05,IF(AP618&lt;AT618*0.95,AT618*0.95-AP618,0))</f>
        <v/>
      </c>
      <c r="AV618" s="34">
        <f>MAX(F618:G618,750)*0.05*AU618</f>
        <v/>
      </c>
      <c r="AW618" s="34">
        <f>AC618+AJ618+AQ618</f>
        <v/>
      </c>
      <c r="AX618" s="34">
        <f>AF618+AM618+AT618</f>
        <v/>
      </c>
      <c r="AY618" s="34">
        <f>AB618+AI618+AP618</f>
        <v/>
      </c>
      <c r="AZ618" s="34" t="n">
        <v>0</v>
      </c>
      <c r="BA618" s="34">
        <f>AD618+AK618+AR618</f>
        <v/>
      </c>
      <c r="BB618" s="34">
        <f>MAX(F618:G618,750)*0.05*BA618</f>
        <v/>
      </c>
      <c r="BC618" s="34">
        <f>AG618+AN618+AU618</f>
        <v/>
      </c>
      <c r="BD618" s="34">
        <f>MAX(F618:G618,750)*0.05*BC618</f>
        <v/>
      </c>
      <c r="BE618" s="34">
        <f>F618*AY618</f>
        <v/>
      </c>
      <c r="BF618" s="34">
        <f>K618-M618</f>
        <v/>
      </c>
      <c r="BG618" s="34">
        <f>P618-S618</f>
        <v/>
      </c>
      <c r="BH618" s="34">
        <f>W618-AA618</f>
        <v/>
      </c>
      <c r="BI618" s="34">
        <f>BF618+BG618+BL618-BN618</f>
        <v/>
      </c>
      <c r="BJ618" s="34">
        <f>ABS(BK618)</f>
        <v/>
      </c>
      <c r="BK618" s="34">
        <f>AY618-(J618-L618+N618-Q618)</f>
        <v/>
      </c>
      <c r="BL618" s="34">
        <f>IF(AND(BK618&gt;0,MIN($F618:$G618)&lt;150,$E618="Enerji Açığı"),-100*BK618*1.03,IF(AND(BK618&gt;0,MIN($F618:$G618)&lt;150,$E618="Enerji Fazlası"),-100*BK618*1.06,IF(AND(BK618&gt;0,MIN($F618:$G618)&gt;=150,$E618="Enerji Açığı"),BK618*MIN($F618:$G618)*0.97,IF(AND(BK618&gt;0,MIN($F618:$G618)&gt;=150,$E618="Enerji Fazlası"),BK618*MIN($F618:$G618)*0.94,IF(AND(BK618&lt;0,MAX($F618:$G618)=4500,$E618="Enerji Açığı"),4500*1.05*1.06*BK618,IF(AND(BK618&lt;0,MAX($F618:$G618)=4500,$E618="Enerji Fazlası"),4500*1.05*1.03*BK618,IF(AND(BK618&lt;0,$E618="Enerji Açığı"),MAX($F618,$G618,150)*BK618*1.06,IF(AND(BK618&lt;0,$E618="Enerji Fazlası"),MAX($F618,$G618,150)*BK618*1.03,IF(AND(BK618&lt;0,$E618="Dengede"),MAX($F618:$G618,150)*1.03*BK618,MIN($F618:$G618)*0.97*BK618)))))))))</f>
        <v/>
      </c>
      <c r="BM618" s="34">
        <f>BE618-BI618-BN618</f>
        <v/>
      </c>
      <c r="BN618" s="34">
        <f>BB618</f>
        <v/>
      </c>
      <c r="BO618" s="34">
        <f>BE618-BI618</f>
        <v/>
      </c>
      <c r="BP618" s="34">
        <f>IF(AY618=0,0,BO618/AY618)</f>
        <v/>
      </c>
      <c r="BQ618" s="34">
        <f>MAX((AY618+MAX((-J618+L618-N618+Q618),0)),(MAX((J618-L618+N618-Q618),0)))</f>
        <v/>
      </c>
      <c r="BR618" s="82">
        <f>IFERROR(ABS(BK618/BQ618),0)</f>
        <v/>
      </c>
      <c r="BS618" s="34">
        <f>IF(BR618&lt;=0.1,0,BK618/BR618*(BR618-0.1))</f>
        <v/>
      </c>
      <c r="BT618" s="34">
        <f>IF((BS618)&lt;0,MAX(F618:G618)*(BS618)*1.03,MIN(F618:G618)*(BS618)*0.97)</f>
        <v/>
      </c>
      <c r="BU618" s="34">
        <f>IF(BR618&gt;0.1,1,0)</f>
        <v/>
      </c>
      <c r="BV618" s="34">
        <f>BF618+BG618+BH618+BY618-CA618</f>
        <v/>
      </c>
      <c r="BW618" s="34">
        <f>ABS(BX618)</f>
        <v/>
      </c>
      <c r="BX618" s="34">
        <f>AY618-(J618-L618+N618-Q618+T618-X618)</f>
        <v/>
      </c>
      <c r="BY618" s="34">
        <f>IF(AND(BX618&gt;0,MIN($F618:$G618)&lt;150,$E618="Enerji Açığı"),-100*BX618*1.03,IF(AND(BX618&gt;0,MIN($F618:$G618)&lt;150,$E618="Enerji Fazlası"),-100*BX618*1.06,IF(AND(BX618&gt;0,MIN($F618:$G618)&gt;=150,$E618="Enerji Açığı"),BX618*MIN($F618:$G618)*0.97,IF(AND(BX618&gt;0,MIN($F618:$G618)&gt;=150,$E618="Enerji Fazlası"),BX618*MIN($F618:$G618)*0.94,IF(AND(BX618&lt;0,MAX($F618:$G618)=4500,$E618="Enerji Açığı"),4500*1.05*1.06*BX618,IF(AND(BX618&lt;0,MAX($F618:$G618)=4500,$E618="Enerji Fazlası"),4500*1.05*1.03*BX618,IF(AND(BX618&lt;0,$E618="Enerji Açığı"),MAX($F618,$G618,150)*BX618*1.06,IF(AND(BX618&lt;0,$E618="Enerji Fazlası"),MAX($F618,$G618,150)*BX618*1.03,IF(AND(BX618&lt;0,$E618="Dengede"),MAX($F618:$G618,150)*1.03*BX618,MIN($F618:$G618)*0.97*BX618)))))))))</f>
        <v/>
      </c>
      <c r="BZ618" s="34">
        <f>BE618-BV618-CA618</f>
        <v/>
      </c>
      <c r="CA618" s="34">
        <f>BD618</f>
        <v/>
      </c>
      <c r="CB618" s="33">
        <f>BE618-BV618</f>
        <v/>
      </c>
      <c r="CC618" s="34">
        <f>IF(AY618=0,0,CB618/AY618)</f>
        <v/>
      </c>
      <c r="CD618" s="34">
        <f>MAX((AY618+MAX((-J618+L618-N618+Q618-T618+X618),0)),(MAX((J618-L618+N618-Q618+T618-X618),0)))</f>
        <v/>
      </c>
      <c r="CE618" s="82">
        <f>IFERROR(ABS(BX618/CD618),0)</f>
        <v/>
      </c>
      <c r="CF618" s="34">
        <f>IF(CE618&lt;=0.1,0,BX618/CE618*(CE618-0.1))</f>
        <v/>
      </c>
      <c r="CG618" s="34">
        <f>IF((CF618)&lt;0,MAX(F618:G618)*(CF618)*1.03,MIN(F618:G618)*(CF618)*0.97)</f>
        <v/>
      </c>
      <c r="CH618" s="34">
        <f>IF(CE618&gt;0.1,1,0)</f>
        <v/>
      </c>
      <c r="CI618" s="34">
        <f>(F618*BX618)-BY618</f>
        <v/>
      </c>
      <c r="CJ618" s="34">
        <f>IF(AY618=0,0,CI618/AY618)</f>
        <v/>
      </c>
    </row>
    <row r="619">
      <c r="A619" s="29">
        <f>[1]FİYATLAR!A594</f>
        <v/>
      </c>
      <c r="B619" s="29">
        <f>[1]FİYATLAR!B618</f>
        <v/>
      </c>
      <c r="C619" s="35">
        <f>INT(A619)</f>
        <v/>
      </c>
      <c r="D619" s="36">
        <f>MONTH(A619)</f>
        <v/>
      </c>
      <c r="E619" s="147">
        <f>[1]FİYATLAR!G594</f>
        <v/>
      </c>
      <c r="F619" s="30">
        <f>[1]FİYATLAR!C594</f>
        <v/>
      </c>
      <c r="G619" s="30">
        <f>[1]FİYATLAR!E594</f>
        <v/>
      </c>
      <c r="H619" s="30">
        <f>[1]FİYATLAR!D594</f>
        <v/>
      </c>
      <c r="I619" s="30">
        <f>[1]FİYATLAR!F594</f>
        <v/>
      </c>
      <c r="J619" s="119" t="n">
        <v>0</v>
      </c>
      <c r="K619" s="34">
        <f>F619*J619</f>
        <v/>
      </c>
      <c r="L619" s="119" t="n"/>
      <c r="M619" s="34">
        <f>L619*F619</f>
        <v/>
      </c>
      <c r="N619" s="119" t="n"/>
      <c r="O619" s="34">
        <f>F619</f>
        <v/>
      </c>
      <c r="P619" s="34">
        <f>N619*O619</f>
        <v/>
      </c>
      <c r="Q619" s="117" t="n">
        <v>0</v>
      </c>
      <c r="R619" s="34">
        <f>F619</f>
        <v/>
      </c>
      <c r="S619" s="34">
        <f>R619*Q619</f>
        <v/>
      </c>
      <c r="T619" s="34">
        <f>SUMIFS('[1]GİP VERİLERİ'!$C:$C,'[1]GİP VERİLERİ'!$B:$B,A619,'[1]GİP VERİLERİ'!$M:$M,"40X000000104782K",'[1]GİP VERİLERİ'!$G:$G,"SELL")</f>
        <v/>
      </c>
      <c r="U619" s="34">
        <f>IFERROR(W619/T619,0)</f>
        <v/>
      </c>
      <c r="V619" s="34">
        <f>IF(U619=0,0,U619-F619)</f>
        <v/>
      </c>
      <c r="W619" s="34">
        <f>SUMIFS('[1]GİP VERİLERİ'!$O:$O,'[1]GİP VERİLERİ'!$B:$B,A619,'[1]GİP VERİLERİ'!$M:$M,"40X000000104782K",'[1]GİP VERİLERİ'!$G:$G,"SELL")</f>
        <v/>
      </c>
      <c r="X619" s="34">
        <f>SUMIFS('[1]GİP VERİLERİ'!$C:$C,'[1]GİP VERİLERİ'!$B:$B,A619,'[1]GİP VERİLERİ'!$M:$M,"40X000000104782K",'[1]GİP VERİLERİ'!$G:$G,"BUY")</f>
        <v/>
      </c>
      <c r="Y619" s="34">
        <f>IFERROR(AA619/X619,0)</f>
        <v/>
      </c>
      <c r="Z619" s="34">
        <f>IF(Y619=0,0,F619-Y619)</f>
        <v/>
      </c>
      <c r="AA619" s="34">
        <f>SUMIFS('[1]GİP VERİLERİ'!$O:$O,'[1]GİP VERİLERİ'!$B:$B,A619,'[1]GİP VERİLERİ'!$M:$M,"40X000000104782K",'[1]GİP VERİLERİ'!$G:$G,"BUY")</f>
        <v/>
      </c>
      <c r="AB619" s="34">
        <f>'[1]GÖP VERİLERİ'!H620</f>
        <v/>
      </c>
      <c r="AC619" s="34">
        <f>'[1]GÖP VERİLERİ'!I620</f>
        <v/>
      </c>
      <c r="AD619" s="34">
        <f>IF(AB619&gt;AC619*1.05,AB619-AC619*1.05,IF(AB619&lt;AC619*0.95,AC619*0.95-AB619,0))</f>
        <v/>
      </c>
      <c r="AE619" s="34">
        <f>MAX(F619,G619,750)*0.05*AD619</f>
        <v/>
      </c>
      <c r="AF619" s="34">
        <f>'[1]GÖP VERİLERİ'!J620</f>
        <v/>
      </c>
      <c r="AG619" s="34">
        <f>IF(AB619&gt;AF619*1.05,AB619-AF619*1.05,IF(AB619&lt;AF619*0.95,AF619*0.95-AB619,0))</f>
        <v/>
      </c>
      <c r="AH619" s="34">
        <f>MAX(I619,J619,750)*0.05*AG619</f>
        <v/>
      </c>
      <c r="AI619">
        <f>'[1]GÖP VERİLERİ'!E620</f>
        <v/>
      </c>
      <c r="AJ619">
        <f>'[1]GÖP VERİLERİ'!F620</f>
        <v/>
      </c>
      <c r="AK619" s="34">
        <f>IF(AI619&gt;AJ619*1.05,AI619-AJ619*1.05,IF(AI619&lt;AJ619*0.95,AJ619*0.95-AI619,0))</f>
        <v/>
      </c>
      <c r="AL619" s="34">
        <f>MAX(F619,G619,750)*0.05*AK619</f>
        <v/>
      </c>
      <c r="AM619" s="39">
        <f>'[1]GÖP VERİLERİ'!G620</f>
        <v/>
      </c>
      <c r="AN619" s="34">
        <f>IF(AI619&gt;AM619*1.05,AI619-AM619*1.05,IF(AI619&lt;AM619*0.95,AM619*0.95-AI619,0))</f>
        <v/>
      </c>
      <c r="AO619" s="34">
        <f>MAX(F619,G619,750)*0.05*AN619</f>
        <v/>
      </c>
      <c r="AP619" s="34">
        <f>'[1]GÖP VERİLERİ'!B620</f>
        <v/>
      </c>
      <c r="AQ619" s="34">
        <f>'[1]GÖP VERİLERİ'!C620</f>
        <v/>
      </c>
      <c r="AR619" s="34">
        <f>IF(AP619&gt;AQ619*1.05,AP619-AQ619*1.05,IF(AP619&lt;AQ619*0.95,AQ619*0.95-AP619,0))</f>
        <v/>
      </c>
      <c r="AS619" s="34">
        <f>MAX(F619:G619,750)*0.05*AR619</f>
        <v/>
      </c>
      <c r="AT619">
        <f>'[1]GÖP VERİLERİ'!D620</f>
        <v/>
      </c>
      <c r="AU619" s="34">
        <f>IF(AP619&gt;AT619*1.05,AP619-AT619*1.05,IF(AP619&lt;AT619*0.95,AT619*0.95-AP619,0))</f>
        <v/>
      </c>
      <c r="AV619" s="34">
        <f>MAX(F619:G619,750)*0.05*AU619</f>
        <v/>
      </c>
      <c r="AW619" s="34">
        <f>AC619+AJ619+AQ619</f>
        <v/>
      </c>
      <c r="AX619" s="34">
        <f>AF619+AM619+AT619</f>
        <v/>
      </c>
      <c r="AY619" s="34">
        <f>AB619+AI619+AP619</f>
        <v/>
      </c>
      <c r="AZ619" s="34" t="n">
        <v>0</v>
      </c>
      <c r="BA619" s="34">
        <f>AD619+AK619+AR619</f>
        <v/>
      </c>
      <c r="BB619" s="34">
        <f>MAX(F619:G619,750)*0.05*BA619</f>
        <v/>
      </c>
      <c r="BC619" s="34">
        <f>AG619+AN619+AU619</f>
        <v/>
      </c>
      <c r="BD619" s="34">
        <f>MAX(F619:G619,750)*0.05*BC619</f>
        <v/>
      </c>
      <c r="BE619" s="34">
        <f>F619*AY619</f>
        <v/>
      </c>
      <c r="BF619" s="34">
        <f>K619-M619</f>
        <v/>
      </c>
      <c r="BG619" s="34">
        <f>P619-S619</f>
        <v/>
      </c>
      <c r="BH619" s="34">
        <f>W619-AA619</f>
        <v/>
      </c>
      <c r="BI619" s="34">
        <f>BF619+BG619+BL619-BN619</f>
        <v/>
      </c>
      <c r="BJ619" s="34">
        <f>ABS(BK619)</f>
        <v/>
      </c>
      <c r="BK619" s="34">
        <f>AY619-(J619-L619+N619-Q619)</f>
        <v/>
      </c>
      <c r="BL619" s="34">
        <f>IF(AND(BK619&gt;0,MIN($F619:$G619)&lt;150,$E619="Enerji Açığı"),-100*BK619*1.03,IF(AND(BK619&gt;0,MIN($F619:$G619)&lt;150,$E619="Enerji Fazlası"),-100*BK619*1.06,IF(AND(BK619&gt;0,MIN($F619:$G619)&gt;=150,$E619="Enerji Açığı"),BK619*MIN($F619:$G619)*0.97,IF(AND(BK619&gt;0,MIN($F619:$G619)&gt;=150,$E619="Enerji Fazlası"),BK619*MIN($F619:$G619)*0.94,IF(AND(BK619&lt;0,MAX($F619:$G619)=4500,$E619="Enerji Açığı"),4500*1.05*1.06*BK619,IF(AND(BK619&lt;0,MAX($F619:$G619)=4500,$E619="Enerji Fazlası"),4500*1.05*1.03*BK619,IF(AND(BK619&lt;0,$E619="Enerji Açığı"),MAX($F619,$G619,150)*BK619*1.06,IF(AND(BK619&lt;0,$E619="Enerji Fazlası"),MAX($F619,$G619,150)*BK619*1.03,IF(AND(BK619&lt;0,$E619="Dengede"),MAX($F619:$G619,150)*1.03*BK619,MIN($F619:$G619)*0.97*BK619)))))))))</f>
        <v/>
      </c>
      <c r="BM619" s="34">
        <f>BE619-BI619-BN619</f>
        <v/>
      </c>
      <c r="BN619" s="34">
        <f>BB619</f>
        <v/>
      </c>
      <c r="BO619" s="34">
        <f>BE619-BI619</f>
        <v/>
      </c>
      <c r="BP619" s="34">
        <f>IF(AY619=0,0,BO619/AY619)</f>
        <v/>
      </c>
      <c r="BQ619" s="34">
        <f>MAX((AY619+MAX((-J619+L619-N619+Q619),0)),(MAX((J619-L619+N619-Q619),0)))</f>
        <v/>
      </c>
      <c r="BR619" s="82">
        <f>IFERROR(ABS(BK619/BQ619),0)</f>
        <v/>
      </c>
      <c r="BS619" s="34">
        <f>IF(BR619&lt;=0.1,0,BK619/BR619*(BR619-0.1))</f>
        <v/>
      </c>
      <c r="BT619" s="34">
        <f>IF((BS619)&lt;0,MAX(F619:G619)*(BS619)*1.03,MIN(F619:G619)*(BS619)*0.97)</f>
        <v/>
      </c>
      <c r="BU619" s="34">
        <f>IF(BR619&gt;0.1,1,0)</f>
        <v/>
      </c>
      <c r="BV619" s="34">
        <f>BF619+BG619+BH619+BY619-CA619</f>
        <v/>
      </c>
      <c r="BW619" s="34">
        <f>ABS(BX619)</f>
        <v/>
      </c>
      <c r="BX619" s="34">
        <f>AY619-(J619-L619+N619-Q619+T619-X619)</f>
        <v/>
      </c>
      <c r="BY619" s="34">
        <f>IF(AND(BX619&gt;0,MIN($F619:$G619)&lt;150,$E619="Enerji Açığı"),-100*BX619*1.03,IF(AND(BX619&gt;0,MIN($F619:$G619)&lt;150,$E619="Enerji Fazlası"),-100*BX619*1.06,IF(AND(BX619&gt;0,MIN($F619:$G619)&gt;=150,$E619="Enerji Açığı"),BX619*MIN($F619:$G619)*0.97,IF(AND(BX619&gt;0,MIN($F619:$G619)&gt;=150,$E619="Enerji Fazlası"),BX619*MIN($F619:$G619)*0.94,IF(AND(BX619&lt;0,MAX($F619:$G619)=4500,$E619="Enerji Açığı"),4500*1.05*1.06*BX619,IF(AND(BX619&lt;0,MAX($F619:$G619)=4500,$E619="Enerji Fazlası"),4500*1.05*1.03*BX619,IF(AND(BX619&lt;0,$E619="Enerji Açığı"),MAX($F619,$G619,150)*BX619*1.06,IF(AND(BX619&lt;0,$E619="Enerji Fazlası"),MAX($F619,$G619,150)*BX619*1.03,IF(AND(BX619&lt;0,$E619="Dengede"),MAX($F619:$G619,150)*1.03*BX619,MIN($F619:$G619)*0.97*BX619)))))))))</f>
        <v/>
      </c>
      <c r="BZ619" s="34">
        <f>BE619-BV619-CA619</f>
        <v/>
      </c>
      <c r="CA619" s="34">
        <f>BD619</f>
        <v/>
      </c>
      <c r="CB619" s="33">
        <f>BE619-BV619</f>
        <v/>
      </c>
      <c r="CC619" s="34">
        <f>IF(AY619=0,0,CB619/AY619)</f>
        <v/>
      </c>
      <c r="CD619" s="34">
        <f>MAX((AY619+MAX((-J619+L619-N619+Q619-T619+X619),0)),(MAX((J619-L619+N619-Q619+T619-X619),0)))</f>
        <v/>
      </c>
      <c r="CE619" s="82">
        <f>IFERROR(ABS(BX619/CD619),0)</f>
        <v/>
      </c>
      <c r="CF619" s="34">
        <f>IF(CE619&lt;=0.1,0,BX619/CE619*(CE619-0.1))</f>
        <v/>
      </c>
      <c r="CG619" s="34">
        <f>IF((CF619)&lt;0,MAX(F619:G619)*(CF619)*1.03,MIN(F619:G619)*(CF619)*0.97)</f>
        <v/>
      </c>
      <c r="CH619" s="34">
        <f>IF(CE619&gt;0.1,1,0)</f>
        <v/>
      </c>
      <c r="CI619" s="34">
        <f>(F619*BX619)-BY619</f>
        <v/>
      </c>
      <c r="CJ619" s="34">
        <f>IF(AY619=0,0,CI619/AY619)</f>
        <v/>
      </c>
    </row>
    <row r="620">
      <c r="A620" s="29">
        <f>[1]FİYATLAR!A595</f>
        <v/>
      </c>
      <c r="B620" s="29">
        <f>[1]FİYATLAR!B619</f>
        <v/>
      </c>
      <c r="C620" s="35">
        <f>INT(A620)</f>
        <v/>
      </c>
      <c r="D620" s="36">
        <f>MONTH(A620)</f>
        <v/>
      </c>
      <c r="E620" s="147">
        <f>[1]FİYATLAR!G595</f>
        <v/>
      </c>
      <c r="F620" s="30">
        <f>[1]FİYATLAR!C595</f>
        <v/>
      </c>
      <c r="G620" s="30">
        <f>[1]FİYATLAR!E595</f>
        <v/>
      </c>
      <c r="H620" s="30">
        <f>[1]FİYATLAR!D595</f>
        <v/>
      </c>
      <c r="I620" s="30">
        <f>[1]FİYATLAR!F595</f>
        <v/>
      </c>
      <c r="J620" s="119" t="n">
        <v>0</v>
      </c>
      <c r="K620" s="34">
        <f>F620*J620</f>
        <v/>
      </c>
      <c r="L620" s="119" t="n"/>
      <c r="M620" s="34">
        <f>L620*F620</f>
        <v/>
      </c>
      <c r="N620" s="119" t="n"/>
      <c r="O620" s="34">
        <f>F620</f>
        <v/>
      </c>
      <c r="P620" s="34">
        <f>N620*O620</f>
        <v/>
      </c>
      <c r="Q620" s="117" t="n">
        <v>0</v>
      </c>
      <c r="R620" s="34">
        <f>F620</f>
        <v/>
      </c>
      <c r="S620" s="34">
        <f>R620*Q620</f>
        <v/>
      </c>
      <c r="T620" s="34">
        <f>SUMIFS('[1]GİP VERİLERİ'!$C:$C,'[1]GİP VERİLERİ'!$B:$B,A620,'[1]GİP VERİLERİ'!$M:$M,"40X000000104782K",'[1]GİP VERİLERİ'!$G:$G,"SELL")</f>
        <v/>
      </c>
      <c r="U620" s="34">
        <f>IFERROR(W620/T620,0)</f>
        <v/>
      </c>
      <c r="V620" s="34">
        <f>IF(U620=0,0,U620-F620)</f>
        <v/>
      </c>
      <c r="W620" s="34">
        <f>SUMIFS('[1]GİP VERİLERİ'!$O:$O,'[1]GİP VERİLERİ'!$B:$B,A620,'[1]GİP VERİLERİ'!$M:$M,"40X000000104782K",'[1]GİP VERİLERİ'!$G:$G,"SELL")</f>
        <v/>
      </c>
      <c r="X620" s="34">
        <f>SUMIFS('[1]GİP VERİLERİ'!$C:$C,'[1]GİP VERİLERİ'!$B:$B,A620,'[1]GİP VERİLERİ'!$M:$M,"40X000000104782K",'[1]GİP VERİLERİ'!$G:$G,"BUY")</f>
        <v/>
      </c>
      <c r="Y620" s="34">
        <f>IFERROR(AA620/X620,0)</f>
        <v/>
      </c>
      <c r="Z620" s="34">
        <f>IF(Y620=0,0,F620-Y620)</f>
        <v/>
      </c>
      <c r="AA620" s="34">
        <f>SUMIFS('[1]GİP VERİLERİ'!$O:$O,'[1]GİP VERİLERİ'!$B:$B,A620,'[1]GİP VERİLERİ'!$M:$M,"40X000000104782K",'[1]GİP VERİLERİ'!$G:$G,"BUY")</f>
        <v/>
      </c>
      <c r="AB620" s="34">
        <f>'[1]GÖP VERİLERİ'!H621</f>
        <v/>
      </c>
      <c r="AC620" s="34">
        <f>'[1]GÖP VERİLERİ'!I621</f>
        <v/>
      </c>
      <c r="AD620" s="34">
        <f>IF(AB620&gt;AC620*1.05,AB620-AC620*1.05,IF(AB620&lt;AC620*0.95,AC620*0.95-AB620,0))</f>
        <v/>
      </c>
      <c r="AE620" s="34">
        <f>MAX(F620,G620,750)*0.05*AD620</f>
        <v/>
      </c>
      <c r="AF620" s="34">
        <f>'[1]GÖP VERİLERİ'!J621</f>
        <v/>
      </c>
      <c r="AG620" s="34">
        <f>IF(AB620&gt;AF620*1.05,AB620-AF620*1.05,IF(AB620&lt;AF620*0.95,AF620*0.95-AB620,0))</f>
        <v/>
      </c>
      <c r="AH620" s="34">
        <f>MAX(I620,J620,750)*0.05*AG620</f>
        <v/>
      </c>
      <c r="AI620">
        <f>'[1]GÖP VERİLERİ'!E621</f>
        <v/>
      </c>
      <c r="AJ620">
        <f>'[1]GÖP VERİLERİ'!F621</f>
        <v/>
      </c>
      <c r="AK620" s="34">
        <f>IF(AI620&gt;AJ620*1.05,AI620-AJ620*1.05,IF(AI620&lt;AJ620*0.95,AJ620*0.95-AI620,0))</f>
        <v/>
      </c>
      <c r="AL620" s="34">
        <f>MAX(F620,G620,750)*0.05*AK620</f>
        <v/>
      </c>
      <c r="AM620" s="39">
        <f>'[1]GÖP VERİLERİ'!G621</f>
        <v/>
      </c>
      <c r="AN620" s="34">
        <f>IF(AI620&gt;AM620*1.05,AI620-AM620*1.05,IF(AI620&lt;AM620*0.95,AM620*0.95-AI620,0))</f>
        <v/>
      </c>
      <c r="AO620" s="34">
        <f>MAX(F620,G620,750)*0.05*AN620</f>
        <v/>
      </c>
      <c r="AP620" s="34">
        <f>'[1]GÖP VERİLERİ'!B621</f>
        <v/>
      </c>
      <c r="AQ620" s="34">
        <f>'[1]GÖP VERİLERİ'!C621</f>
        <v/>
      </c>
      <c r="AR620" s="34">
        <f>IF(AP620&gt;AQ620*1.05,AP620-AQ620*1.05,IF(AP620&lt;AQ620*0.95,AQ620*0.95-AP620,0))</f>
        <v/>
      </c>
      <c r="AS620" s="34">
        <f>MAX(F620:G620,750)*0.05*AR620</f>
        <v/>
      </c>
      <c r="AT620">
        <f>'[1]GÖP VERİLERİ'!D621</f>
        <v/>
      </c>
      <c r="AU620" s="34">
        <f>IF(AP620&gt;AT620*1.05,AP620-AT620*1.05,IF(AP620&lt;AT620*0.95,AT620*0.95-AP620,0))</f>
        <v/>
      </c>
      <c r="AV620" s="34">
        <f>MAX(F620:G620,750)*0.05*AU620</f>
        <v/>
      </c>
      <c r="AW620" s="34">
        <f>AC620+AJ620+AQ620</f>
        <v/>
      </c>
      <c r="AX620" s="34">
        <f>AF620+AM620+AT620</f>
        <v/>
      </c>
      <c r="AY620" s="34">
        <f>AB620+AI620+AP620</f>
        <v/>
      </c>
      <c r="AZ620" s="34" t="n">
        <v>0</v>
      </c>
      <c r="BA620" s="34">
        <f>AD620+AK620+AR620</f>
        <v/>
      </c>
      <c r="BB620" s="34">
        <f>MAX(F620:G620,750)*0.05*BA620</f>
        <v/>
      </c>
      <c r="BC620" s="34">
        <f>AG620+AN620+AU620</f>
        <v/>
      </c>
      <c r="BD620" s="34">
        <f>MAX(F620:G620,750)*0.05*BC620</f>
        <v/>
      </c>
      <c r="BE620" s="34">
        <f>F620*AY620</f>
        <v/>
      </c>
      <c r="BF620" s="34">
        <f>K620-M620</f>
        <v/>
      </c>
      <c r="BG620" s="34">
        <f>P620-S620</f>
        <v/>
      </c>
      <c r="BH620" s="34">
        <f>W620-AA620</f>
        <v/>
      </c>
      <c r="BI620" s="34">
        <f>BF620+BG620+BL620-BN620</f>
        <v/>
      </c>
      <c r="BJ620" s="34">
        <f>ABS(BK620)</f>
        <v/>
      </c>
      <c r="BK620" s="34">
        <f>AY620-(J620-L620+N620-Q620)</f>
        <v/>
      </c>
      <c r="BL620" s="34">
        <f>IF(AND(BK620&gt;0,MIN($F620:$G620)&lt;150,$E620="Enerji Açığı"),-100*BK620*1.03,IF(AND(BK620&gt;0,MIN($F620:$G620)&lt;150,$E620="Enerji Fazlası"),-100*BK620*1.06,IF(AND(BK620&gt;0,MIN($F620:$G620)&gt;=150,$E620="Enerji Açığı"),BK620*MIN($F620:$G620)*0.97,IF(AND(BK620&gt;0,MIN($F620:$G620)&gt;=150,$E620="Enerji Fazlası"),BK620*MIN($F620:$G620)*0.94,IF(AND(BK620&lt;0,MAX($F620:$G620)=4500,$E620="Enerji Açığı"),4500*1.05*1.06*BK620,IF(AND(BK620&lt;0,MAX($F620:$G620)=4500,$E620="Enerji Fazlası"),4500*1.05*1.03*BK620,IF(AND(BK620&lt;0,$E620="Enerji Açığı"),MAX($F620,$G620,150)*BK620*1.06,IF(AND(BK620&lt;0,$E620="Enerji Fazlası"),MAX($F620,$G620,150)*BK620*1.03,IF(AND(BK620&lt;0,$E620="Dengede"),MAX($F620:$G620,150)*1.03*BK620,MIN($F620:$G620)*0.97*BK620)))))))))</f>
        <v/>
      </c>
      <c r="BM620" s="34">
        <f>BE620-BI620-BN620</f>
        <v/>
      </c>
      <c r="BN620" s="34">
        <f>BB620</f>
        <v/>
      </c>
      <c r="BO620" s="34">
        <f>BE620-BI620</f>
        <v/>
      </c>
      <c r="BP620" s="34">
        <f>IF(AY620=0,0,BO620/AY620)</f>
        <v/>
      </c>
      <c r="BQ620" s="34">
        <f>MAX((AY620+MAX((-J620+L620-N620+Q620),0)),(MAX((J620-L620+N620-Q620),0)))</f>
        <v/>
      </c>
      <c r="BR620" s="82">
        <f>IFERROR(ABS(BK620/BQ620),0)</f>
        <v/>
      </c>
      <c r="BS620" s="34">
        <f>IF(BR620&lt;=0.1,0,BK620/BR620*(BR620-0.1))</f>
        <v/>
      </c>
      <c r="BT620" s="34">
        <f>IF((BS620)&lt;0,MAX(F620:G620)*(BS620)*1.03,MIN(F620:G620)*(BS620)*0.97)</f>
        <v/>
      </c>
      <c r="BU620" s="34">
        <f>IF(BR620&gt;0.1,1,0)</f>
        <v/>
      </c>
      <c r="BV620" s="34">
        <f>BF620+BG620+BH620+BY620-CA620</f>
        <v/>
      </c>
      <c r="BW620" s="34">
        <f>ABS(BX620)</f>
        <v/>
      </c>
      <c r="BX620" s="34">
        <f>AY620-(J620-L620+N620-Q620+T620-X620)</f>
        <v/>
      </c>
      <c r="BY620" s="34">
        <f>IF(AND(BX620&gt;0,MIN($F620:$G620)&lt;150,$E620="Enerji Açığı"),-100*BX620*1.03,IF(AND(BX620&gt;0,MIN($F620:$G620)&lt;150,$E620="Enerji Fazlası"),-100*BX620*1.06,IF(AND(BX620&gt;0,MIN($F620:$G620)&gt;=150,$E620="Enerji Açığı"),BX620*MIN($F620:$G620)*0.97,IF(AND(BX620&gt;0,MIN($F620:$G620)&gt;=150,$E620="Enerji Fazlası"),BX620*MIN($F620:$G620)*0.94,IF(AND(BX620&lt;0,MAX($F620:$G620)=4500,$E620="Enerji Açığı"),4500*1.05*1.06*BX620,IF(AND(BX620&lt;0,MAX($F620:$G620)=4500,$E620="Enerji Fazlası"),4500*1.05*1.03*BX620,IF(AND(BX620&lt;0,$E620="Enerji Açığı"),MAX($F620,$G620,150)*BX620*1.06,IF(AND(BX620&lt;0,$E620="Enerji Fazlası"),MAX($F620,$G620,150)*BX620*1.03,IF(AND(BX620&lt;0,$E620="Dengede"),MAX($F620:$G620,150)*1.03*BX620,MIN($F620:$G620)*0.97*BX620)))))))))</f>
        <v/>
      </c>
      <c r="BZ620" s="34">
        <f>BE620-BV620-CA620</f>
        <v/>
      </c>
      <c r="CA620" s="34">
        <f>BD620</f>
        <v/>
      </c>
      <c r="CB620" s="33">
        <f>BE620-BV620</f>
        <v/>
      </c>
      <c r="CC620" s="34">
        <f>IF(AY620=0,0,CB620/AY620)</f>
        <v/>
      </c>
      <c r="CD620" s="34">
        <f>MAX((AY620+MAX((-J620+L620-N620+Q620-T620+X620),0)),(MAX((J620-L620+N620-Q620+T620-X620),0)))</f>
        <v/>
      </c>
      <c r="CE620" s="82">
        <f>IFERROR(ABS(BX620/CD620),0)</f>
        <v/>
      </c>
      <c r="CF620" s="34">
        <f>IF(CE620&lt;=0.1,0,BX620/CE620*(CE620-0.1))</f>
        <v/>
      </c>
      <c r="CG620" s="34">
        <f>IF((CF620)&lt;0,MAX(F620:G620)*(CF620)*1.03,MIN(F620:G620)*(CF620)*0.97)</f>
        <v/>
      </c>
      <c r="CH620" s="34">
        <f>IF(CE620&gt;0.1,1,0)</f>
        <v/>
      </c>
      <c r="CI620" s="34">
        <f>(F620*BX620)-BY620</f>
        <v/>
      </c>
      <c r="CJ620" s="34">
        <f>IF(AY620=0,0,CI620/AY620)</f>
        <v/>
      </c>
    </row>
    <row r="621">
      <c r="A621" s="29">
        <f>[1]FİYATLAR!A596</f>
        <v/>
      </c>
      <c r="B621" s="29">
        <f>[1]FİYATLAR!B620</f>
        <v/>
      </c>
      <c r="C621" s="35">
        <f>INT(A621)</f>
        <v/>
      </c>
      <c r="D621" s="36">
        <f>MONTH(A621)</f>
        <v/>
      </c>
      <c r="E621" s="147">
        <f>[1]FİYATLAR!G596</f>
        <v/>
      </c>
      <c r="F621" s="30">
        <f>[1]FİYATLAR!C596</f>
        <v/>
      </c>
      <c r="G621" s="30">
        <f>[1]FİYATLAR!E596</f>
        <v/>
      </c>
      <c r="H621" s="30">
        <f>[1]FİYATLAR!D596</f>
        <v/>
      </c>
      <c r="I621" s="30">
        <f>[1]FİYATLAR!F596</f>
        <v/>
      </c>
      <c r="J621" s="119" t="n">
        <v>0</v>
      </c>
      <c r="K621" s="34">
        <f>F621*J621</f>
        <v/>
      </c>
      <c r="L621" s="119" t="n"/>
      <c r="M621" s="34">
        <f>L621*F621</f>
        <v/>
      </c>
      <c r="N621" s="119" t="n"/>
      <c r="O621" s="34">
        <f>F621</f>
        <v/>
      </c>
      <c r="P621" s="34">
        <f>N621*O621</f>
        <v/>
      </c>
      <c r="Q621" s="117" t="n">
        <v>0</v>
      </c>
      <c r="R621" s="34">
        <f>F621</f>
        <v/>
      </c>
      <c r="S621" s="34">
        <f>R621*Q621</f>
        <v/>
      </c>
      <c r="T621" s="34">
        <f>SUMIFS('[1]GİP VERİLERİ'!$C:$C,'[1]GİP VERİLERİ'!$B:$B,A621,'[1]GİP VERİLERİ'!$M:$M,"40X000000104782K",'[1]GİP VERİLERİ'!$G:$G,"SELL")</f>
        <v/>
      </c>
      <c r="U621" s="34">
        <f>IFERROR(W621/T621,0)</f>
        <v/>
      </c>
      <c r="V621" s="34">
        <f>IF(U621=0,0,U621-F621)</f>
        <v/>
      </c>
      <c r="W621" s="34">
        <f>SUMIFS('[1]GİP VERİLERİ'!$O:$O,'[1]GİP VERİLERİ'!$B:$B,A621,'[1]GİP VERİLERİ'!$M:$M,"40X000000104782K",'[1]GİP VERİLERİ'!$G:$G,"SELL")</f>
        <v/>
      </c>
      <c r="X621" s="34">
        <f>SUMIFS('[1]GİP VERİLERİ'!$C:$C,'[1]GİP VERİLERİ'!$B:$B,A621,'[1]GİP VERİLERİ'!$M:$M,"40X000000104782K",'[1]GİP VERİLERİ'!$G:$G,"BUY")</f>
        <v/>
      </c>
      <c r="Y621" s="34">
        <f>IFERROR(AA621/X621,0)</f>
        <v/>
      </c>
      <c r="Z621" s="34">
        <f>IF(Y621=0,0,F621-Y621)</f>
        <v/>
      </c>
      <c r="AA621" s="34">
        <f>SUMIFS('[1]GİP VERİLERİ'!$O:$O,'[1]GİP VERİLERİ'!$B:$B,A621,'[1]GİP VERİLERİ'!$M:$M,"40X000000104782K",'[1]GİP VERİLERİ'!$G:$G,"BUY")</f>
        <v/>
      </c>
      <c r="AB621" s="34">
        <f>'[1]GÖP VERİLERİ'!H622</f>
        <v/>
      </c>
      <c r="AC621" s="34">
        <f>'[1]GÖP VERİLERİ'!I622</f>
        <v/>
      </c>
      <c r="AD621" s="34">
        <f>IF(AB621&gt;AC621*1.05,AB621-AC621*1.05,IF(AB621&lt;AC621*0.95,AC621*0.95-AB621,0))</f>
        <v/>
      </c>
      <c r="AE621" s="34">
        <f>MAX(F621,G621,750)*0.05*AD621</f>
        <v/>
      </c>
      <c r="AF621" s="34">
        <f>'[1]GÖP VERİLERİ'!J622</f>
        <v/>
      </c>
      <c r="AG621" s="34">
        <f>IF(AB621&gt;AF621*1.05,AB621-AF621*1.05,IF(AB621&lt;AF621*0.95,AF621*0.95-AB621,0))</f>
        <v/>
      </c>
      <c r="AH621" s="34">
        <f>MAX(I621,J621,750)*0.05*AG621</f>
        <v/>
      </c>
      <c r="AI621">
        <f>'[1]GÖP VERİLERİ'!E622</f>
        <v/>
      </c>
      <c r="AJ621">
        <f>'[1]GÖP VERİLERİ'!F622</f>
        <v/>
      </c>
      <c r="AK621" s="34">
        <f>IF(AI621&gt;AJ621*1.05,AI621-AJ621*1.05,IF(AI621&lt;AJ621*0.95,AJ621*0.95-AI621,0))</f>
        <v/>
      </c>
      <c r="AL621" s="34">
        <f>MAX(F621,G621,750)*0.05*AK621</f>
        <v/>
      </c>
      <c r="AM621" s="39">
        <f>'[1]GÖP VERİLERİ'!G622</f>
        <v/>
      </c>
      <c r="AN621" s="34">
        <f>IF(AI621&gt;AM621*1.05,AI621-AM621*1.05,IF(AI621&lt;AM621*0.95,AM621*0.95-AI621,0))</f>
        <v/>
      </c>
      <c r="AO621" s="34">
        <f>MAX(F621,G621,750)*0.05*AN621</f>
        <v/>
      </c>
      <c r="AP621" s="34">
        <f>'[1]GÖP VERİLERİ'!B622</f>
        <v/>
      </c>
      <c r="AQ621" s="34">
        <f>'[1]GÖP VERİLERİ'!C622</f>
        <v/>
      </c>
      <c r="AR621" s="34">
        <f>IF(AP621&gt;AQ621*1.05,AP621-AQ621*1.05,IF(AP621&lt;AQ621*0.95,AQ621*0.95-AP621,0))</f>
        <v/>
      </c>
      <c r="AS621" s="34">
        <f>MAX(F621:G621,750)*0.05*AR621</f>
        <v/>
      </c>
      <c r="AT621">
        <f>'[1]GÖP VERİLERİ'!D622</f>
        <v/>
      </c>
      <c r="AU621" s="34">
        <f>IF(AP621&gt;AT621*1.05,AP621-AT621*1.05,IF(AP621&lt;AT621*0.95,AT621*0.95-AP621,0))</f>
        <v/>
      </c>
      <c r="AV621" s="34">
        <f>MAX(F621:G621,750)*0.05*AU621</f>
        <v/>
      </c>
      <c r="AW621" s="34">
        <f>AC621+AJ621+AQ621</f>
        <v/>
      </c>
      <c r="AX621" s="34">
        <f>AF621+AM621+AT621</f>
        <v/>
      </c>
      <c r="AY621" s="34">
        <f>AB621+AI621+AP621</f>
        <v/>
      </c>
      <c r="AZ621" s="34" t="n">
        <v>0</v>
      </c>
      <c r="BA621" s="34">
        <f>AD621+AK621+AR621</f>
        <v/>
      </c>
      <c r="BB621" s="34">
        <f>MAX(F621:G621,750)*0.05*BA621</f>
        <v/>
      </c>
      <c r="BC621" s="34">
        <f>AG621+AN621+AU621</f>
        <v/>
      </c>
      <c r="BD621" s="34">
        <f>MAX(F621:G621,750)*0.05*BC621</f>
        <v/>
      </c>
      <c r="BE621" s="34">
        <f>F621*AY621</f>
        <v/>
      </c>
      <c r="BF621" s="34">
        <f>K621-M621</f>
        <v/>
      </c>
      <c r="BG621" s="34">
        <f>P621-S621</f>
        <v/>
      </c>
      <c r="BH621" s="34">
        <f>W621-AA621</f>
        <v/>
      </c>
      <c r="BI621" s="34">
        <f>BF621+BG621+BL621-BN621</f>
        <v/>
      </c>
      <c r="BJ621" s="34">
        <f>ABS(BK621)</f>
        <v/>
      </c>
      <c r="BK621" s="34">
        <f>AY621-(J621-L621+N621-Q621)</f>
        <v/>
      </c>
      <c r="BL621" s="34">
        <f>IF(AND(BK621&gt;0,MIN($F621:$G621)&lt;150,$E621="Enerji Açığı"),-100*BK621*1.03,IF(AND(BK621&gt;0,MIN($F621:$G621)&lt;150,$E621="Enerji Fazlası"),-100*BK621*1.06,IF(AND(BK621&gt;0,MIN($F621:$G621)&gt;=150,$E621="Enerji Açığı"),BK621*MIN($F621:$G621)*0.97,IF(AND(BK621&gt;0,MIN($F621:$G621)&gt;=150,$E621="Enerji Fazlası"),BK621*MIN($F621:$G621)*0.94,IF(AND(BK621&lt;0,MAX($F621:$G621)=4500,$E621="Enerji Açığı"),4500*1.05*1.06*BK621,IF(AND(BK621&lt;0,MAX($F621:$G621)=4500,$E621="Enerji Fazlası"),4500*1.05*1.03*BK621,IF(AND(BK621&lt;0,$E621="Enerji Açığı"),MAX($F621,$G621,150)*BK621*1.06,IF(AND(BK621&lt;0,$E621="Enerji Fazlası"),MAX($F621,$G621,150)*BK621*1.03,IF(AND(BK621&lt;0,$E621="Dengede"),MAX($F621:$G621,150)*1.03*BK621,MIN($F621:$G621)*0.97*BK621)))))))))</f>
        <v/>
      </c>
      <c r="BM621" s="34">
        <f>BE621-BI621-BN621</f>
        <v/>
      </c>
      <c r="BN621" s="34">
        <f>BB621</f>
        <v/>
      </c>
      <c r="BO621" s="34">
        <f>BE621-BI621</f>
        <v/>
      </c>
      <c r="BP621" s="34">
        <f>IF(AY621=0,0,BO621/AY621)</f>
        <v/>
      </c>
      <c r="BQ621" s="34">
        <f>MAX((AY621+MAX((-J621+L621-N621+Q621),0)),(MAX((J621-L621+N621-Q621),0)))</f>
        <v/>
      </c>
      <c r="BR621" s="82">
        <f>IFERROR(ABS(BK621/BQ621),0)</f>
        <v/>
      </c>
      <c r="BS621" s="34">
        <f>IF(BR621&lt;=0.1,0,BK621/BR621*(BR621-0.1))</f>
        <v/>
      </c>
      <c r="BT621" s="34">
        <f>IF((BS621)&lt;0,MAX(F621:G621)*(BS621)*1.03,MIN(F621:G621)*(BS621)*0.97)</f>
        <v/>
      </c>
      <c r="BU621" s="34">
        <f>IF(BR621&gt;0.1,1,0)</f>
        <v/>
      </c>
      <c r="BV621" s="34">
        <f>BF621+BG621+BH621+BY621-CA621</f>
        <v/>
      </c>
      <c r="BW621" s="34">
        <f>ABS(BX621)</f>
        <v/>
      </c>
      <c r="BX621" s="34">
        <f>AY621-(J621-L621+N621-Q621+T621-X621)</f>
        <v/>
      </c>
      <c r="BY621" s="34">
        <f>IF(AND(BX621&gt;0,MIN($F621:$G621)&lt;150,$E621="Enerji Açığı"),-100*BX621*1.03,IF(AND(BX621&gt;0,MIN($F621:$G621)&lt;150,$E621="Enerji Fazlası"),-100*BX621*1.06,IF(AND(BX621&gt;0,MIN($F621:$G621)&gt;=150,$E621="Enerji Açığı"),BX621*MIN($F621:$G621)*0.97,IF(AND(BX621&gt;0,MIN($F621:$G621)&gt;=150,$E621="Enerji Fazlası"),BX621*MIN($F621:$G621)*0.94,IF(AND(BX621&lt;0,MAX($F621:$G621)=4500,$E621="Enerji Açığı"),4500*1.05*1.06*BX621,IF(AND(BX621&lt;0,MAX($F621:$G621)=4500,$E621="Enerji Fazlası"),4500*1.05*1.03*BX621,IF(AND(BX621&lt;0,$E621="Enerji Açığı"),MAX($F621,$G621,150)*BX621*1.06,IF(AND(BX621&lt;0,$E621="Enerji Fazlası"),MAX($F621,$G621,150)*BX621*1.03,IF(AND(BX621&lt;0,$E621="Dengede"),MAX($F621:$G621,150)*1.03*BX621,MIN($F621:$G621)*0.97*BX621)))))))))</f>
        <v/>
      </c>
      <c r="BZ621" s="34">
        <f>BE621-BV621-CA621</f>
        <v/>
      </c>
      <c r="CA621" s="34">
        <f>BD621</f>
        <v/>
      </c>
      <c r="CB621" s="33">
        <f>BE621-BV621</f>
        <v/>
      </c>
      <c r="CC621" s="34">
        <f>IF(AY621=0,0,CB621/AY621)</f>
        <v/>
      </c>
      <c r="CD621" s="34">
        <f>MAX((AY621+MAX((-J621+L621-N621+Q621-T621+X621),0)),(MAX((J621-L621+N621-Q621+T621-X621),0)))</f>
        <v/>
      </c>
      <c r="CE621" s="82">
        <f>IFERROR(ABS(BX621/CD621),0)</f>
        <v/>
      </c>
      <c r="CF621" s="34">
        <f>IF(CE621&lt;=0.1,0,BX621/CE621*(CE621-0.1))</f>
        <v/>
      </c>
      <c r="CG621" s="34">
        <f>IF((CF621)&lt;0,MAX(F621:G621)*(CF621)*1.03,MIN(F621:G621)*(CF621)*0.97)</f>
        <v/>
      </c>
      <c r="CH621" s="34">
        <f>IF(CE621&gt;0.1,1,0)</f>
        <v/>
      </c>
      <c r="CI621" s="34">
        <f>(F621*BX621)-BY621</f>
        <v/>
      </c>
      <c r="CJ621" s="34">
        <f>IF(AY621=0,0,CI621/AY621)</f>
        <v/>
      </c>
    </row>
    <row r="622">
      <c r="A622" s="29">
        <f>[1]FİYATLAR!A597</f>
        <v/>
      </c>
      <c r="B622" s="29">
        <f>[1]FİYATLAR!B621</f>
        <v/>
      </c>
      <c r="C622" s="35">
        <f>INT(A622)</f>
        <v/>
      </c>
      <c r="D622" s="36">
        <f>MONTH(A622)</f>
        <v/>
      </c>
      <c r="E622" s="147">
        <f>[1]FİYATLAR!G597</f>
        <v/>
      </c>
      <c r="F622" s="30">
        <f>[1]FİYATLAR!C597</f>
        <v/>
      </c>
      <c r="G622" s="30">
        <f>[1]FİYATLAR!E597</f>
        <v/>
      </c>
      <c r="H622" s="30">
        <f>[1]FİYATLAR!D597</f>
        <v/>
      </c>
      <c r="I622" s="30">
        <f>[1]FİYATLAR!F597</f>
        <v/>
      </c>
      <c r="J622" s="119" t="n">
        <v>0</v>
      </c>
      <c r="K622" s="34">
        <f>F622*J622</f>
        <v/>
      </c>
      <c r="L622" s="119" t="n"/>
      <c r="M622" s="34">
        <f>L622*F622</f>
        <v/>
      </c>
      <c r="N622" s="119" t="n"/>
      <c r="O622" s="34">
        <f>F622</f>
        <v/>
      </c>
      <c r="P622" s="34">
        <f>N622*O622</f>
        <v/>
      </c>
      <c r="Q622" s="117" t="n">
        <v>0</v>
      </c>
      <c r="R622" s="34">
        <f>F622</f>
        <v/>
      </c>
      <c r="S622" s="34">
        <f>R622*Q622</f>
        <v/>
      </c>
      <c r="T622" s="34">
        <f>SUMIFS('[1]GİP VERİLERİ'!$C:$C,'[1]GİP VERİLERİ'!$B:$B,A622,'[1]GİP VERİLERİ'!$M:$M,"40X000000104782K",'[1]GİP VERİLERİ'!$G:$G,"SELL")</f>
        <v/>
      </c>
      <c r="U622" s="34">
        <f>IFERROR(W622/T622,0)</f>
        <v/>
      </c>
      <c r="V622" s="34">
        <f>IF(U622=0,0,U622-F622)</f>
        <v/>
      </c>
      <c r="W622" s="34">
        <f>SUMIFS('[1]GİP VERİLERİ'!$O:$O,'[1]GİP VERİLERİ'!$B:$B,A622,'[1]GİP VERİLERİ'!$M:$M,"40X000000104782K",'[1]GİP VERİLERİ'!$G:$G,"SELL")</f>
        <v/>
      </c>
      <c r="X622" s="34">
        <f>SUMIFS('[1]GİP VERİLERİ'!$C:$C,'[1]GİP VERİLERİ'!$B:$B,A622,'[1]GİP VERİLERİ'!$M:$M,"40X000000104782K",'[1]GİP VERİLERİ'!$G:$G,"BUY")</f>
        <v/>
      </c>
      <c r="Y622" s="34">
        <f>IFERROR(AA622/X622,0)</f>
        <v/>
      </c>
      <c r="Z622" s="34">
        <f>IF(Y622=0,0,F622-Y622)</f>
        <v/>
      </c>
      <c r="AA622" s="34">
        <f>SUMIFS('[1]GİP VERİLERİ'!$O:$O,'[1]GİP VERİLERİ'!$B:$B,A622,'[1]GİP VERİLERİ'!$M:$M,"40X000000104782K",'[1]GİP VERİLERİ'!$G:$G,"BUY")</f>
        <v/>
      </c>
      <c r="AB622" s="34">
        <f>'[1]GÖP VERİLERİ'!H623</f>
        <v/>
      </c>
      <c r="AC622" s="34">
        <f>'[1]GÖP VERİLERİ'!I623</f>
        <v/>
      </c>
      <c r="AD622" s="34">
        <f>IF(AB622&gt;AC622*1.05,AB622-AC622*1.05,IF(AB622&lt;AC622*0.95,AC622*0.95-AB622,0))</f>
        <v/>
      </c>
      <c r="AE622" s="34">
        <f>MAX(F622,G622,750)*0.05*AD622</f>
        <v/>
      </c>
      <c r="AF622" s="34">
        <f>'[1]GÖP VERİLERİ'!J623</f>
        <v/>
      </c>
      <c r="AG622" s="34">
        <f>IF(AB622&gt;AF622*1.05,AB622-AF622*1.05,IF(AB622&lt;AF622*0.95,AF622*0.95-AB622,0))</f>
        <v/>
      </c>
      <c r="AH622" s="34">
        <f>MAX(I622,J622,750)*0.05*AG622</f>
        <v/>
      </c>
      <c r="AI622">
        <f>'[1]GÖP VERİLERİ'!E623</f>
        <v/>
      </c>
      <c r="AJ622">
        <f>'[1]GÖP VERİLERİ'!F623</f>
        <v/>
      </c>
      <c r="AK622" s="34">
        <f>IF(AI622&gt;AJ622*1.05,AI622-AJ622*1.05,IF(AI622&lt;AJ622*0.95,AJ622*0.95-AI622,0))</f>
        <v/>
      </c>
      <c r="AL622" s="34">
        <f>MAX(F622,G622,750)*0.05*AK622</f>
        <v/>
      </c>
      <c r="AM622" s="39">
        <f>'[1]GÖP VERİLERİ'!G623</f>
        <v/>
      </c>
      <c r="AN622" s="34">
        <f>IF(AI622&gt;AM622*1.05,AI622-AM622*1.05,IF(AI622&lt;AM622*0.95,AM622*0.95-AI622,0))</f>
        <v/>
      </c>
      <c r="AO622" s="34">
        <f>MAX(F622,G622,750)*0.05*AN622</f>
        <v/>
      </c>
      <c r="AP622" s="34">
        <f>'[1]GÖP VERİLERİ'!B623</f>
        <v/>
      </c>
      <c r="AQ622" s="34">
        <f>'[1]GÖP VERİLERİ'!C623</f>
        <v/>
      </c>
      <c r="AR622" s="34">
        <f>IF(AP622&gt;AQ622*1.05,AP622-AQ622*1.05,IF(AP622&lt;AQ622*0.95,AQ622*0.95-AP622,0))</f>
        <v/>
      </c>
      <c r="AS622" s="34">
        <f>MAX(F622:G622,750)*0.05*AR622</f>
        <v/>
      </c>
      <c r="AT622">
        <f>'[1]GÖP VERİLERİ'!D623</f>
        <v/>
      </c>
      <c r="AU622" s="34">
        <f>IF(AP622&gt;AT622*1.05,AP622-AT622*1.05,IF(AP622&lt;AT622*0.95,AT622*0.95-AP622,0))</f>
        <v/>
      </c>
      <c r="AV622" s="34">
        <f>MAX(F622:G622,750)*0.05*AU622</f>
        <v/>
      </c>
      <c r="AW622" s="34">
        <f>AC622+AJ622+AQ622</f>
        <v/>
      </c>
      <c r="AX622" s="34">
        <f>AF622+AM622+AT622</f>
        <v/>
      </c>
      <c r="AY622" s="34">
        <f>AB622+AI622+AP622</f>
        <v/>
      </c>
      <c r="AZ622" s="34" t="n">
        <v>0</v>
      </c>
      <c r="BA622" s="34">
        <f>AD622+AK622+AR622</f>
        <v/>
      </c>
      <c r="BB622" s="34">
        <f>MAX(F622:G622,750)*0.05*BA622</f>
        <v/>
      </c>
      <c r="BC622" s="34">
        <f>AG622+AN622+AU622</f>
        <v/>
      </c>
      <c r="BD622" s="34">
        <f>MAX(F622:G622,750)*0.05*BC622</f>
        <v/>
      </c>
      <c r="BE622" s="34">
        <f>F622*AY622</f>
        <v/>
      </c>
      <c r="BF622" s="34">
        <f>K622-M622</f>
        <v/>
      </c>
      <c r="BG622" s="34">
        <f>P622-S622</f>
        <v/>
      </c>
      <c r="BH622" s="34">
        <f>W622-AA622</f>
        <v/>
      </c>
      <c r="BI622" s="34">
        <f>BF622+BG622+BL622-BN622</f>
        <v/>
      </c>
      <c r="BJ622" s="34">
        <f>ABS(BK622)</f>
        <v/>
      </c>
      <c r="BK622" s="34">
        <f>AY622-(J622-L622+N622-Q622)</f>
        <v/>
      </c>
      <c r="BL622" s="34">
        <f>IF(AND(BK622&gt;0,MIN($F622:$G622)&lt;150,$E622="Enerji Açığı"),-100*BK622*1.03,IF(AND(BK622&gt;0,MIN($F622:$G622)&lt;150,$E622="Enerji Fazlası"),-100*BK622*1.06,IF(AND(BK622&gt;0,MIN($F622:$G622)&gt;=150,$E622="Enerji Açığı"),BK622*MIN($F622:$G622)*0.97,IF(AND(BK622&gt;0,MIN($F622:$G622)&gt;=150,$E622="Enerji Fazlası"),BK622*MIN($F622:$G622)*0.94,IF(AND(BK622&lt;0,MAX($F622:$G622)=4500,$E622="Enerji Açığı"),4500*1.05*1.06*BK622,IF(AND(BK622&lt;0,MAX($F622:$G622)=4500,$E622="Enerji Fazlası"),4500*1.05*1.03*BK622,IF(AND(BK622&lt;0,$E622="Enerji Açığı"),MAX($F622,$G622,150)*BK622*1.06,IF(AND(BK622&lt;0,$E622="Enerji Fazlası"),MAX($F622,$G622,150)*BK622*1.03,IF(AND(BK622&lt;0,$E622="Dengede"),MAX($F622:$G622,150)*1.03*BK622,MIN($F622:$G622)*0.97*BK622)))))))))</f>
        <v/>
      </c>
      <c r="BM622" s="34">
        <f>BE622-BI622-BN622</f>
        <v/>
      </c>
      <c r="BN622" s="34">
        <f>BB622</f>
        <v/>
      </c>
      <c r="BO622" s="34">
        <f>BE622-BI622</f>
        <v/>
      </c>
      <c r="BP622" s="34">
        <f>IF(AY622=0,0,BO622/AY622)</f>
        <v/>
      </c>
      <c r="BQ622" s="34">
        <f>MAX((AY622+MAX((-J622+L622-N622+Q622),0)),(MAX((J622-L622+N622-Q622),0)))</f>
        <v/>
      </c>
      <c r="BR622" s="82">
        <f>IFERROR(ABS(BK622/BQ622),0)</f>
        <v/>
      </c>
      <c r="BS622" s="34">
        <f>IF(BR622&lt;=0.1,0,BK622/BR622*(BR622-0.1))</f>
        <v/>
      </c>
      <c r="BT622" s="34">
        <f>IF((BS622)&lt;0,MAX(F622:G622)*(BS622)*1.03,MIN(F622:G622)*(BS622)*0.97)</f>
        <v/>
      </c>
      <c r="BU622" s="34">
        <f>IF(BR622&gt;0.1,1,0)</f>
        <v/>
      </c>
      <c r="BV622" s="34">
        <f>BF622+BG622+BH622+BY622-CA622</f>
        <v/>
      </c>
      <c r="BW622" s="34">
        <f>ABS(BX622)</f>
        <v/>
      </c>
      <c r="BX622" s="34">
        <f>AY622-(J622-L622+N622-Q622+T622-X622)</f>
        <v/>
      </c>
      <c r="BY622" s="34">
        <f>IF(AND(BX622&gt;0,MIN($F622:$G622)&lt;150,$E622="Enerji Açığı"),-100*BX622*1.03,IF(AND(BX622&gt;0,MIN($F622:$G622)&lt;150,$E622="Enerji Fazlası"),-100*BX622*1.06,IF(AND(BX622&gt;0,MIN($F622:$G622)&gt;=150,$E622="Enerji Açığı"),BX622*MIN($F622:$G622)*0.97,IF(AND(BX622&gt;0,MIN($F622:$G622)&gt;=150,$E622="Enerji Fazlası"),BX622*MIN($F622:$G622)*0.94,IF(AND(BX622&lt;0,MAX($F622:$G622)=4500,$E622="Enerji Açığı"),4500*1.05*1.06*BX622,IF(AND(BX622&lt;0,MAX($F622:$G622)=4500,$E622="Enerji Fazlası"),4500*1.05*1.03*BX622,IF(AND(BX622&lt;0,$E622="Enerji Açığı"),MAX($F622,$G622,150)*BX622*1.06,IF(AND(BX622&lt;0,$E622="Enerji Fazlası"),MAX($F622,$G622,150)*BX622*1.03,IF(AND(BX622&lt;0,$E622="Dengede"),MAX($F622:$G622,150)*1.03*BX622,MIN($F622:$G622)*0.97*BX622)))))))))</f>
        <v/>
      </c>
      <c r="BZ622" s="34">
        <f>BE622-BV622-CA622</f>
        <v/>
      </c>
      <c r="CA622" s="34">
        <f>BD622</f>
        <v/>
      </c>
      <c r="CB622" s="33">
        <f>BE622-BV622</f>
        <v/>
      </c>
      <c r="CC622" s="34">
        <f>IF(AY622=0,0,CB622/AY622)</f>
        <v/>
      </c>
      <c r="CD622" s="34">
        <f>MAX((AY622+MAX((-J622+L622-N622+Q622-T622+X622),0)),(MAX((J622-L622+N622-Q622+T622-X622),0)))</f>
        <v/>
      </c>
      <c r="CE622" s="82">
        <f>IFERROR(ABS(BX622/CD622),0)</f>
        <v/>
      </c>
      <c r="CF622" s="34">
        <f>IF(CE622&lt;=0.1,0,BX622/CE622*(CE622-0.1))</f>
        <v/>
      </c>
      <c r="CG622" s="34">
        <f>IF((CF622)&lt;0,MAX(F622:G622)*(CF622)*1.03,MIN(F622:G622)*(CF622)*0.97)</f>
        <v/>
      </c>
      <c r="CH622" s="34">
        <f>IF(CE622&gt;0.1,1,0)</f>
        <v/>
      </c>
      <c r="CI622" s="34">
        <f>(F622*BX622)-BY622</f>
        <v/>
      </c>
      <c r="CJ622" s="34">
        <f>IF(AY622=0,0,CI622/AY622)</f>
        <v/>
      </c>
    </row>
    <row r="623">
      <c r="A623" s="29">
        <f>[1]FİYATLAR!A598</f>
        <v/>
      </c>
      <c r="B623" s="29">
        <f>[1]FİYATLAR!B622</f>
        <v/>
      </c>
      <c r="C623" s="35">
        <f>INT(A623)</f>
        <v/>
      </c>
      <c r="D623" s="36">
        <f>MONTH(A623)</f>
        <v/>
      </c>
      <c r="E623" s="147">
        <f>[1]FİYATLAR!G598</f>
        <v/>
      </c>
      <c r="F623" s="30">
        <f>[1]FİYATLAR!C598</f>
        <v/>
      </c>
      <c r="G623" s="30">
        <f>[1]FİYATLAR!E598</f>
        <v/>
      </c>
      <c r="H623" s="30">
        <f>[1]FİYATLAR!D598</f>
        <v/>
      </c>
      <c r="I623" s="30">
        <f>[1]FİYATLAR!F598</f>
        <v/>
      </c>
      <c r="J623" s="119" t="n">
        <v>0</v>
      </c>
      <c r="K623" s="34">
        <f>F623*J623</f>
        <v/>
      </c>
      <c r="L623" s="119" t="n"/>
      <c r="M623" s="34">
        <f>L623*F623</f>
        <v/>
      </c>
      <c r="N623" s="119" t="n"/>
      <c r="O623" s="34">
        <f>F623</f>
        <v/>
      </c>
      <c r="P623" s="34">
        <f>N623*O623</f>
        <v/>
      </c>
      <c r="Q623" s="117" t="n">
        <v>0</v>
      </c>
      <c r="R623" s="34">
        <f>F623</f>
        <v/>
      </c>
      <c r="S623" s="34">
        <f>R623*Q623</f>
        <v/>
      </c>
      <c r="T623" s="34">
        <f>SUMIFS('[1]GİP VERİLERİ'!$C:$C,'[1]GİP VERİLERİ'!$B:$B,A623,'[1]GİP VERİLERİ'!$M:$M,"40X000000104782K",'[1]GİP VERİLERİ'!$G:$G,"SELL")</f>
        <v/>
      </c>
      <c r="U623" s="34">
        <f>IFERROR(W623/T623,0)</f>
        <v/>
      </c>
      <c r="V623" s="34">
        <f>IF(U623=0,0,U623-F623)</f>
        <v/>
      </c>
      <c r="W623" s="34">
        <f>SUMIFS('[1]GİP VERİLERİ'!$O:$O,'[1]GİP VERİLERİ'!$B:$B,A623,'[1]GİP VERİLERİ'!$M:$M,"40X000000104782K",'[1]GİP VERİLERİ'!$G:$G,"SELL")</f>
        <v/>
      </c>
      <c r="X623" s="34">
        <f>SUMIFS('[1]GİP VERİLERİ'!$C:$C,'[1]GİP VERİLERİ'!$B:$B,A623,'[1]GİP VERİLERİ'!$M:$M,"40X000000104782K",'[1]GİP VERİLERİ'!$G:$G,"BUY")</f>
        <v/>
      </c>
      <c r="Y623" s="34">
        <f>IFERROR(AA623/X623,0)</f>
        <v/>
      </c>
      <c r="Z623" s="34">
        <f>IF(Y623=0,0,F623-Y623)</f>
        <v/>
      </c>
      <c r="AA623" s="34">
        <f>SUMIFS('[1]GİP VERİLERİ'!$O:$O,'[1]GİP VERİLERİ'!$B:$B,A623,'[1]GİP VERİLERİ'!$M:$M,"40X000000104782K",'[1]GİP VERİLERİ'!$G:$G,"BUY")</f>
        <v/>
      </c>
      <c r="AB623" s="34">
        <f>'[1]GÖP VERİLERİ'!H624</f>
        <v/>
      </c>
      <c r="AC623" s="34">
        <f>'[1]GÖP VERİLERİ'!I624</f>
        <v/>
      </c>
      <c r="AD623" s="34">
        <f>IF(AB623&gt;AC623*1.05,AB623-AC623*1.05,IF(AB623&lt;AC623*0.95,AC623*0.95-AB623,0))</f>
        <v/>
      </c>
      <c r="AE623" s="34">
        <f>MAX(F623,G623,750)*0.05*AD623</f>
        <v/>
      </c>
      <c r="AF623" s="34">
        <f>'[1]GÖP VERİLERİ'!J624</f>
        <v/>
      </c>
      <c r="AG623" s="34">
        <f>IF(AB623&gt;AF623*1.05,AB623-AF623*1.05,IF(AB623&lt;AF623*0.95,AF623*0.95-AB623,0))</f>
        <v/>
      </c>
      <c r="AH623" s="34">
        <f>MAX(I623,J623,750)*0.05*AG623</f>
        <v/>
      </c>
      <c r="AI623">
        <f>'[1]GÖP VERİLERİ'!E624</f>
        <v/>
      </c>
      <c r="AJ623">
        <f>'[1]GÖP VERİLERİ'!F624</f>
        <v/>
      </c>
      <c r="AK623" s="34">
        <f>IF(AI623&gt;AJ623*1.05,AI623-AJ623*1.05,IF(AI623&lt;AJ623*0.95,AJ623*0.95-AI623,0))</f>
        <v/>
      </c>
      <c r="AL623" s="34">
        <f>MAX(F623,G623,750)*0.05*AK623</f>
        <v/>
      </c>
      <c r="AM623" s="39">
        <f>'[1]GÖP VERİLERİ'!G624</f>
        <v/>
      </c>
      <c r="AN623" s="34">
        <f>IF(AI623&gt;AM623*1.05,AI623-AM623*1.05,IF(AI623&lt;AM623*0.95,AM623*0.95-AI623,0))</f>
        <v/>
      </c>
      <c r="AO623" s="34">
        <f>MAX(F623,G623,750)*0.05*AN623</f>
        <v/>
      </c>
      <c r="AP623" s="34">
        <f>'[1]GÖP VERİLERİ'!B624</f>
        <v/>
      </c>
      <c r="AQ623" s="34">
        <f>'[1]GÖP VERİLERİ'!C624</f>
        <v/>
      </c>
      <c r="AR623" s="34">
        <f>IF(AP623&gt;AQ623*1.05,AP623-AQ623*1.05,IF(AP623&lt;AQ623*0.95,AQ623*0.95-AP623,0))</f>
        <v/>
      </c>
      <c r="AS623" s="34">
        <f>MAX(F623:G623,750)*0.05*AR623</f>
        <v/>
      </c>
      <c r="AT623">
        <f>'[1]GÖP VERİLERİ'!D624</f>
        <v/>
      </c>
      <c r="AU623" s="34">
        <f>IF(AP623&gt;AT623*1.05,AP623-AT623*1.05,IF(AP623&lt;AT623*0.95,AT623*0.95-AP623,0))</f>
        <v/>
      </c>
      <c r="AV623" s="34">
        <f>MAX(F623:G623,750)*0.05*AU623</f>
        <v/>
      </c>
      <c r="AW623" s="34">
        <f>AC623+AJ623+AQ623</f>
        <v/>
      </c>
      <c r="AX623" s="34">
        <f>AF623+AM623+AT623</f>
        <v/>
      </c>
      <c r="AY623" s="34">
        <f>AB623+AI623+AP623</f>
        <v/>
      </c>
      <c r="AZ623" s="34" t="n">
        <v>0</v>
      </c>
      <c r="BA623" s="34">
        <f>AD623+AK623+AR623</f>
        <v/>
      </c>
      <c r="BB623" s="34">
        <f>MAX(F623:G623,750)*0.05*BA623</f>
        <v/>
      </c>
      <c r="BC623" s="34">
        <f>AG623+AN623+AU623</f>
        <v/>
      </c>
      <c r="BD623" s="34">
        <f>MAX(F623:G623,750)*0.05*BC623</f>
        <v/>
      </c>
      <c r="BE623" s="34">
        <f>F623*AY623</f>
        <v/>
      </c>
      <c r="BF623" s="34">
        <f>K623-M623</f>
        <v/>
      </c>
      <c r="BG623" s="34">
        <f>P623-S623</f>
        <v/>
      </c>
      <c r="BH623" s="34">
        <f>W623-AA623</f>
        <v/>
      </c>
      <c r="BI623" s="34">
        <f>BF623+BG623+BL623-BN623</f>
        <v/>
      </c>
      <c r="BJ623" s="34">
        <f>ABS(BK623)</f>
        <v/>
      </c>
      <c r="BK623" s="34">
        <f>AY623-(J623-L623+N623-Q623)</f>
        <v/>
      </c>
      <c r="BL623" s="34">
        <f>IF(AND(BK623&gt;0,MIN($F623:$G623)&lt;150,$E623="Enerji Açığı"),-100*BK623*1.03,IF(AND(BK623&gt;0,MIN($F623:$G623)&lt;150,$E623="Enerji Fazlası"),-100*BK623*1.06,IF(AND(BK623&gt;0,MIN($F623:$G623)&gt;=150,$E623="Enerji Açığı"),BK623*MIN($F623:$G623)*0.97,IF(AND(BK623&gt;0,MIN($F623:$G623)&gt;=150,$E623="Enerji Fazlası"),BK623*MIN($F623:$G623)*0.94,IF(AND(BK623&lt;0,MAX($F623:$G623)=4500,$E623="Enerji Açığı"),4500*1.05*1.06*BK623,IF(AND(BK623&lt;0,MAX($F623:$G623)=4500,$E623="Enerji Fazlası"),4500*1.05*1.03*BK623,IF(AND(BK623&lt;0,$E623="Enerji Açığı"),MAX($F623,$G623,150)*BK623*1.06,IF(AND(BK623&lt;0,$E623="Enerji Fazlası"),MAX($F623,$G623,150)*BK623*1.03,IF(AND(BK623&lt;0,$E623="Dengede"),MAX($F623:$G623,150)*1.03*BK623,MIN($F623:$G623)*0.97*BK623)))))))))</f>
        <v/>
      </c>
      <c r="BM623" s="34">
        <f>BE623-BI623-BN623</f>
        <v/>
      </c>
      <c r="BN623" s="34">
        <f>BB623</f>
        <v/>
      </c>
      <c r="BO623" s="34">
        <f>BE623-BI623</f>
        <v/>
      </c>
      <c r="BP623" s="34">
        <f>IF(AY623=0,0,BO623/AY623)</f>
        <v/>
      </c>
      <c r="BQ623" s="34">
        <f>MAX((AY623+MAX((-J623+L623-N623+Q623),0)),(MAX((J623-L623+N623-Q623),0)))</f>
        <v/>
      </c>
      <c r="BR623" s="82">
        <f>IFERROR(ABS(BK623/BQ623),0)</f>
        <v/>
      </c>
      <c r="BS623" s="34">
        <f>IF(BR623&lt;=0.1,0,BK623/BR623*(BR623-0.1))</f>
        <v/>
      </c>
      <c r="BT623" s="34">
        <f>IF((BS623)&lt;0,MAX(F623:G623)*(BS623)*1.03,MIN(F623:G623)*(BS623)*0.97)</f>
        <v/>
      </c>
      <c r="BU623" s="34">
        <f>IF(BR623&gt;0.1,1,0)</f>
        <v/>
      </c>
      <c r="BV623" s="34">
        <f>BF623+BG623+BH623+BY623-CA623</f>
        <v/>
      </c>
      <c r="BW623" s="34">
        <f>ABS(BX623)</f>
        <v/>
      </c>
      <c r="BX623" s="34">
        <f>AY623-(J623-L623+N623-Q623+T623-X623)</f>
        <v/>
      </c>
      <c r="BY623" s="34">
        <f>IF(AND(BX623&gt;0,MIN($F623:$G623)&lt;150,$E623="Enerji Açığı"),-100*BX623*1.03,IF(AND(BX623&gt;0,MIN($F623:$G623)&lt;150,$E623="Enerji Fazlası"),-100*BX623*1.06,IF(AND(BX623&gt;0,MIN($F623:$G623)&gt;=150,$E623="Enerji Açığı"),BX623*MIN($F623:$G623)*0.97,IF(AND(BX623&gt;0,MIN($F623:$G623)&gt;=150,$E623="Enerji Fazlası"),BX623*MIN($F623:$G623)*0.94,IF(AND(BX623&lt;0,MAX($F623:$G623)=4500,$E623="Enerji Açığı"),4500*1.05*1.06*BX623,IF(AND(BX623&lt;0,MAX($F623:$G623)=4500,$E623="Enerji Fazlası"),4500*1.05*1.03*BX623,IF(AND(BX623&lt;0,$E623="Enerji Açığı"),MAX($F623,$G623,150)*BX623*1.06,IF(AND(BX623&lt;0,$E623="Enerji Fazlası"),MAX($F623,$G623,150)*BX623*1.03,IF(AND(BX623&lt;0,$E623="Dengede"),MAX($F623:$G623,150)*1.03*BX623,MIN($F623:$G623)*0.97*BX623)))))))))</f>
        <v/>
      </c>
      <c r="BZ623" s="34">
        <f>BE623-BV623-CA623</f>
        <v/>
      </c>
      <c r="CA623" s="34">
        <f>BD623</f>
        <v/>
      </c>
      <c r="CB623" s="33">
        <f>BE623-BV623</f>
        <v/>
      </c>
      <c r="CC623" s="34">
        <f>IF(AY623=0,0,CB623/AY623)</f>
        <v/>
      </c>
      <c r="CD623" s="34">
        <f>MAX((AY623+MAX((-J623+L623-N623+Q623-T623+X623),0)),(MAX((J623-L623+N623-Q623+T623-X623),0)))</f>
        <v/>
      </c>
      <c r="CE623" s="82">
        <f>IFERROR(ABS(BX623/CD623),0)</f>
        <v/>
      </c>
      <c r="CF623" s="34">
        <f>IF(CE623&lt;=0.1,0,BX623/CE623*(CE623-0.1))</f>
        <v/>
      </c>
      <c r="CG623" s="34">
        <f>IF((CF623)&lt;0,MAX(F623:G623)*(CF623)*1.03,MIN(F623:G623)*(CF623)*0.97)</f>
        <v/>
      </c>
      <c r="CH623" s="34">
        <f>IF(CE623&gt;0.1,1,0)</f>
        <v/>
      </c>
      <c r="CI623" s="34">
        <f>(F623*BX623)-BY623</f>
        <v/>
      </c>
      <c r="CJ623" s="34">
        <f>IF(AY623=0,0,CI623/AY623)</f>
        <v/>
      </c>
    </row>
    <row r="624">
      <c r="A624" s="29">
        <f>[1]FİYATLAR!A599</f>
        <v/>
      </c>
      <c r="B624" s="29">
        <f>[1]FİYATLAR!B623</f>
        <v/>
      </c>
      <c r="C624" s="35">
        <f>INT(A624)</f>
        <v/>
      </c>
      <c r="D624" s="36">
        <f>MONTH(A624)</f>
        <v/>
      </c>
      <c r="E624" s="147">
        <f>[1]FİYATLAR!G599</f>
        <v/>
      </c>
      <c r="F624" s="30">
        <f>[1]FİYATLAR!C599</f>
        <v/>
      </c>
      <c r="G624" s="30">
        <f>[1]FİYATLAR!E599</f>
        <v/>
      </c>
      <c r="H624" s="30">
        <f>[1]FİYATLAR!D599</f>
        <v/>
      </c>
      <c r="I624" s="30">
        <f>[1]FİYATLAR!F599</f>
        <v/>
      </c>
      <c r="J624" s="119" t="n">
        <v>0</v>
      </c>
      <c r="K624" s="34">
        <f>F624*J624</f>
        <v/>
      </c>
      <c r="L624" s="119" t="n"/>
      <c r="M624" s="34">
        <f>L624*F624</f>
        <v/>
      </c>
      <c r="N624" s="119" t="n"/>
      <c r="O624" s="34">
        <f>F624</f>
        <v/>
      </c>
      <c r="P624" s="34">
        <f>N624*O624</f>
        <v/>
      </c>
      <c r="Q624" s="117" t="n">
        <v>0</v>
      </c>
      <c r="R624" s="34">
        <f>F624</f>
        <v/>
      </c>
      <c r="S624" s="34">
        <f>R624*Q624</f>
        <v/>
      </c>
      <c r="T624" s="34">
        <f>SUMIFS('[1]GİP VERİLERİ'!$C:$C,'[1]GİP VERİLERİ'!$B:$B,A624,'[1]GİP VERİLERİ'!$M:$M,"40X000000104782K",'[1]GİP VERİLERİ'!$G:$G,"SELL")</f>
        <v/>
      </c>
      <c r="U624" s="34">
        <f>IFERROR(W624/T624,0)</f>
        <v/>
      </c>
      <c r="V624" s="34">
        <f>IF(U624=0,0,U624-F624)</f>
        <v/>
      </c>
      <c r="W624" s="34">
        <f>SUMIFS('[1]GİP VERİLERİ'!$O:$O,'[1]GİP VERİLERİ'!$B:$B,A624,'[1]GİP VERİLERİ'!$M:$M,"40X000000104782K",'[1]GİP VERİLERİ'!$G:$G,"SELL")</f>
        <v/>
      </c>
      <c r="X624" s="34">
        <f>SUMIFS('[1]GİP VERİLERİ'!$C:$C,'[1]GİP VERİLERİ'!$B:$B,A624,'[1]GİP VERİLERİ'!$M:$M,"40X000000104782K",'[1]GİP VERİLERİ'!$G:$G,"BUY")</f>
        <v/>
      </c>
      <c r="Y624" s="34">
        <f>IFERROR(AA624/X624,0)</f>
        <v/>
      </c>
      <c r="Z624" s="34">
        <f>IF(Y624=0,0,F624-Y624)</f>
        <v/>
      </c>
      <c r="AA624" s="34">
        <f>SUMIFS('[1]GİP VERİLERİ'!$O:$O,'[1]GİP VERİLERİ'!$B:$B,A624,'[1]GİP VERİLERİ'!$M:$M,"40X000000104782K",'[1]GİP VERİLERİ'!$G:$G,"BUY")</f>
        <v/>
      </c>
      <c r="AB624" s="34">
        <f>'[1]GÖP VERİLERİ'!H625</f>
        <v/>
      </c>
      <c r="AC624" s="34">
        <f>'[1]GÖP VERİLERİ'!I625</f>
        <v/>
      </c>
      <c r="AD624" s="34">
        <f>IF(AB624&gt;AC624*1.05,AB624-AC624*1.05,IF(AB624&lt;AC624*0.95,AC624*0.95-AB624,0))</f>
        <v/>
      </c>
      <c r="AE624" s="34">
        <f>MAX(F624,G624,750)*0.05*AD624</f>
        <v/>
      </c>
      <c r="AF624" s="34">
        <f>'[1]GÖP VERİLERİ'!J625</f>
        <v/>
      </c>
      <c r="AG624" s="34">
        <f>IF(AB624&gt;AF624*1.05,AB624-AF624*1.05,IF(AB624&lt;AF624*0.95,AF624*0.95-AB624,0))</f>
        <v/>
      </c>
      <c r="AH624" s="34">
        <f>MAX(I624,J624,750)*0.05*AG624</f>
        <v/>
      </c>
      <c r="AI624">
        <f>'[1]GÖP VERİLERİ'!E625</f>
        <v/>
      </c>
      <c r="AJ624">
        <f>'[1]GÖP VERİLERİ'!F625</f>
        <v/>
      </c>
      <c r="AK624" s="34">
        <f>IF(AI624&gt;AJ624*1.05,AI624-AJ624*1.05,IF(AI624&lt;AJ624*0.95,AJ624*0.95-AI624,0))</f>
        <v/>
      </c>
      <c r="AL624" s="34">
        <f>MAX(F624,G624,750)*0.05*AK624</f>
        <v/>
      </c>
      <c r="AM624" s="39">
        <f>'[1]GÖP VERİLERİ'!G625</f>
        <v/>
      </c>
      <c r="AN624" s="34">
        <f>IF(AI624&gt;AM624*1.05,AI624-AM624*1.05,IF(AI624&lt;AM624*0.95,AM624*0.95-AI624,0))</f>
        <v/>
      </c>
      <c r="AO624" s="34">
        <f>MAX(F624,G624,750)*0.05*AN624</f>
        <v/>
      </c>
      <c r="AP624" s="34">
        <f>'[1]GÖP VERİLERİ'!B625</f>
        <v/>
      </c>
      <c r="AQ624" s="34">
        <f>'[1]GÖP VERİLERİ'!C625</f>
        <v/>
      </c>
      <c r="AR624" s="34">
        <f>IF(AP624&gt;AQ624*1.05,AP624-AQ624*1.05,IF(AP624&lt;AQ624*0.95,AQ624*0.95-AP624,0))</f>
        <v/>
      </c>
      <c r="AS624" s="34">
        <f>MAX(F624:G624,750)*0.05*AR624</f>
        <v/>
      </c>
      <c r="AT624">
        <f>'[1]GÖP VERİLERİ'!D625</f>
        <v/>
      </c>
      <c r="AU624" s="34">
        <f>IF(AP624&gt;AT624*1.05,AP624-AT624*1.05,IF(AP624&lt;AT624*0.95,AT624*0.95-AP624,0))</f>
        <v/>
      </c>
      <c r="AV624" s="34">
        <f>MAX(F624:G624,750)*0.05*AU624</f>
        <v/>
      </c>
      <c r="AW624" s="34">
        <f>AC624+AJ624+AQ624</f>
        <v/>
      </c>
      <c r="AX624" s="34">
        <f>AF624+AM624+AT624</f>
        <v/>
      </c>
      <c r="AY624" s="34">
        <f>AB624+AI624+AP624</f>
        <v/>
      </c>
      <c r="AZ624" s="34" t="n">
        <v>0</v>
      </c>
      <c r="BA624" s="34">
        <f>AD624+AK624+AR624</f>
        <v/>
      </c>
      <c r="BB624" s="34">
        <f>MAX(F624:G624,750)*0.05*BA624</f>
        <v/>
      </c>
      <c r="BC624" s="34">
        <f>AG624+AN624+AU624</f>
        <v/>
      </c>
      <c r="BD624" s="34">
        <f>MAX(F624:G624,750)*0.05*BC624</f>
        <v/>
      </c>
      <c r="BE624" s="34">
        <f>F624*AY624</f>
        <v/>
      </c>
      <c r="BF624" s="34">
        <f>K624-M624</f>
        <v/>
      </c>
      <c r="BG624" s="34">
        <f>P624-S624</f>
        <v/>
      </c>
      <c r="BH624" s="34">
        <f>W624-AA624</f>
        <v/>
      </c>
      <c r="BI624" s="34">
        <f>BF624+BG624+BL624-BN624</f>
        <v/>
      </c>
      <c r="BJ624" s="34">
        <f>ABS(BK624)</f>
        <v/>
      </c>
      <c r="BK624" s="34">
        <f>AY624-(J624-L624+N624-Q624)</f>
        <v/>
      </c>
      <c r="BL624" s="34">
        <f>IF(AND(BK624&gt;0,MIN($F624:$G624)&lt;150,$E624="Enerji Açığı"),-100*BK624*1.03,IF(AND(BK624&gt;0,MIN($F624:$G624)&lt;150,$E624="Enerji Fazlası"),-100*BK624*1.06,IF(AND(BK624&gt;0,MIN($F624:$G624)&gt;=150,$E624="Enerji Açığı"),BK624*MIN($F624:$G624)*0.97,IF(AND(BK624&gt;0,MIN($F624:$G624)&gt;=150,$E624="Enerji Fazlası"),BK624*MIN($F624:$G624)*0.94,IF(AND(BK624&lt;0,MAX($F624:$G624)=4500,$E624="Enerji Açığı"),4500*1.05*1.06*BK624,IF(AND(BK624&lt;0,MAX($F624:$G624)=4500,$E624="Enerji Fazlası"),4500*1.05*1.03*BK624,IF(AND(BK624&lt;0,$E624="Enerji Açığı"),MAX($F624,$G624,150)*BK624*1.06,IF(AND(BK624&lt;0,$E624="Enerji Fazlası"),MAX($F624,$G624,150)*BK624*1.03,IF(AND(BK624&lt;0,$E624="Dengede"),MAX($F624:$G624,150)*1.03*BK624,MIN($F624:$G624)*0.97*BK624)))))))))</f>
        <v/>
      </c>
      <c r="BM624" s="34">
        <f>BE624-BI624-BN624</f>
        <v/>
      </c>
      <c r="BN624" s="34">
        <f>BB624</f>
        <v/>
      </c>
      <c r="BO624" s="34">
        <f>BE624-BI624</f>
        <v/>
      </c>
      <c r="BP624" s="34">
        <f>IF(AY624=0,0,BO624/AY624)</f>
        <v/>
      </c>
      <c r="BQ624" s="34">
        <f>MAX((AY624+MAX((-J624+L624-N624+Q624),0)),(MAX((J624-L624+N624-Q624),0)))</f>
        <v/>
      </c>
      <c r="BR624" s="82">
        <f>IFERROR(ABS(BK624/BQ624),0)</f>
        <v/>
      </c>
      <c r="BS624" s="34">
        <f>IF(BR624&lt;=0.1,0,BK624/BR624*(BR624-0.1))</f>
        <v/>
      </c>
      <c r="BT624" s="34">
        <f>IF((BS624)&lt;0,MAX(F624:G624)*(BS624)*1.03,MIN(F624:G624)*(BS624)*0.97)</f>
        <v/>
      </c>
      <c r="BU624" s="34">
        <f>IF(BR624&gt;0.1,1,0)</f>
        <v/>
      </c>
      <c r="BV624" s="34">
        <f>BF624+BG624+BH624+BY624-CA624</f>
        <v/>
      </c>
      <c r="BW624" s="34">
        <f>ABS(BX624)</f>
        <v/>
      </c>
      <c r="BX624" s="34">
        <f>AY624-(J624-L624+N624-Q624+T624-X624)</f>
        <v/>
      </c>
      <c r="BY624" s="34">
        <f>IF(AND(BX624&gt;0,MIN($F624:$G624)&lt;150,$E624="Enerji Açığı"),-100*BX624*1.03,IF(AND(BX624&gt;0,MIN($F624:$G624)&lt;150,$E624="Enerji Fazlası"),-100*BX624*1.06,IF(AND(BX624&gt;0,MIN($F624:$G624)&gt;=150,$E624="Enerji Açığı"),BX624*MIN($F624:$G624)*0.97,IF(AND(BX624&gt;0,MIN($F624:$G624)&gt;=150,$E624="Enerji Fazlası"),BX624*MIN($F624:$G624)*0.94,IF(AND(BX624&lt;0,MAX($F624:$G624)=4500,$E624="Enerji Açığı"),4500*1.05*1.06*BX624,IF(AND(BX624&lt;0,MAX($F624:$G624)=4500,$E624="Enerji Fazlası"),4500*1.05*1.03*BX624,IF(AND(BX624&lt;0,$E624="Enerji Açığı"),MAX($F624,$G624,150)*BX624*1.06,IF(AND(BX624&lt;0,$E624="Enerji Fazlası"),MAX($F624,$G624,150)*BX624*1.03,IF(AND(BX624&lt;0,$E624="Dengede"),MAX($F624:$G624,150)*1.03*BX624,MIN($F624:$G624)*0.97*BX624)))))))))</f>
        <v/>
      </c>
      <c r="BZ624" s="34">
        <f>BE624-BV624-CA624</f>
        <v/>
      </c>
      <c r="CA624" s="34">
        <f>BD624</f>
        <v/>
      </c>
      <c r="CB624" s="33">
        <f>BE624-BV624</f>
        <v/>
      </c>
      <c r="CC624" s="34">
        <f>IF(AY624=0,0,CB624/AY624)</f>
        <v/>
      </c>
      <c r="CD624" s="34">
        <f>MAX((AY624+MAX((-J624+L624-N624+Q624-T624+X624),0)),(MAX((J624-L624+N624-Q624+T624-X624),0)))</f>
        <v/>
      </c>
      <c r="CE624" s="82">
        <f>IFERROR(ABS(BX624/CD624),0)</f>
        <v/>
      </c>
      <c r="CF624" s="34">
        <f>IF(CE624&lt;=0.1,0,BX624/CE624*(CE624-0.1))</f>
        <v/>
      </c>
      <c r="CG624" s="34">
        <f>IF((CF624)&lt;0,MAX(F624:G624)*(CF624)*1.03,MIN(F624:G624)*(CF624)*0.97)</f>
        <v/>
      </c>
      <c r="CH624" s="34">
        <f>IF(CE624&gt;0.1,1,0)</f>
        <v/>
      </c>
      <c r="CI624" s="34">
        <f>(F624*BX624)-BY624</f>
        <v/>
      </c>
      <c r="CJ624" s="34">
        <f>IF(AY624=0,0,CI624/AY624)</f>
        <v/>
      </c>
    </row>
    <row r="625">
      <c r="A625" s="29">
        <f>[1]FİYATLAR!A600</f>
        <v/>
      </c>
      <c r="B625" s="29">
        <f>[1]FİYATLAR!B624</f>
        <v/>
      </c>
      <c r="C625" s="35">
        <f>INT(A625)</f>
        <v/>
      </c>
      <c r="D625" s="36">
        <f>MONTH(A625)</f>
        <v/>
      </c>
      <c r="E625" s="147">
        <f>[1]FİYATLAR!G600</f>
        <v/>
      </c>
      <c r="F625" s="30">
        <f>[1]FİYATLAR!C600</f>
        <v/>
      </c>
      <c r="G625" s="30">
        <f>[1]FİYATLAR!E600</f>
        <v/>
      </c>
      <c r="H625" s="30">
        <f>[1]FİYATLAR!D600</f>
        <v/>
      </c>
      <c r="I625" s="30">
        <f>[1]FİYATLAR!F600</f>
        <v/>
      </c>
      <c r="J625" s="119" t="n">
        <v>0</v>
      </c>
      <c r="K625" s="34">
        <f>F625*J625</f>
        <v/>
      </c>
      <c r="L625" s="119" t="n"/>
      <c r="M625" s="34">
        <f>L625*F625</f>
        <v/>
      </c>
      <c r="N625" s="119" t="n"/>
      <c r="O625" s="34">
        <f>F625</f>
        <v/>
      </c>
      <c r="P625" s="34">
        <f>N625*O625</f>
        <v/>
      </c>
      <c r="Q625" s="117" t="n">
        <v>0</v>
      </c>
      <c r="R625" s="34">
        <f>F625</f>
        <v/>
      </c>
      <c r="S625" s="34">
        <f>R625*Q625</f>
        <v/>
      </c>
      <c r="T625" s="34">
        <f>SUMIFS('[1]GİP VERİLERİ'!$C:$C,'[1]GİP VERİLERİ'!$B:$B,A625,'[1]GİP VERİLERİ'!$M:$M,"40X000000104782K",'[1]GİP VERİLERİ'!$G:$G,"SELL")</f>
        <v/>
      </c>
      <c r="U625" s="34">
        <f>IFERROR(W625/T625,0)</f>
        <v/>
      </c>
      <c r="V625" s="34">
        <f>IF(U625=0,0,U625-F625)</f>
        <v/>
      </c>
      <c r="W625" s="34">
        <f>SUMIFS('[1]GİP VERİLERİ'!$O:$O,'[1]GİP VERİLERİ'!$B:$B,A625,'[1]GİP VERİLERİ'!$M:$M,"40X000000104782K",'[1]GİP VERİLERİ'!$G:$G,"SELL")</f>
        <v/>
      </c>
      <c r="X625" s="34">
        <f>SUMIFS('[1]GİP VERİLERİ'!$C:$C,'[1]GİP VERİLERİ'!$B:$B,A625,'[1]GİP VERİLERİ'!$M:$M,"40X000000104782K",'[1]GİP VERİLERİ'!$G:$G,"BUY")</f>
        <v/>
      </c>
      <c r="Y625" s="34">
        <f>IFERROR(AA625/X625,0)</f>
        <v/>
      </c>
      <c r="Z625" s="34">
        <f>IF(Y625=0,0,F625-Y625)</f>
        <v/>
      </c>
      <c r="AA625" s="34">
        <f>SUMIFS('[1]GİP VERİLERİ'!$O:$O,'[1]GİP VERİLERİ'!$B:$B,A625,'[1]GİP VERİLERİ'!$M:$M,"40X000000104782K",'[1]GİP VERİLERİ'!$G:$G,"BUY")</f>
        <v/>
      </c>
      <c r="AB625" s="34">
        <f>'[1]GÖP VERİLERİ'!H626</f>
        <v/>
      </c>
      <c r="AC625" s="34">
        <f>'[1]GÖP VERİLERİ'!I626</f>
        <v/>
      </c>
      <c r="AD625" s="34">
        <f>IF(AB625&gt;AC625*1.05,AB625-AC625*1.05,IF(AB625&lt;AC625*0.95,AC625*0.95-AB625,0))</f>
        <v/>
      </c>
      <c r="AE625" s="34">
        <f>MAX(F625,G625,750)*0.05*AD625</f>
        <v/>
      </c>
      <c r="AF625" s="34">
        <f>'[1]GÖP VERİLERİ'!J626</f>
        <v/>
      </c>
      <c r="AG625" s="34">
        <f>IF(AB625&gt;AF625*1.05,AB625-AF625*1.05,IF(AB625&lt;AF625*0.95,AF625*0.95-AB625,0))</f>
        <v/>
      </c>
      <c r="AH625" s="34">
        <f>MAX(I625,J625,750)*0.05*AG625</f>
        <v/>
      </c>
      <c r="AI625">
        <f>'[1]GÖP VERİLERİ'!E626</f>
        <v/>
      </c>
      <c r="AJ625">
        <f>'[1]GÖP VERİLERİ'!F626</f>
        <v/>
      </c>
      <c r="AK625" s="34">
        <f>IF(AI625&gt;AJ625*1.05,AI625-AJ625*1.05,IF(AI625&lt;AJ625*0.95,AJ625*0.95-AI625,0))</f>
        <v/>
      </c>
      <c r="AL625" s="34">
        <f>MAX(F625,G625,750)*0.05*AK625</f>
        <v/>
      </c>
      <c r="AM625" s="39">
        <f>'[1]GÖP VERİLERİ'!G626</f>
        <v/>
      </c>
      <c r="AN625" s="34">
        <f>IF(AI625&gt;AM625*1.05,AI625-AM625*1.05,IF(AI625&lt;AM625*0.95,AM625*0.95-AI625,0))</f>
        <v/>
      </c>
      <c r="AO625" s="34">
        <f>MAX(F625,G625,750)*0.05*AN625</f>
        <v/>
      </c>
      <c r="AP625" s="34">
        <f>'[1]GÖP VERİLERİ'!B626</f>
        <v/>
      </c>
      <c r="AQ625" s="34">
        <f>'[1]GÖP VERİLERİ'!C626</f>
        <v/>
      </c>
      <c r="AR625" s="34">
        <f>IF(AP625&gt;AQ625*1.05,AP625-AQ625*1.05,IF(AP625&lt;AQ625*0.95,AQ625*0.95-AP625,0))</f>
        <v/>
      </c>
      <c r="AS625" s="34">
        <f>MAX(F625:G625,750)*0.05*AR625</f>
        <v/>
      </c>
      <c r="AT625">
        <f>'[1]GÖP VERİLERİ'!D626</f>
        <v/>
      </c>
      <c r="AU625" s="34">
        <f>IF(AP625&gt;AT625*1.05,AP625-AT625*1.05,IF(AP625&lt;AT625*0.95,AT625*0.95-AP625,0))</f>
        <v/>
      </c>
      <c r="AV625" s="34">
        <f>MAX(F625:G625,750)*0.05*AU625</f>
        <v/>
      </c>
      <c r="AW625" s="34">
        <f>AC625+AJ625+AQ625</f>
        <v/>
      </c>
      <c r="AX625" s="34">
        <f>AF625+AM625+AT625</f>
        <v/>
      </c>
      <c r="AY625" s="34">
        <f>AB625+AI625+AP625</f>
        <v/>
      </c>
      <c r="AZ625" s="34" t="n">
        <v>0</v>
      </c>
      <c r="BA625" s="34">
        <f>AD625+AK625+AR625</f>
        <v/>
      </c>
      <c r="BB625" s="34">
        <f>MAX(F625:G625,750)*0.05*BA625</f>
        <v/>
      </c>
      <c r="BC625" s="34">
        <f>AG625+AN625+AU625</f>
        <v/>
      </c>
      <c r="BD625" s="34">
        <f>MAX(F625:G625,750)*0.05*BC625</f>
        <v/>
      </c>
      <c r="BE625" s="34">
        <f>F625*AY625</f>
        <v/>
      </c>
      <c r="BF625" s="34">
        <f>K625-M625</f>
        <v/>
      </c>
      <c r="BG625" s="34">
        <f>P625-S625</f>
        <v/>
      </c>
      <c r="BH625" s="34">
        <f>W625-AA625</f>
        <v/>
      </c>
      <c r="BI625" s="34">
        <f>BF625+BG625+BL625-BN625</f>
        <v/>
      </c>
      <c r="BJ625" s="34">
        <f>ABS(BK625)</f>
        <v/>
      </c>
      <c r="BK625" s="34">
        <f>AY625-(J625-L625+N625-Q625)</f>
        <v/>
      </c>
      <c r="BL625" s="34">
        <f>IF(AND(BK625&gt;0,MIN($F625:$G625)&lt;150,$E625="Enerji Açığı"),-100*BK625*1.03,IF(AND(BK625&gt;0,MIN($F625:$G625)&lt;150,$E625="Enerji Fazlası"),-100*BK625*1.06,IF(AND(BK625&gt;0,MIN($F625:$G625)&gt;=150,$E625="Enerji Açığı"),BK625*MIN($F625:$G625)*0.97,IF(AND(BK625&gt;0,MIN($F625:$G625)&gt;=150,$E625="Enerji Fazlası"),BK625*MIN($F625:$G625)*0.94,IF(AND(BK625&lt;0,MAX($F625:$G625)=4500,$E625="Enerji Açığı"),4500*1.05*1.06*BK625,IF(AND(BK625&lt;0,MAX($F625:$G625)=4500,$E625="Enerji Fazlası"),4500*1.05*1.03*BK625,IF(AND(BK625&lt;0,$E625="Enerji Açığı"),MAX($F625,$G625,150)*BK625*1.06,IF(AND(BK625&lt;0,$E625="Enerji Fazlası"),MAX($F625,$G625,150)*BK625*1.03,IF(AND(BK625&lt;0,$E625="Dengede"),MAX($F625:$G625,150)*1.03*BK625,MIN($F625:$G625)*0.97*BK625)))))))))</f>
        <v/>
      </c>
      <c r="BM625" s="34">
        <f>BE625-BI625-BN625</f>
        <v/>
      </c>
      <c r="BN625" s="34">
        <f>BB625</f>
        <v/>
      </c>
      <c r="BO625" s="34">
        <f>BE625-BI625</f>
        <v/>
      </c>
      <c r="BP625" s="34">
        <f>IF(AY625=0,0,BO625/AY625)</f>
        <v/>
      </c>
      <c r="BQ625" s="34">
        <f>MAX((AY625+MAX((-J625+L625-N625+Q625),0)),(MAX((J625-L625+N625-Q625),0)))</f>
        <v/>
      </c>
      <c r="BR625" s="82">
        <f>IFERROR(ABS(BK625/BQ625),0)</f>
        <v/>
      </c>
      <c r="BS625" s="34">
        <f>IF(BR625&lt;=0.1,0,BK625/BR625*(BR625-0.1))</f>
        <v/>
      </c>
      <c r="BT625" s="34">
        <f>IF((BS625)&lt;0,MAX(F625:G625)*(BS625)*1.03,MIN(F625:G625)*(BS625)*0.97)</f>
        <v/>
      </c>
      <c r="BU625" s="34">
        <f>IF(BR625&gt;0.1,1,0)</f>
        <v/>
      </c>
      <c r="BV625" s="34">
        <f>BF625+BG625+BH625+BY625-CA625</f>
        <v/>
      </c>
      <c r="BW625" s="34">
        <f>ABS(BX625)</f>
        <v/>
      </c>
      <c r="BX625" s="34">
        <f>AY625-(J625-L625+N625-Q625+T625-X625)</f>
        <v/>
      </c>
      <c r="BY625" s="34">
        <f>IF(AND(BX625&gt;0,MIN($F625:$G625)&lt;150,$E625="Enerji Açığı"),-100*BX625*1.03,IF(AND(BX625&gt;0,MIN($F625:$G625)&lt;150,$E625="Enerji Fazlası"),-100*BX625*1.06,IF(AND(BX625&gt;0,MIN($F625:$G625)&gt;=150,$E625="Enerji Açığı"),BX625*MIN($F625:$G625)*0.97,IF(AND(BX625&gt;0,MIN($F625:$G625)&gt;=150,$E625="Enerji Fazlası"),BX625*MIN($F625:$G625)*0.94,IF(AND(BX625&lt;0,MAX($F625:$G625)=4500,$E625="Enerji Açığı"),4500*1.05*1.06*BX625,IF(AND(BX625&lt;0,MAX($F625:$G625)=4500,$E625="Enerji Fazlası"),4500*1.05*1.03*BX625,IF(AND(BX625&lt;0,$E625="Enerji Açığı"),MAX($F625,$G625,150)*BX625*1.06,IF(AND(BX625&lt;0,$E625="Enerji Fazlası"),MAX($F625,$G625,150)*BX625*1.03,IF(AND(BX625&lt;0,$E625="Dengede"),MAX($F625:$G625,150)*1.03*BX625,MIN($F625:$G625)*0.97*BX625)))))))))</f>
        <v/>
      </c>
      <c r="BZ625" s="34">
        <f>BE625-BV625-CA625</f>
        <v/>
      </c>
      <c r="CA625" s="34">
        <f>BD625</f>
        <v/>
      </c>
      <c r="CB625" s="33">
        <f>BE625-BV625</f>
        <v/>
      </c>
      <c r="CC625" s="34">
        <f>IF(AY625=0,0,CB625/AY625)</f>
        <v/>
      </c>
      <c r="CD625" s="34">
        <f>MAX((AY625+MAX((-J625+L625-N625+Q625-T625+X625),0)),(MAX((J625-L625+N625-Q625+T625-X625),0)))</f>
        <v/>
      </c>
      <c r="CE625" s="82">
        <f>IFERROR(ABS(BX625/CD625),0)</f>
        <v/>
      </c>
      <c r="CF625" s="34">
        <f>IF(CE625&lt;=0.1,0,BX625/CE625*(CE625-0.1))</f>
        <v/>
      </c>
      <c r="CG625" s="34">
        <f>IF((CF625)&lt;0,MAX(F625:G625)*(CF625)*1.03,MIN(F625:G625)*(CF625)*0.97)</f>
        <v/>
      </c>
      <c r="CH625" s="34">
        <f>IF(CE625&gt;0.1,1,0)</f>
        <v/>
      </c>
      <c r="CI625" s="34">
        <f>(F625*BX625)-BY625</f>
        <v/>
      </c>
      <c r="CJ625" s="34">
        <f>IF(AY625=0,0,CI625/AY625)</f>
        <v/>
      </c>
    </row>
    <row r="626">
      <c r="A626" s="29">
        <f>[1]FİYATLAR!A601</f>
        <v/>
      </c>
      <c r="B626" s="29">
        <f>[1]FİYATLAR!B625</f>
        <v/>
      </c>
      <c r="C626" s="35">
        <f>INT(A626)</f>
        <v/>
      </c>
      <c r="D626" s="36">
        <f>MONTH(A626)</f>
        <v/>
      </c>
      <c r="E626" s="147">
        <f>[1]FİYATLAR!G601</f>
        <v/>
      </c>
      <c r="F626" s="30">
        <f>[1]FİYATLAR!C601</f>
        <v/>
      </c>
      <c r="G626" s="30">
        <f>[1]FİYATLAR!E601</f>
        <v/>
      </c>
      <c r="H626" s="30">
        <f>[1]FİYATLAR!D601</f>
        <v/>
      </c>
      <c r="I626" s="30">
        <f>[1]FİYATLAR!F601</f>
        <v/>
      </c>
      <c r="J626" s="119" t="n">
        <v>0</v>
      </c>
      <c r="K626" s="34">
        <f>F626*J626</f>
        <v/>
      </c>
      <c r="L626" s="119" t="n"/>
      <c r="M626" s="34">
        <f>L626*F626</f>
        <v/>
      </c>
      <c r="N626" s="119" t="n"/>
      <c r="O626" s="34">
        <f>F626</f>
        <v/>
      </c>
      <c r="P626" s="34">
        <f>N626*O626</f>
        <v/>
      </c>
      <c r="Q626" s="117" t="n">
        <v>0</v>
      </c>
      <c r="R626" s="34">
        <f>F626</f>
        <v/>
      </c>
      <c r="S626" s="34">
        <f>R626*Q626</f>
        <v/>
      </c>
      <c r="T626" s="34">
        <f>SUMIFS('[1]GİP VERİLERİ'!$C:$C,'[1]GİP VERİLERİ'!$B:$B,A626,'[1]GİP VERİLERİ'!$M:$M,"40X000000104782K",'[1]GİP VERİLERİ'!$G:$G,"SELL")</f>
        <v/>
      </c>
      <c r="U626" s="34">
        <f>IFERROR(W626/T626,0)</f>
        <v/>
      </c>
      <c r="V626" s="34">
        <f>IF(U626=0,0,U626-F626)</f>
        <v/>
      </c>
      <c r="W626" s="34">
        <f>SUMIFS('[1]GİP VERİLERİ'!$O:$O,'[1]GİP VERİLERİ'!$B:$B,A626,'[1]GİP VERİLERİ'!$M:$M,"40X000000104782K",'[1]GİP VERİLERİ'!$G:$G,"SELL")</f>
        <v/>
      </c>
      <c r="X626" s="34">
        <f>SUMIFS('[1]GİP VERİLERİ'!$C:$C,'[1]GİP VERİLERİ'!$B:$B,A626,'[1]GİP VERİLERİ'!$M:$M,"40X000000104782K",'[1]GİP VERİLERİ'!$G:$G,"BUY")</f>
        <v/>
      </c>
      <c r="Y626" s="34">
        <f>IFERROR(AA626/X626,0)</f>
        <v/>
      </c>
      <c r="Z626" s="34">
        <f>IF(Y626=0,0,F626-Y626)</f>
        <v/>
      </c>
      <c r="AA626" s="34">
        <f>SUMIFS('[1]GİP VERİLERİ'!$O:$O,'[1]GİP VERİLERİ'!$B:$B,A626,'[1]GİP VERİLERİ'!$M:$M,"40X000000104782K",'[1]GİP VERİLERİ'!$G:$G,"BUY")</f>
        <v/>
      </c>
      <c r="AB626" s="34">
        <f>'[1]GÖP VERİLERİ'!H627</f>
        <v/>
      </c>
      <c r="AC626" s="34">
        <f>'[1]GÖP VERİLERİ'!I627</f>
        <v/>
      </c>
      <c r="AD626" s="34">
        <f>IF(AB626&gt;AC626*1.05,AB626-AC626*1.05,IF(AB626&lt;AC626*0.95,AC626*0.95-AB626,0))</f>
        <v/>
      </c>
      <c r="AE626" s="34">
        <f>MAX(F626,G626,750)*0.05*AD626</f>
        <v/>
      </c>
      <c r="AF626" s="34">
        <f>'[1]GÖP VERİLERİ'!J627</f>
        <v/>
      </c>
      <c r="AG626" s="34">
        <f>IF(AB626&gt;AF626*1.05,AB626-AF626*1.05,IF(AB626&lt;AF626*0.95,AF626*0.95-AB626,0))</f>
        <v/>
      </c>
      <c r="AH626" s="34">
        <f>MAX(I626,J626,750)*0.05*AG626</f>
        <v/>
      </c>
      <c r="AI626">
        <f>'[1]GÖP VERİLERİ'!E627</f>
        <v/>
      </c>
      <c r="AJ626">
        <f>'[1]GÖP VERİLERİ'!F627</f>
        <v/>
      </c>
      <c r="AK626" s="34">
        <f>IF(AI626&gt;AJ626*1.05,AI626-AJ626*1.05,IF(AI626&lt;AJ626*0.95,AJ626*0.95-AI626,0))</f>
        <v/>
      </c>
      <c r="AL626" s="34">
        <f>MAX(F626,G626,750)*0.05*AK626</f>
        <v/>
      </c>
      <c r="AM626" s="39">
        <f>'[1]GÖP VERİLERİ'!G627</f>
        <v/>
      </c>
      <c r="AN626" s="34">
        <f>IF(AI626&gt;AM626*1.05,AI626-AM626*1.05,IF(AI626&lt;AM626*0.95,AM626*0.95-AI626,0))</f>
        <v/>
      </c>
      <c r="AO626" s="34">
        <f>MAX(F626,G626,750)*0.05*AN626</f>
        <v/>
      </c>
      <c r="AP626" s="34">
        <f>'[1]GÖP VERİLERİ'!B627</f>
        <v/>
      </c>
      <c r="AQ626" s="34">
        <f>'[1]GÖP VERİLERİ'!C627</f>
        <v/>
      </c>
      <c r="AR626" s="34">
        <f>IF(AP626&gt;AQ626*1.05,AP626-AQ626*1.05,IF(AP626&lt;AQ626*0.95,AQ626*0.95-AP626,0))</f>
        <v/>
      </c>
      <c r="AS626" s="34">
        <f>MAX(F626:G626,750)*0.05*AR626</f>
        <v/>
      </c>
      <c r="AT626">
        <f>'[1]GÖP VERİLERİ'!D627</f>
        <v/>
      </c>
      <c r="AU626" s="34">
        <f>IF(AP626&gt;AT626*1.05,AP626-AT626*1.05,IF(AP626&lt;AT626*0.95,AT626*0.95-AP626,0))</f>
        <v/>
      </c>
      <c r="AV626" s="34">
        <f>MAX(F626:G626,750)*0.05*AU626</f>
        <v/>
      </c>
      <c r="AW626" s="34">
        <f>AC626+AJ626+AQ626</f>
        <v/>
      </c>
      <c r="AX626" s="34">
        <f>AF626+AM626+AT626</f>
        <v/>
      </c>
      <c r="AY626" s="34">
        <f>AB626+AI626+AP626</f>
        <v/>
      </c>
      <c r="AZ626" s="34" t="n">
        <v>0</v>
      </c>
      <c r="BA626" s="34">
        <f>AD626+AK626+AR626</f>
        <v/>
      </c>
      <c r="BB626" s="34">
        <f>MAX(F626:G626,750)*0.05*BA626</f>
        <v/>
      </c>
      <c r="BC626" s="34">
        <f>AG626+AN626+AU626</f>
        <v/>
      </c>
      <c r="BD626" s="34">
        <f>MAX(F626:G626,750)*0.05*BC626</f>
        <v/>
      </c>
      <c r="BE626" s="34">
        <f>F626*AY626</f>
        <v/>
      </c>
      <c r="BF626" s="34">
        <f>K626-M626</f>
        <v/>
      </c>
      <c r="BG626" s="34">
        <f>P626-S626</f>
        <v/>
      </c>
      <c r="BH626" s="34">
        <f>W626-AA626</f>
        <v/>
      </c>
      <c r="BI626" s="34">
        <f>BF626+BG626+BL626-BN626</f>
        <v/>
      </c>
      <c r="BJ626" s="34">
        <f>ABS(BK626)</f>
        <v/>
      </c>
      <c r="BK626" s="34">
        <f>AY626-(J626-L626+N626-Q626)</f>
        <v/>
      </c>
      <c r="BL626" s="34">
        <f>IF(AND(BK626&gt;0,MIN($F626:$G626)&lt;150,$E626="Enerji Açığı"),-100*BK626*1.03,IF(AND(BK626&gt;0,MIN($F626:$G626)&lt;150,$E626="Enerji Fazlası"),-100*BK626*1.06,IF(AND(BK626&gt;0,MIN($F626:$G626)&gt;=150,$E626="Enerji Açığı"),BK626*MIN($F626:$G626)*0.97,IF(AND(BK626&gt;0,MIN($F626:$G626)&gt;=150,$E626="Enerji Fazlası"),BK626*MIN($F626:$G626)*0.94,IF(AND(BK626&lt;0,MAX($F626:$G626)=4500,$E626="Enerji Açığı"),4500*1.05*1.06*BK626,IF(AND(BK626&lt;0,MAX($F626:$G626)=4500,$E626="Enerji Fazlası"),4500*1.05*1.03*BK626,IF(AND(BK626&lt;0,$E626="Enerji Açığı"),MAX($F626,$G626,150)*BK626*1.06,IF(AND(BK626&lt;0,$E626="Enerji Fazlası"),MAX($F626,$G626,150)*BK626*1.03,IF(AND(BK626&lt;0,$E626="Dengede"),MAX($F626:$G626,150)*1.03*BK626,MIN($F626:$G626)*0.97*BK626)))))))))</f>
        <v/>
      </c>
      <c r="BM626" s="34">
        <f>BE626-BI626-BN626</f>
        <v/>
      </c>
      <c r="BN626" s="34">
        <f>BB626</f>
        <v/>
      </c>
      <c r="BO626" s="34">
        <f>BE626-BI626</f>
        <v/>
      </c>
      <c r="BP626" s="34">
        <f>IF(AY626=0,0,BO626/AY626)</f>
        <v/>
      </c>
      <c r="BQ626" s="34">
        <f>MAX((AY626+MAX((-J626+L626-N626+Q626),0)),(MAX((J626-L626+N626-Q626),0)))</f>
        <v/>
      </c>
      <c r="BR626" s="82">
        <f>IFERROR(ABS(BK626/BQ626),0)</f>
        <v/>
      </c>
      <c r="BS626" s="34">
        <f>IF(BR626&lt;=0.1,0,BK626/BR626*(BR626-0.1))</f>
        <v/>
      </c>
      <c r="BT626" s="34">
        <f>IF((BS626)&lt;0,MAX(F626:G626)*(BS626)*1.03,MIN(F626:G626)*(BS626)*0.97)</f>
        <v/>
      </c>
      <c r="BU626" s="34">
        <f>IF(BR626&gt;0.1,1,0)</f>
        <v/>
      </c>
      <c r="BV626" s="34">
        <f>BF626+BG626+BH626+BY626-CA626</f>
        <v/>
      </c>
      <c r="BW626" s="34">
        <f>ABS(BX626)</f>
        <v/>
      </c>
      <c r="BX626" s="34">
        <f>AY626-(J626-L626+N626-Q626+T626-X626)</f>
        <v/>
      </c>
      <c r="BY626" s="34">
        <f>IF(AND(BX626&gt;0,MIN($F626:$G626)&lt;150,$E626="Enerji Açığı"),-100*BX626*1.03,IF(AND(BX626&gt;0,MIN($F626:$G626)&lt;150,$E626="Enerji Fazlası"),-100*BX626*1.06,IF(AND(BX626&gt;0,MIN($F626:$G626)&gt;=150,$E626="Enerji Açığı"),BX626*MIN($F626:$G626)*0.97,IF(AND(BX626&gt;0,MIN($F626:$G626)&gt;=150,$E626="Enerji Fazlası"),BX626*MIN($F626:$G626)*0.94,IF(AND(BX626&lt;0,MAX($F626:$G626)=4500,$E626="Enerji Açığı"),4500*1.05*1.06*BX626,IF(AND(BX626&lt;0,MAX($F626:$G626)=4500,$E626="Enerji Fazlası"),4500*1.05*1.03*BX626,IF(AND(BX626&lt;0,$E626="Enerji Açığı"),MAX($F626,$G626,150)*BX626*1.06,IF(AND(BX626&lt;0,$E626="Enerji Fazlası"),MAX($F626,$G626,150)*BX626*1.03,IF(AND(BX626&lt;0,$E626="Dengede"),MAX($F626:$G626,150)*1.03*BX626,MIN($F626:$G626)*0.97*BX626)))))))))</f>
        <v/>
      </c>
      <c r="BZ626" s="34">
        <f>BE626-BV626-CA626</f>
        <v/>
      </c>
      <c r="CA626" s="34">
        <f>BD626</f>
        <v/>
      </c>
      <c r="CB626" s="33">
        <f>BE626-BV626</f>
        <v/>
      </c>
      <c r="CC626" s="34">
        <f>IF(AY626=0,0,CB626/AY626)</f>
        <v/>
      </c>
      <c r="CD626" s="34">
        <f>MAX((AY626+MAX((-J626+L626-N626+Q626-T626+X626),0)),(MAX((J626-L626+N626-Q626+T626-X626),0)))</f>
        <v/>
      </c>
      <c r="CE626" s="82">
        <f>IFERROR(ABS(BX626/CD626),0)</f>
        <v/>
      </c>
      <c r="CF626" s="34">
        <f>IF(CE626&lt;=0.1,0,BX626/CE626*(CE626-0.1))</f>
        <v/>
      </c>
      <c r="CG626" s="34">
        <f>IF((CF626)&lt;0,MAX(F626:G626)*(CF626)*1.03,MIN(F626:G626)*(CF626)*0.97)</f>
        <v/>
      </c>
      <c r="CH626" s="34">
        <f>IF(CE626&gt;0.1,1,0)</f>
        <v/>
      </c>
      <c r="CI626" s="34">
        <f>(F626*BX626)-BY626</f>
        <v/>
      </c>
      <c r="CJ626" s="34">
        <f>IF(AY626=0,0,CI626/AY626)</f>
        <v/>
      </c>
    </row>
    <row r="627">
      <c r="A627" s="29">
        <f>[1]FİYATLAR!A602</f>
        <v/>
      </c>
      <c r="B627" s="29">
        <f>[1]FİYATLAR!B626</f>
        <v/>
      </c>
      <c r="C627" s="35">
        <f>INT(A627)</f>
        <v/>
      </c>
      <c r="D627" s="36">
        <f>MONTH(A627)</f>
        <v/>
      </c>
      <c r="E627" s="147">
        <f>[1]FİYATLAR!G602</f>
        <v/>
      </c>
      <c r="F627" s="30">
        <f>[1]FİYATLAR!C602</f>
        <v/>
      </c>
      <c r="G627" s="30">
        <f>[1]FİYATLAR!E602</f>
        <v/>
      </c>
      <c r="H627" s="30">
        <f>[1]FİYATLAR!D602</f>
        <v/>
      </c>
      <c r="I627" s="30">
        <f>[1]FİYATLAR!F602</f>
        <v/>
      </c>
      <c r="J627" s="119" t="n">
        <v>0</v>
      </c>
      <c r="K627" s="34">
        <f>F627*J627</f>
        <v/>
      </c>
      <c r="L627" s="119" t="n"/>
      <c r="M627" s="34">
        <f>L627*F627</f>
        <v/>
      </c>
      <c r="N627" s="119" t="n"/>
      <c r="O627" s="34">
        <f>F627</f>
        <v/>
      </c>
      <c r="P627" s="34">
        <f>N627*O627</f>
        <v/>
      </c>
      <c r="Q627" s="117" t="n">
        <v>0</v>
      </c>
      <c r="R627" s="34">
        <f>F627</f>
        <v/>
      </c>
      <c r="S627" s="34">
        <f>R627*Q627</f>
        <v/>
      </c>
      <c r="T627" s="34">
        <f>SUMIFS('[1]GİP VERİLERİ'!$C:$C,'[1]GİP VERİLERİ'!$B:$B,A627,'[1]GİP VERİLERİ'!$M:$M,"40X000000104782K",'[1]GİP VERİLERİ'!$G:$G,"SELL")</f>
        <v/>
      </c>
      <c r="U627" s="34">
        <f>IFERROR(W627/T627,0)</f>
        <v/>
      </c>
      <c r="V627" s="34">
        <f>IF(U627=0,0,U627-F627)</f>
        <v/>
      </c>
      <c r="W627" s="34">
        <f>SUMIFS('[1]GİP VERİLERİ'!$O:$O,'[1]GİP VERİLERİ'!$B:$B,A627,'[1]GİP VERİLERİ'!$M:$M,"40X000000104782K",'[1]GİP VERİLERİ'!$G:$G,"SELL")</f>
        <v/>
      </c>
      <c r="X627" s="34">
        <f>SUMIFS('[1]GİP VERİLERİ'!$C:$C,'[1]GİP VERİLERİ'!$B:$B,A627,'[1]GİP VERİLERİ'!$M:$M,"40X000000104782K",'[1]GİP VERİLERİ'!$G:$G,"BUY")</f>
        <v/>
      </c>
      <c r="Y627" s="34">
        <f>IFERROR(AA627/X627,0)</f>
        <v/>
      </c>
      <c r="Z627" s="34">
        <f>IF(Y627=0,0,F627-Y627)</f>
        <v/>
      </c>
      <c r="AA627" s="34">
        <f>SUMIFS('[1]GİP VERİLERİ'!$O:$O,'[1]GİP VERİLERİ'!$B:$B,A627,'[1]GİP VERİLERİ'!$M:$M,"40X000000104782K",'[1]GİP VERİLERİ'!$G:$G,"BUY")</f>
        <v/>
      </c>
      <c r="AB627" s="34">
        <f>'[1]GÖP VERİLERİ'!H628</f>
        <v/>
      </c>
      <c r="AC627" s="34">
        <f>'[1]GÖP VERİLERİ'!I628</f>
        <v/>
      </c>
      <c r="AD627" s="34">
        <f>IF(AB627&gt;AC627*1.05,AB627-AC627*1.05,IF(AB627&lt;AC627*0.95,AC627*0.95-AB627,0))</f>
        <v/>
      </c>
      <c r="AE627" s="34">
        <f>MAX(F627,G627,750)*0.05*AD627</f>
        <v/>
      </c>
      <c r="AF627" s="34">
        <f>'[1]GÖP VERİLERİ'!J628</f>
        <v/>
      </c>
      <c r="AG627" s="34">
        <f>IF(AB627&gt;AF627*1.05,AB627-AF627*1.05,IF(AB627&lt;AF627*0.95,AF627*0.95-AB627,0))</f>
        <v/>
      </c>
      <c r="AH627" s="34">
        <f>MAX(I627,J627,750)*0.05*AG627</f>
        <v/>
      </c>
      <c r="AI627">
        <f>'[1]GÖP VERİLERİ'!E628</f>
        <v/>
      </c>
      <c r="AJ627">
        <f>'[1]GÖP VERİLERİ'!F628</f>
        <v/>
      </c>
      <c r="AK627" s="34">
        <f>IF(AI627&gt;AJ627*1.05,AI627-AJ627*1.05,IF(AI627&lt;AJ627*0.95,AJ627*0.95-AI627,0))</f>
        <v/>
      </c>
      <c r="AL627" s="34">
        <f>MAX(F627,G627,750)*0.05*AK627</f>
        <v/>
      </c>
      <c r="AM627" s="39">
        <f>'[1]GÖP VERİLERİ'!G628</f>
        <v/>
      </c>
      <c r="AN627" s="34">
        <f>IF(AI627&gt;AM627*1.05,AI627-AM627*1.05,IF(AI627&lt;AM627*0.95,AM627*0.95-AI627,0))</f>
        <v/>
      </c>
      <c r="AO627" s="34">
        <f>MAX(F627,G627,750)*0.05*AN627</f>
        <v/>
      </c>
      <c r="AP627" s="34">
        <f>'[1]GÖP VERİLERİ'!B628</f>
        <v/>
      </c>
      <c r="AQ627" s="34">
        <f>'[1]GÖP VERİLERİ'!C628</f>
        <v/>
      </c>
      <c r="AR627" s="34">
        <f>IF(AP627&gt;AQ627*1.05,AP627-AQ627*1.05,IF(AP627&lt;AQ627*0.95,AQ627*0.95-AP627,0))</f>
        <v/>
      </c>
      <c r="AS627" s="34">
        <f>MAX(F627:G627,750)*0.05*AR627</f>
        <v/>
      </c>
      <c r="AT627">
        <f>'[1]GÖP VERİLERİ'!D628</f>
        <v/>
      </c>
      <c r="AU627" s="34">
        <f>IF(AP627&gt;AT627*1.05,AP627-AT627*1.05,IF(AP627&lt;AT627*0.95,AT627*0.95-AP627,0))</f>
        <v/>
      </c>
      <c r="AV627" s="34">
        <f>MAX(F627:G627,750)*0.05*AU627</f>
        <v/>
      </c>
      <c r="AW627" s="34">
        <f>AC627+AJ627+AQ627</f>
        <v/>
      </c>
      <c r="AX627" s="34">
        <f>AF627+AM627+AT627</f>
        <v/>
      </c>
      <c r="AY627" s="34">
        <f>AB627+AI627+AP627</f>
        <v/>
      </c>
      <c r="AZ627" s="34" t="n">
        <v>0</v>
      </c>
      <c r="BA627" s="34">
        <f>AD627+AK627+AR627</f>
        <v/>
      </c>
      <c r="BB627" s="34">
        <f>MAX(F627:G627,750)*0.05*BA627</f>
        <v/>
      </c>
      <c r="BC627" s="34">
        <f>AG627+AN627+AU627</f>
        <v/>
      </c>
      <c r="BD627" s="34">
        <f>MAX(F627:G627,750)*0.05*BC627</f>
        <v/>
      </c>
      <c r="BE627" s="34">
        <f>F627*AY627</f>
        <v/>
      </c>
      <c r="BF627" s="34">
        <f>K627-M627</f>
        <v/>
      </c>
      <c r="BG627" s="34">
        <f>P627-S627</f>
        <v/>
      </c>
      <c r="BH627" s="34">
        <f>W627-AA627</f>
        <v/>
      </c>
      <c r="BI627" s="34">
        <f>BF627+BG627+BL627-BN627</f>
        <v/>
      </c>
      <c r="BJ627" s="34">
        <f>ABS(BK627)</f>
        <v/>
      </c>
      <c r="BK627" s="34">
        <f>AY627-(J627-L627+N627-Q627)</f>
        <v/>
      </c>
      <c r="BL627" s="34">
        <f>IF(AND(BK627&gt;0,MIN($F627:$G627)&lt;150,$E627="Enerji Açığı"),-100*BK627*1.03,IF(AND(BK627&gt;0,MIN($F627:$G627)&lt;150,$E627="Enerji Fazlası"),-100*BK627*1.06,IF(AND(BK627&gt;0,MIN($F627:$G627)&gt;=150,$E627="Enerji Açığı"),BK627*MIN($F627:$G627)*0.97,IF(AND(BK627&gt;0,MIN($F627:$G627)&gt;=150,$E627="Enerji Fazlası"),BK627*MIN($F627:$G627)*0.94,IF(AND(BK627&lt;0,MAX($F627:$G627)=4500,$E627="Enerji Açığı"),4500*1.05*1.06*BK627,IF(AND(BK627&lt;0,MAX($F627:$G627)=4500,$E627="Enerji Fazlası"),4500*1.05*1.03*BK627,IF(AND(BK627&lt;0,$E627="Enerji Açığı"),MAX($F627,$G627,150)*BK627*1.06,IF(AND(BK627&lt;0,$E627="Enerji Fazlası"),MAX($F627,$G627,150)*BK627*1.03,IF(AND(BK627&lt;0,$E627="Dengede"),MAX($F627:$G627,150)*1.03*BK627,MIN($F627:$G627)*0.97*BK627)))))))))</f>
        <v/>
      </c>
      <c r="BM627" s="34">
        <f>BE627-BI627-BN627</f>
        <v/>
      </c>
      <c r="BN627" s="34">
        <f>BB627</f>
        <v/>
      </c>
      <c r="BO627" s="34">
        <f>BE627-BI627</f>
        <v/>
      </c>
      <c r="BP627" s="34">
        <f>IF(AY627=0,0,BO627/AY627)</f>
        <v/>
      </c>
      <c r="BQ627" s="34">
        <f>MAX((AY627+MAX((-J627+L627-N627+Q627),0)),(MAX((J627-L627+N627-Q627),0)))</f>
        <v/>
      </c>
      <c r="BR627" s="82">
        <f>IFERROR(ABS(BK627/BQ627),0)</f>
        <v/>
      </c>
      <c r="BS627" s="34">
        <f>IF(BR627&lt;=0.1,0,BK627/BR627*(BR627-0.1))</f>
        <v/>
      </c>
      <c r="BT627" s="34">
        <f>IF((BS627)&lt;0,MAX(F627:G627)*(BS627)*1.03,MIN(F627:G627)*(BS627)*0.97)</f>
        <v/>
      </c>
      <c r="BU627" s="34">
        <f>IF(BR627&gt;0.1,1,0)</f>
        <v/>
      </c>
      <c r="BV627" s="34">
        <f>BF627+BG627+BH627+BY627-CA627</f>
        <v/>
      </c>
      <c r="BW627" s="34">
        <f>ABS(BX627)</f>
        <v/>
      </c>
      <c r="BX627" s="34">
        <f>AY627-(J627-L627+N627-Q627+T627-X627)</f>
        <v/>
      </c>
      <c r="BY627" s="34">
        <f>IF(AND(BX627&gt;0,MIN($F627:$G627)&lt;150,$E627="Enerji Açığı"),-100*BX627*1.03,IF(AND(BX627&gt;0,MIN($F627:$G627)&lt;150,$E627="Enerji Fazlası"),-100*BX627*1.06,IF(AND(BX627&gt;0,MIN($F627:$G627)&gt;=150,$E627="Enerji Açığı"),BX627*MIN($F627:$G627)*0.97,IF(AND(BX627&gt;0,MIN($F627:$G627)&gt;=150,$E627="Enerji Fazlası"),BX627*MIN($F627:$G627)*0.94,IF(AND(BX627&lt;0,MAX($F627:$G627)=4500,$E627="Enerji Açığı"),4500*1.05*1.06*BX627,IF(AND(BX627&lt;0,MAX($F627:$G627)=4500,$E627="Enerji Fazlası"),4500*1.05*1.03*BX627,IF(AND(BX627&lt;0,$E627="Enerji Açığı"),MAX($F627,$G627,150)*BX627*1.06,IF(AND(BX627&lt;0,$E627="Enerji Fazlası"),MAX($F627,$G627,150)*BX627*1.03,IF(AND(BX627&lt;0,$E627="Dengede"),MAX($F627:$G627,150)*1.03*BX627,MIN($F627:$G627)*0.97*BX627)))))))))</f>
        <v/>
      </c>
      <c r="BZ627" s="34">
        <f>BE627-BV627-CA627</f>
        <v/>
      </c>
      <c r="CA627" s="34">
        <f>BD627</f>
        <v/>
      </c>
      <c r="CB627" s="33">
        <f>BE627-BV627</f>
        <v/>
      </c>
      <c r="CC627" s="34">
        <f>IF(AY627=0,0,CB627/AY627)</f>
        <v/>
      </c>
      <c r="CD627" s="34">
        <f>MAX((AY627+MAX((-J627+L627-N627+Q627-T627+X627),0)),(MAX((J627-L627+N627-Q627+T627-X627),0)))</f>
        <v/>
      </c>
      <c r="CE627" s="82">
        <f>IFERROR(ABS(BX627/CD627),0)</f>
        <v/>
      </c>
      <c r="CF627" s="34">
        <f>IF(CE627&lt;=0.1,0,BX627/CE627*(CE627-0.1))</f>
        <v/>
      </c>
      <c r="CG627" s="34">
        <f>IF((CF627)&lt;0,MAX(F627:G627)*(CF627)*1.03,MIN(F627:G627)*(CF627)*0.97)</f>
        <v/>
      </c>
      <c r="CH627" s="34">
        <f>IF(CE627&gt;0.1,1,0)</f>
        <v/>
      </c>
      <c r="CI627" s="34">
        <f>(F627*BX627)-BY627</f>
        <v/>
      </c>
      <c r="CJ627" s="34">
        <f>IF(AY627=0,0,CI627/AY627)</f>
        <v/>
      </c>
    </row>
    <row r="628">
      <c r="A628" s="29">
        <f>[1]FİYATLAR!A603</f>
        <v/>
      </c>
      <c r="B628" s="29">
        <f>[1]FİYATLAR!B627</f>
        <v/>
      </c>
      <c r="C628" s="35">
        <f>INT(A628)</f>
        <v/>
      </c>
      <c r="D628" s="36">
        <f>MONTH(A628)</f>
        <v/>
      </c>
      <c r="E628" s="147">
        <f>[1]FİYATLAR!G603</f>
        <v/>
      </c>
      <c r="F628" s="30">
        <f>[1]FİYATLAR!C603</f>
        <v/>
      </c>
      <c r="G628" s="30">
        <f>[1]FİYATLAR!E603</f>
        <v/>
      </c>
      <c r="H628" s="30">
        <f>[1]FİYATLAR!D603</f>
        <v/>
      </c>
      <c r="I628" s="30">
        <f>[1]FİYATLAR!F603</f>
        <v/>
      </c>
      <c r="J628" s="119" t="n">
        <v>0</v>
      </c>
      <c r="K628" s="34">
        <f>F628*J628</f>
        <v/>
      </c>
      <c r="L628" s="119" t="n"/>
      <c r="M628" s="34">
        <f>L628*F628</f>
        <v/>
      </c>
      <c r="N628" s="119" t="n"/>
      <c r="O628" s="34">
        <f>F628</f>
        <v/>
      </c>
      <c r="P628" s="34">
        <f>N628*O628</f>
        <v/>
      </c>
      <c r="Q628" s="117" t="n">
        <v>0</v>
      </c>
      <c r="R628" s="34">
        <f>F628</f>
        <v/>
      </c>
      <c r="S628" s="34">
        <f>R628*Q628</f>
        <v/>
      </c>
      <c r="T628" s="34">
        <f>SUMIFS('[1]GİP VERİLERİ'!$C:$C,'[1]GİP VERİLERİ'!$B:$B,A628,'[1]GİP VERİLERİ'!$M:$M,"40X000000104782K",'[1]GİP VERİLERİ'!$G:$G,"SELL")</f>
        <v/>
      </c>
      <c r="U628" s="34">
        <f>IFERROR(W628/T628,0)</f>
        <v/>
      </c>
      <c r="V628" s="34">
        <f>IF(U628=0,0,U628-F628)</f>
        <v/>
      </c>
      <c r="W628" s="34">
        <f>SUMIFS('[1]GİP VERİLERİ'!$O:$O,'[1]GİP VERİLERİ'!$B:$B,A628,'[1]GİP VERİLERİ'!$M:$M,"40X000000104782K",'[1]GİP VERİLERİ'!$G:$G,"SELL")</f>
        <v/>
      </c>
      <c r="X628" s="34">
        <f>SUMIFS('[1]GİP VERİLERİ'!$C:$C,'[1]GİP VERİLERİ'!$B:$B,A628,'[1]GİP VERİLERİ'!$M:$M,"40X000000104782K",'[1]GİP VERİLERİ'!$G:$G,"BUY")</f>
        <v/>
      </c>
      <c r="Y628" s="34">
        <f>IFERROR(AA628/X628,0)</f>
        <v/>
      </c>
      <c r="Z628" s="34">
        <f>IF(Y628=0,0,F628-Y628)</f>
        <v/>
      </c>
      <c r="AA628" s="34">
        <f>SUMIFS('[1]GİP VERİLERİ'!$O:$O,'[1]GİP VERİLERİ'!$B:$B,A628,'[1]GİP VERİLERİ'!$M:$M,"40X000000104782K",'[1]GİP VERİLERİ'!$G:$G,"BUY")</f>
        <v/>
      </c>
      <c r="AB628" s="34">
        <f>'[1]GÖP VERİLERİ'!H629</f>
        <v/>
      </c>
      <c r="AC628" s="34">
        <f>'[1]GÖP VERİLERİ'!I629</f>
        <v/>
      </c>
      <c r="AD628" s="34">
        <f>IF(AB628&gt;AC628*1.05,AB628-AC628*1.05,IF(AB628&lt;AC628*0.95,AC628*0.95-AB628,0))</f>
        <v/>
      </c>
      <c r="AE628" s="34">
        <f>MAX(F628,G628,750)*0.05*AD628</f>
        <v/>
      </c>
      <c r="AF628" s="34">
        <f>'[1]GÖP VERİLERİ'!J629</f>
        <v/>
      </c>
      <c r="AG628" s="34">
        <f>IF(AB628&gt;AF628*1.05,AB628-AF628*1.05,IF(AB628&lt;AF628*0.95,AF628*0.95-AB628,0))</f>
        <v/>
      </c>
      <c r="AH628" s="34">
        <f>MAX(I628,J628,750)*0.05*AG628</f>
        <v/>
      </c>
      <c r="AI628">
        <f>'[1]GÖP VERİLERİ'!E629</f>
        <v/>
      </c>
      <c r="AJ628">
        <f>'[1]GÖP VERİLERİ'!F629</f>
        <v/>
      </c>
      <c r="AK628" s="34">
        <f>IF(AI628&gt;AJ628*1.05,AI628-AJ628*1.05,IF(AI628&lt;AJ628*0.95,AJ628*0.95-AI628,0))</f>
        <v/>
      </c>
      <c r="AL628" s="34">
        <f>MAX(F628,G628,750)*0.05*AK628</f>
        <v/>
      </c>
      <c r="AM628" s="39">
        <f>'[1]GÖP VERİLERİ'!G629</f>
        <v/>
      </c>
      <c r="AN628" s="34">
        <f>IF(AI628&gt;AM628*1.05,AI628-AM628*1.05,IF(AI628&lt;AM628*0.95,AM628*0.95-AI628,0))</f>
        <v/>
      </c>
      <c r="AO628" s="34">
        <f>MAX(F628,G628,750)*0.05*AN628</f>
        <v/>
      </c>
      <c r="AP628" s="34">
        <f>'[1]GÖP VERİLERİ'!B629</f>
        <v/>
      </c>
      <c r="AQ628" s="34">
        <f>'[1]GÖP VERİLERİ'!C629</f>
        <v/>
      </c>
      <c r="AR628" s="34">
        <f>IF(AP628&gt;AQ628*1.05,AP628-AQ628*1.05,IF(AP628&lt;AQ628*0.95,AQ628*0.95-AP628,0))</f>
        <v/>
      </c>
      <c r="AS628" s="34">
        <f>MAX(F628:G628,750)*0.05*AR628</f>
        <v/>
      </c>
      <c r="AT628">
        <f>'[1]GÖP VERİLERİ'!D629</f>
        <v/>
      </c>
      <c r="AU628" s="34">
        <f>IF(AP628&gt;AT628*1.05,AP628-AT628*1.05,IF(AP628&lt;AT628*0.95,AT628*0.95-AP628,0))</f>
        <v/>
      </c>
      <c r="AV628" s="34">
        <f>MAX(F628:G628,750)*0.05*AU628</f>
        <v/>
      </c>
      <c r="AW628" s="34">
        <f>AC628+AJ628+AQ628</f>
        <v/>
      </c>
      <c r="AX628" s="34">
        <f>AF628+AM628+AT628</f>
        <v/>
      </c>
      <c r="AY628" s="34">
        <f>AB628+AI628+AP628</f>
        <v/>
      </c>
      <c r="AZ628" s="34" t="n">
        <v>0</v>
      </c>
      <c r="BA628" s="34">
        <f>AD628+AK628+AR628</f>
        <v/>
      </c>
      <c r="BB628" s="34">
        <f>MAX(F628:G628,750)*0.05*BA628</f>
        <v/>
      </c>
      <c r="BC628" s="34">
        <f>AG628+AN628+AU628</f>
        <v/>
      </c>
      <c r="BD628" s="34">
        <f>MAX(F628:G628,750)*0.05*BC628</f>
        <v/>
      </c>
      <c r="BE628" s="34">
        <f>F628*AY628</f>
        <v/>
      </c>
      <c r="BF628" s="34">
        <f>K628-M628</f>
        <v/>
      </c>
      <c r="BG628" s="34">
        <f>P628-S628</f>
        <v/>
      </c>
      <c r="BH628" s="34">
        <f>W628-AA628</f>
        <v/>
      </c>
      <c r="BI628" s="34">
        <f>BF628+BG628+BL628-BN628</f>
        <v/>
      </c>
      <c r="BJ628" s="34">
        <f>ABS(BK628)</f>
        <v/>
      </c>
      <c r="BK628" s="34">
        <f>AY628-(J628-L628+N628-Q628)</f>
        <v/>
      </c>
      <c r="BL628" s="34">
        <f>IF(AND(BK628&gt;0,MIN($F628:$G628)&lt;150,$E628="Enerji Açığı"),-100*BK628*1.03,IF(AND(BK628&gt;0,MIN($F628:$G628)&lt;150,$E628="Enerji Fazlası"),-100*BK628*1.06,IF(AND(BK628&gt;0,MIN($F628:$G628)&gt;=150,$E628="Enerji Açığı"),BK628*MIN($F628:$G628)*0.97,IF(AND(BK628&gt;0,MIN($F628:$G628)&gt;=150,$E628="Enerji Fazlası"),BK628*MIN($F628:$G628)*0.94,IF(AND(BK628&lt;0,MAX($F628:$G628)=4500,$E628="Enerji Açığı"),4500*1.05*1.06*BK628,IF(AND(BK628&lt;0,MAX($F628:$G628)=4500,$E628="Enerji Fazlası"),4500*1.05*1.03*BK628,IF(AND(BK628&lt;0,$E628="Enerji Açığı"),MAX($F628,$G628,150)*BK628*1.06,IF(AND(BK628&lt;0,$E628="Enerji Fazlası"),MAX($F628,$G628,150)*BK628*1.03,IF(AND(BK628&lt;0,$E628="Dengede"),MAX($F628:$G628,150)*1.03*BK628,MIN($F628:$G628)*0.97*BK628)))))))))</f>
        <v/>
      </c>
      <c r="BM628" s="34">
        <f>BE628-BI628-BN628</f>
        <v/>
      </c>
      <c r="BN628" s="34">
        <f>BB628</f>
        <v/>
      </c>
      <c r="BO628" s="34">
        <f>BE628-BI628</f>
        <v/>
      </c>
      <c r="BP628" s="34">
        <f>IF(AY628=0,0,BO628/AY628)</f>
        <v/>
      </c>
      <c r="BQ628" s="34">
        <f>MAX((AY628+MAX((-J628+L628-N628+Q628),0)),(MAX((J628-L628+N628-Q628),0)))</f>
        <v/>
      </c>
      <c r="BR628" s="82">
        <f>IFERROR(ABS(BK628/BQ628),0)</f>
        <v/>
      </c>
      <c r="BS628" s="34">
        <f>IF(BR628&lt;=0.1,0,BK628/BR628*(BR628-0.1))</f>
        <v/>
      </c>
      <c r="BT628" s="34">
        <f>IF((BS628)&lt;0,MAX(F628:G628)*(BS628)*1.03,MIN(F628:G628)*(BS628)*0.97)</f>
        <v/>
      </c>
      <c r="BU628" s="34">
        <f>IF(BR628&gt;0.1,1,0)</f>
        <v/>
      </c>
      <c r="BV628" s="34">
        <f>BF628+BG628+BH628+BY628-CA628</f>
        <v/>
      </c>
      <c r="BW628" s="34">
        <f>ABS(BX628)</f>
        <v/>
      </c>
      <c r="BX628" s="34">
        <f>AY628-(J628-L628+N628-Q628+T628-X628)</f>
        <v/>
      </c>
      <c r="BY628" s="34">
        <f>IF(AND(BX628&gt;0,MIN($F628:$G628)&lt;150,$E628="Enerji Açığı"),-100*BX628*1.03,IF(AND(BX628&gt;0,MIN($F628:$G628)&lt;150,$E628="Enerji Fazlası"),-100*BX628*1.06,IF(AND(BX628&gt;0,MIN($F628:$G628)&gt;=150,$E628="Enerji Açığı"),BX628*MIN($F628:$G628)*0.97,IF(AND(BX628&gt;0,MIN($F628:$G628)&gt;=150,$E628="Enerji Fazlası"),BX628*MIN($F628:$G628)*0.94,IF(AND(BX628&lt;0,MAX($F628:$G628)=4500,$E628="Enerji Açığı"),4500*1.05*1.06*BX628,IF(AND(BX628&lt;0,MAX($F628:$G628)=4500,$E628="Enerji Fazlası"),4500*1.05*1.03*BX628,IF(AND(BX628&lt;0,$E628="Enerji Açığı"),MAX($F628,$G628,150)*BX628*1.06,IF(AND(BX628&lt;0,$E628="Enerji Fazlası"),MAX($F628,$G628,150)*BX628*1.03,IF(AND(BX628&lt;0,$E628="Dengede"),MAX($F628:$G628,150)*1.03*BX628,MIN($F628:$G628)*0.97*BX628)))))))))</f>
        <v/>
      </c>
      <c r="BZ628" s="34">
        <f>BE628-BV628-CA628</f>
        <v/>
      </c>
      <c r="CA628" s="34">
        <f>BD628</f>
        <v/>
      </c>
      <c r="CB628" s="33">
        <f>BE628-BV628</f>
        <v/>
      </c>
      <c r="CC628" s="34">
        <f>IF(AY628=0,0,CB628/AY628)</f>
        <v/>
      </c>
      <c r="CD628" s="34">
        <f>MAX((AY628+MAX((-J628+L628-N628+Q628-T628+X628),0)),(MAX((J628-L628+N628-Q628+T628-X628),0)))</f>
        <v/>
      </c>
      <c r="CE628" s="82">
        <f>IFERROR(ABS(BX628/CD628),0)</f>
        <v/>
      </c>
      <c r="CF628" s="34">
        <f>IF(CE628&lt;=0.1,0,BX628/CE628*(CE628-0.1))</f>
        <v/>
      </c>
      <c r="CG628" s="34">
        <f>IF((CF628)&lt;0,MAX(F628:G628)*(CF628)*1.03,MIN(F628:G628)*(CF628)*0.97)</f>
        <v/>
      </c>
      <c r="CH628" s="34">
        <f>IF(CE628&gt;0.1,1,0)</f>
        <v/>
      </c>
      <c r="CI628" s="34">
        <f>(F628*BX628)-BY628</f>
        <v/>
      </c>
      <c r="CJ628" s="34">
        <f>IF(AY628=0,0,CI628/AY628)</f>
        <v/>
      </c>
    </row>
    <row r="629">
      <c r="A629" s="29">
        <f>[1]FİYATLAR!A604</f>
        <v/>
      </c>
      <c r="B629" s="29">
        <f>[1]FİYATLAR!B628</f>
        <v/>
      </c>
      <c r="C629" s="35">
        <f>INT(A629)</f>
        <v/>
      </c>
      <c r="D629" s="36">
        <f>MONTH(A629)</f>
        <v/>
      </c>
      <c r="E629" s="147">
        <f>[1]FİYATLAR!G604</f>
        <v/>
      </c>
      <c r="F629" s="30">
        <f>[1]FİYATLAR!C604</f>
        <v/>
      </c>
      <c r="G629" s="30">
        <f>[1]FİYATLAR!E604</f>
        <v/>
      </c>
      <c r="H629" s="30">
        <f>[1]FİYATLAR!D604</f>
        <v/>
      </c>
      <c r="I629" s="30">
        <f>[1]FİYATLAR!F604</f>
        <v/>
      </c>
      <c r="J629" s="119" t="n">
        <v>0</v>
      </c>
      <c r="K629" s="34">
        <f>F629*J629</f>
        <v/>
      </c>
      <c r="L629" s="119" t="n"/>
      <c r="M629" s="34">
        <f>L629*F629</f>
        <v/>
      </c>
      <c r="N629" s="119" t="n"/>
      <c r="O629" s="34">
        <f>F629</f>
        <v/>
      </c>
      <c r="P629" s="34">
        <f>N629*O629</f>
        <v/>
      </c>
      <c r="Q629" s="117" t="n">
        <v>0</v>
      </c>
      <c r="R629" s="34">
        <f>F629</f>
        <v/>
      </c>
      <c r="S629" s="34">
        <f>R629*Q629</f>
        <v/>
      </c>
      <c r="T629" s="34">
        <f>SUMIFS('[1]GİP VERİLERİ'!$C:$C,'[1]GİP VERİLERİ'!$B:$B,A629,'[1]GİP VERİLERİ'!$M:$M,"40X000000104782K",'[1]GİP VERİLERİ'!$G:$G,"SELL")</f>
        <v/>
      </c>
      <c r="U629" s="34">
        <f>IFERROR(W629/T629,0)</f>
        <v/>
      </c>
      <c r="V629" s="34">
        <f>IF(U629=0,0,U629-F629)</f>
        <v/>
      </c>
      <c r="W629" s="34">
        <f>SUMIFS('[1]GİP VERİLERİ'!$O:$O,'[1]GİP VERİLERİ'!$B:$B,A629,'[1]GİP VERİLERİ'!$M:$M,"40X000000104782K",'[1]GİP VERİLERİ'!$G:$G,"SELL")</f>
        <v/>
      </c>
      <c r="X629" s="34">
        <f>SUMIFS('[1]GİP VERİLERİ'!$C:$C,'[1]GİP VERİLERİ'!$B:$B,A629,'[1]GİP VERİLERİ'!$M:$M,"40X000000104782K",'[1]GİP VERİLERİ'!$G:$G,"BUY")</f>
        <v/>
      </c>
      <c r="Y629" s="34">
        <f>IFERROR(AA629/X629,0)</f>
        <v/>
      </c>
      <c r="Z629" s="34">
        <f>IF(Y629=0,0,F629-Y629)</f>
        <v/>
      </c>
      <c r="AA629" s="34">
        <f>SUMIFS('[1]GİP VERİLERİ'!$O:$O,'[1]GİP VERİLERİ'!$B:$B,A629,'[1]GİP VERİLERİ'!$M:$M,"40X000000104782K",'[1]GİP VERİLERİ'!$G:$G,"BUY")</f>
        <v/>
      </c>
      <c r="AB629" s="34">
        <f>'[1]GÖP VERİLERİ'!H630</f>
        <v/>
      </c>
      <c r="AC629" s="34">
        <f>'[1]GÖP VERİLERİ'!I630</f>
        <v/>
      </c>
      <c r="AD629" s="34">
        <f>IF(AB629&gt;AC629*1.05,AB629-AC629*1.05,IF(AB629&lt;AC629*0.95,AC629*0.95-AB629,0))</f>
        <v/>
      </c>
      <c r="AE629" s="34">
        <f>MAX(F629,G629,750)*0.05*AD629</f>
        <v/>
      </c>
      <c r="AF629" s="34">
        <f>'[1]GÖP VERİLERİ'!J630</f>
        <v/>
      </c>
      <c r="AG629" s="34">
        <f>IF(AB629&gt;AF629*1.05,AB629-AF629*1.05,IF(AB629&lt;AF629*0.95,AF629*0.95-AB629,0))</f>
        <v/>
      </c>
      <c r="AH629" s="34">
        <f>MAX(I629,J629,750)*0.05*AG629</f>
        <v/>
      </c>
      <c r="AI629">
        <f>'[1]GÖP VERİLERİ'!E630</f>
        <v/>
      </c>
      <c r="AJ629">
        <f>'[1]GÖP VERİLERİ'!F630</f>
        <v/>
      </c>
      <c r="AK629" s="34">
        <f>IF(AI629&gt;AJ629*1.05,AI629-AJ629*1.05,IF(AI629&lt;AJ629*0.95,AJ629*0.95-AI629,0))</f>
        <v/>
      </c>
      <c r="AL629" s="34">
        <f>MAX(F629,G629,750)*0.05*AK629</f>
        <v/>
      </c>
      <c r="AM629" s="39">
        <f>'[1]GÖP VERİLERİ'!G630</f>
        <v/>
      </c>
      <c r="AN629" s="34">
        <f>IF(AI629&gt;AM629*1.05,AI629-AM629*1.05,IF(AI629&lt;AM629*0.95,AM629*0.95-AI629,0))</f>
        <v/>
      </c>
      <c r="AO629" s="34">
        <f>MAX(F629,G629,750)*0.05*AN629</f>
        <v/>
      </c>
      <c r="AP629" s="34">
        <f>'[1]GÖP VERİLERİ'!B630</f>
        <v/>
      </c>
      <c r="AQ629" s="34">
        <f>'[1]GÖP VERİLERİ'!C630</f>
        <v/>
      </c>
      <c r="AR629" s="34">
        <f>IF(AP629&gt;AQ629*1.05,AP629-AQ629*1.05,IF(AP629&lt;AQ629*0.95,AQ629*0.95-AP629,0))</f>
        <v/>
      </c>
      <c r="AS629" s="34">
        <f>MAX(F629:G629,750)*0.05*AR629</f>
        <v/>
      </c>
      <c r="AT629">
        <f>'[1]GÖP VERİLERİ'!D630</f>
        <v/>
      </c>
      <c r="AU629" s="34">
        <f>IF(AP629&gt;AT629*1.05,AP629-AT629*1.05,IF(AP629&lt;AT629*0.95,AT629*0.95-AP629,0))</f>
        <v/>
      </c>
      <c r="AV629" s="34">
        <f>MAX(F629:G629,750)*0.05*AU629</f>
        <v/>
      </c>
      <c r="AW629" s="34">
        <f>AC629+AJ629+AQ629</f>
        <v/>
      </c>
      <c r="AX629" s="34">
        <f>AF629+AM629+AT629</f>
        <v/>
      </c>
      <c r="AY629" s="34">
        <f>AB629+AI629+AP629</f>
        <v/>
      </c>
      <c r="AZ629" s="34" t="n">
        <v>0</v>
      </c>
      <c r="BA629" s="34">
        <f>AD629+AK629+AR629</f>
        <v/>
      </c>
      <c r="BB629" s="34">
        <f>MAX(F629:G629,750)*0.05*BA629</f>
        <v/>
      </c>
      <c r="BC629" s="34">
        <f>AG629+AN629+AU629</f>
        <v/>
      </c>
      <c r="BD629" s="34">
        <f>MAX(F629:G629,750)*0.05*BC629</f>
        <v/>
      </c>
      <c r="BE629" s="34">
        <f>F629*AY629</f>
        <v/>
      </c>
      <c r="BF629" s="34">
        <f>K629-M629</f>
        <v/>
      </c>
      <c r="BG629" s="34">
        <f>P629-S629</f>
        <v/>
      </c>
      <c r="BH629" s="34">
        <f>W629-AA629</f>
        <v/>
      </c>
      <c r="BI629" s="34">
        <f>BF629+BG629+BL629-BN629</f>
        <v/>
      </c>
      <c r="BJ629" s="34">
        <f>ABS(BK629)</f>
        <v/>
      </c>
      <c r="BK629" s="34">
        <f>AY629-(J629-L629+N629-Q629)</f>
        <v/>
      </c>
      <c r="BL629" s="34">
        <f>IF(AND(BK629&gt;0,MIN($F629:$G629)&lt;150,$E629="Enerji Açığı"),-100*BK629*1.03,IF(AND(BK629&gt;0,MIN($F629:$G629)&lt;150,$E629="Enerji Fazlası"),-100*BK629*1.06,IF(AND(BK629&gt;0,MIN($F629:$G629)&gt;=150,$E629="Enerji Açığı"),BK629*MIN($F629:$G629)*0.97,IF(AND(BK629&gt;0,MIN($F629:$G629)&gt;=150,$E629="Enerji Fazlası"),BK629*MIN($F629:$G629)*0.94,IF(AND(BK629&lt;0,MAX($F629:$G629)=4500,$E629="Enerji Açığı"),4500*1.05*1.06*BK629,IF(AND(BK629&lt;0,MAX($F629:$G629)=4500,$E629="Enerji Fazlası"),4500*1.05*1.03*BK629,IF(AND(BK629&lt;0,$E629="Enerji Açığı"),MAX($F629,$G629,150)*BK629*1.06,IF(AND(BK629&lt;0,$E629="Enerji Fazlası"),MAX($F629,$G629,150)*BK629*1.03,IF(AND(BK629&lt;0,$E629="Dengede"),MAX($F629:$G629,150)*1.03*BK629,MIN($F629:$G629)*0.97*BK629)))))))))</f>
        <v/>
      </c>
      <c r="BM629" s="34">
        <f>BE629-BI629-BN629</f>
        <v/>
      </c>
      <c r="BN629" s="34">
        <f>BB629</f>
        <v/>
      </c>
      <c r="BO629" s="34">
        <f>BE629-BI629</f>
        <v/>
      </c>
      <c r="BP629" s="34">
        <f>IF(AY629=0,0,BO629/AY629)</f>
        <v/>
      </c>
      <c r="BQ629" s="34">
        <f>MAX((AY629+MAX((-J629+L629-N629+Q629),0)),(MAX((J629-L629+N629-Q629),0)))</f>
        <v/>
      </c>
      <c r="BR629" s="82">
        <f>IFERROR(ABS(BK629/BQ629),0)</f>
        <v/>
      </c>
      <c r="BS629" s="34">
        <f>IF(BR629&lt;=0.1,0,BK629/BR629*(BR629-0.1))</f>
        <v/>
      </c>
      <c r="BT629" s="34">
        <f>IF((BS629)&lt;0,MAX(F629:G629)*(BS629)*1.03,MIN(F629:G629)*(BS629)*0.97)</f>
        <v/>
      </c>
      <c r="BU629" s="34">
        <f>IF(BR629&gt;0.1,1,0)</f>
        <v/>
      </c>
      <c r="BV629" s="34">
        <f>BF629+BG629+BH629+BY629-CA629</f>
        <v/>
      </c>
      <c r="BW629" s="34">
        <f>ABS(BX629)</f>
        <v/>
      </c>
      <c r="BX629" s="34">
        <f>AY629-(J629-L629+N629-Q629+T629-X629)</f>
        <v/>
      </c>
      <c r="BY629" s="34">
        <f>IF(AND(BX629&gt;0,MIN($F629:$G629)&lt;150,$E629="Enerji Açığı"),-100*BX629*1.03,IF(AND(BX629&gt;0,MIN($F629:$G629)&lt;150,$E629="Enerji Fazlası"),-100*BX629*1.06,IF(AND(BX629&gt;0,MIN($F629:$G629)&gt;=150,$E629="Enerji Açığı"),BX629*MIN($F629:$G629)*0.97,IF(AND(BX629&gt;0,MIN($F629:$G629)&gt;=150,$E629="Enerji Fazlası"),BX629*MIN($F629:$G629)*0.94,IF(AND(BX629&lt;0,MAX($F629:$G629)=4500,$E629="Enerji Açığı"),4500*1.05*1.06*BX629,IF(AND(BX629&lt;0,MAX($F629:$G629)=4500,$E629="Enerji Fazlası"),4500*1.05*1.03*BX629,IF(AND(BX629&lt;0,$E629="Enerji Açığı"),MAX($F629,$G629,150)*BX629*1.06,IF(AND(BX629&lt;0,$E629="Enerji Fazlası"),MAX($F629,$G629,150)*BX629*1.03,IF(AND(BX629&lt;0,$E629="Dengede"),MAX($F629:$G629,150)*1.03*BX629,MIN($F629:$G629)*0.97*BX629)))))))))</f>
        <v/>
      </c>
      <c r="BZ629" s="34">
        <f>BE629-BV629-CA629</f>
        <v/>
      </c>
      <c r="CA629" s="34">
        <f>BD629</f>
        <v/>
      </c>
      <c r="CB629" s="33">
        <f>BE629-BV629</f>
        <v/>
      </c>
      <c r="CC629" s="34">
        <f>IF(AY629=0,0,CB629/AY629)</f>
        <v/>
      </c>
      <c r="CD629" s="34">
        <f>MAX((AY629+MAX((-J629+L629-N629+Q629-T629+X629),0)),(MAX((J629-L629+N629-Q629+T629-X629),0)))</f>
        <v/>
      </c>
      <c r="CE629" s="82">
        <f>IFERROR(ABS(BX629/CD629),0)</f>
        <v/>
      </c>
      <c r="CF629" s="34">
        <f>IF(CE629&lt;=0.1,0,BX629/CE629*(CE629-0.1))</f>
        <v/>
      </c>
      <c r="CG629" s="34">
        <f>IF((CF629)&lt;0,MAX(F629:G629)*(CF629)*1.03,MIN(F629:G629)*(CF629)*0.97)</f>
        <v/>
      </c>
      <c r="CH629" s="34">
        <f>IF(CE629&gt;0.1,1,0)</f>
        <v/>
      </c>
      <c r="CI629" s="34">
        <f>(F629*BX629)-BY629</f>
        <v/>
      </c>
      <c r="CJ629" s="34">
        <f>IF(AY629=0,0,CI629/AY629)</f>
        <v/>
      </c>
    </row>
    <row r="630">
      <c r="A630" s="29">
        <f>[1]FİYATLAR!A605</f>
        <v/>
      </c>
      <c r="B630" s="29">
        <f>[1]FİYATLAR!B629</f>
        <v/>
      </c>
      <c r="C630" s="35">
        <f>INT(A630)</f>
        <v/>
      </c>
      <c r="D630" s="36">
        <f>MONTH(A630)</f>
        <v/>
      </c>
      <c r="E630" s="147">
        <f>[1]FİYATLAR!G605</f>
        <v/>
      </c>
      <c r="F630" s="30">
        <f>[1]FİYATLAR!C605</f>
        <v/>
      </c>
      <c r="G630" s="30">
        <f>[1]FİYATLAR!E605</f>
        <v/>
      </c>
      <c r="H630" s="30">
        <f>[1]FİYATLAR!D605</f>
        <v/>
      </c>
      <c r="I630" s="30">
        <f>[1]FİYATLAR!F605</f>
        <v/>
      </c>
      <c r="J630" s="119" t="n">
        <v>0</v>
      </c>
      <c r="K630" s="34">
        <f>F630*J630</f>
        <v/>
      </c>
      <c r="L630" s="119" t="n"/>
      <c r="M630" s="34">
        <f>L630*F630</f>
        <v/>
      </c>
      <c r="N630" s="119" t="n"/>
      <c r="O630" s="34">
        <f>F630</f>
        <v/>
      </c>
      <c r="P630" s="34">
        <f>N630*O630</f>
        <v/>
      </c>
      <c r="Q630" s="117" t="n">
        <v>0</v>
      </c>
      <c r="R630" s="34">
        <f>F630</f>
        <v/>
      </c>
      <c r="S630" s="34">
        <f>R630*Q630</f>
        <v/>
      </c>
      <c r="T630" s="34">
        <f>SUMIFS('[1]GİP VERİLERİ'!$C:$C,'[1]GİP VERİLERİ'!$B:$B,A630,'[1]GİP VERİLERİ'!$M:$M,"40X000000104782K",'[1]GİP VERİLERİ'!$G:$G,"SELL")</f>
        <v/>
      </c>
      <c r="U630" s="34">
        <f>IFERROR(W630/T630,0)</f>
        <v/>
      </c>
      <c r="V630" s="34">
        <f>IF(U630=0,0,U630-F630)</f>
        <v/>
      </c>
      <c r="W630" s="34">
        <f>SUMIFS('[1]GİP VERİLERİ'!$O:$O,'[1]GİP VERİLERİ'!$B:$B,A630,'[1]GİP VERİLERİ'!$M:$M,"40X000000104782K",'[1]GİP VERİLERİ'!$G:$G,"SELL")</f>
        <v/>
      </c>
      <c r="X630" s="34">
        <f>SUMIFS('[1]GİP VERİLERİ'!$C:$C,'[1]GİP VERİLERİ'!$B:$B,A630,'[1]GİP VERİLERİ'!$M:$M,"40X000000104782K",'[1]GİP VERİLERİ'!$G:$G,"BUY")</f>
        <v/>
      </c>
      <c r="Y630" s="34">
        <f>IFERROR(AA630/X630,0)</f>
        <v/>
      </c>
      <c r="Z630" s="34">
        <f>IF(Y630=0,0,F630-Y630)</f>
        <v/>
      </c>
      <c r="AA630" s="34">
        <f>SUMIFS('[1]GİP VERİLERİ'!$O:$O,'[1]GİP VERİLERİ'!$B:$B,A630,'[1]GİP VERİLERİ'!$M:$M,"40X000000104782K",'[1]GİP VERİLERİ'!$G:$G,"BUY")</f>
        <v/>
      </c>
      <c r="AB630" s="34">
        <f>'[1]GÖP VERİLERİ'!H631</f>
        <v/>
      </c>
      <c r="AC630" s="34">
        <f>'[1]GÖP VERİLERİ'!I631</f>
        <v/>
      </c>
      <c r="AD630" s="34">
        <f>IF(AB630&gt;AC630*1.05,AB630-AC630*1.05,IF(AB630&lt;AC630*0.95,AC630*0.95-AB630,0))</f>
        <v/>
      </c>
      <c r="AE630" s="34">
        <f>MAX(F630,G630,750)*0.05*AD630</f>
        <v/>
      </c>
      <c r="AF630" s="34">
        <f>'[1]GÖP VERİLERİ'!J631</f>
        <v/>
      </c>
      <c r="AG630" s="34">
        <f>IF(AB630&gt;AF630*1.05,AB630-AF630*1.05,IF(AB630&lt;AF630*0.95,AF630*0.95-AB630,0))</f>
        <v/>
      </c>
      <c r="AH630" s="34">
        <f>MAX(I630,J630,750)*0.05*AG630</f>
        <v/>
      </c>
      <c r="AI630">
        <f>'[1]GÖP VERİLERİ'!E631</f>
        <v/>
      </c>
      <c r="AJ630">
        <f>'[1]GÖP VERİLERİ'!F631</f>
        <v/>
      </c>
      <c r="AK630" s="34">
        <f>IF(AI630&gt;AJ630*1.05,AI630-AJ630*1.05,IF(AI630&lt;AJ630*0.95,AJ630*0.95-AI630,0))</f>
        <v/>
      </c>
      <c r="AL630" s="34">
        <f>MAX(F630,G630,750)*0.05*AK630</f>
        <v/>
      </c>
      <c r="AM630" s="39">
        <f>'[1]GÖP VERİLERİ'!G631</f>
        <v/>
      </c>
      <c r="AN630" s="34">
        <f>IF(AI630&gt;AM630*1.05,AI630-AM630*1.05,IF(AI630&lt;AM630*0.95,AM630*0.95-AI630,0))</f>
        <v/>
      </c>
      <c r="AO630" s="34">
        <f>MAX(F630,G630,750)*0.05*AN630</f>
        <v/>
      </c>
      <c r="AP630" s="34">
        <f>'[1]GÖP VERİLERİ'!B631</f>
        <v/>
      </c>
      <c r="AQ630" s="34">
        <f>'[1]GÖP VERİLERİ'!C631</f>
        <v/>
      </c>
      <c r="AR630" s="34">
        <f>IF(AP630&gt;AQ630*1.05,AP630-AQ630*1.05,IF(AP630&lt;AQ630*0.95,AQ630*0.95-AP630,0))</f>
        <v/>
      </c>
      <c r="AS630" s="34">
        <f>MAX(F630:G630,750)*0.05*AR630</f>
        <v/>
      </c>
      <c r="AT630">
        <f>'[1]GÖP VERİLERİ'!D631</f>
        <v/>
      </c>
      <c r="AU630" s="34">
        <f>IF(AP630&gt;AT630*1.05,AP630-AT630*1.05,IF(AP630&lt;AT630*0.95,AT630*0.95-AP630,0))</f>
        <v/>
      </c>
      <c r="AV630" s="34">
        <f>MAX(F630:G630,750)*0.05*AU630</f>
        <v/>
      </c>
      <c r="AW630" s="34">
        <f>AC630+AJ630+AQ630</f>
        <v/>
      </c>
      <c r="AX630" s="34">
        <f>AF630+AM630+AT630</f>
        <v/>
      </c>
      <c r="AY630" s="34">
        <f>AB630+AI630+AP630</f>
        <v/>
      </c>
      <c r="AZ630" s="34" t="n">
        <v>0</v>
      </c>
      <c r="BA630" s="34">
        <f>AD630+AK630+AR630</f>
        <v/>
      </c>
      <c r="BB630" s="34">
        <f>MAX(F630:G630,750)*0.05*BA630</f>
        <v/>
      </c>
      <c r="BC630" s="34">
        <f>AG630+AN630+AU630</f>
        <v/>
      </c>
      <c r="BD630" s="34">
        <f>MAX(F630:G630,750)*0.05*BC630</f>
        <v/>
      </c>
      <c r="BE630" s="34">
        <f>F630*AY630</f>
        <v/>
      </c>
      <c r="BF630" s="34">
        <f>K630-M630</f>
        <v/>
      </c>
      <c r="BG630" s="34">
        <f>P630-S630</f>
        <v/>
      </c>
      <c r="BH630" s="34">
        <f>W630-AA630</f>
        <v/>
      </c>
      <c r="BI630" s="34">
        <f>BF630+BG630+BL630-BN630</f>
        <v/>
      </c>
      <c r="BJ630" s="34">
        <f>ABS(BK630)</f>
        <v/>
      </c>
      <c r="BK630" s="34">
        <f>AY630-(J630-L630+N630-Q630)</f>
        <v/>
      </c>
      <c r="BL630" s="34">
        <f>IF(AND(BK630&gt;0,MIN($F630:$G630)&lt;150,$E630="Enerji Açığı"),-100*BK630*1.03,IF(AND(BK630&gt;0,MIN($F630:$G630)&lt;150,$E630="Enerji Fazlası"),-100*BK630*1.06,IF(AND(BK630&gt;0,MIN($F630:$G630)&gt;=150,$E630="Enerji Açığı"),BK630*MIN($F630:$G630)*0.97,IF(AND(BK630&gt;0,MIN($F630:$G630)&gt;=150,$E630="Enerji Fazlası"),BK630*MIN($F630:$G630)*0.94,IF(AND(BK630&lt;0,MAX($F630:$G630)=4500,$E630="Enerji Açığı"),4500*1.05*1.06*BK630,IF(AND(BK630&lt;0,MAX($F630:$G630)=4500,$E630="Enerji Fazlası"),4500*1.05*1.03*BK630,IF(AND(BK630&lt;0,$E630="Enerji Açığı"),MAX($F630,$G630,150)*BK630*1.06,IF(AND(BK630&lt;0,$E630="Enerji Fazlası"),MAX($F630,$G630,150)*BK630*1.03,IF(AND(BK630&lt;0,$E630="Dengede"),MAX($F630:$G630,150)*1.03*BK630,MIN($F630:$G630)*0.97*BK630)))))))))</f>
        <v/>
      </c>
      <c r="BM630" s="34">
        <f>BE630-BI630-BN630</f>
        <v/>
      </c>
      <c r="BN630" s="34">
        <f>BB630</f>
        <v/>
      </c>
      <c r="BO630" s="34">
        <f>BE630-BI630</f>
        <v/>
      </c>
      <c r="BP630" s="34">
        <f>IF(AY630=0,0,BO630/AY630)</f>
        <v/>
      </c>
      <c r="BQ630" s="34">
        <f>MAX((AY630+MAX((-J630+L630-N630+Q630),0)),(MAX((J630-L630+N630-Q630),0)))</f>
        <v/>
      </c>
      <c r="BR630" s="82">
        <f>IFERROR(ABS(BK630/BQ630),0)</f>
        <v/>
      </c>
      <c r="BS630" s="34">
        <f>IF(BR630&lt;=0.1,0,BK630/BR630*(BR630-0.1))</f>
        <v/>
      </c>
      <c r="BT630" s="34">
        <f>IF((BS630)&lt;0,MAX(F630:G630)*(BS630)*1.03,MIN(F630:G630)*(BS630)*0.97)</f>
        <v/>
      </c>
      <c r="BU630" s="34">
        <f>IF(BR630&gt;0.1,1,0)</f>
        <v/>
      </c>
      <c r="BV630" s="34">
        <f>BF630+BG630+BH630+BY630-CA630</f>
        <v/>
      </c>
      <c r="BW630" s="34">
        <f>ABS(BX630)</f>
        <v/>
      </c>
      <c r="BX630" s="34">
        <f>AY630-(J630-L630+N630-Q630+T630-X630)</f>
        <v/>
      </c>
      <c r="BY630" s="34">
        <f>IF(AND(BX630&gt;0,MIN($F630:$G630)&lt;150,$E630="Enerji Açığı"),-100*BX630*1.03,IF(AND(BX630&gt;0,MIN($F630:$G630)&lt;150,$E630="Enerji Fazlası"),-100*BX630*1.06,IF(AND(BX630&gt;0,MIN($F630:$G630)&gt;=150,$E630="Enerji Açığı"),BX630*MIN($F630:$G630)*0.97,IF(AND(BX630&gt;0,MIN($F630:$G630)&gt;=150,$E630="Enerji Fazlası"),BX630*MIN($F630:$G630)*0.94,IF(AND(BX630&lt;0,MAX($F630:$G630)=4500,$E630="Enerji Açığı"),4500*1.05*1.06*BX630,IF(AND(BX630&lt;0,MAX($F630:$G630)=4500,$E630="Enerji Fazlası"),4500*1.05*1.03*BX630,IF(AND(BX630&lt;0,$E630="Enerji Açığı"),MAX($F630,$G630,150)*BX630*1.06,IF(AND(BX630&lt;0,$E630="Enerji Fazlası"),MAX($F630,$G630,150)*BX630*1.03,IF(AND(BX630&lt;0,$E630="Dengede"),MAX($F630:$G630,150)*1.03*BX630,MIN($F630:$G630)*0.97*BX630)))))))))</f>
        <v/>
      </c>
      <c r="BZ630" s="34">
        <f>BE630-BV630-CA630</f>
        <v/>
      </c>
      <c r="CA630" s="34">
        <f>BD630</f>
        <v/>
      </c>
      <c r="CB630" s="33">
        <f>BE630-BV630</f>
        <v/>
      </c>
      <c r="CC630" s="34">
        <f>IF(AY630=0,0,CB630/AY630)</f>
        <v/>
      </c>
      <c r="CD630" s="34">
        <f>MAX((AY630+MAX((-J630+L630-N630+Q630-T630+X630),0)),(MAX((J630-L630+N630-Q630+T630-X630),0)))</f>
        <v/>
      </c>
      <c r="CE630" s="82">
        <f>IFERROR(ABS(BX630/CD630),0)</f>
        <v/>
      </c>
      <c r="CF630" s="34">
        <f>IF(CE630&lt;=0.1,0,BX630/CE630*(CE630-0.1))</f>
        <v/>
      </c>
      <c r="CG630" s="34">
        <f>IF((CF630)&lt;0,MAX(F630:G630)*(CF630)*1.03,MIN(F630:G630)*(CF630)*0.97)</f>
        <v/>
      </c>
      <c r="CH630" s="34">
        <f>IF(CE630&gt;0.1,1,0)</f>
        <v/>
      </c>
      <c r="CI630" s="34">
        <f>(F630*BX630)-BY630</f>
        <v/>
      </c>
      <c r="CJ630" s="34">
        <f>IF(AY630=0,0,CI630/AY630)</f>
        <v/>
      </c>
    </row>
    <row r="631">
      <c r="A631" s="29">
        <f>[1]FİYATLAR!A606</f>
        <v/>
      </c>
      <c r="B631" s="29">
        <f>[1]FİYATLAR!B630</f>
        <v/>
      </c>
      <c r="C631" s="35">
        <f>INT(A631)</f>
        <v/>
      </c>
      <c r="D631" s="36">
        <f>MONTH(A631)</f>
        <v/>
      </c>
      <c r="E631" s="147">
        <f>[1]FİYATLAR!G606</f>
        <v/>
      </c>
      <c r="F631" s="30">
        <f>[1]FİYATLAR!C606</f>
        <v/>
      </c>
      <c r="G631" s="30">
        <f>[1]FİYATLAR!E606</f>
        <v/>
      </c>
      <c r="H631" s="30">
        <f>[1]FİYATLAR!D606</f>
        <v/>
      </c>
      <c r="I631" s="30">
        <f>[1]FİYATLAR!F606</f>
        <v/>
      </c>
      <c r="J631" s="119" t="n">
        <v>0</v>
      </c>
      <c r="K631" s="34">
        <f>F631*J631</f>
        <v/>
      </c>
      <c r="L631" s="119" t="n"/>
      <c r="M631" s="34">
        <f>L631*F631</f>
        <v/>
      </c>
      <c r="N631" s="119" t="n"/>
      <c r="O631" s="34">
        <f>F631</f>
        <v/>
      </c>
      <c r="P631" s="34">
        <f>N631*O631</f>
        <v/>
      </c>
      <c r="Q631" s="117" t="n">
        <v>0</v>
      </c>
      <c r="R631" s="34">
        <f>F631</f>
        <v/>
      </c>
      <c r="S631" s="34">
        <f>R631*Q631</f>
        <v/>
      </c>
      <c r="T631" s="34">
        <f>SUMIFS('[1]GİP VERİLERİ'!$C:$C,'[1]GİP VERİLERİ'!$B:$B,A631,'[1]GİP VERİLERİ'!$M:$M,"40X000000104782K",'[1]GİP VERİLERİ'!$G:$G,"SELL")</f>
        <v/>
      </c>
      <c r="U631" s="34">
        <f>IFERROR(W631/T631,0)</f>
        <v/>
      </c>
      <c r="V631" s="34">
        <f>IF(U631=0,0,U631-F631)</f>
        <v/>
      </c>
      <c r="W631" s="34">
        <f>SUMIFS('[1]GİP VERİLERİ'!$O:$O,'[1]GİP VERİLERİ'!$B:$B,A631,'[1]GİP VERİLERİ'!$M:$M,"40X000000104782K",'[1]GİP VERİLERİ'!$G:$G,"SELL")</f>
        <v/>
      </c>
      <c r="X631" s="34">
        <f>SUMIFS('[1]GİP VERİLERİ'!$C:$C,'[1]GİP VERİLERİ'!$B:$B,A631,'[1]GİP VERİLERİ'!$M:$M,"40X000000104782K",'[1]GİP VERİLERİ'!$G:$G,"BUY")</f>
        <v/>
      </c>
      <c r="Y631" s="34">
        <f>IFERROR(AA631/X631,0)</f>
        <v/>
      </c>
      <c r="Z631" s="34">
        <f>IF(Y631=0,0,F631-Y631)</f>
        <v/>
      </c>
      <c r="AA631" s="34">
        <f>SUMIFS('[1]GİP VERİLERİ'!$O:$O,'[1]GİP VERİLERİ'!$B:$B,A631,'[1]GİP VERİLERİ'!$M:$M,"40X000000104782K",'[1]GİP VERİLERİ'!$G:$G,"BUY")</f>
        <v/>
      </c>
      <c r="AB631" s="34">
        <f>'[1]GÖP VERİLERİ'!H632</f>
        <v/>
      </c>
      <c r="AC631" s="34">
        <f>'[1]GÖP VERİLERİ'!I632</f>
        <v/>
      </c>
      <c r="AD631" s="34">
        <f>IF(AB631&gt;AC631*1.05,AB631-AC631*1.05,IF(AB631&lt;AC631*0.95,AC631*0.95-AB631,0))</f>
        <v/>
      </c>
      <c r="AE631" s="34">
        <f>MAX(F631,G631,750)*0.05*AD631</f>
        <v/>
      </c>
      <c r="AF631" s="34">
        <f>'[1]GÖP VERİLERİ'!J632</f>
        <v/>
      </c>
      <c r="AG631" s="34">
        <f>IF(AB631&gt;AF631*1.05,AB631-AF631*1.05,IF(AB631&lt;AF631*0.95,AF631*0.95-AB631,0))</f>
        <v/>
      </c>
      <c r="AH631" s="34">
        <f>MAX(I631,J631,750)*0.05*AG631</f>
        <v/>
      </c>
      <c r="AI631">
        <f>'[1]GÖP VERİLERİ'!E632</f>
        <v/>
      </c>
      <c r="AJ631">
        <f>'[1]GÖP VERİLERİ'!F632</f>
        <v/>
      </c>
      <c r="AK631" s="34">
        <f>IF(AI631&gt;AJ631*1.05,AI631-AJ631*1.05,IF(AI631&lt;AJ631*0.95,AJ631*0.95-AI631,0))</f>
        <v/>
      </c>
      <c r="AL631" s="34">
        <f>MAX(F631,G631,750)*0.05*AK631</f>
        <v/>
      </c>
      <c r="AM631" s="39">
        <f>'[1]GÖP VERİLERİ'!G632</f>
        <v/>
      </c>
      <c r="AN631" s="34">
        <f>IF(AI631&gt;AM631*1.05,AI631-AM631*1.05,IF(AI631&lt;AM631*0.95,AM631*0.95-AI631,0))</f>
        <v/>
      </c>
      <c r="AO631" s="34">
        <f>MAX(F631,G631,750)*0.05*AN631</f>
        <v/>
      </c>
      <c r="AP631" s="34">
        <f>'[1]GÖP VERİLERİ'!B632</f>
        <v/>
      </c>
      <c r="AQ631" s="34">
        <f>'[1]GÖP VERİLERİ'!C632</f>
        <v/>
      </c>
      <c r="AR631" s="34">
        <f>IF(AP631&gt;AQ631*1.05,AP631-AQ631*1.05,IF(AP631&lt;AQ631*0.95,AQ631*0.95-AP631,0))</f>
        <v/>
      </c>
      <c r="AS631" s="34">
        <f>MAX(F631:G631,750)*0.05*AR631</f>
        <v/>
      </c>
      <c r="AT631">
        <f>'[1]GÖP VERİLERİ'!D632</f>
        <v/>
      </c>
      <c r="AU631" s="34">
        <f>IF(AP631&gt;AT631*1.05,AP631-AT631*1.05,IF(AP631&lt;AT631*0.95,AT631*0.95-AP631,0))</f>
        <v/>
      </c>
      <c r="AV631" s="34">
        <f>MAX(F631:G631,750)*0.05*AU631</f>
        <v/>
      </c>
      <c r="AW631" s="34">
        <f>AC631+AJ631+AQ631</f>
        <v/>
      </c>
      <c r="AX631" s="34">
        <f>AF631+AM631+AT631</f>
        <v/>
      </c>
      <c r="AY631" s="34">
        <f>AB631+AI631+AP631</f>
        <v/>
      </c>
      <c r="AZ631" s="34" t="n">
        <v>0</v>
      </c>
      <c r="BA631" s="34">
        <f>AD631+AK631+AR631</f>
        <v/>
      </c>
      <c r="BB631" s="34">
        <f>MAX(F631:G631,750)*0.05*BA631</f>
        <v/>
      </c>
      <c r="BC631" s="34">
        <f>AG631+AN631+AU631</f>
        <v/>
      </c>
      <c r="BD631" s="34">
        <f>MAX(F631:G631,750)*0.05*BC631</f>
        <v/>
      </c>
      <c r="BE631" s="34">
        <f>F631*AY631</f>
        <v/>
      </c>
      <c r="BF631" s="34">
        <f>K631-M631</f>
        <v/>
      </c>
      <c r="BG631" s="34">
        <f>P631-S631</f>
        <v/>
      </c>
      <c r="BH631" s="34">
        <f>W631-AA631</f>
        <v/>
      </c>
      <c r="BI631" s="34">
        <f>BF631+BG631+BL631-BN631</f>
        <v/>
      </c>
      <c r="BJ631" s="34">
        <f>ABS(BK631)</f>
        <v/>
      </c>
      <c r="BK631" s="34">
        <f>AY631-(J631-L631+N631-Q631)</f>
        <v/>
      </c>
      <c r="BL631" s="34">
        <f>IF(AND(BK631&gt;0,MIN($F631:$G631)&lt;150,$E631="Enerji Açığı"),-100*BK631*1.03,IF(AND(BK631&gt;0,MIN($F631:$G631)&lt;150,$E631="Enerji Fazlası"),-100*BK631*1.06,IF(AND(BK631&gt;0,MIN($F631:$G631)&gt;=150,$E631="Enerji Açığı"),BK631*MIN($F631:$G631)*0.97,IF(AND(BK631&gt;0,MIN($F631:$G631)&gt;=150,$E631="Enerji Fazlası"),BK631*MIN($F631:$G631)*0.94,IF(AND(BK631&lt;0,MAX($F631:$G631)=4500,$E631="Enerji Açığı"),4500*1.05*1.06*BK631,IF(AND(BK631&lt;0,MAX($F631:$G631)=4500,$E631="Enerji Fazlası"),4500*1.05*1.03*BK631,IF(AND(BK631&lt;0,$E631="Enerji Açığı"),MAX($F631,$G631,150)*BK631*1.06,IF(AND(BK631&lt;0,$E631="Enerji Fazlası"),MAX($F631,$G631,150)*BK631*1.03,IF(AND(BK631&lt;0,$E631="Dengede"),MAX($F631:$G631,150)*1.03*BK631,MIN($F631:$G631)*0.97*BK631)))))))))</f>
        <v/>
      </c>
      <c r="BM631" s="34">
        <f>BE631-BI631-BN631</f>
        <v/>
      </c>
      <c r="BN631" s="34">
        <f>BB631</f>
        <v/>
      </c>
      <c r="BO631" s="34">
        <f>BE631-BI631</f>
        <v/>
      </c>
      <c r="BP631" s="34">
        <f>IF(AY631=0,0,BO631/AY631)</f>
        <v/>
      </c>
      <c r="BQ631" s="34">
        <f>MAX((AY631+MAX((-J631+L631-N631+Q631),0)),(MAX((J631-L631+N631-Q631),0)))</f>
        <v/>
      </c>
      <c r="BR631" s="82">
        <f>IFERROR(ABS(BK631/BQ631),0)</f>
        <v/>
      </c>
      <c r="BS631" s="34">
        <f>IF(BR631&lt;=0.1,0,BK631/BR631*(BR631-0.1))</f>
        <v/>
      </c>
      <c r="BT631" s="34">
        <f>IF((BS631)&lt;0,MAX(F631:G631)*(BS631)*1.03,MIN(F631:G631)*(BS631)*0.97)</f>
        <v/>
      </c>
      <c r="BU631" s="34">
        <f>IF(BR631&gt;0.1,1,0)</f>
        <v/>
      </c>
      <c r="BV631" s="34">
        <f>BF631+BG631+BH631+BY631-CA631</f>
        <v/>
      </c>
      <c r="BW631" s="34">
        <f>ABS(BX631)</f>
        <v/>
      </c>
      <c r="BX631" s="34">
        <f>AY631-(J631-L631+N631-Q631+T631-X631)</f>
        <v/>
      </c>
      <c r="BY631" s="34">
        <f>IF(AND(BX631&gt;0,MIN($F631:$G631)&lt;150,$E631="Enerji Açığı"),-100*BX631*1.03,IF(AND(BX631&gt;0,MIN($F631:$G631)&lt;150,$E631="Enerji Fazlası"),-100*BX631*1.06,IF(AND(BX631&gt;0,MIN($F631:$G631)&gt;=150,$E631="Enerji Açığı"),BX631*MIN($F631:$G631)*0.97,IF(AND(BX631&gt;0,MIN($F631:$G631)&gt;=150,$E631="Enerji Fazlası"),BX631*MIN($F631:$G631)*0.94,IF(AND(BX631&lt;0,MAX($F631:$G631)=4500,$E631="Enerji Açığı"),4500*1.05*1.06*BX631,IF(AND(BX631&lt;0,MAX($F631:$G631)=4500,$E631="Enerji Fazlası"),4500*1.05*1.03*BX631,IF(AND(BX631&lt;0,$E631="Enerji Açığı"),MAX($F631,$G631,150)*BX631*1.06,IF(AND(BX631&lt;0,$E631="Enerji Fazlası"),MAX($F631,$G631,150)*BX631*1.03,IF(AND(BX631&lt;0,$E631="Dengede"),MAX($F631:$G631,150)*1.03*BX631,MIN($F631:$G631)*0.97*BX631)))))))))</f>
        <v/>
      </c>
      <c r="BZ631" s="34">
        <f>BE631-BV631-CA631</f>
        <v/>
      </c>
      <c r="CA631" s="34">
        <f>BD631</f>
        <v/>
      </c>
      <c r="CB631" s="33">
        <f>BE631-BV631</f>
        <v/>
      </c>
      <c r="CC631" s="34">
        <f>IF(AY631=0,0,CB631/AY631)</f>
        <v/>
      </c>
      <c r="CD631" s="34">
        <f>MAX((AY631+MAX((-J631+L631-N631+Q631-T631+X631),0)),(MAX((J631-L631+N631-Q631+T631-X631),0)))</f>
        <v/>
      </c>
      <c r="CE631" s="82">
        <f>IFERROR(ABS(BX631/CD631),0)</f>
        <v/>
      </c>
      <c r="CF631" s="34">
        <f>IF(CE631&lt;=0.1,0,BX631/CE631*(CE631-0.1))</f>
        <v/>
      </c>
      <c r="CG631" s="34">
        <f>IF((CF631)&lt;0,MAX(F631:G631)*(CF631)*1.03,MIN(F631:G631)*(CF631)*0.97)</f>
        <v/>
      </c>
      <c r="CH631" s="34">
        <f>IF(CE631&gt;0.1,1,0)</f>
        <v/>
      </c>
      <c r="CI631" s="34">
        <f>(F631*BX631)-BY631</f>
        <v/>
      </c>
      <c r="CJ631" s="34">
        <f>IF(AY631=0,0,CI631/AY631)</f>
        <v/>
      </c>
    </row>
    <row r="632">
      <c r="A632" s="29">
        <f>[1]FİYATLAR!A607</f>
        <v/>
      </c>
      <c r="B632" s="29">
        <f>[1]FİYATLAR!B631</f>
        <v/>
      </c>
      <c r="C632" s="35">
        <f>INT(A632)</f>
        <v/>
      </c>
      <c r="D632" s="36">
        <f>MONTH(A632)</f>
        <v/>
      </c>
      <c r="E632" s="147">
        <f>[1]FİYATLAR!G607</f>
        <v/>
      </c>
      <c r="F632" s="30">
        <f>[1]FİYATLAR!C607</f>
        <v/>
      </c>
      <c r="G632" s="30">
        <f>[1]FİYATLAR!E607</f>
        <v/>
      </c>
      <c r="H632" s="30">
        <f>[1]FİYATLAR!D607</f>
        <v/>
      </c>
      <c r="I632" s="30">
        <f>[1]FİYATLAR!F607</f>
        <v/>
      </c>
      <c r="J632" s="119" t="n">
        <v>0</v>
      </c>
      <c r="K632" s="34">
        <f>F632*J632</f>
        <v/>
      </c>
      <c r="L632" s="119" t="n"/>
      <c r="M632" s="34">
        <f>L632*F632</f>
        <v/>
      </c>
      <c r="N632" s="119" t="n"/>
      <c r="O632" s="34">
        <f>F632</f>
        <v/>
      </c>
      <c r="P632" s="34">
        <f>N632*O632</f>
        <v/>
      </c>
      <c r="Q632" s="117" t="n">
        <v>0</v>
      </c>
      <c r="R632" s="34">
        <f>F632</f>
        <v/>
      </c>
      <c r="S632" s="34">
        <f>R632*Q632</f>
        <v/>
      </c>
      <c r="T632" s="34">
        <f>SUMIFS('[1]GİP VERİLERİ'!$C:$C,'[1]GİP VERİLERİ'!$B:$B,A632,'[1]GİP VERİLERİ'!$M:$M,"40X000000104782K",'[1]GİP VERİLERİ'!$G:$G,"SELL")</f>
        <v/>
      </c>
      <c r="U632" s="34">
        <f>IFERROR(W632/T632,0)</f>
        <v/>
      </c>
      <c r="V632" s="34">
        <f>IF(U632=0,0,U632-F632)</f>
        <v/>
      </c>
      <c r="W632" s="34">
        <f>SUMIFS('[1]GİP VERİLERİ'!$O:$O,'[1]GİP VERİLERİ'!$B:$B,A632,'[1]GİP VERİLERİ'!$M:$M,"40X000000104782K",'[1]GİP VERİLERİ'!$G:$G,"SELL")</f>
        <v/>
      </c>
      <c r="X632" s="34">
        <f>SUMIFS('[1]GİP VERİLERİ'!$C:$C,'[1]GİP VERİLERİ'!$B:$B,A632,'[1]GİP VERİLERİ'!$M:$M,"40X000000104782K",'[1]GİP VERİLERİ'!$G:$G,"BUY")</f>
        <v/>
      </c>
      <c r="Y632" s="34">
        <f>IFERROR(AA632/X632,0)</f>
        <v/>
      </c>
      <c r="Z632" s="34">
        <f>IF(Y632=0,0,F632-Y632)</f>
        <v/>
      </c>
      <c r="AA632" s="34">
        <f>SUMIFS('[1]GİP VERİLERİ'!$O:$O,'[1]GİP VERİLERİ'!$B:$B,A632,'[1]GİP VERİLERİ'!$M:$M,"40X000000104782K",'[1]GİP VERİLERİ'!$G:$G,"BUY")</f>
        <v/>
      </c>
      <c r="AB632" s="34">
        <f>'[1]GÖP VERİLERİ'!H633</f>
        <v/>
      </c>
      <c r="AC632" s="34">
        <f>'[1]GÖP VERİLERİ'!I633</f>
        <v/>
      </c>
      <c r="AD632" s="34">
        <f>IF(AB632&gt;AC632*1.05,AB632-AC632*1.05,IF(AB632&lt;AC632*0.95,AC632*0.95-AB632,0))</f>
        <v/>
      </c>
      <c r="AE632" s="34">
        <f>MAX(F632,G632,750)*0.05*AD632</f>
        <v/>
      </c>
      <c r="AF632" s="34">
        <f>'[1]GÖP VERİLERİ'!J633</f>
        <v/>
      </c>
      <c r="AG632" s="34">
        <f>IF(AB632&gt;AF632*1.05,AB632-AF632*1.05,IF(AB632&lt;AF632*0.95,AF632*0.95-AB632,0))</f>
        <v/>
      </c>
      <c r="AH632" s="34">
        <f>MAX(I632,J632,750)*0.05*AG632</f>
        <v/>
      </c>
      <c r="AI632">
        <f>'[1]GÖP VERİLERİ'!E633</f>
        <v/>
      </c>
      <c r="AJ632">
        <f>'[1]GÖP VERİLERİ'!F633</f>
        <v/>
      </c>
      <c r="AK632" s="34">
        <f>IF(AI632&gt;AJ632*1.05,AI632-AJ632*1.05,IF(AI632&lt;AJ632*0.95,AJ632*0.95-AI632,0))</f>
        <v/>
      </c>
      <c r="AL632" s="34">
        <f>MAX(F632,G632,750)*0.05*AK632</f>
        <v/>
      </c>
      <c r="AM632" s="39">
        <f>'[1]GÖP VERİLERİ'!G633</f>
        <v/>
      </c>
      <c r="AN632" s="34">
        <f>IF(AI632&gt;AM632*1.05,AI632-AM632*1.05,IF(AI632&lt;AM632*0.95,AM632*0.95-AI632,0))</f>
        <v/>
      </c>
      <c r="AO632" s="34">
        <f>MAX(F632,G632,750)*0.05*AN632</f>
        <v/>
      </c>
      <c r="AP632" s="34">
        <f>'[1]GÖP VERİLERİ'!B633</f>
        <v/>
      </c>
      <c r="AQ632" s="34">
        <f>'[1]GÖP VERİLERİ'!C633</f>
        <v/>
      </c>
      <c r="AR632" s="34">
        <f>IF(AP632&gt;AQ632*1.05,AP632-AQ632*1.05,IF(AP632&lt;AQ632*0.95,AQ632*0.95-AP632,0))</f>
        <v/>
      </c>
      <c r="AS632" s="34">
        <f>MAX(F632:G632,750)*0.05*AR632</f>
        <v/>
      </c>
      <c r="AT632">
        <f>'[1]GÖP VERİLERİ'!D633</f>
        <v/>
      </c>
      <c r="AU632" s="34">
        <f>IF(AP632&gt;AT632*1.05,AP632-AT632*1.05,IF(AP632&lt;AT632*0.95,AT632*0.95-AP632,0))</f>
        <v/>
      </c>
      <c r="AV632" s="34">
        <f>MAX(F632:G632,750)*0.05*AU632</f>
        <v/>
      </c>
      <c r="AW632" s="34">
        <f>AC632+AJ632+AQ632</f>
        <v/>
      </c>
      <c r="AX632" s="34">
        <f>AF632+AM632+AT632</f>
        <v/>
      </c>
      <c r="AY632" s="34">
        <f>AB632+AI632+AP632</f>
        <v/>
      </c>
      <c r="AZ632" s="34" t="n">
        <v>0</v>
      </c>
      <c r="BA632" s="34">
        <f>AD632+AK632+AR632</f>
        <v/>
      </c>
      <c r="BB632" s="34">
        <f>MAX(F632:G632,750)*0.05*BA632</f>
        <v/>
      </c>
      <c r="BC632" s="34">
        <f>AG632+AN632+AU632</f>
        <v/>
      </c>
      <c r="BD632" s="34">
        <f>MAX(F632:G632,750)*0.05*BC632</f>
        <v/>
      </c>
      <c r="BE632" s="34">
        <f>F632*AY632</f>
        <v/>
      </c>
      <c r="BF632" s="34">
        <f>K632-M632</f>
        <v/>
      </c>
      <c r="BG632" s="34">
        <f>P632-S632</f>
        <v/>
      </c>
      <c r="BH632" s="34">
        <f>W632-AA632</f>
        <v/>
      </c>
      <c r="BI632" s="34">
        <f>BF632+BG632+BL632-BN632</f>
        <v/>
      </c>
      <c r="BJ632" s="34">
        <f>ABS(BK632)</f>
        <v/>
      </c>
      <c r="BK632" s="34">
        <f>AY632-(J632-L632+N632-Q632)</f>
        <v/>
      </c>
      <c r="BL632" s="34">
        <f>IF(AND(BK632&gt;0,MIN($F632:$G632)&lt;150,$E632="Enerji Açığı"),-100*BK632*1.03,IF(AND(BK632&gt;0,MIN($F632:$G632)&lt;150,$E632="Enerji Fazlası"),-100*BK632*1.06,IF(AND(BK632&gt;0,MIN($F632:$G632)&gt;=150,$E632="Enerji Açığı"),BK632*MIN($F632:$G632)*0.97,IF(AND(BK632&gt;0,MIN($F632:$G632)&gt;=150,$E632="Enerji Fazlası"),BK632*MIN($F632:$G632)*0.94,IF(AND(BK632&lt;0,MAX($F632:$G632)=4500,$E632="Enerji Açığı"),4500*1.05*1.06*BK632,IF(AND(BK632&lt;0,MAX($F632:$G632)=4500,$E632="Enerji Fazlası"),4500*1.05*1.03*BK632,IF(AND(BK632&lt;0,$E632="Enerji Açığı"),MAX($F632,$G632,150)*BK632*1.06,IF(AND(BK632&lt;0,$E632="Enerji Fazlası"),MAX($F632,$G632,150)*BK632*1.03,IF(AND(BK632&lt;0,$E632="Dengede"),MAX($F632:$G632,150)*1.03*BK632,MIN($F632:$G632)*0.97*BK632)))))))))</f>
        <v/>
      </c>
      <c r="BM632" s="34">
        <f>BE632-BI632-BN632</f>
        <v/>
      </c>
      <c r="BN632" s="34">
        <f>BB632</f>
        <v/>
      </c>
      <c r="BO632" s="34">
        <f>BE632-BI632</f>
        <v/>
      </c>
      <c r="BP632" s="34">
        <f>IF(AY632=0,0,BO632/AY632)</f>
        <v/>
      </c>
      <c r="BQ632" s="34">
        <f>MAX((AY632+MAX((-J632+L632-N632+Q632),0)),(MAX((J632-L632+N632-Q632),0)))</f>
        <v/>
      </c>
      <c r="BR632" s="82">
        <f>IFERROR(ABS(BK632/BQ632),0)</f>
        <v/>
      </c>
      <c r="BS632" s="34">
        <f>IF(BR632&lt;=0.1,0,BK632/BR632*(BR632-0.1))</f>
        <v/>
      </c>
      <c r="BT632" s="34">
        <f>IF((BS632)&lt;0,MAX(F632:G632)*(BS632)*1.03,MIN(F632:G632)*(BS632)*0.97)</f>
        <v/>
      </c>
      <c r="BU632" s="34">
        <f>IF(BR632&gt;0.1,1,0)</f>
        <v/>
      </c>
      <c r="BV632" s="34">
        <f>BF632+BG632+BH632+BY632-CA632</f>
        <v/>
      </c>
      <c r="BW632" s="34">
        <f>ABS(BX632)</f>
        <v/>
      </c>
      <c r="BX632" s="34">
        <f>AY632-(J632-L632+N632-Q632+T632-X632)</f>
        <v/>
      </c>
      <c r="BY632" s="34">
        <f>IF(AND(BX632&gt;0,MIN($F632:$G632)&lt;150,$E632="Enerji Açığı"),-100*BX632*1.03,IF(AND(BX632&gt;0,MIN($F632:$G632)&lt;150,$E632="Enerji Fazlası"),-100*BX632*1.06,IF(AND(BX632&gt;0,MIN($F632:$G632)&gt;=150,$E632="Enerji Açığı"),BX632*MIN($F632:$G632)*0.97,IF(AND(BX632&gt;0,MIN($F632:$G632)&gt;=150,$E632="Enerji Fazlası"),BX632*MIN($F632:$G632)*0.94,IF(AND(BX632&lt;0,MAX($F632:$G632)=4500,$E632="Enerji Açığı"),4500*1.05*1.06*BX632,IF(AND(BX632&lt;0,MAX($F632:$G632)=4500,$E632="Enerji Fazlası"),4500*1.05*1.03*BX632,IF(AND(BX632&lt;0,$E632="Enerji Açığı"),MAX($F632,$G632,150)*BX632*1.06,IF(AND(BX632&lt;0,$E632="Enerji Fazlası"),MAX($F632,$G632,150)*BX632*1.03,IF(AND(BX632&lt;0,$E632="Dengede"),MAX($F632:$G632,150)*1.03*BX632,MIN($F632:$G632)*0.97*BX632)))))))))</f>
        <v/>
      </c>
      <c r="BZ632" s="34">
        <f>BE632-BV632-CA632</f>
        <v/>
      </c>
      <c r="CA632" s="34">
        <f>BD632</f>
        <v/>
      </c>
      <c r="CB632" s="33">
        <f>BE632-BV632</f>
        <v/>
      </c>
      <c r="CC632" s="34">
        <f>IF(AY632=0,0,CB632/AY632)</f>
        <v/>
      </c>
      <c r="CD632" s="34">
        <f>MAX((AY632+MAX((-J632+L632-N632+Q632-T632+X632),0)),(MAX((J632-L632+N632-Q632+T632-X632),0)))</f>
        <v/>
      </c>
      <c r="CE632" s="82">
        <f>IFERROR(ABS(BX632/CD632),0)</f>
        <v/>
      </c>
      <c r="CF632" s="34">
        <f>IF(CE632&lt;=0.1,0,BX632/CE632*(CE632-0.1))</f>
        <v/>
      </c>
      <c r="CG632" s="34">
        <f>IF((CF632)&lt;0,MAX(F632:G632)*(CF632)*1.03,MIN(F632:G632)*(CF632)*0.97)</f>
        <v/>
      </c>
      <c r="CH632" s="34">
        <f>IF(CE632&gt;0.1,1,0)</f>
        <v/>
      </c>
      <c r="CI632" s="34">
        <f>(F632*BX632)-BY632</f>
        <v/>
      </c>
      <c r="CJ632" s="34">
        <f>IF(AY632=0,0,CI632/AY632)</f>
        <v/>
      </c>
    </row>
    <row r="633">
      <c r="A633" s="29">
        <f>[1]FİYATLAR!A608</f>
        <v/>
      </c>
      <c r="B633" s="29">
        <f>[1]FİYATLAR!B632</f>
        <v/>
      </c>
      <c r="C633" s="35">
        <f>INT(A633)</f>
        <v/>
      </c>
      <c r="D633" s="36">
        <f>MONTH(A633)</f>
        <v/>
      </c>
      <c r="E633" s="147">
        <f>[1]FİYATLAR!G608</f>
        <v/>
      </c>
      <c r="F633" s="30">
        <f>[1]FİYATLAR!C608</f>
        <v/>
      </c>
      <c r="G633" s="30">
        <f>[1]FİYATLAR!E608</f>
        <v/>
      </c>
      <c r="H633" s="30">
        <f>[1]FİYATLAR!D608</f>
        <v/>
      </c>
      <c r="I633" s="30">
        <f>[1]FİYATLAR!F608</f>
        <v/>
      </c>
      <c r="J633" s="119" t="n">
        <v>0</v>
      </c>
      <c r="K633" s="34">
        <f>F633*J633</f>
        <v/>
      </c>
      <c r="L633" s="119" t="n"/>
      <c r="M633" s="34">
        <f>L633*F633</f>
        <v/>
      </c>
      <c r="N633" s="119" t="n"/>
      <c r="O633" s="34">
        <f>F633</f>
        <v/>
      </c>
      <c r="P633" s="34">
        <f>N633*O633</f>
        <v/>
      </c>
      <c r="Q633" s="117" t="n">
        <v>0</v>
      </c>
      <c r="R633" s="34">
        <f>F633</f>
        <v/>
      </c>
      <c r="S633" s="34">
        <f>R633*Q633</f>
        <v/>
      </c>
      <c r="T633" s="34">
        <f>SUMIFS('[1]GİP VERİLERİ'!$C:$C,'[1]GİP VERİLERİ'!$B:$B,A633,'[1]GİP VERİLERİ'!$M:$M,"40X000000104782K",'[1]GİP VERİLERİ'!$G:$G,"SELL")</f>
        <v/>
      </c>
      <c r="U633" s="34">
        <f>IFERROR(W633/T633,0)</f>
        <v/>
      </c>
      <c r="V633" s="34">
        <f>IF(U633=0,0,U633-F633)</f>
        <v/>
      </c>
      <c r="W633" s="34">
        <f>SUMIFS('[1]GİP VERİLERİ'!$O:$O,'[1]GİP VERİLERİ'!$B:$B,A633,'[1]GİP VERİLERİ'!$M:$M,"40X000000104782K",'[1]GİP VERİLERİ'!$G:$G,"SELL")</f>
        <v/>
      </c>
      <c r="X633" s="34">
        <f>SUMIFS('[1]GİP VERİLERİ'!$C:$C,'[1]GİP VERİLERİ'!$B:$B,A633,'[1]GİP VERİLERİ'!$M:$M,"40X000000104782K",'[1]GİP VERİLERİ'!$G:$G,"BUY")</f>
        <v/>
      </c>
      <c r="Y633" s="34">
        <f>IFERROR(AA633/X633,0)</f>
        <v/>
      </c>
      <c r="Z633" s="34">
        <f>IF(Y633=0,0,F633-Y633)</f>
        <v/>
      </c>
      <c r="AA633" s="34">
        <f>SUMIFS('[1]GİP VERİLERİ'!$O:$O,'[1]GİP VERİLERİ'!$B:$B,A633,'[1]GİP VERİLERİ'!$M:$M,"40X000000104782K",'[1]GİP VERİLERİ'!$G:$G,"BUY")</f>
        <v/>
      </c>
      <c r="AB633" s="34">
        <f>'[1]GÖP VERİLERİ'!H634</f>
        <v/>
      </c>
      <c r="AC633" s="34">
        <f>'[1]GÖP VERİLERİ'!I634</f>
        <v/>
      </c>
      <c r="AD633" s="34">
        <f>IF(AB633&gt;AC633*1.05,AB633-AC633*1.05,IF(AB633&lt;AC633*0.95,AC633*0.95-AB633,0))</f>
        <v/>
      </c>
      <c r="AE633" s="34">
        <f>MAX(F633,G633,750)*0.05*AD633</f>
        <v/>
      </c>
      <c r="AF633" s="34">
        <f>'[1]GÖP VERİLERİ'!J634</f>
        <v/>
      </c>
      <c r="AG633" s="34">
        <f>IF(AB633&gt;AF633*1.05,AB633-AF633*1.05,IF(AB633&lt;AF633*0.95,AF633*0.95-AB633,0))</f>
        <v/>
      </c>
      <c r="AH633" s="34">
        <f>MAX(I633,J633,750)*0.05*AG633</f>
        <v/>
      </c>
      <c r="AI633">
        <f>'[1]GÖP VERİLERİ'!E634</f>
        <v/>
      </c>
      <c r="AJ633">
        <f>'[1]GÖP VERİLERİ'!F634</f>
        <v/>
      </c>
      <c r="AK633" s="34">
        <f>IF(AI633&gt;AJ633*1.05,AI633-AJ633*1.05,IF(AI633&lt;AJ633*0.95,AJ633*0.95-AI633,0))</f>
        <v/>
      </c>
      <c r="AL633" s="34">
        <f>MAX(F633,G633,750)*0.05*AK633</f>
        <v/>
      </c>
      <c r="AM633" s="39">
        <f>'[1]GÖP VERİLERİ'!G634</f>
        <v/>
      </c>
      <c r="AN633" s="34">
        <f>IF(AI633&gt;AM633*1.05,AI633-AM633*1.05,IF(AI633&lt;AM633*0.95,AM633*0.95-AI633,0))</f>
        <v/>
      </c>
      <c r="AO633" s="34">
        <f>MAX(F633,G633,750)*0.05*AN633</f>
        <v/>
      </c>
      <c r="AP633" s="34">
        <f>'[1]GÖP VERİLERİ'!B634</f>
        <v/>
      </c>
      <c r="AQ633" s="34">
        <f>'[1]GÖP VERİLERİ'!C634</f>
        <v/>
      </c>
      <c r="AR633" s="34">
        <f>IF(AP633&gt;AQ633*1.05,AP633-AQ633*1.05,IF(AP633&lt;AQ633*0.95,AQ633*0.95-AP633,0))</f>
        <v/>
      </c>
      <c r="AS633" s="34">
        <f>MAX(F633:G633,750)*0.05*AR633</f>
        <v/>
      </c>
      <c r="AT633">
        <f>'[1]GÖP VERİLERİ'!D634</f>
        <v/>
      </c>
      <c r="AU633" s="34">
        <f>IF(AP633&gt;AT633*1.05,AP633-AT633*1.05,IF(AP633&lt;AT633*0.95,AT633*0.95-AP633,0))</f>
        <v/>
      </c>
      <c r="AV633" s="34">
        <f>MAX(F633:G633,750)*0.05*AU633</f>
        <v/>
      </c>
      <c r="AW633" s="34">
        <f>AC633+AJ633+AQ633</f>
        <v/>
      </c>
      <c r="AX633" s="34">
        <f>AF633+AM633+AT633</f>
        <v/>
      </c>
      <c r="AY633" s="34">
        <f>AB633+AI633+AP633</f>
        <v/>
      </c>
      <c r="AZ633" s="34" t="n">
        <v>0</v>
      </c>
      <c r="BA633" s="34">
        <f>AD633+AK633+AR633</f>
        <v/>
      </c>
      <c r="BB633" s="34">
        <f>MAX(F633:G633,750)*0.05*BA633</f>
        <v/>
      </c>
      <c r="BC633" s="34">
        <f>AG633+AN633+AU633</f>
        <v/>
      </c>
      <c r="BD633" s="34">
        <f>MAX(F633:G633,750)*0.05*BC633</f>
        <v/>
      </c>
      <c r="BE633" s="34">
        <f>F633*AY633</f>
        <v/>
      </c>
      <c r="BF633" s="34">
        <f>K633-M633</f>
        <v/>
      </c>
      <c r="BG633" s="34">
        <f>P633-S633</f>
        <v/>
      </c>
      <c r="BH633" s="34">
        <f>W633-AA633</f>
        <v/>
      </c>
      <c r="BI633" s="34">
        <f>BF633+BG633+BL633-BN633</f>
        <v/>
      </c>
      <c r="BJ633" s="34">
        <f>ABS(BK633)</f>
        <v/>
      </c>
      <c r="BK633" s="34">
        <f>AY633-(J633-L633+N633-Q633)</f>
        <v/>
      </c>
      <c r="BL633" s="34">
        <f>IF(AND(BK633&gt;0,MIN($F633:$G633)&lt;150,$E633="Enerji Açığı"),-100*BK633*1.03,IF(AND(BK633&gt;0,MIN($F633:$G633)&lt;150,$E633="Enerji Fazlası"),-100*BK633*1.06,IF(AND(BK633&gt;0,MIN($F633:$G633)&gt;=150,$E633="Enerji Açığı"),BK633*MIN($F633:$G633)*0.97,IF(AND(BK633&gt;0,MIN($F633:$G633)&gt;=150,$E633="Enerji Fazlası"),BK633*MIN($F633:$G633)*0.94,IF(AND(BK633&lt;0,MAX($F633:$G633)=4500,$E633="Enerji Açığı"),4500*1.05*1.06*BK633,IF(AND(BK633&lt;0,MAX($F633:$G633)=4500,$E633="Enerji Fazlası"),4500*1.05*1.03*BK633,IF(AND(BK633&lt;0,$E633="Enerji Açığı"),MAX($F633,$G633,150)*BK633*1.06,IF(AND(BK633&lt;0,$E633="Enerji Fazlası"),MAX($F633,$G633,150)*BK633*1.03,IF(AND(BK633&lt;0,$E633="Dengede"),MAX($F633:$G633,150)*1.03*BK633,MIN($F633:$G633)*0.97*BK633)))))))))</f>
        <v/>
      </c>
      <c r="BM633" s="34">
        <f>BE633-BI633-BN633</f>
        <v/>
      </c>
      <c r="BN633" s="34">
        <f>BB633</f>
        <v/>
      </c>
      <c r="BO633" s="34">
        <f>BE633-BI633</f>
        <v/>
      </c>
      <c r="BP633" s="34">
        <f>IF(AY633=0,0,BO633/AY633)</f>
        <v/>
      </c>
      <c r="BQ633" s="34">
        <f>MAX((AY633+MAX((-J633+L633-N633+Q633),0)),(MAX((J633-L633+N633-Q633),0)))</f>
        <v/>
      </c>
      <c r="BR633" s="82">
        <f>IFERROR(ABS(BK633/BQ633),0)</f>
        <v/>
      </c>
      <c r="BS633" s="34">
        <f>IF(BR633&lt;=0.1,0,BK633/BR633*(BR633-0.1))</f>
        <v/>
      </c>
      <c r="BT633" s="34">
        <f>IF((BS633)&lt;0,MAX(F633:G633)*(BS633)*1.03,MIN(F633:G633)*(BS633)*0.97)</f>
        <v/>
      </c>
      <c r="BU633" s="34">
        <f>IF(BR633&gt;0.1,1,0)</f>
        <v/>
      </c>
      <c r="BV633" s="34">
        <f>BF633+BG633+BH633+BY633-CA633</f>
        <v/>
      </c>
      <c r="BW633" s="34">
        <f>ABS(BX633)</f>
        <v/>
      </c>
      <c r="BX633" s="34">
        <f>AY633-(J633-L633+N633-Q633+T633-X633)</f>
        <v/>
      </c>
      <c r="BY633" s="34">
        <f>IF(AND(BX633&gt;0,MIN($F633:$G633)&lt;150,$E633="Enerji Açığı"),-100*BX633*1.03,IF(AND(BX633&gt;0,MIN($F633:$G633)&lt;150,$E633="Enerji Fazlası"),-100*BX633*1.06,IF(AND(BX633&gt;0,MIN($F633:$G633)&gt;=150,$E633="Enerji Açığı"),BX633*MIN($F633:$G633)*0.97,IF(AND(BX633&gt;0,MIN($F633:$G633)&gt;=150,$E633="Enerji Fazlası"),BX633*MIN($F633:$G633)*0.94,IF(AND(BX633&lt;0,MAX($F633:$G633)=4500,$E633="Enerji Açığı"),4500*1.05*1.06*BX633,IF(AND(BX633&lt;0,MAX($F633:$G633)=4500,$E633="Enerji Fazlası"),4500*1.05*1.03*BX633,IF(AND(BX633&lt;0,$E633="Enerji Açığı"),MAX($F633,$G633,150)*BX633*1.06,IF(AND(BX633&lt;0,$E633="Enerji Fazlası"),MAX($F633,$G633,150)*BX633*1.03,IF(AND(BX633&lt;0,$E633="Dengede"),MAX($F633:$G633,150)*1.03*BX633,MIN($F633:$G633)*0.97*BX633)))))))))</f>
        <v/>
      </c>
      <c r="BZ633" s="34">
        <f>BE633-BV633-CA633</f>
        <v/>
      </c>
      <c r="CA633" s="34">
        <f>BD633</f>
        <v/>
      </c>
      <c r="CB633" s="33">
        <f>BE633-BV633</f>
        <v/>
      </c>
      <c r="CC633" s="34">
        <f>IF(AY633=0,0,CB633/AY633)</f>
        <v/>
      </c>
      <c r="CD633" s="34">
        <f>MAX((AY633+MAX((-J633+L633-N633+Q633-T633+X633),0)),(MAX((J633-L633+N633-Q633+T633-X633),0)))</f>
        <v/>
      </c>
      <c r="CE633" s="82">
        <f>IFERROR(ABS(BX633/CD633),0)</f>
        <v/>
      </c>
      <c r="CF633" s="34">
        <f>IF(CE633&lt;=0.1,0,BX633/CE633*(CE633-0.1))</f>
        <v/>
      </c>
      <c r="CG633" s="34">
        <f>IF((CF633)&lt;0,MAX(F633:G633)*(CF633)*1.03,MIN(F633:G633)*(CF633)*0.97)</f>
        <v/>
      </c>
      <c r="CH633" s="34">
        <f>IF(CE633&gt;0.1,1,0)</f>
        <v/>
      </c>
      <c r="CI633" s="34">
        <f>(F633*BX633)-BY633</f>
        <v/>
      </c>
      <c r="CJ633" s="34">
        <f>IF(AY633=0,0,CI633/AY633)</f>
        <v/>
      </c>
    </row>
    <row r="634">
      <c r="A634" s="29">
        <f>[1]FİYATLAR!A609</f>
        <v/>
      </c>
      <c r="B634" s="29">
        <f>[1]FİYATLAR!B633</f>
        <v/>
      </c>
      <c r="C634" s="35">
        <f>INT(A634)</f>
        <v/>
      </c>
      <c r="D634" s="36">
        <f>MONTH(A634)</f>
        <v/>
      </c>
      <c r="E634" s="147">
        <f>[1]FİYATLAR!G609</f>
        <v/>
      </c>
      <c r="F634" s="30">
        <f>[1]FİYATLAR!C609</f>
        <v/>
      </c>
      <c r="G634" s="30">
        <f>[1]FİYATLAR!E609</f>
        <v/>
      </c>
      <c r="H634" s="30">
        <f>[1]FİYATLAR!D609</f>
        <v/>
      </c>
      <c r="I634" s="30">
        <f>[1]FİYATLAR!F609</f>
        <v/>
      </c>
      <c r="J634" s="119" t="n">
        <v>0</v>
      </c>
      <c r="K634" s="34">
        <f>F634*J634</f>
        <v/>
      </c>
      <c r="L634" s="119" t="n"/>
      <c r="M634" s="34">
        <f>L634*F634</f>
        <v/>
      </c>
      <c r="N634" s="119" t="n"/>
      <c r="O634" s="34">
        <f>F634</f>
        <v/>
      </c>
      <c r="P634" s="34">
        <f>N634*O634</f>
        <v/>
      </c>
      <c r="Q634" s="117" t="n">
        <v>0</v>
      </c>
      <c r="R634" s="34">
        <f>F634</f>
        <v/>
      </c>
      <c r="S634" s="34">
        <f>R634*Q634</f>
        <v/>
      </c>
      <c r="T634" s="34">
        <f>SUMIFS('[1]GİP VERİLERİ'!$C:$C,'[1]GİP VERİLERİ'!$B:$B,A634,'[1]GİP VERİLERİ'!$M:$M,"40X000000104782K",'[1]GİP VERİLERİ'!$G:$G,"SELL")</f>
        <v/>
      </c>
      <c r="U634" s="34">
        <f>IFERROR(W634/T634,0)</f>
        <v/>
      </c>
      <c r="V634" s="34">
        <f>IF(U634=0,0,U634-F634)</f>
        <v/>
      </c>
      <c r="W634" s="34">
        <f>SUMIFS('[1]GİP VERİLERİ'!$O:$O,'[1]GİP VERİLERİ'!$B:$B,A634,'[1]GİP VERİLERİ'!$M:$M,"40X000000104782K",'[1]GİP VERİLERİ'!$G:$G,"SELL")</f>
        <v/>
      </c>
      <c r="X634" s="34">
        <f>SUMIFS('[1]GİP VERİLERİ'!$C:$C,'[1]GİP VERİLERİ'!$B:$B,A634,'[1]GİP VERİLERİ'!$M:$M,"40X000000104782K",'[1]GİP VERİLERİ'!$G:$G,"BUY")</f>
        <v/>
      </c>
      <c r="Y634" s="34">
        <f>IFERROR(AA634/X634,0)</f>
        <v/>
      </c>
      <c r="Z634" s="34">
        <f>IF(Y634=0,0,F634-Y634)</f>
        <v/>
      </c>
      <c r="AA634" s="34">
        <f>SUMIFS('[1]GİP VERİLERİ'!$O:$O,'[1]GİP VERİLERİ'!$B:$B,A634,'[1]GİP VERİLERİ'!$M:$M,"40X000000104782K",'[1]GİP VERİLERİ'!$G:$G,"BUY")</f>
        <v/>
      </c>
      <c r="AB634" s="34">
        <f>'[1]GÖP VERİLERİ'!H635</f>
        <v/>
      </c>
      <c r="AC634" s="34">
        <f>'[1]GÖP VERİLERİ'!I635</f>
        <v/>
      </c>
      <c r="AD634" s="34">
        <f>IF(AB634&gt;AC634*1.05,AB634-AC634*1.05,IF(AB634&lt;AC634*0.95,AC634*0.95-AB634,0))</f>
        <v/>
      </c>
      <c r="AE634" s="34">
        <f>MAX(F634,G634,750)*0.05*AD634</f>
        <v/>
      </c>
      <c r="AF634" s="34">
        <f>'[1]GÖP VERİLERİ'!J635</f>
        <v/>
      </c>
      <c r="AG634" s="34">
        <f>IF(AB634&gt;AF634*1.05,AB634-AF634*1.05,IF(AB634&lt;AF634*0.95,AF634*0.95-AB634,0))</f>
        <v/>
      </c>
      <c r="AH634" s="34">
        <f>MAX(I634,J634,750)*0.05*AG634</f>
        <v/>
      </c>
      <c r="AI634">
        <f>'[1]GÖP VERİLERİ'!E635</f>
        <v/>
      </c>
      <c r="AJ634">
        <f>'[1]GÖP VERİLERİ'!F635</f>
        <v/>
      </c>
      <c r="AK634" s="34">
        <f>IF(AI634&gt;AJ634*1.05,AI634-AJ634*1.05,IF(AI634&lt;AJ634*0.95,AJ634*0.95-AI634,0))</f>
        <v/>
      </c>
      <c r="AL634" s="34">
        <f>MAX(F634,G634,750)*0.05*AK634</f>
        <v/>
      </c>
      <c r="AM634" s="39">
        <f>'[1]GÖP VERİLERİ'!G635</f>
        <v/>
      </c>
      <c r="AN634" s="34">
        <f>IF(AI634&gt;AM634*1.05,AI634-AM634*1.05,IF(AI634&lt;AM634*0.95,AM634*0.95-AI634,0))</f>
        <v/>
      </c>
      <c r="AO634" s="34">
        <f>MAX(F634,G634,750)*0.05*AN634</f>
        <v/>
      </c>
      <c r="AP634" s="34">
        <f>'[1]GÖP VERİLERİ'!B635</f>
        <v/>
      </c>
      <c r="AQ634" s="34">
        <f>'[1]GÖP VERİLERİ'!C635</f>
        <v/>
      </c>
      <c r="AR634" s="34">
        <f>IF(AP634&gt;AQ634*1.05,AP634-AQ634*1.05,IF(AP634&lt;AQ634*0.95,AQ634*0.95-AP634,0))</f>
        <v/>
      </c>
      <c r="AS634" s="34">
        <f>MAX(F634:G634,750)*0.05*AR634</f>
        <v/>
      </c>
      <c r="AT634">
        <f>'[1]GÖP VERİLERİ'!D635</f>
        <v/>
      </c>
      <c r="AU634" s="34">
        <f>IF(AP634&gt;AT634*1.05,AP634-AT634*1.05,IF(AP634&lt;AT634*0.95,AT634*0.95-AP634,0))</f>
        <v/>
      </c>
      <c r="AV634" s="34">
        <f>MAX(F634:G634,750)*0.05*AU634</f>
        <v/>
      </c>
      <c r="AW634" s="34">
        <f>AC634+AJ634+AQ634</f>
        <v/>
      </c>
      <c r="AX634" s="34">
        <f>AF634+AM634+AT634</f>
        <v/>
      </c>
      <c r="AY634" s="34">
        <f>AB634+AI634+AP634</f>
        <v/>
      </c>
      <c r="AZ634" s="34" t="n">
        <v>0</v>
      </c>
      <c r="BA634" s="34">
        <f>AD634+AK634+AR634</f>
        <v/>
      </c>
      <c r="BB634" s="34">
        <f>MAX(F634:G634,750)*0.05*BA634</f>
        <v/>
      </c>
      <c r="BC634" s="34">
        <f>AG634+AN634+AU634</f>
        <v/>
      </c>
      <c r="BD634" s="34">
        <f>MAX(F634:G634,750)*0.05*BC634</f>
        <v/>
      </c>
      <c r="BE634" s="34">
        <f>F634*AY634</f>
        <v/>
      </c>
      <c r="BF634" s="34">
        <f>K634-M634</f>
        <v/>
      </c>
      <c r="BG634" s="34">
        <f>P634-S634</f>
        <v/>
      </c>
      <c r="BH634" s="34">
        <f>W634-AA634</f>
        <v/>
      </c>
      <c r="BI634" s="34">
        <f>BF634+BG634+BL634-BN634</f>
        <v/>
      </c>
      <c r="BJ634" s="34">
        <f>ABS(BK634)</f>
        <v/>
      </c>
      <c r="BK634" s="34">
        <f>AY634-(J634-L634+N634-Q634)</f>
        <v/>
      </c>
      <c r="BL634" s="34">
        <f>IF(AND(BK634&gt;0,MIN($F634:$G634)&lt;150,$E634="Enerji Açığı"),-100*BK634*1.03,IF(AND(BK634&gt;0,MIN($F634:$G634)&lt;150,$E634="Enerji Fazlası"),-100*BK634*1.06,IF(AND(BK634&gt;0,MIN($F634:$G634)&gt;=150,$E634="Enerji Açığı"),BK634*MIN($F634:$G634)*0.97,IF(AND(BK634&gt;0,MIN($F634:$G634)&gt;=150,$E634="Enerji Fazlası"),BK634*MIN($F634:$G634)*0.94,IF(AND(BK634&lt;0,MAX($F634:$G634)=4500,$E634="Enerji Açığı"),4500*1.05*1.06*BK634,IF(AND(BK634&lt;0,MAX($F634:$G634)=4500,$E634="Enerji Fazlası"),4500*1.05*1.03*BK634,IF(AND(BK634&lt;0,$E634="Enerji Açığı"),MAX($F634,$G634,150)*BK634*1.06,IF(AND(BK634&lt;0,$E634="Enerji Fazlası"),MAX($F634,$G634,150)*BK634*1.03,IF(AND(BK634&lt;0,$E634="Dengede"),MAX($F634:$G634,150)*1.03*BK634,MIN($F634:$G634)*0.97*BK634)))))))))</f>
        <v/>
      </c>
      <c r="BM634" s="34">
        <f>BE634-BI634-BN634</f>
        <v/>
      </c>
      <c r="BN634" s="34">
        <f>BB634</f>
        <v/>
      </c>
      <c r="BO634" s="34">
        <f>BE634-BI634</f>
        <v/>
      </c>
      <c r="BP634" s="34">
        <f>IF(AY634=0,0,BO634/AY634)</f>
        <v/>
      </c>
      <c r="BQ634" s="34">
        <f>MAX((AY634+MAX((-J634+L634-N634+Q634),0)),(MAX((J634-L634+N634-Q634),0)))</f>
        <v/>
      </c>
      <c r="BR634" s="82">
        <f>IFERROR(ABS(BK634/BQ634),0)</f>
        <v/>
      </c>
      <c r="BS634" s="34">
        <f>IF(BR634&lt;=0.1,0,BK634/BR634*(BR634-0.1))</f>
        <v/>
      </c>
      <c r="BT634" s="34">
        <f>IF((BS634)&lt;0,MAX(F634:G634)*(BS634)*1.03,MIN(F634:G634)*(BS634)*0.97)</f>
        <v/>
      </c>
      <c r="BU634" s="34">
        <f>IF(BR634&gt;0.1,1,0)</f>
        <v/>
      </c>
      <c r="BV634" s="34">
        <f>BF634+BG634+BH634+BY634-CA634</f>
        <v/>
      </c>
      <c r="BW634" s="34">
        <f>ABS(BX634)</f>
        <v/>
      </c>
      <c r="BX634" s="34">
        <f>AY634-(J634-L634+N634-Q634+T634-X634)</f>
        <v/>
      </c>
      <c r="BY634" s="34">
        <f>IF(AND(BX634&gt;0,MIN($F634:$G634)&lt;150,$E634="Enerji Açığı"),-100*BX634*1.03,IF(AND(BX634&gt;0,MIN($F634:$G634)&lt;150,$E634="Enerji Fazlası"),-100*BX634*1.06,IF(AND(BX634&gt;0,MIN($F634:$G634)&gt;=150,$E634="Enerji Açığı"),BX634*MIN($F634:$G634)*0.97,IF(AND(BX634&gt;0,MIN($F634:$G634)&gt;=150,$E634="Enerji Fazlası"),BX634*MIN($F634:$G634)*0.94,IF(AND(BX634&lt;0,MAX($F634:$G634)=4500,$E634="Enerji Açığı"),4500*1.05*1.06*BX634,IF(AND(BX634&lt;0,MAX($F634:$G634)=4500,$E634="Enerji Fazlası"),4500*1.05*1.03*BX634,IF(AND(BX634&lt;0,$E634="Enerji Açığı"),MAX($F634,$G634,150)*BX634*1.06,IF(AND(BX634&lt;0,$E634="Enerji Fazlası"),MAX($F634,$G634,150)*BX634*1.03,IF(AND(BX634&lt;0,$E634="Dengede"),MAX($F634:$G634,150)*1.03*BX634,MIN($F634:$G634)*0.97*BX634)))))))))</f>
        <v/>
      </c>
      <c r="BZ634" s="34">
        <f>BE634-BV634-CA634</f>
        <v/>
      </c>
      <c r="CA634" s="34">
        <f>BD634</f>
        <v/>
      </c>
      <c r="CB634" s="33">
        <f>BE634-BV634</f>
        <v/>
      </c>
      <c r="CC634" s="34">
        <f>IF(AY634=0,0,CB634/AY634)</f>
        <v/>
      </c>
      <c r="CD634" s="34">
        <f>MAX((AY634+MAX((-J634+L634-N634+Q634-T634+X634),0)),(MAX((J634-L634+N634-Q634+T634-X634),0)))</f>
        <v/>
      </c>
      <c r="CE634" s="82">
        <f>IFERROR(ABS(BX634/CD634),0)</f>
        <v/>
      </c>
      <c r="CF634" s="34">
        <f>IF(CE634&lt;=0.1,0,BX634/CE634*(CE634-0.1))</f>
        <v/>
      </c>
      <c r="CG634" s="34">
        <f>IF((CF634)&lt;0,MAX(F634:G634)*(CF634)*1.03,MIN(F634:G634)*(CF634)*0.97)</f>
        <v/>
      </c>
      <c r="CH634" s="34">
        <f>IF(CE634&gt;0.1,1,0)</f>
        <v/>
      </c>
      <c r="CI634" s="34">
        <f>(F634*BX634)-BY634</f>
        <v/>
      </c>
      <c r="CJ634" s="34">
        <f>IF(AY634=0,0,CI634/AY634)</f>
        <v/>
      </c>
    </row>
    <row r="635">
      <c r="A635" s="29">
        <f>[1]FİYATLAR!A610</f>
        <v/>
      </c>
      <c r="B635" s="29">
        <f>[1]FİYATLAR!B634</f>
        <v/>
      </c>
      <c r="C635" s="35">
        <f>INT(A635)</f>
        <v/>
      </c>
      <c r="D635" s="36">
        <f>MONTH(A635)</f>
        <v/>
      </c>
      <c r="E635" s="147">
        <f>[1]FİYATLAR!G610</f>
        <v/>
      </c>
      <c r="F635" s="30">
        <f>[1]FİYATLAR!C610</f>
        <v/>
      </c>
      <c r="G635" s="30">
        <f>[1]FİYATLAR!E610</f>
        <v/>
      </c>
      <c r="H635" s="30">
        <f>[1]FİYATLAR!D610</f>
        <v/>
      </c>
      <c r="I635" s="30">
        <f>[1]FİYATLAR!F610</f>
        <v/>
      </c>
      <c r="J635" s="119" t="n">
        <v>0</v>
      </c>
      <c r="K635" s="34">
        <f>F635*J635</f>
        <v/>
      </c>
      <c r="L635" s="119" t="n"/>
      <c r="M635" s="34">
        <f>L635*F635</f>
        <v/>
      </c>
      <c r="N635" s="119" t="n"/>
      <c r="O635" s="34">
        <f>F635</f>
        <v/>
      </c>
      <c r="P635" s="34">
        <f>N635*O635</f>
        <v/>
      </c>
      <c r="Q635" s="117" t="n">
        <v>0</v>
      </c>
      <c r="R635" s="34">
        <f>F635</f>
        <v/>
      </c>
      <c r="S635" s="34">
        <f>R635*Q635</f>
        <v/>
      </c>
      <c r="T635" s="34">
        <f>SUMIFS('[1]GİP VERİLERİ'!$C:$C,'[1]GİP VERİLERİ'!$B:$B,A635,'[1]GİP VERİLERİ'!$M:$M,"40X000000104782K",'[1]GİP VERİLERİ'!$G:$G,"SELL")</f>
        <v/>
      </c>
      <c r="U635" s="34">
        <f>IFERROR(W635/T635,0)</f>
        <v/>
      </c>
      <c r="V635" s="34">
        <f>IF(U635=0,0,U635-F635)</f>
        <v/>
      </c>
      <c r="W635" s="34">
        <f>SUMIFS('[1]GİP VERİLERİ'!$O:$O,'[1]GİP VERİLERİ'!$B:$B,A635,'[1]GİP VERİLERİ'!$M:$M,"40X000000104782K",'[1]GİP VERİLERİ'!$G:$G,"SELL")</f>
        <v/>
      </c>
      <c r="X635" s="34">
        <f>SUMIFS('[1]GİP VERİLERİ'!$C:$C,'[1]GİP VERİLERİ'!$B:$B,A635,'[1]GİP VERİLERİ'!$M:$M,"40X000000104782K",'[1]GİP VERİLERİ'!$G:$G,"BUY")</f>
        <v/>
      </c>
      <c r="Y635" s="34">
        <f>IFERROR(AA635/X635,0)</f>
        <v/>
      </c>
      <c r="Z635" s="34">
        <f>IF(Y635=0,0,F635-Y635)</f>
        <v/>
      </c>
      <c r="AA635" s="34">
        <f>SUMIFS('[1]GİP VERİLERİ'!$O:$O,'[1]GİP VERİLERİ'!$B:$B,A635,'[1]GİP VERİLERİ'!$M:$M,"40X000000104782K",'[1]GİP VERİLERİ'!$G:$G,"BUY")</f>
        <v/>
      </c>
      <c r="AB635" s="34">
        <f>'[1]GÖP VERİLERİ'!H636</f>
        <v/>
      </c>
      <c r="AC635" s="34">
        <f>'[1]GÖP VERİLERİ'!I636</f>
        <v/>
      </c>
      <c r="AD635" s="34">
        <f>IF(AB635&gt;AC635*1.05,AB635-AC635*1.05,IF(AB635&lt;AC635*0.95,AC635*0.95-AB635,0))</f>
        <v/>
      </c>
      <c r="AE635" s="34">
        <f>MAX(F635,G635,750)*0.05*AD635</f>
        <v/>
      </c>
      <c r="AF635" s="34">
        <f>'[1]GÖP VERİLERİ'!J636</f>
        <v/>
      </c>
      <c r="AG635" s="34">
        <f>IF(AB635&gt;AF635*1.05,AB635-AF635*1.05,IF(AB635&lt;AF635*0.95,AF635*0.95-AB635,0))</f>
        <v/>
      </c>
      <c r="AH635" s="34">
        <f>MAX(I635,J635,750)*0.05*AG635</f>
        <v/>
      </c>
      <c r="AI635">
        <f>'[1]GÖP VERİLERİ'!E636</f>
        <v/>
      </c>
      <c r="AJ635">
        <f>'[1]GÖP VERİLERİ'!F636</f>
        <v/>
      </c>
      <c r="AK635" s="34">
        <f>IF(AI635&gt;AJ635*1.05,AI635-AJ635*1.05,IF(AI635&lt;AJ635*0.95,AJ635*0.95-AI635,0))</f>
        <v/>
      </c>
      <c r="AL635" s="34">
        <f>MAX(F635,G635,750)*0.05*AK635</f>
        <v/>
      </c>
      <c r="AM635" s="39">
        <f>'[1]GÖP VERİLERİ'!G636</f>
        <v/>
      </c>
      <c r="AN635" s="34">
        <f>IF(AI635&gt;AM635*1.05,AI635-AM635*1.05,IF(AI635&lt;AM635*0.95,AM635*0.95-AI635,0))</f>
        <v/>
      </c>
      <c r="AO635" s="34">
        <f>MAX(F635,G635,750)*0.05*AN635</f>
        <v/>
      </c>
      <c r="AP635" s="34">
        <f>'[1]GÖP VERİLERİ'!B636</f>
        <v/>
      </c>
      <c r="AQ635" s="34">
        <f>'[1]GÖP VERİLERİ'!C636</f>
        <v/>
      </c>
      <c r="AR635" s="34">
        <f>IF(AP635&gt;AQ635*1.05,AP635-AQ635*1.05,IF(AP635&lt;AQ635*0.95,AQ635*0.95-AP635,0))</f>
        <v/>
      </c>
      <c r="AS635" s="34">
        <f>MAX(F635:G635,750)*0.05*AR635</f>
        <v/>
      </c>
      <c r="AT635">
        <f>'[1]GÖP VERİLERİ'!D636</f>
        <v/>
      </c>
      <c r="AU635" s="34">
        <f>IF(AP635&gt;AT635*1.05,AP635-AT635*1.05,IF(AP635&lt;AT635*0.95,AT635*0.95-AP635,0))</f>
        <v/>
      </c>
      <c r="AV635" s="34">
        <f>MAX(F635:G635,750)*0.05*AU635</f>
        <v/>
      </c>
      <c r="AW635" s="34">
        <f>AC635+AJ635+AQ635</f>
        <v/>
      </c>
      <c r="AX635" s="34">
        <f>AF635+AM635+AT635</f>
        <v/>
      </c>
      <c r="AY635" s="34">
        <f>AB635+AI635+AP635</f>
        <v/>
      </c>
      <c r="AZ635" s="34" t="n">
        <v>0</v>
      </c>
      <c r="BA635" s="34">
        <f>AD635+AK635+AR635</f>
        <v/>
      </c>
      <c r="BB635" s="34">
        <f>MAX(F635:G635,750)*0.05*BA635</f>
        <v/>
      </c>
      <c r="BC635" s="34">
        <f>AG635+AN635+AU635</f>
        <v/>
      </c>
      <c r="BD635" s="34">
        <f>MAX(F635:G635,750)*0.05*BC635</f>
        <v/>
      </c>
      <c r="BE635" s="34">
        <f>F635*AY635</f>
        <v/>
      </c>
      <c r="BF635" s="34">
        <f>K635-M635</f>
        <v/>
      </c>
      <c r="BG635" s="34">
        <f>P635-S635</f>
        <v/>
      </c>
      <c r="BH635" s="34">
        <f>W635-AA635</f>
        <v/>
      </c>
      <c r="BI635" s="34">
        <f>BF635+BG635+BL635-BN635</f>
        <v/>
      </c>
      <c r="BJ635" s="34">
        <f>ABS(BK635)</f>
        <v/>
      </c>
      <c r="BK635" s="34">
        <f>AY635-(J635-L635+N635-Q635)</f>
        <v/>
      </c>
      <c r="BL635" s="34">
        <f>IF(AND(BK635&gt;0,MIN($F635:$G635)&lt;150,$E635="Enerji Açığı"),-100*BK635*1.03,IF(AND(BK635&gt;0,MIN($F635:$G635)&lt;150,$E635="Enerji Fazlası"),-100*BK635*1.06,IF(AND(BK635&gt;0,MIN($F635:$G635)&gt;=150,$E635="Enerji Açığı"),BK635*MIN($F635:$G635)*0.97,IF(AND(BK635&gt;0,MIN($F635:$G635)&gt;=150,$E635="Enerji Fazlası"),BK635*MIN($F635:$G635)*0.94,IF(AND(BK635&lt;0,MAX($F635:$G635)=4500,$E635="Enerji Açığı"),4500*1.05*1.06*BK635,IF(AND(BK635&lt;0,MAX($F635:$G635)=4500,$E635="Enerji Fazlası"),4500*1.05*1.03*BK635,IF(AND(BK635&lt;0,$E635="Enerji Açığı"),MAX($F635,$G635,150)*BK635*1.06,IF(AND(BK635&lt;0,$E635="Enerji Fazlası"),MAX($F635,$G635,150)*BK635*1.03,IF(AND(BK635&lt;0,$E635="Dengede"),MAX($F635:$G635,150)*1.03*BK635,MIN($F635:$G635)*0.97*BK635)))))))))</f>
        <v/>
      </c>
      <c r="BM635" s="34">
        <f>BE635-BI635-BN635</f>
        <v/>
      </c>
      <c r="BN635" s="34">
        <f>BB635</f>
        <v/>
      </c>
      <c r="BO635" s="34">
        <f>BE635-BI635</f>
        <v/>
      </c>
      <c r="BP635" s="34">
        <f>IF(AY635=0,0,BO635/AY635)</f>
        <v/>
      </c>
      <c r="BQ635" s="34">
        <f>MAX((AY635+MAX((-J635+L635-N635+Q635),0)),(MAX((J635-L635+N635-Q635),0)))</f>
        <v/>
      </c>
      <c r="BR635" s="82">
        <f>IFERROR(ABS(BK635/BQ635),0)</f>
        <v/>
      </c>
      <c r="BS635" s="34">
        <f>IF(BR635&lt;=0.1,0,BK635/BR635*(BR635-0.1))</f>
        <v/>
      </c>
      <c r="BT635" s="34">
        <f>IF((BS635)&lt;0,MAX(F635:G635)*(BS635)*1.03,MIN(F635:G635)*(BS635)*0.97)</f>
        <v/>
      </c>
      <c r="BU635" s="34">
        <f>IF(BR635&gt;0.1,1,0)</f>
        <v/>
      </c>
      <c r="BV635" s="34">
        <f>BF635+BG635+BH635+BY635-CA635</f>
        <v/>
      </c>
      <c r="BW635" s="34">
        <f>ABS(BX635)</f>
        <v/>
      </c>
      <c r="BX635" s="34">
        <f>AY635-(J635-L635+N635-Q635+T635-X635)</f>
        <v/>
      </c>
      <c r="BY635" s="34">
        <f>IF(AND(BX635&gt;0,MIN($F635:$G635)&lt;150,$E635="Enerji Açığı"),-100*BX635*1.03,IF(AND(BX635&gt;0,MIN($F635:$G635)&lt;150,$E635="Enerji Fazlası"),-100*BX635*1.06,IF(AND(BX635&gt;0,MIN($F635:$G635)&gt;=150,$E635="Enerji Açığı"),BX635*MIN($F635:$G635)*0.97,IF(AND(BX635&gt;0,MIN($F635:$G635)&gt;=150,$E635="Enerji Fazlası"),BX635*MIN($F635:$G635)*0.94,IF(AND(BX635&lt;0,MAX($F635:$G635)=4500,$E635="Enerji Açığı"),4500*1.05*1.06*BX635,IF(AND(BX635&lt;0,MAX($F635:$G635)=4500,$E635="Enerji Fazlası"),4500*1.05*1.03*BX635,IF(AND(BX635&lt;0,$E635="Enerji Açığı"),MAX($F635,$G635,150)*BX635*1.06,IF(AND(BX635&lt;0,$E635="Enerji Fazlası"),MAX($F635,$G635,150)*BX635*1.03,IF(AND(BX635&lt;0,$E635="Dengede"),MAX($F635:$G635,150)*1.03*BX635,MIN($F635:$G635)*0.97*BX635)))))))))</f>
        <v/>
      </c>
      <c r="BZ635" s="34">
        <f>BE635-BV635-CA635</f>
        <v/>
      </c>
      <c r="CA635" s="34">
        <f>BD635</f>
        <v/>
      </c>
      <c r="CB635" s="33">
        <f>BE635-BV635</f>
        <v/>
      </c>
      <c r="CC635" s="34">
        <f>IF(AY635=0,0,CB635/AY635)</f>
        <v/>
      </c>
      <c r="CD635" s="34">
        <f>MAX((AY635+MAX((-J635+L635-N635+Q635-T635+X635),0)),(MAX((J635-L635+N635-Q635+T635-X635),0)))</f>
        <v/>
      </c>
      <c r="CE635" s="82">
        <f>IFERROR(ABS(BX635/CD635),0)</f>
        <v/>
      </c>
      <c r="CF635" s="34">
        <f>IF(CE635&lt;=0.1,0,BX635/CE635*(CE635-0.1))</f>
        <v/>
      </c>
      <c r="CG635" s="34">
        <f>IF((CF635)&lt;0,MAX(F635:G635)*(CF635)*1.03,MIN(F635:G635)*(CF635)*0.97)</f>
        <v/>
      </c>
      <c r="CH635" s="34">
        <f>IF(CE635&gt;0.1,1,0)</f>
        <v/>
      </c>
      <c r="CI635" s="34">
        <f>(F635*BX635)-BY635</f>
        <v/>
      </c>
      <c r="CJ635" s="34">
        <f>IF(AY635=0,0,CI635/AY635)</f>
        <v/>
      </c>
    </row>
    <row r="636">
      <c r="A636" s="29">
        <f>[1]FİYATLAR!A611</f>
        <v/>
      </c>
      <c r="B636" s="29">
        <f>[1]FİYATLAR!B635</f>
        <v/>
      </c>
      <c r="C636" s="35">
        <f>INT(A636)</f>
        <v/>
      </c>
      <c r="D636" s="36">
        <f>MONTH(A636)</f>
        <v/>
      </c>
      <c r="E636" s="147">
        <f>[1]FİYATLAR!G611</f>
        <v/>
      </c>
      <c r="F636" s="30">
        <f>[1]FİYATLAR!C611</f>
        <v/>
      </c>
      <c r="G636" s="30">
        <f>[1]FİYATLAR!E611</f>
        <v/>
      </c>
      <c r="H636" s="30">
        <f>[1]FİYATLAR!D611</f>
        <v/>
      </c>
      <c r="I636" s="30">
        <f>[1]FİYATLAR!F611</f>
        <v/>
      </c>
      <c r="J636" s="119" t="n">
        <v>0</v>
      </c>
      <c r="K636" s="34">
        <f>F636*J636</f>
        <v/>
      </c>
      <c r="L636" s="119" t="n"/>
      <c r="M636" s="34">
        <f>L636*F636</f>
        <v/>
      </c>
      <c r="N636" s="119" t="n"/>
      <c r="O636" s="34">
        <f>F636</f>
        <v/>
      </c>
      <c r="P636" s="34">
        <f>N636*O636</f>
        <v/>
      </c>
      <c r="Q636" s="117" t="n">
        <v>0</v>
      </c>
      <c r="R636" s="34">
        <f>F636</f>
        <v/>
      </c>
      <c r="S636" s="34">
        <f>R636*Q636</f>
        <v/>
      </c>
      <c r="T636" s="34">
        <f>SUMIFS('[1]GİP VERİLERİ'!$C:$C,'[1]GİP VERİLERİ'!$B:$B,A636,'[1]GİP VERİLERİ'!$M:$M,"40X000000104782K",'[1]GİP VERİLERİ'!$G:$G,"SELL")</f>
        <v/>
      </c>
      <c r="U636" s="34">
        <f>IFERROR(W636/T636,0)</f>
        <v/>
      </c>
      <c r="V636" s="34">
        <f>IF(U636=0,0,U636-F636)</f>
        <v/>
      </c>
      <c r="W636" s="34">
        <f>SUMIFS('[1]GİP VERİLERİ'!$O:$O,'[1]GİP VERİLERİ'!$B:$B,A636,'[1]GİP VERİLERİ'!$M:$M,"40X000000104782K",'[1]GİP VERİLERİ'!$G:$G,"SELL")</f>
        <v/>
      </c>
      <c r="X636" s="34">
        <f>SUMIFS('[1]GİP VERİLERİ'!$C:$C,'[1]GİP VERİLERİ'!$B:$B,A636,'[1]GİP VERİLERİ'!$M:$M,"40X000000104782K",'[1]GİP VERİLERİ'!$G:$G,"BUY")</f>
        <v/>
      </c>
      <c r="Y636" s="34">
        <f>IFERROR(AA636/X636,0)</f>
        <v/>
      </c>
      <c r="Z636" s="34">
        <f>IF(Y636=0,0,F636-Y636)</f>
        <v/>
      </c>
      <c r="AA636" s="34">
        <f>SUMIFS('[1]GİP VERİLERİ'!$O:$O,'[1]GİP VERİLERİ'!$B:$B,A636,'[1]GİP VERİLERİ'!$M:$M,"40X000000104782K",'[1]GİP VERİLERİ'!$G:$G,"BUY")</f>
        <v/>
      </c>
      <c r="AB636" s="34">
        <f>'[1]GÖP VERİLERİ'!H637</f>
        <v/>
      </c>
      <c r="AC636" s="34">
        <f>'[1]GÖP VERİLERİ'!I637</f>
        <v/>
      </c>
      <c r="AD636" s="34">
        <f>IF(AB636&gt;AC636*1.05,AB636-AC636*1.05,IF(AB636&lt;AC636*0.95,AC636*0.95-AB636,0))</f>
        <v/>
      </c>
      <c r="AE636" s="34">
        <f>MAX(F636,G636,750)*0.05*AD636</f>
        <v/>
      </c>
      <c r="AF636" s="34">
        <f>'[1]GÖP VERİLERİ'!J637</f>
        <v/>
      </c>
      <c r="AG636" s="34">
        <f>IF(AB636&gt;AF636*1.05,AB636-AF636*1.05,IF(AB636&lt;AF636*0.95,AF636*0.95-AB636,0))</f>
        <v/>
      </c>
      <c r="AH636" s="34">
        <f>MAX(I636,J636,750)*0.05*AG636</f>
        <v/>
      </c>
      <c r="AI636">
        <f>'[1]GÖP VERİLERİ'!E637</f>
        <v/>
      </c>
      <c r="AJ636">
        <f>'[1]GÖP VERİLERİ'!F637</f>
        <v/>
      </c>
      <c r="AK636" s="34">
        <f>IF(AI636&gt;AJ636*1.05,AI636-AJ636*1.05,IF(AI636&lt;AJ636*0.95,AJ636*0.95-AI636,0))</f>
        <v/>
      </c>
      <c r="AL636" s="34">
        <f>MAX(F636,G636,750)*0.05*AK636</f>
        <v/>
      </c>
      <c r="AM636" s="39">
        <f>'[1]GÖP VERİLERİ'!G637</f>
        <v/>
      </c>
      <c r="AN636" s="34">
        <f>IF(AI636&gt;AM636*1.05,AI636-AM636*1.05,IF(AI636&lt;AM636*0.95,AM636*0.95-AI636,0))</f>
        <v/>
      </c>
      <c r="AO636" s="34">
        <f>MAX(F636,G636,750)*0.05*AN636</f>
        <v/>
      </c>
      <c r="AP636" s="34">
        <f>'[1]GÖP VERİLERİ'!B637</f>
        <v/>
      </c>
      <c r="AQ636" s="34">
        <f>'[1]GÖP VERİLERİ'!C637</f>
        <v/>
      </c>
      <c r="AR636" s="34">
        <f>IF(AP636&gt;AQ636*1.05,AP636-AQ636*1.05,IF(AP636&lt;AQ636*0.95,AQ636*0.95-AP636,0))</f>
        <v/>
      </c>
      <c r="AS636" s="34">
        <f>MAX(F636:G636,750)*0.05*AR636</f>
        <v/>
      </c>
      <c r="AT636">
        <f>'[1]GÖP VERİLERİ'!D637</f>
        <v/>
      </c>
      <c r="AU636" s="34">
        <f>IF(AP636&gt;AT636*1.05,AP636-AT636*1.05,IF(AP636&lt;AT636*0.95,AT636*0.95-AP636,0))</f>
        <v/>
      </c>
      <c r="AV636" s="34">
        <f>MAX(F636:G636,750)*0.05*AU636</f>
        <v/>
      </c>
      <c r="AW636" s="34">
        <f>AC636+AJ636+AQ636</f>
        <v/>
      </c>
      <c r="AX636" s="34">
        <f>AF636+AM636+AT636</f>
        <v/>
      </c>
      <c r="AY636" s="34">
        <f>AB636+AI636+AP636</f>
        <v/>
      </c>
      <c r="AZ636" s="34" t="n">
        <v>0</v>
      </c>
      <c r="BA636" s="34">
        <f>AD636+AK636+AR636</f>
        <v/>
      </c>
      <c r="BB636" s="34">
        <f>MAX(F636:G636,750)*0.05*BA636</f>
        <v/>
      </c>
      <c r="BC636" s="34">
        <f>AG636+AN636+AU636</f>
        <v/>
      </c>
      <c r="BD636" s="34">
        <f>MAX(F636:G636,750)*0.05*BC636</f>
        <v/>
      </c>
      <c r="BE636" s="34">
        <f>F636*AY636</f>
        <v/>
      </c>
      <c r="BF636" s="34">
        <f>K636-M636</f>
        <v/>
      </c>
      <c r="BG636" s="34">
        <f>P636-S636</f>
        <v/>
      </c>
      <c r="BH636" s="34">
        <f>W636-AA636</f>
        <v/>
      </c>
      <c r="BI636" s="34">
        <f>BF636+BG636+BL636-BN636</f>
        <v/>
      </c>
      <c r="BJ636" s="34">
        <f>ABS(BK636)</f>
        <v/>
      </c>
      <c r="BK636" s="34">
        <f>AY636-(J636-L636+N636-Q636)</f>
        <v/>
      </c>
      <c r="BL636" s="34">
        <f>IF(AND(BK636&gt;0,MIN($F636:$G636)&lt;150,$E636="Enerji Açığı"),-100*BK636*1.03,IF(AND(BK636&gt;0,MIN($F636:$G636)&lt;150,$E636="Enerji Fazlası"),-100*BK636*1.06,IF(AND(BK636&gt;0,MIN($F636:$G636)&gt;=150,$E636="Enerji Açığı"),BK636*MIN($F636:$G636)*0.97,IF(AND(BK636&gt;0,MIN($F636:$G636)&gt;=150,$E636="Enerji Fazlası"),BK636*MIN($F636:$G636)*0.94,IF(AND(BK636&lt;0,MAX($F636:$G636)=4500,$E636="Enerji Açığı"),4500*1.05*1.06*BK636,IF(AND(BK636&lt;0,MAX($F636:$G636)=4500,$E636="Enerji Fazlası"),4500*1.05*1.03*BK636,IF(AND(BK636&lt;0,$E636="Enerji Açığı"),MAX($F636,$G636,150)*BK636*1.06,IF(AND(BK636&lt;0,$E636="Enerji Fazlası"),MAX($F636,$G636,150)*BK636*1.03,IF(AND(BK636&lt;0,$E636="Dengede"),MAX($F636:$G636,150)*1.03*BK636,MIN($F636:$G636)*0.97*BK636)))))))))</f>
        <v/>
      </c>
      <c r="BM636" s="34">
        <f>BE636-BI636-BN636</f>
        <v/>
      </c>
      <c r="BN636" s="34">
        <f>BB636</f>
        <v/>
      </c>
      <c r="BO636" s="34">
        <f>BE636-BI636</f>
        <v/>
      </c>
      <c r="BP636" s="34">
        <f>IF(AY636=0,0,BO636/AY636)</f>
        <v/>
      </c>
      <c r="BQ636" s="34">
        <f>MAX((AY636+MAX((-J636+L636-N636+Q636),0)),(MAX((J636-L636+N636-Q636),0)))</f>
        <v/>
      </c>
      <c r="BR636" s="82">
        <f>IFERROR(ABS(BK636/BQ636),0)</f>
        <v/>
      </c>
      <c r="BS636" s="34">
        <f>IF(BR636&lt;=0.1,0,BK636/BR636*(BR636-0.1))</f>
        <v/>
      </c>
      <c r="BT636" s="34">
        <f>IF((BS636)&lt;0,MAX(F636:G636)*(BS636)*1.03,MIN(F636:G636)*(BS636)*0.97)</f>
        <v/>
      </c>
      <c r="BU636" s="34">
        <f>IF(BR636&gt;0.1,1,0)</f>
        <v/>
      </c>
      <c r="BV636" s="34">
        <f>BF636+BG636+BH636+BY636-CA636</f>
        <v/>
      </c>
      <c r="BW636" s="34">
        <f>ABS(BX636)</f>
        <v/>
      </c>
      <c r="BX636" s="34">
        <f>AY636-(J636-L636+N636-Q636+T636-X636)</f>
        <v/>
      </c>
      <c r="BY636" s="34">
        <f>IF(AND(BX636&gt;0,MIN($F636:$G636)&lt;150,$E636="Enerji Açığı"),-100*BX636*1.03,IF(AND(BX636&gt;0,MIN($F636:$G636)&lt;150,$E636="Enerji Fazlası"),-100*BX636*1.06,IF(AND(BX636&gt;0,MIN($F636:$G636)&gt;=150,$E636="Enerji Açığı"),BX636*MIN($F636:$G636)*0.97,IF(AND(BX636&gt;0,MIN($F636:$G636)&gt;=150,$E636="Enerji Fazlası"),BX636*MIN($F636:$G636)*0.94,IF(AND(BX636&lt;0,MAX($F636:$G636)=4500,$E636="Enerji Açığı"),4500*1.05*1.06*BX636,IF(AND(BX636&lt;0,MAX($F636:$G636)=4500,$E636="Enerji Fazlası"),4500*1.05*1.03*BX636,IF(AND(BX636&lt;0,$E636="Enerji Açığı"),MAX($F636,$G636,150)*BX636*1.06,IF(AND(BX636&lt;0,$E636="Enerji Fazlası"),MAX($F636,$G636,150)*BX636*1.03,IF(AND(BX636&lt;0,$E636="Dengede"),MAX($F636:$G636,150)*1.03*BX636,MIN($F636:$G636)*0.97*BX636)))))))))</f>
        <v/>
      </c>
      <c r="BZ636" s="34">
        <f>BE636-BV636-CA636</f>
        <v/>
      </c>
      <c r="CA636" s="34">
        <f>BD636</f>
        <v/>
      </c>
      <c r="CB636" s="33">
        <f>BE636-BV636</f>
        <v/>
      </c>
      <c r="CC636" s="34">
        <f>IF(AY636=0,0,CB636/AY636)</f>
        <v/>
      </c>
      <c r="CD636" s="34">
        <f>MAX((AY636+MAX((-J636+L636-N636+Q636-T636+X636),0)),(MAX((J636-L636+N636-Q636+T636-X636),0)))</f>
        <v/>
      </c>
      <c r="CE636" s="82">
        <f>IFERROR(ABS(BX636/CD636),0)</f>
        <v/>
      </c>
      <c r="CF636" s="34">
        <f>IF(CE636&lt;=0.1,0,BX636/CE636*(CE636-0.1))</f>
        <v/>
      </c>
      <c r="CG636" s="34">
        <f>IF((CF636)&lt;0,MAX(F636:G636)*(CF636)*1.03,MIN(F636:G636)*(CF636)*0.97)</f>
        <v/>
      </c>
      <c r="CH636" s="34">
        <f>IF(CE636&gt;0.1,1,0)</f>
        <v/>
      </c>
      <c r="CI636" s="34">
        <f>(F636*BX636)-BY636</f>
        <v/>
      </c>
      <c r="CJ636" s="34">
        <f>IF(AY636=0,0,CI636/AY636)</f>
        <v/>
      </c>
    </row>
    <row r="637">
      <c r="A637" s="29">
        <f>[1]FİYATLAR!A612</f>
        <v/>
      </c>
      <c r="B637" s="29">
        <f>[1]FİYATLAR!B636</f>
        <v/>
      </c>
      <c r="C637" s="35">
        <f>INT(A637)</f>
        <v/>
      </c>
      <c r="D637" s="36">
        <f>MONTH(A637)</f>
        <v/>
      </c>
      <c r="E637" s="147">
        <f>[1]FİYATLAR!G612</f>
        <v/>
      </c>
      <c r="F637" s="30">
        <f>[1]FİYATLAR!C612</f>
        <v/>
      </c>
      <c r="G637" s="30">
        <f>[1]FİYATLAR!E612</f>
        <v/>
      </c>
      <c r="H637" s="30">
        <f>[1]FİYATLAR!D612</f>
        <v/>
      </c>
      <c r="I637" s="30">
        <f>[1]FİYATLAR!F612</f>
        <v/>
      </c>
      <c r="J637" s="119" t="n">
        <v>0</v>
      </c>
      <c r="K637" s="34">
        <f>F637*J637</f>
        <v/>
      </c>
      <c r="L637" s="119" t="n"/>
      <c r="M637" s="34">
        <f>L637*F637</f>
        <v/>
      </c>
      <c r="N637" s="119" t="n"/>
      <c r="O637" s="34">
        <f>F637</f>
        <v/>
      </c>
      <c r="P637" s="34">
        <f>N637*O637</f>
        <v/>
      </c>
      <c r="Q637" s="117" t="n">
        <v>0</v>
      </c>
      <c r="R637" s="34">
        <f>F637</f>
        <v/>
      </c>
      <c r="S637" s="34">
        <f>R637*Q637</f>
        <v/>
      </c>
      <c r="T637" s="34">
        <f>SUMIFS('[1]GİP VERİLERİ'!$C:$C,'[1]GİP VERİLERİ'!$B:$B,A637,'[1]GİP VERİLERİ'!$M:$M,"40X000000104782K",'[1]GİP VERİLERİ'!$G:$G,"SELL")</f>
        <v/>
      </c>
      <c r="U637" s="34">
        <f>IFERROR(W637/T637,0)</f>
        <v/>
      </c>
      <c r="V637" s="34">
        <f>IF(U637=0,0,U637-F637)</f>
        <v/>
      </c>
      <c r="W637" s="34">
        <f>SUMIFS('[1]GİP VERİLERİ'!$O:$O,'[1]GİP VERİLERİ'!$B:$B,A637,'[1]GİP VERİLERİ'!$M:$M,"40X000000104782K",'[1]GİP VERİLERİ'!$G:$G,"SELL")</f>
        <v/>
      </c>
      <c r="X637" s="34">
        <f>SUMIFS('[1]GİP VERİLERİ'!$C:$C,'[1]GİP VERİLERİ'!$B:$B,A637,'[1]GİP VERİLERİ'!$M:$M,"40X000000104782K",'[1]GİP VERİLERİ'!$G:$G,"BUY")</f>
        <v/>
      </c>
      <c r="Y637" s="34">
        <f>IFERROR(AA637/X637,0)</f>
        <v/>
      </c>
      <c r="Z637" s="34">
        <f>IF(Y637=0,0,F637-Y637)</f>
        <v/>
      </c>
      <c r="AA637" s="34">
        <f>SUMIFS('[1]GİP VERİLERİ'!$O:$O,'[1]GİP VERİLERİ'!$B:$B,A637,'[1]GİP VERİLERİ'!$M:$M,"40X000000104782K",'[1]GİP VERİLERİ'!$G:$G,"BUY")</f>
        <v/>
      </c>
      <c r="AB637" s="34">
        <f>'[1]GÖP VERİLERİ'!H638</f>
        <v/>
      </c>
      <c r="AC637" s="34">
        <f>'[1]GÖP VERİLERİ'!I638</f>
        <v/>
      </c>
      <c r="AD637" s="34">
        <f>IF(AB637&gt;AC637*1.05,AB637-AC637*1.05,IF(AB637&lt;AC637*0.95,AC637*0.95-AB637,0))</f>
        <v/>
      </c>
      <c r="AE637" s="34">
        <f>MAX(F637,G637,750)*0.05*AD637</f>
        <v/>
      </c>
      <c r="AF637" s="34">
        <f>'[1]GÖP VERİLERİ'!J638</f>
        <v/>
      </c>
      <c r="AG637" s="34">
        <f>IF(AB637&gt;AF637*1.05,AB637-AF637*1.05,IF(AB637&lt;AF637*0.95,AF637*0.95-AB637,0))</f>
        <v/>
      </c>
      <c r="AH637" s="34">
        <f>MAX(I637,J637,750)*0.05*AG637</f>
        <v/>
      </c>
      <c r="AI637">
        <f>'[1]GÖP VERİLERİ'!E638</f>
        <v/>
      </c>
      <c r="AJ637">
        <f>'[1]GÖP VERİLERİ'!F638</f>
        <v/>
      </c>
      <c r="AK637" s="34">
        <f>IF(AI637&gt;AJ637*1.05,AI637-AJ637*1.05,IF(AI637&lt;AJ637*0.95,AJ637*0.95-AI637,0))</f>
        <v/>
      </c>
      <c r="AL637" s="34">
        <f>MAX(F637,G637,750)*0.05*AK637</f>
        <v/>
      </c>
      <c r="AM637" s="39">
        <f>'[1]GÖP VERİLERİ'!G638</f>
        <v/>
      </c>
      <c r="AN637" s="34">
        <f>IF(AI637&gt;AM637*1.05,AI637-AM637*1.05,IF(AI637&lt;AM637*0.95,AM637*0.95-AI637,0))</f>
        <v/>
      </c>
      <c r="AO637" s="34">
        <f>MAX(F637,G637,750)*0.05*AN637</f>
        <v/>
      </c>
      <c r="AP637" s="34">
        <f>'[1]GÖP VERİLERİ'!B638</f>
        <v/>
      </c>
      <c r="AQ637" s="34">
        <f>'[1]GÖP VERİLERİ'!C638</f>
        <v/>
      </c>
      <c r="AR637" s="34">
        <f>IF(AP637&gt;AQ637*1.05,AP637-AQ637*1.05,IF(AP637&lt;AQ637*0.95,AQ637*0.95-AP637,0))</f>
        <v/>
      </c>
      <c r="AS637" s="34">
        <f>MAX(F637:G637,750)*0.05*AR637</f>
        <v/>
      </c>
      <c r="AT637">
        <f>'[1]GÖP VERİLERİ'!D638</f>
        <v/>
      </c>
      <c r="AU637" s="34">
        <f>IF(AP637&gt;AT637*1.05,AP637-AT637*1.05,IF(AP637&lt;AT637*0.95,AT637*0.95-AP637,0))</f>
        <v/>
      </c>
      <c r="AV637" s="34">
        <f>MAX(F637:G637,750)*0.05*AU637</f>
        <v/>
      </c>
      <c r="AW637" s="34">
        <f>AC637+AJ637+AQ637</f>
        <v/>
      </c>
      <c r="AX637" s="34">
        <f>AF637+AM637+AT637</f>
        <v/>
      </c>
      <c r="AY637" s="34">
        <f>AB637+AI637+AP637</f>
        <v/>
      </c>
      <c r="AZ637" s="34" t="n">
        <v>0</v>
      </c>
      <c r="BA637" s="34">
        <f>AD637+AK637+AR637</f>
        <v/>
      </c>
      <c r="BB637" s="34">
        <f>MAX(F637:G637,750)*0.05*BA637</f>
        <v/>
      </c>
      <c r="BC637" s="34">
        <f>AG637+AN637+AU637</f>
        <v/>
      </c>
      <c r="BD637" s="34">
        <f>MAX(F637:G637,750)*0.05*BC637</f>
        <v/>
      </c>
      <c r="BE637" s="34">
        <f>F637*AY637</f>
        <v/>
      </c>
      <c r="BF637" s="34">
        <f>K637-M637</f>
        <v/>
      </c>
      <c r="BG637" s="34">
        <f>P637-S637</f>
        <v/>
      </c>
      <c r="BH637" s="34">
        <f>W637-AA637</f>
        <v/>
      </c>
      <c r="BI637" s="34">
        <f>BF637+BG637+BL637-BN637</f>
        <v/>
      </c>
      <c r="BJ637" s="34">
        <f>ABS(BK637)</f>
        <v/>
      </c>
      <c r="BK637" s="34">
        <f>AY637-(J637-L637+N637-Q637)</f>
        <v/>
      </c>
      <c r="BL637" s="34">
        <f>IF(AND(BK637&gt;0,MIN($F637:$G637)&lt;150,$E637="Enerji Açığı"),-100*BK637*1.03,IF(AND(BK637&gt;0,MIN($F637:$G637)&lt;150,$E637="Enerji Fazlası"),-100*BK637*1.06,IF(AND(BK637&gt;0,MIN($F637:$G637)&gt;=150,$E637="Enerji Açığı"),BK637*MIN($F637:$G637)*0.97,IF(AND(BK637&gt;0,MIN($F637:$G637)&gt;=150,$E637="Enerji Fazlası"),BK637*MIN($F637:$G637)*0.94,IF(AND(BK637&lt;0,MAX($F637:$G637)=4500,$E637="Enerji Açığı"),4500*1.05*1.06*BK637,IF(AND(BK637&lt;0,MAX($F637:$G637)=4500,$E637="Enerji Fazlası"),4500*1.05*1.03*BK637,IF(AND(BK637&lt;0,$E637="Enerji Açığı"),MAX($F637,$G637,150)*BK637*1.06,IF(AND(BK637&lt;0,$E637="Enerji Fazlası"),MAX($F637,$G637,150)*BK637*1.03,IF(AND(BK637&lt;0,$E637="Dengede"),MAX($F637:$G637,150)*1.03*BK637,MIN($F637:$G637)*0.97*BK637)))))))))</f>
        <v/>
      </c>
      <c r="BM637" s="34">
        <f>BE637-BI637-BN637</f>
        <v/>
      </c>
      <c r="BN637" s="34">
        <f>BB637</f>
        <v/>
      </c>
      <c r="BO637" s="34">
        <f>BE637-BI637</f>
        <v/>
      </c>
      <c r="BP637" s="34">
        <f>IF(AY637=0,0,BO637/AY637)</f>
        <v/>
      </c>
      <c r="BQ637" s="34">
        <f>MAX((AY637+MAX((-J637+L637-N637+Q637),0)),(MAX((J637-L637+N637-Q637),0)))</f>
        <v/>
      </c>
      <c r="BR637" s="82">
        <f>IFERROR(ABS(BK637/BQ637),0)</f>
        <v/>
      </c>
      <c r="BS637" s="34">
        <f>IF(BR637&lt;=0.1,0,BK637/BR637*(BR637-0.1))</f>
        <v/>
      </c>
      <c r="BT637" s="34">
        <f>IF((BS637)&lt;0,MAX(F637:G637)*(BS637)*1.03,MIN(F637:G637)*(BS637)*0.97)</f>
        <v/>
      </c>
      <c r="BU637" s="34">
        <f>IF(BR637&gt;0.1,1,0)</f>
        <v/>
      </c>
      <c r="BV637" s="34">
        <f>BF637+BG637+BH637+BY637-CA637</f>
        <v/>
      </c>
      <c r="BW637" s="34">
        <f>ABS(BX637)</f>
        <v/>
      </c>
      <c r="BX637" s="34">
        <f>AY637-(J637-L637+N637-Q637+T637-X637)</f>
        <v/>
      </c>
      <c r="BY637" s="34">
        <f>IF(AND(BX637&gt;0,MIN($F637:$G637)&lt;150,$E637="Enerji Açığı"),-100*BX637*1.03,IF(AND(BX637&gt;0,MIN($F637:$G637)&lt;150,$E637="Enerji Fazlası"),-100*BX637*1.06,IF(AND(BX637&gt;0,MIN($F637:$G637)&gt;=150,$E637="Enerji Açığı"),BX637*MIN($F637:$G637)*0.97,IF(AND(BX637&gt;0,MIN($F637:$G637)&gt;=150,$E637="Enerji Fazlası"),BX637*MIN($F637:$G637)*0.94,IF(AND(BX637&lt;0,MAX($F637:$G637)=4500,$E637="Enerji Açığı"),4500*1.05*1.06*BX637,IF(AND(BX637&lt;0,MAX($F637:$G637)=4500,$E637="Enerji Fazlası"),4500*1.05*1.03*BX637,IF(AND(BX637&lt;0,$E637="Enerji Açığı"),MAX($F637,$G637,150)*BX637*1.06,IF(AND(BX637&lt;0,$E637="Enerji Fazlası"),MAX($F637,$G637,150)*BX637*1.03,IF(AND(BX637&lt;0,$E637="Dengede"),MAX($F637:$G637,150)*1.03*BX637,MIN($F637:$G637)*0.97*BX637)))))))))</f>
        <v/>
      </c>
      <c r="BZ637" s="34">
        <f>BE637-BV637-CA637</f>
        <v/>
      </c>
      <c r="CA637" s="34">
        <f>BD637</f>
        <v/>
      </c>
      <c r="CB637" s="33">
        <f>BE637-BV637</f>
        <v/>
      </c>
      <c r="CC637" s="34">
        <f>IF(AY637=0,0,CB637/AY637)</f>
        <v/>
      </c>
      <c r="CD637" s="34">
        <f>MAX((AY637+MAX((-J637+L637-N637+Q637-T637+X637),0)),(MAX((J637-L637+N637-Q637+T637-X637),0)))</f>
        <v/>
      </c>
      <c r="CE637" s="82">
        <f>IFERROR(ABS(BX637/CD637),0)</f>
        <v/>
      </c>
      <c r="CF637" s="34">
        <f>IF(CE637&lt;=0.1,0,BX637/CE637*(CE637-0.1))</f>
        <v/>
      </c>
      <c r="CG637" s="34">
        <f>IF((CF637)&lt;0,MAX(F637:G637)*(CF637)*1.03,MIN(F637:G637)*(CF637)*0.97)</f>
        <v/>
      </c>
      <c r="CH637" s="34">
        <f>IF(CE637&gt;0.1,1,0)</f>
        <v/>
      </c>
      <c r="CI637" s="34">
        <f>(F637*BX637)-BY637</f>
        <v/>
      </c>
      <c r="CJ637" s="34">
        <f>IF(AY637=0,0,CI637/AY637)</f>
        <v/>
      </c>
    </row>
    <row r="638">
      <c r="A638" s="29">
        <f>[1]FİYATLAR!A613</f>
        <v/>
      </c>
      <c r="B638" s="29">
        <f>[1]FİYATLAR!B637</f>
        <v/>
      </c>
      <c r="C638" s="35">
        <f>INT(A638)</f>
        <v/>
      </c>
      <c r="D638" s="36">
        <f>MONTH(A638)</f>
        <v/>
      </c>
      <c r="E638" s="147">
        <f>[1]FİYATLAR!G613</f>
        <v/>
      </c>
      <c r="F638" s="30">
        <f>[1]FİYATLAR!C613</f>
        <v/>
      </c>
      <c r="G638" s="30">
        <f>[1]FİYATLAR!E613</f>
        <v/>
      </c>
      <c r="H638" s="30">
        <f>[1]FİYATLAR!D613</f>
        <v/>
      </c>
      <c r="I638" s="30">
        <f>[1]FİYATLAR!F613</f>
        <v/>
      </c>
      <c r="J638" s="119" t="n">
        <v>0</v>
      </c>
      <c r="K638" s="34">
        <f>F638*J638</f>
        <v/>
      </c>
      <c r="L638" s="119" t="n"/>
      <c r="M638" s="34">
        <f>L638*F638</f>
        <v/>
      </c>
      <c r="N638" s="119" t="n"/>
      <c r="O638" s="34">
        <f>F638</f>
        <v/>
      </c>
      <c r="P638" s="34">
        <f>N638*O638</f>
        <v/>
      </c>
      <c r="Q638" s="117" t="n">
        <v>0</v>
      </c>
      <c r="R638" s="34">
        <f>F638</f>
        <v/>
      </c>
      <c r="S638" s="34">
        <f>R638*Q638</f>
        <v/>
      </c>
      <c r="T638" s="34">
        <f>SUMIFS('[1]GİP VERİLERİ'!$C:$C,'[1]GİP VERİLERİ'!$B:$B,A638,'[1]GİP VERİLERİ'!$M:$M,"40X000000104782K",'[1]GİP VERİLERİ'!$G:$G,"SELL")</f>
        <v/>
      </c>
      <c r="U638" s="34">
        <f>IFERROR(W638/T638,0)</f>
        <v/>
      </c>
      <c r="V638" s="34">
        <f>IF(U638=0,0,U638-F638)</f>
        <v/>
      </c>
      <c r="W638" s="34">
        <f>SUMIFS('[1]GİP VERİLERİ'!$O:$O,'[1]GİP VERİLERİ'!$B:$B,A638,'[1]GİP VERİLERİ'!$M:$M,"40X000000104782K",'[1]GİP VERİLERİ'!$G:$G,"SELL")</f>
        <v/>
      </c>
      <c r="X638" s="34">
        <f>SUMIFS('[1]GİP VERİLERİ'!$C:$C,'[1]GİP VERİLERİ'!$B:$B,A638,'[1]GİP VERİLERİ'!$M:$M,"40X000000104782K",'[1]GİP VERİLERİ'!$G:$G,"BUY")</f>
        <v/>
      </c>
      <c r="Y638" s="34">
        <f>IFERROR(AA638/X638,0)</f>
        <v/>
      </c>
      <c r="Z638" s="34">
        <f>IF(Y638=0,0,F638-Y638)</f>
        <v/>
      </c>
      <c r="AA638" s="34">
        <f>SUMIFS('[1]GİP VERİLERİ'!$O:$O,'[1]GİP VERİLERİ'!$B:$B,A638,'[1]GİP VERİLERİ'!$M:$M,"40X000000104782K",'[1]GİP VERİLERİ'!$G:$G,"BUY")</f>
        <v/>
      </c>
      <c r="AB638" s="34">
        <f>'[1]GÖP VERİLERİ'!H639</f>
        <v/>
      </c>
      <c r="AC638" s="34">
        <f>'[1]GÖP VERİLERİ'!I639</f>
        <v/>
      </c>
      <c r="AD638" s="34">
        <f>IF(AB638&gt;AC638*1.05,AB638-AC638*1.05,IF(AB638&lt;AC638*0.95,AC638*0.95-AB638,0))</f>
        <v/>
      </c>
      <c r="AE638" s="34">
        <f>MAX(F638,G638,750)*0.05*AD638</f>
        <v/>
      </c>
      <c r="AF638" s="34">
        <f>'[1]GÖP VERİLERİ'!J639</f>
        <v/>
      </c>
      <c r="AG638" s="34">
        <f>IF(AB638&gt;AF638*1.05,AB638-AF638*1.05,IF(AB638&lt;AF638*0.95,AF638*0.95-AB638,0))</f>
        <v/>
      </c>
      <c r="AH638" s="34">
        <f>MAX(I638,J638,750)*0.05*AG638</f>
        <v/>
      </c>
      <c r="AI638">
        <f>'[1]GÖP VERİLERİ'!E639</f>
        <v/>
      </c>
      <c r="AJ638">
        <f>'[1]GÖP VERİLERİ'!F639</f>
        <v/>
      </c>
      <c r="AK638" s="34">
        <f>IF(AI638&gt;AJ638*1.05,AI638-AJ638*1.05,IF(AI638&lt;AJ638*0.95,AJ638*0.95-AI638,0))</f>
        <v/>
      </c>
      <c r="AL638" s="34">
        <f>MAX(F638,G638,750)*0.05*AK638</f>
        <v/>
      </c>
      <c r="AM638" s="39">
        <f>'[1]GÖP VERİLERİ'!G639</f>
        <v/>
      </c>
      <c r="AN638" s="34">
        <f>IF(AI638&gt;AM638*1.05,AI638-AM638*1.05,IF(AI638&lt;AM638*0.95,AM638*0.95-AI638,0))</f>
        <v/>
      </c>
      <c r="AO638" s="34">
        <f>MAX(F638,G638,750)*0.05*AN638</f>
        <v/>
      </c>
      <c r="AP638" s="34">
        <f>'[1]GÖP VERİLERİ'!B639</f>
        <v/>
      </c>
      <c r="AQ638" s="34">
        <f>'[1]GÖP VERİLERİ'!C639</f>
        <v/>
      </c>
      <c r="AR638" s="34">
        <f>IF(AP638&gt;AQ638*1.05,AP638-AQ638*1.05,IF(AP638&lt;AQ638*0.95,AQ638*0.95-AP638,0))</f>
        <v/>
      </c>
      <c r="AS638" s="34">
        <f>MAX(F638:G638,750)*0.05*AR638</f>
        <v/>
      </c>
      <c r="AT638">
        <f>'[1]GÖP VERİLERİ'!D639</f>
        <v/>
      </c>
      <c r="AU638" s="34">
        <f>IF(AP638&gt;AT638*1.05,AP638-AT638*1.05,IF(AP638&lt;AT638*0.95,AT638*0.95-AP638,0))</f>
        <v/>
      </c>
      <c r="AV638" s="34">
        <f>MAX(F638:G638,750)*0.05*AU638</f>
        <v/>
      </c>
      <c r="AW638" s="34">
        <f>AC638+AJ638+AQ638</f>
        <v/>
      </c>
      <c r="AX638" s="34">
        <f>AF638+AM638+AT638</f>
        <v/>
      </c>
      <c r="AY638" s="34">
        <f>AB638+AI638+AP638</f>
        <v/>
      </c>
      <c r="AZ638" s="34" t="n">
        <v>0</v>
      </c>
      <c r="BA638" s="34">
        <f>AD638+AK638+AR638</f>
        <v/>
      </c>
      <c r="BB638" s="34">
        <f>MAX(F638:G638,750)*0.05*BA638</f>
        <v/>
      </c>
      <c r="BC638" s="34">
        <f>AG638+AN638+AU638</f>
        <v/>
      </c>
      <c r="BD638" s="34">
        <f>MAX(F638:G638,750)*0.05*BC638</f>
        <v/>
      </c>
      <c r="BE638" s="34">
        <f>F638*AY638</f>
        <v/>
      </c>
      <c r="BF638" s="34">
        <f>K638-M638</f>
        <v/>
      </c>
      <c r="BG638" s="34">
        <f>P638-S638</f>
        <v/>
      </c>
      <c r="BH638" s="34">
        <f>W638-AA638</f>
        <v/>
      </c>
      <c r="BI638" s="34">
        <f>BF638+BG638+BL638-BN638</f>
        <v/>
      </c>
      <c r="BJ638" s="34">
        <f>ABS(BK638)</f>
        <v/>
      </c>
      <c r="BK638" s="34">
        <f>AY638-(J638-L638+N638-Q638)</f>
        <v/>
      </c>
      <c r="BL638" s="34">
        <f>IF(AND(BK638&gt;0,MIN($F638:$G638)&lt;150,$E638="Enerji Açığı"),-100*BK638*1.03,IF(AND(BK638&gt;0,MIN($F638:$G638)&lt;150,$E638="Enerji Fazlası"),-100*BK638*1.06,IF(AND(BK638&gt;0,MIN($F638:$G638)&gt;=150,$E638="Enerji Açığı"),BK638*MIN($F638:$G638)*0.97,IF(AND(BK638&gt;0,MIN($F638:$G638)&gt;=150,$E638="Enerji Fazlası"),BK638*MIN($F638:$G638)*0.94,IF(AND(BK638&lt;0,MAX($F638:$G638)=4500,$E638="Enerji Açığı"),4500*1.05*1.06*BK638,IF(AND(BK638&lt;0,MAX($F638:$G638)=4500,$E638="Enerji Fazlası"),4500*1.05*1.03*BK638,IF(AND(BK638&lt;0,$E638="Enerji Açığı"),MAX($F638,$G638,150)*BK638*1.06,IF(AND(BK638&lt;0,$E638="Enerji Fazlası"),MAX($F638,$G638,150)*BK638*1.03,IF(AND(BK638&lt;0,$E638="Dengede"),MAX($F638:$G638,150)*1.03*BK638,MIN($F638:$G638)*0.97*BK638)))))))))</f>
        <v/>
      </c>
      <c r="BM638" s="34">
        <f>BE638-BI638-BN638</f>
        <v/>
      </c>
      <c r="BN638" s="34">
        <f>BB638</f>
        <v/>
      </c>
      <c r="BO638" s="34">
        <f>BE638-BI638</f>
        <v/>
      </c>
      <c r="BP638" s="34">
        <f>IF(AY638=0,0,BO638/AY638)</f>
        <v/>
      </c>
      <c r="BQ638" s="34">
        <f>MAX((AY638+MAX((-J638+L638-N638+Q638),0)),(MAX((J638-L638+N638-Q638),0)))</f>
        <v/>
      </c>
      <c r="BR638" s="82">
        <f>IFERROR(ABS(BK638/BQ638),0)</f>
        <v/>
      </c>
      <c r="BS638" s="34">
        <f>IF(BR638&lt;=0.1,0,BK638/BR638*(BR638-0.1))</f>
        <v/>
      </c>
      <c r="BT638" s="34">
        <f>IF((BS638)&lt;0,MAX(F638:G638)*(BS638)*1.03,MIN(F638:G638)*(BS638)*0.97)</f>
        <v/>
      </c>
      <c r="BU638" s="34">
        <f>IF(BR638&gt;0.1,1,0)</f>
        <v/>
      </c>
      <c r="BV638" s="34">
        <f>BF638+BG638+BH638+BY638-CA638</f>
        <v/>
      </c>
      <c r="BW638" s="34">
        <f>ABS(BX638)</f>
        <v/>
      </c>
      <c r="BX638" s="34">
        <f>AY638-(J638-L638+N638-Q638+T638-X638)</f>
        <v/>
      </c>
      <c r="BY638" s="34">
        <f>IF(AND(BX638&gt;0,MIN($F638:$G638)&lt;150,$E638="Enerji Açığı"),-100*BX638*1.03,IF(AND(BX638&gt;0,MIN($F638:$G638)&lt;150,$E638="Enerji Fazlası"),-100*BX638*1.06,IF(AND(BX638&gt;0,MIN($F638:$G638)&gt;=150,$E638="Enerji Açığı"),BX638*MIN($F638:$G638)*0.97,IF(AND(BX638&gt;0,MIN($F638:$G638)&gt;=150,$E638="Enerji Fazlası"),BX638*MIN($F638:$G638)*0.94,IF(AND(BX638&lt;0,MAX($F638:$G638)=4500,$E638="Enerji Açığı"),4500*1.05*1.06*BX638,IF(AND(BX638&lt;0,MAX($F638:$G638)=4500,$E638="Enerji Fazlası"),4500*1.05*1.03*BX638,IF(AND(BX638&lt;0,$E638="Enerji Açığı"),MAX($F638,$G638,150)*BX638*1.06,IF(AND(BX638&lt;0,$E638="Enerji Fazlası"),MAX($F638,$G638,150)*BX638*1.03,IF(AND(BX638&lt;0,$E638="Dengede"),MAX($F638:$G638,150)*1.03*BX638,MIN($F638:$G638)*0.97*BX638)))))))))</f>
        <v/>
      </c>
      <c r="BZ638" s="34">
        <f>BE638-BV638-CA638</f>
        <v/>
      </c>
      <c r="CA638" s="34">
        <f>BD638</f>
        <v/>
      </c>
      <c r="CB638" s="33">
        <f>BE638-BV638</f>
        <v/>
      </c>
      <c r="CC638" s="34">
        <f>IF(AY638=0,0,CB638/AY638)</f>
        <v/>
      </c>
      <c r="CD638" s="34">
        <f>MAX((AY638+MAX((-J638+L638-N638+Q638-T638+X638),0)),(MAX((J638-L638+N638-Q638+T638-X638),0)))</f>
        <v/>
      </c>
      <c r="CE638" s="82">
        <f>IFERROR(ABS(BX638/CD638),0)</f>
        <v/>
      </c>
      <c r="CF638" s="34">
        <f>IF(CE638&lt;=0.1,0,BX638/CE638*(CE638-0.1))</f>
        <v/>
      </c>
      <c r="CG638" s="34">
        <f>IF((CF638)&lt;0,MAX(F638:G638)*(CF638)*1.03,MIN(F638:G638)*(CF638)*0.97)</f>
        <v/>
      </c>
      <c r="CH638" s="34">
        <f>IF(CE638&gt;0.1,1,0)</f>
        <v/>
      </c>
      <c r="CI638" s="34">
        <f>(F638*BX638)-BY638</f>
        <v/>
      </c>
      <c r="CJ638" s="34">
        <f>IF(AY638=0,0,CI638/AY638)</f>
        <v/>
      </c>
    </row>
    <row r="639">
      <c r="A639" s="29">
        <f>[1]FİYATLAR!A614</f>
        <v/>
      </c>
      <c r="B639" s="29">
        <f>[1]FİYATLAR!B638</f>
        <v/>
      </c>
      <c r="C639" s="35">
        <f>INT(A639)</f>
        <v/>
      </c>
      <c r="D639" s="36">
        <f>MONTH(A639)</f>
        <v/>
      </c>
      <c r="E639" s="147">
        <f>[1]FİYATLAR!G614</f>
        <v/>
      </c>
      <c r="F639" s="30">
        <f>[1]FİYATLAR!C614</f>
        <v/>
      </c>
      <c r="G639" s="30">
        <f>[1]FİYATLAR!E614</f>
        <v/>
      </c>
      <c r="H639" s="30">
        <f>[1]FİYATLAR!D614</f>
        <v/>
      </c>
      <c r="I639" s="30">
        <f>[1]FİYATLAR!F614</f>
        <v/>
      </c>
      <c r="J639" s="119" t="n">
        <v>0</v>
      </c>
      <c r="K639" s="34">
        <f>F639*J639</f>
        <v/>
      </c>
      <c r="L639" s="119" t="n"/>
      <c r="M639" s="34">
        <f>L639*F639</f>
        <v/>
      </c>
      <c r="N639" s="119" t="n"/>
      <c r="O639" s="34">
        <f>F639</f>
        <v/>
      </c>
      <c r="P639" s="34">
        <f>N639*O639</f>
        <v/>
      </c>
      <c r="Q639" s="117" t="n">
        <v>0</v>
      </c>
      <c r="R639" s="34">
        <f>F639</f>
        <v/>
      </c>
      <c r="S639" s="34">
        <f>R639*Q639</f>
        <v/>
      </c>
      <c r="T639" s="34">
        <f>SUMIFS('[1]GİP VERİLERİ'!$C:$C,'[1]GİP VERİLERİ'!$B:$B,A639,'[1]GİP VERİLERİ'!$M:$M,"40X000000104782K",'[1]GİP VERİLERİ'!$G:$G,"SELL")</f>
        <v/>
      </c>
      <c r="U639" s="34">
        <f>IFERROR(W639/T639,0)</f>
        <v/>
      </c>
      <c r="V639" s="34">
        <f>IF(U639=0,0,U639-F639)</f>
        <v/>
      </c>
      <c r="W639" s="34">
        <f>SUMIFS('[1]GİP VERİLERİ'!$O:$O,'[1]GİP VERİLERİ'!$B:$B,A639,'[1]GİP VERİLERİ'!$M:$M,"40X000000104782K",'[1]GİP VERİLERİ'!$G:$G,"SELL")</f>
        <v/>
      </c>
      <c r="X639" s="34">
        <f>SUMIFS('[1]GİP VERİLERİ'!$C:$C,'[1]GİP VERİLERİ'!$B:$B,A639,'[1]GİP VERİLERİ'!$M:$M,"40X000000104782K",'[1]GİP VERİLERİ'!$G:$G,"BUY")</f>
        <v/>
      </c>
      <c r="Y639" s="34">
        <f>IFERROR(AA639/X639,0)</f>
        <v/>
      </c>
      <c r="Z639" s="34">
        <f>IF(Y639=0,0,F639-Y639)</f>
        <v/>
      </c>
      <c r="AA639" s="34">
        <f>SUMIFS('[1]GİP VERİLERİ'!$O:$O,'[1]GİP VERİLERİ'!$B:$B,A639,'[1]GİP VERİLERİ'!$M:$M,"40X000000104782K",'[1]GİP VERİLERİ'!$G:$G,"BUY")</f>
        <v/>
      </c>
      <c r="AB639" s="34">
        <f>'[1]GÖP VERİLERİ'!H640</f>
        <v/>
      </c>
      <c r="AC639" s="34">
        <f>'[1]GÖP VERİLERİ'!I640</f>
        <v/>
      </c>
      <c r="AD639" s="34">
        <f>IF(AB639&gt;AC639*1.05,AB639-AC639*1.05,IF(AB639&lt;AC639*0.95,AC639*0.95-AB639,0))</f>
        <v/>
      </c>
      <c r="AE639" s="34">
        <f>MAX(F639,G639,750)*0.05*AD639</f>
        <v/>
      </c>
      <c r="AF639" s="34">
        <f>'[1]GÖP VERİLERİ'!J640</f>
        <v/>
      </c>
      <c r="AG639" s="34">
        <f>IF(AB639&gt;AF639*1.05,AB639-AF639*1.05,IF(AB639&lt;AF639*0.95,AF639*0.95-AB639,0))</f>
        <v/>
      </c>
      <c r="AH639" s="34">
        <f>MAX(I639,J639,750)*0.05*AG639</f>
        <v/>
      </c>
      <c r="AI639">
        <f>'[1]GÖP VERİLERİ'!E640</f>
        <v/>
      </c>
      <c r="AJ639">
        <f>'[1]GÖP VERİLERİ'!F640</f>
        <v/>
      </c>
      <c r="AK639" s="34">
        <f>IF(AI639&gt;AJ639*1.05,AI639-AJ639*1.05,IF(AI639&lt;AJ639*0.95,AJ639*0.95-AI639,0))</f>
        <v/>
      </c>
      <c r="AL639" s="34">
        <f>MAX(F639,G639,750)*0.05*AK639</f>
        <v/>
      </c>
      <c r="AM639" s="39">
        <f>'[1]GÖP VERİLERİ'!G640</f>
        <v/>
      </c>
      <c r="AN639" s="34">
        <f>IF(AI639&gt;AM639*1.05,AI639-AM639*1.05,IF(AI639&lt;AM639*0.95,AM639*0.95-AI639,0))</f>
        <v/>
      </c>
      <c r="AO639" s="34">
        <f>MAX(F639,G639,750)*0.05*AN639</f>
        <v/>
      </c>
      <c r="AP639" s="34">
        <f>'[1]GÖP VERİLERİ'!B640</f>
        <v/>
      </c>
      <c r="AQ639" s="34">
        <f>'[1]GÖP VERİLERİ'!C640</f>
        <v/>
      </c>
      <c r="AR639" s="34">
        <f>IF(AP639&gt;AQ639*1.05,AP639-AQ639*1.05,IF(AP639&lt;AQ639*0.95,AQ639*0.95-AP639,0))</f>
        <v/>
      </c>
      <c r="AS639" s="34">
        <f>MAX(F639:G639,750)*0.05*AR639</f>
        <v/>
      </c>
      <c r="AT639">
        <f>'[1]GÖP VERİLERİ'!D640</f>
        <v/>
      </c>
      <c r="AU639" s="34">
        <f>IF(AP639&gt;AT639*1.05,AP639-AT639*1.05,IF(AP639&lt;AT639*0.95,AT639*0.95-AP639,0))</f>
        <v/>
      </c>
      <c r="AV639" s="34">
        <f>MAX(F639:G639,750)*0.05*AU639</f>
        <v/>
      </c>
      <c r="AW639" s="34">
        <f>AC639+AJ639+AQ639</f>
        <v/>
      </c>
      <c r="AX639" s="34">
        <f>AF639+AM639+AT639</f>
        <v/>
      </c>
      <c r="AY639" s="34">
        <f>AB639+AI639+AP639</f>
        <v/>
      </c>
      <c r="AZ639" s="34" t="n">
        <v>0</v>
      </c>
      <c r="BA639" s="34">
        <f>AD639+AK639+AR639</f>
        <v/>
      </c>
      <c r="BB639" s="34">
        <f>MAX(F639:G639,750)*0.05*BA639</f>
        <v/>
      </c>
      <c r="BC639" s="34">
        <f>AG639+AN639+AU639</f>
        <v/>
      </c>
      <c r="BD639" s="34">
        <f>MAX(F639:G639,750)*0.05*BC639</f>
        <v/>
      </c>
      <c r="BE639" s="34">
        <f>F639*AY639</f>
        <v/>
      </c>
      <c r="BF639" s="34">
        <f>K639-M639</f>
        <v/>
      </c>
      <c r="BG639" s="34">
        <f>P639-S639</f>
        <v/>
      </c>
      <c r="BH639" s="34">
        <f>W639-AA639</f>
        <v/>
      </c>
      <c r="BI639" s="34">
        <f>BF639+BG639+BL639-BN639</f>
        <v/>
      </c>
      <c r="BJ639" s="34">
        <f>ABS(BK639)</f>
        <v/>
      </c>
      <c r="BK639" s="34">
        <f>AY639-(J639-L639+N639-Q639)</f>
        <v/>
      </c>
      <c r="BL639" s="34">
        <f>IF(AND(BK639&gt;0,MIN($F639:$G639)&lt;150,$E639="Enerji Açığı"),-100*BK639*1.03,IF(AND(BK639&gt;0,MIN($F639:$G639)&lt;150,$E639="Enerji Fazlası"),-100*BK639*1.06,IF(AND(BK639&gt;0,MIN($F639:$G639)&gt;=150,$E639="Enerji Açığı"),BK639*MIN($F639:$G639)*0.97,IF(AND(BK639&gt;0,MIN($F639:$G639)&gt;=150,$E639="Enerji Fazlası"),BK639*MIN($F639:$G639)*0.94,IF(AND(BK639&lt;0,MAX($F639:$G639)=4500,$E639="Enerji Açığı"),4500*1.05*1.06*BK639,IF(AND(BK639&lt;0,MAX($F639:$G639)=4500,$E639="Enerji Fazlası"),4500*1.05*1.03*BK639,IF(AND(BK639&lt;0,$E639="Enerji Açığı"),MAX($F639,$G639,150)*BK639*1.06,IF(AND(BK639&lt;0,$E639="Enerji Fazlası"),MAX($F639,$G639,150)*BK639*1.03,IF(AND(BK639&lt;0,$E639="Dengede"),MAX($F639:$G639,150)*1.03*BK639,MIN($F639:$G639)*0.97*BK639)))))))))</f>
        <v/>
      </c>
      <c r="BM639" s="34">
        <f>BE639-BI639-BN639</f>
        <v/>
      </c>
      <c r="BN639" s="34">
        <f>BB639</f>
        <v/>
      </c>
      <c r="BO639" s="34">
        <f>BE639-BI639</f>
        <v/>
      </c>
      <c r="BP639" s="34">
        <f>IF(AY639=0,0,BO639/AY639)</f>
        <v/>
      </c>
      <c r="BQ639" s="34">
        <f>MAX((AY639+MAX((-J639+L639-N639+Q639),0)),(MAX((J639-L639+N639-Q639),0)))</f>
        <v/>
      </c>
      <c r="BR639" s="82">
        <f>IFERROR(ABS(BK639/BQ639),0)</f>
        <v/>
      </c>
      <c r="BS639" s="34">
        <f>IF(BR639&lt;=0.1,0,BK639/BR639*(BR639-0.1))</f>
        <v/>
      </c>
      <c r="BT639" s="34">
        <f>IF((BS639)&lt;0,MAX(F639:G639)*(BS639)*1.03,MIN(F639:G639)*(BS639)*0.97)</f>
        <v/>
      </c>
      <c r="BU639" s="34">
        <f>IF(BR639&gt;0.1,1,0)</f>
        <v/>
      </c>
      <c r="BV639" s="34">
        <f>BF639+BG639+BH639+BY639-CA639</f>
        <v/>
      </c>
      <c r="BW639" s="34">
        <f>ABS(BX639)</f>
        <v/>
      </c>
      <c r="BX639" s="34">
        <f>AY639-(J639-L639+N639-Q639+T639-X639)</f>
        <v/>
      </c>
      <c r="BY639" s="34">
        <f>IF(AND(BX639&gt;0,MIN($F639:$G639)&lt;150,$E639="Enerji Açığı"),-100*BX639*1.03,IF(AND(BX639&gt;0,MIN($F639:$G639)&lt;150,$E639="Enerji Fazlası"),-100*BX639*1.06,IF(AND(BX639&gt;0,MIN($F639:$G639)&gt;=150,$E639="Enerji Açığı"),BX639*MIN($F639:$G639)*0.97,IF(AND(BX639&gt;0,MIN($F639:$G639)&gt;=150,$E639="Enerji Fazlası"),BX639*MIN($F639:$G639)*0.94,IF(AND(BX639&lt;0,MAX($F639:$G639)=4500,$E639="Enerji Açığı"),4500*1.05*1.06*BX639,IF(AND(BX639&lt;0,MAX($F639:$G639)=4500,$E639="Enerji Fazlası"),4500*1.05*1.03*BX639,IF(AND(BX639&lt;0,$E639="Enerji Açığı"),MAX($F639,$G639,150)*BX639*1.06,IF(AND(BX639&lt;0,$E639="Enerji Fazlası"),MAX($F639,$G639,150)*BX639*1.03,IF(AND(BX639&lt;0,$E639="Dengede"),MAX($F639:$G639,150)*1.03*BX639,MIN($F639:$G639)*0.97*BX639)))))))))</f>
        <v/>
      </c>
      <c r="BZ639" s="34">
        <f>BE639-BV639-CA639</f>
        <v/>
      </c>
      <c r="CA639" s="34">
        <f>BD639</f>
        <v/>
      </c>
      <c r="CB639" s="33">
        <f>BE639-BV639</f>
        <v/>
      </c>
      <c r="CC639" s="34">
        <f>IF(AY639=0,0,CB639/AY639)</f>
        <v/>
      </c>
      <c r="CD639" s="34">
        <f>MAX((AY639+MAX((-J639+L639-N639+Q639-T639+X639),0)),(MAX((J639-L639+N639-Q639+T639-X639),0)))</f>
        <v/>
      </c>
      <c r="CE639" s="82">
        <f>IFERROR(ABS(BX639/CD639),0)</f>
        <v/>
      </c>
      <c r="CF639" s="34">
        <f>IF(CE639&lt;=0.1,0,BX639/CE639*(CE639-0.1))</f>
        <v/>
      </c>
      <c r="CG639" s="34">
        <f>IF((CF639)&lt;0,MAX(F639:G639)*(CF639)*1.03,MIN(F639:G639)*(CF639)*0.97)</f>
        <v/>
      </c>
      <c r="CH639" s="34">
        <f>IF(CE639&gt;0.1,1,0)</f>
        <v/>
      </c>
      <c r="CI639" s="34">
        <f>(F639*BX639)-BY639</f>
        <v/>
      </c>
      <c r="CJ639" s="34">
        <f>IF(AY639=0,0,CI639/AY639)</f>
        <v/>
      </c>
    </row>
    <row r="640">
      <c r="A640" s="29">
        <f>[1]FİYATLAR!A615</f>
        <v/>
      </c>
      <c r="B640" s="29">
        <f>[1]FİYATLAR!B639</f>
        <v/>
      </c>
      <c r="C640" s="35">
        <f>INT(A640)</f>
        <v/>
      </c>
      <c r="D640" s="36">
        <f>MONTH(A640)</f>
        <v/>
      </c>
      <c r="E640" s="147">
        <f>[1]FİYATLAR!G615</f>
        <v/>
      </c>
      <c r="F640" s="30">
        <f>[1]FİYATLAR!C615</f>
        <v/>
      </c>
      <c r="G640" s="30">
        <f>[1]FİYATLAR!E615</f>
        <v/>
      </c>
      <c r="H640" s="30">
        <f>[1]FİYATLAR!D615</f>
        <v/>
      </c>
      <c r="I640" s="30">
        <f>[1]FİYATLAR!F615</f>
        <v/>
      </c>
      <c r="J640" s="119" t="n">
        <v>0</v>
      </c>
      <c r="K640" s="34">
        <f>F640*J640</f>
        <v/>
      </c>
      <c r="L640" s="119" t="n"/>
      <c r="M640" s="34">
        <f>L640*F640</f>
        <v/>
      </c>
      <c r="N640" s="119" t="n"/>
      <c r="O640" s="34">
        <f>F640</f>
        <v/>
      </c>
      <c r="P640" s="34">
        <f>N640*O640</f>
        <v/>
      </c>
      <c r="Q640" s="117" t="n">
        <v>0</v>
      </c>
      <c r="R640" s="34">
        <f>F640</f>
        <v/>
      </c>
      <c r="S640" s="34">
        <f>R640*Q640</f>
        <v/>
      </c>
      <c r="T640" s="34">
        <f>SUMIFS('[1]GİP VERİLERİ'!$C:$C,'[1]GİP VERİLERİ'!$B:$B,A640,'[1]GİP VERİLERİ'!$M:$M,"40X000000104782K",'[1]GİP VERİLERİ'!$G:$G,"SELL")</f>
        <v/>
      </c>
      <c r="U640" s="34">
        <f>IFERROR(W640/T640,0)</f>
        <v/>
      </c>
      <c r="V640" s="34">
        <f>IF(U640=0,0,U640-F640)</f>
        <v/>
      </c>
      <c r="W640" s="34">
        <f>SUMIFS('[1]GİP VERİLERİ'!$O:$O,'[1]GİP VERİLERİ'!$B:$B,A640,'[1]GİP VERİLERİ'!$M:$M,"40X000000104782K",'[1]GİP VERİLERİ'!$G:$G,"SELL")</f>
        <v/>
      </c>
      <c r="X640" s="34">
        <f>SUMIFS('[1]GİP VERİLERİ'!$C:$C,'[1]GİP VERİLERİ'!$B:$B,A640,'[1]GİP VERİLERİ'!$M:$M,"40X000000104782K",'[1]GİP VERİLERİ'!$G:$G,"BUY")</f>
        <v/>
      </c>
      <c r="Y640" s="34">
        <f>IFERROR(AA640/X640,0)</f>
        <v/>
      </c>
      <c r="Z640" s="34">
        <f>IF(Y640=0,0,F640-Y640)</f>
        <v/>
      </c>
      <c r="AA640" s="34">
        <f>SUMIFS('[1]GİP VERİLERİ'!$O:$O,'[1]GİP VERİLERİ'!$B:$B,A640,'[1]GİP VERİLERİ'!$M:$M,"40X000000104782K",'[1]GİP VERİLERİ'!$G:$G,"BUY")</f>
        <v/>
      </c>
      <c r="AB640" s="34">
        <f>'[1]GÖP VERİLERİ'!H641</f>
        <v/>
      </c>
      <c r="AC640" s="34">
        <f>'[1]GÖP VERİLERİ'!I641</f>
        <v/>
      </c>
      <c r="AD640" s="34">
        <f>IF(AB640&gt;AC640*1.05,AB640-AC640*1.05,IF(AB640&lt;AC640*0.95,AC640*0.95-AB640,0))</f>
        <v/>
      </c>
      <c r="AE640" s="34">
        <f>MAX(F640,G640,750)*0.05*AD640</f>
        <v/>
      </c>
      <c r="AF640" s="34">
        <f>'[1]GÖP VERİLERİ'!J641</f>
        <v/>
      </c>
      <c r="AG640" s="34">
        <f>IF(AB640&gt;AF640*1.05,AB640-AF640*1.05,IF(AB640&lt;AF640*0.95,AF640*0.95-AB640,0))</f>
        <v/>
      </c>
      <c r="AH640" s="34">
        <f>MAX(I640,J640,750)*0.05*AG640</f>
        <v/>
      </c>
      <c r="AI640">
        <f>'[1]GÖP VERİLERİ'!E641</f>
        <v/>
      </c>
      <c r="AJ640">
        <f>'[1]GÖP VERİLERİ'!F641</f>
        <v/>
      </c>
      <c r="AK640" s="34">
        <f>IF(AI640&gt;AJ640*1.05,AI640-AJ640*1.05,IF(AI640&lt;AJ640*0.95,AJ640*0.95-AI640,0))</f>
        <v/>
      </c>
      <c r="AL640" s="34">
        <f>MAX(F640,G640,750)*0.05*AK640</f>
        <v/>
      </c>
      <c r="AM640" s="39">
        <f>'[1]GÖP VERİLERİ'!G641</f>
        <v/>
      </c>
      <c r="AN640" s="34">
        <f>IF(AI640&gt;AM640*1.05,AI640-AM640*1.05,IF(AI640&lt;AM640*0.95,AM640*0.95-AI640,0))</f>
        <v/>
      </c>
      <c r="AO640" s="34">
        <f>MAX(F640,G640,750)*0.05*AN640</f>
        <v/>
      </c>
      <c r="AP640" s="34">
        <f>'[1]GÖP VERİLERİ'!B641</f>
        <v/>
      </c>
      <c r="AQ640" s="34">
        <f>'[1]GÖP VERİLERİ'!C641</f>
        <v/>
      </c>
      <c r="AR640" s="34">
        <f>IF(AP640&gt;AQ640*1.05,AP640-AQ640*1.05,IF(AP640&lt;AQ640*0.95,AQ640*0.95-AP640,0))</f>
        <v/>
      </c>
      <c r="AS640" s="34">
        <f>MAX(F640:G640,750)*0.05*AR640</f>
        <v/>
      </c>
      <c r="AT640">
        <f>'[1]GÖP VERİLERİ'!D641</f>
        <v/>
      </c>
      <c r="AU640" s="34">
        <f>IF(AP640&gt;AT640*1.05,AP640-AT640*1.05,IF(AP640&lt;AT640*0.95,AT640*0.95-AP640,0))</f>
        <v/>
      </c>
      <c r="AV640" s="34">
        <f>MAX(F640:G640,750)*0.05*AU640</f>
        <v/>
      </c>
      <c r="AW640" s="34">
        <f>AC640+AJ640+AQ640</f>
        <v/>
      </c>
      <c r="AX640" s="34">
        <f>AF640+AM640+AT640</f>
        <v/>
      </c>
      <c r="AY640" s="34">
        <f>AB640+AI640+AP640</f>
        <v/>
      </c>
      <c r="AZ640" s="34" t="n">
        <v>0</v>
      </c>
      <c r="BA640" s="34">
        <f>AD640+AK640+AR640</f>
        <v/>
      </c>
      <c r="BB640" s="34">
        <f>MAX(F640:G640,750)*0.05*BA640</f>
        <v/>
      </c>
      <c r="BC640" s="34">
        <f>AG640+AN640+AU640</f>
        <v/>
      </c>
      <c r="BD640" s="34">
        <f>MAX(F640:G640,750)*0.05*BC640</f>
        <v/>
      </c>
      <c r="BE640" s="34">
        <f>F640*AY640</f>
        <v/>
      </c>
      <c r="BF640" s="34">
        <f>K640-M640</f>
        <v/>
      </c>
      <c r="BG640" s="34">
        <f>P640-S640</f>
        <v/>
      </c>
      <c r="BH640" s="34">
        <f>W640-AA640</f>
        <v/>
      </c>
      <c r="BI640" s="34">
        <f>BF640+BG640+BL640-BN640</f>
        <v/>
      </c>
      <c r="BJ640" s="34">
        <f>ABS(BK640)</f>
        <v/>
      </c>
      <c r="BK640" s="34">
        <f>AY640-(J640-L640+N640-Q640)</f>
        <v/>
      </c>
      <c r="BL640" s="34">
        <f>IF(AND(BK640&gt;0,MIN($F640:$G640)&lt;150,$E640="Enerji Açığı"),-100*BK640*1.03,IF(AND(BK640&gt;0,MIN($F640:$G640)&lt;150,$E640="Enerji Fazlası"),-100*BK640*1.06,IF(AND(BK640&gt;0,MIN($F640:$G640)&gt;=150,$E640="Enerji Açığı"),BK640*MIN($F640:$G640)*0.97,IF(AND(BK640&gt;0,MIN($F640:$G640)&gt;=150,$E640="Enerji Fazlası"),BK640*MIN($F640:$G640)*0.94,IF(AND(BK640&lt;0,MAX($F640:$G640)=4500,$E640="Enerji Açığı"),4500*1.05*1.06*BK640,IF(AND(BK640&lt;0,MAX($F640:$G640)=4500,$E640="Enerji Fazlası"),4500*1.05*1.03*BK640,IF(AND(BK640&lt;0,$E640="Enerji Açığı"),MAX($F640,$G640,150)*BK640*1.06,IF(AND(BK640&lt;0,$E640="Enerji Fazlası"),MAX($F640,$G640,150)*BK640*1.03,IF(AND(BK640&lt;0,$E640="Dengede"),MAX($F640:$G640,150)*1.03*BK640,MIN($F640:$G640)*0.97*BK640)))))))))</f>
        <v/>
      </c>
      <c r="BM640" s="34">
        <f>BE640-BI640-BN640</f>
        <v/>
      </c>
      <c r="BN640" s="34">
        <f>BB640</f>
        <v/>
      </c>
      <c r="BO640" s="34">
        <f>BE640-BI640</f>
        <v/>
      </c>
      <c r="BP640" s="34">
        <f>IF(AY640=0,0,BO640/AY640)</f>
        <v/>
      </c>
      <c r="BQ640" s="34">
        <f>MAX((AY640+MAX((-J640+L640-N640+Q640),0)),(MAX((J640-L640+N640-Q640),0)))</f>
        <v/>
      </c>
      <c r="BR640" s="82">
        <f>IFERROR(ABS(BK640/BQ640),0)</f>
        <v/>
      </c>
      <c r="BS640" s="34">
        <f>IF(BR640&lt;=0.1,0,BK640/BR640*(BR640-0.1))</f>
        <v/>
      </c>
      <c r="BT640" s="34">
        <f>IF((BS640)&lt;0,MAX(F640:G640)*(BS640)*1.03,MIN(F640:G640)*(BS640)*0.97)</f>
        <v/>
      </c>
      <c r="BU640" s="34">
        <f>IF(BR640&gt;0.1,1,0)</f>
        <v/>
      </c>
      <c r="BV640" s="34">
        <f>BF640+BG640+BH640+BY640-CA640</f>
        <v/>
      </c>
      <c r="BW640" s="34">
        <f>ABS(BX640)</f>
        <v/>
      </c>
      <c r="BX640" s="34">
        <f>AY640-(J640-L640+N640-Q640+T640-X640)</f>
        <v/>
      </c>
      <c r="BY640" s="34">
        <f>IF(AND(BX640&gt;0,MIN($F640:$G640)&lt;150,$E640="Enerji Açığı"),-100*BX640*1.03,IF(AND(BX640&gt;0,MIN($F640:$G640)&lt;150,$E640="Enerji Fazlası"),-100*BX640*1.06,IF(AND(BX640&gt;0,MIN($F640:$G640)&gt;=150,$E640="Enerji Açığı"),BX640*MIN($F640:$G640)*0.97,IF(AND(BX640&gt;0,MIN($F640:$G640)&gt;=150,$E640="Enerji Fazlası"),BX640*MIN($F640:$G640)*0.94,IF(AND(BX640&lt;0,MAX($F640:$G640)=4500,$E640="Enerji Açığı"),4500*1.05*1.06*BX640,IF(AND(BX640&lt;0,MAX($F640:$G640)=4500,$E640="Enerji Fazlası"),4500*1.05*1.03*BX640,IF(AND(BX640&lt;0,$E640="Enerji Açığı"),MAX($F640,$G640,150)*BX640*1.06,IF(AND(BX640&lt;0,$E640="Enerji Fazlası"),MAX($F640,$G640,150)*BX640*1.03,IF(AND(BX640&lt;0,$E640="Dengede"),MAX($F640:$G640,150)*1.03*BX640,MIN($F640:$G640)*0.97*BX640)))))))))</f>
        <v/>
      </c>
      <c r="BZ640" s="34">
        <f>BE640-BV640-CA640</f>
        <v/>
      </c>
      <c r="CA640" s="34">
        <f>BD640</f>
        <v/>
      </c>
      <c r="CB640" s="33">
        <f>BE640-BV640</f>
        <v/>
      </c>
      <c r="CC640" s="34">
        <f>IF(AY640=0,0,CB640/AY640)</f>
        <v/>
      </c>
      <c r="CD640" s="34">
        <f>MAX((AY640+MAX((-J640+L640-N640+Q640-T640+X640),0)),(MAX((J640-L640+N640-Q640+T640-X640),0)))</f>
        <v/>
      </c>
      <c r="CE640" s="82">
        <f>IFERROR(ABS(BX640/CD640),0)</f>
        <v/>
      </c>
      <c r="CF640" s="34">
        <f>IF(CE640&lt;=0.1,0,BX640/CE640*(CE640-0.1))</f>
        <v/>
      </c>
      <c r="CG640" s="34">
        <f>IF((CF640)&lt;0,MAX(F640:G640)*(CF640)*1.03,MIN(F640:G640)*(CF640)*0.97)</f>
        <v/>
      </c>
      <c r="CH640" s="34">
        <f>IF(CE640&gt;0.1,1,0)</f>
        <v/>
      </c>
      <c r="CI640" s="34">
        <f>(F640*BX640)-BY640</f>
        <v/>
      </c>
      <c r="CJ640" s="34">
        <f>IF(AY640=0,0,CI640/AY640)</f>
        <v/>
      </c>
    </row>
    <row r="641">
      <c r="A641" s="29">
        <f>[1]FİYATLAR!A616</f>
        <v/>
      </c>
      <c r="B641" s="29">
        <f>[1]FİYATLAR!B640</f>
        <v/>
      </c>
      <c r="C641" s="35">
        <f>INT(A641)</f>
        <v/>
      </c>
      <c r="D641" s="36">
        <f>MONTH(A641)</f>
        <v/>
      </c>
      <c r="E641" s="147">
        <f>[1]FİYATLAR!G616</f>
        <v/>
      </c>
      <c r="F641" s="30">
        <f>[1]FİYATLAR!C616</f>
        <v/>
      </c>
      <c r="G641" s="30">
        <f>[1]FİYATLAR!E616</f>
        <v/>
      </c>
      <c r="H641" s="30">
        <f>[1]FİYATLAR!D616</f>
        <v/>
      </c>
      <c r="I641" s="30">
        <f>[1]FİYATLAR!F616</f>
        <v/>
      </c>
      <c r="J641" s="119" t="n">
        <v>0</v>
      </c>
      <c r="K641" s="34">
        <f>F641*J641</f>
        <v/>
      </c>
      <c r="L641" s="119" t="n"/>
      <c r="M641" s="34">
        <f>L641*F641</f>
        <v/>
      </c>
      <c r="N641" s="119" t="n"/>
      <c r="O641" s="34">
        <f>F641</f>
        <v/>
      </c>
      <c r="P641" s="34">
        <f>N641*O641</f>
        <v/>
      </c>
      <c r="Q641" s="117" t="n">
        <v>0</v>
      </c>
      <c r="R641" s="34">
        <f>F641</f>
        <v/>
      </c>
      <c r="S641" s="34">
        <f>R641*Q641</f>
        <v/>
      </c>
      <c r="T641" s="34">
        <f>SUMIFS('[1]GİP VERİLERİ'!$C:$C,'[1]GİP VERİLERİ'!$B:$B,A641,'[1]GİP VERİLERİ'!$M:$M,"40X000000104782K",'[1]GİP VERİLERİ'!$G:$G,"SELL")</f>
        <v/>
      </c>
      <c r="U641" s="34">
        <f>IFERROR(W641/T641,0)</f>
        <v/>
      </c>
      <c r="V641" s="34">
        <f>IF(U641=0,0,U641-F641)</f>
        <v/>
      </c>
      <c r="W641" s="34">
        <f>SUMIFS('[1]GİP VERİLERİ'!$O:$O,'[1]GİP VERİLERİ'!$B:$B,A641,'[1]GİP VERİLERİ'!$M:$M,"40X000000104782K",'[1]GİP VERİLERİ'!$G:$G,"SELL")</f>
        <v/>
      </c>
      <c r="X641" s="34">
        <f>SUMIFS('[1]GİP VERİLERİ'!$C:$C,'[1]GİP VERİLERİ'!$B:$B,A641,'[1]GİP VERİLERİ'!$M:$M,"40X000000104782K",'[1]GİP VERİLERİ'!$G:$G,"BUY")</f>
        <v/>
      </c>
      <c r="Y641" s="34">
        <f>IFERROR(AA641/X641,0)</f>
        <v/>
      </c>
      <c r="Z641" s="34">
        <f>IF(Y641=0,0,F641-Y641)</f>
        <v/>
      </c>
      <c r="AA641" s="34">
        <f>SUMIFS('[1]GİP VERİLERİ'!$O:$O,'[1]GİP VERİLERİ'!$B:$B,A641,'[1]GİP VERİLERİ'!$M:$M,"40X000000104782K",'[1]GİP VERİLERİ'!$G:$G,"BUY")</f>
        <v/>
      </c>
      <c r="AB641" s="34">
        <f>'[1]GÖP VERİLERİ'!H642</f>
        <v/>
      </c>
      <c r="AC641" s="34">
        <f>'[1]GÖP VERİLERİ'!I642</f>
        <v/>
      </c>
      <c r="AD641" s="34">
        <f>IF(AB641&gt;AC641*1.05,AB641-AC641*1.05,IF(AB641&lt;AC641*0.95,AC641*0.95-AB641,0))</f>
        <v/>
      </c>
      <c r="AE641" s="34">
        <f>MAX(F641,G641,750)*0.05*AD641</f>
        <v/>
      </c>
      <c r="AF641" s="34">
        <f>'[1]GÖP VERİLERİ'!J642</f>
        <v/>
      </c>
      <c r="AG641" s="34">
        <f>IF(AB641&gt;AF641*1.05,AB641-AF641*1.05,IF(AB641&lt;AF641*0.95,AF641*0.95-AB641,0))</f>
        <v/>
      </c>
      <c r="AH641" s="34">
        <f>MAX(I641,J641,750)*0.05*AG641</f>
        <v/>
      </c>
      <c r="AI641">
        <f>'[1]GÖP VERİLERİ'!E642</f>
        <v/>
      </c>
      <c r="AJ641">
        <f>'[1]GÖP VERİLERİ'!F642</f>
        <v/>
      </c>
      <c r="AK641" s="34">
        <f>IF(AI641&gt;AJ641*1.05,AI641-AJ641*1.05,IF(AI641&lt;AJ641*0.95,AJ641*0.95-AI641,0))</f>
        <v/>
      </c>
      <c r="AL641" s="34">
        <f>MAX(F641,G641,750)*0.05*AK641</f>
        <v/>
      </c>
      <c r="AM641" s="39">
        <f>'[1]GÖP VERİLERİ'!G642</f>
        <v/>
      </c>
      <c r="AN641" s="34">
        <f>IF(AI641&gt;AM641*1.05,AI641-AM641*1.05,IF(AI641&lt;AM641*0.95,AM641*0.95-AI641,0))</f>
        <v/>
      </c>
      <c r="AO641" s="34">
        <f>MAX(F641,G641,750)*0.05*AN641</f>
        <v/>
      </c>
      <c r="AP641" s="34">
        <f>'[1]GÖP VERİLERİ'!B642</f>
        <v/>
      </c>
      <c r="AQ641" s="34">
        <f>'[1]GÖP VERİLERİ'!C642</f>
        <v/>
      </c>
      <c r="AR641" s="34">
        <f>IF(AP641&gt;AQ641*1.05,AP641-AQ641*1.05,IF(AP641&lt;AQ641*0.95,AQ641*0.95-AP641,0))</f>
        <v/>
      </c>
      <c r="AS641" s="34">
        <f>MAX(F641:G641,750)*0.05*AR641</f>
        <v/>
      </c>
      <c r="AT641">
        <f>'[1]GÖP VERİLERİ'!D642</f>
        <v/>
      </c>
      <c r="AU641" s="34">
        <f>IF(AP641&gt;AT641*1.05,AP641-AT641*1.05,IF(AP641&lt;AT641*0.95,AT641*0.95-AP641,0))</f>
        <v/>
      </c>
      <c r="AV641" s="34">
        <f>MAX(F641:G641,750)*0.05*AU641</f>
        <v/>
      </c>
      <c r="AW641" s="34">
        <f>AC641+AJ641+AQ641</f>
        <v/>
      </c>
      <c r="AX641" s="34">
        <f>AF641+AM641+AT641</f>
        <v/>
      </c>
      <c r="AY641" s="34">
        <f>AB641+AI641+AP641</f>
        <v/>
      </c>
      <c r="AZ641" s="34" t="n">
        <v>0</v>
      </c>
      <c r="BA641" s="34">
        <f>AD641+AK641+AR641</f>
        <v/>
      </c>
      <c r="BB641" s="34">
        <f>MAX(F641:G641,750)*0.05*BA641</f>
        <v/>
      </c>
      <c r="BC641" s="34">
        <f>AG641+AN641+AU641</f>
        <v/>
      </c>
      <c r="BD641" s="34">
        <f>MAX(F641:G641,750)*0.05*BC641</f>
        <v/>
      </c>
      <c r="BE641" s="34">
        <f>F641*AY641</f>
        <v/>
      </c>
      <c r="BF641" s="34">
        <f>K641-M641</f>
        <v/>
      </c>
      <c r="BG641" s="34">
        <f>P641-S641</f>
        <v/>
      </c>
      <c r="BH641" s="34">
        <f>W641-AA641</f>
        <v/>
      </c>
      <c r="BI641" s="34">
        <f>BF641+BG641+BL641-BN641</f>
        <v/>
      </c>
      <c r="BJ641" s="34">
        <f>ABS(BK641)</f>
        <v/>
      </c>
      <c r="BK641" s="34">
        <f>AY641-(J641-L641+N641-Q641)</f>
        <v/>
      </c>
      <c r="BL641" s="34">
        <f>IF(AND(BK641&gt;0,MIN($F641:$G641)&lt;150,$E641="Enerji Açığı"),-100*BK641*1.03,IF(AND(BK641&gt;0,MIN($F641:$G641)&lt;150,$E641="Enerji Fazlası"),-100*BK641*1.06,IF(AND(BK641&gt;0,MIN($F641:$G641)&gt;=150,$E641="Enerji Açığı"),BK641*MIN($F641:$G641)*0.97,IF(AND(BK641&gt;0,MIN($F641:$G641)&gt;=150,$E641="Enerji Fazlası"),BK641*MIN($F641:$G641)*0.94,IF(AND(BK641&lt;0,MAX($F641:$G641)=4500,$E641="Enerji Açığı"),4500*1.05*1.06*BK641,IF(AND(BK641&lt;0,MAX($F641:$G641)=4500,$E641="Enerji Fazlası"),4500*1.05*1.03*BK641,IF(AND(BK641&lt;0,$E641="Enerji Açığı"),MAX($F641,$G641,150)*BK641*1.06,IF(AND(BK641&lt;0,$E641="Enerji Fazlası"),MAX($F641,$G641,150)*BK641*1.03,IF(AND(BK641&lt;0,$E641="Dengede"),MAX($F641:$G641,150)*1.03*BK641,MIN($F641:$G641)*0.97*BK641)))))))))</f>
        <v/>
      </c>
      <c r="BM641" s="34">
        <f>BE641-BI641-BN641</f>
        <v/>
      </c>
      <c r="BN641" s="34">
        <f>BB641</f>
        <v/>
      </c>
      <c r="BO641" s="34">
        <f>BE641-BI641</f>
        <v/>
      </c>
      <c r="BP641" s="34">
        <f>IF(AY641=0,0,BO641/AY641)</f>
        <v/>
      </c>
      <c r="BQ641" s="34">
        <f>MAX((AY641+MAX((-J641+L641-N641+Q641),0)),(MAX((J641-L641+N641-Q641),0)))</f>
        <v/>
      </c>
      <c r="BR641" s="82">
        <f>IFERROR(ABS(BK641/BQ641),0)</f>
        <v/>
      </c>
      <c r="BS641" s="34">
        <f>IF(BR641&lt;=0.1,0,BK641/BR641*(BR641-0.1))</f>
        <v/>
      </c>
      <c r="BT641" s="34">
        <f>IF((BS641)&lt;0,MAX(F641:G641)*(BS641)*1.03,MIN(F641:G641)*(BS641)*0.97)</f>
        <v/>
      </c>
      <c r="BU641" s="34">
        <f>IF(BR641&gt;0.1,1,0)</f>
        <v/>
      </c>
      <c r="BV641" s="34">
        <f>BF641+BG641+BH641+BY641-CA641</f>
        <v/>
      </c>
      <c r="BW641" s="34">
        <f>ABS(BX641)</f>
        <v/>
      </c>
      <c r="BX641" s="34">
        <f>AY641-(J641-L641+N641-Q641+T641-X641)</f>
        <v/>
      </c>
      <c r="BY641" s="34">
        <f>IF(AND(BX641&gt;0,MIN($F641:$G641)&lt;150,$E641="Enerji Açığı"),-100*BX641*1.03,IF(AND(BX641&gt;0,MIN($F641:$G641)&lt;150,$E641="Enerji Fazlası"),-100*BX641*1.06,IF(AND(BX641&gt;0,MIN($F641:$G641)&gt;=150,$E641="Enerji Açığı"),BX641*MIN($F641:$G641)*0.97,IF(AND(BX641&gt;0,MIN($F641:$G641)&gt;=150,$E641="Enerji Fazlası"),BX641*MIN($F641:$G641)*0.94,IF(AND(BX641&lt;0,MAX($F641:$G641)=4500,$E641="Enerji Açığı"),4500*1.05*1.06*BX641,IF(AND(BX641&lt;0,MAX($F641:$G641)=4500,$E641="Enerji Fazlası"),4500*1.05*1.03*BX641,IF(AND(BX641&lt;0,$E641="Enerji Açığı"),MAX($F641,$G641,150)*BX641*1.06,IF(AND(BX641&lt;0,$E641="Enerji Fazlası"),MAX($F641,$G641,150)*BX641*1.03,IF(AND(BX641&lt;0,$E641="Dengede"),MAX($F641:$G641,150)*1.03*BX641,MIN($F641:$G641)*0.97*BX641)))))))))</f>
        <v/>
      </c>
      <c r="BZ641" s="34">
        <f>BE641-BV641-CA641</f>
        <v/>
      </c>
      <c r="CA641" s="34">
        <f>BD641</f>
        <v/>
      </c>
      <c r="CB641" s="33">
        <f>BE641-BV641</f>
        <v/>
      </c>
      <c r="CC641" s="34">
        <f>IF(AY641=0,0,CB641/AY641)</f>
        <v/>
      </c>
      <c r="CD641" s="34">
        <f>MAX((AY641+MAX((-J641+L641-N641+Q641-T641+X641),0)),(MAX((J641-L641+N641-Q641+T641-X641),0)))</f>
        <v/>
      </c>
      <c r="CE641" s="82">
        <f>IFERROR(ABS(BX641/CD641),0)</f>
        <v/>
      </c>
      <c r="CF641" s="34">
        <f>IF(CE641&lt;=0.1,0,BX641/CE641*(CE641-0.1))</f>
        <v/>
      </c>
      <c r="CG641" s="34">
        <f>IF((CF641)&lt;0,MAX(F641:G641)*(CF641)*1.03,MIN(F641:G641)*(CF641)*0.97)</f>
        <v/>
      </c>
      <c r="CH641" s="34">
        <f>IF(CE641&gt;0.1,1,0)</f>
        <v/>
      </c>
      <c r="CI641" s="34">
        <f>(F641*BX641)-BY641</f>
        <v/>
      </c>
      <c r="CJ641" s="34">
        <f>IF(AY641=0,0,CI641/AY641)</f>
        <v/>
      </c>
    </row>
    <row r="642">
      <c r="A642" s="29">
        <f>[1]FİYATLAR!A617</f>
        <v/>
      </c>
      <c r="B642" s="29">
        <f>[1]FİYATLAR!B641</f>
        <v/>
      </c>
      <c r="C642" s="35">
        <f>INT(A642)</f>
        <v/>
      </c>
      <c r="D642" s="36">
        <f>MONTH(A642)</f>
        <v/>
      </c>
      <c r="E642" s="147">
        <f>[1]FİYATLAR!G617</f>
        <v/>
      </c>
      <c r="F642" s="30">
        <f>[1]FİYATLAR!C617</f>
        <v/>
      </c>
      <c r="G642" s="30">
        <f>[1]FİYATLAR!E617</f>
        <v/>
      </c>
      <c r="H642" s="30">
        <f>[1]FİYATLAR!D617</f>
        <v/>
      </c>
      <c r="I642" s="30">
        <f>[1]FİYATLAR!F617</f>
        <v/>
      </c>
      <c r="J642" s="119" t="n">
        <v>0</v>
      </c>
      <c r="K642" s="34">
        <f>F642*J642</f>
        <v/>
      </c>
      <c r="L642" s="119" t="n"/>
      <c r="M642" s="34">
        <f>L642*F642</f>
        <v/>
      </c>
      <c r="N642" s="119" t="n"/>
      <c r="O642" s="34">
        <f>F642</f>
        <v/>
      </c>
      <c r="P642" s="34">
        <f>N642*O642</f>
        <v/>
      </c>
      <c r="Q642" s="117" t="n">
        <v>0</v>
      </c>
      <c r="R642" s="34">
        <f>F642</f>
        <v/>
      </c>
      <c r="S642" s="34">
        <f>R642*Q642</f>
        <v/>
      </c>
      <c r="T642" s="34">
        <f>SUMIFS('[1]GİP VERİLERİ'!$C:$C,'[1]GİP VERİLERİ'!$B:$B,A642,'[1]GİP VERİLERİ'!$M:$M,"40X000000104782K",'[1]GİP VERİLERİ'!$G:$G,"SELL")</f>
        <v/>
      </c>
      <c r="U642" s="34">
        <f>IFERROR(W642/T642,0)</f>
        <v/>
      </c>
      <c r="V642" s="34">
        <f>IF(U642=0,0,U642-F642)</f>
        <v/>
      </c>
      <c r="W642" s="34">
        <f>SUMIFS('[1]GİP VERİLERİ'!$O:$O,'[1]GİP VERİLERİ'!$B:$B,A642,'[1]GİP VERİLERİ'!$M:$M,"40X000000104782K",'[1]GİP VERİLERİ'!$G:$G,"SELL")</f>
        <v/>
      </c>
      <c r="X642" s="34">
        <f>SUMIFS('[1]GİP VERİLERİ'!$C:$C,'[1]GİP VERİLERİ'!$B:$B,A642,'[1]GİP VERİLERİ'!$M:$M,"40X000000104782K",'[1]GİP VERİLERİ'!$G:$G,"BUY")</f>
        <v/>
      </c>
      <c r="Y642" s="34">
        <f>IFERROR(AA642/X642,0)</f>
        <v/>
      </c>
      <c r="Z642" s="34">
        <f>IF(Y642=0,0,F642-Y642)</f>
        <v/>
      </c>
      <c r="AA642" s="34">
        <f>SUMIFS('[1]GİP VERİLERİ'!$O:$O,'[1]GİP VERİLERİ'!$B:$B,A642,'[1]GİP VERİLERİ'!$M:$M,"40X000000104782K",'[1]GİP VERİLERİ'!$G:$G,"BUY")</f>
        <v/>
      </c>
      <c r="AB642" s="34">
        <f>'[1]GÖP VERİLERİ'!H643</f>
        <v/>
      </c>
      <c r="AC642" s="34">
        <f>'[1]GÖP VERİLERİ'!I643</f>
        <v/>
      </c>
      <c r="AD642" s="34">
        <f>IF(AB642&gt;AC642*1.05,AB642-AC642*1.05,IF(AB642&lt;AC642*0.95,AC642*0.95-AB642,0))</f>
        <v/>
      </c>
      <c r="AE642" s="34">
        <f>MAX(F642,G642,750)*0.05*AD642</f>
        <v/>
      </c>
      <c r="AF642" s="34">
        <f>'[1]GÖP VERİLERİ'!J643</f>
        <v/>
      </c>
      <c r="AG642" s="34">
        <f>IF(AB642&gt;AF642*1.05,AB642-AF642*1.05,IF(AB642&lt;AF642*0.95,AF642*0.95-AB642,0))</f>
        <v/>
      </c>
      <c r="AH642" s="34">
        <f>MAX(I642,J642,750)*0.05*AG642</f>
        <v/>
      </c>
      <c r="AI642">
        <f>'[1]GÖP VERİLERİ'!E643</f>
        <v/>
      </c>
      <c r="AJ642">
        <f>'[1]GÖP VERİLERİ'!F643</f>
        <v/>
      </c>
      <c r="AK642" s="34">
        <f>IF(AI642&gt;AJ642*1.05,AI642-AJ642*1.05,IF(AI642&lt;AJ642*0.95,AJ642*0.95-AI642,0))</f>
        <v/>
      </c>
      <c r="AL642" s="34">
        <f>MAX(F642,G642,750)*0.05*AK642</f>
        <v/>
      </c>
      <c r="AM642" s="39">
        <f>'[1]GÖP VERİLERİ'!G643</f>
        <v/>
      </c>
      <c r="AN642" s="34">
        <f>IF(AI642&gt;AM642*1.05,AI642-AM642*1.05,IF(AI642&lt;AM642*0.95,AM642*0.95-AI642,0))</f>
        <v/>
      </c>
      <c r="AO642" s="34">
        <f>MAX(F642,G642,750)*0.05*AN642</f>
        <v/>
      </c>
      <c r="AP642" s="34">
        <f>'[1]GÖP VERİLERİ'!B643</f>
        <v/>
      </c>
      <c r="AQ642" s="34">
        <f>'[1]GÖP VERİLERİ'!C643</f>
        <v/>
      </c>
      <c r="AR642" s="34">
        <f>IF(AP642&gt;AQ642*1.05,AP642-AQ642*1.05,IF(AP642&lt;AQ642*0.95,AQ642*0.95-AP642,0))</f>
        <v/>
      </c>
      <c r="AS642" s="34">
        <f>MAX(F642:G642,750)*0.05*AR642</f>
        <v/>
      </c>
      <c r="AT642">
        <f>'[1]GÖP VERİLERİ'!D643</f>
        <v/>
      </c>
      <c r="AU642" s="34">
        <f>IF(AP642&gt;AT642*1.05,AP642-AT642*1.05,IF(AP642&lt;AT642*0.95,AT642*0.95-AP642,0))</f>
        <v/>
      </c>
      <c r="AV642" s="34">
        <f>MAX(F642:G642,750)*0.05*AU642</f>
        <v/>
      </c>
      <c r="AW642" s="34">
        <f>AC642+AJ642+AQ642</f>
        <v/>
      </c>
      <c r="AX642" s="34">
        <f>AF642+AM642+AT642</f>
        <v/>
      </c>
      <c r="AY642" s="34">
        <f>AB642+AI642+AP642</f>
        <v/>
      </c>
      <c r="AZ642" s="34" t="n">
        <v>0</v>
      </c>
      <c r="BA642" s="34">
        <f>AD642+AK642+AR642</f>
        <v/>
      </c>
      <c r="BB642" s="34">
        <f>MAX(F642:G642,750)*0.05*BA642</f>
        <v/>
      </c>
      <c r="BC642" s="34">
        <f>AG642+AN642+AU642</f>
        <v/>
      </c>
      <c r="BD642" s="34">
        <f>MAX(F642:G642,750)*0.05*BC642</f>
        <v/>
      </c>
      <c r="BE642" s="34">
        <f>F642*AY642</f>
        <v/>
      </c>
      <c r="BF642" s="34">
        <f>K642-M642</f>
        <v/>
      </c>
      <c r="BG642" s="34">
        <f>P642-S642</f>
        <v/>
      </c>
      <c r="BH642" s="34">
        <f>W642-AA642</f>
        <v/>
      </c>
      <c r="BI642" s="34">
        <f>BF642+BG642+BL642-BN642</f>
        <v/>
      </c>
      <c r="BJ642" s="34">
        <f>ABS(BK642)</f>
        <v/>
      </c>
      <c r="BK642" s="34">
        <f>AY642-(J642-L642+N642-Q642)</f>
        <v/>
      </c>
      <c r="BL642" s="34">
        <f>IF(AND(BK642&gt;0,MIN($F642:$G642)&lt;150,$E642="Enerji Açığı"),-100*BK642*1.03,IF(AND(BK642&gt;0,MIN($F642:$G642)&lt;150,$E642="Enerji Fazlası"),-100*BK642*1.06,IF(AND(BK642&gt;0,MIN($F642:$G642)&gt;=150,$E642="Enerji Açığı"),BK642*MIN($F642:$G642)*0.97,IF(AND(BK642&gt;0,MIN($F642:$G642)&gt;=150,$E642="Enerji Fazlası"),BK642*MIN($F642:$G642)*0.94,IF(AND(BK642&lt;0,MAX($F642:$G642)=4500,$E642="Enerji Açığı"),4500*1.05*1.06*BK642,IF(AND(BK642&lt;0,MAX($F642:$G642)=4500,$E642="Enerji Fazlası"),4500*1.05*1.03*BK642,IF(AND(BK642&lt;0,$E642="Enerji Açığı"),MAX($F642,$G642,150)*BK642*1.06,IF(AND(BK642&lt;0,$E642="Enerji Fazlası"),MAX($F642,$G642,150)*BK642*1.03,IF(AND(BK642&lt;0,$E642="Dengede"),MAX($F642:$G642,150)*1.03*BK642,MIN($F642:$G642)*0.97*BK642)))))))))</f>
        <v/>
      </c>
      <c r="BM642" s="34">
        <f>BE642-BI642-BN642</f>
        <v/>
      </c>
      <c r="BN642" s="34">
        <f>BB642</f>
        <v/>
      </c>
      <c r="BO642" s="34">
        <f>BE642-BI642</f>
        <v/>
      </c>
      <c r="BP642" s="34">
        <f>IF(AY642=0,0,BO642/AY642)</f>
        <v/>
      </c>
      <c r="BQ642" s="34">
        <f>MAX((AY642+MAX((-J642+L642-N642+Q642),0)),(MAX((J642-L642+N642-Q642),0)))</f>
        <v/>
      </c>
      <c r="BR642" s="82">
        <f>IFERROR(ABS(BK642/BQ642),0)</f>
        <v/>
      </c>
      <c r="BS642" s="34">
        <f>IF(BR642&lt;=0.1,0,BK642/BR642*(BR642-0.1))</f>
        <v/>
      </c>
      <c r="BT642" s="34">
        <f>IF((BS642)&lt;0,MAX(F642:G642)*(BS642)*1.03,MIN(F642:G642)*(BS642)*0.97)</f>
        <v/>
      </c>
      <c r="BU642" s="34">
        <f>IF(BR642&gt;0.1,1,0)</f>
        <v/>
      </c>
      <c r="BV642" s="34">
        <f>BF642+BG642+BH642+BY642-CA642</f>
        <v/>
      </c>
      <c r="BW642" s="34">
        <f>ABS(BX642)</f>
        <v/>
      </c>
      <c r="BX642" s="34">
        <f>AY642-(J642-L642+N642-Q642+T642-X642)</f>
        <v/>
      </c>
      <c r="BY642" s="34">
        <f>IF(AND(BX642&gt;0,MIN($F642:$G642)&lt;150,$E642="Enerji Açığı"),-100*BX642*1.03,IF(AND(BX642&gt;0,MIN($F642:$G642)&lt;150,$E642="Enerji Fazlası"),-100*BX642*1.06,IF(AND(BX642&gt;0,MIN($F642:$G642)&gt;=150,$E642="Enerji Açığı"),BX642*MIN($F642:$G642)*0.97,IF(AND(BX642&gt;0,MIN($F642:$G642)&gt;=150,$E642="Enerji Fazlası"),BX642*MIN($F642:$G642)*0.94,IF(AND(BX642&lt;0,MAX($F642:$G642)=4500,$E642="Enerji Açığı"),4500*1.05*1.06*BX642,IF(AND(BX642&lt;0,MAX($F642:$G642)=4500,$E642="Enerji Fazlası"),4500*1.05*1.03*BX642,IF(AND(BX642&lt;0,$E642="Enerji Açığı"),MAX($F642,$G642,150)*BX642*1.06,IF(AND(BX642&lt;0,$E642="Enerji Fazlası"),MAX($F642,$G642,150)*BX642*1.03,IF(AND(BX642&lt;0,$E642="Dengede"),MAX($F642:$G642,150)*1.03*BX642,MIN($F642:$G642)*0.97*BX642)))))))))</f>
        <v/>
      </c>
      <c r="BZ642" s="34">
        <f>BE642-BV642-CA642</f>
        <v/>
      </c>
      <c r="CA642" s="34">
        <f>BD642</f>
        <v/>
      </c>
      <c r="CB642" s="33">
        <f>BE642-BV642</f>
        <v/>
      </c>
      <c r="CC642" s="34">
        <f>IF(AY642=0,0,CB642/AY642)</f>
        <v/>
      </c>
      <c r="CD642" s="34">
        <f>MAX((AY642+MAX((-J642+L642-N642+Q642-T642+X642),0)),(MAX((J642-L642+N642-Q642+T642-X642),0)))</f>
        <v/>
      </c>
      <c r="CE642" s="82">
        <f>IFERROR(ABS(BX642/CD642),0)</f>
        <v/>
      </c>
      <c r="CF642" s="34">
        <f>IF(CE642&lt;=0.1,0,BX642/CE642*(CE642-0.1))</f>
        <v/>
      </c>
      <c r="CG642" s="34">
        <f>IF((CF642)&lt;0,MAX(F642:G642)*(CF642)*1.03,MIN(F642:G642)*(CF642)*0.97)</f>
        <v/>
      </c>
      <c r="CH642" s="34">
        <f>IF(CE642&gt;0.1,1,0)</f>
        <v/>
      </c>
      <c r="CI642" s="34">
        <f>(F642*BX642)-BY642</f>
        <v/>
      </c>
      <c r="CJ642" s="34">
        <f>IF(AY642=0,0,CI642/AY642)</f>
        <v/>
      </c>
    </row>
    <row r="643">
      <c r="A643" s="29">
        <f>[1]FİYATLAR!A618</f>
        <v/>
      </c>
      <c r="B643" s="29">
        <f>[1]FİYATLAR!B642</f>
        <v/>
      </c>
      <c r="C643" s="35">
        <f>INT(A643)</f>
        <v/>
      </c>
      <c r="D643" s="36">
        <f>MONTH(A643)</f>
        <v/>
      </c>
      <c r="E643" s="147">
        <f>[1]FİYATLAR!G618</f>
        <v/>
      </c>
      <c r="F643" s="30">
        <f>[1]FİYATLAR!C618</f>
        <v/>
      </c>
      <c r="G643" s="30">
        <f>[1]FİYATLAR!E618</f>
        <v/>
      </c>
      <c r="H643" s="30">
        <f>[1]FİYATLAR!D618</f>
        <v/>
      </c>
      <c r="I643" s="30">
        <f>[1]FİYATLAR!F618</f>
        <v/>
      </c>
      <c r="J643" s="119" t="n">
        <v>0</v>
      </c>
      <c r="K643" s="34">
        <f>F643*J643</f>
        <v/>
      </c>
      <c r="L643" s="119" t="n"/>
      <c r="M643" s="34">
        <f>L643*F643</f>
        <v/>
      </c>
      <c r="N643" s="119" t="n"/>
      <c r="O643" s="34">
        <f>F643</f>
        <v/>
      </c>
      <c r="P643" s="34">
        <f>N643*O643</f>
        <v/>
      </c>
      <c r="Q643" s="117" t="n">
        <v>0</v>
      </c>
      <c r="R643" s="34">
        <f>F643</f>
        <v/>
      </c>
      <c r="S643" s="34">
        <f>R643*Q643</f>
        <v/>
      </c>
      <c r="T643" s="34">
        <f>SUMIFS('[1]GİP VERİLERİ'!$C:$C,'[1]GİP VERİLERİ'!$B:$B,A643,'[1]GİP VERİLERİ'!$M:$M,"40X000000104782K",'[1]GİP VERİLERİ'!$G:$G,"SELL")</f>
        <v/>
      </c>
      <c r="U643" s="34">
        <f>IFERROR(W643/T643,0)</f>
        <v/>
      </c>
      <c r="V643" s="34">
        <f>IF(U643=0,0,U643-F643)</f>
        <v/>
      </c>
      <c r="W643" s="34">
        <f>SUMIFS('[1]GİP VERİLERİ'!$O:$O,'[1]GİP VERİLERİ'!$B:$B,A643,'[1]GİP VERİLERİ'!$M:$M,"40X000000104782K",'[1]GİP VERİLERİ'!$G:$G,"SELL")</f>
        <v/>
      </c>
      <c r="X643" s="34">
        <f>SUMIFS('[1]GİP VERİLERİ'!$C:$C,'[1]GİP VERİLERİ'!$B:$B,A643,'[1]GİP VERİLERİ'!$M:$M,"40X000000104782K",'[1]GİP VERİLERİ'!$G:$G,"BUY")</f>
        <v/>
      </c>
      <c r="Y643" s="34">
        <f>IFERROR(AA643/X643,0)</f>
        <v/>
      </c>
      <c r="Z643" s="34">
        <f>IF(Y643=0,0,F643-Y643)</f>
        <v/>
      </c>
      <c r="AA643" s="34">
        <f>SUMIFS('[1]GİP VERİLERİ'!$O:$O,'[1]GİP VERİLERİ'!$B:$B,A643,'[1]GİP VERİLERİ'!$M:$M,"40X000000104782K",'[1]GİP VERİLERİ'!$G:$G,"BUY")</f>
        <v/>
      </c>
      <c r="AB643" s="34">
        <f>'[1]GÖP VERİLERİ'!H644</f>
        <v/>
      </c>
      <c r="AC643" s="34">
        <f>'[1]GÖP VERİLERİ'!I644</f>
        <v/>
      </c>
      <c r="AD643" s="34">
        <f>IF(AB643&gt;AC643*1.05,AB643-AC643*1.05,IF(AB643&lt;AC643*0.95,AC643*0.95-AB643,0))</f>
        <v/>
      </c>
      <c r="AE643" s="34">
        <f>MAX(F643,G643,750)*0.05*AD643</f>
        <v/>
      </c>
      <c r="AF643" s="34">
        <f>'[1]GÖP VERİLERİ'!J644</f>
        <v/>
      </c>
      <c r="AG643" s="34">
        <f>IF(AB643&gt;AF643*1.05,AB643-AF643*1.05,IF(AB643&lt;AF643*0.95,AF643*0.95-AB643,0))</f>
        <v/>
      </c>
      <c r="AH643" s="34">
        <f>MAX(I643,J643,750)*0.05*AG643</f>
        <v/>
      </c>
      <c r="AI643">
        <f>'[1]GÖP VERİLERİ'!E644</f>
        <v/>
      </c>
      <c r="AJ643">
        <f>'[1]GÖP VERİLERİ'!F644</f>
        <v/>
      </c>
      <c r="AK643" s="34">
        <f>IF(AI643&gt;AJ643*1.05,AI643-AJ643*1.05,IF(AI643&lt;AJ643*0.95,AJ643*0.95-AI643,0))</f>
        <v/>
      </c>
      <c r="AL643" s="34">
        <f>MAX(F643,G643,750)*0.05*AK643</f>
        <v/>
      </c>
      <c r="AM643" s="39">
        <f>'[1]GÖP VERİLERİ'!G644</f>
        <v/>
      </c>
      <c r="AN643" s="34">
        <f>IF(AI643&gt;AM643*1.05,AI643-AM643*1.05,IF(AI643&lt;AM643*0.95,AM643*0.95-AI643,0))</f>
        <v/>
      </c>
      <c r="AO643" s="34">
        <f>MAX(F643,G643,750)*0.05*AN643</f>
        <v/>
      </c>
      <c r="AP643" s="34">
        <f>'[1]GÖP VERİLERİ'!B644</f>
        <v/>
      </c>
      <c r="AQ643" s="34">
        <f>'[1]GÖP VERİLERİ'!C644</f>
        <v/>
      </c>
      <c r="AR643" s="34">
        <f>IF(AP643&gt;AQ643*1.05,AP643-AQ643*1.05,IF(AP643&lt;AQ643*0.95,AQ643*0.95-AP643,0))</f>
        <v/>
      </c>
      <c r="AS643" s="34">
        <f>MAX(F643:G643,750)*0.05*AR643</f>
        <v/>
      </c>
      <c r="AT643">
        <f>'[1]GÖP VERİLERİ'!D644</f>
        <v/>
      </c>
      <c r="AU643" s="34">
        <f>IF(AP643&gt;AT643*1.05,AP643-AT643*1.05,IF(AP643&lt;AT643*0.95,AT643*0.95-AP643,0))</f>
        <v/>
      </c>
      <c r="AV643" s="34">
        <f>MAX(F643:G643,750)*0.05*AU643</f>
        <v/>
      </c>
      <c r="AW643" s="34">
        <f>AC643+AJ643+AQ643</f>
        <v/>
      </c>
      <c r="AX643" s="34">
        <f>AF643+AM643+AT643</f>
        <v/>
      </c>
      <c r="AY643" s="34">
        <f>AB643+AI643+AP643</f>
        <v/>
      </c>
      <c r="AZ643" s="34" t="n">
        <v>0</v>
      </c>
      <c r="BA643" s="34">
        <f>AD643+AK643+AR643</f>
        <v/>
      </c>
      <c r="BB643" s="34">
        <f>MAX(F643:G643,750)*0.05*BA643</f>
        <v/>
      </c>
      <c r="BC643" s="34">
        <f>AG643+AN643+AU643</f>
        <v/>
      </c>
      <c r="BD643" s="34">
        <f>MAX(F643:G643,750)*0.05*BC643</f>
        <v/>
      </c>
      <c r="BE643" s="34">
        <f>F643*AY643</f>
        <v/>
      </c>
      <c r="BF643" s="34">
        <f>K643-M643</f>
        <v/>
      </c>
      <c r="BG643" s="34">
        <f>P643-S643</f>
        <v/>
      </c>
      <c r="BH643" s="34">
        <f>W643-AA643</f>
        <v/>
      </c>
      <c r="BI643" s="34">
        <f>BF643+BG643+BL643-BN643</f>
        <v/>
      </c>
      <c r="BJ643" s="34">
        <f>ABS(BK643)</f>
        <v/>
      </c>
      <c r="BK643" s="34">
        <f>AY643-(J643-L643+N643-Q643)</f>
        <v/>
      </c>
      <c r="BL643" s="34">
        <f>IF(AND(BK643&gt;0,MIN($F643:$G643)&lt;150,$E643="Enerji Açığı"),-100*BK643*1.03,IF(AND(BK643&gt;0,MIN($F643:$G643)&lt;150,$E643="Enerji Fazlası"),-100*BK643*1.06,IF(AND(BK643&gt;0,MIN($F643:$G643)&gt;=150,$E643="Enerji Açığı"),BK643*MIN($F643:$G643)*0.97,IF(AND(BK643&gt;0,MIN($F643:$G643)&gt;=150,$E643="Enerji Fazlası"),BK643*MIN($F643:$G643)*0.94,IF(AND(BK643&lt;0,MAX($F643:$G643)=4500,$E643="Enerji Açığı"),4500*1.05*1.06*BK643,IF(AND(BK643&lt;0,MAX($F643:$G643)=4500,$E643="Enerji Fazlası"),4500*1.05*1.03*BK643,IF(AND(BK643&lt;0,$E643="Enerji Açığı"),MAX($F643,$G643,150)*BK643*1.06,IF(AND(BK643&lt;0,$E643="Enerji Fazlası"),MAX($F643,$G643,150)*BK643*1.03,IF(AND(BK643&lt;0,$E643="Dengede"),MAX($F643:$G643,150)*1.03*BK643,MIN($F643:$G643)*0.97*BK643)))))))))</f>
        <v/>
      </c>
      <c r="BM643" s="34">
        <f>BE643-BI643-BN643</f>
        <v/>
      </c>
      <c r="BN643" s="34">
        <f>BB643</f>
        <v/>
      </c>
      <c r="BO643" s="34">
        <f>BE643-BI643</f>
        <v/>
      </c>
      <c r="BP643" s="34">
        <f>IF(AY643=0,0,BO643/AY643)</f>
        <v/>
      </c>
      <c r="BQ643" s="34">
        <f>MAX((AY643+MAX((-J643+L643-N643+Q643),0)),(MAX((J643-L643+N643-Q643),0)))</f>
        <v/>
      </c>
      <c r="BR643" s="82">
        <f>IFERROR(ABS(BK643/BQ643),0)</f>
        <v/>
      </c>
      <c r="BS643" s="34">
        <f>IF(BR643&lt;=0.1,0,BK643/BR643*(BR643-0.1))</f>
        <v/>
      </c>
      <c r="BT643" s="34">
        <f>IF((BS643)&lt;0,MAX(F643:G643)*(BS643)*1.03,MIN(F643:G643)*(BS643)*0.97)</f>
        <v/>
      </c>
      <c r="BU643" s="34">
        <f>IF(BR643&gt;0.1,1,0)</f>
        <v/>
      </c>
      <c r="BV643" s="34">
        <f>BF643+BG643+BH643+BY643-CA643</f>
        <v/>
      </c>
      <c r="BW643" s="34">
        <f>ABS(BX643)</f>
        <v/>
      </c>
      <c r="BX643" s="34">
        <f>AY643-(J643-L643+N643-Q643+T643-X643)</f>
        <v/>
      </c>
      <c r="BY643" s="34">
        <f>IF(AND(BX643&gt;0,MIN($F643:$G643)&lt;150,$E643="Enerji Açığı"),-100*BX643*1.03,IF(AND(BX643&gt;0,MIN($F643:$G643)&lt;150,$E643="Enerji Fazlası"),-100*BX643*1.06,IF(AND(BX643&gt;0,MIN($F643:$G643)&gt;=150,$E643="Enerji Açığı"),BX643*MIN($F643:$G643)*0.97,IF(AND(BX643&gt;0,MIN($F643:$G643)&gt;=150,$E643="Enerji Fazlası"),BX643*MIN($F643:$G643)*0.94,IF(AND(BX643&lt;0,MAX($F643:$G643)=4500,$E643="Enerji Açığı"),4500*1.05*1.06*BX643,IF(AND(BX643&lt;0,MAX($F643:$G643)=4500,$E643="Enerji Fazlası"),4500*1.05*1.03*BX643,IF(AND(BX643&lt;0,$E643="Enerji Açığı"),MAX($F643,$G643,150)*BX643*1.06,IF(AND(BX643&lt;0,$E643="Enerji Fazlası"),MAX($F643,$G643,150)*BX643*1.03,IF(AND(BX643&lt;0,$E643="Dengede"),MAX($F643:$G643,150)*1.03*BX643,MIN($F643:$G643)*0.97*BX643)))))))))</f>
        <v/>
      </c>
      <c r="BZ643" s="34">
        <f>BE643-BV643-CA643</f>
        <v/>
      </c>
      <c r="CA643" s="34">
        <f>BD643</f>
        <v/>
      </c>
      <c r="CB643" s="33">
        <f>BE643-BV643</f>
        <v/>
      </c>
      <c r="CC643" s="34">
        <f>IF(AY643=0,0,CB643/AY643)</f>
        <v/>
      </c>
      <c r="CD643" s="34">
        <f>MAX((AY643+MAX((-J643+L643-N643+Q643-T643+X643),0)),(MAX((J643-L643+N643-Q643+T643-X643),0)))</f>
        <v/>
      </c>
      <c r="CE643" s="82">
        <f>IFERROR(ABS(BX643/CD643),0)</f>
        <v/>
      </c>
      <c r="CF643" s="34">
        <f>IF(CE643&lt;=0.1,0,BX643/CE643*(CE643-0.1))</f>
        <v/>
      </c>
      <c r="CG643" s="34">
        <f>IF((CF643)&lt;0,MAX(F643:G643)*(CF643)*1.03,MIN(F643:G643)*(CF643)*0.97)</f>
        <v/>
      </c>
      <c r="CH643" s="34">
        <f>IF(CE643&gt;0.1,1,0)</f>
        <v/>
      </c>
      <c r="CI643" s="34">
        <f>(F643*BX643)-BY643</f>
        <v/>
      </c>
      <c r="CJ643" s="34">
        <f>IF(AY643=0,0,CI643/AY643)</f>
        <v/>
      </c>
    </row>
    <row r="644">
      <c r="A644" s="29">
        <f>[1]FİYATLAR!A619</f>
        <v/>
      </c>
      <c r="B644" s="29">
        <f>[1]FİYATLAR!B643</f>
        <v/>
      </c>
      <c r="C644" s="35">
        <f>INT(A644)</f>
        <v/>
      </c>
      <c r="D644" s="36">
        <f>MONTH(A644)</f>
        <v/>
      </c>
      <c r="E644" s="147">
        <f>[1]FİYATLAR!G619</f>
        <v/>
      </c>
      <c r="F644" s="30">
        <f>[1]FİYATLAR!C619</f>
        <v/>
      </c>
      <c r="G644" s="30">
        <f>[1]FİYATLAR!E619</f>
        <v/>
      </c>
      <c r="H644" s="30">
        <f>[1]FİYATLAR!D619</f>
        <v/>
      </c>
      <c r="I644" s="30">
        <f>[1]FİYATLAR!F619</f>
        <v/>
      </c>
      <c r="J644" s="119" t="n">
        <v>0</v>
      </c>
      <c r="K644" s="34">
        <f>F644*J644</f>
        <v/>
      </c>
      <c r="L644" s="119" t="n"/>
      <c r="M644" s="34">
        <f>L644*F644</f>
        <v/>
      </c>
      <c r="N644" s="119" t="n"/>
      <c r="O644" s="34">
        <f>F644</f>
        <v/>
      </c>
      <c r="P644" s="34">
        <f>N644*O644</f>
        <v/>
      </c>
      <c r="Q644" s="117" t="n">
        <v>0</v>
      </c>
      <c r="R644" s="34">
        <f>F644</f>
        <v/>
      </c>
      <c r="S644" s="34">
        <f>R644*Q644</f>
        <v/>
      </c>
      <c r="T644" s="34">
        <f>SUMIFS('[1]GİP VERİLERİ'!$C:$C,'[1]GİP VERİLERİ'!$B:$B,A644,'[1]GİP VERİLERİ'!$M:$M,"40X000000104782K",'[1]GİP VERİLERİ'!$G:$G,"SELL")</f>
        <v/>
      </c>
      <c r="U644" s="34">
        <f>IFERROR(W644/T644,0)</f>
        <v/>
      </c>
      <c r="V644" s="34">
        <f>IF(U644=0,0,U644-F644)</f>
        <v/>
      </c>
      <c r="W644" s="34">
        <f>SUMIFS('[1]GİP VERİLERİ'!$O:$O,'[1]GİP VERİLERİ'!$B:$B,A644,'[1]GİP VERİLERİ'!$M:$M,"40X000000104782K",'[1]GİP VERİLERİ'!$G:$G,"SELL")</f>
        <v/>
      </c>
      <c r="X644" s="34">
        <f>SUMIFS('[1]GİP VERİLERİ'!$C:$C,'[1]GİP VERİLERİ'!$B:$B,A644,'[1]GİP VERİLERİ'!$M:$M,"40X000000104782K",'[1]GİP VERİLERİ'!$G:$G,"BUY")</f>
        <v/>
      </c>
      <c r="Y644" s="34">
        <f>IFERROR(AA644/X644,0)</f>
        <v/>
      </c>
      <c r="Z644" s="34">
        <f>IF(Y644=0,0,F644-Y644)</f>
        <v/>
      </c>
      <c r="AA644" s="34">
        <f>SUMIFS('[1]GİP VERİLERİ'!$O:$O,'[1]GİP VERİLERİ'!$B:$B,A644,'[1]GİP VERİLERİ'!$M:$M,"40X000000104782K",'[1]GİP VERİLERİ'!$G:$G,"BUY")</f>
        <v/>
      </c>
      <c r="AB644" s="34">
        <f>'[1]GÖP VERİLERİ'!H645</f>
        <v/>
      </c>
      <c r="AC644" s="34">
        <f>'[1]GÖP VERİLERİ'!I645</f>
        <v/>
      </c>
      <c r="AD644" s="34">
        <f>IF(AB644&gt;AC644*1.05,AB644-AC644*1.05,IF(AB644&lt;AC644*0.95,AC644*0.95-AB644,0))</f>
        <v/>
      </c>
      <c r="AE644" s="34">
        <f>MAX(F644,G644,750)*0.05*AD644</f>
        <v/>
      </c>
      <c r="AF644" s="34">
        <f>'[1]GÖP VERİLERİ'!J645</f>
        <v/>
      </c>
      <c r="AG644" s="34">
        <f>IF(AB644&gt;AF644*1.05,AB644-AF644*1.05,IF(AB644&lt;AF644*0.95,AF644*0.95-AB644,0))</f>
        <v/>
      </c>
      <c r="AH644" s="34">
        <f>MAX(I644,J644,750)*0.05*AG644</f>
        <v/>
      </c>
      <c r="AI644">
        <f>'[1]GÖP VERİLERİ'!E645</f>
        <v/>
      </c>
      <c r="AJ644">
        <f>'[1]GÖP VERİLERİ'!F645</f>
        <v/>
      </c>
      <c r="AK644" s="34">
        <f>IF(AI644&gt;AJ644*1.05,AI644-AJ644*1.05,IF(AI644&lt;AJ644*0.95,AJ644*0.95-AI644,0))</f>
        <v/>
      </c>
      <c r="AL644" s="34">
        <f>MAX(F644,G644,750)*0.05*AK644</f>
        <v/>
      </c>
      <c r="AM644" s="39">
        <f>'[1]GÖP VERİLERİ'!G645</f>
        <v/>
      </c>
      <c r="AN644" s="34">
        <f>IF(AI644&gt;AM644*1.05,AI644-AM644*1.05,IF(AI644&lt;AM644*0.95,AM644*0.95-AI644,0))</f>
        <v/>
      </c>
      <c r="AO644" s="34">
        <f>MAX(F644,G644,750)*0.05*AN644</f>
        <v/>
      </c>
      <c r="AP644" s="34">
        <f>'[1]GÖP VERİLERİ'!B645</f>
        <v/>
      </c>
      <c r="AQ644" s="34">
        <f>'[1]GÖP VERİLERİ'!C645</f>
        <v/>
      </c>
      <c r="AR644" s="34">
        <f>IF(AP644&gt;AQ644*1.05,AP644-AQ644*1.05,IF(AP644&lt;AQ644*0.95,AQ644*0.95-AP644,0))</f>
        <v/>
      </c>
      <c r="AS644" s="34">
        <f>MAX(F644:G644,750)*0.05*AR644</f>
        <v/>
      </c>
      <c r="AT644">
        <f>'[1]GÖP VERİLERİ'!D645</f>
        <v/>
      </c>
      <c r="AU644" s="34">
        <f>IF(AP644&gt;AT644*1.05,AP644-AT644*1.05,IF(AP644&lt;AT644*0.95,AT644*0.95-AP644,0))</f>
        <v/>
      </c>
      <c r="AV644" s="34">
        <f>MAX(F644:G644,750)*0.05*AU644</f>
        <v/>
      </c>
      <c r="AW644" s="34">
        <f>AC644+AJ644+AQ644</f>
        <v/>
      </c>
      <c r="AX644" s="34">
        <f>AF644+AM644+AT644</f>
        <v/>
      </c>
      <c r="AY644" s="34">
        <f>AB644+AI644+AP644</f>
        <v/>
      </c>
      <c r="AZ644" s="34" t="n">
        <v>0</v>
      </c>
      <c r="BA644" s="34">
        <f>AD644+AK644+AR644</f>
        <v/>
      </c>
      <c r="BB644" s="34">
        <f>MAX(F644:G644,750)*0.05*BA644</f>
        <v/>
      </c>
      <c r="BC644" s="34">
        <f>AG644+AN644+AU644</f>
        <v/>
      </c>
      <c r="BD644" s="34">
        <f>MAX(F644:G644,750)*0.05*BC644</f>
        <v/>
      </c>
      <c r="BE644" s="34">
        <f>F644*AY644</f>
        <v/>
      </c>
      <c r="BF644" s="34">
        <f>K644-M644</f>
        <v/>
      </c>
      <c r="BG644" s="34">
        <f>P644-S644</f>
        <v/>
      </c>
      <c r="BH644" s="34">
        <f>W644-AA644</f>
        <v/>
      </c>
      <c r="BI644" s="34">
        <f>BF644+BG644+BL644-BN644</f>
        <v/>
      </c>
      <c r="BJ644" s="34">
        <f>ABS(BK644)</f>
        <v/>
      </c>
      <c r="BK644" s="34">
        <f>AY644-(J644-L644+N644-Q644)</f>
        <v/>
      </c>
      <c r="BL644" s="34">
        <f>IF(AND(BK644&gt;0,MIN($F644:$G644)&lt;150,$E644="Enerji Açığı"),-100*BK644*1.03,IF(AND(BK644&gt;0,MIN($F644:$G644)&lt;150,$E644="Enerji Fazlası"),-100*BK644*1.06,IF(AND(BK644&gt;0,MIN($F644:$G644)&gt;=150,$E644="Enerji Açığı"),BK644*MIN($F644:$G644)*0.97,IF(AND(BK644&gt;0,MIN($F644:$G644)&gt;=150,$E644="Enerji Fazlası"),BK644*MIN($F644:$G644)*0.94,IF(AND(BK644&lt;0,MAX($F644:$G644)=4500,$E644="Enerji Açığı"),4500*1.05*1.06*BK644,IF(AND(BK644&lt;0,MAX($F644:$G644)=4500,$E644="Enerji Fazlası"),4500*1.05*1.03*BK644,IF(AND(BK644&lt;0,$E644="Enerji Açığı"),MAX($F644,$G644,150)*BK644*1.06,IF(AND(BK644&lt;0,$E644="Enerji Fazlası"),MAX($F644,$G644,150)*BK644*1.03,IF(AND(BK644&lt;0,$E644="Dengede"),MAX($F644:$G644,150)*1.03*BK644,MIN($F644:$G644)*0.97*BK644)))))))))</f>
        <v/>
      </c>
      <c r="BM644" s="34">
        <f>BE644-BI644-BN644</f>
        <v/>
      </c>
      <c r="BN644" s="34">
        <f>BB644</f>
        <v/>
      </c>
      <c r="BO644" s="34">
        <f>BE644-BI644</f>
        <v/>
      </c>
      <c r="BP644" s="34">
        <f>IF(AY644=0,0,BO644/AY644)</f>
        <v/>
      </c>
      <c r="BQ644" s="34">
        <f>MAX((AY644+MAX((-J644+L644-N644+Q644),0)),(MAX((J644-L644+N644-Q644),0)))</f>
        <v/>
      </c>
      <c r="BR644" s="82">
        <f>IFERROR(ABS(BK644/BQ644),0)</f>
        <v/>
      </c>
      <c r="BS644" s="34">
        <f>IF(BR644&lt;=0.1,0,BK644/BR644*(BR644-0.1))</f>
        <v/>
      </c>
      <c r="BT644" s="34">
        <f>IF((BS644)&lt;0,MAX(F644:G644)*(BS644)*1.03,MIN(F644:G644)*(BS644)*0.97)</f>
        <v/>
      </c>
      <c r="BU644" s="34">
        <f>IF(BR644&gt;0.1,1,0)</f>
        <v/>
      </c>
      <c r="BV644" s="34">
        <f>BF644+BG644+BH644+BY644-CA644</f>
        <v/>
      </c>
      <c r="BW644" s="34">
        <f>ABS(BX644)</f>
        <v/>
      </c>
      <c r="BX644" s="34">
        <f>AY644-(J644-L644+N644-Q644+T644-X644)</f>
        <v/>
      </c>
      <c r="BY644" s="34">
        <f>IF(AND(BX644&gt;0,MIN($F644:$G644)&lt;150,$E644="Enerji Açığı"),-100*BX644*1.03,IF(AND(BX644&gt;0,MIN($F644:$G644)&lt;150,$E644="Enerji Fazlası"),-100*BX644*1.06,IF(AND(BX644&gt;0,MIN($F644:$G644)&gt;=150,$E644="Enerji Açığı"),BX644*MIN($F644:$G644)*0.97,IF(AND(BX644&gt;0,MIN($F644:$G644)&gt;=150,$E644="Enerji Fazlası"),BX644*MIN($F644:$G644)*0.94,IF(AND(BX644&lt;0,MAX($F644:$G644)=4500,$E644="Enerji Açığı"),4500*1.05*1.06*BX644,IF(AND(BX644&lt;0,MAX($F644:$G644)=4500,$E644="Enerji Fazlası"),4500*1.05*1.03*BX644,IF(AND(BX644&lt;0,$E644="Enerji Açığı"),MAX($F644,$G644,150)*BX644*1.06,IF(AND(BX644&lt;0,$E644="Enerji Fazlası"),MAX($F644,$G644,150)*BX644*1.03,IF(AND(BX644&lt;0,$E644="Dengede"),MAX($F644:$G644,150)*1.03*BX644,MIN($F644:$G644)*0.97*BX644)))))))))</f>
        <v/>
      </c>
      <c r="BZ644" s="34">
        <f>BE644-BV644-CA644</f>
        <v/>
      </c>
      <c r="CA644" s="34">
        <f>BD644</f>
        <v/>
      </c>
      <c r="CB644" s="33">
        <f>BE644-BV644</f>
        <v/>
      </c>
      <c r="CC644" s="34">
        <f>IF(AY644=0,0,CB644/AY644)</f>
        <v/>
      </c>
      <c r="CD644" s="34">
        <f>MAX((AY644+MAX((-J644+L644-N644+Q644-T644+X644),0)),(MAX((J644-L644+N644-Q644+T644-X644),0)))</f>
        <v/>
      </c>
      <c r="CE644" s="82">
        <f>IFERROR(ABS(BX644/CD644),0)</f>
        <v/>
      </c>
      <c r="CF644" s="34">
        <f>IF(CE644&lt;=0.1,0,BX644/CE644*(CE644-0.1))</f>
        <v/>
      </c>
      <c r="CG644" s="34">
        <f>IF((CF644)&lt;0,MAX(F644:G644)*(CF644)*1.03,MIN(F644:G644)*(CF644)*0.97)</f>
        <v/>
      </c>
      <c r="CH644" s="34">
        <f>IF(CE644&gt;0.1,1,0)</f>
        <v/>
      </c>
      <c r="CI644" s="34">
        <f>(F644*BX644)-BY644</f>
        <v/>
      </c>
      <c r="CJ644" s="34">
        <f>IF(AY644=0,0,CI644/AY644)</f>
        <v/>
      </c>
    </row>
    <row r="645">
      <c r="A645" s="29">
        <f>[1]FİYATLAR!A620</f>
        <v/>
      </c>
      <c r="B645" s="29">
        <f>[1]FİYATLAR!B644</f>
        <v/>
      </c>
      <c r="C645" s="35">
        <f>INT(A645)</f>
        <v/>
      </c>
      <c r="D645" s="36">
        <f>MONTH(A645)</f>
        <v/>
      </c>
      <c r="E645" s="147">
        <f>[1]FİYATLAR!G620</f>
        <v/>
      </c>
      <c r="F645" s="30">
        <f>[1]FİYATLAR!C620</f>
        <v/>
      </c>
      <c r="G645" s="30">
        <f>[1]FİYATLAR!E620</f>
        <v/>
      </c>
      <c r="H645" s="30">
        <f>[1]FİYATLAR!D620</f>
        <v/>
      </c>
      <c r="I645" s="30">
        <f>[1]FİYATLAR!F620</f>
        <v/>
      </c>
      <c r="J645" s="119" t="n">
        <v>0</v>
      </c>
      <c r="K645" s="34">
        <f>F645*J645</f>
        <v/>
      </c>
      <c r="L645" s="119" t="n"/>
      <c r="M645" s="34">
        <f>L645*F645</f>
        <v/>
      </c>
      <c r="N645" s="119" t="n"/>
      <c r="O645" s="34">
        <f>F645</f>
        <v/>
      </c>
      <c r="P645" s="34">
        <f>N645*O645</f>
        <v/>
      </c>
      <c r="Q645" s="117" t="n">
        <v>0</v>
      </c>
      <c r="R645" s="34">
        <f>F645</f>
        <v/>
      </c>
      <c r="S645" s="34">
        <f>R645*Q645</f>
        <v/>
      </c>
      <c r="T645" s="34">
        <f>SUMIFS('[1]GİP VERİLERİ'!$C:$C,'[1]GİP VERİLERİ'!$B:$B,A645,'[1]GİP VERİLERİ'!$M:$M,"40X000000104782K",'[1]GİP VERİLERİ'!$G:$G,"SELL")</f>
        <v/>
      </c>
      <c r="U645" s="34">
        <f>IFERROR(W645/T645,0)</f>
        <v/>
      </c>
      <c r="V645" s="34">
        <f>IF(U645=0,0,U645-F645)</f>
        <v/>
      </c>
      <c r="W645" s="34">
        <f>SUMIFS('[1]GİP VERİLERİ'!$O:$O,'[1]GİP VERİLERİ'!$B:$B,A645,'[1]GİP VERİLERİ'!$M:$M,"40X000000104782K",'[1]GİP VERİLERİ'!$G:$G,"SELL")</f>
        <v/>
      </c>
      <c r="X645" s="34">
        <f>SUMIFS('[1]GİP VERİLERİ'!$C:$C,'[1]GİP VERİLERİ'!$B:$B,A645,'[1]GİP VERİLERİ'!$M:$M,"40X000000104782K",'[1]GİP VERİLERİ'!$G:$G,"BUY")</f>
        <v/>
      </c>
      <c r="Y645" s="34">
        <f>IFERROR(AA645/X645,0)</f>
        <v/>
      </c>
      <c r="Z645" s="34">
        <f>IF(Y645=0,0,F645-Y645)</f>
        <v/>
      </c>
      <c r="AA645" s="34">
        <f>SUMIFS('[1]GİP VERİLERİ'!$O:$O,'[1]GİP VERİLERİ'!$B:$B,A645,'[1]GİP VERİLERİ'!$M:$M,"40X000000104782K",'[1]GİP VERİLERİ'!$G:$G,"BUY")</f>
        <v/>
      </c>
      <c r="AB645" s="34">
        <f>'[1]GÖP VERİLERİ'!H646</f>
        <v/>
      </c>
      <c r="AC645" s="34">
        <f>'[1]GÖP VERİLERİ'!I646</f>
        <v/>
      </c>
      <c r="AD645" s="34">
        <f>IF(AB645&gt;AC645*1.05,AB645-AC645*1.05,IF(AB645&lt;AC645*0.95,AC645*0.95-AB645,0))</f>
        <v/>
      </c>
      <c r="AE645" s="34">
        <f>MAX(F645,G645,750)*0.05*AD645</f>
        <v/>
      </c>
      <c r="AF645" s="34">
        <f>'[1]GÖP VERİLERİ'!J646</f>
        <v/>
      </c>
      <c r="AG645" s="34">
        <f>IF(AB645&gt;AF645*1.05,AB645-AF645*1.05,IF(AB645&lt;AF645*0.95,AF645*0.95-AB645,0))</f>
        <v/>
      </c>
      <c r="AH645" s="34">
        <f>MAX(I645,J645,750)*0.05*AG645</f>
        <v/>
      </c>
      <c r="AI645">
        <f>'[1]GÖP VERİLERİ'!E646</f>
        <v/>
      </c>
      <c r="AJ645">
        <f>'[1]GÖP VERİLERİ'!F646</f>
        <v/>
      </c>
      <c r="AK645" s="34">
        <f>IF(AI645&gt;AJ645*1.05,AI645-AJ645*1.05,IF(AI645&lt;AJ645*0.95,AJ645*0.95-AI645,0))</f>
        <v/>
      </c>
      <c r="AL645" s="34">
        <f>MAX(F645,G645,750)*0.05*AK645</f>
        <v/>
      </c>
      <c r="AM645" s="39">
        <f>'[1]GÖP VERİLERİ'!G646</f>
        <v/>
      </c>
      <c r="AN645" s="34">
        <f>IF(AI645&gt;AM645*1.05,AI645-AM645*1.05,IF(AI645&lt;AM645*0.95,AM645*0.95-AI645,0))</f>
        <v/>
      </c>
      <c r="AO645" s="34">
        <f>MAX(F645,G645,750)*0.05*AN645</f>
        <v/>
      </c>
      <c r="AP645" s="34">
        <f>'[1]GÖP VERİLERİ'!B646</f>
        <v/>
      </c>
      <c r="AQ645" s="34">
        <f>'[1]GÖP VERİLERİ'!C646</f>
        <v/>
      </c>
      <c r="AR645" s="34">
        <f>IF(AP645&gt;AQ645*1.05,AP645-AQ645*1.05,IF(AP645&lt;AQ645*0.95,AQ645*0.95-AP645,0))</f>
        <v/>
      </c>
      <c r="AS645" s="34">
        <f>MAX(F645:G645,750)*0.05*AR645</f>
        <v/>
      </c>
      <c r="AT645">
        <f>'[1]GÖP VERİLERİ'!D646</f>
        <v/>
      </c>
      <c r="AU645" s="34">
        <f>IF(AP645&gt;AT645*1.05,AP645-AT645*1.05,IF(AP645&lt;AT645*0.95,AT645*0.95-AP645,0))</f>
        <v/>
      </c>
      <c r="AV645" s="34">
        <f>MAX(F645:G645,750)*0.05*AU645</f>
        <v/>
      </c>
      <c r="AW645" s="34">
        <f>AC645+AJ645+AQ645</f>
        <v/>
      </c>
      <c r="AX645" s="34">
        <f>AF645+AM645+AT645</f>
        <v/>
      </c>
      <c r="AY645" s="34">
        <f>AB645+AI645+AP645</f>
        <v/>
      </c>
      <c r="AZ645" s="34" t="n">
        <v>0</v>
      </c>
      <c r="BA645" s="34">
        <f>AD645+AK645+AR645</f>
        <v/>
      </c>
      <c r="BB645" s="34">
        <f>MAX(F645:G645,750)*0.05*BA645</f>
        <v/>
      </c>
      <c r="BC645" s="34">
        <f>AG645+AN645+AU645</f>
        <v/>
      </c>
      <c r="BD645" s="34">
        <f>MAX(F645:G645,750)*0.05*BC645</f>
        <v/>
      </c>
      <c r="BE645" s="34">
        <f>F645*AY645</f>
        <v/>
      </c>
      <c r="BF645" s="34">
        <f>K645-M645</f>
        <v/>
      </c>
      <c r="BG645" s="34">
        <f>P645-S645</f>
        <v/>
      </c>
      <c r="BH645" s="34">
        <f>W645-AA645</f>
        <v/>
      </c>
      <c r="BI645" s="34">
        <f>BF645+BG645+BL645-BN645</f>
        <v/>
      </c>
      <c r="BJ645" s="34">
        <f>ABS(BK645)</f>
        <v/>
      </c>
      <c r="BK645" s="34">
        <f>AY645-(J645-L645+N645-Q645)</f>
        <v/>
      </c>
      <c r="BL645" s="34">
        <f>IF(AND(BK645&gt;0,MIN($F645:$G645)&lt;150,$E645="Enerji Açığı"),-100*BK645*1.03,IF(AND(BK645&gt;0,MIN($F645:$G645)&lt;150,$E645="Enerji Fazlası"),-100*BK645*1.06,IF(AND(BK645&gt;0,MIN($F645:$G645)&gt;=150,$E645="Enerji Açığı"),BK645*MIN($F645:$G645)*0.97,IF(AND(BK645&gt;0,MIN($F645:$G645)&gt;=150,$E645="Enerji Fazlası"),BK645*MIN($F645:$G645)*0.94,IF(AND(BK645&lt;0,MAX($F645:$G645)=4500,$E645="Enerji Açığı"),4500*1.05*1.06*BK645,IF(AND(BK645&lt;0,MAX($F645:$G645)=4500,$E645="Enerji Fazlası"),4500*1.05*1.03*BK645,IF(AND(BK645&lt;0,$E645="Enerji Açığı"),MAX($F645,$G645,150)*BK645*1.06,IF(AND(BK645&lt;0,$E645="Enerji Fazlası"),MAX($F645,$G645,150)*BK645*1.03,IF(AND(BK645&lt;0,$E645="Dengede"),MAX($F645:$G645,150)*1.03*BK645,MIN($F645:$G645)*0.97*BK645)))))))))</f>
        <v/>
      </c>
      <c r="BM645" s="34">
        <f>BE645-BI645-BN645</f>
        <v/>
      </c>
      <c r="BN645" s="34">
        <f>BB645</f>
        <v/>
      </c>
      <c r="BO645" s="34">
        <f>BE645-BI645</f>
        <v/>
      </c>
      <c r="BP645" s="34">
        <f>IF(AY645=0,0,BO645/AY645)</f>
        <v/>
      </c>
      <c r="BQ645" s="34">
        <f>MAX((AY645+MAX((-J645+L645-N645+Q645),0)),(MAX((J645-L645+N645-Q645),0)))</f>
        <v/>
      </c>
      <c r="BR645" s="82">
        <f>IFERROR(ABS(BK645/BQ645),0)</f>
        <v/>
      </c>
      <c r="BS645" s="34">
        <f>IF(BR645&lt;=0.1,0,BK645/BR645*(BR645-0.1))</f>
        <v/>
      </c>
      <c r="BT645" s="34">
        <f>IF((BS645)&lt;0,MAX(F645:G645)*(BS645)*1.03,MIN(F645:G645)*(BS645)*0.97)</f>
        <v/>
      </c>
      <c r="BU645" s="34">
        <f>IF(BR645&gt;0.1,1,0)</f>
        <v/>
      </c>
      <c r="BV645" s="34">
        <f>BF645+BG645+BH645+BY645-CA645</f>
        <v/>
      </c>
      <c r="BW645" s="34">
        <f>ABS(BX645)</f>
        <v/>
      </c>
      <c r="BX645" s="34">
        <f>AY645-(J645-L645+N645-Q645+T645-X645)</f>
        <v/>
      </c>
      <c r="BY645" s="34">
        <f>IF(AND(BX645&gt;0,MIN($F645:$G645)&lt;150,$E645="Enerji Açığı"),-100*BX645*1.03,IF(AND(BX645&gt;0,MIN($F645:$G645)&lt;150,$E645="Enerji Fazlası"),-100*BX645*1.06,IF(AND(BX645&gt;0,MIN($F645:$G645)&gt;=150,$E645="Enerji Açığı"),BX645*MIN($F645:$G645)*0.97,IF(AND(BX645&gt;0,MIN($F645:$G645)&gt;=150,$E645="Enerji Fazlası"),BX645*MIN($F645:$G645)*0.94,IF(AND(BX645&lt;0,MAX($F645:$G645)=4500,$E645="Enerji Açığı"),4500*1.05*1.06*BX645,IF(AND(BX645&lt;0,MAX($F645:$G645)=4500,$E645="Enerji Fazlası"),4500*1.05*1.03*BX645,IF(AND(BX645&lt;0,$E645="Enerji Açığı"),MAX($F645,$G645,150)*BX645*1.06,IF(AND(BX645&lt;0,$E645="Enerji Fazlası"),MAX($F645,$G645,150)*BX645*1.03,IF(AND(BX645&lt;0,$E645="Dengede"),MAX($F645:$G645,150)*1.03*BX645,MIN($F645:$G645)*0.97*BX645)))))))))</f>
        <v/>
      </c>
      <c r="BZ645" s="34">
        <f>BE645-BV645-CA645</f>
        <v/>
      </c>
      <c r="CA645" s="34">
        <f>BD645</f>
        <v/>
      </c>
      <c r="CB645" s="33">
        <f>BE645-BV645</f>
        <v/>
      </c>
      <c r="CC645" s="34">
        <f>IF(AY645=0,0,CB645/AY645)</f>
        <v/>
      </c>
      <c r="CD645" s="34">
        <f>MAX((AY645+MAX((-J645+L645-N645+Q645-T645+X645),0)),(MAX((J645-L645+N645-Q645+T645-X645),0)))</f>
        <v/>
      </c>
      <c r="CE645" s="82">
        <f>IFERROR(ABS(BX645/CD645),0)</f>
        <v/>
      </c>
      <c r="CF645" s="34">
        <f>IF(CE645&lt;=0.1,0,BX645/CE645*(CE645-0.1))</f>
        <v/>
      </c>
      <c r="CG645" s="34">
        <f>IF((CF645)&lt;0,MAX(F645:G645)*(CF645)*1.03,MIN(F645:G645)*(CF645)*0.97)</f>
        <v/>
      </c>
      <c r="CH645" s="34">
        <f>IF(CE645&gt;0.1,1,0)</f>
        <v/>
      </c>
      <c r="CI645" s="34">
        <f>(F645*BX645)-BY645</f>
        <v/>
      </c>
      <c r="CJ645" s="34">
        <f>IF(AY645=0,0,CI645/AY645)</f>
        <v/>
      </c>
    </row>
    <row r="646">
      <c r="A646" s="29">
        <f>[1]FİYATLAR!A621</f>
        <v/>
      </c>
      <c r="B646" s="29">
        <f>[1]FİYATLAR!B645</f>
        <v/>
      </c>
      <c r="C646" s="35">
        <f>INT(A646)</f>
        <v/>
      </c>
      <c r="D646" s="36">
        <f>MONTH(A646)</f>
        <v/>
      </c>
      <c r="E646" s="147">
        <f>[1]FİYATLAR!G621</f>
        <v/>
      </c>
      <c r="F646" s="30">
        <f>[1]FİYATLAR!C621</f>
        <v/>
      </c>
      <c r="G646" s="30">
        <f>[1]FİYATLAR!E621</f>
        <v/>
      </c>
      <c r="H646" s="30">
        <f>[1]FİYATLAR!D621</f>
        <v/>
      </c>
      <c r="I646" s="30">
        <f>[1]FİYATLAR!F621</f>
        <v/>
      </c>
      <c r="J646" s="119" t="n">
        <v>0</v>
      </c>
      <c r="K646" s="34">
        <f>F646*J646</f>
        <v/>
      </c>
      <c r="L646" s="119" t="n"/>
      <c r="M646" s="34">
        <f>L646*F646</f>
        <v/>
      </c>
      <c r="N646" s="119" t="n"/>
      <c r="O646" s="34">
        <f>F646</f>
        <v/>
      </c>
      <c r="P646" s="34">
        <f>N646*O646</f>
        <v/>
      </c>
      <c r="Q646" s="117" t="n">
        <v>0</v>
      </c>
      <c r="R646" s="34">
        <f>F646</f>
        <v/>
      </c>
      <c r="S646" s="34">
        <f>R646*Q646</f>
        <v/>
      </c>
      <c r="T646" s="34">
        <f>SUMIFS('[1]GİP VERİLERİ'!$C:$C,'[1]GİP VERİLERİ'!$B:$B,A646,'[1]GİP VERİLERİ'!$M:$M,"40X000000104782K",'[1]GİP VERİLERİ'!$G:$G,"SELL")</f>
        <v/>
      </c>
      <c r="U646" s="34">
        <f>IFERROR(W646/T646,0)</f>
        <v/>
      </c>
      <c r="V646" s="34">
        <f>IF(U646=0,0,U646-F646)</f>
        <v/>
      </c>
      <c r="W646" s="34">
        <f>SUMIFS('[1]GİP VERİLERİ'!$O:$O,'[1]GİP VERİLERİ'!$B:$B,A646,'[1]GİP VERİLERİ'!$M:$M,"40X000000104782K",'[1]GİP VERİLERİ'!$G:$G,"SELL")</f>
        <v/>
      </c>
      <c r="X646" s="34">
        <f>SUMIFS('[1]GİP VERİLERİ'!$C:$C,'[1]GİP VERİLERİ'!$B:$B,A646,'[1]GİP VERİLERİ'!$M:$M,"40X000000104782K",'[1]GİP VERİLERİ'!$G:$G,"BUY")</f>
        <v/>
      </c>
      <c r="Y646" s="34">
        <f>IFERROR(AA646/X646,0)</f>
        <v/>
      </c>
      <c r="Z646" s="34">
        <f>IF(Y646=0,0,F646-Y646)</f>
        <v/>
      </c>
      <c r="AA646" s="34">
        <f>SUMIFS('[1]GİP VERİLERİ'!$O:$O,'[1]GİP VERİLERİ'!$B:$B,A646,'[1]GİP VERİLERİ'!$M:$M,"40X000000104782K",'[1]GİP VERİLERİ'!$G:$G,"BUY")</f>
        <v/>
      </c>
      <c r="AB646" s="34">
        <f>'[1]GÖP VERİLERİ'!H647</f>
        <v/>
      </c>
      <c r="AC646" s="34">
        <f>'[1]GÖP VERİLERİ'!I647</f>
        <v/>
      </c>
      <c r="AD646" s="34">
        <f>IF(AB646&gt;AC646*1.05,AB646-AC646*1.05,IF(AB646&lt;AC646*0.95,AC646*0.95-AB646,0))</f>
        <v/>
      </c>
      <c r="AE646" s="34">
        <f>MAX(F646,G646,750)*0.05*AD646</f>
        <v/>
      </c>
      <c r="AF646" s="34">
        <f>'[1]GÖP VERİLERİ'!J647</f>
        <v/>
      </c>
      <c r="AG646" s="34">
        <f>IF(AB646&gt;AF646*1.05,AB646-AF646*1.05,IF(AB646&lt;AF646*0.95,AF646*0.95-AB646,0))</f>
        <v/>
      </c>
      <c r="AH646" s="34">
        <f>MAX(I646,J646,750)*0.05*AG646</f>
        <v/>
      </c>
      <c r="AI646">
        <f>'[1]GÖP VERİLERİ'!E647</f>
        <v/>
      </c>
      <c r="AJ646">
        <f>'[1]GÖP VERİLERİ'!F647</f>
        <v/>
      </c>
      <c r="AK646" s="34">
        <f>IF(AI646&gt;AJ646*1.05,AI646-AJ646*1.05,IF(AI646&lt;AJ646*0.95,AJ646*0.95-AI646,0))</f>
        <v/>
      </c>
      <c r="AL646" s="34">
        <f>MAX(F646,G646,750)*0.05*AK646</f>
        <v/>
      </c>
      <c r="AM646" s="39">
        <f>'[1]GÖP VERİLERİ'!G647</f>
        <v/>
      </c>
      <c r="AN646" s="34">
        <f>IF(AI646&gt;AM646*1.05,AI646-AM646*1.05,IF(AI646&lt;AM646*0.95,AM646*0.95-AI646,0))</f>
        <v/>
      </c>
      <c r="AO646" s="34">
        <f>MAX(F646,G646,750)*0.05*AN646</f>
        <v/>
      </c>
      <c r="AP646" s="34">
        <f>'[1]GÖP VERİLERİ'!B647</f>
        <v/>
      </c>
      <c r="AQ646" s="34">
        <f>'[1]GÖP VERİLERİ'!C647</f>
        <v/>
      </c>
      <c r="AR646" s="34">
        <f>IF(AP646&gt;AQ646*1.05,AP646-AQ646*1.05,IF(AP646&lt;AQ646*0.95,AQ646*0.95-AP646,0))</f>
        <v/>
      </c>
      <c r="AS646" s="34">
        <f>MAX(F646:G646,750)*0.05*AR646</f>
        <v/>
      </c>
      <c r="AT646">
        <f>'[1]GÖP VERİLERİ'!D647</f>
        <v/>
      </c>
      <c r="AU646" s="34">
        <f>IF(AP646&gt;AT646*1.05,AP646-AT646*1.05,IF(AP646&lt;AT646*0.95,AT646*0.95-AP646,0))</f>
        <v/>
      </c>
      <c r="AV646" s="34">
        <f>MAX(F646:G646,750)*0.05*AU646</f>
        <v/>
      </c>
      <c r="AW646" s="34">
        <f>AC646+AJ646+AQ646</f>
        <v/>
      </c>
      <c r="AX646" s="34">
        <f>AF646+AM646+AT646</f>
        <v/>
      </c>
      <c r="AY646" s="34">
        <f>AB646+AI646+AP646</f>
        <v/>
      </c>
      <c r="AZ646" s="34" t="n">
        <v>0</v>
      </c>
      <c r="BA646" s="34">
        <f>AD646+AK646+AR646</f>
        <v/>
      </c>
      <c r="BB646" s="34">
        <f>MAX(F646:G646,750)*0.05*BA646</f>
        <v/>
      </c>
      <c r="BC646" s="34">
        <f>AG646+AN646+AU646</f>
        <v/>
      </c>
      <c r="BD646" s="34">
        <f>MAX(F646:G646,750)*0.05*BC646</f>
        <v/>
      </c>
      <c r="BE646" s="34">
        <f>F646*AY646</f>
        <v/>
      </c>
      <c r="BF646" s="34">
        <f>K646-M646</f>
        <v/>
      </c>
      <c r="BG646" s="34">
        <f>P646-S646</f>
        <v/>
      </c>
      <c r="BH646" s="34">
        <f>W646-AA646</f>
        <v/>
      </c>
      <c r="BI646" s="34">
        <f>BF646+BG646+BL646-BN646</f>
        <v/>
      </c>
      <c r="BJ646" s="34">
        <f>ABS(BK646)</f>
        <v/>
      </c>
      <c r="BK646" s="34">
        <f>AY646-(J646-L646+N646-Q646)</f>
        <v/>
      </c>
      <c r="BL646" s="34">
        <f>IF(AND(BK646&gt;0,MIN($F646:$G646)&lt;150,$E646="Enerji Açığı"),-100*BK646*1.03,IF(AND(BK646&gt;0,MIN($F646:$G646)&lt;150,$E646="Enerji Fazlası"),-100*BK646*1.06,IF(AND(BK646&gt;0,MIN($F646:$G646)&gt;=150,$E646="Enerji Açığı"),BK646*MIN($F646:$G646)*0.97,IF(AND(BK646&gt;0,MIN($F646:$G646)&gt;=150,$E646="Enerji Fazlası"),BK646*MIN($F646:$G646)*0.94,IF(AND(BK646&lt;0,MAX($F646:$G646)=4500,$E646="Enerji Açığı"),4500*1.05*1.06*BK646,IF(AND(BK646&lt;0,MAX($F646:$G646)=4500,$E646="Enerji Fazlası"),4500*1.05*1.03*BK646,IF(AND(BK646&lt;0,$E646="Enerji Açığı"),MAX($F646,$G646,150)*BK646*1.06,IF(AND(BK646&lt;0,$E646="Enerji Fazlası"),MAX($F646,$G646,150)*BK646*1.03,IF(AND(BK646&lt;0,$E646="Dengede"),MAX($F646:$G646,150)*1.03*BK646,MIN($F646:$G646)*0.97*BK646)))))))))</f>
        <v/>
      </c>
      <c r="BM646" s="34">
        <f>BE646-BI646-BN646</f>
        <v/>
      </c>
      <c r="BN646" s="34">
        <f>BB646</f>
        <v/>
      </c>
      <c r="BO646" s="34">
        <f>BE646-BI646</f>
        <v/>
      </c>
      <c r="BP646" s="34">
        <f>IF(AY646=0,0,BO646/AY646)</f>
        <v/>
      </c>
      <c r="BQ646" s="34">
        <f>MAX((AY646+MAX((-J646+L646-N646+Q646),0)),(MAX((J646-L646+N646-Q646),0)))</f>
        <v/>
      </c>
      <c r="BR646" s="82">
        <f>IFERROR(ABS(BK646/BQ646),0)</f>
        <v/>
      </c>
      <c r="BS646" s="34">
        <f>IF(BR646&lt;=0.1,0,BK646/BR646*(BR646-0.1))</f>
        <v/>
      </c>
      <c r="BT646" s="34">
        <f>IF((BS646)&lt;0,MAX(F646:G646)*(BS646)*1.03,MIN(F646:G646)*(BS646)*0.97)</f>
        <v/>
      </c>
      <c r="BU646" s="34">
        <f>IF(BR646&gt;0.1,1,0)</f>
        <v/>
      </c>
      <c r="BV646" s="34">
        <f>BF646+BG646+BH646+BY646-CA646</f>
        <v/>
      </c>
      <c r="BW646" s="34">
        <f>ABS(BX646)</f>
        <v/>
      </c>
      <c r="BX646" s="34">
        <f>AY646-(J646-L646+N646-Q646+T646-X646)</f>
        <v/>
      </c>
      <c r="BY646" s="34">
        <f>IF(AND(BX646&gt;0,MIN($F646:$G646)&lt;150,$E646="Enerji Açığı"),-100*BX646*1.03,IF(AND(BX646&gt;0,MIN($F646:$G646)&lt;150,$E646="Enerji Fazlası"),-100*BX646*1.06,IF(AND(BX646&gt;0,MIN($F646:$G646)&gt;=150,$E646="Enerji Açığı"),BX646*MIN($F646:$G646)*0.97,IF(AND(BX646&gt;0,MIN($F646:$G646)&gt;=150,$E646="Enerji Fazlası"),BX646*MIN($F646:$G646)*0.94,IF(AND(BX646&lt;0,MAX($F646:$G646)=4500,$E646="Enerji Açığı"),4500*1.05*1.06*BX646,IF(AND(BX646&lt;0,MAX($F646:$G646)=4500,$E646="Enerji Fazlası"),4500*1.05*1.03*BX646,IF(AND(BX646&lt;0,$E646="Enerji Açığı"),MAX($F646,$G646,150)*BX646*1.06,IF(AND(BX646&lt;0,$E646="Enerji Fazlası"),MAX($F646,$G646,150)*BX646*1.03,IF(AND(BX646&lt;0,$E646="Dengede"),MAX($F646:$G646,150)*1.03*BX646,MIN($F646:$G646)*0.97*BX646)))))))))</f>
        <v/>
      </c>
      <c r="BZ646" s="34">
        <f>BE646-BV646-CA646</f>
        <v/>
      </c>
      <c r="CA646" s="34">
        <f>BD646</f>
        <v/>
      </c>
      <c r="CB646" s="33">
        <f>BE646-BV646</f>
        <v/>
      </c>
      <c r="CC646" s="34">
        <f>IF(AY646=0,0,CB646/AY646)</f>
        <v/>
      </c>
      <c r="CD646" s="34">
        <f>MAX((AY646+MAX((-J646+L646-N646+Q646-T646+X646),0)),(MAX((J646-L646+N646-Q646+T646-X646),0)))</f>
        <v/>
      </c>
      <c r="CE646" s="82">
        <f>IFERROR(ABS(BX646/CD646),0)</f>
        <v/>
      </c>
      <c r="CF646" s="34">
        <f>IF(CE646&lt;=0.1,0,BX646/CE646*(CE646-0.1))</f>
        <v/>
      </c>
      <c r="CG646" s="34">
        <f>IF((CF646)&lt;0,MAX(F646:G646)*(CF646)*1.03,MIN(F646:G646)*(CF646)*0.97)</f>
        <v/>
      </c>
      <c r="CH646" s="34">
        <f>IF(CE646&gt;0.1,1,0)</f>
        <v/>
      </c>
      <c r="CI646" s="34">
        <f>(F646*BX646)-BY646</f>
        <v/>
      </c>
      <c r="CJ646" s="34">
        <f>IF(AY646=0,0,CI646/AY646)</f>
        <v/>
      </c>
    </row>
    <row r="647">
      <c r="A647" s="29">
        <f>[1]FİYATLAR!A622</f>
        <v/>
      </c>
      <c r="B647" s="29">
        <f>[1]FİYATLAR!B646</f>
        <v/>
      </c>
      <c r="C647" s="35">
        <f>INT(A647)</f>
        <v/>
      </c>
      <c r="D647" s="36">
        <f>MONTH(A647)</f>
        <v/>
      </c>
      <c r="E647" s="147">
        <f>[1]FİYATLAR!G622</f>
        <v/>
      </c>
      <c r="F647" s="30">
        <f>[1]FİYATLAR!C622</f>
        <v/>
      </c>
      <c r="G647" s="30">
        <f>[1]FİYATLAR!E622</f>
        <v/>
      </c>
      <c r="H647" s="30">
        <f>[1]FİYATLAR!D622</f>
        <v/>
      </c>
      <c r="I647" s="30">
        <f>[1]FİYATLAR!F622</f>
        <v/>
      </c>
      <c r="J647" s="119" t="n">
        <v>0</v>
      </c>
      <c r="K647" s="34">
        <f>F647*J647</f>
        <v/>
      </c>
      <c r="L647" s="119" t="n"/>
      <c r="M647" s="34">
        <f>L647*F647</f>
        <v/>
      </c>
      <c r="N647" s="119" t="n"/>
      <c r="O647" s="34">
        <f>F647</f>
        <v/>
      </c>
      <c r="P647" s="34">
        <f>N647*O647</f>
        <v/>
      </c>
      <c r="Q647" s="117" t="n">
        <v>0</v>
      </c>
      <c r="R647" s="34">
        <f>F647</f>
        <v/>
      </c>
      <c r="S647" s="34">
        <f>R647*Q647</f>
        <v/>
      </c>
      <c r="T647" s="34">
        <f>SUMIFS('[1]GİP VERİLERİ'!$C:$C,'[1]GİP VERİLERİ'!$B:$B,A647,'[1]GİP VERİLERİ'!$M:$M,"40X000000104782K",'[1]GİP VERİLERİ'!$G:$G,"SELL")</f>
        <v/>
      </c>
      <c r="U647" s="34">
        <f>IFERROR(W647/T647,0)</f>
        <v/>
      </c>
      <c r="V647" s="34">
        <f>IF(U647=0,0,U647-F647)</f>
        <v/>
      </c>
      <c r="W647" s="34">
        <f>SUMIFS('[1]GİP VERİLERİ'!$O:$O,'[1]GİP VERİLERİ'!$B:$B,A647,'[1]GİP VERİLERİ'!$M:$M,"40X000000104782K",'[1]GİP VERİLERİ'!$G:$G,"SELL")</f>
        <v/>
      </c>
      <c r="X647" s="34">
        <f>SUMIFS('[1]GİP VERİLERİ'!$C:$C,'[1]GİP VERİLERİ'!$B:$B,A647,'[1]GİP VERİLERİ'!$M:$M,"40X000000104782K",'[1]GİP VERİLERİ'!$G:$G,"BUY")</f>
        <v/>
      </c>
      <c r="Y647" s="34">
        <f>IFERROR(AA647/X647,0)</f>
        <v/>
      </c>
      <c r="Z647" s="34">
        <f>IF(Y647=0,0,F647-Y647)</f>
        <v/>
      </c>
      <c r="AA647" s="34">
        <f>SUMIFS('[1]GİP VERİLERİ'!$O:$O,'[1]GİP VERİLERİ'!$B:$B,A647,'[1]GİP VERİLERİ'!$M:$M,"40X000000104782K",'[1]GİP VERİLERİ'!$G:$G,"BUY")</f>
        <v/>
      </c>
      <c r="AB647" s="34">
        <f>'[1]GÖP VERİLERİ'!H648</f>
        <v/>
      </c>
      <c r="AC647" s="34">
        <f>'[1]GÖP VERİLERİ'!I648</f>
        <v/>
      </c>
      <c r="AD647" s="34">
        <f>IF(AB647&gt;AC647*1.05,AB647-AC647*1.05,IF(AB647&lt;AC647*0.95,AC647*0.95-AB647,0))</f>
        <v/>
      </c>
      <c r="AE647" s="34">
        <f>MAX(F647,G647,750)*0.05*AD647</f>
        <v/>
      </c>
      <c r="AF647" s="34">
        <f>'[1]GÖP VERİLERİ'!J648</f>
        <v/>
      </c>
      <c r="AG647" s="34">
        <f>IF(AB647&gt;AF647*1.05,AB647-AF647*1.05,IF(AB647&lt;AF647*0.95,AF647*0.95-AB647,0))</f>
        <v/>
      </c>
      <c r="AH647" s="34">
        <f>MAX(I647,J647,750)*0.05*AG647</f>
        <v/>
      </c>
      <c r="AI647">
        <f>'[1]GÖP VERİLERİ'!E648</f>
        <v/>
      </c>
      <c r="AJ647">
        <f>'[1]GÖP VERİLERİ'!F648</f>
        <v/>
      </c>
      <c r="AK647" s="34">
        <f>IF(AI647&gt;AJ647*1.05,AI647-AJ647*1.05,IF(AI647&lt;AJ647*0.95,AJ647*0.95-AI647,0))</f>
        <v/>
      </c>
      <c r="AL647" s="34">
        <f>MAX(F647,G647,750)*0.05*AK647</f>
        <v/>
      </c>
      <c r="AM647" s="39">
        <f>'[1]GÖP VERİLERİ'!G648</f>
        <v/>
      </c>
      <c r="AN647" s="34">
        <f>IF(AI647&gt;AM647*1.05,AI647-AM647*1.05,IF(AI647&lt;AM647*0.95,AM647*0.95-AI647,0))</f>
        <v/>
      </c>
      <c r="AO647" s="34">
        <f>MAX(F647,G647,750)*0.05*AN647</f>
        <v/>
      </c>
      <c r="AP647" s="34">
        <f>'[1]GÖP VERİLERİ'!B648</f>
        <v/>
      </c>
      <c r="AQ647" s="34">
        <f>'[1]GÖP VERİLERİ'!C648</f>
        <v/>
      </c>
      <c r="AR647" s="34">
        <f>IF(AP647&gt;AQ647*1.05,AP647-AQ647*1.05,IF(AP647&lt;AQ647*0.95,AQ647*0.95-AP647,0))</f>
        <v/>
      </c>
      <c r="AS647" s="34">
        <f>MAX(F647:G647,750)*0.05*AR647</f>
        <v/>
      </c>
      <c r="AT647">
        <f>'[1]GÖP VERİLERİ'!D648</f>
        <v/>
      </c>
      <c r="AU647" s="34">
        <f>IF(AP647&gt;AT647*1.05,AP647-AT647*1.05,IF(AP647&lt;AT647*0.95,AT647*0.95-AP647,0))</f>
        <v/>
      </c>
      <c r="AV647" s="34">
        <f>MAX(F647:G647,750)*0.05*AU647</f>
        <v/>
      </c>
      <c r="AW647" s="34">
        <f>AC647+AJ647+AQ647</f>
        <v/>
      </c>
      <c r="AX647" s="34">
        <f>AF647+AM647+AT647</f>
        <v/>
      </c>
      <c r="AY647" s="34">
        <f>AB647+AI647+AP647</f>
        <v/>
      </c>
      <c r="AZ647" s="34" t="n">
        <v>0</v>
      </c>
      <c r="BA647" s="34">
        <f>AD647+AK647+AR647</f>
        <v/>
      </c>
      <c r="BB647" s="34">
        <f>MAX(F647:G647,750)*0.05*BA647</f>
        <v/>
      </c>
      <c r="BC647" s="34">
        <f>AG647+AN647+AU647</f>
        <v/>
      </c>
      <c r="BD647" s="34">
        <f>MAX(F647:G647,750)*0.05*BC647</f>
        <v/>
      </c>
      <c r="BE647" s="34">
        <f>F647*AY647</f>
        <v/>
      </c>
      <c r="BF647" s="34">
        <f>K647-M647</f>
        <v/>
      </c>
      <c r="BG647" s="34">
        <f>P647-S647</f>
        <v/>
      </c>
      <c r="BH647" s="34">
        <f>W647-AA647</f>
        <v/>
      </c>
      <c r="BI647" s="34">
        <f>BF647+BG647+BL647-BN647</f>
        <v/>
      </c>
      <c r="BJ647" s="34">
        <f>ABS(BK647)</f>
        <v/>
      </c>
      <c r="BK647" s="34">
        <f>AY647-(J647-L647+N647-Q647)</f>
        <v/>
      </c>
      <c r="BL647" s="34">
        <f>IF(AND(BK647&gt;0,MIN($F647:$G647)&lt;150,$E647="Enerji Açığı"),-100*BK647*1.03,IF(AND(BK647&gt;0,MIN($F647:$G647)&lt;150,$E647="Enerji Fazlası"),-100*BK647*1.06,IF(AND(BK647&gt;0,MIN($F647:$G647)&gt;=150,$E647="Enerji Açığı"),BK647*MIN($F647:$G647)*0.97,IF(AND(BK647&gt;0,MIN($F647:$G647)&gt;=150,$E647="Enerji Fazlası"),BK647*MIN($F647:$G647)*0.94,IF(AND(BK647&lt;0,MAX($F647:$G647)=4500,$E647="Enerji Açığı"),4500*1.05*1.06*BK647,IF(AND(BK647&lt;0,MAX($F647:$G647)=4500,$E647="Enerji Fazlası"),4500*1.05*1.03*BK647,IF(AND(BK647&lt;0,$E647="Enerji Açığı"),MAX($F647,$G647,150)*BK647*1.06,IF(AND(BK647&lt;0,$E647="Enerji Fazlası"),MAX($F647,$G647,150)*BK647*1.03,IF(AND(BK647&lt;0,$E647="Dengede"),MAX($F647:$G647,150)*1.03*BK647,MIN($F647:$G647)*0.97*BK647)))))))))</f>
        <v/>
      </c>
      <c r="BM647" s="34">
        <f>BE647-BI647-BN647</f>
        <v/>
      </c>
      <c r="BN647" s="34">
        <f>BB647</f>
        <v/>
      </c>
      <c r="BO647" s="34">
        <f>BE647-BI647</f>
        <v/>
      </c>
      <c r="BP647" s="34">
        <f>IF(AY647=0,0,BO647/AY647)</f>
        <v/>
      </c>
      <c r="BQ647" s="34">
        <f>MAX((AY647+MAX((-J647+L647-N647+Q647),0)),(MAX((J647-L647+N647-Q647),0)))</f>
        <v/>
      </c>
      <c r="BR647" s="82">
        <f>IFERROR(ABS(BK647/BQ647),0)</f>
        <v/>
      </c>
      <c r="BS647" s="34">
        <f>IF(BR647&lt;=0.1,0,BK647/BR647*(BR647-0.1))</f>
        <v/>
      </c>
      <c r="BT647" s="34">
        <f>IF((BS647)&lt;0,MAX(F647:G647)*(BS647)*1.03,MIN(F647:G647)*(BS647)*0.97)</f>
        <v/>
      </c>
      <c r="BU647" s="34">
        <f>IF(BR647&gt;0.1,1,0)</f>
        <v/>
      </c>
      <c r="BV647" s="34">
        <f>BF647+BG647+BH647+BY647-CA647</f>
        <v/>
      </c>
      <c r="BW647" s="34">
        <f>ABS(BX647)</f>
        <v/>
      </c>
      <c r="BX647" s="34">
        <f>AY647-(J647-L647+N647-Q647+T647-X647)</f>
        <v/>
      </c>
      <c r="BY647" s="34">
        <f>IF(AND(BX647&gt;0,MIN($F647:$G647)&lt;150,$E647="Enerji Açığı"),-100*BX647*1.03,IF(AND(BX647&gt;0,MIN($F647:$G647)&lt;150,$E647="Enerji Fazlası"),-100*BX647*1.06,IF(AND(BX647&gt;0,MIN($F647:$G647)&gt;=150,$E647="Enerji Açığı"),BX647*MIN($F647:$G647)*0.97,IF(AND(BX647&gt;0,MIN($F647:$G647)&gt;=150,$E647="Enerji Fazlası"),BX647*MIN($F647:$G647)*0.94,IF(AND(BX647&lt;0,MAX($F647:$G647)=4500,$E647="Enerji Açığı"),4500*1.05*1.06*BX647,IF(AND(BX647&lt;0,MAX($F647:$G647)=4500,$E647="Enerji Fazlası"),4500*1.05*1.03*BX647,IF(AND(BX647&lt;0,$E647="Enerji Açığı"),MAX($F647,$G647,150)*BX647*1.06,IF(AND(BX647&lt;0,$E647="Enerji Fazlası"),MAX($F647,$G647,150)*BX647*1.03,IF(AND(BX647&lt;0,$E647="Dengede"),MAX($F647:$G647,150)*1.03*BX647,MIN($F647:$G647)*0.97*BX647)))))))))</f>
        <v/>
      </c>
      <c r="BZ647" s="34">
        <f>BE647-BV647-CA647</f>
        <v/>
      </c>
      <c r="CA647" s="34">
        <f>BD647</f>
        <v/>
      </c>
      <c r="CB647" s="33">
        <f>BE647-BV647</f>
        <v/>
      </c>
      <c r="CC647" s="34">
        <f>IF(AY647=0,0,CB647/AY647)</f>
        <v/>
      </c>
      <c r="CD647" s="34">
        <f>MAX((AY647+MAX((-J647+L647-N647+Q647-T647+X647),0)),(MAX((J647-L647+N647-Q647+T647-X647),0)))</f>
        <v/>
      </c>
      <c r="CE647" s="82">
        <f>IFERROR(ABS(BX647/CD647),0)</f>
        <v/>
      </c>
      <c r="CF647" s="34">
        <f>IF(CE647&lt;=0.1,0,BX647/CE647*(CE647-0.1))</f>
        <v/>
      </c>
      <c r="CG647" s="34">
        <f>IF((CF647)&lt;0,MAX(F647:G647)*(CF647)*1.03,MIN(F647:G647)*(CF647)*0.97)</f>
        <v/>
      </c>
      <c r="CH647" s="34">
        <f>IF(CE647&gt;0.1,1,0)</f>
        <v/>
      </c>
      <c r="CI647" s="34">
        <f>(F647*BX647)-BY647</f>
        <v/>
      </c>
      <c r="CJ647" s="34">
        <f>IF(AY647=0,0,CI647/AY647)</f>
        <v/>
      </c>
    </row>
    <row r="648">
      <c r="A648" s="29">
        <f>[1]FİYATLAR!A623</f>
        <v/>
      </c>
      <c r="B648" s="29">
        <f>[1]FİYATLAR!B647</f>
        <v/>
      </c>
      <c r="C648" s="35">
        <f>INT(A648)</f>
        <v/>
      </c>
      <c r="D648" s="36">
        <f>MONTH(A648)</f>
        <v/>
      </c>
      <c r="E648" s="147">
        <f>[1]FİYATLAR!G623</f>
        <v/>
      </c>
      <c r="F648" s="30">
        <f>[1]FİYATLAR!C623</f>
        <v/>
      </c>
      <c r="G648" s="30">
        <f>[1]FİYATLAR!E623</f>
        <v/>
      </c>
      <c r="H648" s="30">
        <f>[1]FİYATLAR!D623</f>
        <v/>
      </c>
      <c r="I648" s="30">
        <f>[1]FİYATLAR!F623</f>
        <v/>
      </c>
      <c r="J648" s="119" t="n">
        <v>0</v>
      </c>
      <c r="K648" s="34">
        <f>F648*J648</f>
        <v/>
      </c>
      <c r="L648" s="119" t="n"/>
      <c r="M648" s="34">
        <f>L648*F648</f>
        <v/>
      </c>
      <c r="N648" s="119" t="n"/>
      <c r="O648" s="34">
        <f>F648</f>
        <v/>
      </c>
      <c r="P648" s="34">
        <f>N648*O648</f>
        <v/>
      </c>
      <c r="Q648" s="117" t="n">
        <v>0</v>
      </c>
      <c r="R648" s="34">
        <f>F648</f>
        <v/>
      </c>
      <c r="S648" s="34">
        <f>R648*Q648</f>
        <v/>
      </c>
      <c r="T648" s="34">
        <f>SUMIFS('[1]GİP VERİLERİ'!$C:$C,'[1]GİP VERİLERİ'!$B:$B,A648,'[1]GİP VERİLERİ'!$M:$M,"40X000000104782K",'[1]GİP VERİLERİ'!$G:$G,"SELL")</f>
        <v/>
      </c>
      <c r="U648" s="34">
        <f>IFERROR(W648/T648,0)</f>
        <v/>
      </c>
      <c r="V648" s="34">
        <f>IF(U648=0,0,U648-F648)</f>
        <v/>
      </c>
      <c r="W648" s="34">
        <f>SUMIFS('[1]GİP VERİLERİ'!$O:$O,'[1]GİP VERİLERİ'!$B:$B,A648,'[1]GİP VERİLERİ'!$M:$M,"40X000000104782K",'[1]GİP VERİLERİ'!$G:$G,"SELL")</f>
        <v/>
      </c>
      <c r="X648" s="34">
        <f>SUMIFS('[1]GİP VERİLERİ'!$C:$C,'[1]GİP VERİLERİ'!$B:$B,A648,'[1]GİP VERİLERİ'!$M:$M,"40X000000104782K",'[1]GİP VERİLERİ'!$G:$G,"BUY")</f>
        <v/>
      </c>
      <c r="Y648" s="34">
        <f>IFERROR(AA648/X648,0)</f>
        <v/>
      </c>
      <c r="Z648" s="34">
        <f>IF(Y648=0,0,F648-Y648)</f>
        <v/>
      </c>
      <c r="AA648" s="34">
        <f>SUMIFS('[1]GİP VERİLERİ'!$O:$O,'[1]GİP VERİLERİ'!$B:$B,A648,'[1]GİP VERİLERİ'!$M:$M,"40X000000104782K",'[1]GİP VERİLERİ'!$G:$G,"BUY")</f>
        <v/>
      </c>
      <c r="AB648" s="34">
        <f>'[1]GÖP VERİLERİ'!H649</f>
        <v/>
      </c>
      <c r="AC648" s="34">
        <f>'[1]GÖP VERİLERİ'!I649</f>
        <v/>
      </c>
      <c r="AD648" s="34">
        <f>IF(AB648&gt;AC648*1.05,AB648-AC648*1.05,IF(AB648&lt;AC648*0.95,AC648*0.95-AB648,0))</f>
        <v/>
      </c>
      <c r="AE648" s="34">
        <f>MAX(F648,G648,750)*0.05*AD648</f>
        <v/>
      </c>
      <c r="AF648" s="34">
        <f>'[1]GÖP VERİLERİ'!J649</f>
        <v/>
      </c>
      <c r="AG648" s="34">
        <f>IF(AB648&gt;AF648*1.05,AB648-AF648*1.05,IF(AB648&lt;AF648*0.95,AF648*0.95-AB648,0))</f>
        <v/>
      </c>
      <c r="AH648" s="34">
        <f>MAX(I648,J648,750)*0.05*AG648</f>
        <v/>
      </c>
      <c r="AI648">
        <f>'[1]GÖP VERİLERİ'!E649</f>
        <v/>
      </c>
      <c r="AJ648">
        <f>'[1]GÖP VERİLERİ'!F649</f>
        <v/>
      </c>
      <c r="AK648" s="34">
        <f>IF(AI648&gt;AJ648*1.05,AI648-AJ648*1.05,IF(AI648&lt;AJ648*0.95,AJ648*0.95-AI648,0))</f>
        <v/>
      </c>
      <c r="AL648" s="34">
        <f>MAX(F648,G648,750)*0.05*AK648</f>
        <v/>
      </c>
      <c r="AM648" s="39">
        <f>'[1]GÖP VERİLERİ'!G649</f>
        <v/>
      </c>
      <c r="AN648" s="34">
        <f>IF(AI648&gt;AM648*1.05,AI648-AM648*1.05,IF(AI648&lt;AM648*0.95,AM648*0.95-AI648,0))</f>
        <v/>
      </c>
      <c r="AO648" s="34">
        <f>MAX(F648,G648,750)*0.05*AN648</f>
        <v/>
      </c>
      <c r="AP648" s="34">
        <f>'[1]GÖP VERİLERİ'!B649</f>
        <v/>
      </c>
      <c r="AQ648" s="34">
        <f>'[1]GÖP VERİLERİ'!C649</f>
        <v/>
      </c>
      <c r="AR648" s="34">
        <f>IF(AP648&gt;AQ648*1.05,AP648-AQ648*1.05,IF(AP648&lt;AQ648*0.95,AQ648*0.95-AP648,0))</f>
        <v/>
      </c>
      <c r="AS648" s="34">
        <f>MAX(F648:G648,750)*0.05*AR648</f>
        <v/>
      </c>
      <c r="AT648">
        <f>'[1]GÖP VERİLERİ'!D649</f>
        <v/>
      </c>
      <c r="AU648" s="34">
        <f>IF(AP648&gt;AT648*1.05,AP648-AT648*1.05,IF(AP648&lt;AT648*0.95,AT648*0.95-AP648,0))</f>
        <v/>
      </c>
      <c r="AV648" s="34">
        <f>MAX(F648:G648,750)*0.05*AU648</f>
        <v/>
      </c>
      <c r="AW648" s="34">
        <f>AC648+AJ648+AQ648</f>
        <v/>
      </c>
      <c r="AX648" s="34">
        <f>AF648+AM648+AT648</f>
        <v/>
      </c>
      <c r="AY648" s="34">
        <f>AB648+AI648+AP648</f>
        <v/>
      </c>
      <c r="AZ648" s="34" t="n">
        <v>0</v>
      </c>
      <c r="BA648" s="34">
        <f>AD648+AK648+AR648</f>
        <v/>
      </c>
      <c r="BB648" s="34">
        <f>MAX(F648:G648,750)*0.05*BA648</f>
        <v/>
      </c>
      <c r="BC648" s="34">
        <f>AG648+AN648+AU648</f>
        <v/>
      </c>
      <c r="BD648" s="34">
        <f>MAX(F648:G648,750)*0.05*BC648</f>
        <v/>
      </c>
      <c r="BE648" s="34">
        <f>F648*AY648</f>
        <v/>
      </c>
      <c r="BF648" s="34">
        <f>K648-M648</f>
        <v/>
      </c>
      <c r="BG648" s="34">
        <f>P648-S648</f>
        <v/>
      </c>
      <c r="BH648" s="34">
        <f>W648-AA648</f>
        <v/>
      </c>
      <c r="BI648" s="34">
        <f>BF648+BG648+BL648-BN648</f>
        <v/>
      </c>
      <c r="BJ648" s="34">
        <f>ABS(BK648)</f>
        <v/>
      </c>
      <c r="BK648" s="34">
        <f>AY648-(J648-L648+N648-Q648)</f>
        <v/>
      </c>
      <c r="BL648" s="34">
        <f>IF(AND(BK648&gt;0,MIN($F648:$G648)&lt;150,$E648="Enerji Açığı"),-100*BK648*1.03,IF(AND(BK648&gt;0,MIN($F648:$G648)&lt;150,$E648="Enerji Fazlası"),-100*BK648*1.06,IF(AND(BK648&gt;0,MIN($F648:$G648)&gt;=150,$E648="Enerji Açığı"),BK648*MIN($F648:$G648)*0.97,IF(AND(BK648&gt;0,MIN($F648:$G648)&gt;=150,$E648="Enerji Fazlası"),BK648*MIN($F648:$G648)*0.94,IF(AND(BK648&lt;0,MAX($F648:$G648)=4500,$E648="Enerji Açığı"),4500*1.05*1.06*BK648,IF(AND(BK648&lt;0,MAX($F648:$G648)=4500,$E648="Enerji Fazlası"),4500*1.05*1.03*BK648,IF(AND(BK648&lt;0,$E648="Enerji Açığı"),MAX($F648,$G648,150)*BK648*1.06,IF(AND(BK648&lt;0,$E648="Enerji Fazlası"),MAX($F648,$G648,150)*BK648*1.03,IF(AND(BK648&lt;0,$E648="Dengede"),MAX($F648:$G648,150)*1.03*BK648,MIN($F648:$G648)*0.97*BK648)))))))))</f>
        <v/>
      </c>
      <c r="BM648" s="34">
        <f>BE648-BI648-BN648</f>
        <v/>
      </c>
      <c r="BN648" s="34">
        <f>BB648</f>
        <v/>
      </c>
      <c r="BO648" s="34">
        <f>BE648-BI648</f>
        <v/>
      </c>
      <c r="BP648" s="34">
        <f>IF(AY648=0,0,BO648/AY648)</f>
        <v/>
      </c>
      <c r="BQ648" s="34">
        <f>MAX((AY648+MAX((-J648+L648-N648+Q648),0)),(MAX((J648-L648+N648-Q648),0)))</f>
        <v/>
      </c>
      <c r="BR648" s="82">
        <f>IFERROR(ABS(BK648/BQ648),0)</f>
        <v/>
      </c>
      <c r="BS648" s="34">
        <f>IF(BR648&lt;=0.1,0,BK648/BR648*(BR648-0.1))</f>
        <v/>
      </c>
      <c r="BT648" s="34">
        <f>IF((BS648)&lt;0,MAX(F648:G648)*(BS648)*1.03,MIN(F648:G648)*(BS648)*0.97)</f>
        <v/>
      </c>
      <c r="BU648" s="34">
        <f>IF(BR648&gt;0.1,1,0)</f>
        <v/>
      </c>
      <c r="BV648" s="34">
        <f>BF648+BG648+BH648+BY648-CA648</f>
        <v/>
      </c>
      <c r="BW648" s="34">
        <f>ABS(BX648)</f>
        <v/>
      </c>
      <c r="BX648" s="34">
        <f>AY648-(J648-L648+N648-Q648+T648-X648)</f>
        <v/>
      </c>
      <c r="BY648" s="34">
        <f>IF(AND(BX648&gt;0,MIN($F648:$G648)&lt;150,$E648="Enerji Açığı"),-100*BX648*1.03,IF(AND(BX648&gt;0,MIN($F648:$G648)&lt;150,$E648="Enerji Fazlası"),-100*BX648*1.06,IF(AND(BX648&gt;0,MIN($F648:$G648)&gt;=150,$E648="Enerji Açığı"),BX648*MIN($F648:$G648)*0.97,IF(AND(BX648&gt;0,MIN($F648:$G648)&gt;=150,$E648="Enerji Fazlası"),BX648*MIN($F648:$G648)*0.94,IF(AND(BX648&lt;0,MAX($F648:$G648)=4500,$E648="Enerji Açığı"),4500*1.05*1.06*BX648,IF(AND(BX648&lt;0,MAX($F648:$G648)=4500,$E648="Enerji Fazlası"),4500*1.05*1.03*BX648,IF(AND(BX648&lt;0,$E648="Enerji Açığı"),MAX($F648,$G648,150)*BX648*1.06,IF(AND(BX648&lt;0,$E648="Enerji Fazlası"),MAX($F648,$G648,150)*BX648*1.03,IF(AND(BX648&lt;0,$E648="Dengede"),MAX($F648:$G648,150)*1.03*BX648,MIN($F648:$G648)*0.97*BX648)))))))))</f>
        <v/>
      </c>
      <c r="BZ648" s="34">
        <f>BE648-BV648-CA648</f>
        <v/>
      </c>
      <c r="CA648" s="34">
        <f>BD648</f>
        <v/>
      </c>
      <c r="CB648" s="33">
        <f>BE648-BV648</f>
        <v/>
      </c>
      <c r="CC648" s="34">
        <f>IF(AY648=0,0,CB648/AY648)</f>
        <v/>
      </c>
      <c r="CD648" s="34">
        <f>MAX((AY648+MAX((-J648+L648-N648+Q648-T648+X648),0)),(MAX((J648-L648+N648-Q648+T648-X648),0)))</f>
        <v/>
      </c>
      <c r="CE648" s="82">
        <f>IFERROR(ABS(BX648/CD648),0)</f>
        <v/>
      </c>
      <c r="CF648" s="34">
        <f>IF(CE648&lt;=0.1,0,BX648/CE648*(CE648-0.1))</f>
        <v/>
      </c>
      <c r="CG648" s="34">
        <f>IF((CF648)&lt;0,MAX(F648:G648)*(CF648)*1.03,MIN(F648:G648)*(CF648)*0.97)</f>
        <v/>
      </c>
      <c r="CH648" s="34">
        <f>IF(CE648&gt;0.1,1,0)</f>
        <v/>
      </c>
      <c r="CI648" s="34">
        <f>(F648*BX648)-BY648</f>
        <v/>
      </c>
      <c r="CJ648" s="34">
        <f>IF(AY648=0,0,CI648/AY648)</f>
        <v/>
      </c>
    </row>
    <row r="649">
      <c r="A649" s="29">
        <f>[1]FİYATLAR!A624</f>
        <v/>
      </c>
      <c r="B649" s="29">
        <f>[1]FİYATLAR!B648</f>
        <v/>
      </c>
      <c r="C649" s="35">
        <f>INT(A649)</f>
        <v/>
      </c>
      <c r="D649" s="36">
        <f>MONTH(A649)</f>
        <v/>
      </c>
      <c r="E649" s="147">
        <f>[1]FİYATLAR!G624</f>
        <v/>
      </c>
      <c r="F649" s="30">
        <f>[1]FİYATLAR!C624</f>
        <v/>
      </c>
      <c r="G649" s="30">
        <f>[1]FİYATLAR!E624</f>
        <v/>
      </c>
      <c r="H649" s="30">
        <f>[1]FİYATLAR!D624</f>
        <v/>
      </c>
      <c r="I649" s="30">
        <f>[1]FİYATLAR!F624</f>
        <v/>
      </c>
      <c r="J649" s="119" t="n">
        <v>0</v>
      </c>
      <c r="K649" s="34">
        <f>F649*J649</f>
        <v/>
      </c>
      <c r="L649" s="119" t="n"/>
      <c r="M649" s="34">
        <f>L649*F649</f>
        <v/>
      </c>
      <c r="N649" s="119" t="n"/>
      <c r="O649" s="34">
        <f>F649</f>
        <v/>
      </c>
      <c r="P649" s="34">
        <f>N649*O649</f>
        <v/>
      </c>
      <c r="Q649" s="117" t="n">
        <v>0</v>
      </c>
      <c r="R649" s="34">
        <f>F649</f>
        <v/>
      </c>
      <c r="S649" s="34">
        <f>R649*Q649</f>
        <v/>
      </c>
      <c r="T649" s="34">
        <f>SUMIFS('[1]GİP VERİLERİ'!$C:$C,'[1]GİP VERİLERİ'!$B:$B,A649,'[1]GİP VERİLERİ'!$M:$M,"40X000000104782K",'[1]GİP VERİLERİ'!$G:$G,"SELL")</f>
        <v/>
      </c>
      <c r="U649" s="34">
        <f>IFERROR(W649/T649,0)</f>
        <v/>
      </c>
      <c r="V649" s="34">
        <f>IF(U649=0,0,U649-F649)</f>
        <v/>
      </c>
      <c r="W649" s="34">
        <f>SUMIFS('[1]GİP VERİLERİ'!$O:$O,'[1]GİP VERİLERİ'!$B:$B,A649,'[1]GİP VERİLERİ'!$M:$M,"40X000000104782K",'[1]GİP VERİLERİ'!$G:$G,"SELL")</f>
        <v/>
      </c>
      <c r="X649" s="34">
        <f>SUMIFS('[1]GİP VERİLERİ'!$C:$C,'[1]GİP VERİLERİ'!$B:$B,A649,'[1]GİP VERİLERİ'!$M:$M,"40X000000104782K",'[1]GİP VERİLERİ'!$G:$G,"BUY")</f>
        <v/>
      </c>
      <c r="Y649" s="34">
        <f>IFERROR(AA649/X649,0)</f>
        <v/>
      </c>
      <c r="Z649" s="34">
        <f>IF(Y649=0,0,F649-Y649)</f>
        <v/>
      </c>
      <c r="AA649" s="34">
        <f>SUMIFS('[1]GİP VERİLERİ'!$O:$O,'[1]GİP VERİLERİ'!$B:$B,A649,'[1]GİP VERİLERİ'!$M:$M,"40X000000104782K",'[1]GİP VERİLERİ'!$G:$G,"BUY")</f>
        <v/>
      </c>
      <c r="AB649" s="34">
        <f>'[1]GÖP VERİLERİ'!H650</f>
        <v/>
      </c>
      <c r="AC649" s="34">
        <f>'[1]GÖP VERİLERİ'!I650</f>
        <v/>
      </c>
      <c r="AD649" s="34">
        <f>IF(AB649&gt;AC649*1.05,AB649-AC649*1.05,IF(AB649&lt;AC649*0.95,AC649*0.95-AB649,0))</f>
        <v/>
      </c>
      <c r="AE649" s="34">
        <f>MAX(F649,G649,750)*0.05*AD649</f>
        <v/>
      </c>
      <c r="AF649" s="34">
        <f>'[1]GÖP VERİLERİ'!J650</f>
        <v/>
      </c>
      <c r="AG649" s="34">
        <f>IF(AB649&gt;AF649*1.05,AB649-AF649*1.05,IF(AB649&lt;AF649*0.95,AF649*0.95-AB649,0))</f>
        <v/>
      </c>
      <c r="AH649" s="34">
        <f>MAX(I649,J649,750)*0.05*AG649</f>
        <v/>
      </c>
      <c r="AI649">
        <f>'[1]GÖP VERİLERİ'!E650</f>
        <v/>
      </c>
      <c r="AJ649">
        <f>'[1]GÖP VERİLERİ'!F650</f>
        <v/>
      </c>
      <c r="AK649" s="34">
        <f>IF(AI649&gt;AJ649*1.05,AI649-AJ649*1.05,IF(AI649&lt;AJ649*0.95,AJ649*0.95-AI649,0))</f>
        <v/>
      </c>
      <c r="AL649" s="34">
        <f>MAX(F649,G649,750)*0.05*AK649</f>
        <v/>
      </c>
      <c r="AM649" s="39">
        <f>'[1]GÖP VERİLERİ'!G650</f>
        <v/>
      </c>
      <c r="AN649" s="34">
        <f>IF(AI649&gt;AM649*1.05,AI649-AM649*1.05,IF(AI649&lt;AM649*0.95,AM649*0.95-AI649,0))</f>
        <v/>
      </c>
      <c r="AO649" s="34">
        <f>MAX(F649,G649,750)*0.05*AN649</f>
        <v/>
      </c>
      <c r="AP649" s="34">
        <f>'[1]GÖP VERİLERİ'!B650</f>
        <v/>
      </c>
      <c r="AQ649" s="34">
        <f>'[1]GÖP VERİLERİ'!C650</f>
        <v/>
      </c>
      <c r="AR649" s="34">
        <f>IF(AP649&gt;AQ649*1.05,AP649-AQ649*1.05,IF(AP649&lt;AQ649*0.95,AQ649*0.95-AP649,0))</f>
        <v/>
      </c>
      <c r="AS649" s="34">
        <f>MAX(F649:G649,750)*0.05*AR649</f>
        <v/>
      </c>
      <c r="AT649">
        <f>'[1]GÖP VERİLERİ'!D650</f>
        <v/>
      </c>
      <c r="AU649" s="34">
        <f>IF(AP649&gt;AT649*1.05,AP649-AT649*1.05,IF(AP649&lt;AT649*0.95,AT649*0.95-AP649,0))</f>
        <v/>
      </c>
      <c r="AV649" s="34">
        <f>MAX(F649:G649,750)*0.05*AU649</f>
        <v/>
      </c>
      <c r="AW649" s="34">
        <f>AC649+AJ649+AQ649</f>
        <v/>
      </c>
      <c r="AX649" s="34">
        <f>AF649+AM649+AT649</f>
        <v/>
      </c>
      <c r="AY649" s="34">
        <f>AB649+AI649+AP649</f>
        <v/>
      </c>
      <c r="AZ649" s="34" t="n">
        <v>0</v>
      </c>
      <c r="BA649" s="34">
        <f>AD649+AK649+AR649</f>
        <v/>
      </c>
      <c r="BB649" s="34">
        <f>MAX(F649:G649,750)*0.05*BA649</f>
        <v/>
      </c>
      <c r="BC649" s="34">
        <f>AG649+AN649+AU649</f>
        <v/>
      </c>
      <c r="BD649" s="34">
        <f>MAX(F649:G649,750)*0.05*BC649</f>
        <v/>
      </c>
      <c r="BE649" s="34">
        <f>F649*AY649</f>
        <v/>
      </c>
      <c r="BF649" s="34">
        <f>K649-M649</f>
        <v/>
      </c>
      <c r="BG649" s="34">
        <f>P649-S649</f>
        <v/>
      </c>
      <c r="BH649" s="34">
        <f>W649-AA649</f>
        <v/>
      </c>
      <c r="BI649" s="34">
        <f>BF649+BG649+BL649-BN649</f>
        <v/>
      </c>
      <c r="BJ649" s="34">
        <f>ABS(BK649)</f>
        <v/>
      </c>
      <c r="BK649" s="34">
        <f>AY649-(J649-L649+N649-Q649)</f>
        <v/>
      </c>
      <c r="BL649" s="34">
        <f>IF(AND(BK649&gt;0,MIN($F649:$G649)&lt;150,$E649="Enerji Açığı"),-100*BK649*1.03,IF(AND(BK649&gt;0,MIN($F649:$G649)&lt;150,$E649="Enerji Fazlası"),-100*BK649*1.06,IF(AND(BK649&gt;0,MIN($F649:$G649)&gt;=150,$E649="Enerji Açığı"),BK649*MIN($F649:$G649)*0.97,IF(AND(BK649&gt;0,MIN($F649:$G649)&gt;=150,$E649="Enerji Fazlası"),BK649*MIN($F649:$G649)*0.94,IF(AND(BK649&lt;0,MAX($F649:$G649)=4500,$E649="Enerji Açığı"),4500*1.05*1.06*BK649,IF(AND(BK649&lt;0,MAX($F649:$G649)=4500,$E649="Enerji Fazlası"),4500*1.05*1.03*BK649,IF(AND(BK649&lt;0,$E649="Enerji Açığı"),MAX($F649,$G649,150)*BK649*1.06,IF(AND(BK649&lt;0,$E649="Enerji Fazlası"),MAX($F649,$G649,150)*BK649*1.03,IF(AND(BK649&lt;0,$E649="Dengede"),MAX($F649:$G649,150)*1.03*BK649,MIN($F649:$G649)*0.97*BK649)))))))))</f>
        <v/>
      </c>
      <c r="BM649" s="34">
        <f>BE649-BI649-BN649</f>
        <v/>
      </c>
      <c r="BN649" s="34">
        <f>BB649</f>
        <v/>
      </c>
      <c r="BO649" s="34">
        <f>BE649-BI649</f>
        <v/>
      </c>
      <c r="BP649" s="34">
        <f>IF(AY649=0,0,BO649/AY649)</f>
        <v/>
      </c>
      <c r="BQ649" s="34">
        <f>MAX((AY649+MAX((-J649+L649-N649+Q649),0)),(MAX((J649-L649+N649-Q649),0)))</f>
        <v/>
      </c>
      <c r="BR649" s="82">
        <f>IFERROR(ABS(BK649/BQ649),0)</f>
        <v/>
      </c>
      <c r="BS649" s="34">
        <f>IF(BR649&lt;=0.1,0,BK649/BR649*(BR649-0.1))</f>
        <v/>
      </c>
      <c r="BT649" s="34">
        <f>IF((BS649)&lt;0,MAX(F649:G649)*(BS649)*1.03,MIN(F649:G649)*(BS649)*0.97)</f>
        <v/>
      </c>
      <c r="BU649" s="34">
        <f>IF(BR649&gt;0.1,1,0)</f>
        <v/>
      </c>
      <c r="BV649" s="34">
        <f>BF649+BG649+BH649+BY649-CA649</f>
        <v/>
      </c>
      <c r="BW649" s="34">
        <f>ABS(BX649)</f>
        <v/>
      </c>
      <c r="BX649" s="34">
        <f>AY649-(J649-L649+N649-Q649+T649-X649)</f>
        <v/>
      </c>
      <c r="BY649" s="34">
        <f>IF(AND(BX649&gt;0,MIN($F649:$G649)&lt;150,$E649="Enerji Açığı"),-100*BX649*1.03,IF(AND(BX649&gt;0,MIN($F649:$G649)&lt;150,$E649="Enerji Fazlası"),-100*BX649*1.06,IF(AND(BX649&gt;0,MIN($F649:$G649)&gt;=150,$E649="Enerji Açığı"),BX649*MIN($F649:$G649)*0.97,IF(AND(BX649&gt;0,MIN($F649:$G649)&gt;=150,$E649="Enerji Fazlası"),BX649*MIN($F649:$G649)*0.94,IF(AND(BX649&lt;0,MAX($F649:$G649)=4500,$E649="Enerji Açığı"),4500*1.05*1.06*BX649,IF(AND(BX649&lt;0,MAX($F649:$G649)=4500,$E649="Enerji Fazlası"),4500*1.05*1.03*BX649,IF(AND(BX649&lt;0,$E649="Enerji Açığı"),MAX($F649,$G649,150)*BX649*1.06,IF(AND(BX649&lt;0,$E649="Enerji Fazlası"),MAX($F649,$G649,150)*BX649*1.03,IF(AND(BX649&lt;0,$E649="Dengede"),MAX($F649:$G649,150)*1.03*BX649,MIN($F649:$G649)*0.97*BX649)))))))))</f>
        <v/>
      </c>
      <c r="BZ649" s="34">
        <f>BE649-BV649-CA649</f>
        <v/>
      </c>
      <c r="CA649" s="34">
        <f>BD649</f>
        <v/>
      </c>
      <c r="CB649" s="33">
        <f>BE649-BV649</f>
        <v/>
      </c>
      <c r="CC649" s="34">
        <f>IF(AY649=0,0,CB649/AY649)</f>
        <v/>
      </c>
      <c r="CD649" s="34">
        <f>MAX((AY649+MAX((-J649+L649-N649+Q649-T649+X649),0)),(MAX((J649-L649+N649-Q649+T649-X649),0)))</f>
        <v/>
      </c>
      <c r="CE649" s="82">
        <f>IFERROR(ABS(BX649/CD649),0)</f>
        <v/>
      </c>
      <c r="CF649" s="34">
        <f>IF(CE649&lt;=0.1,0,BX649/CE649*(CE649-0.1))</f>
        <v/>
      </c>
      <c r="CG649" s="34">
        <f>IF((CF649)&lt;0,MAX(F649:G649)*(CF649)*1.03,MIN(F649:G649)*(CF649)*0.97)</f>
        <v/>
      </c>
      <c r="CH649" s="34">
        <f>IF(CE649&gt;0.1,1,0)</f>
        <v/>
      </c>
      <c r="CI649" s="34">
        <f>(F649*BX649)-BY649</f>
        <v/>
      </c>
      <c r="CJ649" s="34">
        <f>IF(AY649=0,0,CI649/AY649)</f>
        <v/>
      </c>
    </row>
    <row r="650">
      <c r="A650" s="29">
        <f>[1]FİYATLAR!A625</f>
        <v/>
      </c>
      <c r="B650" s="29">
        <f>[1]FİYATLAR!B649</f>
        <v/>
      </c>
      <c r="C650" s="35">
        <f>INT(A650)</f>
        <v/>
      </c>
      <c r="D650" s="36">
        <f>MONTH(A650)</f>
        <v/>
      </c>
      <c r="E650" s="147">
        <f>[1]FİYATLAR!G625</f>
        <v/>
      </c>
      <c r="F650" s="30">
        <f>[1]FİYATLAR!C625</f>
        <v/>
      </c>
      <c r="G650" s="30">
        <f>[1]FİYATLAR!E625</f>
        <v/>
      </c>
      <c r="H650" s="30">
        <f>[1]FİYATLAR!D625</f>
        <v/>
      </c>
      <c r="I650" s="30">
        <f>[1]FİYATLAR!F625</f>
        <v/>
      </c>
      <c r="J650" s="119" t="n">
        <v>0</v>
      </c>
      <c r="K650" s="34">
        <f>F650*J650</f>
        <v/>
      </c>
      <c r="L650" s="119" t="n"/>
      <c r="M650" s="34">
        <f>L650*F650</f>
        <v/>
      </c>
      <c r="N650" s="119" t="n"/>
      <c r="O650" s="34">
        <f>F650</f>
        <v/>
      </c>
      <c r="P650" s="34">
        <f>N650*O650</f>
        <v/>
      </c>
      <c r="Q650" s="117" t="n">
        <v>0</v>
      </c>
      <c r="R650" s="34">
        <f>F650</f>
        <v/>
      </c>
      <c r="S650" s="34">
        <f>R650*Q650</f>
        <v/>
      </c>
      <c r="T650" s="34">
        <f>SUMIFS('[1]GİP VERİLERİ'!$C:$C,'[1]GİP VERİLERİ'!$B:$B,A650,'[1]GİP VERİLERİ'!$M:$M,"40X000000104782K",'[1]GİP VERİLERİ'!$G:$G,"SELL")</f>
        <v/>
      </c>
      <c r="U650" s="34">
        <f>IFERROR(W650/T650,0)</f>
        <v/>
      </c>
      <c r="V650" s="34">
        <f>IF(U650=0,0,U650-F650)</f>
        <v/>
      </c>
      <c r="W650" s="34">
        <f>SUMIFS('[1]GİP VERİLERİ'!$O:$O,'[1]GİP VERİLERİ'!$B:$B,A650,'[1]GİP VERİLERİ'!$M:$M,"40X000000104782K",'[1]GİP VERİLERİ'!$G:$G,"SELL")</f>
        <v/>
      </c>
      <c r="X650" s="34">
        <f>SUMIFS('[1]GİP VERİLERİ'!$C:$C,'[1]GİP VERİLERİ'!$B:$B,A650,'[1]GİP VERİLERİ'!$M:$M,"40X000000104782K",'[1]GİP VERİLERİ'!$G:$G,"BUY")</f>
        <v/>
      </c>
      <c r="Y650" s="34">
        <f>IFERROR(AA650/X650,0)</f>
        <v/>
      </c>
      <c r="Z650" s="34">
        <f>IF(Y650=0,0,F650-Y650)</f>
        <v/>
      </c>
      <c r="AA650" s="34">
        <f>SUMIFS('[1]GİP VERİLERİ'!$O:$O,'[1]GİP VERİLERİ'!$B:$B,A650,'[1]GİP VERİLERİ'!$M:$M,"40X000000104782K",'[1]GİP VERİLERİ'!$G:$G,"BUY")</f>
        <v/>
      </c>
      <c r="AB650" s="34">
        <f>'[1]GÖP VERİLERİ'!H651</f>
        <v/>
      </c>
      <c r="AC650" s="34">
        <f>'[1]GÖP VERİLERİ'!I651</f>
        <v/>
      </c>
      <c r="AD650" s="34">
        <f>IF(AB650&gt;AC650*1.05,AB650-AC650*1.05,IF(AB650&lt;AC650*0.95,AC650*0.95-AB650,0))</f>
        <v/>
      </c>
      <c r="AE650" s="34">
        <f>MAX(F650,G650,750)*0.05*AD650</f>
        <v/>
      </c>
      <c r="AF650" s="34">
        <f>'[1]GÖP VERİLERİ'!J651</f>
        <v/>
      </c>
      <c r="AG650" s="34">
        <f>IF(AB650&gt;AF650*1.05,AB650-AF650*1.05,IF(AB650&lt;AF650*0.95,AF650*0.95-AB650,0))</f>
        <v/>
      </c>
      <c r="AH650" s="34">
        <f>MAX(I650,J650,750)*0.05*AG650</f>
        <v/>
      </c>
      <c r="AI650">
        <f>'[1]GÖP VERİLERİ'!E651</f>
        <v/>
      </c>
      <c r="AJ650">
        <f>'[1]GÖP VERİLERİ'!F651</f>
        <v/>
      </c>
      <c r="AK650" s="34">
        <f>IF(AI650&gt;AJ650*1.05,AI650-AJ650*1.05,IF(AI650&lt;AJ650*0.95,AJ650*0.95-AI650,0))</f>
        <v/>
      </c>
      <c r="AL650" s="34">
        <f>MAX(F650,G650,750)*0.05*AK650</f>
        <v/>
      </c>
      <c r="AM650" s="39">
        <f>'[1]GÖP VERİLERİ'!G651</f>
        <v/>
      </c>
      <c r="AN650" s="34">
        <f>IF(AI650&gt;AM650*1.05,AI650-AM650*1.05,IF(AI650&lt;AM650*0.95,AM650*0.95-AI650,0))</f>
        <v/>
      </c>
      <c r="AO650" s="34">
        <f>MAX(F650,G650,750)*0.05*AN650</f>
        <v/>
      </c>
      <c r="AP650" s="34">
        <f>'[1]GÖP VERİLERİ'!B651</f>
        <v/>
      </c>
      <c r="AQ650" s="34">
        <f>'[1]GÖP VERİLERİ'!C651</f>
        <v/>
      </c>
      <c r="AR650" s="34">
        <f>IF(AP650&gt;AQ650*1.05,AP650-AQ650*1.05,IF(AP650&lt;AQ650*0.95,AQ650*0.95-AP650,0))</f>
        <v/>
      </c>
      <c r="AS650" s="34">
        <f>MAX(F650:G650,750)*0.05*AR650</f>
        <v/>
      </c>
      <c r="AT650">
        <f>'[1]GÖP VERİLERİ'!D651</f>
        <v/>
      </c>
      <c r="AU650" s="34">
        <f>IF(AP650&gt;AT650*1.05,AP650-AT650*1.05,IF(AP650&lt;AT650*0.95,AT650*0.95-AP650,0))</f>
        <v/>
      </c>
      <c r="AV650" s="34">
        <f>MAX(F650:G650,750)*0.05*AU650</f>
        <v/>
      </c>
      <c r="AW650" s="34">
        <f>AC650+AJ650+AQ650</f>
        <v/>
      </c>
      <c r="AX650" s="34">
        <f>AF650+AM650+AT650</f>
        <v/>
      </c>
      <c r="AY650" s="34">
        <f>AB650+AI650+AP650</f>
        <v/>
      </c>
      <c r="AZ650" s="34" t="n">
        <v>0</v>
      </c>
      <c r="BA650" s="34">
        <f>AD650+AK650+AR650</f>
        <v/>
      </c>
      <c r="BB650" s="34">
        <f>MAX(F650:G650,750)*0.05*BA650</f>
        <v/>
      </c>
      <c r="BC650" s="34">
        <f>AG650+AN650+AU650</f>
        <v/>
      </c>
      <c r="BD650" s="34">
        <f>MAX(F650:G650,750)*0.05*BC650</f>
        <v/>
      </c>
      <c r="BE650" s="34">
        <f>F650*AY650</f>
        <v/>
      </c>
      <c r="BF650" s="34">
        <f>K650-M650</f>
        <v/>
      </c>
      <c r="BG650" s="34">
        <f>P650-S650</f>
        <v/>
      </c>
      <c r="BH650" s="34">
        <f>W650-AA650</f>
        <v/>
      </c>
      <c r="BI650" s="34">
        <f>BF650+BG650+BL650-BN650</f>
        <v/>
      </c>
      <c r="BJ650" s="34">
        <f>ABS(BK650)</f>
        <v/>
      </c>
      <c r="BK650" s="34">
        <f>AY650-(J650-L650+N650-Q650)</f>
        <v/>
      </c>
      <c r="BL650" s="34">
        <f>IF(AND(BK650&gt;0,MIN($F650:$G650)&lt;150,$E650="Enerji Açığı"),-100*BK650*1.03,IF(AND(BK650&gt;0,MIN($F650:$G650)&lt;150,$E650="Enerji Fazlası"),-100*BK650*1.06,IF(AND(BK650&gt;0,MIN($F650:$G650)&gt;=150,$E650="Enerji Açığı"),BK650*MIN($F650:$G650)*0.97,IF(AND(BK650&gt;0,MIN($F650:$G650)&gt;=150,$E650="Enerji Fazlası"),BK650*MIN($F650:$G650)*0.94,IF(AND(BK650&lt;0,MAX($F650:$G650)=4500,$E650="Enerji Açığı"),4500*1.05*1.06*BK650,IF(AND(BK650&lt;0,MAX($F650:$G650)=4500,$E650="Enerji Fazlası"),4500*1.05*1.03*BK650,IF(AND(BK650&lt;0,$E650="Enerji Açığı"),MAX($F650,$G650,150)*BK650*1.06,IF(AND(BK650&lt;0,$E650="Enerji Fazlası"),MAX($F650,$G650,150)*BK650*1.03,IF(AND(BK650&lt;0,$E650="Dengede"),MAX($F650:$G650,150)*1.03*BK650,MIN($F650:$G650)*0.97*BK650)))))))))</f>
        <v/>
      </c>
      <c r="BM650" s="34">
        <f>BE650-BI650-BN650</f>
        <v/>
      </c>
      <c r="BN650" s="34">
        <f>BB650</f>
        <v/>
      </c>
      <c r="BO650" s="34">
        <f>BE650-BI650</f>
        <v/>
      </c>
      <c r="BP650" s="34">
        <f>IF(AY650=0,0,BO650/AY650)</f>
        <v/>
      </c>
      <c r="BQ650" s="34">
        <f>MAX((AY650+MAX((-J650+L650-N650+Q650),0)),(MAX((J650-L650+N650-Q650),0)))</f>
        <v/>
      </c>
      <c r="BR650" s="82">
        <f>IFERROR(ABS(BK650/BQ650),0)</f>
        <v/>
      </c>
      <c r="BS650" s="34">
        <f>IF(BR650&lt;=0.1,0,BK650/BR650*(BR650-0.1))</f>
        <v/>
      </c>
      <c r="BT650" s="34">
        <f>IF((BS650)&lt;0,MAX(F650:G650)*(BS650)*1.03,MIN(F650:G650)*(BS650)*0.97)</f>
        <v/>
      </c>
      <c r="BU650" s="34">
        <f>IF(BR650&gt;0.1,1,0)</f>
        <v/>
      </c>
      <c r="BV650" s="34">
        <f>BF650+BG650+BH650+BY650-CA650</f>
        <v/>
      </c>
      <c r="BW650" s="34">
        <f>ABS(BX650)</f>
        <v/>
      </c>
      <c r="BX650" s="34">
        <f>AY650-(J650-L650+N650-Q650+T650-X650)</f>
        <v/>
      </c>
      <c r="BY650" s="34">
        <f>IF(AND(BX650&gt;0,MIN($F650:$G650)&lt;150,$E650="Enerji Açığı"),-100*BX650*1.03,IF(AND(BX650&gt;0,MIN($F650:$G650)&lt;150,$E650="Enerji Fazlası"),-100*BX650*1.06,IF(AND(BX650&gt;0,MIN($F650:$G650)&gt;=150,$E650="Enerji Açığı"),BX650*MIN($F650:$G650)*0.97,IF(AND(BX650&gt;0,MIN($F650:$G650)&gt;=150,$E650="Enerji Fazlası"),BX650*MIN($F650:$G650)*0.94,IF(AND(BX650&lt;0,MAX($F650:$G650)=4500,$E650="Enerji Açığı"),4500*1.05*1.06*BX650,IF(AND(BX650&lt;0,MAX($F650:$G650)=4500,$E650="Enerji Fazlası"),4500*1.05*1.03*BX650,IF(AND(BX650&lt;0,$E650="Enerji Açığı"),MAX($F650,$G650,150)*BX650*1.06,IF(AND(BX650&lt;0,$E650="Enerji Fazlası"),MAX($F650,$G650,150)*BX650*1.03,IF(AND(BX650&lt;0,$E650="Dengede"),MAX($F650:$G650,150)*1.03*BX650,MIN($F650:$G650)*0.97*BX650)))))))))</f>
        <v/>
      </c>
      <c r="BZ650" s="34">
        <f>BE650-BV650-CA650</f>
        <v/>
      </c>
      <c r="CA650" s="34">
        <f>BD650</f>
        <v/>
      </c>
      <c r="CB650" s="33">
        <f>BE650-BV650</f>
        <v/>
      </c>
      <c r="CC650" s="34">
        <f>IF(AY650=0,0,CB650/AY650)</f>
        <v/>
      </c>
      <c r="CD650" s="34">
        <f>MAX((AY650+MAX((-J650+L650-N650+Q650-T650+X650),0)),(MAX((J650-L650+N650-Q650+T650-X650),0)))</f>
        <v/>
      </c>
      <c r="CE650" s="82">
        <f>IFERROR(ABS(BX650/CD650),0)</f>
        <v/>
      </c>
      <c r="CF650" s="34">
        <f>IF(CE650&lt;=0.1,0,BX650/CE650*(CE650-0.1))</f>
        <v/>
      </c>
      <c r="CG650" s="34">
        <f>IF((CF650)&lt;0,MAX(F650:G650)*(CF650)*1.03,MIN(F650:G650)*(CF650)*0.97)</f>
        <v/>
      </c>
      <c r="CH650" s="34">
        <f>IF(CE650&gt;0.1,1,0)</f>
        <v/>
      </c>
      <c r="CI650" s="34">
        <f>(F650*BX650)-BY650</f>
        <v/>
      </c>
      <c r="CJ650" s="34">
        <f>IF(AY650=0,0,CI650/AY650)</f>
        <v/>
      </c>
    </row>
    <row r="651">
      <c r="A651" s="29">
        <f>[1]FİYATLAR!A626</f>
        <v/>
      </c>
      <c r="B651" s="29">
        <f>[1]FİYATLAR!B650</f>
        <v/>
      </c>
      <c r="C651" s="35">
        <f>INT(A651)</f>
        <v/>
      </c>
      <c r="D651" s="36">
        <f>MONTH(A651)</f>
        <v/>
      </c>
      <c r="E651" s="147">
        <f>[1]FİYATLAR!G626</f>
        <v/>
      </c>
      <c r="F651" s="30">
        <f>[1]FİYATLAR!C626</f>
        <v/>
      </c>
      <c r="G651" s="30">
        <f>[1]FİYATLAR!E626</f>
        <v/>
      </c>
      <c r="H651" s="30">
        <f>[1]FİYATLAR!D626</f>
        <v/>
      </c>
      <c r="I651" s="30">
        <f>[1]FİYATLAR!F626</f>
        <v/>
      </c>
      <c r="J651" s="119" t="n">
        <v>0</v>
      </c>
      <c r="K651" s="34">
        <f>F651*J651</f>
        <v/>
      </c>
      <c r="L651" s="119" t="n"/>
      <c r="M651" s="34">
        <f>L651*F651</f>
        <v/>
      </c>
      <c r="N651" s="119" t="n"/>
      <c r="O651" s="34">
        <f>F651</f>
        <v/>
      </c>
      <c r="P651" s="34">
        <f>N651*O651</f>
        <v/>
      </c>
      <c r="Q651" s="117" t="n">
        <v>0</v>
      </c>
      <c r="R651" s="34">
        <f>F651</f>
        <v/>
      </c>
      <c r="S651" s="34">
        <f>R651*Q651</f>
        <v/>
      </c>
      <c r="T651" s="34">
        <f>SUMIFS('[1]GİP VERİLERİ'!$C:$C,'[1]GİP VERİLERİ'!$B:$B,A651,'[1]GİP VERİLERİ'!$M:$M,"40X000000104782K",'[1]GİP VERİLERİ'!$G:$G,"SELL")</f>
        <v/>
      </c>
      <c r="U651" s="34">
        <f>IFERROR(W651/T651,0)</f>
        <v/>
      </c>
      <c r="V651" s="34">
        <f>IF(U651=0,0,U651-F651)</f>
        <v/>
      </c>
      <c r="W651" s="34">
        <f>SUMIFS('[1]GİP VERİLERİ'!$O:$O,'[1]GİP VERİLERİ'!$B:$B,A651,'[1]GİP VERİLERİ'!$M:$M,"40X000000104782K",'[1]GİP VERİLERİ'!$G:$G,"SELL")</f>
        <v/>
      </c>
      <c r="X651" s="34">
        <f>SUMIFS('[1]GİP VERİLERİ'!$C:$C,'[1]GİP VERİLERİ'!$B:$B,A651,'[1]GİP VERİLERİ'!$M:$M,"40X000000104782K",'[1]GİP VERİLERİ'!$G:$G,"BUY")</f>
        <v/>
      </c>
      <c r="Y651" s="34">
        <f>IFERROR(AA651/X651,0)</f>
        <v/>
      </c>
      <c r="Z651" s="34">
        <f>IF(Y651=0,0,F651-Y651)</f>
        <v/>
      </c>
      <c r="AA651" s="34">
        <f>SUMIFS('[1]GİP VERİLERİ'!$O:$O,'[1]GİP VERİLERİ'!$B:$B,A651,'[1]GİP VERİLERİ'!$M:$M,"40X000000104782K",'[1]GİP VERİLERİ'!$G:$G,"BUY")</f>
        <v/>
      </c>
      <c r="AB651" s="34">
        <f>'[1]GÖP VERİLERİ'!H652</f>
        <v/>
      </c>
      <c r="AC651" s="34">
        <f>'[1]GÖP VERİLERİ'!I652</f>
        <v/>
      </c>
      <c r="AD651" s="34">
        <f>IF(AB651&gt;AC651*1.05,AB651-AC651*1.05,IF(AB651&lt;AC651*0.95,AC651*0.95-AB651,0))</f>
        <v/>
      </c>
      <c r="AE651" s="34">
        <f>MAX(F651,G651,750)*0.05*AD651</f>
        <v/>
      </c>
      <c r="AF651" s="34">
        <f>'[1]GÖP VERİLERİ'!J652</f>
        <v/>
      </c>
      <c r="AG651" s="34">
        <f>IF(AB651&gt;AF651*1.05,AB651-AF651*1.05,IF(AB651&lt;AF651*0.95,AF651*0.95-AB651,0))</f>
        <v/>
      </c>
      <c r="AH651" s="34">
        <f>MAX(I651,J651,750)*0.05*AG651</f>
        <v/>
      </c>
      <c r="AI651">
        <f>'[1]GÖP VERİLERİ'!E652</f>
        <v/>
      </c>
      <c r="AJ651">
        <f>'[1]GÖP VERİLERİ'!F652</f>
        <v/>
      </c>
      <c r="AK651" s="34">
        <f>IF(AI651&gt;AJ651*1.05,AI651-AJ651*1.05,IF(AI651&lt;AJ651*0.95,AJ651*0.95-AI651,0))</f>
        <v/>
      </c>
      <c r="AL651" s="34">
        <f>MAX(F651,G651,750)*0.05*AK651</f>
        <v/>
      </c>
      <c r="AM651" s="39">
        <f>'[1]GÖP VERİLERİ'!G652</f>
        <v/>
      </c>
      <c r="AN651" s="34">
        <f>IF(AI651&gt;AM651*1.05,AI651-AM651*1.05,IF(AI651&lt;AM651*0.95,AM651*0.95-AI651,0))</f>
        <v/>
      </c>
      <c r="AO651" s="34">
        <f>MAX(F651,G651,750)*0.05*AN651</f>
        <v/>
      </c>
      <c r="AP651" s="34">
        <f>'[1]GÖP VERİLERİ'!B652</f>
        <v/>
      </c>
      <c r="AQ651" s="34">
        <f>'[1]GÖP VERİLERİ'!C652</f>
        <v/>
      </c>
      <c r="AR651" s="34">
        <f>IF(AP651&gt;AQ651*1.05,AP651-AQ651*1.05,IF(AP651&lt;AQ651*0.95,AQ651*0.95-AP651,0))</f>
        <v/>
      </c>
      <c r="AS651" s="34">
        <f>MAX(F651:G651,750)*0.05*AR651</f>
        <v/>
      </c>
      <c r="AT651">
        <f>'[1]GÖP VERİLERİ'!D652</f>
        <v/>
      </c>
      <c r="AU651" s="34">
        <f>IF(AP651&gt;AT651*1.05,AP651-AT651*1.05,IF(AP651&lt;AT651*0.95,AT651*0.95-AP651,0))</f>
        <v/>
      </c>
      <c r="AV651" s="34">
        <f>MAX(F651:G651,750)*0.05*AU651</f>
        <v/>
      </c>
      <c r="AW651" s="34">
        <f>AC651+AJ651+AQ651</f>
        <v/>
      </c>
      <c r="AX651" s="34">
        <f>AF651+AM651+AT651</f>
        <v/>
      </c>
      <c r="AY651" s="34">
        <f>AB651+AI651+AP651</f>
        <v/>
      </c>
      <c r="AZ651" s="34" t="n">
        <v>0</v>
      </c>
      <c r="BA651" s="34">
        <f>AD651+AK651+AR651</f>
        <v/>
      </c>
      <c r="BB651" s="34">
        <f>MAX(F651:G651,750)*0.05*BA651</f>
        <v/>
      </c>
      <c r="BC651" s="34">
        <f>AG651+AN651+AU651</f>
        <v/>
      </c>
      <c r="BD651" s="34">
        <f>MAX(F651:G651,750)*0.05*BC651</f>
        <v/>
      </c>
      <c r="BE651" s="34">
        <f>F651*AY651</f>
        <v/>
      </c>
      <c r="BF651" s="34">
        <f>K651-M651</f>
        <v/>
      </c>
      <c r="BG651" s="34">
        <f>P651-S651</f>
        <v/>
      </c>
      <c r="BH651" s="34">
        <f>W651-AA651</f>
        <v/>
      </c>
      <c r="BI651" s="34">
        <f>BF651+BG651+BL651-BN651</f>
        <v/>
      </c>
      <c r="BJ651" s="34">
        <f>ABS(BK651)</f>
        <v/>
      </c>
      <c r="BK651" s="34">
        <f>AY651-(J651-L651+N651-Q651)</f>
        <v/>
      </c>
      <c r="BL651" s="34">
        <f>IF(AND(BK651&gt;0,MIN($F651:$G651)&lt;150,$E651="Enerji Açığı"),-100*BK651*1.03,IF(AND(BK651&gt;0,MIN($F651:$G651)&lt;150,$E651="Enerji Fazlası"),-100*BK651*1.06,IF(AND(BK651&gt;0,MIN($F651:$G651)&gt;=150,$E651="Enerji Açığı"),BK651*MIN($F651:$G651)*0.97,IF(AND(BK651&gt;0,MIN($F651:$G651)&gt;=150,$E651="Enerji Fazlası"),BK651*MIN($F651:$G651)*0.94,IF(AND(BK651&lt;0,MAX($F651:$G651)=4500,$E651="Enerji Açığı"),4500*1.05*1.06*BK651,IF(AND(BK651&lt;0,MAX($F651:$G651)=4500,$E651="Enerji Fazlası"),4500*1.05*1.03*BK651,IF(AND(BK651&lt;0,$E651="Enerji Açığı"),MAX($F651,$G651,150)*BK651*1.06,IF(AND(BK651&lt;0,$E651="Enerji Fazlası"),MAX($F651,$G651,150)*BK651*1.03,IF(AND(BK651&lt;0,$E651="Dengede"),MAX($F651:$G651,150)*1.03*BK651,MIN($F651:$G651)*0.97*BK651)))))))))</f>
        <v/>
      </c>
      <c r="BM651" s="34">
        <f>BE651-BI651-BN651</f>
        <v/>
      </c>
      <c r="BN651" s="34">
        <f>BB651</f>
        <v/>
      </c>
      <c r="BO651" s="34">
        <f>BE651-BI651</f>
        <v/>
      </c>
      <c r="BP651" s="34">
        <f>IF(AY651=0,0,BO651/AY651)</f>
        <v/>
      </c>
      <c r="BQ651" s="34">
        <f>MAX((AY651+MAX((-J651+L651-N651+Q651),0)),(MAX((J651-L651+N651-Q651),0)))</f>
        <v/>
      </c>
      <c r="BR651" s="82">
        <f>IFERROR(ABS(BK651/BQ651),0)</f>
        <v/>
      </c>
      <c r="BS651" s="34">
        <f>IF(BR651&lt;=0.1,0,BK651/BR651*(BR651-0.1))</f>
        <v/>
      </c>
      <c r="BT651" s="34">
        <f>IF((BS651)&lt;0,MAX(F651:G651)*(BS651)*1.03,MIN(F651:G651)*(BS651)*0.97)</f>
        <v/>
      </c>
      <c r="BU651" s="34">
        <f>IF(BR651&gt;0.1,1,0)</f>
        <v/>
      </c>
      <c r="BV651" s="34">
        <f>BF651+BG651+BH651+BY651-CA651</f>
        <v/>
      </c>
      <c r="BW651" s="34">
        <f>ABS(BX651)</f>
        <v/>
      </c>
      <c r="BX651" s="34">
        <f>AY651-(J651-L651+N651-Q651+T651-X651)</f>
        <v/>
      </c>
      <c r="BY651" s="34">
        <f>IF(AND(BX651&gt;0,MIN($F651:$G651)&lt;150,$E651="Enerji Açığı"),-100*BX651*1.03,IF(AND(BX651&gt;0,MIN($F651:$G651)&lt;150,$E651="Enerji Fazlası"),-100*BX651*1.06,IF(AND(BX651&gt;0,MIN($F651:$G651)&gt;=150,$E651="Enerji Açığı"),BX651*MIN($F651:$G651)*0.97,IF(AND(BX651&gt;0,MIN($F651:$G651)&gt;=150,$E651="Enerji Fazlası"),BX651*MIN($F651:$G651)*0.94,IF(AND(BX651&lt;0,MAX($F651:$G651)=4500,$E651="Enerji Açığı"),4500*1.05*1.06*BX651,IF(AND(BX651&lt;0,MAX($F651:$G651)=4500,$E651="Enerji Fazlası"),4500*1.05*1.03*BX651,IF(AND(BX651&lt;0,$E651="Enerji Açığı"),MAX($F651,$G651,150)*BX651*1.06,IF(AND(BX651&lt;0,$E651="Enerji Fazlası"),MAX($F651,$G651,150)*BX651*1.03,IF(AND(BX651&lt;0,$E651="Dengede"),MAX($F651:$G651,150)*1.03*BX651,MIN($F651:$G651)*0.97*BX651)))))))))</f>
        <v/>
      </c>
      <c r="BZ651" s="34">
        <f>BE651-BV651-CA651</f>
        <v/>
      </c>
      <c r="CA651" s="34">
        <f>BD651</f>
        <v/>
      </c>
      <c r="CB651" s="33">
        <f>BE651-BV651</f>
        <v/>
      </c>
      <c r="CC651" s="34">
        <f>IF(AY651=0,0,CB651/AY651)</f>
        <v/>
      </c>
      <c r="CD651" s="34">
        <f>MAX((AY651+MAX((-J651+L651-N651+Q651-T651+X651),0)),(MAX((J651-L651+N651-Q651+T651-X651),0)))</f>
        <v/>
      </c>
      <c r="CE651" s="82">
        <f>IFERROR(ABS(BX651/CD651),0)</f>
        <v/>
      </c>
      <c r="CF651" s="34">
        <f>IF(CE651&lt;=0.1,0,BX651/CE651*(CE651-0.1))</f>
        <v/>
      </c>
      <c r="CG651" s="34">
        <f>IF((CF651)&lt;0,MAX(F651:G651)*(CF651)*1.03,MIN(F651:G651)*(CF651)*0.97)</f>
        <v/>
      </c>
      <c r="CH651" s="34">
        <f>IF(CE651&gt;0.1,1,0)</f>
        <v/>
      </c>
      <c r="CI651" s="34">
        <f>(F651*BX651)-BY651</f>
        <v/>
      </c>
      <c r="CJ651" s="34">
        <f>IF(AY651=0,0,CI651/AY651)</f>
        <v/>
      </c>
    </row>
    <row r="652">
      <c r="A652" s="29">
        <f>[1]FİYATLAR!A627</f>
        <v/>
      </c>
      <c r="B652" s="29">
        <f>[1]FİYATLAR!B651</f>
        <v/>
      </c>
      <c r="C652" s="35">
        <f>INT(A652)</f>
        <v/>
      </c>
      <c r="D652" s="36">
        <f>MONTH(A652)</f>
        <v/>
      </c>
      <c r="E652" s="147">
        <f>[1]FİYATLAR!G627</f>
        <v/>
      </c>
      <c r="F652" s="30">
        <f>[1]FİYATLAR!C627</f>
        <v/>
      </c>
      <c r="G652" s="30">
        <f>[1]FİYATLAR!E627</f>
        <v/>
      </c>
      <c r="H652" s="30">
        <f>[1]FİYATLAR!D627</f>
        <v/>
      </c>
      <c r="I652" s="30">
        <f>[1]FİYATLAR!F627</f>
        <v/>
      </c>
      <c r="J652" s="119" t="n">
        <v>0</v>
      </c>
      <c r="K652" s="34">
        <f>F652*J652</f>
        <v/>
      </c>
      <c r="L652" s="119" t="n"/>
      <c r="M652" s="34">
        <f>L652*F652</f>
        <v/>
      </c>
      <c r="N652" s="119" t="n"/>
      <c r="O652" s="34">
        <f>F652</f>
        <v/>
      </c>
      <c r="P652" s="34">
        <f>N652*O652</f>
        <v/>
      </c>
      <c r="Q652" s="117" t="n">
        <v>0</v>
      </c>
      <c r="R652" s="34">
        <f>F652</f>
        <v/>
      </c>
      <c r="S652" s="34">
        <f>R652*Q652</f>
        <v/>
      </c>
      <c r="T652" s="34">
        <f>SUMIFS('[1]GİP VERİLERİ'!$C:$C,'[1]GİP VERİLERİ'!$B:$B,A652,'[1]GİP VERİLERİ'!$M:$M,"40X000000104782K",'[1]GİP VERİLERİ'!$G:$G,"SELL")</f>
        <v/>
      </c>
      <c r="U652" s="34">
        <f>IFERROR(W652/T652,0)</f>
        <v/>
      </c>
      <c r="V652" s="34">
        <f>IF(U652=0,0,U652-F652)</f>
        <v/>
      </c>
      <c r="W652" s="34">
        <f>SUMIFS('[1]GİP VERİLERİ'!$O:$O,'[1]GİP VERİLERİ'!$B:$B,A652,'[1]GİP VERİLERİ'!$M:$M,"40X000000104782K",'[1]GİP VERİLERİ'!$G:$G,"SELL")</f>
        <v/>
      </c>
      <c r="X652" s="34">
        <f>SUMIFS('[1]GİP VERİLERİ'!$C:$C,'[1]GİP VERİLERİ'!$B:$B,A652,'[1]GİP VERİLERİ'!$M:$M,"40X000000104782K",'[1]GİP VERİLERİ'!$G:$G,"BUY")</f>
        <v/>
      </c>
      <c r="Y652" s="34">
        <f>IFERROR(AA652/X652,0)</f>
        <v/>
      </c>
      <c r="Z652" s="34">
        <f>IF(Y652=0,0,F652-Y652)</f>
        <v/>
      </c>
      <c r="AA652" s="34">
        <f>SUMIFS('[1]GİP VERİLERİ'!$O:$O,'[1]GİP VERİLERİ'!$B:$B,A652,'[1]GİP VERİLERİ'!$M:$M,"40X000000104782K",'[1]GİP VERİLERİ'!$G:$G,"BUY")</f>
        <v/>
      </c>
      <c r="AB652" s="34">
        <f>'[1]GÖP VERİLERİ'!H653</f>
        <v/>
      </c>
      <c r="AC652" s="34">
        <f>'[1]GÖP VERİLERİ'!I653</f>
        <v/>
      </c>
      <c r="AD652" s="34">
        <f>IF(AB652&gt;AC652*1.05,AB652-AC652*1.05,IF(AB652&lt;AC652*0.95,AC652*0.95-AB652,0))</f>
        <v/>
      </c>
      <c r="AE652" s="34">
        <f>MAX(F652,G652,750)*0.05*AD652</f>
        <v/>
      </c>
      <c r="AF652" s="34">
        <f>'[1]GÖP VERİLERİ'!J653</f>
        <v/>
      </c>
      <c r="AG652" s="34">
        <f>IF(AB652&gt;AF652*1.05,AB652-AF652*1.05,IF(AB652&lt;AF652*0.95,AF652*0.95-AB652,0))</f>
        <v/>
      </c>
      <c r="AH652" s="34">
        <f>MAX(I652,J652,750)*0.05*AG652</f>
        <v/>
      </c>
      <c r="AI652">
        <f>'[1]GÖP VERİLERİ'!E653</f>
        <v/>
      </c>
      <c r="AJ652">
        <f>'[1]GÖP VERİLERİ'!F653</f>
        <v/>
      </c>
      <c r="AK652" s="34">
        <f>IF(AI652&gt;AJ652*1.05,AI652-AJ652*1.05,IF(AI652&lt;AJ652*0.95,AJ652*0.95-AI652,0))</f>
        <v/>
      </c>
      <c r="AL652" s="34">
        <f>MAX(F652,G652,750)*0.05*AK652</f>
        <v/>
      </c>
      <c r="AM652" s="39">
        <f>'[1]GÖP VERİLERİ'!G653</f>
        <v/>
      </c>
      <c r="AN652" s="34">
        <f>IF(AI652&gt;AM652*1.05,AI652-AM652*1.05,IF(AI652&lt;AM652*0.95,AM652*0.95-AI652,0))</f>
        <v/>
      </c>
      <c r="AO652" s="34">
        <f>MAX(F652,G652,750)*0.05*AN652</f>
        <v/>
      </c>
      <c r="AP652" s="34">
        <f>'[1]GÖP VERİLERİ'!B653</f>
        <v/>
      </c>
      <c r="AQ652" s="34">
        <f>'[1]GÖP VERİLERİ'!C653</f>
        <v/>
      </c>
      <c r="AR652" s="34">
        <f>IF(AP652&gt;AQ652*1.05,AP652-AQ652*1.05,IF(AP652&lt;AQ652*0.95,AQ652*0.95-AP652,0))</f>
        <v/>
      </c>
      <c r="AS652" s="34">
        <f>MAX(F652:G652,750)*0.05*AR652</f>
        <v/>
      </c>
      <c r="AT652">
        <f>'[1]GÖP VERİLERİ'!D653</f>
        <v/>
      </c>
      <c r="AU652" s="34">
        <f>IF(AP652&gt;AT652*1.05,AP652-AT652*1.05,IF(AP652&lt;AT652*0.95,AT652*0.95-AP652,0))</f>
        <v/>
      </c>
      <c r="AV652" s="34">
        <f>MAX(F652:G652,750)*0.05*AU652</f>
        <v/>
      </c>
      <c r="AW652" s="34">
        <f>AC652+AJ652+AQ652</f>
        <v/>
      </c>
      <c r="AX652" s="34">
        <f>AF652+AM652+AT652</f>
        <v/>
      </c>
      <c r="AY652" s="34">
        <f>AB652+AI652+AP652</f>
        <v/>
      </c>
      <c r="AZ652" s="34" t="n">
        <v>0</v>
      </c>
      <c r="BA652" s="34">
        <f>AD652+AK652+AR652</f>
        <v/>
      </c>
      <c r="BB652" s="34">
        <f>MAX(F652:G652,750)*0.05*BA652</f>
        <v/>
      </c>
      <c r="BC652" s="34">
        <f>AG652+AN652+AU652</f>
        <v/>
      </c>
      <c r="BD652" s="34">
        <f>MAX(F652:G652,750)*0.05*BC652</f>
        <v/>
      </c>
      <c r="BE652" s="34">
        <f>F652*AY652</f>
        <v/>
      </c>
      <c r="BF652" s="34">
        <f>K652-M652</f>
        <v/>
      </c>
      <c r="BG652" s="34">
        <f>P652-S652</f>
        <v/>
      </c>
      <c r="BH652" s="34">
        <f>W652-AA652</f>
        <v/>
      </c>
      <c r="BI652" s="34">
        <f>BF652+BG652+BL652-BN652</f>
        <v/>
      </c>
      <c r="BJ652" s="34">
        <f>ABS(BK652)</f>
        <v/>
      </c>
      <c r="BK652" s="34">
        <f>AY652-(J652-L652+N652-Q652)</f>
        <v/>
      </c>
      <c r="BL652" s="34">
        <f>IF(AND(BK652&gt;0,MIN($F652:$G652)&lt;150,$E652="Enerji Açığı"),-100*BK652*1.03,IF(AND(BK652&gt;0,MIN($F652:$G652)&lt;150,$E652="Enerji Fazlası"),-100*BK652*1.06,IF(AND(BK652&gt;0,MIN($F652:$G652)&gt;=150,$E652="Enerji Açığı"),BK652*MIN($F652:$G652)*0.97,IF(AND(BK652&gt;0,MIN($F652:$G652)&gt;=150,$E652="Enerji Fazlası"),BK652*MIN($F652:$G652)*0.94,IF(AND(BK652&lt;0,MAX($F652:$G652)=4500,$E652="Enerji Açığı"),4500*1.05*1.06*BK652,IF(AND(BK652&lt;0,MAX($F652:$G652)=4500,$E652="Enerji Fazlası"),4500*1.05*1.03*BK652,IF(AND(BK652&lt;0,$E652="Enerji Açığı"),MAX($F652,$G652,150)*BK652*1.06,IF(AND(BK652&lt;0,$E652="Enerji Fazlası"),MAX($F652,$G652,150)*BK652*1.03,IF(AND(BK652&lt;0,$E652="Dengede"),MAX($F652:$G652,150)*1.03*BK652,MIN($F652:$G652)*0.97*BK652)))))))))</f>
        <v/>
      </c>
      <c r="BM652" s="34">
        <f>BE652-BI652-BN652</f>
        <v/>
      </c>
      <c r="BN652" s="34">
        <f>BB652</f>
        <v/>
      </c>
      <c r="BO652" s="34">
        <f>BE652-BI652</f>
        <v/>
      </c>
      <c r="BP652" s="34">
        <f>IF(AY652=0,0,BO652/AY652)</f>
        <v/>
      </c>
      <c r="BQ652" s="34">
        <f>MAX((AY652+MAX((-J652+L652-N652+Q652),0)),(MAX((J652-L652+N652-Q652),0)))</f>
        <v/>
      </c>
      <c r="BR652" s="82">
        <f>IFERROR(ABS(BK652/BQ652),0)</f>
        <v/>
      </c>
      <c r="BS652" s="34">
        <f>IF(BR652&lt;=0.1,0,BK652/BR652*(BR652-0.1))</f>
        <v/>
      </c>
      <c r="BT652" s="34">
        <f>IF((BS652)&lt;0,MAX(F652:G652)*(BS652)*1.03,MIN(F652:G652)*(BS652)*0.97)</f>
        <v/>
      </c>
      <c r="BU652" s="34">
        <f>IF(BR652&gt;0.1,1,0)</f>
        <v/>
      </c>
      <c r="BV652" s="34">
        <f>BF652+BG652+BH652+BY652-CA652</f>
        <v/>
      </c>
      <c r="BW652" s="34">
        <f>ABS(BX652)</f>
        <v/>
      </c>
      <c r="BX652" s="34">
        <f>AY652-(J652-L652+N652-Q652+T652-X652)</f>
        <v/>
      </c>
      <c r="BY652" s="34">
        <f>IF(AND(BX652&gt;0,MIN($F652:$G652)&lt;150,$E652="Enerji Açığı"),-100*BX652*1.03,IF(AND(BX652&gt;0,MIN($F652:$G652)&lt;150,$E652="Enerji Fazlası"),-100*BX652*1.06,IF(AND(BX652&gt;0,MIN($F652:$G652)&gt;=150,$E652="Enerji Açığı"),BX652*MIN($F652:$G652)*0.97,IF(AND(BX652&gt;0,MIN($F652:$G652)&gt;=150,$E652="Enerji Fazlası"),BX652*MIN($F652:$G652)*0.94,IF(AND(BX652&lt;0,MAX($F652:$G652)=4500,$E652="Enerji Açığı"),4500*1.05*1.06*BX652,IF(AND(BX652&lt;0,MAX($F652:$G652)=4500,$E652="Enerji Fazlası"),4500*1.05*1.03*BX652,IF(AND(BX652&lt;0,$E652="Enerji Açığı"),MAX($F652,$G652,150)*BX652*1.06,IF(AND(BX652&lt;0,$E652="Enerji Fazlası"),MAX($F652,$G652,150)*BX652*1.03,IF(AND(BX652&lt;0,$E652="Dengede"),MAX($F652:$G652,150)*1.03*BX652,MIN($F652:$G652)*0.97*BX652)))))))))</f>
        <v/>
      </c>
      <c r="BZ652" s="34">
        <f>BE652-BV652-CA652</f>
        <v/>
      </c>
      <c r="CA652" s="34">
        <f>BD652</f>
        <v/>
      </c>
      <c r="CB652" s="33">
        <f>BE652-BV652</f>
        <v/>
      </c>
      <c r="CC652" s="34">
        <f>IF(AY652=0,0,CB652/AY652)</f>
        <v/>
      </c>
      <c r="CD652" s="34">
        <f>MAX((AY652+MAX((-J652+L652-N652+Q652-T652+X652),0)),(MAX((J652-L652+N652-Q652+T652-X652),0)))</f>
        <v/>
      </c>
      <c r="CE652" s="82">
        <f>IFERROR(ABS(BX652/CD652),0)</f>
        <v/>
      </c>
      <c r="CF652" s="34">
        <f>IF(CE652&lt;=0.1,0,BX652/CE652*(CE652-0.1))</f>
        <v/>
      </c>
      <c r="CG652" s="34">
        <f>IF((CF652)&lt;0,MAX(F652:G652)*(CF652)*1.03,MIN(F652:G652)*(CF652)*0.97)</f>
        <v/>
      </c>
      <c r="CH652" s="34">
        <f>IF(CE652&gt;0.1,1,0)</f>
        <v/>
      </c>
      <c r="CI652" s="34">
        <f>(F652*BX652)-BY652</f>
        <v/>
      </c>
      <c r="CJ652" s="34">
        <f>IF(AY652=0,0,CI652/AY652)</f>
        <v/>
      </c>
    </row>
    <row r="653">
      <c r="A653" s="29">
        <f>[1]FİYATLAR!A628</f>
        <v/>
      </c>
      <c r="B653" s="29">
        <f>[1]FİYATLAR!B652</f>
        <v/>
      </c>
      <c r="C653" s="35">
        <f>INT(A653)</f>
        <v/>
      </c>
      <c r="D653" s="36">
        <f>MONTH(A653)</f>
        <v/>
      </c>
      <c r="E653" s="147">
        <f>[1]FİYATLAR!G628</f>
        <v/>
      </c>
      <c r="F653" s="30">
        <f>[1]FİYATLAR!C628</f>
        <v/>
      </c>
      <c r="G653" s="30">
        <f>[1]FİYATLAR!E628</f>
        <v/>
      </c>
      <c r="H653" s="30">
        <f>[1]FİYATLAR!D628</f>
        <v/>
      </c>
      <c r="I653" s="30">
        <f>[1]FİYATLAR!F628</f>
        <v/>
      </c>
      <c r="J653" s="119" t="n">
        <v>0</v>
      </c>
      <c r="K653" s="34">
        <f>F653*J653</f>
        <v/>
      </c>
      <c r="L653" s="119" t="n"/>
      <c r="M653" s="34">
        <f>L653*F653</f>
        <v/>
      </c>
      <c r="N653" s="119" t="n"/>
      <c r="O653" s="34">
        <f>F653</f>
        <v/>
      </c>
      <c r="P653" s="34">
        <f>N653*O653</f>
        <v/>
      </c>
      <c r="Q653" s="117" t="n">
        <v>0</v>
      </c>
      <c r="R653" s="34">
        <f>F653</f>
        <v/>
      </c>
      <c r="S653" s="34">
        <f>R653*Q653</f>
        <v/>
      </c>
      <c r="T653" s="34">
        <f>SUMIFS('[1]GİP VERİLERİ'!$C:$C,'[1]GİP VERİLERİ'!$B:$B,A653,'[1]GİP VERİLERİ'!$M:$M,"40X000000104782K",'[1]GİP VERİLERİ'!$G:$G,"SELL")</f>
        <v/>
      </c>
      <c r="U653" s="34">
        <f>IFERROR(W653/T653,0)</f>
        <v/>
      </c>
      <c r="V653" s="34">
        <f>IF(U653=0,0,U653-F653)</f>
        <v/>
      </c>
      <c r="W653" s="34">
        <f>SUMIFS('[1]GİP VERİLERİ'!$O:$O,'[1]GİP VERİLERİ'!$B:$B,A653,'[1]GİP VERİLERİ'!$M:$M,"40X000000104782K",'[1]GİP VERİLERİ'!$G:$G,"SELL")</f>
        <v/>
      </c>
      <c r="X653" s="34">
        <f>SUMIFS('[1]GİP VERİLERİ'!$C:$C,'[1]GİP VERİLERİ'!$B:$B,A653,'[1]GİP VERİLERİ'!$M:$M,"40X000000104782K",'[1]GİP VERİLERİ'!$G:$G,"BUY")</f>
        <v/>
      </c>
      <c r="Y653" s="34">
        <f>IFERROR(AA653/X653,0)</f>
        <v/>
      </c>
      <c r="Z653" s="34">
        <f>IF(Y653=0,0,F653-Y653)</f>
        <v/>
      </c>
      <c r="AA653" s="34">
        <f>SUMIFS('[1]GİP VERİLERİ'!$O:$O,'[1]GİP VERİLERİ'!$B:$B,A653,'[1]GİP VERİLERİ'!$M:$M,"40X000000104782K",'[1]GİP VERİLERİ'!$G:$G,"BUY")</f>
        <v/>
      </c>
      <c r="AB653" s="34">
        <f>'[1]GÖP VERİLERİ'!H654</f>
        <v/>
      </c>
      <c r="AC653" s="34">
        <f>'[1]GÖP VERİLERİ'!I654</f>
        <v/>
      </c>
      <c r="AD653" s="34">
        <f>IF(AB653&gt;AC653*1.05,AB653-AC653*1.05,IF(AB653&lt;AC653*0.95,AC653*0.95-AB653,0))</f>
        <v/>
      </c>
      <c r="AE653" s="34">
        <f>MAX(F653,G653,750)*0.05*AD653</f>
        <v/>
      </c>
      <c r="AF653" s="34">
        <f>'[1]GÖP VERİLERİ'!J654</f>
        <v/>
      </c>
      <c r="AG653" s="34">
        <f>IF(AB653&gt;AF653*1.05,AB653-AF653*1.05,IF(AB653&lt;AF653*0.95,AF653*0.95-AB653,0))</f>
        <v/>
      </c>
      <c r="AH653" s="34">
        <f>MAX(I653,J653,750)*0.05*AG653</f>
        <v/>
      </c>
      <c r="AI653">
        <f>'[1]GÖP VERİLERİ'!E654</f>
        <v/>
      </c>
      <c r="AJ653">
        <f>'[1]GÖP VERİLERİ'!F654</f>
        <v/>
      </c>
      <c r="AK653" s="34">
        <f>IF(AI653&gt;AJ653*1.05,AI653-AJ653*1.05,IF(AI653&lt;AJ653*0.95,AJ653*0.95-AI653,0))</f>
        <v/>
      </c>
      <c r="AL653" s="34">
        <f>MAX(F653,G653,750)*0.05*AK653</f>
        <v/>
      </c>
      <c r="AM653" s="39">
        <f>'[1]GÖP VERİLERİ'!G654</f>
        <v/>
      </c>
      <c r="AN653" s="34">
        <f>IF(AI653&gt;AM653*1.05,AI653-AM653*1.05,IF(AI653&lt;AM653*0.95,AM653*0.95-AI653,0))</f>
        <v/>
      </c>
      <c r="AO653" s="34">
        <f>MAX(F653,G653,750)*0.05*AN653</f>
        <v/>
      </c>
      <c r="AP653" s="34">
        <f>'[1]GÖP VERİLERİ'!B654</f>
        <v/>
      </c>
      <c r="AQ653" s="34">
        <f>'[1]GÖP VERİLERİ'!C654</f>
        <v/>
      </c>
      <c r="AR653" s="34">
        <f>IF(AP653&gt;AQ653*1.05,AP653-AQ653*1.05,IF(AP653&lt;AQ653*0.95,AQ653*0.95-AP653,0))</f>
        <v/>
      </c>
      <c r="AS653" s="34">
        <f>MAX(F653:G653,750)*0.05*AR653</f>
        <v/>
      </c>
      <c r="AT653">
        <f>'[1]GÖP VERİLERİ'!D654</f>
        <v/>
      </c>
      <c r="AU653" s="34">
        <f>IF(AP653&gt;AT653*1.05,AP653-AT653*1.05,IF(AP653&lt;AT653*0.95,AT653*0.95-AP653,0))</f>
        <v/>
      </c>
      <c r="AV653" s="34">
        <f>MAX(F653:G653,750)*0.05*AU653</f>
        <v/>
      </c>
      <c r="AW653" s="34">
        <f>AC653+AJ653+AQ653</f>
        <v/>
      </c>
      <c r="AX653" s="34">
        <f>AF653+AM653+AT653</f>
        <v/>
      </c>
      <c r="AY653" s="34">
        <f>AB653+AI653+AP653</f>
        <v/>
      </c>
      <c r="AZ653" s="34" t="n">
        <v>0</v>
      </c>
      <c r="BA653" s="34">
        <f>AD653+AK653+AR653</f>
        <v/>
      </c>
      <c r="BB653" s="34">
        <f>MAX(F653:G653,750)*0.05*BA653</f>
        <v/>
      </c>
      <c r="BC653" s="34">
        <f>AG653+AN653+AU653</f>
        <v/>
      </c>
      <c r="BD653" s="34">
        <f>MAX(F653:G653,750)*0.05*BC653</f>
        <v/>
      </c>
      <c r="BE653" s="34">
        <f>F653*AY653</f>
        <v/>
      </c>
      <c r="BF653" s="34">
        <f>K653-M653</f>
        <v/>
      </c>
      <c r="BG653" s="34">
        <f>P653-S653</f>
        <v/>
      </c>
      <c r="BH653" s="34">
        <f>W653-AA653</f>
        <v/>
      </c>
      <c r="BI653" s="34">
        <f>BF653+BG653+BL653-BN653</f>
        <v/>
      </c>
      <c r="BJ653" s="34">
        <f>ABS(BK653)</f>
        <v/>
      </c>
      <c r="BK653" s="34">
        <f>AY653-(J653-L653+N653-Q653)</f>
        <v/>
      </c>
      <c r="BL653" s="34">
        <f>IF(AND(BK653&gt;0,MIN($F653:$G653)&lt;150,$E653="Enerji Açığı"),-100*BK653*1.03,IF(AND(BK653&gt;0,MIN($F653:$G653)&lt;150,$E653="Enerji Fazlası"),-100*BK653*1.06,IF(AND(BK653&gt;0,MIN($F653:$G653)&gt;=150,$E653="Enerji Açığı"),BK653*MIN($F653:$G653)*0.97,IF(AND(BK653&gt;0,MIN($F653:$G653)&gt;=150,$E653="Enerji Fazlası"),BK653*MIN($F653:$G653)*0.94,IF(AND(BK653&lt;0,MAX($F653:$G653)=4500,$E653="Enerji Açığı"),4500*1.05*1.06*BK653,IF(AND(BK653&lt;0,MAX($F653:$G653)=4500,$E653="Enerji Fazlası"),4500*1.05*1.03*BK653,IF(AND(BK653&lt;0,$E653="Enerji Açığı"),MAX($F653,$G653,150)*BK653*1.06,IF(AND(BK653&lt;0,$E653="Enerji Fazlası"),MAX($F653,$G653,150)*BK653*1.03,IF(AND(BK653&lt;0,$E653="Dengede"),MAX($F653:$G653,150)*1.03*BK653,MIN($F653:$G653)*0.97*BK653)))))))))</f>
        <v/>
      </c>
      <c r="BM653" s="34">
        <f>BE653-BI653-BN653</f>
        <v/>
      </c>
      <c r="BN653" s="34">
        <f>BB653</f>
        <v/>
      </c>
      <c r="BO653" s="34">
        <f>BE653-BI653</f>
        <v/>
      </c>
      <c r="BP653" s="34">
        <f>IF(AY653=0,0,BO653/AY653)</f>
        <v/>
      </c>
      <c r="BQ653" s="34">
        <f>MAX((AY653+MAX((-J653+L653-N653+Q653),0)),(MAX((J653-L653+N653-Q653),0)))</f>
        <v/>
      </c>
      <c r="BR653" s="82">
        <f>IFERROR(ABS(BK653/BQ653),0)</f>
        <v/>
      </c>
      <c r="BS653" s="34">
        <f>IF(BR653&lt;=0.1,0,BK653/BR653*(BR653-0.1))</f>
        <v/>
      </c>
      <c r="BT653" s="34">
        <f>IF((BS653)&lt;0,MAX(F653:G653)*(BS653)*1.03,MIN(F653:G653)*(BS653)*0.97)</f>
        <v/>
      </c>
      <c r="BU653" s="34">
        <f>IF(BR653&gt;0.1,1,0)</f>
        <v/>
      </c>
      <c r="BV653" s="34">
        <f>BF653+BG653+BH653+BY653-CA653</f>
        <v/>
      </c>
      <c r="BW653" s="34">
        <f>ABS(BX653)</f>
        <v/>
      </c>
      <c r="BX653" s="34">
        <f>AY653-(J653-L653+N653-Q653+T653-X653)</f>
        <v/>
      </c>
      <c r="BY653" s="34">
        <f>IF(AND(BX653&gt;0,MIN($F653:$G653)&lt;150,$E653="Enerji Açığı"),-100*BX653*1.03,IF(AND(BX653&gt;0,MIN($F653:$G653)&lt;150,$E653="Enerji Fazlası"),-100*BX653*1.06,IF(AND(BX653&gt;0,MIN($F653:$G653)&gt;=150,$E653="Enerji Açığı"),BX653*MIN($F653:$G653)*0.97,IF(AND(BX653&gt;0,MIN($F653:$G653)&gt;=150,$E653="Enerji Fazlası"),BX653*MIN($F653:$G653)*0.94,IF(AND(BX653&lt;0,MAX($F653:$G653)=4500,$E653="Enerji Açığı"),4500*1.05*1.06*BX653,IF(AND(BX653&lt;0,MAX($F653:$G653)=4500,$E653="Enerji Fazlası"),4500*1.05*1.03*BX653,IF(AND(BX653&lt;0,$E653="Enerji Açığı"),MAX($F653,$G653,150)*BX653*1.06,IF(AND(BX653&lt;0,$E653="Enerji Fazlası"),MAX($F653,$G653,150)*BX653*1.03,IF(AND(BX653&lt;0,$E653="Dengede"),MAX($F653:$G653,150)*1.03*BX653,MIN($F653:$G653)*0.97*BX653)))))))))</f>
        <v/>
      </c>
      <c r="BZ653" s="34">
        <f>BE653-BV653-CA653</f>
        <v/>
      </c>
      <c r="CA653" s="34">
        <f>BD653</f>
        <v/>
      </c>
      <c r="CB653" s="33">
        <f>BE653-BV653</f>
        <v/>
      </c>
      <c r="CC653" s="34">
        <f>IF(AY653=0,0,CB653/AY653)</f>
        <v/>
      </c>
      <c r="CD653" s="34">
        <f>MAX((AY653+MAX((-J653+L653-N653+Q653-T653+X653),0)),(MAX((J653-L653+N653-Q653+T653-X653),0)))</f>
        <v/>
      </c>
      <c r="CE653" s="82">
        <f>IFERROR(ABS(BX653/CD653),0)</f>
        <v/>
      </c>
      <c r="CF653" s="34">
        <f>IF(CE653&lt;=0.1,0,BX653/CE653*(CE653-0.1))</f>
        <v/>
      </c>
      <c r="CG653" s="34">
        <f>IF((CF653)&lt;0,MAX(F653:G653)*(CF653)*1.03,MIN(F653:G653)*(CF653)*0.97)</f>
        <v/>
      </c>
      <c r="CH653" s="34">
        <f>IF(CE653&gt;0.1,1,0)</f>
        <v/>
      </c>
      <c r="CI653" s="34">
        <f>(F653*BX653)-BY653</f>
        <v/>
      </c>
      <c r="CJ653" s="34">
        <f>IF(AY653=0,0,CI653/AY653)</f>
        <v/>
      </c>
    </row>
    <row r="654">
      <c r="A654" s="29">
        <f>[1]FİYATLAR!A629</f>
        <v/>
      </c>
      <c r="B654" s="29">
        <f>[1]FİYATLAR!B653</f>
        <v/>
      </c>
      <c r="C654" s="35">
        <f>INT(A654)</f>
        <v/>
      </c>
      <c r="D654" s="36">
        <f>MONTH(A654)</f>
        <v/>
      </c>
      <c r="E654" s="147">
        <f>[1]FİYATLAR!G629</f>
        <v/>
      </c>
      <c r="F654" s="30">
        <f>[1]FİYATLAR!C629</f>
        <v/>
      </c>
      <c r="G654" s="30">
        <f>[1]FİYATLAR!E629</f>
        <v/>
      </c>
      <c r="H654" s="30">
        <f>[1]FİYATLAR!D629</f>
        <v/>
      </c>
      <c r="I654" s="30">
        <f>[1]FİYATLAR!F629</f>
        <v/>
      </c>
      <c r="J654" s="119" t="n">
        <v>0</v>
      </c>
      <c r="K654" s="34">
        <f>F654*J654</f>
        <v/>
      </c>
      <c r="L654" s="119" t="n"/>
      <c r="M654" s="34">
        <f>L654*F654</f>
        <v/>
      </c>
      <c r="N654" s="119" t="n"/>
      <c r="O654" s="34">
        <f>F654</f>
        <v/>
      </c>
      <c r="P654" s="34">
        <f>N654*O654</f>
        <v/>
      </c>
      <c r="Q654" s="117" t="n">
        <v>0</v>
      </c>
      <c r="R654" s="34">
        <f>F654</f>
        <v/>
      </c>
      <c r="S654" s="34">
        <f>R654*Q654</f>
        <v/>
      </c>
      <c r="T654" s="34">
        <f>SUMIFS('[1]GİP VERİLERİ'!$C:$C,'[1]GİP VERİLERİ'!$B:$B,A654,'[1]GİP VERİLERİ'!$M:$M,"40X000000104782K",'[1]GİP VERİLERİ'!$G:$G,"SELL")</f>
        <v/>
      </c>
      <c r="U654" s="34">
        <f>IFERROR(W654/T654,0)</f>
        <v/>
      </c>
      <c r="V654" s="34">
        <f>IF(U654=0,0,U654-F654)</f>
        <v/>
      </c>
      <c r="W654" s="34">
        <f>SUMIFS('[1]GİP VERİLERİ'!$O:$O,'[1]GİP VERİLERİ'!$B:$B,A654,'[1]GİP VERİLERİ'!$M:$M,"40X000000104782K",'[1]GİP VERİLERİ'!$G:$G,"SELL")</f>
        <v/>
      </c>
      <c r="X654" s="34">
        <f>SUMIFS('[1]GİP VERİLERİ'!$C:$C,'[1]GİP VERİLERİ'!$B:$B,A654,'[1]GİP VERİLERİ'!$M:$M,"40X000000104782K",'[1]GİP VERİLERİ'!$G:$G,"BUY")</f>
        <v/>
      </c>
      <c r="Y654" s="34">
        <f>IFERROR(AA654/X654,0)</f>
        <v/>
      </c>
      <c r="Z654" s="34">
        <f>IF(Y654=0,0,F654-Y654)</f>
        <v/>
      </c>
      <c r="AA654" s="34">
        <f>SUMIFS('[1]GİP VERİLERİ'!$O:$O,'[1]GİP VERİLERİ'!$B:$B,A654,'[1]GİP VERİLERİ'!$M:$M,"40X000000104782K",'[1]GİP VERİLERİ'!$G:$G,"BUY")</f>
        <v/>
      </c>
      <c r="AB654" s="34">
        <f>'[1]GÖP VERİLERİ'!H655</f>
        <v/>
      </c>
      <c r="AC654" s="34">
        <f>'[1]GÖP VERİLERİ'!I655</f>
        <v/>
      </c>
      <c r="AD654" s="34">
        <f>IF(AB654&gt;AC654*1.05,AB654-AC654*1.05,IF(AB654&lt;AC654*0.95,AC654*0.95-AB654,0))</f>
        <v/>
      </c>
      <c r="AE654" s="34">
        <f>MAX(F654,G654,750)*0.05*AD654</f>
        <v/>
      </c>
      <c r="AF654" s="34">
        <f>'[1]GÖP VERİLERİ'!J655</f>
        <v/>
      </c>
      <c r="AG654" s="34">
        <f>IF(AB654&gt;AF654*1.05,AB654-AF654*1.05,IF(AB654&lt;AF654*0.95,AF654*0.95-AB654,0))</f>
        <v/>
      </c>
      <c r="AH654" s="34">
        <f>MAX(I654,J654,750)*0.05*AG654</f>
        <v/>
      </c>
      <c r="AI654">
        <f>'[1]GÖP VERİLERİ'!E655</f>
        <v/>
      </c>
      <c r="AJ654">
        <f>'[1]GÖP VERİLERİ'!F655</f>
        <v/>
      </c>
      <c r="AK654" s="34">
        <f>IF(AI654&gt;AJ654*1.05,AI654-AJ654*1.05,IF(AI654&lt;AJ654*0.95,AJ654*0.95-AI654,0))</f>
        <v/>
      </c>
      <c r="AL654" s="34">
        <f>MAX(F654,G654,750)*0.05*AK654</f>
        <v/>
      </c>
      <c r="AM654" s="39">
        <f>'[1]GÖP VERİLERİ'!G655</f>
        <v/>
      </c>
      <c r="AN654" s="34">
        <f>IF(AI654&gt;AM654*1.05,AI654-AM654*1.05,IF(AI654&lt;AM654*0.95,AM654*0.95-AI654,0))</f>
        <v/>
      </c>
      <c r="AO654" s="34">
        <f>MAX(F654,G654,750)*0.05*AN654</f>
        <v/>
      </c>
      <c r="AP654" s="34">
        <f>'[1]GÖP VERİLERİ'!B655</f>
        <v/>
      </c>
      <c r="AQ654" s="34">
        <f>'[1]GÖP VERİLERİ'!C655</f>
        <v/>
      </c>
      <c r="AR654" s="34">
        <f>IF(AP654&gt;AQ654*1.05,AP654-AQ654*1.05,IF(AP654&lt;AQ654*0.95,AQ654*0.95-AP654,0))</f>
        <v/>
      </c>
      <c r="AS654" s="34">
        <f>MAX(F654:G654,750)*0.05*AR654</f>
        <v/>
      </c>
      <c r="AT654">
        <f>'[1]GÖP VERİLERİ'!D655</f>
        <v/>
      </c>
      <c r="AU654" s="34">
        <f>IF(AP654&gt;AT654*1.05,AP654-AT654*1.05,IF(AP654&lt;AT654*0.95,AT654*0.95-AP654,0))</f>
        <v/>
      </c>
      <c r="AV654" s="34">
        <f>MAX(F654:G654,750)*0.05*AU654</f>
        <v/>
      </c>
      <c r="AW654" s="34">
        <f>AC654+AJ654+AQ654</f>
        <v/>
      </c>
      <c r="AX654" s="34">
        <f>AF654+AM654+AT654</f>
        <v/>
      </c>
      <c r="AY654" s="34">
        <f>AB654+AI654+AP654</f>
        <v/>
      </c>
      <c r="AZ654" s="34" t="n">
        <v>0</v>
      </c>
      <c r="BA654" s="34">
        <f>AD654+AK654+AR654</f>
        <v/>
      </c>
      <c r="BB654" s="34">
        <f>MAX(F654:G654,750)*0.05*BA654</f>
        <v/>
      </c>
      <c r="BC654" s="34">
        <f>AG654+AN654+AU654</f>
        <v/>
      </c>
      <c r="BD654" s="34">
        <f>MAX(F654:G654,750)*0.05*BC654</f>
        <v/>
      </c>
      <c r="BE654" s="34">
        <f>F654*AY654</f>
        <v/>
      </c>
      <c r="BF654" s="34">
        <f>K654-M654</f>
        <v/>
      </c>
      <c r="BG654" s="34">
        <f>P654-S654</f>
        <v/>
      </c>
      <c r="BH654" s="34">
        <f>W654-AA654</f>
        <v/>
      </c>
      <c r="BI654" s="34">
        <f>BF654+BG654+BL654-BN654</f>
        <v/>
      </c>
      <c r="BJ654" s="34">
        <f>ABS(BK654)</f>
        <v/>
      </c>
      <c r="BK654" s="34">
        <f>AY654-(J654-L654+N654-Q654)</f>
        <v/>
      </c>
      <c r="BL654" s="34">
        <f>IF(AND(BK654&gt;0,MIN($F654:$G654)&lt;150,$E654="Enerji Açığı"),-100*BK654*1.03,IF(AND(BK654&gt;0,MIN($F654:$G654)&lt;150,$E654="Enerji Fazlası"),-100*BK654*1.06,IF(AND(BK654&gt;0,MIN($F654:$G654)&gt;=150,$E654="Enerji Açığı"),BK654*MIN($F654:$G654)*0.97,IF(AND(BK654&gt;0,MIN($F654:$G654)&gt;=150,$E654="Enerji Fazlası"),BK654*MIN($F654:$G654)*0.94,IF(AND(BK654&lt;0,MAX($F654:$G654)=4500,$E654="Enerji Açığı"),4500*1.05*1.06*BK654,IF(AND(BK654&lt;0,MAX($F654:$G654)=4500,$E654="Enerji Fazlası"),4500*1.05*1.03*BK654,IF(AND(BK654&lt;0,$E654="Enerji Açığı"),MAX($F654,$G654,150)*BK654*1.06,IF(AND(BK654&lt;0,$E654="Enerji Fazlası"),MAX($F654,$G654,150)*BK654*1.03,IF(AND(BK654&lt;0,$E654="Dengede"),MAX($F654:$G654,150)*1.03*BK654,MIN($F654:$G654)*0.97*BK654)))))))))</f>
        <v/>
      </c>
      <c r="BM654" s="34">
        <f>BE654-BI654-BN654</f>
        <v/>
      </c>
      <c r="BN654" s="34">
        <f>BB654</f>
        <v/>
      </c>
      <c r="BO654" s="34">
        <f>BE654-BI654</f>
        <v/>
      </c>
      <c r="BP654" s="34">
        <f>IF(AY654=0,0,BO654/AY654)</f>
        <v/>
      </c>
      <c r="BQ654" s="34">
        <f>MAX((AY654+MAX((-J654+L654-N654+Q654),0)),(MAX((J654-L654+N654-Q654),0)))</f>
        <v/>
      </c>
      <c r="BR654" s="82">
        <f>IFERROR(ABS(BK654/BQ654),0)</f>
        <v/>
      </c>
      <c r="BS654" s="34">
        <f>IF(BR654&lt;=0.1,0,BK654/BR654*(BR654-0.1))</f>
        <v/>
      </c>
      <c r="BT654" s="34">
        <f>IF((BS654)&lt;0,MAX(F654:G654)*(BS654)*1.03,MIN(F654:G654)*(BS654)*0.97)</f>
        <v/>
      </c>
      <c r="BU654" s="34">
        <f>IF(BR654&gt;0.1,1,0)</f>
        <v/>
      </c>
      <c r="BV654" s="34">
        <f>BF654+BG654+BH654+BY654-CA654</f>
        <v/>
      </c>
      <c r="BW654" s="34">
        <f>ABS(BX654)</f>
        <v/>
      </c>
      <c r="BX654" s="34">
        <f>AY654-(J654-L654+N654-Q654+T654-X654)</f>
        <v/>
      </c>
      <c r="BY654" s="34">
        <f>IF(AND(BX654&gt;0,MIN($F654:$G654)&lt;150,$E654="Enerji Açığı"),-100*BX654*1.03,IF(AND(BX654&gt;0,MIN($F654:$G654)&lt;150,$E654="Enerji Fazlası"),-100*BX654*1.06,IF(AND(BX654&gt;0,MIN($F654:$G654)&gt;=150,$E654="Enerji Açığı"),BX654*MIN($F654:$G654)*0.97,IF(AND(BX654&gt;0,MIN($F654:$G654)&gt;=150,$E654="Enerji Fazlası"),BX654*MIN($F654:$G654)*0.94,IF(AND(BX654&lt;0,MAX($F654:$G654)=4500,$E654="Enerji Açığı"),4500*1.05*1.06*BX654,IF(AND(BX654&lt;0,MAX($F654:$G654)=4500,$E654="Enerji Fazlası"),4500*1.05*1.03*BX654,IF(AND(BX654&lt;0,$E654="Enerji Açığı"),MAX($F654,$G654,150)*BX654*1.06,IF(AND(BX654&lt;0,$E654="Enerji Fazlası"),MAX($F654,$G654,150)*BX654*1.03,IF(AND(BX654&lt;0,$E654="Dengede"),MAX($F654:$G654,150)*1.03*BX654,MIN($F654:$G654)*0.97*BX654)))))))))</f>
        <v/>
      </c>
      <c r="BZ654" s="34">
        <f>BE654-BV654-CA654</f>
        <v/>
      </c>
      <c r="CA654" s="34">
        <f>BD654</f>
        <v/>
      </c>
      <c r="CB654" s="33">
        <f>BE654-BV654</f>
        <v/>
      </c>
      <c r="CC654" s="34">
        <f>IF(AY654=0,0,CB654/AY654)</f>
        <v/>
      </c>
      <c r="CD654" s="34">
        <f>MAX((AY654+MAX((-J654+L654-N654+Q654-T654+X654),0)),(MAX((J654-L654+N654-Q654+T654-X654),0)))</f>
        <v/>
      </c>
      <c r="CE654" s="82">
        <f>IFERROR(ABS(BX654/CD654),0)</f>
        <v/>
      </c>
      <c r="CF654" s="34">
        <f>IF(CE654&lt;=0.1,0,BX654/CE654*(CE654-0.1))</f>
        <v/>
      </c>
      <c r="CG654" s="34">
        <f>IF((CF654)&lt;0,MAX(F654:G654)*(CF654)*1.03,MIN(F654:G654)*(CF654)*0.97)</f>
        <v/>
      </c>
      <c r="CH654" s="34">
        <f>IF(CE654&gt;0.1,1,0)</f>
        <v/>
      </c>
      <c r="CI654" s="34">
        <f>(F654*BX654)-BY654</f>
        <v/>
      </c>
      <c r="CJ654" s="34">
        <f>IF(AY654=0,0,CI654/AY654)</f>
        <v/>
      </c>
    </row>
    <row r="655">
      <c r="A655" s="29">
        <f>[1]FİYATLAR!A630</f>
        <v/>
      </c>
      <c r="B655" s="29">
        <f>[1]FİYATLAR!B654</f>
        <v/>
      </c>
      <c r="C655" s="35">
        <f>INT(A655)</f>
        <v/>
      </c>
      <c r="D655" s="36">
        <f>MONTH(A655)</f>
        <v/>
      </c>
      <c r="E655" s="147">
        <f>[1]FİYATLAR!G630</f>
        <v/>
      </c>
      <c r="F655" s="30">
        <f>[1]FİYATLAR!C630</f>
        <v/>
      </c>
      <c r="G655" s="30">
        <f>[1]FİYATLAR!E630</f>
        <v/>
      </c>
      <c r="H655" s="30">
        <f>[1]FİYATLAR!D630</f>
        <v/>
      </c>
      <c r="I655" s="30">
        <f>[1]FİYATLAR!F630</f>
        <v/>
      </c>
      <c r="J655" s="119" t="n">
        <v>0</v>
      </c>
      <c r="K655" s="34">
        <f>F655*J655</f>
        <v/>
      </c>
      <c r="L655" s="119" t="n"/>
      <c r="M655" s="34">
        <f>L655*F655</f>
        <v/>
      </c>
      <c r="N655" s="119" t="n"/>
      <c r="O655" s="34">
        <f>F655</f>
        <v/>
      </c>
      <c r="P655" s="34">
        <f>N655*O655</f>
        <v/>
      </c>
      <c r="Q655" s="117" t="n">
        <v>0</v>
      </c>
      <c r="R655" s="34">
        <f>F655</f>
        <v/>
      </c>
      <c r="S655" s="34">
        <f>R655*Q655</f>
        <v/>
      </c>
      <c r="T655" s="34">
        <f>SUMIFS('[1]GİP VERİLERİ'!$C:$C,'[1]GİP VERİLERİ'!$B:$B,A655,'[1]GİP VERİLERİ'!$M:$M,"40X000000104782K",'[1]GİP VERİLERİ'!$G:$G,"SELL")</f>
        <v/>
      </c>
      <c r="U655" s="34">
        <f>IFERROR(W655/T655,0)</f>
        <v/>
      </c>
      <c r="V655" s="34">
        <f>IF(U655=0,0,U655-F655)</f>
        <v/>
      </c>
      <c r="W655" s="34">
        <f>SUMIFS('[1]GİP VERİLERİ'!$O:$O,'[1]GİP VERİLERİ'!$B:$B,A655,'[1]GİP VERİLERİ'!$M:$M,"40X000000104782K",'[1]GİP VERİLERİ'!$G:$G,"SELL")</f>
        <v/>
      </c>
      <c r="X655" s="34">
        <f>SUMIFS('[1]GİP VERİLERİ'!$C:$C,'[1]GİP VERİLERİ'!$B:$B,A655,'[1]GİP VERİLERİ'!$M:$M,"40X000000104782K",'[1]GİP VERİLERİ'!$G:$G,"BUY")</f>
        <v/>
      </c>
      <c r="Y655" s="34">
        <f>IFERROR(AA655/X655,0)</f>
        <v/>
      </c>
      <c r="Z655" s="34">
        <f>IF(Y655=0,0,F655-Y655)</f>
        <v/>
      </c>
      <c r="AA655" s="34">
        <f>SUMIFS('[1]GİP VERİLERİ'!$O:$O,'[1]GİP VERİLERİ'!$B:$B,A655,'[1]GİP VERİLERİ'!$M:$M,"40X000000104782K",'[1]GİP VERİLERİ'!$G:$G,"BUY")</f>
        <v/>
      </c>
      <c r="AB655" s="34">
        <f>'[1]GÖP VERİLERİ'!H656</f>
        <v/>
      </c>
      <c r="AC655" s="34">
        <f>'[1]GÖP VERİLERİ'!I656</f>
        <v/>
      </c>
      <c r="AD655" s="34">
        <f>IF(AB655&gt;AC655*1.05,AB655-AC655*1.05,IF(AB655&lt;AC655*0.95,AC655*0.95-AB655,0))</f>
        <v/>
      </c>
      <c r="AE655" s="34">
        <f>MAX(F655,G655,750)*0.05*AD655</f>
        <v/>
      </c>
      <c r="AF655" s="34">
        <f>'[1]GÖP VERİLERİ'!J656</f>
        <v/>
      </c>
      <c r="AG655" s="34">
        <f>IF(AB655&gt;AF655*1.05,AB655-AF655*1.05,IF(AB655&lt;AF655*0.95,AF655*0.95-AB655,0))</f>
        <v/>
      </c>
      <c r="AH655" s="34">
        <f>MAX(I655,J655,750)*0.05*AG655</f>
        <v/>
      </c>
      <c r="AI655">
        <f>'[1]GÖP VERİLERİ'!E656</f>
        <v/>
      </c>
      <c r="AJ655">
        <f>'[1]GÖP VERİLERİ'!F656</f>
        <v/>
      </c>
      <c r="AK655" s="34">
        <f>IF(AI655&gt;AJ655*1.05,AI655-AJ655*1.05,IF(AI655&lt;AJ655*0.95,AJ655*0.95-AI655,0))</f>
        <v/>
      </c>
      <c r="AL655" s="34">
        <f>MAX(F655,G655,750)*0.05*AK655</f>
        <v/>
      </c>
      <c r="AM655" s="39">
        <f>'[1]GÖP VERİLERİ'!G656</f>
        <v/>
      </c>
      <c r="AN655" s="34">
        <f>IF(AI655&gt;AM655*1.05,AI655-AM655*1.05,IF(AI655&lt;AM655*0.95,AM655*0.95-AI655,0))</f>
        <v/>
      </c>
      <c r="AO655" s="34">
        <f>MAX(F655,G655,750)*0.05*AN655</f>
        <v/>
      </c>
      <c r="AP655" s="34">
        <f>'[1]GÖP VERİLERİ'!B656</f>
        <v/>
      </c>
      <c r="AQ655" s="34">
        <f>'[1]GÖP VERİLERİ'!C656</f>
        <v/>
      </c>
      <c r="AR655" s="34">
        <f>IF(AP655&gt;AQ655*1.05,AP655-AQ655*1.05,IF(AP655&lt;AQ655*0.95,AQ655*0.95-AP655,0))</f>
        <v/>
      </c>
      <c r="AS655" s="34">
        <f>MAX(F655:G655,750)*0.05*AR655</f>
        <v/>
      </c>
      <c r="AT655">
        <f>'[1]GÖP VERİLERİ'!D656</f>
        <v/>
      </c>
      <c r="AU655" s="34">
        <f>IF(AP655&gt;AT655*1.05,AP655-AT655*1.05,IF(AP655&lt;AT655*0.95,AT655*0.95-AP655,0))</f>
        <v/>
      </c>
      <c r="AV655" s="34">
        <f>MAX(F655:G655,750)*0.05*AU655</f>
        <v/>
      </c>
      <c r="AW655" s="34">
        <f>AC655+AJ655+AQ655</f>
        <v/>
      </c>
      <c r="AX655" s="34">
        <f>AF655+AM655+AT655</f>
        <v/>
      </c>
      <c r="AY655" s="34">
        <f>AB655+AI655+AP655</f>
        <v/>
      </c>
      <c r="AZ655" s="34" t="n">
        <v>0</v>
      </c>
      <c r="BA655" s="34">
        <f>AD655+AK655+AR655</f>
        <v/>
      </c>
      <c r="BB655" s="34">
        <f>MAX(F655:G655,750)*0.05*BA655</f>
        <v/>
      </c>
      <c r="BC655" s="34">
        <f>AG655+AN655+AU655</f>
        <v/>
      </c>
      <c r="BD655" s="34">
        <f>MAX(F655:G655,750)*0.05*BC655</f>
        <v/>
      </c>
      <c r="BE655" s="34">
        <f>F655*AY655</f>
        <v/>
      </c>
      <c r="BF655" s="34">
        <f>K655-M655</f>
        <v/>
      </c>
      <c r="BG655" s="34">
        <f>P655-S655</f>
        <v/>
      </c>
      <c r="BH655" s="34">
        <f>W655-AA655</f>
        <v/>
      </c>
      <c r="BI655" s="34">
        <f>BF655+BG655+BL655-BN655</f>
        <v/>
      </c>
      <c r="BJ655" s="34">
        <f>ABS(BK655)</f>
        <v/>
      </c>
      <c r="BK655" s="34">
        <f>AY655-(J655-L655+N655-Q655)</f>
        <v/>
      </c>
      <c r="BL655" s="34">
        <f>IF(AND(BK655&gt;0,MIN($F655:$G655)&lt;150,$E655="Enerji Açığı"),-100*BK655*1.03,IF(AND(BK655&gt;0,MIN($F655:$G655)&lt;150,$E655="Enerji Fazlası"),-100*BK655*1.06,IF(AND(BK655&gt;0,MIN($F655:$G655)&gt;=150,$E655="Enerji Açığı"),BK655*MIN($F655:$G655)*0.97,IF(AND(BK655&gt;0,MIN($F655:$G655)&gt;=150,$E655="Enerji Fazlası"),BK655*MIN($F655:$G655)*0.94,IF(AND(BK655&lt;0,MAX($F655:$G655)=4500,$E655="Enerji Açığı"),4500*1.05*1.06*BK655,IF(AND(BK655&lt;0,MAX($F655:$G655)=4500,$E655="Enerji Fazlası"),4500*1.05*1.03*BK655,IF(AND(BK655&lt;0,$E655="Enerji Açığı"),MAX($F655,$G655,150)*BK655*1.06,IF(AND(BK655&lt;0,$E655="Enerji Fazlası"),MAX($F655,$G655,150)*BK655*1.03,IF(AND(BK655&lt;0,$E655="Dengede"),MAX($F655:$G655,150)*1.03*BK655,MIN($F655:$G655)*0.97*BK655)))))))))</f>
        <v/>
      </c>
      <c r="BM655" s="34">
        <f>BE655-BI655-BN655</f>
        <v/>
      </c>
      <c r="BN655" s="34">
        <f>BB655</f>
        <v/>
      </c>
      <c r="BO655" s="34">
        <f>BE655-BI655</f>
        <v/>
      </c>
      <c r="BP655" s="34">
        <f>IF(AY655=0,0,BO655/AY655)</f>
        <v/>
      </c>
      <c r="BQ655" s="34">
        <f>MAX((AY655+MAX((-J655+L655-N655+Q655),0)),(MAX((J655-L655+N655-Q655),0)))</f>
        <v/>
      </c>
      <c r="BR655" s="82">
        <f>IFERROR(ABS(BK655/BQ655),0)</f>
        <v/>
      </c>
      <c r="BS655" s="34">
        <f>IF(BR655&lt;=0.1,0,BK655/BR655*(BR655-0.1))</f>
        <v/>
      </c>
      <c r="BT655" s="34">
        <f>IF((BS655)&lt;0,MAX(F655:G655)*(BS655)*1.03,MIN(F655:G655)*(BS655)*0.97)</f>
        <v/>
      </c>
      <c r="BU655" s="34">
        <f>IF(BR655&gt;0.1,1,0)</f>
        <v/>
      </c>
      <c r="BV655" s="34">
        <f>BF655+BG655+BH655+BY655-CA655</f>
        <v/>
      </c>
      <c r="BW655" s="34">
        <f>ABS(BX655)</f>
        <v/>
      </c>
      <c r="BX655" s="34">
        <f>AY655-(J655-L655+N655-Q655+T655-X655)</f>
        <v/>
      </c>
      <c r="BY655" s="34">
        <f>IF(AND(BX655&gt;0,MIN($F655:$G655)&lt;150,$E655="Enerji Açığı"),-100*BX655*1.03,IF(AND(BX655&gt;0,MIN($F655:$G655)&lt;150,$E655="Enerji Fazlası"),-100*BX655*1.06,IF(AND(BX655&gt;0,MIN($F655:$G655)&gt;=150,$E655="Enerji Açığı"),BX655*MIN($F655:$G655)*0.97,IF(AND(BX655&gt;0,MIN($F655:$G655)&gt;=150,$E655="Enerji Fazlası"),BX655*MIN($F655:$G655)*0.94,IF(AND(BX655&lt;0,MAX($F655:$G655)=4500,$E655="Enerji Açığı"),4500*1.05*1.06*BX655,IF(AND(BX655&lt;0,MAX($F655:$G655)=4500,$E655="Enerji Fazlası"),4500*1.05*1.03*BX655,IF(AND(BX655&lt;0,$E655="Enerji Açığı"),MAX($F655,$G655,150)*BX655*1.06,IF(AND(BX655&lt;0,$E655="Enerji Fazlası"),MAX($F655,$G655,150)*BX655*1.03,IF(AND(BX655&lt;0,$E655="Dengede"),MAX($F655:$G655,150)*1.03*BX655,MIN($F655:$G655)*0.97*BX655)))))))))</f>
        <v/>
      </c>
      <c r="BZ655" s="34">
        <f>BE655-BV655-CA655</f>
        <v/>
      </c>
      <c r="CA655" s="34">
        <f>BD655</f>
        <v/>
      </c>
      <c r="CB655" s="33">
        <f>BE655-BV655</f>
        <v/>
      </c>
      <c r="CC655" s="34">
        <f>IF(AY655=0,0,CB655/AY655)</f>
        <v/>
      </c>
      <c r="CD655" s="34">
        <f>MAX((AY655+MAX((-J655+L655-N655+Q655-T655+X655),0)),(MAX((J655-L655+N655-Q655+T655-X655),0)))</f>
        <v/>
      </c>
      <c r="CE655" s="82">
        <f>IFERROR(ABS(BX655/CD655),0)</f>
        <v/>
      </c>
      <c r="CF655" s="34">
        <f>IF(CE655&lt;=0.1,0,BX655/CE655*(CE655-0.1))</f>
        <v/>
      </c>
      <c r="CG655" s="34">
        <f>IF((CF655)&lt;0,MAX(F655:G655)*(CF655)*1.03,MIN(F655:G655)*(CF655)*0.97)</f>
        <v/>
      </c>
      <c r="CH655" s="34">
        <f>IF(CE655&gt;0.1,1,0)</f>
        <v/>
      </c>
      <c r="CI655" s="34">
        <f>(F655*BX655)-BY655</f>
        <v/>
      </c>
      <c r="CJ655" s="34">
        <f>IF(AY655=0,0,CI655/AY655)</f>
        <v/>
      </c>
    </row>
    <row r="656">
      <c r="A656" s="29">
        <f>[1]FİYATLAR!A631</f>
        <v/>
      </c>
      <c r="B656" s="29">
        <f>[1]FİYATLAR!B655</f>
        <v/>
      </c>
      <c r="C656" s="35">
        <f>INT(A656)</f>
        <v/>
      </c>
      <c r="D656" s="36">
        <f>MONTH(A656)</f>
        <v/>
      </c>
      <c r="E656" s="147">
        <f>[1]FİYATLAR!G631</f>
        <v/>
      </c>
      <c r="F656" s="30">
        <f>[1]FİYATLAR!C631</f>
        <v/>
      </c>
      <c r="G656" s="30">
        <f>[1]FİYATLAR!E631</f>
        <v/>
      </c>
      <c r="H656" s="30">
        <f>[1]FİYATLAR!D631</f>
        <v/>
      </c>
      <c r="I656" s="30">
        <f>[1]FİYATLAR!F631</f>
        <v/>
      </c>
      <c r="J656" s="119" t="n">
        <v>0</v>
      </c>
      <c r="K656" s="34">
        <f>F656*J656</f>
        <v/>
      </c>
      <c r="L656" s="119" t="n"/>
      <c r="M656" s="34">
        <f>L656*F656</f>
        <v/>
      </c>
      <c r="N656" s="119" t="n"/>
      <c r="O656" s="34">
        <f>F656</f>
        <v/>
      </c>
      <c r="P656" s="34">
        <f>N656*O656</f>
        <v/>
      </c>
      <c r="Q656" s="117" t="n">
        <v>0</v>
      </c>
      <c r="R656" s="34">
        <f>F656</f>
        <v/>
      </c>
      <c r="S656" s="34">
        <f>R656*Q656</f>
        <v/>
      </c>
      <c r="T656" s="34">
        <f>SUMIFS('[1]GİP VERİLERİ'!$C:$C,'[1]GİP VERİLERİ'!$B:$B,A656,'[1]GİP VERİLERİ'!$M:$M,"40X000000104782K",'[1]GİP VERİLERİ'!$G:$G,"SELL")</f>
        <v/>
      </c>
      <c r="U656" s="34">
        <f>IFERROR(W656/T656,0)</f>
        <v/>
      </c>
      <c r="V656" s="34">
        <f>IF(U656=0,0,U656-F656)</f>
        <v/>
      </c>
      <c r="W656" s="34">
        <f>SUMIFS('[1]GİP VERİLERİ'!$O:$O,'[1]GİP VERİLERİ'!$B:$B,A656,'[1]GİP VERİLERİ'!$M:$M,"40X000000104782K",'[1]GİP VERİLERİ'!$G:$G,"SELL")</f>
        <v/>
      </c>
      <c r="X656" s="34">
        <f>SUMIFS('[1]GİP VERİLERİ'!$C:$C,'[1]GİP VERİLERİ'!$B:$B,A656,'[1]GİP VERİLERİ'!$M:$M,"40X000000104782K",'[1]GİP VERİLERİ'!$G:$G,"BUY")</f>
        <v/>
      </c>
      <c r="Y656" s="34">
        <f>IFERROR(AA656/X656,0)</f>
        <v/>
      </c>
      <c r="Z656" s="34">
        <f>IF(Y656=0,0,F656-Y656)</f>
        <v/>
      </c>
      <c r="AA656" s="34">
        <f>SUMIFS('[1]GİP VERİLERİ'!$O:$O,'[1]GİP VERİLERİ'!$B:$B,A656,'[1]GİP VERİLERİ'!$M:$M,"40X000000104782K",'[1]GİP VERİLERİ'!$G:$G,"BUY")</f>
        <v/>
      </c>
      <c r="AB656" s="34">
        <f>'[1]GÖP VERİLERİ'!H657</f>
        <v/>
      </c>
      <c r="AC656" s="34">
        <f>'[1]GÖP VERİLERİ'!I657</f>
        <v/>
      </c>
      <c r="AD656" s="34">
        <f>IF(AB656&gt;AC656*1.05,AB656-AC656*1.05,IF(AB656&lt;AC656*0.95,AC656*0.95-AB656,0))</f>
        <v/>
      </c>
      <c r="AE656" s="34">
        <f>MAX(F656,G656,750)*0.05*AD656</f>
        <v/>
      </c>
      <c r="AF656" s="34">
        <f>'[1]GÖP VERİLERİ'!J657</f>
        <v/>
      </c>
      <c r="AG656" s="34">
        <f>IF(AB656&gt;AF656*1.05,AB656-AF656*1.05,IF(AB656&lt;AF656*0.95,AF656*0.95-AB656,0))</f>
        <v/>
      </c>
      <c r="AH656" s="34">
        <f>MAX(I656,J656,750)*0.05*AG656</f>
        <v/>
      </c>
      <c r="AI656">
        <f>'[1]GÖP VERİLERİ'!E657</f>
        <v/>
      </c>
      <c r="AJ656">
        <f>'[1]GÖP VERİLERİ'!F657</f>
        <v/>
      </c>
      <c r="AK656" s="34">
        <f>IF(AI656&gt;AJ656*1.05,AI656-AJ656*1.05,IF(AI656&lt;AJ656*0.95,AJ656*0.95-AI656,0))</f>
        <v/>
      </c>
      <c r="AL656" s="34">
        <f>MAX(F656,G656,750)*0.05*AK656</f>
        <v/>
      </c>
      <c r="AM656" s="39">
        <f>'[1]GÖP VERİLERİ'!G657</f>
        <v/>
      </c>
      <c r="AN656" s="34">
        <f>IF(AI656&gt;AM656*1.05,AI656-AM656*1.05,IF(AI656&lt;AM656*0.95,AM656*0.95-AI656,0))</f>
        <v/>
      </c>
      <c r="AO656" s="34">
        <f>MAX(F656,G656,750)*0.05*AN656</f>
        <v/>
      </c>
      <c r="AP656" s="34">
        <f>'[1]GÖP VERİLERİ'!B657</f>
        <v/>
      </c>
      <c r="AQ656" s="34">
        <f>'[1]GÖP VERİLERİ'!C657</f>
        <v/>
      </c>
      <c r="AR656" s="34">
        <f>IF(AP656&gt;AQ656*1.05,AP656-AQ656*1.05,IF(AP656&lt;AQ656*0.95,AQ656*0.95-AP656,0))</f>
        <v/>
      </c>
      <c r="AS656" s="34">
        <f>MAX(F656:G656,750)*0.05*AR656</f>
        <v/>
      </c>
      <c r="AT656">
        <f>'[1]GÖP VERİLERİ'!D657</f>
        <v/>
      </c>
      <c r="AU656" s="34">
        <f>IF(AP656&gt;AT656*1.05,AP656-AT656*1.05,IF(AP656&lt;AT656*0.95,AT656*0.95-AP656,0))</f>
        <v/>
      </c>
      <c r="AV656" s="34">
        <f>MAX(F656:G656,750)*0.05*AU656</f>
        <v/>
      </c>
      <c r="AW656" s="34">
        <f>AC656+AJ656+AQ656</f>
        <v/>
      </c>
      <c r="AX656" s="34">
        <f>AF656+AM656+AT656</f>
        <v/>
      </c>
      <c r="AY656" s="34">
        <f>AB656+AI656+AP656</f>
        <v/>
      </c>
      <c r="AZ656" s="34" t="n">
        <v>0</v>
      </c>
      <c r="BA656" s="34">
        <f>AD656+AK656+AR656</f>
        <v/>
      </c>
      <c r="BB656" s="34">
        <f>MAX(F656:G656,750)*0.05*BA656</f>
        <v/>
      </c>
      <c r="BC656" s="34">
        <f>AG656+AN656+AU656</f>
        <v/>
      </c>
      <c r="BD656" s="34">
        <f>MAX(F656:G656,750)*0.05*BC656</f>
        <v/>
      </c>
      <c r="BE656" s="34">
        <f>F656*AY656</f>
        <v/>
      </c>
      <c r="BF656" s="34">
        <f>K656-M656</f>
        <v/>
      </c>
      <c r="BG656" s="34">
        <f>P656-S656</f>
        <v/>
      </c>
      <c r="BH656" s="34">
        <f>W656-AA656</f>
        <v/>
      </c>
      <c r="BI656" s="34">
        <f>BF656+BG656+BL656-BN656</f>
        <v/>
      </c>
      <c r="BJ656" s="34">
        <f>ABS(BK656)</f>
        <v/>
      </c>
      <c r="BK656" s="34">
        <f>AY656-(J656-L656+N656-Q656)</f>
        <v/>
      </c>
      <c r="BL656" s="34">
        <f>IF(AND(BK656&gt;0,MIN($F656:$G656)&lt;150,$E656="Enerji Açığı"),-100*BK656*1.03,IF(AND(BK656&gt;0,MIN($F656:$G656)&lt;150,$E656="Enerji Fazlası"),-100*BK656*1.06,IF(AND(BK656&gt;0,MIN($F656:$G656)&gt;=150,$E656="Enerji Açığı"),BK656*MIN($F656:$G656)*0.97,IF(AND(BK656&gt;0,MIN($F656:$G656)&gt;=150,$E656="Enerji Fazlası"),BK656*MIN($F656:$G656)*0.94,IF(AND(BK656&lt;0,MAX($F656:$G656)=4500,$E656="Enerji Açığı"),4500*1.05*1.06*BK656,IF(AND(BK656&lt;0,MAX($F656:$G656)=4500,$E656="Enerji Fazlası"),4500*1.05*1.03*BK656,IF(AND(BK656&lt;0,$E656="Enerji Açığı"),MAX($F656,$G656,150)*BK656*1.06,IF(AND(BK656&lt;0,$E656="Enerji Fazlası"),MAX($F656,$G656,150)*BK656*1.03,IF(AND(BK656&lt;0,$E656="Dengede"),MAX($F656:$G656,150)*1.03*BK656,MIN($F656:$G656)*0.97*BK656)))))))))</f>
        <v/>
      </c>
      <c r="BM656" s="34">
        <f>BE656-BI656-BN656</f>
        <v/>
      </c>
      <c r="BN656" s="34">
        <f>BB656</f>
        <v/>
      </c>
      <c r="BO656" s="34">
        <f>BE656-BI656</f>
        <v/>
      </c>
      <c r="BP656" s="34">
        <f>IF(AY656=0,0,BO656/AY656)</f>
        <v/>
      </c>
      <c r="BQ656" s="34">
        <f>MAX((AY656+MAX((-J656+L656-N656+Q656),0)),(MAX((J656-L656+N656-Q656),0)))</f>
        <v/>
      </c>
      <c r="BR656" s="82">
        <f>IFERROR(ABS(BK656/BQ656),0)</f>
        <v/>
      </c>
      <c r="BS656" s="34">
        <f>IF(BR656&lt;=0.1,0,BK656/BR656*(BR656-0.1))</f>
        <v/>
      </c>
      <c r="BT656" s="34">
        <f>IF((BS656)&lt;0,MAX(F656:G656)*(BS656)*1.03,MIN(F656:G656)*(BS656)*0.97)</f>
        <v/>
      </c>
      <c r="BU656" s="34">
        <f>IF(BR656&gt;0.1,1,0)</f>
        <v/>
      </c>
      <c r="BV656" s="34">
        <f>BF656+BG656+BH656+BY656-CA656</f>
        <v/>
      </c>
      <c r="BW656" s="34">
        <f>ABS(BX656)</f>
        <v/>
      </c>
      <c r="BX656" s="34">
        <f>AY656-(J656-L656+N656-Q656+T656-X656)</f>
        <v/>
      </c>
      <c r="BY656" s="34">
        <f>IF(AND(BX656&gt;0,MIN($F656:$G656)&lt;150,$E656="Enerji Açığı"),-100*BX656*1.03,IF(AND(BX656&gt;0,MIN($F656:$G656)&lt;150,$E656="Enerji Fazlası"),-100*BX656*1.06,IF(AND(BX656&gt;0,MIN($F656:$G656)&gt;=150,$E656="Enerji Açığı"),BX656*MIN($F656:$G656)*0.97,IF(AND(BX656&gt;0,MIN($F656:$G656)&gt;=150,$E656="Enerji Fazlası"),BX656*MIN($F656:$G656)*0.94,IF(AND(BX656&lt;0,MAX($F656:$G656)=4500,$E656="Enerji Açığı"),4500*1.05*1.06*BX656,IF(AND(BX656&lt;0,MAX($F656:$G656)=4500,$E656="Enerji Fazlası"),4500*1.05*1.03*BX656,IF(AND(BX656&lt;0,$E656="Enerji Açığı"),MAX($F656,$G656,150)*BX656*1.06,IF(AND(BX656&lt;0,$E656="Enerji Fazlası"),MAX($F656,$G656,150)*BX656*1.03,IF(AND(BX656&lt;0,$E656="Dengede"),MAX($F656:$G656,150)*1.03*BX656,MIN($F656:$G656)*0.97*BX656)))))))))</f>
        <v/>
      </c>
      <c r="BZ656" s="34">
        <f>BE656-BV656-CA656</f>
        <v/>
      </c>
      <c r="CA656" s="34">
        <f>BD656</f>
        <v/>
      </c>
      <c r="CB656" s="33">
        <f>BE656-BV656</f>
        <v/>
      </c>
      <c r="CC656" s="34">
        <f>IF(AY656=0,0,CB656/AY656)</f>
        <v/>
      </c>
      <c r="CD656" s="34">
        <f>MAX((AY656+MAX((-J656+L656-N656+Q656-T656+X656),0)),(MAX((J656-L656+N656-Q656+T656-X656),0)))</f>
        <v/>
      </c>
      <c r="CE656" s="82">
        <f>IFERROR(ABS(BX656/CD656),0)</f>
        <v/>
      </c>
      <c r="CF656" s="34">
        <f>IF(CE656&lt;=0.1,0,BX656/CE656*(CE656-0.1))</f>
        <v/>
      </c>
      <c r="CG656" s="34">
        <f>IF((CF656)&lt;0,MAX(F656:G656)*(CF656)*1.03,MIN(F656:G656)*(CF656)*0.97)</f>
        <v/>
      </c>
      <c r="CH656" s="34">
        <f>IF(CE656&gt;0.1,1,0)</f>
        <v/>
      </c>
      <c r="CI656" s="34">
        <f>(F656*BX656)-BY656</f>
        <v/>
      </c>
      <c r="CJ656" s="34">
        <f>IF(AY656=0,0,CI656/AY656)</f>
        <v/>
      </c>
    </row>
    <row r="657">
      <c r="A657" s="29">
        <f>[1]FİYATLAR!A632</f>
        <v/>
      </c>
      <c r="B657" s="29">
        <f>[1]FİYATLAR!B656</f>
        <v/>
      </c>
      <c r="C657" s="35">
        <f>INT(A657)</f>
        <v/>
      </c>
      <c r="D657" s="36">
        <f>MONTH(A657)</f>
        <v/>
      </c>
      <c r="E657" s="147">
        <f>[1]FİYATLAR!G632</f>
        <v/>
      </c>
      <c r="F657" s="30">
        <f>[1]FİYATLAR!C632</f>
        <v/>
      </c>
      <c r="G657" s="30">
        <f>[1]FİYATLAR!E632</f>
        <v/>
      </c>
      <c r="H657" s="30">
        <f>[1]FİYATLAR!D632</f>
        <v/>
      </c>
      <c r="I657" s="30">
        <f>[1]FİYATLAR!F632</f>
        <v/>
      </c>
      <c r="J657" s="119" t="n">
        <v>0</v>
      </c>
      <c r="K657" s="34">
        <f>F657*J657</f>
        <v/>
      </c>
      <c r="L657" s="119" t="n"/>
      <c r="M657" s="34">
        <f>L657*F657</f>
        <v/>
      </c>
      <c r="N657" s="119" t="n"/>
      <c r="O657" s="34">
        <f>F657</f>
        <v/>
      </c>
      <c r="P657" s="34">
        <f>N657*O657</f>
        <v/>
      </c>
      <c r="Q657" s="117" t="n">
        <v>0</v>
      </c>
      <c r="R657" s="34">
        <f>F657</f>
        <v/>
      </c>
      <c r="S657" s="34">
        <f>R657*Q657</f>
        <v/>
      </c>
      <c r="T657" s="34">
        <f>SUMIFS('[1]GİP VERİLERİ'!$C:$C,'[1]GİP VERİLERİ'!$B:$B,A657,'[1]GİP VERİLERİ'!$M:$M,"40X000000104782K",'[1]GİP VERİLERİ'!$G:$G,"SELL")</f>
        <v/>
      </c>
      <c r="U657" s="34">
        <f>IFERROR(W657/T657,0)</f>
        <v/>
      </c>
      <c r="V657" s="34">
        <f>IF(U657=0,0,U657-F657)</f>
        <v/>
      </c>
      <c r="W657" s="34">
        <f>SUMIFS('[1]GİP VERİLERİ'!$O:$O,'[1]GİP VERİLERİ'!$B:$B,A657,'[1]GİP VERİLERİ'!$M:$M,"40X000000104782K",'[1]GİP VERİLERİ'!$G:$G,"SELL")</f>
        <v/>
      </c>
      <c r="X657" s="34">
        <f>SUMIFS('[1]GİP VERİLERİ'!$C:$C,'[1]GİP VERİLERİ'!$B:$B,A657,'[1]GİP VERİLERİ'!$M:$M,"40X000000104782K",'[1]GİP VERİLERİ'!$G:$G,"BUY")</f>
        <v/>
      </c>
      <c r="Y657" s="34">
        <f>IFERROR(AA657/X657,0)</f>
        <v/>
      </c>
      <c r="Z657" s="34">
        <f>IF(Y657=0,0,F657-Y657)</f>
        <v/>
      </c>
      <c r="AA657" s="34">
        <f>SUMIFS('[1]GİP VERİLERİ'!$O:$O,'[1]GİP VERİLERİ'!$B:$B,A657,'[1]GİP VERİLERİ'!$M:$M,"40X000000104782K",'[1]GİP VERİLERİ'!$G:$G,"BUY")</f>
        <v/>
      </c>
      <c r="AB657" s="34">
        <f>'[1]GÖP VERİLERİ'!H658</f>
        <v/>
      </c>
      <c r="AC657" s="34">
        <f>'[1]GÖP VERİLERİ'!I658</f>
        <v/>
      </c>
      <c r="AD657" s="34">
        <f>IF(AB657&gt;AC657*1.05,AB657-AC657*1.05,IF(AB657&lt;AC657*0.95,AC657*0.95-AB657,0))</f>
        <v/>
      </c>
      <c r="AE657" s="34">
        <f>MAX(F657,G657,750)*0.05*AD657</f>
        <v/>
      </c>
      <c r="AF657" s="34">
        <f>'[1]GÖP VERİLERİ'!J658</f>
        <v/>
      </c>
      <c r="AG657" s="34">
        <f>IF(AB657&gt;AF657*1.05,AB657-AF657*1.05,IF(AB657&lt;AF657*0.95,AF657*0.95-AB657,0))</f>
        <v/>
      </c>
      <c r="AH657" s="34">
        <f>MAX(I657,J657,750)*0.05*AG657</f>
        <v/>
      </c>
      <c r="AI657">
        <f>'[1]GÖP VERİLERİ'!E658</f>
        <v/>
      </c>
      <c r="AJ657">
        <f>'[1]GÖP VERİLERİ'!F658</f>
        <v/>
      </c>
      <c r="AK657" s="34">
        <f>IF(AI657&gt;AJ657*1.05,AI657-AJ657*1.05,IF(AI657&lt;AJ657*0.95,AJ657*0.95-AI657,0))</f>
        <v/>
      </c>
      <c r="AL657" s="34">
        <f>MAX(F657,G657,750)*0.05*AK657</f>
        <v/>
      </c>
      <c r="AM657" s="39">
        <f>'[1]GÖP VERİLERİ'!G658</f>
        <v/>
      </c>
      <c r="AN657" s="34">
        <f>IF(AI657&gt;AM657*1.05,AI657-AM657*1.05,IF(AI657&lt;AM657*0.95,AM657*0.95-AI657,0))</f>
        <v/>
      </c>
      <c r="AO657" s="34">
        <f>MAX(F657,G657,750)*0.05*AN657</f>
        <v/>
      </c>
      <c r="AP657" s="34">
        <f>'[1]GÖP VERİLERİ'!B658</f>
        <v/>
      </c>
      <c r="AQ657" s="34">
        <f>'[1]GÖP VERİLERİ'!C658</f>
        <v/>
      </c>
      <c r="AR657" s="34">
        <f>IF(AP657&gt;AQ657*1.05,AP657-AQ657*1.05,IF(AP657&lt;AQ657*0.95,AQ657*0.95-AP657,0))</f>
        <v/>
      </c>
      <c r="AS657" s="34">
        <f>MAX(F657:G657,750)*0.05*AR657</f>
        <v/>
      </c>
      <c r="AT657">
        <f>'[1]GÖP VERİLERİ'!D658</f>
        <v/>
      </c>
      <c r="AU657" s="34">
        <f>IF(AP657&gt;AT657*1.05,AP657-AT657*1.05,IF(AP657&lt;AT657*0.95,AT657*0.95-AP657,0))</f>
        <v/>
      </c>
      <c r="AV657" s="34">
        <f>MAX(F657:G657,750)*0.05*AU657</f>
        <v/>
      </c>
      <c r="AW657" s="34">
        <f>AC657+AJ657+AQ657</f>
        <v/>
      </c>
      <c r="AX657" s="34">
        <f>AF657+AM657+AT657</f>
        <v/>
      </c>
      <c r="AY657" s="34">
        <f>AB657+AI657+AP657</f>
        <v/>
      </c>
      <c r="AZ657" s="34" t="n">
        <v>0</v>
      </c>
      <c r="BA657" s="34">
        <f>AD657+AK657+AR657</f>
        <v/>
      </c>
      <c r="BB657" s="34">
        <f>MAX(F657:G657,750)*0.05*BA657</f>
        <v/>
      </c>
      <c r="BC657" s="34">
        <f>AG657+AN657+AU657</f>
        <v/>
      </c>
      <c r="BD657" s="34">
        <f>MAX(F657:G657,750)*0.05*BC657</f>
        <v/>
      </c>
      <c r="BE657" s="34">
        <f>F657*AY657</f>
        <v/>
      </c>
      <c r="BF657" s="34">
        <f>K657-M657</f>
        <v/>
      </c>
      <c r="BG657" s="34">
        <f>P657-S657</f>
        <v/>
      </c>
      <c r="BH657" s="34">
        <f>W657-AA657</f>
        <v/>
      </c>
      <c r="BI657" s="34">
        <f>BF657+BG657+BL657-BN657</f>
        <v/>
      </c>
      <c r="BJ657" s="34">
        <f>ABS(BK657)</f>
        <v/>
      </c>
      <c r="BK657" s="34">
        <f>AY657-(J657-L657+N657-Q657)</f>
        <v/>
      </c>
      <c r="BL657" s="34">
        <f>IF(AND(BK657&gt;0,MIN($F657:$G657)&lt;150,$E657="Enerji Açığı"),-100*BK657*1.03,IF(AND(BK657&gt;0,MIN($F657:$G657)&lt;150,$E657="Enerji Fazlası"),-100*BK657*1.06,IF(AND(BK657&gt;0,MIN($F657:$G657)&gt;=150,$E657="Enerji Açığı"),BK657*MIN($F657:$G657)*0.97,IF(AND(BK657&gt;0,MIN($F657:$G657)&gt;=150,$E657="Enerji Fazlası"),BK657*MIN($F657:$G657)*0.94,IF(AND(BK657&lt;0,MAX($F657:$G657)=4500,$E657="Enerji Açığı"),4500*1.05*1.06*BK657,IF(AND(BK657&lt;0,MAX($F657:$G657)=4500,$E657="Enerji Fazlası"),4500*1.05*1.03*BK657,IF(AND(BK657&lt;0,$E657="Enerji Açığı"),MAX($F657,$G657,150)*BK657*1.06,IF(AND(BK657&lt;0,$E657="Enerji Fazlası"),MAX($F657,$G657,150)*BK657*1.03,IF(AND(BK657&lt;0,$E657="Dengede"),MAX($F657:$G657,150)*1.03*BK657,MIN($F657:$G657)*0.97*BK657)))))))))</f>
        <v/>
      </c>
      <c r="BM657" s="34">
        <f>BE657-BI657-BN657</f>
        <v/>
      </c>
      <c r="BN657" s="34">
        <f>BB657</f>
        <v/>
      </c>
      <c r="BO657" s="34">
        <f>BE657-BI657</f>
        <v/>
      </c>
      <c r="BP657" s="34">
        <f>IF(AY657=0,0,BO657/AY657)</f>
        <v/>
      </c>
      <c r="BQ657" s="34">
        <f>MAX((AY657+MAX((-J657+L657-N657+Q657),0)),(MAX((J657-L657+N657-Q657),0)))</f>
        <v/>
      </c>
      <c r="BR657" s="82">
        <f>IFERROR(ABS(BK657/BQ657),0)</f>
        <v/>
      </c>
      <c r="BS657" s="34">
        <f>IF(BR657&lt;=0.1,0,BK657/BR657*(BR657-0.1))</f>
        <v/>
      </c>
      <c r="BT657" s="34">
        <f>IF((BS657)&lt;0,MAX(F657:G657)*(BS657)*1.03,MIN(F657:G657)*(BS657)*0.97)</f>
        <v/>
      </c>
      <c r="BU657" s="34">
        <f>IF(BR657&gt;0.1,1,0)</f>
        <v/>
      </c>
      <c r="BV657" s="34">
        <f>BF657+BG657+BH657+BY657-CA657</f>
        <v/>
      </c>
      <c r="BW657" s="34">
        <f>ABS(BX657)</f>
        <v/>
      </c>
      <c r="BX657" s="34">
        <f>AY657-(J657-L657+N657-Q657+T657-X657)</f>
        <v/>
      </c>
      <c r="BY657" s="34">
        <f>IF(AND(BX657&gt;0,MIN($F657:$G657)&lt;150,$E657="Enerji Açığı"),-100*BX657*1.03,IF(AND(BX657&gt;0,MIN($F657:$G657)&lt;150,$E657="Enerji Fazlası"),-100*BX657*1.06,IF(AND(BX657&gt;0,MIN($F657:$G657)&gt;=150,$E657="Enerji Açığı"),BX657*MIN($F657:$G657)*0.97,IF(AND(BX657&gt;0,MIN($F657:$G657)&gt;=150,$E657="Enerji Fazlası"),BX657*MIN($F657:$G657)*0.94,IF(AND(BX657&lt;0,MAX($F657:$G657)=4500,$E657="Enerji Açığı"),4500*1.05*1.06*BX657,IF(AND(BX657&lt;0,MAX($F657:$G657)=4500,$E657="Enerji Fazlası"),4500*1.05*1.03*BX657,IF(AND(BX657&lt;0,$E657="Enerji Açığı"),MAX($F657,$G657,150)*BX657*1.06,IF(AND(BX657&lt;0,$E657="Enerji Fazlası"),MAX($F657,$G657,150)*BX657*1.03,IF(AND(BX657&lt;0,$E657="Dengede"),MAX($F657:$G657,150)*1.03*BX657,MIN($F657:$G657)*0.97*BX657)))))))))</f>
        <v/>
      </c>
      <c r="BZ657" s="34">
        <f>BE657-BV657-CA657</f>
        <v/>
      </c>
      <c r="CA657" s="34">
        <f>BD657</f>
        <v/>
      </c>
      <c r="CB657" s="33">
        <f>BE657-BV657</f>
        <v/>
      </c>
      <c r="CC657" s="34">
        <f>IF(AY657=0,0,CB657/AY657)</f>
        <v/>
      </c>
      <c r="CD657" s="34">
        <f>MAX((AY657+MAX((-J657+L657-N657+Q657-T657+X657),0)),(MAX((J657-L657+N657-Q657+T657-X657),0)))</f>
        <v/>
      </c>
      <c r="CE657" s="82">
        <f>IFERROR(ABS(BX657/CD657),0)</f>
        <v/>
      </c>
      <c r="CF657" s="34">
        <f>IF(CE657&lt;=0.1,0,BX657/CE657*(CE657-0.1))</f>
        <v/>
      </c>
      <c r="CG657" s="34">
        <f>IF((CF657)&lt;0,MAX(F657:G657)*(CF657)*1.03,MIN(F657:G657)*(CF657)*0.97)</f>
        <v/>
      </c>
      <c r="CH657" s="34">
        <f>IF(CE657&gt;0.1,1,0)</f>
        <v/>
      </c>
      <c r="CI657" s="34">
        <f>(F657*BX657)-BY657</f>
        <v/>
      </c>
      <c r="CJ657" s="34">
        <f>IF(AY657=0,0,CI657/AY657)</f>
        <v/>
      </c>
    </row>
    <row r="658">
      <c r="A658" s="29">
        <f>[1]FİYATLAR!A633</f>
        <v/>
      </c>
      <c r="B658" s="29">
        <f>[1]FİYATLAR!B657</f>
        <v/>
      </c>
      <c r="C658" s="35">
        <f>INT(A658)</f>
        <v/>
      </c>
      <c r="D658" s="36">
        <f>MONTH(A658)</f>
        <v/>
      </c>
      <c r="E658" s="147">
        <f>[1]FİYATLAR!G633</f>
        <v/>
      </c>
      <c r="F658" s="30">
        <f>[1]FİYATLAR!C633</f>
        <v/>
      </c>
      <c r="G658" s="30">
        <f>[1]FİYATLAR!E633</f>
        <v/>
      </c>
      <c r="H658" s="30">
        <f>[1]FİYATLAR!D633</f>
        <v/>
      </c>
      <c r="I658" s="30">
        <f>[1]FİYATLAR!F633</f>
        <v/>
      </c>
      <c r="J658" s="119" t="n">
        <v>0</v>
      </c>
      <c r="K658" s="34">
        <f>F658*J658</f>
        <v/>
      </c>
      <c r="L658" s="119" t="n"/>
      <c r="M658" s="34">
        <f>L658*F658</f>
        <v/>
      </c>
      <c r="N658" s="119" t="n"/>
      <c r="O658" s="34">
        <f>F658</f>
        <v/>
      </c>
      <c r="P658" s="34">
        <f>N658*O658</f>
        <v/>
      </c>
      <c r="Q658" s="117" t="n">
        <v>0</v>
      </c>
      <c r="R658" s="34">
        <f>F658</f>
        <v/>
      </c>
      <c r="S658" s="34">
        <f>R658*Q658</f>
        <v/>
      </c>
      <c r="T658" s="34">
        <f>SUMIFS('[1]GİP VERİLERİ'!$C:$C,'[1]GİP VERİLERİ'!$B:$B,A658,'[1]GİP VERİLERİ'!$M:$M,"40X000000104782K",'[1]GİP VERİLERİ'!$G:$G,"SELL")</f>
        <v/>
      </c>
      <c r="U658" s="34">
        <f>IFERROR(W658/T658,0)</f>
        <v/>
      </c>
      <c r="V658" s="34">
        <f>IF(U658=0,0,U658-F658)</f>
        <v/>
      </c>
      <c r="W658" s="34">
        <f>SUMIFS('[1]GİP VERİLERİ'!$O:$O,'[1]GİP VERİLERİ'!$B:$B,A658,'[1]GİP VERİLERİ'!$M:$M,"40X000000104782K",'[1]GİP VERİLERİ'!$G:$G,"SELL")</f>
        <v/>
      </c>
      <c r="X658" s="34">
        <f>SUMIFS('[1]GİP VERİLERİ'!$C:$C,'[1]GİP VERİLERİ'!$B:$B,A658,'[1]GİP VERİLERİ'!$M:$M,"40X000000104782K",'[1]GİP VERİLERİ'!$G:$G,"BUY")</f>
        <v/>
      </c>
      <c r="Y658" s="34">
        <f>IFERROR(AA658/X658,0)</f>
        <v/>
      </c>
      <c r="Z658" s="34">
        <f>IF(Y658=0,0,F658-Y658)</f>
        <v/>
      </c>
      <c r="AA658" s="34">
        <f>SUMIFS('[1]GİP VERİLERİ'!$O:$O,'[1]GİP VERİLERİ'!$B:$B,A658,'[1]GİP VERİLERİ'!$M:$M,"40X000000104782K",'[1]GİP VERİLERİ'!$G:$G,"BUY")</f>
        <v/>
      </c>
      <c r="AB658" s="34">
        <f>'[1]GÖP VERİLERİ'!H659</f>
        <v/>
      </c>
      <c r="AC658" s="34">
        <f>'[1]GÖP VERİLERİ'!I659</f>
        <v/>
      </c>
      <c r="AD658" s="34">
        <f>IF(AB658&gt;AC658*1.05,AB658-AC658*1.05,IF(AB658&lt;AC658*0.95,AC658*0.95-AB658,0))</f>
        <v/>
      </c>
      <c r="AE658" s="34">
        <f>MAX(F658,G658,750)*0.05*AD658</f>
        <v/>
      </c>
      <c r="AF658" s="34">
        <f>'[1]GÖP VERİLERİ'!J659</f>
        <v/>
      </c>
      <c r="AG658" s="34">
        <f>IF(AB658&gt;AF658*1.05,AB658-AF658*1.05,IF(AB658&lt;AF658*0.95,AF658*0.95-AB658,0))</f>
        <v/>
      </c>
      <c r="AH658" s="34">
        <f>MAX(I658,J658,750)*0.05*AG658</f>
        <v/>
      </c>
      <c r="AI658">
        <f>'[1]GÖP VERİLERİ'!E659</f>
        <v/>
      </c>
      <c r="AJ658">
        <f>'[1]GÖP VERİLERİ'!F659</f>
        <v/>
      </c>
      <c r="AK658" s="34">
        <f>IF(AI658&gt;AJ658*1.05,AI658-AJ658*1.05,IF(AI658&lt;AJ658*0.95,AJ658*0.95-AI658,0))</f>
        <v/>
      </c>
      <c r="AL658" s="34">
        <f>MAX(F658,G658,750)*0.05*AK658</f>
        <v/>
      </c>
      <c r="AM658" s="39">
        <f>'[1]GÖP VERİLERİ'!G659</f>
        <v/>
      </c>
      <c r="AN658" s="34">
        <f>IF(AI658&gt;AM658*1.05,AI658-AM658*1.05,IF(AI658&lt;AM658*0.95,AM658*0.95-AI658,0))</f>
        <v/>
      </c>
      <c r="AO658" s="34">
        <f>MAX(F658,G658,750)*0.05*AN658</f>
        <v/>
      </c>
      <c r="AP658" s="34">
        <f>'[1]GÖP VERİLERİ'!B659</f>
        <v/>
      </c>
      <c r="AQ658" s="34">
        <f>'[1]GÖP VERİLERİ'!C659</f>
        <v/>
      </c>
      <c r="AR658" s="34">
        <f>IF(AP658&gt;AQ658*1.05,AP658-AQ658*1.05,IF(AP658&lt;AQ658*0.95,AQ658*0.95-AP658,0))</f>
        <v/>
      </c>
      <c r="AS658" s="34">
        <f>MAX(F658:G658,750)*0.05*AR658</f>
        <v/>
      </c>
      <c r="AT658">
        <f>'[1]GÖP VERİLERİ'!D659</f>
        <v/>
      </c>
      <c r="AU658" s="34">
        <f>IF(AP658&gt;AT658*1.05,AP658-AT658*1.05,IF(AP658&lt;AT658*0.95,AT658*0.95-AP658,0))</f>
        <v/>
      </c>
      <c r="AV658" s="34">
        <f>MAX(F658:G658,750)*0.05*AU658</f>
        <v/>
      </c>
      <c r="AW658" s="34">
        <f>AC658+AJ658+AQ658</f>
        <v/>
      </c>
      <c r="AX658" s="34">
        <f>AF658+AM658+AT658</f>
        <v/>
      </c>
      <c r="AY658" s="34">
        <f>AB658+AI658+AP658</f>
        <v/>
      </c>
      <c r="AZ658" s="34" t="n">
        <v>0</v>
      </c>
      <c r="BA658" s="34">
        <f>AD658+AK658+AR658</f>
        <v/>
      </c>
      <c r="BB658" s="34">
        <f>MAX(F658:G658,750)*0.05*BA658</f>
        <v/>
      </c>
      <c r="BC658" s="34">
        <f>AG658+AN658+AU658</f>
        <v/>
      </c>
      <c r="BD658" s="34">
        <f>MAX(F658:G658,750)*0.05*BC658</f>
        <v/>
      </c>
      <c r="BE658" s="34">
        <f>F658*AY658</f>
        <v/>
      </c>
      <c r="BF658" s="34">
        <f>K658-M658</f>
        <v/>
      </c>
      <c r="BG658" s="34">
        <f>P658-S658</f>
        <v/>
      </c>
      <c r="BH658" s="34">
        <f>W658-AA658</f>
        <v/>
      </c>
      <c r="BI658" s="34">
        <f>BF658+BG658+BL658-BN658</f>
        <v/>
      </c>
      <c r="BJ658" s="34">
        <f>ABS(BK658)</f>
        <v/>
      </c>
      <c r="BK658" s="34">
        <f>AY658-(J658-L658+N658-Q658)</f>
        <v/>
      </c>
      <c r="BL658" s="34">
        <f>IF(AND(BK658&gt;0,MIN($F658:$G658)&lt;150,$E658="Enerji Açığı"),-100*BK658*1.03,IF(AND(BK658&gt;0,MIN($F658:$G658)&lt;150,$E658="Enerji Fazlası"),-100*BK658*1.06,IF(AND(BK658&gt;0,MIN($F658:$G658)&gt;=150,$E658="Enerji Açığı"),BK658*MIN($F658:$G658)*0.97,IF(AND(BK658&gt;0,MIN($F658:$G658)&gt;=150,$E658="Enerji Fazlası"),BK658*MIN($F658:$G658)*0.94,IF(AND(BK658&lt;0,MAX($F658:$G658)=4500,$E658="Enerji Açığı"),4500*1.05*1.06*BK658,IF(AND(BK658&lt;0,MAX($F658:$G658)=4500,$E658="Enerji Fazlası"),4500*1.05*1.03*BK658,IF(AND(BK658&lt;0,$E658="Enerji Açığı"),MAX($F658,$G658,150)*BK658*1.06,IF(AND(BK658&lt;0,$E658="Enerji Fazlası"),MAX($F658,$G658,150)*BK658*1.03,IF(AND(BK658&lt;0,$E658="Dengede"),MAX($F658:$G658,150)*1.03*BK658,MIN($F658:$G658)*0.97*BK658)))))))))</f>
        <v/>
      </c>
      <c r="BM658" s="34">
        <f>BE658-BI658-BN658</f>
        <v/>
      </c>
      <c r="BN658" s="34">
        <f>BB658</f>
        <v/>
      </c>
      <c r="BO658" s="34">
        <f>BE658-BI658</f>
        <v/>
      </c>
      <c r="BP658" s="34">
        <f>IF(AY658=0,0,BO658/AY658)</f>
        <v/>
      </c>
      <c r="BQ658" s="34">
        <f>MAX((AY658+MAX((-J658+L658-N658+Q658),0)),(MAX((J658-L658+N658-Q658),0)))</f>
        <v/>
      </c>
      <c r="BR658" s="82">
        <f>IFERROR(ABS(BK658/BQ658),0)</f>
        <v/>
      </c>
      <c r="BS658" s="34">
        <f>IF(BR658&lt;=0.1,0,BK658/BR658*(BR658-0.1))</f>
        <v/>
      </c>
      <c r="BT658" s="34">
        <f>IF((BS658)&lt;0,MAX(F658:G658)*(BS658)*1.03,MIN(F658:G658)*(BS658)*0.97)</f>
        <v/>
      </c>
      <c r="BU658" s="34">
        <f>IF(BR658&gt;0.1,1,0)</f>
        <v/>
      </c>
      <c r="BV658" s="34">
        <f>BF658+BG658+BH658+BY658-CA658</f>
        <v/>
      </c>
      <c r="BW658" s="34">
        <f>ABS(BX658)</f>
        <v/>
      </c>
      <c r="BX658" s="34">
        <f>AY658-(J658-L658+N658-Q658+T658-X658)</f>
        <v/>
      </c>
      <c r="BY658" s="34">
        <f>IF(AND(BX658&gt;0,MIN($F658:$G658)&lt;150,$E658="Enerji Açığı"),-100*BX658*1.03,IF(AND(BX658&gt;0,MIN($F658:$G658)&lt;150,$E658="Enerji Fazlası"),-100*BX658*1.06,IF(AND(BX658&gt;0,MIN($F658:$G658)&gt;=150,$E658="Enerji Açığı"),BX658*MIN($F658:$G658)*0.97,IF(AND(BX658&gt;0,MIN($F658:$G658)&gt;=150,$E658="Enerji Fazlası"),BX658*MIN($F658:$G658)*0.94,IF(AND(BX658&lt;0,MAX($F658:$G658)=4500,$E658="Enerji Açığı"),4500*1.05*1.06*BX658,IF(AND(BX658&lt;0,MAX($F658:$G658)=4500,$E658="Enerji Fazlası"),4500*1.05*1.03*BX658,IF(AND(BX658&lt;0,$E658="Enerji Açığı"),MAX($F658,$G658,150)*BX658*1.06,IF(AND(BX658&lt;0,$E658="Enerji Fazlası"),MAX($F658,$G658,150)*BX658*1.03,IF(AND(BX658&lt;0,$E658="Dengede"),MAX($F658:$G658,150)*1.03*BX658,MIN($F658:$G658)*0.97*BX658)))))))))</f>
        <v/>
      </c>
      <c r="BZ658" s="34">
        <f>BE658-BV658-CA658</f>
        <v/>
      </c>
      <c r="CA658" s="34">
        <f>BD658</f>
        <v/>
      </c>
      <c r="CB658" s="33">
        <f>BE658-BV658</f>
        <v/>
      </c>
      <c r="CC658" s="34">
        <f>IF(AY658=0,0,CB658/AY658)</f>
        <v/>
      </c>
      <c r="CD658" s="34">
        <f>MAX((AY658+MAX((-J658+L658-N658+Q658-T658+X658),0)),(MAX((J658-L658+N658-Q658+T658-X658),0)))</f>
        <v/>
      </c>
      <c r="CE658" s="82">
        <f>IFERROR(ABS(BX658/CD658),0)</f>
        <v/>
      </c>
      <c r="CF658" s="34">
        <f>IF(CE658&lt;=0.1,0,BX658/CE658*(CE658-0.1))</f>
        <v/>
      </c>
      <c r="CG658" s="34">
        <f>IF((CF658)&lt;0,MAX(F658:G658)*(CF658)*1.03,MIN(F658:G658)*(CF658)*0.97)</f>
        <v/>
      </c>
      <c r="CH658" s="34">
        <f>IF(CE658&gt;0.1,1,0)</f>
        <v/>
      </c>
      <c r="CI658" s="34">
        <f>(F658*BX658)-BY658</f>
        <v/>
      </c>
      <c r="CJ658" s="34">
        <f>IF(AY658=0,0,CI658/AY658)</f>
        <v/>
      </c>
    </row>
    <row r="659">
      <c r="A659" s="29">
        <f>[1]FİYATLAR!A634</f>
        <v/>
      </c>
      <c r="B659" s="29">
        <f>[1]FİYATLAR!B658</f>
        <v/>
      </c>
      <c r="C659" s="35">
        <f>INT(A659)</f>
        <v/>
      </c>
      <c r="D659" s="36">
        <f>MONTH(A659)</f>
        <v/>
      </c>
      <c r="E659" s="147">
        <f>[1]FİYATLAR!G634</f>
        <v/>
      </c>
      <c r="F659" s="30">
        <f>[1]FİYATLAR!C634</f>
        <v/>
      </c>
      <c r="G659" s="30">
        <f>[1]FİYATLAR!E634</f>
        <v/>
      </c>
      <c r="H659" s="30">
        <f>[1]FİYATLAR!D634</f>
        <v/>
      </c>
      <c r="I659" s="30">
        <f>[1]FİYATLAR!F634</f>
        <v/>
      </c>
      <c r="J659" s="119" t="n">
        <v>0</v>
      </c>
      <c r="K659" s="34">
        <f>F659*J659</f>
        <v/>
      </c>
      <c r="L659" s="119" t="n"/>
      <c r="M659" s="34">
        <f>L659*F659</f>
        <v/>
      </c>
      <c r="N659" s="119" t="n"/>
      <c r="O659" s="34">
        <f>F659</f>
        <v/>
      </c>
      <c r="P659" s="34">
        <f>N659*O659</f>
        <v/>
      </c>
      <c r="Q659" s="117" t="n">
        <v>0</v>
      </c>
      <c r="R659" s="34">
        <f>F659</f>
        <v/>
      </c>
      <c r="S659" s="34">
        <f>R659*Q659</f>
        <v/>
      </c>
      <c r="T659" s="34">
        <f>SUMIFS('[1]GİP VERİLERİ'!$C:$C,'[1]GİP VERİLERİ'!$B:$B,A659,'[1]GİP VERİLERİ'!$M:$M,"40X000000104782K",'[1]GİP VERİLERİ'!$G:$G,"SELL")</f>
        <v/>
      </c>
      <c r="U659" s="34">
        <f>IFERROR(W659/T659,0)</f>
        <v/>
      </c>
      <c r="V659" s="34">
        <f>IF(U659=0,0,U659-F659)</f>
        <v/>
      </c>
      <c r="W659" s="34">
        <f>SUMIFS('[1]GİP VERİLERİ'!$O:$O,'[1]GİP VERİLERİ'!$B:$B,A659,'[1]GİP VERİLERİ'!$M:$M,"40X000000104782K",'[1]GİP VERİLERİ'!$G:$G,"SELL")</f>
        <v/>
      </c>
      <c r="X659" s="34">
        <f>SUMIFS('[1]GİP VERİLERİ'!$C:$C,'[1]GİP VERİLERİ'!$B:$B,A659,'[1]GİP VERİLERİ'!$M:$M,"40X000000104782K",'[1]GİP VERİLERİ'!$G:$G,"BUY")</f>
        <v/>
      </c>
      <c r="Y659" s="34">
        <f>IFERROR(AA659/X659,0)</f>
        <v/>
      </c>
      <c r="Z659" s="34">
        <f>IF(Y659=0,0,F659-Y659)</f>
        <v/>
      </c>
      <c r="AA659" s="34">
        <f>SUMIFS('[1]GİP VERİLERİ'!$O:$O,'[1]GİP VERİLERİ'!$B:$B,A659,'[1]GİP VERİLERİ'!$M:$M,"40X000000104782K",'[1]GİP VERİLERİ'!$G:$G,"BUY")</f>
        <v/>
      </c>
      <c r="AB659" s="34">
        <f>'[1]GÖP VERİLERİ'!H660</f>
        <v/>
      </c>
      <c r="AC659" s="34">
        <f>'[1]GÖP VERİLERİ'!I660</f>
        <v/>
      </c>
      <c r="AD659" s="34">
        <f>IF(AB659&gt;AC659*1.05,AB659-AC659*1.05,IF(AB659&lt;AC659*0.95,AC659*0.95-AB659,0))</f>
        <v/>
      </c>
      <c r="AE659" s="34">
        <f>MAX(F659,G659,750)*0.05*AD659</f>
        <v/>
      </c>
      <c r="AF659" s="34">
        <f>'[1]GÖP VERİLERİ'!J660</f>
        <v/>
      </c>
      <c r="AG659" s="34">
        <f>IF(AB659&gt;AF659*1.05,AB659-AF659*1.05,IF(AB659&lt;AF659*0.95,AF659*0.95-AB659,0))</f>
        <v/>
      </c>
      <c r="AH659" s="34">
        <f>MAX(I659,J659,750)*0.05*AG659</f>
        <v/>
      </c>
      <c r="AI659">
        <f>'[1]GÖP VERİLERİ'!E660</f>
        <v/>
      </c>
      <c r="AJ659">
        <f>'[1]GÖP VERİLERİ'!F660</f>
        <v/>
      </c>
      <c r="AK659" s="34">
        <f>IF(AI659&gt;AJ659*1.05,AI659-AJ659*1.05,IF(AI659&lt;AJ659*0.95,AJ659*0.95-AI659,0))</f>
        <v/>
      </c>
      <c r="AL659" s="34">
        <f>MAX(F659,G659,750)*0.05*AK659</f>
        <v/>
      </c>
      <c r="AM659" s="39">
        <f>'[1]GÖP VERİLERİ'!G660</f>
        <v/>
      </c>
      <c r="AN659" s="34">
        <f>IF(AI659&gt;AM659*1.05,AI659-AM659*1.05,IF(AI659&lt;AM659*0.95,AM659*0.95-AI659,0))</f>
        <v/>
      </c>
      <c r="AO659" s="34">
        <f>MAX(F659,G659,750)*0.05*AN659</f>
        <v/>
      </c>
      <c r="AP659" s="34">
        <f>'[1]GÖP VERİLERİ'!B660</f>
        <v/>
      </c>
      <c r="AQ659" s="34">
        <f>'[1]GÖP VERİLERİ'!C660</f>
        <v/>
      </c>
      <c r="AR659" s="34">
        <f>IF(AP659&gt;AQ659*1.05,AP659-AQ659*1.05,IF(AP659&lt;AQ659*0.95,AQ659*0.95-AP659,0))</f>
        <v/>
      </c>
      <c r="AS659" s="34">
        <f>MAX(F659:G659,750)*0.05*AR659</f>
        <v/>
      </c>
      <c r="AT659">
        <f>'[1]GÖP VERİLERİ'!D660</f>
        <v/>
      </c>
      <c r="AU659" s="34">
        <f>IF(AP659&gt;AT659*1.05,AP659-AT659*1.05,IF(AP659&lt;AT659*0.95,AT659*0.95-AP659,0))</f>
        <v/>
      </c>
      <c r="AV659" s="34">
        <f>MAX(F659:G659,750)*0.05*AU659</f>
        <v/>
      </c>
      <c r="AW659" s="34">
        <f>AC659+AJ659+AQ659</f>
        <v/>
      </c>
      <c r="AX659" s="34">
        <f>AF659+AM659+AT659</f>
        <v/>
      </c>
      <c r="AY659" s="34">
        <f>AB659+AI659+AP659</f>
        <v/>
      </c>
      <c r="AZ659" s="34" t="n">
        <v>0</v>
      </c>
      <c r="BA659" s="34">
        <f>AD659+AK659+AR659</f>
        <v/>
      </c>
      <c r="BB659" s="34">
        <f>MAX(F659:G659,750)*0.05*BA659</f>
        <v/>
      </c>
      <c r="BC659" s="34">
        <f>AG659+AN659+AU659</f>
        <v/>
      </c>
      <c r="BD659" s="34">
        <f>MAX(F659:G659,750)*0.05*BC659</f>
        <v/>
      </c>
      <c r="BE659" s="34">
        <f>F659*AY659</f>
        <v/>
      </c>
      <c r="BF659" s="34">
        <f>K659-M659</f>
        <v/>
      </c>
      <c r="BG659" s="34">
        <f>P659-S659</f>
        <v/>
      </c>
      <c r="BH659" s="34">
        <f>W659-AA659</f>
        <v/>
      </c>
      <c r="BI659" s="34">
        <f>BF659+BG659+BL659-BN659</f>
        <v/>
      </c>
      <c r="BJ659" s="34">
        <f>ABS(BK659)</f>
        <v/>
      </c>
      <c r="BK659" s="34">
        <f>AY659-(J659-L659+N659-Q659)</f>
        <v/>
      </c>
      <c r="BL659" s="34">
        <f>IF(AND(BK659&gt;0,MIN($F659:$G659)&lt;150,$E659="Enerji Açığı"),-100*BK659*1.03,IF(AND(BK659&gt;0,MIN($F659:$G659)&lt;150,$E659="Enerji Fazlası"),-100*BK659*1.06,IF(AND(BK659&gt;0,MIN($F659:$G659)&gt;=150,$E659="Enerji Açığı"),BK659*MIN($F659:$G659)*0.97,IF(AND(BK659&gt;0,MIN($F659:$G659)&gt;=150,$E659="Enerji Fazlası"),BK659*MIN($F659:$G659)*0.94,IF(AND(BK659&lt;0,MAX($F659:$G659)=4500,$E659="Enerji Açığı"),4500*1.05*1.06*BK659,IF(AND(BK659&lt;0,MAX($F659:$G659)=4500,$E659="Enerji Fazlası"),4500*1.05*1.03*BK659,IF(AND(BK659&lt;0,$E659="Enerji Açığı"),MAX($F659,$G659,150)*BK659*1.06,IF(AND(BK659&lt;0,$E659="Enerji Fazlası"),MAX($F659,$G659,150)*BK659*1.03,IF(AND(BK659&lt;0,$E659="Dengede"),MAX($F659:$G659,150)*1.03*BK659,MIN($F659:$G659)*0.97*BK659)))))))))</f>
        <v/>
      </c>
      <c r="BM659" s="34">
        <f>BE659-BI659-BN659</f>
        <v/>
      </c>
      <c r="BN659" s="34">
        <f>BB659</f>
        <v/>
      </c>
      <c r="BO659" s="34">
        <f>BE659-BI659</f>
        <v/>
      </c>
      <c r="BP659" s="34">
        <f>IF(AY659=0,0,BO659/AY659)</f>
        <v/>
      </c>
      <c r="BQ659" s="34">
        <f>MAX((AY659+MAX((-J659+L659-N659+Q659),0)),(MAX((J659-L659+N659-Q659),0)))</f>
        <v/>
      </c>
      <c r="BR659" s="82">
        <f>IFERROR(ABS(BK659/BQ659),0)</f>
        <v/>
      </c>
      <c r="BS659" s="34">
        <f>IF(BR659&lt;=0.1,0,BK659/BR659*(BR659-0.1))</f>
        <v/>
      </c>
      <c r="BT659" s="34">
        <f>IF((BS659)&lt;0,MAX(F659:G659)*(BS659)*1.03,MIN(F659:G659)*(BS659)*0.97)</f>
        <v/>
      </c>
      <c r="BU659" s="34">
        <f>IF(BR659&gt;0.1,1,0)</f>
        <v/>
      </c>
      <c r="BV659" s="34">
        <f>BF659+BG659+BH659+BY659-CA659</f>
        <v/>
      </c>
      <c r="BW659" s="34">
        <f>ABS(BX659)</f>
        <v/>
      </c>
      <c r="BX659" s="34">
        <f>AY659-(J659-L659+N659-Q659+T659-X659)</f>
        <v/>
      </c>
      <c r="BY659" s="34">
        <f>IF(AND(BX659&gt;0,MIN($F659:$G659)&lt;150,$E659="Enerji Açığı"),-100*BX659*1.03,IF(AND(BX659&gt;0,MIN($F659:$G659)&lt;150,$E659="Enerji Fazlası"),-100*BX659*1.06,IF(AND(BX659&gt;0,MIN($F659:$G659)&gt;=150,$E659="Enerji Açığı"),BX659*MIN($F659:$G659)*0.97,IF(AND(BX659&gt;0,MIN($F659:$G659)&gt;=150,$E659="Enerji Fazlası"),BX659*MIN($F659:$G659)*0.94,IF(AND(BX659&lt;0,MAX($F659:$G659)=4500,$E659="Enerji Açığı"),4500*1.05*1.06*BX659,IF(AND(BX659&lt;0,MAX($F659:$G659)=4500,$E659="Enerji Fazlası"),4500*1.05*1.03*BX659,IF(AND(BX659&lt;0,$E659="Enerji Açığı"),MAX($F659,$G659,150)*BX659*1.06,IF(AND(BX659&lt;0,$E659="Enerji Fazlası"),MAX($F659,$G659,150)*BX659*1.03,IF(AND(BX659&lt;0,$E659="Dengede"),MAX($F659:$G659,150)*1.03*BX659,MIN($F659:$G659)*0.97*BX659)))))))))</f>
        <v/>
      </c>
      <c r="BZ659" s="34">
        <f>BE659-BV659-CA659</f>
        <v/>
      </c>
      <c r="CA659" s="34">
        <f>BD659</f>
        <v/>
      </c>
      <c r="CB659" s="33">
        <f>BE659-BV659</f>
        <v/>
      </c>
      <c r="CC659" s="34">
        <f>IF(AY659=0,0,CB659/AY659)</f>
        <v/>
      </c>
      <c r="CD659" s="34">
        <f>MAX((AY659+MAX((-J659+L659-N659+Q659-T659+X659),0)),(MAX((J659-L659+N659-Q659+T659-X659),0)))</f>
        <v/>
      </c>
      <c r="CE659" s="82">
        <f>IFERROR(ABS(BX659/CD659),0)</f>
        <v/>
      </c>
      <c r="CF659" s="34">
        <f>IF(CE659&lt;=0.1,0,BX659/CE659*(CE659-0.1))</f>
        <v/>
      </c>
      <c r="CG659" s="34">
        <f>IF((CF659)&lt;0,MAX(F659:G659)*(CF659)*1.03,MIN(F659:G659)*(CF659)*0.97)</f>
        <v/>
      </c>
      <c r="CH659" s="34">
        <f>IF(CE659&gt;0.1,1,0)</f>
        <v/>
      </c>
      <c r="CI659" s="34">
        <f>(F659*BX659)-BY659</f>
        <v/>
      </c>
      <c r="CJ659" s="34">
        <f>IF(AY659=0,0,CI659/AY659)</f>
        <v/>
      </c>
    </row>
    <row r="660">
      <c r="A660" s="29">
        <f>[1]FİYATLAR!A635</f>
        <v/>
      </c>
      <c r="B660" s="29">
        <f>[1]FİYATLAR!B659</f>
        <v/>
      </c>
      <c r="C660" s="35">
        <f>INT(A660)</f>
        <v/>
      </c>
      <c r="D660" s="36">
        <f>MONTH(A660)</f>
        <v/>
      </c>
      <c r="E660" s="147">
        <f>[1]FİYATLAR!G635</f>
        <v/>
      </c>
      <c r="F660" s="30">
        <f>[1]FİYATLAR!C635</f>
        <v/>
      </c>
      <c r="G660" s="30">
        <f>[1]FİYATLAR!E635</f>
        <v/>
      </c>
      <c r="H660" s="30">
        <f>[1]FİYATLAR!D635</f>
        <v/>
      </c>
      <c r="I660" s="30">
        <f>[1]FİYATLAR!F635</f>
        <v/>
      </c>
      <c r="J660" s="119" t="n">
        <v>0</v>
      </c>
      <c r="K660" s="34">
        <f>F660*J660</f>
        <v/>
      </c>
      <c r="L660" s="119" t="n"/>
      <c r="M660" s="34">
        <f>L660*F660</f>
        <v/>
      </c>
      <c r="N660" s="119" t="n"/>
      <c r="O660" s="34">
        <f>F660</f>
        <v/>
      </c>
      <c r="P660" s="34">
        <f>N660*O660</f>
        <v/>
      </c>
      <c r="Q660" s="117" t="n">
        <v>0</v>
      </c>
      <c r="R660" s="34">
        <f>F660</f>
        <v/>
      </c>
      <c r="S660" s="34">
        <f>R660*Q660</f>
        <v/>
      </c>
      <c r="T660" s="34">
        <f>SUMIFS('[1]GİP VERİLERİ'!$C:$C,'[1]GİP VERİLERİ'!$B:$B,A660,'[1]GİP VERİLERİ'!$M:$M,"40X000000104782K",'[1]GİP VERİLERİ'!$G:$G,"SELL")</f>
        <v/>
      </c>
      <c r="U660" s="34">
        <f>IFERROR(W660/T660,0)</f>
        <v/>
      </c>
      <c r="V660" s="34">
        <f>IF(U660=0,0,U660-F660)</f>
        <v/>
      </c>
      <c r="W660" s="34">
        <f>SUMIFS('[1]GİP VERİLERİ'!$O:$O,'[1]GİP VERİLERİ'!$B:$B,A660,'[1]GİP VERİLERİ'!$M:$M,"40X000000104782K",'[1]GİP VERİLERİ'!$G:$G,"SELL")</f>
        <v/>
      </c>
      <c r="X660" s="34">
        <f>SUMIFS('[1]GİP VERİLERİ'!$C:$C,'[1]GİP VERİLERİ'!$B:$B,A660,'[1]GİP VERİLERİ'!$M:$M,"40X000000104782K",'[1]GİP VERİLERİ'!$G:$G,"BUY")</f>
        <v/>
      </c>
      <c r="Y660" s="34">
        <f>IFERROR(AA660/X660,0)</f>
        <v/>
      </c>
      <c r="Z660" s="34">
        <f>IF(Y660=0,0,F660-Y660)</f>
        <v/>
      </c>
      <c r="AA660" s="34">
        <f>SUMIFS('[1]GİP VERİLERİ'!$O:$O,'[1]GİP VERİLERİ'!$B:$B,A660,'[1]GİP VERİLERİ'!$M:$M,"40X000000104782K",'[1]GİP VERİLERİ'!$G:$G,"BUY")</f>
        <v/>
      </c>
      <c r="AB660" s="34">
        <f>'[1]GÖP VERİLERİ'!H661</f>
        <v/>
      </c>
      <c r="AC660" s="34">
        <f>'[1]GÖP VERİLERİ'!I661</f>
        <v/>
      </c>
      <c r="AD660" s="34">
        <f>IF(AB660&gt;AC660*1.05,AB660-AC660*1.05,IF(AB660&lt;AC660*0.95,AC660*0.95-AB660,0))</f>
        <v/>
      </c>
      <c r="AE660" s="34">
        <f>MAX(F660,G660,750)*0.05*AD660</f>
        <v/>
      </c>
      <c r="AF660" s="34">
        <f>'[1]GÖP VERİLERİ'!J661</f>
        <v/>
      </c>
      <c r="AG660" s="34">
        <f>IF(AB660&gt;AF660*1.05,AB660-AF660*1.05,IF(AB660&lt;AF660*0.95,AF660*0.95-AB660,0))</f>
        <v/>
      </c>
      <c r="AH660" s="34">
        <f>MAX(I660,J660,750)*0.05*AG660</f>
        <v/>
      </c>
      <c r="AI660">
        <f>'[1]GÖP VERİLERİ'!E661</f>
        <v/>
      </c>
      <c r="AJ660">
        <f>'[1]GÖP VERİLERİ'!F661</f>
        <v/>
      </c>
      <c r="AK660" s="34">
        <f>IF(AI660&gt;AJ660*1.05,AI660-AJ660*1.05,IF(AI660&lt;AJ660*0.95,AJ660*0.95-AI660,0))</f>
        <v/>
      </c>
      <c r="AL660" s="34">
        <f>MAX(F660,G660,750)*0.05*AK660</f>
        <v/>
      </c>
      <c r="AM660" s="39">
        <f>'[1]GÖP VERİLERİ'!G661</f>
        <v/>
      </c>
      <c r="AN660" s="34">
        <f>IF(AI660&gt;AM660*1.05,AI660-AM660*1.05,IF(AI660&lt;AM660*0.95,AM660*0.95-AI660,0))</f>
        <v/>
      </c>
      <c r="AO660" s="34">
        <f>MAX(F660,G660,750)*0.05*AN660</f>
        <v/>
      </c>
      <c r="AP660" s="34">
        <f>'[1]GÖP VERİLERİ'!B661</f>
        <v/>
      </c>
      <c r="AQ660" s="34">
        <f>'[1]GÖP VERİLERİ'!C661</f>
        <v/>
      </c>
      <c r="AR660" s="34">
        <f>IF(AP660&gt;AQ660*1.05,AP660-AQ660*1.05,IF(AP660&lt;AQ660*0.95,AQ660*0.95-AP660,0))</f>
        <v/>
      </c>
      <c r="AS660" s="34">
        <f>MAX(F660:G660,750)*0.05*AR660</f>
        <v/>
      </c>
      <c r="AT660">
        <f>'[1]GÖP VERİLERİ'!D661</f>
        <v/>
      </c>
      <c r="AU660" s="34">
        <f>IF(AP660&gt;AT660*1.05,AP660-AT660*1.05,IF(AP660&lt;AT660*0.95,AT660*0.95-AP660,0))</f>
        <v/>
      </c>
      <c r="AV660" s="34">
        <f>MAX(F660:G660,750)*0.05*AU660</f>
        <v/>
      </c>
      <c r="AW660" s="34">
        <f>AC660+AJ660+AQ660</f>
        <v/>
      </c>
      <c r="AX660" s="34">
        <f>AF660+AM660+AT660</f>
        <v/>
      </c>
      <c r="AY660" s="34">
        <f>AB660+AI660+AP660</f>
        <v/>
      </c>
      <c r="AZ660" s="34" t="n">
        <v>0</v>
      </c>
      <c r="BA660" s="34">
        <f>AD660+AK660+AR660</f>
        <v/>
      </c>
      <c r="BB660" s="34">
        <f>MAX(F660:G660,750)*0.05*BA660</f>
        <v/>
      </c>
      <c r="BC660" s="34">
        <f>AG660+AN660+AU660</f>
        <v/>
      </c>
      <c r="BD660" s="34">
        <f>MAX(F660:G660,750)*0.05*BC660</f>
        <v/>
      </c>
      <c r="BE660" s="34">
        <f>F660*AY660</f>
        <v/>
      </c>
      <c r="BF660" s="34">
        <f>K660-M660</f>
        <v/>
      </c>
      <c r="BG660" s="34">
        <f>P660-S660</f>
        <v/>
      </c>
      <c r="BH660" s="34">
        <f>W660-AA660</f>
        <v/>
      </c>
      <c r="BI660" s="34">
        <f>BF660+BG660+BL660-BN660</f>
        <v/>
      </c>
      <c r="BJ660" s="34">
        <f>ABS(BK660)</f>
        <v/>
      </c>
      <c r="BK660" s="34">
        <f>AY660-(J660-L660+N660-Q660)</f>
        <v/>
      </c>
      <c r="BL660" s="34">
        <f>IF(AND(BK660&gt;0,MIN($F660:$G660)&lt;150,$E660="Enerji Açığı"),-100*BK660*1.03,IF(AND(BK660&gt;0,MIN($F660:$G660)&lt;150,$E660="Enerji Fazlası"),-100*BK660*1.06,IF(AND(BK660&gt;0,MIN($F660:$G660)&gt;=150,$E660="Enerji Açığı"),BK660*MIN($F660:$G660)*0.97,IF(AND(BK660&gt;0,MIN($F660:$G660)&gt;=150,$E660="Enerji Fazlası"),BK660*MIN($F660:$G660)*0.94,IF(AND(BK660&lt;0,MAX($F660:$G660)=4500,$E660="Enerji Açığı"),4500*1.05*1.06*BK660,IF(AND(BK660&lt;0,MAX($F660:$G660)=4500,$E660="Enerji Fazlası"),4500*1.05*1.03*BK660,IF(AND(BK660&lt;0,$E660="Enerji Açığı"),MAX($F660,$G660,150)*BK660*1.06,IF(AND(BK660&lt;0,$E660="Enerji Fazlası"),MAX($F660,$G660,150)*BK660*1.03,IF(AND(BK660&lt;0,$E660="Dengede"),MAX($F660:$G660,150)*1.03*BK660,MIN($F660:$G660)*0.97*BK660)))))))))</f>
        <v/>
      </c>
      <c r="BM660" s="34">
        <f>BE660-BI660-BN660</f>
        <v/>
      </c>
      <c r="BN660" s="34">
        <f>BB660</f>
        <v/>
      </c>
      <c r="BO660" s="34">
        <f>BE660-BI660</f>
        <v/>
      </c>
      <c r="BP660" s="34">
        <f>IF(AY660=0,0,BO660/AY660)</f>
        <v/>
      </c>
      <c r="BQ660" s="34">
        <f>MAX((AY660+MAX((-J660+L660-N660+Q660),0)),(MAX((J660-L660+N660-Q660),0)))</f>
        <v/>
      </c>
      <c r="BR660" s="82">
        <f>IFERROR(ABS(BK660/BQ660),0)</f>
        <v/>
      </c>
      <c r="BS660" s="34">
        <f>IF(BR660&lt;=0.1,0,BK660/BR660*(BR660-0.1))</f>
        <v/>
      </c>
      <c r="BT660" s="34">
        <f>IF((BS660)&lt;0,MAX(F660:G660)*(BS660)*1.03,MIN(F660:G660)*(BS660)*0.97)</f>
        <v/>
      </c>
      <c r="BU660" s="34">
        <f>IF(BR660&gt;0.1,1,0)</f>
        <v/>
      </c>
      <c r="BV660" s="34">
        <f>BF660+BG660+BH660+BY660-CA660</f>
        <v/>
      </c>
      <c r="BW660" s="34">
        <f>ABS(BX660)</f>
        <v/>
      </c>
      <c r="BX660" s="34">
        <f>AY660-(J660-L660+N660-Q660+T660-X660)</f>
        <v/>
      </c>
      <c r="BY660" s="34">
        <f>IF(AND(BX660&gt;0,MIN($F660:$G660)&lt;150,$E660="Enerji Açığı"),-100*BX660*1.03,IF(AND(BX660&gt;0,MIN($F660:$G660)&lt;150,$E660="Enerji Fazlası"),-100*BX660*1.06,IF(AND(BX660&gt;0,MIN($F660:$G660)&gt;=150,$E660="Enerji Açığı"),BX660*MIN($F660:$G660)*0.97,IF(AND(BX660&gt;0,MIN($F660:$G660)&gt;=150,$E660="Enerji Fazlası"),BX660*MIN($F660:$G660)*0.94,IF(AND(BX660&lt;0,MAX($F660:$G660)=4500,$E660="Enerji Açığı"),4500*1.05*1.06*BX660,IF(AND(BX660&lt;0,MAX($F660:$G660)=4500,$E660="Enerji Fazlası"),4500*1.05*1.03*BX660,IF(AND(BX660&lt;0,$E660="Enerji Açığı"),MAX($F660,$G660,150)*BX660*1.06,IF(AND(BX660&lt;0,$E660="Enerji Fazlası"),MAX($F660,$G660,150)*BX660*1.03,IF(AND(BX660&lt;0,$E660="Dengede"),MAX($F660:$G660,150)*1.03*BX660,MIN($F660:$G660)*0.97*BX660)))))))))</f>
        <v/>
      </c>
      <c r="BZ660" s="34">
        <f>BE660-BV660-CA660</f>
        <v/>
      </c>
      <c r="CA660" s="34">
        <f>BD660</f>
        <v/>
      </c>
      <c r="CB660" s="33">
        <f>BE660-BV660</f>
        <v/>
      </c>
      <c r="CC660" s="34">
        <f>IF(AY660=0,0,CB660/AY660)</f>
        <v/>
      </c>
      <c r="CD660" s="34">
        <f>MAX((AY660+MAX((-J660+L660-N660+Q660-T660+X660),0)),(MAX((J660-L660+N660-Q660+T660-X660),0)))</f>
        <v/>
      </c>
      <c r="CE660" s="82">
        <f>IFERROR(ABS(BX660/CD660),0)</f>
        <v/>
      </c>
      <c r="CF660" s="34">
        <f>IF(CE660&lt;=0.1,0,BX660/CE660*(CE660-0.1))</f>
        <v/>
      </c>
      <c r="CG660" s="34">
        <f>IF((CF660)&lt;0,MAX(F660:G660)*(CF660)*1.03,MIN(F660:G660)*(CF660)*0.97)</f>
        <v/>
      </c>
      <c r="CH660" s="34">
        <f>IF(CE660&gt;0.1,1,0)</f>
        <v/>
      </c>
      <c r="CI660" s="34">
        <f>(F660*BX660)-BY660</f>
        <v/>
      </c>
      <c r="CJ660" s="34">
        <f>IF(AY660=0,0,CI660/AY660)</f>
        <v/>
      </c>
    </row>
    <row r="661">
      <c r="A661" s="29">
        <f>[1]FİYATLAR!A636</f>
        <v/>
      </c>
      <c r="B661" s="29">
        <f>[1]FİYATLAR!B660</f>
        <v/>
      </c>
      <c r="C661" s="35">
        <f>INT(A661)</f>
        <v/>
      </c>
      <c r="D661" s="36">
        <f>MONTH(A661)</f>
        <v/>
      </c>
      <c r="E661" s="147">
        <f>[1]FİYATLAR!G636</f>
        <v/>
      </c>
      <c r="F661" s="30">
        <f>[1]FİYATLAR!C636</f>
        <v/>
      </c>
      <c r="G661" s="30">
        <f>[1]FİYATLAR!E636</f>
        <v/>
      </c>
      <c r="H661" s="30">
        <f>[1]FİYATLAR!D636</f>
        <v/>
      </c>
      <c r="I661" s="30">
        <f>[1]FİYATLAR!F636</f>
        <v/>
      </c>
      <c r="J661" s="119" t="n">
        <v>0</v>
      </c>
      <c r="K661" s="34">
        <f>F661*J661</f>
        <v/>
      </c>
      <c r="L661" s="119" t="n"/>
      <c r="M661" s="34">
        <f>L661*F661</f>
        <v/>
      </c>
      <c r="N661" s="119" t="n"/>
      <c r="O661" s="34">
        <f>F661</f>
        <v/>
      </c>
      <c r="P661" s="34">
        <f>N661*O661</f>
        <v/>
      </c>
      <c r="Q661" s="117" t="n">
        <v>0</v>
      </c>
      <c r="R661" s="34">
        <f>F661</f>
        <v/>
      </c>
      <c r="S661" s="34">
        <f>R661*Q661</f>
        <v/>
      </c>
      <c r="T661" s="34">
        <f>SUMIFS('[1]GİP VERİLERİ'!$C:$C,'[1]GİP VERİLERİ'!$B:$B,A661,'[1]GİP VERİLERİ'!$M:$M,"40X000000104782K",'[1]GİP VERİLERİ'!$G:$G,"SELL")</f>
        <v/>
      </c>
      <c r="U661" s="34">
        <f>IFERROR(W661/T661,0)</f>
        <v/>
      </c>
      <c r="V661" s="34">
        <f>IF(U661=0,0,U661-F661)</f>
        <v/>
      </c>
      <c r="W661" s="34">
        <f>SUMIFS('[1]GİP VERİLERİ'!$O:$O,'[1]GİP VERİLERİ'!$B:$B,A661,'[1]GİP VERİLERİ'!$M:$M,"40X000000104782K",'[1]GİP VERİLERİ'!$G:$G,"SELL")</f>
        <v/>
      </c>
      <c r="X661" s="34">
        <f>SUMIFS('[1]GİP VERİLERİ'!$C:$C,'[1]GİP VERİLERİ'!$B:$B,A661,'[1]GİP VERİLERİ'!$M:$M,"40X000000104782K",'[1]GİP VERİLERİ'!$G:$G,"BUY")</f>
        <v/>
      </c>
      <c r="Y661" s="34">
        <f>IFERROR(AA661/X661,0)</f>
        <v/>
      </c>
      <c r="Z661" s="34">
        <f>IF(Y661=0,0,F661-Y661)</f>
        <v/>
      </c>
      <c r="AA661" s="34">
        <f>SUMIFS('[1]GİP VERİLERİ'!$O:$O,'[1]GİP VERİLERİ'!$B:$B,A661,'[1]GİP VERİLERİ'!$M:$M,"40X000000104782K",'[1]GİP VERİLERİ'!$G:$G,"BUY")</f>
        <v/>
      </c>
      <c r="AB661" s="34">
        <f>'[1]GÖP VERİLERİ'!H662</f>
        <v/>
      </c>
      <c r="AC661" s="34">
        <f>'[1]GÖP VERİLERİ'!I662</f>
        <v/>
      </c>
      <c r="AD661" s="34">
        <f>IF(AB661&gt;AC661*1.05,AB661-AC661*1.05,IF(AB661&lt;AC661*0.95,AC661*0.95-AB661,0))</f>
        <v/>
      </c>
      <c r="AE661" s="34">
        <f>MAX(F661,G661,750)*0.05*AD661</f>
        <v/>
      </c>
      <c r="AF661" s="34">
        <f>'[1]GÖP VERİLERİ'!J662</f>
        <v/>
      </c>
      <c r="AG661" s="34">
        <f>IF(AB661&gt;AF661*1.05,AB661-AF661*1.05,IF(AB661&lt;AF661*0.95,AF661*0.95-AB661,0))</f>
        <v/>
      </c>
      <c r="AH661" s="34">
        <f>MAX(I661,J661,750)*0.05*AG661</f>
        <v/>
      </c>
      <c r="AI661">
        <f>'[1]GÖP VERİLERİ'!E662</f>
        <v/>
      </c>
      <c r="AJ661">
        <f>'[1]GÖP VERİLERİ'!F662</f>
        <v/>
      </c>
      <c r="AK661" s="34">
        <f>IF(AI661&gt;AJ661*1.05,AI661-AJ661*1.05,IF(AI661&lt;AJ661*0.95,AJ661*0.95-AI661,0))</f>
        <v/>
      </c>
      <c r="AL661" s="34">
        <f>MAX(F661,G661,750)*0.05*AK661</f>
        <v/>
      </c>
      <c r="AM661" s="39">
        <f>'[1]GÖP VERİLERİ'!G662</f>
        <v/>
      </c>
      <c r="AN661" s="34">
        <f>IF(AI661&gt;AM661*1.05,AI661-AM661*1.05,IF(AI661&lt;AM661*0.95,AM661*0.95-AI661,0))</f>
        <v/>
      </c>
      <c r="AO661" s="34">
        <f>MAX(F661,G661,750)*0.05*AN661</f>
        <v/>
      </c>
      <c r="AP661" s="34">
        <f>'[1]GÖP VERİLERİ'!B662</f>
        <v/>
      </c>
      <c r="AQ661" s="34">
        <f>'[1]GÖP VERİLERİ'!C662</f>
        <v/>
      </c>
      <c r="AR661" s="34">
        <f>IF(AP661&gt;AQ661*1.05,AP661-AQ661*1.05,IF(AP661&lt;AQ661*0.95,AQ661*0.95-AP661,0))</f>
        <v/>
      </c>
      <c r="AS661" s="34">
        <f>MAX(F661:G661,750)*0.05*AR661</f>
        <v/>
      </c>
      <c r="AT661">
        <f>'[1]GÖP VERİLERİ'!D662</f>
        <v/>
      </c>
      <c r="AU661" s="34">
        <f>IF(AP661&gt;AT661*1.05,AP661-AT661*1.05,IF(AP661&lt;AT661*0.95,AT661*0.95-AP661,0))</f>
        <v/>
      </c>
      <c r="AV661" s="34">
        <f>MAX(F661:G661,750)*0.05*AU661</f>
        <v/>
      </c>
      <c r="AW661" s="34">
        <f>AC661+AJ661+AQ661</f>
        <v/>
      </c>
      <c r="AX661" s="34">
        <f>AF661+AM661+AT661</f>
        <v/>
      </c>
      <c r="AY661" s="34">
        <f>AB661+AI661+AP661</f>
        <v/>
      </c>
      <c r="AZ661" s="34" t="n">
        <v>0</v>
      </c>
      <c r="BA661" s="34">
        <f>AD661+AK661+AR661</f>
        <v/>
      </c>
      <c r="BB661" s="34">
        <f>MAX(F661:G661,750)*0.05*BA661</f>
        <v/>
      </c>
      <c r="BC661" s="34">
        <f>AG661+AN661+AU661</f>
        <v/>
      </c>
      <c r="BD661" s="34">
        <f>MAX(F661:G661,750)*0.05*BC661</f>
        <v/>
      </c>
      <c r="BE661" s="34">
        <f>F661*AY661</f>
        <v/>
      </c>
      <c r="BF661" s="34">
        <f>K661-M661</f>
        <v/>
      </c>
      <c r="BG661" s="34">
        <f>P661-S661</f>
        <v/>
      </c>
      <c r="BH661" s="34">
        <f>W661-AA661</f>
        <v/>
      </c>
      <c r="BI661" s="34">
        <f>BF661+BG661+BL661-BN661</f>
        <v/>
      </c>
      <c r="BJ661" s="34">
        <f>ABS(BK661)</f>
        <v/>
      </c>
      <c r="BK661" s="34">
        <f>AY661-(J661-L661+N661-Q661)</f>
        <v/>
      </c>
      <c r="BL661" s="34">
        <f>IF(AND(BK661&gt;0,MIN($F661:$G661)&lt;150,$E661="Enerji Açığı"),-100*BK661*1.03,IF(AND(BK661&gt;0,MIN($F661:$G661)&lt;150,$E661="Enerji Fazlası"),-100*BK661*1.06,IF(AND(BK661&gt;0,MIN($F661:$G661)&gt;=150,$E661="Enerji Açığı"),BK661*MIN($F661:$G661)*0.97,IF(AND(BK661&gt;0,MIN($F661:$G661)&gt;=150,$E661="Enerji Fazlası"),BK661*MIN($F661:$G661)*0.94,IF(AND(BK661&lt;0,MAX($F661:$G661)=4500,$E661="Enerji Açığı"),4500*1.05*1.06*BK661,IF(AND(BK661&lt;0,MAX($F661:$G661)=4500,$E661="Enerji Fazlası"),4500*1.05*1.03*BK661,IF(AND(BK661&lt;0,$E661="Enerji Açığı"),MAX($F661,$G661,150)*BK661*1.06,IF(AND(BK661&lt;0,$E661="Enerji Fazlası"),MAX($F661,$G661,150)*BK661*1.03,IF(AND(BK661&lt;0,$E661="Dengede"),MAX($F661:$G661,150)*1.03*BK661,MIN($F661:$G661)*0.97*BK661)))))))))</f>
        <v/>
      </c>
      <c r="BM661" s="34">
        <f>BE661-BI661-BN661</f>
        <v/>
      </c>
      <c r="BN661" s="34">
        <f>BB661</f>
        <v/>
      </c>
      <c r="BO661" s="34">
        <f>BE661-BI661</f>
        <v/>
      </c>
      <c r="BP661" s="34">
        <f>IF(AY661=0,0,BO661/AY661)</f>
        <v/>
      </c>
      <c r="BQ661" s="34">
        <f>MAX((AY661+MAX((-J661+L661-N661+Q661),0)),(MAX((J661-L661+N661-Q661),0)))</f>
        <v/>
      </c>
      <c r="BR661" s="82">
        <f>IFERROR(ABS(BK661/BQ661),0)</f>
        <v/>
      </c>
      <c r="BS661" s="34">
        <f>IF(BR661&lt;=0.1,0,BK661/BR661*(BR661-0.1))</f>
        <v/>
      </c>
      <c r="BT661" s="34">
        <f>IF((BS661)&lt;0,MAX(F661:G661)*(BS661)*1.03,MIN(F661:G661)*(BS661)*0.97)</f>
        <v/>
      </c>
      <c r="BU661" s="34">
        <f>IF(BR661&gt;0.1,1,0)</f>
        <v/>
      </c>
      <c r="BV661" s="34">
        <f>BF661+BG661+BH661+BY661-CA661</f>
        <v/>
      </c>
      <c r="BW661" s="34">
        <f>ABS(BX661)</f>
        <v/>
      </c>
      <c r="BX661" s="34">
        <f>AY661-(J661-L661+N661-Q661+T661-X661)</f>
        <v/>
      </c>
      <c r="BY661" s="34">
        <f>IF(AND(BX661&gt;0,MIN($F661:$G661)&lt;150,$E661="Enerji Açığı"),-100*BX661*1.03,IF(AND(BX661&gt;0,MIN($F661:$G661)&lt;150,$E661="Enerji Fazlası"),-100*BX661*1.06,IF(AND(BX661&gt;0,MIN($F661:$G661)&gt;=150,$E661="Enerji Açığı"),BX661*MIN($F661:$G661)*0.97,IF(AND(BX661&gt;0,MIN($F661:$G661)&gt;=150,$E661="Enerji Fazlası"),BX661*MIN($F661:$G661)*0.94,IF(AND(BX661&lt;0,MAX($F661:$G661)=4500,$E661="Enerji Açığı"),4500*1.05*1.06*BX661,IF(AND(BX661&lt;0,MAX($F661:$G661)=4500,$E661="Enerji Fazlası"),4500*1.05*1.03*BX661,IF(AND(BX661&lt;0,$E661="Enerji Açığı"),MAX($F661,$G661,150)*BX661*1.06,IF(AND(BX661&lt;0,$E661="Enerji Fazlası"),MAX($F661,$G661,150)*BX661*1.03,IF(AND(BX661&lt;0,$E661="Dengede"),MAX($F661:$G661,150)*1.03*BX661,MIN($F661:$G661)*0.97*BX661)))))))))</f>
        <v/>
      </c>
      <c r="BZ661" s="34">
        <f>BE661-BV661-CA661</f>
        <v/>
      </c>
      <c r="CA661" s="34">
        <f>BD661</f>
        <v/>
      </c>
      <c r="CB661" s="33">
        <f>BE661-BV661</f>
        <v/>
      </c>
      <c r="CC661" s="34">
        <f>IF(AY661=0,0,CB661/AY661)</f>
        <v/>
      </c>
      <c r="CD661" s="34">
        <f>MAX((AY661+MAX((-J661+L661-N661+Q661-T661+X661),0)),(MAX((J661-L661+N661-Q661+T661-X661),0)))</f>
        <v/>
      </c>
      <c r="CE661" s="82">
        <f>IFERROR(ABS(BX661/CD661),0)</f>
        <v/>
      </c>
      <c r="CF661" s="34">
        <f>IF(CE661&lt;=0.1,0,BX661/CE661*(CE661-0.1))</f>
        <v/>
      </c>
      <c r="CG661" s="34">
        <f>IF((CF661)&lt;0,MAX(F661:G661)*(CF661)*1.03,MIN(F661:G661)*(CF661)*0.97)</f>
        <v/>
      </c>
      <c r="CH661" s="34">
        <f>IF(CE661&gt;0.1,1,0)</f>
        <v/>
      </c>
      <c r="CI661" s="34">
        <f>(F661*BX661)-BY661</f>
        <v/>
      </c>
      <c r="CJ661" s="34">
        <f>IF(AY661=0,0,CI661/AY661)</f>
        <v/>
      </c>
    </row>
    <row r="662">
      <c r="A662" s="29">
        <f>[1]FİYATLAR!A637</f>
        <v/>
      </c>
      <c r="B662" s="29">
        <f>[1]FİYATLAR!B661</f>
        <v/>
      </c>
      <c r="C662" s="35">
        <f>INT(A662)</f>
        <v/>
      </c>
      <c r="D662" s="36">
        <f>MONTH(A662)</f>
        <v/>
      </c>
      <c r="E662" s="147">
        <f>[1]FİYATLAR!G637</f>
        <v/>
      </c>
      <c r="F662" s="30">
        <f>[1]FİYATLAR!C637</f>
        <v/>
      </c>
      <c r="G662" s="30">
        <f>[1]FİYATLAR!E637</f>
        <v/>
      </c>
      <c r="H662" s="30">
        <f>[1]FİYATLAR!D637</f>
        <v/>
      </c>
      <c r="I662" s="30">
        <f>[1]FİYATLAR!F637</f>
        <v/>
      </c>
      <c r="J662" s="119" t="n">
        <v>0</v>
      </c>
      <c r="K662" s="34">
        <f>F662*J662</f>
        <v/>
      </c>
      <c r="L662" s="119" t="n"/>
      <c r="M662" s="34">
        <f>L662*F662</f>
        <v/>
      </c>
      <c r="N662" s="119" t="n"/>
      <c r="O662" s="34">
        <f>F662</f>
        <v/>
      </c>
      <c r="P662" s="34">
        <f>N662*O662</f>
        <v/>
      </c>
      <c r="Q662" s="117" t="n">
        <v>0</v>
      </c>
      <c r="R662" s="34">
        <f>F662</f>
        <v/>
      </c>
      <c r="S662" s="34">
        <f>R662*Q662</f>
        <v/>
      </c>
      <c r="T662" s="34">
        <f>SUMIFS('[1]GİP VERİLERİ'!$C:$C,'[1]GİP VERİLERİ'!$B:$B,A662,'[1]GİP VERİLERİ'!$M:$M,"40X000000104782K",'[1]GİP VERİLERİ'!$G:$G,"SELL")</f>
        <v/>
      </c>
      <c r="U662" s="34">
        <f>IFERROR(W662/T662,0)</f>
        <v/>
      </c>
      <c r="V662" s="34">
        <f>IF(U662=0,0,U662-F662)</f>
        <v/>
      </c>
      <c r="W662" s="34">
        <f>SUMIFS('[1]GİP VERİLERİ'!$O:$O,'[1]GİP VERİLERİ'!$B:$B,A662,'[1]GİP VERİLERİ'!$M:$M,"40X000000104782K",'[1]GİP VERİLERİ'!$G:$G,"SELL")</f>
        <v/>
      </c>
      <c r="X662" s="34">
        <f>SUMIFS('[1]GİP VERİLERİ'!$C:$C,'[1]GİP VERİLERİ'!$B:$B,A662,'[1]GİP VERİLERİ'!$M:$M,"40X000000104782K",'[1]GİP VERİLERİ'!$G:$G,"BUY")</f>
        <v/>
      </c>
      <c r="Y662" s="34">
        <f>IFERROR(AA662/X662,0)</f>
        <v/>
      </c>
      <c r="Z662" s="34">
        <f>IF(Y662=0,0,F662-Y662)</f>
        <v/>
      </c>
      <c r="AA662" s="34">
        <f>SUMIFS('[1]GİP VERİLERİ'!$O:$O,'[1]GİP VERİLERİ'!$B:$B,A662,'[1]GİP VERİLERİ'!$M:$M,"40X000000104782K",'[1]GİP VERİLERİ'!$G:$G,"BUY")</f>
        <v/>
      </c>
      <c r="AB662" s="34">
        <f>'[1]GÖP VERİLERİ'!H663</f>
        <v/>
      </c>
      <c r="AC662" s="34">
        <f>'[1]GÖP VERİLERİ'!I663</f>
        <v/>
      </c>
      <c r="AD662" s="34">
        <f>IF(AB662&gt;AC662*1.05,AB662-AC662*1.05,IF(AB662&lt;AC662*0.95,AC662*0.95-AB662,0))</f>
        <v/>
      </c>
      <c r="AE662" s="34">
        <f>MAX(F662,G662,750)*0.05*AD662</f>
        <v/>
      </c>
      <c r="AF662" s="34">
        <f>'[1]GÖP VERİLERİ'!J663</f>
        <v/>
      </c>
      <c r="AG662" s="34">
        <f>IF(AB662&gt;AF662*1.05,AB662-AF662*1.05,IF(AB662&lt;AF662*0.95,AF662*0.95-AB662,0))</f>
        <v/>
      </c>
      <c r="AH662" s="34">
        <f>MAX(I662,J662,750)*0.05*AG662</f>
        <v/>
      </c>
      <c r="AI662">
        <f>'[1]GÖP VERİLERİ'!E663</f>
        <v/>
      </c>
      <c r="AJ662">
        <f>'[1]GÖP VERİLERİ'!F663</f>
        <v/>
      </c>
      <c r="AK662" s="34">
        <f>IF(AI662&gt;AJ662*1.05,AI662-AJ662*1.05,IF(AI662&lt;AJ662*0.95,AJ662*0.95-AI662,0))</f>
        <v/>
      </c>
      <c r="AL662" s="34">
        <f>MAX(F662,G662,750)*0.05*AK662</f>
        <v/>
      </c>
      <c r="AM662" s="39">
        <f>'[1]GÖP VERİLERİ'!G663</f>
        <v/>
      </c>
      <c r="AN662" s="34">
        <f>IF(AI662&gt;AM662*1.05,AI662-AM662*1.05,IF(AI662&lt;AM662*0.95,AM662*0.95-AI662,0))</f>
        <v/>
      </c>
      <c r="AO662" s="34">
        <f>MAX(F662,G662,750)*0.05*AN662</f>
        <v/>
      </c>
      <c r="AP662" s="34">
        <f>'[1]GÖP VERİLERİ'!B663</f>
        <v/>
      </c>
      <c r="AQ662" s="34">
        <f>'[1]GÖP VERİLERİ'!C663</f>
        <v/>
      </c>
      <c r="AR662" s="34">
        <f>IF(AP662&gt;AQ662*1.05,AP662-AQ662*1.05,IF(AP662&lt;AQ662*0.95,AQ662*0.95-AP662,0))</f>
        <v/>
      </c>
      <c r="AS662" s="34">
        <f>MAX(F662:G662,750)*0.05*AR662</f>
        <v/>
      </c>
      <c r="AT662">
        <f>'[1]GÖP VERİLERİ'!D663</f>
        <v/>
      </c>
      <c r="AU662" s="34">
        <f>IF(AP662&gt;AT662*1.05,AP662-AT662*1.05,IF(AP662&lt;AT662*0.95,AT662*0.95-AP662,0))</f>
        <v/>
      </c>
      <c r="AV662" s="34">
        <f>MAX(F662:G662,750)*0.05*AU662</f>
        <v/>
      </c>
      <c r="AW662" s="34">
        <f>AC662+AJ662+AQ662</f>
        <v/>
      </c>
      <c r="AX662" s="34">
        <f>AF662+AM662+AT662</f>
        <v/>
      </c>
      <c r="AY662" s="34">
        <f>AB662+AI662+AP662</f>
        <v/>
      </c>
      <c r="AZ662" s="34" t="n">
        <v>0</v>
      </c>
      <c r="BA662" s="34">
        <f>AD662+AK662+AR662</f>
        <v/>
      </c>
      <c r="BB662" s="34">
        <f>MAX(F662:G662,750)*0.05*BA662</f>
        <v/>
      </c>
      <c r="BC662" s="34">
        <f>AG662+AN662+AU662</f>
        <v/>
      </c>
      <c r="BD662" s="34">
        <f>MAX(F662:G662,750)*0.05*BC662</f>
        <v/>
      </c>
      <c r="BE662" s="34">
        <f>F662*AY662</f>
        <v/>
      </c>
      <c r="BF662" s="34">
        <f>K662-M662</f>
        <v/>
      </c>
      <c r="BG662" s="34">
        <f>P662-S662</f>
        <v/>
      </c>
      <c r="BH662" s="34">
        <f>W662-AA662</f>
        <v/>
      </c>
      <c r="BI662" s="34">
        <f>BF662+BG662+BL662-BN662</f>
        <v/>
      </c>
      <c r="BJ662" s="34">
        <f>ABS(BK662)</f>
        <v/>
      </c>
      <c r="BK662" s="34">
        <f>AY662-(J662-L662+N662-Q662)</f>
        <v/>
      </c>
      <c r="BL662" s="34">
        <f>IF(AND(BK662&gt;0,MIN($F662:$G662)&lt;150,$E662="Enerji Açığı"),-100*BK662*1.03,IF(AND(BK662&gt;0,MIN($F662:$G662)&lt;150,$E662="Enerji Fazlası"),-100*BK662*1.06,IF(AND(BK662&gt;0,MIN($F662:$G662)&gt;=150,$E662="Enerji Açığı"),BK662*MIN($F662:$G662)*0.97,IF(AND(BK662&gt;0,MIN($F662:$G662)&gt;=150,$E662="Enerji Fazlası"),BK662*MIN($F662:$G662)*0.94,IF(AND(BK662&lt;0,MAX($F662:$G662)=4500,$E662="Enerji Açığı"),4500*1.05*1.06*BK662,IF(AND(BK662&lt;0,MAX($F662:$G662)=4500,$E662="Enerji Fazlası"),4500*1.05*1.03*BK662,IF(AND(BK662&lt;0,$E662="Enerji Açığı"),MAX($F662,$G662,150)*BK662*1.06,IF(AND(BK662&lt;0,$E662="Enerji Fazlası"),MAX($F662,$G662,150)*BK662*1.03,IF(AND(BK662&lt;0,$E662="Dengede"),MAX($F662:$G662,150)*1.03*BK662,MIN($F662:$G662)*0.97*BK662)))))))))</f>
        <v/>
      </c>
      <c r="BM662" s="34">
        <f>BE662-BI662-BN662</f>
        <v/>
      </c>
      <c r="BN662" s="34">
        <f>BB662</f>
        <v/>
      </c>
      <c r="BO662" s="34">
        <f>BE662-BI662</f>
        <v/>
      </c>
      <c r="BP662" s="34">
        <f>IF(AY662=0,0,BO662/AY662)</f>
        <v/>
      </c>
      <c r="BQ662" s="34">
        <f>MAX((AY662+MAX((-J662+L662-N662+Q662),0)),(MAX((J662-L662+N662-Q662),0)))</f>
        <v/>
      </c>
      <c r="BR662" s="82">
        <f>IFERROR(ABS(BK662/BQ662),0)</f>
        <v/>
      </c>
      <c r="BS662" s="34">
        <f>IF(BR662&lt;=0.1,0,BK662/BR662*(BR662-0.1))</f>
        <v/>
      </c>
      <c r="BT662" s="34">
        <f>IF((BS662)&lt;0,MAX(F662:G662)*(BS662)*1.03,MIN(F662:G662)*(BS662)*0.97)</f>
        <v/>
      </c>
      <c r="BU662" s="34">
        <f>IF(BR662&gt;0.1,1,0)</f>
        <v/>
      </c>
      <c r="BV662" s="34">
        <f>BF662+BG662+BH662+BY662-CA662</f>
        <v/>
      </c>
      <c r="BW662" s="34">
        <f>ABS(BX662)</f>
        <v/>
      </c>
      <c r="BX662" s="34">
        <f>AY662-(J662-L662+N662-Q662+T662-X662)</f>
        <v/>
      </c>
      <c r="BY662" s="34">
        <f>IF(AND(BX662&gt;0,MIN($F662:$G662)&lt;150,$E662="Enerji Açığı"),-100*BX662*1.03,IF(AND(BX662&gt;0,MIN($F662:$G662)&lt;150,$E662="Enerji Fazlası"),-100*BX662*1.06,IF(AND(BX662&gt;0,MIN($F662:$G662)&gt;=150,$E662="Enerji Açığı"),BX662*MIN($F662:$G662)*0.97,IF(AND(BX662&gt;0,MIN($F662:$G662)&gt;=150,$E662="Enerji Fazlası"),BX662*MIN($F662:$G662)*0.94,IF(AND(BX662&lt;0,MAX($F662:$G662)=4500,$E662="Enerji Açığı"),4500*1.05*1.06*BX662,IF(AND(BX662&lt;0,MAX($F662:$G662)=4500,$E662="Enerji Fazlası"),4500*1.05*1.03*BX662,IF(AND(BX662&lt;0,$E662="Enerji Açığı"),MAX($F662,$G662,150)*BX662*1.06,IF(AND(BX662&lt;0,$E662="Enerji Fazlası"),MAX($F662,$G662,150)*BX662*1.03,IF(AND(BX662&lt;0,$E662="Dengede"),MAX($F662:$G662,150)*1.03*BX662,MIN($F662:$G662)*0.97*BX662)))))))))</f>
        <v/>
      </c>
      <c r="BZ662" s="34">
        <f>BE662-BV662-CA662</f>
        <v/>
      </c>
      <c r="CA662" s="34">
        <f>BD662</f>
        <v/>
      </c>
      <c r="CB662" s="33">
        <f>BE662-BV662</f>
        <v/>
      </c>
      <c r="CC662" s="34">
        <f>IF(AY662=0,0,CB662/AY662)</f>
        <v/>
      </c>
      <c r="CD662" s="34">
        <f>MAX((AY662+MAX((-J662+L662-N662+Q662-T662+X662),0)),(MAX((J662-L662+N662-Q662+T662-X662),0)))</f>
        <v/>
      </c>
      <c r="CE662" s="82">
        <f>IFERROR(ABS(BX662/CD662),0)</f>
        <v/>
      </c>
      <c r="CF662" s="34">
        <f>IF(CE662&lt;=0.1,0,BX662/CE662*(CE662-0.1))</f>
        <v/>
      </c>
      <c r="CG662" s="34">
        <f>IF((CF662)&lt;0,MAX(F662:G662)*(CF662)*1.03,MIN(F662:G662)*(CF662)*0.97)</f>
        <v/>
      </c>
      <c r="CH662" s="34">
        <f>IF(CE662&gt;0.1,1,0)</f>
        <v/>
      </c>
      <c r="CI662" s="34">
        <f>(F662*BX662)-BY662</f>
        <v/>
      </c>
      <c r="CJ662" s="34">
        <f>IF(AY662=0,0,CI662/AY662)</f>
        <v/>
      </c>
    </row>
    <row r="663">
      <c r="A663" s="29">
        <f>[1]FİYATLAR!A638</f>
        <v/>
      </c>
      <c r="B663" s="29">
        <f>[1]FİYATLAR!B662</f>
        <v/>
      </c>
      <c r="C663" s="35">
        <f>INT(A663)</f>
        <v/>
      </c>
      <c r="D663" s="36">
        <f>MONTH(A663)</f>
        <v/>
      </c>
      <c r="E663" s="147">
        <f>[1]FİYATLAR!G638</f>
        <v/>
      </c>
      <c r="F663" s="30">
        <f>[1]FİYATLAR!C638</f>
        <v/>
      </c>
      <c r="G663" s="30">
        <f>[1]FİYATLAR!E638</f>
        <v/>
      </c>
      <c r="H663" s="30">
        <f>[1]FİYATLAR!D638</f>
        <v/>
      </c>
      <c r="I663" s="30">
        <f>[1]FİYATLAR!F638</f>
        <v/>
      </c>
      <c r="J663" s="119" t="n">
        <v>0</v>
      </c>
      <c r="K663" s="34">
        <f>F663*J663</f>
        <v/>
      </c>
      <c r="L663" s="119" t="n"/>
      <c r="M663" s="34">
        <f>L663*F663</f>
        <v/>
      </c>
      <c r="N663" s="119" t="n"/>
      <c r="O663" s="34">
        <f>F663</f>
        <v/>
      </c>
      <c r="P663" s="34">
        <f>N663*O663</f>
        <v/>
      </c>
      <c r="Q663" s="117" t="n">
        <v>0</v>
      </c>
      <c r="R663" s="34">
        <f>F663</f>
        <v/>
      </c>
      <c r="S663" s="34">
        <f>R663*Q663</f>
        <v/>
      </c>
      <c r="T663" s="34">
        <f>SUMIFS('[1]GİP VERİLERİ'!$C:$C,'[1]GİP VERİLERİ'!$B:$B,A663,'[1]GİP VERİLERİ'!$M:$M,"40X000000104782K",'[1]GİP VERİLERİ'!$G:$G,"SELL")</f>
        <v/>
      </c>
      <c r="U663" s="34">
        <f>IFERROR(W663/T663,0)</f>
        <v/>
      </c>
      <c r="V663" s="34">
        <f>IF(U663=0,0,U663-F663)</f>
        <v/>
      </c>
      <c r="W663" s="34">
        <f>SUMIFS('[1]GİP VERİLERİ'!$O:$O,'[1]GİP VERİLERİ'!$B:$B,A663,'[1]GİP VERİLERİ'!$M:$M,"40X000000104782K",'[1]GİP VERİLERİ'!$G:$G,"SELL")</f>
        <v/>
      </c>
      <c r="X663" s="34">
        <f>SUMIFS('[1]GİP VERİLERİ'!$C:$C,'[1]GİP VERİLERİ'!$B:$B,A663,'[1]GİP VERİLERİ'!$M:$M,"40X000000104782K",'[1]GİP VERİLERİ'!$G:$G,"BUY")</f>
        <v/>
      </c>
      <c r="Y663" s="34">
        <f>IFERROR(AA663/X663,0)</f>
        <v/>
      </c>
      <c r="Z663" s="34">
        <f>IF(Y663=0,0,F663-Y663)</f>
        <v/>
      </c>
      <c r="AA663" s="34">
        <f>SUMIFS('[1]GİP VERİLERİ'!$O:$O,'[1]GİP VERİLERİ'!$B:$B,A663,'[1]GİP VERİLERİ'!$M:$M,"40X000000104782K",'[1]GİP VERİLERİ'!$G:$G,"BUY")</f>
        <v/>
      </c>
      <c r="AB663" s="34">
        <f>'[1]GÖP VERİLERİ'!H664</f>
        <v/>
      </c>
      <c r="AC663" s="34">
        <f>'[1]GÖP VERİLERİ'!I664</f>
        <v/>
      </c>
      <c r="AD663" s="34">
        <f>IF(AB663&gt;AC663*1.05,AB663-AC663*1.05,IF(AB663&lt;AC663*0.95,AC663*0.95-AB663,0))</f>
        <v/>
      </c>
      <c r="AE663" s="34">
        <f>MAX(F663,G663,750)*0.05*AD663</f>
        <v/>
      </c>
      <c r="AF663" s="34">
        <f>'[1]GÖP VERİLERİ'!J664</f>
        <v/>
      </c>
      <c r="AG663" s="34">
        <f>IF(AB663&gt;AF663*1.05,AB663-AF663*1.05,IF(AB663&lt;AF663*0.95,AF663*0.95-AB663,0))</f>
        <v/>
      </c>
      <c r="AH663" s="34">
        <f>MAX(I663,J663,750)*0.05*AG663</f>
        <v/>
      </c>
      <c r="AI663">
        <f>'[1]GÖP VERİLERİ'!E664</f>
        <v/>
      </c>
      <c r="AJ663">
        <f>'[1]GÖP VERİLERİ'!F664</f>
        <v/>
      </c>
      <c r="AK663" s="34">
        <f>IF(AI663&gt;AJ663*1.05,AI663-AJ663*1.05,IF(AI663&lt;AJ663*0.95,AJ663*0.95-AI663,0))</f>
        <v/>
      </c>
      <c r="AL663" s="34">
        <f>MAX(F663,G663,750)*0.05*AK663</f>
        <v/>
      </c>
      <c r="AM663" s="39">
        <f>'[1]GÖP VERİLERİ'!G664</f>
        <v/>
      </c>
      <c r="AN663" s="34">
        <f>IF(AI663&gt;AM663*1.05,AI663-AM663*1.05,IF(AI663&lt;AM663*0.95,AM663*0.95-AI663,0))</f>
        <v/>
      </c>
      <c r="AO663" s="34">
        <f>MAX(F663,G663,750)*0.05*AN663</f>
        <v/>
      </c>
      <c r="AP663" s="34">
        <f>'[1]GÖP VERİLERİ'!B664</f>
        <v/>
      </c>
      <c r="AQ663" s="34">
        <f>'[1]GÖP VERİLERİ'!C664</f>
        <v/>
      </c>
      <c r="AR663" s="34">
        <f>IF(AP663&gt;AQ663*1.05,AP663-AQ663*1.05,IF(AP663&lt;AQ663*0.95,AQ663*0.95-AP663,0))</f>
        <v/>
      </c>
      <c r="AS663" s="34">
        <f>MAX(F663:G663,750)*0.05*AR663</f>
        <v/>
      </c>
      <c r="AT663">
        <f>'[1]GÖP VERİLERİ'!D664</f>
        <v/>
      </c>
      <c r="AU663" s="34">
        <f>IF(AP663&gt;AT663*1.05,AP663-AT663*1.05,IF(AP663&lt;AT663*0.95,AT663*0.95-AP663,0))</f>
        <v/>
      </c>
      <c r="AV663" s="34">
        <f>MAX(F663:G663,750)*0.05*AU663</f>
        <v/>
      </c>
      <c r="AW663" s="34">
        <f>AC663+AJ663+AQ663</f>
        <v/>
      </c>
      <c r="AX663" s="34">
        <f>AF663+AM663+AT663</f>
        <v/>
      </c>
      <c r="AY663" s="34">
        <f>AB663+AI663+AP663</f>
        <v/>
      </c>
      <c r="AZ663" s="34" t="n">
        <v>0</v>
      </c>
      <c r="BA663" s="34">
        <f>AD663+AK663+AR663</f>
        <v/>
      </c>
      <c r="BB663" s="34">
        <f>MAX(F663:G663,750)*0.05*BA663</f>
        <v/>
      </c>
      <c r="BC663" s="34">
        <f>AG663+AN663+AU663</f>
        <v/>
      </c>
      <c r="BD663" s="34">
        <f>MAX(F663:G663,750)*0.05*BC663</f>
        <v/>
      </c>
      <c r="BE663" s="34">
        <f>F663*AY663</f>
        <v/>
      </c>
      <c r="BF663" s="34">
        <f>K663-M663</f>
        <v/>
      </c>
      <c r="BG663" s="34">
        <f>P663-S663</f>
        <v/>
      </c>
      <c r="BH663" s="34">
        <f>W663-AA663</f>
        <v/>
      </c>
      <c r="BI663" s="34">
        <f>BF663+BG663+BL663-BN663</f>
        <v/>
      </c>
      <c r="BJ663" s="34">
        <f>ABS(BK663)</f>
        <v/>
      </c>
      <c r="BK663" s="34">
        <f>AY663-(J663-L663+N663-Q663)</f>
        <v/>
      </c>
      <c r="BL663" s="34">
        <f>IF(AND(BK663&gt;0,MIN($F663:$G663)&lt;150,$E663="Enerji Açığı"),-100*BK663*1.03,IF(AND(BK663&gt;0,MIN($F663:$G663)&lt;150,$E663="Enerji Fazlası"),-100*BK663*1.06,IF(AND(BK663&gt;0,MIN($F663:$G663)&gt;=150,$E663="Enerji Açığı"),BK663*MIN($F663:$G663)*0.97,IF(AND(BK663&gt;0,MIN($F663:$G663)&gt;=150,$E663="Enerji Fazlası"),BK663*MIN($F663:$G663)*0.94,IF(AND(BK663&lt;0,MAX($F663:$G663)=4500,$E663="Enerji Açığı"),4500*1.05*1.06*BK663,IF(AND(BK663&lt;0,MAX($F663:$G663)=4500,$E663="Enerji Fazlası"),4500*1.05*1.03*BK663,IF(AND(BK663&lt;0,$E663="Enerji Açığı"),MAX($F663,$G663,150)*BK663*1.06,IF(AND(BK663&lt;0,$E663="Enerji Fazlası"),MAX($F663,$G663,150)*BK663*1.03,IF(AND(BK663&lt;0,$E663="Dengede"),MAX($F663:$G663,150)*1.03*BK663,MIN($F663:$G663)*0.97*BK663)))))))))</f>
        <v/>
      </c>
      <c r="BM663" s="34">
        <f>BE663-BI663-BN663</f>
        <v/>
      </c>
      <c r="BN663" s="34">
        <f>BB663</f>
        <v/>
      </c>
      <c r="BO663" s="34">
        <f>BE663-BI663</f>
        <v/>
      </c>
      <c r="BP663" s="34">
        <f>IF(AY663=0,0,BO663/AY663)</f>
        <v/>
      </c>
      <c r="BQ663" s="34">
        <f>MAX((AY663+MAX((-J663+L663-N663+Q663),0)),(MAX((J663-L663+N663-Q663),0)))</f>
        <v/>
      </c>
      <c r="BR663" s="82">
        <f>IFERROR(ABS(BK663/BQ663),0)</f>
        <v/>
      </c>
      <c r="BS663" s="34">
        <f>IF(BR663&lt;=0.1,0,BK663/BR663*(BR663-0.1))</f>
        <v/>
      </c>
      <c r="BT663" s="34">
        <f>IF((BS663)&lt;0,MAX(F663:G663)*(BS663)*1.03,MIN(F663:G663)*(BS663)*0.97)</f>
        <v/>
      </c>
      <c r="BU663" s="34">
        <f>IF(BR663&gt;0.1,1,0)</f>
        <v/>
      </c>
      <c r="BV663" s="34">
        <f>BF663+BG663+BH663+BY663-CA663</f>
        <v/>
      </c>
      <c r="BW663" s="34">
        <f>ABS(BX663)</f>
        <v/>
      </c>
      <c r="BX663" s="34">
        <f>AY663-(J663-L663+N663-Q663+T663-X663)</f>
        <v/>
      </c>
      <c r="BY663" s="34">
        <f>IF(AND(BX663&gt;0,MIN($F663:$G663)&lt;150,$E663="Enerji Açığı"),-100*BX663*1.03,IF(AND(BX663&gt;0,MIN($F663:$G663)&lt;150,$E663="Enerji Fazlası"),-100*BX663*1.06,IF(AND(BX663&gt;0,MIN($F663:$G663)&gt;=150,$E663="Enerji Açığı"),BX663*MIN($F663:$G663)*0.97,IF(AND(BX663&gt;0,MIN($F663:$G663)&gt;=150,$E663="Enerji Fazlası"),BX663*MIN($F663:$G663)*0.94,IF(AND(BX663&lt;0,MAX($F663:$G663)=4500,$E663="Enerji Açığı"),4500*1.05*1.06*BX663,IF(AND(BX663&lt;0,MAX($F663:$G663)=4500,$E663="Enerji Fazlası"),4500*1.05*1.03*BX663,IF(AND(BX663&lt;0,$E663="Enerji Açığı"),MAX($F663,$G663,150)*BX663*1.06,IF(AND(BX663&lt;0,$E663="Enerji Fazlası"),MAX($F663,$G663,150)*BX663*1.03,IF(AND(BX663&lt;0,$E663="Dengede"),MAX($F663:$G663,150)*1.03*BX663,MIN($F663:$G663)*0.97*BX663)))))))))</f>
        <v/>
      </c>
      <c r="BZ663" s="34">
        <f>BE663-BV663-CA663</f>
        <v/>
      </c>
      <c r="CA663" s="34">
        <f>BD663</f>
        <v/>
      </c>
      <c r="CB663" s="33">
        <f>BE663-BV663</f>
        <v/>
      </c>
      <c r="CC663" s="34">
        <f>IF(AY663=0,0,CB663/AY663)</f>
        <v/>
      </c>
      <c r="CD663" s="34">
        <f>MAX((AY663+MAX((-J663+L663-N663+Q663-T663+X663),0)),(MAX((J663-L663+N663-Q663+T663-X663),0)))</f>
        <v/>
      </c>
      <c r="CE663" s="82">
        <f>IFERROR(ABS(BX663/CD663),0)</f>
        <v/>
      </c>
      <c r="CF663" s="34">
        <f>IF(CE663&lt;=0.1,0,BX663/CE663*(CE663-0.1))</f>
        <v/>
      </c>
      <c r="CG663" s="34">
        <f>IF((CF663)&lt;0,MAX(F663:G663)*(CF663)*1.03,MIN(F663:G663)*(CF663)*0.97)</f>
        <v/>
      </c>
      <c r="CH663" s="34">
        <f>IF(CE663&gt;0.1,1,0)</f>
        <v/>
      </c>
      <c r="CI663" s="34">
        <f>(F663*BX663)-BY663</f>
        <v/>
      </c>
      <c r="CJ663" s="34">
        <f>IF(AY663=0,0,CI663/AY663)</f>
        <v/>
      </c>
    </row>
    <row r="664">
      <c r="A664" s="29">
        <f>[1]FİYATLAR!A639</f>
        <v/>
      </c>
      <c r="B664" s="29">
        <f>[1]FİYATLAR!B663</f>
        <v/>
      </c>
      <c r="C664" s="35">
        <f>INT(A664)</f>
        <v/>
      </c>
      <c r="D664" s="36">
        <f>MONTH(A664)</f>
        <v/>
      </c>
      <c r="E664" s="147">
        <f>[1]FİYATLAR!G639</f>
        <v/>
      </c>
      <c r="F664" s="30">
        <f>[1]FİYATLAR!C639</f>
        <v/>
      </c>
      <c r="G664" s="30">
        <f>[1]FİYATLAR!E639</f>
        <v/>
      </c>
      <c r="H664" s="30">
        <f>[1]FİYATLAR!D639</f>
        <v/>
      </c>
      <c r="I664" s="30">
        <f>[1]FİYATLAR!F639</f>
        <v/>
      </c>
      <c r="J664" s="119" t="n">
        <v>0</v>
      </c>
      <c r="K664" s="34">
        <f>F664*J664</f>
        <v/>
      </c>
      <c r="L664" s="119" t="n"/>
      <c r="M664" s="34">
        <f>L664*F664</f>
        <v/>
      </c>
      <c r="N664" s="119" t="n"/>
      <c r="O664" s="34">
        <f>F664</f>
        <v/>
      </c>
      <c r="P664" s="34">
        <f>N664*O664</f>
        <v/>
      </c>
      <c r="Q664" s="117" t="n">
        <v>0</v>
      </c>
      <c r="R664" s="34">
        <f>F664</f>
        <v/>
      </c>
      <c r="S664" s="34">
        <f>R664*Q664</f>
        <v/>
      </c>
      <c r="T664" s="34">
        <f>SUMIFS('[1]GİP VERİLERİ'!$C:$C,'[1]GİP VERİLERİ'!$B:$B,A664,'[1]GİP VERİLERİ'!$M:$M,"40X000000104782K",'[1]GİP VERİLERİ'!$G:$G,"SELL")</f>
        <v/>
      </c>
      <c r="U664" s="34">
        <f>IFERROR(W664/T664,0)</f>
        <v/>
      </c>
      <c r="V664" s="34">
        <f>IF(U664=0,0,U664-F664)</f>
        <v/>
      </c>
      <c r="W664" s="34">
        <f>SUMIFS('[1]GİP VERİLERİ'!$O:$O,'[1]GİP VERİLERİ'!$B:$B,A664,'[1]GİP VERİLERİ'!$M:$M,"40X000000104782K",'[1]GİP VERİLERİ'!$G:$G,"SELL")</f>
        <v/>
      </c>
      <c r="X664" s="34">
        <f>SUMIFS('[1]GİP VERİLERİ'!$C:$C,'[1]GİP VERİLERİ'!$B:$B,A664,'[1]GİP VERİLERİ'!$M:$M,"40X000000104782K",'[1]GİP VERİLERİ'!$G:$G,"BUY")</f>
        <v/>
      </c>
      <c r="Y664" s="34">
        <f>IFERROR(AA664/X664,0)</f>
        <v/>
      </c>
      <c r="Z664" s="34">
        <f>IF(Y664=0,0,F664-Y664)</f>
        <v/>
      </c>
      <c r="AA664" s="34">
        <f>SUMIFS('[1]GİP VERİLERİ'!$O:$O,'[1]GİP VERİLERİ'!$B:$B,A664,'[1]GİP VERİLERİ'!$M:$M,"40X000000104782K",'[1]GİP VERİLERİ'!$G:$G,"BUY")</f>
        <v/>
      </c>
      <c r="AB664" s="34">
        <f>'[1]GÖP VERİLERİ'!H665</f>
        <v/>
      </c>
      <c r="AC664" s="34">
        <f>'[1]GÖP VERİLERİ'!I665</f>
        <v/>
      </c>
      <c r="AD664" s="34">
        <f>IF(AB664&gt;AC664*1.05,AB664-AC664*1.05,IF(AB664&lt;AC664*0.95,AC664*0.95-AB664,0))</f>
        <v/>
      </c>
      <c r="AE664" s="34">
        <f>MAX(F664,G664,750)*0.05*AD664</f>
        <v/>
      </c>
      <c r="AF664" s="34">
        <f>'[1]GÖP VERİLERİ'!J665</f>
        <v/>
      </c>
      <c r="AG664" s="34">
        <f>IF(AB664&gt;AF664*1.05,AB664-AF664*1.05,IF(AB664&lt;AF664*0.95,AF664*0.95-AB664,0))</f>
        <v/>
      </c>
      <c r="AH664" s="34">
        <f>MAX(I664,J664,750)*0.05*AG664</f>
        <v/>
      </c>
      <c r="AI664">
        <f>'[1]GÖP VERİLERİ'!E665</f>
        <v/>
      </c>
      <c r="AJ664">
        <f>'[1]GÖP VERİLERİ'!F665</f>
        <v/>
      </c>
      <c r="AK664" s="34">
        <f>IF(AI664&gt;AJ664*1.05,AI664-AJ664*1.05,IF(AI664&lt;AJ664*0.95,AJ664*0.95-AI664,0))</f>
        <v/>
      </c>
      <c r="AL664" s="34">
        <f>MAX(F664,G664,750)*0.05*AK664</f>
        <v/>
      </c>
      <c r="AM664" s="39">
        <f>'[1]GÖP VERİLERİ'!G665</f>
        <v/>
      </c>
      <c r="AN664" s="34">
        <f>IF(AI664&gt;AM664*1.05,AI664-AM664*1.05,IF(AI664&lt;AM664*0.95,AM664*0.95-AI664,0))</f>
        <v/>
      </c>
      <c r="AO664" s="34">
        <f>MAX(F664,G664,750)*0.05*AN664</f>
        <v/>
      </c>
      <c r="AP664" s="34">
        <f>'[1]GÖP VERİLERİ'!B665</f>
        <v/>
      </c>
      <c r="AQ664" s="34">
        <f>'[1]GÖP VERİLERİ'!C665</f>
        <v/>
      </c>
      <c r="AR664" s="34">
        <f>IF(AP664&gt;AQ664*1.05,AP664-AQ664*1.05,IF(AP664&lt;AQ664*0.95,AQ664*0.95-AP664,0))</f>
        <v/>
      </c>
      <c r="AS664" s="34">
        <f>MAX(F664:G664,750)*0.05*AR664</f>
        <v/>
      </c>
      <c r="AT664">
        <f>'[1]GÖP VERİLERİ'!D665</f>
        <v/>
      </c>
      <c r="AU664" s="34">
        <f>IF(AP664&gt;AT664*1.05,AP664-AT664*1.05,IF(AP664&lt;AT664*0.95,AT664*0.95-AP664,0))</f>
        <v/>
      </c>
      <c r="AV664" s="34">
        <f>MAX(F664:G664,750)*0.05*AU664</f>
        <v/>
      </c>
      <c r="AW664" s="34">
        <f>AC664+AJ664+AQ664</f>
        <v/>
      </c>
      <c r="AX664" s="34">
        <f>AF664+AM664+AT664</f>
        <v/>
      </c>
      <c r="AY664" s="34">
        <f>AB664+AI664+AP664</f>
        <v/>
      </c>
      <c r="AZ664" s="34" t="n">
        <v>0</v>
      </c>
      <c r="BA664" s="34">
        <f>AD664+AK664+AR664</f>
        <v/>
      </c>
      <c r="BB664" s="34">
        <f>MAX(F664:G664,750)*0.05*BA664</f>
        <v/>
      </c>
      <c r="BC664" s="34">
        <f>AG664+AN664+AU664</f>
        <v/>
      </c>
      <c r="BD664" s="34">
        <f>MAX(F664:G664,750)*0.05*BC664</f>
        <v/>
      </c>
      <c r="BE664" s="34">
        <f>F664*AY664</f>
        <v/>
      </c>
      <c r="BF664" s="34">
        <f>K664-M664</f>
        <v/>
      </c>
      <c r="BG664" s="34">
        <f>P664-S664</f>
        <v/>
      </c>
      <c r="BH664" s="34">
        <f>W664-AA664</f>
        <v/>
      </c>
      <c r="BI664" s="34">
        <f>BF664+BG664+BL664-BN664</f>
        <v/>
      </c>
      <c r="BJ664" s="34">
        <f>ABS(BK664)</f>
        <v/>
      </c>
      <c r="BK664" s="34">
        <f>AY664-(J664-L664+N664-Q664)</f>
        <v/>
      </c>
      <c r="BL664" s="34">
        <f>IF(AND(BK664&gt;0,MIN($F664:$G664)&lt;150,$E664="Enerji Açığı"),-100*BK664*1.03,IF(AND(BK664&gt;0,MIN($F664:$G664)&lt;150,$E664="Enerji Fazlası"),-100*BK664*1.06,IF(AND(BK664&gt;0,MIN($F664:$G664)&gt;=150,$E664="Enerji Açığı"),BK664*MIN($F664:$G664)*0.97,IF(AND(BK664&gt;0,MIN($F664:$G664)&gt;=150,$E664="Enerji Fazlası"),BK664*MIN($F664:$G664)*0.94,IF(AND(BK664&lt;0,MAX($F664:$G664)=4500,$E664="Enerji Açığı"),4500*1.05*1.06*BK664,IF(AND(BK664&lt;0,MAX($F664:$G664)=4500,$E664="Enerji Fazlası"),4500*1.05*1.03*BK664,IF(AND(BK664&lt;0,$E664="Enerji Açığı"),MAX($F664,$G664,150)*BK664*1.06,IF(AND(BK664&lt;0,$E664="Enerji Fazlası"),MAX($F664,$G664,150)*BK664*1.03,IF(AND(BK664&lt;0,$E664="Dengede"),MAX($F664:$G664,150)*1.03*BK664,MIN($F664:$G664)*0.97*BK664)))))))))</f>
        <v/>
      </c>
      <c r="BM664" s="34">
        <f>BE664-BI664-BN664</f>
        <v/>
      </c>
      <c r="BN664" s="34">
        <f>BB664</f>
        <v/>
      </c>
      <c r="BO664" s="34">
        <f>BE664-BI664</f>
        <v/>
      </c>
      <c r="BP664" s="34">
        <f>IF(AY664=0,0,BO664/AY664)</f>
        <v/>
      </c>
      <c r="BQ664" s="34">
        <f>MAX((AY664+MAX((-J664+L664-N664+Q664),0)),(MAX((J664-L664+N664-Q664),0)))</f>
        <v/>
      </c>
      <c r="BR664" s="82">
        <f>IFERROR(ABS(BK664/BQ664),0)</f>
        <v/>
      </c>
      <c r="BS664" s="34">
        <f>IF(BR664&lt;=0.1,0,BK664/BR664*(BR664-0.1))</f>
        <v/>
      </c>
      <c r="BT664" s="34">
        <f>IF((BS664)&lt;0,MAX(F664:G664)*(BS664)*1.03,MIN(F664:G664)*(BS664)*0.97)</f>
        <v/>
      </c>
      <c r="BU664" s="34">
        <f>IF(BR664&gt;0.1,1,0)</f>
        <v/>
      </c>
      <c r="BV664" s="34">
        <f>BF664+BG664+BH664+BY664-CA664</f>
        <v/>
      </c>
      <c r="BW664" s="34">
        <f>ABS(BX664)</f>
        <v/>
      </c>
      <c r="BX664" s="34">
        <f>AY664-(J664-L664+N664-Q664+T664-X664)</f>
        <v/>
      </c>
      <c r="BY664" s="34">
        <f>IF(AND(BX664&gt;0,MIN($F664:$G664)&lt;150,$E664="Enerji Açığı"),-100*BX664*1.03,IF(AND(BX664&gt;0,MIN($F664:$G664)&lt;150,$E664="Enerji Fazlası"),-100*BX664*1.06,IF(AND(BX664&gt;0,MIN($F664:$G664)&gt;=150,$E664="Enerji Açığı"),BX664*MIN($F664:$G664)*0.97,IF(AND(BX664&gt;0,MIN($F664:$G664)&gt;=150,$E664="Enerji Fazlası"),BX664*MIN($F664:$G664)*0.94,IF(AND(BX664&lt;0,MAX($F664:$G664)=4500,$E664="Enerji Açığı"),4500*1.05*1.06*BX664,IF(AND(BX664&lt;0,MAX($F664:$G664)=4500,$E664="Enerji Fazlası"),4500*1.05*1.03*BX664,IF(AND(BX664&lt;0,$E664="Enerji Açığı"),MAX($F664,$G664,150)*BX664*1.06,IF(AND(BX664&lt;0,$E664="Enerji Fazlası"),MAX($F664,$G664,150)*BX664*1.03,IF(AND(BX664&lt;0,$E664="Dengede"),MAX($F664:$G664,150)*1.03*BX664,MIN($F664:$G664)*0.97*BX664)))))))))</f>
        <v/>
      </c>
      <c r="BZ664" s="34">
        <f>BE664-BV664-CA664</f>
        <v/>
      </c>
      <c r="CA664" s="34">
        <f>BD664</f>
        <v/>
      </c>
      <c r="CB664" s="33">
        <f>BE664-BV664</f>
        <v/>
      </c>
      <c r="CC664" s="34">
        <f>IF(AY664=0,0,CB664/AY664)</f>
        <v/>
      </c>
      <c r="CD664" s="34">
        <f>MAX((AY664+MAX((-J664+L664-N664+Q664-T664+X664),0)),(MAX((J664-L664+N664-Q664+T664-X664),0)))</f>
        <v/>
      </c>
      <c r="CE664" s="82">
        <f>IFERROR(ABS(BX664/CD664),0)</f>
        <v/>
      </c>
      <c r="CF664" s="34">
        <f>IF(CE664&lt;=0.1,0,BX664/CE664*(CE664-0.1))</f>
        <v/>
      </c>
      <c r="CG664" s="34">
        <f>IF((CF664)&lt;0,MAX(F664:G664)*(CF664)*1.03,MIN(F664:G664)*(CF664)*0.97)</f>
        <v/>
      </c>
      <c r="CH664" s="34">
        <f>IF(CE664&gt;0.1,1,0)</f>
        <v/>
      </c>
      <c r="CI664" s="34">
        <f>(F664*BX664)-BY664</f>
        <v/>
      </c>
      <c r="CJ664" s="34">
        <f>IF(AY664=0,0,CI664/AY664)</f>
        <v/>
      </c>
    </row>
    <row r="665">
      <c r="A665" s="29">
        <f>[1]FİYATLAR!A640</f>
        <v/>
      </c>
      <c r="B665" s="29">
        <f>[1]FİYATLAR!B664</f>
        <v/>
      </c>
      <c r="C665" s="35">
        <f>INT(A665)</f>
        <v/>
      </c>
      <c r="D665" s="36">
        <f>MONTH(A665)</f>
        <v/>
      </c>
      <c r="E665" s="147">
        <f>[1]FİYATLAR!G640</f>
        <v/>
      </c>
      <c r="F665" s="30">
        <f>[1]FİYATLAR!C640</f>
        <v/>
      </c>
      <c r="G665" s="30">
        <f>[1]FİYATLAR!E640</f>
        <v/>
      </c>
      <c r="H665" s="30">
        <f>[1]FİYATLAR!D640</f>
        <v/>
      </c>
      <c r="I665" s="30">
        <f>[1]FİYATLAR!F640</f>
        <v/>
      </c>
      <c r="J665" s="119" t="n">
        <v>0</v>
      </c>
      <c r="K665" s="34">
        <f>F665*J665</f>
        <v/>
      </c>
      <c r="L665" s="119" t="n"/>
      <c r="M665" s="34">
        <f>L665*F665</f>
        <v/>
      </c>
      <c r="N665" s="119" t="n"/>
      <c r="O665" s="34">
        <f>F665</f>
        <v/>
      </c>
      <c r="P665" s="34">
        <f>N665*O665</f>
        <v/>
      </c>
      <c r="Q665" s="117" t="n">
        <v>0</v>
      </c>
      <c r="R665" s="34">
        <f>F665</f>
        <v/>
      </c>
      <c r="S665" s="34">
        <f>R665*Q665</f>
        <v/>
      </c>
      <c r="T665" s="34">
        <f>SUMIFS('[1]GİP VERİLERİ'!$C:$C,'[1]GİP VERİLERİ'!$B:$B,A665,'[1]GİP VERİLERİ'!$M:$M,"40X000000104782K",'[1]GİP VERİLERİ'!$G:$G,"SELL")</f>
        <v/>
      </c>
      <c r="U665" s="34">
        <f>IFERROR(W665/T665,0)</f>
        <v/>
      </c>
      <c r="V665" s="34">
        <f>IF(U665=0,0,U665-F665)</f>
        <v/>
      </c>
      <c r="W665" s="34">
        <f>SUMIFS('[1]GİP VERİLERİ'!$O:$O,'[1]GİP VERİLERİ'!$B:$B,A665,'[1]GİP VERİLERİ'!$M:$M,"40X000000104782K",'[1]GİP VERİLERİ'!$G:$G,"SELL")</f>
        <v/>
      </c>
      <c r="X665" s="34">
        <f>SUMIFS('[1]GİP VERİLERİ'!$C:$C,'[1]GİP VERİLERİ'!$B:$B,A665,'[1]GİP VERİLERİ'!$M:$M,"40X000000104782K",'[1]GİP VERİLERİ'!$G:$G,"BUY")</f>
        <v/>
      </c>
      <c r="Y665" s="34">
        <f>IFERROR(AA665/X665,0)</f>
        <v/>
      </c>
      <c r="Z665" s="34">
        <f>IF(Y665=0,0,F665-Y665)</f>
        <v/>
      </c>
      <c r="AA665" s="34">
        <f>SUMIFS('[1]GİP VERİLERİ'!$O:$O,'[1]GİP VERİLERİ'!$B:$B,A665,'[1]GİP VERİLERİ'!$M:$M,"40X000000104782K",'[1]GİP VERİLERİ'!$G:$G,"BUY")</f>
        <v/>
      </c>
      <c r="AB665" s="34">
        <f>'[1]GÖP VERİLERİ'!H666</f>
        <v/>
      </c>
      <c r="AC665" s="34">
        <f>'[1]GÖP VERİLERİ'!I666</f>
        <v/>
      </c>
      <c r="AD665" s="34">
        <f>IF(AB665&gt;AC665*1.05,AB665-AC665*1.05,IF(AB665&lt;AC665*0.95,AC665*0.95-AB665,0))</f>
        <v/>
      </c>
      <c r="AE665" s="34">
        <f>MAX(F665,G665,750)*0.05*AD665</f>
        <v/>
      </c>
      <c r="AF665" s="34">
        <f>'[1]GÖP VERİLERİ'!J666</f>
        <v/>
      </c>
      <c r="AG665" s="34">
        <f>IF(AB665&gt;AF665*1.05,AB665-AF665*1.05,IF(AB665&lt;AF665*0.95,AF665*0.95-AB665,0))</f>
        <v/>
      </c>
      <c r="AH665" s="34">
        <f>MAX(I665,J665,750)*0.05*AG665</f>
        <v/>
      </c>
      <c r="AI665">
        <f>'[1]GÖP VERİLERİ'!E666</f>
        <v/>
      </c>
      <c r="AJ665">
        <f>'[1]GÖP VERİLERİ'!F666</f>
        <v/>
      </c>
      <c r="AK665" s="34">
        <f>IF(AI665&gt;AJ665*1.05,AI665-AJ665*1.05,IF(AI665&lt;AJ665*0.95,AJ665*0.95-AI665,0))</f>
        <v/>
      </c>
      <c r="AL665" s="34">
        <f>MAX(F665,G665,750)*0.05*AK665</f>
        <v/>
      </c>
      <c r="AM665" s="39">
        <f>'[1]GÖP VERİLERİ'!G666</f>
        <v/>
      </c>
      <c r="AN665" s="34">
        <f>IF(AI665&gt;AM665*1.05,AI665-AM665*1.05,IF(AI665&lt;AM665*0.95,AM665*0.95-AI665,0))</f>
        <v/>
      </c>
      <c r="AO665" s="34">
        <f>MAX(F665,G665,750)*0.05*AN665</f>
        <v/>
      </c>
      <c r="AP665" s="34">
        <f>'[1]GÖP VERİLERİ'!B666</f>
        <v/>
      </c>
      <c r="AQ665" s="34">
        <f>'[1]GÖP VERİLERİ'!C666</f>
        <v/>
      </c>
      <c r="AR665" s="34">
        <f>IF(AP665&gt;AQ665*1.05,AP665-AQ665*1.05,IF(AP665&lt;AQ665*0.95,AQ665*0.95-AP665,0))</f>
        <v/>
      </c>
      <c r="AS665" s="34">
        <f>MAX(F665:G665,750)*0.05*AR665</f>
        <v/>
      </c>
      <c r="AT665">
        <f>'[1]GÖP VERİLERİ'!D666</f>
        <v/>
      </c>
      <c r="AU665" s="34">
        <f>IF(AP665&gt;AT665*1.05,AP665-AT665*1.05,IF(AP665&lt;AT665*0.95,AT665*0.95-AP665,0))</f>
        <v/>
      </c>
      <c r="AV665" s="34">
        <f>MAX(F665:G665,750)*0.05*AU665</f>
        <v/>
      </c>
      <c r="AW665" s="34">
        <f>AC665+AJ665+AQ665</f>
        <v/>
      </c>
      <c r="AX665" s="34">
        <f>AF665+AM665+AT665</f>
        <v/>
      </c>
      <c r="AY665" s="34">
        <f>AB665+AI665+AP665</f>
        <v/>
      </c>
      <c r="AZ665" s="34" t="n">
        <v>0</v>
      </c>
      <c r="BA665" s="34">
        <f>AD665+AK665+AR665</f>
        <v/>
      </c>
      <c r="BB665" s="34">
        <f>MAX(F665:G665,750)*0.05*BA665</f>
        <v/>
      </c>
      <c r="BC665" s="34">
        <f>AG665+AN665+AU665</f>
        <v/>
      </c>
      <c r="BD665" s="34">
        <f>MAX(F665:G665,750)*0.05*BC665</f>
        <v/>
      </c>
      <c r="BE665" s="34">
        <f>F665*AY665</f>
        <v/>
      </c>
      <c r="BF665" s="34">
        <f>K665-M665</f>
        <v/>
      </c>
      <c r="BG665" s="34">
        <f>P665-S665</f>
        <v/>
      </c>
      <c r="BH665" s="34">
        <f>W665-AA665</f>
        <v/>
      </c>
      <c r="BI665" s="34">
        <f>BF665+BG665+BL665-BN665</f>
        <v/>
      </c>
      <c r="BJ665" s="34">
        <f>ABS(BK665)</f>
        <v/>
      </c>
      <c r="BK665" s="34">
        <f>AY665-(J665-L665+N665-Q665)</f>
        <v/>
      </c>
      <c r="BL665" s="34">
        <f>IF(AND(BK665&gt;0,MIN($F665:$G665)&lt;150,$E665="Enerji Açığı"),-100*BK665*1.03,IF(AND(BK665&gt;0,MIN($F665:$G665)&lt;150,$E665="Enerji Fazlası"),-100*BK665*1.06,IF(AND(BK665&gt;0,MIN($F665:$G665)&gt;=150,$E665="Enerji Açığı"),BK665*MIN($F665:$G665)*0.97,IF(AND(BK665&gt;0,MIN($F665:$G665)&gt;=150,$E665="Enerji Fazlası"),BK665*MIN($F665:$G665)*0.94,IF(AND(BK665&lt;0,MAX($F665:$G665)=4500,$E665="Enerji Açığı"),4500*1.05*1.06*BK665,IF(AND(BK665&lt;0,MAX($F665:$G665)=4500,$E665="Enerji Fazlası"),4500*1.05*1.03*BK665,IF(AND(BK665&lt;0,$E665="Enerji Açığı"),MAX($F665,$G665,150)*BK665*1.06,IF(AND(BK665&lt;0,$E665="Enerji Fazlası"),MAX($F665,$G665,150)*BK665*1.03,IF(AND(BK665&lt;0,$E665="Dengede"),MAX($F665:$G665,150)*1.03*BK665,MIN($F665:$G665)*0.97*BK665)))))))))</f>
        <v/>
      </c>
      <c r="BM665" s="34">
        <f>BE665-BI665-BN665</f>
        <v/>
      </c>
      <c r="BN665" s="34">
        <f>BB665</f>
        <v/>
      </c>
      <c r="BO665" s="34">
        <f>BE665-BI665</f>
        <v/>
      </c>
      <c r="BP665" s="34">
        <f>IF(AY665=0,0,BO665/AY665)</f>
        <v/>
      </c>
      <c r="BQ665" s="34">
        <f>MAX((AY665+MAX((-J665+L665-N665+Q665),0)),(MAX((J665-L665+N665-Q665),0)))</f>
        <v/>
      </c>
      <c r="BR665" s="82">
        <f>IFERROR(ABS(BK665/BQ665),0)</f>
        <v/>
      </c>
      <c r="BS665" s="34">
        <f>IF(BR665&lt;=0.1,0,BK665/BR665*(BR665-0.1))</f>
        <v/>
      </c>
      <c r="BT665" s="34">
        <f>IF((BS665)&lt;0,MAX(F665:G665)*(BS665)*1.03,MIN(F665:G665)*(BS665)*0.97)</f>
        <v/>
      </c>
      <c r="BU665" s="34">
        <f>IF(BR665&gt;0.1,1,0)</f>
        <v/>
      </c>
      <c r="BV665" s="34">
        <f>BF665+BG665+BH665+BY665-CA665</f>
        <v/>
      </c>
      <c r="BW665" s="34">
        <f>ABS(BX665)</f>
        <v/>
      </c>
      <c r="BX665" s="34">
        <f>AY665-(J665-L665+N665-Q665+T665-X665)</f>
        <v/>
      </c>
      <c r="BY665" s="34">
        <f>IF(AND(BX665&gt;0,MIN($F665:$G665)&lt;150,$E665="Enerji Açığı"),-100*BX665*1.03,IF(AND(BX665&gt;0,MIN($F665:$G665)&lt;150,$E665="Enerji Fazlası"),-100*BX665*1.06,IF(AND(BX665&gt;0,MIN($F665:$G665)&gt;=150,$E665="Enerji Açığı"),BX665*MIN($F665:$G665)*0.97,IF(AND(BX665&gt;0,MIN($F665:$G665)&gt;=150,$E665="Enerji Fazlası"),BX665*MIN($F665:$G665)*0.94,IF(AND(BX665&lt;0,MAX($F665:$G665)=4500,$E665="Enerji Açığı"),4500*1.05*1.06*BX665,IF(AND(BX665&lt;0,MAX($F665:$G665)=4500,$E665="Enerji Fazlası"),4500*1.05*1.03*BX665,IF(AND(BX665&lt;0,$E665="Enerji Açığı"),MAX($F665,$G665,150)*BX665*1.06,IF(AND(BX665&lt;0,$E665="Enerji Fazlası"),MAX($F665,$G665,150)*BX665*1.03,IF(AND(BX665&lt;0,$E665="Dengede"),MAX($F665:$G665,150)*1.03*BX665,MIN($F665:$G665)*0.97*BX665)))))))))</f>
        <v/>
      </c>
      <c r="BZ665" s="34">
        <f>BE665-BV665-CA665</f>
        <v/>
      </c>
      <c r="CA665" s="34">
        <f>BD665</f>
        <v/>
      </c>
      <c r="CB665" s="33">
        <f>BE665-BV665</f>
        <v/>
      </c>
      <c r="CC665" s="34">
        <f>IF(AY665=0,0,CB665/AY665)</f>
        <v/>
      </c>
      <c r="CD665" s="34">
        <f>MAX((AY665+MAX((-J665+L665-N665+Q665-T665+X665),0)),(MAX((J665-L665+N665-Q665+T665-X665),0)))</f>
        <v/>
      </c>
      <c r="CE665" s="82">
        <f>IFERROR(ABS(BX665/CD665),0)</f>
        <v/>
      </c>
      <c r="CF665" s="34">
        <f>IF(CE665&lt;=0.1,0,BX665/CE665*(CE665-0.1))</f>
        <v/>
      </c>
      <c r="CG665" s="34">
        <f>IF((CF665)&lt;0,MAX(F665:G665)*(CF665)*1.03,MIN(F665:G665)*(CF665)*0.97)</f>
        <v/>
      </c>
      <c r="CH665" s="34">
        <f>IF(CE665&gt;0.1,1,0)</f>
        <v/>
      </c>
      <c r="CI665" s="34">
        <f>(F665*BX665)-BY665</f>
        <v/>
      </c>
      <c r="CJ665" s="34">
        <f>IF(AY665=0,0,CI665/AY665)</f>
        <v/>
      </c>
    </row>
    <row r="666">
      <c r="A666" s="29">
        <f>[1]FİYATLAR!A641</f>
        <v/>
      </c>
      <c r="B666" s="29">
        <f>[1]FİYATLAR!B665</f>
        <v/>
      </c>
      <c r="C666" s="35">
        <f>INT(A666)</f>
        <v/>
      </c>
      <c r="D666" s="36">
        <f>MONTH(A666)</f>
        <v/>
      </c>
      <c r="E666" s="147">
        <f>[1]FİYATLAR!G641</f>
        <v/>
      </c>
      <c r="F666" s="30">
        <f>[1]FİYATLAR!C641</f>
        <v/>
      </c>
      <c r="G666" s="30">
        <f>[1]FİYATLAR!E641</f>
        <v/>
      </c>
      <c r="H666" s="30">
        <f>[1]FİYATLAR!D641</f>
        <v/>
      </c>
      <c r="I666" s="30">
        <f>[1]FİYATLAR!F641</f>
        <v/>
      </c>
      <c r="J666" s="119" t="n">
        <v>0</v>
      </c>
      <c r="K666" s="34">
        <f>F666*J666</f>
        <v/>
      </c>
      <c r="L666" s="119" t="n"/>
      <c r="M666" s="34">
        <f>L666*F666</f>
        <v/>
      </c>
      <c r="N666" s="119" t="n"/>
      <c r="O666" s="34">
        <f>F666</f>
        <v/>
      </c>
      <c r="P666" s="34">
        <f>N666*O666</f>
        <v/>
      </c>
      <c r="Q666" s="117" t="n">
        <v>0</v>
      </c>
      <c r="R666" s="34">
        <f>F666</f>
        <v/>
      </c>
      <c r="S666" s="34">
        <f>R666*Q666</f>
        <v/>
      </c>
      <c r="T666" s="34">
        <f>SUMIFS('[1]GİP VERİLERİ'!$C:$C,'[1]GİP VERİLERİ'!$B:$B,A666,'[1]GİP VERİLERİ'!$M:$M,"40X000000104782K",'[1]GİP VERİLERİ'!$G:$G,"SELL")</f>
        <v/>
      </c>
      <c r="U666" s="34">
        <f>IFERROR(W666/T666,0)</f>
        <v/>
      </c>
      <c r="V666" s="34">
        <f>IF(U666=0,0,U666-F666)</f>
        <v/>
      </c>
      <c r="W666" s="34">
        <f>SUMIFS('[1]GİP VERİLERİ'!$O:$O,'[1]GİP VERİLERİ'!$B:$B,A666,'[1]GİP VERİLERİ'!$M:$M,"40X000000104782K",'[1]GİP VERİLERİ'!$G:$G,"SELL")</f>
        <v/>
      </c>
      <c r="X666" s="34">
        <f>SUMIFS('[1]GİP VERİLERİ'!$C:$C,'[1]GİP VERİLERİ'!$B:$B,A666,'[1]GİP VERİLERİ'!$M:$M,"40X000000104782K",'[1]GİP VERİLERİ'!$G:$G,"BUY")</f>
        <v/>
      </c>
      <c r="Y666" s="34">
        <f>IFERROR(AA666/X666,0)</f>
        <v/>
      </c>
      <c r="Z666" s="34">
        <f>IF(Y666=0,0,F666-Y666)</f>
        <v/>
      </c>
      <c r="AA666" s="34">
        <f>SUMIFS('[1]GİP VERİLERİ'!$O:$O,'[1]GİP VERİLERİ'!$B:$B,A666,'[1]GİP VERİLERİ'!$M:$M,"40X000000104782K",'[1]GİP VERİLERİ'!$G:$G,"BUY")</f>
        <v/>
      </c>
      <c r="AB666" s="34">
        <f>'[1]GÖP VERİLERİ'!H667</f>
        <v/>
      </c>
      <c r="AC666" s="34">
        <f>'[1]GÖP VERİLERİ'!I667</f>
        <v/>
      </c>
      <c r="AD666" s="34">
        <f>IF(AB666&gt;AC666*1.05,AB666-AC666*1.05,IF(AB666&lt;AC666*0.95,AC666*0.95-AB666,0))</f>
        <v/>
      </c>
      <c r="AE666" s="34">
        <f>MAX(F666,G666,750)*0.05*AD666</f>
        <v/>
      </c>
      <c r="AF666" s="34">
        <f>'[1]GÖP VERİLERİ'!J667</f>
        <v/>
      </c>
      <c r="AG666" s="34">
        <f>IF(AB666&gt;AF666*1.05,AB666-AF666*1.05,IF(AB666&lt;AF666*0.95,AF666*0.95-AB666,0))</f>
        <v/>
      </c>
      <c r="AH666" s="34">
        <f>MAX(I666,J666,750)*0.05*AG666</f>
        <v/>
      </c>
      <c r="AI666">
        <f>'[1]GÖP VERİLERİ'!E667</f>
        <v/>
      </c>
      <c r="AJ666">
        <f>'[1]GÖP VERİLERİ'!F667</f>
        <v/>
      </c>
      <c r="AK666" s="34">
        <f>IF(AI666&gt;AJ666*1.05,AI666-AJ666*1.05,IF(AI666&lt;AJ666*0.95,AJ666*0.95-AI666,0))</f>
        <v/>
      </c>
      <c r="AL666" s="34">
        <f>MAX(F666,G666,750)*0.05*AK666</f>
        <v/>
      </c>
      <c r="AM666" s="39">
        <f>'[1]GÖP VERİLERİ'!G667</f>
        <v/>
      </c>
      <c r="AN666" s="34">
        <f>IF(AI666&gt;AM666*1.05,AI666-AM666*1.05,IF(AI666&lt;AM666*0.95,AM666*0.95-AI666,0))</f>
        <v/>
      </c>
      <c r="AO666" s="34">
        <f>MAX(F666,G666,750)*0.05*AN666</f>
        <v/>
      </c>
      <c r="AP666" s="34">
        <f>'[1]GÖP VERİLERİ'!B667</f>
        <v/>
      </c>
      <c r="AQ666" s="34">
        <f>'[1]GÖP VERİLERİ'!C667</f>
        <v/>
      </c>
      <c r="AR666" s="34">
        <f>IF(AP666&gt;AQ666*1.05,AP666-AQ666*1.05,IF(AP666&lt;AQ666*0.95,AQ666*0.95-AP666,0))</f>
        <v/>
      </c>
      <c r="AS666" s="34">
        <f>MAX(F666:G666,750)*0.05*AR666</f>
        <v/>
      </c>
      <c r="AT666">
        <f>'[1]GÖP VERİLERİ'!D667</f>
        <v/>
      </c>
      <c r="AU666" s="34">
        <f>IF(AP666&gt;AT666*1.05,AP666-AT666*1.05,IF(AP666&lt;AT666*0.95,AT666*0.95-AP666,0))</f>
        <v/>
      </c>
      <c r="AV666" s="34">
        <f>MAX(F666:G666,750)*0.05*AU666</f>
        <v/>
      </c>
      <c r="AW666" s="34">
        <f>AC666+AJ666+AQ666</f>
        <v/>
      </c>
      <c r="AX666" s="34">
        <f>AF666+AM666+AT666</f>
        <v/>
      </c>
      <c r="AY666" s="34">
        <f>AB666+AI666+AP666</f>
        <v/>
      </c>
      <c r="AZ666" s="34" t="n">
        <v>0</v>
      </c>
      <c r="BA666" s="34">
        <f>AD666+AK666+AR666</f>
        <v/>
      </c>
      <c r="BB666" s="34">
        <f>MAX(F666:G666,750)*0.05*BA666</f>
        <v/>
      </c>
      <c r="BC666" s="34">
        <f>AG666+AN666+AU666</f>
        <v/>
      </c>
      <c r="BD666" s="34">
        <f>MAX(F666:G666,750)*0.05*BC666</f>
        <v/>
      </c>
      <c r="BE666" s="34">
        <f>F666*AY666</f>
        <v/>
      </c>
      <c r="BF666" s="34">
        <f>K666-M666</f>
        <v/>
      </c>
      <c r="BG666" s="34">
        <f>P666-S666</f>
        <v/>
      </c>
      <c r="BH666" s="34">
        <f>W666-AA666</f>
        <v/>
      </c>
      <c r="BI666" s="34">
        <f>BF666+BG666+BL666-BN666</f>
        <v/>
      </c>
      <c r="BJ666" s="34">
        <f>ABS(BK666)</f>
        <v/>
      </c>
      <c r="BK666" s="34">
        <f>AY666-(J666-L666+N666-Q666)</f>
        <v/>
      </c>
      <c r="BL666" s="34">
        <f>IF(AND(BK666&gt;0,MIN($F666:$G666)&lt;150,$E666="Enerji Açığı"),-100*BK666*1.03,IF(AND(BK666&gt;0,MIN($F666:$G666)&lt;150,$E666="Enerji Fazlası"),-100*BK666*1.06,IF(AND(BK666&gt;0,MIN($F666:$G666)&gt;=150,$E666="Enerji Açığı"),BK666*MIN($F666:$G666)*0.97,IF(AND(BK666&gt;0,MIN($F666:$G666)&gt;=150,$E666="Enerji Fazlası"),BK666*MIN($F666:$G666)*0.94,IF(AND(BK666&lt;0,MAX($F666:$G666)=4500,$E666="Enerji Açığı"),4500*1.05*1.06*BK666,IF(AND(BK666&lt;0,MAX($F666:$G666)=4500,$E666="Enerji Fazlası"),4500*1.05*1.03*BK666,IF(AND(BK666&lt;0,$E666="Enerji Açığı"),MAX($F666,$G666,150)*BK666*1.06,IF(AND(BK666&lt;0,$E666="Enerji Fazlası"),MAX($F666,$G666,150)*BK666*1.03,IF(AND(BK666&lt;0,$E666="Dengede"),MAX($F666:$G666,150)*1.03*BK666,MIN($F666:$G666)*0.97*BK666)))))))))</f>
        <v/>
      </c>
      <c r="BM666" s="34">
        <f>BE666-BI666-BN666</f>
        <v/>
      </c>
      <c r="BN666" s="34">
        <f>BB666</f>
        <v/>
      </c>
      <c r="BO666" s="34">
        <f>BE666-BI666</f>
        <v/>
      </c>
      <c r="BP666" s="34">
        <f>IF(AY666=0,0,BO666/AY666)</f>
        <v/>
      </c>
      <c r="BQ666" s="34">
        <f>MAX((AY666+MAX((-J666+L666-N666+Q666),0)),(MAX((J666-L666+N666-Q666),0)))</f>
        <v/>
      </c>
      <c r="BR666" s="82">
        <f>IFERROR(ABS(BK666/BQ666),0)</f>
        <v/>
      </c>
      <c r="BS666" s="34">
        <f>IF(BR666&lt;=0.1,0,BK666/BR666*(BR666-0.1))</f>
        <v/>
      </c>
      <c r="BT666" s="34">
        <f>IF((BS666)&lt;0,MAX(F666:G666)*(BS666)*1.03,MIN(F666:G666)*(BS666)*0.97)</f>
        <v/>
      </c>
      <c r="BU666" s="34">
        <f>IF(BR666&gt;0.1,1,0)</f>
        <v/>
      </c>
      <c r="BV666" s="34">
        <f>BF666+BG666+BH666+BY666-CA666</f>
        <v/>
      </c>
      <c r="BW666" s="34">
        <f>ABS(BX666)</f>
        <v/>
      </c>
      <c r="BX666" s="34">
        <f>AY666-(J666-L666+N666-Q666+T666-X666)</f>
        <v/>
      </c>
      <c r="BY666" s="34">
        <f>IF(AND(BX666&gt;0,MIN($F666:$G666)&lt;150,$E666="Enerji Açığı"),-100*BX666*1.03,IF(AND(BX666&gt;0,MIN($F666:$G666)&lt;150,$E666="Enerji Fazlası"),-100*BX666*1.06,IF(AND(BX666&gt;0,MIN($F666:$G666)&gt;=150,$E666="Enerji Açığı"),BX666*MIN($F666:$G666)*0.97,IF(AND(BX666&gt;0,MIN($F666:$G666)&gt;=150,$E666="Enerji Fazlası"),BX666*MIN($F666:$G666)*0.94,IF(AND(BX666&lt;0,MAX($F666:$G666)=4500,$E666="Enerji Açığı"),4500*1.05*1.06*BX666,IF(AND(BX666&lt;0,MAX($F666:$G666)=4500,$E666="Enerji Fazlası"),4500*1.05*1.03*BX666,IF(AND(BX666&lt;0,$E666="Enerji Açığı"),MAX($F666,$G666,150)*BX666*1.06,IF(AND(BX666&lt;0,$E666="Enerji Fazlası"),MAX($F666,$G666,150)*BX666*1.03,IF(AND(BX666&lt;0,$E666="Dengede"),MAX($F666:$G666,150)*1.03*BX666,MIN($F666:$G666)*0.97*BX666)))))))))</f>
        <v/>
      </c>
      <c r="BZ666" s="34">
        <f>BE666-BV666-CA666</f>
        <v/>
      </c>
      <c r="CA666" s="34">
        <f>BD666</f>
        <v/>
      </c>
      <c r="CB666" s="33">
        <f>BE666-BV666</f>
        <v/>
      </c>
      <c r="CC666" s="34">
        <f>IF(AY666=0,0,CB666/AY666)</f>
        <v/>
      </c>
      <c r="CD666" s="34">
        <f>MAX((AY666+MAX((-J666+L666-N666+Q666-T666+X666),0)),(MAX((J666-L666+N666-Q666+T666-X666),0)))</f>
        <v/>
      </c>
      <c r="CE666" s="82">
        <f>IFERROR(ABS(BX666/CD666),0)</f>
        <v/>
      </c>
      <c r="CF666" s="34">
        <f>IF(CE666&lt;=0.1,0,BX666/CE666*(CE666-0.1))</f>
        <v/>
      </c>
      <c r="CG666" s="34">
        <f>IF((CF666)&lt;0,MAX(F666:G666)*(CF666)*1.03,MIN(F666:G666)*(CF666)*0.97)</f>
        <v/>
      </c>
      <c r="CH666" s="34">
        <f>IF(CE666&gt;0.1,1,0)</f>
        <v/>
      </c>
      <c r="CI666" s="34">
        <f>(F666*BX666)-BY666</f>
        <v/>
      </c>
      <c r="CJ666" s="34">
        <f>IF(AY666=0,0,CI666/AY666)</f>
        <v/>
      </c>
    </row>
    <row r="667">
      <c r="A667" s="29">
        <f>[1]FİYATLAR!A642</f>
        <v/>
      </c>
      <c r="B667" s="29">
        <f>[1]FİYATLAR!B666</f>
        <v/>
      </c>
      <c r="C667" s="35">
        <f>INT(A667)</f>
        <v/>
      </c>
      <c r="D667" s="36">
        <f>MONTH(A667)</f>
        <v/>
      </c>
      <c r="E667" s="147">
        <f>[1]FİYATLAR!G642</f>
        <v/>
      </c>
      <c r="F667" s="30">
        <f>[1]FİYATLAR!C642</f>
        <v/>
      </c>
      <c r="G667" s="30">
        <f>[1]FİYATLAR!E642</f>
        <v/>
      </c>
      <c r="H667" s="30">
        <f>[1]FİYATLAR!D642</f>
        <v/>
      </c>
      <c r="I667" s="30">
        <f>[1]FİYATLAR!F642</f>
        <v/>
      </c>
      <c r="J667" s="119" t="n">
        <v>0</v>
      </c>
      <c r="K667" s="34">
        <f>F667*J667</f>
        <v/>
      </c>
      <c r="L667" s="119" t="n"/>
      <c r="M667" s="34">
        <f>L667*F667</f>
        <v/>
      </c>
      <c r="N667" s="119" t="n"/>
      <c r="O667" s="34">
        <f>F667</f>
        <v/>
      </c>
      <c r="P667" s="34">
        <f>N667*O667</f>
        <v/>
      </c>
      <c r="Q667" s="117" t="n">
        <v>0</v>
      </c>
      <c r="R667" s="34">
        <f>F667</f>
        <v/>
      </c>
      <c r="S667" s="34">
        <f>R667*Q667</f>
        <v/>
      </c>
      <c r="T667" s="34">
        <f>SUMIFS('[1]GİP VERİLERİ'!$C:$C,'[1]GİP VERİLERİ'!$B:$B,A667,'[1]GİP VERİLERİ'!$M:$M,"40X000000104782K",'[1]GİP VERİLERİ'!$G:$G,"SELL")</f>
        <v/>
      </c>
      <c r="U667" s="34">
        <f>IFERROR(W667/T667,0)</f>
        <v/>
      </c>
      <c r="V667" s="34">
        <f>IF(U667=0,0,U667-F667)</f>
        <v/>
      </c>
      <c r="W667" s="34">
        <f>SUMIFS('[1]GİP VERİLERİ'!$O:$O,'[1]GİP VERİLERİ'!$B:$B,A667,'[1]GİP VERİLERİ'!$M:$M,"40X000000104782K",'[1]GİP VERİLERİ'!$G:$G,"SELL")</f>
        <v/>
      </c>
      <c r="X667" s="34">
        <f>SUMIFS('[1]GİP VERİLERİ'!$C:$C,'[1]GİP VERİLERİ'!$B:$B,A667,'[1]GİP VERİLERİ'!$M:$M,"40X000000104782K",'[1]GİP VERİLERİ'!$G:$G,"BUY")</f>
        <v/>
      </c>
      <c r="Y667" s="34">
        <f>IFERROR(AA667/X667,0)</f>
        <v/>
      </c>
      <c r="Z667" s="34">
        <f>IF(Y667=0,0,F667-Y667)</f>
        <v/>
      </c>
      <c r="AA667" s="34">
        <f>SUMIFS('[1]GİP VERİLERİ'!$O:$O,'[1]GİP VERİLERİ'!$B:$B,A667,'[1]GİP VERİLERİ'!$M:$M,"40X000000104782K",'[1]GİP VERİLERİ'!$G:$G,"BUY")</f>
        <v/>
      </c>
      <c r="AB667" s="34">
        <f>'[1]GÖP VERİLERİ'!H668</f>
        <v/>
      </c>
      <c r="AC667" s="34">
        <f>'[1]GÖP VERİLERİ'!I668</f>
        <v/>
      </c>
      <c r="AD667" s="34">
        <f>IF(AB667&gt;AC667*1.05,AB667-AC667*1.05,IF(AB667&lt;AC667*0.95,AC667*0.95-AB667,0))</f>
        <v/>
      </c>
      <c r="AE667" s="34">
        <f>MAX(F667,G667,750)*0.05*AD667</f>
        <v/>
      </c>
      <c r="AF667" s="34">
        <f>'[1]GÖP VERİLERİ'!J668</f>
        <v/>
      </c>
      <c r="AG667" s="34">
        <f>IF(AB667&gt;AF667*1.05,AB667-AF667*1.05,IF(AB667&lt;AF667*0.95,AF667*0.95-AB667,0))</f>
        <v/>
      </c>
      <c r="AH667" s="34">
        <f>MAX(I667,J667,750)*0.05*AG667</f>
        <v/>
      </c>
      <c r="AI667">
        <f>'[1]GÖP VERİLERİ'!E668</f>
        <v/>
      </c>
      <c r="AJ667">
        <f>'[1]GÖP VERİLERİ'!F668</f>
        <v/>
      </c>
      <c r="AK667" s="34">
        <f>IF(AI667&gt;AJ667*1.05,AI667-AJ667*1.05,IF(AI667&lt;AJ667*0.95,AJ667*0.95-AI667,0))</f>
        <v/>
      </c>
      <c r="AL667" s="34">
        <f>MAX(F667,G667,750)*0.05*AK667</f>
        <v/>
      </c>
      <c r="AM667" s="39">
        <f>'[1]GÖP VERİLERİ'!G668</f>
        <v/>
      </c>
      <c r="AN667" s="34">
        <f>IF(AI667&gt;AM667*1.05,AI667-AM667*1.05,IF(AI667&lt;AM667*0.95,AM667*0.95-AI667,0))</f>
        <v/>
      </c>
      <c r="AO667" s="34">
        <f>MAX(F667,G667,750)*0.05*AN667</f>
        <v/>
      </c>
      <c r="AP667" s="34">
        <f>'[1]GÖP VERİLERİ'!B668</f>
        <v/>
      </c>
      <c r="AQ667" s="34">
        <f>'[1]GÖP VERİLERİ'!C668</f>
        <v/>
      </c>
      <c r="AR667" s="34">
        <f>IF(AP667&gt;AQ667*1.05,AP667-AQ667*1.05,IF(AP667&lt;AQ667*0.95,AQ667*0.95-AP667,0))</f>
        <v/>
      </c>
      <c r="AS667" s="34">
        <f>MAX(F667:G667,750)*0.05*AR667</f>
        <v/>
      </c>
      <c r="AT667">
        <f>'[1]GÖP VERİLERİ'!D668</f>
        <v/>
      </c>
      <c r="AU667" s="34">
        <f>IF(AP667&gt;AT667*1.05,AP667-AT667*1.05,IF(AP667&lt;AT667*0.95,AT667*0.95-AP667,0))</f>
        <v/>
      </c>
      <c r="AV667" s="34">
        <f>MAX(F667:G667,750)*0.05*AU667</f>
        <v/>
      </c>
      <c r="AW667" s="34">
        <f>AC667+AJ667+AQ667</f>
        <v/>
      </c>
      <c r="AX667" s="34">
        <f>AF667+AM667+AT667</f>
        <v/>
      </c>
      <c r="AY667" s="34">
        <f>AB667+AI667+AP667</f>
        <v/>
      </c>
      <c r="AZ667" s="34" t="n">
        <v>0</v>
      </c>
      <c r="BA667" s="34">
        <f>AD667+AK667+AR667</f>
        <v/>
      </c>
      <c r="BB667" s="34">
        <f>MAX(F667:G667,750)*0.05*BA667</f>
        <v/>
      </c>
      <c r="BC667" s="34">
        <f>AG667+AN667+AU667</f>
        <v/>
      </c>
      <c r="BD667" s="34">
        <f>MAX(F667:G667,750)*0.05*BC667</f>
        <v/>
      </c>
      <c r="BE667" s="34">
        <f>F667*AY667</f>
        <v/>
      </c>
      <c r="BF667" s="34">
        <f>K667-M667</f>
        <v/>
      </c>
      <c r="BG667" s="34">
        <f>P667-S667</f>
        <v/>
      </c>
      <c r="BH667" s="34">
        <f>W667-AA667</f>
        <v/>
      </c>
      <c r="BI667" s="34">
        <f>BF667+BG667+BL667-BN667</f>
        <v/>
      </c>
      <c r="BJ667" s="34">
        <f>ABS(BK667)</f>
        <v/>
      </c>
      <c r="BK667" s="34">
        <f>AY667-(J667-L667+N667-Q667)</f>
        <v/>
      </c>
      <c r="BL667" s="34">
        <f>IF(AND(BK667&gt;0,MIN($F667:$G667)&lt;150,$E667="Enerji Açığı"),-100*BK667*1.03,IF(AND(BK667&gt;0,MIN($F667:$G667)&lt;150,$E667="Enerji Fazlası"),-100*BK667*1.06,IF(AND(BK667&gt;0,MIN($F667:$G667)&gt;=150,$E667="Enerji Açığı"),BK667*MIN($F667:$G667)*0.97,IF(AND(BK667&gt;0,MIN($F667:$G667)&gt;=150,$E667="Enerji Fazlası"),BK667*MIN($F667:$G667)*0.94,IF(AND(BK667&lt;0,MAX($F667:$G667)=4500,$E667="Enerji Açığı"),4500*1.05*1.06*BK667,IF(AND(BK667&lt;0,MAX($F667:$G667)=4500,$E667="Enerji Fazlası"),4500*1.05*1.03*BK667,IF(AND(BK667&lt;0,$E667="Enerji Açığı"),MAX($F667,$G667,150)*BK667*1.06,IF(AND(BK667&lt;0,$E667="Enerji Fazlası"),MAX($F667,$G667,150)*BK667*1.03,IF(AND(BK667&lt;0,$E667="Dengede"),MAX($F667:$G667,150)*1.03*BK667,MIN($F667:$G667)*0.97*BK667)))))))))</f>
        <v/>
      </c>
      <c r="BM667" s="34">
        <f>BE667-BI667-BN667</f>
        <v/>
      </c>
      <c r="BN667" s="34">
        <f>BB667</f>
        <v/>
      </c>
      <c r="BO667" s="34">
        <f>BE667-BI667</f>
        <v/>
      </c>
      <c r="BP667" s="34">
        <f>IF(AY667=0,0,BO667/AY667)</f>
        <v/>
      </c>
      <c r="BQ667" s="34">
        <f>MAX((AY667+MAX((-J667+L667-N667+Q667),0)),(MAX((J667-L667+N667-Q667),0)))</f>
        <v/>
      </c>
      <c r="BR667" s="82">
        <f>IFERROR(ABS(BK667/BQ667),0)</f>
        <v/>
      </c>
      <c r="BS667" s="34">
        <f>IF(BR667&lt;=0.1,0,BK667/BR667*(BR667-0.1))</f>
        <v/>
      </c>
      <c r="BT667" s="34">
        <f>IF((BS667)&lt;0,MAX(F667:G667)*(BS667)*1.03,MIN(F667:G667)*(BS667)*0.97)</f>
        <v/>
      </c>
      <c r="BU667" s="34">
        <f>IF(BR667&gt;0.1,1,0)</f>
        <v/>
      </c>
      <c r="BV667" s="34">
        <f>BF667+BG667+BH667+BY667-CA667</f>
        <v/>
      </c>
      <c r="BW667" s="34">
        <f>ABS(BX667)</f>
        <v/>
      </c>
      <c r="BX667" s="34">
        <f>AY667-(J667-L667+N667-Q667+T667-X667)</f>
        <v/>
      </c>
      <c r="BY667" s="34">
        <f>IF(AND(BX667&gt;0,MIN($F667:$G667)&lt;150,$E667="Enerji Açığı"),-100*BX667*1.03,IF(AND(BX667&gt;0,MIN($F667:$G667)&lt;150,$E667="Enerji Fazlası"),-100*BX667*1.06,IF(AND(BX667&gt;0,MIN($F667:$G667)&gt;=150,$E667="Enerji Açığı"),BX667*MIN($F667:$G667)*0.97,IF(AND(BX667&gt;0,MIN($F667:$G667)&gt;=150,$E667="Enerji Fazlası"),BX667*MIN($F667:$G667)*0.94,IF(AND(BX667&lt;0,MAX($F667:$G667)=4500,$E667="Enerji Açığı"),4500*1.05*1.06*BX667,IF(AND(BX667&lt;0,MAX($F667:$G667)=4500,$E667="Enerji Fazlası"),4500*1.05*1.03*BX667,IF(AND(BX667&lt;0,$E667="Enerji Açığı"),MAX($F667,$G667,150)*BX667*1.06,IF(AND(BX667&lt;0,$E667="Enerji Fazlası"),MAX($F667,$G667,150)*BX667*1.03,IF(AND(BX667&lt;0,$E667="Dengede"),MAX($F667:$G667,150)*1.03*BX667,MIN($F667:$G667)*0.97*BX667)))))))))</f>
        <v/>
      </c>
      <c r="BZ667" s="34">
        <f>BE667-BV667-CA667</f>
        <v/>
      </c>
      <c r="CA667" s="34">
        <f>BD667</f>
        <v/>
      </c>
      <c r="CB667" s="33">
        <f>BE667-BV667</f>
        <v/>
      </c>
      <c r="CC667" s="34">
        <f>IF(AY667=0,0,CB667/AY667)</f>
        <v/>
      </c>
      <c r="CD667" s="34">
        <f>MAX((AY667+MAX((-J667+L667-N667+Q667-T667+X667),0)),(MAX((J667-L667+N667-Q667+T667-X667),0)))</f>
        <v/>
      </c>
      <c r="CE667" s="82">
        <f>IFERROR(ABS(BX667/CD667),0)</f>
        <v/>
      </c>
      <c r="CF667" s="34">
        <f>IF(CE667&lt;=0.1,0,BX667/CE667*(CE667-0.1))</f>
        <v/>
      </c>
      <c r="CG667" s="34">
        <f>IF((CF667)&lt;0,MAX(F667:G667)*(CF667)*1.03,MIN(F667:G667)*(CF667)*0.97)</f>
        <v/>
      </c>
      <c r="CH667" s="34">
        <f>IF(CE667&gt;0.1,1,0)</f>
        <v/>
      </c>
      <c r="CI667" s="34">
        <f>(F667*BX667)-BY667</f>
        <v/>
      </c>
      <c r="CJ667" s="34">
        <f>IF(AY667=0,0,CI667/AY667)</f>
        <v/>
      </c>
    </row>
    <row r="668">
      <c r="A668" s="29">
        <f>[1]FİYATLAR!A643</f>
        <v/>
      </c>
      <c r="B668" s="29">
        <f>[1]FİYATLAR!B667</f>
        <v/>
      </c>
      <c r="C668" s="35">
        <f>INT(A668)</f>
        <v/>
      </c>
      <c r="D668" s="36">
        <f>MONTH(A668)</f>
        <v/>
      </c>
      <c r="E668" s="147">
        <f>[1]FİYATLAR!G643</f>
        <v/>
      </c>
      <c r="F668" s="30">
        <f>[1]FİYATLAR!C643</f>
        <v/>
      </c>
      <c r="G668" s="30">
        <f>[1]FİYATLAR!E643</f>
        <v/>
      </c>
      <c r="H668" s="30">
        <f>[1]FİYATLAR!D643</f>
        <v/>
      </c>
      <c r="I668" s="30">
        <f>[1]FİYATLAR!F643</f>
        <v/>
      </c>
      <c r="J668" s="119" t="n">
        <v>0</v>
      </c>
      <c r="K668" s="34">
        <f>F668*J668</f>
        <v/>
      </c>
      <c r="L668" s="119" t="n"/>
      <c r="M668" s="34">
        <f>L668*F668</f>
        <v/>
      </c>
      <c r="N668" s="119" t="n"/>
      <c r="O668" s="34">
        <f>F668</f>
        <v/>
      </c>
      <c r="P668" s="34">
        <f>N668*O668</f>
        <v/>
      </c>
      <c r="Q668" s="117" t="n">
        <v>0</v>
      </c>
      <c r="R668" s="34">
        <f>F668</f>
        <v/>
      </c>
      <c r="S668" s="34">
        <f>R668*Q668</f>
        <v/>
      </c>
      <c r="T668" s="34">
        <f>SUMIFS('[1]GİP VERİLERİ'!$C:$C,'[1]GİP VERİLERİ'!$B:$B,A668,'[1]GİP VERİLERİ'!$M:$M,"40X000000104782K",'[1]GİP VERİLERİ'!$G:$G,"SELL")</f>
        <v/>
      </c>
      <c r="U668" s="34">
        <f>IFERROR(W668/T668,0)</f>
        <v/>
      </c>
      <c r="V668" s="34">
        <f>IF(U668=0,0,U668-F668)</f>
        <v/>
      </c>
      <c r="W668" s="34">
        <f>SUMIFS('[1]GİP VERİLERİ'!$O:$O,'[1]GİP VERİLERİ'!$B:$B,A668,'[1]GİP VERİLERİ'!$M:$M,"40X000000104782K",'[1]GİP VERİLERİ'!$G:$G,"SELL")</f>
        <v/>
      </c>
      <c r="X668" s="34">
        <f>SUMIFS('[1]GİP VERİLERİ'!$C:$C,'[1]GİP VERİLERİ'!$B:$B,A668,'[1]GİP VERİLERİ'!$M:$M,"40X000000104782K",'[1]GİP VERİLERİ'!$G:$G,"BUY")</f>
        <v/>
      </c>
      <c r="Y668" s="34">
        <f>IFERROR(AA668/X668,0)</f>
        <v/>
      </c>
      <c r="Z668" s="34">
        <f>IF(Y668=0,0,F668-Y668)</f>
        <v/>
      </c>
      <c r="AA668" s="34">
        <f>SUMIFS('[1]GİP VERİLERİ'!$O:$O,'[1]GİP VERİLERİ'!$B:$B,A668,'[1]GİP VERİLERİ'!$M:$M,"40X000000104782K",'[1]GİP VERİLERİ'!$G:$G,"BUY")</f>
        <v/>
      </c>
      <c r="AB668" s="34">
        <f>'[1]GÖP VERİLERİ'!H669</f>
        <v/>
      </c>
      <c r="AC668" s="34">
        <f>'[1]GÖP VERİLERİ'!I669</f>
        <v/>
      </c>
      <c r="AD668" s="34">
        <f>IF(AB668&gt;AC668*1.05,AB668-AC668*1.05,IF(AB668&lt;AC668*0.95,AC668*0.95-AB668,0))</f>
        <v/>
      </c>
      <c r="AE668" s="34">
        <f>MAX(F668,G668,750)*0.05*AD668</f>
        <v/>
      </c>
      <c r="AF668" s="34">
        <f>'[1]GÖP VERİLERİ'!J669</f>
        <v/>
      </c>
      <c r="AG668" s="34">
        <f>IF(AB668&gt;AF668*1.05,AB668-AF668*1.05,IF(AB668&lt;AF668*0.95,AF668*0.95-AB668,0))</f>
        <v/>
      </c>
      <c r="AH668" s="34">
        <f>MAX(I668,J668,750)*0.05*AG668</f>
        <v/>
      </c>
      <c r="AI668">
        <f>'[1]GÖP VERİLERİ'!E669</f>
        <v/>
      </c>
      <c r="AJ668">
        <f>'[1]GÖP VERİLERİ'!F669</f>
        <v/>
      </c>
      <c r="AK668" s="34">
        <f>IF(AI668&gt;AJ668*1.05,AI668-AJ668*1.05,IF(AI668&lt;AJ668*0.95,AJ668*0.95-AI668,0))</f>
        <v/>
      </c>
      <c r="AL668" s="34">
        <f>MAX(F668,G668,750)*0.05*AK668</f>
        <v/>
      </c>
      <c r="AM668" s="39">
        <f>'[1]GÖP VERİLERİ'!G669</f>
        <v/>
      </c>
      <c r="AN668" s="34">
        <f>IF(AI668&gt;AM668*1.05,AI668-AM668*1.05,IF(AI668&lt;AM668*0.95,AM668*0.95-AI668,0))</f>
        <v/>
      </c>
      <c r="AO668" s="34">
        <f>MAX(F668,G668,750)*0.05*AN668</f>
        <v/>
      </c>
      <c r="AP668" s="34">
        <f>'[1]GÖP VERİLERİ'!B669</f>
        <v/>
      </c>
      <c r="AQ668" s="34">
        <f>'[1]GÖP VERİLERİ'!C669</f>
        <v/>
      </c>
      <c r="AR668" s="34">
        <f>IF(AP668&gt;AQ668*1.05,AP668-AQ668*1.05,IF(AP668&lt;AQ668*0.95,AQ668*0.95-AP668,0))</f>
        <v/>
      </c>
      <c r="AS668" s="34">
        <f>MAX(F668:G668,750)*0.05*AR668</f>
        <v/>
      </c>
      <c r="AT668">
        <f>'[1]GÖP VERİLERİ'!D669</f>
        <v/>
      </c>
      <c r="AU668" s="34">
        <f>IF(AP668&gt;AT668*1.05,AP668-AT668*1.05,IF(AP668&lt;AT668*0.95,AT668*0.95-AP668,0))</f>
        <v/>
      </c>
      <c r="AV668" s="34">
        <f>MAX(F668:G668,750)*0.05*AU668</f>
        <v/>
      </c>
      <c r="AW668" s="34">
        <f>AC668+AJ668+AQ668</f>
        <v/>
      </c>
      <c r="AX668" s="34">
        <f>AF668+AM668+AT668</f>
        <v/>
      </c>
      <c r="AY668" s="34">
        <f>AB668+AI668+AP668</f>
        <v/>
      </c>
      <c r="AZ668" s="34" t="n">
        <v>0</v>
      </c>
      <c r="BA668" s="34">
        <f>AD668+AK668+AR668</f>
        <v/>
      </c>
      <c r="BB668" s="34">
        <f>MAX(F668:G668,750)*0.05*BA668</f>
        <v/>
      </c>
      <c r="BC668" s="34">
        <f>AG668+AN668+AU668</f>
        <v/>
      </c>
      <c r="BD668" s="34">
        <f>MAX(F668:G668,750)*0.05*BC668</f>
        <v/>
      </c>
      <c r="BE668" s="34">
        <f>F668*AY668</f>
        <v/>
      </c>
      <c r="BF668" s="34">
        <f>K668-M668</f>
        <v/>
      </c>
      <c r="BG668" s="34">
        <f>P668-S668</f>
        <v/>
      </c>
      <c r="BH668" s="34">
        <f>W668-AA668</f>
        <v/>
      </c>
      <c r="BI668" s="34">
        <f>BF668+BG668+BL668-BN668</f>
        <v/>
      </c>
      <c r="BJ668" s="34">
        <f>ABS(BK668)</f>
        <v/>
      </c>
      <c r="BK668" s="34">
        <f>AY668-(J668-L668+N668-Q668)</f>
        <v/>
      </c>
      <c r="BL668" s="34">
        <f>IF(AND(BK668&gt;0,MIN($F668:$G668)&lt;150,$E668="Enerji Açığı"),-100*BK668*1.03,IF(AND(BK668&gt;0,MIN($F668:$G668)&lt;150,$E668="Enerji Fazlası"),-100*BK668*1.06,IF(AND(BK668&gt;0,MIN($F668:$G668)&gt;=150,$E668="Enerji Açığı"),BK668*MIN($F668:$G668)*0.97,IF(AND(BK668&gt;0,MIN($F668:$G668)&gt;=150,$E668="Enerji Fazlası"),BK668*MIN($F668:$G668)*0.94,IF(AND(BK668&lt;0,MAX($F668:$G668)=4500,$E668="Enerji Açığı"),4500*1.05*1.06*BK668,IF(AND(BK668&lt;0,MAX($F668:$G668)=4500,$E668="Enerji Fazlası"),4500*1.05*1.03*BK668,IF(AND(BK668&lt;0,$E668="Enerji Açığı"),MAX($F668,$G668,150)*BK668*1.06,IF(AND(BK668&lt;0,$E668="Enerji Fazlası"),MAX($F668,$G668,150)*BK668*1.03,IF(AND(BK668&lt;0,$E668="Dengede"),MAX($F668:$G668,150)*1.03*BK668,MIN($F668:$G668)*0.97*BK668)))))))))</f>
        <v/>
      </c>
      <c r="BM668" s="34">
        <f>BE668-BI668-BN668</f>
        <v/>
      </c>
      <c r="BN668" s="34">
        <f>BB668</f>
        <v/>
      </c>
      <c r="BO668" s="34">
        <f>BE668-BI668</f>
        <v/>
      </c>
      <c r="BP668" s="34">
        <f>IF(AY668=0,0,BO668/AY668)</f>
        <v/>
      </c>
      <c r="BQ668" s="34">
        <f>MAX((AY668+MAX((-J668+L668-N668+Q668),0)),(MAX((J668-L668+N668-Q668),0)))</f>
        <v/>
      </c>
      <c r="BR668" s="82">
        <f>IFERROR(ABS(BK668/BQ668),0)</f>
        <v/>
      </c>
      <c r="BS668" s="34">
        <f>IF(BR668&lt;=0.1,0,BK668/BR668*(BR668-0.1))</f>
        <v/>
      </c>
      <c r="BT668" s="34">
        <f>IF((BS668)&lt;0,MAX(F668:G668)*(BS668)*1.03,MIN(F668:G668)*(BS668)*0.97)</f>
        <v/>
      </c>
      <c r="BU668" s="34">
        <f>IF(BR668&gt;0.1,1,0)</f>
        <v/>
      </c>
      <c r="BV668" s="34">
        <f>BF668+BG668+BH668+BY668-CA668</f>
        <v/>
      </c>
      <c r="BW668" s="34">
        <f>ABS(BX668)</f>
        <v/>
      </c>
      <c r="BX668" s="34">
        <f>AY668-(J668-L668+N668-Q668+T668-X668)</f>
        <v/>
      </c>
      <c r="BY668" s="34">
        <f>IF(AND(BX668&gt;0,MIN($F668:$G668)&lt;150,$E668="Enerji Açığı"),-100*BX668*1.03,IF(AND(BX668&gt;0,MIN($F668:$G668)&lt;150,$E668="Enerji Fazlası"),-100*BX668*1.06,IF(AND(BX668&gt;0,MIN($F668:$G668)&gt;=150,$E668="Enerji Açığı"),BX668*MIN($F668:$G668)*0.97,IF(AND(BX668&gt;0,MIN($F668:$G668)&gt;=150,$E668="Enerji Fazlası"),BX668*MIN($F668:$G668)*0.94,IF(AND(BX668&lt;0,MAX($F668:$G668)=4500,$E668="Enerji Açığı"),4500*1.05*1.06*BX668,IF(AND(BX668&lt;0,MAX($F668:$G668)=4500,$E668="Enerji Fazlası"),4500*1.05*1.03*BX668,IF(AND(BX668&lt;0,$E668="Enerji Açığı"),MAX($F668,$G668,150)*BX668*1.06,IF(AND(BX668&lt;0,$E668="Enerji Fazlası"),MAX($F668,$G668,150)*BX668*1.03,IF(AND(BX668&lt;0,$E668="Dengede"),MAX($F668:$G668,150)*1.03*BX668,MIN($F668:$G668)*0.97*BX668)))))))))</f>
        <v/>
      </c>
      <c r="BZ668" s="34">
        <f>BE668-BV668-CA668</f>
        <v/>
      </c>
      <c r="CA668" s="34">
        <f>BD668</f>
        <v/>
      </c>
      <c r="CB668" s="33">
        <f>BE668-BV668</f>
        <v/>
      </c>
      <c r="CC668" s="34">
        <f>IF(AY668=0,0,CB668/AY668)</f>
        <v/>
      </c>
      <c r="CD668" s="34">
        <f>MAX((AY668+MAX((-J668+L668-N668+Q668-T668+X668),0)),(MAX((J668-L668+N668-Q668+T668-X668),0)))</f>
        <v/>
      </c>
      <c r="CE668" s="82">
        <f>IFERROR(ABS(BX668/CD668),0)</f>
        <v/>
      </c>
      <c r="CF668" s="34">
        <f>IF(CE668&lt;=0.1,0,BX668/CE668*(CE668-0.1))</f>
        <v/>
      </c>
      <c r="CG668" s="34">
        <f>IF((CF668)&lt;0,MAX(F668:G668)*(CF668)*1.03,MIN(F668:G668)*(CF668)*0.97)</f>
        <v/>
      </c>
      <c r="CH668" s="34">
        <f>IF(CE668&gt;0.1,1,0)</f>
        <v/>
      </c>
      <c r="CI668" s="34">
        <f>(F668*BX668)-BY668</f>
        <v/>
      </c>
      <c r="CJ668" s="34">
        <f>IF(AY668=0,0,CI668/AY668)</f>
        <v/>
      </c>
    </row>
    <row r="669">
      <c r="A669" s="29">
        <f>[1]FİYATLAR!A644</f>
        <v/>
      </c>
      <c r="B669" s="29">
        <f>[1]FİYATLAR!B668</f>
        <v/>
      </c>
      <c r="C669" s="35">
        <f>INT(A669)</f>
        <v/>
      </c>
      <c r="D669" s="36">
        <f>MONTH(A669)</f>
        <v/>
      </c>
      <c r="E669" s="147">
        <f>[1]FİYATLAR!G644</f>
        <v/>
      </c>
      <c r="F669" s="30">
        <f>[1]FİYATLAR!C644</f>
        <v/>
      </c>
      <c r="G669" s="30">
        <f>[1]FİYATLAR!E644</f>
        <v/>
      </c>
      <c r="H669" s="30">
        <f>[1]FİYATLAR!D644</f>
        <v/>
      </c>
      <c r="I669" s="30">
        <f>[1]FİYATLAR!F644</f>
        <v/>
      </c>
      <c r="J669" s="119" t="n">
        <v>0</v>
      </c>
      <c r="K669" s="34">
        <f>F669*J669</f>
        <v/>
      </c>
      <c r="L669" s="119" t="n"/>
      <c r="M669" s="34">
        <f>L669*F669</f>
        <v/>
      </c>
      <c r="N669" s="119" t="n"/>
      <c r="O669" s="34">
        <f>F669</f>
        <v/>
      </c>
      <c r="P669" s="34">
        <f>N669*O669</f>
        <v/>
      </c>
      <c r="Q669" s="117" t="n">
        <v>0</v>
      </c>
      <c r="R669" s="34">
        <f>F669</f>
        <v/>
      </c>
      <c r="S669" s="34">
        <f>R669*Q669</f>
        <v/>
      </c>
      <c r="T669" s="34">
        <f>SUMIFS('[1]GİP VERİLERİ'!$C:$C,'[1]GİP VERİLERİ'!$B:$B,A669,'[1]GİP VERİLERİ'!$M:$M,"40X000000104782K",'[1]GİP VERİLERİ'!$G:$G,"SELL")</f>
        <v/>
      </c>
      <c r="U669" s="34">
        <f>IFERROR(W669/T669,0)</f>
        <v/>
      </c>
      <c r="V669" s="34">
        <f>IF(U669=0,0,U669-F669)</f>
        <v/>
      </c>
      <c r="W669" s="34">
        <f>SUMIFS('[1]GİP VERİLERİ'!$O:$O,'[1]GİP VERİLERİ'!$B:$B,A669,'[1]GİP VERİLERİ'!$M:$M,"40X000000104782K",'[1]GİP VERİLERİ'!$G:$G,"SELL")</f>
        <v/>
      </c>
      <c r="X669" s="34">
        <f>SUMIFS('[1]GİP VERİLERİ'!$C:$C,'[1]GİP VERİLERİ'!$B:$B,A669,'[1]GİP VERİLERİ'!$M:$M,"40X000000104782K",'[1]GİP VERİLERİ'!$G:$G,"BUY")</f>
        <v/>
      </c>
      <c r="Y669" s="34">
        <f>IFERROR(AA669/X669,0)</f>
        <v/>
      </c>
      <c r="Z669" s="34">
        <f>IF(Y669=0,0,F669-Y669)</f>
        <v/>
      </c>
      <c r="AA669" s="34">
        <f>SUMIFS('[1]GİP VERİLERİ'!$O:$O,'[1]GİP VERİLERİ'!$B:$B,A669,'[1]GİP VERİLERİ'!$M:$M,"40X000000104782K",'[1]GİP VERİLERİ'!$G:$G,"BUY")</f>
        <v/>
      </c>
      <c r="AB669" s="34">
        <f>'[1]GÖP VERİLERİ'!H670</f>
        <v/>
      </c>
      <c r="AC669" s="34">
        <f>'[1]GÖP VERİLERİ'!I670</f>
        <v/>
      </c>
      <c r="AD669" s="34">
        <f>IF(AB669&gt;AC669*1.05,AB669-AC669*1.05,IF(AB669&lt;AC669*0.95,AC669*0.95-AB669,0))</f>
        <v/>
      </c>
      <c r="AE669" s="34">
        <f>MAX(F669,G669,750)*0.05*AD669</f>
        <v/>
      </c>
      <c r="AF669" s="34">
        <f>'[1]GÖP VERİLERİ'!J670</f>
        <v/>
      </c>
      <c r="AG669" s="34">
        <f>IF(AB669&gt;AF669*1.05,AB669-AF669*1.05,IF(AB669&lt;AF669*0.95,AF669*0.95-AB669,0))</f>
        <v/>
      </c>
      <c r="AH669" s="34">
        <f>MAX(I669,J669,750)*0.05*AG669</f>
        <v/>
      </c>
      <c r="AI669">
        <f>'[1]GÖP VERİLERİ'!E670</f>
        <v/>
      </c>
      <c r="AJ669">
        <f>'[1]GÖP VERİLERİ'!F670</f>
        <v/>
      </c>
      <c r="AK669" s="34">
        <f>IF(AI669&gt;AJ669*1.05,AI669-AJ669*1.05,IF(AI669&lt;AJ669*0.95,AJ669*0.95-AI669,0))</f>
        <v/>
      </c>
      <c r="AL669" s="34">
        <f>MAX(F669,G669,750)*0.05*AK669</f>
        <v/>
      </c>
      <c r="AM669" s="39">
        <f>'[1]GÖP VERİLERİ'!G670</f>
        <v/>
      </c>
      <c r="AN669" s="34">
        <f>IF(AI669&gt;AM669*1.05,AI669-AM669*1.05,IF(AI669&lt;AM669*0.95,AM669*0.95-AI669,0))</f>
        <v/>
      </c>
      <c r="AO669" s="34">
        <f>MAX(F669,G669,750)*0.05*AN669</f>
        <v/>
      </c>
      <c r="AP669" s="34">
        <f>'[1]GÖP VERİLERİ'!B670</f>
        <v/>
      </c>
      <c r="AQ669" s="34">
        <f>'[1]GÖP VERİLERİ'!C670</f>
        <v/>
      </c>
      <c r="AR669" s="34">
        <f>IF(AP669&gt;AQ669*1.05,AP669-AQ669*1.05,IF(AP669&lt;AQ669*0.95,AQ669*0.95-AP669,0))</f>
        <v/>
      </c>
      <c r="AS669" s="34">
        <f>MAX(F669:G669,750)*0.05*AR669</f>
        <v/>
      </c>
      <c r="AT669">
        <f>'[1]GÖP VERİLERİ'!D670</f>
        <v/>
      </c>
      <c r="AU669" s="34">
        <f>IF(AP669&gt;AT669*1.05,AP669-AT669*1.05,IF(AP669&lt;AT669*0.95,AT669*0.95-AP669,0))</f>
        <v/>
      </c>
      <c r="AV669" s="34">
        <f>MAX(F669:G669,750)*0.05*AU669</f>
        <v/>
      </c>
      <c r="AW669" s="34">
        <f>AC669+AJ669+AQ669</f>
        <v/>
      </c>
      <c r="AX669" s="34">
        <f>AF669+AM669+AT669</f>
        <v/>
      </c>
      <c r="AY669" s="34">
        <f>AB669+AI669+AP669</f>
        <v/>
      </c>
      <c r="AZ669" s="34" t="n">
        <v>0</v>
      </c>
      <c r="BA669" s="34">
        <f>AD669+AK669+AR669</f>
        <v/>
      </c>
      <c r="BB669" s="34">
        <f>MAX(F669:G669,750)*0.05*BA669</f>
        <v/>
      </c>
      <c r="BC669" s="34">
        <f>AG669+AN669+AU669</f>
        <v/>
      </c>
      <c r="BD669" s="34">
        <f>MAX(F669:G669,750)*0.05*BC669</f>
        <v/>
      </c>
      <c r="BE669" s="34">
        <f>F669*AY669</f>
        <v/>
      </c>
      <c r="BF669" s="34">
        <f>K669-M669</f>
        <v/>
      </c>
      <c r="BG669" s="34">
        <f>P669-S669</f>
        <v/>
      </c>
      <c r="BH669" s="34">
        <f>W669-AA669</f>
        <v/>
      </c>
      <c r="BI669" s="34">
        <f>BF669+BG669+BL669-BN669</f>
        <v/>
      </c>
      <c r="BJ669" s="34">
        <f>ABS(BK669)</f>
        <v/>
      </c>
      <c r="BK669" s="34">
        <f>AY669-(J669-L669+N669-Q669)</f>
        <v/>
      </c>
      <c r="BL669" s="34">
        <f>IF(AND(BK669&gt;0,MIN($F669:$G669)&lt;150,$E669="Enerji Açığı"),-100*BK669*1.03,IF(AND(BK669&gt;0,MIN($F669:$G669)&lt;150,$E669="Enerji Fazlası"),-100*BK669*1.06,IF(AND(BK669&gt;0,MIN($F669:$G669)&gt;=150,$E669="Enerji Açığı"),BK669*MIN($F669:$G669)*0.97,IF(AND(BK669&gt;0,MIN($F669:$G669)&gt;=150,$E669="Enerji Fazlası"),BK669*MIN($F669:$G669)*0.94,IF(AND(BK669&lt;0,MAX($F669:$G669)=4500,$E669="Enerji Açığı"),4500*1.05*1.06*BK669,IF(AND(BK669&lt;0,MAX($F669:$G669)=4500,$E669="Enerji Fazlası"),4500*1.05*1.03*BK669,IF(AND(BK669&lt;0,$E669="Enerji Açığı"),MAX($F669,$G669,150)*BK669*1.06,IF(AND(BK669&lt;0,$E669="Enerji Fazlası"),MAX($F669,$G669,150)*BK669*1.03,IF(AND(BK669&lt;0,$E669="Dengede"),MAX($F669:$G669,150)*1.03*BK669,MIN($F669:$G669)*0.97*BK669)))))))))</f>
        <v/>
      </c>
      <c r="BM669" s="34">
        <f>BE669-BI669-BN669</f>
        <v/>
      </c>
      <c r="BN669" s="34">
        <f>BB669</f>
        <v/>
      </c>
      <c r="BO669" s="34">
        <f>BE669-BI669</f>
        <v/>
      </c>
      <c r="BP669" s="34">
        <f>IF(AY669=0,0,BO669/AY669)</f>
        <v/>
      </c>
      <c r="BQ669" s="34">
        <f>MAX((AY669+MAX((-J669+L669-N669+Q669),0)),(MAX((J669-L669+N669-Q669),0)))</f>
        <v/>
      </c>
      <c r="BR669" s="82">
        <f>IFERROR(ABS(BK669/BQ669),0)</f>
        <v/>
      </c>
      <c r="BS669" s="34">
        <f>IF(BR669&lt;=0.1,0,BK669/BR669*(BR669-0.1))</f>
        <v/>
      </c>
      <c r="BT669" s="34">
        <f>IF((BS669)&lt;0,MAX(F669:G669)*(BS669)*1.03,MIN(F669:G669)*(BS669)*0.97)</f>
        <v/>
      </c>
      <c r="BU669" s="34">
        <f>IF(BR669&gt;0.1,1,0)</f>
        <v/>
      </c>
      <c r="BV669" s="34">
        <f>BF669+BG669+BH669+BY669-CA669</f>
        <v/>
      </c>
      <c r="BW669" s="34">
        <f>ABS(BX669)</f>
        <v/>
      </c>
      <c r="BX669" s="34">
        <f>AY669-(J669-L669+N669-Q669+T669-X669)</f>
        <v/>
      </c>
      <c r="BY669" s="34">
        <f>IF(AND(BX669&gt;0,MIN($F669:$G669)&lt;150,$E669="Enerji Açığı"),-100*BX669*1.03,IF(AND(BX669&gt;0,MIN($F669:$G669)&lt;150,$E669="Enerji Fazlası"),-100*BX669*1.06,IF(AND(BX669&gt;0,MIN($F669:$G669)&gt;=150,$E669="Enerji Açığı"),BX669*MIN($F669:$G669)*0.97,IF(AND(BX669&gt;0,MIN($F669:$G669)&gt;=150,$E669="Enerji Fazlası"),BX669*MIN($F669:$G669)*0.94,IF(AND(BX669&lt;0,MAX($F669:$G669)=4500,$E669="Enerji Açığı"),4500*1.05*1.06*BX669,IF(AND(BX669&lt;0,MAX($F669:$G669)=4500,$E669="Enerji Fazlası"),4500*1.05*1.03*BX669,IF(AND(BX669&lt;0,$E669="Enerji Açığı"),MAX($F669,$G669,150)*BX669*1.06,IF(AND(BX669&lt;0,$E669="Enerji Fazlası"),MAX($F669,$G669,150)*BX669*1.03,IF(AND(BX669&lt;0,$E669="Dengede"),MAX($F669:$G669,150)*1.03*BX669,MIN($F669:$G669)*0.97*BX669)))))))))</f>
        <v/>
      </c>
      <c r="BZ669" s="34">
        <f>BE669-BV669-CA669</f>
        <v/>
      </c>
      <c r="CA669" s="34">
        <f>BD669</f>
        <v/>
      </c>
      <c r="CB669" s="33">
        <f>BE669-BV669</f>
        <v/>
      </c>
      <c r="CC669" s="34">
        <f>IF(AY669=0,0,CB669/AY669)</f>
        <v/>
      </c>
      <c r="CD669" s="34">
        <f>MAX((AY669+MAX((-J669+L669-N669+Q669-T669+X669),0)),(MAX((J669-L669+N669-Q669+T669-X669),0)))</f>
        <v/>
      </c>
      <c r="CE669" s="82">
        <f>IFERROR(ABS(BX669/CD669),0)</f>
        <v/>
      </c>
      <c r="CF669" s="34">
        <f>IF(CE669&lt;=0.1,0,BX669/CE669*(CE669-0.1))</f>
        <v/>
      </c>
      <c r="CG669" s="34">
        <f>IF((CF669)&lt;0,MAX(F669:G669)*(CF669)*1.03,MIN(F669:G669)*(CF669)*0.97)</f>
        <v/>
      </c>
      <c r="CH669" s="34">
        <f>IF(CE669&gt;0.1,1,0)</f>
        <v/>
      </c>
      <c r="CI669" s="34">
        <f>(F669*BX669)-BY669</f>
        <v/>
      </c>
      <c r="CJ669" s="34">
        <f>IF(AY669=0,0,CI669/AY669)</f>
        <v/>
      </c>
    </row>
    <row r="670">
      <c r="A670" s="29">
        <f>[1]FİYATLAR!A645</f>
        <v/>
      </c>
      <c r="B670" s="29">
        <f>[1]FİYATLAR!B669</f>
        <v/>
      </c>
      <c r="C670" s="35">
        <f>INT(A670)</f>
        <v/>
      </c>
      <c r="D670" s="36">
        <f>MONTH(A670)</f>
        <v/>
      </c>
      <c r="E670" s="147">
        <f>[1]FİYATLAR!G645</f>
        <v/>
      </c>
      <c r="F670" s="30">
        <f>[1]FİYATLAR!C645</f>
        <v/>
      </c>
      <c r="G670" s="30">
        <f>[1]FİYATLAR!E645</f>
        <v/>
      </c>
      <c r="H670" s="30">
        <f>[1]FİYATLAR!D645</f>
        <v/>
      </c>
      <c r="I670" s="30">
        <f>[1]FİYATLAR!F645</f>
        <v/>
      </c>
      <c r="J670" s="119" t="n">
        <v>0</v>
      </c>
      <c r="K670" s="34">
        <f>F670*J670</f>
        <v/>
      </c>
      <c r="L670" s="119" t="n"/>
      <c r="M670" s="34">
        <f>L670*F670</f>
        <v/>
      </c>
      <c r="N670" s="119" t="n"/>
      <c r="O670" s="34">
        <f>F670</f>
        <v/>
      </c>
      <c r="P670" s="34">
        <f>N670*O670</f>
        <v/>
      </c>
      <c r="Q670" s="117" t="n">
        <v>0</v>
      </c>
      <c r="R670" s="34">
        <f>F670</f>
        <v/>
      </c>
      <c r="S670" s="34">
        <f>R670*Q670</f>
        <v/>
      </c>
      <c r="T670" s="34">
        <f>SUMIFS('[1]GİP VERİLERİ'!$C:$C,'[1]GİP VERİLERİ'!$B:$B,A670,'[1]GİP VERİLERİ'!$M:$M,"40X000000104782K",'[1]GİP VERİLERİ'!$G:$G,"SELL")</f>
        <v/>
      </c>
      <c r="U670" s="34">
        <f>IFERROR(W670/T670,0)</f>
        <v/>
      </c>
      <c r="V670" s="34">
        <f>IF(U670=0,0,U670-F670)</f>
        <v/>
      </c>
      <c r="W670" s="34">
        <f>SUMIFS('[1]GİP VERİLERİ'!$O:$O,'[1]GİP VERİLERİ'!$B:$B,A670,'[1]GİP VERİLERİ'!$M:$M,"40X000000104782K",'[1]GİP VERİLERİ'!$G:$G,"SELL")</f>
        <v/>
      </c>
      <c r="X670" s="34">
        <f>SUMIFS('[1]GİP VERİLERİ'!$C:$C,'[1]GİP VERİLERİ'!$B:$B,A670,'[1]GİP VERİLERİ'!$M:$M,"40X000000104782K",'[1]GİP VERİLERİ'!$G:$G,"BUY")</f>
        <v/>
      </c>
      <c r="Y670" s="34">
        <f>IFERROR(AA670/X670,0)</f>
        <v/>
      </c>
      <c r="Z670" s="34">
        <f>IF(Y670=0,0,F670-Y670)</f>
        <v/>
      </c>
      <c r="AA670" s="34">
        <f>SUMIFS('[1]GİP VERİLERİ'!$O:$O,'[1]GİP VERİLERİ'!$B:$B,A670,'[1]GİP VERİLERİ'!$M:$M,"40X000000104782K",'[1]GİP VERİLERİ'!$G:$G,"BUY")</f>
        <v/>
      </c>
      <c r="AB670" s="34">
        <f>'[1]GÖP VERİLERİ'!H671</f>
        <v/>
      </c>
      <c r="AC670" s="34">
        <f>'[1]GÖP VERİLERİ'!I671</f>
        <v/>
      </c>
      <c r="AD670" s="34">
        <f>IF(AB670&gt;AC670*1.05,AB670-AC670*1.05,IF(AB670&lt;AC670*0.95,AC670*0.95-AB670,0))</f>
        <v/>
      </c>
      <c r="AE670" s="34">
        <f>MAX(F670,G670,750)*0.05*AD670</f>
        <v/>
      </c>
      <c r="AF670" s="34">
        <f>'[1]GÖP VERİLERİ'!J671</f>
        <v/>
      </c>
      <c r="AG670" s="34">
        <f>IF(AB670&gt;AF670*1.05,AB670-AF670*1.05,IF(AB670&lt;AF670*0.95,AF670*0.95-AB670,0))</f>
        <v/>
      </c>
      <c r="AH670" s="34">
        <f>MAX(I670,J670,750)*0.05*AG670</f>
        <v/>
      </c>
      <c r="AI670">
        <f>'[1]GÖP VERİLERİ'!E671</f>
        <v/>
      </c>
      <c r="AJ670">
        <f>'[1]GÖP VERİLERİ'!F671</f>
        <v/>
      </c>
      <c r="AK670" s="34">
        <f>IF(AI670&gt;AJ670*1.05,AI670-AJ670*1.05,IF(AI670&lt;AJ670*0.95,AJ670*0.95-AI670,0))</f>
        <v/>
      </c>
      <c r="AL670" s="34">
        <f>MAX(F670,G670,750)*0.05*AK670</f>
        <v/>
      </c>
      <c r="AM670" s="39">
        <f>'[1]GÖP VERİLERİ'!G671</f>
        <v/>
      </c>
      <c r="AN670" s="34">
        <f>IF(AI670&gt;AM670*1.05,AI670-AM670*1.05,IF(AI670&lt;AM670*0.95,AM670*0.95-AI670,0))</f>
        <v/>
      </c>
      <c r="AO670" s="34">
        <f>MAX(F670,G670,750)*0.05*AN670</f>
        <v/>
      </c>
      <c r="AP670" s="34">
        <f>'[1]GÖP VERİLERİ'!B671</f>
        <v/>
      </c>
      <c r="AQ670" s="34">
        <f>'[1]GÖP VERİLERİ'!C671</f>
        <v/>
      </c>
      <c r="AR670" s="34">
        <f>IF(AP670&gt;AQ670*1.05,AP670-AQ670*1.05,IF(AP670&lt;AQ670*0.95,AQ670*0.95-AP670,0))</f>
        <v/>
      </c>
      <c r="AS670" s="34">
        <f>MAX(F670:G670,750)*0.05*AR670</f>
        <v/>
      </c>
      <c r="AT670">
        <f>'[1]GÖP VERİLERİ'!D671</f>
        <v/>
      </c>
      <c r="AU670" s="34">
        <f>IF(AP670&gt;AT670*1.05,AP670-AT670*1.05,IF(AP670&lt;AT670*0.95,AT670*0.95-AP670,0))</f>
        <v/>
      </c>
      <c r="AV670" s="34">
        <f>MAX(F670:G670,750)*0.05*AU670</f>
        <v/>
      </c>
      <c r="AW670" s="34">
        <f>AC670+AJ670+AQ670</f>
        <v/>
      </c>
      <c r="AX670" s="34">
        <f>AF670+AM670+AT670</f>
        <v/>
      </c>
      <c r="AY670" s="34">
        <f>AB670+AI670+AP670</f>
        <v/>
      </c>
      <c r="AZ670" s="34" t="n">
        <v>0</v>
      </c>
      <c r="BA670" s="34">
        <f>AD670+AK670+AR670</f>
        <v/>
      </c>
      <c r="BB670" s="34">
        <f>MAX(F670:G670,750)*0.05*BA670</f>
        <v/>
      </c>
      <c r="BC670" s="34">
        <f>AG670+AN670+AU670</f>
        <v/>
      </c>
      <c r="BD670" s="34">
        <f>MAX(F670:G670,750)*0.05*BC670</f>
        <v/>
      </c>
      <c r="BE670" s="34">
        <f>F670*AY670</f>
        <v/>
      </c>
      <c r="BF670" s="34">
        <f>K670-M670</f>
        <v/>
      </c>
      <c r="BG670" s="34">
        <f>P670-S670</f>
        <v/>
      </c>
      <c r="BH670" s="34">
        <f>W670-AA670</f>
        <v/>
      </c>
      <c r="BI670" s="34">
        <f>BF670+BG670+BL670-BN670</f>
        <v/>
      </c>
      <c r="BJ670" s="34">
        <f>ABS(BK670)</f>
        <v/>
      </c>
      <c r="BK670" s="34">
        <f>AY670-(J670-L670+N670-Q670)</f>
        <v/>
      </c>
      <c r="BL670" s="34">
        <f>IF(AND(BK670&gt;0,MIN($F670:$G670)&lt;150,$E670="Enerji Açığı"),-100*BK670*1.03,IF(AND(BK670&gt;0,MIN($F670:$G670)&lt;150,$E670="Enerji Fazlası"),-100*BK670*1.06,IF(AND(BK670&gt;0,MIN($F670:$G670)&gt;=150,$E670="Enerji Açığı"),BK670*MIN($F670:$G670)*0.97,IF(AND(BK670&gt;0,MIN($F670:$G670)&gt;=150,$E670="Enerji Fazlası"),BK670*MIN($F670:$G670)*0.94,IF(AND(BK670&lt;0,MAX($F670:$G670)=4500,$E670="Enerji Açığı"),4500*1.05*1.06*BK670,IF(AND(BK670&lt;0,MAX($F670:$G670)=4500,$E670="Enerji Fazlası"),4500*1.05*1.03*BK670,IF(AND(BK670&lt;0,$E670="Enerji Açığı"),MAX($F670,$G670,150)*BK670*1.06,IF(AND(BK670&lt;0,$E670="Enerji Fazlası"),MAX($F670,$G670,150)*BK670*1.03,IF(AND(BK670&lt;0,$E670="Dengede"),MAX($F670:$G670,150)*1.03*BK670,MIN($F670:$G670)*0.97*BK670)))))))))</f>
        <v/>
      </c>
      <c r="BM670" s="34">
        <f>BE670-BI670-BN670</f>
        <v/>
      </c>
      <c r="BN670" s="34">
        <f>BB670</f>
        <v/>
      </c>
      <c r="BO670" s="34">
        <f>BE670-BI670</f>
        <v/>
      </c>
      <c r="BP670" s="34">
        <f>IF(AY670=0,0,BO670/AY670)</f>
        <v/>
      </c>
      <c r="BQ670" s="34">
        <f>MAX((AY670+MAX((-J670+L670-N670+Q670),0)),(MAX((J670-L670+N670-Q670),0)))</f>
        <v/>
      </c>
      <c r="BR670" s="82">
        <f>IFERROR(ABS(BK670/BQ670),0)</f>
        <v/>
      </c>
      <c r="BS670" s="34">
        <f>IF(BR670&lt;=0.1,0,BK670/BR670*(BR670-0.1))</f>
        <v/>
      </c>
      <c r="BT670" s="34">
        <f>IF((BS670)&lt;0,MAX(F670:G670)*(BS670)*1.03,MIN(F670:G670)*(BS670)*0.97)</f>
        <v/>
      </c>
      <c r="BU670" s="34">
        <f>IF(BR670&gt;0.1,1,0)</f>
        <v/>
      </c>
      <c r="BV670" s="34">
        <f>BF670+BG670+BH670+BY670-CA670</f>
        <v/>
      </c>
      <c r="BW670" s="34">
        <f>ABS(BX670)</f>
        <v/>
      </c>
      <c r="BX670" s="34">
        <f>AY670-(J670-L670+N670-Q670+T670-X670)</f>
        <v/>
      </c>
      <c r="BY670" s="34">
        <f>IF(AND(BX670&gt;0,MIN($F670:$G670)&lt;150,$E670="Enerji Açığı"),-100*BX670*1.03,IF(AND(BX670&gt;0,MIN($F670:$G670)&lt;150,$E670="Enerji Fazlası"),-100*BX670*1.06,IF(AND(BX670&gt;0,MIN($F670:$G670)&gt;=150,$E670="Enerji Açığı"),BX670*MIN($F670:$G670)*0.97,IF(AND(BX670&gt;0,MIN($F670:$G670)&gt;=150,$E670="Enerji Fazlası"),BX670*MIN($F670:$G670)*0.94,IF(AND(BX670&lt;0,MAX($F670:$G670)=4500,$E670="Enerji Açığı"),4500*1.05*1.06*BX670,IF(AND(BX670&lt;0,MAX($F670:$G670)=4500,$E670="Enerji Fazlası"),4500*1.05*1.03*BX670,IF(AND(BX670&lt;0,$E670="Enerji Açığı"),MAX($F670,$G670,150)*BX670*1.06,IF(AND(BX670&lt;0,$E670="Enerji Fazlası"),MAX($F670,$G670,150)*BX670*1.03,IF(AND(BX670&lt;0,$E670="Dengede"),MAX($F670:$G670,150)*1.03*BX670,MIN($F670:$G670)*0.97*BX670)))))))))</f>
        <v/>
      </c>
      <c r="BZ670" s="34">
        <f>BE670-BV670-CA670</f>
        <v/>
      </c>
      <c r="CA670" s="34">
        <f>BD670</f>
        <v/>
      </c>
      <c r="CB670" s="33">
        <f>BE670-BV670</f>
        <v/>
      </c>
      <c r="CC670" s="34">
        <f>IF(AY670=0,0,CB670/AY670)</f>
        <v/>
      </c>
      <c r="CD670" s="34">
        <f>MAX((AY670+MAX((-J670+L670-N670+Q670-T670+X670),0)),(MAX((J670-L670+N670-Q670+T670-X670),0)))</f>
        <v/>
      </c>
      <c r="CE670" s="82">
        <f>IFERROR(ABS(BX670/CD670),0)</f>
        <v/>
      </c>
      <c r="CF670" s="34">
        <f>IF(CE670&lt;=0.1,0,BX670/CE670*(CE670-0.1))</f>
        <v/>
      </c>
      <c r="CG670" s="34">
        <f>IF((CF670)&lt;0,MAX(F670:G670)*(CF670)*1.03,MIN(F670:G670)*(CF670)*0.97)</f>
        <v/>
      </c>
      <c r="CH670" s="34">
        <f>IF(CE670&gt;0.1,1,0)</f>
        <v/>
      </c>
      <c r="CI670" s="34">
        <f>(F670*BX670)-BY670</f>
        <v/>
      </c>
      <c r="CJ670" s="34">
        <f>IF(AY670=0,0,CI670/AY670)</f>
        <v/>
      </c>
    </row>
    <row r="671">
      <c r="A671" s="29">
        <f>[1]FİYATLAR!A646</f>
        <v/>
      </c>
      <c r="B671" s="29">
        <f>[1]FİYATLAR!B670</f>
        <v/>
      </c>
      <c r="C671" s="35">
        <f>INT(A671)</f>
        <v/>
      </c>
      <c r="D671" s="36">
        <f>MONTH(A671)</f>
        <v/>
      </c>
      <c r="E671" s="147">
        <f>[1]FİYATLAR!G646</f>
        <v/>
      </c>
      <c r="F671" s="30">
        <f>[1]FİYATLAR!C646</f>
        <v/>
      </c>
      <c r="G671" s="30">
        <f>[1]FİYATLAR!E646</f>
        <v/>
      </c>
      <c r="H671" s="30">
        <f>[1]FİYATLAR!D646</f>
        <v/>
      </c>
      <c r="I671" s="30">
        <f>[1]FİYATLAR!F646</f>
        <v/>
      </c>
      <c r="J671" s="119" t="n">
        <v>0</v>
      </c>
      <c r="K671" s="34">
        <f>F671*J671</f>
        <v/>
      </c>
      <c r="L671" s="119" t="n"/>
      <c r="M671" s="34">
        <f>L671*F671</f>
        <v/>
      </c>
      <c r="N671" s="119" t="n"/>
      <c r="O671" s="34">
        <f>F671</f>
        <v/>
      </c>
      <c r="P671" s="34">
        <f>N671*O671</f>
        <v/>
      </c>
      <c r="Q671" s="117" t="n">
        <v>0</v>
      </c>
      <c r="R671" s="34">
        <f>F671</f>
        <v/>
      </c>
      <c r="S671" s="34">
        <f>R671*Q671</f>
        <v/>
      </c>
      <c r="T671" s="34">
        <f>SUMIFS('[1]GİP VERİLERİ'!$C:$C,'[1]GİP VERİLERİ'!$B:$B,A671,'[1]GİP VERİLERİ'!$M:$M,"40X000000104782K",'[1]GİP VERİLERİ'!$G:$G,"SELL")</f>
        <v/>
      </c>
      <c r="U671" s="34">
        <f>IFERROR(W671/T671,0)</f>
        <v/>
      </c>
      <c r="V671" s="34">
        <f>IF(U671=0,0,U671-F671)</f>
        <v/>
      </c>
      <c r="W671" s="34">
        <f>SUMIFS('[1]GİP VERİLERİ'!$O:$O,'[1]GİP VERİLERİ'!$B:$B,A671,'[1]GİP VERİLERİ'!$M:$M,"40X000000104782K",'[1]GİP VERİLERİ'!$G:$G,"SELL")</f>
        <v/>
      </c>
      <c r="X671" s="34">
        <f>SUMIFS('[1]GİP VERİLERİ'!$C:$C,'[1]GİP VERİLERİ'!$B:$B,A671,'[1]GİP VERİLERİ'!$M:$M,"40X000000104782K",'[1]GİP VERİLERİ'!$G:$G,"BUY")</f>
        <v/>
      </c>
      <c r="Y671" s="34">
        <f>IFERROR(AA671/X671,0)</f>
        <v/>
      </c>
      <c r="Z671" s="34">
        <f>IF(Y671=0,0,F671-Y671)</f>
        <v/>
      </c>
      <c r="AA671" s="34">
        <f>SUMIFS('[1]GİP VERİLERİ'!$O:$O,'[1]GİP VERİLERİ'!$B:$B,A671,'[1]GİP VERİLERİ'!$M:$M,"40X000000104782K",'[1]GİP VERİLERİ'!$G:$G,"BUY")</f>
        <v/>
      </c>
      <c r="AB671" s="34">
        <f>'[1]GÖP VERİLERİ'!H672</f>
        <v/>
      </c>
      <c r="AC671" s="34">
        <f>'[1]GÖP VERİLERİ'!I672</f>
        <v/>
      </c>
      <c r="AD671" s="34">
        <f>IF(AB671&gt;AC671*1.05,AB671-AC671*1.05,IF(AB671&lt;AC671*0.95,AC671*0.95-AB671,0))</f>
        <v/>
      </c>
      <c r="AE671" s="34">
        <f>MAX(F671,G671,750)*0.05*AD671</f>
        <v/>
      </c>
      <c r="AF671" s="34">
        <f>'[1]GÖP VERİLERİ'!J672</f>
        <v/>
      </c>
      <c r="AG671" s="34">
        <f>IF(AB671&gt;AF671*1.05,AB671-AF671*1.05,IF(AB671&lt;AF671*0.95,AF671*0.95-AB671,0))</f>
        <v/>
      </c>
      <c r="AH671" s="34">
        <f>MAX(I671,J671,750)*0.05*AG671</f>
        <v/>
      </c>
      <c r="AI671">
        <f>'[1]GÖP VERİLERİ'!E672</f>
        <v/>
      </c>
      <c r="AJ671">
        <f>'[1]GÖP VERİLERİ'!F672</f>
        <v/>
      </c>
      <c r="AK671" s="34">
        <f>IF(AI671&gt;AJ671*1.05,AI671-AJ671*1.05,IF(AI671&lt;AJ671*0.95,AJ671*0.95-AI671,0))</f>
        <v/>
      </c>
      <c r="AL671" s="34">
        <f>MAX(F671,G671,750)*0.05*AK671</f>
        <v/>
      </c>
      <c r="AM671" s="39">
        <f>'[1]GÖP VERİLERİ'!G672</f>
        <v/>
      </c>
      <c r="AN671" s="34">
        <f>IF(AI671&gt;AM671*1.05,AI671-AM671*1.05,IF(AI671&lt;AM671*0.95,AM671*0.95-AI671,0))</f>
        <v/>
      </c>
      <c r="AO671" s="34">
        <f>MAX(F671,G671,750)*0.05*AN671</f>
        <v/>
      </c>
      <c r="AP671" s="34">
        <f>'[1]GÖP VERİLERİ'!B672</f>
        <v/>
      </c>
      <c r="AQ671" s="34">
        <f>'[1]GÖP VERİLERİ'!C672</f>
        <v/>
      </c>
      <c r="AR671" s="34">
        <f>IF(AP671&gt;AQ671*1.05,AP671-AQ671*1.05,IF(AP671&lt;AQ671*0.95,AQ671*0.95-AP671,0))</f>
        <v/>
      </c>
      <c r="AS671" s="34">
        <f>MAX(F671:G671,750)*0.05*AR671</f>
        <v/>
      </c>
      <c r="AT671">
        <f>'[1]GÖP VERİLERİ'!D672</f>
        <v/>
      </c>
      <c r="AU671" s="34">
        <f>IF(AP671&gt;AT671*1.05,AP671-AT671*1.05,IF(AP671&lt;AT671*0.95,AT671*0.95-AP671,0))</f>
        <v/>
      </c>
      <c r="AV671" s="34">
        <f>MAX(F671:G671,750)*0.05*AU671</f>
        <v/>
      </c>
      <c r="AW671" s="34">
        <f>AC671+AJ671+AQ671</f>
        <v/>
      </c>
      <c r="AX671" s="34">
        <f>AF671+AM671+AT671</f>
        <v/>
      </c>
      <c r="AY671" s="34">
        <f>AB671+AI671+AP671</f>
        <v/>
      </c>
      <c r="AZ671" s="34" t="n">
        <v>0</v>
      </c>
      <c r="BA671" s="34">
        <f>AD671+AK671+AR671</f>
        <v/>
      </c>
      <c r="BB671" s="34">
        <f>MAX(F671:G671,750)*0.05*BA671</f>
        <v/>
      </c>
      <c r="BC671" s="34">
        <f>AG671+AN671+AU671</f>
        <v/>
      </c>
      <c r="BD671" s="34">
        <f>MAX(F671:G671,750)*0.05*BC671</f>
        <v/>
      </c>
      <c r="BE671" s="34">
        <f>F671*AY671</f>
        <v/>
      </c>
      <c r="BF671" s="34">
        <f>K671-M671</f>
        <v/>
      </c>
      <c r="BG671" s="34">
        <f>P671-S671</f>
        <v/>
      </c>
      <c r="BH671" s="34">
        <f>W671-AA671</f>
        <v/>
      </c>
      <c r="BI671" s="34">
        <f>BF671+BG671+BL671-BN671</f>
        <v/>
      </c>
      <c r="BJ671" s="34">
        <f>ABS(BK671)</f>
        <v/>
      </c>
      <c r="BK671" s="34">
        <f>AY671-(J671-L671+N671-Q671)</f>
        <v/>
      </c>
      <c r="BL671" s="34">
        <f>IF(AND(BK671&gt;0,MIN($F671:$G671)&lt;150,$E671="Enerji Açığı"),-100*BK671*1.03,IF(AND(BK671&gt;0,MIN($F671:$G671)&lt;150,$E671="Enerji Fazlası"),-100*BK671*1.06,IF(AND(BK671&gt;0,MIN($F671:$G671)&gt;=150,$E671="Enerji Açığı"),BK671*MIN($F671:$G671)*0.97,IF(AND(BK671&gt;0,MIN($F671:$G671)&gt;=150,$E671="Enerji Fazlası"),BK671*MIN($F671:$G671)*0.94,IF(AND(BK671&lt;0,MAX($F671:$G671)=4500,$E671="Enerji Açığı"),4500*1.05*1.06*BK671,IF(AND(BK671&lt;0,MAX($F671:$G671)=4500,$E671="Enerji Fazlası"),4500*1.05*1.03*BK671,IF(AND(BK671&lt;0,$E671="Enerji Açığı"),MAX($F671,$G671,150)*BK671*1.06,IF(AND(BK671&lt;0,$E671="Enerji Fazlası"),MAX($F671,$G671,150)*BK671*1.03,IF(AND(BK671&lt;0,$E671="Dengede"),MAX($F671:$G671,150)*1.03*BK671,MIN($F671:$G671)*0.97*BK671)))))))))</f>
        <v/>
      </c>
      <c r="BM671" s="34">
        <f>BE671-BI671-BN671</f>
        <v/>
      </c>
      <c r="BN671" s="34">
        <f>BB671</f>
        <v/>
      </c>
      <c r="BO671" s="34">
        <f>BE671-BI671</f>
        <v/>
      </c>
      <c r="BP671" s="34">
        <f>IF(AY671=0,0,BO671/AY671)</f>
        <v/>
      </c>
      <c r="BQ671" s="34">
        <f>MAX((AY671+MAX((-J671+L671-N671+Q671),0)),(MAX((J671-L671+N671-Q671),0)))</f>
        <v/>
      </c>
      <c r="BR671" s="82">
        <f>IFERROR(ABS(BK671/BQ671),0)</f>
        <v/>
      </c>
      <c r="BS671" s="34">
        <f>IF(BR671&lt;=0.1,0,BK671/BR671*(BR671-0.1))</f>
        <v/>
      </c>
      <c r="BT671" s="34">
        <f>IF((BS671)&lt;0,MAX(F671:G671)*(BS671)*1.03,MIN(F671:G671)*(BS671)*0.97)</f>
        <v/>
      </c>
      <c r="BU671" s="34">
        <f>IF(BR671&gt;0.1,1,0)</f>
        <v/>
      </c>
      <c r="BV671" s="34">
        <f>BF671+BG671+BH671+BY671-CA671</f>
        <v/>
      </c>
      <c r="BW671" s="34">
        <f>ABS(BX671)</f>
        <v/>
      </c>
      <c r="BX671" s="34">
        <f>AY671-(J671-L671+N671-Q671+T671-X671)</f>
        <v/>
      </c>
      <c r="BY671" s="34">
        <f>IF(AND(BX671&gt;0,MIN($F671:$G671)&lt;150,$E671="Enerji Açığı"),-100*BX671*1.03,IF(AND(BX671&gt;0,MIN($F671:$G671)&lt;150,$E671="Enerji Fazlası"),-100*BX671*1.06,IF(AND(BX671&gt;0,MIN($F671:$G671)&gt;=150,$E671="Enerji Açığı"),BX671*MIN($F671:$G671)*0.97,IF(AND(BX671&gt;0,MIN($F671:$G671)&gt;=150,$E671="Enerji Fazlası"),BX671*MIN($F671:$G671)*0.94,IF(AND(BX671&lt;0,MAX($F671:$G671)=4500,$E671="Enerji Açığı"),4500*1.05*1.06*BX671,IF(AND(BX671&lt;0,MAX($F671:$G671)=4500,$E671="Enerji Fazlası"),4500*1.05*1.03*BX671,IF(AND(BX671&lt;0,$E671="Enerji Açığı"),MAX($F671,$G671,150)*BX671*1.06,IF(AND(BX671&lt;0,$E671="Enerji Fazlası"),MAX($F671,$G671,150)*BX671*1.03,IF(AND(BX671&lt;0,$E671="Dengede"),MAX($F671:$G671,150)*1.03*BX671,MIN($F671:$G671)*0.97*BX671)))))))))</f>
        <v/>
      </c>
      <c r="BZ671" s="34">
        <f>BE671-BV671-CA671</f>
        <v/>
      </c>
      <c r="CA671" s="34">
        <f>BD671</f>
        <v/>
      </c>
      <c r="CB671" s="33">
        <f>BE671-BV671</f>
        <v/>
      </c>
      <c r="CC671" s="34">
        <f>IF(AY671=0,0,CB671/AY671)</f>
        <v/>
      </c>
      <c r="CD671" s="34">
        <f>MAX((AY671+MAX((-J671+L671-N671+Q671-T671+X671),0)),(MAX((J671-L671+N671-Q671+T671-X671),0)))</f>
        <v/>
      </c>
      <c r="CE671" s="82">
        <f>IFERROR(ABS(BX671/CD671),0)</f>
        <v/>
      </c>
      <c r="CF671" s="34">
        <f>IF(CE671&lt;=0.1,0,BX671/CE671*(CE671-0.1))</f>
        <v/>
      </c>
      <c r="CG671" s="34">
        <f>IF((CF671)&lt;0,MAX(F671:G671)*(CF671)*1.03,MIN(F671:G671)*(CF671)*0.97)</f>
        <v/>
      </c>
      <c r="CH671" s="34">
        <f>IF(CE671&gt;0.1,1,0)</f>
        <v/>
      </c>
      <c r="CI671" s="34">
        <f>(F671*BX671)-BY671</f>
        <v/>
      </c>
      <c r="CJ671" s="34">
        <f>IF(AY671=0,0,CI671/AY671)</f>
        <v/>
      </c>
    </row>
    <row r="672">
      <c r="A672" s="29">
        <f>[1]FİYATLAR!A647</f>
        <v/>
      </c>
      <c r="B672" s="29">
        <f>[1]FİYATLAR!B671</f>
        <v/>
      </c>
      <c r="C672" s="35">
        <f>INT(A672)</f>
        <v/>
      </c>
      <c r="D672" s="36">
        <f>MONTH(A672)</f>
        <v/>
      </c>
      <c r="E672" s="147">
        <f>[1]FİYATLAR!G647</f>
        <v/>
      </c>
      <c r="F672" s="30">
        <f>[1]FİYATLAR!C647</f>
        <v/>
      </c>
      <c r="G672" s="30">
        <f>[1]FİYATLAR!E647</f>
        <v/>
      </c>
      <c r="H672" s="30">
        <f>[1]FİYATLAR!D647</f>
        <v/>
      </c>
      <c r="I672" s="30">
        <f>[1]FİYATLAR!F647</f>
        <v/>
      </c>
      <c r="J672" s="119" t="n">
        <v>0</v>
      </c>
      <c r="K672" s="34">
        <f>F672*J672</f>
        <v/>
      </c>
      <c r="L672" s="119" t="n"/>
      <c r="M672" s="34">
        <f>L672*F672</f>
        <v/>
      </c>
      <c r="N672" s="119" t="n"/>
      <c r="O672" s="34">
        <f>F672</f>
        <v/>
      </c>
      <c r="P672" s="34">
        <f>N672*O672</f>
        <v/>
      </c>
      <c r="Q672" s="117" t="n">
        <v>0</v>
      </c>
      <c r="R672" s="34">
        <f>F672</f>
        <v/>
      </c>
      <c r="S672" s="34">
        <f>R672*Q672</f>
        <v/>
      </c>
      <c r="T672" s="34">
        <f>SUMIFS('[1]GİP VERİLERİ'!$C:$C,'[1]GİP VERİLERİ'!$B:$B,A672,'[1]GİP VERİLERİ'!$M:$M,"40X000000104782K",'[1]GİP VERİLERİ'!$G:$G,"SELL")</f>
        <v/>
      </c>
      <c r="U672" s="34">
        <f>IFERROR(W672/T672,0)</f>
        <v/>
      </c>
      <c r="V672" s="34">
        <f>IF(U672=0,0,U672-F672)</f>
        <v/>
      </c>
      <c r="W672" s="34">
        <f>SUMIFS('[1]GİP VERİLERİ'!$O:$O,'[1]GİP VERİLERİ'!$B:$B,A672,'[1]GİP VERİLERİ'!$M:$M,"40X000000104782K",'[1]GİP VERİLERİ'!$G:$G,"SELL")</f>
        <v/>
      </c>
      <c r="X672" s="34">
        <f>SUMIFS('[1]GİP VERİLERİ'!$C:$C,'[1]GİP VERİLERİ'!$B:$B,A672,'[1]GİP VERİLERİ'!$M:$M,"40X000000104782K",'[1]GİP VERİLERİ'!$G:$G,"BUY")</f>
        <v/>
      </c>
      <c r="Y672" s="34">
        <f>IFERROR(AA672/X672,0)</f>
        <v/>
      </c>
      <c r="Z672" s="34">
        <f>IF(Y672=0,0,F672-Y672)</f>
        <v/>
      </c>
      <c r="AA672" s="34">
        <f>SUMIFS('[1]GİP VERİLERİ'!$O:$O,'[1]GİP VERİLERİ'!$B:$B,A672,'[1]GİP VERİLERİ'!$M:$M,"40X000000104782K",'[1]GİP VERİLERİ'!$G:$G,"BUY")</f>
        <v/>
      </c>
      <c r="AB672" s="34">
        <f>'[1]GÖP VERİLERİ'!H673</f>
        <v/>
      </c>
      <c r="AC672" s="34">
        <f>'[1]GÖP VERİLERİ'!I673</f>
        <v/>
      </c>
      <c r="AD672" s="34">
        <f>IF(AB672&gt;AC672*1.05,AB672-AC672*1.05,IF(AB672&lt;AC672*0.95,AC672*0.95-AB672,0))</f>
        <v/>
      </c>
      <c r="AE672" s="34">
        <f>MAX(F672,G672,750)*0.05*AD672</f>
        <v/>
      </c>
      <c r="AF672" s="34">
        <f>'[1]GÖP VERİLERİ'!J673</f>
        <v/>
      </c>
      <c r="AG672" s="34">
        <f>IF(AB672&gt;AF672*1.05,AB672-AF672*1.05,IF(AB672&lt;AF672*0.95,AF672*0.95-AB672,0))</f>
        <v/>
      </c>
      <c r="AH672" s="34">
        <f>MAX(I672,J672,750)*0.05*AG672</f>
        <v/>
      </c>
      <c r="AI672">
        <f>'[1]GÖP VERİLERİ'!E673</f>
        <v/>
      </c>
      <c r="AJ672">
        <f>'[1]GÖP VERİLERİ'!F673</f>
        <v/>
      </c>
      <c r="AK672" s="34">
        <f>IF(AI672&gt;AJ672*1.05,AI672-AJ672*1.05,IF(AI672&lt;AJ672*0.95,AJ672*0.95-AI672,0))</f>
        <v/>
      </c>
      <c r="AL672" s="34">
        <f>MAX(F672,G672,750)*0.05*AK672</f>
        <v/>
      </c>
      <c r="AM672" s="39">
        <f>'[1]GÖP VERİLERİ'!G673</f>
        <v/>
      </c>
      <c r="AN672" s="34">
        <f>IF(AI672&gt;AM672*1.05,AI672-AM672*1.05,IF(AI672&lt;AM672*0.95,AM672*0.95-AI672,0))</f>
        <v/>
      </c>
      <c r="AO672" s="34">
        <f>MAX(F672,G672,750)*0.05*AN672</f>
        <v/>
      </c>
      <c r="AP672" s="34">
        <f>'[1]GÖP VERİLERİ'!B673</f>
        <v/>
      </c>
      <c r="AQ672" s="34">
        <f>'[1]GÖP VERİLERİ'!C673</f>
        <v/>
      </c>
      <c r="AR672" s="34">
        <f>IF(AP672&gt;AQ672*1.05,AP672-AQ672*1.05,IF(AP672&lt;AQ672*0.95,AQ672*0.95-AP672,0))</f>
        <v/>
      </c>
      <c r="AS672" s="34">
        <f>MAX(F672:G672,750)*0.05*AR672</f>
        <v/>
      </c>
      <c r="AT672">
        <f>'[1]GÖP VERİLERİ'!D673</f>
        <v/>
      </c>
      <c r="AU672" s="34">
        <f>IF(AP672&gt;AT672*1.05,AP672-AT672*1.05,IF(AP672&lt;AT672*0.95,AT672*0.95-AP672,0))</f>
        <v/>
      </c>
      <c r="AV672" s="34">
        <f>MAX(F672:G672,750)*0.05*AU672</f>
        <v/>
      </c>
      <c r="AW672" s="34">
        <f>AC672+AJ672+AQ672</f>
        <v/>
      </c>
      <c r="AX672" s="34">
        <f>AF672+AM672+AT672</f>
        <v/>
      </c>
      <c r="AY672" s="34">
        <f>AB672+AI672+AP672</f>
        <v/>
      </c>
      <c r="AZ672" s="34" t="n">
        <v>0</v>
      </c>
      <c r="BA672" s="34">
        <f>AD672+AK672+AR672</f>
        <v/>
      </c>
      <c r="BB672" s="34">
        <f>MAX(F672:G672,750)*0.05*BA672</f>
        <v/>
      </c>
      <c r="BC672" s="34">
        <f>AG672+AN672+AU672</f>
        <v/>
      </c>
      <c r="BD672" s="34">
        <f>MAX(F672:G672,750)*0.05*BC672</f>
        <v/>
      </c>
      <c r="BE672" s="34">
        <f>F672*AY672</f>
        <v/>
      </c>
      <c r="BF672" s="34">
        <f>K672-M672</f>
        <v/>
      </c>
      <c r="BG672" s="34">
        <f>P672-S672</f>
        <v/>
      </c>
      <c r="BH672" s="34">
        <f>W672-AA672</f>
        <v/>
      </c>
      <c r="BI672" s="34">
        <f>BF672+BG672+BL672-BN672</f>
        <v/>
      </c>
      <c r="BJ672" s="34">
        <f>ABS(BK672)</f>
        <v/>
      </c>
      <c r="BK672" s="34">
        <f>AY672-(J672-L672+N672-Q672)</f>
        <v/>
      </c>
      <c r="BL672" s="34">
        <f>IF(AND(BK672&gt;0,MIN($F672:$G672)&lt;150,$E672="Enerji Açığı"),-100*BK672*1.03,IF(AND(BK672&gt;0,MIN($F672:$G672)&lt;150,$E672="Enerji Fazlası"),-100*BK672*1.06,IF(AND(BK672&gt;0,MIN($F672:$G672)&gt;=150,$E672="Enerji Açığı"),BK672*MIN($F672:$G672)*0.97,IF(AND(BK672&gt;0,MIN($F672:$G672)&gt;=150,$E672="Enerji Fazlası"),BK672*MIN($F672:$G672)*0.94,IF(AND(BK672&lt;0,MAX($F672:$G672)=4500,$E672="Enerji Açığı"),4500*1.05*1.06*BK672,IF(AND(BK672&lt;0,MAX($F672:$G672)=4500,$E672="Enerji Fazlası"),4500*1.05*1.03*BK672,IF(AND(BK672&lt;0,$E672="Enerji Açığı"),MAX($F672,$G672,150)*BK672*1.06,IF(AND(BK672&lt;0,$E672="Enerji Fazlası"),MAX($F672,$G672,150)*BK672*1.03,IF(AND(BK672&lt;0,$E672="Dengede"),MAX($F672:$G672,150)*1.03*BK672,MIN($F672:$G672)*0.97*BK672)))))))))</f>
        <v/>
      </c>
      <c r="BM672" s="34">
        <f>BE672-BI672-BN672</f>
        <v/>
      </c>
      <c r="BN672" s="34">
        <f>BB672</f>
        <v/>
      </c>
      <c r="BO672" s="34">
        <f>BE672-BI672</f>
        <v/>
      </c>
      <c r="BP672" s="34">
        <f>IF(AY672=0,0,BO672/AY672)</f>
        <v/>
      </c>
      <c r="BQ672" s="34">
        <f>MAX((AY672+MAX((-J672+L672-N672+Q672),0)),(MAX((J672-L672+N672-Q672),0)))</f>
        <v/>
      </c>
      <c r="BR672" s="82">
        <f>IFERROR(ABS(BK672/BQ672),0)</f>
        <v/>
      </c>
      <c r="BS672" s="34">
        <f>IF(BR672&lt;=0.1,0,BK672/BR672*(BR672-0.1))</f>
        <v/>
      </c>
      <c r="BT672" s="34">
        <f>IF((BS672)&lt;0,MAX(F672:G672)*(BS672)*1.03,MIN(F672:G672)*(BS672)*0.97)</f>
        <v/>
      </c>
      <c r="BU672" s="34">
        <f>IF(BR672&gt;0.1,1,0)</f>
        <v/>
      </c>
      <c r="BV672" s="34">
        <f>BF672+BG672+BH672+BY672-CA672</f>
        <v/>
      </c>
      <c r="BW672" s="34">
        <f>ABS(BX672)</f>
        <v/>
      </c>
      <c r="BX672" s="34">
        <f>AY672-(J672-L672+N672-Q672+T672-X672)</f>
        <v/>
      </c>
      <c r="BY672" s="34">
        <f>IF(AND(BX672&gt;0,MIN($F672:$G672)&lt;150,$E672="Enerji Açığı"),-100*BX672*1.03,IF(AND(BX672&gt;0,MIN($F672:$G672)&lt;150,$E672="Enerji Fazlası"),-100*BX672*1.06,IF(AND(BX672&gt;0,MIN($F672:$G672)&gt;=150,$E672="Enerji Açığı"),BX672*MIN($F672:$G672)*0.97,IF(AND(BX672&gt;0,MIN($F672:$G672)&gt;=150,$E672="Enerji Fazlası"),BX672*MIN($F672:$G672)*0.94,IF(AND(BX672&lt;0,MAX($F672:$G672)=4500,$E672="Enerji Açığı"),4500*1.05*1.06*BX672,IF(AND(BX672&lt;0,MAX($F672:$G672)=4500,$E672="Enerji Fazlası"),4500*1.05*1.03*BX672,IF(AND(BX672&lt;0,$E672="Enerji Açığı"),MAX($F672,$G672,150)*BX672*1.06,IF(AND(BX672&lt;0,$E672="Enerji Fazlası"),MAX($F672,$G672,150)*BX672*1.03,IF(AND(BX672&lt;0,$E672="Dengede"),MAX($F672:$G672,150)*1.03*BX672,MIN($F672:$G672)*0.97*BX672)))))))))</f>
        <v/>
      </c>
      <c r="BZ672" s="34">
        <f>BE672-BV672-CA672</f>
        <v/>
      </c>
      <c r="CA672" s="34">
        <f>BD672</f>
        <v/>
      </c>
      <c r="CB672" s="33">
        <f>BE672-BV672</f>
        <v/>
      </c>
      <c r="CC672" s="34">
        <f>IF(AY672=0,0,CB672/AY672)</f>
        <v/>
      </c>
      <c r="CD672" s="34">
        <f>MAX((AY672+MAX((-J672+L672-N672+Q672-T672+X672),0)),(MAX((J672-L672+N672-Q672+T672-X672),0)))</f>
        <v/>
      </c>
      <c r="CE672" s="82">
        <f>IFERROR(ABS(BX672/CD672),0)</f>
        <v/>
      </c>
      <c r="CF672" s="34">
        <f>IF(CE672&lt;=0.1,0,BX672/CE672*(CE672-0.1))</f>
        <v/>
      </c>
      <c r="CG672" s="34">
        <f>IF((CF672)&lt;0,MAX(F672:G672)*(CF672)*1.03,MIN(F672:G672)*(CF672)*0.97)</f>
        <v/>
      </c>
      <c r="CH672" s="34">
        <f>IF(CE672&gt;0.1,1,0)</f>
        <v/>
      </c>
      <c r="CI672" s="34">
        <f>(F672*BX672)-BY672</f>
        <v/>
      </c>
      <c r="CJ672" s="34">
        <f>IF(AY672=0,0,CI672/AY672)</f>
        <v/>
      </c>
    </row>
    <row r="673">
      <c r="A673" s="29">
        <f>[1]FİYATLAR!A648</f>
        <v/>
      </c>
      <c r="B673" s="29">
        <f>[1]FİYATLAR!B672</f>
        <v/>
      </c>
      <c r="C673" s="35">
        <f>INT(A673)</f>
        <v/>
      </c>
      <c r="D673" s="36">
        <f>MONTH(A673)</f>
        <v/>
      </c>
      <c r="E673" s="147">
        <f>[1]FİYATLAR!G648</f>
        <v/>
      </c>
      <c r="F673" s="30">
        <f>[1]FİYATLAR!C648</f>
        <v/>
      </c>
      <c r="G673" s="30">
        <f>[1]FİYATLAR!E648</f>
        <v/>
      </c>
      <c r="H673" s="30">
        <f>[1]FİYATLAR!D648</f>
        <v/>
      </c>
      <c r="I673" s="30">
        <f>[1]FİYATLAR!F648</f>
        <v/>
      </c>
      <c r="J673" s="119" t="n">
        <v>0</v>
      </c>
      <c r="K673" s="34">
        <f>F673*J673</f>
        <v/>
      </c>
      <c r="L673" s="119" t="n"/>
      <c r="M673" s="34">
        <f>L673*F673</f>
        <v/>
      </c>
      <c r="N673" s="119" t="n"/>
      <c r="O673" s="34">
        <f>F673</f>
        <v/>
      </c>
      <c r="P673" s="34">
        <f>N673*O673</f>
        <v/>
      </c>
      <c r="Q673" s="117" t="n">
        <v>0</v>
      </c>
      <c r="R673" s="34">
        <f>F673</f>
        <v/>
      </c>
      <c r="S673" s="34">
        <f>R673*Q673</f>
        <v/>
      </c>
      <c r="T673" s="34">
        <f>SUMIFS('[1]GİP VERİLERİ'!$C:$C,'[1]GİP VERİLERİ'!$B:$B,A673,'[1]GİP VERİLERİ'!$M:$M,"40X000000104782K",'[1]GİP VERİLERİ'!$G:$G,"SELL")</f>
        <v/>
      </c>
      <c r="U673" s="34">
        <f>IFERROR(W673/T673,0)</f>
        <v/>
      </c>
      <c r="V673" s="34">
        <f>IF(U673=0,0,U673-F673)</f>
        <v/>
      </c>
      <c r="W673" s="34">
        <f>SUMIFS('[1]GİP VERİLERİ'!$O:$O,'[1]GİP VERİLERİ'!$B:$B,A673,'[1]GİP VERİLERİ'!$M:$M,"40X000000104782K",'[1]GİP VERİLERİ'!$G:$G,"SELL")</f>
        <v/>
      </c>
      <c r="X673" s="34">
        <f>SUMIFS('[1]GİP VERİLERİ'!$C:$C,'[1]GİP VERİLERİ'!$B:$B,A673,'[1]GİP VERİLERİ'!$M:$M,"40X000000104782K",'[1]GİP VERİLERİ'!$G:$G,"BUY")</f>
        <v/>
      </c>
      <c r="Y673" s="34">
        <f>IFERROR(AA673/X673,0)</f>
        <v/>
      </c>
      <c r="Z673" s="34">
        <f>IF(Y673=0,0,F673-Y673)</f>
        <v/>
      </c>
      <c r="AA673" s="34">
        <f>SUMIFS('[1]GİP VERİLERİ'!$O:$O,'[1]GİP VERİLERİ'!$B:$B,A673,'[1]GİP VERİLERİ'!$M:$M,"40X000000104782K",'[1]GİP VERİLERİ'!$G:$G,"BUY")</f>
        <v/>
      </c>
      <c r="AB673" s="34">
        <f>'[1]GÖP VERİLERİ'!H674</f>
        <v/>
      </c>
      <c r="AC673" s="34">
        <f>'[1]GÖP VERİLERİ'!I674</f>
        <v/>
      </c>
      <c r="AD673" s="34">
        <f>IF(AB673&gt;AC673*1.05,AB673-AC673*1.05,IF(AB673&lt;AC673*0.95,AC673*0.95-AB673,0))</f>
        <v/>
      </c>
      <c r="AE673" s="34">
        <f>MAX(F673,G673,750)*0.05*AD673</f>
        <v/>
      </c>
      <c r="AF673" s="34">
        <f>'[1]GÖP VERİLERİ'!J674</f>
        <v/>
      </c>
      <c r="AG673" s="34">
        <f>IF(AB673&gt;AF673*1.05,AB673-AF673*1.05,IF(AB673&lt;AF673*0.95,AF673*0.95-AB673,0))</f>
        <v/>
      </c>
      <c r="AH673" s="34">
        <f>MAX(I673,J673,750)*0.05*AG673</f>
        <v/>
      </c>
      <c r="AI673">
        <f>'[1]GÖP VERİLERİ'!E674</f>
        <v/>
      </c>
      <c r="AJ673">
        <f>'[1]GÖP VERİLERİ'!F674</f>
        <v/>
      </c>
      <c r="AK673" s="34">
        <f>IF(AI673&gt;AJ673*1.05,AI673-AJ673*1.05,IF(AI673&lt;AJ673*0.95,AJ673*0.95-AI673,0))</f>
        <v/>
      </c>
      <c r="AL673" s="34">
        <f>MAX(F673,G673,750)*0.05*AK673</f>
        <v/>
      </c>
      <c r="AM673" s="39">
        <f>'[1]GÖP VERİLERİ'!G674</f>
        <v/>
      </c>
      <c r="AN673" s="34">
        <f>IF(AI673&gt;AM673*1.05,AI673-AM673*1.05,IF(AI673&lt;AM673*0.95,AM673*0.95-AI673,0))</f>
        <v/>
      </c>
      <c r="AO673" s="34">
        <f>MAX(F673,G673,750)*0.05*AN673</f>
        <v/>
      </c>
      <c r="AP673" s="34">
        <f>'[1]GÖP VERİLERİ'!B674</f>
        <v/>
      </c>
      <c r="AQ673" s="34">
        <f>'[1]GÖP VERİLERİ'!C674</f>
        <v/>
      </c>
      <c r="AR673" s="34">
        <f>IF(AP673&gt;AQ673*1.05,AP673-AQ673*1.05,IF(AP673&lt;AQ673*0.95,AQ673*0.95-AP673,0))</f>
        <v/>
      </c>
      <c r="AS673" s="34">
        <f>MAX(F673:G673,750)*0.05*AR673</f>
        <v/>
      </c>
      <c r="AT673">
        <f>'[1]GÖP VERİLERİ'!D674</f>
        <v/>
      </c>
      <c r="AU673" s="34">
        <f>IF(AP673&gt;AT673*1.05,AP673-AT673*1.05,IF(AP673&lt;AT673*0.95,AT673*0.95-AP673,0))</f>
        <v/>
      </c>
      <c r="AV673" s="34">
        <f>MAX(F673:G673,750)*0.05*AU673</f>
        <v/>
      </c>
      <c r="AW673" s="34">
        <f>AC673+AJ673+AQ673</f>
        <v/>
      </c>
      <c r="AX673" s="34">
        <f>AF673+AM673+AT673</f>
        <v/>
      </c>
      <c r="AY673" s="34">
        <f>AB673+AI673+AP673</f>
        <v/>
      </c>
      <c r="AZ673" s="34" t="n">
        <v>0</v>
      </c>
      <c r="BA673" s="34">
        <f>AD673+AK673+AR673</f>
        <v/>
      </c>
      <c r="BB673" s="34">
        <f>MAX(F673:G673,750)*0.05*BA673</f>
        <v/>
      </c>
      <c r="BC673" s="34">
        <f>AG673+AN673+AU673</f>
        <v/>
      </c>
      <c r="BD673" s="34">
        <f>MAX(F673:G673,750)*0.05*BC673</f>
        <v/>
      </c>
      <c r="BE673" s="34">
        <f>F673*AY673</f>
        <v/>
      </c>
      <c r="BF673" s="34">
        <f>K673-M673</f>
        <v/>
      </c>
      <c r="BG673" s="34">
        <f>P673-S673</f>
        <v/>
      </c>
      <c r="BH673" s="34">
        <f>W673-AA673</f>
        <v/>
      </c>
      <c r="BI673" s="34">
        <f>BF673+BG673+BL673-BN673</f>
        <v/>
      </c>
      <c r="BJ673" s="34">
        <f>ABS(BK673)</f>
        <v/>
      </c>
      <c r="BK673" s="34">
        <f>AY673-(J673-L673+N673-Q673)</f>
        <v/>
      </c>
      <c r="BL673" s="34">
        <f>IF(AND(BK673&gt;0,MIN($F673:$G673)&lt;150,$E673="Enerji Açığı"),-100*BK673*1.03,IF(AND(BK673&gt;0,MIN($F673:$G673)&lt;150,$E673="Enerji Fazlası"),-100*BK673*1.06,IF(AND(BK673&gt;0,MIN($F673:$G673)&gt;=150,$E673="Enerji Açığı"),BK673*MIN($F673:$G673)*0.97,IF(AND(BK673&gt;0,MIN($F673:$G673)&gt;=150,$E673="Enerji Fazlası"),BK673*MIN($F673:$G673)*0.94,IF(AND(BK673&lt;0,MAX($F673:$G673)=4500,$E673="Enerji Açığı"),4500*1.05*1.06*BK673,IF(AND(BK673&lt;0,MAX($F673:$G673)=4500,$E673="Enerji Fazlası"),4500*1.05*1.03*BK673,IF(AND(BK673&lt;0,$E673="Enerji Açığı"),MAX($F673,$G673,150)*BK673*1.06,IF(AND(BK673&lt;0,$E673="Enerji Fazlası"),MAX($F673,$G673,150)*BK673*1.03,IF(AND(BK673&lt;0,$E673="Dengede"),MAX($F673:$G673,150)*1.03*BK673,MIN($F673:$G673)*0.97*BK673)))))))))</f>
        <v/>
      </c>
      <c r="BM673" s="34">
        <f>BE673-BI673-BN673</f>
        <v/>
      </c>
      <c r="BN673" s="34">
        <f>BB673</f>
        <v/>
      </c>
      <c r="BO673" s="34">
        <f>BE673-BI673</f>
        <v/>
      </c>
      <c r="BP673" s="34">
        <f>IF(AY673=0,0,BO673/AY673)</f>
        <v/>
      </c>
      <c r="BQ673" s="34">
        <f>MAX((AY673+MAX((-J673+L673-N673+Q673),0)),(MAX((J673-L673+N673-Q673),0)))</f>
        <v/>
      </c>
      <c r="BR673" s="82">
        <f>IFERROR(ABS(BK673/BQ673),0)</f>
        <v/>
      </c>
      <c r="BS673" s="34">
        <f>IF(BR673&lt;=0.1,0,BK673/BR673*(BR673-0.1))</f>
        <v/>
      </c>
      <c r="BT673" s="34">
        <f>IF((BS673)&lt;0,MAX(F673:G673)*(BS673)*1.03,MIN(F673:G673)*(BS673)*0.97)</f>
        <v/>
      </c>
      <c r="BU673" s="34">
        <f>IF(BR673&gt;0.1,1,0)</f>
        <v/>
      </c>
      <c r="BV673" s="34">
        <f>BF673+BG673+BH673+BY673-CA673</f>
        <v/>
      </c>
      <c r="BW673" s="34">
        <f>ABS(BX673)</f>
        <v/>
      </c>
      <c r="BX673" s="34">
        <f>AY673-(J673-L673+N673-Q673+T673-X673)</f>
        <v/>
      </c>
      <c r="BY673" s="34">
        <f>IF(AND(BX673&gt;0,MIN($F673:$G673)&lt;150,$E673="Enerji Açığı"),-100*BX673*1.03,IF(AND(BX673&gt;0,MIN($F673:$G673)&lt;150,$E673="Enerji Fazlası"),-100*BX673*1.06,IF(AND(BX673&gt;0,MIN($F673:$G673)&gt;=150,$E673="Enerji Açığı"),BX673*MIN($F673:$G673)*0.97,IF(AND(BX673&gt;0,MIN($F673:$G673)&gt;=150,$E673="Enerji Fazlası"),BX673*MIN($F673:$G673)*0.94,IF(AND(BX673&lt;0,MAX($F673:$G673)=4500,$E673="Enerji Açığı"),4500*1.05*1.06*BX673,IF(AND(BX673&lt;0,MAX($F673:$G673)=4500,$E673="Enerji Fazlası"),4500*1.05*1.03*BX673,IF(AND(BX673&lt;0,$E673="Enerji Açığı"),MAX($F673,$G673,150)*BX673*1.06,IF(AND(BX673&lt;0,$E673="Enerji Fazlası"),MAX($F673,$G673,150)*BX673*1.03,IF(AND(BX673&lt;0,$E673="Dengede"),MAX($F673:$G673,150)*1.03*BX673,MIN($F673:$G673)*0.97*BX673)))))))))</f>
        <v/>
      </c>
      <c r="BZ673" s="34">
        <f>BE673-BV673-CA673</f>
        <v/>
      </c>
      <c r="CA673" s="34">
        <f>BD673</f>
        <v/>
      </c>
      <c r="CB673" s="33">
        <f>BE673-BV673</f>
        <v/>
      </c>
      <c r="CC673" s="34">
        <f>IF(AY673=0,0,CB673/AY673)</f>
        <v/>
      </c>
      <c r="CD673" s="34">
        <f>MAX((AY673+MAX((-J673+L673-N673+Q673-T673+X673),0)),(MAX((J673-L673+N673-Q673+T673-X673),0)))</f>
        <v/>
      </c>
      <c r="CE673" s="82">
        <f>IFERROR(ABS(BX673/CD673),0)</f>
        <v/>
      </c>
      <c r="CF673" s="34">
        <f>IF(CE673&lt;=0.1,0,BX673/CE673*(CE673-0.1))</f>
        <v/>
      </c>
      <c r="CG673" s="34">
        <f>IF((CF673)&lt;0,MAX(F673:G673)*(CF673)*1.03,MIN(F673:G673)*(CF673)*0.97)</f>
        <v/>
      </c>
      <c r="CH673" s="34">
        <f>IF(CE673&gt;0.1,1,0)</f>
        <v/>
      </c>
      <c r="CI673" s="34">
        <f>(F673*BX673)-BY673</f>
        <v/>
      </c>
      <c r="CJ673" s="34">
        <f>IF(AY673=0,0,CI673/AY673)</f>
        <v/>
      </c>
    </row>
    <row r="674">
      <c r="A674" s="29">
        <f>[1]FİYATLAR!A649</f>
        <v/>
      </c>
      <c r="B674" s="29">
        <f>[1]FİYATLAR!B673</f>
        <v/>
      </c>
      <c r="C674" s="35">
        <f>INT(A674)</f>
        <v/>
      </c>
      <c r="D674" s="36">
        <f>MONTH(A674)</f>
        <v/>
      </c>
      <c r="E674" s="147">
        <f>[1]FİYATLAR!G649</f>
        <v/>
      </c>
      <c r="F674" s="30">
        <f>[1]FİYATLAR!C649</f>
        <v/>
      </c>
      <c r="G674" s="30">
        <f>[1]FİYATLAR!E649</f>
        <v/>
      </c>
      <c r="H674" s="30">
        <f>[1]FİYATLAR!D649</f>
        <v/>
      </c>
      <c r="I674" s="30">
        <f>[1]FİYATLAR!F649</f>
        <v/>
      </c>
      <c r="J674" s="119" t="n">
        <v>0</v>
      </c>
      <c r="K674" s="34">
        <f>F674*J674</f>
        <v/>
      </c>
      <c r="L674" s="119" t="n"/>
      <c r="M674" s="34">
        <f>L674*F674</f>
        <v/>
      </c>
      <c r="N674" s="119" t="n"/>
      <c r="O674" s="34">
        <f>F674</f>
        <v/>
      </c>
      <c r="P674" s="34">
        <f>N674*O674</f>
        <v/>
      </c>
      <c r="Q674" s="117" t="n">
        <v>0</v>
      </c>
      <c r="R674" s="34">
        <f>F674</f>
        <v/>
      </c>
      <c r="S674" s="34">
        <f>R674*Q674</f>
        <v/>
      </c>
      <c r="T674" s="34">
        <f>SUMIFS('[1]GİP VERİLERİ'!$C:$C,'[1]GİP VERİLERİ'!$B:$B,A674,'[1]GİP VERİLERİ'!$M:$M,"40X000000104782K",'[1]GİP VERİLERİ'!$G:$G,"SELL")</f>
        <v/>
      </c>
      <c r="U674" s="34">
        <f>IFERROR(W674/T674,0)</f>
        <v/>
      </c>
      <c r="V674" s="34">
        <f>IF(U674=0,0,U674-F674)</f>
        <v/>
      </c>
      <c r="W674" s="34">
        <f>SUMIFS('[1]GİP VERİLERİ'!$O:$O,'[1]GİP VERİLERİ'!$B:$B,A674,'[1]GİP VERİLERİ'!$M:$M,"40X000000104782K",'[1]GİP VERİLERİ'!$G:$G,"SELL")</f>
        <v/>
      </c>
      <c r="X674" s="34">
        <f>SUMIFS('[1]GİP VERİLERİ'!$C:$C,'[1]GİP VERİLERİ'!$B:$B,A674,'[1]GİP VERİLERİ'!$M:$M,"40X000000104782K",'[1]GİP VERİLERİ'!$G:$G,"BUY")</f>
        <v/>
      </c>
      <c r="Y674" s="34">
        <f>IFERROR(AA674/X674,0)</f>
        <v/>
      </c>
      <c r="Z674" s="34">
        <f>IF(Y674=0,0,F674-Y674)</f>
        <v/>
      </c>
      <c r="AA674" s="34">
        <f>SUMIFS('[1]GİP VERİLERİ'!$O:$O,'[1]GİP VERİLERİ'!$B:$B,A674,'[1]GİP VERİLERİ'!$M:$M,"40X000000104782K",'[1]GİP VERİLERİ'!$G:$G,"BUY")</f>
        <v/>
      </c>
      <c r="AB674" s="34">
        <f>'[1]GÖP VERİLERİ'!H675</f>
        <v/>
      </c>
      <c r="AC674" s="34">
        <f>'[1]GÖP VERİLERİ'!I675</f>
        <v/>
      </c>
      <c r="AD674" s="34">
        <f>IF(AB674&gt;AC674*1.05,AB674-AC674*1.05,IF(AB674&lt;AC674*0.95,AC674*0.95-AB674,0))</f>
        <v/>
      </c>
      <c r="AE674" s="34">
        <f>MAX(F674,G674,750)*0.05*AD674</f>
        <v/>
      </c>
      <c r="AF674" s="34">
        <f>'[1]GÖP VERİLERİ'!J675</f>
        <v/>
      </c>
      <c r="AG674" s="34">
        <f>IF(AB674&gt;AF674*1.05,AB674-AF674*1.05,IF(AB674&lt;AF674*0.95,AF674*0.95-AB674,0))</f>
        <v/>
      </c>
      <c r="AH674" s="34">
        <f>MAX(I674,J674,750)*0.05*AG674</f>
        <v/>
      </c>
      <c r="AI674">
        <f>'[1]GÖP VERİLERİ'!E675</f>
        <v/>
      </c>
      <c r="AJ674">
        <f>'[1]GÖP VERİLERİ'!F675</f>
        <v/>
      </c>
      <c r="AK674" s="34">
        <f>IF(AI674&gt;AJ674*1.05,AI674-AJ674*1.05,IF(AI674&lt;AJ674*0.95,AJ674*0.95-AI674,0))</f>
        <v/>
      </c>
      <c r="AL674" s="34">
        <f>MAX(F674,G674,750)*0.05*AK674</f>
        <v/>
      </c>
      <c r="AM674" s="39">
        <f>'[1]GÖP VERİLERİ'!G675</f>
        <v/>
      </c>
      <c r="AN674" s="34">
        <f>IF(AI674&gt;AM674*1.05,AI674-AM674*1.05,IF(AI674&lt;AM674*0.95,AM674*0.95-AI674,0))</f>
        <v/>
      </c>
      <c r="AO674" s="34">
        <f>MAX(F674,G674,750)*0.05*AN674</f>
        <v/>
      </c>
      <c r="AP674" s="34">
        <f>'[1]GÖP VERİLERİ'!B675</f>
        <v/>
      </c>
      <c r="AQ674" s="34">
        <f>'[1]GÖP VERİLERİ'!C675</f>
        <v/>
      </c>
      <c r="AR674" s="34">
        <f>IF(AP674&gt;AQ674*1.05,AP674-AQ674*1.05,IF(AP674&lt;AQ674*0.95,AQ674*0.95-AP674,0))</f>
        <v/>
      </c>
      <c r="AS674" s="34">
        <f>MAX(F674:G674,750)*0.05*AR674</f>
        <v/>
      </c>
      <c r="AT674">
        <f>'[1]GÖP VERİLERİ'!D675</f>
        <v/>
      </c>
      <c r="AU674" s="34">
        <f>IF(AP674&gt;AT674*1.05,AP674-AT674*1.05,IF(AP674&lt;AT674*0.95,AT674*0.95-AP674,0))</f>
        <v/>
      </c>
      <c r="AV674" s="34">
        <f>MAX(F674:G674,750)*0.05*AU674</f>
        <v/>
      </c>
      <c r="AW674" s="34">
        <f>AC674+AJ674+AQ674</f>
        <v/>
      </c>
      <c r="AX674" s="34">
        <f>AF674+AM674+AT674</f>
        <v/>
      </c>
      <c r="AY674" s="34">
        <f>AB674+AI674+AP674</f>
        <v/>
      </c>
      <c r="AZ674" s="34" t="n">
        <v>0</v>
      </c>
      <c r="BA674" s="34">
        <f>AD674+AK674+AR674</f>
        <v/>
      </c>
      <c r="BB674" s="34">
        <f>MAX(F674:G674,750)*0.05*BA674</f>
        <v/>
      </c>
      <c r="BC674" s="34">
        <f>AG674+AN674+AU674</f>
        <v/>
      </c>
      <c r="BD674" s="34">
        <f>MAX(F674:G674,750)*0.05*BC674</f>
        <v/>
      </c>
      <c r="BE674" s="34">
        <f>F674*AY674</f>
        <v/>
      </c>
      <c r="BF674" s="34">
        <f>K674-M674</f>
        <v/>
      </c>
      <c r="BG674" s="34">
        <f>P674-S674</f>
        <v/>
      </c>
      <c r="BH674" s="34">
        <f>W674-AA674</f>
        <v/>
      </c>
      <c r="BI674" s="34">
        <f>BF674+BG674+BL674-BN674</f>
        <v/>
      </c>
      <c r="BJ674" s="34">
        <f>ABS(BK674)</f>
        <v/>
      </c>
      <c r="BK674" s="34">
        <f>AY674-(J674-L674+N674-Q674)</f>
        <v/>
      </c>
      <c r="BL674" s="34">
        <f>IF(AND(BK674&gt;0,MIN($F674:$G674)&lt;150,$E674="Enerji Açığı"),-100*BK674*1.03,IF(AND(BK674&gt;0,MIN($F674:$G674)&lt;150,$E674="Enerji Fazlası"),-100*BK674*1.06,IF(AND(BK674&gt;0,MIN($F674:$G674)&gt;=150,$E674="Enerji Açığı"),BK674*MIN($F674:$G674)*0.97,IF(AND(BK674&gt;0,MIN($F674:$G674)&gt;=150,$E674="Enerji Fazlası"),BK674*MIN($F674:$G674)*0.94,IF(AND(BK674&lt;0,MAX($F674:$G674)=4500,$E674="Enerji Açığı"),4500*1.05*1.06*BK674,IF(AND(BK674&lt;0,MAX($F674:$G674)=4500,$E674="Enerji Fazlası"),4500*1.05*1.03*BK674,IF(AND(BK674&lt;0,$E674="Enerji Açığı"),MAX($F674,$G674,150)*BK674*1.06,IF(AND(BK674&lt;0,$E674="Enerji Fazlası"),MAX($F674,$G674,150)*BK674*1.03,IF(AND(BK674&lt;0,$E674="Dengede"),MAX($F674:$G674,150)*1.03*BK674,MIN($F674:$G674)*0.97*BK674)))))))))</f>
        <v/>
      </c>
      <c r="BM674" s="34">
        <f>BE674-BI674-BN674</f>
        <v/>
      </c>
      <c r="BN674" s="34">
        <f>BB674</f>
        <v/>
      </c>
      <c r="BO674" s="34">
        <f>BE674-BI674</f>
        <v/>
      </c>
      <c r="BP674" s="34">
        <f>IF(AY674=0,0,BO674/AY674)</f>
        <v/>
      </c>
      <c r="BQ674" s="34">
        <f>MAX((AY674+MAX((-J674+L674-N674+Q674),0)),(MAX((J674-L674+N674-Q674),0)))</f>
        <v/>
      </c>
      <c r="BR674" s="82">
        <f>IFERROR(ABS(BK674/BQ674),0)</f>
        <v/>
      </c>
      <c r="BS674" s="34">
        <f>IF(BR674&lt;=0.1,0,BK674/BR674*(BR674-0.1))</f>
        <v/>
      </c>
      <c r="BT674" s="34">
        <f>IF((BS674)&lt;0,MAX(F674:G674)*(BS674)*1.03,MIN(F674:G674)*(BS674)*0.97)</f>
        <v/>
      </c>
      <c r="BU674" s="34">
        <f>IF(BR674&gt;0.1,1,0)</f>
        <v/>
      </c>
      <c r="BV674" s="34">
        <f>BF674+BG674+BH674+BY674-CA674</f>
        <v/>
      </c>
      <c r="BW674" s="34">
        <f>ABS(BX674)</f>
        <v/>
      </c>
      <c r="BX674" s="34">
        <f>AY674-(J674-L674+N674-Q674+T674-X674)</f>
        <v/>
      </c>
      <c r="BY674" s="34">
        <f>IF(AND(BX674&gt;0,MIN($F674:$G674)&lt;150,$E674="Enerji Açığı"),-100*BX674*1.03,IF(AND(BX674&gt;0,MIN($F674:$G674)&lt;150,$E674="Enerji Fazlası"),-100*BX674*1.06,IF(AND(BX674&gt;0,MIN($F674:$G674)&gt;=150,$E674="Enerji Açığı"),BX674*MIN($F674:$G674)*0.97,IF(AND(BX674&gt;0,MIN($F674:$G674)&gt;=150,$E674="Enerji Fazlası"),BX674*MIN($F674:$G674)*0.94,IF(AND(BX674&lt;0,MAX($F674:$G674)=4500,$E674="Enerji Açığı"),4500*1.05*1.06*BX674,IF(AND(BX674&lt;0,MAX($F674:$G674)=4500,$E674="Enerji Fazlası"),4500*1.05*1.03*BX674,IF(AND(BX674&lt;0,$E674="Enerji Açığı"),MAX($F674,$G674,150)*BX674*1.06,IF(AND(BX674&lt;0,$E674="Enerji Fazlası"),MAX($F674,$G674,150)*BX674*1.03,IF(AND(BX674&lt;0,$E674="Dengede"),MAX($F674:$G674,150)*1.03*BX674,MIN($F674:$G674)*0.97*BX674)))))))))</f>
        <v/>
      </c>
      <c r="BZ674" s="34">
        <f>BE674-BV674-CA674</f>
        <v/>
      </c>
      <c r="CA674" s="34">
        <f>BD674</f>
        <v/>
      </c>
      <c r="CB674" s="33">
        <f>BE674-BV674</f>
        <v/>
      </c>
      <c r="CC674" s="34">
        <f>IF(AY674=0,0,CB674/AY674)</f>
        <v/>
      </c>
      <c r="CD674" s="34">
        <f>MAX((AY674+MAX((-J674+L674-N674+Q674-T674+X674),0)),(MAX((J674-L674+N674-Q674+T674-X674),0)))</f>
        <v/>
      </c>
      <c r="CE674" s="82">
        <f>IFERROR(ABS(BX674/CD674),0)</f>
        <v/>
      </c>
      <c r="CF674" s="34">
        <f>IF(CE674&lt;=0.1,0,BX674/CE674*(CE674-0.1))</f>
        <v/>
      </c>
      <c r="CG674" s="34">
        <f>IF((CF674)&lt;0,MAX(F674:G674)*(CF674)*1.03,MIN(F674:G674)*(CF674)*0.97)</f>
        <v/>
      </c>
      <c r="CH674" s="34">
        <f>IF(CE674&gt;0.1,1,0)</f>
        <v/>
      </c>
      <c r="CI674" s="34">
        <f>(F674*BX674)-BY674</f>
        <v/>
      </c>
      <c r="CJ674" s="34">
        <f>IF(AY674=0,0,CI674/AY674)</f>
        <v/>
      </c>
    </row>
    <row r="675">
      <c r="A675" s="29">
        <f>[1]FİYATLAR!A650</f>
        <v/>
      </c>
      <c r="B675" s="29">
        <f>[1]FİYATLAR!B674</f>
        <v/>
      </c>
      <c r="C675" s="35">
        <f>INT(A675)</f>
        <v/>
      </c>
      <c r="D675" s="36">
        <f>MONTH(A675)</f>
        <v/>
      </c>
      <c r="E675" s="147">
        <f>[1]FİYATLAR!G650</f>
        <v/>
      </c>
      <c r="F675" s="30">
        <f>[1]FİYATLAR!C650</f>
        <v/>
      </c>
      <c r="G675" s="30">
        <f>[1]FİYATLAR!E650</f>
        <v/>
      </c>
      <c r="H675" s="30">
        <f>[1]FİYATLAR!D650</f>
        <v/>
      </c>
      <c r="I675" s="30">
        <f>[1]FİYATLAR!F650</f>
        <v/>
      </c>
      <c r="J675" s="119" t="n">
        <v>0</v>
      </c>
      <c r="K675" s="34">
        <f>F675*J675</f>
        <v/>
      </c>
      <c r="L675" s="119" t="n"/>
      <c r="M675" s="34">
        <f>L675*F675</f>
        <v/>
      </c>
      <c r="N675" s="119" t="n"/>
      <c r="O675" s="34">
        <f>F675</f>
        <v/>
      </c>
      <c r="P675" s="34">
        <f>N675*O675</f>
        <v/>
      </c>
      <c r="Q675" s="117" t="n">
        <v>0</v>
      </c>
      <c r="R675" s="34">
        <f>F675</f>
        <v/>
      </c>
      <c r="S675" s="34">
        <f>R675*Q675</f>
        <v/>
      </c>
      <c r="T675" s="34">
        <f>SUMIFS('[1]GİP VERİLERİ'!$C:$C,'[1]GİP VERİLERİ'!$B:$B,A675,'[1]GİP VERİLERİ'!$M:$M,"40X000000104782K",'[1]GİP VERİLERİ'!$G:$G,"SELL")</f>
        <v/>
      </c>
      <c r="U675" s="34">
        <f>IFERROR(W675/T675,0)</f>
        <v/>
      </c>
      <c r="V675" s="34">
        <f>IF(U675=0,0,U675-F675)</f>
        <v/>
      </c>
      <c r="W675" s="34">
        <f>SUMIFS('[1]GİP VERİLERİ'!$O:$O,'[1]GİP VERİLERİ'!$B:$B,A675,'[1]GİP VERİLERİ'!$M:$M,"40X000000104782K",'[1]GİP VERİLERİ'!$G:$G,"SELL")</f>
        <v/>
      </c>
      <c r="X675" s="34">
        <f>SUMIFS('[1]GİP VERİLERİ'!$C:$C,'[1]GİP VERİLERİ'!$B:$B,A675,'[1]GİP VERİLERİ'!$M:$M,"40X000000104782K",'[1]GİP VERİLERİ'!$G:$G,"BUY")</f>
        <v/>
      </c>
      <c r="Y675" s="34">
        <f>IFERROR(AA675/X675,0)</f>
        <v/>
      </c>
      <c r="Z675" s="34">
        <f>IF(Y675=0,0,F675-Y675)</f>
        <v/>
      </c>
      <c r="AA675" s="34">
        <f>SUMIFS('[1]GİP VERİLERİ'!$O:$O,'[1]GİP VERİLERİ'!$B:$B,A675,'[1]GİP VERİLERİ'!$M:$M,"40X000000104782K",'[1]GİP VERİLERİ'!$G:$G,"BUY")</f>
        <v/>
      </c>
      <c r="AB675" s="34">
        <f>'[1]GÖP VERİLERİ'!H676</f>
        <v/>
      </c>
      <c r="AC675" s="34">
        <f>'[1]GÖP VERİLERİ'!I676</f>
        <v/>
      </c>
      <c r="AD675" s="34">
        <f>IF(AB675&gt;AC675*1.05,AB675-AC675*1.05,IF(AB675&lt;AC675*0.95,AC675*0.95-AB675,0))</f>
        <v/>
      </c>
      <c r="AE675" s="34">
        <f>MAX(F675,G675,750)*0.05*AD675</f>
        <v/>
      </c>
      <c r="AF675" s="34">
        <f>'[1]GÖP VERİLERİ'!J676</f>
        <v/>
      </c>
      <c r="AG675" s="34">
        <f>IF(AB675&gt;AF675*1.05,AB675-AF675*1.05,IF(AB675&lt;AF675*0.95,AF675*0.95-AB675,0))</f>
        <v/>
      </c>
      <c r="AH675" s="34">
        <f>MAX(I675,J675,750)*0.05*AG675</f>
        <v/>
      </c>
      <c r="AI675">
        <f>'[1]GÖP VERİLERİ'!E676</f>
        <v/>
      </c>
      <c r="AJ675">
        <f>'[1]GÖP VERİLERİ'!F676</f>
        <v/>
      </c>
      <c r="AK675" s="34">
        <f>IF(AI675&gt;AJ675*1.05,AI675-AJ675*1.05,IF(AI675&lt;AJ675*0.95,AJ675*0.95-AI675,0))</f>
        <v/>
      </c>
      <c r="AL675" s="34">
        <f>MAX(F675,G675,750)*0.05*AK675</f>
        <v/>
      </c>
      <c r="AM675" s="39">
        <f>'[1]GÖP VERİLERİ'!G676</f>
        <v/>
      </c>
      <c r="AN675" s="34">
        <f>IF(AI675&gt;AM675*1.05,AI675-AM675*1.05,IF(AI675&lt;AM675*0.95,AM675*0.95-AI675,0))</f>
        <v/>
      </c>
      <c r="AO675" s="34">
        <f>MAX(F675,G675,750)*0.05*AN675</f>
        <v/>
      </c>
      <c r="AP675" s="34">
        <f>'[1]GÖP VERİLERİ'!B676</f>
        <v/>
      </c>
      <c r="AQ675" s="34">
        <f>'[1]GÖP VERİLERİ'!C676</f>
        <v/>
      </c>
      <c r="AR675" s="34">
        <f>IF(AP675&gt;AQ675*1.05,AP675-AQ675*1.05,IF(AP675&lt;AQ675*0.95,AQ675*0.95-AP675,0))</f>
        <v/>
      </c>
      <c r="AS675" s="34">
        <f>MAX(F675:G675,750)*0.05*AR675</f>
        <v/>
      </c>
      <c r="AT675">
        <f>'[1]GÖP VERİLERİ'!D676</f>
        <v/>
      </c>
      <c r="AU675" s="34">
        <f>IF(AP675&gt;AT675*1.05,AP675-AT675*1.05,IF(AP675&lt;AT675*0.95,AT675*0.95-AP675,0))</f>
        <v/>
      </c>
      <c r="AV675" s="34">
        <f>MAX(F675:G675,750)*0.05*AU675</f>
        <v/>
      </c>
      <c r="AW675" s="34">
        <f>AC675+AJ675+AQ675</f>
        <v/>
      </c>
      <c r="AX675" s="34">
        <f>AF675+AM675+AT675</f>
        <v/>
      </c>
      <c r="AY675" s="34">
        <f>AB675+AI675+AP675</f>
        <v/>
      </c>
      <c r="AZ675" s="34" t="n">
        <v>0</v>
      </c>
      <c r="BA675" s="34">
        <f>AD675+AK675+AR675</f>
        <v/>
      </c>
      <c r="BB675" s="34">
        <f>MAX(F675:G675,750)*0.05*BA675</f>
        <v/>
      </c>
      <c r="BC675" s="34">
        <f>AG675+AN675+AU675</f>
        <v/>
      </c>
      <c r="BD675" s="34">
        <f>MAX(F675:G675,750)*0.05*BC675</f>
        <v/>
      </c>
      <c r="BE675" s="34">
        <f>F675*AY675</f>
        <v/>
      </c>
      <c r="BF675" s="34">
        <f>K675-M675</f>
        <v/>
      </c>
      <c r="BG675" s="34">
        <f>P675-S675</f>
        <v/>
      </c>
      <c r="BH675" s="34">
        <f>W675-AA675</f>
        <v/>
      </c>
      <c r="BI675" s="34">
        <f>BF675+BG675+BL675-BN675</f>
        <v/>
      </c>
      <c r="BJ675" s="34">
        <f>ABS(BK675)</f>
        <v/>
      </c>
      <c r="BK675" s="34">
        <f>AY675-(J675-L675+N675-Q675)</f>
        <v/>
      </c>
      <c r="BL675" s="34">
        <f>IF(AND(BK675&gt;0,MIN($F675:$G675)&lt;150,$E675="Enerji Açığı"),-100*BK675*1.03,IF(AND(BK675&gt;0,MIN($F675:$G675)&lt;150,$E675="Enerji Fazlası"),-100*BK675*1.06,IF(AND(BK675&gt;0,MIN($F675:$G675)&gt;=150,$E675="Enerji Açığı"),BK675*MIN($F675:$G675)*0.97,IF(AND(BK675&gt;0,MIN($F675:$G675)&gt;=150,$E675="Enerji Fazlası"),BK675*MIN($F675:$G675)*0.94,IF(AND(BK675&lt;0,MAX($F675:$G675)=4500,$E675="Enerji Açığı"),4500*1.05*1.06*BK675,IF(AND(BK675&lt;0,MAX($F675:$G675)=4500,$E675="Enerji Fazlası"),4500*1.05*1.03*BK675,IF(AND(BK675&lt;0,$E675="Enerji Açığı"),MAX($F675,$G675,150)*BK675*1.06,IF(AND(BK675&lt;0,$E675="Enerji Fazlası"),MAX($F675,$G675,150)*BK675*1.03,IF(AND(BK675&lt;0,$E675="Dengede"),MAX($F675:$G675,150)*1.03*BK675,MIN($F675:$G675)*0.97*BK675)))))))))</f>
        <v/>
      </c>
      <c r="BM675" s="34">
        <f>BE675-BI675-BN675</f>
        <v/>
      </c>
      <c r="BN675" s="34">
        <f>BB675</f>
        <v/>
      </c>
      <c r="BO675" s="34">
        <f>BE675-BI675</f>
        <v/>
      </c>
      <c r="BP675" s="34">
        <f>IF(AY675=0,0,BO675/AY675)</f>
        <v/>
      </c>
      <c r="BQ675" s="34">
        <f>MAX((AY675+MAX((-J675+L675-N675+Q675),0)),(MAX((J675-L675+N675-Q675),0)))</f>
        <v/>
      </c>
      <c r="BR675" s="82">
        <f>IFERROR(ABS(BK675/BQ675),0)</f>
        <v/>
      </c>
      <c r="BS675" s="34">
        <f>IF(BR675&lt;=0.1,0,BK675/BR675*(BR675-0.1))</f>
        <v/>
      </c>
      <c r="BT675" s="34">
        <f>IF((BS675)&lt;0,MAX(F675:G675)*(BS675)*1.03,MIN(F675:G675)*(BS675)*0.97)</f>
        <v/>
      </c>
      <c r="BU675" s="34">
        <f>IF(BR675&gt;0.1,1,0)</f>
        <v/>
      </c>
      <c r="BV675" s="34">
        <f>BF675+BG675+BH675+BY675-CA675</f>
        <v/>
      </c>
      <c r="BW675" s="34">
        <f>ABS(BX675)</f>
        <v/>
      </c>
      <c r="BX675" s="34">
        <f>AY675-(J675-L675+N675-Q675+T675-X675)</f>
        <v/>
      </c>
      <c r="BY675" s="34">
        <f>IF(AND(BX675&gt;0,MIN($F675:$G675)&lt;150,$E675="Enerji Açığı"),-100*BX675*1.03,IF(AND(BX675&gt;0,MIN($F675:$G675)&lt;150,$E675="Enerji Fazlası"),-100*BX675*1.06,IF(AND(BX675&gt;0,MIN($F675:$G675)&gt;=150,$E675="Enerji Açığı"),BX675*MIN($F675:$G675)*0.97,IF(AND(BX675&gt;0,MIN($F675:$G675)&gt;=150,$E675="Enerji Fazlası"),BX675*MIN($F675:$G675)*0.94,IF(AND(BX675&lt;0,MAX($F675:$G675)=4500,$E675="Enerji Açığı"),4500*1.05*1.06*BX675,IF(AND(BX675&lt;0,MAX($F675:$G675)=4500,$E675="Enerji Fazlası"),4500*1.05*1.03*BX675,IF(AND(BX675&lt;0,$E675="Enerji Açığı"),MAX($F675,$G675,150)*BX675*1.06,IF(AND(BX675&lt;0,$E675="Enerji Fazlası"),MAX($F675,$G675,150)*BX675*1.03,IF(AND(BX675&lt;0,$E675="Dengede"),MAX($F675:$G675,150)*1.03*BX675,MIN($F675:$G675)*0.97*BX675)))))))))</f>
        <v/>
      </c>
      <c r="BZ675" s="34">
        <f>BE675-BV675-CA675</f>
        <v/>
      </c>
      <c r="CA675" s="34">
        <f>BD675</f>
        <v/>
      </c>
      <c r="CB675" s="33">
        <f>BE675-BV675</f>
        <v/>
      </c>
      <c r="CC675" s="34">
        <f>IF(AY675=0,0,CB675/AY675)</f>
        <v/>
      </c>
      <c r="CD675" s="34">
        <f>MAX((AY675+MAX((-J675+L675-N675+Q675-T675+X675),0)),(MAX((J675-L675+N675-Q675+T675-X675),0)))</f>
        <v/>
      </c>
      <c r="CE675" s="82">
        <f>IFERROR(ABS(BX675/CD675),0)</f>
        <v/>
      </c>
      <c r="CF675" s="34">
        <f>IF(CE675&lt;=0.1,0,BX675/CE675*(CE675-0.1))</f>
        <v/>
      </c>
      <c r="CG675" s="34">
        <f>IF((CF675)&lt;0,MAX(F675:G675)*(CF675)*1.03,MIN(F675:G675)*(CF675)*0.97)</f>
        <v/>
      </c>
      <c r="CH675" s="34">
        <f>IF(CE675&gt;0.1,1,0)</f>
        <v/>
      </c>
      <c r="CI675" s="34">
        <f>(F675*BX675)-BY675</f>
        <v/>
      </c>
      <c r="CJ675" s="34">
        <f>IF(AY675=0,0,CI675/AY675)</f>
        <v/>
      </c>
    </row>
    <row r="676">
      <c r="A676" s="29">
        <f>[1]FİYATLAR!A651</f>
        <v/>
      </c>
      <c r="B676" s="29">
        <f>[1]FİYATLAR!B675</f>
        <v/>
      </c>
      <c r="C676" s="35">
        <f>INT(A676)</f>
        <v/>
      </c>
      <c r="D676" s="36">
        <f>MONTH(A676)</f>
        <v/>
      </c>
      <c r="E676" s="147">
        <f>[1]FİYATLAR!G651</f>
        <v/>
      </c>
      <c r="F676" s="30">
        <f>[1]FİYATLAR!C651</f>
        <v/>
      </c>
      <c r="G676" s="30">
        <f>[1]FİYATLAR!E651</f>
        <v/>
      </c>
      <c r="H676" s="30">
        <f>[1]FİYATLAR!D651</f>
        <v/>
      </c>
      <c r="I676" s="30">
        <f>[1]FİYATLAR!F651</f>
        <v/>
      </c>
      <c r="J676" s="119" t="n">
        <v>0</v>
      </c>
      <c r="K676" s="34">
        <f>F676*J676</f>
        <v/>
      </c>
      <c r="L676" s="119" t="n"/>
      <c r="M676" s="34">
        <f>L676*F676</f>
        <v/>
      </c>
      <c r="N676" s="119" t="n"/>
      <c r="O676" s="34">
        <f>F676</f>
        <v/>
      </c>
      <c r="P676" s="34">
        <f>N676*O676</f>
        <v/>
      </c>
      <c r="Q676" s="117" t="n">
        <v>0</v>
      </c>
      <c r="R676" s="34">
        <f>F676</f>
        <v/>
      </c>
      <c r="S676" s="34">
        <f>R676*Q676</f>
        <v/>
      </c>
      <c r="T676" s="34">
        <f>SUMIFS('[1]GİP VERİLERİ'!$C:$C,'[1]GİP VERİLERİ'!$B:$B,A676,'[1]GİP VERİLERİ'!$M:$M,"40X000000104782K",'[1]GİP VERİLERİ'!$G:$G,"SELL")</f>
        <v/>
      </c>
      <c r="U676" s="34">
        <f>IFERROR(W676/T676,0)</f>
        <v/>
      </c>
      <c r="V676" s="34">
        <f>IF(U676=0,0,U676-F676)</f>
        <v/>
      </c>
      <c r="W676" s="34">
        <f>SUMIFS('[1]GİP VERİLERİ'!$O:$O,'[1]GİP VERİLERİ'!$B:$B,A676,'[1]GİP VERİLERİ'!$M:$M,"40X000000104782K",'[1]GİP VERİLERİ'!$G:$G,"SELL")</f>
        <v/>
      </c>
      <c r="X676" s="34">
        <f>SUMIFS('[1]GİP VERİLERİ'!$C:$C,'[1]GİP VERİLERİ'!$B:$B,A676,'[1]GİP VERİLERİ'!$M:$M,"40X000000104782K",'[1]GİP VERİLERİ'!$G:$G,"BUY")</f>
        <v/>
      </c>
      <c r="Y676" s="34">
        <f>IFERROR(AA676/X676,0)</f>
        <v/>
      </c>
      <c r="Z676" s="34">
        <f>IF(Y676=0,0,F676-Y676)</f>
        <v/>
      </c>
      <c r="AA676" s="34">
        <f>SUMIFS('[1]GİP VERİLERİ'!$O:$O,'[1]GİP VERİLERİ'!$B:$B,A676,'[1]GİP VERİLERİ'!$M:$M,"40X000000104782K",'[1]GİP VERİLERİ'!$G:$G,"BUY")</f>
        <v/>
      </c>
      <c r="AB676" s="34">
        <f>'[1]GÖP VERİLERİ'!H677</f>
        <v/>
      </c>
      <c r="AC676" s="34">
        <f>'[1]GÖP VERİLERİ'!I677</f>
        <v/>
      </c>
      <c r="AD676" s="34">
        <f>IF(AB676&gt;AC676*1.05,AB676-AC676*1.05,IF(AB676&lt;AC676*0.95,AC676*0.95-AB676,0))</f>
        <v/>
      </c>
      <c r="AE676" s="34">
        <f>MAX(F676,G676,750)*0.05*AD676</f>
        <v/>
      </c>
      <c r="AF676" s="34">
        <f>'[1]GÖP VERİLERİ'!J677</f>
        <v/>
      </c>
      <c r="AG676" s="34">
        <f>IF(AB676&gt;AF676*1.05,AB676-AF676*1.05,IF(AB676&lt;AF676*0.95,AF676*0.95-AB676,0))</f>
        <v/>
      </c>
      <c r="AH676" s="34">
        <f>MAX(I676,J676,750)*0.05*AG676</f>
        <v/>
      </c>
      <c r="AI676">
        <f>'[1]GÖP VERİLERİ'!E677</f>
        <v/>
      </c>
      <c r="AJ676">
        <f>'[1]GÖP VERİLERİ'!F677</f>
        <v/>
      </c>
      <c r="AK676" s="34">
        <f>IF(AI676&gt;AJ676*1.05,AI676-AJ676*1.05,IF(AI676&lt;AJ676*0.95,AJ676*0.95-AI676,0))</f>
        <v/>
      </c>
      <c r="AL676" s="34">
        <f>MAX(F676,G676,750)*0.05*AK676</f>
        <v/>
      </c>
      <c r="AM676" s="39">
        <f>'[1]GÖP VERİLERİ'!G677</f>
        <v/>
      </c>
      <c r="AN676" s="34">
        <f>IF(AI676&gt;AM676*1.05,AI676-AM676*1.05,IF(AI676&lt;AM676*0.95,AM676*0.95-AI676,0))</f>
        <v/>
      </c>
      <c r="AO676" s="34">
        <f>MAX(F676,G676,750)*0.05*AN676</f>
        <v/>
      </c>
      <c r="AP676" s="34">
        <f>'[1]GÖP VERİLERİ'!B677</f>
        <v/>
      </c>
      <c r="AQ676" s="34">
        <f>'[1]GÖP VERİLERİ'!C677</f>
        <v/>
      </c>
      <c r="AR676" s="34">
        <f>IF(AP676&gt;AQ676*1.05,AP676-AQ676*1.05,IF(AP676&lt;AQ676*0.95,AQ676*0.95-AP676,0))</f>
        <v/>
      </c>
      <c r="AS676" s="34">
        <f>MAX(F676:G676,750)*0.05*AR676</f>
        <v/>
      </c>
      <c r="AT676">
        <f>'[1]GÖP VERİLERİ'!D677</f>
        <v/>
      </c>
      <c r="AU676" s="34">
        <f>IF(AP676&gt;AT676*1.05,AP676-AT676*1.05,IF(AP676&lt;AT676*0.95,AT676*0.95-AP676,0))</f>
        <v/>
      </c>
      <c r="AV676" s="34">
        <f>MAX(F676:G676,750)*0.05*AU676</f>
        <v/>
      </c>
      <c r="AW676" s="34">
        <f>AC676+AJ676+AQ676</f>
        <v/>
      </c>
      <c r="AX676" s="34">
        <f>AF676+AM676+AT676</f>
        <v/>
      </c>
      <c r="AY676" s="34">
        <f>AB676+AI676+AP676</f>
        <v/>
      </c>
      <c r="AZ676" s="34" t="n">
        <v>0</v>
      </c>
      <c r="BA676" s="34">
        <f>AD676+AK676+AR676</f>
        <v/>
      </c>
      <c r="BB676" s="34">
        <f>MAX(F676:G676,750)*0.05*BA676</f>
        <v/>
      </c>
      <c r="BC676" s="34">
        <f>AG676+AN676+AU676</f>
        <v/>
      </c>
      <c r="BD676" s="34">
        <f>MAX(F676:G676,750)*0.05*BC676</f>
        <v/>
      </c>
      <c r="BE676" s="34">
        <f>F676*AY676</f>
        <v/>
      </c>
      <c r="BF676" s="34">
        <f>K676-M676</f>
        <v/>
      </c>
      <c r="BG676" s="34">
        <f>P676-S676</f>
        <v/>
      </c>
      <c r="BH676" s="34">
        <f>W676-AA676</f>
        <v/>
      </c>
      <c r="BI676" s="34">
        <f>BF676+BG676+BL676-BN676</f>
        <v/>
      </c>
      <c r="BJ676" s="34">
        <f>ABS(BK676)</f>
        <v/>
      </c>
      <c r="BK676" s="34">
        <f>AY676-(J676-L676+N676-Q676)</f>
        <v/>
      </c>
      <c r="BL676" s="34">
        <f>IF(AND(BK676&gt;0,MIN($F676:$G676)&lt;150,$E676="Enerji Açığı"),-100*BK676*1.03,IF(AND(BK676&gt;0,MIN($F676:$G676)&lt;150,$E676="Enerji Fazlası"),-100*BK676*1.06,IF(AND(BK676&gt;0,MIN($F676:$G676)&gt;=150,$E676="Enerji Açığı"),BK676*MIN($F676:$G676)*0.97,IF(AND(BK676&gt;0,MIN($F676:$G676)&gt;=150,$E676="Enerji Fazlası"),BK676*MIN($F676:$G676)*0.94,IF(AND(BK676&lt;0,MAX($F676:$G676)=4500,$E676="Enerji Açığı"),4500*1.05*1.06*BK676,IF(AND(BK676&lt;0,MAX($F676:$G676)=4500,$E676="Enerji Fazlası"),4500*1.05*1.03*BK676,IF(AND(BK676&lt;0,$E676="Enerji Açığı"),MAX($F676,$G676,150)*BK676*1.06,IF(AND(BK676&lt;0,$E676="Enerji Fazlası"),MAX($F676,$G676,150)*BK676*1.03,IF(AND(BK676&lt;0,$E676="Dengede"),MAX($F676:$G676,150)*1.03*BK676,MIN($F676:$G676)*0.97*BK676)))))))))</f>
        <v/>
      </c>
      <c r="BM676" s="34">
        <f>BE676-BI676-BN676</f>
        <v/>
      </c>
      <c r="BN676" s="34">
        <f>BB676</f>
        <v/>
      </c>
      <c r="BO676" s="34">
        <f>BE676-BI676</f>
        <v/>
      </c>
      <c r="BP676" s="34">
        <f>IF(AY676=0,0,BO676/AY676)</f>
        <v/>
      </c>
      <c r="BQ676" s="34">
        <f>MAX((AY676+MAX((-J676+L676-N676+Q676),0)),(MAX((J676-L676+N676-Q676),0)))</f>
        <v/>
      </c>
      <c r="BR676" s="82">
        <f>IFERROR(ABS(BK676/BQ676),0)</f>
        <v/>
      </c>
      <c r="BS676" s="34">
        <f>IF(BR676&lt;=0.1,0,BK676/BR676*(BR676-0.1))</f>
        <v/>
      </c>
      <c r="BT676" s="34">
        <f>IF((BS676)&lt;0,MAX(F676:G676)*(BS676)*1.03,MIN(F676:G676)*(BS676)*0.97)</f>
        <v/>
      </c>
      <c r="BU676" s="34">
        <f>IF(BR676&gt;0.1,1,0)</f>
        <v/>
      </c>
      <c r="BV676" s="34">
        <f>BF676+BG676+BH676+BY676-CA676</f>
        <v/>
      </c>
      <c r="BW676" s="34">
        <f>ABS(BX676)</f>
        <v/>
      </c>
      <c r="BX676" s="34">
        <f>AY676-(J676-L676+N676-Q676+T676-X676)</f>
        <v/>
      </c>
      <c r="BY676" s="34">
        <f>IF(AND(BX676&gt;0,MIN($F676:$G676)&lt;150,$E676="Enerji Açığı"),-100*BX676*1.03,IF(AND(BX676&gt;0,MIN($F676:$G676)&lt;150,$E676="Enerji Fazlası"),-100*BX676*1.06,IF(AND(BX676&gt;0,MIN($F676:$G676)&gt;=150,$E676="Enerji Açığı"),BX676*MIN($F676:$G676)*0.97,IF(AND(BX676&gt;0,MIN($F676:$G676)&gt;=150,$E676="Enerji Fazlası"),BX676*MIN($F676:$G676)*0.94,IF(AND(BX676&lt;0,MAX($F676:$G676)=4500,$E676="Enerji Açığı"),4500*1.05*1.06*BX676,IF(AND(BX676&lt;0,MAX($F676:$G676)=4500,$E676="Enerji Fazlası"),4500*1.05*1.03*BX676,IF(AND(BX676&lt;0,$E676="Enerji Açığı"),MAX($F676,$G676,150)*BX676*1.06,IF(AND(BX676&lt;0,$E676="Enerji Fazlası"),MAX($F676,$G676,150)*BX676*1.03,IF(AND(BX676&lt;0,$E676="Dengede"),MAX($F676:$G676,150)*1.03*BX676,MIN($F676:$G676)*0.97*BX676)))))))))</f>
        <v/>
      </c>
      <c r="BZ676" s="34">
        <f>BE676-BV676-CA676</f>
        <v/>
      </c>
      <c r="CA676" s="34">
        <f>BD676</f>
        <v/>
      </c>
      <c r="CB676" s="33">
        <f>BE676-BV676</f>
        <v/>
      </c>
      <c r="CC676" s="34">
        <f>IF(AY676=0,0,CB676/AY676)</f>
        <v/>
      </c>
      <c r="CD676" s="34">
        <f>MAX((AY676+MAX((-J676+L676-N676+Q676-T676+X676),0)),(MAX((J676-L676+N676-Q676+T676-X676),0)))</f>
        <v/>
      </c>
      <c r="CE676" s="82">
        <f>IFERROR(ABS(BX676/CD676),0)</f>
        <v/>
      </c>
      <c r="CF676" s="34">
        <f>IF(CE676&lt;=0.1,0,BX676/CE676*(CE676-0.1))</f>
        <v/>
      </c>
      <c r="CG676" s="34">
        <f>IF((CF676)&lt;0,MAX(F676:G676)*(CF676)*1.03,MIN(F676:G676)*(CF676)*0.97)</f>
        <v/>
      </c>
      <c r="CH676" s="34">
        <f>IF(CE676&gt;0.1,1,0)</f>
        <v/>
      </c>
      <c r="CI676" s="34">
        <f>(F676*BX676)-BY676</f>
        <v/>
      </c>
      <c r="CJ676" s="34">
        <f>IF(AY676=0,0,CI676/AY676)</f>
        <v/>
      </c>
    </row>
    <row r="677">
      <c r="A677" s="29">
        <f>[1]FİYATLAR!A652</f>
        <v/>
      </c>
      <c r="B677" s="29">
        <f>[1]FİYATLAR!B676</f>
        <v/>
      </c>
      <c r="C677" s="35">
        <f>INT(A677)</f>
        <v/>
      </c>
      <c r="D677" s="36">
        <f>MONTH(A677)</f>
        <v/>
      </c>
      <c r="E677" s="147">
        <f>[1]FİYATLAR!G652</f>
        <v/>
      </c>
      <c r="F677" s="30">
        <f>[1]FİYATLAR!C652</f>
        <v/>
      </c>
      <c r="G677" s="30">
        <f>[1]FİYATLAR!E652</f>
        <v/>
      </c>
      <c r="H677" s="30">
        <f>[1]FİYATLAR!D652</f>
        <v/>
      </c>
      <c r="I677" s="30">
        <f>[1]FİYATLAR!F652</f>
        <v/>
      </c>
      <c r="J677" s="119" t="n">
        <v>0</v>
      </c>
      <c r="K677" s="34">
        <f>F677*J677</f>
        <v/>
      </c>
      <c r="L677" s="119" t="n"/>
      <c r="M677" s="34">
        <f>L677*F677</f>
        <v/>
      </c>
      <c r="N677" s="119" t="n"/>
      <c r="O677" s="34">
        <f>F677</f>
        <v/>
      </c>
      <c r="P677" s="34">
        <f>N677*O677</f>
        <v/>
      </c>
      <c r="Q677" s="117" t="n">
        <v>0</v>
      </c>
      <c r="R677" s="34">
        <f>F677</f>
        <v/>
      </c>
      <c r="S677" s="34">
        <f>R677*Q677</f>
        <v/>
      </c>
      <c r="T677" s="34">
        <f>SUMIFS('[1]GİP VERİLERİ'!$C:$C,'[1]GİP VERİLERİ'!$B:$B,A677,'[1]GİP VERİLERİ'!$M:$M,"40X000000104782K",'[1]GİP VERİLERİ'!$G:$G,"SELL")</f>
        <v/>
      </c>
      <c r="U677" s="34">
        <f>IFERROR(W677/T677,0)</f>
        <v/>
      </c>
      <c r="V677" s="34">
        <f>IF(U677=0,0,U677-F677)</f>
        <v/>
      </c>
      <c r="W677" s="34">
        <f>SUMIFS('[1]GİP VERİLERİ'!$O:$O,'[1]GİP VERİLERİ'!$B:$B,A677,'[1]GİP VERİLERİ'!$M:$M,"40X000000104782K",'[1]GİP VERİLERİ'!$G:$G,"SELL")</f>
        <v/>
      </c>
      <c r="X677" s="34">
        <f>SUMIFS('[1]GİP VERİLERİ'!$C:$C,'[1]GİP VERİLERİ'!$B:$B,A677,'[1]GİP VERİLERİ'!$M:$M,"40X000000104782K",'[1]GİP VERİLERİ'!$G:$G,"BUY")</f>
        <v/>
      </c>
      <c r="Y677" s="34">
        <f>IFERROR(AA677/X677,0)</f>
        <v/>
      </c>
      <c r="Z677" s="34">
        <f>IF(Y677=0,0,F677-Y677)</f>
        <v/>
      </c>
      <c r="AA677" s="34">
        <f>SUMIFS('[1]GİP VERİLERİ'!$O:$O,'[1]GİP VERİLERİ'!$B:$B,A677,'[1]GİP VERİLERİ'!$M:$M,"40X000000104782K",'[1]GİP VERİLERİ'!$G:$G,"BUY")</f>
        <v/>
      </c>
      <c r="AB677" s="34">
        <f>'[1]GÖP VERİLERİ'!H678</f>
        <v/>
      </c>
      <c r="AC677" s="34">
        <f>'[1]GÖP VERİLERİ'!I678</f>
        <v/>
      </c>
      <c r="AD677" s="34">
        <f>IF(AB677&gt;AC677*1.05,AB677-AC677*1.05,IF(AB677&lt;AC677*0.95,AC677*0.95-AB677,0))</f>
        <v/>
      </c>
      <c r="AE677" s="34">
        <f>MAX(F677,G677,750)*0.05*AD677</f>
        <v/>
      </c>
      <c r="AF677" s="34">
        <f>'[1]GÖP VERİLERİ'!J678</f>
        <v/>
      </c>
      <c r="AG677" s="34">
        <f>IF(AB677&gt;AF677*1.05,AB677-AF677*1.05,IF(AB677&lt;AF677*0.95,AF677*0.95-AB677,0))</f>
        <v/>
      </c>
      <c r="AH677" s="34">
        <f>MAX(I677,J677,750)*0.05*AG677</f>
        <v/>
      </c>
      <c r="AI677">
        <f>'[1]GÖP VERİLERİ'!E678</f>
        <v/>
      </c>
      <c r="AJ677">
        <f>'[1]GÖP VERİLERİ'!F678</f>
        <v/>
      </c>
      <c r="AK677" s="34">
        <f>IF(AI677&gt;AJ677*1.05,AI677-AJ677*1.05,IF(AI677&lt;AJ677*0.95,AJ677*0.95-AI677,0))</f>
        <v/>
      </c>
      <c r="AL677" s="34">
        <f>MAX(F677,G677,750)*0.05*AK677</f>
        <v/>
      </c>
      <c r="AM677" s="39">
        <f>'[1]GÖP VERİLERİ'!G678</f>
        <v/>
      </c>
      <c r="AN677" s="34">
        <f>IF(AI677&gt;AM677*1.05,AI677-AM677*1.05,IF(AI677&lt;AM677*0.95,AM677*0.95-AI677,0))</f>
        <v/>
      </c>
      <c r="AO677" s="34">
        <f>MAX(F677,G677,750)*0.05*AN677</f>
        <v/>
      </c>
      <c r="AP677" s="34">
        <f>'[1]GÖP VERİLERİ'!B678</f>
        <v/>
      </c>
      <c r="AQ677" s="34">
        <f>'[1]GÖP VERİLERİ'!C678</f>
        <v/>
      </c>
      <c r="AR677" s="34">
        <f>IF(AP677&gt;AQ677*1.05,AP677-AQ677*1.05,IF(AP677&lt;AQ677*0.95,AQ677*0.95-AP677,0))</f>
        <v/>
      </c>
      <c r="AS677" s="34">
        <f>MAX(F677:G677,750)*0.05*AR677</f>
        <v/>
      </c>
      <c r="AT677">
        <f>'[1]GÖP VERİLERİ'!D678</f>
        <v/>
      </c>
      <c r="AU677" s="34">
        <f>IF(AP677&gt;AT677*1.05,AP677-AT677*1.05,IF(AP677&lt;AT677*0.95,AT677*0.95-AP677,0))</f>
        <v/>
      </c>
      <c r="AV677" s="34">
        <f>MAX(F677:G677,750)*0.05*AU677</f>
        <v/>
      </c>
      <c r="AW677" s="34">
        <f>AC677+AJ677+AQ677</f>
        <v/>
      </c>
      <c r="AX677" s="34">
        <f>AF677+AM677+AT677</f>
        <v/>
      </c>
      <c r="AY677" s="34">
        <f>AB677+AI677+AP677</f>
        <v/>
      </c>
      <c r="AZ677" s="34" t="n">
        <v>0</v>
      </c>
      <c r="BA677" s="34">
        <f>AD677+AK677+AR677</f>
        <v/>
      </c>
      <c r="BB677" s="34">
        <f>MAX(F677:G677,750)*0.05*BA677</f>
        <v/>
      </c>
      <c r="BC677" s="34">
        <f>AG677+AN677+AU677</f>
        <v/>
      </c>
      <c r="BD677" s="34">
        <f>MAX(F677:G677,750)*0.05*BC677</f>
        <v/>
      </c>
      <c r="BE677" s="34">
        <f>F677*AY677</f>
        <v/>
      </c>
      <c r="BF677" s="34">
        <f>K677-M677</f>
        <v/>
      </c>
      <c r="BG677" s="34">
        <f>P677-S677</f>
        <v/>
      </c>
      <c r="BH677" s="34">
        <f>W677-AA677</f>
        <v/>
      </c>
      <c r="BI677" s="34">
        <f>BF677+BG677+BL677-BN677</f>
        <v/>
      </c>
      <c r="BJ677" s="34">
        <f>ABS(BK677)</f>
        <v/>
      </c>
      <c r="BK677" s="34">
        <f>AY677-(J677-L677+N677-Q677)</f>
        <v/>
      </c>
      <c r="BL677" s="34">
        <f>IF(AND(BK677&gt;0,MIN($F677:$G677)&lt;150,$E677="Enerji Açığı"),-100*BK677*1.03,IF(AND(BK677&gt;0,MIN($F677:$G677)&lt;150,$E677="Enerji Fazlası"),-100*BK677*1.06,IF(AND(BK677&gt;0,MIN($F677:$G677)&gt;=150,$E677="Enerji Açığı"),BK677*MIN($F677:$G677)*0.97,IF(AND(BK677&gt;0,MIN($F677:$G677)&gt;=150,$E677="Enerji Fazlası"),BK677*MIN($F677:$G677)*0.94,IF(AND(BK677&lt;0,MAX($F677:$G677)=4500,$E677="Enerji Açığı"),4500*1.05*1.06*BK677,IF(AND(BK677&lt;0,MAX($F677:$G677)=4500,$E677="Enerji Fazlası"),4500*1.05*1.03*BK677,IF(AND(BK677&lt;0,$E677="Enerji Açığı"),MAX($F677,$G677,150)*BK677*1.06,IF(AND(BK677&lt;0,$E677="Enerji Fazlası"),MAX($F677,$G677,150)*BK677*1.03,IF(AND(BK677&lt;0,$E677="Dengede"),MAX($F677:$G677,150)*1.03*BK677,MIN($F677:$G677)*0.97*BK677)))))))))</f>
        <v/>
      </c>
      <c r="BM677" s="34">
        <f>BE677-BI677-BN677</f>
        <v/>
      </c>
      <c r="BN677" s="34">
        <f>BB677</f>
        <v/>
      </c>
      <c r="BO677" s="34">
        <f>BE677-BI677</f>
        <v/>
      </c>
      <c r="BP677" s="34">
        <f>IF(AY677=0,0,BO677/AY677)</f>
        <v/>
      </c>
      <c r="BQ677" s="34">
        <f>MAX((AY677+MAX((-J677+L677-N677+Q677),0)),(MAX((J677-L677+N677-Q677),0)))</f>
        <v/>
      </c>
      <c r="BR677" s="82">
        <f>IFERROR(ABS(BK677/BQ677),0)</f>
        <v/>
      </c>
      <c r="BS677" s="34">
        <f>IF(BR677&lt;=0.1,0,BK677/BR677*(BR677-0.1))</f>
        <v/>
      </c>
      <c r="BT677" s="34">
        <f>IF((BS677)&lt;0,MAX(F677:G677)*(BS677)*1.03,MIN(F677:G677)*(BS677)*0.97)</f>
        <v/>
      </c>
      <c r="BU677" s="34">
        <f>IF(BR677&gt;0.1,1,0)</f>
        <v/>
      </c>
      <c r="BV677" s="34">
        <f>BF677+BG677+BH677+BY677-CA677</f>
        <v/>
      </c>
      <c r="BW677" s="34">
        <f>ABS(BX677)</f>
        <v/>
      </c>
      <c r="BX677" s="34">
        <f>AY677-(J677-L677+N677-Q677+T677-X677)</f>
        <v/>
      </c>
      <c r="BY677" s="34">
        <f>IF(AND(BX677&gt;0,MIN($F677:$G677)&lt;150,$E677="Enerji Açığı"),-100*BX677*1.03,IF(AND(BX677&gt;0,MIN($F677:$G677)&lt;150,$E677="Enerji Fazlası"),-100*BX677*1.06,IF(AND(BX677&gt;0,MIN($F677:$G677)&gt;=150,$E677="Enerji Açığı"),BX677*MIN($F677:$G677)*0.97,IF(AND(BX677&gt;0,MIN($F677:$G677)&gt;=150,$E677="Enerji Fazlası"),BX677*MIN($F677:$G677)*0.94,IF(AND(BX677&lt;0,MAX($F677:$G677)=4500,$E677="Enerji Açığı"),4500*1.05*1.06*BX677,IF(AND(BX677&lt;0,MAX($F677:$G677)=4500,$E677="Enerji Fazlası"),4500*1.05*1.03*BX677,IF(AND(BX677&lt;0,$E677="Enerji Açığı"),MAX($F677,$G677,150)*BX677*1.06,IF(AND(BX677&lt;0,$E677="Enerji Fazlası"),MAX($F677,$G677,150)*BX677*1.03,IF(AND(BX677&lt;0,$E677="Dengede"),MAX($F677:$G677,150)*1.03*BX677,MIN($F677:$G677)*0.97*BX677)))))))))</f>
        <v/>
      </c>
      <c r="BZ677" s="34">
        <f>BE677-BV677-CA677</f>
        <v/>
      </c>
      <c r="CA677" s="34">
        <f>BD677</f>
        <v/>
      </c>
      <c r="CB677" s="33">
        <f>BE677-BV677</f>
        <v/>
      </c>
      <c r="CC677" s="34">
        <f>IF(AY677=0,0,CB677/AY677)</f>
        <v/>
      </c>
      <c r="CD677" s="34">
        <f>MAX((AY677+MAX((-J677+L677-N677+Q677-T677+X677),0)),(MAX((J677-L677+N677-Q677+T677-X677),0)))</f>
        <v/>
      </c>
      <c r="CE677" s="82">
        <f>IFERROR(ABS(BX677/CD677),0)</f>
        <v/>
      </c>
      <c r="CF677" s="34">
        <f>IF(CE677&lt;=0.1,0,BX677/CE677*(CE677-0.1))</f>
        <v/>
      </c>
      <c r="CG677" s="34">
        <f>IF((CF677)&lt;0,MAX(F677:G677)*(CF677)*1.03,MIN(F677:G677)*(CF677)*0.97)</f>
        <v/>
      </c>
      <c r="CH677" s="34">
        <f>IF(CE677&gt;0.1,1,0)</f>
        <v/>
      </c>
      <c r="CI677" s="34">
        <f>(F677*BX677)-BY677</f>
        <v/>
      </c>
      <c r="CJ677" s="34">
        <f>IF(AY677=0,0,CI677/AY677)</f>
        <v/>
      </c>
    </row>
    <row r="678">
      <c r="A678" s="29">
        <f>[1]FİYATLAR!A653</f>
        <v/>
      </c>
      <c r="B678" s="29">
        <f>[1]FİYATLAR!B677</f>
        <v/>
      </c>
      <c r="C678" s="35">
        <f>INT(A678)</f>
        <v/>
      </c>
      <c r="D678" s="36">
        <f>MONTH(A678)</f>
        <v/>
      </c>
      <c r="E678" s="147">
        <f>[1]FİYATLAR!G653</f>
        <v/>
      </c>
      <c r="F678" s="30">
        <f>[1]FİYATLAR!C653</f>
        <v/>
      </c>
      <c r="G678" s="30">
        <f>[1]FİYATLAR!E653</f>
        <v/>
      </c>
      <c r="H678" s="30">
        <f>[1]FİYATLAR!D653</f>
        <v/>
      </c>
      <c r="I678" s="30">
        <f>[1]FİYATLAR!F653</f>
        <v/>
      </c>
      <c r="J678" s="119" t="n">
        <v>0</v>
      </c>
      <c r="K678" s="34">
        <f>F678*J678</f>
        <v/>
      </c>
      <c r="L678" s="119" t="n"/>
      <c r="M678" s="34">
        <f>L678*F678</f>
        <v/>
      </c>
      <c r="N678" s="119" t="n"/>
      <c r="O678" s="34">
        <f>F678</f>
        <v/>
      </c>
      <c r="P678" s="34">
        <f>N678*O678</f>
        <v/>
      </c>
      <c r="Q678" s="117" t="n">
        <v>0</v>
      </c>
      <c r="R678" s="34">
        <f>F678</f>
        <v/>
      </c>
      <c r="S678" s="34">
        <f>R678*Q678</f>
        <v/>
      </c>
      <c r="T678" s="34">
        <f>SUMIFS('[1]GİP VERİLERİ'!$C:$C,'[1]GİP VERİLERİ'!$B:$B,A678,'[1]GİP VERİLERİ'!$M:$M,"40X000000104782K",'[1]GİP VERİLERİ'!$G:$G,"SELL")</f>
        <v/>
      </c>
      <c r="U678" s="34">
        <f>IFERROR(W678/T678,0)</f>
        <v/>
      </c>
      <c r="V678" s="34">
        <f>IF(U678=0,0,U678-F678)</f>
        <v/>
      </c>
      <c r="W678" s="34">
        <f>SUMIFS('[1]GİP VERİLERİ'!$O:$O,'[1]GİP VERİLERİ'!$B:$B,A678,'[1]GİP VERİLERİ'!$M:$M,"40X000000104782K",'[1]GİP VERİLERİ'!$G:$G,"SELL")</f>
        <v/>
      </c>
      <c r="X678" s="34">
        <f>SUMIFS('[1]GİP VERİLERİ'!$C:$C,'[1]GİP VERİLERİ'!$B:$B,A678,'[1]GİP VERİLERİ'!$M:$M,"40X000000104782K",'[1]GİP VERİLERİ'!$G:$G,"BUY")</f>
        <v/>
      </c>
      <c r="Y678" s="34">
        <f>IFERROR(AA678/X678,0)</f>
        <v/>
      </c>
      <c r="Z678" s="34">
        <f>IF(Y678=0,0,F678-Y678)</f>
        <v/>
      </c>
      <c r="AA678" s="34">
        <f>SUMIFS('[1]GİP VERİLERİ'!$O:$O,'[1]GİP VERİLERİ'!$B:$B,A678,'[1]GİP VERİLERİ'!$M:$M,"40X000000104782K",'[1]GİP VERİLERİ'!$G:$G,"BUY")</f>
        <v/>
      </c>
      <c r="AB678" s="34">
        <f>'[1]GÖP VERİLERİ'!H679</f>
        <v/>
      </c>
      <c r="AC678" s="34">
        <f>'[1]GÖP VERİLERİ'!I679</f>
        <v/>
      </c>
      <c r="AD678" s="34">
        <f>IF(AB678&gt;AC678*1.05,AB678-AC678*1.05,IF(AB678&lt;AC678*0.95,AC678*0.95-AB678,0))</f>
        <v/>
      </c>
      <c r="AE678" s="34">
        <f>MAX(F678,G678,750)*0.05*AD678</f>
        <v/>
      </c>
      <c r="AF678" s="34">
        <f>'[1]GÖP VERİLERİ'!J679</f>
        <v/>
      </c>
      <c r="AG678" s="34">
        <f>IF(AB678&gt;AF678*1.05,AB678-AF678*1.05,IF(AB678&lt;AF678*0.95,AF678*0.95-AB678,0))</f>
        <v/>
      </c>
      <c r="AH678" s="34">
        <f>MAX(I678,J678,750)*0.05*AG678</f>
        <v/>
      </c>
      <c r="AI678">
        <f>'[1]GÖP VERİLERİ'!E679</f>
        <v/>
      </c>
      <c r="AJ678">
        <f>'[1]GÖP VERİLERİ'!F679</f>
        <v/>
      </c>
      <c r="AK678" s="34">
        <f>IF(AI678&gt;AJ678*1.05,AI678-AJ678*1.05,IF(AI678&lt;AJ678*0.95,AJ678*0.95-AI678,0))</f>
        <v/>
      </c>
      <c r="AL678" s="34">
        <f>MAX(F678,G678,750)*0.05*AK678</f>
        <v/>
      </c>
      <c r="AM678" s="39">
        <f>'[1]GÖP VERİLERİ'!G679</f>
        <v/>
      </c>
      <c r="AN678" s="34">
        <f>IF(AI678&gt;AM678*1.05,AI678-AM678*1.05,IF(AI678&lt;AM678*0.95,AM678*0.95-AI678,0))</f>
        <v/>
      </c>
      <c r="AO678" s="34">
        <f>MAX(F678,G678,750)*0.05*AN678</f>
        <v/>
      </c>
      <c r="AP678" s="34">
        <f>'[1]GÖP VERİLERİ'!B679</f>
        <v/>
      </c>
      <c r="AQ678" s="34">
        <f>'[1]GÖP VERİLERİ'!C679</f>
        <v/>
      </c>
      <c r="AR678" s="34">
        <f>IF(AP678&gt;AQ678*1.05,AP678-AQ678*1.05,IF(AP678&lt;AQ678*0.95,AQ678*0.95-AP678,0))</f>
        <v/>
      </c>
      <c r="AS678" s="34">
        <f>MAX(F678:G678,750)*0.05*AR678</f>
        <v/>
      </c>
      <c r="AT678">
        <f>'[1]GÖP VERİLERİ'!D679</f>
        <v/>
      </c>
      <c r="AU678" s="34">
        <f>IF(AP678&gt;AT678*1.05,AP678-AT678*1.05,IF(AP678&lt;AT678*0.95,AT678*0.95-AP678,0))</f>
        <v/>
      </c>
      <c r="AV678" s="34">
        <f>MAX(F678:G678,750)*0.05*AU678</f>
        <v/>
      </c>
      <c r="AW678" s="34">
        <f>AC678+AJ678+AQ678</f>
        <v/>
      </c>
      <c r="AX678" s="34">
        <f>AF678+AM678+AT678</f>
        <v/>
      </c>
      <c r="AY678" s="34">
        <f>AB678+AI678+AP678</f>
        <v/>
      </c>
      <c r="AZ678" s="34" t="n">
        <v>0</v>
      </c>
      <c r="BA678" s="34">
        <f>AD678+AK678+AR678</f>
        <v/>
      </c>
      <c r="BB678" s="34">
        <f>MAX(F678:G678,750)*0.05*BA678</f>
        <v/>
      </c>
      <c r="BC678" s="34">
        <f>AG678+AN678+AU678</f>
        <v/>
      </c>
      <c r="BD678" s="34">
        <f>MAX(F678:G678,750)*0.05*BC678</f>
        <v/>
      </c>
      <c r="BE678" s="34">
        <f>F678*AY678</f>
        <v/>
      </c>
      <c r="BF678" s="34">
        <f>K678-M678</f>
        <v/>
      </c>
      <c r="BG678" s="34">
        <f>P678-S678</f>
        <v/>
      </c>
      <c r="BH678" s="34">
        <f>W678-AA678</f>
        <v/>
      </c>
      <c r="BI678" s="34">
        <f>BF678+BG678+BL678-BN678</f>
        <v/>
      </c>
      <c r="BJ678" s="34">
        <f>ABS(BK678)</f>
        <v/>
      </c>
      <c r="BK678" s="34">
        <f>AY678-(J678-L678+N678-Q678)</f>
        <v/>
      </c>
      <c r="BL678" s="34">
        <f>IF(AND(BK678&gt;0,MIN($F678:$G678)&lt;150,$E678="Enerji Açığı"),-100*BK678*1.03,IF(AND(BK678&gt;0,MIN($F678:$G678)&lt;150,$E678="Enerji Fazlası"),-100*BK678*1.06,IF(AND(BK678&gt;0,MIN($F678:$G678)&gt;=150,$E678="Enerji Açığı"),BK678*MIN($F678:$G678)*0.97,IF(AND(BK678&gt;0,MIN($F678:$G678)&gt;=150,$E678="Enerji Fazlası"),BK678*MIN($F678:$G678)*0.94,IF(AND(BK678&lt;0,MAX($F678:$G678)=4500,$E678="Enerji Açığı"),4500*1.05*1.06*BK678,IF(AND(BK678&lt;0,MAX($F678:$G678)=4500,$E678="Enerji Fazlası"),4500*1.05*1.03*BK678,IF(AND(BK678&lt;0,$E678="Enerji Açığı"),MAX($F678,$G678,150)*BK678*1.06,IF(AND(BK678&lt;0,$E678="Enerji Fazlası"),MAX($F678,$G678,150)*BK678*1.03,IF(AND(BK678&lt;0,$E678="Dengede"),MAX($F678:$G678,150)*1.03*BK678,MIN($F678:$G678)*0.97*BK678)))))))))</f>
        <v/>
      </c>
      <c r="BM678" s="34">
        <f>BE678-BI678-BN678</f>
        <v/>
      </c>
      <c r="BN678" s="34">
        <f>BB678</f>
        <v/>
      </c>
      <c r="BO678" s="34">
        <f>BE678-BI678</f>
        <v/>
      </c>
      <c r="BP678" s="34">
        <f>IF(AY678=0,0,BO678/AY678)</f>
        <v/>
      </c>
      <c r="BQ678" s="34">
        <f>MAX((AY678+MAX((-J678+L678-N678+Q678),0)),(MAX((J678-L678+N678-Q678),0)))</f>
        <v/>
      </c>
      <c r="BR678" s="82">
        <f>IFERROR(ABS(BK678/BQ678),0)</f>
        <v/>
      </c>
      <c r="BS678" s="34">
        <f>IF(BR678&lt;=0.1,0,BK678/BR678*(BR678-0.1))</f>
        <v/>
      </c>
      <c r="BT678" s="34">
        <f>IF((BS678)&lt;0,MAX(F678:G678)*(BS678)*1.03,MIN(F678:G678)*(BS678)*0.97)</f>
        <v/>
      </c>
      <c r="BU678" s="34">
        <f>IF(BR678&gt;0.1,1,0)</f>
        <v/>
      </c>
      <c r="BV678" s="34">
        <f>BF678+BG678+BH678+BY678-CA678</f>
        <v/>
      </c>
      <c r="BW678" s="34">
        <f>ABS(BX678)</f>
        <v/>
      </c>
      <c r="BX678" s="34">
        <f>AY678-(J678-L678+N678-Q678+T678-X678)</f>
        <v/>
      </c>
      <c r="BY678" s="34">
        <f>IF(AND(BX678&gt;0,MIN($F678:$G678)&lt;150,$E678="Enerji Açığı"),-100*BX678*1.03,IF(AND(BX678&gt;0,MIN($F678:$G678)&lt;150,$E678="Enerji Fazlası"),-100*BX678*1.06,IF(AND(BX678&gt;0,MIN($F678:$G678)&gt;=150,$E678="Enerji Açığı"),BX678*MIN($F678:$G678)*0.97,IF(AND(BX678&gt;0,MIN($F678:$G678)&gt;=150,$E678="Enerji Fazlası"),BX678*MIN($F678:$G678)*0.94,IF(AND(BX678&lt;0,MAX($F678:$G678)=4500,$E678="Enerji Açığı"),4500*1.05*1.06*BX678,IF(AND(BX678&lt;0,MAX($F678:$G678)=4500,$E678="Enerji Fazlası"),4500*1.05*1.03*BX678,IF(AND(BX678&lt;0,$E678="Enerji Açığı"),MAX($F678,$G678,150)*BX678*1.06,IF(AND(BX678&lt;0,$E678="Enerji Fazlası"),MAX($F678,$G678,150)*BX678*1.03,IF(AND(BX678&lt;0,$E678="Dengede"),MAX($F678:$G678,150)*1.03*BX678,MIN($F678:$G678)*0.97*BX678)))))))))</f>
        <v/>
      </c>
      <c r="BZ678" s="34">
        <f>BE678-BV678-CA678</f>
        <v/>
      </c>
      <c r="CA678" s="34">
        <f>BD678</f>
        <v/>
      </c>
      <c r="CB678" s="33">
        <f>BE678-BV678</f>
        <v/>
      </c>
      <c r="CC678" s="34">
        <f>IF(AY678=0,0,CB678/AY678)</f>
        <v/>
      </c>
      <c r="CD678" s="34">
        <f>MAX((AY678+MAX((-J678+L678-N678+Q678-T678+X678),0)),(MAX((J678-L678+N678-Q678+T678-X678),0)))</f>
        <v/>
      </c>
      <c r="CE678" s="82">
        <f>IFERROR(ABS(BX678/CD678),0)</f>
        <v/>
      </c>
      <c r="CF678" s="34">
        <f>IF(CE678&lt;=0.1,0,BX678/CE678*(CE678-0.1))</f>
        <v/>
      </c>
      <c r="CG678" s="34">
        <f>IF((CF678)&lt;0,MAX(F678:G678)*(CF678)*1.03,MIN(F678:G678)*(CF678)*0.97)</f>
        <v/>
      </c>
      <c r="CH678" s="34">
        <f>IF(CE678&gt;0.1,1,0)</f>
        <v/>
      </c>
      <c r="CI678" s="34">
        <f>(F678*BX678)-BY678</f>
        <v/>
      </c>
      <c r="CJ678" s="34">
        <f>IF(AY678=0,0,CI678/AY678)</f>
        <v/>
      </c>
    </row>
    <row r="679">
      <c r="A679" s="29">
        <f>[1]FİYATLAR!A654</f>
        <v/>
      </c>
      <c r="B679" s="29">
        <f>[1]FİYATLAR!B678</f>
        <v/>
      </c>
      <c r="C679" s="35">
        <f>INT(A679)</f>
        <v/>
      </c>
      <c r="D679" s="36">
        <f>MONTH(A679)</f>
        <v/>
      </c>
      <c r="E679" s="147">
        <f>[1]FİYATLAR!G654</f>
        <v/>
      </c>
      <c r="F679" s="30">
        <f>[1]FİYATLAR!C654</f>
        <v/>
      </c>
      <c r="G679" s="30">
        <f>[1]FİYATLAR!E654</f>
        <v/>
      </c>
      <c r="H679" s="30">
        <f>[1]FİYATLAR!D654</f>
        <v/>
      </c>
      <c r="I679" s="30">
        <f>[1]FİYATLAR!F654</f>
        <v/>
      </c>
      <c r="J679" s="119" t="n">
        <v>0</v>
      </c>
      <c r="K679" s="34">
        <f>F679*J679</f>
        <v/>
      </c>
      <c r="L679" s="119" t="n"/>
      <c r="M679" s="34">
        <f>L679*F679</f>
        <v/>
      </c>
      <c r="N679" s="119" t="n"/>
      <c r="O679" s="34">
        <f>F679</f>
        <v/>
      </c>
      <c r="P679" s="34">
        <f>N679*O679</f>
        <v/>
      </c>
      <c r="Q679" s="117" t="n">
        <v>0</v>
      </c>
      <c r="R679" s="34">
        <f>F679</f>
        <v/>
      </c>
      <c r="S679" s="34">
        <f>R679*Q679</f>
        <v/>
      </c>
      <c r="T679" s="34">
        <f>SUMIFS('[1]GİP VERİLERİ'!$C:$C,'[1]GİP VERİLERİ'!$B:$B,A679,'[1]GİP VERİLERİ'!$M:$M,"40X000000104782K",'[1]GİP VERİLERİ'!$G:$G,"SELL")</f>
        <v/>
      </c>
      <c r="U679" s="34">
        <f>IFERROR(W679/T679,0)</f>
        <v/>
      </c>
      <c r="V679" s="34">
        <f>IF(U679=0,0,U679-F679)</f>
        <v/>
      </c>
      <c r="W679" s="34">
        <f>SUMIFS('[1]GİP VERİLERİ'!$O:$O,'[1]GİP VERİLERİ'!$B:$B,A679,'[1]GİP VERİLERİ'!$M:$M,"40X000000104782K",'[1]GİP VERİLERİ'!$G:$G,"SELL")</f>
        <v/>
      </c>
      <c r="X679" s="34">
        <f>SUMIFS('[1]GİP VERİLERİ'!$C:$C,'[1]GİP VERİLERİ'!$B:$B,A679,'[1]GİP VERİLERİ'!$M:$M,"40X000000104782K",'[1]GİP VERİLERİ'!$G:$G,"BUY")</f>
        <v/>
      </c>
      <c r="Y679" s="34">
        <f>IFERROR(AA679/X679,0)</f>
        <v/>
      </c>
      <c r="Z679" s="34">
        <f>IF(Y679=0,0,F679-Y679)</f>
        <v/>
      </c>
      <c r="AA679" s="34">
        <f>SUMIFS('[1]GİP VERİLERİ'!$O:$O,'[1]GİP VERİLERİ'!$B:$B,A679,'[1]GİP VERİLERİ'!$M:$M,"40X000000104782K",'[1]GİP VERİLERİ'!$G:$G,"BUY")</f>
        <v/>
      </c>
      <c r="AB679" s="34">
        <f>'[1]GÖP VERİLERİ'!H680</f>
        <v/>
      </c>
      <c r="AC679" s="34">
        <f>'[1]GÖP VERİLERİ'!I680</f>
        <v/>
      </c>
      <c r="AD679" s="34">
        <f>IF(AB679&gt;AC679*1.05,AB679-AC679*1.05,IF(AB679&lt;AC679*0.95,AC679*0.95-AB679,0))</f>
        <v/>
      </c>
      <c r="AE679" s="34">
        <f>MAX(F679,G679,750)*0.05*AD679</f>
        <v/>
      </c>
      <c r="AF679" s="34">
        <f>'[1]GÖP VERİLERİ'!J680</f>
        <v/>
      </c>
      <c r="AG679" s="34">
        <f>IF(AB679&gt;AF679*1.05,AB679-AF679*1.05,IF(AB679&lt;AF679*0.95,AF679*0.95-AB679,0))</f>
        <v/>
      </c>
      <c r="AH679" s="34">
        <f>MAX(I679,J679,750)*0.05*AG679</f>
        <v/>
      </c>
      <c r="AI679">
        <f>'[1]GÖP VERİLERİ'!E680</f>
        <v/>
      </c>
      <c r="AJ679">
        <f>'[1]GÖP VERİLERİ'!F680</f>
        <v/>
      </c>
      <c r="AK679" s="34">
        <f>IF(AI679&gt;AJ679*1.05,AI679-AJ679*1.05,IF(AI679&lt;AJ679*0.95,AJ679*0.95-AI679,0))</f>
        <v/>
      </c>
      <c r="AL679" s="34">
        <f>MAX(F679,G679,750)*0.05*AK679</f>
        <v/>
      </c>
      <c r="AM679" s="39">
        <f>'[1]GÖP VERİLERİ'!G680</f>
        <v/>
      </c>
      <c r="AN679" s="34">
        <f>IF(AI679&gt;AM679*1.05,AI679-AM679*1.05,IF(AI679&lt;AM679*0.95,AM679*0.95-AI679,0))</f>
        <v/>
      </c>
      <c r="AO679" s="34">
        <f>MAX(F679,G679,750)*0.05*AN679</f>
        <v/>
      </c>
      <c r="AP679" s="34">
        <f>'[1]GÖP VERİLERİ'!B680</f>
        <v/>
      </c>
      <c r="AQ679" s="34">
        <f>'[1]GÖP VERİLERİ'!C680</f>
        <v/>
      </c>
      <c r="AR679" s="34">
        <f>IF(AP679&gt;AQ679*1.05,AP679-AQ679*1.05,IF(AP679&lt;AQ679*0.95,AQ679*0.95-AP679,0))</f>
        <v/>
      </c>
      <c r="AS679" s="34">
        <f>MAX(F679:G679,750)*0.05*AR679</f>
        <v/>
      </c>
      <c r="AT679">
        <f>'[1]GÖP VERİLERİ'!D680</f>
        <v/>
      </c>
      <c r="AU679" s="34">
        <f>IF(AP679&gt;AT679*1.05,AP679-AT679*1.05,IF(AP679&lt;AT679*0.95,AT679*0.95-AP679,0))</f>
        <v/>
      </c>
      <c r="AV679" s="34">
        <f>MAX(F679:G679,750)*0.05*AU679</f>
        <v/>
      </c>
      <c r="AW679" s="34">
        <f>AC679+AJ679+AQ679</f>
        <v/>
      </c>
      <c r="AX679" s="34">
        <f>AF679+AM679+AT679</f>
        <v/>
      </c>
      <c r="AY679" s="34">
        <f>AB679+AI679+AP679</f>
        <v/>
      </c>
      <c r="AZ679" s="34" t="n">
        <v>0</v>
      </c>
      <c r="BA679" s="34">
        <f>AD679+AK679+AR679</f>
        <v/>
      </c>
      <c r="BB679" s="34">
        <f>MAX(F679:G679,750)*0.05*BA679</f>
        <v/>
      </c>
      <c r="BC679" s="34">
        <f>AG679+AN679+AU679</f>
        <v/>
      </c>
      <c r="BD679" s="34">
        <f>MAX(F679:G679,750)*0.05*BC679</f>
        <v/>
      </c>
      <c r="BE679" s="34">
        <f>F679*AY679</f>
        <v/>
      </c>
      <c r="BF679" s="34">
        <f>K679-M679</f>
        <v/>
      </c>
      <c r="BG679" s="34">
        <f>P679-S679</f>
        <v/>
      </c>
      <c r="BH679" s="34">
        <f>W679-AA679</f>
        <v/>
      </c>
      <c r="BI679" s="34">
        <f>BF679+BG679+BL679-BN679</f>
        <v/>
      </c>
      <c r="BJ679" s="34">
        <f>ABS(BK679)</f>
        <v/>
      </c>
      <c r="BK679" s="34">
        <f>AY679-(J679-L679+N679-Q679)</f>
        <v/>
      </c>
      <c r="BL679" s="34">
        <f>IF(AND(BK679&gt;0,MIN($F679:$G679)&lt;150,$E679="Enerji Açığı"),-100*BK679*1.03,IF(AND(BK679&gt;0,MIN($F679:$G679)&lt;150,$E679="Enerji Fazlası"),-100*BK679*1.06,IF(AND(BK679&gt;0,MIN($F679:$G679)&gt;=150,$E679="Enerji Açığı"),BK679*MIN($F679:$G679)*0.97,IF(AND(BK679&gt;0,MIN($F679:$G679)&gt;=150,$E679="Enerji Fazlası"),BK679*MIN($F679:$G679)*0.94,IF(AND(BK679&lt;0,MAX($F679:$G679)=4500,$E679="Enerji Açığı"),4500*1.05*1.06*BK679,IF(AND(BK679&lt;0,MAX($F679:$G679)=4500,$E679="Enerji Fazlası"),4500*1.05*1.03*BK679,IF(AND(BK679&lt;0,$E679="Enerji Açığı"),MAX($F679,$G679,150)*BK679*1.06,IF(AND(BK679&lt;0,$E679="Enerji Fazlası"),MAX($F679,$G679,150)*BK679*1.03,IF(AND(BK679&lt;0,$E679="Dengede"),MAX($F679:$G679,150)*1.03*BK679,MIN($F679:$G679)*0.97*BK679)))))))))</f>
        <v/>
      </c>
      <c r="BM679" s="34">
        <f>BE679-BI679-BN679</f>
        <v/>
      </c>
      <c r="BN679" s="34">
        <f>BB679</f>
        <v/>
      </c>
      <c r="BO679" s="34">
        <f>BE679-BI679</f>
        <v/>
      </c>
      <c r="BP679" s="34">
        <f>IF(AY679=0,0,BO679/AY679)</f>
        <v/>
      </c>
      <c r="BQ679" s="34">
        <f>MAX((AY679+MAX((-J679+L679-N679+Q679),0)),(MAX((J679-L679+N679-Q679),0)))</f>
        <v/>
      </c>
      <c r="BR679" s="82">
        <f>IFERROR(ABS(BK679/BQ679),0)</f>
        <v/>
      </c>
      <c r="BS679" s="34">
        <f>IF(BR679&lt;=0.1,0,BK679/BR679*(BR679-0.1))</f>
        <v/>
      </c>
      <c r="BT679" s="34">
        <f>IF((BS679)&lt;0,MAX(F679:G679)*(BS679)*1.03,MIN(F679:G679)*(BS679)*0.97)</f>
        <v/>
      </c>
      <c r="BU679" s="34">
        <f>IF(BR679&gt;0.1,1,0)</f>
        <v/>
      </c>
      <c r="BV679" s="34">
        <f>BF679+BG679+BH679+BY679-CA679</f>
        <v/>
      </c>
      <c r="BW679" s="34">
        <f>ABS(BX679)</f>
        <v/>
      </c>
      <c r="BX679" s="34">
        <f>AY679-(J679-L679+N679-Q679+T679-X679)</f>
        <v/>
      </c>
      <c r="BY679" s="34">
        <f>IF(AND(BX679&gt;0,MIN($F679:$G679)&lt;150,$E679="Enerji Açığı"),-100*BX679*1.03,IF(AND(BX679&gt;0,MIN($F679:$G679)&lt;150,$E679="Enerji Fazlası"),-100*BX679*1.06,IF(AND(BX679&gt;0,MIN($F679:$G679)&gt;=150,$E679="Enerji Açığı"),BX679*MIN($F679:$G679)*0.97,IF(AND(BX679&gt;0,MIN($F679:$G679)&gt;=150,$E679="Enerji Fazlası"),BX679*MIN($F679:$G679)*0.94,IF(AND(BX679&lt;0,MAX($F679:$G679)=4500,$E679="Enerji Açığı"),4500*1.05*1.06*BX679,IF(AND(BX679&lt;0,MAX($F679:$G679)=4500,$E679="Enerji Fazlası"),4500*1.05*1.03*BX679,IF(AND(BX679&lt;0,$E679="Enerji Açığı"),MAX($F679,$G679,150)*BX679*1.06,IF(AND(BX679&lt;0,$E679="Enerji Fazlası"),MAX($F679,$G679,150)*BX679*1.03,IF(AND(BX679&lt;0,$E679="Dengede"),MAX($F679:$G679,150)*1.03*BX679,MIN($F679:$G679)*0.97*BX679)))))))))</f>
        <v/>
      </c>
      <c r="BZ679" s="34">
        <f>BE679-BV679-CA679</f>
        <v/>
      </c>
      <c r="CA679" s="34">
        <f>BD679</f>
        <v/>
      </c>
      <c r="CB679" s="33">
        <f>BE679-BV679</f>
        <v/>
      </c>
      <c r="CC679" s="34">
        <f>IF(AY679=0,0,CB679/AY679)</f>
        <v/>
      </c>
      <c r="CD679" s="34">
        <f>MAX((AY679+MAX((-J679+L679-N679+Q679-T679+X679),0)),(MAX((J679-L679+N679-Q679+T679-X679),0)))</f>
        <v/>
      </c>
      <c r="CE679" s="82">
        <f>IFERROR(ABS(BX679/CD679),0)</f>
        <v/>
      </c>
      <c r="CF679" s="34">
        <f>IF(CE679&lt;=0.1,0,BX679/CE679*(CE679-0.1))</f>
        <v/>
      </c>
      <c r="CG679" s="34">
        <f>IF((CF679)&lt;0,MAX(F679:G679)*(CF679)*1.03,MIN(F679:G679)*(CF679)*0.97)</f>
        <v/>
      </c>
      <c r="CH679" s="34">
        <f>IF(CE679&gt;0.1,1,0)</f>
        <v/>
      </c>
      <c r="CI679" s="34">
        <f>(F679*BX679)-BY679</f>
        <v/>
      </c>
      <c r="CJ679" s="34">
        <f>IF(AY679=0,0,CI679/AY679)</f>
        <v/>
      </c>
    </row>
    <row r="680">
      <c r="A680" s="29">
        <f>[1]FİYATLAR!A655</f>
        <v/>
      </c>
      <c r="B680" s="29">
        <f>[1]FİYATLAR!B679</f>
        <v/>
      </c>
      <c r="C680" s="35">
        <f>INT(A680)</f>
        <v/>
      </c>
      <c r="D680" s="36">
        <f>MONTH(A680)</f>
        <v/>
      </c>
      <c r="E680" s="147">
        <f>[1]FİYATLAR!G655</f>
        <v/>
      </c>
      <c r="F680" s="30">
        <f>[1]FİYATLAR!C655</f>
        <v/>
      </c>
      <c r="G680" s="30">
        <f>[1]FİYATLAR!E655</f>
        <v/>
      </c>
      <c r="H680" s="30">
        <f>[1]FİYATLAR!D655</f>
        <v/>
      </c>
      <c r="I680" s="30">
        <f>[1]FİYATLAR!F655</f>
        <v/>
      </c>
      <c r="J680" s="119" t="n">
        <v>0</v>
      </c>
      <c r="K680" s="34">
        <f>F680*J680</f>
        <v/>
      </c>
      <c r="L680" s="119" t="n"/>
      <c r="M680" s="34">
        <f>L680*F680</f>
        <v/>
      </c>
      <c r="N680" s="119" t="n"/>
      <c r="O680" s="34">
        <f>F680</f>
        <v/>
      </c>
      <c r="P680" s="34">
        <f>N680*O680</f>
        <v/>
      </c>
      <c r="Q680" s="117" t="n">
        <v>0</v>
      </c>
      <c r="R680" s="34">
        <f>F680</f>
        <v/>
      </c>
      <c r="S680" s="34">
        <f>R680*Q680</f>
        <v/>
      </c>
      <c r="T680" s="34">
        <f>SUMIFS('[1]GİP VERİLERİ'!$C:$C,'[1]GİP VERİLERİ'!$B:$B,A680,'[1]GİP VERİLERİ'!$M:$M,"40X000000104782K",'[1]GİP VERİLERİ'!$G:$G,"SELL")</f>
        <v/>
      </c>
      <c r="U680" s="34">
        <f>IFERROR(W680/T680,0)</f>
        <v/>
      </c>
      <c r="V680" s="34">
        <f>IF(U680=0,0,U680-F680)</f>
        <v/>
      </c>
      <c r="W680" s="34">
        <f>SUMIFS('[1]GİP VERİLERİ'!$O:$O,'[1]GİP VERİLERİ'!$B:$B,A680,'[1]GİP VERİLERİ'!$M:$M,"40X000000104782K",'[1]GİP VERİLERİ'!$G:$G,"SELL")</f>
        <v/>
      </c>
      <c r="X680" s="34">
        <f>SUMIFS('[1]GİP VERİLERİ'!$C:$C,'[1]GİP VERİLERİ'!$B:$B,A680,'[1]GİP VERİLERİ'!$M:$M,"40X000000104782K",'[1]GİP VERİLERİ'!$G:$G,"BUY")</f>
        <v/>
      </c>
      <c r="Y680" s="34">
        <f>IFERROR(AA680/X680,0)</f>
        <v/>
      </c>
      <c r="Z680" s="34">
        <f>IF(Y680=0,0,F680-Y680)</f>
        <v/>
      </c>
      <c r="AA680" s="34">
        <f>SUMIFS('[1]GİP VERİLERİ'!$O:$O,'[1]GİP VERİLERİ'!$B:$B,A680,'[1]GİP VERİLERİ'!$M:$M,"40X000000104782K",'[1]GİP VERİLERİ'!$G:$G,"BUY")</f>
        <v/>
      </c>
      <c r="AB680" s="34">
        <f>'[1]GÖP VERİLERİ'!H681</f>
        <v/>
      </c>
      <c r="AC680" s="34">
        <f>'[1]GÖP VERİLERİ'!I681</f>
        <v/>
      </c>
      <c r="AD680" s="34">
        <f>IF(AB680&gt;AC680*1.05,AB680-AC680*1.05,IF(AB680&lt;AC680*0.95,AC680*0.95-AB680,0))</f>
        <v/>
      </c>
      <c r="AE680" s="34">
        <f>MAX(F680,G680,750)*0.05*AD680</f>
        <v/>
      </c>
      <c r="AF680" s="34">
        <f>'[1]GÖP VERİLERİ'!J681</f>
        <v/>
      </c>
      <c r="AG680" s="34">
        <f>IF(AB680&gt;AF680*1.05,AB680-AF680*1.05,IF(AB680&lt;AF680*0.95,AF680*0.95-AB680,0))</f>
        <v/>
      </c>
      <c r="AH680" s="34">
        <f>MAX(I680,J680,750)*0.05*AG680</f>
        <v/>
      </c>
      <c r="AI680">
        <f>'[1]GÖP VERİLERİ'!E681</f>
        <v/>
      </c>
      <c r="AJ680">
        <f>'[1]GÖP VERİLERİ'!F681</f>
        <v/>
      </c>
      <c r="AK680" s="34">
        <f>IF(AI680&gt;AJ680*1.05,AI680-AJ680*1.05,IF(AI680&lt;AJ680*0.95,AJ680*0.95-AI680,0))</f>
        <v/>
      </c>
      <c r="AL680" s="34">
        <f>MAX(F680,G680,750)*0.05*AK680</f>
        <v/>
      </c>
      <c r="AM680" s="39">
        <f>'[1]GÖP VERİLERİ'!G681</f>
        <v/>
      </c>
      <c r="AN680" s="34">
        <f>IF(AI680&gt;AM680*1.05,AI680-AM680*1.05,IF(AI680&lt;AM680*0.95,AM680*0.95-AI680,0))</f>
        <v/>
      </c>
      <c r="AO680" s="34">
        <f>MAX(F680,G680,750)*0.05*AN680</f>
        <v/>
      </c>
      <c r="AP680" s="34">
        <f>'[1]GÖP VERİLERİ'!B681</f>
        <v/>
      </c>
      <c r="AQ680" s="34">
        <f>'[1]GÖP VERİLERİ'!C681</f>
        <v/>
      </c>
      <c r="AR680" s="34">
        <f>IF(AP680&gt;AQ680*1.05,AP680-AQ680*1.05,IF(AP680&lt;AQ680*0.95,AQ680*0.95-AP680,0))</f>
        <v/>
      </c>
      <c r="AS680" s="34">
        <f>MAX(F680:G680,750)*0.05*AR680</f>
        <v/>
      </c>
      <c r="AT680">
        <f>'[1]GÖP VERİLERİ'!D681</f>
        <v/>
      </c>
      <c r="AU680" s="34">
        <f>IF(AP680&gt;AT680*1.05,AP680-AT680*1.05,IF(AP680&lt;AT680*0.95,AT680*0.95-AP680,0))</f>
        <v/>
      </c>
      <c r="AV680" s="34">
        <f>MAX(F680:G680,750)*0.05*AU680</f>
        <v/>
      </c>
      <c r="AW680" s="34">
        <f>AC680+AJ680+AQ680</f>
        <v/>
      </c>
      <c r="AX680" s="34">
        <f>AF680+AM680+AT680</f>
        <v/>
      </c>
      <c r="AY680" s="34">
        <f>AB680+AI680+AP680</f>
        <v/>
      </c>
      <c r="AZ680" s="34" t="n">
        <v>0</v>
      </c>
      <c r="BA680" s="34">
        <f>AD680+AK680+AR680</f>
        <v/>
      </c>
      <c r="BB680" s="34">
        <f>MAX(F680:G680,750)*0.05*BA680</f>
        <v/>
      </c>
      <c r="BC680" s="34">
        <f>AG680+AN680+AU680</f>
        <v/>
      </c>
      <c r="BD680" s="34">
        <f>MAX(F680:G680,750)*0.05*BC680</f>
        <v/>
      </c>
      <c r="BE680" s="34">
        <f>F680*AY680</f>
        <v/>
      </c>
      <c r="BF680" s="34">
        <f>K680-M680</f>
        <v/>
      </c>
      <c r="BG680" s="34">
        <f>P680-S680</f>
        <v/>
      </c>
      <c r="BH680" s="34">
        <f>W680-AA680</f>
        <v/>
      </c>
      <c r="BI680" s="34">
        <f>BF680+BG680+BL680-BN680</f>
        <v/>
      </c>
      <c r="BJ680" s="34">
        <f>ABS(BK680)</f>
        <v/>
      </c>
      <c r="BK680" s="34">
        <f>AY680-(J680-L680+N680-Q680)</f>
        <v/>
      </c>
      <c r="BL680" s="34">
        <f>IF(AND(BK680&gt;0,MIN($F680:$G680)&lt;150,$E680="Enerji Açığı"),-100*BK680*1.03,IF(AND(BK680&gt;0,MIN($F680:$G680)&lt;150,$E680="Enerji Fazlası"),-100*BK680*1.06,IF(AND(BK680&gt;0,MIN($F680:$G680)&gt;=150,$E680="Enerji Açığı"),BK680*MIN($F680:$G680)*0.97,IF(AND(BK680&gt;0,MIN($F680:$G680)&gt;=150,$E680="Enerji Fazlası"),BK680*MIN($F680:$G680)*0.94,IF(AND(BK680&lt;0,MAX($F680:$G680)=4500,$E680="Enerji Açığı"),4500*1.05*1.06*BK680,IF(AND(BK680&lt;0,MAX($F680:$G680)=4500,$E680="Enerji Fazlası"),4500*1.05*1.03*BK680,IF(AND(BK680&lt;0,$E680="Enerji Açığı"),MAX($F680,$G680,150)*BK680*1.06,IF(AND(BK680&lt;0,$E680="Enerji Fazlası"),MAX($F680,$G680,150)*BK680*1.03,IF(AND(BK680&lt;0,$E680="Dengede"),MAX($F680:$G680,150)*1.03*BK680,MIN($F680:$G680)*0.97*BK680)))))))))</f>
        <v/>
      </c>
      <c r="BM680" s="34">
        <f>BE680-BI680-BN680</f>
        <v/>
      </c>
      <c r="BN680" s="34">
        <f>BB680</f>
        <v/>
      </c>
      <c r="BO680" s="34">
        <f>BE680-BI680</f>
        <v/>
      </c>
      <c r="BP680" s="34">
        <f>IF(AY680=0,0,BO680/AY680)</f>
        <v/>
      </c>
      <c r="BQ680" s="34">
        <f>MAX((AY680+MAX((-J680+L680-N680+Q680),0)),(MAX((J680-L680+N680-Q680),0)))</f>
        <v/>
      </c>
      <c r="BR680" s="82">
        <f>IFERROR(ABS(BK680/BQ680),0)</f>
        <v/>
      </c>
      <c r="BS680" s="34">
        <f>IF(BR680&lt;=0.1,0,BK680/BR680*(BR680-0.1))</f>
        <v/>
      </c>
      <c r="BT680" s="34">
        <f>IF((BS680)&lt;0,MAX(F680:G680)*(BS680)*1.03,MIN(F680:G680)*(BS680)*0.97)</f>
        <v/>
      </c>
      <c r="BU680" s="34">
        <f>IF(BR680&gt;0.1,1,0)</f>
        <v/>
      </c>
      <c r="BV680" s="34">
        <f>BF680+BG680+BH680+BY680-CA680</f>
        <v/>
      </c>
      <c r="BW680" s="34">
        <f>ABS(BX680)</f>
        <v/>
      </c>
      <c r="BX680" s="34">
        <f>AY680-(J680-L680+N680-Q680+T680-X680)</f>
        <v/>
      </c>
      <c r="BY680" s="34">
        <f>IF(AND(BX680&gt;0,MIN($F680:$G680)&lt;150,$E680="Enerji Açığı"),-100*BX680*1.03,IF(AND(BX680&gt;0,MIN($F680:$G680)&lt;150,$E680="Enerji Fazlası"),-100*BX680*1.06,IF(AND(BX680&gt;0,MIN($F680:$G680)&gt;=150,$E680="Enerji Açığı"),BX680*MIN($F680:$G680)*0.97,IF(AND(BX680&gt;0,MIN($F680:$G680)&gt;=150,$E680="Enerji Fazlası"),BX680*MIN($F680:$G680)*0.94,IF(AND(BX680&lt;0,MAX($F680:$G680)=4500,$E680="Enerji Açığı"),4500*1.05*1.06*BX680,IF(AND(BX680&lt;0,MAX($F680:$G680)=4500,$E680="Enerji Fazlası"),4500*1.05*1.03*BX680,IF(AND(BX680&lt;0,$E680="Enerji Açığı"),MAX($F680,$G680,150)*BX680*1.06,IF(AND(BX680&lt;0,$E680="Enerji Fazlası"),MAX($F680,$G680,150)*BX680*1.03,IF(AND(BX680&lt;0,$E680="Dengede"),MAX($F680:$G680,150)*1.03*BX680,MIN($F680:$G680)*0.97*BX680)))))))))</f>
        <v/>
      </c>
      <c r="BZ680" s="34">
        <f>BE680-BV680-CA680</f>
        <v/>
      </c>
      <c r="CA680" s="34">
        <f>BD680</f>
        <v/>
      </c>
      <c r="CB680" s="33">
        <f>BE680-BV680</f>
        <v/>
      </c>
      <c r="CC680" s="34">
        <f>IF(AY680=0,0,CB680/AY680)</f>
        <v/>
      </c>
      <c r="CD680" s="34">
        <f>MAX((AY680+MAX((-J680+L680-N680+Q680-T680+X680),0)),(MAX((J680-L680+N680-Q680+T680-X680),0)))</f>
        <v/>
      </c>
      <c r="CE680" s="82">
        <f>IFERROR(ABS(BX680/CD680),0)</f>
        <v/>
      </c>
      <c r="CF680" s="34">
        <f>IF(CE680&lt;=0.1,0,BX680/CE680*(CE680-0.1))</f>
        <v/>
      </c>
      <c r="CG680" s="34">
        <f>IF((CF680)&lt;0,MAX(F680:G680)*(CF680)*1.03,MIN(F680:G680)*(CF680)*0.97)</f>
        <v/>
      </c>
      <c r="CH680" s="34">
        <f>IF(CE680&gt;0.1,1,0)</f>
        <v/>
      </c>
      <c r="CI680" s="34">
        <f>(F680*BX680)-BY680</f>
        <v/>
      </c>
      <c r="CJ680" s="34">
        <f>IF(AY680=0,0,CI680/AY680)</f>
        <v/>
      </c>
    </row>
    <row r="681">
      <c r="A681" s="29">
        <f>[1]FİYATLAR!A656</f>
        <v/>
      </c>
      <c r="B681" s="29">
        <f>[1]FİYATLAR!B680</f>
        <v/>
      </c>
      <c r="C681" s="35">
        <f>INT(A681)</f>
        <v/>
      </c>
      <c r="D681" s="36">
        <f>MONTH(A681)</f>
        <v/>
      </c>
      <c r="E681" s="147">
        <f>[1]FİYATLAR!G656</f>
        <v/>
      </c>
      <c r="F681" s="30">
        <f>[1]FİYATLAR!C656</f>
        <v/>
      </c>
      <c r="G681" s="30">
        <f>[1]FİYATLAR!E656</f>
        <v/>
      </c>
      <c r="H681" s="30">
        <f>[1]FİYATLAR!D656</f>
        <v/>
      </c>
      <c r="I681" s="30">
        <f>[1]FİYATLAR!F656</f>
        <v/>
      </c>
      <c r="J681" s="119" t="n">
        <v>0</v>
      </c>
      <c r="K681" s="34">
        <f>F681*J681</f>
        <v/>
      </c>
      <c r="L681" s="119" t="n"/>
      <c r="M681" s="34">
        <f>L681*F681</f>
        <v/>
      </c>
      <c r="N681" s="119" t="n"/>
      <c r="O681" s="34">
        <f>F681</f>
        <v/>
      </c>
      <c r="P681" s="34">
        <f>N681*O681</f>
        <v/>
      </c>
      <c r="Q681" s="117" t="n">
        <v>0</v>
      </c>
      <c r="R681" s="34">
        <f>F681</f>
        <v/>
      </c>
      <c r="S681" s="34">
        <f>R681*Q681</f>
        <v/>
      </c>
      <c r="T681" s="34">
        <f>SUMIFS('[1]GİP VERİLERİ'!$C:$C,'[1]GİP VERİLERİ'!$B:$B,A681,'[1]GİP VERİLERİ'!$M:$M,"40X000000104782K",'[1]GİP VERİLERİ'!$G:$G,"SELL")</f>
        <v/>
      </c>
      <c r="U681" s="34">
        <f>IFERROR(W681/T681,0)</f>
        <v/>
      </c>
      <c r="V681" s="34">
        <f>IF(U681=0,0,U681-F681)</f>
        <v/>
      </c>
      <c r="W681" s="34">
        <f>SUMIFS('[1]GİP VERİLERİ'!$O:$O,'[1]GİP VERİLERİ'!$B:$B,A681,'[1]GİP VERİLERİ'!$M:$M,"40X000000104782K",'[1]GİP VERİLERİ'!$G:$G,"SELL")</f>
        <v/>
      </c>
      <c r="X681" s="34">
        <f>SUMIFS('[1]GİP VERİLERİ'!$C:$C,'[1]GİP VERİLERİ'!$B:$B,A681,'[1]GİP VERİLERİ'!$M:$M,"40X000000104782K",'[1]GİP VERİLERİ'!$G:$G,"BUY")</f>
        <v/>
      </c>
      <c r="Y681" s="34">
        <f>IFERROR(AA681/X681,0)</f>
        <v/>
      </c>
      <c r="Z681" s="34">
        <f>IF(Y681=0,0,F681-Y681)</f>
        <v/>
      </c>
      <c r="AA681" s="34">
        <f>SUMIFS('[1]GİP VERİLERİ'!$O:$O,'[1]GİP VERİLERİ'!$B:$B,A681,'[1]GİP VERİLERİ'!$M:$M,"40X000000104782K",'[1]GİP VERİLERİ'!$G:$G,"BUY")</f>
        <v/>
      </c>
      <c r="AB681" s="34">
        <f>'[1]GÖP VERİLERİ'!H682</f>
        <v/>
      </c>
      <c r="AC681" s="34">
        <f>'[1]GÖP VERİLERİ'!I682</f>
        <v/>
      </c>
      <c r="AD681" s="34">
        <f>IF(AB681&gt;AC681*1.05,AB681-AC681*1.05,IF(AB681&lt;AC681*0.95,AC681*0.95-AB681,0))</f>
        <v/>
      </c>
      <c r="AE681" s="34">
        <f>MAX(F681,G681,750)*0.05*AD681</f>
        <v/>
      </c>
      <c r="AF681" s="34">
        <f>'[1]GÖP VERİLERİ'!J682</f>
        <v/>
      </c>
      <c r="AG681" s="34">
        <f>IF(AB681&gt;AF681*1.05,AB681-AF681*1.05,IF(AB681&lt;AF681*0.95,AF681*0.95-AB681,0))</f>
        <v/>
      </c>
      <c r="AH681" s="34">
        <f>MAX(I681,J681,750)*0.05*AG681</f>
        <v/>
      </c>
      <c r="AI681">
        <f>'[1]GÖP VERİLERİ'!E682</f>
        <v/>
      </c>
      <c r="AJ681">
        <f>'[1]GÖP VERİLERİ'!F682</f>
        <v/>
      </c>
      <c r="AK681" s="34">
        <f>IF(AI681&gt;AJ681*1.05,AI681-AJ681*1.05,IF(AI681&lt;AJ681*0.95,AJ681*0.95-AI681,0))</f>
        <v/>
      </c>
      <c r="AL681" s="34">
        <f>MAX(F681,G681,750)*0.05*AK681</f>
        <v/>
      </c>
      <c r="AM681" s="39">
        <f>'[1]GÖP VERİLERİ'!G682</f>
        <v/>
      </c>
      <c r="AN681" s="34">
        <f>IF(AI681&gt;AM681*1.05,AI681-AM681*1.05,IF(AI681&lt;AM681*0.95,AM681*0.95-AI681,0))</f>
        <v/>
      </c>
      <c r="AO681" s="34">
        <f>MAX(F681,G681,750)*0.05*AN681</f>
        <v/>
      </c>
      <c r="AP681" s="34">
        <f>'[1]GÖP VERİLERİ'!B682</f>
        <v/>
      </c>
      <c r="AQ681" s="34">
        <f>'[1]GÖP VERİLERİ'!C682</f>
        <v/>
      </c>
      <c r="AR681" s="34">
        <f>IF(AP681&gt;AQ681*1.05,AP681-AQ681*1.05,IF(AP681&lt;AQ681*0.95,AQ681*0.95-AP681,0))</f>
        <v/>
      </c>
      <c r="AS681" s="34">
        <f>MAX(F681:G681,750)*0.05*AR681</f>
        <v/>
      </c>
      <c r="AT681">
        <f>'[1]GÖP VERİLERİ'!D682</f>
        <v/>
      </c>
      <c r="AU681" s="34">
        <f>IF(AP681&gt;AT681*1.05,AP681-AT681*1.05,IF(AP681&lt;AT681*0.95,AT681*0.95-AP681,0))</f>
        <v/>
      </c>
      <c r="AV681" s="34">
        <f>MAX(F681:G681,750)*0.05*AU681</f>
        <v/>
      </c>
      <c r="AW681" s="34">
        <f>AC681+AJ681+AQ681</f>
        <v/>
      </c>
      <c r="AX681" s="34">
        <f>AF681+AM681+AT681</f>
        <v/>
      </c>
      <c r="AY681" s="34">
        <f>AB681+AI681+AP681</f>
        <v/>
      </c>
      <c r="AZ681" s="34" t="n">
        <v>0</v>
      </c>
      <c r="BA681" s="34">
        <f>AD681+AK681+AR681</f>
        <v/>
      </c>
      <c r="BB681" s="34">
        <f>MAX(F681:G681,750)*0.05*BA681</f>
        <v/>
      </c>
      <c r="BC681" s="34">
        <f>AG681+AN681+AU681</f>
        <v/>
      </c>
      <c r="BD681" s="34">
        <f>MAX(F681:G681,750)*0.05*BC681</f>
        <v/>
      </c>
      <c r="BE681" s="34">
        <f>F681*AY681</f>
        <v/>
      </c>
      <c r="BF681" s="34">
        <f>K681-M681</f>
        <v/>
      </c>
      <c r="BG681" s="34">
        <f>P681-S681</f>
        <v/>
      </c>
      <c r="BH681" s="34">
        <f>W681-AA681</f>
        <v/>
      </c>
      <c r="BI681" s="34">
        <f>BF681+BG681+BL681-BN681</f>
        <v/>
      </c>
      <c r="BJ681" s="34">
        <f>ABS(BK681)</f>
        <v/>
      </c>
      <c r="BK681" s="34">
        <f>AY681-(J681-L681+N681-Q681)</f>
        <v/>
      </c>
      <c r="BL681" s="34">
        <f>IF(AND(BK681&gt;0,MIN($F681:$G681)&lt;150,$E681="Enerji Açığı"),-100*BK681*1.03,IF(AND(BK681&gt;0,MIN($F681:$G681)&lt;150,$E681="Enerji Fazlası"),-100*BK681*1.06,IF(AND(BK681&gt;0,MIN($F681:$G681)&gt;=150,$E681="Enerji Açığı"),BK681*MIN($F681:$G681)*0.97,IF(AND(BK681&gt;0,MIN($F681:$G681)&gt;=150,$E681="Enerji Fazlası"),BK681*MIN($F681:$G681)*0.94,IF(AND(BK681&lt;0,MAX($F681:$G681)=4500,$E681="Enerji Açığı"),4500*1.05*1.06*BK681,IF(AND(BK681&lt;0,MAX($F681:$G681)=4500,$E681="Enerji Fazlası"),4500*1.05*1.03*BK681,IF(AND(BK681&lt;0,$E681="Enerji Açığı"),MAX($F681,$G681,150)*BK681*1.06,IF(AND(BK681&lt;0,$E681="Enerji Fazlası"),MAX($F681,$G681,150)*BK681*1.03,IF(AND(BK681&lt;0,$E681="Dengede"),MAX($F681:$G681,150)*1.03*BK681,MIN($F681:$G681)*0.97*BK681)))))))))</f>
        <v/>
      </c>
      <c r="BM681" s="34">
        <f>BE681-BI681-BN681</f>
        <v/>
      </c>
      <c r="BN681" s="34">
        <f>BB681</f>
        <v/>
      </c>
      <c r="BO681" s="34">
        <f>BE681-BI681</f>
        <v/>
      </c>
      <c r="BP681" s="34">
        <f>IF(AY681=0,0,BO681/AY681)</f>
        <v/>
      </c>
      <c r="BQ681" s="34">
        <f>MAX((AY681+MAX((-J681+L681-N681+Q681),0)),(MAX((J681-L681+N681-Q681),0)))</f>
        <v/>
      </c>
      <c r="BR681" s="82">
        <f>IFERROR(ABS(BK681/BQ681),0)</f>
        <v/>
      </c>
      <c r="BS681" s="34">
        <f>IF(BR681&lt;=0.1,0,BK681/BR681*(BR681-0.1))</f>
        <v/>
      </c>
      <c r="BT681" s="34">
        <f>IF((BS681)&lt;0,MAX(F681:G681)*(BS681)*1.03,MIN(F681:G681)*(BS681)*0.97)</f>
        <v/>
      </c>
      <c r="BU681" s="34">
        <f>IF(BR681&gt;0.1,1,0)</f>
        <v/>
      </c>
      <c r="BV681" s="34">
        <f>BF681+BG681+BH681+BY681-CA681</f>
        <v/>
      </c>
      <c r="BW681" s="34">
        <f>ABS(BX681)</f>
        <v/>
      </c>
      <c r="BX681" s="34">
        <f>AY681-(J681-L681+N681-Q681+T681-X681)</f>
        <v/>
      </c>
      <c r="BY681" s="34">
        <f>IF(AND(BX681&gt;0,MIN($F681:$G681)&lt;150,$E681="Enerji Açığı"),-100*BX681*1.03,IF(AND(BX681&gt;0,MIN($F681:$G681)&lt;150,$E681="Enerji Fazlası"),-100*BX681*1.06,IF(AND(BX681&gt;0,MIN($F681:$G681)&gt;=150,$E681="Enerji Açığı"),BX681*MIN($F681:$G681)*0.97,IF(AND(BX681&gt;0,MIN($F681:$G681)&gt;=150,$E681="Enerji Fazlası"),BX681*MIN($F681:$G681)*0.94,IF(AND(BX681&lt;0,MAX($F681:$G681)=4500,$E681="Enerji Açığı"),4500*1.05*1.06*BX681,IF(AND(BX681&lt;0,MAX($F681:$G681)=4500,$E681="Enerji Fazlası"),4500*1.05*1.03*BX681,IF(AND(BX681&lt;0,$E681="Enerji Açığı"),MAX($F681,$G681,150)*BX681*1.06,IF(AND(BX681&lt;0,$E681="Enerji Fazlası"),MAX($F681,$G681,150)*BX681*1.03,IF(AND(BX681&lt;0,$E681="Dengede"),MAX($F681:$G681,150)*1.03*BX681,MIN($F681:$G681)*0.97*BX681)))))))))</f>
        <v/>
      </c>
      <c r="BZ681" s="34">
        <f>BE681-BV681-CA681</f>
        <v/>
      </c>
      <c r="CA681" s="34">
        <f>BD681</f>
        <v/>
      </c>
      <c r="CB681" s="33">
        <f>BE681-BV681</f>
        <v/>
      </c>
      <c r="CC681" s="34">
        <f>IF(AY681=0,0,CB681/AY681)</f>
        <v/>
      </c>
      <c r="CD681" s="34">
        <f>MAX((AY681+MAX((-J681+L681-N681+Q681-T681+X681),0)),(MAX((J681-L681+N681-Q681+T681-X681),0)))</f>
        <v/>
      </c>
      <c r="CE681" s="82">
        <f>IFERROR(ABS(BX681/CD681),0)</f>
        <v/>
      </c>
      <c r="CF681" s="34">
        <f>IF(CE681&lt;=0.1,0,BX681/CE681*(CE681-0.1))</f>
        <v/>
      </c>
      <c r="CG681" s="34">
        <f>IF((CF681)&lt;0,MAX(F681:G681)*(CF681)*1.03,MIN(F681:G681)*(CF681)*0.97)</f>
        <v/>
      </c>
      <c r="CH681" s="34">
        <f>IF(CE681&gt;0.1,1,0)</f>
        <v/>
      </c>
      <c r="CI681" s="34">
        <f>(F681*BX681)-BY681</f>
        <v/>
      </c>
      <c r="CJ681" s="34">
        <f>IF(AY681=0,0,CI681/AY681)</f>
        <v/>
      </c>
    </row>
    <row r="682">
      <c r="A682" s="29">
        <f>[1]FİYATLAR!A657</f>
        <v/>
      </c>
      <c r="B682" s="29">
        <f>[1]FİYATLAR!B681</f>
        <v/>
      </c>
      <c r="C682" s="35">
        <f>INT(A682)</f>
        <v/>
      </c>
      <c r="D682" s="36">
        <f>MONTH(A682)</f>
        <v/>
      </c>
      <c r="E682" s="147">
        <f>[1]FİYATLAR!G657</f>
        <v/>
      </c>
      <c r="F682" s="30">
        <f>[1]FİYATLAR!C657</f>
        <v/>
      </c>
      <c r="G682" s="30">
        <f>[1]FİYATLAR!E657</f>
        <v/>
      </c>
      <c r="H682" s="30">
        <f>[1]FİYATLAR!D657</f>
        <v/>
      </c>
      <c r="I682" s="30">
        <f>[1]FİYATLAR!F657</f>
        <v/>
      </c>
      <c r="J682" s="119" t="n">
        <v>0</v>
      </c>
      <c r="K682" s="34">
        <f>F682*J682</f>
        <v/>
      </c>
      <c r="L682" s="119" t="n"/>
      <c r="M682" s="34">
        <f>L682*F682</f>
        <v/>
      </c>
      <c r="N682" s="119" t="n"/>
      <c r="O682" s="34">
        <f>F682</f>
        <v/>
      </c>
      <c r="P682" s="34">
        <f>N682*O682</f>
        <v/>
      </c>
      <c r="Q682" s="117" t="n">
        <v>0</v>
      </c>
      <c r="R682" s="34">
        <f>F682</f>
        <v/>
      </c>
      <c r="S682" s="34">
        <f>R682*Q682</f>
        <v/>
      </c>
      <c r="T682" s="34">
        <f>SUMIFS('[1]GİP VERİLERİ'!$C:$C,'[1]GİP VERİLERİ'!$B:$B,A682,'[1]GİP VERİLERİ'!$M:$M,"40X000000104782K",'[1]GİP VERİLERİ'!$G:$G,"SELL")</f>
        <v/>
      </c>
      <c r="U682" s="34">
        <f>IFERROR(W682/T682,0)</f>
        <v/>
      </c>
      <c r="V682" s="34">
        <f>IF(U682=0,0,U682-F682)</f>
        <v/>
      </c>
      <c r="W682" s="34">
        <f>SUMIFS('[1]GİP VERİLERİ'!$O:$O,'[1]GİP VERİLERİ'!$B:$B,A682,'[1]GİP VERİLERİ'!$M:$M,"40X000000104782K",'[1]GİP VERİLERİ'!$G:$G,"SELL")</f>
        <v/>
      </c>
      <c r="X682" s="34">
        <f>SUMIFS('[1]GİP VERİLERİ'!$C:$C,'[1]GİP VERİLERİ'!$B:$B,A682,'[1]GİP VERİLERİ'!$M:$M,"40X000000104782K",'[1]GİP VERİLERİ'!$G:$G,"BUY")</f>
        <v/>
      </c>
      <c r="Y682" s="34">
        <f>IFERROR(AA682/X682,0)</f>
        <v/>
      </c>
      <c r="Z682" s="34">
        <f>IF(Y682=0,0,F682-Y682)</f>
        <v/>
      </c>
      <c r="AA682" s="34">
        <f>SUMIFS('[1]GİP VERİLERİ'!$O:$O,'[1]GİP VERİLERİ'!$B:$B,A682,'[1]GİP VERİLERİ'!$M:$M,"40X000000104782K",'[1]GİP VERİLERİ'!$G:$G,"BUY")</f>
        <v/>
      </c>
      <c r="AB682" s="34">
        <f>'[1]GÖP VERİLERİ'!H683</f>
        <v/>
      </c>
      <c r="AC682" s="34">
        <f>'[1]GÖP VERİLERİ'!I683</f>
        <v/>
      </c>
      <c r="AD682" s="34">
        <f>IF(AB682&gt;AC682*1.05,AB682-AC682*1.05,IF(AB682&lt;AC682*0.95,AC682*0.95-AB682,0))</f>
        <v/>
      </c>
      <c r="AE682" s="34">
        <f>MAX(F682,G682,750)*0.05*AD682</f>
        <v/>
      </c>
      <c r="AF682" s="34">
        <f>'[1]GÖP VERİLERİ'!J683</f>
        <v/>
      </c>
      <c r="AG682" s="34">
        <f>IF(AB682&gt;AF682*1.05,AB682-AF682*1.05,IF(AB682&lt;AF682*0.95,AF682*0.95-AB682,0))</f>
        <v/>
      </c>
      <c r="AH682" s="34">
        <f>MAX(I682,J682,750)*0.05*AG682</f>
        <v/>
      </c>
      <c r="AI682">
        <f>'[1]GÖP VERİLERİ'!E683</f>
        <v/>
      </c>
      <c r="AJ682">
        <f>'[1]GÖP VERİLERİ'!F683</f>
        <v/>
      </c>
      <c r="AK682" s="34">
        <f>IF(AI682&gt;AJ682*1.05,AI682-AJ682*1.05,IF(AI682&lt;AJ682*0.95,AJ682*0.95-AI682,0))</f>
        <v/>
      </c>
      <c r="AL682" s="34">
        <f>MAX(F682,G682,750)*0.05*AK682</f>
        <v/>
      </c>
      <c r="AM682" s="39">
        <f>'[1]GÖP VERİLERİ'!G683</f>
        <v/>
      </c>
      <c r="AN682" s="34">
        <f>IF(AI682&gt;AM682*1.05,AI682-AM682*1.05,IF(AI682&lt;AM682*0.95,AM682*0.95-AI682,0))</f>
        <v/>
      </c>
      <c r="AO682" s="34">
        <f>MAX(F682,G682,750)*0.05*AN682</f>
        <v/>
      </c>
      <c r="AP682" s="34">
        <f>'[1]GÖP VERİLERİ'!B683</f>
        <v/>
      </c>
      <c r="AQ682" s="34">
        <f>'[1]GÖP VERİLERİ'!C683</f>
        <v/>
      </c>
      <c r="AR682" s="34">
        <f>IF(AP682&gt;AQ682*1.05,AP682-AQ682*1.05,IF(AP682&lt;AQ682*0.95,AQ682*0.95-AP682,0))</f>
        <v/>
      </c>
      <c r="AS682" s="34">
        <f>MAX(F682:G682,750)*0.05*AR682</f>
        <v/>
      </c>
      <c r="AT682">
        <f>'[1]GÖP VERİLERİ'!D683</f>
        <v/>
      </c>
      <c r="AU682" s="34">
        <f>IF(AP682&gt;AT682*1.05,AP682-AT682*1.05,IF(AP682&lt;AT682*0.95,AT682*0.95-AP682,0))</f>
        <v/>
      </c>
      <c r="AV682" s="34">
        <f>MAX(F682:G682,750)*0.05*AU682</f>
        <v/>
      </c>
      <c r="AW682" s="34">
        <f>AC682+AJ682+AQ682</f>
        <v/>
      </c>
      <c r="AX682" s="34">
        <f>AF682+AM682+AT682</f>
        <v/>
      </c>
      <c r="AY682" s="34">
        <f>AB682+AI682+AP682</f>
        <v/>
      </c>
      <c r="AZ682" s="34" t="n">
        <v>0</v>
      </c>
      <c r="BA682" s="34">
        <f>AD682+AK682+AR682</f>
        <v/>
      </c>
      <c r="BB682" s="34">
        <f>MAX(F682:G682,750)*0.05*BA682</f>
        <v/>
      </c>
      <c r="BC682" s="34">
        <f>AG682+AN682+AU682</f>
        <v/>
      </c>
      <c r="BD682" s="34">
        <f>MAX(F682:G682,750)*0.05*BC682</f>
        <v/>
      </c>
      <c r="BE682" s="34">
        <f>F682*AY682</f>
        <v/>
      </c>
      <c r="BF682" s="34">
        <f>K682-M682</f>
        <v/>
      </c>
      <c r="BG682" s="34">
        <f>P682-S682</f>
        <v/>
      </c>
      <c r="BH682" s="34">
        <f>W682-AA682</f>
        <v/>
      </c>
      <c r="BI682" s="34">
        <f>BF682+BG682+BL682-BN682</f>
        <v/>
      </c>
      <c r="BJ682" s="34">
        <f>ABS(BK682)</f>
        <v/>
      </c>
      <c r="BK682" s="34">
        <f>AY682-(J682-L682+N682-Q682)</f>
        <v/>
      </c>
      <c r="BL682" s="34">
        <f>IF(AND(BK682&gt;0,MIN($F682:$G682)&lt;150,$E682="Enerji Açığı"),-100*BK682*1.03,IF(AND(BK682&gt;0,MIN($F682:$G682)&lt;150,$E682="Enerji Fazlası"),-100*BK682*1.06,IF(AND(BK682&gt;0,MIN($F682:$G682)&gt;=150,$E682="Enerji Açığı"),BK682*MIN($F682:$G682)*0.97,IF(AND(BK682&gt;0,MIN($F682:$G682)&gt;=150,$E682="Enerji Fazlası"),BK682*MIN($F682:$G682)*0.94,IF(AND(BK682&lt;0,MAX($F682:$G682)=4500,$E682="Enerji Açığı"),4500*1.05*1.06*BK682,IF(AND(BK682&lt;0,MAX($F682:$G682)=4500,$E682="Enerji Fazlası"),4500*1.05*1.03*BK682,IF(AND(BK682&lt;0,$E682="Enerji Açığı"),MAX($F682,$G682,150)*BK682*1.06,IF(AND(BK682&lt;0,$E682="Enerji Fazlası"),MAX($F682,$G682,150)*BK682*1.03,IF(AND(BK682&lt;0,$E682="Dengede"),MAX($F682:$G682,150)*1.03*BK682,MIN($F682:$G682)*0.97*BK682)))))))))</f>
        <v/>
      </c>
      <c r="BM682" s="34">
        <f>BE682-BI682-BN682</f>
        <v/>
      </c>
      <c r="BN682" s="34">
        <f>BB682</f>
        <v/>
      </c>
      <c r="BO682" s="34">
        <f>BE682-BI682</f>
        <v/>
      </c>
      <c r="BP682" s="34">
        <f>IF(AY682=0,0,BO682/AY682)</f>
        <v/>
      </c>
      <c r="BQ682" s="34">
        <f>MAX((AY682+MAX((-J682+L682-N682+Q682),0)),(MAX((J682-L682+N682-Q682),0)))</f>
        <v/>
      </c>
      <c r="BR682" s="82">
        <f>IFERROR(ABS(BK682/BQ682),0)</f>
        <v/>
      </c>
      <c r="BS682" s="34">
        <f>IF(BR682&lt;=0.1,0,BK682/BR682*(BR682-0.1))</f>
        <v/>
      </c>
      <c r="BT682" s="34">
        <f>IF((BS682)&lt;0,MAX(F682:G682)*(BS682)*1.03,MIN(F682:G682)*(BS682)*0.97)</f>
        <v/>
      </c>
      <c r="BU682" s="34">
        <f>IF(BR682&gt;0.1,1,0)</f>
        <v/>
      </c>
      <c r="BV682" s="34">
        <f>BF682+BG682+BH682+BY682-CA682</f>
        <v/>
      </c>
      <c r="BW682" s="34">
        <f>ABS(BX682)</f>
        <v/>
      </c>
      <c r="BX682" s="34">
        <f>AY682-(J682-L682+N682-Q682+T682-X682)</f>
        <v/>
      </c>
      <c r="BY682" s="34">
        <f>IF(AND(BX682&gt;0,MIN($F682:$G682)&lt;150,$E682="Enerji Açığı"),-100*BX682*1.03,IF(AND(BX682&gt;0,MIN($F682:$G682)&lt;150,$E682="Enerji Fazlası"),-100*BX682*1.06,IF(AND(BX682&gt;0,MIN($F682:$G682)&gt;=150,$E682="Enerji Açığı"),BX682*MIN($F682:$G682)*0.97,IF(AND(BX682&gt;0,MIN($F682:$G682)&gt;=150,$E682="Enerji Fazlası"),BX682*MIN($F682:$G682)*0.94,IF(AND(BX682&lt;0,MAX($F682:$G682)=4500,$E682="Enerji Açığı"),4500*1.05*1.06*BX682,IF(AND(BX682&lt;0,MAX($F682:$G682)=4500,$E682="Enerji Fazlası"),4500*1.05*1.03*BX682,IF(AND(BX682&lt;0,$E682="Enerji Açığı"),MAX($F682,$G682,150)*BX682*1.06,IF(AND(BX682&lt;0,$E682="Enerji Fazlası"),MAX($F682,$G682,150)*BX682*1.03,IF(AND(BX682&lt;0,$E682="Dengede"),MAX($F682:$G682,150)*1.03*BX682,MIN($F682:$G682)*0.97*BX682)))))))))</f>
        <v/>
      </c>
      <c r="BZ682" s="34">
        <f>BE682-BV682-CA682</f>
        <v/>
      </c>
      <c r="CA682" s="34">
        <f>BD682</f>
        <v/>
      </c>
      <c r="CB682" s="33">
        <f>BE682-BV682</f>
        <v/>
      </c>
      <c r="CC682" s="34">
        <f>IF(AY682=0,0,CB682/AY682)</f>
        <v/>
      </c>
      <c r="CD682" s="34">
        <f>MAX((AY682+MAX((-J682+L682-N682+Q682-T682+X682),0)),(MAX((J682-L682+N682-Q682+T682-X682),0)))</f>
        <v/>
      </c>
      <c r="CE682" s="82">
        <f>IFERROR(ABS(BX682/CD682),0)</f>
        <v/>
      </c>
      <c r="CF682" s="34">
        <f>IF(CE682&lt;=0.1,0,BX682/CE682*(CE682-0.1))</f>
        <v/>
      </c>
      <c r="CG682" s="34">
        <f>IF((CF682)&lt;0,MAX(F682:G682)*(CF682)*1.03,MIN(F682:G682)*(CF682)*0.97)</f>
        <v/>
      </c>
      <c r="CH682" s="34">
        <f>IF(CE682&gt;0.1,1,0)</f>
        <v/>
      </c>
      <c r="CI682" s="34">
        <f>(F682*BX682)-BY682</f>
        <v/>
      </c>
      <c r="CJ682" s="34">
        <f>IF(AY682=0,0,CI682/AY682)</f>
        <v/>
      </c>
    </row>
    <row r="683">
      <c r="A683" s="29">
        <f>[1]FİYATLAR!A658</f>
        <v/>
      </c>
      <c r="B683" s="29">
        <f>[1]FİYATLAR!B682</f>
        <v/>
      </c>
      <c r="C683" s="35">
        <f>INT(A683)</f>
        <v/>
      </c>
      <c r="D683" s="36">
        <f>MONTH(A683)</f>
        <v/>
      </c>
      <c r="E683" s="147">
        <f>[1]FİYATLAR!G658</f>
        <v/>
      </c>
      <c r="F683" s="30">
        <f>[1]FİYATLAR!C658</f>
        <v/>
      </c>
      <c r="G683" s="30">
        <f>[1]FİYATLAR!E658</f>
        <v/>
      </c>
      <c r="H683" s="30">
        <f>[1]FİYATLAR!D658</f>
        <v/>
      </c>
      <c r="I683" s="30">
        <f>[1]FİYATLAR!F658</f>
        <v/>
      </c>
      <c r="J683" s="119" t="n">
        <v>0</v>
      </c>
      <c r="K683" s="34">
        <f>F683*J683</f>
        <v/>
      </c>
      <c r="L683" s="119" t="n"/>
      <c r="M683" s="34">
        <f>L683*F683</f>
        <v/>
      </c>
      <c r="N683" s="119" t="n"/>
      <c r="O683" s="34">
        <f>F683</f>
        <v/>
      </c>
      <c r="P683" s="34">
        <f>N683*O683</f>
        <v/>
      </c>
      <c r="Q683" s="117" t="n">
        <v>0</v>
      </c>
      <c r="R683" s="34">
        <f>F683</f>
        <v/>
      </c>
      <c r="S683" s="34">
        <f>R683*Q683</f>
        <v/>
      </c>
      <c r="T683" s="34">
        <f>SUMIFS('[1]GİP VERİLERİ'!$C:$C,'[1]GİP VERİLERİ'!$B:$B,A683,'[1]GİP VERİLERİ'!$M:$M,"40X000000104782K",'[1]GİP VERİLERİ'!$G:$G,"SELL")</f>
        <v/>
      </c>
      <c r="U683" s="34">
        <f>IFERROR(W683/T683,0)</f>
        <v/>
      </c>
      <c r="V683" s="34">
        <f>IF(U683=0,0,U683-F683)</f>
        <v/>
      </c>
      <c r="W683" s="34">
        <f>SUMIFS('[1]GİP VERİLERİ'!$O:$O,'[1]GİP VERİLERİ'!$B:$B,A683,'[1]GİP VERİLERİ'!$M:$M,"40X000000104782K",'[1]GİP VERİLERİ'!$G:$G,"SELL")</f>
        <v/>
      </c>
      <c r="X683" s="34">
        <f>SUMIFS('[1]GİP VERİLERİ'!$C:$C,'[1]GİP VERİLERİ'!$B:$B,A683,'[1]GİP VERİLERİ'!$M:$M,"40X000000104782K",'[1]GİP VERİLERİ'!$G:$G,"BUY")</f>
        <v/>
      </c>
      <c r="Y683" s="34">
        <f>IFERROR(AA683/X683,0)</f>
        <v/>
      </c>
      <c r="Z683" s="34">
        <f>IF(Y683=0,0,F683-Y683)</f>
        <v/>
      </c>
      <c r="AA683" s="34">
        <f>SUMIFS('[1]GİP VERİLERİ'!$O:$O,'[1]GİP VERİLERİ'!$B:$B,A683,'[1]GİP VERİLERİ'!$M:$M,"40X000000104782K",'[1]GİP VERİLERİ'!$G:$G,"BUY")</f>
        <v/>
      </c>
      <c r="AB683" s="34">
        <f>'[1]GÖP VERİLERİ'!H684</f>
        <v/>
      </c>
      <c r="AC683" s="34">
        <f>'[1]GÖP VERİLERİ'!I684</f>
        <v/>
      </c>
      <c r="AD683" s="34">
        <f>IF(AB683&gt;AC683*1.05,AB683-AC683*1.05,IF(AB683&lt;AC683*0.95,AC683*0.95-AB683,0))</f>
        <v/>
      </c>
      <c r="AE683" s="34">
        <f>MAX(F683,G683,750)*0.05*AD683</f>
        <v/>
      </c>
      <c r="AF683" s="34">
        <f>'[1]GÖP VERİLERİ'!J684</f>
        <v/>
      </c>
      <c r="AG683" s="34">
        <f>IF(AB683&gt;AF683*1.05,AB683-AF683*1.05,IF(AB683&lt;AF683*0.95,AF683*0.95-AB683,0))</f>
        <v/>
      </c>
      <c r="AH683" s="34">
        <f>MAX(I683,J683,750)*0.05*AG683</f>
        <v/>
      </c>
      <c r="AI683">
        <f>'[1]GÖP VERİLERİ'!E684</f>
        <v/>
      </c>
      <c r="AJ683">
        <f>'[1]GÖP VERİLERİ'!F684</f>
        <v/>
      </c>
      <c r="AK683" s="34">
        <f>IF(AI683&gt;AJ683*1.05,AI683-AJ683*1.05,IF(AI683&lt;AJ683*0.95,AJ683*0.95-AI683,0))</f>
        <v/>
      </c>
      <c r="AL683" s="34">
        <f>MAX(F683,G683,750)*0.05*AK683</f>
        <v/>
      </c>
      <c r="AM683" s="39">
        <f>'[1]GÖP VERİLERİ'!G684</f>
        <v/>
      </c>
      <c r="AN683" s="34">
        <f>IF(AI683&gt;AM683*1.05,AI683-AM683*1.05,IF(AI683&lt;AM683*0.95,AM683*0.95-AI683,0))</f>
        <v/>
      </c>
      <c r="AO683" s="34">
        <f>MAX(F683,G683,750)*0.05*AN683</f>
        <v/>
      </c>
      <c r="AP683" s="34">
        <f>'[1]GÖP VERİLERİ'!B684</f>
        <v/>
      </c>
      <c r="AQ683" s="34">
        <f>'[1]GÖP VERİLERİ'!C684</f>
        <v/>
      </c>
      <c r="AR683" s="34">
        <f>IF(AP683&gt;AQ683*1.05,AP683-AQ683*1.05,IF(AP683&lt;AQ683*0.95,AQ683*0.95-AP683,0))</f>
        <v/>
      </c>
      <c r="AS683" s="34">
        <f>MAX(F683:G683,750)*0.05*AR683</f>
        <v/>
      </c>
      <c r="AT683">
        <f>'[1]GÖP VERİLERİ'!D684</f>
        <v/>
      </c>
      <c r="AU683" s="34">
        <f>IF(AP683&gt;AT683*1.05,AP683-AT683*1.05,IF(AP683&lt;AT683*0.95,AT683*0.95-AP683,0))</f>
        <v/>
      </c>
      <c r="AV683" s="34">
        <f>MAX(F683:G683,750)*0.05*AU683</f>
        <v/>
      </c>
      <c r="AW683" s="34">
        <f>AC683+AJ683+AQ683</f>
        <v/>
      </c>
      <c r="AX683" s="34">
        <f>AF683+AM683+AT683</f>
        <v/>
      </c>
      <c r="AY683" s="34">
        <f>AB683+AI683+AP683</f>
        <v/>
      </c>
      <c r="AZ683" s="34" t="n">
        <v>0</v>
      </c>
      <c r="BA683" s="34">
        <f>AD683+AK683+AR683</f>
        <v/>
      </c>
      <c r="BB683" s="34">
        <f>MAX(F683:G683,750)*0.05*BA683</f>
        <v/>
      </c>
      <c r="BC683" s="34">
        <f>AG683+AN683+AU683</f>
        <v/>
      </c>
      <c r="BD683" s="34">
        <f>MAX(F683:G683,750)*0.05*BC683</f>
        <v/>
      </c>
      <c r="BE683" s="34">
        <f>F683*AY683</f>
        <v/>
      </c>
      <c r="BF683" s="34">
        <f>K683-M683</f>
        <v/>
      </c>
      <c r="BG683" s="34">
        <f>P683-S683</f>
        <v/>
      </c>
      <c r="BH683" s="34">
        <f>W683-AA683</f>
        <v/>
      </c>
      <c r="BI683" s="34">
        <f>BF683+BG683+BL683-BN683</f>
        <v/>
      </c>
      <c r="BJ683" s="34">
        <f>ABS(BK683)</f>
        <v/>
      </c>
      <c r="BK683" s="34">
        <f>AY683-(J683-L683+N683-Q683)</f>
        <v/>
      </c>
      <c r="BL683" s="34">
        <f>IF(AND(BK683&gt;0,MIN($F683:$G683)&lt;150,$E683="Enerji Açığı"),-100*BK683*1.03,IF(AND(BK683&gt;0,MIN($F683:$G683)&lt;150,$E683="Enerji Fazlası"),-100*BK683*1.06,IF(AND(BK683&gt;0,MIN($F683:$G683)&gt;=150,$E683="Enerji Açığı"),BK683*MIN($F683:$G683)*0.97,IF(AND(BK683&gt;0,MIN($F683:$G683)&gt;=150,$E683="Enerji Fazlası"),BK683*MIN($F683:$G683)*0.94,IF(AND(BK683&lt;0,MAX($F683:$G683)=4500,$E683="Enerji Açığı"),4500*1.05*1.06*BK683,IF(AND(BK683&lt;0,MAX($F683:$G683)=4500,$E683="Enerji Fazlası"),4500*1.05*1.03*BK683,IF(AND(BK683&lt;0,$E683="Enerji Açığı"),MAX($F683,$G683,150)*BK683*1.06,IF(AND(BK683&lt;0,$E683="Enerji Fazlası"),MAX($F683,$G683,150)*BK683*1.03,IF(AND(BK683&lt;0,$E683="Dengede"),MAX($F683:$G683,150)*1.03*BK683,MIN($F683:$G683)*0.97*BK683)))))))))</f>
        <v/>
      </c>
      <c r="BM683" s="34">
        <f>BE683-BI683-BN683</f>
        <v/>
      </c>
      <c r="BN683" s="34">
        <f>BB683</f>
        <v/>
      </c>
      <c r="BO683" s="34">
        <f>BE683-BI683</f>
        <v/>
      </c>
      <c r="BP683" s="34">
        <f>IF(AY683=0,0,BO683/AY683)</f>
        <v/>
      </c>
      <c r="BQ683" s="34">
        <f>MAX((AY683+MAX((-J683+L683-N683+Q683),0)),(MAX((J683-L683+N683-Q683),0)))</f>
        <v/>
      </c>
      <c r="BR683" s="82">
        <f>IFERROR(ABS(BK683/BQ683),0)</f>
        <v/>
      </c>
      <c r="BS683" s="34">
        <f>IF(BR683&lt;=0.1,0,BK683/BR683*(BR683-0.1))</f>
        <v/>
      </c>
      <c r="BT683" s="34">
        <f>IF((BS683)&lt;0,MAX(F683:G683)*(BS683)*1.03,MIN(F683:G683)*(BS683)*0.97)</f>
        <v/>
      </c>
      <c r="BU683" s="34">
        <f>IF(BR683&gt;0.1,1,0)</f>
        <v/>
      </c>
      <c r="BV683" s="34">
        <f>BF683+BG683+BH683+BY683-CA683</f>
        <v/>
      </c>
      <c r="BW683" s="34">
        <f>ABS(BX683)</f>
        <v/>
      </c>
      <c r="BX683" s="34">
        <f>AY683-(J683-L683+N683-Q683+T683-X683)</f>
        <v/>
      </c>
      <c r="BY683" s="34">
        <f>IF(AND(BX683&gt;0,MIN($F683:$G683)&lt;150,$E683="Enerji Açığı"),-100*BX683*1.03,IF(AND(BX683&gt;0,MIN($F683:$G683)&lt;150,$E683="Enerji Fazlası"),-100*BX683*1.06,IF(AND(BX683&gt;0,MIN($F683:$G683)&gt;=150,$E683="Enerji Açığı"),BX683*MIN($F683:$G683)*0.97,IF(AND(BX683&gt;0,MIN($F683:$G683)&gt;=150,$E683="Enerji Fazlası"),BX683*MIN($F683:$G683)*0.94,IF(AND(BX683&lt;0,MAX($F683:$G683)=4500,$E683="Enerji Açığı"),4500*1.05*1.06*BX683,IF(AND(BX683&lt;0,MAX($F683:$G683)=4500,$E683="Enerji Fazlası"),4500*1.05*1.03*BX683,IF(AND(BX683&lt;0,$E683="Enerji Açığı"),MAX($F683,$G683,150)*BX683*1.06,IF(AND(BX683&lt;0,$E683="Enerji Fazlası"),MAX($F683,$G683,150)*BX683*1.03,IF(AND(BX683&lt;0,$E683="Dengede"),MAX($F683:$G683,150)*1.03*BX683,MIN($F683:$G683)*0.97*BX683)))))))))</f>
        <v/>
      </c>
      <c r="BZ683" s="34">
        <f>BE683-BV683-CA683</f>
        <v/>
      </c>
      <c r="CA683" s="34">
        <f>BD683</f>
        <v/>
      </c>
      <c r="CB683" s="33">
        <f>BE683-BV683</f>
        <v/>
      </c>
      <c r="CC683" s="34">
        <f>IF(AY683=0,0,CB683/AY683)</f>
        <v/>
      </c>
      <c r="CD683" s="34">
        <f>MAX((AY683+MAX((-J683+L683-N683+Q683-T683+X683),0)),(MAX((J683-L683+N683-Q683+T683-X683),0)))</f>
        <v/>
      </c>
      <c r="CE683" s="82">
        <f>IFERROR(ABS(BX683/CD683),0)</f>
        <v/>
      </c>
      <c r="CF683" s="34">
        <f>IF(CE683&lt;=0.1,0,BX683/CE683*(CE683-0.1))</f>
        <v/>
      </c>
      <c r="CG683" s="34">
        <f>IF((CF683)&lt;0,MAX(F683:G683)*(CF683)*1.03,MIN(F683:G683)*(CF683)*0.97)</f>
        <v/>
      </c>
      <c r="CH683" s="34">
        <f>IF(CE683&gt;0.1,1,0)</f>
        <v/>
      </c>
      <c r="CI683" s="34">
        <f>(F683*BX683)-BY683</f>
        <v/>
      </c>
      <c r="CJ683" s="34">
        <f>IF(AY683=0,0,CI683/AY683)</f>
        <v/>
      </c>
    </row>
    <row r="684">
      <c r="A684" s="29">
        <f>[1]FİYATLAR!A659</f>
        <v/>
      </c>
      <c r="B684" s="29">
        <f>[1]FİYATLAR!B683</f>
        <v/>
      </c>
      <c r="C684" s="35">
        <f>INT(A684)</f>
        <v/>
      </c>
      <c r="D684" s="36">
        <f>MONTH(A684)</f>
        <v/>
      </c>
      <c r="E684" s="147">
        <f>[1]FİYATLAR!G659</f>
        <v/>
      </c>
      <c r="F684" s="30">
        <f>[1]FİYATLAR!C659</f>
        <v/>
      </c>
      <c r="G684" s="30">
        <f>[1]FİYATLAR!E659</f>
        <v/>
      </c>
      <c r="H684" s="30">
        <f>[1]FİYATLAR!D659</f>
        <v/>
      </c>
      <c r="I684" s="30">
        <f>[1]FİYATLAR!F659</f>
        <v/>
      </c>
      <c r="J684" s="119" t="n">
        <v>0</v>
      </c>
      <c r="K684" s="34">
        <f>F684*J684</f>
        <v/>
      </c>
      <c r="L684" s="119" t="n"/>
      <c r="M684" s="34">
        <f>L684*F684</f>
        <v/>
      </c>
      <c r="N684" s="119" t="n"/>
      <c r="O684" s="34">
        <f>F684</f>
        <v/>
      </c>
      <c r="P684" s="34">
        <f>N684*O684</f>
        <v/>
      </c>
      <c r="Q684" s="117" t="n">
        <v>0</v>
      </c>
      <c r="R684" s="34">
        <f>F684</f>
        <v/>
      </c>
      <c r="S684" s="34">
        <f>R684*Q684</f>
        <v/>
      </c>
      <c r="T684" s="34">
        <f>SUMIFS('[1]GİP VERİLERİ'!$C:$C,'[1]GİP VERİLERİ'!$B:$B,A684,'[1]GİP VERİLERİ'!$M:$M,"40X000000104782K",'[1]GİP VERİLERİ'!$G:$G,"SELL")</f>
        <v/>
      </c>
      <c r="U684" s="34">
        <f>IFERROR(W684/T684,0)</f>
        <v/>
      </c>
      <c r="V684" s="34">
        <f>IF(U684=0,0,U684-F684)</f>
        <v/>
      </c>
      <c r="W684" s="34">
        <f>SUMIFS('[1]GİP VERİLERİ'!$O:$O,'[1]GİP VERİLERİ'!$B:$B,A684,'[1]GİP VERİLERİ'!$M:$M,"40X000000104782K",'[1]GİP VERİLERİ'!$G:$G,"SELL")</f>
        <v/>
      </c>
      <c r="X684" s="34">
        <f>SUMIFS('[1]GİP VERİLERİ'!$C:$C,'[1]GİP VERİLERİ'!$B:$B,A684,'[1]GİP VERİLERİ'!$M:$M,"40X000000104782K",'[1]GİP VERİLERİ'!$G:$G,"BUY")</f>
        <v/>
      </c>
      <c r="Y684" s="34">
        <f>IFERROR(AA684/X684,0)</f>
        <v/>
      </c>
      <c r="Z684" s="34">
        <f>IF(Y684=0,0,F684-Y684)</f>
        <v/>
      </c>
      <c r="AA684" s="34">
        <f>SUMIFS('[1]GİP VERİLERİ'!$O:$O,'[1]GİP VERİLERİ'!$B:$B,A684,'[1]GİP VERİLERİ'!$M:$M,"40X000000104782K",'[1]GİP VERİLERİ'!$G:$G,"BUY")</f>
        <v/>
      </c>
      <c r="AB684" s="34">
        <f>'[1]GÖP VERİLERİ'!H685</f>
        <v/>
      </c>
      <c r="AC684" s="34">
        <f>'[1]GÖP VERİLERİ'!I685</f>
        <v/>
      </c>
      <c r="AD684" s="34">
        <f>IF(AB684&gt;AC684*1.05,AB684-AC684*1.05,IF(AB684&lt;AC684*0.95,AC684*0.95-AB684,0))</f>
        <v/>
      </c>
      <c r="AE684" s="34">
        <f>MAX(F684,G684,750)*0.05*AD684</f>
        <v/>
      </c>
      <c r="AF684" s="34">
        <f>'[1]GÖP VERİLERİ'!J685</f>
        <v/>
      </c>
      <c r="AG684" s="34">
        <f>IF(AB684&gt;AF684*1.05,AB684-AF684*1.05,IF(AB684&lt;AF684*0.95,AF684*0.95-AB684,0))</f>
        <v/>
      </c>
      <c r="AH684" s="34">
        <f>MAX(I684,J684,750)*0.05*AG684</f>
        <v/>
      </c>
      <c r="AI684">
        <f>'[1]GÖP VERİLERİ'!E685</f>
        <v/>
      </c>
      <c r="AJ684">
        <f>'[1]GÖP VERİLERİ'!F685</f>
        <v/>
      </c>
      <c r="AK684" s="34">
        <f>IF(AI684&gt;AJ684*1.05,AI684-AJ684*1.05,IF(AI684&lt;AJ684*0.95,AJ684*0.95-AI684,0))</f>
        <v/>
      </c>
      <c r="AL684" s="34">
        <f>MAX(F684,G684,750)*0.05*AK684</f>
        <v/>
      </c>
      <c r="AM684" s="39">
        <f>'[1]GÖP VERİLERİ'!G685</f>
        <v/>
      </c>
      <c r="AN684" s="34">
        <f>IF(AI684&gt;AM684*1.05,AI684-AM684*1.05,IF(AI684&lt;AM684*0.95,AM684*0.95-AI684,0))</f>
        <v/>
      </c>
      <c r="AO684" s="34">
        <f>MAX(F684,G684,750)*0.05*AN684</f>
        <v/>
      </c>
      <c r="AP684" s="34">
        <f>'[1]GÖP VERİLERİ'!B685</f>
        <v/>
      </c>
      <c r="AQ684" s="34">
        <f>'[1]GÖP VERİLERİ'!C685</f>
        <v/>
      </c>
      <c r="AR684" s="34">
        <f>IF(AP684&gt;AQ684*1.05,AP684-AQ684*1.05,IF(AP684&lt;AQ684*0.95,AQ684*0.95-AP684,0))</f>
        <v/>
      </c>
      <c r="AS684" s="34">
        <f>MAX(F684:G684,750)*0.05*AR684</f>
        <v/>
      </c>
      <c r="AT684">
        <f>'[1]GÖP VERİLERİ'!D685</f>
        <v/>
      </c>
      <c r="AU684" s="34">
        <f>IF(AP684&gt;AT684*1.05,AP684-AT684*1.05,IF(AP684&lt;AT684*0.95,AT684*0.95-AP684,0))</f>
        <v/>
      </c>
      <c r="AV684" s="34">
        <f>MAX(F684:G684,750)*0.05*AU684</f>
        <v/>
      </c>
      <c r="AW684" s="34">
        <f>AC684+AJ684+AQ684</f>
        <v/>
      </c>
      <c r="AX684" s="34">
        <f>AF684+AM684+AT684</f>
        <v/>
      </c>
      <c r="AY684" s="34">
        <f>AB684+AI684+AP684</f>
        <v/>
      </c>
      <c r="AZ684" s="34" t="n">
        <v>0</v>
      </c>
      <c r="BA684" s="34">
        <f>AD684+AK684+AR684</f>
        <v/>
      </c>
      <c r="BB684" s="34">
        <f>MAX(F684:G684,750)*0.05*BA684</f>
        <v/>
      </c>
      <c r="BC684" s="34">
        <f>AG684+AN684+AU684</f>
        <v/>
      </c>
      <c r="BD684" s="34">
        <f>MAX(F684:G684,750)*0.05*BC684</f>
        <v/>
      </c>
      <c r="BE684" s="34">
        <f>F684*AY684</f>
        <v/>
      </c>
      <c r="BF684" s="34">
        <f>K684-M684</f>
        <v/>
      </c>
      <c r="BG684" s="34">
        <f>P684-S684</f>
        <v/>
      </c>
      <c r="BH684" s="34">
        <f>W684-AA684</f>
        <v/>
      </c>
      <c r="BI684" s="34">
        <f>BF684+BG684+BL684-BN684</f>
        <v/>
      </c>
      <c r="BJ684" s="34">
        <f>ABS(BK684)</f>
        <v/>
      </c>
      <c r="BK684" s="34">
        <f>AY684-(J684-L684+N684-Q684)</f>
        <v/>
      </c>
      <c r="BL684" s="34">
        <f>IF(AND(BK684&gt;0,MIN($F684:$G684)&lt;150,$E684="Enerji Açığı"),-100*BK684*1.03,IF(AND(BK684&gt;0,MIN($F684:$G684)&lt;150,$E684="Enerji Fazlası"),-100*BK684*1.06,IF(AND(BK684&gt;0,MIN($F684:$G684)&gt;=150,$E684="Enerji Açığı"),BK684*MIN($F684:$G684)*0.97,IF(AND(BK684&gt;0,MIN($F684:$G684)&gt;=150,$E684="Enerji Fazlası"),BK684*MIN($F684:$G684)*0.94,IF(AND(BK684&lt;0,MAX($F684:$G684)=4500,$E684="Enerji Açığı"),4500*1.05*1.06*BK684,IF(AND(BK684&lt;0,MAX($F684:$G684)=4500,$E684="Enerji Fazlası"),4500*1.05*1.03*BK684,IF(AND(BK684&lt;0,$E684="Enerji Açığı"),MAX($F684,$G684,150)*BK684*1.06,IF(AND(BK684&lt;0,$E684="Enerji Fazlası"),MAX($F684,$G684,150)*BK684*1.03,IF(AND(BK684&lt;0,$E684="Dengede"),MAX($F684:$G684,150)*1.03*BK684,MIN($F684:$G684)*0.97*BK684)))))))))</f>
        <v/>
      </c>
      <c r="BM684" s="34">
        <f>BE684-BI684-BN684</f>
        <v/>
      </c>
      <c r="BN684" s="34">
        <f>BB684</f>
        <v/>
      </c>
      <c r="BO684" s="34">
        <f>BE684-BI684</f>
        <v/>
      </c>
      <c r="BP684" s="34">
        <f>IF(AY684=0,0,BO684/AY684)</f>
        <v/>
      </c>
      <c r="BQ684" s="34">
        <f>MAX((AY684+MAX((-J684+L684-N684+Q684),0)),(MAX((J684-L684+N684-Q684),0)))</f>
        <v/>
      </c>
      <c r="BR684" s="82">
        <f>IFERROR(ABS(BK684/BQ684),0)</f>
        <v/>
      </c>
      <c r="BS684" s="34">
        <f>IF(BR684&lt;=0.1,0,BK684/BR684*(BR684-0.1))</f>
        <v/>
      </c>
      <c r="BT684" s="34">
        <f>IF((BS684)&lt;0,MAX(F684:G684)*(BS684)*1.03,MIN(F684:G684)*(BS684)*0.97)</f>
        <v/>
      </c>
      <c r="BU684" s="34">
        <f>IF(BR684&gt;0.1,1,0)</f>
        <v/>
      </c>
      <c r="BV684" s="34">
        <f>BF684+BG684+BH684+BY684-CA684</f>
        <v/>
      </c>
      <c r="BW684" s="34">
        <f>ABS(BX684)</f>
        <v/>
      </c>
      <c r="BX684" s="34">
        <f>AY684-(J684-L684+N684-Q684+T684-X684)</f>
        <v/>
      </c>
      <c r="BY684" s="34">
        <f>IF(AND(BX684&gt;0,MIN($F684:$G684)&lt;150,$E684="Enerji Açığı"),-100*BX684*1.03,IF(AND(BX684&gt;0,MIN($F684:$G684)&lt;150,$E684="Enerji Fazlası"),-100*BX684*1.06,IF(AND(BX684&gt;0,MIN($F684:$G684)&gt;=150,$E684="Enerji Açığı"),BX684*MIN($F684:$G684)*0.97,IF(AND(BX684&gt;0,MIN($F684:$G684)&gt;=150,$E684="Enerji Fazlası"),BX684*MIN($F684:$G684)*0.94,IF(AND(BX684&lt;0,MAX($F684:$G684)=4500,$E684="Enerji Açığı"),4500*1.05*1.06*BX684,IF(AND(BX684&lt;0,MAX($F684:$G684)=4500,$E684="Enerji Fazlası"),4500*1.05*1.03*BX684,IF(AND(BX684&lt;0,$E684="Enerji Açığı"),MAX($F684,$G684,150)*BX684*1.06,IF(AND(BX684&lt;0,$E684="Enerji Fazlası"),MAX($F684,$G684,150)*BX684*1.03,IF(AND(BX684&lt;0,$E684="Dengede"),MAX($F684:$G684,150)*1.03*BX684,MIN($F684:$G684)*0.97*BX684)))))))))</f>
        <v/>
      </c>
      <c r="BZ684" s="34">
        <f>BE684-BV684-CA684</f>
        <v/>
      </c>
      <c r="CA684" s="34">
        <f>BD684</f>
        <v/>
      </c>
      <c r="CB684" s="33">
        <f>BE684-BV684</f>
        <v/>
      </c>
      <c r="CC684" s="34">
        <f>IF(AY684=0,0,CB684/AY684)</f>
        <v/>
      </c>
      <c r="CD684" s="34">
        <f>MAX((AY684+MAX((-J684+L684-N684+Q684-T684+X684),0)),(MAX((J684-L684+N684-Q684+T684-X684),0)))</f>
        <v/>
      </c>
      <c r="CE684" s="82">
        <f>IFERROR(ABS(BX684/CD684),0)</f>
        <v/>
      </c>
      <c r="CF684" s="34">
        <f>IF(CE684&lt;=0.1,0,BX684/CE684*(CE684-0.1))</f>
        <v/>
      </c>
      <c r="CG684" s="34">
        <f>IF((CF684)&lt;0,MAX(F684:G684)*(CF684)*1.03,MIN(F684:G684)*(CF684)*0.97)</f>
        <v/>
      </c>
      <c r="CH684" s="34">
        <f>IF(CE684&gt;0.1,1,0)</f>
        <v/>
      </c>
      <c r="CI684" s="34">
        <f>(F684*BX684)-BY684</f>
        <v/>
      </c>
      <c r="CJ684" s="34">
        <f>IF(AY684=0,0,CI684/AY684)</f>
        <v/>
      </c>
    </row>
    <row r="685">
      <c r="A685" s="29">
        <f>[1]FİYATLAR!A660</f>
        <v/>
      </c>
      <c r="B685" s="29">
        <f>[1]FİYATLAR!B684</f>
        <v/>
      </c>
      <c r="C685" s="35">
        <f>INT(A685)</f>
        <v/>
      </c>
      <c r="D685" s="36">
        <f>MONTH(A685)</f>
        <v/>
      </c>
      <c r="E685" s="147">
        <f>[1]FİYATLAR!G660</f>
        <v/>
      </c>
      <c r="F685" s="30">
        <f>[1]FİYATLAR!C660</f>
        <v/>
      </c>
      <c r="G685" s="30">
        <f>[1]FİYATLAR!E660</f>
        <v/>
      </c>
      <c r="H685" s="30">
        <f>[1]FİYATLAR!D660</f>
        <v/>
      </c>
      <c r="I685" s="30">
        <f>[1]FİYATLAR!F660</f>
        <v/>
      </c>
      <c r="J685" s="119" t="n">
        <v>0</v>
      </c>
      <c r="K685" s="34">
        <f>F685*J685</f>
        <v/>
      </c>
      <c r="L685" s="119" t="n"/>
      <c r="M685" s="34">
        <f>L685*F685</f>
        <v/>
      </c>
      <c r="N685" s="119" t="n"/>
      <c r="O685" s="34">
        <f>F685</f>
        <v/>
      </c>
      <c r="P685" s="34">
        <f>N685*O685</f>
        <v/>
      </c>
      <c r="Q685" s="117" t="n">
        <v>0</v>
      </c>
      <c r="R685" s="34">
        <f>F685</f>
        <v/>
      </c>
      <c r="S685" s="34">
        <f>R685*Q685</f>
        <v/>
      </c>
      <c r="T685" s="34">
        <f>SUMIFS('[1]GİP VERİLERİ'!$C:$C,'[1]GİP VERİLERİ'!$B:$B,A685,'[1]GİP VERİLERİ'!$M:$M,"40X000000104782K",'[1]GİP VERİLERİ'!$G:$G,"SELL")</f>
        <v/>
      </c>
      <c r="U685" s="34">
        <f>IFERROR(W685/T685,0)</f>
        <v/>
      </c>
      <c r="V685" s="34">
        <f>IF(U685=0,0,U685-F685)</f>
        <v/>
      </c>
      <c r="W685" s="34">
        <f>SUMIFS('[1]GİP VERİLERİ'!$O:$O,'[1]GİP VERİLERİ'!$B:$B,A685,'[1]GİP VERİLERİ'!$M:$M,"40X000000104782K",'[1]GİP VERİLERİ'!$G:$G,"SELL")</f>
        <v/>
      </c>
      <c r="X685" s="34">
        <f>SUMIFS('[1]GİP VERİLERİ'!$C:$C,'[1]GİP VERİLERİ'!$B:$B,A685,'[1]GİP VERİLERİ'!$M:$M,"40X000000104782K",'[1]GİP VERİLERİ'!$G:$G,"BUY")</f>
        <v/>
      </c>
      <c r="Y685" s="34">
        <f>IFERROR(AA685/X685,0)</f>
        <v/>
      </c>
      <c r="Z685" s="34">
        <f>IF(Y685=0,0,F685-Y685)</f>
        <v/>
      </c>
      <c r="AA685" s="34">
        <f>SUMIFS('[1]GİP VERİLERİ'!$O:$O,'[1]GİP VERİLERİ'!$B:$B,A685,'[1]GİP VERİLERİ'!$M:$M,"40X000000104782K",'[1]GİP VERİLERİ'!$G:$G,"BUY")</f>
        <v/>
      </c>
      <c r="AB685" s="34">
        <f>'[1]GÖP VERİLERİ'!H686</f>
        <v/>
      </c>
      <c r="AC685" s="34">
        <f>'[1]GÖP VERİLERİ'!I686</f>
        <v/>
      </c>
      <c r="AD685" s="34">
        <f>IF(AB685&gt;AC685*1.05,AB685-AC685*1.05,IF(AB685&lt;AC685*0.95,AC685*0.95-AB685,0))</f>
        <v/>
      </c>
      <c r="AE685" s="34">
        <f>MAX(F685,G685,750)*0.05*AD685</f>
        <v/>
      </c>
      <c r="AF685" s="34">
        <f>'[1]GÖP VERİLERİ'!J686</f>
        <v/>
      </c>
      <c r="AG685" s="34">
        <f>IF(AB685&gt;AF685*1.05,AB685-AF685*1.05,IF(AB685&lt;AF685*0.95,AF685*0.95-AB685,0))</f>
        <v/>
      </c>
      <c r="AH685" s="34">
        <f>MAX(I685,J685,750)*0.05*AG685</f>
        <v/>
      </c>
      <c r="AI685">
        <f>'[1]GÖP VERİLERİ'!E686</f>
        <v/>
      </c>
      <c r="AJ685">
        <f>'[1]GÖP VERİLERİ'!F686</f>
        <v/>
      </c>
      <c r="AK685" s="34">
        <f>IF(AI685&gt;AJ685*1.05,AI685-AJ685*1.05,IF(AI685&lt;AJ685*0.95,AJ685*0.95-AI685,0))</f>
        <v/>
      </c>
      <c r="AL685" s="34">
        <f>MAX(F685,G685,750)*0.05*AK685</f>
        <v/>
      </c>
      <c r="AM685" s="39">
        <f>'[1]GÖP VERİLERİ'!G686</f>
        <v/>
      </c>
      <c r="AN685" s="34">
        <f>IF(AI685&gt;AM685*1.05,AI685-AM685*1.05,IF(AI685&lt;AM685*0.95,AM685*0.95-AI685,0))</f>
        <v/>
      </c>
      <c r="AO685" s="34">
        <f>MAX(F685,G685,750)*0.05*AN685</f>
        <v/>
      </c>
      <c r="AP685" s="34">
        <f>'[1]GÖP VERİLERİ'!B686</f>
        <v/>
      </c>
      <c r="AQ685" s="34">
        <f>'[1]GÖP VERİLERİ'!C686</f>
        <v/>
      </c>
      <c r="AR685" s="34">
        <f>IF(AP685&gt;AQ685*1.05,AP685-AQ685*1.05,IF(AP685&lt;AQ685*0.95,AQ685*0.95-AP685,0))</f>
        <v/>
      </c>
      <c r="AS685" s="34">
        <f>MAX(F685:G685,750)*0.05*AR685</f>
        <v/>
      </c>
      <c r="AT685">
        <f>'[1]GÖP VERİLERİ'!D686</f>
        <v/>
      </c>
      <c r="AU685" s="34">
        <f>IF(AP685&gt;AT685*1.05,AP685-AT685*1.05,IF(AP685&lt;AT685*0.95,AT685*0.95-AP685,0))</f>
        <v/>
      </c>
      <c r="AV685" s="34">
        <f>MAX(F685:G685,750)*0.05*AU685</f>
        <v/>
      </c>
      <c r="AW685" s="34">
        <f>AC685+AJ685+AQ685</f>
        <v/>
      </c>
      <c r="AX685" s="34">
        <f>AF685+AM685+AT685</f>
        <v/>
      </c>
      <c r="AY685" s="34">
        <f>AB685+AI685+AP685</f>
        <v/>
      </c>
      <c r="AZ685" s="34" t="n">
        <v>0</v>
      </c>
      <c r="BA685" s="34">
        <f>AD685+AK685+AR685</f>
        <v/>
      </c>
      <c r="BB685" s="34">
        <f>MAX(F685:G685,750)*0.05*BA685</f>
        <v/>
      </c>
      <c r="BC685" s="34">
        <f>AG685+AN685+AU685</f>
        <v/>
      </c>
      <c r="BD685" s="34">
        <f>MAX(F685:G685,750)*0.05*BC685</f>
        <v/>
      </c>
      <c r="BE685" s="34">
        <f>F685*AY685</f>
        <v/>
      </c>
      <c r="BF685" s="34">
        <f>K685-M685</f>
        <v/>
      </c>
      <c r="BG685" s="34">
        <f>P685-S685</f>
        <v/>
      </c>
      <c r="BH685" s="34">
        <f>W685-AA685</f>
        <v/>
      </c>
      <c r="BI685" s="34">
        <f>BF685+BG685+BL685-BN685</f>
        <v/>
      </c>
      <c r="BJ685" s="34">
        <f>ABS(BK685)</f>
        <v/>
      </c>
      <c r="BK685" s="34">
        <f>AY685-(J685-L685+N685-Q685)</f>
        <v/>
      </c>
      <c r="BL685" s="34">
        <f>IF(AND(BK685&gt;0,MIN($F685:$G685)&lt;150,$E685="Enerji Açığı"),-100*BK685*1.03,IF(AND(BK685&gt;0,MIN($F685:$G685)&lt;150,$E685="Enerji Fazlası"),-100*BK685*1.06,IF(AND(BK685&gt;0,MIN($F685:$G685)&gt;=150,$E685="Enerji Açığı"),BK685*MIN($F685:$G685)*0.97,IF(AND(BK685&gt;0,MIN($F685:$G685)&gt;=150,$E685="Enerji Fazlası"),BK685*MIN($F685:$G685)*0.94,IF(AND(BK685&lt;0,MAX($F685:$G685)=4500,$E685="Enerji Açığı"),4500*1.05*1.06*BK685,IF(AND(BK685&lt;0,MAX($F685:$G685)=4500,$E685="Enerji Fazlası"),4500*1.05*1.03*BK685,IF(AND(BK685&lt;0,$E685="Enerji Açığı"),MAX($F685,$G685,150)*BK685*1.06,IF(AND(BK685&lt;0,$E685="Enerji Fazlası"),MAX($F685,$G685,150)*BK685*1.03,IF(AND(BK685&lt;0,$E685="Dengede"),MAX($F685:$G685,150)*1.03*BK685,MIN($F685:$G685)*0.97*BK685)))))))))</f>
        <v/>
      </c>
      <c r="BM685" s="34">
        <f>BE685-BI685-BN685</f>
        <v/>
      </c>
      <c r="BN685" s="34">
        <f>BB685</f>
        <v/>
      </c>
      <c r="BO685" s="34">
        <f>BE685-BI685</f>
        <v/>
      </c>
      <c r="BP685" s="34">
        <f>IF(AY685=0,0,BO685/AY685)</f>
        <v/>
      </c>
      <c r="BQ685" s="34">
        <f>MAX((AY685+MAX((-J685+L685-N685+Q685),0)),(MAX((J685-L685+N685-Q685),0)))</f>
        <v/>
      </c>
      <c r="BR685" s="82">
        <f>IFERROR(ABS(BK685/BQ685),0)</f>
        <v/>
      </c>
      <c r="BS685" s="34">
        <f>IF(BR685&lt;=0.1,0,BK685/BR685*(BR685-0.1))</f>
        <v/>
      </c>
      <c r="BT685" s="34">
        <f>IF((BS685)&lt;0,MAX(F685:G685)*(BS685)*1.03,MIN(F685:G685)*(BS685)*0.97)</f>
        <v/>
      </c>
      <c r="BU685" s="34">
        <f>IF(BR685&gt;0.1,1,0)</f>
        <v/>
      </c>
      <c r="BV685" s="34">
        <f>BF685+BG685+BH685+BY685-CA685</f>
        <v/>
      </c>
      <c r="BW685" s="34">
        <f>ABS(BX685)</f>
        <v/>
      </c>
      <c r="BX685" s="34">
        <f>AY685-(J685-L685+N685-Q685+T685-X685)</f>
        <v/>
      </c>
      <c r="BY685" s="34">
        <f>IF(AND(BX685&gt;0,MIN($F685:$G685)&lt;150,$E685="Enerji Açığı"),-100*BX685*1.03,IF(AND(BX685&gt;0,MIN($F685:$G685)&lt;150,$E685="Enerji Fazlası"),-100*BX685*1.06,IF(AND(BX685&gt;0,MIN($F685:$G685)&gt;=150,$E685="Enerji Açığı"),BX685*MIN($F685:$G685)*0.97,IF(AND(BX685&gt;0,MIN($F685:$G685)&gt;=150,$E685="Enerji Fazlası"),BX685*MIN($F685:$G685)*0.94,IF(AND(BX685&lt;0,MAX($F685:$G685)=4500,$E685="Enerji Açığı"),4500*1.05*1.06*BX685,IF(AND(BX685&lt;0,MAX($F685:$G685)=4500,$E685="Enerji Fazlası"),4500*1.05*1.03*BX685,IF(AND(BX685&lt;0,$E685="Enerji Açığı"),MAX($F685,$G685,150)*BX685*1.06,IF(AND(BX685&lt;0,$E685="Enerji Fazlası"),MAX($F685,$G685,150)*BX685*1.03,IF(AND(BX685&lt;0,$E685="Dengede"),MAX($F685:$G685,150)*1.03*BX685,MIN($F685:$G685)*0.97*BX685)))))))))</f>
        <v/>
      </c>
      <c r="BZ685" s="34">
        <f>BE685-BV685-CA685</f>
        <v/>
      </c>
      <c r="CA685" s="34">
        <f>BD685</f>
        <v/>
      </c>
      <c r="CB685" s="33">
        <f>BE685-BV685</f>
        <v/>
      </c>
      <c r="CC685" s="34">
        <f>IF(AY685=0,0,CB685/AY685)</f>
        <v/>
      </c>
      <c r="CD685" s="34">
        <f>MAX((AY685+MAX((-J685+L685-N685+Q685-T685+X685),0)),(MAX((J685-L685+N685-Q685+T685-X685),0)))</f>
        <v/>
      </c>
      <c r="CE685" s="82">
        <f>IFERROR(ABS(BX685/CD685),0)</f>
        <v/>
      </c>
      <c r="CF685" s="34">
        <f>IF(CE685&lt;=0.1,0,BX685/CE685*(CE685-0.1))</f>
        <v/>
      </c>
      <c r="CG685" s="34">
        <f>IF((CF685)&lt;0,MAX(F685:G685)*(CF685)*1.03,MIN(F685:G685)*(CF685)*0.97)</f>
        <v/>
      </c>
      <c r="CH685" s="34">
        <f>IF(CE685&gt;0.1,1,0)</f>
        <v/>
      </c>
      <c r="CI685" s="34">
        <f>(F685*BX685)-BY685</f>
        <v/>
      </c>
      <c r="CJ685" s="34">
        <f>IF(AY685=0,0,CI685/AY685)</f>
        <v/>
      </c>
    </row>
    <row r="686">
      <c r="A686" s="29">
        <f>[1]FİYATLAR!A661</f>
        <v/>
      </c>
      <c r="B686" s="29">
        <f>[1]FİYATLAR!B685</f>
        <v/>
      </c>
      <c r="C686" s="35">
        <f>INT(A686)</f>
        <v/>
      </c>
      <c r="D686" s="36">
        <f>MONTH(A686)</f>
        <v/>
      </c>
      <c r="E686" s="147">
        <f>[1]FİYATLAR!G661</f>
        <v/>
      </c>
      <c r="F686" s="30">
        <f>[1]FİYATLAR!C661</f>
        <v/>
      </c>
      <c r="G686" s="30">
        <f>[1]FİYATLAR!E661</f>
        <v/>
      </c>
      <c r="H686" s="30">
        <f>[1]FİYATLAR!D661</f>
        <v/>
      </c>
      <c r="I686" s="30">
        <f>[1]FİYATLAR!F661</f>
        <v/>
      </c>
      <c r="J686" s="119" t="n">
        <v>0</v>
      </c>
      <c r="K686" s="34">
        <f>F686*J686</f>
        <v/>
      </c>
      <c r="L686" s="119" t="n"/>
      <c r="M686" s="34">
        <f>L686*F686</f>
        <v/>
      </c>
      <c r="N686" s="119" t="n"/>
      <c r="O686" s="34">
        <f>F686</f>
        <v/>
      </c>
      <c r="P686" s="34">
        <f>N686*O686</f>
        <v/>
      </c>
      <c r="Q686" s="117" t="n">
        <v>0</v>
      </c>
      <c r="R686" s="34">
        <f>F686</f>
        <v/>
      </c>
      <c r="S686" s="34">
        <f>R686*Q686</f>
        <v/>
      </c>
      <c r="T686" s="34">
        <f>SUMIFS('[1]GİP VERİLERİ'!$C:$C,'[1]GİP VERİLERİ'!$B:$B,A686,'[1]GİP VERİLERİ'!$M:$M,"40X000000104782K",'[1]GİP VERİLERİ'!$G:$G,"SELL")</f>
        <v/>
      </c>
      <c r="U686" s="34">
        <f>IFERROR(W686/T686,0)</f>
        <v/>
      </c>
      <c r="V686" s="34">
        <f>IF(U686=0,0,U686-F686)</f>
        <v/>
      </c>
      <c r="W686" s="34">
        <f>SUMIFS('[1]GİP VERİLERİ'!$O:$O,'[1]GİP VERİLERİ'!$B:$B,A686,'[1]GİP VERİLERİ'!$M:$M,"40X000000104782K",'[1]GİP VERİLERİ'!$G:$G,"SELL")</f>
        <v/>
      </c>
      <c r="X686" s="34">
        <f>SUMIFS('[1]GİP VERİLERİ'!$C:$C,'[1]GİP VERİLERİ'!$B:$B,A686,'[1]GİP VERİLERİ'!$M:$M,"40X000000104782K",'[1]GİP VERİLERİ'!$G:$G,"BUY")</f>
        <v/>
      </c>
      <c r="Y686" s="34">
        <f>IFERROR(AA686/X686,0)</f>
        <v/>
      </c>
      <c r="Z686" s="34">
        <f>IF(Y686=0,0,F686-Y686)</f>
        <v/>
      </c>
      <c r="AA686" s="34">
        <f>SUMIFS('[1]GİP VERİLERİ'!$O:$O,'[1]GİP VERİLERİ'!$B:$B,A686,'[1]GİP VERİLERİ'!$M:$M,"40X000000104782K",'[1]GİP VERİLERİ'!$G:$G,"BUY")</f>
        <v/>
      </c>
      <c r="AB686" s="34">
        <f>'[1]GÖP VERİLERİ'!H687</f>
        <v/>
      </c>
      <c r="AC686" s="34">
        <f>'[1]GÖP VERİLERİ'!I687</f>
        <v/>
      </c>
      <c r="AD686" s="34">
        <f>IF(AB686&gt;AC686*1.05,AB686-AC686*1.05,IF(AB686&lt;AC686*0.95,AC686*0.95-AB686,0))</f>
        <v/>
      </c>
      <c r="AE686" s="34">
        <f>MAX(F686,G686,750)*0.05*AD686</f>
        <v/>
      </c>
      <c r="AF686" s="34">
        <f>'[1]GÖP VERİLERİ'!J687</f>
        <v/>
      </c>
      <c r="AG686" s="34">
        <f>IF(AB686&gt;AF686*1.05,AB686-AF686*1.05,IF(AB686&lt;AF686*0.95,AF686*0.95-AB686,0))</f>
        <v/>
      </c>
      <c r="AH686" s="34">
        <f>MAX(I686,J686,750)*0.05*AG686</f>
        <v/>
      </c>
      <c r="AI686">
        <f>'[1]GÖP VERİLERİ'!E687</f>
        <v/>
      </c>
      <c r="AJ686">
        <f>'[1]GÖP VERİLERİ'!F687</f>
        <v/>
      </c>
      <c r="AK686" s="34">
        <f>IF(AI686&gt;AJ686*1.05,AI686-AJ686*1.05,IF(AI686&lt;AJ686*0.95,AJ686*0.95-AI686,0))</f>
        <v/>
      </c>
      <c r="AL686" s="34">
        <f>MAX(F686,G686,750)*0.05*AK686</f>
        <v/>
      </c>
      <c r="AM686" s="39">
        <f>'[1]GÖP VERİLERİ'!G687</f>
        <v/>
      </c>
      <c r="AN686" s="34">
        <f>IF(AI686&gt;AM686*1.05,AI686-AM686*1.05,IF(AI686&lt;AM686*0.95,AM686*0.95-AI686,0))</f>
        <v/>
      </c>
      <c r="AO686" s="34">
        <f>MAX(F686,G686,750)*0.05*AN686</f>
        <v/>
      </c>
      <c r="AP686" s="34">
        <f>'[1]GÖP VERİLERİ'!B687</f>
        <v/>
      </c>
      <c r="AQ686" s="34">
        <f>'[1]GÖP VERİLERİ'!C687</f>
        <v/>
      </c>
      <c r="AR686" s="34">
        <f>IF(AP686&gt;AQ686*1.05,AP686-AQ686*1.05,IF(AP686&lt;AQ686*0.95,AQ686*0.95-AP686,0))</f>
        <v/>
      </c>
      <c r="AS686" s="34">
        <f>MAX(F686:G686,750)*0.05*AR686</f>
        <v/>
      </c>
      <c r="AT686">
        <f>'[1]GÖP VERİLERİ'!D687</f>
        <v/>
      </c>
      <c r="AU686" s="34">
        <f>IF(AP686&gt;AT686*1.05,AP686-AT686*1.05,IF(AP686&lt;AT686*0.95,AT686*0.95-AP686,0))</f>
        <v/>
      </c>
      <c r="AV686" s="34">
        <f>MAX(F686:G686,750)*0.05*AU686</f>
        <v/>
      </c>
      <c r="AW686" s="34">
        <f>AC686+AJ686+AQ686</f>
        <v/>
      </c>
      <c r="AX686" s="34">
        <f>AF686+AM686+AT686</f>
        <v/>
      </c>
      <c r="AY686" s="34">
        <f>AB686+AI686+AP686</f>
        <v/>
      </c>
      <c r="AZ686" s="34" t="n">
        <v>0</v>
      </c>
      <c r="BA686" s="34">
        <f>AD686+AK686+AR686</f>
        <v/>
      </c>
      <c r="BB686" s="34">
        <f>MAX(F686:G686,750)*0.05*BA686</f>
        <v/>
      </c>
      <c r="BC686" s="34">
        <f>AG686+AN686+AU686</f>
        <v/>
      </c>
      <c r="BD686" s="34">
        <f>MAX(F686:G686,750)*0.05*BC686</f>
        <v/>
      </c>
      <c r="BE686" s="34">
        <f>F686*AY686</f>
        <v/>
      </c>
      <c r="BF686" s="34">
        <f>K686-M686</f>
        <v/>
      </c>
      <c r="BG686" s="34">
        <f>P686-S686</f>
        <v/>
      </c>
      <c r="BH686" s="34">
        <f>W686-AA686</f>
        <v/>
      </c>
      <c r="BI686" s="34">
        <f>BF686+BG686+BL686-BN686</f>
        <v/>
      </c>
      <c r="BJ686" s="34">
        <f>ABS(BK686)</f>
        <v/>
      </c>
      <c r="BK686" s="34">
        <f>AY686-(J686-L686+N686-Q686)</f>
        <v/>
      </c>
      <c r="BL686" s="34">
        <f>IF(AND(BK686&gt;0,MIN($F686:$G686)&lt;150,$E686="Enerji Açığı"),-100*BK686*1.03,IF(AND(BK686&gt;0,MIN($F686:$G686)&lt;150,$E686="Enerji Fazlası"),-100*BK686*1.06,IF(AND(BK686&gt;0,MIN($F686:$G686)&gt;=150,$E686="Enerji Açığı"),BK686*MIN($F686:$G686)*0.97,IF(AND(BK686&gt;0,MIN($F686:$G686)&gt;=150,$E686="Enerji Fazlası"),BK686*MIN($F686:$G686)*0.94,IF(AND(BK686&lt;0,MAX($F686:$G686)=4500,$E686="Enerji Açığı"),4500*1.05*1.06*BK686,IF(AND(BK686&lt;0,MAX($F686:$G686)=4500,$E686="Enerji Fazlası"),4500*1.05*1.03*BK686,IF(AND(BK686&lt;0,$E686="Enerji Açığı"),MAX($F686,$G686,150)*BK686*1.06,IF(AND(BK686&lt;0,$E686="Enerji Fazlası"),MAX($F686,$G686,150)*BK686*1.03,IF(AND(BK686&lt;0,$E686="Dengede"),MAX($F686:$G686,150)*1.03*BK686,MIN($F686:$G686)*0.97*BK686)))))))))</f>
        <v/>
      </c>
      <c r="BM686" s="34">
        <f>BE686-BI686-BN686</f>
        <v/>
      </c>
      <c r="BN686" s="34">
        <f>BB686</f>
        <v/>
      </c>
      <c r="BO686" s="34">
        <f>BE686-BI686</f>
        <v/>
      </c>
      <c r="BP686" s="34">
        <f>IF(AY686=0,0,BO686/AY686)</f>
        <v/>
      </c>
      <c r="BQ686" s="34">
        <f>MAX((AY686+MAX((-J686+L686-N686+Q686),0)),(MAX((J686-L686+N686-Q686),0)))</f>
        <v/>
      </c>
      <c r="BR686" s="82">
        <f>IFERROR(ABS(BK686/BQ686),0)</f>
        <v/>
      </c>
      <c r="BS686" s="34">
        <f>IF(BR686&lt;=0.1,0,BK686/BR686*(BR686-0.1))</f>
        <v/>
      </c>
      <c r="BT686" s="34">
        <f>IF((BS686)&lt;0,MAX(F686:G686)*(BS686)*1.03,MIN(F686:G686)*(BS686)*0.97)</f>
        <v/>
      </c>
      <c r="BU686" s="34">
        <f>IF(BR686&gt;0.1,1,0)</f>
        <v/>
      </c>
      <c r="BV686" s="34">
        <f>BF686+BG686+BH686+BY686-CA686</f>
        <v/>
      </c>
      <c r="BW686" s="34">
        <f>ABS(BX686)</f>
        <v/>
      </c>
      <c r="BX686" s="34">
        <f>AY686-(J686-L686+N686-Q686+T686-X686)</f>
        <v/>
      </c>
      <c r="BY686" s="34">
        <f>IF(AND(BX686&gt;0,MIN($F686:$G686)&lt;150,$E686="Enerji Açığı"),-100*BX686*1.03,IF(AND(BX686&gt;0,MIN($F686:$G686)&lt;150,$E686="Enerji Fazlası"),-100*BX686*1.06,IF(AND(BX686&gt;0,MIN($F686:$G686)&gt;=150,$E686="Enerji Açığı"),BX686*MIN($F686:$G686)*0.97,IF(AND(BX686&gt;0,MIN($F686:$G686)&gt;=150,$E686="Enerji Fazlası"),BX686*MIN($F686:$G686)*0.94,IF(AND(BX686&lt;0,MAX($F686:$G686)=4500,$E686="Enerji Açığı"),4500*1.05*1.06*BX686,IF(AND(BX686&lt;0,MAX($F686:$G686)=4500,$E686="Enerji Fazlası"),4500*1.05*1.03*BX686,IF(AND(BX686&lt;0,$E686="Enerji Açığı"),MAX($F686,$G686,150)*BX686*1.06,IF(AND(BX686&lt;0,$E686="Enerji Fazlası"),MAX($F686,$G686,150)*BX686*1.03,IF(AND(BX686&lt;0,$E686="Dengede"),MAX($F686:$G686,150)*1.03*BX686,MIN($F686:$G686)*0.97*BX686)))))))))</f>
        <v/>
      </c>
      <c r="BZ686" s="34">
        <f>BE686-BV686-CA686</f>
        <v/>
      </c>
      <c r="CA686" s="34">
        <f>BD686</f>
        <v/>
      </c>
      <c r="CB686" s="33">
        <f>BE686-BV686</f>
        <v/>
      </c>
      <c r="CC686" s="34">
        <f>IF(AY686=0,0,CB686/AY686)</f>
        <v/>
      </c>
      <c r="CD686" s="34">
        <f>MAX((AY686+MAX((-J686+L686-N686+Q686-T686+X686),0)),(MAX((J686-L686+N686-Q686+T686-X686),0)))</f>
        <v/>
      </c>
      <c r="CE686" s="82">
        <f>IFERROR(ABS(BX686/CD686),0)</f>
        <v/>
      </c>
      <c r="CF686" s="34">
        <f>IF(CE686&lt;=0.1,0,BX686/CE686*(CE686-0.1))</f>
        <v/>
      </c>
      <c r="CG686" s="34">
        <f>IF((CF686)&lt;0,MAX(F686:G686)*(CF686)*1.03,MIN(F686:G686)*(CF686)*0.97)</f>
        <v/>
      </c>
      <c r="CH686" s="34">
        <f>IF(CE686&gt;0.1,1,0)</f>
        <v/>
      </c>
      <c r="CI686" s="34">
        <f>(F686*BX686)-BY686</f>
        <v/>
      </c>
      <c r="CJ686" s="34">
        <f>IF(AY686=0,0,CI686/AY686)</f>
        <v/>
      </c>
    </row>
    <row r="687">
      <c r="A687" s="29">
        <f>[1]FİYATLAR!A662</f>
        <v/>
      </c>
      <c r="B687" s="29">
        <f>[1]FİYATLAR!B686</f>
        <v/>
      </c>
      <c r="C687" s="35">
        <f>INT(A687)</f>
        <v/>
      </c>
      <c r="D687" s="36">
        <f>MONTH(A687)</f>
        <v/>
      </c>
      <c r="E687" s="147">
        <f>[1]FİYATLAR!G662</f>
        <v/>
      </c>
      <c r="F687" s="30">
        <f>[1]FİYATLAR!C662</f>
        <v/>
      </c>
      <c r="G687" s="30">
        <f>[1]FİYATLAR!E662</f>
        <v/>
      </c>
      <c r="H687" s="30">
        <f>[1]FİYATLAR!D662</f>
        <v/>
      </c>
      <c r="I687" s="30">
        <f>[1]FİYATLAR!F662</f>
        <v/>
      </c>
      <c r="J687" s="119" t="n">
        <v>0</v>
      </c>
      <c r="K687" s="34">
        <f>F687*J687</f>
        <v/>
      </c>
      <c r="L687" s="119" t="n"/>
      <c r="M687" s="34">
        <f>L687*F687</f>
        <v/>
      </c>
      <c r="N687" s="119" t="n"/>
      <c r="O687" s="34">
        <f>F687</f>
        <v/>
      </c>
      <c r="P687" s="34">
        <f>N687*O687</f>
        <v/>
      </c>
      <c r="Q687" s="117" t="n">
        <v>0</v>
      </c>
      <c r="R687" s="34">
        <f>F687</f>
        <v/>
      </c>
      <c r="S687" s="34">
        <f>R687*Q687</f>
        <v/>
      </c>
      <c r="T687" s="34">
        <f>SUMIFS('[1]GİP VERİLERİ'!$C:$C,'[1]GİP VERİLERİ'!$B:$B,A687,'[1]GİP VERİLERİ'!$M:$M,"40X000000104782K",'[1]GİP VERİLERİ'!$G:$G,"SELL")</f>
        <v/>
      </c>
      <c r="U687" s="34">
        <f>IFERROR(W687/T687,0)</f>
        <v/>
      </c>
      <c r="V687" s="34">
        <f>IF(U687=0,0,U687-F687)</f>
        <v/>
      </c>
      <c r="W687" s="34">
        <f>SUMIFS('[1]GİP VERİLERİ'!$O:$O,'[1]GİP VERİLERİ'!$B:$B,A687,'[1]GİP VERİLERİ'!$M:$M,"40X000000104782K",'[1]GİP VERİLERİ'!$G:$G,"SELL")</f>
        <v/>
      </c>
      <c r="X687" s="34">
        <f>SUMIFS('[1]GİP VERİLERİ'!$C:$C,'[1]GİP VERİLERİ'!$B:$B,A687,'[1]GİP VERİLERİ'!$M:$M,"40X000000104782K",'[1]GİP VERİLERİ'!$G:$G,"BUY")</f>
        <v/>
      </c>
      <c r="Y687" s="34">
        <f>IFERROR(AA687/X687,0)</f>
        <v/>
      </c>
      <c r="Z687" s="34">
        <f>IF(Y687=0,0,F687-Y687)</f>
        <v/>
      </c>
      <c r="AA687" s="34">
        <f>SUMIFS('[1]GİP VERİLERİ'!$O:$O,'[1]GİP VERİLERİ'!$B:$B,A687,'[1]GİP VERİLERİ'!$M:$M,"40X000000104782K",'[1]GİP VERİLERİ'!$G:$G,"BUY")</f>
        <v/>
      </c>
      <c r="AB687" s="34">
        <f>'[1]GÖP VERİLERİ'!H688</f>
        <v/>
      </c>
      <c r="AC687" s="34">
        <f>'[1]GÖP VERİLERİ'!I688</f>
        <v/>
      </c>
      <c r="AD687" s="34">
        <f>IF(AB687&gt;AC687*1.05,AB687-AC687*1.05,IF(AB687&lt;AC687*0.95,AC687*0.95-AB687,0))</f>
        <v/>
      </c>
      <c r="AE687" s="34">
        <f>MAX(F687,G687,750)*0.05*AD687</f>
        <v/>
      </c>
      <c r="AF687" s="34">
        <f>'[1]GÖP VERİLERİ'!J688</f>
        <v/>
      </c>
      <c r="AG687" s="34">
        <f>IF(AB687&gt;AF687*1.05,AB687-AF687*1.05,IF(AB687&lt;AF687*0.95,AF687*0.95-AB687,0))</f>
        <v/>
      </c>
      <c r="AH687" s="34">
        <f>MAX(I687,J687,750)*0.05*AG687</f>
        <v/>
      </c>
      <c r="AI687">
        <f>'[1]GÖP VERİLERİ'!E688</f>
        <v/>
      </c>
      <c r="AJ687">
        <f>'[1]GÖP VERİLERİ'!F688</f>
        <v/>
      </c>
      <c r="AK687" s="34">
        <f>IF(AI687&gt;AJ687*1.05,AI687-AJ687*1.05,IF(AI687&lt;AJ687*0.95,AJ687*0.95-AI687,0))</f>
        <v/>
      </c>
      <c r="AL687" s="34">
        <f>MAX(F687,G687,750)*0.05*AK687</f>
        <v/>
      </c>
      <c r="AM687" s="39">
        <f>'[1]GÖP VERİLERİ'!G688</f>
        <v/>
      </c>
      <c r="AN687" s="34">
        <f>IF(AI687&gt;AM687*1.05,AI687-AM687*1.05,IF(AI687&lt;AM687*0.95,AM687*0.95-AI687,0))</f>
        <v/>
      </c>
      <c r="AO687" s="34">
        <f>MAX(F687,G687,750)*0.05*AN687</f>
        <v/>
      </c>
      <c r="AP687" s="34">
        <f>'[1]GÖP VERİLERİ'!B688</f>
        <v/>
      </c>
      <c r="AQ687" s="34">
        <f>'[1]GÖP VERİLERİ'!C688</f>
        <v/>
      </c>
      <c r="AR687" s="34">
        <f>IF(AP687&gt;AQ687*1.05,AP687-AQ687*1.05,IF(AP687&lt;AQ687*0.95,AQ687*0.95-AP687,0))</f>
        <v/>
      </c>
      <c r="AS687" s="34">
        <f>MAX(F687:G687,750)*0.05*AR687</f>
        <v/>
      </c>
      <c r="AT687">
        <f>'[1]GÖP VERİLERİ'!D688</f>
        <v/>
      </c>
      <c r="AU687" s="34">
        <f>IF(AP687&gt;AT687*1.05,AP687-AT687*1.05,IF(AP687&lt;AT687*0.95,AT687*0.95-AP687,0))</f>
        <v/>
      </c>
      <c r="AV687" s="34">
        <f>MAX(F687:G687,750)*0.05*AU687</f>
        <v/>
      </c>
      <c r="AW687" s="34">
        <f>AC687+AJ687+AQ687</f>
        <v/>
      </c>
      <c r="AX687" s="34">
        <f>AF687+AM687+AT687</f>
        <v/>
      </c>
      <c r="AY687" s="34">
        <f>AB687+AI687+AP687</f>
        <v/>
      </c>
      <c r="AZ687" s="34" t="n">
        <v>0</v>
      </c>
      <c r="BA687" s="34">
        <f>AD687+AK687+AR687</f>
        <v/>
      </c>
      <c r="BB687" s="34">
        <f>MAX(F687:G687,750)*0.05*BA687</f>
        <v/>
      </c>
      <c r="BC687" s="34">
        <f>AG687+AN687+AU687</f>
        <v/>
      </c>
      <c r="BD687" s="34">
        <f>MAX(F687:G687,750)*0.05*BC687</f>
        <v/>
      </c>
      <c r="BE687" s="34">
        <f>F687*AY687</f>
        <v/>
      </c>
      <c r="BF687" s="34">
        <f>K687-M687</f>
        <v/>
      </c>
      <c r="BG687" s="34">
        <f>P687-S687</f>
        <v/>
      </c>
      <c r="BH687" s="34">
        <f>W687-AA687</f>
        <v/>
      </c>
      <c r="BI687" s="34">
        <f>BF687+BG687+BL687-BN687</f>
        <v/>
      </c>
      <c r="BJ687" s="34">
        <f>ABS(BK687)</f>
        <v/>
      </c>
      <c r="BK687" s="34">
        <f>AY687-(J687-L687+N687-Q687)</f>
        <v/>
      </c>
      <c r="BL687" s="34">
        <f>IF(AND(BK687&gt;0,MIN($F687:$G687)&lt;150,$E687="Enerji Açığı"),-100*BK687*1.03,IF(AND(BK687&gt;0,MIN($F687:$G687)&lt;150,$E687="Enerji Fazlası"),-100*BK687*1.06,IF(AND(BK687&gt;0,MIN($F687:$G687)&gt;=150,$E687="Enerji Açığı"),BK687*MIN($F687:$G687)*0.97,IF(AND(BK687&gt;0,MIN($F687:$G687)&gt;=150,$E687="Enerji Fazlası"),BK687*MIN($F687:$G687)*0.94,IF(AND(BK687&lt;0,MAX($F687:$G687)=4500,$E687="Enerji Açığı"),4500*1.05*1.06*BK687,IF(AND(BK687&lt;0,MAX($F687:$G687)=4500,$E687="Enerji Fazlası"),4500*1.05*1.03*BK687,IF(AND(BK687&lt;0,$E687="Enerji Açığı"),MAX($F687,$G687,150)*BK687*1.06,IF(AND(BK687&lt;0,$E687="Enerji Fazlası"),MAX($F687,$G687,150)*BK687*1.03,IF(AND(BK687&lt;0,$E687="Dengede"),MAX($F687:$G687,150)*1.03*BK687,MIN($F687:$G687)*0.97*BK687)))))))))</f>
        <v/>
      </c>
      <c r="BM687" s="34">
        <f>BE687-BI687-BN687</f>
        <v/>
      </c>
      <c r="BN687" s="34">
        <f>BB687</f>
        <v/>
      </c>
      <c r="BO687" s="34">
        <f>BE687-BI687</f>
        <v/>
      </c>
      <c r="BP687" s="34">
        <f>IF(AY687=0,0,BO687/AY687)</f>
        <v/>
      </c>
      <c r="BQ687" s="34">
        <f>MAX((AY687+MAX((-J687+L687-N687+Q687),0)),(MAX((J687-L687+N687-Q687),0)))</f>
        <v/>
      </c>
      <c r="BR687" s="82">
        <f>IFERROR(ABS(BK687/BQ687),0)</f>
        <v/>
      </c>
      <c r="BS687" s="34">
        <f>IF(BR687&lt;=0.1,0,BK687/BR687*(BR687-0.1))</f>
        <v/>
      </c>
      <c r="BT687" s="34">
        <f>IF((BS687)&lt;0,MAX(F687:G687)*(BS687)*1.03,MIN(F687:G687)*(BS687)*0.97)</f>
        <v/>
      </c>
      <c r="BU687" s="34">
        <f>IF(BR687&gt;0.1,1,0)</f>
        <v/>
      </c>
      <c r="BV687" s="34">
        <f>BF687+BG687+BH687+BY687-CA687</f>
        <v/>
      </c>
      <c r="BW687" s="34">
        <f>ABS(BX687)</f>
        <v/>
      </c>
      <c r="BX687" s="34">
        <f>AY687-(J687-L687+N687-Q687+T687-X687)</f>
        <v/>
      </c>
      <c r="BY687" s="34">
        <f>IF(AND(BX687&gt;0,MIN($F687:$G687)&lt;150,$E687="Enerji Açığı"),-100*BX687*1.03,IF(AND(BX687&gt;0,MIN($F687:$G687)&lt;150,$E687="Enerji Fazlası"),-100*BX687*1.06,IF(AND(BX687&gt;0,MIN($F687:$G687)&gt;=150,$E687="Enerji Açığı"),BX687*MIN($F687:$G687)*0.97,IF(AND(BX687&gt;0,MIN($F687:$G687)&gt;=150,$E687="Enerji Fazlası"),BX687*MIN($F687:$G687)*0.94,IF(AND(BX687&lt;0,MAX($F687:$G687)=4500,$E687="Enerji Açığı"),4500*1.05*1.06*BX687,IF(AND(BX687&lt;0,MAX($F687:$G687)=4500,$E687="Enerji Fazlası"),4500*1.05*1.03*BX687,IF(AND(BX687&lt;0,$E687="Enerji Açığı"),MAX($F687,$G687,150)*BX687*1.06,IF(AND(BX687&lt;0,$E687="Enerji Fazlası"),MAX($F687,$G687,150)*BX687*1.03,IF(AND(BX687&lt;0,$E687="Dengede"),MAX($F687:$G687,150)*1.03*BX687,MIN($F687:$G687)*0.97*BX687)))))))))</f>
        <v/>
      </c>
      <c r="BZ687" s="34">
        <f>BE687-BV687-CA687</f>
        <v/>
      </c>
      <c r="CA687" s="34">
        <f>BD687</f>
        <v/>
      </c>
      <c r="CB687" s="33">
        <f>BE687-BV687</f>
        <v/>
      </c>
      <c r="CC687" s="34">
        <f>IF(AY687=0,0,CB687/AY687)</f>
        <v/>
      </c>
      <c r="CD687" s="34">
        <f>MAX((AY687+MAX((-J687+L687-N687+Q687-T687+X687),0)),(MAX((J687-L687+N687-Q687+T687-X687),0)))</f>
        <v/>
      </c>
      <c r="CE687" s="82">
        <f>IFERROR(ABS(BX687/CD687),0)</f>
        <v/>
      </c>
      <c r="CF687" s="34">
        <f>IF(CE687&lt;=0.1,0,BX687/CE687*(CE687-0.1))</f>
        <v/>
      </c>
      <c r="CG687" s="34">
        <f>IF((CF687)&lt;0,MAX(F687:G687)*(CF687)*1.03,MIN(F687:G687)*(CF687)*0.97)</f>
        <v/>
      </c>
      <c r="CH687" s="34">
        <f>IF(CE687&gt;0.1,1,0)</f>
        <v/>
      </c>
      <c r="CI687" s="34">
        <f>(F687*BX687)-BY687</f>
        <v/>
      </c>
      <c r="CJ687" s="34">
        <f>IF(AY687=0,0,CI687/AY687)</f>
        <v/>
      </c>
    </row>
    <row r="688">
      <c r="A688" s="29">
        <f>[1]FİYATLAR!A663</f>
        <v/>
      </c>
      <c r="B688" s="29">
        <f>[1]FİYATLAR!B687</f>
        <v/>
      </c>
      <c r="C688" s="35">
        <f>INT(A688)</f>
        <v/>
      </c>
      <c r="D688" s="36">
        <f>MONTH(A688)</f>
        <v/>
      </c>
      <c r="E688" s="147">
        <f>[1]FİYATLAR!G663</f>
        <v/>
      </c>
      <c r="F688" s="30">
        <f>[1]FİYATLAR!C663</f>
        <v/>
      </c>
      <c r="G688" s="30">
        <f>[1]FİYATLAR!E663</f>
        <v/>
      </c>
      <c r="H688" s="30">
        <f>[1]FİYATLAR!D663</f>
        <v/>
      </c>
      <c r="I688" s="30">
        <f>[1]FİYATLAR!F663</f>
        <v/>
      </c>
      <c r="J688" s="119" t="n">
        <v>0</v>
      </c>
      <c r="K688" s="34">
        <f>F688*J688</f>
        <v/>
      </c>
      <c r="L688" s="119" t="n"/>
      <c r="M688" s="34">
        <f>L688*F688</f>
        <v/>
      </c>
      <c r="N688" s="119" t="n"/>
      <c r="O688" s="34">
        <f>F688</f>
        <v/>
      </c>
      <c r="P688" s="34">
        <f>N688*O688</f>
        <v/>
      </c>
      <c r="Q688" s="117" t="n">
        <v>0</v>
      </c>
      <c r="R688" s="34">
        <f>F688</f>
        <v/>
      </c>
      <c r="S688" s="34">
        <f>R688*Q688</f>
        <v/>
      </c>
      <c r="T688" s="34">
        <f>SUMIFS('[1]GİP VERİLERİ'!$C:$C,'[1]GİP VERİLERİ'!$B:$B,A688,'[1]GİP VERİLERİ'!$M:$M,"40X000000104782K",'[1]GİP VERİLERİ'!$G:$G,"SELL")</f>
        <v/>
      </c>
      <c r="U688" s="34">
        <f>IFERROR(W688/T688,0)</f>
        <v/>
      </c>
      <c r="V688" s="34">
        <f>IF(U688=0,0,U688-F688)</f>
        <v/>
      </c>
      <c r="W688" s="34">
        <f>SUMIFS('[1]GİP VERİLERİ'!$O:$O,'[1]GİP VERİLERİ'!$B:$B,A688,'[1]GİP VERİLERİ'!$M:$M,"40X000000104782K",'[1]GİP VERİLERİ'!$G:$G,"SELL")</f>
        <v/>
      </c>
      <c r="X688" s="34">
        <f>SUMIFS('[1]GİP VERİLERİ'!$C:$C,'[1]GİP VERİLERİ'!$B:$B,A688,'[1]GİP VERİLERİ'!$M:$M,"40X000000104782K",'[1]GİP VERİLERİ'!$G:$G,"BUY")</f>
        <v/>
      </c>
      <c r="Y688" s="34">
        <f>IFERROR(AA688/X688,0)</f>
        <v/>
      </c>
      <c r="Z688" s="34">
        <f>IF(Y688=0,0,F688-Y688)</f>
        <v/>
      </c>
      <c r="AA688" s="34">
        <f>SUMIFS('[1]GİP VERİLERİ'!$O:$O,'[1]GİP VERİLERİ'!$B:$B,A688,'[1]GİP VERİLERİ'!$M:$M,"40X000000104782K",'[1]GİP VERİLERİ'!$G:$G,"BUY")</f>
        <v/>
      </c>
      <c r="AB688" s="34">
        <f>'[1]GÖP VERİLERİ'!H689</f>
        <v/>
      </c>
      <c r="AC688" s="34">
        <f>'[1]GÖP VERİLERİ'!I689</f>
        <v/>
      </c>
      <c r="AD688" s="34">
        <f>IF(AB688&gt;AC688*1.05,AB688-AC688*1.05,IF(AB688&lt;AC688*0.95,AC688*0.95-AB688,0))</f>
        <v/>
      </c>
      <c r="AE688" s="34">
        <f>MAX(F688,G688,750)*0.05*AD688</f>
        <v/>
      </c>
      <c r="AF688" s="34">
        <f>'[1]GÖP VERİLERİ'!J689</f>
        <v/>
      </c>
      <c r="AG688" s="34">
        <f>IF(AB688&gt;AF688*1.05,AB688-AF688*1.05,IF(AB688&lt;AF688*0.95,AF688*0.95-AB688,0))</f>
        <v/>
      </c>
      <c r="AH688" s="34">
        <f>MAX(I688,J688,750)*0.05*AG688</f>
        <v/>
      </c>
      <c r="AI688">
        <f>'[1]GÖP VERİLERİ'!E689</f>
        <v/>
      </c>
      <c r="AJ688">
        <f>'[1]GÖP VERİLERİ'!F689</f>
        <v/>
      </c>
      <c r="AK688" s="34">
        <f>IF(AI688&gt;AJ688*1.05,AI688-AJ688*1.05,IF(AI688&lt;AJ688*0.95,AJ688*0.95-AI688,0))</f>
        <v/>
      </c>
      <c r="AL688" s="34">
        <f>MAX(F688,G688,750)*0.05*AK688</f>
        <v/>
      </c>
      <c r="AM688" s="39">
        <f>'[1]GÖP VERİLERİ'!G689</f>
        <v/>
      </c>
      <c r="AN688" s="34">
        <f>IF(AI688&gt;AM688*1.05,AI688-AM688*1.05,IF(AI688&lt;AM688*0.95,AM688*0.95-AI688,0))</f>
        <v/>
      </c>
      <c r="AO688" s="34">
        <f>MAX(F688,G688,750)*0.05*AN688</f>
        <v/>
      </c>
      <c r="AP688" s="34">
        <f>'[1]GÖP VERİLERİ'!B689</f>
        <v/>
      </c>
      <c r="AQ688" s="34">
        <f>'[1]GÖP VERİLERİ'!C689</f>
        <v/>
      </c>
      <c r="AR688" s="34">
        <f>IF(AP688&gt;AQ688*1.05,AP688-AQ688*1.05,IF(AP688&lt;AQ688*0.95,AQ688*0.95-AP688,0))</f>
        <v/>
      </c>
      <c r="AS688" s="34">
        <f>MAX(F688:G688,750)*0.05*AR688</f>
        <v/>
      </c>
      <c r="AT688">
        <f>'[1]GÖP VERİLERİ'!D689</f>
        <v/>
      </c>
      <c r="AU688" s="34">
        <f>IF(AP688&gt;AT688*1.05,AP688-AT688*1.05,IF(AP688&lt;AT688*0.95,AT688*0.95-AP688,0))</f>
        <v/>
      </c>
      <c r="AV688" s="34">
        <f>MAX(F688:G688,750)*0.05*AU688</f>
        <v/>
      </c>
      <c r="AW688" s="34">
        <f>AC688+AJ688+AQ688</f>
        <v/>
      </c>
      <c r="AX688" s="34">
        <f>AF688+AM688+AT688</f>
        <v/>
      </c>
      <c r="AY688" s="34">
        <f>AB688+AI688+AP688</f>
        <v/>
      </c>
      <c r="AZ688" s="34" t="n">
        <v>0</v>
      </c>
      <c r="BA688" s="34">
        <f>AD688+AK688+AR688</f>
        <v/>
      </c>
      <c r="BB688" s="34">
        <f>MAX(F688:G688,750)*0.05*BA688</f>
        <v/>
      </c>
      <c r="BC688" s="34">
        <f>AG688+AN688+AU688</f>
        <v/>
      </c>
      <c r="BD688" s="34">
        <f>MAX(F688:G688,750)*0.05*BC688</f>
        <v/>
      </c>
      <c r="BE688" s="34">
        <f>F688*AY688</f>
        <v/>
      </c>
      <c r="BF688" s="34">
        <f>K688-M688</f>
        <v/>
      </c>
      <c r="BG688" s="34">
        <f>P688-S688</f>
        <v/>
      </c>
      <c r="BH688" s="34">
        <f>W688-AA688</f>
        <v/>
      </c>
      <c r="BI688" s="34">
        <f>BF688+BG688+BL688-BN688</f>
        <v/>
      </c>
      <c r="BJ688" s="34">
        <f>ABS(BK688)</f>
        <v/>
      </c>
      <c r="BK688" s="34">
        <f>AY688-(J688-L688+N688-Q688)</f>
        <v/>
      </c>
      <c r="BL688" s="34">
        <f>IF(AND(BK688&gt;0,MIN($F688:$G688)&lt;150,$E688="Enerji Açığı"),-100*BK688*1.03,IF(AND(BK688&gt;0,MIN($F688:$G688)&lt;150,$E688="Enerji Fazlası"),-100*BK688*1.06,IF(AND(BK688&gt;0,MIN($F688:$G688)&gt;=150,$E688="Enerji Açığı"),BK688*MIN($F688:$G688)*0.97,IF(AND(BK688&gt;0,MIN($F688:$G688)&gt;=150,$E688="Enerji Fazlası"),BK688*MIN($F688:$G688)*0.94,IF(AND(BK688&lt;0,MAX($F688:$G688)=4500,$E688="Enerji Açığı"),4500*1.05*1.06*BK688,IF(AND(BK688&lt;0,MAX($F688:$G688)=4500,$E688="Enerji Fazlası"),4500*1.05*1.03*BK688,IF(AND(BK688&lt;0,$E688="Enerji Açığı"),MAX($F688,$G688,150)*BK688*1.06,IF(AND(BK688&lt;0,$E688="Enerji Fazlası"),MAX($F688,$G688,150)*BK688*1.03,IF(AND(BK688&lt;0,$E688="Dengede"),MAX($F688:$G688,150)*1.03*BK688,MIN($F688:$G688)*0.97*BK688)))))))))</f>
        <v/>
      </c>
      <c r="BM688" s="34">
        <f>BE688-BI688-BN688</f>
        <v/>
      </c>
      <c r="BN688" s="34">
        <f>BB688</f>
        <v/>
      </c>
      <c r="BO688" s="34">
        <f>BE688-BI688</f>
        <v/>
      </c>
      <c r="BP688" s="34">
        <f>IF(AY688=0,0,BO688/AY688)</f>
        <v/>
      </c>
      <c r="BQ688" s="34">
        <f>MAX((AY688+MAX((-J688+L688-N688+Q688),0)),(MAX((J688-L688+N688-Q688),0)))</f>
        <v/>
      </c>
      <c r="BR688" s="82">
        <f>IFERROR(ABS(BK688/BQ688),0)</f>
        <v/>
      </c>
      <c r="BS688" s="34">
        <f>IF(BR688&lt;=0.1,0,BK688/BR688*(BR688-0.1))</f>
        <v/>
      </c>
      <c r="BT688" s="34">
        <f>IF((BS688)&lt;0,MAX(F688:G688)*(BS688)*1.03,MIN(F688:G688)*(BS688)*0.97)</f>
        <v/>
      </c>
      <c r="BU688" s="34">
        <f>IF(BR688&gt;0.1,1,0)</f>
        <v/>
      </c>
      <c r="BV688" s="34">
        <f>BF688+BG688+BH688+BY688-CA688</f>
        <v/>
      </c>
      <c r="BW688" s="34">
        <f>ABS(BX688)</f>
        <v/>
      </c>
      <c r="BX688" s="34">
        <f>AY688-(J688-L688+N688-Q688+T688-X688)</f>
        <v/>
      </c>
      <c r="BY688" s="34">
        <f>IF(AND(BX688&gt;0,MIN($F688:$G688)&lt;150,$E688="Enerji Açığı"),-100*BX688*1.03,IF(AND(BX688&gt;0,MIN($F688:$G688)&lt;150,$E688="Enerji Fazlası"),-100*BX688*1.06,IF(AND(BX688&gt;0,MIN($F688:$G688)&gt;=150,$E688="Enerji Açığı"),BX688*MIN($F688:$G688)*0.97,IF(AND(BX688&gt;0,MIN($F688:$G688)&gt;=150,$E688="Enerji Fazlası"),BX688*MIN($F688:$G688)*0.94,IF(AND(BX688&lt;0,MAX($F688:$G688)=4500,$E688="Enerji Açığı"),4500*1.05*1.06*BX688,IF(AND(BX688&lt;0,MAX($F688:$G688)=4500,$E688="Enerji Fazlası"),4500*1.05*1.03*BX688,IF(AND(BX688&lt;0,$E688="Enerji Açığı"),MAX($F688,$G688,150)*BX688*1.06,IF(AND(BX688&lt;0,$E688="Enerji Fazlası"),MAX($F688,$G688,150)*BX688*1.03,IF(AND(BX688&lt;0,$E688="Dengede"),MAX($F688:$G688,150)*1.03*BX688,MIN($F688:$G688)*0.97*BX688)))))))))</f>
        <v/>
      </c>
      <c r="BZ688" s="34">
        <f>BE688-BV688-CA688</f>
        <v/>
      </c>
      <c r="CA688" s="34">
        <f>BD688</f>
        <v/>
      </c>
      <c r="CB688" s="33">
        <f>BE688-BV688</f>
        <v/>
      </c>
      <c r="CC688" s="34">
        <f>IF(AY688=0,0,CB688/AY688)</f>
        <v/>
      </c>
      <c r="CD688" s="34">
        <f>MAX((AY688+MAX((-J688+L688-N688+Q688-T688+X688),0)),(MAX((J688-L688+N688-Q688+T688-X688),0)))</f>
        <v/>
      </c>
      <c r="CE688" s="82">
        <f>IFERROR(ABS(BX688/CD688),0)</f>
        <v/>
      </c>
      <c r="CF688" s="34">
        <f>IF(CE688&lt;=0.1,0,BX688/CE688*(CE688-0.1))</f>
        <v/>
      </c>
      <c r="CG688" s="34">
        <f>IF((CF688)&lt;0,MAX(F688:G688)*(CF688)*1.03,MIN(F688:G688)*(CF688)*0.97)</f>
        <v/>
      </c>
      <c r="CH688" s="34">
        <f>IF(CE688&gt;0.1,1,0)</f>
        <v/>
      </c>
      <c r="CI688" s="34">
        <f>(F688*BX688)-BY688</f>
        <v/>
      </c>
      <c r="CJ688" s="34">
        <f>IF(AY688=0,0,CI688/AY688)</f>
        <v/>
      </c>
    </row>
    <row r="689">
      <c r="A689" s="29">
        <f>[1]FİYATLAR!A664</f>
        <v/>
      </c>
      <c r="B689" s="29">
        <f>[1]FİYATLAR!B688</f>
        <v/>
      </c>
      <c r="C689" s="35">
        <f>INT(A689)</f>
        <v/>
      </c>
      <c r="D689" s="36">
        <f>MONTH(A689)</f>
        <v/>
      </c>
      <c r="E689" s="147">
        <f>[1]FİYATLAR!G664</f>
        <v/>
      </c>
      <c r="F689" s="30">
        <f>[1]FİYATLAR!C664</f>
        <v/>
      </c>
      <c r="G689" s="30">
        <f>[1]FİYATLAR!E664</f>
        <v/>
      </c>
      <c r="H689" s="30">
        <f>[1]FİYATLAR!D664</f>
        <v/>
      </c>
      <c r="I689" s="30">
        <f>[1]FİYATLAR!F664</f>
        <v/>
      </c>
      <c r="J689" s="119" t="n">
        <v>0</v>
      </c>
      <c r="K689" s="34">
        <f>F689*J689</f>
        <v/>
      </c>
      <c r="L689" s="119" t="n"/>
      <c r="M689" s="34">
        <f>L689*F689</f>
        <v/>
      </c>
      <c r="N689" s="119" t="n"/>
      <c r="O689" s="34">
        <f>F689</f>
        <v/>
      </c>
      <c r="P689" s="34">
        <f>N689*O689</f>
        <v/>
      </c>
      <c r="Q689" s="117" t="n">
        <v>0</v>
      </c>
      <c r="R689" s="34">
        <f>F689</f>
        <v/>
      </c>
      <c r="S689" s="34">
        <f>R689*Q689</f>
        <v/>
      </c>
      <c r="T689" s="34">
        <f>SUMIFS('[1]GİP VERİLERİ'!$C:$C,'[1]GİP VERİLERİ'!$B:$B,A689,'[1]GİP VERİLERİ'!$M:$M,"40X000000104782K",'[1]GİP VERİLERİ'!$G:$G,"SELL")</f>
        <v/>
      </c>
      <c r="U689" s="34">
        <f>IFERROR(W689/T689,0)</f>
        <v/>
      </c>
      <c r="V689" s="34">
        <f>IF(U689=0,0,U689-F689)</f>
        <v/>
      </c>
      <c r="W689" s="34">
        <f>SUMIFS('[1]GİP VERİLERİ'!$O:$O,'[1]GİP VERİLERİ'!$B:$B,A689,'[1]GİP VERİLERİ'!$M:$M,"40X000000104782K",'[1]GİP VERİLERİ'!$G:$G,"SELL")</f>
        <v/>
      </c>
      <c r="X689" s="34">
        <f>SUMIFS('[1]GİP VERİLERİ'!$C:$C,'[1]GİP VERİLERİ'!$B:$B,A689,'[1]GİP VERİLERİ'!$M:$M,"40X000000104782K",'[1]GİP VERİLERİ'!$G:$G,"BUY")</f>
        <v/>
      </c>
      <c r="Y689" s="34">
        <f>IFERROR(AA689/X689,0)</f>
        <v/>
      </c>
      <c r="Z689" s="34">
        <f>IF(Y689=0,0,F689-Y689)</f>
        <v/>
      </c>
      <c r="AA689" s="34">
        <f>SUMIFS('[1]GİP VERİLERİ'!$O:$O,'[1]GİP VERİLERİ'!$B:$B,A689,'[1]GİP VERİLERİ'!$M:$M,"40X000000104782K",'[1]GİP VERİLERİ'!$G:$G,"BUY")</f>
        <v/>
      </c>
      <c r="AB689" s="34">
        <f>'[1]GÖP VERİLERİ'!H690</f>
        <v/>
      </c>
      <c r="AC689" s="34">
        <f>'[1]GÖP VERİLERİ'!I690</f>
        <v/>
      </c>
      <c r="AD689" s="34">
        <f>IF(AB689&gt;AC689*1.05,AB689-AC689*1.05,IF(AB689&lt;AC689*0.95,AC689*0.95-AB689,0))</f>
        <v/>
      </c>
      <c r="AE689" s="34">
        <f>MAX(F689,G689,750)*0.05*AD689</f>
        <v/>
      </c>
      <c r="AF689" s="34">
        <f>'[1]GÖP VERİLERİ'!J690</f>
        <v/>
      </c>
      <c r="AG689" s="34">
        <f>IF(AB689&gt;AF689*1.05,AB689-AF689*1.05,IF(AB689&lt;AF689*0.95,AF689*0.95-AB689,0))</f>
        <v/>
      </c>
      <c r="AH689" s="34">
        <f>MAX(I689,J689,750)*0.05*AG689</f>
        <v/>
      </c>
      <c r="AI689">
        <f>'[1]GÖP VERİLERİ'!E690</f>
        <v/>
      </c>
      <c r="AJ689">
        <f>'[1]GÖP VERİLERİ'!F690</f>
        <v/>
      </c>
      <c r="AK689" s="34">
        <f>IF(AI689&gt;AJ689*1.05,AI689-AJ689*1.05,IF(AI689&lt;AJ689*0.95,AJ689*0.95-AI689,0))</f>
        <v/>
      </c>
      <c r="AL689" s="34">
        <f>MAX(F689,G689,750)*0.05*AK689</f>
        <v/>
      </c>
      <c r="AM689" s="39">
        <f>'[1]GÖP VERİLERİ'!G690</f>
        <v/>
      </c>
      <c r="AN689" s="34">
        <f>IF(AI689&gt;AM689*1.05,AI689-AM689*1.05,IF(AI689&lt;AM689*0.95,AM689*0.95-AI689,0))</f>
        <v/>
      </c>
      <c r="AO689" s="34">
        <f>MAX(F689,G689,750)*0.05*AN689</f>
        <v/>
      </c>
      <c r="AP689" s="34">
        <f>'[1]GÖP VERİLERİ'!B690</f>
        <v/>
      </c>
      <c r="AQ689" s="34">
        <f>'[1]GÖP VERİLERİ'!C690</f>
        <v/>
      </c>
      <c r="AR689" s="34">
        <f>IF(AP689&gt;AQ689*1.05,AP689-AQ689*1.05,IF(AP689&lt;AQ689*0.95,AQ689*0.95-AP689,0))</f>
        <v/>
      </c>
      <c r="AS689" s="34">
        <f>MAX(F689:G689,750)*0.05*AR689</f>
        <v/>
      </c>
      <c r="AT689">
        <f>'[1]GÖP VERİLERİ'!D690</f>
        <v/>
      </c>
      <c r="AU689" s="34">
        <f>IF(AP689&gt;AT689*1.05,AP689-AT689*1.05,IF(AP689&lt;AT689*0.95,AT689*0.95-AP689,0))</f>
        <v/>
      </c>
      <c r="AV689" s="34">
        <f>MAX(F689:G689,750)*0.05*AU689</f>
        <v/>
      </c>
      <c r="AW689" s="34">
        <f>AC689+AJ689+AQ689</f>
        <v/>
      </c>
      <c r="AX689" s="34">
        <f>AF689+AM689+AT689</f>
        <v/>
      </c>
      <c r="AY689" s="34">
        <f>AB689+AI689+AP689</f>
        <v/>
      </c>
      <c r="AZ689" s="34" t="n">
        <v>0</v>
      </c>
      <c r="BA689" s="34">
        <f>AD689+AK689+AR689</f>
        <v/>
      </c>
      <c r="BB689" s="34">
        <f>MAX(F689:G689,750)*0.05*BA689</f>
        <v/>
      </c>
      <c r="BC689" s="34">
        <f>AG689+AN689+AU689</f>
        <v/>
      </c>
      <c r="BD689" s="34">
        <f>MAX(F689:G689,750)*0.05*BC689</f>
        <v/>
      </c>
      <c r="BE689" s="34">
        <f>F689*AY689</f>
        <v/>
      </c>
      <c r="BF689" s="34">
        <f>K689-M689</f>
        <v/>
      </c>
      <c r="BG689" s="34">
        <f>P689-S689</f>
        <v/>
      </c>
      <c r="BH689" s="34">
        <f>W689-AA689</f>
        <v/>
      </c>
      <c r="BI689" s="34">
        <f>BF689+BG689+BL689-BN689</f>
        <v/>
      </c>
      <c r="BJ689" s="34">
        <f>ABS(BK689)</f>
        <v/>
      </c>
      <c r="BK689" s="34">
        <f>AY689-(J689-L689+N689-Q689)</f>
        <v/>
      </c>
      <c r="BL689" s="34">
        <f>IF(AND(BK689&gt;0,MIN($F689:$G689)&lt;150,$E689="Enerji Açığı"),-100*BK689*1.03,IF(AND(BK689&gt;0,MIN($F689:$G689)&lt;150,$E689="Enerji Fazlası"),-100*BK689*1.06,IF(AND(BK689&gt;0,MIN($F689:$G689)&gt;=150,$E689="Enerji Açığı"),BK689*MIN($F689:$G689)*0.97,IF(AND(BK689&gt;0,MIN($F689:$G689)&gt;=150,$E689="Enerji Fazlası"),BK689*MIN($F689:$G689)*0.94,IF(AND(BK689&lt;0,MAX($F689:$G689)=4500,$E689="Enerji Açığı"),4500*1.05*1.06*BK689,IF(AND(BK689&lt;0,MAX($F689:$G689)=4500,$E689="Enerji Fazlası"),4500*1.05*1.03*BK689,IF(AND(BK689&lt;0,$E689="Enerji Açığı"),MAX($F689,$G689,150)*BK689*1.06,IF(AND(BK689&lt;0,$E689="Enerji Fazlası"),MAX($F689,$G689,150)*BK689*1.03,IF(AND(BK689&lt;0,$E689="Dengede"),MAX($F689:$G689,150)*1.03*BK689,MIN($F689:$G689)*0.97*BK689)))))))))</f>
        <v/>
      </c>
      <c r="BM689" s="34">
        <f>BE689-BI689-BN689</f>
        <v/>
      </c>
      <c r="BN689" s="34">
        <f>BB689</f>
        <v/>
      </c>
      <c r="BO689" s="34">
        <f>BE689-BI689</f>
        <v/>
      </c>
      <c r="BP689" s="34">
        <f>IF(AY689=0,0,BO689/AY689)</f>
        <v/>
      </c>
      <c r="BQ689" s="34">
        <f>MAX((AY689+MAX((-J689+L689-N689+Q689),0)),(MAX((J689-L689+N689-Q689),0)))</f>
        <v/>
      </c>
      <c r="BR689" s="82">
        <f>IFERROR(ABS(BK689/BQ689),0)</f>
        <v/>
      </c>
      <c r="BS689" s="34">
        <f>IF(BR689&lt;=0.1,0,BK689/BR689*(BR689-0.1))</f>
        <v/>
      </c>
      <c r="BT689" s="34">
        <f>IF((BS689)&lt;0,MAX(F689:G689)*(BS689)*1.03,MIN(F689:G689)*(BS689)*0.97)</f>
        <v/>
      </c>
      <c r="BU689" s="34">
        <f>IF(BR689&gt;0.1,1,0)</f>
        <v/>
      </c>
      <c r="BV689" s="34">
        <f>BF689+BG689+BH689+BY689-CA689</f>
        <v/>
      </c>
      <c r="BW689" s="34">
        <f>ABS(BX689)</f>
        <v/>
      </c>
      <c r="BX689" s="34">
        <f>AY689-(J689-L689+N689-Q689+T689-X689)</f>
        <v/>
      </c>
      <c r="BY689" s="34">
        <f>IF(AND(BX689&gt;0,MIN($F689:$G689)&lt;150,$E689="Enerji Açığı"),-100*BX689*1.03,IF(AND(BX689&gt;0,MIN($F689:$G689)&lt;150,$E689="Enerji Fazlası"),-100*BX689*1.06,IF(AND(BX689&gt;0,MIN($F689:$G689)&gt;=150,$E689="Enerji Açığı"),BX689*MIN($F689:$G689)*0.97,IF(AND(BX689&gt;0,MIN($F689:$G689)&gt;=150,$E689="Enerji Fazlası"),BX689*MIN($F689:$G689)*0.94,IF(AND(BX689&lt;0,MAX($F689:$G689)=4500,$E689="Enerji Açığı"),4500*1.05*1.06*BX689,IF(AND(BX689&lt;0,MAX($F689:$G689)=4500,$E689="Enerji Fazlası"),4500*1.05*1.03*BX689,IF(AND(BX689&lt;0,$E689="Enerji Açığı"),MAX($F689,$G689,150)*BX689*1.06,IF(AND(BX689&lt;0,$E689="Enerji Fazlası"),MAX($F689,$G689,150)*BX689*1.03,IF(AND(BX689&lt;0,$E689="Dengede"),MAX($F689:$G689,150)*1.03*BX689,MIN($F689:$G689)*0.97*BX689)))))))))</f>
        <v/>
      </c>
      <c r="BZ689" s="34">
        <f>BE689-BV689-CA689</f>
        <v/>
      </c>
      <c r="CA689" s="34">
        <f>BD689</f>
        <v/>
      </c>
      <c r="CB689" s="33">
        <f>BE689-BV689</f>
        <v/>
      </c>
      <c r="CC689" s="34">
        <f>IF(AY689=0,0,CB689/AY689)</f>
        <v/>
      </c>
      <c r="CD689" s="34">
        <f>MAX((AY689+MAX((-J689+L689-N689+Q689-T689+X689),0)),(MAX((J689-L689+N689-Q689+T689-X689),0)))</f>
        <v/>
      </c>
      <c r="CE689" s="82">
        <f>IFERROR(ABS(BX689/CD689),0)</f>
        <v/>
      </c>
      <c r="CF689" s="34">
        <f>IF(CE689&lt;=0.1,0,BX689/CE689*(CE689-0.1))</f>
        <v/>
      </c>
      <c r="CG689" s="34">
        <f>IF((CF689)&lt;0,MAX(F689:G689)*(CF689)*1.03,MIN(F689:G689)*(CF689)*0.97)</f>
        <v/>
      </c>
      <c r="CH689" s="34">
        <f>IF(CE689&gt;0.1,1,0)</f>
        <v/>
      </c>
      <c r="CI689" s="34">
        <f>(F689*BX689)-BY689</f>
        <v/>
      </c>
      <c r="CJ689" s="34">
        <f>IF(AY689=0,0,CI689/AY689)</f>
        <v/>
      </c>
    </row>
    <row r="690">
      <c r="A690" s="29">
        <f>[1]FİYATLAR!A665</f>
        <v/>
      </c>
      <c r="B690" s="29">
        <f>[1]FİYATLAR!B689</f>
        <v/>
      </c>
      <c r="C690" s="35">
        <f>INT(A690)</f>
        <v/>
      </c>
      <c r="D690" s="36">
        <f>MONTH(A690)</f>
        <v/>
      </c>
      <c r="E690" s="147">
        <f>[1]FİYATLAR!G665</f>
        <v/>
      </c>
      <c r="F690" s="30">
        <f>[1]FİYATLAR!C665</f>
        <v/>
      </c>
      <c r="G690" s="30">
        <f>[1]FİYATLAR!E665</f>
        <v/>
      </c>
      <c r="H690" s="30">
        <f>[1]FİYATLAR!D665</f>
        <v/>
      </c>
      <c r="I690" s="30">
        <f>[1]FİYATLAR!F665</f>
        <v/>
      </c>
      <c r="J690" s="119" t="n">
        <v>0</v>
      </c>
      <c r="K690" s="34">
        <f>F690*J690</f>
        <v/>
      </c>
      <c r="L690" s="119" t="n"/>
      <c r="M690" s="34">
        <f>L690*F690</f>
        <v/>
      </c>
      <c r="N690" s="119" t="n"/>
      <c r="O690" s="34">
        <f>F690</f>
        <v/>
      </c>
      <c r="P690" s="34">
        <f>N690*O690</f>
        <v/>
      </c>
      <c r="Q690" s="117" t="n">
        <v>0</v>
      </c>
      <c r="R690" s="34">
        <f>F690</f>
        <v/>
      </c>
      <c r="S690" s="34">
        <f>R690*Q690</f>
        <v/>
      </c>
      <c r="T690" s="34">
        <f>SUMIFS('[1]GİP VERİLERİ'!$C:$C,'[1]GİP VERİLERİ'!$B:$B,A690,'[1]GİP VERİLERİ'!$M:$M,"40X000000104782K",'[1]GİP VERİLERİ'!$G:$G,"SELL")</f>
        <v/>
      </c>
      <c r="U690" s="34">
        <f>IFERROR(W690/T690,0)</f>
        <v/>
      </c>
      <c r="V690" s="34">
        <f>IF(U690=0,0,U690-F690)</f>
        <v/>
      </c>
      <c r="W690" s="34">
        <f>SUMIFS('[1]GİP VERİLERİ'!$O:$O,'[1]GİP VERİLERİ'!$B:$B,A690,'[1]GİP VERİLERİ'!$M:$M,"40X000000104782K",'[1]GİP VERİLERİ'!$G:$G,"SELL")</f>
        <v/>
      </c>
      <c r="X690" s="34">
        <f>SUMIFS('[1]GİP VERİLERİ'!$C:$C,'[1]GİP VERİLERİ'!$B:$B,A690,'[1]GİP VERİLERİ'!$M:$M,"40X000000104782K",'[1]GİP VERİLERİ'!$G:$G,"BUY")</f>
        <v/>
      </c>
      <c r="Y690" s="34">
        <f>IFERROR(AA690/X690,0)</f>
        <v/>
      </c>
      <c r="Z690" s="34">
        <f>IF(Y690=0,0,F690-Y690)</f>
        <v/>
      </c>
      <c r="AA690" s="34">
        <f>SUMIFS('[1]GİP VERİLERİ'!$O:$O,'[1]GİP VERİLERİ'!$B:$B,A690,'[1]GİP VERİLERİ'!$M:$M,"40X000000104782K",'[1]GİP VERİLERİ'!$G:$G,"BUY")</f>
        <v/>
      </c>
      <c r="AB690" s="34">
        <f>'[1]GÖP VERİLERİ'!H691</f>
        <v/>
      </c>
      <c r="AC690" s="34">
        <f>'[1]GÖP VERİLERİ'!I691</f>
        <v/>
      </c>
      <c r="AD690" s="34">
        <f>IF(AB690&gt;AC690*1.05,AB690-AC690*1.05,IF(AB690&lt;AC690*0.95,AC690*0.95-AB690,0))</f>
        <v/>
      </c>
      <c r="AE690" s="34">
        <f>MAX(F690,G690,750)*0.05*AD690</f>
        <v/>
      </c>
      <c r="AF690" s="34">
        <f>'[1]GÖP VERİLERİ'!J691</f>
        <v/>
      </c>
      <c r="AG690" s="34">
        <f>IF(AB690&gt;AF690*1.05,AB690-AF690*1.05,IF(AB690&lt;AF690*0.95,AF690*0.95-AB690,0))</f>
        <v/>
      </c>
      <c r="AH690" s="34">
        <f>MAX(I690,J690,750)*0.05*AG690</f>
        <v/>
      </c>
      <c r="AI690">
        <f>'[1]GÖP VERİLERİ'!E691</f>
        <v/>
      </c>
      <c r="AJ690">
        <f>'[1]GÖP VERİLERİ'!F691</f>
        <v/>
      </c>
      <c r="AK690" s="34">
        <f>IF(AI690&gt;AJ690*1.05,AI690-AJ690*1.05,IF(AI690&lt;AJ690*0.95,AJ690*0.95-AI690,0))</f>
        <v/>
      </c>
      <c r="AL690" s="34">
        <f>MAX(F690,G690,750)*0.05*AK690</f>
        <v/>
      </c>
      <c r="AM690" s="39">
        <f>'[1]GÖP VERİLERİ'!G691</f>
        <v/>
      </c>
      <c r="AN690" s="34">
        <f>IF(AI690&gt;AM690*1.05,AI690-AM690*1.05,IF(AI690&lt;AM690*0.95,AM690*0.95-AI690,0))</f>
        <v/>
      </c>
      <c r="AO690" s="34">
        <f>MAX(F690,G690,750)*0.05*AN690</f>
        <v/>
      </c>
      <c r="AP690" s="34">
        <f>'[1]GÖP VERİLERİ'!B691</f>
        <v/>
      </c>
      <c r="AQ690" s="34">
        <f>'[1]GÖP VERİLERİ'!C691</f>
        <v/>
      </c>
      <c r="AR690" s="34">
        <f>IF(AP690&gt;AQ690*1.05,AP690-AQ690*1.05,IF(AP690&lt;AQ690*0.95,AQ690*0.95-AP690,0))</f>
        <v/>
      </c>
      <c r="AS690" s="34">
        <f>MAX(F690:G690,750)*0.05*AR690</f>
        <v/>
      </c>
      <c r="AT690">
        <f>'[1]GÖP VERİLERİ'!D691</f>
        <v/>
      </c>
      <c r="AU690" s="34">
        <f>IF(AP690&gt;AT690*1.05,AP690-AT690*1.05,IF(AP690&lt;AT690*0.95,AT690*0.95-AP690,0))</f>
        <v/>
      </c>
      <c r="AV690" s="34">
        <f>MAX(F690:G690,750)*0.05*AU690</f>
        <v/>
      </c>
      <c r="AW690" s="34">
        <f>AC690+AJ690+AQ690</f>
        <v/>
      </c>
      <c r="AX690" s="34">
        <f>AF690+AM690+AT690</f>
        <v/>
      </c>
      <c r="AY690" s="34">
        <f>AB690+AI690+AP690</f>
        <v/>
      </c>
      <c r="AZ690" s="34" t="n">
        <v>0</v>
      </c>
      <c r="BA690" s="34">
        <f>AD690+AK690+AR690</f>
        <v/>
      </c>
      <c r="BB690" s="34">
        <f>MAX(F690:G690,750)*0.05*BA690</f>
        <v/>
      </c>
      <c r="BC690" s="34">
        <f>AG690+AN690+AU690</f>
        <v/>
      </c>
      <c r="BD690" s="34">
        <f>MAX(F690:G690,750)*0.05*BC690</f>
        <v/>
      </c>
      <c r="BE690" s="34">
        <f>F690*AY690</f>
        <v/>
      </c>
      <c r="BF690" s="34">
        <f>K690-M690</f>
        <v/>
      </c>
      <c r="BG690" s="34">
        <f>P690-S690</f>
        <v/>
      </c>
      <c r="BH690" s="34">
        <f>W690-AA690</f>
        <v/>
      </c>
      <c r="BI690" s="34">
        <f>BF690+BG690+BL690-BN690</f>
        <v/>
      </c>
      <c r="BJ690" s="34">
        <f>ABS(BK690)</f>
        <v/>
      </c>
      <c r="BK690" s="34">
        <f>AY690-(J690-L690+N690-Q690)</f>
        <v/>
      </c>
      <c r="BL690" s="34">
        <f>IF(AND(BK690&gt;0,MIN($F690:$G690)&lt;150,$E690="Enerji Açığı"),-100*BK690*1.03,IF(AND(BK690&gt;0,MIN($F690:$G690)&lt;150,$E690="Enerji Fazlası"),-100*BK690*1.06,IF(AND(BK690&gt;0,MIN($F690:$G690)&gt;=150,$E690="Enerji Açığı"),BK690*MIN($F690:$G690)*0.97,IF(AND(BK690&gt;0,MIN($F690:$G690)&gt;=150,$E690="Enerji Fazlası"),BK690*MIN($F690:$G690)*0.94,IF(AND(BK690&lt;0,MAX($F690:$G690)=4500,$E690="Enerji Açığı"),4500*1.05*1.06*BK690,IF(AND(BK690&lt;0,MAX($F690:$G690)=4500,$E690="Enerji Fazlası"),4500*1.05*1.03*BK690,IF(AND(BK690&lt;0,$E690="Enerji Açığı"),MAX($F690,$G690,150)*BK690*1.06,IF(AND(BK690&lt;0,$E690="Enerji Fazlası"),MAX($F690,$G690,150)*BK690*1.03,IF(AND(BK690&lt;0,$E690="Dengede"),MAX($F690:$G690,150)*1.03*BK690,MIN($F690:$G690)*0.97*BK690)))))))))</f>
        <v/>
      </c>
      <c r="BM690" s="34">
        <f>BE690-BI690-BN690</f>
        <v/>
      </c>
      <c r="BN690" s="34">
        <f>BB690</f>
        <v/>
      </c>
      <c r="BO690" s="34">
        <f>BE690-BI690</f>
        <v/>
      </c>
      <c r="BP690" s="34">
        <f>IF(AY690=0,0,BO690/AY690)</f>
        <v/>
      </c>
      <c r="BQ690" s="34">
        <f>MAX((AY690+MAX((-J690+L690-N690+Q690),0)),(MAX((J690-L690+N690-Q690),0)))</f>
        <v/>
      </c>
      <c r="BR690" s="82">
        <f>IFERROR(ABS(BK690/BQ690),0)</f>
        <v/>
      </c>
      <c r="BS690" s="34">
        <f>IF(BR690&lt;=0.1,0,BK690/BR690*(BR690-0.1))</f>
        <v/>
      </c>
      <c r="BT690" s="34">
        <f>IF((BS690)&lt;0,MAX(F690:G690)*(BS690)*1.03,MIN(F690:G690)*(BS690)*0.97)</f>
        <v/>
      </c>
      <c r="BU690" s="34">
        <f>IF(BR690&gt;0.1,1,0)</f>
        <v/>
      </c>
      <c r="BV690" s="34">
        <f>BF690+BG690+BH690+BY690-CA690</f>
        <v/>
      </c>
      <c r="BW690" s="34">
        <f>ABS(BX690)</f>
        <v/>
      </c>
      <c r="BX690" s="34">
        <f>AY690-(J690-L690+N690-Q690+T690-X690)</f>
        <v/>
      </c>
      <c r="BY690" s="34">
        <f>IF(AND(BX690&gt;0,MIN($F690:$G690)&lt;150,$E690="Enerji Açığı"),-100*BX690*1.03,IF(AND(BX690&gt;0,MIN($F690:$G690)&lt;150,$E690="Enerji Fazlası"),-100*BX690*1.06,IF(AND(BX690&gt;0,MIN($F690:$G690)&gt;=150,$E690="Enerji Açığı"),BX690*MIN($F690:$G690)*0.97,IF(AND(BX690&gt;0,MIN($F690:$G690)&gt;=150,$E690="Enerji Fazlası"),BX690*MIN($F690:$G690)*0.94,IF(AND(BX690&lt;0,MAX($F690:$G690)=4500,$E690="Enerji Açığı"),4500*1.05*1.06*BX690,IF(AND(BX690&lt;0,MAX($F690:$G690)=4500,$E690="Enerji Fazlası"),4500*1.05*1.03*BX690,IF(AND(BX690&lt;0,$E690="Enerji Açığı"),MAX($F690,$G690,150)*BX690*1.06,IF(AND(BX690&lt;0,$E690="Enerji Fazlası"),MAX($F690,$G690,150)*BX690*1.03,IF(AND(BX690&lt;0,$E690="Dengede"),MAX($F690:$G690,150)*1.03*BX690,MIN($F690:$G690)*0.97*BX690)))))))))</f>
        <v/>
      </c>
      <c r="BZ690" s="34">
        <f>BE690-BV690-CA690</f>
        <v/>
      </c>
      <c r="CA690" s="34">
        <f>BD690</f>
        <v/>
      </c>
      <c r="CB690" s="33">
        <f>BE690-BV690</f>
        <v/>
      </c>
      <c r="CC690" s="34">
        <f>IF(AY690=0,0,CB690/AY690)</f>
        <v/>
      </c>
      <c r="CD690" s="34">
        <f>MAX((AY690+MAX((-J690+L690-N690+Q690-T690+X690),0)),(MAX((J690-L690+N690-Q690+T690-X690),0)))</f>
        <v/>
      </c>
      <c r="CE690" s="82">
        <f>IFERROR(ABS(BX690/CD690),0)</f>
        <v/>
      </c>
      <c r="CF690" s="34">
        <f>IF(CE690&lt;=0.1,0,BX690/CE690*(CE690-0.1))</f>
        <v/>
      </c>
      <c r="CG690" s="34">
        <f>IF((CF690)&lt;0,MAX(F690:G690)*(CF690)*1.03,MIN(F690:G690)*(CF690)*0.97)</f>
        <v/>
      </c>
      <c r="CH690" s="34">
        <f>IF(CE690&gt;0.1,1,0)</f>
        <v/>
      </c>
      <c r="CI690" s="34">
        <f>(F690*BX690)-BY690</f>
        <v/>
      </c>
      <c r="CJ690" s="34">
        <f>IF(AY690=0,0,CI690/AY690)</f>
        <v/>
      </c>
    </row>
    <row r="691">
      <c r="A691" s="29">
        <f>[1]FİYATLAR!A666</f>
        <v/>
      </c>
      <c r="B691" s="29">
        <f>[1]FİYATLAR!B690</f>
        <v/>
      </c>
      <c r="C691" s="35">
        <f>INT(A691)</f>
        <v/>
      </c>
      <c r="D691" s="36">
        <f>MONTH(A691)</f>
        <v/>
      </c>
      <c r="E691" s="147">
        <f>[1]FİYATLAR!G666</f>
        <v/>
      </c>
      <c r="F691" s="30">
        <f>[1]FİYATLAR!C666</f>
        <v/>
      </c>
      <c r="G691" s="30">
        <f>[1]FİYATLAR!E666</f>
        <v/>
      </c>
      <c r="H691" s="30">
        <f>[1]FİYATLAR!D666</f>
        <v/>
      </c>
      <c r="I691" s="30">
        <f>[1]FİYATLAR!F666</f>
        <v/>
      </c>
      <c r="J691" s="119" t="n">
        <v>0</v>
      </c>
      <c r="K691" s="34">
        <f>F691*J691</f>
        <v/>
      </c>
      <c r="L691" s="119" t="n"/>
      <c r="M691" s="34">
        <f>L691*F691</f>
        <v/>
      </c>
      <c r="N691" s="119" t="n"/>
      <c r="O691" s="34">
        <f>F691</f>
        <v/>
      </c>
      <c r="P691" s="34">
        <f>N691*O691</f>
        <v/>
      </c>
      <c r="Q691" s="117" t="n">
        <v>0</v>
      </c>
      <c r="R691" s="34">
        <f>F691</f>
        <v/>
      </c>
      <c r="S691" s="34">
        <f>R691*Q691</f>
        <v/>
      </c>
      <c r="T691" s="34">
        <f>SUMIFS('[1]GİP VERİLERİ'!$C:$C,'[1]GİP VERİLERİ'!$B:$B,A691,'[1]GİP VERİLERİ'!$M:$M,"40X000000104782K",'[1]GİP VERİLERİ'!$G:$G,"SELL")</f>
        <v/>
      </c>
      <c r="U691" s="34">
        <f>IFERROR(W691/T691,0)</f>
        <v/>
      </c>
      <c r="V691" s="34">
        <f>IF(U691=0,0,U691-F691)</f>
        <v/>
      </c>
      <c r="W691" s="34">
        <f>SUMIFS('[1]GİP VERİLERİ'!$O:$O,'[1]GİP VERİLERİ'!$B:$B,A691,'[1]GİP VERİLERİ'!$M:$M,"40X000000104782K",'[1]GİP VERİLERİ'!$G:$G,"SELL")</f>
        <v/>
      </c>
      <c r="X691" s="34">
        <f>SUMIFS('[1]GİP VERİLERİ'!$C:$C,'[1]GİP VERİLERİ'!$B:$B,A691,'[1]GİP VERİLERİ'!$M:$M,"40X000000104782K",'[1]GİP VERİLERİ'!$G:$G,"BUY")</f>
        <v/>
      </c>
      <c r="Y691" s="34">
        <f>IFERROR(AA691/X691,0)</f>
        <v/>
      </c>
      <c r="Z691" s="34">
        <f>IF(Y691=0,0,F691-Y691)</f>
        <v/>
      </c>
      <c r="AA691" s="34">
        <f>SUMIFS('[1]GİP VERİLERİ'!$O:$O,'[1]GİP VERİLERİ'!$B:$B,A691,'[1]GİP VERİLERİ'!$M:$M,"40X000000104782K",'[1]GİP VERİLERİ'!$G:$G,"BUY")</f>
        <v/>
      </c>
      <c r="AB691" s="34">
        <f>'[1]GÖP VERİLERİ'!H692</f>
        <v/>
      </c>
      <c r="AC691" s="34">
        <f>'[1]GÖP VERİLERİ'!I692</f>
        <v/>
      </c>
      <c r="AD691" s="34">
        <f>IF(AB691&gt;AC691*1.05,AB691-AC691*1.05,IF(AB691&lt;AC691*0.95,AC691*0.95-AB691,0))</f>
        <v/>
      </c>
      <c r="AE691" s="34">
        <f>MAX(F691,G691,750)*0.05*AD691</f>
        <v/>
      </c>
      <c r="AF691" s="34">
        <f>'[1]GÖP VERİLERİ'!J692</f>
        <v/>
      </c>
      <c r="AG691" s="34">
        <f>IF(AB691&gt;AF691*1.05,AB691-AF691*1.05,IF(AB691&lt;AF691*0.95,AF691*0.95-AB691,0))</f>
        <v/>
      </c>
      <c r="AH691" s="34">
        <f>MAX(I691,J691,750)*0.05*AG691</f>
        <v/>
      </c>
      <c r="AI691">
        <f>'[1]GÖP VERİLERİ'!E692</f>
        <v/>
      </c>
      <c r="AJ691">
        <f>'[1]GÖP VERİLERİ'!F692</f>
        <v/>
      </c>
      <c r="AK691" s="34">
        <f>IF(AI691&gt;AJ691*1.05,AI691-AJ691*1.05,IF(AI691&lt;AJ691*0.95,AJ691*0.95-AI691,0))</f>
        <v/>
      </c>
      <c r="AL691" s="34">
        <f>MAX(F691,G691,750)*0.05*AK691</f>
        <v/>
      </c>
      <c r="AM691" s="39">
        <f>'[1]GÖP VERİLERİ'!G692</f>
        <v/>
      </c>
      <c r="AN691" s="34">
        <f>IF(AI691&gt;AM691*1.05,AI691-AM691*1.05,IF(AI691&lt;AM691*0.95,AM691*0.95-AI691,0))</f>
        <v/>
      </c>
      <c r="AO691" s="34">
        <f>MAX(F691,G691,750)*0.05*AN691</f>
        <v/>
      </c>
      <c r="AP691" s="34">
        <f>'[1]GÖP VERİLERİ'!B692</f>
        <v/>
      </c>
      <c r="AQ691" s="34">
        <f>'[1]GÖP VERİLERİ'!C692</f>
        <v/>
      </c>
      <c r="AR691" s="34">
        <f>IF(AP691&gt;AQ691*1.05,AP691-AQ691*1.05,IF(AP691&lt;AQ691*0.95,AQ691*0.95-AP691,0))</f>
        <v/>
      </c>
      <c r="AS691" s="34">
        <f>MAX(F691:G691,750)*0.05*AR691</f>
        <v/>
      </c>
      <c r="AT691">
        <f>'[1]GÖP VERİLERİ'!D692</f>
        <v/>
      </c>
      <c r="AU691" s="34">
        <f>IF(AP691&gt;AT691*1.05,AP691-AT691*1.05,IF(AP691&lt;AT691*0.95,AT691*0.95-AP691,0))</f>
        <v/>
      </c>
      <c r="AV691" s="34">
        <f>MAX(F691:G691,750)*0.05*AU691</f>
        <v/>
      </c>
      <c r="AW691" s="34">
        <f>AC691+AJ691+AQ691</f>
        <v/>
      </c>
      <c r="AX691" s="34">
        <f>AF691+AM691+AT691</f>
        <v/>
      </c>
      <c r="AY691" s="34">
        <f>AB691+AI691+AP691</f>
        <v/>
      </c>
      <c r="AZ691" s="34" t="n">
        <v>0</v>
      </c>
      <c r="BA691" s="34">
        <f>AD691+AK691+AR691</f>
        <v/>
      </c>
      <c r="BB691" s="34">
        <f>MAX(F691:G691,750)*0.05*BA691</f>
        <v/>
      </c>
      <c r="BC691" s="34">
        <f>AG691+AN691+AU691</f>
        <v/>
      </c>
      <c r="BD691" s="34">
        <f>MAX(F691:G691,750)*0.05*BC691</f>
        <v/>
      </c>
      <c r="BE691" s="34">
        <f>F691*AY691</f>
        <v/>
      </c>
      <c r="BF691" s="34">
        <f>K691-M691</f>
        <v/>
      </c>
      <c r="BG691" s="34">
        <f>P691-S691</f>
        <v/>
      </c>
      <c r="BH691" s="34">
        <f>W691-AA691</f>
        <v/>
      </c>
      <c r="BI691" s="34">
        <f>BF691+BG691+BL691-BN691</f>
        <v/>
      </c>
      <c r="BJ691" s="34">
        <f>ABS(BK691)</f>
        <v/>
      </c>
      <c r="BK691" s="34">
        <f>AY691-(J691-L691+N691-Q691)</f>
        <v/>
      </c>
      <c r="BL691" s="34">
        <f>IF(AND(BK691&gt;0,MIN($F691:$G691)&lt;150,$E691="Enerji Açığı"),-100*BK691*1.03,IF(AND(BK691&gt;0,MIN($F691:$G691)&lt;150,$E691="Enerji Fazlası"),-100*BK691*1.06,IF(AND(BK691&gt;0,MIN($F691:$G691)&gt;=150,$E691="Enerji Açığı"),BK691*MIN($F691:$G691)*0.97,IF(AND(BK691&gt;0,MIN($F691:$G691)&gt;=150,$E691="Enerji Fazlası"),BK691*MIN($F691:$G691)*0.94,IF(AND(BK691&lt;0,MAX($F691:$G691)=4500,$E691="Enerji Açığı"),4500*1.05*1.06*BK691,IF(AND(BK691&lt;0,MAX($F691:$G691)=4500,$E691="Enerji Fazlası"),4500*1.05*1.03*BK691,IF(AND(BK691&lt;0,$E691="Enerji Açığı"),MAX($F691,$G691,150)*BK691*1.06,IF(AND(BK691&lt;0,$E691="Enerji Fazlası"),MAX($F691,$G691,150)*BK691*1.03,IF(AND(BK691&lt;0,$E691="Dengede"),MAX($F691:$G691,150)*1.03*BK691,MIN($F691:$G691)*0.97*BK691)))))))))</f>
        <v/>
      </c>
      <c r="BM691" s="34">
        <f>BE691-BI691-BN691</f>
        <v/>
      </c>
      <c r="BN691" s="34">
        <f>BB691</f>
        <v/>
      </c>
      <c r="BO691" s="34">
        <f>BE691-BI691</f>
        <v/>
      </c>
      <c r="BP691" s="34">
        <f>IF(AY691=0,0,BO691/AY691)</f>
        <v/>
      </c>
      <c r="BQ691" s="34">
        <f>MAX((AY691+MAX((-J691+L691-N691+Q691),0)),(MAX((J691-L691+N691-Q691),0)))</f>
        <v/>
      </c>
      <c r="BR691" s="82">
        <f>IFERROR(ABS(BK691/BQ691),0)</f>
        <v/>
      </c>
      <c r="BS691" s="34">
        <f>IF(BR691&lt;=0.1,0,BK691/BR691*(BR691-0.1))</f>
        <v/>
      </c>
      <c r="BT691" s="34">
        <f>IF((BS691)&lt;0,MAX(F691:G691)*(BS691)*1.03,MIN(F691:G691)*(BS691)*0.97)</f>
        <v/>
      </c>
      <c r="BU691" s="34">
        <f>IF(BR691&gt;0.1,1,0)</f>
        <v/>
      </c>
      <c r="BV691" s="34">
        <f>BF691+BG691+BH691+BY691-CA691</f>
        <v/>
      </c>
      <c r="BW691" s="34">
        <f>ABS(BX691)</f>
        <v/>
      </c>
      <c r="BX691" s="34">
        <f>AY691-(J691-L691+N691-Q691+T691-X691)</f>
        <v/>
      </c>
      <c r="BY691" s="34">
        <f>IF(AND(BX691&gt;0,MIN($F691:$G691)&lt;150,$E691="Enerji Açığı"),-100*BX691*1.03,IF(AND(BX691&gt;0,MIN($F691:$G691)&lt;150,$E691="Enerji Fazlası"),-100*BX691*1.06,IF(AND(BX691&gt;0,MIN($F691:$G691)&gt;=150,$E691="Enerji Açığı"),BX691*MIN($F691:$G691)*0.97,IF(AND(BX691&gt;0,MIN($F691:$G691)&gt;=150,$E691="Enerji Fazlası"),BX691*MIN($F691:$G691)*0.94,IF(AND(BX691&lt;0,MAX($F691:$G691)=4500,$E691="Enerji Açığı"),4500*1.05*1.06*BX691,IF(AND(BX691&lt;0,MAX($F691:$G691)=4500,$E691="Enerji Fazlası"),4500*1.05*1.03*BX691,IF(AND(BX691&lt;0,$E691="Enerji Açığı"),MAX($F691,$G691,150)*BX691*1.06,IF(AND(BX691&lt;0,$E691="Enerji Fazlası"),MAX($F691,$G691,150)*BX691*1.03,IF(AND(BX691&lt;0,$E691="Dengede"),MAX($F691:$G691,150)*1.03*BX691,MIN($F691:$G691)*0.97*BX691)))))))))</f>
        <v/>
      </c>
      <c r="BZ691" s="34">
        <f>BE691-BV691-CA691</f>
        <v/>
      </c>
      <c r="CA691" s="34">
        <f>BD691</f>
        <v/>
      </c>
      <c r="CB691" s="33">
        <f>BE691-BV691</f>
        <v/>
      </c>
      <c r="CC691" s="34">
        <f>IF(AY691=0,0,CB691/AY691)</f>
        <v/>
      </c>
      <c r="CD691" s="34">
        <f>MAX((AY691+MAX((-J691+L691-N691+Q691-T691+X691),0)),(MAX((J691-L691+N691-Q691+T691-X691),0)))</f>
        <v/>
      </c>
      <c r="CE691" s="82">
        <f>IFERROR(ABS(BX691/CD691),0)</f>
        <v/>
      </c>
      <c r="CF691" s="34">
        <f>IF(CE691&lt;=0.1,0,BX691/CE691*(CE691-0.1))</f>
        <v/>
      </c>
      <c r="CG691" s="34">
        <f>IF((CF691)&lt;0,MAX(F691:G691)*(CF691)*1.03,MIN(F691:G691)*(CF691)*0.97)</f>
        <v/>
      </c>
      <c r="CH691" s="34">
        <f>IF(CE691&gt;0.1,1,0)</f>
        <v/>
      </c>
      <c r="CI691" s="34">
        <f>(F691*BX691)-BY691</f>
        <v/>
      </c>
      <c r="CJ691" s="34">
        <f>IF(AY691=0,0,CI691/AY691)</f>
        <v/>
      </c>
    </row>
    <row r="692">
      <c r="A692" s="29">
        <f>[1]FİYATLAR!A667</f>
        <v/>
      </c>
      <c r="B692" s="29">
        <f>[1]FİYATLAR!B691</f>
        <v/>
      </c>
      <c r="C692" s="35">
        <f>INT(A692)</f>
        <v/>
      </c>
      <c r="D692" s="36">
        <f>MONTH(A692)</f>
        <v/>
      </c>
      <c r="E692" s="147">
        <f>[1]FİYATLAR!G667</f>
        <v/>
      </c>
      <c r="F692" s="30">
        <f>[1]FİYATLAR!C667</f>
        <v/>
      </c>
      <c r="G692" s="30">
        <f>[1]FİYATLAR!E667</f>
        <v/>
      </c>
      <c r="H692" s="30">
        <f>[1]FİYATLAR!D667</f>
        <v/>
      </c>
      <c r="I692" s="30">
        <f>[1]FİYATLAR!F667</f>
        <v/>
      </c>
      <c r="J692" s="119" t="n">
        <v>0</v>
      </c>
      <c r="K692" s="34">
        <f>F692*J692</f>
        <v/>
      </c>
      <c r="L692" s="119" t="n"/>
      <c r="M692" s="34">
        <f>L692*F692</f>
        <v/>
      </c>
      <c r="N692" s="119" t="n"/>
      <c r="O692" s="34">
        <f>F692</f>
        <v/>
      </c>
      <c r="P692" s="34">
        <f>N692*O692</f>
        <v/>
      </c>
      <c r="Q692" s="117" t="n">
        <v>0</v>
      </c>
      <c r="R692" s="34">
        <f>F692</f>
        <v/>
      </c>
      <c r="S692" s="34">
        <f>R692*Q692</f>
        <v/>
      </c>
      <c r="T692" s="34">
        <f>SUMIFS('[1]GİP VERİLERİ'!$C:$C,'[1]GİP VERİLERİ'!$B:$B,A692,'[1]GİP VERİLERİ'!$M:$M,"40X000000104782K",'[1]GİP VERİLERİ'!$G:$G,"SELL")</f>
        <v/>
      </c>
      <c r="U692" s="34">
        <f>IFERROR(W692/T692,0)</f>
        <v/>
      </c>
      <c r="V692" s="34">
        <f>IF(U692=0,0,U692-F692)</f>
        <v/>
      </c>
      <c r="W692" s="34">
        <f>SUMIFS('[1]GİP VERİLERİ'!$O:$O,'[1]GİP VERİLERİ'!$B:$B,A692,'[1]GİP VERİLERİ'!$M:$M,"40X000000104782K",'[1]GİP VERİLERİ'!$G:$G,"SELL")</f>
        <v/>
      </c>
      <c r="X692" s="34">
        <f>SUMIFS('[1]GİP VERİLERİ'!$C:$C,'[1]GİP VERİLERİ'!$B:$B,A692,'[1]GİP VERİLERİ'!$M:$M,"40X000000104782K",'[1]GİP VERİLERİ'!$G:$G,"BUY")</f>
        <v/>
      </c>
      <c r="Y692" s="34">
        <f>IFERROR(AA692/X692,0)</f>
        <v/>
      </c>
      <c r="Z692" s="34">
        <f>IF(Y692=0,0,F692-Y692)</f>
        <v/>
      </c>
      <c r="AA692" s="34">
        <f>SUMIFS('[1]GİP VERİLERİ'!$O:$O,'[1]GİP VERİLERİ'!$B:$B,A692,'[1]GİP VERİLERİ'!$M:$M,"40X000000104782K",'[1]GİP VERİLERİ'!$G:$G,"BUY")</f>
        <v/>
      </c>
      <c r="AB692" s="34">
        <f>'[1]GÖP VERİLERİ'!H693</f>
        <v/>
      </c>
      <c r="AC692" s="34">
        <f>'[1]GÖP VERİLERİ'!I693</f>
        <v/>
      </c>
      <c r="AD692" s="34">
        <f>IF(AB692&gt;AC692*1.05,AB692-AC692*1.05,IF(AB692&lt;AC692*0.95,AC692*0.95-AB692,0))</f>
        <v/>
      </c>
      <c r="AE692" s="34">
        <f>MAX(F692,G692,750)*0.05*AD692</f>
        <v/>
      </c>
      <c r="AF692" s="34">
        <f>'[1]GÖP VERİLERİ'!J693</f>
        <v/>
      </c>
      <c r="AG692" s="34">
        <f>IF(AB692&gt;AF692*1.05,AB692-AF692*1.05,IF(AB692&lt;AF692*0.95,AF692*0.95-AB692,0))</f>
        <v/>
      </c>
      <c r="AH692" s="34">
        <f>MAX(I692,J692,750)*0.05*AG692</f>
        <v/>
      </c>
      <c r="AI692">
        <f>'[1]GÖP VERİLERİ'!E693</f>
        <v/>
      </c>
      <c r="AJ692">
        <f>'[1]GÖP VERİLERİ'!F693</f>
        <v/>
      </c>
      <c r="AK692" s="34">
        <f>IF(AI692&gt;AJ692*1.05,AI692-AJ692*1.05,IF(AI692&lt;AJ692*0.95,AJ692*0.95-AI692,0))</f>
        <v/>
      </c>
      <c r="AL692" s="34">
        <f>MAX(F692,G692,750)*0.05*AK692</f>
        <v/>
      </c>
      <c r="AM692" s="39">
        <f>'[1]GÖP VERİLERİ'!G693</f>
        <v/>
      </c>
      <c r="AN692" s="34">
        <f>IF(AI692&gt;AM692*1.05,AI692-AM692*1.05,IF(AI692&lt;AM692*0.95,AM692*0.95-AI692,0))</f>
        <v/>
      </c>
      <c r="AO692" s="34">
        <f>MAX(F692,G692,750)*0.05*AN692</f>
        <v/>
      </c>
      <c r="AP692" s="34">
        <f>'[1]GÖP VERİLERİ'!B693</f>
        <v/>
      </c>
      <c r="AQ692" s="34">
        <f>'[1]GÖP VERİLERİ'!C693</f>
        <v/>
      </c>
      <c r="AR692" s="34">
        <f>IF(AP692&gt;AQ692*1.05,AP692-AQ692*1.05,IF(AP692&lt;AQ692*0.95,AQ692*0.95-AP692,0))</f>
        <v/>
      </c>
      <c r="AS692" s="34">
        <f>MAX(F692:G692,750)*0.05*AR692</f>
        <v/>
      </c>
      <c r="AT692">
        <f>'[1]GÖP VERİLERİ'!D693</f>
        <v/>
      </c>
      <c r="AU692" s="34">
        <f>IF(AP692&gt;AT692*1.05,AP692-AT692*1.05,IF(AP692&lt;AT692*0.95,AT692*0.95-AP692,0))</f>
        <v/>
      </c>
      <c r="AV692" s="34">
        <f>MAX(F692:G692,750)*0.05*AU692</f>
        <v/>
      </c>
      <c r="AW692" s="34">
        <f>AC692+AJ692+AQ692</f>
        <v/>
      </c>
      <c r="AX692" s="34">
        <f>AF692+AM692+AT692</f>
        <v/>
      </c>
      <c r="AY692" s="34">
        <f>AB692+AI692+AP692</f>
        <v/>
      </c>
      <c r="AZ692" s="34" t="n">
        <v>0</v>
      </c>
      <c r="BA692" s="34">
        <f>AD692+AK692+AR692</f>
        <v/>
      </c>
      <c r="BB692" s="34">
        <f>MAX(F692:G692,750)*0.05*BA692</f>
        <v/>
      </c>
      <c r="BC692" s="34">
        <f>AG692+AN692+AU692</f>
        <v/>
      </c>
      <c r="BD692" s="34">
        <f>MAX(F692:G692,750)*0.05*BC692</f>
        <v/>
      </c>
      <c r="BE692" s="34">
        <f>F692*AY692</f>
        <v/>
      </c>
      <c r="BF692" s="34">
        <f>K692-M692</f>
        <v/>
      </c>
      <c r="BG692" s="34">
        <f>P692-S692</f>
        <v/>
      </c>
      <c r="BH692" s="34">
        <f>W692-AA692</f>
        <v/>
      </c>
      <c r="BI692" s="34">
        <f>BF692+BG692+BL692-BN692</f>
        <v/>
      </c>
      <c r="BJ692" s="34">
        <f>ABS(BK692)</f>
        <v/>
      </c>
      <c r="BK692" s="34">
        <f>AY692-(J692-L692+N692-Q692)</f>
        <v/>
      </c>
      <c r="BL692" s="34">
        <f>IF(AND(BK692&gt;0,MIN($F692:$G692)&lt;150,$E692="Enerji Açığı"),-100*BK692*1.03,IF(AND(BK692&gt;0,MIN($F692:$G692)&lt;150,$E692="Enerji Fazlası"),-100*BK692*1.06,IF(AND(BK692&gt;0,MIN($F692:$G692)&gt;=150,$E692="Enerji Açığı"),BK692*MIN($F692:$G692)*0.97,IF(AND(BK692&gt;0,MIN($F692:$G692)&gt;=150,$E692="Enerji Fazlası"),BK692*MIN($F692:$G692)*0.94,IF(AND(BK692&lt;0,MAX($F692:$G692)=4500,$E692="Enerji Açığı"),4500*1.05*1.06*BK692,IF(AND(BK692&lt;0,MAX($F692:$G692)=4500,$E692="Enerji Fazlası"),4500*1.05*1.03*BK692,IF(AND(BK692&lt;0,$E692="Enerji Açığı"),MAX($F692,$G692,150)*BK692*1.06,IF(AND(BK692&lt;0,$E692="Enerji Fazlası"),MAX($F692,$G692,150)*BK692*1.03,IF(AND(BK692&lt;0,$E692="Dengede"),MAX($F692:$G692,150)*1.03*BK692,MIN($F692:$G692)*0.97*BK692)))))))))</f>
        <v/>
      </c>
      <c r="BM692" s="34">
        <f>BE692-BI692-BN692</f>
        <v/>
      </c>
      <c r="BN692" s="34">
        <f>BB692</f>
        <v/>
      </c>
      <c r="BO692" s="34">
        <f>BE692-BI692</f>
        <v/>
      </c>
      <c r="BP692" s="34">
        <f>IF(AY692=0,0,BO692/AY692)</f>
        <v/>
      </c>
      <c r="BQ692" s="34">
        <f>MAX((AY692+MAX((-J692+L692-N692+Q692),0)),(MAX((J692-L692+N692-Q692),0)))</f>
        <v/>
      </c>
      <c r="BR692" s="82">
        <f>IFERROR(ABS(BK692/BQ692),0)</f>
        <v/>
      </c>
      <c r="BS692" s="34">
        <f>IF(BR692&lt;=0.1,0,BK692/BR692*(BR692-0.1))</f>
        <v/>
      </c>
      <c r="BT692" s="34">
        <f>IF((BS692)&lt;0,MAX(F692:G692)*(BS692)*1.03,MIN(F692:G692)*(BS692)*0.97)</f>
        <v/>
      </c>
      <c r="BU692" s="34">
        <f>IF(BR692&gt;0.1,1,0)</f>
        <v/>
      </c>
      <c r="BV692" s="34">
        <f>BF692+BG692+BH692+BY692-CA692</f>
        <v/>
      </c>
      <c r="BW692" s="34">
        <f>ABS(BX692)</f>
        <v/>
      </c>
      <c r="BX692" s="34">
        <f>AY692-(J692-L692+N692-Q692+T692-X692)</f>
        <v/>
      </c>
      <c r="BY692" s="34">
        <f>IF(AND(BX692&gt;0,MIN($F692:$G692)&lt;150,$E692="Enerji Açığı"),-100*BX692*1.03,IF(AND(BX692&gt;0,MIN($F692:$G692)&lt;150,$E692="Enerji Fazlası"),-100*BX692*1.06,IF(AND(BX692&gt;0,MIN($F692:$G692)&gt;=150,$E692="Enerji Açığı"),BX692*MIN($F692:$G692)*0.97,IF(AND(BX692&gt;0,MIN($F692:$G692)&gt;=150,$E692="Enerji Fazlası"),BX692*MIN($F692:$G692)*0.94,IF(AND(BX692&lt;0,MAX($F692:$G692)=4500,$E692="Enerji Açığı"),4500*1.05*1.06*BX692,IF(AND(BX692&lt;0,MAX($F692:$G692)=4500,$E692="Enerji Fazlası"),4500*1.05*1.03*BX692,IF(AND(BX692&lt;0,$E692="Enerji Açığı"),MAX($F692,$G692,150)*BX692*1.06,IF(AND(BX692&lt;0,$E692="Enerji Fazlası"),MAX($F692,$G692,150)*BX692*1.03,IF(AND(BX692&lt;0,$E692="Dengede"),MAX($F692:$G692,150)*1.03*BX692,MIN($F692:$G692)*0.97*BX692)))))))))</f>
        <v/>
      </c>
      <c r="BZ692" s="34">
        <f>BE692-BV692-CA692</f>
        <v/>
      </c>
      <c r="CA692" s="34">
        <f>BD692</f>
        <v/>
      </c>
      <c r="CB692" s="33">
        <f>BE692-BV692</f>
        <v/>
      </c>
      <c r="CC692" s="34">
        <f>IF(AY692=0,0,CB692/AY692)</f>
        <v/>
      </c>
      <c r="CD692" s="34">
        <f>MAX((AY692+MAX((-J692+L692-N692+Q692-T692+X692),0)),(MAX((J692-L692+N692-Q692+T692-X692),0)))</f>
        <v/>
      </c>
      <c r="CE692" s="82">
        <f>IFERROR(ABS(BX692/CD692),0)</f>
        <v/>
      </c>
      <c r="CF692" s="34">
        <f>IF(CE692&lt;=0.1,0,BX692/CE692*(CE692-0.1))</f>
        <v/>
      </c>
      <c r="CG692" s="34">
        <f>IF((CF692)&lt;0,MAX(F692:G692)*(CF692)*1.03,MIN(F692:G692)*(CF692)*0.97)</f>
        <v/>
      </c>
      <c r="CH692" s="34">
        <f>IF(CE692&gt;0.1,1,0)</f>
        <v/>
      </c>
      <c r="CI692" s="34">
        <f>(F692*BX692)-BY692</f>
        <v/>
      </c>
      <c r="CJ692" s="34">
        <f>IF(AY692=0,0,CI692/AY692)</f>
        <v/>
      </c>
    </row>
    <row r="693">
      <c r="A693" s="29">
        <f>[1]FİYATLAR!A668</f>
        <v/>
      </c>
      <c r="B693" s="29">
        <f>[1]FİYATLAR!B692</f>
        <v/>
      </c>
      <c r="C693" s="35">
        <f>INT(A693)</f>
        <v/>
      </c>
      <c r="D693" s="36">
        <f>MONTH(A693)</f>
        <v/>
      </c>
      <c r="E693" s="147">
        <f>[1]FİYATLAR!G668</f>
        <v/>
      </c>
      <c r="F693" s="30">
        <f>[1]FİYATLAR!C668</f>
        <v/>
      </c>
      <c r="G693" s="30">
        <f>[1]FİYATLAR!E668</f>
        <v/>
      </c>
      <c r="H693" s="30">
        <f>[1]FİYATLAR!D668</f>
        <v/>
      </c>
      <c r="I693" s="30">
        <f>[1]FİYATLAR!F668</f>
        <v/>
      </c>
      <c r="J693" s="119" t="n">
        <v>0</v>
      </c>
      <c r="K693" s="34">
        <f>F693*J693</f>
        <v/>
      </c>
      <c r="L693" s="119" t="n"/>
      <c r="M693" s="34">
        <f>L693*F693</f>
        <v/>
      </c>
      <c r="N693" s="119" t="n"/>
      <c r="O693" s="34">
        <f>F693</f>
        <v/>
      </c>
      <c r="P693" s="34">
        <f>N693*O693</f>
        <v/>
      </c>
      <c r="Q693" s="117" t="n">
        <v>0</v>
      </c>
      <c r="R693" s="34">
        <f>F693</f>
        <v/>
      </c>
      <c r="S693" s="34">
        <f>R693*Q693</f>
        <v/>
      </c>
      <c r="T693" s="34">
        <f>SUMIFS('[1]GİP VERİLERİ'!$C:$C,'[1]GİP VERİLERİ'!$B:$B,A693,'[1]GİP VERİLERİ'!$M:$M,"40X000000104782K",'[1]GİP VERİLERİ'!$G:$G,"SELL")</f>
        <v/>
      </c>
      <c r="U693" s="34">
        <f>IFERROR(W693/T693,0)</f>
        <v/>
      </c>
      <c r="V693" s="34">
        <f>IF(U693=0,0,U693-F693)</f>
        <v/>
      </c>
      <c r="W693" s="34">
        <f>SUMIFS('[1]GİP VERİLERİ'!$O:$O,'[1]GİP VERİLERİ'!$B:$B,A693,'[1]GİP VERİLERİ'!$M:$M,"40X000000104782K",'[1]GİP VERİLERİ'!$G:$G,"SELL")</f>
        <v/>
      </c>
      <c r="X693" s="34">
        <f>SUMIFS('[1]GİP VERİLERİ'!$C:$C,'[1]GİP VERİLERİ'!$B:$B,A693,'[1]GİP VERİLERİ'!$M:$M,"40X000000104782K",'[1]GİP VERİLERİ'!$G:$G,"BUY")</f>
        <v/>
      </c>
      <c r="Y693" s="34">
        <f>IFERROR(AA693/X693,0)</f>
        <v/>
      </c>
      <c r="Z693" s="34">
        <f>IF(Y693=0,0,F693-Y693)</f>
        <v/>
      </c>
      <c r="AA693" s="34">
        <f>SUMIFS('[1]GİP VERİLERİ'!$O:$O,'[1]GİP VERİLERİ'!$B:$B,A693,'[1]GİP VERİLERİ'!$M:$M,"40X000000104782K",'[1]GİP VERİLERİ'!$G:$G,"BUY")</f>
        <v/>
      </c>
      <c r="AB693" s="34">
        <f>'[1]GÖP VERİLERİ'!H694</f>
        <v/>
      </c>
      <c r="AC693" s="34">
        <f>'[1]GÖP VERİLERİ'!I694</f>
        <v/>
      </c>
      <c r="AD693" s="34">
        <f>IF(AB693&gt;AC693*1.05,AB693-AC693*1.05,IF(AB693&lt;AC693*0.95,AC693*0.95-AB693,0))</f>
        <v/>
      </c>
      <c r="AE693" s="34">
        <f>MAX(F693,G693,750)*0.05*AD693</f>
        <v/>
      </c>
      <c r="AF693" s="34">
        <f>'[1]GÖP VERİLERİ'!J694</f>
        <v/>
      </c>
      <c r="AG693" s="34">
        <f>IF(AB693&gt;AF693*1.05,AB693-AF693*1.05,IF(AB693&lt;AF693*0.95,AF693*0.95-AB693,0))</f>
        <v/>
      </c>
      <c r="AH693" s="34">
        <f>MAX(I693,J693,750)*0.05*AG693</f>
        <v/>
      </c>
      <c r="AI693">
        <f>'[1]GÖP VERİLERİ'!E694</f>
        <v/>
      </c>
      <c r="AJ693">
        <f>'[1]GÖP VERİLERİ'!F694</f>
        <v/>
      </c>
      <c r="AK693" s="34">
        <f>IF(AI693&gt;AJ693*1.05,AI693-AJ693*1.05,IF(AI693&lt;AJ693*0.95,AJ693*0.95-AI693,0))</f>
        <v/>
      </c>
      <c r="AL693" s="34">
        <f>MAX(F693,G693,750)*0.05*AK693</f>
        <v/>
      </c>
      <c r="AM693" s="39">
        <f>'[1]GÖP VERİLERİ'!G694</f>
        <v/>
      </c>
      <c r="AN693" s="34">
        <f>IF(AI693&gt;AM693*1.05,AI693-AM693*1.05,IF(AI693&lt;AM693*0.95,AM693*0.95-AI693,0))</f>
        <v/>
      </c>
      <c r="AO693" s="34">
        <f>MAX(F693,G693,750)*0.05*AN693</f>
        <v/>
      </c>
      <c r="AP693" s="34">
        <f>'[1]GÖP VERİLERİ'!B694</f>
        <v/>
      </c>
      <c r="AQ693" s="34">
        <f>'[1]GÖP VERİLERİ'!C694</f>
        <v/>
      </c>
      <c r="AR693" s="34">
        <f>IF(AP693&gt;AQ693*1.05,AP693-AQ693*1.05,IF(AP693&lt;AQ693*0.95,AQ693*0.95-AP693,0))</f>
        <v/>
      </c>
      <c r="AS693" s="34">
        <f>MAX(F693:G693,750)*0.05*AR693</f>
        <v/>
      </c>
      <c r="AT693">
        <f>'[1]GÖP VERİLERİ'!D694</f>
        <v/>
      </c>
      <c r="AU693" s="34">
        <f>IF(AP693&gt;AT693*1.05,AP693-AT693*1.05,IF(AP693&lt;AT693*0.95,AT693*0.95-AP693,0))</f>
        <v/>
      </c>
      <c r="AV693" s="34">
        <f>MAX(F693:G693,750)*0.05*AU693</f>
        <v/>
      </c>
      <c r="AW693" s="34">
        <f>AC693+AJ693+AQ693</f>
        <v/>
      </c>
      <c r="AX693" s="34">
        <f>AF693+AM693+AT693</f>
        <v/>
      </c>
      <c r="AY693" s="34">
        <f>AB693+AI693+AP693</f>
        <v/>
      </c>
      <c r="AZ693" s="34" t="n">
        <v>0</v>
      </c>
      <c r="BA693" s="34">
        <f>AD693+AK693+AR693</f>
        <v/>
      </c>
      <c r="BB693" s="34">
        <f>MAX(F693:G693,750)*0.05*BA693</f>
        <v/>
      </c>
      <c r="BC693" s="34">
        <f>AG693+AN693+AU693</f>
        <v/>
      </c>
      <c r="BD693" s="34">
        <f>MAX(F693:G693,750)*0.05*BC693</f>
        <v/>
      </c>
      <c r="BE693" s="34">
        <f>F693*AY693</f>
        <v/>
      </c>
      <c r="BF693" s="34">
        <f>K693-M693</f>
        <v/>
      </c>
      <c r="BG693" s="34">
        <f>P693-S693</f>
        <v/>
      </c>
      <c r="BH693" s="34">
        <f>W693-AA693</f>
        <v/>
      </c>
      <c r="BI693" s="34">
        <f>BF693+BG693+BL693-BN693</f>
        <v/>
      </c>
      <c r="BJ693" s="34">
        <f>ABS(BK693)</f>
        <v/>
      </c>
      <c r="BK693" s="34">
        <f>AY693-(J693-L693+N693-Q693)</f>
        <v/>
      </c>
      <c r="BL693" s="34">
        <f>IF(AND(BK693&gt;0,MIN($F693:$G693)&lt;150,$E693="Enerji Açığı"),-100*BK693*1.03,IF(AND(BK693&gt;0,MIN($F693:$G693)&lt;150,$E693="Enerji Fazlası"),-100*BK693*1.06,IF(AND(BK693&gt;0,MIN($F693:$G693)&gt;=150,$E693="Enerji Açığı"),BK693*MIN($F693:$G693)*0.97,IF(AND(BK693&gt;0,MIN($F693:$G693)&gt;=150,$E693="Enerji Fazlası"),BK693*MIN($F693:$G693)*0.94,IF(AND(BK693&lt;0,MAX($F693:$G693)=4500,$E693="Enerji Açığı"),4500*1.05*1.06*BK693,IF(AND(BK693&lt;0,MAX($F693:$G693)=4500,$E693="Enerji Fazlası"),4500*1.05*1.03*BK693,IF(AND(BK693&lt;0,$E693="Enerji Açığı"),MAX($F693,$G693,150)*BK693*1.06,IF(AND(BK693&lt;0,$E693="Enerji Fazlası"),MAX($F693,$G693,150)*BK693*1.03,IF(AND(BK693&lt;0,$E693="Dengede"),MAX($F693:$G693,150)*1.03*BK693,MIN($F693:$G693)*0.97*BK693)))))))))</f>
        <v/>
      </c>
      <c r="BM693" s="34">
        <f>BE693-BI693-BN693</f>
        <v/>
      </c>
      <c r="BN693" s="34">
        <f>BB693</f>
        <v/>
      </c>
      <c r="BO693" s="34">
        <f>BE693-BI693</f>
        <v/>
      </c>
      <c r="BP693" s="34">
        <f>IF(AY693=0,0,BO693/AY693)</f>
        <v/>
      </c>
      <c r="BQ693" s="34">
        <f>MAX((AY693+MAX((-J693+L693-N693+Q693),0)),(MAX((J693-L693+N693-Q693),0)))</f>
        <v/>
      </c>
      <c r="BR693" s="82">
        <f>IFERROR(ABS(BK693/BQ693),0)</f>
        <v/>
      </c>
      <c r="BS693" s="34">
        <f>IF(BR693&lt;=0.1,0,BK693/BR693*(BR693-0.1))</f>
        <v/>
      </c>
      <c r="BT693" s="34">
        <f>IF((BS693)&lt;0,MAX(F693:G693)*(BS693)*1.03,MIN(F693:G693)*(BS693)*0.97)</f>
        <v/>
      </c>
      <c r="BU693" s="34">
        <f>IF(BR693&gt;0.1,1,0)</f>
        <v/>
      </c>
      <c r="BV693" s="34">
        <f>BF693+BG693+BH693+BY693-CA693</f>
        <v/>
      </c>
      <c r="BW693" s="34">
        <f>ABS(BX693)</f>
        <v/>
      </c>
      <c r="BX693" s="34">
        <f>AY693-(J693-L693+N693-Q693+T693-X693)</f>
        <v/>
      </c>
      <c r="BY693" s="34">
        <f>IF(AND(BX693&gt;0,MIN($F693:$G693)&lt;150,$E693="Enerji Açığı"),-100*BX693*1.03,IF(AND(BX693&gt;0,MIN($F693:$G693)&lt;150,$E693="Enerji Fazlası"),-100*BX693*1.06,IF(AND(BX693&gt;0,MIN($F693:$G693)&gt;=150,$E693="Enerji Açığı"),BX693*MIN($F693:$G693)*0.97,IF(AND(BX693&gt;0,MIN($F693:$G693)&gt;=150,$E693="Enerji Fazlası"),BX693*MIN($F693:$G693)*0.94,IF(AND(BX693&lt;0,MAX($F693:$G693)=4500,$E693="Enerji Açığı"),4500*1.05*1.06*BX693,IF(AND(BX693&lt;0,MAX($F693:$G693)=4500,$E693="Enerji Fazlası"),4500*1.05*1.03*BX693,IF(AND(BX693&lt;0,$E693="Enerji Açığı"),MAX($F693,$G693,150)*BX693*1.06,IF(AND(BX693&lt;0,$E693="Enerji Fazlası"),MAX($F693,$G693,150)*BX693*1.03,IF(AND(BX693&lt;0,$E693="Dengede"),MAX($F693:$G693,150)*1.03*BX693,MIN($F693:$G693)*0.97*BX693)))))))))</f>
        <v/>
      </c>
      <c r="BZ693" s="34">
        <f>BE693-BV693-CA693</f>
        <v/>
      </c>
      <c r="CA693" s="34">
        <f>BD693</f>
        <v/>
      </c>
      <c r="CB693" s="33">
        <f>BE693-BV693</f>
        <v/>
      </c>
      <c r="CC693" s="34">
        <f>IF(AY693=0,0,CB693/AY693)</f>
        <v/>
      </c>
      <c r="CD693" s="34">
        <f>MAX((AY693+MAX((-J693+L693-N693+Q693-T693+X693),0)),(MAX((J693-L693+N693-Q693+T693-X693),0)))</f>
        <v/>
      </c>
      <c r="CE693" s="82">
        <f>IFERROR(ABS(BX693/CD693),0)</f>
        <v/>
      </c>
      <c r="CF693" s="34">
        <f>IF(CE693&lt;=0.1,0,BX693/CE693*(CE693-0.1))</f>
        <v/>
      </c>
      <c r="CG693" s="34">
        <f>IF((CF693)&lt;0,MAX(F693:G693)*(CF693)*1.03,MIN(F693:G693)*(CF693)*0.97)</f>
        <v/>
      </c>
      <c r="CH693" s="34">
        <f>IF(CE693&gt;0.1,1,0)</f>
        <v/>
      </c>
      <c r="CI693" s="34">
        <f>(F693*BX693)-BY693</f>
        <v/>
      </c>
      <c r="CJ693" s="34">
        <f>IF(AY693=0,0,CI693/AY693)</f>
        <v/>
      </c>
    </row>
    <row r="694">
      <c r="A694" s="29">
        <f>[1]FİYATLAR!A669</f>
        <v/>
      </c>
      <c r="B694" s="29">
        <f>[1]FİYATLAR!B693</f>
        <v/>
      </c>
      <c r="C694" s="35">
        <f>INT(A694)</f>
        <v/>
      </c>
      <c r="D694" s="36">
        <f>MONTH(A694)</f>
        <v/>
      </c>
      <c r="E694" s="147">
        <f>[1]FİYATLAR!G669</f>
        <v/>
      </c>
      <c r="F694" s="30">
        <f>[1]FİYATLAR!C669</f>
        <v/>
      </c>
      <c r="G694" s="30">
        <f>[1]FİYATLAR!E669</f>
        <v/>
      </c>
      <c r="H694" s="30">
        <f>[1]FİYATLAR!D669</f>
        <v/>
      </c>
      <c r="I694" s="30">
        <f>[1]FİYATLAR!F669</f>
        <v/>
      </c>
      <c r="J694" s="119" t="n">
        <v>0</v>
      </c>
      <c r="K694" s="34">
        <f>F694*J694</f>
        <v/>
      </c>
      <c r="L694" s="119" t="n"/>
      <c r="M694" s="34">
        <f>L694*F694</f>
        <v/>
      </c>
      <c r="N694" s="119" t="n"/>
      <c r="O694" s="34">
        <f>F694</f>
        <v/>
      </c>
      <c r="P694" s="34">
        <f>N694*O694</f>
        <v/>
      </c>
      <c r="Q694" s="117" t="n">
        <v>0</v>
      </c>
      <c r="R694" s="34">
        <f>F694</f>
        <v/>
      </c>
      <c r="S694" s="34">
        <f>R694*Q694</f>
        <v/>
      </c>
      <c r="T694" s="34">
        <f>SUMIFS('[1]GİP VERİLERİ'!$C:$C,'[1]GİP VERİLERİ'!$B:$B,A694,'[1]GİP VERİLERİ'!$M:$M,"40X000000104782K",'[1]GİP VERİLERİ'!$G:$G,"SELL")</f>
        <v/>
      </c>
      <c r="U694" s="34">
        <f>IFERROR(W694/T694,0)</f>
        <v/>
      </c>
      <c r="V694" s="34">
        <f>IF(U694=0,0,U694-F694)</f>
        <v/>
      </c>
      <c r="W694" s="34">
        <f>SUMIFS('[1]GİP VERİLERİ'!$O:$O,'[1]GİP VERİLERİ'!$B:$B,A694,'[1]GİP VERİLERİ'!$M:$M,"40X000000104782K",'[1]GİP VERİLERİ'!$G:$G,"SELL")</f>
        <v/>
      </c>
      <c r="X694" s="34">
        <f>SUMIFS('[1]GİP VERİLERİ'!$C:$C,'[1]GİP VERİLERİ'!$B:$B,A694,'[1]GİP VERİLERİ'!$M:$M,"40X000000104782K",'[1]GİP VERİLERİ'!$G:$G,"BUY")</f>
        <v/>
      </c>
      <c r="Y694" s="34">
        <f>IFERROR(AA694/X694,0)</f>
        <v/>
      </c>
      <c r="Z694" s="34">
        <f>IF(Y694=0,0,F694-Y694)</f>
        <v/>
      </c>
      <c r="AA694" s="34">
        <f>SUMIFS('[1]GİP VERİLERİ'!$O:$O,'[1]GİP VERİLERİ'!$B:$B,A694,'[1]GİP VERİLERİ'!$M:$M,"40X000000104782K",'[1]GİP VERİLERİ'!$G:$G,"BUY")</f>
        <v/>
      </c>
      <c r="AB694" s="34">
        <f>'[1]GÖP VERİLERİ'!H695</f>
        <v/>
      </c>
      <c r="AC694" s="34">
        <f>'[1]GÖP VERİLERİ'!I695</f>
        <v/>
      </c>
      <c r="AD694" s="34">
        <f>IF(AB694&gt;AC694*1.05,AB694-AC694*1.05,IF(AB694&lt;AC694*0.95,AC694*0.95-AB694,0))</f>
        <v/>
      </c>
      <c r="AE694" s="34">
        <f>MAX(F694,G694,750)*0.05*AD694</f>
        <v/>
      </c>
      <c r="AF694" s="34">
        <f>'[1]GÖP VERİLERİ'!J695</f>
        <v/>
      </c>
      <c r="AG694" s="34">
        <f>IF(AB694&gt;AF694*1.05,AB694-AF694*1.05,IF(AB694&lt;AF694*0.95,AF694*0.95-AB694,0))</f>
        <v/>
      </c>
      <c r="AH694" s="34">
        <f>MAX(I694,J694,750)*0.05*AG694</f>
        <v/>
      </c>
      <c r="AI694">
        <f>'[1]GÖP VERİLERİ'!E695</f>
        <v/>
      </c>
      <c r="AJ694">
        <f>'[1]GÖP VERİLERİ'!F695</f>
        <v/>
      </c>
      <c r="AK694" s="34">
        <f>IF(AI694&gt;AJ694*1.05,AI694-AJ694*1.05,IF(AI694&lt;AJ694*0.95,AJ694*0.95-AI694,0))</f>
        <v/>
      </c>
      <c r="AL694" s="34">
        <f>MAX(F694,G694,750)*0.05*AK694</f>
        <v/>
      </c>
      <c r="AM694" s="39">
        <f>'[1]GÖP VERİLERİ'!G695</f>
        <v/>
      </c>
      <c r="AN694" s="34">
        <f>IF(AI694&gt;AM694*1.05,AI694-AM694*1.05,IF(AI694&lt;AM694*0.95,AM694*0.95-AI694,0))</f>
        <v/>
      </c>
      <c r="AO694" s="34">
        <f>MAX(F694,G694,750)*0.05*AN694</f>
        <v/>
      </c>
      <c r="AP694" s="34">
        <f>'[1]GÖP VERİLERİ'!B695</f>
        <v/>
      </c>
      <c r="AQ694" s="34">
        <f>'[1]GÖP VERİLERİ'!C695</f>
        <v/>
      </c>
      <c r="AR694" s="34">
        <f>IF(AP694&gt;AQ694*1.05,AP694-AQ694*1.05,IF(AP694&lt;AQ694*0.95,AQ694*0.95-AP694,0))</f>
        <v/>
      </c>
      <c r="AS694" s="34">
        <f>MAX(F694:G694,750)*0.05*AR694</f>
        <v/>
      </c>
      <c r="AT694">
        <f>'[1]GÖP VERİLERİ'!D695</f>
        <v/>
      </c>
      <c r="AU694" s="34">
        <f>IF(AP694&gt;AT694*1.05,AP694-AT694*1.05,IF(AP694&lt;AT694*0.95,AT694*0.95-AP694,0))</f>
        <v/>
      </c>
      <c r="AV694" s="34">
        <f>MAX(F694:G694,750)*0.05*AU694</f>
        <v/>
      </c>
      <c r="AW694" s="34">
        <f>AC694+AJ694+AQ694</f>
        <v/>
      </c>
      <c r="AX694" s="34">
        <f>AF694+AM694+AT694</f>
        <v/>
      </c>
      <c r="AY694" s="34">
        <f>AB694+AI694+AP694</f>
        <v/>
      </c>
      <c r="AZ694" s="34" t="n">
        <v>0</v>
      </c>
      <c r="BA694" s="34">
        <f>AD694+AK694+AR694</f>
        <v/>
      </c>
      <c r="BB694" s="34">
        <f>MAX(F694:G694,750)*0.05*BA694</f>
        <v/>
      </c>
      <c r="BC694" s="34">
        <f>AG694+AN694+AU694</f>
        <v/>
      </c>
      <c r="BD694" s="34">
        <f>MAX(F694:G694,750)*0.05*BC694</f>
        <v/>
      </c>
      <c r="BE694" s="34">
        <f>F694*AY694</f>
        <v/>
      </c>
      <c r="BF694" s="34">
        <f>K694-M694</f>
        <v/>
      </c>
      <c r="BG694" s="34">
        <f>P694-S694</f>
        <v/>
      </c>
      <c r="BH694" s="34">
        <f>W694-AA694</f>
        <v/>
      </c>
      <c r="BI694" s="34">
        <f>BF694+BG694+BL694-BN694</f>
        <v/>
      </c>
      <c r="BJ694" s="34">
        <f>ABS(BK694)</f>
        <v/>
      </c>
      <c r="BK694" s="34">
        <f>AY694-(J694-L694+N694-Q694)</f>
        <v/>
      </c>
      <c r="BL694" s="34">
        <f>IF(AND(BK694&gt;0,MIN($F694:$G694)&lt;150,$E694="Enerji Açığı"),-100*BK694*1.03,IF(AND(BK694&gt;0,MIN($F694:$G694)&lt;150,$E694="Enerji Fazlası"),-100*BK694*1.06,IF(AND(BK694&gt;0,MIN($F694:$G694)&gt;=150,$E694="Enerji Açığı"),BK694*MIN($F694:$G694)*0.97,IF(AND(BK694&gt;0,MIN($F694:$G694)&gt;=150,$E694="Enerji Fazlası"),BK694*MIN($F694:$G694)*0.94,IF(AND(BK694&lt;0,MAX($F694:$G694)=4500,$E694="Enerji Açığı"),4500*1.05*1.06*BK694,IF(AND(BK694&lt;0,MAX($F694:$G694)=4500,$E694="Enerji Fazlası"),4500*1.05*1.03*BK694,IF(AND(BK694&lt;0,$E694="Enerji Açığı"),MAX($F694,$G694,150)*BK694*1.06,IF(AND(BK694&lt;0,$E694="Enerji Fazlası"),MAX($F694,$G694,150)*BK694*1.03,IF(AND(BK694&lt;0,$E694="Dengede"),MAX($F694:$G694,150)*1.03*BK694,MIN($F694:$G694)*0.97*BK694)))))))))</f>
        <v/>
      </c>
      <c r="BM694" s="34">
        <f>BE694-BI694-BN694</f>
        <v/>
      </c>
      <c r="BN694" s="34">
        <f>BB694</f>
        <v/>
      </c>
      <c r="BO694" s="34">
        <f>BE694-BI694</f>
        <v/>
      </c>
      <c r="BP694" s="34">
        <f>IF(AY694=0,0,BO694/AY694)</f>
        <v/>
      </c>
      <c r="BQ694" s="34">
        <f>MAX((AY694+MAX((-J694+L694-N694+Q694),0)),(MAX((J694-L694+N694-Q694),0)))</f>
        <v/>
      </c>
      <c r="BR694" s="82">
        <f>IFERROR(ABS(BK694/BQ694),0)</f>
        <v/>
      </c>
      <c r="BS694" s="34">
        <f>IF(BR694&lt;=0.1,0,BK694/BR694*(BR694-0.1))</f>
        <v/>
      </c>
      <c r="BT694" s="34">
        <f>IF((BS694)&lt;0,MAX(F694:G694)*(BS694)*1.03,MIN(F694:G694)*(BS694)*0.97)</f>
        <v/>
      </c>
      <c r="BU694" s="34">
        <f>IF(BR694&gt;0.1,1,0)</f>
        <v/>
      </c>
      <c r="BV694" s="34">
        <f>BF694+BG694+BH694+BY694-CA694</f>
        <v/>
      </c>
      <c r="BW694" s="34">
        <f>ABS(BX694)</f>
        <v/>
      </c>
      <c r="BX694" s="34">
        <f>AY694-(J694-L694+N694-Q694+T694-X694)</f>
        <v/>
      </c>
      <c r="BY694" s="34">
        <f>IF(AND(BX694&gt;0,MIN($F694:$G694)&lt;150,$E694="Enerji Açığı"),-100*BX694*1.03,IF(AND(BX694&gt;0,MIN($F694:$G694)&lt;150,$E694="Enerji Fazlası"),-100*BX694*1.06,IF(AND(BX694&gt;0,MIN($F694:$G694)&gt;=150,$E694="Enerji Açığı"),BX694*MIN($F694:$G694)*0.97,IF(AND(BX694&gt;0,MIN($F694:$G694)&gt;=150,$E694="Enerji Fazlası"),BX694*MIN($F694:$G694)*0.94,IF(AND(BX694&lt;0,MAX($F694:$G694)=4500,$E694="Enerji Açığı"),4500*1.05*1.06*BX694,IF(AND(BX694&lt;0,MAX($F694:$G694)=4500,$E694="Enerji Fazlası"),4500*1.05*1.03*BX694,IF(AND(BX694&lt;0,$E694="Enerji Açığı"),MAX($F694,$G694,150)*BX694*1.06,IF(AND(BX694&lt;0,$E694="Enerji Fazlası"),MAX($F694,$G694,150)*BX694*1.03,IF(AND(BX694&lt;0,$E694="Dengede"),MAX($F694:$G694,150)*1.03*BX694,MIN($F694:$G694)*0.97*BX694)))))))))</f>
        <v/>
      </c>
      <c r="BZ694" s="34">
        <f>BE694-BV694-CA694</f>
        <v/>
      </c>
      <c r="CA694" s="34">
        <f>BD694</f>
        <v/>
      </c>
      <c r="CB694" s="33">
        <f>BE694-BV694</f>
        <v/>
      </c>
      <c r="CC694" s="34">
        <f>IF(AY694=0,0,CB694/AY694)</f>
        <v/>
      </c>
      <c r="CD694" s="34">
        <f>MAX((AY694+MAX((-J694+L694-N694+Q694-T694+X694),0)),(MAX((J694-L694+N694-Q694+T694-X694),0)))</f>
        <v/>
      </c>
      <c r="CE694" s="82">
        <f>IFERROR(ABS(BX694/CD694),0)</f>
        <v/>
      </c>
      <c r="CF694" s="34">
        <f>IF(CE694&lt;=0.1,0,BX694/CE694*(CE694-0.1))</f>
        <v/>
      </c>
      <c r="CG694" s="34">
        <f>IF((CF694)&lt;0,MAX(F694:G694)*(CF694)*1.03,MIN(F694:G694)*(CF694)*0.97)</f>
        <v/>
      </c>
      <c r="CH694" s="34">
        <f>IF(CE694&gt;0.1,1,0)</f>
        <v/>
      </c>
      <c r="CI694" s="34">
        <f>(F694*BX694)-BY694</f>
        <v/>
      </c>
      <c r="CJ694" s="34">
        <f>IF(AY694=0,0,CI694/AY694)</f>
        <v/>
      </c>
    </row>
    <row r="695">
      <c r="A695" s="29">
        <f>[1]FİYATLAR!A670</f>
        <v/>
      </c>
      <c r="B695" s="29">
        <f>[1]FİYATLAR!B694</f>
        <v/>
      </c>
      <c r="C695" s="35">
        <f>INT(A695)</f>
        <v/>
      </c>
      <c r="D695" s="36">
        <f>MONTH(A695)</f>
        <v/>
      </c>
      <c r="E695" s="147">
        <f>[1]FİYATLAR!G670</f>
        <v/>
      </c>
      <c r="F695" s="30">
        <f>[1]FİYATLAR!C670</f>
        <v/>
      </c>
      <c r="G695" s="30">
        <f>[1]FİYATLAR!E670</f>
        <v/>
      </c>
      <c r="H695" s="30">
        <f>[1]FİYATLAR!D670</f>
        <v/>
      </c>
      <c r="I695" s="30">
        <f>[1]FİYATLAR!F670</f>
        <v/>
      </c>
      <c r="J695" s="119" t="n">
        <v>0</v>
      </c>
      <c r="K695" s="34">
        <f>F695*J695</f>
        <v/>
      </c>
      <c r="L695" s="119" t="n"/>
      <c r="M695" s="34">
        <f>L695*F695</f>
        <v/>
      </c>
      <c r="N695" s="119" t="n"/>
      <c r="O695" s="34">
        <f>F695</f>
        <v/>
      </c>
      <c r="P695" s="34">
        <f>N695*O695</f>
        <v/>
      </c>
      <c r="Q695" s="117" t="n">
        <v>0</v>
      </c>
      <c r="R695" s="34">
        <f>F695</f>
        <v/>
      </c>
      <c r="S695" s="34">
        <f>R695*Q695</f>
        <v/>
      </c>
      <c r="T695" s="34">
        <f>SUMIFS('[1]GİP VERİLERİ'!$C:$C,'[1]GİP VERİLERİ'!$B:$B,A695,'[1]GİP VERİLERİ'!$M:$M,"40X000000104782K",'[1]GİP VERİLERİ'!$G:$G,"SELL")</f>
        <v/>
      </c>
      <c r="U695" s="34">
        <f>IFERROR(W695/T695,0)</f>
        <v/>
      </c>
      <c r="V695" s="34">
        <f>IF(U695=0,0,U695-F695)</f>
        <v/>
      </c>
      <c r="W695" s="34">
        <f>SUMIFS('[1]GİP VERİLERİ'!$O:$O,'[1]GİP VERİLERİ'!$B:$B,A695,'[1]GİP VERİLERİ'!$M:$M,"40X000000104782K",'[1]GİP VERİLERİ'!$G:$G,"SELL")</f>
        <v/>
      </c>
      <c r="X695" s="34">
        <f>SUMIFS('[1]GİP VERİLERİ'!$C:$C,'[1]GİP VERİLERİ'!$B:$B,A695,'[1]GİP VERİLERİ'!$M:$M,"40X000000104782K",'[1]GİP VERİLERİ'!$G:$G,"BUY")</f>
        <v/>
      </c>
      <c r="Y695" s="34">
        <f>IFERROR(AA695/X695,0)</f>
        <v/>
      </c>
      <c r="Z695" s="34">
        <f>IF(Y695=0,0,F695-Y695)</f>
        <v/>
      </c>
      <c r="AA695" s="34">
        <f>SUMIFS('[1]GİP VERİLERİ'!$O:$O,'[1]GİP VERİLERİ'!$B:$B,A695,'[1]GİP VERİLERİ'!$M:$M,"40X000000104782K",'[1]GİP VERİLERİ'!$G:$G,"BUY")</f>
        <v/>
      </c>
      <c r="AB695" s="34">
        <f>'[1]GÖP VERİLERİ'!H696</f>
        <v/>
      </c>
      <c r="AC695" s="34">
        <f>'[1]GÖP VERİLERİ'!I696</f>
        <v/>
      </c>
      <c r="AD695" s="34">
        <f>IF(AB695&gt;AC695*1.05,AB695-AC695*1.05,IF(AB695&lt;AC695*0.95,AC695*0.95-AB695,0))</f>
        <v/>
      </c>
      <c r="AE695" s="34">
        <f>MAX(F695,G695,750)*0.05*AD695</f>
        <v/>
      </c>
      <c r="AF695" s="34">
        <f>'[1]GÖP VERİLERİ'!J696</f>
        <v/>
      </c>
      <c r="AG695" s="34">
        <f>IF(AB695&gt;AF695*1.05,AB695-AF695*1.05,IF(AB695&lt;AF695*0.95,AF695*0.95-AB695,0))</f>
        <v/>
      </c>
      <c r="AH695" s="34">
        <f>MAX(I695,J695,750)*0.05*AG695</f>
        <v/>
      </c>
      <c r="AI695">
        <f>'[1]GÖP VERİLERİ'!E696</f>
        <v/>
      </c>
      <c r="AJ695">
        <f>'[1]GÖP VERİLERİ'!F696</f>
        <v/>
      </c>
      <c r="AK695" s="34">
        <f>IF(AI695&gt;AJ695*1.05,AI695-AJ695*1.05,IF(AI695&lt;AJ695*0.95,AJ695*0.95-AI695,0))</f>
        <v/>
      </c>
      <c r="AL695" s="34">
        <f>MAX(F695,G695,750)*0.05*AK695</f>
        <v/>
      </c>
      <c r="AM695" s="39">
        <f>'[1]GÖP VERİLERİ'!G696</f>
        <v/>
      </c>
      <c r="AN695" s="34">
        <f>IF(AI695&gt;AM695*1.05,AI695-AM695*1.05,IF(AI695&lt;AM695*0.95,AM695*0.95-AI695,0))</f>
        <v/>
      </c>
      <c r="AO695" s="34">
        <f>MAX(F695,G695,750)*0.05*AN695</f>
        <v/>
      </c>
      <c r="AP695" s="34">
        <f>'[1]GÖP VERİLERİ'!B696</f>
        <v/>
      </c>
      <c r="AQ695" s="34">
        <f>'[1]GÖP VERİLERİ'!C696</f>
        <v/>
      </c>
      <c r="AR695" s="34">
        <f>IF(AP695&gt;AQ695*1.05,AP695-AQ695*1.05,IF(AP695&lt;AQ695*0.95,AQ695*0.95-AP695,0))</f>
        <v/>
      </c>
      <c r="AS695" s="34">
        <f>MAX(F695:G695,750)*0.05*AR695</f>
        <v/>
      </c>
      <c r="AT695">
        <f>'[1]GÖP VERİLERİ'!D696</f>
        <v/>
      </c>
      <c r="AU695" s="34">
        <f>IF(AP695&gt;AT695*1.05,AP695-AT695*1.05,IF(AP695&lt;AT695*0.95,AT695*0.95-AP695,0))</f>
        <v/>
      </c>
      <c r="AV695" s="34">
        <f>MAX(F695:G695,750)*0.05*AU695</f>
        <v/>
      </c>
      <c r="AW695" s="34">
        <f>AC695+AJ695+AQ695</f>
        <v/>
      </c>
      <c r="AX695" s="34">
        <f>AF695+AM695+AT695</f>
        <v/>
      </c>
      <c r="AY695" s="34">
        <f>AB695+AI695+AP695</f>
        <v/>
      </c>
      <c r="AZ695" s="34" t="n">
        <v>0</v>
      </c>
      <c r="BA695" s="34">
        <f>AD695+AK695+AR695</f>
        <v/>
      </c>
      <c r="BB695" s="34">
        <f>MAX(F695:G695,750)*0.05*BA695</f>
        <v/>
      </c>
      <c r="BC695" s="34">
        <f>AG695+AN695+AU695</f>
        <v/>
      </c>
      <c r="BD695" s="34">
        <f>MAX(F695:G695,750)*0.05*BC695</f>
        <v/>
      </c>
      <c r="BE695" s="34">
        <f>F695*AY695</f>
        <v/>
      </c>
      <c r="BF695" s="34">
        <f>K695-M695</f>
        <v/>
      </c>
      <c r="BG695" s="34">
        <f>P695-S695</f>
        <v/>
      </c>
      <c r="BH695" s="34">
        <f>W695-AA695</f>
        <v/>
      </c>
      <c r="BI695" s="34">
        <f>BF695+BG695+BL695-BN695</f>
        <v/>
      </c>
      <c r="BJ695" s="34">
        <f>ABS(BK695)</f>
        <v/>
      </c>
      <c r="BK695" s="34">
        <f>AY695-(J695-L695+N695-Q695)</f>
        <v/>
      </c>
      <c r="BL695" s="34">
        <f>IF(AND(BK695&gt;0,MIN($F695:$G695)&lt;150,$E695="Enerji Açığı"),-100*BK695*1.03,IF(AND(BK695&gt;0,MIN($F695:$G695)&lt;150,$E695="Enerji Fazlası"),-100*BK695*1.06,IF(AND(BK695&gt;0,MIN($F695:$G695)&gt;=150,$E695="Enerji Açığı"),BK695*MIN($F695:$G695)*0.97,IF(AND(BK695&gt;0,MIN($F695:$G695)&gt;=150,$E695="Enerji Fazlası"),BK695*MIN($F695:$G695)*0.94,IF(AND(BK695&lt;0,MAX($F695:$G695)=4500,$E695="Enerji Açığı"),4500*1.05*1.06*BK695,IF(AND(BK695&lt;0,MAX($F695:$G695)=4500,$E695="Enerji Fazlası"),4500*1.05*1.03*BK695,IF(AND(BK695&lt;0,$E695="Enerji Açığı"),MAX($F695,$G695,150)*BK695*1.06,IF(AND(BK695&lt;0,$E695="Enerji Fazlası"),MAX($F695,$G695,150)*BK695*1.03,IF(AND(BK695&lt;0,$E695="Dengede"),MAX($F695:$G695,150)*1.03*BK695,MIN($F695:$G695)*0.97*BK695)))))))))</f>
        <v/>
      </c>
      <c r="BM695" s="34">
        <f>BE695-BI695-BN695</f>
        <v/>
      </c>
      <c r="BN695" s="34">
        <f>BB695</f>
        <v/>
      </c>
      <c r="BO695" s="34">
        <f>BE695-BI695</f>
        <v/>
      </c>
      <c r="BP695" s="34">
        <f>IF(AY695=0,0,BO695/AY695)</f>
        <v/>
      </c>
      <c r="BQ695" s="34">
        <f>MAX((AY695+MAX((-J695+L695-N695+Q695),0)),(MAX((J695-L695+N695-Q695),0)))</f>
        <v/>
      </c>
      <c r="BR695" s="82">
        <f>IFERROR(ABS(BK695/BQ695),0)</f>
        <v/>
      </c>
      <c r="BS695" s="34">
        <f>IF(BR695&lt;=0.1,0,BK695/BR695*(BR695-0.1))</f>
        <v/>
      </c>
      <c r="BT695" s="34">
        <f>IF((BS695)&lt;0,MAX(F695:G695)*(BS695)*1.03,MIN(F695:G695)*(BS695)*0.97)</f>
        <v/>
      </c>
      <c r="BU695" s="34">
        <f>IF(BR695&gt;0.1,1,0)</f>
        <v/>
      </c>
      <c r="BV695" s="34">
        <f>BF695+BG695+BH695+BY695-CA695</f>
        <v/>
      </c>
      <c r="BW695" s="34">
        <f>ABS(BX695)</f>
        <v/>
      </c>
      <c r="BX695" s="34">
        <f>AY695-(J695-L695+N695-Q695+T695-X695)</f>
        <v/>
      </c>
      <c r="BY695" s="34">
        <f>IF(AND(BX695&gt;0,MIN($F695:$G695)&lt;150,$E695="Enerji Açığı"),-100*BX695*1.03,IF(AND(BX695&gt;0,MIN($F695:$G695)&lt;150,$E695="Enerji Fazlası"),-100*BX695*1.06,IF(AND(BX695&gt;0,MIN($F695:$G695)&gt;=150,$E695="Enerji Açığı"),BX695*MIN($F695:$G695)*0.97,IF(AND(BX695&gt;0,MIN($F695:$G695)&gt;=150,$E695="Enerji Fazlası"),BX695*MIN($F695:$G695)*0.94,IF(AND(BX695&lt;0,MAX($F695:$G695)=4500,$E695="Enerji Açığı"),4500*1.05*1.06*BX695,IF(AND(BX695&lt;0,MAX($F695:$G695)=4500,$E695="Enerji Fazlası"),4500*1.05*1.03*BX695,IF(AND(BX695&lt;0,$E695="Enerji Açığı"),MAX($F695,$G695,150)*BX695*1.06,IF(AND(BX695&lt;0,$E695="Enerji Fazlası"),MAX($F695,$G695,150)*BX695*1.03,IF(AND(BX695&lt;0,$E695="Dengede"),MAX($F695:$G695,150)*1.03*BX695,MIN($F695:$G695)*0.97*BX695)))))))))</f>
        <v/>
      </c>
      <c r="BZ695" s="34">
        <f>BE695-BV695-CA695</f>
        <v/>
      </c>
      <c r="CA695" s="34">
        <f>BD695</f>
        <v/>
      </c>
      <c r="CB695" s="33">
        <f>BE695-BV695</f>
        <v/>
      </c>
      <c r="CC695" s="34">
        <f>IF(AY695=0,0,CB695/AY695)</f>
        <v/>
      </c>
      <c r="CD695" s="34">
        <f>MAX((AY695+MAX((-J695+L695-N695+Q695-T695+X695),0)),(MAX((J695-L695+N695-Q695+T695-X695),0)))</f>
        <v/>
      </c>
      <c r="CE695" s="82">
        <f>IFERROR(ABS(BX695/CD695),0)</f>
        <v/>
      </c>
      <c r="CF695" s="34">
        <f>IF(CE695&lt;=0.1,0,BX695/CE695*(CE695-0.1))</f>
        <v/>
      </c>
      <c r="CG695" s="34">
        <f>IF((CF695)&lt;0,MAX(F695:G695)*(CF695)*1.03,MIN(F695:G695)*(CF695)*0.97)</f>
        <v/>
      </c>
      <c r="CH695" s="34">
        <f>IF(CE695&gt;0.1,1,0)</f>
        <v/>
      </c>
      <c r="CI695" s="34">
        <f>(F695*BX695)-BY695</f>
        <v/>
      </c>
      <c r="CJ695" s="34">
        <f>IF(AY695=0,0,CI695/AY695)</f>
        <v/>
      </c>
    </row>
    <row r="696">
      <c r="A696" s="29">
        <f>[1]FİYATLAR!A671</f>
        <v/>
      </c>
      <c r="B696" s="29">
        <f>[1]FİYATLAR!B695</f>
        <v/>
      </c>
      <c r="C696" s="35">
        <f>INT(A696)</f>
        <v/>
      </c>
      <c r="D696" s="36">
        <f>MONTH(A696)</f>
        <v/>
      </c>
      <c r="E696" s="147">
        <f>[1]FİYATLAR!G671</f>
        <v/>
      </c>
      <c r="F696" s="30">
        <f>[1]FİYATLAR!C671</f>
        <v/>
      </c>
      <c r="G696" s="30">
        <f>[1]FİYATLAR!E671</f>
        <v/>
      </c>
      <c r="H696" s="30">
        <f>[1]FİYATLAR!D671</f>
        <v/>
      </c>
      <c r="I696" s="30">
        <f>[1]FİYATLAR!F671</f>
        <v/>
      </c>
      <c r="J696" s="119" t="n">
        <v>0</v>
      </c>
      <c r="K696" s="34">
        <f>F696*J696</f>
        <v/>
      </c>
      <c r="L696" s="119" t="n"/>
      <c r="M696" s="34">
        <f>L696*F696</f>
        <v/>
      </c>
      <c r="N696" s="119" t="n"/>
      <c r="O696" s="34">
        <f>F696</f>
        <v/>
      </c>
      <c r="P696" s="34">
        <f>N696*O696</f>
        <v/>
      </c>
      <c r="Q696" s="117" t="n">
        <v>0</v>
      </c>
      <c r="R696" s="34">
        <f>F696</f>
        <v/>
      </c>
      <c r="S696" s="34">
        <f>R696*Q696</f>
        <v/>
      </c>
      <c r="T696" s="34">
        <f>SUMIFS('[1]GİP VERİLERİ'!$C:$C,'[1]GİP VERİLERİ'!$B:$B,A696,'[1]GİP VERİLERİ'!$M:$M,"40X000000104782K",'[1]GİP VERİLERİ'!$G:$G,"SELL")</f>
        <v/>
      </c>
      <c r="U696" s="34">
        <f>IFERROR(W696/T696,0)</f>
        <v/>
      </c>
      <c r="V696" s="34">
        <f>IF(U696=0,0,U696-F696)</f>
        <v/>
      </c>
      <c r="W696" s="34">
        <f>SUMIFS('[1]GİP VERİLERİ'!$O:$O,'[1]GİP VERİLERİ'!$B:$B,A696,'[1]GİP VERİLERİ'!$M:$M,"40X000000104782K",'[1]GİP VERİLERİ'!$G:$G,"SELL")</f>
        <v/>
      </c>
      <c r="X696" s="34">
        <f>SUMIFS('[1]GİP VERİLERİ'!$C:$C,'[1]GİP VERİLERİ'!$B:$B,A696,'[1]GİP VERİLERİ'!$M:$M,"40X000000104782K",'[1]GİP VERİLERİ'!$G:$G,"BUY")</f>
        <v/>
      </c>
      <c r="Y696" s="34">
        <f>IFERROR(AA696/X696,0)</f>
        <v/>
      </c>
      <c r="Z696" s="34">
        <f>IF(Y696=0,0,F696-Y696)</f>
        <v/>
      </c>
      <c r="AA696" s="34">
        <f>SUMIFS('[1]GİP VERİLERİ'!$O:$O,'[1]GİP VERİLERİ'!$B:$B,A696,'[1]GİP VERİLERİ'!$M:$M,"40X000000104782K",'[1]GİP VERİLERİ'!$G:$G,"BUY")</f>
        <v/>
      </c>
      <c r="AB696" s="34">
        <f>'[1]GÖP VERİLERİ'!H697</f>
        <v/>
      </c>
      <c r="AC696" s="34">
        <f>'[1]GÖP VERİLERİ'!I697</f>
        <v/>
      </c>
      <c r="AD696" s="34">
        <f>IF(AB696&gt;AC696*1.05,AB696-AC696*1.05,IF(AB696&lt;AC696*0.95,AC696*0.95-AB696,0))</f>
        <v/>
      </c>
      <c r="AE696" s="34">
        <f>MAX(F696,G696,750)*0.05*AD696</f>
        <v/>
      </c>
      <c r="AF696" s="34">
        <f>'[1]GÖP VERİLERİ'!J697</f>
        <v/>
      </c>
      <c r="AG696" s="34">
        <f>IF(AB696&gt;AF696*1.05,AB696-AF696*1.05,IF(AB696&lt;AF696*0.95,AF696*0.95-AB696,0))</f>
        <v/>
      </c>
      <c r="AH696" s="34">
        <f>MAX(I696,J696,750)*0.05*AG696</f>
        <v/>
      </c>
      <c r="AI696">
        <f>'[1]GÖP VERİLERİ'!E697</f>
        <v/>
      </c>
      <c r="AJ696">
        <f>'[1]GÖP VERİLERİ'!F697</f>
        <v/>
      </c>
      <c r="AK696" s="34">
        <f>IF(AI696&gt;AJ696*1.05,AI696-AJ696*1.05,IF(AI696&lt;AJ696*0.95,AJ696*0.95-AI696,0))</f>
        <v/>
      </c>
      <c r="AL696" s="34">
        <f>MAX(F696,G696,750)*0.05*AK696</f>
        <v/>
      </c>
      <c r="AM696" s="39">
        <f>'[1]GÖP VERİLERİ'!G697</f>
        <v/>
      </c>
      <c r="AN696" s="34">
        <f>IF(AI696&gt;AM696*1.05,AI696-AM696*1.05,IF(AI696&lt;AM696*0.95,AM696*0.95-AI696,0))</f>
        <v/>
      </c>
      <c r="AO696" s="34">
        <f>MAX(F696,G696,750)*0.05*AN696</f>
        <v/>
      </c>
      <c r="AP696" s="34">
        <f>'[1]GÖP VERİLERİ'!B697</f>
        <v/>
      </c>
      <c r="AQ696" s="34">
        <f>'[1]GÖP VERİLERİ'!C697</f>
        <v/>
      </c>
      <c r="AR696" s="34">
        <f>IF(AP696&gt;AQ696*1.05,AP696-AQ696*1.05,IF(AP696&lt;AQ696*0.95,AQ696*0.95-AP696,0))</f>
        <v/>
      </c>
      <c r="AS696" s="34">
        <f>MAX(F696:G696,750)*0.05*AR696</f>
        <v/>
      </c>
      <c r="AT696">
        <f>'[1]GÖP VERİLERİ'!D697</f>
        <v/>
      </c>
      <c r="AU696" s="34">
        <f>IF(AP696&gt;AT696*1.05,AP696-AT696*1.05,IF(AP696&lt;AT696*0.95,AT696*0.95-AP696,0))</f>
        <v/>
      </c>
      <c r="AV696" s="34">
        <f>MAX(F696:G696,750)*0.05*AU696</f>
        <v/>
      </c>
      <c r="AW696" s="34">
        <f>AC696+AJ696+AQ696</f>
        <v/>
      </c>
      <c r="AX696" s="34">
        <f>AF696+AM696+AT696</f>
        <v/>
      </c>
      <c r="AY696" s="34">
        <f>AB696+AI696+AP696</f>
        <v/>
      </c>
      <c r="AZ696" s="34" t="n">
        <v>0</v>
      </c>
      <c r="BA696" s="34">
        <f>AD696+AK696+AR696</f>
        <v/>
      </c>
      <c r="BB696" s="34">
        <f>MAX(F696:G696,750)*0.05*BA696</f>
        <v/>
      </c>
      <c r="BC696" s="34">
        <f>AG696+AN696+AU696</f>
        <v/>
      </c>
      <c r="BD696" s="34">
        <f>MAX(F696:G696,750)*0.05*BC696</f>
        <v/>
      </c>
      <c r="BE696" s="34">
        <f>F696*AY696</f>
        <v/>
      </c>
      <c r="BF696" s="34">
        <f>K696-M696</f>
        <v/>
      </c>
      <c r="BG696" s="34">
        <f>P696-S696</f>
        <v/>
      </c>
      <c r="BH696" s="34">
        <f>W696-AA696</f>
        <v/>
      </c>
      <c r="BI696" s="34">
        <f>BF696+BG696+BL696-BN696</f>
        <v/>
      </c>
      <c r="BJ696" s="34">
        <f>ABS(BK696)</f>
        <v/>
      </c>
      <c r="BK696" s="34">
        <f>AY696-(J696-L696+N696-Q696)</f>
        <v/>
      </c>
      <c r="BL696" s="34">
        <f>IF(AND(BK696&gt;0,MIN($F696:$G696)&lt;150,$E696="Enerji Açığı"),-100*BK696*1.03,IF(AND(BK696&gt;0,MIN($F696:$G696)&lt;150,$E696="Enerji Fazlası"),-100*BK696*1.06,IF(AND(BK696&gt;0,MIN($F696:$G696)&gt;=150,$E696="Enerji Açığı"),BK696*MIN($F696:$G696)*0.97,IF(AND(BK696&gt;0,MIN($F696:$G696)&gt;=150,$E696="Enerji Fazlası"),BK696*MIN($F696:$G696)*0.94,IF(AND(BK696&lt;0,MAX($F696:$G696)=4500,$E696="Enerji Açığı"),4500*1.05*1.06*BK696,IF(AND(BK696&lt;0,MAX($F696:$G696)=4500,$E696="Enerji Fazlası"),4500*1.05*1.03*BK696,IF(AND(BK696&lt;0,$E696="Enerji Açığı"),MAX($F696,$G696,150)*BK696*1.06,IF(AND(BK696&lt;0,$E696="Enerji Fazlası"),MAX($F696,$G696,150)*BK696*1.03,IF(AND(BK696&lt;0,$E696="Dengede"),MAX($F696:$G696,150)*1.03*BK696,MIN($F696:$G696)*0.97*BK696)))))))))</f>
        <v/>
      </c>
      <c r="BM696" s="34">
        <f>BE696-BI696-BN696</f>
        <v/>
      </c>
      <c r="BN696" s="34">
        <f>BB696</f>
        <v/>
      </c>
      <c r="BO696" s="34">
        <f>BE696-BI696</f>
        <v/>
      </c>
      <c r="BP696" s="34">
        <f>IF(AY696=0,0,BO696/AY696)</f>
        <v/>
      </c>
      <c r="BQ696" s="34">
        <f>MAX((AY696+MAX((-J696+L696-N696+Q696),0)),(MAX((J696-L696+N696-Q696),0)))</f>
        <v/>
      </c>
      <c r="BR696" s="82">
        <f>IFERROR(ABS(BK696/BQ696),0)</f>
        <v/>
      </c>
      <c r="BS696" s="34">
        <f>IF(BR696&lt;=0.1,0,BK696/BR696*(BR696-0.1))</f>
        <v/>
      </c>
      <c r="BT696" s="34">
        <f>IF((BS696)&lt;0,MAX(F696:G696)*(BS696)*1.03,MIN(F696:G696)*(BS696)*0.97)</f>
        <v/>
      </c>
      <c r="BU696" s="34">
        <f>IF(BR696&gt;0.1,1,0)</f>
        <v/>
      </c>
      <c r="BV696" s="34">
        <f>BF696+BG696+BH696+BY696-CA696</f>
        <v/>
      </c>
      <c r="BW696" s="34">
        <f>ABS(BX696)</f>
        <v/>
      </c>
      <c r="BX696" s="34">
        <f>AY696-(J696-L696+N696-Q696+T696-X696)</f>
        <v/>
      </c>
      <c r="BY696" s="34">
        <f>IF(AND(BX696&gt;0,MIN($F696:$G696)&lt;150,$E696="Enerji Açığı"),-100*BX696*1.03,IF(AND(BX696&gt;0,MIN($F696:$G696)&lt;150,$E696="Enerji Fazlası"),-100*BX696*1.06,IF(AND(BX696&gt;0,MIN($F696:$G696)&gt;=150,$E696="Enerji Açığı"),BX696*MIN($F696:$G696)*0.97,IF(AND(BX696&gt;0,MIN($F696:$G696)&gt;=150,$E696="Enerji Fazlası"),BX696*MIN($F696:$G696)*0.94,IF(AND(BX696&lt;0,MAX($F696:$G696)=4500,$E696="Enerji Açığı"),4500*1.05*1.06*BX696,IF(AND(BX696&lt;0,MAX($F696:$G696)=4500,$E696="Enerji Fazlası"),4500*1.05*1.03*BX696,IF(AND(BX696&lt;0,$E696="Enerji Açığı"),MAX($F696,$G696,150)*BX696*1.06,IF(AND(BX696&lt;0,$E696="Enerji Fazlası"),MAX($F696,$G696,150)*BX696*1.03,IF(AND(BX696&lt;0,$E696="Dengede"),MAX($F696:$G696,150)*1.03*BX696,MIN($F696:$G696)*0.97*BX696)))))))))</f>
        <v/>
      </c>
      <c r="BZ696" s="34">
        <f>BE696-BV696-CA696</f>
        <v/>
      </c>
      <c r="CA696" s="34">
        <f>BD696</f>
        <v/>
      </c>
      <c r="CB696" s="33">
        <f>BE696-BV696</f>
        <v/>
      </c>
      <c r="CC696" s="34">
        <f>IF(AY696=0,0,CB696/AY696)</f>
        <v/>
      </c>
      <c r="CD696" s="34">
        <f>MAX((AY696+MAX((-J696+L696-N696+Q696-T696+X696),0)),(MAX((J696-L696+N696-Q696+T696-X696),0)))</f>
        <v/>
      </c>
      <c r="CE696" s="82">
        <f>IFERROR(ABS(BX696/CD696),0)</f>
        <v/>
      </c>
      <c r="CF696" s="34">
        <f>IF(CE696&lt;=0.1,0,BX696/CE696*(CE696-0.1))</f>
        <v/>
      </c>
      <c r="CG696" s="34">
        <f>IF((CF696)&lt;0,MAX(F696:G696)*(CF696)*1.03,MIN(F696:G696)*(CF696)*0.97)</f>
        <v/>
      </c>
      <c r="CH696" s="34">
        <f>IF(CE696&gt;0.1,1,0)</f>
        <v/>
      </c>
      <c r="CI696" s="34">
        <f>(F696*BX696)-BY696</f>
        <v/>
      </c>
      <c r="CJ696" s="34">
        <f>IF(AY696=0,0,CI696/AY696)</f>
        <v/>
      </c>
    </row>
    <row r="697">
      <c r="A697" s="29">
        <f>[1]FİYATLAR!A672</f>
        <v/>
      </c>
      <c r="B697" s="29">
        <f>[1]FİYATLAR!B696</f>
        <v/>
      </c>
      <c r="C697" s="35">
        <f>INT(A697)</f>
        <v/>
      </c>
      <c r="D697" s="36">
        <f>MONTH(A697)</f>
        <v/>
      </c>
      <c r="E697" s="147">
        <f>[1]FİYATLAR!G672</f>
        <v/>
      </c>
      <c r="F697" s="30">
        <f>[1]FİYATLAR!C672</f>
        <v/>
      </c>
      <c r="G697" s="30">
        <f>[1]FİYATLAR!E672</f>
        <v/>
      </c>
      <c r="H697" s="30">
        <f>[1]FİYATLAR!D672</f>
        <v/>
      </c>
      <c r="I697" s="30">
        <f>[1]FİYATLAR!F672</f>
        <v/>
      </c>
      <c r="J697" s="119" t="n">
        <v>0</v>
      </c>
      <c r="K697" s="34">
        <f>F697*J697</f>
        <v/>
      </c>
      <c r="L697" s="119" t="n"/>
      <c r="M697" s="34">
        <f>L697*F697</f>
        <v/>
      </c>
      <c r="N697" s="119" t="n"/>
      <c r="O697" s="34">
        <f>F697</f>
        <v/>
      </c>
      <c r="P697" s="34">
        <f>N697*O697</f>
        <v/>
      </c>
      <c r="Q697" s="117" t="n">
        <v>0</v>
      </c>
      <c r="R697" s="34">
        <f>F697</f>
        <v/>
      </c>
      <c r="S697" s="34">
        <f>R697*Q697</f>
        <v/>
      </c>
      <c r="T697" s="34">
        <f>SUMIFS('[1]GİP VERİLERİ'!$C:$C,'[1]GİP VERİLERİ'!$B:$B,A697,'[1]GİP VERİLERİ'!$M:$M,"40X000000104782K",'[1]GİP VERİLERİ'!$G:$G,"SELL")</f>
        <v/>
      </c>
      <c r="U697" s="34">
        <f>IFERROR(W697/T697,0)</f>
        <v/>
      </c>
      <c r="V697" s="34">
        <f>IF(U697=0,0,U697-F697)</f>
        <v/>
      </c>
      <c r="W697" s="34">
        <f>SUMIFS('[1]GİP VERİLERİ'!$O:$O,'[1]GİP VERİLERİ'!$B:$B,A697,'[1]GİP VERİLERİ'!$M:$M,"40X000000104782K",'[1]GİP VERİLERİ'!$G:$G,"SELL")</f>
        <v/>
      </c>
      <c r="X697" s="34">
        <f>SUMIFS('[1]GİP VERİLERİ'!$C:$C,'[1]GİP VERİLERİ'!$B:$B,A697,'[1]GİP VERİLERİ'!$M:$M,"40X000000104782K",'[1]GİP VERİLERİ'!$G:$G,"BUY")</f>
        <v/>
      </c>
      <c r="Y697" s="34">
        <f>IFERROR(AA697/X697,0)</f>
        <v/>
      </c>
      <c r="Z697" s="34">
        <f>IF(Y697=0,0,F697-Y697)</f>
        <v/>
      </c>
      <c r="AA697" s="34">
        <f>SUMIFS('[1]GİP VERİLERİ'!$O:$O,'[1]GİP VERİLERİ'!$B:$B,A697,'[1]GİP VERİLERİ'!$M:$M,"40X000000104782K",'[1]GİP VERİLERİ'!$G:$G,"BUY")</f>
        <v/>
      </c>
      <c r="AB697" s="34">
        <f>'[1]GÖP VERİLERİ'!H698</f>
        <v/>
      </c>
      <c r="AC697" s="34">
        <f>'[1]GÖP VERİLERİ'!I698</f>
        <v/>
      </c>
      <c r="AD697" s="34">
        <f>IF(AB697&gt;AC697*1.05,AB697-AC697*1.05,IF(AB697&lt;AC697*0.95,AC697*0.95-AB697,0))</f>
        <v/>
      </c>
      <c r="AE697" s="34">
        <f>MAX(F697,G697,750)*0.05*AD697</f>
        <v/>
      </c>
      <c r="AF697" s="34">
        <f>'[1]GÖP VERİLERİ'!J698</f>
        <v/>
      </c>
      <c r="AG697" s="34">
        <f>IF(AB697&gt;AF697*1.05,AB697-AF697*1.05,IF(AB697&lt;AF697*0.95,AF697*0.95-AB697,0))</f>
        <v/>
      </c>
      <c r="AH697" s="34">
        <f>MAX(I697,J697,750)*0.05*AG697</f>
        <v/>
      </c>
      <c r="AI697">
        <f>'[1]GÖP VERİLERİ'!E698</f>
        <v/>
      </c>
      <c r="AJ697">
        <f>'[1]GÖP VERİLERİ'!F698</f>
        <v/>
      </c>
      <c r="AK697" s="34">
        <f>IF(AI697&gt;AJ697*1.05,AI697-AJ697*1.05,IF(AI697&lt;AJ697*0.95,AJ697*0.95-AI697,0))</f>
        <v/>
      </c>
      <c r="AL697" s="34">
        <f>MAX(F697,G697,750)*0.05*AK697</f>
        <v/>
      </c>
      <c r="AM697" s="39">
        <f>'[1]GÖP VERİLERİ'!G698</f>
        <v/>
      </c>
      <c r="AN697" s="34">
        <f>IF(AI697&gt;AM697*1.05,AI697-AM697*1.05,IF(AI697&lt;AM697*0.95,AM697*0.95-AI697,0))</f>
        <v/>
      </c>
      <c r="AO697" s="34">
        <f>MAX(F697,G697,750)*0.05*AN697</f>
        <v/>
      </c>
      <c r="AP697" s="34">
        <f>'[1]GÖP VERİLERİ'!B698</f>
        <v/>
      </c>
      <c r="AQ697" s="34">
        <f>'[1]GÖP VERİLERİ'!C698</f>
        <v/>
      </c>
      <c r="AR697" s="34">
        <f>IF(AP697&gt;AQ697*1.05,AP697-AQ697*1.05,IF(AP697&lt;AQ697*0.95,AQ697*0.95-AP697,0))</f>
        <v/>
      </c>
      <c r="AS697" s="34">
        <f>MAX(F697:G697,750)*0.05*AR697</f>
        <v/>
      </c>
      <c r="AT697">
        <f>'[1]GÖP VERİLERİ'!D698</f>
        <v/>
      </c>
      <c r="AU697" s="34">
        <f>IF(AP697&gt;AT697*1.05,AP697-AT697*1.05,IF(AP697&lt;AT697*0.95,AT697*0.95-AP697,0))</f>
        <v/>
      </c>
      <c r="AV697" s="34">
        <f>MAX(F697:G697,750)*0.05*AU697</f>
        <v/>
      </c>
      <c r="AW697" s="34">
        <f>AC697+AJ697+AQ697</f>
        <v/>
      </c>
      <c r="AX697" s="34">
        <f>AF697+AM697+AT697</f>
        <v/>
      </c>
      <c r="AY697" s="34">
        <f>AB697+AI697+AP697</f>
        <v/>
      </c>
      <c r="AZ697" s="34" t="n">
        <v>0</v>
      </c>
      <c r="BA697" s="34">
        <f>AD697+AK697+AR697</f>
        <v/>
      </c>
      <c r="BB697" s="34">
        <f>MAX(F697:G697,750)*0.05*BA697</f>
        <v/>
      </c>
      <c r="BC697" s="34">
        <f>AG697+AN697+AU697</f>
        <v/>
      </c>
      <c r="BD697" s="34">
        <f>MAX(F697:G697,750)*0.05*BC697</f>
        <v/>
      </c>
      <c r="BE697" s="34">
        <f>F697*AY697</f>
        <v/>
      </c>
      <c r="BF697" s="34">
        <f>K697-M697</f>
        <v/>
      </c>
      <c r="BG697" s="34">
        <f>P697-S697</f>
        <v/>
      </c>
      <c r="BH697" s="34">
        <f>W697-AA697</f>
        <v/>
      </c>
      <c r="BI697" s="34">
        <f>BF697+BG697+BL697-BN697</f>
        <v/>
      </c>
      <c r="BJ697" s="34">
        <f>ABS(BK697)</f>
        <v/>
      </c>
      <c r="BK697" s="34">
        <f>AY697-(J697-L697+N697-Q697)</f>
        <v/>
      </c>
      <c r="BL697" s="34">
        <f>IF(AND(BK697&gt;0,MIN($F697:$G697)&lt;150,$E697="Enerji Açığı"),-100*BK697*1.03,IF(AND(BK697&gt;0,MIN($F697:$G697)&lt;150,$E697="Enerji Fazlası"),-100*BK697*1.06,IF(AND(BK697&gt;0,MIN($F697:$G697)&gt;=150,$E697="Enerji Açığı"),BK697*MIN($F697:$G697)*0.97,IF(AND(BK697&gt;0,MIN($F697:$G697)&gt;=150,$E697="Enerji Fazlası"),BK697*MIN($F697:$G697)*0.94,IF(AND(BK697&lt;0,MAX($F697:$G697)=4500,$E697="Enerji Açığı"),4500*1.05*1.06*BK697,IF(AND(BK697&lt;0,MAX($F697:$G697)=4500,$E697="Enerji Fazlası"),4500*1.05*1.03*BK697,IF(AND(BK697&lt;0,$E697="Enerji Açığı"),MAX($F697,$G697,150)*BK697*1.06,IF(AND(BK697&lt;0,$E697="Enerji Fazlası"),MAX($F697,$G697,150)*BK697*1.03,IF(AND(BK697&lt;0,$E697="Dengede"),MAX($F697:$G697,150)*1.03*BK697,MIN($F697:$G697)*0.97*BK697)))))))))</f>
        <v/>
      </c>
      <c r="BM697" s="34">
        <f>BE697-BI697-BN697</f>
        <v/>
      </c>
      <c r="BN697" s="34">
        <f>BB697</f>
        <v/>
      </c>
      <c r="BO697" s="34">
        <f>BE697-BI697</f>
        <v/>
      </c>
      <c r="BP697" s="34">
        <f>IF(AY697=0,0,BO697/AY697)</f>
        <v/>
      </c>
      <c r="BQ697" s="34">
        <f>MAX((AY697+MAX((-J697+L697-N697+Q697),0)),(MAX((J697-L697+N697-Q697),0)))</f>
        <v/>
      </c>
      <c r="BR697" s="82">
        <f>IFERROR(ABS(BK697/BQ697),0)</f>
        <v/>
      </c>
      <c r="BS697" s="34">
        <f>IF(BR697&lt;=0.1,0,BK697/BR697*(BR697-0.1))</f>
        <v/>
      </c>
      <c r="BT697" s="34">
        <f>IF((BS697)&lt;0,MAX(F697:G697)*(BS697)*1.03,MIN(F697:G697)*(BS697)*0.97)</f>
        <v/>
      </c>
      <c r="BU697" s="34">
        <f>IF(BR697&gt;0.1,1,0)</f>
        <v/>
      </c>
      <c r="BV697" s="34">
        <f>BF697+BG697+BH697+BY697-CA697</f>
        <v/>
      </c>
      <c r="BW697" s="34">
        <f>ABS(BX697)</f>
        <v/>
      </c>
      <c r="BX697" s="34">
        <f>AY697-(J697-L697+N697-Q697+T697-X697)</f>
        <v/>
      </c>
      <c r="BY697" s="34">
        <f>IF(AND(BX697&gt;0,MIN($F697:$G697)&lt;150,$E697="Enerji Açığı"),-100*BX697*1.03,IF(AND(BX697&gt;0,MIN($F697:$G697)&lt;150,$E697="Enerji Fazlası"),-100*BX697*1.06,IF(AND(BX697&gt;0,MIN($F697:$G697)&gt;=150,$E697="Enerji Açığı"),BX697*MIN($F697:$G697)*0.97,IF(AND(BX697&gt;0,MIN($F697:$G697)&gt;=150,$E697="Enerji Fazlası"),BX697*MIN($F697:$G697)*0.94,IF(AND(BX697&lt;0,MAX($F697:$G697)=4500,$E697="Enerji Açığı"),4500*1.05*1.06*BX697,IF(AND(BX697&lt;0,MAX($F697:$G697)=4500,$E697="Enerji Fazlası"),4500*1.05*1.03*BX697,IF(AND(BX697&lt;0,$E697="Enerji Açığı"),MAX($F697,$G697,150)*BX697*1.06,IF(AND(BX697&lt;0,$E697="Enerji Fazlası"),MAX($F697,$G697,150)*BX697*1.03,IF(AND(BX697&lt;0,$E697="Dengede"),MAX($F697:$G697,150)*1.03*BX697,MIN($F697:$G697)*0.97*BX697)))))))))</f>
        <v/>
      </c>
      <c r="BZ697" s="34">
        <f>BE697-BV697-CA697</f>
        <v/>
      </c>
      <c r="CA697" s="34">
        <f>BD697</f>
        <v/>
      </c>
      <c r="CB697" s="33">
        <f>BE697-BV697</f>
        <v/>
      </c>
      <c r="CC697" s="34">
        <f>IF(AY697=0,0,CB697/AY697)</f>
        <v/>
      </c>
      <c r="CD697" s="34">
        <f>MAX((AY697+MAX((-J697+L697-N697+Q697-T697+X697),0)),(MAX((J697-L697+N697-Q697+T697-X697),0)))</f>
        <v/>
      </c>
      <c r="CE697" s="82">
        <f>IFERROR(ABS(BX697/CD697),0)</f>
        <v/>
      </c>
      <c r="CF697" s="34">
        <f>IF(CE697&lt;=0.1,0,BX697/CE697*(CE697-0.1))</f>
        <v/>
      </c>
      <c r="CG697" s="34">
        <f>IF((CF697)&lt;0,MAX(F697:G697)*(CF697)*1.03,MIN(F697:G697)*(CF697)*0.97)</f>
        <v/>
      </c>
      <c r="CH697" s="34">
        <f>IF(CE697&gt;0.1,1,0)</f>
        <v/>
      </c>
      <c r="CI697" s="34">
        <f>(F697*BX697)-BY697</f>
        <v/>
      </c>
      <c r="CJ697" s="34">
        <f>IF(AY697=0,0,CI697/AY697)</f>
        <v/>
      </c>
    </row>
    <row r="698">
      <c r="A698" s="29">
        <f>[1]FİYATLAR!A673</f>
        <v/>
      </c>
      <c r="B698" s="29">
        <f>[1]FİYATLAR!B697</f>
        <v/>
      </c>
      <c r="C698" s="35">
        <f>INT(A698)</f>
        <v/>
      </c>
      <c r="D698" s="36">
        <f>MONTH(A698)</f>
        <v/>
      </c>
      <c r="E698" s="147">
        <f>[1]FİYATLAR!G673</f>
        <v/>
      </c>
      <c r="F698" s="30">
        <f>[1]FİYATLAR!C673</f>
        <v/>
      </c>
      <c r="G698" s="30">
        <f>[1]FİYATLAR!E673</f>
        <v/>
      </c>
      <c r="H698" s="30">
        <f>[1]FİYATLAR!D673</f>
        <v/>
      </c>
      <c r="I698" s="30">
        <f>[1]FİYATLAR!F673</f>
        <v/>
      </c>
      <c r="J698" s="119" t="n">
        <v>0</v>
      </c>
      <c r="K698" s="34">
        <f>F698*J698</f>
        <v/>
      </c>
      <c r="L698" s="119" t="n"/>
      <c r="M698" s="34">
        <f>L698*F698</f>
        <v/>
      </c>
      <c r="N698" s="119" t="n"/>
      <c r="O698" s="34">
        <f>F698</f>
        <v/>
      </c>
      <c r="P698" s="34">
        <f>N698*O698</f>
        <v/>
      </c>
      <c r="Q698" s="117" t="n">
        <v>0</v>
      </c>
      <c r="R698" s="34">
        <f>F698</f>
        <v/>
      </c>
      <c r="S698" s="34">
        <f>R698*Q698</f>
        <v/>
      </c>
      <c r="T698" s="34">
        <f>SUMIFS('[1]GİP VERİLERİ'!$C:$C,'[1]GİP VERİLERİ'!$B:$B,A698,'[1]GİP VERİLERİ'!$M:$M,"40X000000104782K",'[1]GİP VERİLERİ'!$G:$G,"SELL")</f>
        <v/>
      </c>
      <c r="U698" s="34">
        <f>IFERROR(W698/T698,0)</f>
        <v/>
      </c>
      <c r="V698" s="34">
        <f>IF(U698=0,0,U698-F698)</f>
        <v/>
      </c>
      <c r="W698" s="34">
        <f>SUMIFS('[1]GİP VERİLERİ'!$O:$O,'[1]GİP VERİLERİ'!$B:$B,A698,'[1]GİP VERİLERİ'!$M:$M,"40X000000104782K",'[1]GİP VERİLERİ'!$G:$G,"SELL")</f>
        <v/>
      </c>
      <c r="X698" s="34">
        <f>SUMIFS('[1]GİP VERİLERİ'!$C:$C,'[1]GİP VERİLERİ'!$B:$B,A698,'[1]GİP VERİLERİ'!$M:$M,"40X000000104782K",'[1]GİP VERİLERİ'!$G:$G,"BUY")</f>
        <v/>
      </c>
      <c r="Y698" s="34">
        <f>IFERROR(AA698/X698,0)</f>
        <v/>
      </c>
      <c r="Z698" s="34">
        <f>IF(Y698=0,0,F698-Y698)</f>
        <v/>
      </c>
      <c r="AA698" s="34">
        <f>SUMIFS('[1]GİP VERİLERİ'!$O:$O,'[1]GİP VERİLERİ'!$B:$B,A698,'[1]GİP VERİLERİ'!$M:$M,"40X000000104782K",'[1]GİP VERİLERİ'!$G:$G,"BUY")</f>
        <v/>
      </c>
      <c r="AB698" s="34">
        <f>'[1]GÖP VERİLERİ'!H699</f>
        <v/>
      </c>
      <c r="AC698" s="34">
        <f>'[1]GÖP VERİLERİ'!I699</f>
        <v/>
      </c>
      <c r="AD698" s="34">
        <f>IF(AB698&gt;AC698*1.05,AB698-AC698*1.05,IF(AB698&lt;AC698*0.95,AC698*0.95-AB698,0))</f>
        <v/>
      </c>
      <c r="AE698" s="34">
        <f>MAX(F698,G698,750)*0.05*AD698</f>
        <v/>
      </c>
      <c r="AF698" s="34">
        <f>'[1]GÖP VERİLERİ'!J699</f>
        <v/>
      </c>
      <c r="AG698" s="34">
        <f>IF(AB698&gt;AF698*1.05,AB698-AF698*1.05,IF(AB698&lt;AF698*0.95,AF698*0.95-AB698,0))</f>
        <v/>
      </c>
      <c r="AH698" s="34">
        <f>MAX(I698,J698,750)*0.05*AG698</f>
        <v/>
      </c>
      <c r="AI698">
        <f>'[1]GÖP VERİLERİ'!E699</f>
        <v/>
      </c>
      <c r="AJ698">
        <f>'[1]GÖP VERİLERİ'!F699</f>
        <v/>
      </c>
      <c r="AK698" s="34">
        <f>IF(AI698&gt;AJ698*1.05,AI698-AJ698*1.05,IF(AI698&lt;AJ698*0.95,AJ698*0.95-AI698,0))</f>
        <v/>
      </c>
      <c r="AL698" s="34">
        <f>MAX(F698,G698,750)*0.05*AK698</f>
        <v/>
      </c>
      <c r="AM698" s="39">
        <f>'[1]GÖP VERİLERİ'!G699</f>
        <v/>
      </c>
      <c r="AN698" s="34">
        <f>IF(AI698&gt;AM698*1.05,AI698-AM698*1.05,IF(AI698&lt;AM698*0.95,AM698*0.95-AI698,0))</f>
        <v/>
      </c>
      <c r="AO698" s="34">
        <f>MAX(F698,G698,750)*0.05*AN698</f>
        <v/>
      </c>
      <c r="AP698" s="34">
        <f>'[1]GÖP VERİLERİ'!B699</f>
        <v/>
      </c>
      <c r="AQ698" s="34">
        <f>'[1]GÖP VERİLERİ'!C699</f>
        <v/>
      </c>
      <c r="AR698" s="34">
        <f>IF(AP698&gt;AQ698*1.05,AP698-AQ698*1.05,IF(AP698&lt;AQ698*0.95,AQ698*0.95-AP698,0))</f>
        <v/>
      </c>
      <c r="AS698" s="34">
        <f>MAX(F698:G698,750)*0.05*AR698</f>
        <v/>
      </c>
      <c r="AT698">
        <f>'[1]GÖP VERİLERİ'!D699</f>
        <v/>
      </c>
      <c r="AU698" s="34">
        <f>IF(AP698&gt;AT698*1.05,AP698-AT698*1.05,IF(AP698&lt;AT698*0.95,AT698*0.95-AP698,0))</f>
        <v/>
      </c>
      <c r="AV698" s="34">
        <f>MAX(F698:G698,750)*0.05*AU698</f>
        <v/>
      </c>
      <c r="AW698" s="34">
        <f>AC698+AJ698+AQ698</f>
        <v/>
      </c>
      <c r="AX698" s="34">
        <f>AF698+AM698+AT698</f>
        <v/>
      </c>
      <c r="AY698" s="34">
        <f>AB698+AI698+AP698</f>
        <v/>
      </c>
      <c r="AZ698" s="34" t="n">
        <v>0</v>
      </c>
      <c r="BA698" s="34">
        <f>AD698+AK698+AR698</f>
        <v/>
      </c>
      <c r="BB698" s="34">
        <f>MAX(F698:G698,750)*0.05*BA698</f>
        <v/>
      </c>
      <c r="BC698" s="34">
        <f>AG698+AN698+AU698</f>
        <v/>
      </c>
      <c r="BD698" s="34">
        <f>MAX(F698:G698,750)*0.05*BC698</f>
        <v/>
      </c>
      <c r="BE698" s="34">
        <f>F698*AY698</f>
        <v/>
      </c>
      <c r="BF698" s="34">
        <f>K698-M698</f>
        <v/>
      </c>
      <c r="BG698" s="34">
        <f>P698-S698</f>
        <v/>
      </c>
      <c r="BH698" s="34">
        <f>W698-AA698</f>
        <v/>
      </c>
      <c r="BI698" s="34">
        <f>BF698+BG698+BL698-BN698</f>
        <v/>
      </c>
      <c r="BJ698" s="34">
        <f>ABS(BK698)</f>
        <v/>
      </c>
      <c r="BK698" s="34">
        <f>AY698-(J698-L698+N698-Q698)</f>
        <v/>
      </c>
      <c r="BL698" s="34">
        <f>IF(AND(BK698&gt;0,MIN($F698:$G698)&lt;150,$E698="Enerji Açığı"),-100*BK698*1.03,IF(AND(BK698&gt;0,MIN($F698:$G698)&lt;150,$E698="Enerji Fazlası"),-100*BK698*1.06,IF(AND(BK698&gt;0,MIN($F698:$G698)&gt;=150,$E698="Enerji Açığı"),BK698*MIN($F698:$G698)*0.97,IF(AND(BK698&gt;0,MIN($F698:$G698)&gt;=150,$E698="Enerji Fazlası"),BK698*MIN($F698:$G698)*0.94,IF(AND(BK698&lt;0,MAX($F698:$G698)=4500,$E698="Enerji Açığı"),4500*1.05*1.06*BK698,IF(AND(BK698&lt;0,MAX($F698:$G698)=4500,$E698="Enerji Fazlası"),4500*1.05*1.03*BK698,IF(AND(BK698&lt;0,$E698="Enerji Açığı"),MAX($F698,$G698,150)*BK698*1.06,IF(AND(BK698&lt;0,$E698="Enerji Fazlası"),MAX($F698,$G698,150)*BK698*1.03,IF(AND(BK698&lt;0,$E698="Dengede"),MAX($F698:$G698,150)*1.03*BK698,MIN($F698:$G698)*0.97*BK698)))))))))</f>
        <v/>
      </c>
      <c r="BM698" s="34">
        <f>BE698-BI698-BN698</f>
        <v/>
      </c>
      <c r="BN698" s="34">
        <f>BB698</f>
        <v/>
      </c>
      <c r="BO698" s="34">
        <f>BE698-BI698</f>
        <v/>
      </c>
      <c r="BP698" s="34">
        <f>IF(AY698=0,0,BO698/AY698)</f>
        <v/>
      </c>
      <c r="BQ698" s="34">
        <f>MAX((AY698+MAX((-J698+L698-N698+Q698),0)),(MAX((J698-L698+N698-Q698),0)))</f>
        <v/>
      </c>
      <c r="BR698" s="82">
        <f>IFERROR(ABS(BK698/BQ698),0)</f>
        <v/>
      </c>
      <c r="BS698" s="34">
        <f>IF(BR698&lt;=0.1,0,BK698/BR698*(BR698-0.1))</f>
        <v/>
      </c>
      <c r="BT698" s="34">
        <f>IF((BS698)&lt;0,MAX(F698:G698)*(BS698)*1.03,MIN(F698:G698)*(BS698)*0.97)</f>
        <v/>
      </c>
      <c r="BU698" s="34">
        <f>IF(BR698&gt;0.1,1,0)</f>
        <v/>
      </c>
      <c r="BV698" s="34">
        <f>BF698+BG698+BH698+BY698-CA698</f>
        <v/>
      </c>
      <c r="BW698" s="34">
        <f>ABS(BX698)</f>
        <v/>
      </c>
      <c r="BX698" s="34">
        <f>AY698-(J698-L698+N698-Q698+T698-X698)</f>
        <v/>
      </c>
      <c r="BY698" s="34">
        <f>IF(AND(BX698&gt;0,MIN($F698:$G698)&lt;150,$E698="Enerji Açığı"),-100*BX698*1.03,IF(AND(BX698&gt;0,MIN($F698:$G698)&lt;150,$E698="Enerji Fazlası"),-100*BX698*1.06,IF(AND(BX698&gt;0,MIN($F698:$G698)&gt;=150,$E698="Enerji Açığı"),BX698*MIN($F698:$G698)*0.97,IF(AND(BX698&gt;0,MIN($F698:$G698)&gt;=150,$E698="Enerji Fazlası"),BX698*MIN($F698:$G698)*0.94,IF(AND(BX698&lt;0,MAX($F698:$G698)=4500,$E698="Enerji Açığı"),4500*1.05*1.06*BX698,IF(AND(BX698&lt;0,MAX($F698:$G698)=4500,$E698="Enerji Fazlası"),4500*1.05*1.03*BX698,IF(AND(BX698&lt;0,$E698="Enerji Açığı"),MAX($F698,$G698,150)*BX698*1.06,IF(AND(BX698&lt;0,$E698="Enerji Fazlası"),MAX($F698,$G698,150)*BX698*1.03,IF(AND(BX698&lt;0,$E698="Dengede"),MAX($F698:$G698,150)*1.03*BX698,MIN($F698:$G698)*0.97*BX698)))))))))</f>
        <v/>
      </c>
      <c r="BZ698" s="34">
        <f>BE698-BV698-CA698</f>
        <v/>
      </c>
      <c r="CA698" s="34">
        <f>BD698</f>
        <v/>
      </c>
      <c r="CB698" s="33">
        <f>BE698-BV698</f>
        <v/>
      </c>
      <c r="CC698" s="34">
        <f>IF(AY698=0,0,CB698/AY698)</f>
        <v/>
      </c>
      <c r="CD698" s="34">
        <f>MAX((AY698+MAX((-J698+L698-N698+Q698-T698+X698),0)),(MAX((J698-L698+N698-Q698+T698-X698),0)))</f>
        <v/>
      </c>
      <c r="CE698" s="82">
        <f>IFERROR(ABS(BX698/CD698),0)</f>
        <v/>
      </c>
      <c r="CF698" s="34">
        <f>IF(CE698&lt;=0.1,0,BX698/CE698*(CE698-0.1))</f>
        <v/>
      </c>
      <c r="CG698" s="34">
        <f>IF((CF698)&lt;0,MAX(F698:G698)*(CF698)*1.03,MIN(F698:G698)*(CF698)*0.97)</f>
        <v/>
      </c>
      <c r="CH698" s="34">
        <f>IF(CE698&gt;0.1,1,0)</f>
        <v/>
      </c>
      <c r="CI698" s="34">
        <f>(F698*BX698)-BY698</f>
        <v/>
      </c>
      <c r="CJ698" s="34">
        <f>IF(AY698=0,0,CI698/AY698)</f>
        <v/>
      </c>
    </row>
    <row r="699">
      <c r="A699" s="29">
        <f>[1]FİYATLAR!A674</f>
        <v/>
      </c>
      <c r="B699" s="29">
        <f>[1]FİYATLAR!B698</f>
        <v/>
      </c>
      <c r="C699" s="35">
        <f>INT(A699)</f>
        <v/>
      </c>
      <c r="D699" s="36">
        <f>MONTH(A699)</f>
        <v/>
      </c>
      <c r="E699" s="147">
        <f>[1]FİYATLAR!G674</f>
        <v/>
      </c>
      <c r="F699" s="30">
        <f>[1]FİYATLAR!C674</f>
        <v/>
      </c>
      <c r="G699" s="30">
        <f>[1]FİYATLAR!E674</f>
        <v/>
      </c>
      <c r="H699" s="30">
        <f>[1]FİYATLAR!D674</f>
        <v/>
      </c>
      <c r="I699" s="30">
        <f>[1]FİYATLAR!F674</f>
        <v/>
      </c>
      <c r="J699" s="119" t="n">
        <v>0</v>
      </c>
      <c r="K699" s="34">
        <f>F699*J699</f>
        <v/>
      </c>
      <c r="L699" s="119" t="n"/>
      <c r="M699" s="34">
        <f>L699*F699</f>
        <v/>
      </c>
      <c r="N699" s="119" t="n"/>
      <c r="O699" s="34">
        <f>F699</f>
        <v/>
      </c>
      <c r="P699" s="34">
        <f>N699*O699</f>
        <v/>
      </c>
      <c r="Q699" s="117" t="n">
        <v>0</v>
      </c>
      <c r="R699" s="34">
        <f>F699</f>
        <v/>
      </c>
      <c r="S699" s="34">
        <f>R699*Q699</f>
        <v/>
      </c>
      <c r="T699" s="34">
        <f>SUMIFS('[1]GİP VERİLERİ'!$C:$C,'[1]GİP VERİLERİ'!$B:$B,A699,'[1]GİP VERİLERİ'!$M:$M,"40X000000104782K",'[1]GİP VERİLERİ'!$G:$G,"SELL")</f>
        <v/>
      </c>
      <c r="U699" s="34">
        <f>IFERROR(W699/T699,0)</f>
        <v/>
      </c>
      <c r="V699" s="34">
        <f>IF(U699=0,0,U699-F699)</f>
        <v/>
      </c>
      <c r="W699" s="34">
        <f>SUMIFS('[1]GİP VERİLERİ'!$O:$O,'[1]GİP VERİLERİ'!$B:$B,A699,'[1]GİP VERİLERİ'!$M:$M,"40X000000104782K",'[1]GİP VERİLERİ'!$G:$G,"SELL")</f>
        <v/>
      </c>
      <c r="X699" s="34">
        <f>SUMIFS('[1]GİP VERİLERİ'!$C:$C,'[1]GİP VERİLERİ'!$B:$B,A699,'[1]GİP VERİLERİ'!$M:$M,"40X000000104782K",'[1]GİP VERİLERİ'!$G:$G,"BUY")</f>
        <v/>
      </c>
      <c r="Y699" s="34">
        <f>IFERROR(AA699/X699,0)</f>
        <v/>
      </c>
      <c r="Z699" s="34">
        <f>IF(Y699=0,0,F699-Y699)</f>
        <v/>
      </c>
      <c r="AA699" s="34">
        <f>SUMIFS('[1]GİP VERİLERİ'!$O:$O,'[1]GİP VERİLERİ'!$B:$B,A699,'[1]GİP VERİLERİ'!$M:$M,"40X000000104782K",'[1]GİP VERİLERİ'!$G:$G,"BUY")</f>
        <v/>
      </c>
      <c r="AB699" s="34">
        <f>'[1]GÖP VERİLERİ'!H700</f>
        <v/>
      </c>
      <c r="AC699" s="34">
        <f>'[1]GÖP VERİLERİ'!I700</f>
        <v/>
      </c>
      <c r="AD699" s="34">
        <f>IF(AB699&gt;AC699*1.05,AB699-AC699*1.05,IF(AB699&lt;AC699*0.95,AC699*0.95-AB699,0))</f>
        <v/>
      </c>
      <c r="AE699" s="34">
        <f>MAX(F699,G699,750)*0.05*AD699</f>
        <v/>
      </c>
      <c r="AF699" s="34">
        <f>'[1]GÖP VERİLERİ'!J700</f>
        <v/>
      </c>
      <c r="AG699" s="34">
        <f>IF(AB699&gt;AF699*1.05,AB699-AF699*1.05,IF(AB699&lt;AF699*0.95,AF699*0.95-AB699,0))</f>
        <v/>
      </c>
      <c r="AH699" s="34">
        <f>MAX(I699,J699,750)*0.05*AG699</f>
        <v/>
      </c>
      <c r="AI699">
        <f>'[1]GÖP VERİLERİ'!E700</f>
        <v/>
      </c>
      <c r="AJ699">
        <f>'[1]GÖP VERİLERİ'!F700</f>
        <v/>
      </c>
      <c r="AK699" s="34">
        <f>IF(AI699&gt;AJ699*1.05,AI699-AJ699*1.05,IF(AI699&lt;AJ699*0.95,AJ699*0.95-AI699,0))</f>
        <v/>
      </c>
      <c r="AL699" s="34">
        <f>MAX(F699,G699,750)*0.05*AK699</f>
        <v/>
      </c>
      <c r="AM699" s="39">
        <f>'[1]GÖP VERİLERİ'!G700</f>
        <v/>
      </c>
      <c r="AN699" s="34">
        <f>IF(AI699&gt;AM699*1.05,AI699-AM699*1.05,IF(AI699&lt;AM699*0.95,AM699*0.95-AI699,0))</f>
        <v/>
      </c>
      <c r="AO699" s="34">
        <f>MAX(F699,G699,750)*0.05*AN699</f>
        <v/>
      </c>
      <c r="AP699" s="34">
        <f>'[1]GÖP VERİLERİ'!B700</f>
        <v/>
      </c>
      <c r="AQ699" s="34">
        <f>'[1]GÖP VERİLERİ'!C700</f>
        <v/>
      </c>
      <c r="AR699" s="34">
        <f>IF(AP699&gt;AQ699*1.05,AP699-AQ699*1.05,IF(AP699&lt;AQ699*0.95,AQ699*0.95-AP699,0))</f>
        <v/>
      </c>
      <c r="AS699" s="34">
        <f>MAX(F699:G699,750)*0.05*AR699</f>
        <v/>
      </c>
      <c r="AT699">
        <f>'[1]GÖP VERİLERİ'!D700</f>
        <v/>
      </c>
      <c r="AU699" s="34">
        <f>IF(AP699&gt;AT699*1.05,AP699-AT699*1.05,IF(AP699&lt;AT699*0.95,AT699*0.95-AP699,0))</f>
        <v/>
      </c>
      <c r="AV699" s="34">
        <f>MAX(F699:G699,750)*0.05*AU699</f>
        <v/>
      </c>
      <c r="AW699" s="34">
        <f>AC699+AJ699+AQ699</f>
        <v/>
      </c>
      <c r="AX699" s="34">
        <f>AF699+AM699+AT699</f>
        <v/>
      </c>
      <c r="AY699" s="34">
        <f>AB699+AI699+AP699</f>
        <v/>
      </c>
      <c r="AZ699" s="34" t="n">
        <v>0</v>
      </c>
      <c r="BA699" s="34">
        <f>AD699+AK699+AR699</f>
        <v/>
      </c>
      <c r="BB699" s="34">
        <f>MAX(F699:G699,750)*0.05*BA699</f>
        <v/>
      </c>
      <c r="BC699" s="34">
        <f>AG699+AN699+AU699</f>
        <v/>
      </c>
      <c r="BD699" s="34">
        <f>MAX(F699:G699,750)*0.05*BC699</f>
        <v/>
      </c>
      <c r="BE699" s="34">
        <f>F699*AY699</f>
        <v/>
      </c>
      <c r="BF699" s="34">
        <f>K699-M699</f>
        <v/>
      </c>
      <c r="BG699" s="34">
        <f>P699-S699</f>
        <v/>
      </c>
      <c r="BH699" s="34">
        <f>W699-AA699</f>
        <v/>
      </c>
      <c r="BI699" s="34">
        <f>BF699+BG699+BL699-BN699</f>
        <v/>
      </c>
      <c r="BJ699" s="34">
        <f>ABS(BK699)</f>
        <v/>
      </c>
      <c r="BK699" s="34">
        <f>AY699-(J699-L699+N699-Q699)</f>
        <v/>
      </c>
      <c r="BL699" s="34">
        <f>IF(AND(BK699&gt;0,MIN($F699:$G699)&lt;150,$E699="Enerji Açığı"),-100*BK699*1.03,IF(AND(BK699&gt;0,MIN($F699:$G699)&lt;150,$E699="Enerji Fazlası"),-100*BK699*1.06,IF(AND(BK699&gt;0,MIN($F699:$G699)&gt;=150,$E699="Enerji Açığı"),BK699*MIN($F699:$G699)*0.97,IF(AND(BK699&gt;0,MIN($F699:$G699)&gt;=150,$E699="Enerji Fazlası"),BK699*MIN($F699:$G699)*0.94,IF(AND(BK699&lt;0,MAX($F699:$G699)=4500,$E699="Enerji Açığı"),4500*1.05*1.06*BK699,IF(AND(BK699&lt;0,MAX($F699:$G699)=4500,$E699="Enerji Fazlası"),4500*1.05*1.03*BK699,IF(AND(BK699&lt;0,$E699="Enerji Açığı"),MAX($F699,$G699,150)*BK699*1.06,IF(AND(BK699&lt;0,$E699="Enerji Fazlası"),MAX($F699,$G699,150)*BK699*1.03,IF(AND(BK699&lt;0,$E699="Dengede"),MAX($F699:$G699,150)*1.03*BK699,MIN($F699:$G699)*0.97*BK699)))))))))</f>
        <v/>
      </c>
      <c r="BM699" s="34">
        <f>BE699-BI699-BN699</f>
        <v/>
      </c>
      <c r="BN699" s="34">
        <f>BB699</f>
        <v/>
      </c>
      <c r="BO699" s="34">
        <f>BE699-BI699</f>
        <v/>
      </c>
      <c r="BP699" s="34">
        <f>IF(AY699=0,0,BO699/AY699)</f>
        <v/>
      </c>
      <c r="BQ699" s="34">
        <f>MAX((AY699+MAX((-J699+L699-N699+Q699),0)),(MAX((J699-L699+N699-Q699),0)))</f>
        <v/>
      </c>
      <c r="BR699" s="82">
        <f>IFERROR(ABS(BK699/BQ699),0)</f>
        <v/>
      </c>
      <c r="BS699" s="34">
        <f>IF(BR699&lt;=0.1,0,BK699/BR699*(BR699-0.1))</f>
        <v/>
      </c>
      <c r="BT699" s="34">
        <f>IF((BS699)&lt;0,MAX(F699:G699)*(BS699)*1.03,MIN(F699:G699)*(BS699)*0.97)</f>
        <v/>
      </c>
      <c r="BU699" s="34">
        <f>IF(BR699&gt;0.1,1,0)</f>
        <v/>
      </c>
      <c r="BV699" s="34">
        <f>BF699+BG699+BH699+BY699-CA699</f>
        <v/>
      </c>
      <c r="BW699" s="34">
        <f>ABS(BX699)</f>
        <v/>
      </c>
      <c r="BX699" s="34">
        <f>AY699-(J699-L699+N699-Q699+T699-X699)</f>
        <v/>
      </c>
      <c r="BY699" s="34">
        <f>IF(AND(BX699&gt;0,MIN($F699:$G699)&lt;150,$E699="Enerji Açığı"),-100*BX699*1.03,IF(AND(BX699&gt;0,MIN($F699:$G699)&lt;150,$E699="Enerji Fazlası"),-100*BX699*1.06,IF(AND(BX699&gt;0,MIN($F699:$G699)&gt;=150,$E699="Enerji Açığı"),BX699*MIN($F699:$G699)*0.97,IF(AND(BX699&gt;0,MIN($F699:$G699)&gt;=150,$E699="Enerji Fazlası"),BX699*MIN($F699:$G699)*0.94,IF(AND(BX699&lt;0,MAX($F699:$G699)=4500,$E699="Enerji Açığı"),4500*1.05*1.06*BX699,IF(AND(BX699&lt;0,MAX($F699:$G699)=4500,$E699="Enerji Fazlası"),4500*1.05*1.03*BX699,IF(AND(BX699&lt;0,$E699="Enerji Açığı"),MAX($F699,$G699,150)*BX699*1.06,IF(AND(BX699&lt;0,$E699="Enerji Fazlası"),MAX($F699,$G699,150)*BX699*1.03,IF(AND(BX699&lt;0,$E699="Dengede"),MAX($F699:$G699,150)*1.03*BX699,MIN($F699:$G699)*0.97*BX699)))))))))</f>
        <v/>
      </c>
      <c r="BZ699" s="34">
        <f>BE699-BV699-CA699</f>
        <v/>
      </c>
      <c r="CA699" s="34">
        <f>BD699</f>
        <v/>
      </c>
      <c r="CB699" s="33">
        <f>BE699-BV699</f>
        <v/>
      </c>
      <c r="CC699" s="34">
        <f>IF(AY699=0,0,CB699/AY699)</f>
        <v/>
      </c>
      <c r="CD699" s="34">
        <f>MAX((AY699+MAX((-J699+L699-N699+Q699-T699+X699),0)),(MAX((J699-L699+N699-Q699+T699-X699),0)))</f>
        <v/>
      </c>
      <c r="CE699" s="82">
        <f>IFERROR(ABS(BX699/CD699),0)</f>
        <v/>
      </c>
      <c r="CF699" s="34">
        <f>IF(CE699&lt;=0.1,0,BX699/CE699*(CE699-0.1))</f>
        <v/>
      </c>
      <c r="CG699" s="34">
        <f>IF((CF699)&lt;0,MAX(F699:G699)*(CF699)*1.03,MIN(F699:G699)*(CF699)*0.97)</f>
        <v/>
      </c>
      <c r="CH699" s="34">
        <f>IF(CE699&gt;0.1,1,0)</f>
        <v/>
      </c>
      <c r="CI699" s="34">
        <f>(F699*BX699)-BY699</f>
        <v/>
      </c>
      <c r="CJ699" s="34">
        <f>IF(AY699=0,0,CI699/AY699)</f>
        <v/>
      </c>
    </row>
    <row r="700">
      <c r="A700" s="29">
        <f>[1]FİYATLAR!A675</f>
        <v/>
      </c>
      <c r="B700" s="29">
        <f>[1]FİYATLAR!B699</f>
        <v/>
      </c>
      <c r="C700" s="35">
        <f>INT(A700)</f>
        <v/>
      </c>
      <c r="D700" s="36">
        <f>MONTH(A700)</f>
        <v/>
      </c>
      <c r="E700" s="147">
        <f>[1]FİYATLAR!G675</f>
        <v/>
      </c>
      <c r="F700" s="30">
        <f>[1]FİYATLAR!C675</f>
        <v/>
      </c>
      <c r="G700" s="30">
        <f>[1]FİYATLAR!E675</f>
        <v/>
      </c>
      <c r="H700" s="30">
        <f>[1]FİYATLAR!D675</f>
        <v/>
      </c>
      <c r="I700" s="30">
        <f>[1]FİYATLAR!F675</f>
        <v/>
      </c>
      <c r="J700" s="119" t="n">
        <v>0</v>
      </c>
      <c r="K700" s="34">
        <f>F700*J700</f>
        <v/>
      </c>
      <c r="L700" s="119" t="n"/>
      <c r="M700" s="34">
        <f>L700*F700</f>
        <v/>
      </c>
      <c r="N700" s="119" t="n"/>
      <c r="O700" s="34">
        <f>F700</f>
        <v/>
      </c>
      <c r="P700" s="34">
        <f>N700*O700</f>
        <v/>
      </c>
      <c r="Q700" s="117" t="n">
        <v>0</v>
      </c>
      <c r="R700" s="34">
        <f>F700</f>
        <v/>
      </c>
      <c r="S700" s="34">
        <f>R700*Q700</f>
        <v/>
      </c>
      <c r="T700" s="34">
        <f>SUMIFS('[1]GİP VERİLERİ'!$C:$C,'[1]GİP VERİLERİ'!$B:$B,A700,'[1]GİP VERİLERİ'!$M:$M,"40X000000104782K",'[1]GİP VERİLERİ'!$G:$G,"SELL")</f>
        <v/>
      </c>
      <c r="U700" s="34">
        <f>IFERROR(W700/T700,0)</f>
        <v/>
      </c>
      <c r="V700" s="34">
        <f>IF(U700=0,0,U700-F700)</f>
        <v/>
      </c>
      <c r="W700" s="34">
        <f>SUMIFS('[1]GİP VERİLERİ'!$O:$O,'[1]GİP VERİLERİ'!$B:$B,A700,'[1]GİP VERİLERİ'!$M:$M,"40X000000104782K",'[1]GİP VERİLERİ'!$G:$G,"SELL")</f>
        <v/>
      </c>
      <c r="X700" s="34">
        <f>SUMIFS('[1]GİP VERİLERİ'!$C:$C,'[1]GİP VERİLERİ'!$B:$B,A700,'[1]GİP VERİLERİ'!$M:$M,"40X000000104782K",'[1]GİP VERİLERİ'!$G:$G,"BUY")</f>
        <v/>
      </c>
      <c r="Y700" s="34">
        <f>IFERROR(AA700/X700,0)</f>
        <v/>
      </c>
      <c r="Z700" s="34">
        <f>IF(Y700=0,0,F700-Y700)</f>
        <v/>
      </c>
      <c r="AA700" s="34">
        <f>SUMIFS('[1]GİP VERİLERİ'!$O:$O,'[1]GİP VERİLERİ'!$B:$B,A700,'[1]GİP VERİLERİ'!$M:$M,"40X000000104782K",'[1]GİP VERİLERİ'!$G:$G,"BUY")</f>
        <v/>
      </c>
      <c r="AB700" s="34">
        <f>'[1]GÖP VERİLERİ'!H701</f>
        <v/>
      </c>
      <c r="AC700" s="34">
        <f>'[1]GÖP VERİLERİ'!I701</f>
        <v/>
      </c>
      <c r="AD700" s="34">
        <f>IF(AB700&gt;AC700*1.05,AB700-AC700*1.05,IF(AB700&lt;AC700*0.95,AC700*0.95-AB700,0))</f>
        <v/>
      </c>
      <c r="AE700" s="34">
        <f>MAX(F700,G700,750)*0.05*AD700</f>
        <v/>
      </c>
      <c r="AF700" s="34">
        <f>'[1]GÖP VERİLERİ'!J701</f>
        <v/>
      </c>
      <c r="AG700" s="34">
        <f>IF(AB700&gt;AF700*1.05,AB700-AF700*1.05,IF(AB700&lt;AF700*0.95,AF700*0.95-AB700,0))</f>
        <v/>
      </c>
      <c r="AH700" s="34">
        <f>MAX(I700,J700,750)*0.05*AG700</f>
        <v/>
      </c>
      <c r="AI700">
        <f>'[1]GÖP VERİLERİ'!E701</f>
        <v/>
      </c>
      <c r="AJ700">
        <f>'[1]GÖP VERİLERİ'!F701</f>
        <v/>
      </c>
      <c r="AK700" s="34">
        <f>IF(AI700&gt;AJ700*1.05,AI700-AJ700*1.05,IF(AI700&lt;AJ700*0.95,AJ700*0.95-AI700,0))</f>
        <v/>
      </c>
      <c r="AL700" s="34">
        <f>MAX(F700,G700,750)*0.05*AK700</f>
        <v/>
      </c>
      <c r="AM700" s="39">
        <f>'[1]GÖP VERİLERİ'!G701</f>
        <v/>
      </c>
      <c r="AN700" s="34">
        <f>IF(AI700&gt;AM700*1.05,AI700-AM700*1.05,IF(AI700&lt;AM700*0.95,AM700*0.95-AI700,0))</f>
        <v/>
      </c>
      <c r="AO700" s="34">
        <f>MAX(F700,G700,750)*0.05*AN700</f>
        <v/>
      </c>
      <c r="AP700" s="34">
        <f>'[1]GÖP VERİLERİ'!B701</f>
        <v/>
      </c>
      <c r="AQ700" s="34">
        <f>'[1]GÖP VERİLERİ'!C701</f>
        <v/>
      </c>
      <c r="AR700" s="34">
        <f>IF(AP700&gt;AQ700*1.05,AP700-AQ700*1.05,IF(AP700&lt;AQ700*0.95,AQ700*0.95-AP700,0))</f>
        <v/>
      </c>
      <c r="AS700" s="34">
        <f>MAX(F700:G700,750)*0.05*AR700</f>
        <v/>
      </c>
      <c r="AT700">
        <f>'[1]GÖP VERİLERİ'!D701</f>
        <v/>
      </c>
      <c r="AU700" s="34">
        <f>IF(AP700&gt;AT700*1.05,AP700-AT700*1.05,IF(AP700&lt;AT700*0.95,AT700*0.95-AP700,0))</f>
        <v/>
      </c>
      <c r="AV700" s="34">
        <f>MAX(F700:G700,750)*0.05*AU700</f>
        <v/>
      </c>
      <c r="AW700" s="34">
        <f>AC700+AJ700+AQ700</f>
        <v/>
      </c>
      <c r="AX700" s="34">
        <f>AF700+AM700+AT700</f>
        <v/>
      </c>
      <c r="AY700" s="34">
        <f>AB700+AI700+AP700</f>
        <v/>
      </c>
      <c r="AZ700" s="34" t="n">
        <v>0</v>
      </c>
      <c r="BA700" s="34">
        <f>AD700+AK700+AR700</f>
        <v/>
      </c>
      <c r="BB700" s="34">
        <f>MAX(F700:G700,750)*0.05*BA700</f>
        <v/>
      </c>
      <c r="BC700" s="34">
        <f>AG700+AN700+AU700</f>
        <v/>
      </c>
      <c r="BD700" s="34">
        <f>MAX(F700:G700,750)*0.05*BC700</f>
        <v/>
      </c>
      <c r="BE700" s="34">
        <f>F700*AY700</f>
        <v/>
      </c>
      <c r="BF700" s="34">
        <f>K700-M700</f>
        <v/>
      </c>
      <c r="BG700" s="34">
        <f>P700-S700</f>
        <v/>
      </c>
      <c r="BH700" s="34">
        <f>W700-AA700</f>
        <v/>
      </c>
      <c r="BI700" s="34">
        <f>BF700+BG700+BL700-BN700</f>
        <v/>
      </c>
      <c r="BJ700" s="34">
        <f>ABS(BK700)</f>
        <v/>
      </c>
      <c r="BK700" s="34">
        <f>AY700-(J700-L700+N700-Q700)</f>
        <v/>
      </c>
      <c r="BL700" s="34">
        <f>IF(AND(BK700&gt;0,MIN($F700:$G700)&lt;150,$E700="Enerji Açığı"),-100*BK700*1.03,IF(AND(BK700&gt;0,MIN($F700:$G700)&lt;150,$E700="Enerji Fazlası"),-100*BK700*1.06,IF(AND(BK700&gt;0,MIN($F700:$G700)&gt;=150,$E700="Enerji Açığı"),BK700*MIN($F700:$G700)*0.97,IF(AND(BK700&gt;0,MIN($F700:$G700)&gt;=150,$E700="Enerji Fazlası"),BK700*MIN($F700:$G700)*0.94,IF(AND(BK700&lt;0,MAX($F700:$G700)=4500,$E700="Enerji Açığı"),4500*1.05*1.06*BK700,IF(AND(BK700&lt;0,MAX($F700:$G700)=4500,$E700="Enerji Fazlası"),4500*1.05*1.03*BK700,IF(AND(BK700&lt;0,$E700="Enerji Açığı"),MAX($F700,$G700,150)*BK700*1.06,IF(AND(BK700&lt;0,$E700="Enerji Fazlası"),MAX($F700,$G700,150)*BK700*1.03,IF(AND(BK700&lt;0,$E700="Dengede"),MAX($F700:$G700,150)*1.03*BK700,MIN($F700:$G700)*0.97*BK700)))))))))</f>
        <v/>
      </c>
      <c r="BM700" s="34">
        <f>BE700-BI700-BN700</f>
        <v/>
      </c>
      <c r="BN700" s="34">
        <f>BB700</f>
        <v/>
      </c>
      <c r="BO700" s="34">
        <f>BE700-BI700</f>
        <v/>
      </c>
      <c r="BP700" s="34">
        <f>IF(AY700=0,0,BO700/AY700)</f>
        <v/>
      </c>
      <c r="BQ700" s="34">
        <f>MAX((AY700+MAX((-J700+L700-N700+Q700),0)),(MAX((J700-L700+N700-Q700),0)))</f>
        <v/>
      </c>
      <c r="BR700" s="82">
        <f>IFERROR(ABS(BK700/BQ700),0)</f>
        <v/>
      </c>
      <c r="BS700" s="34">
        <f>IF(BR700&lt;=0.1,0,BK700/BR700*(BR700-0.1))</f>
        <v/>
      </c>
      <c r="BT700" s="34">
        <f>IF((BS700)&lt;0,MAX(F700:G700)*(BS700)*1.03,MIN(F700:G700)*(BS700)*0.97)</f>
        <v/>
      </c>
      <c r="BU700" s="34">
        <f>IF(BR700&gt;0.1,1,0)</f>
        <v/>
      </c>
      <c r="BV700" s="34">
        <f>BF700+BG700+BH700+BY700-CA700</f>
        <v/>
      </c>
      <c r="BW700" s="34">
        <f>ABS(BX700)</f>
        <v/>
      </c>
      <c r="BX700" s="34">
        <f>AY700-(J700-L700+N700-Q700+T700-X700)</f>
        <v/>
      </c>
      <c r="BY700" s="34">
        <f>IF(AND(BX700&gt;0,MIN($F700:$G700)&lt;150,$E700="Enerji Açığı"),-100*BX700*1.03,IF(AND(BX700&gt;0,MIN($F700:$G700)&lt;150,$E700="Enerji Fazlası"),-100*BX700*1.06,IF(AND(BX700&gt;0,MIN($F700:$G700)&gt;=150,$E700="Enerji Açığı"),BX700*MIN($F700:$G700)*0.97,IF(AND(BX700&gt;0,MIN($F700:$G700)&gt;=150,$E700="Enerji Fazlası"),BX700*MIN($F700:$G700)*0.94,IF(AND(BX700&lt;0,MAX($F700:$G700)=4500,$E700="Enerji Açığı"),4500*1.05*1.06*BX700,IF(AND(BX700&lt;0,MAX($F700:$G700)=4500,$E700="Enerji Fazlası"),4500*1.05*1.03*BX700,IF(AND(BX700&lt;0,$E700="Enerji Açığı"),MAX($F700,$G700,150)*BX700*1.06,IF(AND(BX700&lt;0,$E700="Enerji Fazlası"),MAX($F700,$G700,150)*BX700*1.03,IF(AND(BX700&lt;0,$E700="Dengede"),MAX($F700:$G700,150)*1.03*BX700,MIN($F700:$G700)*0.97*BX700)))))))))</f>
        <v/>
      </c>
      <c r="BZ700" s="34">
        <f>BE700-BV700-CA700</f>
        <v/>
      </c>
      <c r="CA700" s="34">
        <f>BD700</f>
        <v/>
      </c>
      <c r="CB700" s="33">
        <f>BE700-BV700</f>
        <v/>
      </c>
      <c r="CC700" s="34">
        <f>IF(AY700=0,0,CB700/AY700)</f>
        <v/>
      </c>
      <c r="CD700" s="34">
        <f>MAX((AY700+MAX((-J700+L700-N700+Q700-T700+X700),0)),(MAX((J700-L700+N700-Q700+T700-X700),0)))</f>
        <v/>
      </c>
      <c r="CE700" s="82">
        <f>IFERROR(ABS(BX700/CD700),0)</f>
        <v/>
      </c>
      <c r="CF700" s="34">
        <f>IF(CE700&lt;=0.1,0,BX700/CE700*(CE700-0.1))</f>
        <v/>
      </c>
      <c r="CG700" s="34">
        <f>IF((CF700)&lt;0,MAX(F700:G700)*(CF700)*1.03,MIN(F700:G700)*(CF700)*0.97)</f>
        <v/>
      </c>
      <c r="CH700" s="34">
        <f>IF(CE700&gt;0.1,1,0)</f>
        <v/>
      </c>
      <c r="CI700" s="34">
        <f>(F700*BX700)-BY700</f>
        <v/>
      </c>
      <c r="CJ700" s="34">
        <f>IF(AY700=0,0,CI700/AY700)</f>
        <v/>
      </c>
    </row>
    <row r="701">
      <c r="A701" s="29">
        <f>[1]FİYATLAR!A676</f>
        <v/>
      </c>
      <c r="B701" s="29">
        <f>[1]FİYATLAR!B700</f>
        <v/>
      </c>
      <c r="C701" s="35">
        <f>INT(A701)</f>
        <v/>
      </c>
      <c r="D701" s="36">
        <f>MONTH(A701)</f>
        <v/>
      </c>
      <c r="E701" s="147">
        <f>[1]FİYATLAR!G676</f>
        <v/>
      </c>
      <c r="F701" s="30">
        <f>[1]FİYATLAR!C676</f>
        <v/>
      </c>
      <c r="G701" s="30">
        <f>[1]FİYATLAR!E676</f>
        <v/>
      </c>
      <c r="H701" s="30">
        <f>[1]FİYATLAR!D676</f>
        <v/>
      </c>
      <c r="I701" s="30">
        <f>[1]FİYATLAR!F676</f>
        <v/>
      </c>
      <c r="J701" s="119" t="n">
        <v>0</v>
      </c>
      <c r="K701" s="34">
        <f>F701*J701</f>
        <v/>
      </c>
      <c r="L701" s="119" t="n"/>
      <c r="M701" s="34">
        <f>L701*F701</f>
        <v/>
      </c>
      <c r="N701" s="119" t="n"/>
      <c r="O701" s="34">
        <f>F701</f>
        <v/>
      </c>
      <c r="P701" s="34">
        <f>N701*O701</f>
        <v/>
      </c>
      <c r="Q701" s="117" t="n">
        <v>0</v>
      </c>
      <c r="R701" s="34">
        <f>F701</f>
        <v/>
      </c>
      <c r="S701" s="34">
        <f>R701*Q701</f>
        <v/>
      </c>
      <c r="T701" s="34">
        <f>SUMIFS('[1]GİP VERİLERİ'!$C:$C,'[1]GİP VERİLERİ'!$B:$B,A701,'[1]GİP VERİLERİ'!$M:$M,"40X000000104782K",'[1]GİP VERİLERİ'!$G:$G,"SELL")</f>
        <v/>
      </c>
      <c r="U701" s="34">
        <f>IFERROR(W701/T701,0)</f>
        <v/>
      </c>
      <c r="V701" s="34">
        <f>IF(U701=0,0,U701-F701)</f>
        <v/>
      </c>
      <c r="W701" s="34">
        <f>SUMIFS('[1]GİP VERİLERİ'!$O:$O,'[1]GİP VERİLERİ'!$B:$B,A701,'[1]GİP VERİLERİ'!$M:$M,"40X000000104782K",'[1]GİP VERİLERİ'!$G:$G,"SELL")</f>
        <v/>
      </c>
      <c r="X701" s="34">
        <f>SUMIFS('[1]GİP VERİLERİ'!$C:$C,'[1]GİP VERİLERİ'!$B:$B,A701,'[1]GİP VERİLERİ'!$M:$M,"40X000000104782K",'[1]GİP VERİLERİ'!$G:$G,"BUY")</f>
        <v/>
      </c>
      <c r="Y701" s="34">
        <f>IFERROR(AA701/X701,0)</f>
        <v/>
      </c>
      <c r="Z701" s="34">
        <f>IF(Y701=0,0,F701-Y701)</f>
        <v/>
      </c>
      <c r="AA701" s="34">
        <f>SUMIFS('[1]GİP VERİLERİ'!$O:$O,'[1]GİP VERİLERİ'!$B:$B,A701,'[1]GİP VERİLERİ'!$M:$M,"40X000000104782K",'[1]GİP VERİLERİ'!$G:$G,"BUY")</f>
        <v/>
      </c>
      <c r="AB701" s="34">
        <f>'[1]GÖP VERİLERİ'!H702</f>
        <v/>
      </c>
      <c r="AC701" s="34">
        <f>'[1]GÖP VERİLERİ'!I702</f>
        <v/>
      </c>
      <c r="AD701" s="34">
        <f>IF(AB701&gt;AC701*1.05,AB701-AC701*1.05,IF(AB701&lt;AC701*0.95,AC701*0.95-AB701,0))</f>
        <v/>
      </c>
      <c r="AE701" s="34">
        <f>MAX(F701,G701,750)*0.05*AD701</f>
        <v/>
      </c>
      <c r="AF701" s="34">
        <f>'[1]GÖP VERİLERİ'!J702</f>
        <v/>
      </c>
      <c r="AG701" s="34">
        <f>IF(AB701&gt;AF701*1.05,AB701-AF701*1.05,IF(AB701&lt;AF701*0.95,AF701*0.95-AB701,0))</f>
        <v/>
      </c>
      <c r="AH701" s="34">
        <f>MAX(I701,J701,750)*0.05*AG701</f>
        <v/>
      </c>
      <c r="AI701">
        <f>'[1]GÖP VERİLERİ'!E702</f>
        <v/>
      </c>
      <c r="AJ701">
        <f>'[1]GÖP VERİLERİ'!F702</f>
        <v/>
      </c>
      <c r="AK701" s="34">
        <f>IF(AI701&gt;AJ701*1.05,AI701-AJ701*1.05,IF(AI701&lt;AJ701*0.95,AJ701*0.95-AI701,0))</f>
        <v/>
      </c>
      <c r="AL701" s="34">
        <f>MAX(F701,G701,750)*0.05*AK701</f>
        <v/>
      </c>
      <c r="AM701" s="39">
        <f>'[1]GÖP VERİLERİ'!G702</f>
        <v/>
      </c>
      <c r="AN701" s="34">
        <f>IF(AI701&gt;AM701*1.05,AI701-AM701*1.05,IF(AI701&lt;AM701*0.95,AM701*0.95-AI701,0))</f>
        <v/>
      </c>
      <c r="AO701" s="34">
        <f>MAX(F701,G701,750)*0.05*AN701</f>
        <v/>
      </c>
      <c r="AP701" s="34">
        <f>'[1]GÖP VERİLERİ'!B702</f>
        <v/>
      </c>
      <c r="AQ701" s="34">
        <f>'[1]GÖP VERİLERİ'!C702</f>
        <v/>
      </c>
      <c r="AR701" s="34">
        <f>IF(AP701&gt;AQ701*1.05,AP701-AQ701*1.05,IF(AP701&lt;AQ701*0.95,AQ701*0.95-AP701,0))</f>
        <v/>
      </c>
      <c r="AS701" s="34">
        <f>MAX(F701:G701,750)*0.05*AR701</f>
        <v/>
      </c>
      <c r="AT701">
        <f>'[1]GÖP VERİLERİ'!D702</f>
        <v/>
      </c>
      <c r="AU701" s="34">
        <f>IF(AP701&gt;AT701*1.05,AP701-AT701*1.05,IF(AP701&lt;AT701*0.95,AT701*0.95-AP701,0))</f>
        <v/>
      </c>
      <c r="AV701" s="34">
        <f>MAX(F701:G701,750)*0.05*AU701</f>
        <v/>
      </c>
      <c r="AW701" s="34">
        <f>AC701+AJ701+AQ701</f>
        <v/>
      </c>
      <c r="AX701" s="34">
        <f>AF701+AM701+AT701</f>
        <v/>
      </c>
      <c r="AY701" s="34">
        <f>AB701+AI701+AP701</f>
        <v/>
      </c>
      <c r="AZ701" s="34" t="n">
        <v>0</v>
      </c>
      <c r="BA701" s="34">
        <f>AD701+AK701+AR701</f>
        <v/>
      </c>
      <c r="BB701" s="34">
        <f>MAX(F701:G701,750)*0.05*BA701</f>
        <v/>
      </c>
      <c r="BC701" s="34">
        <f>AG701+AN701+AU701</f>
        <v/>
      </c>
      <c r="BD701" s="34">
        <f>MAX(F701:G701,750)*0.05*BC701</f>
        <v/>
      </c>
      <c r="BE701" s="34">
        <f>F701*AY701</f>
        <v/>
      </c>
      <c r="BF701" s="34">
        <f>K701-M701</f>
        <v/>
      </c>
      <c r="BG701" s="34">
        <f>P701-S701</f>
        <v/>
      </c>
      <c r="BH701" s="34">
        <f>W701-AA701</f>
        <v/>
      </c>
      <c r="BI701" s="34">
        <f>BF701+BG701+BL701-BN701</f>
        <v/>
      </c>
      <c r="BJ701" s="34">
        <f>ABS(BK701)</f>
        <v/>
      </c>
      <c r="BK701" s="34">
        <f>AY701-(J701-L701+N701-Q701)</f>
        <v/>
      </c>
      <c r="BL701" s="34">
        <f>IF(AND(BK701&gt;0,MIN($F701:$G701)&lt;150,$E701="Enerji Açığı"),-100*BK701*1.03,IF(AND(BK701&gt;0,MIN($F701:$G701)&lt;150,$E701="Enerji Fazlası"),-100*BK701*1.06,IF(AND(BK701&gt;0,MIN($F701:$G701)&gt;=150,$E701="Enerji Açığı"),BK701*MIN($F701:$G701)*0.97,IF(AND(BK701&gt;0,MIN($F701:$G701)&gt;=150,$E701="Enerji Fazlası"),BK701*MIN($F701:$G701)*0.94,IF(AND(BK701&lt;0,MAX($F701:$G701)=4500,$E701="Enerji Açığı"),4500*1.05*1.06*BK701,IF(AND(BK701&lt;0,MAX($F701:$G701)=4500,$E701="Enerji Fazlası"),4500*1.05*1.03*BK701,IF(AND(BK701&lt;0,$E701="Enerji Açığı"),MAX($F701,$G701,150)*BK701*1.06,IF(AND(BK701&lt;0,$E701="Enerji Fazlası"),MAX($F701,$G701,150)*BK701*1.03,IF(AND(BK701&lt;0,$E701="Dengede"),MAX($F701:$G701,150)*1.03*BK701,MIN($F701:$G701)*0.97*BK701)))))))))</f>
        <v/>
      </c>
      <c r="BM701" s="34">
        <f>BE701-BI701-BN701</f>
        <v/>
      </c>
      <c r="BN701" s="34">
        <f>BB701</f>
        <v/>
      </c>
      <c r="BO701" s="34">
        <f>BE701-BI701</f>
        <v/>
      </c>
      <c r="BP701" s="34">
        <f>IF(AY701=0,0,BO701/AY701)</f>
        <v/>
      </c>
      <c r="BQ701" s="34">
        <f>MAX((AY701+MAX((-J701+L701-N701+Q701),0)),(MAX((J701-L701+N701-Q701),0)))</f>
        <v/>
      </c>
      <c r="BR701" s="82">
        <f>IFERROR(ABS(BK701/BQ701),0)</f>
        <v/>
      </c>
      <c r="BS701" s="34">
        <f>IF(BR701&lt;=0.1,0,BK701/BR701*(BR701-0.1))</f>
        <v/>
      </c>
      <c r="BT701" s="34">
        <f>IF((BS701)&lt;0,MAX(F701:G701)*(BS701)*1.03,MIN(F701:G701)*(BS701)*0.97)</f>
        <v/>
      </c>
      <c r="BU701" s="34">
        <f>IF(BR701&gt;0.1,1,0)</f>
        <v/>
      </c>
      <c r="BV701" s="34">
        <f>BF701+BG701+BH701+BY701-CA701</f>
        <v/>
      </c>
      <c r="BW701" s="34">
        <f>ABS(BX701)</f>
        <v/>
      </c>
      <c r="BX701" s="34">
        <f>AY701-(J701-L701+N701-Q701+T701-X701)</f>
        <v/>
      </c>
      <c r="BY701" s="34">
        <f>IF(AND(BX701&gt;0,MIN($F701:$G701)&lt;150,$E701="Enerji Açığı"),-100*BX701*1.03,IF(AND(BX701&gt;0,MIN($F701:$G701)&lt;150,$E701="Enerji Fazlası"),-100*BX701*1.06,IF(AND(BX701&gt;0,MIN($F701:$G701)&gt;=150,$E701="Enerji Açığı"),BX701*MIN($F701:$G701)*0.97,IF(AND(BX701&gt;0,MIN($F701:$G701)&gt;=150,$E701="Enerji Fazlası"),BX701*MIN($F701:$G701)*0.94,IF(AND(BX701&lt;0,MAX($F701:$G701)=4500,$E701="Enerji Açığı"),4500*1.05*1.06*BX701,IF(AND(BX701&lt;0,MAX($F701:$G701)=4500,$E701="Enerji Fazlası"),4500*1.05*1.03*BX701,IF(AND(BX701&lt;0,$E701="Enerji Açığı"),MAX($F701,$G701,150)*BX701*1.06,IF(AND(BX701&lt;0,$E701="Enerji Fazlası"),MAX($F701,$G701,150)*BX701*1.03,IF(AND(BX701&lt;0,$E701="Dengede"),MAX($F701:$G701,150)*1.03*BX701,MIN($F701:$G701)*0.97*BX701)))))))))</f>
        <v/>
      </c>
      <c r="BZ701" s="34">
        <f>BE701-BV701-CA701</f>
        <v/>
      </c>
      <c r="CA701" s="34">
        <f>BD701</f>
        <v/>
      </c>
      <c r="CB701" s="33">
        <f>BE701-BV701</f>
        <v/>
      </c>
      <c r="CC701" s="34">
        <f>IF(AY701=0,0,CB701/AY701)</f>
        <v/>
      </c>
      <c r="CD701" s="34">
        <f>MAX((AY701+MAX((-J701+L701-N701+Q701-T701+X701),0)),(MAX((J701-L701+N701-Q701+T701-X701),0)))</f>
        <v/>
      </c>
      <c r="CE701" s="82">
        <f>IFERROR(ABS(BX701/CD701),0)</f>
        <v/>
      </c>
      <c r="CF701" s="34">
        <f>IF(CE701&lt;=0.1,0,BX701/CE701*(CE701-0.1))</f>
        <v/>
      </c>
      <c r="CG701" s="34">
        <f>IF((CF701)&lt;0,MAX(F701:G701)*(CF701)*1.03,MIN(F701:G701)*(CF701)*0.97)</f>
        <v/>
      </c>
      <c r="CH701" s="34">
        <f>IF(CE701&gt;0.1,1,0)</f>
        <v/>
      </c>
      <c r="CI701" s="34">
        <f>(F701*BX701)-BY701</f>
        <v/>
      </c>
      <c r="CJ701" s="34">
        <f>IF(AY701=0,0,CI701/AY701)</f>
        <v/>
      </c>
    </row>
    <row r="702">
      <c r="A702" s="29">
        <f>[1]FİYATLAR!A677</f>
        <v/>
      </c>
      <c r="B702" s="29">
        <f>[1]FİYATLAR!B701</f>
        <v/>
      </c>
      <c r="C702" s="35">
        <f>INT(A702)</f>
        <v/>
      </c>
      <c r="D702" s="36">
        <f>MONTH(A702)</f>
        <v/>
      </c>
      <c r="E702" s="147">
        <f>[1]FİYATLAR!G677</f>
        <v/>
      </c>
      <c r="F702" s="30">
        <f>[1]FİYATLAR!C677</f>
        <v/>
      </c>
      <c r="G702" s="30">
        <f>[1]FİYATLAR!E677</f>
        <v/>
      </c>
      <c r="H702" s="30">
        <f>[1]FİYATLAR!D677</f>
        <v/>
      </c>
      <c r="I702" s="30">
        <f>[1]FİYATLAR!F677</f>
        <v/>
      </c>
      <c r="J702" s="119" t="n">
        <v>0</v>
      </c>
      <c r="K702" s="34">
        <f>F702*J702</f>
        <v/>
      </c>
      <c r="L702" s="119" t="n"/>
      <c r="M702" s="34">
        <f>L702*F702</f>
        <v/>
      </c>
      <c r="N702" s="119" t="n"/>
      <c r="O702" s="34">
        <f>F702</f>
        <v/>
      </c>
      <c r="P702" s="34">
        <f>N702*O702</f>
        <v/>
      </c>
      <c r="Q702" s="117" t="n">
        <v>0</v>
      </c>
      <c r="R702" s="34">
        <f>F702</f>
        <v/>
      </c>
      <c r="S702" s="34">
        <f>R702*Q702</f>
        <v/>
      </c>
      <c r="T702" s="34">
        <f>SUMIFS('[1]GİP VERİLERİ'!$C:$C,'[1]GİP VERİLERİ'!$B:$B,A702,'[1]GİP VERİLERİ'!$M:$M,"40X000000104782K",'[1]GİP VERİLERİ'!$G:$G,"SELL")</f>
        <v/>
      </c>
      <c r="U702" s="34">
        <f>IFERROR(W702/T702,0)</f>
        <v/>
      </c>
      <c r="V702" s="34">
        <f>IF(U702=0,0,U702-F702)</f>
        <v/>
      </c>
      <c r="W702" s="34">
        <f>SUMIFS('[1]GİP VERİLERİ'!$O:$O,'[1]GİP VERİLERİ'!$B:$B,A702,'[1]GİP VERİLERİ'!$M:$M,"40X000000104782K",'[1]GİP VERİLERİ'!$G:$G,"SELL")</f>
        <v/>
      </c>
      <c r="X702" s="34">
        <f>SUMIFS('[1]GİP VERİLERİ'!$C:$C,'[1]GİP VERİLERİ'!$B:$B,A702,'[1]GİP VERİLERİ'!$M:$M,"40X000000104782K",'[1]GİP VERİLERİ'!$G:$G,"BUY")</f>
        <v/>
      </c>
      <c r="Y702" s="34">
        <f>IFERROR(AA702/X702,0)</f>
        <v/>
      </c>
      <c r="Z702" s="34">
        <f>IF(Y702=0,0,F702-Y702)</f>
        <v/>
      </c>
      <c r="AA702" s="34">
        <f>SUMIFS('[1]GİP VERİLERİ'!$O:$O,'[1]GİP VERİLERİ'!$B:$B,A702,'[1]GİP VERİLERİ'!$M:$M,"40X000000104782K",'[1]GİP VERİLERİ'!$G:$G,"BUY")</f>
        <v/>
      </c>
      <c r="AB702" s="34">
        <f>'[1]GÖP VERİLERİ'!H703</f>
        <v/>
      </c>
      <c r="AC702" s="34">
        <f>'[1]GÖP VERİLERİ'!I703</f>
        <v/>
      </c>
      <c r="AD702" s="34">
        <f>IF(AB702&gt;AC702*1.05,AB702-AC702*1.05,IF(AB702&lt;AC702*0.95,AC702*0.95-AB702,0))</f>
        <v/>
      </c>
      <c r="AE702" s="34">
        <f>MAX(F702,G702,750)*0.05*AD702</f>
        <v/>
      </c>
      <c r="AF702" s="34">
        <f>'[1]GÖP VERİLERİ'!J703</f>
        <v/>
      </c>
      <c r="AG702" s="34">
        <f>IF(AB702&gt;AF702*1.05,AB702-AF702*1.05,IF(AB702&lt;AF702*0.95,AF702*0.95-AB702,0))</f>
        <v/>
      </c>
      <c r="AH702" s="34">
        <f>MAX(I702,J702,750)*0.05*AG702</f>
        <v/>
      </c>
      <c r="AI702">
        <f>'[1]GÖP VERİLERİ'!E703</f>
        <v/>
      </c>
      <c r="AJ702">
        <f>'[1]GÖP VERİLERİ'!F703</f>
        <v/>
      </c>
      <c r="AK702" s="34">
        <f>IF(AI702&gt;AJ702*1.05,AI702-AJ702*1.05,IF(AI702&lt;AJ702*0.95,AJ702*0.95-AI702,0))</f>
        <v/>
      </c>
      <c r="AL702" s="34">
        <f>MAX(F702,G702,750)*0.05*AK702</f>
        <v/>
      </c>
      <c r="AM702" s="39">
        <f>'[1]GÖP VERİLERİ'!G703</f>
        <v/>
      </c>
      <c r="AN702" s="34">
        <f>IF(AI702&gt;AM702*1.05,AI702-AM702*1.05,IF(AI702&lt;AM702*0.95,AM702*0.95-AI702,0))</f>
        <v/>
      </c>
      <c r="AO702" s="34">
        <f>MAX(F702,G702,750)*0.05*AN702</f>
        <v/>
      </c>
      <c r="AP702" s="34">
        <f>'[1]GÖP VERİLERİ'!B703</f>
        <v/>
      </c>
      <c r="AQ702" s="34">
        <f>'[1]GÖP VERİLERİ'!C703</f>
        <v/>
      </c>
      <c r="AR702" s="34">
        <f>IF(AP702&gt;AQ702*1.05,AP702-AQ702*1.05,IF(AP702&lt;AQ702*0.95,AQ702*0.95-AP702,0))</f>
        <v/>
      </c>
      <c r="AS702" s="34">
        <f>MAX(F702:G702,750)*0.05*AR702</f>
        <v/>
      </c>
      <c r="AT702">
        <f>'[1]GÖP VERİLERİ'!D703</f>
        <v/>
      </c>
      <c r="AU702" s="34">
        <f>IF(AP702&gt;AT702*1.05,AP702-AT702*1.05,IF(AP702&lt;AT702*0.95,AT702*0.95-AP702,0))</f>
        <v/>
      </c>
      <c r="AV702" s="34">
        <f>MAX(F702:G702,750)*0.05*AU702</f>
        <v/>
      </c>
      <c r="AW702" s="34">
        <f>AC702+AJ702+AQ702</f>
        <v/>
      </c>
      <c r="AX702" s="34">
        <f>AF702+AM702+AT702</f>
        <v/>
      </c>
      <c r="AY702" s="34">
        <f>AB702+AI702+AP702</f>
        <v/>
      </c>
      <c r="AZ702" s="34" t="n">
        <v>0</v>
      </c>
      <c r="BA702" s="34">
        <f>AD702+AK702+AR702</f>
        <v/>
      </c>
      <c r="BB702" s="34">
        <f>MAX(F702:G702,750)*0.05*BA702</f>
        <v/>
      </c>
      <c r="BC702" s="34">
        <f>AG702+AN702+AU702</f>
        <v/>
      </c>
      <c r="BD702" s="34">
        <f>MAX(F702:G702,750)*0.05*BC702</f>
        <v/>
      </c>
      <c r="BE702" s="34">
        <f>F702*AY702</f>
        <v/>
      </c>
      <c r="BF702" s="34">
        <f>K702-M702</f>
        <v/>
      </c>
      <c r="BG702" s="34">
        <f>P702-S702</f>
        <v/>
      </c>
      <c r="BH702" s="34">
        <f>W702-AA702</f>
        <v/>
      </c>
      <c r="BI702" s="34">
        <f>BF702+BG702+BL702-BN702</f>
        <v/>
      </c>
      <c r="BJ702" s="34">
        <f>ABS(BK702)</f>
        <v/>
      </c>
      <c r="BK702" s="34">
        <f>AY702-(J702-L702+N702-Q702)</f>
        <v/>
      </c>
      <c r="BL702" s="34">
        <f>IF(AND(BK702&gt;0,MIN($F702:$G702)&lt;150,$E702="Enerji Açığı"),-100*BK702*1.03,IF(AND(BK702&gt;0,MIN($F702:$G702)&lt;150,$E702="Enerji Fazlası"),-100*BK702*1.06,IF(AND(BK702&gt;0,MIN($F702:$G702)&gt;=150,$E702="Enerji Açığı"),BK702*MIN($F702:$G702)*0.97,IF(AND(BK702&gt;0,MIN($F702:$G702)&gt;=150,$E702="Enerji Fazlası"),BK702*MIN($F702:$G702)*0.94,IF(AND(BK702&lt;0,MAX($F702:$G702)=4500,$E702="Enerji Açığı"),4500*1.05*1.06*BK702,IF(AND(BK702&lt;0,MAX($F702:$G702)=4500,$E702="Enerji Fazlası"),4500*1.05*1.03*BK702,IF(AND(BK702&lt;0,$E702="Enerji Açığı"),MAX($F702,$G702,150)*BK702*1.06,IF(AND(BK702&lt;0,$E702="Enerji Fazlası"),MAX($F702,$G702,150)*BK702*1.03,IF(AND(BK702&lt;0,$E702="Dengede"),MAX($F702:$G702,150)*1.03*BK702,MIN($F702:$G702)*0.97*BK702)))))))))</f>
        <v/>
      </c>
      <c r="BM702" s="34">
        <f>BE702-BI702-BN702</f>
        <v/>
      </c>
      <c r="BN702" s="34">
        <f>BB702</f>
        <v/>
      </c>
      <c r="BO702" s="34">
        <f>BE702-BI702</f>
        <v/>
      </c>
      <c r="BP702" s="34">
        <f>IF(AY702=0,0,BO702/AY702)</f>
        <v/>
      </c>
      <c r="BQ702" s="34">
        <f>MAX((AY702+MAX((-J702+L702-N702+Q702),0)),(MAX((J702-L702+N702-Q702),0)))</f>
        <v/>
      </c>
      <c r="BR702" s="82">
        <f>IFERROR(ABS(BK702/BQ702),0)</f>
        <v/>
      </c>
      <c r="BS702" s="34">
        <f>IF(BR702&lt;=0.1,0,BK702/BR702*(BR702-0.1))</f>
        <v/>
      </c>
      <c r="BT702" s="34">
        <f>IF((BS702)&lt;0,MAX(F702:G702)*(BS702)*1.03,MIN(F702:G702)*(BS702)*0.97)</f>
        <v/>
      </c>
      <c r="BU702" s="34">
        <f>IF(BR702&gt;0.1,1,0)</f>
        <v/>
      </c>
      <c r="BV702" s="34">
        <f>BF702+BG702+BH702+BY702-CA702</f>
        <v/>
      </c>
      <c r="BW702" s="34">
        <f>ABS(BX702)</f>
        <v/>
      </c>
      <c r="BX702" s="34">
        <f>AY702-(J702-L702+N702-Q702+T702-X702)</f>
        <v/>
      </c>
      <c r="BY702" s="34">
        <f>IF(AND(BX702&gt;0,MIN($F702:$G702)&lt;150,$E702="Enerji Açığı"),-100*BX702*1.03,IF(AND(BX702&gt;0,MIN($F702:$G702)&lt;150,$E702="Enerji Fazlası"),-100*BX702*1.06,IF(AND(BX702&gt;0,MIN($F702:$G702)&gt;=150,$E702="Enerji Açığı"),BX702*MIN($F702:$G702)*0.97,IF(AND(BX702&gt;0,MIN($F702:$G702)&gt;=150,$E702="Enerji Fazlası"),BX702*MIN($F702:$G702)*0.94,IF(AND(BX702&lt;0,MAX($F702:$G702)=4500,$E702="Enerji Açığı"),4500*1.05*1.06*BX702,IF(AND(BX702&lt;0,MAX($F702:$G702)=4500,$E702="Enerji Fazlası"),4500*1.05*1.03*BX702,IF(AND(BX702&lt;0,$E702="Enerji Açığı"),MAX($F702,$G702,150)*BX702*1.06,IF(AND(BX702&lt;0,$E702="Enerji Fazlası"),MAX($F702,$G702,150)*BX702*1.03,IF(AND(BX702&lt;0,$E702="Dengede"),MAX($F702:$G702,150)*1.03*BX702,MIN($F702:$G702)*0.97*BX702)))))))))</f>
        <v/>
      </c>
      <c r="BZ702" s="34">
        <f>BE702-BV702-CA702</f>
        <v/>
      </c>
      <c r="CA702" s="34">
        <f>BD702</f>
        <v/>
      </c>
      <c r="CB702" s="33">
        <f>BE702-BV702</f>
        <v/>
      </c>
      <c r="CC702" s="34">
        <f>IF(AY702=0,0,CB702/AY702)</f>
        <v/>
      </c>
      <c r="CD702" s="34">
        <f>MAX((AY702+MAX((-J702+L702-N702+Q702-T702+X702),0)),(MAX((J702-L702+N702-Q702+T702-X702),0)))</f>
        <v/>
      </c>
      <c r="CE702" s="82">
        <f>IFERROR(ABS(BX702/CD702),0)</f>
        <v/>
      </c>
      <c r="CF702" s="34">
        <f>IF(CE702&lt;=0.1,0,BX702/CE702*(CE702-0.1))</f>
        <v/>
      </c>
      <c r="CG702" s="34">
        <f>IF((CF702)&lt;0,MAX(F702:G702)*(CF702)*1.03,MIN(F702:G702)*(CF702)*0.97)</f>
        <v/>
      </c>
      <c r="CH702" s="34">
        <f>IF(CE702&gt;0.1,1,0)</f>
        <v/>
      </c>
      <c r="CI702" s="34">
        <f>(F702*BX702)-BY702</f>
        <v/>
      </c>
      <c r="CJ702" s="34">
        <f>IF(AY702=0,0,CI702/AY702)</f>
        <v/>
      </c>
    </row>
    <row r="703">
      <c r="A703" s="29">
        <f>[1]FİYATLAR!A678</f>
        <v/>
      </c>
      <c r="B703" s="29">
        <f>[1]FİYATLAR!B702</f>
        <v/>
      </c>
      <c r="C703" s="35">
        <f>INT(A703)</f>
        <v/>
      </c>
      <c r="D703" s="36">
        <f>MONTH(A703)</f>
        <v/>
      </c>
      <c r="E703" s="147">
        <f>[1]FİYATLAR!G678</f>
        <v/>
      </c>
      <c r="F703" s="30">
        <f>[1]FİYATLAR!C678</f>
        <v/>
      </c>
      <c r="G703" s="30">
        <f>[1]FİYATLAR!E678</f>
        <v/>
      </c>
      <c r="H703" s="30">
        <f>[1]FİYATLAR!D678</f>
        <v/>
      </c>
      <c r="I703" s="30">
        <f>[1]FİYATLAR!F678</f>
        <v/>
      </c>
      <c r="J703" s="119" t="n">
        <v>0</v>
      </c>
      <c r="K703" s="34">
        <f>F703*J703</f>
        <v/>
      </c>
      <c r="L703" s="119" t="n"/>
      <c r="M703" s="34">
        <f>L703*F703</f>
        <v/>
      </c>
      <c r="N703" s="119" t="n"/>
      <c r="O703" s="34">
        <f>F703</f>
        <v/>
      </c>
      <c r="P703" s="34">
        <f>N703*O703</f>
        <v/>
      </c>
      <c r="Q703" s="117" t="n">
        <v>0</v>
      </c>
      <c r="R703" s="34">
        <f>F703</f>
        <v/>
      </c>
      <c r="S703" s="34">
        <f>R703*Q703</f>
        <v/>
      </c>
      <c r="T703" s="34">
        <f>SUMIFS('[1]GİP VERİLERİ'!$C:$C,'[1]GİP VERİLERİ'!$B:$B,A703,'[1]GİP VERİLERİ'!$M:$M,"40X000000104782K",'[1]GİP VERİLERİ'!$G:$G,"SELL")</f>
        <v/>
      </c>
      <c r="U703" s="34">
        <f>IFERROR(W703/T703,0)</f>
        <v/>
      </c>
      <c r="V703" s="34">
        <f>IF(U703=0,0,U703-F703)</f>
        <v/>
      </c>
      <c r="W703" s="34">
        <f>SUMIFS('[1]GİP VERİLERİ'!$O:$O,'[1]GİP VERİLERİ'!$B:$B,A703,'[1]GİP VERİLERİ'!$M:$M,"40X000000104782K",'[1]GİP VERİLERİ'!$G:$G,"SELL")</f>
        <v/>
      </c>
      <c r="X703" s="34">
        <f>SUMIFS('[1]GİP VERİLERİ'!$C:$C,'[1]GİP VERİLERİ'!$B:$B,A703,'[1]GİP VERİLERİ'!$M:$M,"40X000000104782K",'[1]GİP VERİLERİ'!$G:$G,"BUY")</f>
        <v/>
      </c>
      <c r="Y703" s="34">
        <f>IFERROR(AA703/X703,0)</f>
        <v/>
      </c>
      <c r="Z703" s="34">
        <f>IF(Y703=0,0,F703-Y703)</f>
        <v/>
      </c>
      <c r="AA703" s="34">
        <f>SUMIFS('[1]GİP VERİLERİ'!$O:$O,'[1]GİP VERİLERİ'!$B:$B,A703,'[1]GİP VERİLERİ'!$M:$M,"40X000000104782K",'[1]GİP VERİLERİ'!$G:$G,"BUY")</f>
        <v/>
      </c>
      <c r="AB703" s="34">
        <f>'[1]GÖP VERİLERİ'!H704</f>
        <v/>
      </c>
      <c r="AC703" s="34">
        <f>'[1]GÖP VERİLERİ'!I704</f>
        <v/>
      </c>
      <c r="AD703" s="34">
        <f>IF(AB703&gt;AC703*1.05,AB703-AC703*1.05,IF(AB703&lt;AC703*0.95,AC703*0.95-AB703,0))</f>
        <v/>
      </c>
      <c r="AE703" s="34">
        <f>MAX(F703,G703,750)*0.05*AD703</f>
        <v/>
      </c>
      <c r="AF703" s="34">
        <f>'[1]GÖP VERİLERİ'!J704</f>
        <v/>
      </c>
      <c r="AG703" s="34">
        <f>IF(AB703&gt;AF703*1.05,AB703-AF703*1.05,IF(AB703&lt;AF703*0.95,AF703*0.95-AB703,0))</f>
        <v/>
      </c>
      <c r="AH703" s="34">
        <f>MAX(I703,J703,750)*0.05*AG703</f>
        <v/>
      </c>
      <c r="AI703">
        <f>'[1]GÖP VERİLERİ'!E704</f>
        <v/>
      </c>
      <c r="AJ703">
        <f>'[1]GÖP VERİLERİ'!F704</f>
        <v/>
      </c>
      <c r="AK703" s="34">
        <f>IF(AI703&gt;AJ703*1.05,AI703-AJ703*1.05,IF(AI703&lt;AJ703*0.95,AJ703*0.95-AI703,0))</f>
        <v/>
      </c>
      <c r="AL703" s="34">
        <f>MAX(F703,G703,750)*0.05*AK703</f>
        <v/>
      </c>
      <c r="AM703" s="39">
        <f>'[1]GÖP VERİLERİ'!G704</f>
        <v/>
      </c>
      <c r="AN703" s="34">
        <f>IF(AI703&gt;AM703*1.05,AI703-AM703*1.05,IF(AI703&lt;AM703*0.95,AM703*0.95-AI703,0))</f>
        <v/>
      </c>
      <c r="AO703" s="34">
        <f>MAX(F703,G703,750)*0.05*AN703</f>
        <v/>
      </c>
      <c r="AP703" s="34">
        <f>'[1]GÖP VERİLERİ'!B704</f>
        <v/>
      </c>
      <c r="AQ703" s="34">
        <f>'[1]GÖP VERİLERİ'!C704</f>
        <v/>
      </c>
      <c r="AR703" s="34">
        <f>IF(AP703&gt;AQ703*1.05,AP703-AQ703*1.05,IF(AP703&lt;AQ703*0.95,AQ703*0.95-AP703,0))</f>
        <v/>
      </c>
      <c r="AS703" s="34">
        <f>MAX(F703:G703,750)*0.05*AR703</f>
        <v/>
      </c>
      <c r="AT703">
        <f>'[1]GÖP VERİLERİ'!D704</f>
        <v/>
      </c>
      <c r="AU703" s="34">
        <f>IF(AP703&gt;AT703*1.05,AP703-AT703*1.05,IF(AP703&lt;AT703*0.95,AT703*0.95-AP703,0))</f>
        <v/>
      </c>
      <c r="AV703" s="34">
        <f>MAX(F703:G703,750)*0.05*AU703</f>
        <v/>
      </c>
      <c r="AW703" s="34">
        <f>AC703+AJ703+AQ703</f>
        <v/>
      </c>
      <c r="AX703" s="34">
        <f>AF703+AM703+AT703</f>
        <v/>
      </c>
      <c r="AY703" s="34">
        <f>AB703+AI703+AP703</f>
        <v/>
      </c>
      <c r="AZ703" s="34" t="n">
        <v>0</v>
      </c>
      <c r="BA703" s="34">
        <f>AD703+AK703+AR703</f>
        <v/>
      </c>
      <c r="BB703" s="34">
        <f>MAX(F703:G703,750)*0.05*BA703</f>
        <v/>
      </c>
      <c r="BC703" s="34">
        <f>AG703+AN703+AU703</f>
        <v/>
      </c>
      <c r="BD703" s="34">
        <f>MAX(F703:G703,750)*0.05*BC703</f>
        <v/>
      </c>
      <c r="BE703" s="34">
        <f>F703*AY703</f>
        <v/>
      </c>
      <c r="BF703" s="34">
        <f>K703-M703</f>
        <v/>
      </c>
      <c r="BG703" s="34">
        <f>P703-S703</f>
        <v/>
      </c>
      <c r="BH703" s="34">
        <f>W703-AA703</f>
        <v/>
      </c>
      <c r="BI703" s="34">
        <f>BF703+BG703+BL703-BN703</f>
        <v/>
      </c>
      <c r="BJ703" s="34">
        <f>ABS(BK703)</f>
        <v/>
      </c>
      <c r="BK703" s="34">
        <f>AY703-(J703-L703+N703-Q703)</f>
        <v/>
      </c>
      <c r="BL703" s="34">
        <f>IF(AND(BK703&gt;0,MIN($F703:$G703)&lt;150,$E703="Enerji Açığı"),-100*BK703*1.03,IF(AND(BK703&gt;0,MIN($F703:$G703)&lt;150,$E703="Enerji Fazlası"),-100*BK703*1.06,IF(AND(BK703&gt;0,MIN($F703:$G703)&gt;=150,$E703="Enerji Açığı"),BK703*MIN($F703:$G703)*0.97,IF(AND(BK703&gt;0,MIN($F703:$G703)&gt;=150,$E703="Enerji Fazlası"),BK703*MIN($F703:$G703)*0.94,IF(AND(BK703&lt;0,MAX($F703:$G703)=4500,$E703="Enerji Açığı"),4500*1.05*1.06*BK703,IF(AND(BK703&lt;0,MAX($F703:$G703)=4500,$E703="Enerji Fazlası"),4500*1.05*1.03*BK703,IF(AND(BK703&lt;0,$E703="Enerji Açığı"),MAX($F703,$G703,150)*BK703*1.06,IF(AND(BK703&lt;0,$E703="Enerji Fazlası"),MAX($F703,$G703,150)*BK703*1.03,IF(AND(BK703&lt;0,$E703="Dengede"),MAX($F703:$G703,150)*1.03*BK703,MIN($F703:$G703)*0.97*BK703)))))))))</f>
        <v/>
      </c>
      <c r="BM703" s="34">
        <f>BE703-BI703-BN703</f>
        <v/>
      </c>
      <c r="BN703" s="34">
        <f>BB703</f>
        <v/>
      </c>
      <c r="BO703" s="34">
        <f>BE703-BI703</f>
        <v/>
      </c>
      <c r="BP703" s="34">
        <f>IF(AY703=0,0,BO703/AY703)</f>
        <v/>
      </c>
      <c r="BQ703" s="34">
        <f>MAX((AY703+MAX((-J703+L703-N703+Q703),0)),(MAX((J703-L703+N703-Q703),0)))</f>
        <v/>
      </c>
      <c r="BR703" s="82">
        <f>IFERROR(ABS(BK703/BQ703),0)</f>
        <v/>
      </c>
      <c r="BS703" s="34">
        <f>IF(BR703&lt;=0.1,0,BK703/BR703*(BR703-0.1))</f>
        <v/>
      </c>
      <c r="BT703" s="34">
        <f>IF((BS703)&lt;0,MAX(F703:G703)*(BS703)*1.03,MIN(F703:G703)*(BS703)*0.97)</f>
        <v/>
      </c>
      <c r="BU703" s="34">
        <f>IF(BR703&gt;0.1,1,0)</f>
        <v/>
      </c>
      <c r="BV703" s="34">
        <f>BF703+BG703+BH703+BY703-CA703</f>
        <v/>
      </c>
      <c r="BW703" s="34">
        <f>ABS(BX703)</f>
        <v/>
      </c>
      <c r="BX703" s="34">
        <f>AY703-(J703-L703+N703-Q703+T703-X703)</f>
        <v/>
      </c>
      <c r="BY703" s="34">
        <f>IF(AND(BX703&gt;0,MIN($F703:$G703)&lt;150,$E703="Enerji Açığı"),-100*BX703*1.03,IF(AND(BX703&gt;0,MIN($F703:$G703)&lt;150,$E703="Enerji Fazlası"),-100*BX703*1.06,IF(AND(BX703&gt;0,MIN($F703:$G703)&gt;=150,$E703="Enerji Açığı"),BX703*MIN($F703:$G703)*0.97,IF(AND(BX703&gt;0,MIN($F703:$G703)&gt;=150,$E703="Enerji Fazlası"),BX703*MIN($F703:$G703)*0.94,IF(AND(BX703&lt;0,MAX($F703:$G703)=4500,$E703="Enerji Açığı"),4500*1.05*1.06*BX703,IF(AND(BX703&lt;0,MAX($F703:$G703)=4500,$E703="Enerji Fazlası"),4500*1.05*1.03*BX703,IF(AND(BX703&lt;0,$E703="Enerji Açığı"),MAX($F703,$G703,150)*BX703*1.06,IF(AND(BX703&lt;0,$E703="Enerji Fazlası"),MAX($F703,$G703,150)*BX703*1.03,IF(AND(BX703&lt;0,$E703="Dengede"),MAX($F703:$G703,150)*1.03*BX703,MIN($F703:$G703)*0.97*BX703)))))))))</f>
        <v/>
      </c>
      <c r="BZ703" s="34">
        <f>BE703-BV703-CA703</f>
        <v/>
      </c>
      <c r="CA703" s="34">
        <f>BD703</f>
        <v/>
      </c>
      <c r="CB703" s="33">
        <f>BE703-BV703</f>
        <v/>
      </c>
      <c r="CC703" s="34">
        <f>IF(AY703=0,0,CB703/AY703)</f>
        <v/>
      </c>
      <c r="CD703" s="34">
        <f>MAX((AY703+MAX((-J703+L703-N703+Q703-T703+X703),0)),(MAX((J703-L703+N703-Q703+T703-X703),0)))</f>
        <v/>
      </c>
      <c r="CE703" s="82">
        <f>IFERROR(ABS(BX703/CD703),0)</f>
        <v/>
      </c>
      <c r="CF703" s="34">
        <f>IF(CE703&lt;=0.1,0,BX703/CE703*(CE703-0.1))</f>
        <v/>
      </c>
      <c r="CG703" s="34">
        <f>IF((CF703)&lt;0,MAX(F703:G703)*(CF703)*1.03,MIN(F703:G703)*(CF703)*0.97)</f>
        <v/>
      </c>
      <c r="CH703" s="34">
        <f>IF(CE703&gt;0.1,1,0)</f>
        <v/>
      </c>
      <c r="CI703" s="34">
        <f>(F703*BX703)-BY703</f>
        <v/>
      </c>
      <c r="CJ703" s="34">
        <f>IF(AY703=0,0,CI703/AY703)</f>
        <v/>
      </c>
    </row>
    <row r="704">
      <c r="A704" s="29">
        <f>[1]FİYATLAR!A679</f>
        <v/>
      </c>
      <c r="B704" s="29">
        <f>[1]FİYATLAR!B703</f>
        <v/>
      </c>
      <c r="C704" s="35">
        <f>INT(A704)</f>
        <v/>
      </c>
      <c r="D704" s="36">
        <f>MONTH(A704)</f>
        <v/>
      </c>
      <c r="E704" s="147">
        <f>[1]FİYATLAR!G679</f>
        <v/>
      </c>
      <c r="F704" s="30">
        <f>[1]FİYATLAR!C679</f>
        <v/>
      </c>
      <c r="G704" s="30">
        <f>[1]FİYATLAR!E679</f>
        <v/>
      </c>
      <c r="H704" s="30">
        <f>[1]FİYATLAR!D679</f>
        <v/>
      </c>
      <c r="I704" s="30">
        <f>[1]FİYATLAR!F679</f>
        <v/>
      </c>
      <c r="J704" s="119" t="n">
        <v>0</v>
      </c>
      <c r="K704" s="34">
        <f>F704*J704</f>
        <v/>
      </c>
      <c r="L704" s="119" t="n"/>
      <c r="M704" s="34">
        <f>L704*F704</f>
        <v/>
      </c>
      <c r="N704" s="119" t="n"/>
      <c r="O704" s="34">
        <f>F704</f>
        <v/>
      </c>
      <c r="P704" s="34">
        <f>N704*O704</f>
        <v/>
      </c>
      <c r="Q704" s="117" t="n">
        <v>0</v>
      </c>
      <c r="R704" s="34">
        <f>F704</f>
        <v/>
      </c>
      <c r="S704" s="34">
        <f>R704*Q704</f>
        <v/>
      </c>
      <c r="T704" s="34">
        <f>SUMIFS('[1]GİP VERİLERİ'!$C:$C,'[1]GİP VERİLERİ'!$B:$B,A704,'[1]GİP VERİLERİ'!$M:$M,"40X000000104782K",'[1]GİP VERİLERİ'!$G:$G,"SELL")</f>
        <v/>
      </c>
      <c r="U704" s="34">
        <f>IFERROR(W704/T704,0)</f>
        <v/>
      </c>
      <c r="V704" s="34">
        <f>IF(U704=0,0,U704-F704)</f>
        <v/>
      </c>
      <c r="W704" s="34">
        <f>SUMIFS('[1]GİP VERİLERİ'!$O:$O,'[1]GİP VERİLERİ'!$B:$B,A704,'[1]GİP VERİLERİ'!$M:$M,"40X000000104782K",'[1]GİP VERİLERİ'!$G:$G,"SELL")</f>
        <v/>
      </c>
      <c r="X704" s="34">
        <f>SUMIFS('[1]GİP VERİLERİ'!$C:$C,'[1]GİP VERİLERİ'!$B:$B,A704,'[1]GİP VERİLERİ'!$M:$M,"40X000000104782K",'[1]GİP VERİLERİ'!$G:$G,"BUY")</f>
        <v/>
      </c>
      <c r="Y704" s="34">
        <f>IFERROR(AA704/X704,0)</f>
        <v/>
      </c>
      <c r="Z704" s="34">
        <f>IF(Y704=0,0,F704-Y704)</f>
        <v/>
      </c>
      <c r="AA704" s="34">
        <f>SUMIFS('[1]GİP VERİLERİ'!$O:$O,'[1]GİP VERİLERİ'!$B:$B,A704,'[1]GİP VERİLERİ'!$M:$M,"40X000000104782K",'[1]GİP VERİLERİ'!$G:$G,"BUY")</f>
        <v/>
      </c>
      <c r="AB704" s="34">
        <f>'[1]GÖP VERİLERİ'!H705</f>
        <v/>
      </c>
      <c r="AC704" s="34">
        <f>'[1]GÖP VERİLERİ'!I705</f>
        <v/>
      </c>
      <c r="AD704" s="34">
        <f>IF(AB704&gt;AC704*1.05,AB704-AC704*1.05,IF(AB704&lt;AC704*0.95,AC704*0.95-AB704,0))</f>
        <v/>
      </c>
      <c r="AE704" s="34">
        <f>MAX(F704,G704,750)*0.05*AD704</f>
        <v/>
      </c>
      <c r="AF704" s="34">
        <f>'[1]GÖP VERİLERİ'!J705</f>
        <v/>
      </c>
      <c r="AG704" s="34">
        <f>IF(AB704&gt;AF704*1.05,AB704-AF704*1.05,IF(AB704&lt;AF704*0.95,AF704*0.95-AB704,0))</f>
        <v/>
      </c>
      <c r="AH704" s="34">
        <f>MAX(I704,J704,750)*0.05*AG704</f>
        <v/>
      </c>
      <c r="AI704">
        <f>'[1]GÖP VERİLERİ'!E705</f>
        <v/>
      </c>
      <c r="AJ704">
        <f>'[1]GÖP VERİLERİ'!F705</f>
        <v/>
      </c>
      <c r="AK704" s="34">
        <f>IF(AI704&gt;AJ704*1.05,AI704-AJ704*1.05,IF(AI704&lt;AJ704*0.95,AJ704*0.95-AI704,0))</f>
        <v/>
      </c>
      <c r="AL704" s="34">
        <f>MAX(F704,G704,750)*0.05*AK704</f>
        <v/>
      </c>
      <c r="AM704" s="39">
        <f>'[1]GÖP VERİLERİ'!G705</f>
        <v/>
      </c>
      <c r="AN704" s="34">
        <f>IF(AI704&gt;AM704*1.05,AI704-AM704*1.05,IF(AI704&lt;AM704*0.95,AM704*0.95-AI704,0))</f>
        <v/>
      </c>
      <c r="AO704" s="34">
        <f>MAX(F704,G704,750)*0.05*AN704</f>
        <v/>
      </c>
      <c r="AP704" s="34">
        <f>'[1]GÖP VERİLERİ'!B705</f>
        <v/>
      </c>
      <c r="AQ704" s="34">
        <f>'[1]GÖP VERİLERİ'!C705</f>
        <v/>
      </c>
      <c r="AR704" s="34">
        <f>IF(AP704&gt;AQ704*1.05,AP704-AQ704*1.05,IF(AP704&lt;AQ704*0.95,AQ704*0.95-AP704,0))</f>
        <v/>
      </c>
      <c r="AS704" s="34">
        <f>MAX(F704:G704,750)*0.05*AR704</f>
        <v/>
      </c>
      <c r="AT704">
        <f>'[1]GÖP VERİLERİ'!D705</f>
        <v/>
      </c>
      <c r="AU704" s="34">
        <f>IF(AP704&gt;AT704*1.05,AP704-AT704*1.05,IF(AP704&lt;AT704*0.95,AT704*0.95-AP704,0))</f>
        <v/>
      </c>
      <c r="AV704" s="34">
        <f>MAX(F704:G704,750)*0.05*AU704</f>
        <v/>
      </c>
      <c r="AW704" s="34">
        <f>AC704+AJ704+AQ704</f>
        <v/>
      </c>
      <c r="AX704" s="34">
        <f>AF704+AM704+AT704</f>
        <v/>
      </c>
      <c r="AY704" s="34">
        <f>AB704+AI704+AP704</f>
        <v/>
      </c>
      <c r="AZ704" s="34" t="n">
        <v>0</v>
      </c>
      <c r="BA704" s="34">
        <f>AD704+AK704+AR704</f>
        <v/>
      </c>
      <c r="BB704" s="34">
        <f>MAX(F704:G704,750)*0.05*BA704</f>
        <v/>
      </c>
      <c r="BC704" s="34">
        <f>AG704+AN704+AU704</f>
        <v/>
      </c>
      <c r="BD704" s="34">
        <f>MAX(F704:G704,750)*0.05*BC704</f>
        <v/>
      </c>
      <c r="BE704" s="34">
        <f>F704*AY704</f>
        <v/>
      </c>
      <c r="BF704" s="34">
        <f>K704-M704</f>
        <v/>
      </c>
      <c r="BG704" s="34">
        <f>P704-S704</f>
        <v/>
      </c>
      <c r="BH704" s="34">
        <f>W704-AA704</f>
        <v/>
      </c>
      <c r="BI704" s="34">
        <f>BF704+BG704+BL704-BN704</f>
        <v/>
      </c>
      <c r="BJ704" s="34">
        <f>ABS(BK704)</f>
        <v/>
      </c>
      <c r="BK704" s="34">
        <f>AY704-(J704-L704+N704-Q704)</f>
        <v/>
      </c>
      <c r="BL704" s="34">
        <f>IF(AND(BK704&gt;0,MIN($F704:$G704)&lt;150,$E704="Enerji Açığı"),-100*BK704*1.03,IF(AND(BK704&gt;0,MIN($F704:$G704)&lt;150,$E704="Enerji Fazlası"),-100*BK704*1.06,IF(AND(BK704&gt;0,MIN($F704:$G704)&gt;=150,$E704="Enerji Açığı"),BK704*MIN($F704:$G704)*0.97,IF(AND(BK704&gt;0,MIN($F704:$G704)&gt;=150,$E704="Enerji Fazlası"),BK704*MIN($F704:$G704)*0.94,IF(AND(BK704&lt;0,MAX($F704:$G704)=4500,$E704="Enerji Açığı"),4500*1.05*1.06*BK704,IF(AND(BK704&lt;0,MAX($F704:$G704)=4500,$E704="Enerji Fazlası"),4500*1.05*1.03*BK704,IF(AND(BK704&lt;0,$E704="Enerji Açığı"),MAX($F704,$G704,150)*BK704*1.06,IF(AND(BK704&lt;0,$E704="Enerji Fazlası"),MAX($F704,$G704,150)*BK704*1.03,IF(AND(BK704&lt;0,$E704="Dengede"),MAX($F704:$G704,150)*1.03*BK704,MIN($F704:$G704)*0.97*BK704)))))))))</f>
        <v/>
      </c>
      <c r="BM704" s="34">
        <f>BE704-BI704-BN704</f>
        <v/>
      </c>
      <c r="BN704" s="34">
        <f>BB704</f>
        <v/>
      </c>
      <c r="BO704" s="34">
        <f>BE704-BI704</f>
        <v/>
      </c>
      <c r="BP704" s="34">
        <f>IF(AY704=0,0,BO704/AY704)</f>
        <v/>
      </c>
      <c r="BQ704" s="34">
        <f>MAX((AY704+MAX((-J704+L704-N704+Q704),0)),(MAX((J704-L704+N704-Q704),0)))</f>
        <v/>
      </c>
      <c r="BR704" s="82">
        <f>IFERROR(ABS(BK704/BQ704),0)</f>
        <v/>
      </c>
      <c r="BS704" s="34">
        <f>IF(BR704&lt;=0.1,0,BK704/BR704*(BR704-0.1))</f>
        <v/>
      </c>
      <c r="BT704" s="34">
        <f>IF((BS704)&lt;0,MAX(F704:G704)*(BS704)*1.03,MIN(F704:G704)*(BS704)*0.97)</f>
        <v/>
      </c>
      <c r="BU704" s="34">
        <f>IF(BR704&gt;0.1,1,0)</f>
        <v/>
      </c>
      <c r="BV704" s="34">
        <f>BF704+BG704+BH704+BY704-CA704</f>
        <v/>
      </c>
      <c r="BW704" s="34">
        <f>ABS(BX704)</f>
        <v/>
      </c>
      <c r="BX704" s="34">
        <f>AY704-(J704-L704+N704-Q704+T704-X704)</f>
        <v/>
      </c>
      <c r="BY704" s="34">
        <f>IF(AND(BX704&gt;0,MIN($F704:$G704)&lt;150,$E704="Enerji Açığı"),-100*BX704*1.03,IF(AND(BX704&gt;0,MIN($F704:$G704)&lt;150,$E704="Enerji Fazlası"),-100*BX704*1.06,IF(AND(BX704&gt;0,MIN($F704:$G704)&gt;=150,$E704="Enerji Açığı"),BX704*MIN($F704:$G704)*0.97,IF(AND(BX704&gt;0,MIN($F704:$G704)&gt;=150,$E704="Enerji Fazlası"),BX704*MIN($F704:$G704)*0.94,IF(AND(BX704&lt;0,MAX($F704:$G704)=4500,$E704="Enerji Açığı"),4500*1.05*1.06*BX704,IF(AND(BX704&lt;0,MAX($F704:$G704)=4500,$E704="Enerji Fazlası"),4500*1.05*1.03*BX704,IF(AND(BX704&lt;0,$E704="Enerji Açığı"),MAX($F704,$G704,150)*BX704*1.06,IF(AND(BX704&lt;0,$E704="Enerji Fazlası"),MAX($F704,$G704,150)*BX704*1.03,IF(AND(BX704&lt;0,$E704="Dengede"),MAX($F704:$G704,150)*1.03*BX704,MIN($F704:$G704)*0.97*BX704)))))))))</f>
        <v/>
      </c>
      <c r="BZ704" s="34">
        <f>BE704-BV704-CA704</f>
        <v/>
      </c>
      <c r="CA704" s="34">
        <f>BD704</f>
        <v/>
      </c>
      <c r="CB704" s="33">
        <f>BE704-BV704</f>
        <v/>
      </c>
      <c r="CC704" s="34">
        <f>IF(AY704=0,0,CB704/AY704)</f>
        <v/>
      </c>
      <c r="CD704" s="34">
        <f>MAX((AY704+MAX((-J704+L704-N704+Q704-T704+X704),0)),(MAX((J704-L704+N704-Q704+T704-X704),0)))</f>
        <v/>
      </c>
      <c r="CE704" s="82">
        <f>IFERROR(ABS(BX704/CD704),0)</f>
        <v/>
      </c>
      <c r="CF704" s="34">
        <f>IF(CE704&lt;=0.1,0,BX704/CE704*(CE704-0.1))</f>
        <v/>
      </c>
      <c r="CG704" s="34">
        <f>IF((CF704)&lt;0,MAX(F704:G704)*(CF704)*1.03,MIN(F704:G704)*(CF704)*0.97)</f>
        <v/>
      </c>
      <c r="CH704" s="34">
        <f>IF(CE704&gt;0.1,1,0)</f>
        <v/>
      </c>
      <c r="CI704" s="34">
        <f>(F704*BX704)-BY704</f>
        <v/>
      </c>
      <c r="CJ704" s="34">
        <f>IF(AY704=0,0,CI704/AY704)</f>
        <v/>
      </c>
    </row>
    <row r="705">
      <c r="A705" s="29">
        <f>[1]FİYATLAR!A680</f>
        <v/>
      </c>
      <c r="B705" s="29">
        <f>[1]FİYATLAR!B704</f>
        <v/>
      </c>
      <c r="C705" s="35">
        <f>INT(A705)</f>
        <v/>
      </c>
      <c r="D705" s="36">
        <f>MONTH(A705)</f>
        <v/>
      </c>
      <c r="E705" s="147">
        <f>[1]FİYATLAR!G680</f>
        <v/>
      </c>
      <c r="F705" s="30">
        <f>[1]FİYATLAR!C680</f>
        <v/>
      </c>
      <c r="G705" s="30">
        <f>[1]FİYATLAR!E680</f>
        <v/>
      </c>
      <c r="H705" s="30">
        <f>[1]FİYATLAR!D680</f>
        <v/>
      </c>
      <c r="I705" s="30">
        <f>[1]FİYATLAR!F680</f>
        <v/>
      </c>
      <c r="J705" s="119" t="n">
        <v>0</v>
      </c>
      <c r="K705" s="34">
        <f>F705*J705</f>
        <v/>
      </c>
      <c r="L705" s="119" t="n"/>
      <c r="M705" s="34">
        <f>L705*F705</f>
        <v/>
      </c>
      <c r="N705" s="119" t="n"/>
      <c r="O705" s="34">
        <f>F705</f>
        <v/>
      </c>
      <c r="P705" s="34">
        <f>N705*O705</f>
        <v/>
      </c>
      <c r="Q705" s="117" t="n">
        <v>0</v>
      </c>
      <c r="R705" s="34">
        <f>F705</f>
        <v/>
      </c>
      <c r="S705" s="34">
        <f>R705*Q705</f>
        <v/>
      </c>
      <c r="T705" s="34">
        <f>SUMIFS('[1]GİP VERİLERİ'!$C:$C,'[1]GİP VERİLERİ'!$B:$B,A705,'[1]GİP VERİLERİ'!$M:$M,"40X000000104782K",'[1]GİP VERİLERİ'!$G:$G,"SELL")</f>
        <v/>
      </c>
      <c r="U705" s="34">
        <f>IFERROR(W705/T705,0)</f>
        <v/>
      </c>
      <c r="V705" s="34">
        <f>IF(U705=0,0,U705-F705)</f>
        <v/>
      </c>
      <c r="W705" s="34">
        <f>SUMIFS('[1]GİP VERİLERİ'!$O:$O,'[1]GİP VERİLERİ'!$B:$B,A705,'[1]GİP VERİLERİ'!$M:$M,"40X000000104782K",'[1]GİP VERİLERİ'!$G:$G,"SELL")</f>
        <v/>
      </c>
      <c r="X705" s="34">
        <f>SUMIFS('[1]GİP VERİLERİ'!$C:$C,'[1]GİP VERİLERİ'!$B:$B,A705,'[1]GİP VERİLERİ'!$M:$M,"40X000000104782K",'[1]GİP VERİLERİ'!$G:$G,"BUY")</f>
        <v/>
      </c>
      <c r="Y705" s="34">
        <f>IFERROR(AA705/X705,0)</f>
        <v/>
      </c>
      <c r="Z705" s="34">
        <f>IF(Y705=0,0,F705-Y705)</f>
        <v/>
      </c>
      <c r="AA705" s="34">
        <f>SUMIFS('[1]GİP VERİLERİ'!$O:$O,'[1]GİP VERİLERİ'!$B:$B,A705,'[1]GİP VERİLERİ'!$M:$M,"40X000000104782K",'[1]GİP VERİLERİ'!$G:$G,"BUY")</f>
        <v/>
      </c>
      <c r="AB705" s="34">
        <f>'[1]GÖP VERİLERİ'!H706</f>
        <v/>
      </c>
      <c r="AC705" s="34">
        <f>'[1]GÖP VERİLERİ'!I706</f>
        <v/>
      </c>
      <c r="AD705" s="34">
        <f>IF(AB705&gt;AC705*1.05,AB705-AC705*1.05,IF(AB705&lt;AC705*0.95,AC705*0.95-AB705,0))</f>
        <v/>
      </c>
      <c r="AE705" s="34">
        <f>MAX(F705,G705,750)*0.05*AD705</f>
        <v/>
      </c>
      <c r="AF705" s="34">
        <f>'[1]GÖP VERİLERİ'!J706</f>
        <v/>
      </c>
      <c r="AG705" s="34">
        <f>IF(AB705&gt;AF705*1.05,AB705-AF705*1.05,IF(AB705&lt;AF705*0.95,AF705*0.95-AB705,0))</f>
        <v/>
      </c>
      <c r="AH705" s="34">
        <f>MAX(I705,J705,750)*0.05*AG705</f>
        <v/>
      </c>
      <c r="AI705">
        <f>'[1]GÖP VERİLERİ'!E706</f>
        <v/>
      </c>
      <c r="AJ705">
        <f>'[1]GÖP VERİLERİ'!F706</f>
        <v/>
      </c>
      <c r="AK705" s="34">
        <f>IF(AI705&gt;AJ705*1.05,AI705-AJ705*1.05,IF(AI705&lt;AJ705*0.95,AJ705*0.95-AI705,0))</f>
        <v/>
      </c>
      <c r="AL705" s="34">
        <f>MAX(F705,G705,750)*0.05*AK705</f>
        <v/>
      </c>
      <c r="AM705" s="39">
        <f>'[1]GÖP VERİLERİ'!G706</f>
        <v/>
      </c>
      <c r="AN705" s="34">
        <f>IF(AI705&gt;AM705*1.05,AI705-AM705*1.05,IF(AI705&lt;AM705*0.95,AM705*0.95-AI705,0))</f>
        <v/>
      </c>
      <c r="AO705" s="34">
        <f>MAX(F705,G705,750)*0.05*AN705</f>
        <v/>
      </c>
      <c r="AP705" s="34">
        <f>'[1]GÖP VERİLERİ'!B706</f>
        <v/>
      </c>
      <c r="AQ705" s="34">
        <f>'[1]GÖP VERİLERİ'!C706</f>
        <v/>
      </c>
      <c r="AR705" s="34">
        <f>IF(AP705&gt;AQ705*1.05,AP705-AQ705*1.05,IF(AP705&lt;AQ705*0.95,AQ705*0.95-AP705,0))</f>
        <v/>
      </c>
      <c r="AS705" s="34">
        <f>MAX(F705:G705,750)*0.05*AR705</f>
        <v/>
      </c>
      <c r="AT705">
        <f>'[1]GÖP VERİLERİ'!D706</f>
        <v/>
      </c>
      <c r="AU705" s="34">
        <f>IF(AP705&gt;AT705*1.05,AP705-AT705*1.05,IF(AP705&lt;AT705*0.95,AT705*0.95-AP705,0))</f>
        <v/>
      </c>
      <c r="AV705" s="34">
        <f>MAX(F705:G705,750)*0.05*AU705</f>
        <v/>
      </c>
      <c r="AW705" s="34">
        <f>AC705+AJ705+AQ705</f>
        <v/>
      </c>
      <c r="AX705" s="34">
        <f>AF705+AM705+AT705</f>
        <v/>
      </c>
      <c r="AY705" s="34">
        <f>AB705+AI705+AP705</f>
        <v/>
      </c>
      <c r="AZ705" s="34" t="n">
        <v>0</v>
      </c>
      <c r="BA705" s="34">
        <f>AD705+AK705+AR705</f>
        <v/>
      </c>
      <c r="BB705" s="34">
        <f>MAX(F705:G705,750)*0.05*BA705</f>
        <v/>
      </c>
      <c r="BC705" s="34">
        <f>AG705+AN705+AU705</f>
        <v/>
      </c>
      <c r="BD705" s="34">
        <f>MAX(F705:G705,750)*0.05*BC705</f>
        <v/>
      </c>
      <c r="BE705" s="34">
        <f>F705*AY705</f>
        <v/>
      </c>
      <c r="BF705" s="34">
        <f>K705-M705</f>
        <v/>
      </c>
      <c r="BG705" s="34">
        <f>P705-S705</f>
        <v/>
      </c>
      <c r="BH705" s="34">
        <f>W705-AA705</f>
        <v/>
      </c>
      <c r="BI705" s="34">
        <f>BF705+BG705+BL705-BN705</f>
        <v/>
      </c>
      <c r="BJ705" s="34">
        <f>ABS(BK705)</f>
        <v/>
      </c>
      <c r="BK705" s="34">
        <f>AY705-(J705-L705+N705-Q705)</f>
        <v/>
      </c>
      <c r="BL705" s="34">
        <f>IF(AND(BK705&gt;0,MIN($F705:$G705)&lt;150,$E705="Enerji Açığı"),-100*BK705*1.03,IF(AND(BK705&gt;0,MIN($F705:$G705)&lt;150,$E705="Enerji Fazlası"),-100*BK705*1.06,IF(AND(BK705&gt;0,MIN($F705:$G705)&gt;=150,$E705="Enerji Açığı"),BK705*MIN($F705:$G705)*0.97,IF(AND(BK705&gt;0,MIN($F705:$G705)&gt;=150,$E705="Enerji Fazlası"),BK705*MIN($F705:$G705)*0.94,IF(AND(BK705&lt;0,MAX($F705:$G705)=4500,$E705="Enerji Açığı"),4500*1.05*1.06*BK705,IF(AND(BK705&lt;0,MAX($F705:$G705)=4500,$E705="Enerji Fazlası"),4500*1.05*1.03*BK705,IF(AND(BK705&lt;0,$E705="Enerji Açığı"),MAX($F705,$G705,150)*BK705*1.06,IF(AND(BK705&lt;0,$E705="Enerji Fazlası"),MAX($F705,$G705,150)*BK705*1.03,IF(AND(BK705&lt;0,$E705="Dengede"),MAX($F705:$G705,150)*1.03*BK705,MIN($F705:$G705)*0.97*BK705)))))))))</f>
        <v/>
      </c>
      <c r="BM705" s="34">
        <f>BE705-BI705-BN705</f>
        <v/>
      </c>
      <c r="BN705" s="34">
        <f>BB705</f>
        <v/>
      </c>
      <c r="BO705" s="34">
        <f>BE705-BI705</f>
        <v/>
      </c>
      <c r="BP705" s="34">
        <f>IF(AY705=0,0,BO705/AY705)</f>
        <v/>
      </c>
      <c r="BQ705" s="34">
        <f>MAX((AY705+MAX((-J705+L705-N705+Q705),0)),(MAX((J705-L705+N705-Q705),0)))</f>
        <v/>
      </c>
      <c r="BR705" s="82">
        <f>IFERROR(ABS(BK705/BQ705),0)</f>
        <v/>
      </c>
      <c r="BS705" s="34">
        <f>IF(BR705&lt;=0.1,0,BK705/BR705*(BR705-0.1))</f>
        <v/>
      </c>
      <c r="BT705" s="34">
        <f>IF((BS705)&lt;0,MAX(F705:G705)*(BS705)*1.03,MIN(F705:G705)*(BS705)*0.97)</f>
        <v/>
      </c>
      <c r="BU705" s="34">
        <f>IF(BR705&gt;0.1,1,0)</f>
        <v/>
      </c>
      <c r="BV705" s="34">
        <f>BF705+BG705+BH705+BY705-CA705</f>
        <v/>
      </c>
      <c r="BW705" s="34">
        <f>ABS(BX705)</f>
        <v/>
      </c>
      <c r="BX705" s="34">
        <f>AY705-(J705-L705+N705-Q705+T705-X705)</f>
        <v/>
      </c>
      <c r="BY705" s="34">
        <f>IF(AND(BX705&gt;0,MIN($F705:$G705)&lt;150,$E705="Enerji Açığı"),-100*BX705*1.03,IF(AND(BX705&gt;0,MIN($F705:$G705)&lt;150,$E705="Enerji Fazlası"),-100*BX705*1.06,IF(AND(BX705&gt;0,MIN($F705:$G705)&gt;=150,$E705="Enerji Açığı"),BX705*MIN($F705:$G705)*0.97,IF(AND(BX705&gt;0,MIN($F705:$G705)&gt;=150,$E705="Enerji Fazlası"),BX705*MIN($F705:$G705)*0.94,IF(AND(BX705&lt;0,MAX($F705:$G705)=4500,$E705="Enerji Açığı"),4500*1.05*1.06*BX705,IF(AND(BX705&lt;0,MAX($F705:$G705)=4500,$E705="Enerji Fazlası"),4500*1.05*1.03*BX705,IF(AND(BX705&lt;0,$E705="Enerji Açığı"),MAX($F705,$G705,150)*BX705*1.06,IF(AND(BX705&lt;0,$E705="Enerji Fazlası"),MAX($F705,$G705,150)*BX705*1.03,IF(AND(BX705&lt;0,$E705="Dengede"),MAX($F705:$G705,150)*1.03*BX705,MIN($F705:$G705)*0.97*BX705)))))))))</f>
        <v/>
      </c>
      <c r="BZ705" s="34">
        <f>BE705-BV705-CA705</f>
        <v/>
      </c>
      <c r="CA705" s="34">
        <f>BD705</f>
        <v/>
      </c>
      <c r="CB705" s="33">
        <f>BE705-BV705</f>
        <v/>
      </c>
      <c r="CC705" s="34">
        <f>IF(AY705=0,0,CB705/AY705)</f>
        <v/>
      </c>
      <c r="CD705" s="34">
        <f>MAX((AY705+MAX((-J705+L705-N705+Q705-T705+X705),0)),(MAX((J705-L705+N705-Q705+T705-X705),0)))</f>
        <v/>
      </c>
      <c r="CE705" s="82">
        <f>IFERROR(ABS(BX705/CD705),0)</f>
        <v/>
      </c>
      <c r="CF705" s="34">
        <f>IF(CE705&lt;=0.1,0,BX705/CE705*(CE705-0.1))</f>
        <v/>
      </c>
      <c r="CG705" s="34">
        <f>IF((CF705)&lt;0,MAX(F705:G705)*(CF705)*1.03,MIN(F705:G705)*(CF705)*0.97)</f>
        <v/>
      </c>
      <c r="CH705" s="34">
        <f>IF(CE705&gt;0.1,1,0)</f>
        <v/>
      </c>
      <c r="CI705" s="34">
        <f>(F705*BX705)-BY705</f>
        <v/>
      </c>
      <c r="CJ705" s="34">
        <f>IF(AY705=0,0,CI705/AY705)</f>
        <v/>
      </c>
    </row>
    <row r="706">
      <c r="A706" s="29">
        <f>[1]FİYATLAR!A681</f>
        <v/>
      </c>
      <c r="B706" s="29">
        <f>[1]FİYATLAR!B705</f>
        <v/>
      </c>
      <c r="C706" s="35">
        <f>INT(A706)</f>
        <v/>
      </c>
      <c r="D706" s="36">
        <f>MONTH(A706)</f>
        <v/>
      </c>
      <c r="E706" s="147">
        <f>[1]FİYATLAR!G681</f>
        <v/>
      </c>
      <c r="F706" s="30">
        <f>[1]FİYATLAR!C681</f>
        <v/>
      </c>
      <c r="G706" s="30">
        <f>[1]FİYATLAR!E681</f>
        <v/>
      </c>
      <c r="H706" s="30">
        <f>[1]FİYATLAR!D681</f>
        <v/>
      </c>
      <c r="I706" s="30">
        <f>[1]FİYATLAR!F681</f>
        <v/>
      </c>
      <c r="J706" s="119" t="n">
        <v>0</v>
      </c>
      <c r="K706" s="34">
        <f>F706*J706</f>
        <v/>
      </c>
      <c r="L706" s="119" t="n"/>
      <c r="M706" s="34">
        <f>L706*F706</f>
        <v/>
      </c>
      <c r="N706" s="119" t="n"/>
      <c r="O706" s="34">
        <f>F706</f>
        <v/>
      </c>
      <c r="P706" s="34">
        <f>N706*O706</f>
        <v/>
      </c>
      <c r="Q706" s="117" t="n">
        <v>0</v>
      </c>
      <c r="R706" s="34">
        <f>F706</f>
        <v/>
      </c>
      <c r="S706" s="34">
        <f>R706*Q706</f>
        <v/>
      </c>
      <c r="T706" s="34">
        <f>SUMIFS('[1]GİP VERİLERİ'!$C:$C,'[1]GİP VERİLERİ'!$B:$B,A706,'[1]GİP VERİLERİ'!$M:$M,"40X000000104782K",'[1]GİP VERİLERİ'!$G:$G,"SELL")</f>
        <v/>
      </c>
      <c r="U706" s="34">
        <f>IFERROR(W706/T706,0)</f>
        <v/>
      </c>
      <c r="V706" s="34">
        <f>IF(U706=0,0,U706-F706)</f>
        <v/>
      </c>
      <c r="W706" s="34">
        <f>SUMIFS('[1]GİP VERİLERİ'!$O:$O,'[1]GİP VERİLERİ'!$B:$B,A706,'[1]GİP VERİLERİ'!$M:$M,"40X000000104782K",'[1]GİP VERİLERİ'!$G:$G,"SELL")</f>
        <v/>
      </c>
      <c r="X706" s="34">
        <f>SUMIFS('[1]GİP VERİLERİ'!$C:$C,'[1]GİP VERİLERİ'!$B:$B,A706,'[1]GİP VERİLERİ'!$M:$M,"40X000000104782K",'[1]GİP VERİLERİ'!$G:$G,"BUY")</f>
        <v/>
      </c>
      <c r="Y706" s="34">
        <f>IFERROR(AA706/X706,0)</f>
        <v/>
      </c>
      <c r="Z706" s="34">
        <f>IF(Y706=0,0,F706-Y706)</f>
        <v/>
      </c>
      <c r="AA706" s="34">
        <f>SUMIFS('[1]GİP VERİLERİ'!$O:$O,'[1]GİP VERİLERİ'!$B:$B,A706,'[1]GİP VERİLERİ'!$M:$M,"40X000000104782K",'[1]GİP VERİLERİ'!$G:$G,"BUY")</f>
        <v/>
      </c>
      <c r="AB706" s="34">
        <f>'[1]GÖP VERİLERİ'!H707</f>
        <v/>
      </c>
      <c r="AC706" s="34">
        <f>'[1]GÖP VERİLERİ'!I707</f>
        <v/>
      </c>
      <c r="AD706" s="34">
        <f>IF(AB706&gt;AC706*1.05,AB706-AC706*1.05,IF(AB706&lt;AC706*0.95,AC706*0.95-AB706,0))</f>
        <v/>
      </c>
      <c r="AE706" s="34">
        <f>MAX(F706,G706,750)*0.05*AD706</f>
        <v/>
      </c>
      <c r="AF706" s="34">
        <f>'[1]GÖP VERİLERİ'!J707</f>
        <v/>
      </c>
      <c r="AG706" s="34">
        <f>IF(AB706&gt;AF706*1.05,AB706-AF706*1.05,IF(AB706&lt;AF706*0.95,AF706*0.95-AB706,0))</f>
        <v/>
      </c>
      <c r="AH706" s="34">
        <f>MAX(I706,J706,750)*0.05*AG706</f>
        <v/>
      </c>
      <c r="AI706">
        <f>'[1]GÖP VERİLERİ'!E707</f>
        <v/>
      </c>
      <c r="AJ706">
        <f>'[1]GÖP VERİLERİ'!F707</f>
        <v/>
      </c>
      <c r="AK706" s="34">
        <f>IF(AI706&gt;AJ706*1.05,AI706-AJ706*1.05,IF(AI706&lt;AJ706*0.95,AJ706*0.95-AI706,0))</f>
        <v/>
      </c>
      <c r="AL706" s="34">
        <f>MAX(F706,G706,750)*0.05*AK706</f>
        <v/>
      </c>
      <c r="AM706" s="39">
        <f>'[1]GÖP VERİLERİ'!G707</f>
        <v/>
      </c>
      <c r="AN706" s="34">
        <f>IF(AI706&gt;AM706*1.05,AI706-AM706*1.05,IF(AI706&lt;AM706*0.95,AM706*0.95-AI706,0))</f>
        <v/>
      </c>
      <c r="AO706" s="34">
        <f>MAX(F706,G706,750)*0.05*AN706</f>
        <v/>
      </c>
      <c r="AP706" s="34">
        <f>'[1]GÖP VERİLERİ'!B707</f>
        <v/>
      </c>
      <c r="AQ706" s="34">
        <f>'[1]GÖP VERİLERİ'!C707</f>
        <v/>
      </c>
      <c r="AR706" s="34">
        <f>IF(AP706&gt;AQ706*1.05,AP706-AQ706*1.05,IF(AP706&lt;AQ706*0.95,AQ706*0.95-AP706,0))</f>
        <v/>
      </c>
      <c r="AS706" s="34">
        <f>MAX(F706:G706,750)*0.05*AR706</f>
        <v/>
      </c>
      <c r="AT706">
        <f>'[1]GÖP VERİLERİ'!D707</f>
        <v/>
      </c>
      <c r="AU706" s="34">
        <f>IF(AP706&gt;AT706*1.05,AP706-AT706*1.05,IF(AP706&lt;AT706*0.95,AT706*0.95-AP706,0))</f>
        <v/>
      </c>
      <c r="AV706" s="34">
        <f>MAX(F706:G706,750)*0.05*AU706</f>
        <v/>
      </c>
      <c r="AW706" s="34">
        <f>AC706+AJ706+AQ706</f>
        <v/>
      </c>
      <c r="AX706" s="34">
        <f>AF706+AM706+AT706</f>
        <v/>
      </c>
      <c r="AY706" s="34">
        <f>AB706+AI706+AP706</f>
        <v/>
      </c>
      <c r="AZ706" s="34" t="n">
        <v>0</v>
      </c>
      <c r="BA706" s="34">
        <f>AD706+AK706+AR706</f>
        <v/>
      </c>
      <c r="BB706" s="34">
        <f>MAX(F706:G706,750)*0.05*BA706</f>
        <v/>
      </c>
      <c r="BC706" s="34">
        <f>AG706+AN706+AU706</f>
        <v/>
      </c>
      <c r="BD706" s="34">
        <f>MAX(F706:G706,750)*0.05*BC706</f>
        <v/>
      </c>
      <c r="BE706" s="34">
        <f>F706*AY706</f>
        <v/>
      </c>
      <c r="BF706" s="34">
        <f>K706-M706</f>
        <v/>
      </c>
      <c r="BG706" s="34">
        <f>P706-S706</f>
        <v/>
      </c>
      <c r="BH706" s="34">
        <f>W706-AA706</f>
        <v/>
      </c>
      <c r="BI706" s="34">
        <f>BF706+BG706+BL706-BN706</f>
        <v/>
      </c>
      <c r="BJ706" s="34">
        <f>ABS(BK706)</f>
        <v/>
      </c>
      <c r="BK706" s="34">
        <f>AY706-(J706-L706+N706-Q706)</f>
        <v/>
      </c>
      <c r="BL706" s="34">
        <f>IF(AND(BK706&gt;0,MIN($F706:$G706)&lt;150,$E706="Enerji Açığı"),-100*BK706*1.03,IF(AND(BK706&gt;0,MIN($F706:$G706)&lt;150,$E706="Enerji Fazlası"),-100*BK706*1.06,IF(AND(BK706&gt;0,MIN($F706:$G706)&gt;=150,$E706="Enerji Açığı"),BK706*MIN($F706:$G706)*0.97,IF(AND(BK706&gt;0,MIN($F706:$G706)&gt;=150,$E706="Enerji Fazlası"),BK706*MIN($F706:$G706)*0.94,IF(AND(BK706&lt;0,MAX($F706:$G706)=4500,$E706="Enerji Açığı"),4500*1.05*1.06*BK706,IF(AND(BK706&lt;0,MAX($F706:$G706)=4500,$E706="Enerji Fazlası"),4500*1.05*1.03*BK706,IF(AND(BK706&lt;0,$E706="Enerji Açığı"),MAX($F706,$G706,150)*BK706*1.06,IF(AND(BK706&lt;0,$E706="Enerji Fazlası"),MAX($F706,$G706,150)*BK706*1.03,IF(AND(BK706&lt;0,$E706="Dengede"),MAX($F706:$G706,150)*1.03*BK706,MIN($F706:$G706)*0.97*BK706)))))))))</f>
        <v/>
      </c>
      <c r="BM706" s="34">
        <f>BE706-BI706-BN706</f>
        <v/>
      </c>
      <c r="BN706" s="34">
        <f>BB706</f>
        <v/>
      </c>
      <c r="BO706" s="34">
        <f>BE706-BI706</f>
        <v/>
      </c>
      <c r="BP706" s="34">
        <f>IF(AY706=0,0,BO706/AY706)</f>
        <v/>
      </c>
      <c r="BQ706" s="34">
        <f>MAX((AY706+MAX((-J706+L706-N706+Q706),0)),(MAX((J706-L706+N706-Q706),0)))</f>
        <v/>
      </c>
      <c r="BR706" s="82">
        <f>IFERROR(ABS(BK706/BQ706),0)</f>
        <v/>
      </c>
      <c r="BS706" s="34">
        <f>IF(BR706&lt;=0.1,0,BK706/BR706*(BR706-0.1))</f>
        <v/>
      </c>
      <c r="BT706" s="34">
        <f>IF((BS706)&lt;0,MAX(F706:G706)*(BS706)*1.03,MIN(F706:G706)*(BS706)*0.97)</f>
        <v/>
      </c>
      <c r="BU706" s="34">
        <f>IF(BR706&gt;0.1,1,0)</f>
        <v/>
      </c>
      <c r="BV706" s="34">
        <f>BF706+BG706+BH706+BY706-CA706</f>
        <v/>
      </c>
      <c r="BW706" s="34">
        <f>ABS(BX706)</f>
        <v/>
      </c>
      <c r="BX706" s="34">
        <f>AY706-(J706-L706+N706-Q706+T706-X706)</f>
        <v/>
      </c>
      <c r="BY706" s="34">
        <f>IF(AND(BX706&gt;0,MIN($F706:$G706)&lt;150,$E706="Enerji Açığı"),-100*BX706*1.03,IF(AND(BX706&gt;0,MIN($F706:$G706)&lt;150,$E706="Enerji Fazlası"),-100*BX706*1.06,IF(AND(BX706&gt;0,MIN($F706:$G706)&gt;=150,$E706="Enerji Açığı"),BX706*MIN($F706:$G706)*0.97,IF(AND(BX706&gt;0,MIN($F706:$G706)&gt;=150,$E706="Enerji Fazlası"),BX706*MIN($F706:$G706)*0.94,IF(AND(BX706&lt;0,MAX($F706:$G706)=4500,$E706="Enerji Açığı"),4500*1.05*1.06*BX706,IF(AND(BX706&lt;0,MAX($F706:$G706)=4500,$E706="Enerji Fazlası"),4500*1.05*1.03*BX706,IF(AND(BX706&lt;0,$E706="Enerji Açığı"),MAX($F706,$G706,150)*BX706*1.06,IF(AND(BX706&lt;0,$E706="Enerji Fazlası"),MAX($F706,$G706,150)*BX706*1.03,IF(AND(BX706&lt;0,$E706="Dengede"),MAX($F706:$G706,150)*1.03*BX706,MIN($F706:$G706)*0.97*BX706)))))))))</f>
        <v/>
      </c>
      <c r="BZ706" s="34">
        <f>BE706-BV706-CA706</f>
        <v/>
      </c>
      <c r="CA706" s="34">
        <f>BD706</f>
        <v/>
      </c>
      <c r="CB706" s="33">
        <f>BE706-BV706</f>
        <v/>
      </c>
      <c r="CC706" s="34">
        <f>IF(AY706=0,0,CB706/AY706)</f>
        <v/>
      </c>
      <c r="CD706" s="34">
        <f>MAX((AY706+MAX((-J706+L706-N706+Q706-T706+X706),0)),(MAX((J706-L706+N706-Q706+T706-X706),0)))</f>
        <v/>
      </c>
      <c r="CE706" s="82">
        <f>IFERROR(ABS(BX706/CD706),0)</f>
        <v/>
      </c>
      <c r="CF706" s="34">
        <f>IF(CE706&lt;=0.1,0,BX706/CE706*(CE706-0.1))</f>
        <v/>
      </c>
      <c r="CG706" s="34">
        <f>IF((CF706)&lt;0,MAX(F706:G706)*(CF706)*1.03,MIN(F706:G706)*(CF706)*0.97)</f>
        <v/>
      </c>
      <c r="CH706" s="34">
        <f>IF(CE706&gt;0.1,1,0)</f>
        <v/>
      </c>
      <c r="CI706" s="34">
        <f>(F706*BX706)-BY706</f>
        <v/>
      </c>
      <c r="CJ706" s="34">
        <f>IF(AY706=0,0,CI706/AY706)</f>
        <v/>
      </c>
    </row>
    <row r="707">
      <c r="A707" s="29">
        <f>[1]FİYATLAR!A682</f>
        <v/>
      </c>
      <c r="B707" s="29">
        <f>[1]FİYATLAR!B706</f>
        <v/>
      </c>
      <c r="C707" s="35">
        <f>INT(A707)</f>
        <v/>
      </c>
      <c r="D707" s="36">
        <f>MONTH(A707)</f>
        <v/>
      </c>
      <c r="E707" s="147">
        <f>[1]FİYATLAR!G682</f>
        <v/>
      </c>
      <c r="F707" s="30">
        <f>[1]FİYATLAR!C682</f>
        <v/>
      </c>
      <c r="G707" s="30">
        <f>[1]FİYATLAR!E682</f>
        <v/>
      </c>
      <c r="H707" s="30">
        <f>[1]FİYATLAR!D682</f>
        <v/>
      </c>
      <c r="I707" s="30">
        <f>[1]FİYATLAR!F682</f>
        <v/>
      </c>
      <c r="J707" s="119" t="n">
        <v>0</v>
      </c>
      <c r="K707" s="34">
        <f>F707*J707</f>
        <v/>
      </c>
      <c r="L707" s="119" t="n"/>
      <c r="M707" s="34">
        <f>L707*F707</f>
        <v/>
      </c>
      <c r="N707" s="119" t="n"/>
      <c r="O707" s="34">
        <f>F707</f>
        <v/>
      </c>
      <c r="P707" s="34">
        <f>N707*O707</f>
        <v/>
      </c>
      <c r="Q707" s="117" t="n">
        <v>0</v>
      </c>
      <c r="R707" s="34">
        <f>F707</f>
        <v/>
      </c>
      <c r="S707" s="34">
        <f>R707*Q707</f>
        <v/>
      </c>
      <c r="T707" s="34">
        <f>SUMIFS('[1]GİP VERİLERİ'!$C:$C,'[1]GİP VERİLERİ'!$B:$B,A707,'[1]GİP VERİLERİ'!$M:$M,"40X000000104782K",'[1]GİP VERİLERİ'!$G:$G,"SELL")</f>
        <v/>
      </c>
      <c r="U707" s="34">
        <f>IFERROR(W707/T707,0)</f>
        <v/>
      </c>
      <c r="V707" s="34">
        <f>IF(U707=0,0,U707-F707)</f>
        <v/>
      </c>
      <c r="W707" s="34">
        <f>SUMIFS('[1]GİP VERİLERİ'!$O:$O,'[1]GİP VERİLERİ'!$B:$B,A707,'[1]GİP VERİLERİ'!$M:$M,"40X000000104782K",'[1]GİP VERİLERİ'!$G:$G,"SELL")</f>
        <v/>
      </c>
      <c r="X707" s="34">
        <f>SUMIFS('[1]GİP VERİLERİ'!$C:$C,'[1]GİP VERİLERİ'!$B:$B,A707,'[1]GİP VERİLERİ'!$M:$M,"40X000000104782K",'[1]GİP VERİLERİ'!$G:$G,"BUY")</f>
        <v/>
      </c>
      <c r="Y707" s="34">
        <f>IFERROR(AA707/X707,0)</f>
        <v/>
      </c>
      <c r="Z707" s="34">
        <f>IF(Y707=0,0,F707-Y707)</f>
        <v/>
      </c>
      <c r="AA707" s="34">
        <f>SUMIFS('[1]GİP VERİLERİ'!$O:$O,'[1]GİP VERİLERİ'!$B:$B,A707,'[1]GİP VERİLERİ'!$M:$M,"40X000000104782K",'[1]GİP VERİLERİ'!$G:$G,"BUY")</f>
        <v/>
      </c>
      <c r="AB707" s="34">
        <f>'[1]GÖP VERİLERİ'!H708</f>
        <v/>
      </c>
      <c r="AC707" s="34">
        <f>'[1]GÖP VERİLERİ'!I708</f>
        <v/>
      </c>
      <c r="AD707" s="34">
        <f>IF(AB707&gt;AC707*1.05,AB707-AC707*1.05,IF(AB707&lt;AC707*0.95,AC707*0.95-AB707,0))</f>
        <v/>
      </c>
      <c r="AE707" s="34">
        <f>MAX(F707,G707,750)*0.05*AD707</f>
        <v/>
      </c>
      <c r="AF707" s="34">
        <f>'[1]GÖP VERİLERİ'!J708</f>
        <v/>
      </c>
      <c r="AG707" s="34">
        <f>IF(AB707&gt;AF707*1.05,AB707-AF707*1.05,IF(AB707&lt;AF707*0.95,AF707*0.95-AB707,0))</f>
        <v/>
      </c>
      <c r="AH707" s="34">
        <f>MAX(I707,J707,750)*0.05*AG707</f>
        <v/>
      </c>
      <c r="AI707">
        <f>'[1]GÖP VERİLERİ'!E708</f>
        <v/>
      </c>
      <c r="AJ707">
        <f>'[1]GÖP VERİLERİ'!F708</f>
        <v/>
      </c>
      <c r="AK707" s="34">
        <f>IF(AI707&gt;AJ707*1.05,AI707-AJ707*1.05,IF(AI707&lt;AJ707*0.95,AJ707*0.95-AI707,0))</f>
        <v/>
      </c>
      <c r="AL707" s="34">
        <f>MAX(F707,G707,750)*0.05*AK707</f>
        <v/>
      </c>
      <c r="AM707" s="39">
        <f>'[1]GÖP VERİLERİ'!G708</f>
        <v/>
      </c>
      <c r="AN707" s="34">
        <f>IF(AI707&gt;AM707*1.05,AI707-AM707*1.05,IF(AI707&lt;AM707*0.95,AM707*0.95-AI707,0))</f>
        <v/>
      </c>
      <c r="AO707" s="34">
        <f>MAX(F707,G707,750)*0.05*AN707</f>
        <v/>
      </c>
      <c r="AP707" s="34">
        <f>'[1]GÖP VERİLERİ'!B708</f>
        <v/>
      </c>
      <c r="AQ707" s="34">
        <f>'[1]GÖP VERİLERİ'!C708</f>
        <v/>
      </c>
      <c r="AR707" s="34">
        <f>IF(AP707&gt;AQ707*1.05,AP707-AQ707*1.05,IF(AP707&lt;AQ707*0.95,AQ707*0.95-AP707,0))</f>
        <v/>
      </c>
      <c r="AS707" s="34">
        <f>MAX(F707:G707,750)*0.05*AR707</f>
        <v/>
      </c>
      <c r="AT707">
        <f>'[1]GÖP VERİLERİ'!D708</f>
        <v/>
      </c>
      <c r="AU707" s="34">
        <f>IF(AP707&gt;AT707*1.05,AP707-AT707*1.05,IF(AP707&lt;AT707*0.95,AT707*0.95-AP707,0))</f>
        <v/>
      </c>
      <c r="AV707" s="34">
        <f>MAX(F707:G707,750)*0.05*AU707</f>
        <v/>
      </c>
      <c r="AW707" s="34">
        <f>AC707+AJ707+AQ707</f>
        <v/>
      </c>
      <c r="AX707" s="34">
        <f>AF707+AM707+AT707</f>
        <v/>
      </c>
      <c r="AY707" s="34">
        <f>AB707+AI707+AP707</f>
        <v/>
      </c>
      <c r="AZ707" s="34" t="n">
        <v>0</v>
      </c>
      <c r="BA707" s="34">
        <f>AD707+AK707+AR707</f>
        <v/>
      </c>
      <c r="BB707" s="34">
        <f>MAX(F707:G707,750)*0.05*BA707</f>
        <v/>
      </c>
      <c r="BC707" s="34">
        <f>AG707+AN707+AU707</f>
        <v/>
      </c>
      <c r="BD707" s="34">
        <f>MAX(F707:G707,750)*0.05*BC707</f>
        <v/>
      </c>
      <c r="BE707" s="34">
        <f>F707*AY707</f>
        <v/>
      </c>
      <c r="BF707" s="34">
        <f>K707-M707</f>
        <v/>
      </c>
      <c r="BG707" s="34">
        <f>P707-S707</f>
        <v/>
      </c>
      <c r="BH707" s="34">
        <f>W707-AA707</f>
        <v/>
      </c>
      <c r="BI707" s="34">
        <f>BF707+BG707+BL707-BN707</f>
        <v/>
      </c>
      <c r="BJ707" s="34">
        <f>ABS(BK707)</f>
        <v/>
      </c>
      <c r="BK707" s="34">
        <f>AY707-(J707-L707+N707-Q707)</f>
        <v/>
      </c>
      <c r="BL707" s="34">
        <f>IF(AND(BK707&gt;0,MIN($F707:$G707)&lt;150,$E707="Enerji Açığı"),-100*BK707*1.03,IF(AND(BK707&gt;0,MIN($F707:$G707)&lt;150,$E707="Enerji Fazlası"),-100*BK707*1.06,IF(AND(BK707&gt;0,MIN($F707:$G707)&gt;=150,$E707="Enerji Açığı"),BK707*MIN($F707:$G707)*0.97,IF(AND(BK707&gt;0,MIN($F707:$G707)&gt;=150,$E707="Enerji Fazlası"),BK707*MIN($F707:$G707)*0.94,IF(AND(BK707&lt;0,MAX($F707:$G707)=4500,$E707="Enerji Açığı"),4500*1.05*1.06*BK707,IF(AND(BK707&lt;0,MAX($F707:$G707)=4500,$E707="Enerji Fazlası"),4500*1.05*1.03*BK707,IF(AND(BK707&lt;0,$E707="Enerji Açığı"),MAX($F707,$G707,150)*BK707*1.06,IF(AND(BK707&lt;0,$E707="Enerji Fazlası"),MAX($F707,$G707,150)*BK707*1.03,IF(AND(BK707&lt;0,$E707="Dengede"),MAX($F707:$G707,150)*1.03*BK707,MIN($F707:$G707)*0.97*BK707)))))))))</f>
        <v/>
      </c>
      <c r="BM707" s="34">
        <f>BE707-BI707-BN707</f>
        <v/>
      </c>
      <c r="BN707" s="34">
        <f>BB707</f>
        <v/>
      </c>
      <c r="BO707" s="34">
        <f>BE707-BI707</f>
        <v/>
      </c>
      <c r="BP707" s="34">
        <f>IF(AY707=0,0,BO707/AY707)</f>
        <v/>
      </c>
      <c r="BQ707" s="34">
        <f>MAX((AY707+MAX((-J707+L707-N707+Q707),0)),(MAX((J707-L707+N707-Q707),0)))</f>
        <v/>
      </c>
      <c r="BR707" s="82">
        <f>IFERROR(ABS(BK707/BQ707),0)</f>
        <v/>
      </c>
      <c r="BS707" s="34">
        <f>IF(BR707&lt;=0.1,0,BK707/BR707*(BR707-0.1))</f>
        <v/>
      </c>
      <c r="BT707" s="34">
        <f>IF((BS707)&lt;0,MAX(F707:G707)*(BS707)*1.03,MIN(F707:G707)*(BS707)*0.97)</f>
        <v/>
      </c>
      <c r="BU707" s="34">
        <f>IF(BR707&gt;0.1,1,0)</f>
        <v/>
      </c>
      <c r="BV707" s="34">
        <f>BF707+BG707+BH707+BY707-CA707</f>
        <v/>
      </c>
      <c r="BW707" s="34">
        <f>ABS(BX707)</f>
        <v/>
      </c>
      <c r="BX707" s="34">
        <f>AY707-(J707-L707+N707-Q707+T707-X707)</f>
        <v/>
      </c>
      <c r="BY707" s="34">
        <f>IF(AND(BX707&gt;0,MIN($F707:$G707)&lt;150,$E707="Enerji Açığı"),-100*BX707*1.03,IF(AND(BX707&gt;0,MIN($F707:$G707)&lt;150,$E707="Enerji Fazlası"),-100*BX707*1.06,IF(AND(BX707&gt;0,MIN($F707:$G707)&gt;=150,$E707="Enerji Açığı"),BX707*MIN($F707:$G707)*0.97,IF(AND(BX707&gt;0,MIN($F707:$G707)&gt;=150,$E707="Enerji Fazlası"),BX707*MIN($F707:$G707)*0.94,IF(AND(BX707&lt;0,MAX($F707:$G707)=4500,$E707="Enerji Açığı"),4500*1.05*1.06*BX707,IF(AND(BX707&lt;0,MAX($F707:$G707)=4500,$E707="Enerji Fazlası"),4500*1.05*1.03*BX707,IF(AND(BX707&lt;0,$E707="Enerji Açığı"),MAX($F707,$G707,150)*BX707*1.06,IF(AND(BX707&lt;0,$E707="Enerji Fazlası"),MAX($F707,$G707,150)*BX707*1.03,IF(AND(BX707&lt;0,$E707="Dengede"),MAX($F707:$G707,150)*1.03*BX707,MIN($F707:$G707)*0.97*BX707)))))))))</f>
        <v/>
      </c>
      <c r="BZ707" s="34">
        <f>BE707-BV707-CA707</f>
        <v/>
      </c>
      <c r="CA707" s="34">
        <f>BD707</f>
        <v/>
      </c>
      <c r="CB707" s="33">
        <f>BE707-BV707</f>
        <v/>
      </c>
      <c r="CC707" s="34">
        <f>IF(AY707=0,0,CB707/AY707)</f>
        <v/>
      </c>
      <c r="CD707" s="34">
        <f>MAX((AY707+MAX((-J707+L707-N707+Q707-T707+X707),0)),(MAX((J707-L707+N707-Q707+T707-X707),0)))</f>
        <v/>
      </c>
      <c r="CE707" s="82">
        <f>IFERROR(ABS(BX707/CD707),0)</f>
        <v/>
      </c>
      <c r="CF707" s="34">
        <f>IF(CE707&lt;=0.1,0,BX707/CE707*(CE707-0.1))</f>
        <v/>
      </c>
      <c r="CG707" s="34">
        <f>IF((CF707)&lt;0,MAX(F707:G707)*(CF707)*1.03,MIN(F707:G707)*(CF707)*0.97)</f>
        <v/>
      </c>
      <c r="CH707" s="34">
        <f>IF(CE707&gt;0.1,1,0)</f>
        <v/>
      </c>
      <c r="CI707" s="34">
        <f>(F707*BX707)-BY707</f>
        <v/>
      </c>
      <c r="CJ707" s="34">
        <f>IF(AY707=0,0,CI707/AY707)</f>
        <v/>
      </c>
    </row>
    <row r="708">
      <c r="A708" s="29">
        <f>[1]FİYATLAR!A683</f>
        <v/>
      </c>
      <c r="B708" s="29">
        <f>[1]FİYATLAR!B707</f>
        <v/>
      </c>
      <c r="C708" s="35">
        <f>INT(A708)</f>
        <v/>
      </c>
      <c r="D708" s="36">
        <f>MONTH(A708)</f>
        <v/>
      </c>
      <c r="E708" s="147">
        <f>[1]FİYATLAR!G683</f>
        <v/>
      </c>
      <c r="F708" s="30">
        <f>[1]FİYATLAR!C683</f>
        <v/>
      </c>
      <c r="G708" s="30">
        <f>[1]FİYATLAR!E683</f>
        <v/>
      </c>
      <c r="H708" s="30">
        <f>[1]FİYATLAR!D683</f>
        <v/>
      </c>
      <c r="I708" s="30">
        <f>[1]FİYATLAR!F683</f>
        <v/>
      </c>
      <c r="J708" s="119" t="n">
        <v>0</v>
      </c>
      <c r="K708" s="34">
        <f>F708*J708</f>
        <v/>
      </c>
      <c r="L708" s="119" t="n"/>
      <c r="M708" s="34">
        <f>L708*F708</f>
        <v/>
      </c>
      <c r="N708" s="119" t="n"/>
      <c r="O708" s="34">
        <f>F708</f>
        <v/>
      </c>
      <c r="P708" s="34">
        <f>N708*O708</f>
        <v/>
      </c>
      <c r="Q708" s="117" t="n">
        <v>0</v>
      </c>
      <c r="R708" s="34">
        <f>F708</f>
        <v/>
      </c>
      <c r="S708" s="34">
        <f>R708*Q708</f>
        <v/>
      </c>
      <c r="T708" s="34">
        <f>SUMIFS('[1]GİP VERİLERİ'!$C:$C,'[1]GİP VERİLERİ'!$B:$B,A708,'[1]GİP VERİLERİ'!$M:$M,"40X000000104782K",'[1]GİP VERİLERİ'!$G:$G,"SELL")</f>
        <v/>
      </c>
      <c r="U708" s="34">
        <f>IFERROR(W708/T708,0)</f>
        <v/>
      </c>
      <c r="V708" s="34">
        <f>IF(U708=0,0,U708-F708)</f>
        <v/>
      </c>
      <c r="W708" s="34">
        <f>SUMIFS('[1]GİP VERİLERİ'!$O:$O,'[1]GİP VERİLERİ'!$B:$B,A708,'[1]GİP VERİLERİ'!$M:$M,"40X000000104782K",'[1]GİP VERİLERİ'!$G:$G,"SELL")</f>
        <v/>
      </c>
      <c r="X708" s="34">
        <f>SUMIFS('[1]GİP VERİLERİ'!$C:$C,'[1]GİP VERİLERİ'!$B:$B,A708,'[1]GİP VERİLERİ'!$M:$M,"40X000000104782K",'[1]GİP VERİLERİ'!$G:$G,"BUY")</f>
        <v/>
      </c>
      <c r="Y708" s="34">
        <f>IFERROR(AA708/X708,0)</f>
        <v/>
      </c>
      <c r="Z708" s="34">
        <f>IF(Y708=0,0,F708-Y708)</f>
        <v/>
      </c>
      <c r="AA708" s="34">
        <f>SUMIFS('[1]GİP VERİLERİ'!$O:$O,'[1]GİP VERİLERİ'!$B:$B,A708,'[1]GİP VERİLERİ'!$M:$M,"40X000000104782K",'[1]GİP VERİLERİ'!$G:$G,"BUY")</f>
        <v/>
      </c>
      <c r="AB708" s="34">
        <f>'[1]GÖP VERİLERİ'!H709</f>
        <v/>
      </c>
      <c r="AC708" s="34">
        <f>'[1]GÖP VERİLERİ'!I709</f>
        <v/>
      </c>
      <c r="AD708" s="34">
        <f>IF(AB708&gt;AC708*1.05,AB708-AC708*1.05,IF(AB708&lt;AC708*0.95,AC708*0.95-AB708,0))</f>
        <v/>
      </c>
      <c r="AE708" s="34">
        <f>MAX(F708,G708,750)*0.05*AD708</f>
        <v/>
      </c>
      <c r="AF708" s="34">
        <f>'[1]GÖP VERİLERİ'!J709</f>
        <v/>
      </c>
      <c r="AG708" s="34">
        <f>IF(AB708&gt;AF708*1.05,AB708-AF708*1.05,IF(AB708&lt;AF708*0.95,AF708*0.95-AB708,0))</f>
        <v/>
      </c>
      <c r="AH708" s="34">
        <f>MAX(I708,J708,750)*0.05*AG708</f>
        <v/>
      </c>
      <c r="AI708">
        <f>'[1]GÖP VERİLERİ'!E709</f>
        <v/>
      </c>
      <c r="AJ708">
        <f>'[1]GÖP VERİLERİ'!F709</f>
        <v/>
      </c>
      <c r="AK708" s="34">
        <f>IF(AI708&gt;AJ708*1.05,AI708-AJ708*1.05,IF(AI708&lt;AJ708*0.95,AJ708*0.95-AI708,0))</f>
        <v/>
      </c>
      <c r="AL708" s="34">
        <f>MAX(F708,G708,750)*0.05*AK708</f>
        <v/>
      </c>
      <c r="AM708" s="39">
        <f>'[1]GÖP VERİLERİ'!G709</f>
        <v/>
      </c>
      <c r="AN708" s="34">
        <f>IF(AI708&gt;AM708*1.05,AI708-AM708*1.05,IF(AI708&lt;AM708*0.95,AM708*0.95-AI708,0))</f>
        <v/>
      </c>
      <c r="AO708" s="34">
        <f>MAX(F708,G708,750)*0.05*AN708</f>
        <v/>
      </c>
      <c r="AP708" s="34">
        <f>'[1]GÖP VERİLERİ'!B709</f>
        <v/>
      </c>
      <c r="AQ708" s="34">
        <f>'[1]GÖP VERİLERİ'!C709</f>
        <v/>
      </c>
      <c r="AR708" s="34">
        <f>IF(AP708&gt;AQ708*1.05,AP708-AQ708*1.05,IF(AP708&lt;AQ708*0.95,AQ708*0.95-AP708,0))</f>
        <v/>
      </c>
      <c r="AS708" s="34">
        <f>MAX(F708:G708,750)*0.05*AR708</f>
        <v/>
      </c>
      <c r="AT708">
        <f>'[1]GÖP VERİLERİ'!D709</f>
        <v/>
      </c>
      <c r="AU708" s="34">
        <f>IF(AP708&gt;AT708*1.05,AP708-AT708*1.05,IF(AP708&lt;AT708*0.95,AT708*0.95-AP708,0))</f>
        <v/>
      </c>
      <c r="AV708" s="34">
        <f>MAX(F708:G708,750)*0.05*AU708</f>
        <v/>
      </c>
      <c r="AW708" s="34">
        <f>AC708+AJ708+AQ708</f>
        <v/>
      </c>
      <c r="AX708" s="34">
        <f>AF708+AM708+AT708</f>
        <v/>
      </c>
      <c r="AY708" s="34">
        <f>AB708+AI708+AP708</f>
        <v/>
      </c>
      <c r="AZ708" s="34" t="n">
        <v>0</v>
      </c>
      <c r="BA708" s="34">
        <f>AD708+AK708+AR708</f>
        <v/>
      </c>
      <c r="BB708" s="34">
        <f>MAX(F708:G708,750)*0.05*BA708</f>
        <v/>
      </c>
      <c r="BC708" s="34">
        <f>AG708+AN708+AU708</f>
        <v/>
      </c>
      <c r="BD708" s="34">
        <f>MAX(F708:G708,750)*0.05*BC708</f>
        <v/>
      </c>
      <c r="BE708" s="34">
        <f>F708*AY708</f>
        <v/>
      </c>
      <c r="BF708" s="34">
        <f>K708-M708</f>
        <v/>
      </c>
      <c r="BG708" s="34">
        <f>P708-S708</f>
        <v/>
      </c>
      <c r="BH708" s="34">
        <f>W708-AA708</f>
        <v/>
      </c>
      <c r="BI708" s="34">
        <f>BF708+BG708+BL708-BN708</f>
        <v/>
      </c>
      <c r="BJ708" s="34">
        <f>ABS(BK708)</f>
        <v/>
      </c>
      <c r="BK708" s="34">
        <f>AY708-(J708-L708+N708-Q708)</f>
        <v/>
      </c>
      <c r="BL708" s="34">
        <f>IF(AND(BK708&gt;0,MIN($F708:$G708)&lt;150,$E708="Enerji Açığı"),-100*BK708*1.03,IF(AND(BK708&gt;0,MIN($F708:$G708)&lt;150,$E708="Enerji Fazlası"),-100*BK708*1.06,IF(AND(BK708&gt;0,MIN($F708:$G708)&gt;=150,$E708="Enerji Açığı"),BK708*MIN($F708:$G708)*0.97,IF(AND(BK708&gt;0,MIN($F708:$G708)&gt;=150,$E708="Enerji Fazlası"),BK708*MIN($F708:$G708)*0.94,IF(AND(BK708&lt;0,MAX($F708:$G708)=4500,$E708="Enerji Açığı"),4500*1.05*1.06*BK708,IF(AND(BK708&lt;0,MAX($F708:$G708)=4500,$E708="Enerji Fazlası"),4500*1.05*1.03*BK708,IF(AND(BK708&lt;0,$E708="Enerji Açığı"),MAX($F708,$G708,150)*BK708*1.06,IF(AND(BK708&lt;0,$E708="Enerji Fazlası"),MAX($F708,$G708,150)*BK708*1.03,IF(AND(BK708&lt;0,$E708="Dengede"),MAX($F708:$G708,150)*1.03*BK708,MIN($F708:$G708)*0.97*BK708)))))))))</f>
        <v/>
      </c>
      <c r="BM708" s="34">
        <f>BE708-BI708-BN708</f>
        <v/>
      </c>
      <c r="BN708" s="34">
        <f>BB708</f>
        <v/>
      </c>
      <c r="BO708" s="34">
        <f>BE708-BI708</f>
        <v/>
      </c>
      <c r="BP708" s="34">
        <f>IF(AY708=0,0,BO708/AY708)</f>
        <v/>
      </c>
      <c r="BQ708" s="34">
        <f>MAX((AY708+MAX((-J708+L708-N708+Q708),0)),(MAX((J708-L708+N708-Q708),0)))</f>
        <v/>
      </c>
      <c r="BR708" s="82">
        <f>IFERROR(ABS(BK708/BQ708),0)</f>
        <v/>
      </c>
      <c r="BS708" s="34">
        <f>IF(BR708&lt;=0.1,0,BK708/BR708*(BR708-0.1))</f>
        <v/>
      </c>
      <c r="BT708" s="34">
        <f>IF((BS708)&lt;0,MAX(F708:G708)*(BS708)*1.03,MIN(F708:G708)*(BS708)*0.97)</f>
        <v/>
      </c>
      <c r="BU708" s="34">
        <f>IF(BR708&gt;0.1,1,0)</f>
        <v/>
      </c>
      <c r="BV708" s="34">
        <f>BF708+BG708+BH708+BY708-CA708</f>
        <v/>
      </c>
      <c r="BW708" s="34">
        <f>ABS(BX708)</f>
        <v/>
      </c>
      <c r="BX708" s="34">
        <f>AY708-(J708-L708+N708-Q708+T708-X708)</f>
        <v/>
      </c>
      <c r="BY708" s="34">
        <f>IF(AND(BX708&gt;0,MIN($F708:$G708)&lt;150,$E708="Enerji Açığı"),-100*BX708*1.03,IF(AND(BX708&gt;0,MIN($F708:$G708)&lt;150,$E708="Enerji Fazlası"),-100*BX708*1.06,IF(AND(BX708&gt;0,MIN($F708:$G708)&gt;=150,$E708="Enerji Açığı"),BX708*MIN($F708:$G708)*0.97,IF(AND(BX708&gt;0,MIN($F708:$G708)&gt;=150,$E708="Enerji Fazlası"),BX708*MIN($F708:$G708)*0.94,IF(AND(BX708&lt;0,MAX($F708:$G708)=4500,$E708="Enerji Açığı"),4500*1.05*1.06*BX708,IF(AND(BX708&lt;0,MAX($F708:$G708)=4500,$E708="Enerji Fazlası"),4500*1.05*1.03*BX708,IF(AND(BX708&lt;0,$E708="Enerji Açığı"),MAX($F708,$G708,150)*BX708*1.06,IF(AND(BX708&lt;0,$E708="Enerji Fazlası"),MAX($F708,$G708,150)*BX708*1.03,IF(AND(BX708&lt;0,$E708="Dengede"),MAX($F708:$G708,150)*1.03*BX708,MIN($F708:$G708)*0.97*BX708)))))))))</f>
        <v/>
      </c>
      <c r="BZ708" s="34">
        <f>BE708-BV708-CA708</f>
        <v/>
      </c>
      <c r="CA708" s="34">
        <f>BD708</f>
        <v/>
      </c>
      <c r="CB708" s="33">
        <f>BE708-BV708</f>
        <v/>
      </c>
      <c r="CC708" s="34">
        <f>IF(AY708=0,0,CB708/AY708)</f>
        <v/>
      </c>
      <c r="CD708" s="34">
        <f>MAX((AY708+MAX((-J708+L708-N708+Q708-T708+X708),0)),(MAX((J708-L708+N708-Q708+T708-X708),0)))</f>
        <v/>
      </c>
      <c r="CE708" s="82">
        <f>IFERROR(ABS(BX708/CD708),0)</f>
        <v/>
      </c>
      <c r="CF708" s="34">
        <f>IF(CE708&lt;=0.1,0,BX708/CE708*(CE708-0.1))</f>
        <v/>
      </c>
      <c r="CG708" s="34">
        <f>IF((CF708)&lt;0,MAX(F708:G708)*(CF708)*1.03,MIN(F708:G708)*(CF708)*0.97)</f>
        <v/>
      </c>
      <c r="CH708" s="34">
        <f>IF(CE708&gt;0.1,1,0)</f>
        <v/>
      </c>
      <c r="CI708" s="34">
        <f>(F708*BX708)-BY708</f>
        <v/>
      </c>
      <c r="CJ708" s="34">
        <f>IF(AY708=0,0,CI708/AY708)</f>
        <v/>
      </c>
    </row>
    <row r="709">
      <c r="A709" s="29">
        <f>[1]FİYATLAR!A684</f>
        <v/>
      </c>
      <c r="B709" s="29">
        <f>[1]FİYATLAR!B708</f>
        <v/>
      </c>
      <c r="C709" s="35">
        <f>INT(A709)</f>
        <v/>
      </c>
      <c r="D709" s="36">
        <f>MONTH(A709)</f>
        <v/>
      </c>
      <c r="E709" s="147">
        <f>[1]FİYATLAR!G684</f>
        <v/>
      </c>
      <c r="F709" s="30">
        <f>[1]FİYATLAR!C684</f>
        <v/>
      </c>
      <c r="G709" s="30">
        <f>[1]FİYATLAR!E684</f>
        <v/>
      </c>
      <c r="H709" s="30">
        <f>[1]FİYATLAR!D684</f>
        <v/>
      </c>
      <c r="I709" s="30">
        <f>[1]FİYATLAR!F684</f>
        <v/>
      </c>
      <c r="J709" s="119" t="n">
        <v>0</v>
      </c>
      <c r="K709" s="34">
        <f>F709*J709</f>
        <v/>
      </c>
      <c r="L709" s="119" t="n"/>
      <c r="M709" s="34">
        <f>L709*F709</f>
        <v/>
      </c>
      <c r="N709" s="119" t="n"/>
      <c r="O709" s="34">
        <f>F709</f>
        <v/>
      </c>
      <c r="P709" s="34">
        <f>N709*O709</f>
        <v/>
      </c>
      <c r="Q709" s="117" t="n">
        <v>0</v>
      </c>
      <c r="R709" s="34">
        <f>F709</f>
        <v/>
      </c>
      <c r="S709" s="34">
        <f>R709*Q709</f>
        <v/>
      </c>
      <c r="T709" s="34">
        <f>SUMIFS('[1]GİP VERİLERİ'!$C:$C,'[1]GİP VERİLERİ'!$B:$B,A709,'[1]GİP VERİLERİ'!$M:$M,"40X000000104782K",'[1]GİP VERİLERİ'!$G:$G,"SELL")</f>
        <v/>
      </c>
      <c r="U709" s="34">
        <f>IFERROR(W709/T709,0)</f>
        <v/>
      </c>
      <c r="V709" s="34">
        <f>IF(U709=0,0,U709-F709)</f>
        <v/>
      </c>
      <c r="W709" s="34">
        <f>SUMIFS('[1]GİP VERİLERİ'!$O:$O,'[1]GİP VERİLERİ'!$B:$B,A709,'[1]GİP VERİLERİ'!$M:$M,"40X000000104782K",'[1]GİP VERİLERİ'!$G:$G,"SELL")</f>
        <v/>
      </c>
      <c r="X709" s="34">
        <f>SUMIFS('[1]GİP VERİLERİ'!$C:$C,'[1]GİP VERİLERİ'!$B:$B,A709,'[1]GİP VERİLERİ'!$M:$M,"40X000000104782K",'[1]GİP VERİLERİ'!$G:$G,"BUY")</f>
        <v/>
      </c>
      <c r="Y709" s="34">
        <f>IFERROR(AA709/X709,0)</f>
        <v/>
      </c>
      <c r="Z709" s="34">
        <f>IF(Y709=0,0,F709-Y709)</f>
        <v/>
      </c>
      <c r="AA709" s="34">
        <f>SUMIFS('[1]GİP VERİLERİ'!$O:$O,'[1]GİP VERİLERİ'!$B:$B,A709,'[1]GİP VERİLERİ'!$M:$M,"40X000000104782K",'[1]GİP VERİLERİ'!$G:$G,"BUY")</f>
        <v/>
      </c>
      <c r="AB709" s="34">
        <f>'[1]GÖP VERİLERİ'!H710</f>
        <v/>
      </c>
      <c r="AC709" s="34">
        <f>'[1]GÖP VERİLERİ'!I710</f>
        <v/>
      </c>
      <c r="AD709" s="34">
        <f>IF(AB709&gt;AC709*1.05,AB709-AC709*1.05,IF(AB709&lt;AC709*0.95,AC709*0.95-AB709,0))</f>
        <v/>
      </c>
      <c r="AE709" s="34">
        <f>MAX(F709,G709,750)*0.05*AD709</f>
        <v/>
      </c>
      <c r="AF709" s="34">
        <f>'[1]GÖP VERİLERİ'!J710</f>
        <v/>
      </c>
      <c r="AG709" s="34">
        <f>IF(AB709&gt;AF709*1.05,AB709-AF709*1.05,IF(AB709&lt;AF709*0.95,AF709*0.95-AB709,0))</f>
        <v/>
      </c>
      <c r="AH709" s="34">
        <f>MAX(I709,J709,750)*0.05*AG709</f>
        <v/>
      </c>
      <c r="AI709">
        <f>'[1]GÖP VERİLERİ'!E710</f>
        <v/>
      </c>
      <c r="AJ709">
        <f>'[1]GÖP VERİLERİ'!F710</f>
        <v/>
      </c>
      <c r="AK709" s="34">
        <f>IF(AI709&gt;AJ709*1.05,AI709-AJ709*1.05,IF(AI709&lt;AJ709*0.95,AJ709*0.95-AI709,0))</f>
        <v/>
      </c>
      <c r="AL709" s="34">
        <f>MAX(F709,G709,750)*0.05*AK709</f>
        <v/>
      </c>
      <c r="AM709" s="39">
        <f>'[1]GÖP VERİLERİ'!G710</f>
        <v/>
      </c>
      <c r="AN709" s="34">
        <f>IF(AI709&gt;AM709*1.05,AI709-AM709*1.05,IF(AI709&lt;AM709*0.95,AM709*0.95-AI709,0))</f>
        <v/>
      </c>
      <c r="AO709" s="34">
        <f>MAX(F709,G709,750)*0.05*AN709</f>
        <v/>
      </c>
      <c r="AP709" s="34">
        <f>'[1]GÖP VERİLERİ'!B710</f>
        <v/>
      </c>
      <c r="AQ709" s="34">
        <f>'[1]GÖP VERİLERİ'!C710</f>
        <v/>
      </c>
      <c r="AR709" s="34">
        <f>IF(AP709&gt;AQ709*1.05,AP709-AQ709*1.05,IF(AP709&lt;AQ709*0.95,AQ709*0.95-AP709,0))</f>
        <v/>
      </c>
      <c r="AS709" s="34">
        <f>MAX(F709:G709,750)*0.05*AR709</f>
        <v/>
      </c>
      <c r="AT709">
        <f>'[1]GÖP VERİLERİ'!D710</f>
        <v/>
      </c>
      <c r="AU709" s="34">
        <f>IF(AP709&gt;AT709*1.05,AP709-AT709*1.05,IF(AP709&lt;AT709*0.95,AT709*0.95-AP709,0))</f>
        <v/>
      </c>
      <c r="AV709" s="34">
        <f>MAX(F709:G709,750)*0.05*AU709</f>
        <v/>
      </c>
      <c r="AW709" s="34">
        <f>AC709+AJ709+AQ709</f>
        <v/>
      </c>
      <c r="AX709" s="34">
        <f>AF709+AM709+AT709</f>
        <v/>
      </c>
      <c r="AY709" s="34">
        <f>AB709+AI709+AP709</f>
        <v/>
      </c>
      <c r="AZ709" s="34" t="n">
        <v>0</v>
      </c>
      <c r="BA709" s="34">
        <f>AD709+AK709+AR709</f>
        <v/>
      </c>
      <c r="BB709" s="34">
        <f>MAX(F709:G709,750)*0.05*BA709</f>
        <v/>
      </c>
      <c r="BC709" s="34">
        <f>AG709+AN709+AU709</f>
        <v/>
      </c>
      <c r="BD709" s="34">
        <f>MAX(F709:G709,750)*0.05*BC709</f>
        <v/>
      </c>
      <c r="BE709" s="34">
        <f>F709*AY709</f>
        <v/>
      </c>
      <c r="BF709" s="34">
        <f>K709-M709</f>
        <v/>
      </c>
      <c r="BG709" s="34">
        <f>P709-S709</f>
        <v/>
      </c>
      <c r="BH709" s="34">
        <f>W709-AA709</f>
        <v/>
      </c>
      <c r="BI709" s="34">
        <f>BF709+BG709+BL709-BN709</f>
        <v/>
      </c>
      <c r="BJ709" s="34">
        <f>ABS(BK709)</f>
        <v/>
      </c>
      <c r="BK709" s="34">
        <f>AY709-(J709-L709+N709-Q709)</f>
        <v/>
      </c>
      <c r="BL709" s="34">
        <f>IF(AND(BK709&gt;0,MIN($F709:$G709)&lt;150,$E709="Enerji Açığı"),-100*BK709*1.03,IF(AND(BK709&gt;0,MIN($F709:$G709)&lt;150,$E709="Enerji Fazlası"),-100*BK709*1.06,IF(AND(BK709&gt;0,MIN($F709:$G709)&gt;=150,$E709="Enerji Açığı"),BK709*MIN($F709:$G709)*0.97,IF(AND(BK709&gt;0,MIN($F709:$G709)&gt;=150,$E709="Enerji Fazlası"),BK709*MIN($F709:$G709)*0.94,IF(AND(BK709&lt;0,MAX($F709:$G709)=4500,$E709="Enerji Açığı"),4500*1.05*1.06*BK709,IF(AND(BK709&lt;0,MAX($F709:$G709)=4500,$E709="Enerji Fazlası"),4500*1.05*1.03*BK709,IF(AND(BK709&lt;0,$E709="Enerji Açığı"),MAX($F709,$G709,150)*BK709*1.06,IF(AND(BK709&lt;0,$E709="Enerji Fazlası"),MAX($F709,$G709,150)*BK709*1.03,IF(AND(BK709&lt;0,$E709="Dengede"),MAX($F709:$G709,150)*1.03*BK709,MIN($F709:$G709)*0.97*BK709)))))))))</f>
        <v/>
      </c>
      <c r="BM709" s="34">
        <f>BE709-BI709-BN709</f>
        <v/>
      </c>
      <c r="BN709" s="34">
        <f>BB709</f>
        <v/>
      </c>
      <c r="BO709" s="34">
        <f>BE709-BI709</f>
        <v/>
      </c>
      <c r="BP709" s="34">
        <f>IF(AY709=0,0,BO709/AY709)</f>
        <v/>
      </c>
      <c r="BQ709" s="34">
        <f>MAX((AY709+MAX((-J709+L709-N709+Q709),0)),(MAX((J709-L709+N709-Q709),0)))</f>
        <v/>
      </c>
      <c r="BR709" s="82">
        <f>IFERROR(ABS(BK709/BQ709),0)</f>
        <v/>
      </c>
      <c r="BS709" s="34">
        <f>IF(BR709&lt;=0.1,0,BK709/BR709*(BR709-0.1))</f>
        <v/>
      </c>
      <c r="BT709" s="34">
        <f>IF((BS709)&lt;0,MAX(F709:G709)*(BS709)*1.03,MIN(F709:G709)*(BS709)*0.97)</f>
        <v/>
      </c>
      <c r="BU709" s="34">
        <f>IF(BR709&gt;0.1,1,0)</f>
        <v/>
      </c>
      <c r="BV709" s="34">
        <f>BF709+BG709+BH709+BY709-CA709</f>
        <v/>
      </c>
      <c r="BW709" s="34">
        <f>ABS(BX709)</f>
        <v/>
      </c>
      <c r="BX709" s="34">
        <f>AY709-(J709-L709+N709-Q709+T709-X709)</f>
        <v/>
      </c>
      <c r="BY709" s="34">
        <f>IF(AND(BX709&gt;0,MIN($F709:$G709)&lt;150,$E709="Enerji Açığı"),-100*BX709*1.03,IF(AND(BX709&gt;0,MIN($F709:$G709)&lt;150,$E709="Enerji Fazlası"),-100*BX709*1.06,IF(AND(BX709&gt;0,MIN($F709:$G709)&gt;=150,$E709="Enerji Açığı"),BX709*MIN($F709:$G709)*0.97,IF(AND(BX709&gt;0,MIN($F709:$G709)&gt;=150,$E709="Enerji Fazlası"),BX709*MIN($F709:$G709)*0.94,IF(AND(BX709&lt;0,MAX($F709:$G709)=4500,$E709="Enerji Açığı"),4500*1.05*1.06*BX709,IF(AND(BX709&lt;0,MAX($F709:$G709)=4500,$E709="Enerji Fazlası"),4500*1.05*1.03*BX709,IF(AND(BX709&lt;0,$E709="Enerji Açığı"),MAX($F709,$G709,150)*BX709*1.06,IF(AND(BX709&lt;0,$E709="Enerji Fazlası"),MAX($F709,$G709,150)*BX709*1.03,IF(AND(BX709&lt;0,$E709="Dengede"),MAX($F709:$G709,150)*1.03*BX709,MIN($F709:$G709)*0.97*BX709)))))))))</f>
        <v/>
      </c>
      <c r="BZ709" s="34">
        <f>BE709-BV709-CA709</f>
        <v/>
      </c>
      <c r="CA709" s="34">
        <f>BD709</f>
        <v/>
      </c>
      <c r="CB709" s="33">
        <f>BE709-BV709</f>
        <v/>
      </c>
      <c r="CC709" s="34">
        <f>IF(AY709=0,0,CB709/AY709)</f>
        <v/>
      </c>
      <c r="CD709" s="34">
        <f>MAX((AY709+MAX((-J709+L709-N709+Q709-T709+X709),0)),(MAX((J709-L709+N709-Q709+T709-X709),0)))</f>
        <v/>
      </c>
      <c r="CE709" s="82">
        <f>IFERROR(ABS(BX709/CD709),0)</f>
        <v/>
      </c>
      <c r="CF709" s="34">
        <f>IF(CE709&lt;=0.1,0,BX709/CE709*(CE709-0.1))</f>
        <v/>
      </c>
      <c r="CG709" s="34">
        <f>IF((CF709)&lt;0,MAX(F709:G709)*(CF709)*1.03,MIN(F709:G709)*(CF709)*0.97)</f>
        <v/>
      </c>
      <c r="CH709" s="34">
        <f>IF(CE709&gt;0.1,1,0)</f>
        <v/>
      </c>
      <c r="CI709" s="34">
        <f>(F709*BX709)-BY709</f>
        <v/>
      </c>
      <c r="CJ709" s="34">
        <f>IF(AY709=0,0,CI709/AY709)</f>
        <v/>
      </c>
    </row>
    <row r="710">
      <c r="A710" s="29">
        <f>[1]FİYATLAR!A685</f>
        <v/>
      </c>
      <c r="B710" s="29">
        <f>[1]FİYATLAR!B709</f>
        <v/>
      </c>
      <c r="C710" s="35">
        <f>INT(A710)</f>
        <v/>
      </c>
      <c r="D710" s="36">
        <f>MONTH(A710)</f>
        <v/>
      </c>
      <c r="E710" s="147">
        <f>[1]FİYATLAR!G685</f>
        <v/>
      </c>
      <c r="F710" s="30">
        <f>[1]FİYATLAR!C685</f>
        <v/>
      </c>
      <c r="G710" s="30">
        <f>[1]FİYATLAR!E685</f>
        <v/>
      </c>
      <c r="H710" s="30">
        <f>[1]FİYATLAR!D685</f>
        <v/>
      </c>
      <c r="I710" s="30">
        <f>[1]FİYATLAR!F685</f>
        <v/>
      </c>
      <c r="J710" s="119" t="n">
        <v>0</v>
      </c>
      <c r="K710" s="34">
        <f>F710*J710</f>
        <v/>
      </c>
      <c r="L710" s="119" t="n"/>
      <c r="M710" s="34">
        <f>L710*F710</f>
        <v/>
      </c>
      <c r="N710" s="119" t="n"/>
      <c r="O710" s="34">
        <f>F710</f>
        <v/>
      </c>
      <c r="P710" s="34">
        <f>N710*O710</f>
        <v/>
      </c>
      <c r="Q710" s="117" t="n">
        <v>0</v>
      </c>
      <c r="R710" s="34">
        <f>F710</f>
        <v/>
      </c>
      <c r="S710" s="34">
        <f>R710*Q710</f>
        <v/>
      </c>
      <c r="T710" s="34">
        <f>SUMIFS('[1]GİP VERİLERİ'!$C:$C,'[1]GİP VERİLERİ'!$B:$B,A710,'[1]GİP VERİLERİ'!$M:$M,"40X000000104782K",'[1]GİP VERİLERİ'!$G:$G,"SELL")</f>
        <v/>
      </c>
      <c r="U710" s="34">
        <f>IFERROR(W710/T710,0)</f>
        <v/>
      </c>
      <c r="V710" s="34">
        <f>IF(U710=0,0,U710-F710)</f>
        <v/>
      </c>
      <c r="W710" s="34">
        <f>SUMIFS('[1]GİP VERİLERİ'!$O:$O,'[1]GİP VERİLERİ'!$B:$B,A710,'[1]GİP VERİLERİ'!$M:$M,"40X000000104782K",'[1]GİP VERİLERİ'!$G:$G,"SELL")</f>
        <v/>
      </c>
      <c r="X710" s="34">
        <f>SUMIFS('[1]GİP VERİLERİ'!$C:$C,'[1]GİP VERİLERİ'!$B:$B,A710,'[1]GİP VERİLERİ'!$M:$M,"40X000000104782K",'[1]GİP VERİLERİ'!$G:$G,"BUY")</f>
        <v/>
      </c>
      <c r="Y710" s="34">
        <f>IFERROR(AA710/X710,0)</f>
        <v/>
      </c>
      <c r="Z710" s="34">
        <f>IF(Y710=0,0,F710-Y710)</f>
        <v/>
      </c>
      <c r="AA710" s="34">
        <f>SUMIFS('[1]GİP VERİLERİ'!$O:$O,'[1]GİP VERİLERİ'!$B:$B,A710,'[1]GİP VERİLERİ'!$M:$M,"40X000000104782K",'[1]GİP VERİLERİ'!$G:$G,"BUY")</f>
        <v/>
      </c>
      <c r="AB710" s="34">
        <f>'[1]GÖP VERİLERİ'!H711</f>
        <v/>
      </c>
      <c r="AC710" s="34">
        <f>'[1]GÖP VERİLERİ'!I711</f>
        <v/>
      </c>
      <c r="AD710" s="34">
        <f>IF(AB710&gt;AC710*1.05,AB710-AC710*1.05,IF(AB710&lt;AC710*0.95,AC710*0.95-AB710,0))</f>
        <v/>
      </c>
      <c r="AE710" s="34">
        <f>MAX(F710,G710,750)*0.05*AD710</f>
        <v/>
      </c>
      <c r="AF710" s="34">
        <f>'[1]GÖP VERİLERİ'!J711</f>
        <v/>
      </c>
      <c r="AG710" s="34">
        <f>IF(AB710&gt;AF710*1.05,AB710-AF710*1.05,IF(AB710&lt;AF710*0.95,AF710*0.95-AB710,0))</f>
        <v/>
      </c>
      <c r="AH710" s="34">
        <f>MAX(I710,J710,750)*0.05*AG710</f>
        <v/>
      </c>
      <c r="AI710">
        <f>'[1]GÖP VERİLERİ'!E711</f>
        <v/>
      </c>
      <c r="AJ710">
        <f>'[1]GÖP VERİLERİ'!F711</f>
        <v/>
      </c>
      <c r="AK710" s="34">
        <f>IF(AI710&gt;AJ710*1.05,AI710-AJ710*1.05,IF(AI710&lt;AJ710*0.95,AJ710*0.95-AI710,0))</f>
        <v/>
      </c>
      <c r="AL710" s="34">
        <f>MAX(F710,G710,750)*0.05*AK710</f>
        <v/>
      </c>
      <c r="AM710" s="39">
        <f>'[1]GÖP VERİLERİ'!G711</f>
        <v/>
      </c>
      <c r="AN710" s="34">
        <f>IF(AI710&gt;AM710*1.05,AI710-AM710*1.05,IF(AI710&lt;AM710*0.95,AM710*0.95-AI710,0))</f>
        <v/>
      </c>
      <c r="AO710" s="34">
        <f>MAX(F710,G710,750)*0.05*AN710</f>
        <v/>
      </c>
      <c r="AP710" s="34">
        <f>'[1]GÖP VERİLERİ'!B711</f>
        <v/>
      </c>
      <c r="AQ710" s="34">
        <f>'[1]GÖP VERİLERİ'!C711</f>
        <v/>
      </c>
      <c r="AR710" s="34">
        <f>IF(AP710&gt;AQ710*1.05,AP710-AQ710*1.05,IF(AP710&lt;AQ710*0.95,AQ710*0.95-AP710,0))</f>
        <v/>
      </c>
      <c r="AS710" s="34">
        <f>MAX(F710:G710,750)*0.05*AR710</f>
        <v/>
      </c>
      <c r="AT710">
        <f>'[1]GÖP VERİLERİ'!D711</f>
        <v/>
      </c>
      <c r="AU710" s="34">
        <f>IF(AP710&gt;AT710*1.05,AP710-AT710*1.05,IF(AP710&lt;AT710*0.95,AT710*0.95-AP710,0))</f>
        <v/>
      </c>
      <c r="AV710" s="34">
        <f>MAX(F710:G710,750)*0.05*AU710</f>
        <v/>
      </c>
      <c r="AW710" s="34">
        <f>AC710+AJ710+AQ710</f>
        <v/>
      </c>
      <c r="AX710" s="34">
        <f>AF710+AM710+AT710</f>
        <v/>
      </c>
      <c r="AY710" s="34">
        <f>AB710+AI710+AP710</f>
        <v/>
      </c>
      <c r="AZ710" s="34" t="n">
        <v>0</v>
      </c>
      <c r="BA710" s="34">
        <f>AD710+AK710+AR710</f>
        <v/>
      </c>
      <c r="BB710" s="34">
        <f>MAX(F710:G710,750)*0.05*BA710</f>
        <v/>
      </c>
      <c r="BC710" s="34">
        <f>AG710+AN710+AU710</f>
        <v/>
      </c>
      <c r="BD710" s="34">
        <f>MAX(F710:G710,750)*0.05*BC710</f>
        <v/>
      </c>
      <c r="BE710" s="34">
        <f>F710*AY710</f>
        <v/>
      </c>
      <c r="BF710" s="34">
        <f>K710-M710</f>
        <v/>
      </c>
      <c r="BG710" s="34">
        <f>P710-S710</f>
        <v/>
      </c>
      <c r="BH710" s="34">
        <f>W710-AA710</f>
        <v/>
      </c>
      <c r="BI710" s="34">
        <f>BF710+BG710+BL710-BN710</f>
        <v/>
      </c>
      <c r="BJ710" s="34">
        <f>ABS(BK710)</f>
        <v/>
      </c>
      <c r="BK710" s="34">
        <f>AY710-(J710-L710+N710-Q710)</f>
        <v/>
      </c>
      <c r="BL710" s="34">
        <f>IF(AND(BK710&gt;0,MIN($F710:$G710)&lt;150,$E710="Enerji Açığı"),-100*BK710*1.03,IF(AND(BK710&gt;0,MIN($F710:$G710)&lt;150,$E710="Enerji Fazlası"),-100*BK710*1.06,IF(AND(BK710&gt;0,MIN($F710:$G710)&gt;=150,$E710="Enerji Açığı"),BK710*MIN($F710:$G710)*0.97,IF(AND(BK710&gt;0,MIN($F710:$G710)&gt;=150,$E710="Enerji Fazlası"),BK710*MIN($F710:$G710)*0.94,IF(AND(BK710&lt;0,MAX($F710:$G710)=4500,$E710="Enerji Açığı"),4500*1.05*1.06*BK710,IF(AND(BK710&lt;0,MAX($F710:$G710)=4500,$E710="Enerji Fazlası"),4500*1.05*1.03*BK710,IF(AND(BK710&lt;0,$E710="Enerji Açığı"),MAX($F710,$G710,150)*BK710*1.06,IF(AND(BK710&lt;0,$E710="Enerji Fazlası"),MAX($F710,$G710,150)*BK710*1.03,IF(AND(BK710&lt;0,$E710="Dengede"),MAX($F710:$G710,150)*1.03*BK710,MIN($F710:$G710)*0.97*BK710)))))))))</f>
        <v/>
      </c>
      <c r="BM710" s="34">
        <f>BE710-BI710-BN710</f>
        <v/>
      </c>
      <c r="BN710" s="34">
        <f>BB710</f>
        <v/>
      </c>
      <c r="BO710" s="34">
        <f>BE710-BI710</f>
        <v/>
      </c>
      <c r="BP710" s="34">
        <f>IF(AY710=0,0,BO710/AY710)</f>
        <v/>
      </c>
      <c r="BQ710" s="34">
        <f>MAX((AY710+MAX((-J710+L710-N710+Q710),0)),(MAX((J710-L710+N710-Q710),0)))</f>
        <v/>
      </c>
      <c r="BR710" s="82">
        <f>IFERROR(ABS(BK710/BQ710),0)</f>
        <v/>
      </c>
      <c r="BS710" s="34">
        <f>IF(BR710&lt;=0.1,0,BK710/BR710*(BR710-0.1))</f>
        <v/>
      </c>
      <c r="BT710" s="34">
        <f>IF((BS710)&lt;0,MAX(F710:G710)*(BS710)*1.03,MIN(F710:G710)*(BS710)*0.97)</f>
        <v/>
      </c>
      <c r="BU710" s="34">
        <f>IF(BR710&gt;0.1,1,0)</f>
        <v/>
      </c>
      <c r="BV710" s="34">
        <f>BF710+BG710+BH710+BY710-CA710</f>
        <v/>
      </c>
      <c r="BW710" s="34">
        <f>ABS(BX710)</f>
        <v/>
      </c>
      <c r="BX710" s="34">
        <f>AY710-(J710-L710+N710-Q710+T710-X710)</f>
        <v/>
      </c>
      <c r="BY710" s="34">
        <f>IF(AND(BX710&gt;0,MIN($F710:$G710)&lt;150,$E710="Enerji Açığı"),-100*BX710*1.03,IF(AND(BX710&gt;0,MIN($F710:$G710)&lt;150,$E710="Enerji Fazlası"),-100*BX710*1.06,IF(AND(BX710&gt;0,MIN($F710:$G710)&gt;=150,$E710="Enerji Açığı"),BX710*MIN($F710:$G710)*0.97,IF(AND(BX710&gt;0,MIN($F710:$G710)&gt;=150,$E710="Enerji Fazlası"),BX710*MIN($F710:$G710)*0.94,IF(AND(BX710&lt;0,MAX($F710:$G710)=4500,$E710="Enerji Açığı"),4500*1.05*1.06*BX710,IF(AND(BX710&lt;0,MAX($F710:$G710)=4500,$E710="Enerji Fazlası"),4500*1.05*1.03*BX710,IF(AND(BX710&lt;0,$E710="Enerji Açığı"),MAX($F710,$G710,150)*BX710*1.06,IF(AND(BX710&lt;0,$E710="Enerji Fazlası"),MAX($F710,$G710,150)*BX710*1.03,IF(AND(BX710&lt;0,$E710="Dengede"),MAX($F710:$G710,150)*1.03*BX710,MIN($F710:$G710)*0.97*BX710)))))))))</f>
        <v/>
      </c>
      <c r="BZ710" s="34">
        <f>BE710-BV710-CA710</f>
        <v/>
      </c>
      <c r="CA710" s="34">
        <f>BD710</f>
        <v/>
      </c>
      <c r="CB710" s="33">
        <f>BE710-BV710</f>
        <v/>
      </c>
      <c r="CC710" s="34">
        <f>IF(AY710=0,0,CB710/AY710)</f>
        <v/>
      </c>
      <c r="CD710" s="34">
        <f>MAX((AY710+MAX((-J710+L710-N710+Q710-T710+X710),0)),(MAX((J710-L710+N710-Q710+T710-X710),0)))</f>
        <v/>
      </c>
      <c r="CE710" s="82">
        <f>IFERROR(ABS(BX710/CD710),0)</f>
        <v/>
      </c>
      <c r="CF710" s="34">
        <f>IF(CE710&lt;=0.1,0,BX710/CE710*(CE710-0.1))</f>
        <v/>
      </c>
      <c r="CG710" s="34">
        <f>IF((CF710)&lt;0,MAX(F710:G710)*(CF710)*1.03,MIN(F710:G710)*(CF710)*0.97)</f>
        <v/>
      </c>
      <c r="CH710" s="34">
        <f>IF(CE710&gt;0.1,1,0)</f>
        <v/>
      </c>
      <c r="CI710" s="34">
        <f>(F710*BX710)-BY710</f>
        <v/>
      </c>
      <c r="CJ710" s="34">
        <f>IF(AY710=0,0,CI710/AY710)</f>
        <v/>
      </c>
    </row>
    <row r="711">
      <c r="A711" s="29">
        <f>[1]FİYATLAR!A686</f>
        <v/>
      </c>
      <c r="B711" s="29">
        <f>[1]FİYATLAR!B710</f>
        <v/>
      </c>
      <c r="C711" s="35">
        <f>INT(A711)</f>
        <v/>
      </c>
      <c r="D711" s="36">
        <f>MONTH(A711)</f>
        <v/>
      </c>
      <c r="E711" s="147">
        <f>[1]FİYATLAR!G686</f>
        <v/>
      </c>
      <c r="F711" s="30">
        <f>[1]FİYATLAR!C686</f>
        <v/>
      </c>
      <c r="G711" s="30">
        <f>[1]FİYATLAR!E686</f>
        <v/>
      </c>
      <c r="H711" s="30">
        <f>[1]FİYATLAR!D686</f>
        <v/>
      </c>
      <c r="I711" s="30">
        <f>[1]FİYATLAR!F686</f>
        <v/>
      </c>
      <c r="J711" s="119" t="n">
        <v>0</v>
      </c>
      <c r="K711" s="34">
        <f>F711*J711</f>
        <v/>
      </c>
      <c r="L711" s="119" t="n"/>
      <c r="M711" s="34">
        <f>L711*F711</f>
        <v/>
      </c>
      <c r="N711" s="119" t="n"/>
      <c r="O711" s="34">
        <f>F711</f>
        <v/>
      </c>
      <c r="P711" s="34">
        <f>N711*O711</f>
        <v/>
      </c>
      <c r="Q711" s="117" t="n">
        <v>0</v>
      </c>
      <c r="R711" s="34">
        <f>F711</f>
        <v/>
      </c>
      <c r="S711" s="34">
        <f>R711*Q711</f>
        <v/>
      </c>
      <c r="T711" s="34">
        <f>SUMIFS('[1]GİP VERİLERİ'!$C:$C,'[1]GİP VERİLERİ'!$B:$B,A711,'[1]GİP VERİLERİ'!$M:$M,"40X000000104782K",'[1]GİP VERİLERİ'!$G:$G,"SELL")</f>
        <v/>
      </c>
      <c r="U711" s="34">
        <f>IFERROR(W711/T711,0)</f>
        <v/>
      </c>
      <c r="V711" s="34">
        <f>IF(U711=0,0,U711-F711)</f>
        <v/>
      </c>
      <c r="W711" s="34">
        <f>SUMIFS('[1]GİP VERİLERİ'!$O:$O,'[1]GİP VERİLERİ'!$B:$B,A711,'[1]GİP VERİLERİ'!$M:$M,"40X000000104782K",'[1]GİP VERİLERİ'!$G:$G,"SELL")</f>
        <v/>
      </c>
      <c r="X711" s="34">
        <f>SUMIFS('[1]GİP VERİLERİ'!$C:$C,'[1]GİP VERİLERİ'!$B:$B,A711,'[1]GİP VERİLERİ'!$M:$M,"40X000000104782K",'[1]GİP VERİLERİ'!$G:$G,"BUY")</f>
        <v/>
      </c>
      <c r="Y711" s="34">
        <f>IFERROR(AA711/X711,0)</f>
        <v/>
      </c>
      <c r="Z711" s="34">
        <f>IF(Y711=0,0,F711-Y711)</f>
        <v/>
      </c>
      <c r="AA711" s="34">
        <f>SUMIFS('[1]GİP VERİLERİ'!$O:$O,'[1]GİP VERİLERİ'!$B:$B,A711,'[1]GİP VERİLERİ'!$M:$M,"40X000000104782K",'[1]GİP VERİLERİ'!$G:$G,"BUY")</f>
        <v/>
      </c>
      <c r="AB711" s="34">
        <f>'[1]GÖP VERİLERİ'!H712</f>
        <v/>
      </c>
      <c r="AC711" s="34">
        <f>'[1]GÖP VERİLERİ'!I712</f>
        <v/>
      </c>
      <c r="AD711" s="34">
        <f>IF(AB711&gt;AC711*1.05,AB711-AC711*1.05,IF(AB711&lt;AC711*0.95,AC711*0.95-AB711,0))</f>
        <v/>
      </c>
      <c r="AE711" s="34">
        <f>MAX(F711,G711,750)*0.05*AD711</f>
        <v/>
      </c>
      <c r="AF711" s="34">
        <f>'[1]GÖP VERİLERİ'!J712</f>
        <v/>
      </c>
      <c r="AG711" s="34">
        <f>IF(AB711&gt;AF711*1.05,AB711-AF711*1.05,IF(AB711&lt;AF711*0.95,AF711*0.95-AB711,0))</f>
        <v/>
      </c>
      <c r="AH711" s="34">
        <f>MAX(I711,J711,750)*0.05*AG711</f>
        <v/>
      </c>
      <c r="AI711">
        <f>'[1]GÖP VERİLERİ'!E712</f>
        <v/>
      </c>
      <c r="AJ711">
        <f>'[1]GÖP VERİLERİ'!F712</f>
        <v/>
      </c>
      <c r="AK711" s="34">
        <f>IF(AI711&gt;AJ711*1.05,AI711-AJ711*1.05,IF(AI711&lt;AJ711*0.95,AJ711*0.95-AI711,0))</f>
        <v/>
      </c>
      <c r="AL711" s="34">
        <f>MAX(F711,G711,750)*0.05*AK711</f>
        <v/>
      </c>
      <c r="AM711" s="39">
        <f>'[1]GÖP VERİLERİ'!G712</f>
        <v/>
      </c>
      <c r="AN711" s="34">
        <f>IF(AI711&gt;AM711*1.05,AI711-AM711*1.05,IF(AI711&lt;AM711*0.95,AM711*0.95-AI711,0))</f>
        <v/>
      </c>
      <c r="AO711" s="34">
        <f>MAX(F711,G711,750)*0.05*AN711</f>
        <v/>
      </c>
      <c r="AP711" s="34">
        <f>'[1]GÖP VERİLERİ'!B712</f>
        <v/>
      </c>
      <c r="AQ711" s="34">
        <f>'[1]GÖP VERİLERİ'!C712</f>
        <v/>
      </c>
      <c r="AR711" s="34">
        <f>IF(AP711&gt;AQ711*1.05,AP711-AQ711*1.05,IF(AP711&lt;AQ711*0.95,AQ711*0.95-AP711,0))</f>
        <v/>
      </c>
      <c r="AS711" s="34">
        <f>MAX(F711:G711,750)*0.05*AR711</f>
        <v/>
      </c>
      <c r="AT711">
        <f>'[1]GÖP VERİLERİ'!D712</f>
        <v/>
      </c>
      <c r="AU711" s="34">
        <f>IF(AP711&gt;AT711*1.05,AP711-AT711*1.05,IF(AP711&lt;AT711*0.95,AT711*0.95-AP711,0))</f>
        <v/>
      </c>
      <c r="AV711" s="34">
        <f>MAX(F711:G711,750)*0.05*AU711</f>
        <v/>
      </c>
      <c r="AW711" s="34">
        <f>AC711+AJ711+AQ711</f>
        <v/>
      </c>
      <c r="AX711" s="34">
        <f>AF711+AM711+AT711</f>
        <v/>
      </c>
      <c r="AY711" s="34">
        <f>AB711+AI711+AP711</f>
        <v/>
      </c>
      <c r="AZ711" s="34" t="n">
        <v>0</v>
      </c>
      <c r="BA711" s="34">
        <f>AD711+AK711+AR711</f>
        <v/>
      </c>
      <c r="BB711" s="34">
        <f>MAX(F711:G711,750)*0.05*BA711</f>
        <v/>
      </c>
      <c r="BC711" s="34">
        <f>AG711+AN711+AU711</f>
        <v/>
      </c>
      <c r="BD711" s="34">
        <f>MAX(F711:G711,750)*0.05*BC711</f>
        <v/>
      </c>
      <c r="BE711" s="34">
        <f>F711*AY711</f>
        <v/>
      </c>
      <c r="BF711" s="34">
        <f>K711-M711</f>
        <v/>
      </c>
      <c r="BG711" s="34">
        <f>P711-S711</f>
        <v/>
      </c>
      <c r="BH711" s="34">
        <f>W711-AA711</f>
        <v/>
      </c>
      <c r="BI711" s="34">
        <f>BF711+BG711+BL711-BN711</f>
        <v/>
      </c>
      <c r="BJ711" s="34">
        <f>ABS(BK711)</f>
        <v/>
      </c>
      <c r="BK711" s="34">
        <f>AY711-(J711-L711+N711-Q711)</f>
        <v/>
      </c>
      <c r="BL711" s="34">
        <f>IF(AND(BK711&gt;0,MIN($F711:$G711)&lt;150,$E711="Enerji Açığı"),-100*BK711*1.03,IF(AND(BK711&gt;0,MIN($F711:$G711)&lt;150,$E711="Enerji Fazlası"),-100*BK711*1.06,IF(AND(BK711&gt;0,MIN($F711:$G711)&gt;=150,$E711="Enerji Açığı"),BK711*MIN($F711:$G711)*0.97,IF(AND(BK711&gt;0,MIN($F711:$G711)&gt;=150,$E711="Enerji Fazlası"),BK711*MIN($F711:$G711)*0.94,IF(AND(BK711&lt;0,MAX($F711:$G711)=4500,$E711="Enerji Açığı"),4500*1.05*1.06*BK711,IF(AND(BK711&lt;0,MAX($F711:$G711)=4500,$E711="Enerji Fazlası"),4500*1.05*1.03*BK711,IF(AND(BK711&lt;0,$E711="Enerji Açığı"),MAX($F711,$G711,150)*BK711*1.06,IF(AND(BK711&lt;0,$E711="Enerji Fazlası"),MAX($F711,$G711,150)*BK711*1.03,IF(AND(BK711&lt;0,$E711="Dengede"),MAX($F711:$G711,150)*1.03*BK711,MIN($F711:$G711)*0.97*BK711)))))))))</f>
        <v/>
      </c>
      <c r="BM711" s="34">
        <f>BE711-BI711-BN711</f>
        <v/>
      </c>
      <c r="BN711" s="34">
        <f>BB711</f>
        <v/>
      </c>
      <c r="BO711" s="34">
        <f>BE711-BI711</f>
        <v/>
      </c>
      <c r="BP711" s="34">
        <f>IF(AY711=0,0,BO711/AY711)</f>
        <v/>
      </c>
      <c r="BQ711" s="34">
        <f>MAX((AY711+MAX((-J711+L711-N711+Q711),0)),(MAX((J711-L711+N711-Q711),0)))</f>
        <v/>
      </c>
      <c r="BR711" s="82">
        <f>IFERROR(ABS(BK711/BQ711),0)</f>
        <v/>
      </c>
      <c r="BS711" s="34">
        <f>IF(BR711&lt;=0.1,0,BK711/BR711*(BR711-0.1))</f>
        <v/>
      </c>
      <c r="BT711" s="34">
        <f>IF((BS711)&lt;0,MAX(F711:G711)*(BS711)*1.03,MIN(F711:G711)*(BS711)*0.97)</f>
        <v/>
      </c>
      <c r="BU711" s="34">
        <f>IF(BR711&gt;0.1,1,0)</f>
        <v/>
      </c>
      <c r="BV711" s="34">
        <f>BF711+BG711+BH711+BY711-CA711</f>
        <v/>
      </c>
      <c r="BW711" s="34">
        <f>ABS(BX711)</f>
        <v/>
      </c>
      <c r="BX711" s="34">
        <f>AY711-(J711-L711+N711-Q711+T711-X711)</f>
        <v/>
      </c>
      <c r="BY711" s="34">
        <f>IF(AND(BX711&gt;0,MIN($F711:$G711)&lt;150,$E711="Enerji Açığı"),-100*BX711*1.03,IF(AND(BX711&gt;0,MIN($F711:$G711)&lt;150,$E711="Enerji Fazlası"),-100*BX711*1.06,IF(AND(BX711&gt;0,MIN($F711:$G711)&gt;=150,$E711="Enerji Açığı"),BX711*MIN($F711:$G711)*0.97,IF(AND(BX711&gt;0,MIN($F711:$G711)&gt;=150,$E711="Enerji Fazlası"),BX711*MIN($F711:$G711)*0.94,IF(AND(BX711&lt;0,MAX($F711:$G711)=4500,$E711="Enerji Açığı"),4500*1.05*1.06*BX711,IF(AND(BX711&lt;0,MAX($F711:$G711)=4500,$E711="Enerji Fazlası"),4500*1.05*1.03*BX711,IF(AND(BX711&lt;0,$E711="Enerji Açığı"),MAX($F711,$G711,150)*BX711*1.06,IF(AND(BX711&lt;0,$E711="Enerji Fazlası"),MAX($F711,$G711,150)*BX711*1.03,IF(AND(BX711&lt;0,$E711="Dengede"),MAX($F711:$G711,150)*1.03*BX711,MIN($F711:$G711)*0.97*BX711)))))))))</f>
        <v/>
      </c>
      <c r="BZ711" s="34">
        <f>BE711-BV711-CA711</f>
        <v/>
      </c>
      <c r="CA711" s="34">
        <f>BD711</f>
        <v/>
      </c>
      <c r="CB711" s="33">
        <f>BE711-BV711</f>
        <v/>
      </c>
      <c r="CC711" s="34">
        <f>IF(AY711=0,0,CB711/AY711)</f>
        <v/>
      </c>
      <c r="CD711" s="34">
        <f>MAX((AY711+MAX((-J711+L711-N711+Q711-T711+X711),0)),(MAX((J711-L711+N711-Q711+T711-X711),0)))</f>
        <v/>
      </c>
      <c r="CE711" s="82">
        <f>IFERROR(ABS(BX711/CD711),0)</f>
        <v/>
      </c>
      <c r="CF711" s="34">
        <f>IF(CE711&lt;=0.1,0,BX711/CE711*(CE711-0.1))</f>
        <v/>
      </c>
      <c r="CG711" s="34">
        <f>IF((CF711)&lt;0,MAX(F711:G711)*(CF711)*1.03,MIN(F711:G711)*(CF711)*0.97)</f>
        <v/>
      </c>
      <c r="CH711" s="34">
        <f>IF(CE711&gt;0.1,1,0)</f>
        <v/>
      </c>
      <c r="CI711" s="34">
        <f>(F711*BX711)-BY711</f>
        <v/>
      </c>
      <c r="CJ711" s="34">
        <f>IF(AY711=0,0,CI711/AY711)</f>
        <v/>
      </c>
    </row>
    <row r="712">
      <c r="A712" s="29">
        <f>[1]FİYATLAR!A687</f>
        <v/>
      </c>
      <c r="B712" s="29">
        <f>[1]FİYATLAR!B711</f>
        <v/>
      </c>
      <c r="C712" s="35">
        <f>INT(A712)</f>
        <v/>
      </c>
      <c r="D712" s="36">
        <f>MONTH(A712)</f>
        <v/>
      </c>
      <c r="E712" s="147">
        <f>[1]FİYATLAR!G687</f>
        <v/>
      </c>
      <c r="F712" s="30">
        <f>[1]FİYATLAR!C687</f>
        <v/>
      </c>
      <c r="G712" s="30">
        <f>[1]FİYATLAR!E687</f>
        <v/>
      </c>
      <c r="H712" s="30">
        <f>[1]FİYATLAR!D687</f>
        <v/>
      </c>
      <c r="I712" s="30">
        <f>[1]FİYATLAR!F687</f>
        <v/>
      </c>
      <c r="J712" s="119" t="n">
        <v>0</v>
      </c>
      <c r="K712" s="34">
        <f>F712*J712</f>
        <v/>
      </c>
      <c r="L712" s="119" t="n"/>
      <c r="M712" s="34">
        <f>L712*F712</f>
        <v/>
      </c>
      <c r="N712" s="119" t="n"/>
      <c r="O712" s="34">
        <f>F712</f>
        <v/>
      </c>
      <c r="P712" s="34">
        <f>N712*O712</f>
        <v/>
      </c>
      <c r="Q712" s="117" t="n">
        <v>0</v>
      </c>
      <c r="R712" s="34">
        <f>F712</f>
        <v/>
      </c>
      <c r="S712" s="34">
        <f>R712*Q712</f>
        <v/>
      </c>
      <c r="T712" s="34">
        <f>SUMIFS('[1]GİP VERİLERİ'!$C:$C,'[1]GİP VERİLERİ'!$B:$B,A712,'[1]GİP VERİLERİ'!$M:$M,"40X000000104782K",'[1]GİP VERİLERİ'!$G:$G,"SELL")</f>
        <v/>
      </c>
      <c r="U712" s="34">
        <f>IFERROR(W712/T712,0)</f>
        <v/>
      </c>
      <c r="V712" s="34">
        <f>IF(U712=0,0,U712-F712)</f>
        <v/>
      </c>
      <c r="W712" s="34">
        <f>SUMIFS('[1]GİP VERİLERİ'!$O:$O,'[1]GİP VERİLERİ'!$B:$B,A712,'[1]GİP VERİLERİ'!$M:$M,"40X000000104782K",'[1]GİP VERİLERİ'!$G:$G,"SELL")</f>
        <v/>
      </c>
      <c r="X712" s="34">
        <f>SUMIFS('[1]GİP VERİLERİ'!$C:$C,'[1]GİP VERİLERİ'!$B:$B,A712,'[1]GİP VERİLERİ'!$M:$M,"40X000000104782K",'[1]GİP VERİLERİ'!$G:$G,"BUY")</f>
        <v/>
      </c>
      <c r="Y712" s="34">
        <f>IFERROR(AA712/X712,0)</f>
        <v/>
      </c>
      <c r="Z712" s="34">
        <f>IF(Y712=0,0,F712-Y712)</f>
        <v/>
      </c>
      <c r="AA712" s="34">
        <f>SUMIFS('[1]GİP VERİLERİ'!$O:$O,'[1]GİP VERİLERİ'!$B:$B,A712,'[1]GİP VERİLERİ'!$M:$M,"40X000000104782K",'[1]GİP VERİLERİ'!$G:$G,"BUY")</f>
        <v/>
      </c>
      <c r="AB712" s="34">
        <f>'[1]GÖP VERİLERİ'!H713</f>
        <v/>
      </c>
      <c r="AC712" s="34">
        <f>'[1]GÖP VERİLERİ'!I713</f>
        <v/>
      </c>
      <c r="AD712" s="34">
        <f>IF(AB712&gt;AC712*1.05,AB712-AC712*1.05,IF(AB712&lt;AC712*0.95,AC712*0.95-AB712,0))</f>
        <v/>
      </c>
      <c r="AE712" s="34">
        <f>MAX(F712,G712,750)*0.05*AD712</f>
        <v/>
      </c>
      <c r="AF712" s="34">
        <f>'[1]GÖP VERİLERİ'!J713</f>
        <v/>
      </c>
      <c r="AG712" s="34">
        <f>IF(AB712&gt;AF712*1.05,AB712-AF712*1.05,IF(AB712&lt;AF712*0.95,AF712*0.95-AB712,0))</f>
        <v/>
      </c>
      <c r="AH712" s="34">
        <f>MAX(I712,J712,750)*0.05*AG712</f>
        <v/>
      </c>
      <c r="AI712">
        <f>'[1]GÖP VERİLERİ'!E713</f>
        <v/>
      </c>
      <c r="AJ712">
        <f>'[1]GÖP VERİLERİ'!F713</f>
        <v/>
      </c>
      <c r="AK712" s="34">
        <f>IF(AI712&gt;AJ712*1.05,AI712-AJ712*1.05,IF(AI712&lt;AJ712*0.95,AJ712*0.95-AI712,0))</f>
        <v/>
      </c>
      <c r="AL712" s="34">
        <f>MAX(F712,G712,750)*0.05*AK712</f>
        <v/>
      </c>
      <c r="AM712" s="39">
        <f>'[1]GÖP VERİLERİ'!G713</f>
        <v/>
      </c>
      <c r="AN712" s="34">
        <f>IF(AI712&gt;AM712*1.05,AI712-AM712*1.05,IF(AI712&lt;AM712*0.95,AM712*0.95-AI712,0))</f>
        <v/>
      </c>
      <c r="AO712" s="34">
        <f>MAX(F712,G712,750)*0.05*AN712</f>
        <v/>
      </c>
      <c r="AP712" s="34">
        <f>'[1]GÖP VERİLERİ'!B713</f>
        <v/>
      </c>
      <c r="AQ712" s="34">
        <f>'[1]GÖP VERİLERİ'!C713</f>
        <v/>
      </c>
      <c r="AR712" s="34">
        <f>IF(AP712&gt;AQ712*1.05,AP712-AQ712*1.05,IF(AP712&lt;AQ712*0.95,AQ712*0.95-AP712,0))</f>
        <v/>
      </c>
      <c r="AS712" s="34">
        <f>MAX(F712:G712,750)*0.05*AR712</f>
        <v/>
      </c>
      <c r="AT712">
        <f>'[1]GÖP VERİLERİ'!D713</f>
        <v/>
      </c>
      <c r="AU712" s="34">
        <f>IF(AP712&gt;AT712*1.05,AP712-AT712*1.05,IF(AP712&lt;AT712*0.95,AT712*0.95-AP712,0))</f>
        <v/>
      </c>
      <c r="AV712" s="34">
        <f>MAX(F712:G712,750)*0.05*AU712</f>
        <v/>
      </c>
      <c r="AW712" s="34">
        <f>AC712+AJ712+AQ712</f>
        <v/>
      </c>
      <c r="AX712" s="34">
        <f>AF712+AM712+AT712</f>
        <v/>
      </c>
      <c r="AY712" s="34">
        <f>AB712+AI712+AP712</f>
        <v/>
      </c>
      <c r="AZ712" s="34" t="n">
        <v>0</v>
      </c>
      <c r="BA712" s="34">
        <f>AD712+AK712+AR712</f>
        <v/>
      </c>
      <c r="BB712" s="34">
        <f>MAX(F712:G712,750)*0.05*BA712</f>
        <v/>
      </c>
      <c r="BC712" s="34">
        <f>AG712+AN712+AU712</f>
        <v/>
      </c>
      <c r="BD712" s="34">
        <f>MAX(F712:G712,750)*0.05*BC712</f>
        <v/>
      </c>
      <c r="BE712" s="34">
        <f>F712*AY712</f>
        <v/>
      </c>
      <c r="BF712" s="34">
        <f>K712-M712</f>
        <v/>
      </c>
      <c r="BG712" s="34">
        <f>P712-S712</f>
        <v/>
      </c>
      <c r="BH712" s="34">
        <f>W712-AA712</f>
        <v/>
      </c>
      <c r="BI712" s="34">
        <f>BF712+BG712+BL712-BN712</f>
        <v/>
      </c>
      <c r="BJ712" s="34">
        <f>ABS(BK712)</f>
        <v/>
      </c>
      <c r="BK712" s="34">
        <f>AY712-(J712-L712+N712-Q712)</f>
        <v/>
      </c>
      <c r="BL712" s="34">
        <f>IF(AND(BK712&gt;0,MIN($F712:$G712)&lt;150,$E712="Enerji Açığı"),-100*BK712*1.03,IF(AND(BK712&gt;0,MIN($F712:$G712)&lt;150,$E712="Enerji Fazlası"),-100*BK712*1.06,IF(AND(BK712&gt;0,MIN($F712:$G712)&gt;=150,$E712="Enerji Açığı"),BK712*MIN($F712:$G712)*0.97,IF(AND(BK712&gt;0,MIN($F712:$G712)&gt;=150,$E712="Enerji Fazlası"),BK712*MIN($F712:$G712)*0.94,IF(AND(BK712&lt;0,MAX($F712:$G712)=4500,$E712="Enerji Açığı"),4500*1.05*1.06*BK712,IF(AND(BK712&lt;0,MAX($F712:$G712)=4500,$E712="Enerji Fazlası"),4500*1.05*1.03*BK712,IF(AND(BK712&lt;0,$E712="Enerji Açığı"),MAX($F712,$G712,150)*BK712*1.06,IF(AND(BK712&lt;0,$E712="Enerji Fazlası"),MAX($F712,$G712,150)*BK712*1.03,IF(AND(BK712&lt;0,$E712="Dengede"),MAX($F712:$G712,150)*1.03*BK712,MIN($F712:$G712)*0.97*BK712)))))))))</f>
        <v/>
      </c>
      <c r="BM712" s="34">
        <f>BE712-BI712-BN712</f>
        <v/>
      </c>
      <c r="BN712" s="34">
        <f>BB712</f>
        <v/>
      </c>
      <c r="BO712" s="34">
        <f>BE712-BI712</f>
        <v/>
      </c>
      <c r="BP712" s="34">
        <f>IF(AY712=0,0,BO712/AY712)</f>
        <v/>
      </c>
      <c r="BQ712" s="34">
        <f>MAX((AY712+MAX((-J712+L712-N712+Q712),0)),(MAX((J712-L712+N712-Q712),0)))</f>
        <v/>
      </c>
      <c r="BR712" s="82">
        <f>IFERROR(ABS(BK712/BQ712),0)</f>
        <v/>
      </c>
      <c r="BS712" s="34">
        <f>IF(BR712&lt;=0.1,0,BK712/BR712*(BR712-0.1))</f>
        <v/>
      </c>
      <c r="BT712" s="34">
        <f>IF((BS712)&lt;0,MAX(F712:G712)*(BS712)*1.03,MIN(F712:G712)*(BS712)*0.97)</f>
        <v/>
      </c>
      <c r="BU712" s="34">
        <f>IF(BR712&gt;0.1,1,0)</f>
        <v/>
      </c>
      <c r="BV712" s="34">
        <f>BF712+BG712+BH712+BY712-CA712</f>
        <v/>
      </c>
      <c r="BW712" s="34">
        <f>ABS(BX712)</f>
        <v/>
      </c>
      <c r="BX712" s="34">
        <f>AY712-(J712-L712+N712-Q712+T712-X712)</f>
        <v/>
      </c>
      <c r="BY712" s="34">
        <f>IF(AND(BX712&gt;0,MIN($F712:$G712)&lt;150,$E712="Enerji Açığı"),-100*BX712*1.03,IF(AND(BX712&gt;0,MIN($F712:$G712)&lt;150,$E712="Enerji Fazlası"),-100*BX712*1.06,IF(AND(BX712&gt;0,MIN($F712:$G712)&gt;=150,$E712="Enerji Açığı"),BX712*MIN($F712:$G712)*0.97,IF(AND(BX712&gt;0,MIN($F712:$G712)&gt;=150,$E712="Enerji Fazlası"),BX712*MIN($F712:$G712)*0.94,IF(AND(BX712&lt;0,MAX($F712:$G712)=4500,$E712="Enerji Açığı"),4500*1.05*1.06*BX712,IF(AND(BX712&lt;0,MAX($F712:$G712)=4500,$E712="Enerji Fazlası"),4500*1.05*1.03*BX712,IF(AND(BX712&lt;0,$E712="Enerji Açığı"),MAX($F712,$G712,150)*BX712*1.06,IF(AND(BX712&lt;0,$E712="Enerji Fazlası"),MAX($F712,$G712,150)*BX712*1.03,IF(AND(BX712&lt;0,$E712="Dengede"),MAX($F712:$G712,150)*1.03*BX712,MIN($F712:$G712)*0.97*BX712)))))))))</f>
        <v/>
      </c>
      <c r="BZ712" s="34">
        <f>BE712-BV712-CA712</f>
        <v/>
      </c>
      <c r="CA712" s="34">
        <f>BD712</f>
        <v/>
      </c>
      <c r="CB712" s="33">
        <f>BE712-BV712</f>
        <v/>
      </c>
      <c r="CC712" s="34">
        <f>IF(AY712=0,0,CB712/AY712)</f>
        <v/>
      </c>
      <c r="CD712" s="34">
        <f>MAX((AY712+MAX((-J712+L712-N712+Q712-T712+X712),0)),(MAX((J712-L712+N712-Q712+T712-X712),0)))</f>
        <v/>
      </c>
      <c r="CE712" s="82">
        <f>IFERROR(ABS(BX712/CD712),0)</f>
        <v/>
      </c>
      <c r="CF712" s="34">
        <f>IF(CE712&lt;=0.1,0,BX712/CE712*(CE712-0.1))</f>
        <v/>
      </c>
      <c r="CG712" s="34">
        <f>IF((CF712)&lt;0,MAX(F712:G712)*(CF712)*1.03,MIN(F712:G712)*(CF712)*0.97)</f>
        <v/>
      </c>
      <c r="CH712" s="34">
        <f>IF(CE712&gt;0.1,1,0)</f>
        <v/>
      </c>
      <c r="CI712" s="34">
        <f>(F712*BX712)-BY712</f>
        <v/>
      </c>
      <c r="CJ712" s="34">
        <f>IF(AY712=0,0,CI712/AY712)</f>
        <v/>
      </c>
    </row>
    <row r="713">
      <c r="A713" s="29">
        <f>[1]FİYATLAR!A688</f>
        <v/>
      </c>
      <c r="B713" s="29">
        <f>[1]FİYATLAR!B712</f>
        <v/>
      </c>
      <c r="C713" s="35">
        <f>INT(A713)</f>
        <v/>
      </c>
      <c r="D713" s="36">
        <f>MONTH(A713)</f>
        <v/>
      </c>
      <c r="E713" s="147">
        <f>[1]FİYATLAR!G688</f>
        <v/>
      </c>
      <c r="F713" s="30">
        <f>[1]FİYATLAR!C688</f>
        <v/>
      </c>
      <c r="G713" s="30">
        <f>[1]FİYATLAR!E688</f>
        <v/>
      </c>
      <c r="H713" s="30">
        <f>[1]FİYATLAR!D688</f>
        <v/>
      </c>
      <c r="I713" s="30">
        <f>[1]FİYATLAR!F688</f>
        <v/>
      </c>
      <c r="J713" s="119" t="n">
        <v>0</v>
      </c>
      <c r="K713" s="34">
        <f>F713*J713</f>
        <v/>
      </c>
      <c r="L713" s="119" t="n"/>
      <c r="M713" s="34">
        <f>L713*F713</f>
        <v/>
      </c>
      <c r="N713" s="119" t="n"/>
      <c r="O713" s="34">
        <f>F713</f>
        <v/>
      </c>
      <c r="P713" s="34">
        <f>N713*O713</f>
        <v/>
      </c>
      <c r="Q713" s="117" t="n">
        <v>0</v>
      </c>
      <c r="R713" s="34">
        <f>F713</f>
        <v/>
      </c>
      <c r="S713" s="34">
        <f>R713*Q713</f>
        <v/>
      </c>
      <c r="T713" s="34">
        <f>SUMIFS('[1]GİP VERİLERİ'!$C:$C,'[1]GİP VERİLERİ'!$B:$B,A713,'[1]GİP VERİLERİ'!$M:$M,"40X000000104782K",'[1]GİP VERİLERİ'!$G:$G,"SELL")</f>
        <v/>
      </c>
      <c r="U713" s="34">
        <f>IFERROR(W713/T713,0)</f>
        <v/>
      </c>
      <c r="V713" s="34">
        <f>IF(U713=0,0,U713-F713)</f>
        <v/>
      </c>
      <c r="W713" s="34">
        <f>SUMIFS('[1]GİP VERİLERİ'!$O:$O,'[1]GİP VERİLERİ'!$B:$B,A713,'[1]GİP VERİLERİ'!$M:$M,"40X000000104782K",'[1]GİP VERİLERİ'!$G:$G,"SELL")</f>
        <v/>
      </c>
      <c r="X713" s="34">
        <f>SUMIFS('[1]GİP VERİLERİ'!$C:$C,'[1]GİP VERİLERİ'!$B:$B,A713,'[1]GİP VERİLERİ'!$M:$M,"40X000000104782K",'[1]GİP VERİLERİ'!$G:$G,"BUY")</f>
        <v/>
      </c>
      <c r="Y713" s="34">
        <f>IFERROR(AA713/X713,0)</f>
        <v/>
      </c>
      <c r="Z713" s="34">
        <f>IF(Y713=0,0,F713-Y713)</f>
        <v/>
      </c>
      <c r="AA713" s="34">
        <f>SUMIFS('[1]GİP VERİLERİ'!$O:$O,'[1]GİP VERİLERİ'!$B:$B,A713,'[1]GİP VERİLERİ'!$M:$M,"40X000000104782K",'[1]GİP VERİLERİ'!$G:$G,"BUY")</f>
        <v/>
      </c>
      <c r="AB713" s="34">
        <f>'[1]GÖP VERİLERİ'!H714</f>
        <v/>
      </c>
      <c r="AC713" s="34">
        <f>'[1]GÖP VERİLERİ'!I714</f>
        <v/>
      </c>
      <c r="AD713" s="34">
        <f>IF(AB713&gt;AC713*1.05,AB713-AC713*1.05,IF(AB713&lt;AC713*0.95,AC713*0.95-AB713,0))</f>
        <v/>
      </c>
      <c r="AE713" s="34">
        <f>MAX(F713,G713,750)*0.05*AD713</f>
        <v/>
      </c>
      <c r="AF713" s="34">
        <f>'[1]GÖP VERİLERİ'!J714</f>
        <v/>
      </c>
      <c r="AG713" s="34">
        <f>IF(AB713&gt;AF713*1.05,AB713-AF713*1.05,IF(AB713&lt;AF713*0.95,AF713*0.95-AB713,0))</f>
        <v/>
      </c>
      <c r="AH713" s="34">
        <f>MAX(I713,J713,750)*0.05*AG713</f>
        <v/>
      </c>
      <c r="AI713">
        <f>'[1]GÖP VERİLERİ'!E714</f>
        <v/>
      </c>
      <c r="AJ713">
        <f>'[1]GÖP VERİLERİ'!F714</f>
        <v/>
      </c>
      <c r="AK713" s="34">
        <f>IF(AI713&gt;AJ713*1.05,AI713-AJ713*1.05,IF(AI713&lt;AJ713*0.95,AJ713*0.95-AI713,0))</f>
        <v/>
      </c>
      <c r="AL713" s="34">
        <f>MAX(F713,G713,750)*0.05*AK713</f>
        <v/>
      </c>
      <c r="AM713" s="39">
        <f>'[1]GÖP VERİLERİ'!G714</f>
        <v/>
      </c>
      <c r="AN713" s="34">
        <f>IF(AI713&gt;AM713*1.05,AI713-AM713*1.05,IF(AI713&lt;AM713*0.95,AM713*0.95-AI713,0))</f>
        <v/>
      </c>
      <c r="AO713" s="34">
        <f>MAX(F713,G713,750)*0.05*AN713</f>
        <v/>
      </c>
      <c r="AP713" s="34">
        <f>'[1]GÖP VERİLERİ'!B714</f>
        <v/>
      </c>
      <c r="AQ713" s="34">
        <f>'[1]GÖP VERİLERİ'!C714</f>
        <v/>
      </c>
      <c r="AR713" s="34">
        <f>IF(AP713&gt;AQ713*1.05,AP713-AQ713*1.05,IF(AP713&lt;AQ713*0.95,AQ713*0.95-AP713,0))</f>
        <v/>
      </c>
      <c r="AS713" s="34">
        <f>MAX(F713:G713,750)*0.05*AR713</f>
        <v/>
      </c>
      <c r="AT713">
        <f>'[1]GÖP VERİLERİ'!D714</f>
        <v/>
      </c>
      <c r="AU713" s="34">
        <f>IF(AP713&gt;AT713*1.05,AP713-AT713*1.05,IF(AP713&lt;AT713*0.95,AT713*0.95-AP713,0))</f>
        <v/>
      </c>
      <c r="AV713" s="34">
        <f>MAX(F713:G713,750)*0.05*AU713</f>
        <v/>
      </c>
      <c r="AW713" s="34">
        <f>AC713+AJ713+AQ713</f>
        <v/>
      </c>
      <c r="AX713" s="34">
        <f>AF713+AM713+AT713</f>
        <v/>
      </c>
      <c r="AY713" s="34">
        <f>AB713+AI713+AP713</f>
        <v/>
      </c>
      <c r="AZ713" s="34" t="n">
        <v>0</v>
      </c>
      <c r="BA713" s="34">
        <f>AD713+AK713+AR713</f>
        <v/>
      </c>
      <c r="BB713" s="34">
        <f>MAX(F713:G713,750)*0.05*BA713</f>
        <v/>
      </c>
      <c r="BC713" s="34">
        <f>AG713+AN713+AU713</f>
        <v/>
      </c>
      <c r="BD713" s="34">
        <f>MAX(F713:G713,750)*0.05*BC713</f>
        <v/>
      </c>
      <c r="BE713" s="34">
        <f>F713*AY713</f>
        <v/>
      </c>
      <c r="BF713" s="34">
        <f>K713-M713</f>
        <v/>
      </c>
      <c r="BG713" s="34">
        <f>P713-S713</f>
        <v/>
      </c>
      <c r="BH713" s="34">
        <f>W713-AA713</f>
        <v/>
      </c>
      <c r="BI713" s="34">
        <f>BF713+BG713+BL713-BN713</f>
        <v/>
      </c>
      <c r="BJ713" s="34">
        <f>ABS(BK713)</f>
        <v/>
      </c>
      <c r="BK713" s="34">
        <f>AY713-(J713-L713+N713-Q713)</f>
        <v/>
      </c>
      <c r="BL713" s="34">
        <f>IF(AND(BK713&gt;0,MIN($F713:$G713)&lt;150,$E713="Enerji Açığı"),-100*BK713*1.03,IF(AND(BK713&gt;0,MIN($F713:$G713)&lt;150,$E713="Enerji Fazlası"),-100*BK713*1.06,IF(AND(BK713&gt;0,MIN($F713:$G713)&gt;=150,$E713="Enerji Açığı"),BK713*MIN($F713:$G713)*0.97,IF(AND(BK713&gt;0,MIN($F713:$G713)&gt;=150,$E713="Enerji Fazlası"),BK713*MIN($F713:$G713)*0.94,IF(AND(BK713&lt;0,MAX($F713:$G713)=4500,$E713="Enerji Açığı"),4500*1.05*1.06*BK713,IF(AND(BK713&lt;0,MAX($F713:$G713)=4500,$E713="Enerji Fazlası"),4500*1.05*1.03*BK713,IF(AND(BK713&lt;0,$E713="Enerji Açığı"),MAX($F713,$G713,150)*BK713*1.06,IF(AND(BK713&lt;0,$E713="Enerji Fazlası"),MAX($F713,$G713,150)*BK713*1.03,IF(AND(BK713&lt;0,$E713="Dengede"),MAX($F713:$G713,150)*1.03*BK713,MIN($F713:$G713)*0.97*BK713)))))))))</f>
        <v/>
      </c>
      <c r="BM713" s="34">
        <f>BE713-BI713-BN713</f>
        <v/>
      </c>
      <c r="BN713" s="34">
        <f>BB713</f>
        <v/>
      </c>
      <c r="BO713" s="34">
        <f>BE713-BI713</f>
        <v/>
      </c>
      <c r="BP713" s="34">
        <f>IF(AY713=0,0,BO713/AY713)</f>
        <v/>
      </c>
      <c r="BQ713" s="34">
        <f>MAX((AY713+MAX((-J713+L713-N713+Q713),0)),(MAX((J713-L713+N713-Q713),0)))</f>
        <v/>
      </c>
      <c r="BR713" s="82">
        <f>IFERROR(ABS(BK713/BQ713),0)</f>
        <v/>
      </c>
      <c r="BS713" s="34">
        <f>IF(BR713&lt;=0.1,0,BK713/BR713*(BR713-0.1))</f>
        <v/>
      </c>
      <c r="BT713" s="34">
        <f>IF((BS713)&lt;0,MAX(F713:G713)*(BS713)*1.03,MIN(F713:G713)*(BS713)*0.97)</f>
        <v/>
      </c>
      <c r="BU713" s="34">
        <f>IF(BR713&gt;0.1,1,0)</f>
        <v/>
      </c>
      <c r="BV713" s="34">
        <f>BF713+BG713+BH713+BY713-CA713</f>
        <v/>
      </c>
      <c r="BW713" s="34">
        <f>ABS(BX713)</f>
        <v/>
      </c>
      <c r="BX713" s="34">
        <f>AY713-(J713-L713+N713-Q713+T713-X713)</f>
        <v/>
      </c>
      <c r="BY713" s="34">
        <f>IF(AND(BX713&gt;0,MIN($F713:$G713)&lt;150,$E713="Enerji Açığı"),-100*BX713*1.03,IF(AND(BX713&gt;0,MIN($F713:$G713)&lt;150,$E713="Enerji Fazlası"),-100*BX713*1.06,IF(AND(BX713&gt;0,MIN($F713:$G713)&gt;=150,$E713="Enerji Açığı"),BX713*MIN($F713:$G713)*0.97,IF(AND(BX713&gt;0,MIN($F713:$G713)&gt;=150,$E713="Enerji Fazlası"),BX713*MIN($F713:$G713)*0.94,IF(AND(BX713&lt;0,MAX($F713:$G713)=4500,$E713="Enerji Açığı"),4500*1.05*1.06*BX713,IF(AND(BX713&lt;0,MAX($F713:$G713)=4500,$E713="Enerji Fazlası"),4500*1.05*1.03*BX713,IF(AND(BX713&lt;0,$E713="Enerji Açığı"),MAX($F713,$G713,150)*BX713*1.06,IF(AND(BX713&lt;0,$E713="Enerji Fazlası"),MAX($F713,$G713,150)*BX713*1.03,IF(AND(BX713&lt;0,$E713="Dengede"),MAX($F713:$G713,150)*1.03*BX713,MIN($F713:$G713)*0.97*BX713)))))))))</f>
        <v/>
      </c>
      <c r="BZ713" s="34">
        <f>BE713-BV713-CA713</f>
        <v/>
      </c>
      <c r="CA713" s="34">
        <f>BD713</f>
        <v/>
      </c>
      <c r="CB713" s="33">
        <f>BE713-BV713</f>
        <v/>
      </c>
      <c r="CC713" s="34">
        <f>IF(AY713=0,0,CB713/AY713)</f>
        <v/>
      </c>
      <c r="CD713" s="34">
        <f>MAX((AY713+MAX((-J713+L713-N713+Q713-T713+X713),0)),(MAX((J713-L713+N713-Q713+T713-X713),0)))</f>
        <v/>
      </c>
      <c r="CE713" s="82">
        <f>IFERROR(ABS(BX713/CD713),0)</f>
        <v/>
      </c>
      <c r="CF713" s="34">
        <f>IF(CE713&lt;=0.1,0,BX713/CE713*(CE713-0.1))</f>
        <v/>
      </c>
      <c r="CG713" s="34">
        <f>IF((CF713)&lt;0,MAX(F713:G713)*(CF713)*1.03,MIN(F713:G713)*(CF713)*0.97)</f>
        <v/>
      </c>
      <c r="CH713" s="34">
        <f>IF(CE713&gt;0.1,1,0)</f>
        <v/>
      </c>
      <c r="CI713" s="34">
        <f>(F713*BX713)-BY713</f>
        <v/>
      </c>
      <c r="CJ713" s="34">
        <f>IF(AY713=0,0,CI713/AY713)</f>
        <v/>
      </c>
    </row>
    <row r="714">
      <c r="A714" s="29">
        <f>[1]FİYATLAR!A689</f>
        <v/>
      </c>
      <c r="B714" s="29">
        <f>[1]FİYATLAR!B713</f>
        <v/>
      </c>
      <c r="C714" s="35">
        <f>INT(A714)</f>
        <v/>
      </c>
      <c r="D714" s="36">
        <f>MONTH(A714)</f>
        <v/>
      </c>
      <c r="E714" s="147">
        <f>[1]FİYATLAR!G689</f>
        <v/>
      </c>
      <c r="F714" s="30">
        <f>[1]FİYATLAR!C689</f>
        <v/>
      </c>
      <c r="G714" s="30">
        <f>[1]FİYATLAR!E689</f>
        <v/>
      </c>
      <c r="H714" s="30">
        <f>[1]FİYATLAR!D689</f>
        <v/>
      </c>
      <c r="I714" s="30">
        <f>[1]FİYATLAR!F689</f>
        <v/>
      </c>
      <c r="J714" s="119" t="n">
        <v>0</v>
      </c>
      <c r="K714" s="34">
        <f>F714*J714</f>
        <v/>
      </c>
      <c r="L714" s="119" t="n"/>
      <c r="M714" s="34">
        <f>L714*F714</f>
        <v/>
      </c>
      <c r="N714" s="119" t="n"/>
      <c r="O714" s="34">
        <f>F714</f>
        <v/>
      </c>
      <c r="P714" s="34">
        <f>N714*O714</f>
        <v/>
      </c>
      <c r="Q714" s="117" t="n">
        <v>0</v>
      </c>
      <c r="R714" s="34">
        <f>F714</f>
        <v/>
      </c>
      <c r="S714" s="34">
        <f>R714*Q714</f>
        <v/>
      </c>
      <c r="T714" s="34">
        <f>SUMIFS('[1]GİP VERİLERİ'!$C:$C,'[1]GİP VERİLERİ'!$B:$B,A714,'[1]GİP VERİLERİ'!$M:$M,"40X000000104782K",'[1]GİP VERİLERİ'!$G:$G,"SELL")</f>
        <v/>
      </c>
      <c r="U714" s="34">
        <f>IFERROR(W714/T714,0)</f>
        <v/>
      </c>
      <c r="V714" s="34">
        <f>IF(U714=0,0,U714-F714)</f>
        <v/>
      </c>
      <c r="W714" s="34">
        <f>SUMIFS('[1]GİP VERİLERİ'!$O:$O,'[1]GİP VERİLERİ'!$B:$B,A714,'[1]GİP VERİLERİ'!$M:$M,"40X000000104782K",'[1]GİP VERİLERİ'!$G:$G,"SELL")</f>
        <v/>
      </c>
      <c r="X714" s="34">
        <f>SUMIFS('[1]GİP VERİLERİ'!$C:$C,'[1]GİP VERİLERİ'!$B:$B,A714,'[1]GİP VERİLERİ'!$M:$M,"40X000000104782K",'[1]GİP VERİLERİ'!$G:$G,"BUY")</f>
        <v/>
      </c>
      <c r="Y714" s="34">
        <f>IFERROR(AA714/X714,0)</f>
        <v/>
      </c>
      <c r="Z714" s="34">
        <f>IF(Y714=0,0,F714-Y714)</f>
        <v/>
      </c>
      <c r="AA714" s="34">
        <f>SUMIFS('[1]GİP VERİLERİ'!$O:$O,'[1]GİP VERİLERİ'!$B:$B,A714,'[1]GİP VERİLERİ'!$M:$M,"40X000000104782K",'[1]GİP VERİLERİ'!$G:$G,"BUY")</f>
        <v/>
      </c>
      <c r="AB714" s="34">
        <f>'[1]GÖP VERİLERİ'!H715</f>
        <v/>
      </c>
      <c r="AC714" s="34">
        <f>'[1]GÖP VERİLERİ'!I715</f>
        <v/>
      </c>
      <c r="AD714" s="34">
        <f>IF(AB714&gt;AC714*1.05,AB714-AC714*1.05,IF(AB714&lt;AC714*0.95,AC714*0.95-AB714,0))</f>
        <v/>
      </c>
      <c r="AE714" s="34">
        <f>MAX(F714,G714,750)*0.05*AD714</f>
        <v/>
      </c>
      <c r="AF714" s="34">
        <f>'[1]GÖP VERİLERİ'!J715</f>
        <v/>
      </c>
      <c r="AG714" s="34">
        <f>IF(AB714&gt;AF714*1.05,AB714-AF714*1.05,IF(AB714&lt;AF714*0.95,AF714*0.95-AB714,0))</f>
        <v/>
      </c>
      <c r="AH714" s="34">
        <f>MAX(I714,J714,750)*0.05*AG714</f>
        <v/>
      </c>
      <c r="AI714">
        <f>'[1]GÖP VERİLERİ'!E715</f>
        <v/>
      </c>
      <c r="AJ714">
        <f>'[1]GÖP VERİLERİ'!F715</f>
        <v/>
      </c>
      <c r="AK714" s="34">
        <f>IF(AI714&gt;AJ714*1.05,AI714-AJ714*1.05,IF(AI714&lt;AJ714*0.95,AJ714*0.95-AI714,0))</f>
        <v/>
      </c>
      <c r="AL714" s="34">
        <f>MAX(F714,G714,750)*0.05*AK714</f>
        <v/>
      </c>
      <c r="AM714" s="39">
        <f>'[1]GÖP VERİLERİ'!G715</f>
        <v/>
      </c>
      <c r="AN714" s="34">
        <f>IF(AI714&gt;AM714*1.05,AI714-AM714*1.05,IF(AI714&lt;AM714*0.95,AM714*0.95-AI714,0))</f>
        <v/>
      </c>
      <c r="AO714" s="34">
        <f>MAX(F714,G714,750)*0.05*AN714</f>
        <v/>
      </c>
      <c r="AP714" s="34">
        <f>'[1]GÖP VERİLERİ'!B715</f>
        <v/>
      </c>
      <c r="AQ714" s="34">
        <f>'[1]GÖP VERİLERİ'!C715</f>
        <v/>
      </c>
      <c r="AR714" s="34">
        <f>IF(AP714&gt;AQ714*1.05,AP714-AQ714*1.05,IF(AP714&lt;AQ714*0.95,AQ714*0.95-AP714,0))</f>
        <v/>
      </c>
      <c r="AS714" s="34">
        <f>MAX(F714:G714,750)*0.05*AR714</f>
        <v/>
      </c>
      <c r="AT714">
        <f>'[1]GÖP VERİLERİ'!D715</f>
        <v/>
      </c>
      <c r="AU714" s="34">
        <f>IF(AP714&gt;AT714*1.05,AP714-AT714*1.05,IF(AP714&lt;AT714*0.95,AT714*0.95-AP714,0))</f>
        <v/>
      </c>
      <c r="AV714" s="34">
        <f>MAX(F714:G714,750)*0.05*AU714</f>
        <v/>
      </c>
      <c r="AW714" s="34">
        <f>AC714+AJ714+AQ714</f>
        <v/>
      </c>
      <c r="AX714" s="34">
        <f>AF714+AM714+AT714</f>
        <v/>
      </c>
      <c r="AY714" s="34">
        <f>AB714+AI714+AP714</f>
        <v/>
      </c>
      <c r="AZ714" s="34" t="n">
        <v>0</v>
      </c>
      <c r="BA714" s="34">
        <f>AD714+AK714+AR714</f>
        <v/>
      </c>
      <c r="BB714" s="34">
        <f>MAX(F714:G714,750)*0.05*BA714</f>
        <v/>
      </c>
      <c r="BC714" s="34">
        <f>AG714+AN714+AU714</f>
        <v/>
      </c>
      <c r="BD714" s="34">
        <f>MAX(F714:G714,750)*0.05*BC714</f>
        <v/>
      </c>
      <c r="BE714" s="34">
        <f>F714*AY714</f>
        <v/>
      </c>
      <c r="BF714" s="34">
        <f>K714-M714</f>
        <v/>
      </c>
      <c r="BG714" s="34">
        <f>P714-S714</f>
        <v/>
      </c>
      <c r="BH714" s="34">
        <f>W714-AA714</f>
        <v/>
      </c>
      <c r="BI714" s="34">
        <f>BF714+BG714+BL714-BN714</f>
        <v/>
      </c>
      <c r="BJ714" s="34">
        <f>ABS(BK714)</f>
        <v/>
      </c>
      <c r="BK714" s="34">
        <f>AY714-(J714-L714+N714-Q714)</f>
        <v/>
      </c>
      <c r="BL714" s="34">
        <f>IF(AND(BK714&gt;0,MIN($F714:$G714)&lt;150,$E714="Enerji Açığı"),-100*BK714*1.03,IF(AND(BK714&gt;0,MIN($F714:$G714)&lt;150,$E714="Enerji Fazlası"),-100*BK714*1.06,IF(AND(BK714&gt;0,MIN($F714:$G714)&gt;=150,$E714="Enerji Açığı"),BK714*MIN($F714:$G714)*0.97,IF(AND(BK714&gt;0,MIN($F714:$G714)&gt;=150,$E714="Enerji Fazlası"),BK714*MIN($F714:$G714)*0.94,IF(AND(BK714&lt;0,MAX($F714:$G714)=4500,$E714="Enerji Açığı"),4500*1.05*1.06*BK714,IF(AND(BK714&lt;0,MAX($F714:$G714)=4500,$E714="Enerji Fazlası"),4500*1.05*1.03*BK714,IF(AND(BK714&lt;0,$E714="Enerji Açığı"),MAX($F714,$G714,150)*BK714*1.06,IF(AND(BK714&lt;0,$E714="Enerji Fazlası"),MAX($F714,$G714,150)*BK714*1.03,IF(AND(BK714&lt;0,$E714="Dengede"),MAX($F714:$G714,150)*1.03*BK714,MIN($F714:$G714)*0.97*BK714)))))))))</f>
        <v/>
      </c>
      <c r="BM714" s="34">
        <f>BE714-BI714-BN714</f>
        <v/>
      </c>
      <c r="BN714" s="34">
        <f>BB714</f>
        <v/>
      </c>
      <c r="BO714" s="34">
        <f>BE714-BI714</f>
        <v/>
      </c>
      <c r="BP714" s="34">
        <f>IF(AY714=0,0,BO714/AY714)</f>
        <v/>
      </c>
      <c r="BQ714" s="34">
        <f>MAX((AY714+MAX((-J714+L714-N714+Q714),0)),(MAX((J714-L714+N714-Q714),0)))</f>
        <v/>
      </c>
      <c r="BR714" s="82">
        <f>IFERROR(ABS(BK714/BQ714),0)</f>
        <v/>
      </c>
      <c r="BS714" s="34">
        <f>IF(BR714&lt;=0.1,0,BK714/BR714*(BR714-0.1))</f>
        <v/>
      </c>
      <c r="BT714" s="34">
        <f>IF((BS714)&lt;0,MAX(F714:G714)*(BS714)*1.03,MIN(F714:G714)*(BS714)*0.97)</f>
        <v/>
      </c>
      <c r="BU714" s="34">
        <f>IF(BR714&gt;0.1,1,0)</f>
        <v/>
      </c>
      <c r="BV714" s="34">
        <f>BF714+BG714+BH714+BY714-CA714</f>
        <v/>
      </c>
      <c r="BW714" s="34">
        <f>ABS(BX714)</f>
        <v/>
      </c>
      <c r="BX714" s="34">
        <f>AY714-(J714-L714+N714-Q714+T714-X714)</f>
        <v/>
      </c>
      <c r="BY714" s="34">
        <f>IF(AND(BX714&gt;0,MIN($F714:$G714)&lt;150,$E714="Enerji Açığı"),-100*BX714*1.03,IF(AND(BX714&gt;0,MIN($F714:$G714)&lt;150,$E714="Enerji Fazlası"),-100*BX714*1.06,IF(AND(BX714&gt;0,MIN($F714:$G714)&gt;=150,$E714="Enerji Açığı"),BX714*MIN($F714:$G714)*0.97,IF(AND(BX714&gt;0,MIN($F714:$G714)&gt;=150,$E714="Enerji Fazlası"),BX714*MIN($F714:$G714)*0.94,IF(AND(BX714&lt;0,MAX($F714:$G714)=4500,$E714="Enerji Açığı"),4500*1.05*1.06*BX714,IF(AND(BX714&lt;0,MAX($F714:$G714)=4500,$E714="Enerji Fazlası"),4500*1.05*1.03*BX714,IF(AND(BX714&lt;0,$E714="Enerji Açığı"),MAX($F714,$G714,150)*BX714*1.06,IF(AND(BX714&lt;0,$E714="Enerji Fazlası"),MAX($F714,$G714,150)*BX714*1.03,IF(AND(BX714&lt;0,$E714="Dengede"),MAX($F714:$G714,150)*1.03*BX714,MIN($F714:$G714)*0.97*BX714)))))))))</f>
        <v/>
      </c>
      <c r="BZ714" s="34">
        <f>BE714-BV714-CA714</f>
        <v/>
      </c>
      <c r="CA714" s="34">
        <f>BD714</f>
        <v/>
      </c>
      <c r="CB714" s="33">
        <f>BE714-BV714</f>
        <v/>
      </c>
      <c r="CC714" s="34">
        <f>IF(AY714=0,0,CB714/AY714)</f>
        <v/>
      </c>
      <c r="CD714" s="34">
        <f>MAX((AY714+MAX((-J714+L714-N714+Q714-T714+X714),0)),(MAX((J714-L714+N714-Q714+T714-X714),0)))</f>
        <v/>
      </c>
      <c r="CE714" s="82">
        <f>IFERROR(ABS(BX714/CD714),0)</f>
        <v/>
      </c>
      <c r="CF714" s="34">
        <f>IF(CE714&lt;=0.1,0,BX714/CE714*(CE714-0.1))</f>
        <v/>
      </c>
      <c r="CG714" s="34">
        <f>IF((CF714)&lt;0,MAX(F714:G714)*(CF714)*1.03,MIN(F714:G714)*(CF714)*0.97)</f>
        <v/>
      </c>
      <c r="CH714" s="34">
        <f>IF(CE714&gt;0.1,1,0)</f>
        <v/>
      </c>
      <c r="CI714" s="34">
        <f>(F714*BX714)-BY714</f>
        <v/>
      </c>
      <c r="CJ714" s="34">
        <f>IF(AY714=0,0,CI714/AY714)</f>
        <v/>
      </c>
    </row>
    <row r="715">
      <c r="A715" s="29">
        <f>[1]FİYATLAR!A690</f>
        <v/>
      </c>
      <c r="B715" s="29">
        <f>[1]FİYATLAR!B714</f>
        <v/>
      </c>
      <c r="C715" s="35">
        <f>INT(A715)</f>
        <v/>
      </c>
      <c r="D715" s="36">
        <f>MONTH(A715)</f>
        <v/>
      </c>
      <c r="E715" s="147">
        <f>[1]FİYATLAR!G690</f>
        <v/>
      </c>
      <c r="F715" s="30">
        <f>[1]FİYATLAR!C690</f>
        <v/>
      </c>
      <c r="G715" s="30">
        <f>[1]FİYATLAR!E690</f>
        <v/>
      </c>
      <c r="H715" s="30">
        <f>[1]FİYATLAR!D690</f>
        <v/>
      </c>
      <c r="I715" s="30">
        <f>[1]FİYATLAR!F690</f>
        <v/>
      </c>
      <c r="J715" s="119" t="n">
        <v>0</v>
      </c>
      <c r="K715" s="34">
        <f>F715*J715</f>
        <v/>
      </c>
      <c r="L715" s="119" t="n"/>
      <c r="M715" s="34">
        <f>L715*F715</f>
        <v/>
      </c>
      <c r="N715" s="119" t="n"/>
      <c r="O715" s="34">
        <f>F715</f>
        <v/>
      </c>
      <c r="P715" s="34">
        <f>N715*O715</f>
        <v/>
      </c>
      <c r="Q715" s="117" t="n">
        <v>0</v>
      </c>
      <c r="R715" s="34">
        <f>F715</f>
        <v/>
      </c>
      <c r="S715" s="34">
        <f>R715*Q715</f>
        <v/>
      </c>
      <c r="T715" s="34">
        <f>SUMIFS('[1]GİP VERİLERİ'!$C:$C,'[1]GİP VERİLERİ'!$B:$B,A715,'[1]GİP VERİLERİ'!$M:$M,"40X000000104782K",'[1]GİP VERİLERİ'!$G:$G,"SELL")</f>
        <v/>
      </c>
      <c r="U715" s="34">
        <f>IFERROR(W715/T715,0)</f>
        <v/>
      </c>
      <c r="V715" s="34">
        <f>IF(U715=0,0,U715-F715)</f>
        <v/>
      </c>
      <c r="W715" s="34">
        <f>SUMIFS('[1]GİP VERİLERİ'!$O:$O,'[1]GİP VERİLERİ'!$B:$B,A715,'[1]GİP VERİLERİ'!$M:$M,"40X000000104782K",'[1]GİP VERİLERİ'!$G:$G,"SELL")</f>
        <v/>
      </c>
      <c r="X715" s="34">
        <f>SUMIFS('[1]GİP VERİLERİ'!$C:$C,'[1]GİP VERİLERİ'!$B:$B,A715,'[1]GİP VERİLERİ'!$M:$M,"40X000000104782K",'[1]GİP VERİLERİ'!$G:$G,"BUY")</f>
        <v/>
      </c>
      <c r="Y715" s="34">
        <f>IFERROR(AA715/X715,0)</f>
        <v/>
      </c>
      <c r="Z715" s="34">
        <f>IF(Y715=0,0,F715-Y715)</f>
        <v/>
      </c>
      <c r="AA715" s="34">
        <f>SUMIFS('[1]GİP VERİLERİ'!$O:$O,'[1]GİP VERİLERİ'!$B:$B,A715,'[1]GİP VERİLERİ'!$M:$M,"40X000000104782K",'[1]GİP VERİLERİ'!$G:$G,"BUY")</f>
        <v/>
      </c>
      <c r="AB715" s="34">
        <f>'[1]GÖP VERİLERİ'!H716</f>
        <v/>
      </c>
      <c r="AC715" s="34">
        <f>'[1]GÖP VERİLERİ'!I716</f>
        <v/>
      </c>
      <c r="AD715" s="34">
        <f>IF(AB715&gt;AC715*1.05,AB715-AC715*1.05,IF(AB715&lt;AC715*0.95,AC715*0.95-AB715,0))</f>
        <v/>
      </c>
      <c r="AE715" s="34">
        <f>MAX(F715,G715,750)*0.05*AD715</f>
        <v/>
      </c>
      <c r="AF715" s="34">
        <f>'[1]GÖP VERİLERİ'!J716</f>
        <v/>
      </c>
      <c r="AG715" s="34">
        <f>IF(AB715&gt;AF715*1.05,AB715-AF715*1.05,IF(AB715&lt;AF715*0.95,AF715*0.95-AB715,0))</f>
        <v/>
      </c>
      <c r="AH715" s="34">
        <f>MAX(I715,J715,750)*0.05*AG715</f>
        <v/>
      </c>
      <c r="AI715">
        <f>'[1]GÖP VERİLERİ'!E716</f>
        <v/>
      </c>
      <c r="AJ715">
        <f>'[1]GÖP VERİLERİ'!F716</f>
        <v/>
      </c>
      <c r="AK715" s="34">
        <f>IF(AI715&gt;AJ715*1.05,AI715-AJ715*1.05,IF(AI715&lt;AJ715*0.95,AJ715*0.95-AI715,0))</f>
        <v/>
      </c>
      <c r="AL715" s="34">
        <f>MAX(F715,G715,750)*0.05*AK715</f>
        <v/>
      </c>
      <c r="AM715" s="39">
        <f>'[1]GÖP VERİLERİ'!G716</f>
        <v/>
      </c>
      <c r="AN715" s="34">
        <f>IF(AI715&gt;AM715*1.05,AI715-AM715*1.05,IF(AI715&lt;AM715*0.95,AM715*0.95-AI715,0))</f>
        <v/>
      </c>
      <c r="AO715" s="34">
        <f>MAX(F715,G715,750)*0.05*AN715</f>
        <v/>
      </c>
      <c r="AP715" s="34">
        <f>'[1]GÖP VERİLERİ'!B716</f>
        <v/>
      </c>
      <c r="AQ715" s="34">
        <f>'[1]GÖP VERİLERİ'!C716</f>
        <v/>
      </c>
      <c r="AR715" s="34">
        <f>IF(AP715&gt;AQ715*1.05,AP715-AQ715*1.05,IF(AP715&lt;AQ715*0.95,AQ715*0.95-AP715,0))</f>
        <v/>
      </c>
      <c r="AS715" s="34">
        <f>MAX(F715:G715,750)*0.05*AR715</f>
        <v/>
      </c>
      <c r="AT715">
        <f>'[1]GÖP VERİLERİ'!D716</f>
        <v/>
      </c>
      <c r="AU715" s="34">
        <f>IF(AP715&gt;AT715*1.05,AP715-AT715*1.05,IF(AP715&lt;AT715*0.95,AT715*0.95-AP715,0))</f>
        <v/>
      </c>
      <c r="AV715" s="34">
        <f>MAX(F715:G715,750)*0.05*AU715</f>
        <v/>
      </c>
      <c r="AW715" s="34">
        <f>AC715+AJ715+AQ715</f>
        <v/>
      </c>
      <c r="AX715" s="34">
        <f>AF715+AM715+AT715</f>
        <v/>
      </c>
      <c r="AY715" s="34">
        <f>AB715+AI715+AP715</f>
        <v/>
      </c>
      <c r="AZ715" s="34" t="n">
        <v>0</v>
      </c>
      <c r="BA715" s="34">
        <f>AD715+AK715+AR715</f>
        <v/>
      </c>
      <c r="BB715" s="34">
        <f>MAX(F715:G715,750)*0.05*BA715</f>
        <v/>
      </c>
      <c r="BC715" s="34">
        <f>AG715+AN715+AU715</f>
        <v/>
      </c>
      <c r="BD715" s="34">
        <f>MAX(F715:G715,750)*0.05*BC715</f>
        <v/>
      </c>
      <c r="BE715" s="34">
        <f>F715*AY715</f>
        <v/>
      </c>
      <c r="BF715" s="34">
        <f>K715-M715</f>
        <v/>
      </c>
      <c r="BG715" s="34">
        <f>P715-S715</f>
        <v/>
      </c>
      <c r="BH715" s="34">
        <f>W715-AA715</f>
        <v/>
      </c>
      <c r="BI715" s="34">
        <f>BF715+BG715+BL715-BN715</f>
        <v/>
      </c>
      <c r="BJ715" s="34">
        <f>ABS(BK715)</f>
        <v/>
      </c>
      <c r="BK715" s="34">
        <f>AY715-(J715-L715+N715-Q715)</f>
        <v/>
      </c>
      <c r="BL715" s="34">
        <f>IF(AND(BK715&gt;0,MIN($F715:$G715)&lt;150,$E715="Enerji Açığı"),-100*BK715*1.03,IF(AND(BK715&gt;0,MIN($F715:$G715)&lt;150,$E715="Enerji Fazlası"),-100*BK715*1.06,IF(AND(BK715&gt;0,MIN($F715:$G715)&gt;=150,$E715="Enerji Açığı"),BK715*MIN($F715:$G715)*0.97,IF(AND(BK715&gt;0,MIN($F715:$G715)&gt;=150,$E715="Enerji Fazlası"),BK715*MIN($F715:$G715)*0.94,IF(AND(BK715&lt;0,MAX($F715:$G715)=4500,$E715="Enerji Açığı"),4500*1.05*1.06*BK715,IF(AND(BK715&lt;0,MAX($F715:$G715)=4500,$E715="Enerji Fazlası"),4500*1.05*1.03*BK715,IF(AND(BK715&lt;0,$E715="Enerji Açığı"),MAX($F715,$G715,150)*BK715*1.06,IF(AND(BK715&lt;0,$E715="Enerji Fazlası"),MAX($F715,$G715,150)*BK715*1.03,IF(AND(BK715&lt;0,$E715="Dengede"),MAX($F715:$G715,150)*1.03*BK715,MIN($F715:$G715)*0.97*BK715)))))))))</f>
        <v/>
      </c>
      <c r="BM715" s="34">
        <f>BE715-BI715-BN715</f>
        <v/>
      </c>
      <c r="BN715" s="34">
        <f>BB715</f>
        <v/>
      </c>
      <c r="BO715" s="34">
        <f>BE715-BI715</f>
        <v/>
      </c>
      <c r="BP715" s="34">
        <f>IF(AY715=0,0,BO715/AY715)</f>
        <v/>
      </c>
      <c r="BQ715" s="34">
        <f>MAX((AY715+MAX((-J715+L715-N715+Q715),0)),(MAX((J715-L715+N715-Q715),0)))</f>
        <v/>
      </c>
      <c r="BR715" s="82">
        <f>IFERROR(ABS(BK715/BQ715),0)</f>
        <v/>
      </c>
      <c r="BS715" s="34">
        <f>IF(BR715&lt;=0.1,0,BK715/BR715*(BR715-0.1))</f>
        <v/>
      </c>
      <c r="BT715" s="34">
        <f>IF((BS715)&lt;0,MAX(F715:G715)*(BS715)*1.03,MIN(F715:G715)*(BS715)*0.97)</f>
        <v/>
      </c>
      <c r="BU715" s="34">
        <f>IF(BR715&gt;0.1,1,0)</f>
        <v/>
      </c>
      <c r="BV715" s="34">
        <f>BF715+BG715+BH715+BY715-CA715</f>
        <v/>
      </c>
      <c r="BW715" s="34">
        <f>ABS(BX715)</f>
        <v/>
      </c>
      <c r="BX715" s="34">
        <f>AY715-(J715-L715+N715-Q715+T715-X715)</f>
        <v/>
      </c>
      <c r="BY715" s="34">
        <f>IF(AND(BX715&gt;0,MIN($F715:$G715)&lt;150,$E715="Enerji Açığı"),-100*BX715*1.03,IF(AND(BX715&gt;0,MIN($F715:$G715)&lt;150,$E715="Enerji Fazlası"),-100*BX715*1.06,IF(AND(BX715&gt;0,MIN($F715:$G715)&gt;=150,$E715="Enerji Açığı"),BX715*MIN($F715:$G715)*0.97,IF(AND(BX715&gt;0,MIN($F715:$G715)&gt;=150,$E715="Enerji Fazlası"),BX715*MIN($F715:$G715)*0.94,IF(AND(BX715&lt;0,MAX($F715:$G715)=4500,$E715="Enerji Açığı"),4500*1.05*1.06*BX715,IF(AND(BX715&lt;0,MAX($F715:$G715)=4500,$E715="Enerji Fazlası"),4500*1.05*1.03*BX715,IF(AND(BX715&lt;0,$E715="Enerji Açığı"),MAX($F715,$G715,150)*BX715*1.06,IF(AND(BX715&lt;0,$E715="Enerji Fazlası"),MAX($F715,$G715,150)*BX715*1.03,IF(AND(BX715&lt;0,$E715="Dengede"),MAX($F715:$G715,150)*1.03*BX715,MIN($F715:$G715)*0.97*BX715)))))))))</f>
        <v/>
      </c>
      <c r="BZ715" s="34">
        <f>BE715-BV715-CA715</f>
        <v/>
      </c>
      <c r="CA715" s="34">
        <f>BD715</f>
        <v/>
      </c>
      <c r="CB715" s="33">
        <f>BE715-BV715</f>
        <v/>
      </c>
      <c r="CC715" s="34">
        <f>IF(AY715=0,0,CB715/AY715)</f>
        <v/>
      </c>
      <c r="CD715" s="34">
        <f>MAX((AY715+MAX((-J715+L715-N715+Q715-T715+X715),0)),(MAX((J715-L715+N715-Q715+T715-X715),0)))</f>
        <v/>
      </c>
      <c r="CE715" s="82">
        <f>IFERROR(ABS(BX715/CD715),0)</f>
        <v/>
      </c>
      <c r="CF715" s="34">
        <f>IF(CE715&lt;=0.1,0,BX715/CE715*(CE715-0.1))</f>
        <v/>
      </c>
      <c r="CG715" s="34">
        <f>IF((CF715)&lt;0,MAX(F715:G715)*(CF715)*1.03,MIN(F715:G715)*(CF715)*0.97)</f>
        <v/>
      </c>
      <c r="CH715" s="34">
        <f>IF(CE715&gt;0.1,1,0)</f>
        <v/>
      </c>
      <c r="CI715" s="34">
        <f>(F715*BX715)-BY715</f>
        <v/>
      </c>
      <c r="CJ715" s="34">
        <f>IF(AY715=0,0,CI715/AY715)</f>
        <v/>
      </c>
    </row>
    <row r="716">
      <c r="A716" s="29">
        <f>[1]FİYATLAR!A691</f>
        <v/>
      </c>
      <c r="B716" s="29">
        <f>[1]FİYATLAR!B715</f>
        <v/>
      </c>
      <c r="C716" s="35">
        <f>INT(A716)</f>
        <v/>
      </c>
      <c r="D716" s="36">
        <f>MONTH(A716)</f>
        <v/>
      </c>
      <c r="E716" s="147">
        <f>[1]FİYATLAR!G691</f>
        <v/>
      </c>
      <c r="F716" s="30">
        <f>[1]FİYATLAR!C691</f>
        <v/>
      </c>
      <c r="G716" s="30">
        <f>[1]FİYATLAR!E691</f>
        <v/>
      </c>
      <c r="H716" s="30">
        <f>[1]FİYATLAR!D691</f>
        <v/>
      </c>
      <c r="I716" s="30">
        <f>[1]FİYATLAR!F691</f>
        <v/>
      </c>
      <c r="J716" s="119" t="n">
        <v>0</v>
      </c>
      <c r="K716" s="34">
        <f>F716*J716</f>
        <v/>
      </c>
      <c r="L716" s="119" t="n"/>
      <c r="M716" s="34">
        <f>L716*F716</f>
        <v/>
      </c>
      <c r="N716" s="119" t="n"/>
      <c r="O716" s="34">
        <f>F716</f>
        <v/>
      </c>
      <c r="P716" s="34">
        <f>N716*O716</f>
        <v/>
      </c>
      <c r="Q716" s="117" t="n">
        <v>0</v>
      </c>
      <c r="R716" s="34">
        <f>F716</f>
        <v/>
      </c>
      <c r="S716" s="34">
        <f>R716*Q716</f>
        <v/>
      </c>
      <c r="T716" s="34">
        <f>SUMIFS('[1]GİP VERİLERİ'!$C:$C,'[1]GİP VERİLERİ'!$B:$B,A716,'[1]GİP VERİLERİ'!$M:$M,"40X000000104782K",'[1]GİP VERİLERİ'!$G:$G,"SELL")</f>
        <v/>
      </c>
      <c r="U716" s="34">
        <f>IFERROR(W716/T716,0)</f>
        <v/>
      </c>
      <c r="V716" s="34">
        <f>IF(U716=0,0,U716-F716)</f>
        <v/>
      </c>
      <c r="W716" s="34">
        <f>SUMIFS('[1]GİP VERİLERİ'!$O:$O,'[1]GİP VERİLERİ'!$B:$B,A716,'[1]GİP VERİLERİ'!$M:$M,"40X000000104782K",'[1]GİP VERİLERİ'!$G:$G,"SELL")</f>
        <v/>
      </c>
      <c r="X716" s="34">
        <f>SUMIFS('[1]GİP VERİLERİ'!$C:$C,'[1]GİP VERİLERİ'!$B:$B,A716,'[1]GİP VERİLERİ'!$M:$M,"40X000000104782K",'[1]GİP VERİLERİ'!$G:$G,"BUY")</f>
        <v/>
      </c>
      <c r="Y716" s="34">
        <f>IFERROR(AA716/X716,0)</f>
        <v/>
      </c>
      <c r="Z716" s="34">
        <f>IF(Y716=0,0,F716-Y716)</f>
        <v/>
      </c>
      <c r="AA716" s="34">
        <f>SUMIFS('[1]GİP VERİLERİ'!$O:$O,'[1]GİP VERİLERİ'!$B:$B,A716,'[1]GİP VERİLERİ'!$M:$M,"40X000000104782K",'[1]GİP VERİLERİ'!$G:$G,"BUY")</f>
        <v/>
      </c>
      <c r="AB716" s="34">
        <f>'[1]GÖP VERİLERİ'!H717</f>
        <v/>
      </c>
      <c r="AC716" s="34">
        <f>'[1]GÖP VERİLERİ'!I717</f>
        <v/>
      </c>
      <c r="AD716" s="34">
        <f>IF(AB716&gt;AC716*1.05,AB716-AC716*1.05,IF(AB716&lt;AC716*0.95,AC716*0.95-AB716,0))</f>
        <v/>
      </c>
      <c r="AE716" s="34">
        <f>MAX(F716,G716,750)*0.05*AD716</f>
        <v/>
      </c>
      <c r="AF716" s="34">
        <f>'[1]GÖP VERİLERİ'!J717</f>
        <v/>
      </c>
      <c r="AG716" s="34">
        <f>IF(AB716&gt;AF716*1.05,AB716-AF716*1.05,IF(AB716&lt;AF716*0.95,AF716*0.95-AB716,0))</f>
        <v/>
      </c>
      <c r="AH716" s="34">
        <f>MAX(I716,J716,750)*0.05*AG716</f>
        <v/>
      </c>
      <c r="AI716">
        <f>'[1]GÖP VERİLERİ'!E717</f>
        <v/>
      </c>
      <c r="AJ716">
        <f>'[1]GÖP VERİLERİ'!F717</f>
        <v/>
      </c>
      <c r="AK716" s="34">
        <f>IF(AI716&gt;AJ716*1.05,AI716-AJ716*1.05,IF(AI716&lt;AJ716*0.95,AJ716*0.95-AI716,0))</f>
        <v/>
      </c>
      <c r="AL716" s="34">
        <f>MAX(F716,G716,750)*0.05*AK716</f>
        <v/>
      </c>
      <c r="AM716" s="39">
        <f>'[1]GÖP VERİLERİ'!G717</f>
        <v/>
      </c>
      <c r="AN716" s="34">
        <f>IF(AI716&gt;AM716*1.05,AI716-AM716*1.05,IF(AI716&lt;AM716*0.95,AM716*0.95-AI716,0))</f>
        <v/>
      </c>
      <c r="AO716" s="34">
        <f>MAX(F716,G716,750)*0.05*AN716</f>
        <v/>
      </c>
      <c r="AP716" s="34">
        <f>'[1]GÖP VERİLERİ'!B717</f>
        <v/>
      </c>
      <c r="AQ716" s="34">
        <f>'[1]GÖP VERİLERİ'!C717</f>
        <v/>
      </c>
      <c r="AR716" s="34">
        <f>IF(AP716&gt;AQ716*1.05,AP716-AQ716*1.05,IF(AP716&lt;AQ716*0.95,AQ716*0.95-AP716,0))</f>
        <v/>
      </c>
      <c r="AS716" s="34">
        <f>MAX(F716:G716,750)*0.05*AR716</f>
        <v/>
      </c>
      <c r="AT716">
        <f>'[1]GÖP VERİLERİ'!D717</f>
        <v/>
      </c>
      <c r="AU716" s="34">
        <f>IF(AP716&gt;AT716*1.05,AP716-AT716*1.05,IF(AP716&lt;AT716*0.95,AT716*0.95-AP716,0))</f>
        <v/>
      </c>
      <c r="AV716" s="34">
        <f>MAX(F716:G716,750)*0.05*AU716</f>
        <v/>
      </c>
      <c r="AW716" s="34">
        <f>AC716+AJ716+AQ716</f>
        <v/>
      </c>
      <c r="AX716" s="34">
        <f>AF716+AM716+AT716</f>
        <v/>
      </c>
      <c r="AY716" s="34">
        <f>AB716+AI716+AP716</f>
        <v/>
      </c>
      <c r="AZ716" s="34" t="n">
        <v>0</v>
      </c>
      <c r="BA716" s="34">
        <f>AD716+AK716+AR716</f>
        <v/>
      </c>
      <c r="BB716" s="34">
        <f>MAX(F716:G716,750)*0.05*BA716</f>
        <v/>
      </c>
      <c r="BC716" s="34">
        <f>AG716+AN716+AU716</f>
        <v/>
      </c>
      <c r="BD716" s="34">
        <f>MAX(F716:G716,750)*0.05*BC716</f>
        <v/>
      </c>
      <c r="BE716" s="34">
        <f>F716*AY716</f>
        <v/>
      </c>
      <c r="BF716" s="34">
        <f>K716-M716</f>
        <v/>
      </c>
      <c r="BG716" s="34">
        <f>P716-S716</f>
        <v/>
      </c>
      <c r="BH716" s="34">
        <f>W716-AA716</f>
        <v/>
      </c>
      <c r="BI716" s="34">
        <f>BF716+BG716+BL716-BN716</f>
        <v/>
      </c>
      <c r="BJ716" s="34">
        <f>ABS(BK716)</f>
        <v/>
      </c>
      <c r="BK716" s="34">
        <f>AY716-(J716-L716+N716-Q716)</f>
        <v/>
      </c>
      <c r="BL716" s="34">
        <f>IF(AND(BK716&gt;0,MIN($F716:$G716)&lt;150,$E716="Enerji Açığı"),-100*BK716*1.03,IF(AND(BK716&gt;0,MIN($F716:$G716)&lt;150,$E716="Enerji Fazlası"),-100*BK716*1.06,IF(AND(BK716&gt;0,MIN($F716:$G716)&gt;=150,$E716="Enerji Açığı"),BK716*MIN($F716:$G716)*0.97,IF(AND(BK716&gt;0,MIN($F716:$G716)&gt;=150,$E716="Enerji Fazlası"),BK716*MIN($F716:$G716)*0.94,IF(AND(BK716&lt;0,MAX($F716:$G716)=4500,$E716="Enerji Açığı"),4500*1.05*1.06*BK716,IF(AND(BK716&lt;0,MAX($F716:$G716)=4500,$E716="Enerji Fazlası"),4500*1.05*1.03*BK716,IF(AND(BK716&lt;0,$E716="Enerji Açığı"),MAX($F716,$G716,150)*BK716*1.06,IF(AND(BK716&lt;0,$E716="Enerji Fazlası"),MAX($F716,$G716,150)*BK716*1.03,IF(AND(BK716&lt;0,$E716="Dengede"),MAX($F716:$G716,150)*1.03*BK716,MIN($F716:$G716)*0.97*BK716)))))))))</f>
        <v/>
      </c>
      <c r="BM716" s="34">
        <f>BE716-BI716-BN716</f>
        <v/>
      </c>
      <c r="BN716" s="34">
        <f>BB716</f>
        <v/>
      </c>
      <c r="BO716" s="34">
        <f>BE716-BI716</f>
        <v/>
      </c>
      <c r="BP716" s="34">
        <f>IF(AY716=0,0,BO716/AY716)</f>
        <v/>
      </c>
      <c r="BQ716" s="34">
        <f>MAX((AY716+MAX((-J716+L716-N716+Q716),0)),(MAX((J716-L716+N716-Q716),0)))</f>
        <v/>
      </c>
      <c r="BR716" s="82">
        <f>IFERROR(ABS(BK716/BQ716),0)</f>
        <v/>
      </c>
      <c r="BS716" s="34">
        <f>IF(BR716&lt;=0.1,0,BK716/BR716*(BR716-0.1))</f>
        <v/>
      </c>
      <c r="BT716" s="34">
        <f>IF((BS716)&lt;0,MAX(F716:G716)*(BS716)*1.03,MIN(F716:G716)*(BS716)*0.97)</f>
        <v/>
      </c>
      <c r="BU716" s="34">
        <f>IF(BR716&gt;0.1,1,0)</f>
        <v/>
      </c>
      <c r="BV716" s="34">
        <f>BF716+BG716+BH716+BY716-CA716</f>
        <v/>
      </c>
      <c r="BW716" s="34">
        <f>ABS(BX716)</f>
        <v/>
      </c>
      <c r="BX716" s="34">
        <f>AY716-(J716-L716+N716-Q716+T716-X716)</f>
        <v/>
      </c>
      <c r="BY716" s="34">
        <f>IF(AND(BX716&gt;0,MIN($F716:$G716)&lt;150,$E716="Enerji Açığı"),-100*BX716*1.03,IF(AND(BX716&gt;0,MIN($F716:$G716)&lt;150,$E716="Enerji Fazlası"),-100*BX716*1.06,IF(AND(BX716&gt;0,MIN($F716:$G716)&gt;=150,$E716="Enerji Açığı"),BX716*MIN($F716:$G716)*0.97,IF(AND(BX716&gt;0,MIN($F716:$G716)&gt;=150,$E716="Enerji Fazlası"),BX716*MIN($F716:$G716)*0.94,IF(AND(BX716&lt;0,MAX($F716:$G716)=4500,$E716="Enerji Açığı"),4500*1.05*1.06*BX716,IF(AND(BX716&lt;0,MAX($F716:$G716)=4500,$E716="Enerji Fazlası"),4500*1.05*1.03*BX716,IF(AND(BX716&lt;0,$E716="Enerji Açığı"),MAX($F716,$G716,150)*BX716*1.06,IF(AND(BX716&lt;0,$E716="Enerji Fazlası"),MAX($F716,$G716,150)*BX716*1.03,IF(AND(BX716&lt;0,$E716="Dengede"),MAX($F716:$G716,150)*1.03*BX716,MIN($F716:$G716)*0.97*BX716)))))))))</f>
        <v/>
      </c>
      <c r="BZ716" s="34">
        <f>BE716-BV716-CA716</f>
        <v/>
      </c>
      <c r="CA716" s="34">
        <f>BD716</f>
        <v/>
      </c>
      <c r="CB716" s="33">
        <f>BE716-BV716</f>
        <v/>
      </c>
      <c r="CC716" s="34">
        <f>IF(AY716=0,0,CB716/AY716)</f>
        <v/>
      </c>
      <c r="CD716" s="34">
        <f>MAX((AY716+MAX((-J716+L716-N716+Q716-T716+X716),0)),(MAX((J716-L716+N716-Q716+T716-X716),0)))</f>
        <v/>
      </c>
      <c r="CE716" s="82">
        <f>IFERROR(ABS(BX716/CD716),0)</f>
        <v/>
      </c>
      <c r="CF716" s="34">
        <f>IF(CE716&lt;=0.1,0,BX716/CE716*(CE716-0.1))</f>
        <v/>
      </c>
      <c r="CG716" s="34">
        <f>IF((CF716)&lt;0,MAX(F716:G716)*(CF716)*1.03,MIN(F716:G716)*(CF716)*0.97)</f>
        <v/>
      </c>
      <c r="CH716" s="34">
        <f>IF(CE716&gt;0.1,1,0)</f>
        <v/>
      </c>
      <c r="CI716" s="34">
        <f>(F716*BX716)-BY716</f>
        <v/>
      </c>
      <c r="CJ716" s="34">
        <f>IF(AY716=0,0,CI716/AY716)</f>
        <v/>
      </c>
    </row>
    <row r="717">
      <c r="A717" s="29">
        <f>[1]FİYATLAR!A692</f>
        <v/>
      </c>
      <c r="B717" s="29">
        <f>[1]FİYATLAR!B716</f>
        <v/>
      </c>
      <c r="C717" s="35">
        <f>INT(A717)</f>
        <v/>
      </c>
      <c r="D717" s="36">
        <f>MONTH(A717)</f>
        <v/>
      </c>
      <c r="E717" s="147">
        <f>[1]FİYATLAR!G692</f>
        <v/>
      </c>
      <c r="F717" s="30">
        <f>[1]FİYATLAR!C692</f>
        <v/>
      </c>
      <c r="G717" s="30">
        <f>[1]FİYATLAR!E692</f>
        <v/>
      </c>
      <c r="H717" s="30">
        <f>[1]FİYATLAR!D692</f>
        <v/>
      </c>
      <c r="I717" s="30">
        <f>[1]FİYATLAR!F692</f>
        <v/>
      </c>
      <c r="J717" s="119" t="n">
        <v>0</v>
      </c>
      <c r="K717" s="34">
        <f>F717*J717</f>
        <v/>
      </c>
      <c r="L717" s="119" t="n"/>
      <c r="M717" s="34">
        <f>L717*F717</f>
        <v/>
      </c>
      <c r="N717" s="119" t="n"/>
      <c r="O717" s="34">
        <f>F717</f>
        <v/>
      </c>
      <c r="P717" s="34">
        <f>N717*O717</f>
        <v/>
      </c>
      <c r="Q717" s="117" t="n">
        <v>0</v>
      </c>
      <c r="R717" s="34">
        <f>F717</f>
        <v/>
      </c>
      <c r="S717" s="34">
        <f>R717*Q717</f>
        <v/>
      </c>
      <c r="T717" s="34">
        <f>SUMIFS('[1]GİP VERİLERİ'!$C:$C,'[1]GİP VERİLERİ'!$B:$B,A717,'[1]GİP VERİLERİ'!$M:$M,"40X000000104782K",'[1]GİP VERİLERİ'!$G:$G,"SELL")</f>
        <v/>
      </c>
      <c r="U717" s="34">
        <f>IFERROR(W717/T717,0)</f>
        <v/>
      </c>
      <c r="V717" s="34">
        <f>IF(U717=0,0,U717-F717)</f>
        <v/>
      </c>
      <c r="W717" s="34">
        <f>SUMIFS('[1]GİP VERİLERİ'!$O:$O,'[1]GİP VERİLERİ'!$B:$B,A717,'[1]GİP VERİLERİ'!$M:$M,"40X000000104782K",'[1]GİP VERİLERİ'!$G:$G,"SELL")</f>
        <v/>
      </c>
      <c r="X717" s="34">
        <f>SUMIFS('[1]GİP VERİLERİ'!$C:$C,'[1]GİP VERİLERİ'!$B:$B,A717,'[1]GİP VERİLERİ'!$M:$M,"40X000000104782K",'[1]GİP VERİLERİ'!$G:$G,"BUY")</f>
        <v/>
      </c>
      <c r="Y717" s="34">
        <f>IFERROR(AA717/X717,0)</f>
        <v/>
      </c>
      <c r="Z717" s="34">
        <f>IF(Y717=0,0,F717-Y717)</f>
        <v/>
      </c>
      <c r="AA717" s="34">
        <f>SUMIFS('[1]GİP VERİLERİ'!$O:$O,'[1]GİP VERİLERİ'!$B:$B,A717,'[1]GİP VERİLERİ'!$M:$M,"40X000000104782K",'[1]GİP VERİLERİ'!$G:$G,"BUY")</f>
        <v/>
      </c>
      <c r="AB717" s="34">
        <f>'[1]GÖP VERİLERİ'!H718</f>
        <v/>
      </c>
      <c r="AC717" s="34">
        <f>'[1]GÖP VERİLERİ'!I718</f>
        <v/>
      </c>
      <c r="AD717" s="34">
        <f>IF(AB717&gt;AC717*1.05,AB717-AC717*1.05,IF(AB717&lt;AC717*0.95,AC717*0.95-AB717,0))</f>
        <v/>
      </c>
      <c r="AE717" s="34">
        <f>MAX(F717,G717,750)*0.05*AD717</f>
        <v/>
      </c>
      <c r="AF717" s="34">
        <f>'[1]GÖP VERİLERİ'!J718</f>
        <v/>
      </c>
      <c r="AG717" s="34">
        <f>IF(AB717&gt;AF717*1.05,AB717-AF717*1.05,IF(AB717&lt;AF717*0.95,AF717*0.95-AB717,0))</f>
        <v/>
      </c>
      <c r="AH717" s="34">
        <f>MAX(I717,J717,750)*0.05*AG717</f>
        <v/>
      </c>
      <c r="AI717">
        <f>'[1]GÖP VERİLERİ'!E718</f>
        <v/>
      </c>
      <c r="AJ717">
        <f>'[1]GÖP VERİLERİ'!F718</f>
        <v/>
      </c>
      <c r="AK717" s="34">
        <f>IF(AI717&gt;AJ717*1.05,AI717-AJ717*1.05,IF(AI717&lt;AJ717*0.95,AJ717*0.95-AI717,0))</f>
        <v/>
      </c>
      <c r="AL717" s="34">
        <f>MAX(F717,G717,750)*0.05*AK717</f>
        <v/>
      </c>
      <c r="AM717" s="39">
        <f>'[1]GÖP VERİLERİ'!G718</f>
        <v/>
      </c>
      <c r="AN717" s="34">
        <f>IF(AI717&gt;AM717*1.05,AI717-AM717*1.05,IF(AI717&lt;AM717*0.95,AM717*0.95-AI717,0))</f>
        <v/>
      </c>
      <c r="AO717" s="34">
        <f>MAX(F717,G717,750)*0.05*AN717</f>
        <v/>
      </c>
      <c r="AP717" s="34">
        <f>'[1]GÖP VERİLERİ'!B718</f>
        <v/>
      </c>
      <c r="AQ717" s="34">
        <f>'[1]GÖP VERİLERİ'!C718</f>
        <v/>
      </c>
      <c r="AR717" s="34">
        <f>IF(AP717&gt;AQ717*1.05,AP717-AQ717*1.05,IF(AP717&lt;AQ717*0.95,AQ717*0.95-AP717,0))</f>
        <v/>
      </c>
      <c r="AS717" s="34">
        <f>MAX(F717:G717,750)*0.05*AR717</f>
        <v/>
      </c>
      <c r="AT717">
        <f>'[1]GÖP VERİLERİ'!D718</f>
        <v/>
      </c>
      <c r="AU717" s="34">
        <f>IF(AP717&gt;AT717*1.05,AP717-AT717*1.05,IF(AP717&lt;AT717*0.95,AT717*0.95-AP717,0))</f>
        <v/>
      </c>
      <c r="AV717" s="34">
        <f>MAX(F717:G717,750)*0.05*AU717</f>
        <v/>
      </c>
      <c r="AW717" s="34">
        <f>AC717+AJ717+AQ717</f>
        <v/>
      </c>
      <c r="AX717" s="34">
        <f>AF717+AM717+AT717</f>
        <v/>
      </c>
      <c r="AY717" s="34">
        <f>AB717+AI717+AP717</f>
        <v/>
      </c>
      <c r="AZ717" s="34" t="n">
        <v>0</v>
      </c>
      <c r="BA717" s="34">
        <f>AD717+AK717+AR717</f>
        <v/>
      </c>
      <c r="BB717" s="34">
        <f>MAX(F717:G717,750)*0.05*BA717</f>
        <v/>
      </c>
      <c r="BC717" s="34">
        <f>AG717+AN717+AU717</f>
        <v/>
      </c>
      <c r="BD717" s="34">
        <f>MAX(F717:G717,750)*0.05*BC717</f>
        <v/>
      </c>
      <c r="BE717" s="34">
        <f>F717*AY717</f>
        <v/>
      </c>
      <c r="BF717" s="34">
        <f>K717-M717</f>
        <v/>
      </c>
      <c r="BG717" s="34">
        <f>P717-S717</f>
        <v/>
      </c>
      <c r="BH717" s="34">
        <f>W717-AA717</f>
        <v/>
      </c>
      <c r="BI717" s="34">
        <f>BF717+BG717+BL717-BN717</f>
        <v/>
      </c>
      <c r="BJ717" s="34">
        <f>ABS(BK717)</f>
        <v/>
      </c>
      <c r="BK717" s="34">
        <f>AY717-(J717-L717+N717-Q717)</f>
        <v/>
      </c>
      <c r="BL717" s="34">
        <f>IF(AND(BK717&gt;0,MIN($F717:$G717)&lt;150,$E717="Enerji Açığı"),-100*BK717*1.03,IF(AND(BK717&gt;0,MIN($F717:$G717)&lt;150,$E717="Enerji Fazlası"),-100*BK717*1.06,IF(AND(BK717&gt;0,MIN($F717:$G717)&gt;=150,$E717="Enerji Açığı"),BK717*MIN($F717:$G717)*0.97,IF(AND(BK717&gt;0,MIN($F717:$G717)&gt;=150,$E717="Enerji Fazlası"),BK717*MIN($F717:$G717)*0.94,IF(AND(BK717&lt;0,MAX($F717:$G717)=4500,$E717="Enerji Açığı"),4500*1.05*1.06*BK717,IF(AND(BK717&lt;0,MAX($F717:$G717)=4500,$E717="Enerji Fazlası"),4500*1.05*1.03*BK717,IF(AND(BK717&lt;0,$E717="Enerji Açığı"),MAX($F717,$G717,150)*BK717*1.06,IF(AND(BK717&lt;0,$E717="Enerji Fazlası"),MAX($F717,$G717,150)*BK717*1.03,IF(AND(BK717&lt;0,$E717="Dengede"),MAX($F717:$G717,150)*1.03*BK717,MIN($F717:$G717)*0.97*BK717)))))))))</f>
        <v/>
      </c>
      <c r="BM717" s="34">
        <f>BE717-BI717-BN717</f>
        <v/>
      </c>
      <c r="BN717" s="34">
        <f>BB717</f>
        <v/>
      </c>
      <c r="BO717" s="34">
        <f>BE717-BI717</f>
        <v/>
      </c>
      <c r="BP717" s="34">
        <f>IF(AY717=0,0,BO717/AY717)</f>
        <v/>
      </c>
      <c r="BQ717" s="34">
        <f>MAX((AY717+MAX((-J717+L717-N717+Q717),0)),(MAX((J717-L717+N717-Q717),0)))</f>
        <v/>
      </c>
      <c r="BR717" s="82">
        <f>IFERROR(ABS(BK717/BQ717),0)</f>
        <v/>
      </c>
      <c r="BS717" s="34">
        <f>IF(BR717&lt;=0.1,0,BK717/BR717*(BR717-0.1))</f>
        <v/>
      </c>
      <c r="BT717" s="34">
        <f>IF((BS717)&lt;0,MAX(F717:G717)*(BS717)*1.03,MIN(F717:G717)*(BS717)*0.97)</f>
        <v/>
      </c>
      <c r="BU717" s="34">
        <f>IF(BR717&gt;0.1,1,0)</f>
        <v/>
      </c>
      <c r="BV717" s="34">
        <f>BF717+BG717+BH717+BY717-CA717</f>
        <v/>
      </c>
      <c r="BW717" s="34">
        <f>ABS(BX717)</f>
        <v/>
      </c>
      <c r="BX717" s="34">
        <f>AY717-(J717-L717+N717-Q717+T717-X717)</f>
        <v/>
      </c>
      <c r="BY717" s="34">
        <f>IF(AND(BX717&gt;0,MIN($F717:$G717)&lt;150,$E717="Enerji Açığı"),-100*BX717*1.03,IF(AND(BX717&gt;0,MIN($F717:$G717)&lt;150,$E717="Enerji Fazlası"),-100*BX717*1.06,IF(AND(BX717&gt;0,MIN($F717:$G717)&gt;=150,$E717="Enerji Açığı"),BX717*MIN($F717:$G717)*0.97,IF(AND(BX717&gt;0,MIN($F717:$G717)&gt;=150,$E717="Enerji Fazlası"),BX717*MIN($F717:$G717)*0.94,IF(AND(BX717&lt;0,MAX($F717:$G717)=4500,$E717="Enerji Açığı"),4500*1.05*1.06*BX717,IF(AND(BX717&lt;0,MAX($F717:$G717)=4500,$E717="Enerji Fazlası"),4500*1.05*1.03*BX717,IF(AND(BX717&lt;0,$E717="Enerji Açığı"),MAX($F717,$G717,150)*BX717*1.06,IF(AND(BX717&lt;0,$E717="Enerji Fazlası"),MAX($F717,$G717,150)*BX717*1.03,IF(AND(BX717&lt;0,$E717="Dengede"),MAX($F717:$G717,150)*1.03*BX717,MIN($F717:$G717)*0.97*BX717)))))))))</f>
        <v/>
      </c>
      <c r="BZ717" s="34">
        <f>BE717-BV717-CA717</f>
        <v/>
      </c>
      <c r="CA717" s="34">
        <f>BD717</f>
        <v/>
      </c>
      <c r="CB717" s="33">
        <f>BE717-BV717</f>
        <v/>
      </c>
      <c r="CC717" s="34">
        <f>IF(AY717=0,0,CB717/AY717)</f>
        <v/>
      </c>
      <c r="CD717" s="34">
        <f>MAX((AY717+MAX((-J717+L717-N717+Q717-T717+X717),0)),(MAX((J717-L717+N717-Q717+T717-X717),0)))</f>
        <v/>
      </c>
      <c r="CE717" s="82">
        <f>IFERROR(ABS(BX717/CD717),0)</f>
        <v/>
      </c>
      <c r="CF717" s="34">
        <f>IF(CE717&lt;=0.1,0,BX717/CE717*(CE717-0.1))</f>
        <v/>
      </c>
      <c r="CG717" s="34">
        <f>IF((CF717)&lt;0,MAX(F717:G717)*(CF717)*1.03,MIN(F717:G717)*(CF717)*0.97)</f>
        <v/>
      </c>
      <c r="CH717" s="34">
        <f>IF(CE717&gt;0.1,1,0)</f>
        <v/>
      </c>
      <c r="CI717" s="34">
        <f>(F717*BX717)-BY717</f>
        <v/>
      </c>
      <c r="CJ717" s="34">
        <f>IF(AY717=0,0,CI717/AY717)</f>
        <v/>
      </c>
    </row>
    <row r="718">
      <c r="A718" s="29">
        <f>[1]FİYATLAR!A693</f>
        <v/>
      </c>
      <c r="B718" s="29">
        <f>[1]FİYATLAR!B717</f>
        <v/>
      </c>
      <c r="C718" s="35">
        <f>INT(A718)</f>
        <v/>
      </c>
      <c r="D718" s="36">
        <f>MONTH(A718)</f>
        <v/>
      </c>
      <c r="E718" s="147">
        <f>[1]FİYATLAR!G693</f>
        <v/>
      </c>
      <c r="F718" s="30">
        <f>[1]FİYATLAR!C693</f>
        <v/>
      </c>
      <c r="G718" s="30">
        <f>[1]FİYATLAR!E693</f>
        <v/>
      </c>
      <c r="H718" s="30">
        <f>[1]FİYATLAR!D693</f>
        <v/>
      </c>
      <c r="I718" s="30">
        <f>[1]FİYATLAR!F693</f>
        <v/>
      </c>
      <c r="J718" s="119" t="n">
        <v>0</v>
      </c>
      <c r="K718" s="34">
        <f>F718*J718</f>
        <v/>
      </c>
      <c r="L718" s="119" t="n"/>
      <c r="M718" s="34">
        <f>L718*F718</f>
        <v/>
      </c>
      <c r="N718" s="119" t="n"/>
      <c r="O718" s="34">
        <f>F718</f>
        <v/>
      </c>
      <c r="P718" s="34">
        <f>N718*O718</f>
        <v/>
      </c>
      <c r="Q718" s="117" t="n">
        <v>0</v>
      </c>
      <c r="R718" s="34">
        <f>F718</f>
        <v/>
      </c>
      <c r="S718" s="34">
        <f>R718*Q718</f>
        <v/>
      </c>
      <c r="T718" s="34">
        <f>SUMIFS('[1]GİP VERİLERİ'!$C:$C,'[1]GİP VERİLERİ'!$B:$B,A718,'[1]GİP VERİLERİ'!$M:$M,"40X000000104782K",'[1]GİP VERİLERİ'!$G:$G,"SELL")</f>
        <v/>
      </c>
      <c r="U718" s="34">
        <f>IFERROR(W718/T718,0)</f>
        <v/>
      </c>
      <c r="V718" s="34">
        <f>IF(U718=0,0,U718-F718)</f>
        <v/>
      </c>
      <c r="W718" s="34">
        <f>SUMIFS('[1]GİP VERİLERİ'!$O:$O,'[1]GİP VERİLERİ'!$B:$B,A718,'[1]GİP VERİLERİ'!$M:$M,"40X000000104782K",'[1]GİP VERİLERİ'!$G:$G,"SELL")</f>
        <v/>
      </c>
      <c r="X718" s="34">
        <f>SUMIFS('[1]GİP VERİLERİ'!$C:$C,'[1]GİP VERİLERİ'!$B:$B,A718,'[1]GİP VERİLERİ'!$M:$M,"40X000000104782K",'[1]GİP VERİLERİ'!$G:$G,"BUY")</f>
        <v/>
      </c>
      <c r="Y718" s="34">
        <f>IFERROR(AA718/X718,0)</f>
        <v/>
      </c>
      <c r="Z718" s="34">
        <f>IF(Y718=0,0,F718-Y718)</f>
        <v/>
      </c>
      <c r="AA718" s="34">
        <f>SUMIFS('[1]GİP VERİLERİ'!$O:$O,'[1]GİP VERİLERİ'!$B:$B,A718,'[1]GİP VERİLERİ'!$M:$M,"40X000000104782K",'[1]GİP VERİLERİ'!$G:$G,"BUY")</f>
        <v/>
      </c>
      <c r="AB718" s="34">
        <f>'[1]GÖP VERİLERİ'!H719</f>
        <v/>
      </c>
      <c r="AC718" s="34">
        <f>'[1]GÖP VERİLERİ'!I719</f>
        <v/>
      </c>
      <c r="AD718" s="34">
        <f>IF(AB718&gt;AC718*1.05,AB718-AC718*1.05,IF(AB718&lt;AC718*0.95,AC718*0.95-AB718,0))</f>
        <v/>
      </c>
      <c r="AE718" s="34">
        <f>MAX(F718,G718,750)*0.05*AD718</f>
        <v/>
      </c>
      <c r="AF718" s="34">
        <f>'[1]GÖP VERİLERİ'!J719</f>
        <v/>
      </c>
      <c r="AG718" s="34">
        <f>IF(AB718&gt;AF718*1.05,AB718-AF718*1.05,IF(AB718&lt;AF718*0.95,AF718*0.95-AB718,0))</f>
        <v/>
      </c>
      <c r="AH718" s="34">
        <f>MAX(I718,J718,750)*0.05*AG718</f>
        <v/>
      </c>
      <c r="AI718">
        <f>'[1]GÖP VERİLERİ'!E719</f>
        <v/>
      </c>
      <c r="AJ718">
        <f>'[1]GÖP VERİLERİ'!F719</f>
        <v/>
      </c>
      <c r="AK718" s="34">
        <f>IF(AI718&gt;AJ718*1.05,AI718-AJ718*1.05,IF(AI718&lt;AJ718*0.95,AJ718*0.95-AI718,0))</f>
        <v/>
      </c>
      <c r="AL718" s="34">
        <f>MAX(F718,G718,750)*0.05*AK718</f>
        <v/>
      </c>
      <c r="AM718" s="39">
        <f>'[1]GÖP VERİLERİ'!G719</f>
        <v/>
      </c>
      <c r="AN718" s="34">
        <f>IF(AI718&gt;AM718*1.05,AI718-AM718*1.05,IF(AI718&lt;AM718*0.95,AM718*0.95-AI718,0))</f>
        <v/>
      </c>
      <c r="AO718" s="34">
        <f>MAX(F718,G718,750)*0.05*AN718</f>
        <v/>
      </c>
      <c r="AP718" s="34">
        <f>'[1]GÖP VERİLERİ'!B719</f>
        <v/>
      </c>
      <c r="AQ718" s="34">
        <f>'[1]GÖP VERİLERİ'!C719</f>
        <v/>
      </c>
      <c r="AR718" s="34">
        <f>IF(AP718&gt;AQ718*1.05,AP718-AQ718*1.05,IF(AP718&lt;AQ718*0.95,AQ718*0.95-AP718,0))</f>
        <v/>
      </c>
      <c r="AS718" s="34">
        <f>MAX(F718:G718,750)*0.05*AR718</f>
        <v/>
      </c>
      <c r="AT718">
        <f>'[1]GÖP VERİLERİ'!D719</f>
        <v/>
      </c>
      <c r="AU718" s="34">
        <f>IF(AP718&gt;AT718*1.05,AP718-AT718*1.05,IF(AP718&lt;AT718*0.95,AT718*0.95-AP718,0))</f>
        <v/>
      </c>
      <c r="AV718" s="34">
        <f>MAX(F718:G718,750)*0.05*AU718</f>
        <v/>
      </c>
      <c r="AW718" s="34">
        <f>AC718+AJ718+AQ718</f>
        <v/>
      </c>
      <c r="AX718" s="34">
        <f>AF718+AM718+AT718</f>
        <v/>
      </c>
      <c r="AY718" s="34">
        <f>AB718+AI718+AP718</f>
        <v/>
      </c>
      <c r="AZ718" s="34" t="n">
        <v>0</v>
      </c>
      <c r="BA718" s="34">
        <f>AD718+AK718+AR718</f>
        <v/>
      </c>
      <c r="BB718" s="34">
        <f>MAX(F718:G718,750)*0.05*BA718</f>
        <v/>
      </c>
      <c r="BC718" s="34">
        <f>AG718+AN718+AU718</f>
        <v/>
      </c>
      <c r="BD718" s="34">
        <f>MAX(F718:G718,750)*0.05*BC718</f>
        <v/>
      </c>
      <c r="BE718" s="34">
        <f>F718*AY718</f>
        <v/>
      </c>
      <c r="BF718" s="34">
        <f>K718-M718</f>
        <v/>
      </c>
      <c r="BG718" s="34">
        <f>P718-S718</f>
        <v/>
      </c>
      <c r="BH718" s="34">
        <f>W718-AA718</f>
        <v/>
      </c>
      <c r="BI718" s="34">
        <f>BF718+BG718+BL718-BN718</f>
        <v/>
      </c>
      <c r="BJ718" s="34">
        <f>ABS(BK718)</f>
        <v/>
      </c>
      <c r="BK718" s="34">
        <f>AY718-(J718-L718+N718-Q718)</f>
        <v/>
      </c>
      <c r="BL718" s="34">
        <f>IF(AND(BK718&gt;0,MIN($F718:$G718)&lt;150,$E718="Enerji Açığı"),-100*BK718*1.03,IF(AND(BK718&gt;0,MIN($F718:$G718)&lt;150,$E718="Enerji Fazlası"),-100*BK718*1.06,IF(AND(BK718&gt;0,MIN($F718:$G718)&gt;=150,$E718="Enerji Açığı"),BK718*MIN($F718:$G718)*0.97,IF(AND(BK718&gt;0,MIN($F718:$G718)&gt;=150,$E718="Enerji Fazlası"),BK718*MIN($F718:$G718)*0.94,IF(AND(BK718&lt;0,MAX($F718:$G718)=4500,$E718="Enerji Açığı"),4500*1.05*1.06*BK718,IF(AND(BK718&lt;0,MAX($F718:$G718)=4500,$E718="Enerji Fazlası"),4500*1.05*1.03*BK718,IF(AND(BK718&lt;0,$E718="Enerji Açığı"),MAX($F718,$G718,150)*BK718*1.06,IF(AND(BK718&lt;0,$E718="Enerji Fazlası"),MAX($F718,$G718,150)*BK718*1.03,IF(AND(BK718&lt;0,$E718="Dengede"),MAX($F718:$G718,150)*1.03*BK718,MIN($F718:$G718)*0.97*BK718)))))))))</f>
        <v/>
      </c>
      <c r="BM718" s="34">
        <f>BE718-BI718-BN718</f>
        <v/>
      </c>
      <c r="BN718" s="34">
        <f>BB718</f>
        <v/>
      </c>
      <c r="BO718" s="34">
        <f>BE718-BI718</f>
        <v/>
      </c>
      <c r="BP718" s="34">
        <f>IF(AY718=0,0,BO718/AY718)</f>
        <v/>
      </c>
      <c r="BQ718" s="34">
        <f>MAX((AY718+MAX((-J718+L718-N718+Q718),0)),(MAX((J718-L718+N718-Q718),0)))</f>
        <v/>
      </c>
      <c r="BR718" s="82">
        <f>IFERROR(ABS(BK718/BQ718),0)</f>
        <v/>
      </c>
      <c r="BS718" s="34">
        <f>IF(BR718&lt;=0.1,0,BK718/BR718*(BR718-0.1))</f>
        <v/>
      </c>
      <c r="BT718" s="34">
        <f>IF((BS718)&lt;0,MAX(F718:G718)*(BS718)*1.03,MIN(F718:G718)*(BS718)*0.97)</f>
        <v/>
      </c>
      <c r="BU718" s="34">
        <f>IF(BR718&gt;0.1,1,0)</f>
        <v/>
      </c>
      <c r="BV718" s="34">
        <f>BF718+BG718+BH718+BY718-CA718</f>
        <v/>
      </c>
      <c r="BW718" s="34">
        <f>ABS(BX718)</f>
        <v/>
      </c>
      <c r="BX718" s="34">
        <f>AY718-(J718-L718+N718-Q718+T718-X718)</f>
        <v/>
      </c>
      <c r="BY718" s="34">
        <f>IF(AND(BX718&gt;0,MIN($F718:$G718)&lt;150,$E718="Enerji Açığı"),-100*BX718*1.03,IF(AND(BX718&gt;0,MIN($F718:$G718)&lt;150,$E718="Enerji Fazlası"),-100*BX718*1.06,IF(AND(BX718&gt;0,MIN($F718:$G718)&gt;=150,$E718="Enerji Açığı"),BX718*MIN($F718:$G718)*0.97,IF(AND(BX718&gt;0,MIN($F718:$G718)&gt;=150,$E718="Enerji Fazlası"),BX718*MIN($F718:$G718)*0.94,IF(AND(BX718&lt;0,MAX($F718:$G718)=4500,$E718="Enerji Açığı"),4500*1.05*1.06*BX718,IF(AND(BX718&lt;0,MAX($F718:$G718)=4500,$E718="Enerji Fazlası"),4500*1.05*1.03*BX718,IF(AND(BX718&lt;0,$E718="Enerji Açığı"),MAX($F718,$G718,150)*BX718*1.06,IF(AND(BX718&lt;0,$E718="Enerji Fazlası"),MAX($F718,$G718,150)*BX718*1.03,IF(AND(BX718&lt;0,$E718="Dengede"),MAX($F718:$G718,150)*1.03*BX718,MIN($F718:$G718)*0.97*BX718)))))))))</f>
        <v/>
      </c>
      <c r="BZ718" s="34">
        <f>BE718-BV718-CA718</f>
        <v/>
      </c>
      <c r="CA718" s="34">
        <f>BD718</f>
        <v/>
      </c>
      <c r="CB718" s="33">
        <f>BE718-BV718</f>
        <v/>
      </c>
      <c r="CC718" s="34">
        <f>IF(AY718=0,0,CB718/AY718)</f>
        <v/>
      </c>
      <c r="CD718" s="34">
        <f>MAX((AY718+MAX((-J718+L718-N718+Q718-T718+X718),0)),(MAX((J718-L718+N718-Q718+T718-X718),0)))</f>
        <v/>
      </c>
      <c r="CE718" s="82">
        <f>IFERROR(ABS(BX718/CD718),0)</f>
        <v/>
      </c>
      <c r="CF718" s="34">
        <f>IF(CE718&lt;=0.1,0,BX718/CE718*(CE718-0.1))</f>
        <v/>
      </c>
      <c r="CG718" s="34">
        <f>IF((CF718)&lt;0,MAX(F718:G718)*(CF718)*1.03,MIN(F718:G718)*(CF718)*0.97)</f>
        <v/>
      </c>
      <c r="CH718" s="34">
        <f>IF(CE718&gt;0.1,1,0)</f>
        <v/>
      </c>
      <c r="CI718" s="34">
        <f>(F718*BX718)-BY718</f>
        <v/>
      </c>
      <c r="CJ718" s="34">
        <f>IF(AY718=0,0,CI718/AY718)</f>
        <v/>
      </c>
    </row>
    <row r="719">
      <c r="A719" s="29">
        <f>[1]FİYATLAR!A694</f>
        <v/>
      </c>
      <c r="B719" s="29">
        <f>[1]FİYATLAR!B718</f>
        <v/>
      </c>
      <c r="C719" s="35">
        <f>INT(A719)</f>
        <v/>
      </c>
      <c r="D719" s="36">
        <f>MONTH(A719)</f>
        <v/>
      </c>
      <c r="E719" s="147">
        <f>[1]FİYATLAR!G694</f>
        <v/>
      </c>
      <c r="F719" s="30">
        <f>[1]FİYATLAR!C694</f>
        <v/>
      </c>
      <c r="G719" s="30">
        <f>[1]FİYATLAR!E694</f>
        <v/>
      </c>
      <c r="H719" s="30">
        <f>[1]FİYATLAR!D694</f>
        <v/>
      </c>
      <c r="I719" s="30">
        <f>[1]FİYATLAR!F694</f>
        <v/>
      </c>
      <c r="J719" s="119" t="n">
        <v>0</v>
      </c>
      <c r="K719" s="34">
        <f>F719*J719</f>
        <v/>
      </c>
      <c r="L719" s="119" t="n"/>
      <c r="M719" s="34">
        <f>L719*F719</f>
        <v/>
      </c>
      <c r="N719" s="119" t="n"/>
      <c r="O719" s="34">
        <f>F719</f>
        <v/>
      </c>
      <c r="P719" s="34">
        <f>N719*O719</f>
        <v/>
      </c>
      <c r="Q719" s="117" t="n">
        <v>0</v>
      </c>
      <c r="R719" s="34">
        <f>F719</f>
        <v/>
      </c>
      <c r="S719" s="34">
        <f>R719*Q719</f>
        <v/>
      </c>
      <c r="T719" s="34">
        <f>SUMIFS('[1]GİP VERİLERİ'!$C:$C,'[1]GİP VERİLERİ'!$B:$B,A719,'[1]GİP VERİLERİ'!$M:$M,"40X000000104782K",'[1]GİP VERİLERİ'!$G:$G,"SELL")</f>
        <v/>
      </c>
      <c r="U719" s="34">
        <f>IFERROR(W719/T719,0)</f>
        <v/>
      </c>
      <c r="V719" s="34">
        <f>IF(U719=0,0,U719-F719)</f>
        <v/>
      </c>
      <c r="W719" s="34">
        <f>SUMIFS('[1]GİP VERİLERİ'!$O:$O,'[1]GİP VERİLERİ'!$B:$B,A719,'[1]GİP VERİLERİ'!$M:$M,"40X000000104782K",'[1]GİP VERİLERİ'!$G:$G,"SELL")</f>
        <v/>
      </c>
      <c r="X719" s="34">
        <f>SUMIFS('[1]GİP VERİLERİ'!$C:$C,'[1]GİP VERİLERİ'!$B:$B,A719,'[1]GİP VERİLERİ'!$M:$M,"40X000000104782K",'[1]GİP VERİLERİ'!$G:$G,"BUY")</f>
        <v/>
      </c>
      <c r="Y719" s="34">
        <f>IFERROR(AA719/X719,0)</f>
        <v/>
      </c>
      <c r="Z719" s="34">
        <f>IF(Y719=0,0,F719-Y719)</f>
        <v/>
      </c>
      <c r="AA719" s="34">
        <f>SUMIFS('[1]GİP VERİLERİ'!$O:$O,'[1]GİP VERİLERİ'!$B:$B,A719,'[1]GİP VERİLERİ'!$M:$M,"40X000000104782K",'[1]GİP VERİLERİ'!$G:$G,"BUY")</f>
        <v/>
      </c>
      <c r="AB719" s="34">
        <f>'[1]GÖP VERİLERİ'!H720</f>
        <v/>
      </c>
      <c r="AC719" s="34">
        <f>'[1]GÖP VERİLERİ'!I720</f>
        <v/>
      </c>
      <c r="AD719" s="34">
        <f>IF(AB719&gt;AC719*1.05,AB719-AC719*1.05,IF(AB719&lt;AC719*0.95,AC719*0.95-AB719,0))</f>
        <v/>
      </c>
      <c r="AE719" s="34">
        <f>MAX(F719,G719,750)*0.05*AD719</f>
        <v/>
      </c>
      <c r="AF719" s="34">
        <f>'[1]GÖP VERİLERİ'!J720</f>
        <v/>
      </c>
      <c r="AG719" s="34">
        <f>IF(AB719&gt;AF719*1.05,AB719-AF719*1.05,IF(AB719&lt;AF719*0.95,AF719*0.95-AB719,0))</f>
        <v/>
      </c>
      <c r="AH719" s="34">
        <f>MAX(I719,J719,750)*0.05*AG719</f>
        <v/>
      </c>
      <c r="AI719">
        <f>'[1]GÖP VERİLERİ'!E720</f>
        <v/>
      </c>
      <c r="AJ719">
        <f>'[1]GÖP VERİLERİ'!F720</f>
        <v/>
      </c>
      <c r="AK719" s="34">
        <f>IF(AI719&gt;AJ719*1.05,AI719-AJ719*1.05,IF(AI719&lt;AJ719*0.95,AJ719*0.95-AI719,0))</f>
        <v/>
      </c>
      <c r="AL719" s="34">
        <f>MAX(F719,G719,750)*0.05*AK719</f>
        <v/>
      </c>
      <c r="AM719" s="39">
        <f>'[1]GÖP VERİLERİ'!G720</f>
        <v/>
      </c>
      <c r="AN719" s="34">
        <f>IF(AI719&gt;AM719*1.05,AI719-AM719*1.05,IF(AI719&lt;AM719*0.95,AM719*0.95-AI719,0))</f>
        <v/>
      </c>
      <c r="AO719" s="34">
        <f>MAX(F719,G719,750)*0.05*AN719</f>
        <v/>
      </c>
      <c r="AP719" s="34">
        <f>'[1]GÖP VERİLERİ'!B720</f>
        <v/>
      </c>
      <c r="AQ719" s="34">
        <f>'[1]GÖP VERİLERİ'!C720</f>
        <v/>
      </c>
      <c r="AR719" s="34">
        <f>IF(AP719&gt;AQ719*1.05,AP719-AQ719*1.05,IF(AP719&lt;AQ719*0.95,AQ719*0.95-AP719,0))</f>
        <v/>
      </c>
      <c r="AS719" s="34">
        <f>MAX(F719:G719,750)*0.05*AR719</f>
        <v/>
      </c>
      <c r="AT719">
        <f>'[1]GÖP VERİLERİ'!D720</f>
        <v/>
      </c>
      <c r="AU719" s="34">
        <f>IF(AP719&gt;AT719*1.05,AP719-AT719*1.05,IF(AP719&lt;AT719*0.95,AT719*0.95-AP719,0))</f>
        <v/>
      </c>
      <c r="AV719" s="34">
        <f>MAX(F719:G719,750)*0.05*AU719</f>
        <v/>
      </c>
      <c r="AW719" s="34">
        <f>AC719+AJ719+AQ719</f>
        <v/>
      </c>
      <c r="AX719" s="34">
        <f>AF719+AM719+AT719</f>
        <v/>
      </c>
      <c r="AY719" s="34">
        <f>AB719+AI719+AP719</f>
        <v/>
      </c>
      <c r="AZ719" s="34" t="n">
        <v>0</v>
      </c>
      <c r="BA719" s="34">
        <f>AD719+AK719+AR719</f>
        <v/>
      </c>
      <c r="BB719" s="34">
        <f>MAX(F719:G719,750)*0.05*BA719</f>
        <v/>
      </c>
      <c r="BC719" s="34">
        <f>AG719+AN719+AU719</f>
        <v/>
      </c>
      <c r="BD719" s="34">
        <f>MAX(F719:G719,750)*0.05*BC719</f>
        <v/>
      </c>
      <c r="BE719" s="34">
        <f>F719*AY719</f>
        <v/>
      </c>
      <c r="BF719" s="34">
        <f>K719-M719</f>
        <v/>
      </c>
      <c r="BG719" s="34">
        <f>P719-S719</f>
        <v/>
      </c>
      <c r="BH719" s="34">
        <f>W719-AA719</f>
        <v/>
      </c>
      <c r="BI719" s="34">
        <f>BF719+BG719+BL719-BN719</f>
        <v/>
      </c>
      <c r="BJ719" s="34">
        <f>ABS(BK719)</f>
        <v/>
      </c>
      <c r="BK719" s="34">
        <f>AY719-(J719-L719+N719-Q719)</f>
        <v/>
      </c>
      <c r="BL719" s="34">
        <f>IF(AND(BK719&gt;0,MIN($F719:$G719)&lt;150,$E719="Enerji Açığı"),-100*BK719*1.03,IF(AND(BK719&gt;0,MIN($F719:$G719)&lt;150,$E719="Enerji Fazlası"),-100*BK719*1.06,IF(AND(BK719&gt;0,MIN($F719:$G719)&gt;=150,$E719="Enerji Açığı"),BK719*MIN($F719:$G719)*0.97,IF(AND(BK719&gt;0,MIN($F719:$G719)&gt;=150,$E719="Enerji Fazlası"),BK719*MIN($F719:$G719)*0.94,IF(AND(BK719&lt;0,MAX($F719:$G719)=4500,$E719="Enerji Açığı"),4500*1.05*1.06*BK719,IF(AND(BK719&lt;0,MAX($F719:$G719)=4500,$E719="Enerji Fazlası"),4500*1.05*1.03*BK719,IF(AND(BK719&lt;0,$E719="Enerji Açığı"),MAX($F719,$G719,150)*BK719*1.06,IF(AND(BK719&lt;0,$E719="Enerji Fazlası"),MAX($F719,$G719,150)*BK719*1.03,IF(AND(BK719&lt;0,$E719="Dengede"),MAX($F719:$G719,150)*1.03*BK719,MIN($F719:$G719)*0.97*BK719)))))))))</f>
        <v/>
      </c>
      <c r="BM719" s="34">
        <f>BE719-BI719-BN719</f>
        <v/>
      </c>
      <c r="BN719" s="34">
        <f>BB719</f>
        <v/>
      </c>
      <c r="BO719" s="34">
        <f>BE719-BI719</f>
        <v/>
      </c>
      <c r="BP719" s="34">
        <f>IF(AY719=0,0,BO719/AY719)</f>
        <v/>
      </c>
      <c r="BQ719" s="34">
        <f>MAX((AY719+MAX((-J719+L719-N719+Q719),0)),(MAX((J719-L719+N719-Q719),0)))</f>
        <v/>
      </c>
      <c r="BR719" s="82">
        <f>IFERROR(ABS(BK719/BQ719),0)</f>
        <v/>
      </c>
      <c r="BS719" s="34">
        <f>IF(BR719&lt;=0.1,0,BK719/BR719*(BR719-0.1))</f>
        <v/>
      </c>
      <c r="BT719" s="34">
        <f>IF((BS719)&lt;0,MAX(F719:G719)*(BS719)*1.03,MIN(F719:G719)*(BS719)*0.97)</f>
        <v/>
      </c>
      <c r="BU719" s="34">
        <f>IF(BR719&gt;0.1,1,0)</f>
        <v/>
      </c>
      <c r="BV719" s="34">
        <f>BF719+BG719+BH719+BY719-CA719</f>
        <v/>
      </c>
      <c r="BW719" s="34">
        <f>ABS(BX719)</f>
        <v/>
      </c>
      <c r="BX719" s="34">
        <f>AY719-(J719-L719+N719-Q719+T719-X719)</f>
        <v/>
      </c>
      <c r="BY719" s="34">
        <f>IF(AND(BX719&gt;0,MIN($F719:$G719)&lt;150,$E719="Enerji Açığı"),-100*BX719*1.03,IF(AND(BX719&gt;0,MIN($F719:$G719)&lt;150,$E719="Enerji Fazlası"),-100*BX719*1.06,IF(AND(BX719&gt;0,MIN($F719:$G719)&gt;=150,$E719="Enerji Açığı"),BX719*MIN($F719:$G719)*0.97,IF(AND(BX719&gt;0,MIN($F719:$G719)&gt;=150,$E719="Enerji Fazlası"),BX719*MIN($F719:$G719)*0.94,IF(AND(BX719&lt;0,MAX($F719:$G719)=4500,$E719="Enerji Açığı"),4500*1.05*1.06*BX719,IF(AND(BX719&lt;0,MAX($F719:$G719)=4500,$E719="Enerji Fazlası"),4500*1.05*1.03*BX719,IF(AND(BX719&lt;0,$E719="Enerji Açığı"),MAX($F719,$G719,150)*BX719*1.06,IF(AND(BX719&lt;0,$E719="Enerji Fazlası"),MAX($F719,$G719,150)*BX719*1.03,IF(AND(BX719&lt;0,$E719="Dengede"),MAX($F719:$G719,150)*1.03*BX719,MIN($F719:$G719)*0.97*BX719)))))))))</f>
        <v/>
      </c>
      <c r="BZ719" s="34">
        <f>BE719-BV719-CA719</f>
        <v/>
      </c>
      <c r="CA719" s="34">
        <f>BD719</f>
        <v/>
      </c>
      <c r="CB719" s="33">
        <f>BE719-BV719</f>
        <v/>
      </c>
      <c r="CC719" s="34">
        <f>IF(AY719=0,0,CB719/AY719)</f>
        <v/>
      </c>
      <c r="CD719" s="34">
        <f>MAX((AY719+MAX((-J719+L719-N719+Q719-T719+X719),0)),(MAX((J719-L719+N719-Q719+T719-X719),0)))</f>
        <v/>
      </c>
      <c r="CE719" s="82">
        <f>IFERROR(ABS(BX719/CD719),0)</f>
        <v/>
      </c>
      <c r="CF719" s="34">
        <f>IF(CE719&lt;=0.1,0,BX719/CE719*(CE719-0.1))</f>
        <v/>
      </c>
      <c r="CG719" s="34">
        <f>IF((CF719)&lt;0,MAX(F719:G719)*(CF719)*1.03,MIN(F719:G719)*(CF719)*0.97)</f>
        <v/>
      </c>
      <c r="CH719" s="34">
        <f>IF(CE719&gt;0.1,1,0)</f>
        <v/>
      </c>
      <c r="CI719" s="34">
        <f>(F719*BX719)-BY719</f>
        <v/>
      </c>
      <c r="CJ719" s="34">
        <f>IF(AY719=0,0,CI719/AY719)</f>
        <v/>
      </c>
    </row>
    <row r="720">
      <c r="A720" s="29">
        <f>[1]FİYATLAR!A695</f>
        <v/>
      </c>
      <c r="B720" s="29">
        <f>[1]FİYATLAR!B719</f>
        <v/>
      </c>
      <c r="C720" s="35">
        <f>INT(A720)</f>
        <v/>
      </c>
      <c r="D720" s="36">
        <f>MONTH(A720)</f>
        <v/>
      </c>
      <c r="E720" s="147">
        <f>[1]FİYATLAR!G695</f>
        <v/>
      </c>
      <c r="F720" s="30">
        <f>[1]FİYATLAR!C695</f>
        <v/>
      </c>
      <c r="G720" s="30">
        <f>[1]FİYATLAR!E695</f>
        <v/>
      </c>
      <c r="H720" s="30">
        <f>[1]FİYATLAR!D695</f>
        <v/>
      </c>
      <c r="I720" s="30">
        <f>[1]FİYATLAR!F695</f>
        <v/>
      </c>
      <c r="J720" s="119" t="n">
        <v>0</v>
      </c>
      <c r="K720" s="34">
        <f>F720*J720</f>
        <v/>
      </c>
      <c r="L720" s="119" t="n"/>
      <c r="M720" s="34">
        <f>L720*F720</f>
        <v/>
      </c>
      <c r="N720" s="119" t="n"/>
      <c r="O720" s="34">
        <f>F720</f>
        <v/>
      </c>
      <c r="P720" s="34">
        <f>N720*O720</f>
        <v/>
      </c>
      <c r="Q720" s="117" t="n">
        <v>0</v>
      </c>
      <c r="R720" s="34">
        <f>F720</f>
        <v/>
      </c>
      <c r="S720" s="34">
        <f>R720*Q720</f>
        <v/>
      </c>
      <c r="T720" s="34">
        <f>SUMIFS('[1]GİP VERİLERİ'!$C:$C,'[1]GİP VERİLERİ'!$B:$B,A720,'[1]GİP VERİLERİ'!$M:$M,"40X000000104782K",'[1]GİP VERİLERİ'!$G:$G,"SELL")</f>
        <v/>
      </c>
      <c r="U720" s="34">
        <f>IFERROR(W720/T720,0)</f>
        <v/>
      </c>
      <c r="V720" s="34">
        <f>IF(U720=0,0,U720-F720)</f>
        <v/>
      </c>
      <c r="W720" s="34">
        <f>SUMIFS('[1]GİP VERİLERİ'!$O:$O,'[1]GİP VERİLERİ'!$B:$B,A720,'[1]GİP VERİLERİ'!$M:$M,"40X000000104782K",'[1]GİP VERİLERİ'!$G:$G,"SELL")</f>
        <v/>
      </c>
      <c r="X720" s="34">
        <f>SUMIFS('[1]GİP VERİLERİ'!$C:$C,'[1]GİP VERİLERİ'!$B:$B,A720,'[1]GİP VERİLERİ'!$M:$M,"40X000000104782K",'[1]GİP VERİLERİ'!$G:$G,"BUY")</f>
        <v/>
      </c>
      <c r="Y720" s="34">
        <f>IFERROR(AA720/X720,0)</f>
        <v/>
      </c>
      <c r="Z720" s="34">
        <f>IF(Y720=0,0,F720-Y720)</f>
        <v/>
      </c>
      <c r="AA720" s="34">
        <f>SUMIFS('[1]GİP VERİLERİ'!$O:$O,'[1]GİP VERİLERİ'!$B:$B,A720,'[1]GİP VERİLERİ'!$M:$M,"40X000000104782K",'[1]GİP VERİLERİ'!$G:$G,"BUY")</f>
        <v/>
      </c>
      <c r="AB720" s="34">
        <f>'[1]GÖP VERİLERİ'!H721</f>
        <v/>
      </c>
      <c r="AC720" s="34">
        <f>'[1]GÖP VERİLERİ'!I721</f>
        <v/>
      </c>
      <c r="AD720" s="34">
        <f>IF(AB720&gt;AC720*1.05,AB720-AC720*1.05,IF(AB720&lt;AC720*0.95,AC720*0.95-AB720,0))</f>
        <v/>
      </c>
      <c r="AE720" s="34">
        <f>MAX(F720,G720,750)*0.05*AD720</f>
        <v/>
      </c>
      <c r="AF720" s="34">
        <f>'[1]GÖP VERİLERİ'!J721</f>
        <v/>
      </c>
      <c r="AG720" s="34">
        <f>IF(AB720&gt;AF720*1.05,AB720-AF720*1.05,IF(AB720&lt;AF720*0.95,AF720*0.95-AB720,0))</f>
        <v/>
      </c>
      <c r="AH720" s="34">
        <f>MAX(I720,J720,750)*0.05*AG720</f>
        <v/>
      </c>
      <c r="AI720">
        <f>'[1]GÖP VERİLERİ'!E721</f>
        <v/>
      </c>
      <c r="AJ720">
        <f>'[1]GÖP VERİLERİ'!F721</f>
        <v/>
      </c>
      <c r="AK720" s="34">
        <f>IF(AI720&gt;AJ720*1.05,AI720-AJ720*1.05,IF(AI720&lt;AJ720*0.95,AJ720*0.95-AI720,0))</f>
        <v/>
      </c>
      <c r="AL720" s="34">
        <f>MAX(F720,G720,750)*0.05*AK720</f>
        <v/>
      </c>
      <c r="AM720" s="39">
        <f>'[1]GÖP VERİLERİ'!G721</f>
        <v/>
      </c>
      <c r="AN720" s="34">
        <f>IF(AI720&gt;AM720*1.05,AI720-AM720*1.05,IF(AI720&lt;AM720*0.95,AM720*0.95-AI720,0))</f>
        <v/>
      </c>
      <c r="AO720" s="34">
        <f>MAX(F720,G720,750)*0.05*AN720</f>
        <v/>
      </c>
      <c r="AP720" s="34">
        <f>'[1]GÖP VERİLERİ'!B721</f>
        <v/>
      </c>
      <c r="AQ720" s="34">
        <f>'[1]GÖP VERİLERİ'!C721</f>
        <v/>
      </c>
      <c r="AR720" s="34">
        <f>IF(AP720&gt;AQ720*1.05,AP720-AQ720*1.05,IF(AP720&lt;AQ720*0.95,AQ720*0.95-AP720,0))</f>
        <v/>
      </c>
      <c r="AS720" s="34">
        <f>MAX(F720:G720,750)*0.05*AR720</f>
        <v/>
      </c>
      <c r="AT720">
        <f>'[1]GÖP VERİLERİ'!D721</f>
        <v/>
      </c>
      <c r="AU720" s="34">
        <f>IF(AP720&gt;AT720*1.05,AP720-AT720*1.05,IF(AP720&lt;AT720*0.95,AT720*0.95-AP720,0))</f>
        <v/>
      </c>
      <c r="AV720" s="34">
        <f>MAX(F720:G720,750)*0.05*AU720</f>
        <v/>
      </c>
      <c r="AW720" s="34">
        <f>AC720+AJ720+AQ720</f>
        <v/>
      </c>
      <c r="AX720" s="34">
        <f>AF720+AM720+AT720</f>
        <v/>
      </c>
      <c r="AY720" s="34">
        <f>AB720+AI720+AP720</f>
        <v/>
      </c>
      <c r="AZ720" s="34" t="n">
        <v>0</v>
      </c>
      <c r="BA720" s="34">
        <f>AD720+AK720+AR720</f>
        <v/>
      </c>
      <c r="BB720" s="34">
        <f>MAX(F720:G720,750)*0.05*BA720</f>
        <v/>
      </c>
      <c r="BC720" s="34">
        <f>AG720+AN720+AU720</f>
        <v/>
      </c>
      <c r="BD720" s="34">
        <f>MAX(F720:G720,750)*0.05*BC720</f>
        <v/>
      </c>
      <c r="BE720" s="34">
        <f>F720*AY720</f>
        <v/>
      </c>
      <c r="BF720" s="34">
        <f>K720-M720</f>
        <v/>
      </c>
      <c r="BG720" s="34">
        <f>P720-S720</f>
        <v/>
      </c>
      <c r="BH720" s="34">
        <f>W720-AA720</f>
        <v/>
      </c>
      <c r="BI720" s="34">
        <f>BF720+BG720+BL720-BN720</f>
        <v/>
      </c>
      <c r="BJ720" s="34">
        <f>ABS(BK720)</f>
        <v/>
      </c>
      <c r="BK720" s="34">
        <f>AY720-(J720-L720+N720-Q720)</f>
        <v/>
      </c>
      <c r="BL720" s="34">
        <f>IF(AND(BK720&gt;0,MIN($F720:$G720)&lt;150,$E720="Enerji Açığı"),-100*BK720*1.03,IF(AND(BK720&gt;0,MIN($F720:$G720)&lt;150,$E720="Enerji Fazlası"),-100*BK720*1.06,IF(AND(BK720&gt;0,MIN($F720:$G720)&gt;=150,$E720="Enerji Açığı"),BK720*MIN($F720:$G720)*0.97,IF(AND(BK720&gt;0,MIN($F720:$G720)&gt;=150,$E720="Enerji Fazlası"),BK720*MIN($F720:$G720)*0.94,IF(AND(BK720&lt;0,MAX($F720:$G720)=4500,$E720="Enerji Açığı"),4500*1.05*1.06*BK720,IF(AND(BK720&lt;0,MAX($F720:$G720)=4500,$E720="Enerji Fazlası"),4500*1.05*1.03*BK720,IF(AND(BK720&lt;0,$E720="Enerji Açığı"),MAX($F720,$G720,150)*BK720*1.06,IF(AND(BK720&lt;0,$E720="Enerji Fazlası"),MAX($F720,$G720,150)*BK720*1.03,IF(AND(BK720&lt;0,$E720="Dengede"),MAX($F720:$G720,150)*1.03*BK720,MIN($F720:$G720)*0.97*BK720)))))))))</f>
        <v/>
      </c>
      <c r="BM720" s="34">
        <f>BE720-BI720-BN720</f>
        <v/>
      </c>
      <c r="BN720" s="34">
        <f>BB720</f>
        <v/>
      </c>
      <c r="BO720" s="34">
        <f>BE720-BI720</f>
        <v/>
      </c>
      <c r="BP720" s="34">
        <f>IF(AY720=0,0,BO720/AY720)</f>
        <v/>
      </c>
      <c r="BQ720" s="34">
        <f>MAX((AY720+MAX((-J720+L720-N720+Q720),0)),(MAX((J720-L720+N720-Q720),0)))</f>
        <v/>
      </c>
      <c r="BR720" s="82">
        <f>IFERROR(ABS(BK720/BQ720),0)</f>
        <v/>
      </c>
      <c r="BS720" s="34">
        <f>IF(BR720&lt;=0.1,0,BK720/BR720*(BR720-0.1))</f>
        <v/>
      </c>
      <c r="BT720" s="34">
        <f>IF((BS720)&lt;0,MAX(F720:G720)*(BS720)*1.03,MIN(F720:G720)*(BS720)*0.97)</f>
        <v/>
      </c>
      <c r="BU720" s="34">
        <f>IF(BR720&gt;0.1,1,0)</f>
        <v/>
      </c>
      <c r="BV720" s="34">
        <f>BF720+BG720+BH720+BY720-CA720</f>
        <v/>
      </c>
      <c r="BW720" s="34">
        <f>ABS(BX720)</f>
        <v/>
      </c>
      <c r="BX720" s="34">
        <f>AY720-(J720-L720+N720-Q720+T720-X720)</f>
        <v/>
      </c>
      <c r="BY720" s="34">
        <f>IF(AND(BX720&gt;0,MIN($F720:$G720)&lt;150,$E720="Enerji Açığı"),-100*BX720*1.03,IF(AND(BX720&gt;0,MIN($F720:$G720)&lt;150,$E720="Enerji Fazlası"),-100*BX720*1.06,IF(AND(BX720&gt;0,MIN($F720:$G720)&gt;=150,$E720="Enerji Açığı"),BX720*MIN($F720:$G720)*0.97,IF(AND(BX720&gt;0,MIN($F720:$G720)&gt;=150,$E720="Enerji Fazlası"),BX720*MIN($F720:$G720)*0.94,IF(AND(BX720&lt;0,MAX($F720:$G720)=4500,$E720="Enerji Açığı"),4500*1.05*1.06*BX720,IF(AND(BX720&lt;0,MAX($F720:$G720)=4500,$E720="Enerji Fazlası"),4500*1.05*1.03*BX720,IF(AND(BX720&lt;0,$E720="Enerji Açığı"),MAX($F720,$G720,150)*BX720*1.06,IF(AND(BX720&lt;0,$E720="Enerji Fazlası"),MAX($F720,$G720,150)*BX720*1.03,IF(AND(BX720&lt;0,$E720="Dengede"),MAX($F720:$G720,150)*1.03*BX720,MIN($F720:$G720)*0.97*BX720)))))))))</f>
        <v/>
      </c>
      <c r="BZ720" s="34">
        <f>BE720-BV720-CA720</f>
        <v/>
      </c>
      <c r="CA720" s="34">
        <f>BD720</f>
        <v/>
      </c>
      <c r="CB720" s="33">
        <f>BE720-BV720</f>
        <v/>
      </c>
      <c r="CC720" s="34">
        <f>IF(AY720=0,0,CB720/AY720)</f>
        <v/>
      </c>
      <c r="CD720" s="34">
        <f>MAX((AY720+MAX((-J720+L720-N720+Q720-T720+X720),0)),(MAX((J720-L720+N720-Q720+T720-X720),0)))</f>
        <v/>
      </c>
      <c r="CE720" s="82">
        <f>IFERROR(ABS(BX720/CD720),0)</f>
        <v/>
      </c>
      <c r="CF720" s="34">
        <f>IF(CE720&lt;=0.1,0,BX720/CE720*(CE720-0.1))</f>
        <v/>
      </c>
      <c r="CG720" s="34">
        <f>IF((CF720)&lt;0,MAX(F720:G720)*(CF720)*1.03,MIN(F720:G720)*(CF720)*0.97)</f>
        <v/>
      </c>
      <c r="CH720" s="34">
        <f>IF(CE720&gt;0.1,1,0)</f>
        <v/>
      </c>
      <c r="CI720" s="34">
        <f>(F720*BX720)-BY720</f>
        <v/>
      </c>
      <c r="CJ720" s="34">
        <f>IF(AY720=0,0,CI720/AY720)</f>
        <v/>
      </c>
    </row>
    <row r="721">
      <c r="A721" s="29">
        <f>[1]FİYATLAR!A696</f>
        <v/>
      </c>
      <c r="B721" s="29">
        <f>[1]FİYATLAR!B720</f>
        <v/>
      </c>
      <c r="C721" s="35">
        <f>INT(A721)</f>
        <v/>
      </c>
      <c r="D721" s="36">
        <f>MONTH(A721)</f>
        <v/>
      </c>
      <c r="E721" s="147">
        <f>[1]FİYATLAR!G696</f>
        <v/>
      </c>
      <c r="F721" s="30">
        <f>[1]FİYATLAR!C696</f>
        <v/>
      </c>
      <c r="G721" s="30">
        <f>[1]FİYATLAR!E696</f>
        <v/>
      </c>
      <c r="H721" s="30">
        <f>[1]FİYATLAR!D696</f>
        <v/>
      </c>
      <c r="I721" s="30">
        <f>[1]FİYATLAR!F696</f>
        <v/>
      </c>
      <c r="J721" s="119" t="n">
        <v>0</v>
      </c>
      <c r="K721" s="34">
        <f>F721*J721</f>
        <v/>
      </c>
      <c r="L721" s="119" t="n"/>
      <c r="M721" s="34">
        <f>L721*F721</f>
        <v/>
      </c>
      <c r="N721" s="119" t="n"/>
      <c r="O721" s="34">
        <f>F721</f>
        <v/>
      </c>
      <c r="P721" s="34">
        <f>N721*O721</f>
        <v/>
      </c>
      <c r="Q721" s="117" t="n">
        <v>0</v>
      </c>
      <c r="R721" s="34">
        <f>F721</f>
        <v/>
      </c>
      <c r="S721" s="34">
        <f>R721*Q721</f>
        <v/>
      </c>
      <c r="T721" s="34">
        <f>SUMIFS('[1]GİP VERİLERİ'!$C:$C,'[1]GİP VERİLERİ'!$B:$B,A721,'[1]GİP VERİLERİ'!$M:$M,"40X000000104782K",'[1]GİP VERİLERİ'!$G:$G,"SELL")</f>
        <v/>
      </c>
      <c r="U721" s="34">
        <f>IFERROR(W721/T721,0)</f>
        <v/>
      </c>
      <c r="V721" s="34">
        <f>IF(U721=0,0,U721-F721)</f>
        <v/>
      </c>
      <c r="W721" s="34">
        <f>SUMIFS('[1]GİP VERİLERİ'!$O:$O,'[1]GİP VERİLERİ'!$B:$B,A721,'[1]GİP VERİLERİ'!$M:$M,"40X000000104782K",'[1]GİP VERİLERİ'!$G:$G,"SELL")</f>
        <v/>
      </c>
      <c r="X721" s="34">
        <f>SUMIFS('[1]GİP VERİLERİ'!$C:$C,'[1]GİP VERİLERİ'!$B:$B,A721,'[1]GİP VERİLERİ'!$M:$M,"40X000000104782K",'[1]GİP VERİLERİ'!$G:$G,"BUY")</f>
        <v/>
      </c>
      <c r="Y721" s="34">
        <f>IFERROR(AA721/X721,0)</f>
        <v/>
      </c>
      <c r="Z721" s="34">
        <f>IF(Y721=0,0,F721-Y721)</f>
        <v/>
      </c>
      <c r="AA721" s="34">
        <f>SUMIFS('[1]GİP VERİLERİ'!$O:$O,'[1]GİP VERİLERİ'!$B:$B,A721,'[1]GİP VERİLERİ'!$M:$M,"40X000000104782K",'[1]GİP VERİLERİ'!$G:$G,"BUY")</f>
        <v/>
      </c>
      <c r="AB721" s="34">
        <f>'[1]GÖP VERİLERİ'!H722</f>
        <v/>
      </c>
      <c r="AC721" s="34">
        <f>'[1]GÖP VERİLERİ'!I722</f>
        <v/>
      </c>
      <c r="AD721" s="34">
        <f>IF(AB721&gt;AC721*1.05,AB721-AC721*1.05,IF(AB721&lt;AC721*0.95,AC721*0.95-AB721,0))</f>
        <v/>
      </c>
      <c r="AE721" s="34">
        <f>MAX(F721,G721,750)*0.05*AD721</f>
        <v/>
      </c>
      <c r="AF721" s="34">
        <f>'[1]GÖP VERİLERİ'!J722</f>
        <v/>
      </c>
      <c r="AG721" s="34">
        <f>IF(AB721&gt;AF721*1.05,AB721-AF721*1.05,IF(AB721&lt;AF721*0.95,AF721*0.95-AB721,0))</f>
        <v/>
      </c>
      <c r="AH721" s="34">
        <f>MAX(I721,J721,750)*0.05*AG721</f>
        <v/>
      </c>
      <c r="AI721">
        <f>'[1]GÖP VERİLERİ'!E722</f>
        <v/>
      </c>
      <c r="AJ721">
        <f>'[1]GÖP VERİLERİ'!F722</f>
        <v/>
      </c>
      <c r="AK721" s="34">
        <f>IF(AI721&gt;AJ721*1.05,AI721-AJ721*1.05,IF(AI721&lt;AJ721*0.95,AJ721*0.95-AI721,0))</f>
        <v/>
      </c>
      <c r="AL721" s="34">
        <f>MAX(F721,G721,750)*0.05*AK721</f>
        <v/>
      </c>
      <c r="AM721" s="39">
        <f>'[1]GÖP VERİLERİ'!G722</f>
        <v/>
      </c>
      <c r="AN721" s="34">
        <f>IF(AI721&gt;AM721*1.05,AI721-AM721*1.05,IF(AI721&lt;AM721*0.95,AM721*0.95-AI721,0))</f>
        <v/>
      </c>
      <c r="AO721" s="34">
        <f>MAX(F721,G721,750)*0.05*AN721</f>
        <v/>
      </c>
      <c r="AP721" s="34">
        <f>'[1]GÖP VERİLERİ'!B722</f>
        <v/>
      </c>
      <c r="AQ721" s="34">
        <f>'[1]GÖP VERİLERİ'!C722</f>
        <v/>
      </c>
      <c r="AR721" s="34">
        <f>IF(AP721&gt;AQ721*1.05,AP721-AQ721*1.05,IF(AP721&lt;AQ721*0.95,AQ721*0.95-AP721,0))</f>
        <v/>
      </c>
      <c r="AS721" s="34">
        <f>MAX(F721:G721,750)*0.05*AR721</f>
        <v/>
      </c>
      <c r="AT721">
        <f>'[1]GÖP VERİLERİ'!D722</f>
        <v/>
      </c>
      <c r="AU721" s="34">
        <f>IF(AP721&gt;AT721*1.05,AP721-AT721*1.05,IF(AP721&lt;AT721*0.95,AT721*0.95-AP721,0))</f>
        <v/>
      </c>
      <c r="AV721" s="34">
        <f>MAX(F721:G721,750)*0.05*AU721</f>
        <v/>
      </c>
      <c r="AW721" s="34">
        <f>AC721+AJ721+AQ721</f>
        <v/>
      </c>
      <c r="AX721" s="34">
        <f>AF721+AM721+AT721</f>
        <v/>
      </c>
      <c r="AY721" s="34">
        <f>AB721+AI721+AP721</f>
        <v/>
      </c>
      <c r="AZ721" s="34" t="n">
        <v>0</v>
      </c>
      <c r="BA721" s="34">
        <f>AD721+AK721+AR721</f>
        <v/>
      </c>
      <c r="BB721" s="34">
        <f>MAX(F721:G721,750)*0.05*BA721</f>
        <v/>
      </c>
      <c r="BC721" s="34">
        <f>AG721+AN721+AU721</f>
        <v/>
      </c>
      <c r="BD721" s="34">
        <f>MAX(F721:G721,750)*0.05*BC721</f>
        <v/>
      </c>
      <c r="BE721" s="34">
        <f>F721*AY721</f>
        <v/>
      </c>
      <c r="BF721" s="34">
        <f>K721-M721</f>
        <v/>
      </c>
      <c r="BG721" s="34">
        <f>P721-S721</f>
        <v/>
      </c>
      <c r="BH721" s="34">
        <f>W721-AA721</f>
        <v/>
      </c>
      <c r="BI721" s="34">
        <f>BF721+BG721+BL721-BN721</f>
        <v/>
      </c>
      <c r="BJ721" s="34">
        <f>ABS(BK721)</f>
        <v/>
      </c>
      <c r="BK721" s="34">
        <f>AY721-(J721-L721+N721-Q721)</f>
        <v/>
      </c>
      <c r="BL721" s="34">
        <f>IF(AND(BK721&gt;0,MIN($F721:$G721)&lt;150,$E721="Enerji Açığı"),-100*BK721*1.03,IF(AND(BK721&gt;0,MIN($F721:$G721)&lt;150,$E721="Enerji Fazlası"),-100*BK721*1.06,IF(AND(BK721&gt;0,MIN($F721:$G721)&gt;=150,$E721="Enerji Açığı"),BK721*MIN($F721:$G721)*0.97,IF(AND(BK721&gt;0,MIN($F721:$G721)&gt;=150,$E721="Enerji Fazlası"),BK721*MIN($F721:$G721)*0.94,IF(AND(BK721&lt;0,MAX($F721:$G721)=4500,$E721="Enerji Açığı"),4500*1.05*1.06*BK721,IF(AND(BK721&lt;0,MAX($F721:$G721)=4500,$E721="Enerji Fazlası"),4500*1.05*1.03*BK721,IF(AND(BK721&lt;0,$E721="Enerji Açığı"),MAX($F721,$G721,150)*BK721*1.06,IF(AND(BK721&lt;0,$E721="Enerji Fazlası"),MAX($F721,$G721,150)*BK721*1.03,IF(AND(BK721&lt;0,$E721="Dengede"),MAX($F721:$G721,150)*1.03*BK721,MIN($F721:$G721)*0.97*BK721)))))))))</f>
        <v/>
      </c>
      <c r="BM721" s="34">
        <f>BE721-BI721-BN721</f>
        <v/>
      </c>
      <c r="BN721" s="34">
        <f>BB721</f>
        <v/>
      </c>
      <c r="BO721" s="34">
        <f>BE721-BI721</f>
        <v/>
      </c>
      <c r="BP721" s="34">
        <f>IF(AY721=0,0,BO721/AY721)</f>
        <v/>
      </c>
      <c r="BQ721" s="34">
        <f>MAX((AY721+MAX((-J721+L721-N721+Q721),0)),(MAX((J721-L721+N721-Q721),0)))</f>
        <v/>
      </c>
      <c r="BR721" s="82">
        <f>IFERROR(ABS(BK721/BQ721),0)</f>
        <v/>
      </c>
      <c r="BS721" s="34">
        <f>IF(BR721&lt;=0.1,0,BK721/BR721*(BR721-0.1))</f>
        <v/>
      </c>
      <c r="BT721" s="34">
        <f>IF((BS721)&lt;0,MAX(F721:G721)*(BS721)*1.03,MIN(F721:G721)*(BS721)*0.97)</f>
        <v/>
      </c>
      <c r="BU721" s="34">
        <f>IF(BR721&gt;0.1,1,0)</f>
        <v/>
      </c>
      <c r="BV721" s="34">
        <f>BF721+BG721+BH721+BY721-CA721</f>
        <v/>
      </c>
      <c r="BW721" s="34">
        <f>ABS(BX721)</f>
        <v/>
      </c>
      <c r="BX721" s="34">
        <f>AY721-(J721-L721+N721-Q721+T721-X721)</f>
        <v/>
      </c>
      <c r="BY721" s="34">
        <f>IF(AND(BX721&gt;0,MIN($F721:$G721)&lt;150,$E721="Enerji Açığı"),-100*BX721*1.03,IF(AND(BX721&gt;0,MIN($F721:$G721)&lt;150,$E721="Enerji Fazlası"),-100*BX721*1.06,IF(AND(BX721&gt;0,MIN($F721:$G721)&gt;=150,$E721="Enerji Açığı"),BX721*MIN($F721:$G721)*0.97,IF(AND(BX721&gt;0,MIN($F721:$G721)&gt;=150,$E721="Enerji Fazlası"),BX721*MIN($F721:$G721)*0.94,IF(AND(BX721&lt;0,MAX($F721:$G721)=4500,$E721="Enerji Açığı"),4500*1.05*1.06*BX721,IF(AND(BX721&lt;0,MAX($F721:$G721)=4500,$E721="Enerji Fazlası"),4500*1.05*1.03*BX721,IF(AND(BX721&lt;0,$E721="Enerji Açığı"),MAX($F721,$G721,150)*BX721*1.06,IF(AND(BX721&lt;0,$E721="Enerji Fazlası"),MAX($F721,$G721,150)*BX721*1.03,IF(AND(BX721&lt;0,$E721="Dengede"),MAX($F721:$G721,150)*1.03*BX721,MIN($F721:$G721)*0.97*BX721)))))))))</f>
        <v/>
      </c>
      <c r="BZ721" s="34">
        <f>BE721-BV721-CA721</f>
        <v/>
      </c>
      <c r="CA721" s="34">
        <f>BD721</f>
        <v/>
      </c>
      <c r="CB721" s="33">
        <f>BE721-BV721</f>
        <v/>
      </c>
      <c r="CC721" s="34">
        <f>IF(AY721=0,0,CB721/AY721)</f>
        <v/>
      </c>
      <c r="CD721" s="34">
        <f>MAX((AY721+MAX((-J721+L721-N721+Q721-T721+X721),0)),(MAX((J721-L721+N721-Q721+T721-X721),0)))</f>
        <v/>
      </c>
      <c r="CE721" s="82">
        <f>IFERROR(ABS(BX721/CD721),0)</f>
        <v/>
      </c>
      <c r="CF721" s="34">
        <f>IF(CE721&lt;=0.1,0,BX721/CE721*(CE721-0.1))</f>
        <v/>
      </c>
      <c r="CG721" s="34">
        <f>IF((CF721)&lt;0,MAX(F721:G721)*(CF721)*1.03,MIN(F721:G721)*(CF721)*0.97)</f>
        <v/>
      </c>
      <c r="CH721" s="34">
        <f>IF(CE721&gt;0.1,1,0)</f>
        <v/>
      </c>
      <c r="CI721" s="34">
        <f>(F721*BX721)-BY721</f>
        <v/>
      </c>
      <c r="CJ721" s="34">
        <f>IF(AY721=0,0,CI721/AY721)</f>
        <v/>
      </c>
    </row>
    <row r="722">
      <c r="A722" s="29">
        <f>[1]FİYATLAR!A697</f>
        <v/>
      </c>
      <c r="B722" s="29">
        <f>[1]FİYATLAR!B721</f>
        <v/>
      </c>
      <c r="C722" s="35">
        <f>INT(A722)</f>
        <v/>
      </c>
      <c r="D722" s="36">
        <f>MONTH(A722)</f>
        <v/>
      </c>
      <c r="E722" s="147">
        <f>[1]FİYATLAR!G697</f>
        <v/>
      </c>
      <c r="F722" s="30">
        <f>[1]FİYATLAR!C697</f>
        <v/>
      </c>
      <c r="G722" s="30">
        <f>[1]FİYATLAR!E697</f>
        <v/>
      </c>
      <c r="H722" s="30">
        <f>[1]FİYATLAR!D697</f>
        <v/>
      </c>
      <c r="I722" s="30">
        <f>[1]FİYATLAR!F697</f>
        <v/>
      </c>
      <c r="J722" s="119" t="n">
        <v>0</v>
      </c>
      <c r="K722" s="34">
        <f>F722*J722</f>
        <v/>
      </c>
      <c r="L722" s="119" t="n"/>
      <c r="M722" s="34">
        <f>L722*F722</f>
        <v/>
      </c>
      <c r="N722" s="119" t="n"/>
      <c r="O722" s="34">
        <f>F722</f>
        <v/>
      </c>
      <c r="P722" s="34">
        <f>N722*O722</f>
        <v/>
      </c>
      <c r="Q722" s="117" t="n">
        <v>0</v>
      </c>
      <c r="R722" s="34">
        <f>F722</f>
        <v/>
      </c>
      <c r="S722" s="34">
        <f>R722*Q722</f>
        <v/>
      </c>
      <c r="T722" s="34">
        <f>SUMIFS('[1]GİP VERİLERİ'!$C:$C,'[1]GİP VERİLERİ'!$B:$B,A722,'[1]GİP VERİLERİ'!$M:$M,"40X000000104782K",'[1]GİP VERİLERİ'!$G:$G,"SELL")</f>
        <v/>
      </c>
      <c r="U722" s="34">
        <f>IFERROR(W722/T722,0)</f>
        <v/>
      </c>
      <c r="V722" s="34">
        <f>IF(U722=0,0,U722-F722)</f>
        <v/>
      </c>
      <c r="W722" s="34">
        <f>SUMIFS('[1]GİP VERİLERİ'!$O:$O,'[1]GİP VERİLERİ'!$B:$B,A722,'[1]GİP VERİLERİ'!$M:$M,"40X000000104782K",'[1]GİP VERİLERİ'!$G:$G,"SELL")</f>
        <v/>
      </c>
      <c r="X722" s="34">
        <f>SUMIFS('[1]GİP VERİLERİ'!$C:$C,'[1]GİP VERİLERİ'!$B:$B,A722,'[1]GİP VERİLERİ'!$M:$M,"40X000000104782K",'[1]GİP VERİLERİ'!$G:$G,"BUY")</f>
        <v/>
      </c>
      <c r="Y722" s="34">
        <f>IFERROR(AA722/X722,0)</f>
        <v/>
      </c>
      <c r="Z722" s="34">
        <f>IF(Y722=0,0,F722-Y722)</f>
        <v/>
      </c>
      <c r="AA722" s="34">
        <f>SUMIFS('[1]GİP VERİLERİ'!$O:$O,'[1]GİP VERİLERİ'!$B:$B,A722,'[1]GİP VERİLERİ'!$M:$M,"40X000000104782K",'[1]GİP VERİLERİ'!$G:$G,"BUY")</f>
        <v/>
      </c>
      <c r="AB722" s="34">
        <f>'[1]GÖP VERİLERİ'!H723</f>
        <v/>
      </c>
      <c r="AC722" s="34">
        <f>'[1]GÖP VERİLERİ'!I723</f>
        <v/>
      </c>
      <c r="AD722" s="34">
        <f>IF(AB722&gt;AC722*1.05,AB722-AC722*1.05,IF(AB722&lt;AC722*0.95,AC722*0.95-AB722,0))</f>
        <v/>
      </c>
      <c r="AE722" s="34">
        <f>MAX(F722,G722,750)*0.05*AD722</f>
        <v/>
      </c>
      <c r="AF722" s="34">
        <f>'[1]GÖP VERİLERİ'!J723</f>
        <v/>
      </c>
      <c r="AG722" s="34">
        <f>IF(AB722&gt;AF722*1.05,AB722-AF722*1.05,IF(AB722&lt;AF722*0.95,AF722*0.95-AB722,0))</f>
        <v/>
      </c>
      <c r="AH722" s="34">
        <f>MAX(I722,J722,750)*0.05*AG722</f>
        <v/>
      </c>
      <c r="AI722">
        <f>'[1]GÖP VERİLERİ'!E723</f>
        <v/>
      </c>
      <c r="AJ722">
        <f>'[1]GÖP VERİLERİ'!F723</f>
        <v/>
      </c>
      <c r="AK722" s="34">
        <f>IF(AI722&gt;AJ722*1.05,AI722-AJ722*1.05,IF(AI722&lt;AJ722*0.95,AJ722*0.95-AI722,0))</f>
        <v/>
      </c>
      <c r="AL722" s="34">
        <f>MAX(F722,G722,750)*0.05*AK722</f>
        <v/>
      </c>
      <c r="AM722" s="39">
        <f>'[1]GÖP VERİLERİ'!G723</f>
        <v/>
      </c>
      <c r="AN722" s="34">
        <f>IF(AI722&gt;AM722*1.05,AI722-AM722*1.05,IF(AI722&lt;AM722*0.95,AM722*0.95-AI722,0))</f>
        <v/>
      </c>
      <c r="AO722" s="34">
        <f>MAX(F722,G722,750)*0.05*AN722</f>
        <v/>
      </c>
      <c r="AP722" s="34">
        <f>'[1]GÖP VERİLERİ'!B723</f>
        <v/>
      </c>
      <c r="AQ722" s="34">
        <f>'[1]GÖP VERİLERİ'!C723</f>
        <v/>
      </c>
      <c r="AR722" s="34">
        <f>IF(AP722&gt;AQ722*1.05,AP722-AQ722*1.05,IF(AP722&lt;AQ722*0.95,AQ722*0.95-AP722,0))</f>
        <v/>
      </c>
      <c r="AS722" s="34">
        <f>MAX(F722:G722,750)*0.05*AR722</f>
        <v/>
      </c>
      <c r="AT722">
        <f>'[1]GÖP VERİLERİ'!D723</f>
        <v/>
      </c>
      <c r="AU722" s="34">
        <f>IF(AP722&gt;AT722*1.05,AP722-AT722*1.05,IF(AP722&lt;AT722*0.95,AT722*0.95-AP722,0))</f>
        <v/>
      </c>
      <c r="AV722" s="34">
        <f>MAX(F722:G722,750)*0.05*AU722</f>
        <v/>
      </c>
      <c r="AW722" s="34">
        <f>AC722+AJ722+AQ722</f>
        <v/>
      </c>
      <c r="AX722" s="34">
        <f>AF722+AM722+AT722</f>
        <v/>
      </c>
      <c r="AY722" s="34">
        <f>AB722+AI722+AP722</f>
        <v/>
      </c>
      <c r="AZ722" s="34" t="n">
        <v>0</v>
      </c>
      <c r="BA722" s="34">
        <f>AD722+AK722+AR722</f>
        <v/>
      </c>
      <c r="BB722" s="34">
        <f>MAX(F722:G722,750)*0.05*BA722</f>
        <v/>
      </c>
      <c r="BC722" s="34">
        <f>AG722+AN722+AU722</f>
        <v/>
      </c>
      <c r="BD722" s="34">
        <f>MAX(F722:G722,750)*0.05*BC722</f>
        <v/>
      </c>
      <c r="BE722" s="34">
        <f>F722*AY722</f>
        <v/>
      </c>
      <c r="BF722" s="34">
        <f>K722-M722</f>
        <v/>
      </c>
      <c r="BG722" s="34">
        <f>P722-S722</f>
        <v/>
      </c>
      <c r="BH722" s="34">
        <f>W722-AA722</f>
        <v/>
      </c>
      <c r="BI722" s="34">
        <f>BF722+BG722+BL722-BN722</f>
        <v/>
      </c>
      <c r="BJ722" s="34">
        <f>ABS(BK722)</f>
        <v/>
      </c>
      <c r="BK722" s="34">
        <f>AY722-(J722-L722+N722-Q722)</f>
        <v/>
      </c>
      <c r="BL722" s="34">
        <f>IF(AND(BK722&gt;0,MIN($F722:$G722)&lt;150,$E722="Enerji Açığı"),-100*BK722*1.03,IF(AND(BK722&gt;0,MIN($F722:$G722)&lt;150,$E722="Enerji Fazlası"),-100*BK722*1.06,IF(AND(BK722&gt;0,MIN($F722:$G722)&gt;=150,$E722="Enerji Açığı"),BK722*MIN($F722:$G722)*0.97,IF(AND(BK722&gt;0,MIN($F722:$G722)&gt;=150,$E722="Enerji Fazlası"),BK722*MIN($F722:$G722)*0.94,IF(AND(BK722&lt;0,MAX($F722:$G722)=4500,$E722="Enerji Açığı"),4500*1.05*1.06*BK722,IF(AND(BK722&lt;0,MAX($F722:$G722)=4500,$E722="Enerji Fazlası"),4500*1.05*1.03*BK722,IF(AND(BK722&lt;0,$E722="Enerji Açığı"),MAX($F722,$G722,150)*BK722*1.06,IF(AND(BK722&lt;0,$E722="Enerji Fazlası"),MAX($F722,$G722,150)*BK722*1.03,IF(AND(BK722&lt;0,$E722="Dengede"),MAX($F722:$G722,150)*1.03*BK722,MIN($F722:$G722)*0.97*BK722)))))))))</f>
        <v/>
      </c>
      <c r="BM722" s="34">
        <f>BE722-BI722-BN722</f>
        <v/>
      </c>
      <c r="BN722" s="34">
        <f>BB722</f>
        <v/>
      </c>
      <c r="BO722" s="34">
        <f>BE722-BI722</f>
        <v/>
      </c>
      <c r="BP722" s="34">
        <f>IF(AY722=0,0,BO722/AY722)</f>
        <v/>
      </c>
      <c r="BQ722" s="34">
        <f>MAX((AY722+MAX((-J722+L722-N722+Q722),0)),(MAX((J722-L722+N722-Q722),0)))</f>
        <v/>
      </c>
      <c r="BR722" s="82">
        <f>IFERROR(ABS(BK722/BQ722),0)</f>
        <v/>
      </c>
      <c r="BS722" s="34">
        <f>IF(BR722&lt;=0.1,0,BK722/BR722*(BR722-0.1))</f>
        <v/>
      </c>
      <c r="BT722" s="34">
        <f>IF((BS722)&lt;0,MAX(F722:G722)*(BS722)*1.03,MIN(F722:G722)*(BS722)*0.97)</f>
        <v/>
      </c>
      <c r="BU722" s="34">
        <f>IF(BR722&gt;0.1,1,0)</f>
        <v/>
      </c>
      <c r="BV722" s="34">
        <f>BF722+BG722+BH722+BY722-CA722</f>
        <v/>
      </c>
      <c r="BW722" s="34">
        <f>ABS(BX722)</f>
        <v/>
      </c>
      <c r="BX722" s="34">
        <f>AY722-(J722-L722+N722-Q722+T722-X722)</f>
        <v/>
      </c>
      <c r="BY722" s="34">
        <f>IF(AND(BX722&gt;0,MIN($F722:$G722)&lt;150,$E722="Enerji Açığı"),-100*BX722*1.03,IF(AND(BX722&gt;0,MIN($F722:$G722)&lt;150,$E722="Enerji Fazlası"),-100*BX722*1.06,IF(AND(BX722&gt;0,MIN($F722:$G722)&gt;=150,$E722="Enerji Açığı"),BX722*MIN($F722:$G722)*0.97,IF(AND(BX722&gt;0,MIN($F722:$G722)&gt;=150,$E722="Enerji Fazlası"),BX722*MIN($F722:$G722)*0.94,IF(AND(BX722&lt;0,MAX($F722:$G722)=4500,$E722="Enerji Açığı"),4500*1.05*1.06*BX722,IF(AND(BX722&lt;0,MAX($F722:$G722)=4500,$E722="Enerji Fazlası"),4500*1.05*1.03*BX722,IF(AND(BX722&lt;0,$E722="Enerji Açığı"),MAX($F722,$G722,150)*BX722*1.06,IF(AND(BX722&lt;0,$E722="Enerji Fazlası"),MAX($F722,$G722,150)*BX722*1.03,IF(AND(BX722&lt;0,$E722="Dengede"),MAX($F722:$G722,150)*1.03*BX722,MIN($F722:$G722)*0.97*BX722)))))))))</f>
        <v/>
      </c>
      <c r="BZ722" s="34">
        <f>BE722-BV722-CA722</f>
        <v/>
      </c>
      <c r="CA722" s="34">
        <f>BD722</f>
        <v/>
      </c>
      <c r="CB722" s="33">
        <f>BE722-BV722</f>
        <v/>
      </c>
      <c r="CC722" s="34">
        <f>IF(AY722=0,0,CB722/AY722)</f>
        <v/>
      </c>
      <c r="CD722" s="34">
        <f>MAX((AY722+MAX((-J722+L722-N722+Q722-T722+X722),0)),(MAX((J722-L722+N722-Q722+T722-X722),0)))</f>
        <v/>
      </c>
      <c r="CE722" s="82">
        <f>IFERROR(ABS(BX722/CD722),0)</f>
        <v/>
      </c>
      <c r="CF722" s="34">
        <f>IF(CE722&lt;=0.1,0,BX722/CE722*(CE722-0.1))</f>
        <v/>
      </c>
      <c r="CG722" s="34">
        <f>IF((CF722)&lt;0,MAX(F722:G722)*(CF722)*1.03,MIN(F722:G722)*(CF722)*0.97)</f>
        <v/>
      </c>
      <c r="CH722" s="34">
        <f>IF(CE722&gt;0.1,1,0)</f>
        <v/>
      </c>
      <c r="CI722" s="34">
        <f>(F722*BX722)-BY722</f>
        <v/>
      </c>
      <c r="CJ722" s="34">
        <f>IF(AY722=0,0,CI722/AY722)</f>
        <v/>
      </c>
    </row>
    <row r="723">
      <c r="A723" s="29">
        <f>[1]FİYATLAR!A698</f>
        <v/>
      </c>
      <c r="B723" s="29">
        <f>[1]FİYATLAR!B722</f>
        <v/>
      </c>
      <c r="C723" s="35">
        <f>INT(A723)</f>
        <v/>
      </c>
      <c r="D723" s="36">
        <f>MONTH(A723)</f>
        <v/>
      </c>
      <c r="E723" s="147">
        <f>[1]FİYATLAR!G698</f>
        <v/>
      </c>
      <c r="F723" s="30">
        <f>[1]FİYATLAR!C698</f>
        <v/>
      </c>
      <c r="G723" s="30">
        <f>[1]FİYATLAR!E698</f>
        <v/>
      </c>
      <c r="H723" s="30">
        <f>[1]FİYATLAR!D698</f>
        <v/>
      </c>
      <c r="I723" s="30">
        <f>[1]FİYATLAR!F698</f>
        <v/>
      </c>
      <c r="J723" s="119" t="n">
        <v>0</v>
      </c>
      <c r="K723" s="34">
        <f>F723*J723</f>
        <v/>
      </c>
      <c r="L723" s="119" t="n"/>
      <c r="M723" s="34">
        <f>L723*F723</f>
        <v/>
      </c>
      <c r="N723" s="119" t="n"/>
      <c r="O723" s="34">
        <f>F723</f>
        <v/>
      </c>
      <c r="P723" s="34">
        <f>N723*O723</f>
        <v/>
      </c>
      <c r="Q723" s="117" t="n">
        <v>0</v>
      </c>
      <c r="R723" s="34">
        <f>F723</f>
        <v/>
      </c>
      <c r="S723" s="34">
        <f>R723*Q723</f>
        <v/>
      </c>
      <c r="T723" s="34">
        <f>SUMIFS('[1]GİP VERİLERİ'!$C:$C,'[1]GİP VERİLERİ'!$B:$B,A723,'[1]GİP VERİLERİ'!$M:$M,"40X000000104782K",'[1]GİP VERİLERİ'!$G:$G,"SELL")</f>
        <v/>
      </c>
      <c r="U723" s="34">
        <f>IFERROR(W723/T723,0)</f>
        <v/>
      </c>
      <c r="V723" s="34">
        <f>IF(U723=0,0,U723-F723)</f>
        <v/>
      </c>
      <c r="W723" s="34">
        <f>SUMIFS('[1]GİP VERİLERİ'!$O:$O,'[1]GİP VERİLERİ'!$B:$B,A723,'[1]GİP VERİLERİ'!$M:$M,"40X000000104782K",'[1]GİP VERİLERİ'!$G:$G,"SELL")</f>
        <v/>
      </c>
      <c r="X723" s="34">
        <f>SUMIFS('[1]GİP VERİLERİ'!$C:$C,'[1]GİP VERİLERİ'!$B:$B,A723,'[1]GİP VERİLERİ'!$M:$M,"40X000000104782K",'[1]GİP VERİLERİ'!$G:$G,"BUY")</f>
        <v/>
      </c>
      <c r="Y723" s="34">
        <f>IFERROR(AA723/X723,0)</f>
        <v/>
      </c>
      <c r="Z723" s="34">
        <f>IF(Y723=0,0,F723-Y723)</f>
        <v/>
      </c>
      <c r="AA723" s="34">
        <f>SUMIFS('[1]GİP VERİLERİ'!$O:$O,'[1]GİP VERİLERİ'!$B:$B,A723,'[1]GİP VERİLERİ'!$M:$M,"40X000000104782K",'[1]GİP VERİLERİ'!$G:$G,"BUY")</f>
        <v/>
      </c>
      <c r="AB723" s="34">
        <f>'[1]GÖP VERİLERİ'!H724</f>
        <v/>
      </c>
      <c r="AC723" s="34">
        <f>'[1]GÖP VERİLERİ'!I724</f>
        <v/>
      </c>
      <c r="AD723" s="34">
        <f>IF(AB723&gt;AC723*1.05,AB723-AC723*1.05,IF(AB723&lt;AC723*0.95,AC723*0.95-AB723,0))</f>
        <v/>
      </c>
      <c r="AE723" s="34">
        <f>MAX(F723,G723,750)*0.05*AD723</f>
        <v/>
      </c>
      <c r="AF723" s="34">
        <f>'[1]GÖP VERİLERİ'!J724</f>
        <v/>
      </c>
      <c r="AG723" s="34">
        <f>IF(AB723&gt;AF723*1.05,AB723-AF723*1.05,IF(AB723&lt;AF723*0.95,AF723*0.95-AB723,0))</f>
        <v/>
      </c>
      <c r="AH723" s="34">
        <f>MAX(I723,J723,750)*0.05*AG723</f>
        <v/>
      </c>
      <c r="AI723">
        <f>'[1]GÖP VERİLERİ'!E724</f>
        <v/>
      </c>
      <c r="AJ723">
        <f>'[1]GÖP VERİLERİ'!F724</f>
        <v/>
      </c>
      <c r="AK723" s="34">
        <f>IF(AI723&gt;AJ723*1.05,AI723-AJ723*1.05,IF(AI723&lt;AJ723*0.95,AJ723*0.95-AI723,0))</f>
        <v/>
      </c>
      <c r="AL723" s="34">
        <f>MAX(F723,G723,750)*0.05*AK723</f>
        <v/>
      </c>
      <c r="AM723" s="39">
        <f>'[1]GÖP VERİLERİ'!G724</f>
        <v/>
      </c>
      <c r="AN723" s="34">
        <f>IF(AI723&gt;AM723*1.05,AI723-AM723*1.05,IF(AI723&lt;AM723*0.95,AM723*0.95-AI723,0))</f>
        <v/>
      </c>
      <c r="AO723" s="34">
        <f>MAX(F723,G723,750)*0.05*AN723</f>
        <v/>
      </c>
      <c r="AP723" s="34">
        <f>'[1]GÖP VERİLERİ'!B724</f>
        <v/>
      </c>
      <c r="AQ723" s="34">
        <f>'[1]GÖP VERİLERİ'!C724</f>
        <v/>
      </c>
      <c r="AR723" s="34">
        <f>IF(AP723&gt;AQ723*1.05,AP723-AQ723*1.05,IF(AP723&lt;AQ723*0.95,AQ723*0.95-AP723,0))</f>
        <v/>
      </c>
      <c r="AS723" s="34">
        <f>MAX(F723:G723,750)*0.05*AR723</f>
        <v/>
      </c>
      <c r="AT723">
        <f>'[1]GÖP VERİLERİ'!D724</f>
        <v/>
      </c>
      <c r="AU723" s="34">
        <f>IF(AP723&gt;AT723*1.05,AP723-AT723*1.05,IF(AP723&lt;AT723*0.95,AT723*0.95-AP723,0))</f>
        <v/>
      </c>
      <c r="AV723" s="34">
        <f>MAX(F723:G723,750)*0.05*AU723</f>
        <v/>
      </c>
      <c r="AW723" s="34">
        <f>AC723+AJ723+AQ723</f>
        <v/>
      </c>
      <c r="AX723" s="34">
        <f>AF723+AM723+AT723</f>
        <v/>
      </c>
      <c r="AY723" s="34">
        <f>AB723+AI723+AP723</f>
        <v/>
      </c>
      <c r="AZ723" s="34" t="n">
        <v>0</v>
      </c>
      <c r="BA723" s="34">
        <f>AD723+AK723+AR723</f>
        <v/>
      </c>
      <c r="BB723" s="34">
        <f>MAX(F723:G723,750)*0.05*BA723</f>
        <v/>
      </c>
      <c r="BC723" s="34">
        <f>AG723+AN723+AU723</f>
        <v/>
      </c>
      <c r="BD723" s="34">
        <f>MAX(F723:G723,750)*0.05*BC723</f>
        <v/>
      </c>
      <c r="BE723" s="34">
        <f>F723*AY723</f>
        <v/>
      </c>
      <c r="BF723" s="34">
        <f>K723-M723</f>
        <v/>
      </c>
      <c r="BG723" s="34">
        <f>P723-S723</f>
        <v/>
      </c>
      <c r="BH723" s="34">
        <f>W723-AA723</f>
        <v/>
      </c>
      <c r="BI723" s="34">
        <f>BF723+BG723+BL723-BN723</f>
        <v/>
      </c>
      <c r="BJ723" s="34">
        <f>ABS(BK723)</f>
        <v/>
      </c>
      <c r="BK723" s="34">
        <f>AY723-(J723-L723+N723-Q723)</f>
        <v/>
      </c>
      <c r="BL723" s="34">
        <f>IF(AND(BK723&gt;0,MIN($F723:$G723)&lt;150,$E723="Enerji Açığı"),-100*BK723*1.03,IF(AND(BK723&gt;0,MIN($F723:$G723)&lt;150,$E723="Enerji Fazlası"),-100*BK723*1.06,IF(AND(BK723&gt;0,MIN($F723:$G723)&gt;=150,$E723="Enerji Açığı"),BK723*MIN($F723:$G723)*0.97,IF(AND(BK723&gt;0,MIN($F723:$G723)&gt;=150,$E723="Enerji Fazlası"),BK723*MIN($F723:$G723)*0.94,IF(AND(BK723&lt;0,MAX($F723:$G723)=4500,$E723="Enerji Açığı"),4500*1.05*1.06*BK723,IF(AND(BK723&lt;0,MAX($F723:$G723)=4500,$E723="Enerji Fazlası"),4500*1.05*1.03*BK723,IF(AND(BK723&lt;0,$E723="Enerji Açığı"),MAX($F723,$G723,150)*BK723*1.06,IF(AND(BK723&lt;0,$E723="Enerji Fazlası"),MAX($F723,$G723,150)*BK723*1.03,IF(AND(BK723&lt;0,$E723="Dengede"),MAX($F723:$G723,150)*1.03*BK723,MIN($F723:$G723)*0.97*BK723)))))))))</f>
        <v/>
      </c>
      <c r="BM723" s="34">
        <f>BE723-BI723-BN723</f>
        <v/>
      </c>
      <c r="BN723" s="34">
        <f>BB723</f>
        <v/>
      </c>
      <c r="BO723" s="34">
        <f>BE723-BI723</f>
        <v/>
      </c>
      <c r="BP723" s="34">
        <f>IF(AY723=0,0,BO723/AY723)</f>
        <v/>
      </c>
      <c r="BQ723" s="34">
        <f>MAX((AY723+MAX((-J723+L723-N723+Q723),0)),(MAX((J723-L723+N723-Q723),0)))</f>
        <v/>
      </c>
      <c r="BR723" s="82">
        <f>IFERROR(ABS(BK723/BQ723),0)</f>
        <v/>
      </c>
      <c r="BS723" s="34">
        <f>IF(BR723&lt;=0.1,0,BK723/BR723*(BR723-0.1))</f>
        <v/>
      </c>
      <c r="BT723" s="34">
        <f>IF((BS723)&lt;0,MAX(F723:G723)*(BS723)*1.03,MIN(F723:G723)*(BS723)*0.97)</f>
        <v/>
      </c>
      <c r="BU723" s="34">
        <f>IF(BR723&gt;0.1,1,0)</f>
        <v/>
      </c>
      <c r="BV723" s="34">
        <f>BF723+BG723+BH723+BY723-CA723</f>
        <v/>
      </c>
      <c r="BW723" s="34">
        <f>ABS(BX723)</f>
        <v/>
      </c>
      <c r="BX723" s="34">
        <f>AY723-(J723-L723+N723-Q723+T723-X723)</f>
        <v/>
      </c>
      <c r="BY723" s="34">
        <f>IF(AND(BX723&gt;0,MIN($F723:$G723)&lt;150,$E723="Enerji Açığı"),-100*BX723*1.03,IF(AND(BX723&gt;0,MIN($F723:$G723)&lt;150,$E723="Enerji Fazlası"),-100*BX723*1.06,IF(AND(BX723&gt;0,MIN($F723:$G723)&gt;=150,$E723="Enerji Açığı"),BX723*MIN($F723:$G723)*0.97,IF(AND(BX723&gt;0,MIN($F723:$G723)&gt;=150,$E723="Enerji Fazlası"),BX723*MIN($F723:$G723)*0.94,IF(AND(BX723&lt;0,MAX($F723:$G723)=4500,$E723="Enerji Açığı"),4500*1.05*1.06*BX723,IF(AND(BX723&lt;0,MAX($F723:$G723)=4500,$E723="Enerji Fazlası"),4500*1.05*1.03*BX723,IF(AND(BX723&lt;0,$E723="Enerji Açığı"),MAX($F723,$G723,150)*BX723*1.06,IF(AND(BX723&lt;0,$E723="Enerji Fazlası"),MAX($F723,$G723,150)*BX723*1.03,IF(AND(BX723&lt;0,$E723="Dengede"),MAX($F723:$G723,150)*1.03*BX723,MIN($F723:$G723)*0.97*BX723)))))))))</f>
        <v/>
      </c>
      <c r="BZ723" s="34">
        <f>BE723-BV723-CA723</f>
        <v/>
      </c>
      <c r="CA723" s="34">
        <f>BD723</f>
        <v/>
      </c>
      <c r="CB723" s="33">
        <f>BE723-BV723</f>
        <v/>
      </c>
      <c r="CC723" s="34">
        <f>IF(AY723=0,0,CB723/AY723)</f>
        <v/>
      </c>
      <c r="CD723" s="34">
        <f>MAX((AY723+MAX((-J723+L723-N723+Q723-T723+X723),0)),(MAX((J723-L723+N723-Q723+T723-X723),0)))</f>
        <v/>
      </c>
      <c r="CE723" s="82">
        <f>IFERROR(ABS(BX723/CD723),0)</f>
        <v/>
      </c>
      <c r="CF723" s="34">
        <f>IF(CE723&lt;=0.1,0,BX723/CE723*(CE723-0.1))</f>
        <v/>
      </c>
      <c r="CG723" s="34">
        <f>IF((CF723)&lt;0,MAX(F723:G723)*(CF723)*1.03,MIN(F723:G723)*(CF723)*0.97)</f>
        <v/>
      </c>
      <c r="CH723" s="34">
        <f>IF(CE723&gt;0.1,1,0)</f>
        <v/>
      </c>
      <c r="CI723" s="34">
        <f>(F723*BX723)-BY723</f>
        <v/>
      </c>
      <c r="CJ723" s="34">
        <f>IF(AY723=0,0,CI723/AY723)</f>
        <v/>
      </c>
    </row>
    <row r="724">
      <c r="A724" s="29">
        <f>[1]FİYATLAR!A699</f>
        <v/>
      </c>
      <c r="B724" s="29">
        <f>[1]FİYATLAR!B723</f>
        <v/>
      </c>
      <c r="C724" s="35">
        <f>INT(A724)</f>
        <v/>
      </c>
      <c r="D724" s="36">
        <f>MONTH(A724)</f>
        <v/>
      </c>
      <c r="E724" s="147">
        <f>[1]FİYATLAR!G699</f>
        <v/>
      </c>
      <c r="F724" s="30">
        <f>[1]FİYATLAR!C699</f>
        <v/>
      </c>
      <c r="G724" s="30">
        <f>[1]FİYATLAR!E699</f>
        <v/>
      </c>
      <c r="H724" s="30">
        <f>[1]FİYATLAR!D699</f>
        <v/>
      </c>
      <c r="I724" s="30">
        <f>[1]FİYATLAR!F699</f>
        <v/>
      </c>
      <c r="J724" s="119" t="n">
        <v>0</v>
      </c>
      <c r="K724" s="34">
        <f>F724*J724</f>
        <v/>
      </c>
      <c r="L724" s="119" t="n"/>
      <c r="M724" s="34">
        <f>L724*F724</f>
        <v/>
      </c>
      <c r="N724" s="119" t="n"/>
      <c r="O724" s="34">
        <f>F724</f>
        <v/>
      </c>
      <c r="P724" s="34">
        <f>N724*O724</f>
        <v/>
      </c>
      <c r="Q724" s="117" t="n">
        <v>0</v>
      </c>
      <c r="R724" s="34">
        <f>F724</f>
        <v/>
      </c>
      <c r="S724" s="34">
        <f>R724*Q724</f>
        <v/>
      </c>
      <c r="T724" s="34">
        <f>SUMIFS('[1]GİP VERİLERİ'!$C:$C,'[1]GİP VERİLERİ'!$B:$B,A724,'[1]GİP VERİLERİ'!$M:$M,"40X000000104782K",'[1]GİP VERİLERİ'!$G:$G,"SELL")</f>
        <v/>
      </c>
      <c r="U724" s="34">
        <f>IFERROR(W724/T724,0)</f>
        <v/>
      </c>
      <c r="V724" s="34">
        <f>IF(U724=0,0,U724-F724)</f>
        <v/>
      </c>
      <c r="W724" s="34">
        <f>SUMIFS('[1]GİP VERİLERİ'!$O:$O,'[1]GİP VERİLERİ'!$B:$B,A724,'[1]GİP VERİLERİ'!$M:$M,"40X000000104782K",'[1]GİP VERİLERİ'!$G:$G,"SELL")</f>
        <v/>
      </c>
      <c r="X724" s="34">
        <f>SUMIFS('[1]GİP VERİLERİ'!$C:$C,'[1]GİP VERİLERİ'!$B:$B,A724,'[1]GİP VERİLERİ'!$M:$M,"40X000000104782K",'[1]GİP VERİLERİ'!$G:$G,"BUY")</f>
        <v/>
      </c>
      <c r="Y724" s="34">
        <f>IFERROR(AA724/X724,0)</f>
        <v/>
      </c>
      <c r="Z724" s="34">
        <f>IF(Y724=0,0,F724-Y724)</f>
        <v/>
      </c>
      <c r="AA724" s="34">
        <f>SUMIFS('[1]GİP VERİLERİ'!$O:$O,'[1]GİP VERİLERİ'!$B:$B,A724,'[1]GİP VERİLERİ'!$M:$M,"40X000000104782K",'[1]GİP VERİLERİ'!$G:$G,"BUY")</f>
        <v/>
      </c>
      <c r="AB724" s="34">
        <f>'[1]GÖP VERİLERİ'!H725</f>
        <v/>
      </c>
      <c r="AC724" s="34">
        <f>'[1]GÖP VERİLERİ'!I725</f>
        <v/>
      </c>
      <c r="AD724" s="34">
        <f>IF(AB724&gt;AC724*1.05,AB724-AC724*1.05,IF(AB724&lt;AC724*0.95,AC724*0.95-AB724,0))</f>
        <v/>
      </c>
      <c r="AE724" s="34">
        <f>MAX(F724,G724,750)*0.05*AD724</f>
        <v/>
      </c>
      <c r="AF724" s="34">
        <f>'[1]GÖP VERİLERİ'!J725</f>
        <v/>
      </c>
      <c r="AG724" s="34">
        <f>IF(AB724&gt;AF724*1.05,AB724-AF724*1.05,IF(AB724&lt;AF724*0.95,AF724*0.95-AB724,0))</f>
        <v/>
      </c>
      <c r="AH724" s="34">
        <f>MAX(I724,J724,750)*0.05*AG724</f>
        <v/>
      </c>
      <c r="AI724">
        <f>'[1]GÖP VERİLERİ'!E725</f>
        <v/>
      </c>
      <c r="AJ724">
        <f>'[1]GÖP VERİLERİ'!F725</f>
        <v/>
      </c>
      <c r="AK724" s="34">
        <f>IF(AI724&gt;AJ724*1.05,AI724-AJ724*1.05,IF(AI724&lt;AJ724*0.95,AJ724*0.95-AI724,0))</f>
        <v/>
      </c>
      <c r="AL724" s="34">
        <f>MAX(F724,G724,750)*0.05*AK724</f>
        <v/>
      </c>
      <c r="AM724" s="39">
        <f>'[1]GÖP VERİLERİ'!G725</f>
        <v/>
      </c>
      <c r="AN724" s="34">
        <f>IF(AI724&gt;AM724*1.05,AI724-AM724*1.05,IF(AI724&lt;AM724*0.95,AM724*0.95-AI724,0))</f>
        <v/>
      </c>
      <c r="AO724" s="34">
        <f>MAX(F724,G724,750)*0.05*AN724</f>
        <v/>
      </c>
      <c r="AP724" s="34">
        <f>'[1]GÖP VERİLERİ'!B725</f>
        <v/>
      </c>
      <c r="AQ724" s="34">
        <f>'[1]GÖP VERİLERİ'!C725</f>
        <v/>
      </c>
      <c r="AR724" s="34">
        <f>IF(AP724&gt;AQ724*1.05,AP724-AQ724*1.05,IF(AP724&lt;AQ724*0.95,AQ724*0.95-AP724,0))</f>
        <v/>
      </c>
      <c r="AS724" s="34">
        <f>MAX(F724:G724,750)*0.05*AR724</f>
        <v/>
      </c>
      <c r="AT724">
        <f>'[1]GÖP VERİLERİ'!D725</f>
        <v/>
      </c>
      <c r="AU724" s="34">
        <f>IF(AP724&gt;AT724*1.05,AP724-AT724*1.05,IF(AP724&lt;AT724*0.95,AT724*0.95-AP724,0))</f>
        <v/>
      </c>
      <c r="AV724" s="34">
        <f>MAX(F724:G724,750)*0.05*AU724</f>
        <v/>
      </c>
      <c r="AW724" s="34">
        <f>AC724+AJ724+AQ724</f>
        <v/>
      </c>
      <c r="AX724" s="34">
        <f>AF724+AM724+AT724</f>
        <v/>
      </c>
      <c r="AY724" s="34">
        <f>AB724+AI724+AP724</f>
        <v/>
      </c>
      <c r="AZ724" s="34" t="n">
        <v>0</v>
      </c>
      <c r="BA724" s="34">
        <f>AD724+AK724+AR724</f>
        <v/>
      </c>
      <c r="BB724" s="34">
        <f>MAX(F724:G724,750)*0.05*BA724</f>
        <v/>
      </c>
      <c r="BC724" s="34">
        <f>AG724+AN724+AU724</f>
        <v/>
      </c>
      <c r="BD724" s="34">
        <f>MAX(F724:G724,750)*0.05*BC724</f>
        <v/>
      </c>
      <c r="BE724" s="34">
        <f>F724*AY724</f>
        <v/>
      </c>
      <c r="BF724" s="34">
        <f>K724-M724</f>
        <v/>
      </c>
      <c r="BG724" s="34">
        <f>P724-S724</f>
        <v/>
      </c>
      <c r="BH724" s="34">
        <f>W724-AA724</f>
        <v/>
      </c>
      <c r="BI724" s="34">
        <f>BF724+BG724+BL724-BN724</f>
        <v/>
      </c>
      <c r="BJ724" s="34">
        <f>ABS(BK724)</f>
        <v/>
      </c>
      <c r="BK724" s="34">
        <f>AY724-(J724-L724+N724-Q724)</f>
        <v/>
      </c>
      <c r="BL724" s="34">
        <f>IF(AND(BK724&gt;0,MIN($F724:$G724)&lt;150,$E724="Enerji Açığı"),-100*BK724*1.03,IF(AND(BK724&gt;0,MIN($F724:$G724)&lt;150,$E724="Enerji Fazlası"),-100*BK724*1.06,IF(AND(BK724&gt;0,MIN($F724:$G724)&gt;=150,$E724="Enerji Açığı"),BK724*MIN($F724:$G724)*0.97,IF(AND(BK724&gt;0,MIN($F724:$G724)&gt;=150,$E724="Enerji Fazlası"),BK724*MIN($F724:$G724)*0.94,IF(AND(BK724&lt;0,MAX($F724:$G724)=4500,$E724="Enerji Açığı"),4500*1.05*1.06*BK724,IF(AND(BK724&lt;0,MAX($F724:$G724)=4500,$E724="Enerji Fazlası"),4500*1.05*1.03*BK724,IF(AND(BK724&lt;0,$E724="Enerji Açığı"),MAX($F724,$G724,150)*BK724*1.06,IF(AND(BK724&lt;0,$E724="Enerji Fazlası"),MAX($F724,$G724,150)*BK724*1.03,IF(AND(BK724&lt;0,$E724="Dengede"),MAX($F724:$G724,150)*1.03*BK724,MIN($F724:$G724)*0.97*BK724)))))))))</f>
        <v/>
      </c>
      <c r="BM724" s="34">
        <f>BE724-BI724-BN724</f>
        <v/>
      </c>
      <c r="BN724" s="34">
        <f>BB724</f>
        <v/>
      </c>
      <c r="BO724" s="34">
        <f>BE724-BI724</f>
        <v/>
      </c>
      <c r="BP724" s="34">
        <f>IF(AY724=0,0,BO724/AY724)</f>
        <v/>
      </c>
      <c r="BQ724" s="34">
        <f>MAX((AY724+MAX((-J724+L724-N724+Q724),0)),(MAX((J724-L724+N724-Q724),0)))</f>
        <v/>
      </c>
      <c r="BR724" s="82">
        <f>IFERROR(ABS(BK724/BQ724),0)</f>
        <v/>
      </c>
      <c r="BS724" s="34">
        <f>IF(BR724&lt;=0.1,0,BK724/BR724*(BR724-0.1))</f>
        <v/>
      </c>
      <c r="BT724" s="34">
        <f>IF((BS724)&lt;0,MAX(F724:G724)*(BS724)*1.03,MIN(F724:G724)*(BS724)*0.97)</f>
        <v/>
      </c>
      <c r="BU724" s="34">
        <f>IF(BR724&gt;0.1,1,0)</f>
        <v/>
      </c>
      <c r="BV724" s="34">
        <f>BF724+BG724+BH724+BY724-CA724</f>
        <v/>
      </c>
      <c r="BW724" s="34">
        <f>ABS(BX724)</f>
        <v/>
      </c>
      <c r="BX724" s="34">
        <f>AY724-(J724-L724+N724-Q724+T724-X724)</f>
        <v/>
      </c>
      <c r="BY724" s="34">
        <f>IF(AND(BX724&gt;0,MIN($F724:$G724)&lt;150,$E724="Enerji Açığı"),-100*BX724*1.03,IF(AND(BX724&gt;0,MIN($F724:$G724)&lt;150,$E724="Enerji Fazlası"),-100*BX724*1.06,IF(AND(BX724&gt;0,MIN($F724:$G724)&gt;=150,$E724="Enerji Açığı"),BX724*MIN($F724:$G724)*0.97,IF(AND(BX724&gt;0,MIN($F724:$G724)&gt;=150,$E724="Enerji Fazlası"),BX724*MIN($F724:$G724)*0.94,IF(AND(BX724&lt;0,MAX($F724:$G724)=4500,$E724="Enerji Açığı"),4500*1.05*1.06*BX724,IF(AND(BX724&lt;0,MAX($F724:$G724)=4500,$E724="Enerji Fazlası"),4500*1.05*1.03*BX724,IF(AND(BX724&lt;0,$E724="Enerji Açığı"),MAX($F724,$G724,150)*BX724*1.06,IF(AND(BX724&lt;0,$E724="Enerji Fazlası"),MAX($F724,$G724,150)*BX724*1.03,IF(AND(BX724&lt;0,$E724="Dengede"),MAX($F724:$G724,150)*1.03*BX724,MIN($F724:$G724)*0.97*BX724)))))))))</f>
        <v/>
      </c>
      <c r="BZ724" s="34">
        <f>BE724-BV724-CA724</f>
        <v/>
      </c>
      <c r="CA724" s="34">
        <f>BD724</f>
        <v/>
      </c>
      <c r="CB724" s="33">
        <f>BE724-BV724</f>
        <v/>
      </c>
      <c r="CC724" s="34">
        <f>IF(AY724=0,0,CB724/AY724)</f>
        <v/>
      </c>
      <c r="CD724" s="34">
        <f>MAX((AY724+MAX((-J724+L724-N724+Q724-T724+X724),0)),(MAX((J724-L724+N724-Q724+T724-X724),0)))</f>
        <v/>
      </c>
      <c r="CE724" s="82">
        <f>IFERROR(ABS(BX724/CD724),0)</f>
        <v/>
      </c>
      <c r="CF724" s="34">
        <f>IF(CE724&lt;=0.1,0,BX724/CE724*(CE724-0.1))</f>
        <v/>
      </c>
      <c r="CG724" s="34">
        <f>IF((CF724)&lt;0,MAX(F724:G724)*(CF724)*1.03,MIN(F724:G724)*(CF724)*0.97)</f>
        <v/>
      </c>
      <c r="CH724" s="34">
        <f>IF(CE724&gt;0.1,1,0)</f>
        <v/>
      </c>
      <c r="CI724" s="34">
        <f>(F724*BX724)-BY724</f>
        <v/>
      </c>
      <c r="CJ724" s="34">
        <f>IF(AY724=0,0,CI724/AY724)</f>
        <v/>
      </c>
    </row>
    <row r="725">
      <c r="A725" s="29">
        <f>[1]FİYATLAR!A700</f>
        <v/>
      </c>
      <c r="B725" s="29">
        <f>[1]FİYATLAR!B724</f>
        <v/>
      </c>
      <c r="C725" s="35">
        <f>INT(A725)</f>
        <v/>
      </c>
      <c r="D725" s="36">
        <f>MONTH(A725)</f>
        <v/>
      </c>
      <c r="E725" s="147">
        <f>[1]FİYATLAR!G700</f>
        <v/>
      </c>
      <c r="F725" s="30">
        <f>[1]FİYATLAR!C700</f>
        <v/>
      </c>
      <c r="G725" s="30">
        <f>[1]FİYATLAR!E700</f>
        <v/>
      </c>
      <c r="H725" s="30">
        <f>[1]FİYATLAR!D700</f>
        <v/>
      </c>
      <c r="I725" s="30">
        <f>[1]FİYATLAR!F700</f>
        <v/>
      </c>
      <c r="J725" s="119" t="n">
        <v>0</v>
      </c>
      <c r="K725" s="34">
        <f>F725*J725</f>
        <v/>
      </c>
      <c r="L725" s="119" t="n"/>
      <c r="M725" s="34">
        <f>L725*F725</f>
        <v/>
      </c>
      <c r="N725" s="119" t="n"/>
      <c r="O725" s="34">
        <f>F725</f>
        <v/>
      </c>
      <c r="P725" s="34">
        <f>N725*O725</f>
        <v/>
      </c>
      <c r="Q725" s="117" t="n">
        <v>0</v>
      </c>
      <c r="R725" s="34">
        <f>F725</f>
        <v/>
      </c>
      <c r="S725" s="34">
        <f>R725*Q725</f>
        <v/>
      </c>
      <c r="T725" s="34">
        <f>SUMIFS('[1]GİP VERİLERİ'!$C:$C,'[1]GİP VERİLERİ'!$B:$B,A725,'[1]GİP VERİLERİ'!$M:$M,"40X000000104782K",'[1]GİP VERİLERİ'!$G:$G,"SELL")</f>
        <v/>
      </c>
      <c r="U725" s="34">
        <f>IFERROR(W725/T725,0)</f>
        <v/>
      </c>
      <c r="V725" s="34">
        <f>IF(U725=0,0,U725-F725)</f>
        <v/>
      </c>
      <c r="W725" s="34">
        <f>SUMIFS('[1]GİP VERİLERİ'!$O:$O,'[1]GİP VERİLERİ'!$B:$B,A725,'[1]GİP VERİLERİ'!$M:$M,"40X000000104782K",'[1]GİP VERİLERİ'!$G:$G,"SELL")</f>
        <v/>
      </c>
      <c r="X725" s="34">
        <f>SUMIFS('[1]GİP VERİLERİ'!$C:$C,'[1]GİP VERİLERİ'!$B:$B,A725,'[1]GİP VERİLERİ'!$M:$M,"40X000000104782K",'[1]GİP VERİLERİ'!$G:$G,"BUY")</f>
        <v/>
      </c>
      <c r="Y725" s="34">
        <f>IFERROR(AA725/X725,0)</f>
        <v/>
      </c>
      <c r="Z725" s="34">
        <f>IF(Y725=0,0,F725-Y725)</f>
        <v/>
      </c>
      <c r="AA725" s="34">
        <f>SUMIFS('[1]GİP VERİLERİ'!$O:$O,'[1]GİP VERİLERİ'!$B:$B,A725,'[1]GİP VERİLERİ'!$M:$M,"40X000000104782K",'[1]GİP VERİLERİ'!$G:$G,"BUY")</f>
        <v/>
      </c>
      <c r="AB725" s="34">
        <f>'[1]GÖP VERİLERİ'!H726</f>
        <v/>
      </c>
      <c r="AC725" s="34">
        <f>'[1]GÖP VERİLERİ'!I726</f>
        <v/>
      </c>
      <c r="AD725" s="34">
        <f>IF(AB725&gt;AC725*1.05,AB725-AC725*1.05,IF(AB725&lt;AC725*0.95,AC725*0.95-AB725,0))</f>
        <v/>
      </c>
      <c r="AE725" s="34">
        <f>MAX(F725,G725,750)*0.05*AD725</f>
        <v/>
      </c>
      <c r="AF725" s="34">
        <f>'[1]GÖP VERİLERİ'!J726</f>
        <v/>
      </c>
      <c r="AG725" s="34">
        <f>IF(AB725&gt;AF725*1.05,AB725-AF725*1.05,IF(AB725&lt;AF725*0.95,AF725*0.95-AB725,0))</f>
        <v/>
      </c>
      <c r="AH725" s="34">
        <f>MAX(I725,J725,750)*0.05*AG725</f>
        <v/>
      </c>
      <c r="AI725">
        <f>'[1]GÖP VERİLERİ'!E726</f>
        <v/>
      </c>
      <c r="AJ725">
        <f>'[1]GÖP VERİLERİ'!F726</f>
        <v/>
      </c>
      <c r="AK725" s="34">
        <f>IF(AI725&gt;AJ725*1.05,AI725-AJ725*1.05,IF(AI725&lt;AJ725*0.95,AJ725*0.95-AI725,0))</f>
        <v/>
      </c>
      <c r="AL725" s="34">
        <f>MAX(F725,G725,750)*0.05*AK725</f>
        <v/>
      </c>
      <c r="AM725" s="39">
        <f>'[1]GÖP VERİLERİ'!G726</f>
        <v/>
      </c>
      <c r="AN725" s="34">
        <f>IF(AI725&gt;AM725*1.05,AI725-AM725*1.05,IF(AI725&lt;AM725*0.95,AM725*0.95-AI725,0))</f>
        <v/>
      </c>
      <c r="AO725" s="34">
        <f>MAX(F725,G725,750)*0.05*AN725</f>
        <v/>
      </c>
      <c r="AP725" s="34">
        <f>'[1]GÖP VERİLERİ'!B726</f>
        <v/>
      </c>
      <c r="AQ725" s="34">
        <f>'[1]GÖP VERİLERİ'!C726</f>
        <v/>
      </c>
      <c r="AR725" s="34">
        <f>IF(AP725&gt;AQ725*1.05,AP725-AQ725*1.05,IF(AP725&lt;AQ725*0.95,AQ725*0.95-AP725,0))</f>
        <v/>
      </c>
      <c r="AS725" s="34">
        <f>MAX(F725:G725,750)*0.05*AR725</f>
        <v/>
      </c>
      <c r="AT725">
        <f>'[1]GÖP VERİLERİ'!D726</f>
        <v/>
      </c>
      <c r="AU725" s="34">
        <f>IF(AP725&gt;AT725*1.05,AP725-AT725*1.05,IF(AP725&lt;AT725*0.95,AT725*0.95-AP725,0))</f>
        <v/>
      </c>
      <c r="AV725" s="34">
        <f>MAX(F725:G725,750)*0.05*AU725</f>
        <v/>
      </c>
      <c r="AW725" s="34">
        <f>AC725+AJ725+AQ725</f>
        <v/>
      </c>
      <c r="AX725" s="34">
        <f>AF725+AM725+AT725</f>
        <v/>
      </c>
      <c r="AY725" s="34">
        <f>AB725+AI725+AP725</f>
        <v/>
      </c>
      <c r="AZ725" s="34" t="n">
        <v>0</v>
      </c>
      <c r="BA725" s="34">
        <f>AD725+AK725+AR725</f>
        <v/>
      </c>
      <c r="BB725" s="34">
        <f>MAX(F725:G725,750)*0.05*BA725</f>
        <v/>
      </c>
      <c r="BC725" s="34">
        <f>AG725+AN725+AU725</f>
        <v/>
      </c>
      <c r="BD725" s="34">
        <f>MAX(F725:G725,750)*0.05*BC725</f>
        <v/>
      </c>
      <c r="BE725" s="34">
        <f>F725*AY725</f>
        <v/>
      </c>
      <c r="BF725" s="34">
        <f>K725-M725</f>
        <v/>
      </c>
      <c r="BG725" s="34">
        <f>P725-S725</f>
        <v/>
      </c>
      <c r="BH725" s="34">
        <f>W725-AA725</f>
        <v/>
      </c>
      <c r="BI725" s="34">
        <f>BF725+BG725+BL725-BN725</f>
        <v/>
      </c>
      <c r="BJ725" s="34">
        <f>ABS(BK725)</f>
        <v/>
      </c>
      <c r="BK725" s="34">
        <f>AY725-(J725-L725+N725-Q725)</f>
        <v/>
      </c>
      <c r="BL725" s="34">
        <f>IF(AND(BK725&gt;0,MIN($F725:$G725)&lt;150,$E725="Enerji Açığı"),-100*BK725*1.03,IF(AND(BK725&gt;0,MIN($F725:$G725)&lt;150,$E725="Enerji Fazlası"),-100*BK725*1.06,IF(AND(BK725&gt;0,MIN($F725:$G725)&gt;=150,$E725="Enerji Açığı"),BK725*MIN($F725:$G725)*0.97,IF(AND(BK725&gt;0,MIN($F725:$G725)&gt;=150,$E725="Enerji Fazlası"),BK725*MIN($F725:$G725)*0.94,IF(AND(BK725&lt;0,MAX($F725:$G725)=4500,$E725="Enerji Açığı"),4500*1.05*1.06*BK725,IF(AND(BK725&lt;0,MAX($F725:$G725)=4500,$E725="Enerji Fazlası"),4500*1.05*1.03*BK725,IF(AND(BK725&lt;0,$E725="Enerji Açığı"),MAX($F725,$G725,150)*BK725*1.06,IF(AND(BK725&lt;0,$E725="Enerji Fazlası"),MAX($F725,$G725,150)*BK725*1.03,IF(AND(BK725&lt;0,$E725="Dengede"),MAX($F725:$G725,150)*1.03*BK725,MIN($F725:$G725)*0.97*BK725)))))))))</f>
        <v/>
      </c>
      <c r="BM725" s="34">
        <f>BE725-BI725-BN725</f>
        <v/>
      </c>
      <c r="BN725" s="34">
        <f>BB725</f>
        <v/>
      </c>
      <c r="BO725" s="34">
        <f>BE725-BI725</f>
        <v/>
      </c>
      <c r="BP725" s="34">
        <f>IF(AY725=0,0,BO725/AY725)</f>
        <v/>
      </c>
      <c r="BQ725" s="34">
        <f>MAX((AY725+MAX((-J725+L725-N725+Q725),0)),(MAX((J725-L725+N725-Q725),0)))</f>
        <v/>
      </c>
      <c r="BR725" s="82">
        <f>IFERROR(ABS(BK725/BQ725),0)</f>
        <v/>
      </c>
      <c r="BS725" s="34">
        <f>IF(BR725&lt;=0.1,0,BK725/BR725*(BR725-0.1))</f>
        <v/>
      </c>
      <c r="BT725" s="34">
        <f>IF((BS725)&lt;0,MAX(F725:G725)*(BS725)*1.03,MIN(F725:G725)*(BS725)*0.97)</f>
        <v/>
      </c>
      <c r="BU725" s="34">
        <f>IF(BR725&gt;0.1,1,0)</f>
        <v/>
      </c>
      <c r="BV725" s="34">
        <f>BF725+BG725+BH725+BY725-CA725</f>
        <v/>
      </c>
      <c r="BW725" s="34">
        <f>ABS(BX725)</f>
        <v/>
      </c>
      <c r="BX725" s="34">
        <f>AY725-(J725-L725+N725-Q725+T725-X725)</f>
        <v/>
      </c>
      <c r="BY725" s="34">
        <f>IF(AND(BX725&gt;0,MIN($F725:$G725)&lt;150,$E725="Enerji Açığı"),-100*BX725*1.03,IF(AND(BX725&gt;0,MIN($F725:$G725)&lt;150,$E725="Enerji Fazlası"),-100*BX725*1.06,IF(AND(BX725&gt;0,MIN($F725:$G725)&gt;=150,$E725="Enerji Açığı"),BX725*MIN($F725:$G725)*0.97,IF(AND(BX725&gt;0,MIN($F725:$G725)&gt;=150,$E725="Enerji Fazlası"),BX725*MIN($F725:$G725)*0.94,IF(AND(BX725&lt;0,MAX($F725:$G725)=4500,$E725="Enerji Açığı"),4500*1.05*1.06*BX725,IF(AND(BX725&lt;0,MAX($F725:$G725)=4500,$E725="Enerji Fazlası"),4500*1.05*1.03*BX725,IF(AND(BX725&lt;0,$E725="Enerji Açığı"),MAX($F725,$G725,150)*BX725*1.06,IF(AND(BX725&lt;0,$E725="Enerji Fazlası"),MAX($F725,$G725,150)*BX725*1.03,IF(AND(BX725&lt;0,$E725="Dengede"),MAX($F725:$G725,150)*1.03*BX725,MIN($F725:$G725)*0.97*BX725)))))))))</f>
        <v/>
      </c>
      <c r="BZ725" s="34">
        <f>BE725-BV725-CA725</f>
        <v/>
      </c>
      <c r="CA725" s="34">
        <f>BD725</f>
        <v/>
      </c>
      <c r="CB725" s="33">
        <f>BE725-BV725</f>
        <v/>
      </c>
      <c r="CC725" s="34">
        <f>IF(AY725=0,0,CB725/AY725)</f>
        <v/>
      </c>
      <c r="CD725" s="34">
        <f>MAX((AY725+MAX((-J725+L725-N725+Q725-T725+X725),0)),(MAX((J725-L725+N725-Q725+T725-X725),0)))</f>
        <v/>
      </c>
      <c r="CE725" s="82">
        <f>IFERROR(ABS(BX725/CD725),0)</f>
        <v/>
      </c>
      <c r="CF725" s="34">
        <f>IF(CE725&lt;=0.1,0,BX725/CE725*(CE725-0.1))</f>
        <v/>
      </c>
      <c r="CG725" s="34">
        <f>IF((CF725)&lt;0,MAX(F725:G725)*(CF725)*1.03,MIN(F725:G725)*(CF725)*0.97)</f>
        <v/>
      </c>
      <c r="CH725" s="34">
        <f>IF(CE725&gt;0.1,1,0)</f>
        <v/>
      </c>
      <c r="CI725" s="34">
        <f>(F725*BX725)-BY725</f>
        <v/>
      </c>
      <c r="CJ725" s="34">
        <f>IF(AY725=0,0,CI725/AY725)</f>
        <v/>
      </c>
    </row>
    <row r="726">
      <c r="A726" s="29">
        <f>[1]FİYATLAR!A701</f>
        <v/>
      </c>
      <c r="B726" s="29">
        <f>[1]FİYATLAR!B725</f>
        <v/>
      </c>
      <c r="C726" s="35">
        <f>INT(A726)</f>
        <v/>
      </c>
      <c r="D726" s="36">
        <f>MONTH(A726)</f>
        <v/>
      </c>
      <c r="E726" s="147">
        <f>[1]FİYATLAR!G701</f>
        <v/>
      </c>
      <c r="F726" s="30">
        <f>[1]FİYATLAR!C701</f>
        <v/>
      </c>
      <c r="G726" s="30">
        <f>[1]FİYATLAR!E701</f>
        <v/>
      </c>
      <c r="H726" s="30">
        <f>[1]FİYATLAR!D701</f>
        <v/>
      </c>
      <c r="I726" s="30">
        <f>[1]FİYATLAR!F701</f>
        <v/>
      </c>
      <c r="J726" s="119" t="n">
        <v>0</v>
      </c>
      <c r="K726" s="34">
        <f>F726*J726</f>
        <v/>
      </c>
      <c r="L726" s="119" t="n"/>
      <c r="M726" s="34">
        <f>L726*F726</f>
        <v/>
      </c>
      <c r="N726" s="119" t="n"/>
      <c r="O726" s="34">
        <f>F726</f>
        <v/>
      </c>
      <c r="P726" s="34">
        <f>N726*O726</f>
        <v/>
      </c>
      <c r="Q726" s="117" t="n">
        <v>0</v>
      </c>
      <c r="R726" s="34">
        <f>F726</f>
        <v/>
      </c>
      <c r="S726" s="34">
        <f>R726*Q726</f>
        <v/>
      </c>
      <c r="T726" s="34">
        <f>SUMIFS('[1]GİP VERİLERİ'!$C:$C,'[1]GİP VERİLERİ'!$B:$B,A726,'[1]GİP VERİLERİ'!$M:$M,"40X000000104782K",'[1]GİP VERİLERİ'!$G:$G,"SELL")</f>
        <v/>
      </c>
      <c r="U726" s="34">
        <f>IFERROR(W726/T726,0)</f>
        <v/>
      </c>
      <c r="V726" s="34">
        <f>IF(U726=0,0,U726-F726)</f>
        <v/>
      </c>
      <c r="W726" s="34">
        <f>SUMIFS('[1]GİP VERİLERİ'!$O:$O,'[1]GİP VERİLERİ'!$B:$B,A726,'[1]GİP VERİLERİ'!$M:$M,"40X000000104782K",'[1]GİP VERİLERİ'!$G:$G,"SELL")</f>
        <v/>
      </c>
      <c r="X726" s="34">
        <f>SUMIFS('[1]GİP VERİLERİ'!$C:$C,'[1]GİP VERİLERİ'!$B:$B,A726,'[1]GİP VERİLERİ'!$M:$M,"40X000000104782K",'[1]GİP VERİLERİ'!$G:$G,"BUY")</f>
        <v/>
      </c>
      <c r="Y726" s="34">
        <f>IFERROR(AA726/X726,0)</f>
        <v/>
      </c>
      <c r="Z726" s="34">
        <f>IF(Y726=0,0,F726-Y726)</f>
        <v/>
      </c>
      <c r="AA726" s="34">
        <f>SUMIFS('[1]GİP VERİLERİ'!$O:$O,'[1]GİP VERİLERİ'!$B:$B,A726,'[1]GİP VERİLERİ'!$M:$M,"40X000000104782K",'[1]GİP VERİLERİ'!$G:$G,"BUY")</f>
        <v/>
      </c>
      <c r="AB726" s="34">
        <f>'[1]GÖP VERİLERİ'!H727</f>
        <v/>
      </c>
      <c r="AC726" s="34">
        <f>'[1]GÖP VERİLERİ'!I727</f>
        <v/>
      </c>
      <c r="AD726" s="34">
        <f>IF(AB726&gt;AC726*1.05,AB726-AC726*1.05,IF(AB726&lt;AC726*0.95,AC726*0.95-AB726,0))</f>
        <v/>
      </c>
      <c r="AE726" s="34">
        <f>MAX(F726,G726,750)*0.05*AD726</f>
        <v/>
      </c>
      <c r="AF726" s="34">
        <f>'[1]GÖP VERİLERİ'!J727</f>
        <v/>
      </c>
      <c r="AG726" s="34">
        <f>IF(AB726&gt;AF726*1.05,AB726-AF726*1.05,IF(AB726&lt;AF726*0.95,AF726*0.95-AB726,0))</f>
        <v/>
      </c>
      <c r="AH726" s="34">
        <f>MAX(I726,J726,750)*0.05*AG726</f>
        <v/>
      </c>
      <c r="AI726">
        <f>'[1]GÖP VERİLERİ'!E727</f>
        <v/>
      </c>
      <c r="AJ726">
        <f>'[1]GÖP VERİLERİ'!F727</f>
        <v/>
      </c>
      <c r="AK726" s="34">
        <f>IF(AI726&gt;AJ726*1.05,AI726-AJ726*1.05,IF(AI726&lt;AJ726*0.95,AJ726*0.95-AI726,0))</f>
        <v/>
      </c>
      <c r="AL726" s="34">
        <f>MAX(F726,G726,750)*0.05*AK726</f>
        <v/>
      </c>
      <c r="AM726" s="39">
        <f>'[1]GÖP VERİLERİ'!G727</f>
        <v/>
      </c>
      <c r="AN726" s="34">
        <f>IF(AI726&gt;AM726*1.05,AI726-AM726*1.05,IF(AI726&lt;AM726*0.95,AM726*0.95-AI726,0))</f>
        <v/>
      </c>
      <c r="AO726" s="34">
        <f>MAX(F726,G726,750)*0.05*AN726</f>
        <v/>
      </c>
      <c r="AP726" s="34">
        <f>'[1]GÖP VERİLERİ'!B727</f>
        <v/>
      </c>
      <c r="AQ726" s="34">
        <f>'[1]GÖP VERİLERİ'!C727</f>
        <v/>
      </c>
      <c r="AR726" s="34">
        <f>IF(AP726&gt;AQ726*1.05,AP726-AQ726*1.05,IF(AP726&lt;AQ726*0.95,AQ726*0.95-AP726,0))</f>
        <v/>
      </c>
      <c r="AS726" s="34">
        <f>MAX(F726:G726,750)*0.05*AR726</f>
        <v/>
      </c>
      <c r="AT726">
        <f>'[1]GÖP VERİLERİ'!D727</f>
        <v/>
      </c>
      <c r="AU726" s="34">
        <f>IF(AP726&gt;AT726*1.05,AP726-AT726*1.05,IF(AP726&lt;AT726*0.95,AT726*0.95-AP726,0))</f>
        <v/>
      </c>
      <c r="AV726" s="34">
        <f>MAX(F726:G726,750)*0.05*AU726</f>
        <v/>
      </c>
      <c r="AW726" s="34">
        <f>AC726+AJ726+AQ726</f>
        <v/>
      </c>
      <c r="AX726" s="34">
        <f>AF726+AM726+AT726</f>
        <v/>
      </c>
      <c r="AY726" s="34">
        <f>AB726+AI726+AP726</f>
        <v/>
      </c>
      <c r="AZ726" s="34" t="n">
        <v>0</v>
      </c>
      <c r="BA726" s="34">
        <f>AD726+AK726+AR726</f>
        <v/>
      </c>
      <c r="BB726" s="34">
        <f>MAX(F726:G726,750)*0.05*BA726</f>
        <v/>
      </c>
      <c r="BC726" s="34">
        <f>AG726+AN726+AU726</f>
        <v/>
      </c>
      <c r="BD726" s="34">
        <f>MAX(F726:G726,750)*0.05*BC726</f>
        <v/>
      </c>
      <c r="BE726" s="34">
        <f>F726*AY726</f>
        <v/>
      </c>
      <c r="BF726" s="34">
        <f>K726-M726</f>
        <v/>
      </c>
      <c r="BG726" s="34">
        <f>P726-S726</f>
        <v/>
      </c>
      <c r="BH726" s="34">
        <f>W726-AA726</f>
        <v/>
      </c>
      <c r="BI726" s="34">
        <f>BF726+BG726+BL726-BN726</f>
        <v/>
      </c>
      <c r="BJ726" s="34">
        <f>ABS(BK726)</f>
        <v/>
      </c>
      <c r="BK726" s="34">
        <f>AY726-(J726-L726+N726-Q726)</f>
        <v/>
      </c>
      <c r="BL726" s="34">
        <f>IF(AND(BK726&gt;0,MIN($F726:$G726)&lt;150,$E726="Enerji Açığı"),-100*BK726*1.03,IF(AND(BK726&gt;0,MIN($F726:$G726)&lt;150,$E726="Enerji Fazlası"),-100*BK726*1.06,IF(AND(BK726&gt;0,MIN($F726:$G726)&gt;=150,$E726="Enerji Açığı"),BK726*MIN($F726:$G726)*0.97,IF(AND(BK726&gt;0,MIN($F726:$G726)&gt;=150,$E726="Enerji Fazlası"),BK726*MIN($F726:$G726)*0.94,IF(AND(BK726&lt;0,MAX($F726:$G726)=4500,$E726="Enerji Açığı"),4500*1.05*1.06*BK726,IF(AND(BK726&lt;0,MAX($F726:$G726)=4500,$E726="Enerji Fazlası"),4500*1.05*1.03*BK726,IF(AND(BK726&lt;0,$E726="Enerji Açığı"),MAX($F726,$G726,150)*BK726*1.06,IF(AND(BK726&lt;0,$E726="Enerji Fazlası"),MAX($F726,$G726,150)*BK726*1.03,IF(AND(BK726&lt;0,$E726="Dengede"),MAX($F726:$G726,150)*1.03*BK726,MIN($F726:$G726)*0.97*BK726)))))))))</f>
        <v/>
      </c>
      <c r="BM726" s="34">
        <f>BE726-BI726-BN726</f>
        <v/>
      </c>
      <c r="BN726" s="34">
        <f>BB726</f>
        <v/>
      </c>
      <c r="BO726" s="34">
        <f>BE726-BI726</f>
        <v/>
      </c>
      <c r="BP726" s="34">
        <f>IF(AY726=0,0,BO726/AY726)</f>
        <v/>
      </c>
      <c r="BQ726" s="34">
        <f>MAX((AY726+MAX((-J726+L726-N726+Q726),0)),(MAX((J726-L726+N726-Q726),0)))</f>
        <v/>
      </c>
      <c r="BR726" s="82">
        <f>IFERROR(ABS(BK726/BQ726),0)</f>
        <v/>
      </c>
      <c r="BS726" s="34">
        <f>IF(BR726&lt;=0.1,0,BK726/BR726*(BR726-0.1))</f>
        <v/>
      </c>
      <c r="BT726" s="34">
        <f>IF((BS726)&lt;0,MAX(F726:G726)*(BS726)*1.03,MIN(F726:G726)*(BS726)*0.97)</f>
        <v/>
      </c>
      <c r="BU726" s="34">
        <f>IF(BR726&gt;0.1,1,0)</f>
        <v/>
      </c>
      <c r="BV726" s="34">
        <f>BF726+BG726+BH726+BY726-CA726</f>
        <v/>
      </c>
      <c r="BW726" s="34">
        <f>ABS(BX726)</f>
        <v/>
      </c>
      <c r="BX726" s="34">
        <f>AY726-(J726-L726+N726-Q726+T726-X726)</f>
        <v/>
      </c>
      <c r="BY726" s="34">
        <f>IF(AND(BX726&gt;0,MIN($F726:$G726)&lt;150,$E726="Enerji Açığı"),-100*BX726*1.03,IF(AND(BX726&gt;0,MIN($F726:$G726)&lt;150,$E726="Enerji Fazlası"),-100*BX726*1.06,IF(AND(BX726&gt;0,MIN($F726:$G726)&gt;=150,$E726="Enerji Açığı"),BX726*MIN($F726:$G726)*0.97,IF(AND(BX726&gt;0,MIN($F726:$G726)&gt;=150,$E726="Enerji Fazlası"),BX726*MIN($F726:$G726)*0.94,IF(AND(BX726&lt;0,MAX($F726:$G726)=4500,$E726="Enerji Açığı"),4500*1.05*1.06*BX726,IF(AND(BX726&lt;0,MAX($F726:$G726)=4500,$E726="Enerji Fazlası"),4500*1.05*1.03*BX726,IF(AND(BX726&lt;0,$E726="Enerji Açığı"),MAX($F726,$G726,150)*BX726*1.06,IF(AND(BX726&lt;0,$E726="Enerji Fazlası"),MAX($F726,$G726,150)*BX726*1.03,IF(AND(BX726&lt;0,$E726="Dengede"),MAX($F726:$G726,150)*1.03*BX726,MIN($F726:$G726)*0.97*BX726)))))))))</f>
        <v/>
      </c>
      <c r="BZ726" s="34">
        <f>BE726-BV726-CA726</f>
        <v/>
      </c>
      <c r="CA726" s="34">
        <f>BD726</f>
        <v/>
      </c>
      <c r="CB726" s="33">
        <f>BE726-BV726</f>
        <v/>
      </c>
      <c r="CC726" s="34">
        <f>IF(AY726=0,0,CB726/AY726)</f>
        <v/>
      </c>
      <c r="CD726" s="34">
        <f>MAX((AY726+MAX((-J726+L726-N726+Q726-T726+X726),0)),(MAX((J726-L726+N726-Q726+T726-X726),0)))</f>
        <v/>
      </c>
      <c r="CE726" s="82">
        <f>IFERROR(ABS(BX726/CD726),0)</f>
        <v/>
      </c>
      <c r="CF726" s="34">
        <f>IF(CE726&lt;=0.1,0,BX726/CE726*(CE726-0.1))</f>
        <v/>
      </c>
      <c r="CG726" s="34">
        <f>IF((CF726)&lt;0,MAX(F726:G726)*(CF726)*1.03,MIN(F726:G726)*(CF726)*0.97)</f>
        <v/>
      </c>
      <c r="CH726" s="34">
        <f>IF(CE726&gt;0.1,1,0)</f>
        <v/>
      </c>
      <c r="CI726" s="34">
        <f>(F726*BX726)-BY726</f>
        <v/>
      </c>
      <c r="CJ726" s="34">
        <f>IF(AY726=0,0,CI726/AY726)</f>
        <v/>
      </c>
    </row>
    <row r="727">
      <c r="A727" s="29">
        <f>[1]FİYATLAR!A702</f>
        <v/>
      </c>
      <c r="B727" s="29">
        <f>[1]FİYATLAR!B726</f>
        <v/>
      </c>
      <c r="C727" s="35">
        <f>INT(A727)</f>
        <v/>
      </c>
      <c r="D727" s="36">
        <f>MONTH(A727)</f>
        <v/>
      </c>
      <c r="E727" s="147">
        <f>[1]FİYATLAR!G702</f>
        <v/>
      </c>
      <c r="F727" s="30">
        <f>[1]FİYATLAR!C702</f>
        <v/>
      </c>
      <c r="G727" s="30">
        <f>[1]FİYATLAR!E702</f>
        <v/>
      </c>
      <c r="H727" s="30">
        <f>[1]FİYATLAR!D702</f>
        <v/>
      </c>
      <c r="I727" s="30">
        <f>[1]FİYATLAR!F702</f>
        <v/>
      </c>
      <c r="J727" s="119" t="n">
        <v>0</v>
      </c>
      <c r="K727" s="34">
        <f>F727*J727</f>
        <v/>
      </c>
      <c r="L727" s="119" t="n"/>
      <c r="M727" s="34">
        <f>L727*F727</f>
        <v/>
      </c>
      <c r="N727" s="119" t="n"/>
      <c r="O727" s="34">
        <f>F727</f>
        <v/>
      </c>
      <c r="P727" s="34">
        <f>N727*O727</f>
        <v/>
      </c>
      <c r="Q727" s="117" t="n">
        <v>0</v>
      </c>
      <c r="R727" s="34">
        <f>F727</f>
        <v/>
      </c>
      <c r="S727" s="34">
        <f>R727*Q727</f>
        <v/>
      </c>
      <c r="T727" s="34">
        <f>SUMIFS('[1]GİP VERİLERİ'!$C:$C,'[1]GİP VERİLERİ'!$B:$B,A727,'[1]GİP VERİLERİ'!$M:$M,"40X000000104782K",'[1]GİP VERİLERİ'!$G:$G,"SELL")</f>
        <v/>
      </c>
      <c r="U727" s="34">
        <f>IFERROR(W727/T727,0)</f>
        <v/>
      </c>
      <c r="V727" s="34">
        <f>IF(U727=0,0,U727-F727)</f>
        <v/>
      </c>
      <c r="W727" s="34">
        <f>SUMIFS('[1]GİP VERİLERİ'!$O:$O,'[1]GİP VERİLERİ'!$B:$B,A727,'[1]GİP VERİLERİ'!$M:$M,"40X000000104782K",'[1]GİP VERİLERİ'!$G:$G,"SELL")</f>
        <v/>
      </c>
      <c r="X727" s="34">
        <f>SUMIFS('[1]GİP VERİLERİ'!$C:$C,'[1]GİP VERİLERİ'!$B:$B,A727,'[1]GİP VERİLERİ'!$M:$M,"40X000000104782K",'[1]GİP VERİLERİ'!$G:$G,"BUY")</f>
        <v/>
      </c>
      <c r="Y727" s="34">
        <f>IFERROR(AA727/X727,0)</f>
        <v/>
      </c>
      <c r="Z727" s="34">
        <f>IF(Y727=0,0,F727-Y727)</f>
        <v/>
      </c>
      <c r="AA727" s="34">
        <f>SUMIFS('[1]GİP VERİLERİ'!$O:$O,'[1]GİP VERİLERİ'!$B:$B,A727,'[1]GİP VERİLERİ'!$M:$M,"40X000000104782K",'[1]GİP VERİLERİ'!$G:$G,"BUY")</f>
        <v/>
      </c>
      <c r="AB727" s="34">
        <f>'[1]GÖP VERİLERİ'!H728</f>
        <v/>
      </c>
      <c r="AC727" s="34">
        <f>'[1]GÖP VERİLERİ'!I728</f>
        <v/>
      </c>
      <c r="AD727" s="34">
        <f>IF(AB727&gt;AC727*1.05,AB727-AC727*1.05,IF(AB727&lt;AC727*0.95,AC727*0.95-AB727,0))</f>
        <v/>
      </c>
      <c r="AE727" s="34">
        <f>MAX(F727,G727,750)*0.05*AD727</f>
        <v/>
      </c>
      <c r="AF727" s="34">
        <f>'[1]GÖP VERİLERİ'!J728</f>
        <v/>
      </c>
      <c r="AG727" s="34">
        <f>IF(AB727&gt;AF727*1.05,AB727-AF727*1.05,IF(AB727&lt;AF727*0.95,AF727*0.95-AB727,0))</f>
        <v/>
      </c>
      <c r="AH727" s="34">
        <f>MAX(I727,J727,750)*0.05*AG727</f>
        <v/>
      </c>
      <c r="AI727">
        <f>'[1]GÖP VERİLERİ'!E728</f>
        <v/>
      </c>
      <c r="AJ727">
        <f>'[1]GÖP VERİLERİ'!F728</f>
        <v/>
      </c>
      <c r="AK727" s="34">
        <f>IF(AI727&gt;AJ727*1.05,AI727-AJ727*1.05,IF(AI727&lt;AJ727*0.95,AJ727*0.95-AI727,0))</f>
        <v/>
      </c>
      <c r="AL727" s="34">
        <f>MAX(F727,G727,750)*0.05*AK727</f>
        <v/>
      </c>
      <c r="AM727" s="39">
        <f>'[1]GÖP VERİLERİ'!G728</f>
        <v/>
      </c>
      <c r="AN727" s="34">
        <f>IF(AI727&gt;AM727*1.05,AI727-AM727*1.05,IF(AI727&lt;AM727*0.95,AM727*0.95-AI727,0))</f>
        <v/>
      </c>
      <c r="AO727" s="34">
        <f>MAX(F727,G727,750)*0.05*AN727</f>
        <v/>
      </c>
      <c r="AP727" s="34">
        <f>'[1]GÖP VERİLERİ'!B728</f>
        <v/>
      </c>
      <c r="AQ727" s="34">
        <f>'[1]GÖP VERİLERİ'!C728</f>
        <v/>
      </c>
      <c r="AR727" s="34">
        <f>IF(AP727&gt;AQ727*1.05,AP727-AQ727*1.05,IF(AP727&lt;AQ727*0.95,AQ727*0.95-AP727,0))</f>
        <v/>
      </c>
      <c r="AS727" s="34">
        <f>MAX(F727:G727,750)*0.05*AR727</f>
        <v/>
      </c>
      <c r="AT727">
        <f>'[1]GÖP VERİLERİ'!D728</f>
        <v/>
      </c>
      <c r="AU727" s="34">
        <f>IF(AP727&gt;AT727*1.05,AP727-AT727*1.05,IF(AP727&lt;AT727*0.95,AT727*0.95-AP727,0))</f>
        <v/>
      </c>
      <c r="AV727" s="34">
        <f>MAX(F727:G727,750)*0.05*AU727</f>
        <v/>
      </c>
      <c r="AW727" s="34">
        <f>AC727+AJ727+AQ727</f>
        <v/>
      </c>
      <c r="AX727" s="34">
        <f>AF727+AM727+AT727</f>
        <v/>
      </c>
      <c r="AY727" s="34">
        <f>AB727+AI727+AP727</f>
        <v/>
      </c>
      <c r="AZ727" s="34" t="n">
        <v>0</v>
      </c>
      <c r="BA727" s="34">
        <f>AD727+AK727+AR727</f>
        <v/>
      </c>
      <c r="BB727" s="34">
        <f>MAX(F727:G727,750)*0.05*BA727</f>
        <v/>
      </c>
      <c r="BC727" s="34">
        <f>AG727+AN727+AU727</f>
        <v/>
      </c>
      <c r="BD727" s="34">
        <f>MAX(F727:G727,750)*0.05*BC727</f>
        <v/>
      </c>
      <c r="BE727" s="34">
        <f>F727*AY727</f>
        <v/>
      </c>
      <c r="BF727" s="34">
        <f>K727-M727</f>
        <v/>
      </c>
      <c r="BG727" s="34">
        <f>P727-S727</f>
        <v/>
      </c>
      <c r="BH727" s="34">
        <f>W727-AA727</f>
        <v/>
      </c>
      <c r="BI727" s="34">
        <f>BF727+BG727+BL727-BN727</f>
        <v/>
      </c>
      <c r="BJ727" s="34">
        <f>ABS(BK727)</f>
        <v/>
      </c>
      <c r="BK727" s="34">
        <f>AY727-(J727-L727+N727-Q727)</f>
        <v/>
      </c>
      <c r="BL727" s="34">
        <f>IF(AND(BK727&gt;0,MIN($F727:$G727)&lt;150,$E727="Enerji Açığı"),-100*BK727*1.03,IF(AND(BK727&gt;0,MIN($F727:$G727)&lt;150,$E727="Enerji Fazlası"),-100*BK727*1.06,IF(AND(BK727&gt;0,MIN($F727:$G727)&gt;=150,$E727="Enerji Açığı"),BK727*MIN($F727:$G727)*0.97,IF(AND(BK727&gt;0,MIN($F727:$G727)&gt;=150,$E727="Enerji Fazlası"),BK727*MIN($F727:$G727)*0.94,IF(AND(BK727&lt;0,MAX($F727:$G727)=4500,$E727="Enerji Açığı"),4500*1.05*1.06*BK727,IF(AND(BK727&lt;0,MAX($F727:$G727)=4500,$E727="Enerji Fazlası"),4500*1.05*1.03*BK727,IF(AND(BK727&lt;0,$E727="Enerji Açığı"),MAX($F727,$G727,150)*BK727*1.06,IF(AND(BK727&lt;0,$E727="Enerji Fazlası"),MAX($F727,$G727,150)*BK727*1.03,IF(AND(BK727&lt;0,$E727="Dengede"),MAX($F727:$G727,150)*1.03*BK727,MIN($F727:$G727)*0.97*BK727)))))))))</f>
        <v/>
      </c>
      <c r="BM727" s="34">
        <f>BE727-BI727-BN727</f>
        <v/>
      </c>
      <c r="BN727" s="34">
        <f>BB727</f>
        <v/>
      </c>
      <c r="BO727" s="34">
        <f>BE727-BI727</f>
        <v/>
      </c>
      <c r="BP727" s="34">
        <f>IF(AY727=0,0,BO727/AY727)</f>
        <v/>
      </c>
      <c r="BQ727" s="34">
        <f>MAX((AY727+MAX((-J727+L727-N727+Q727),0)),(MAX((J727-L727+N727-Q727),0)))</f>
        <v/>
      </c>
      <c r="BR727" s="82">
        <f>IFERROR(ABS(BK727/BQ727),0)</f>
        <v/>
      </c>
      <c r="BS727" s="34">
        <f>IF(BR727&lt;=0.1,0,BK727/BR727*(BR727-0.1))</f>
        <v/>
      </c>
      <c r="BT727" s="34">
        <f>IF((BS727)&lt;0,MAX(F727:G727)*(BS727)*1.03,MIN(F727:G727)*(BS727)*0.97)</f>
        <v/>
      </c>
      <c r="BU727" s="34">
        <f>IF(BR727&gt;0.1,1,0)</f>
        <v/>
      </c>
      <c r="BV727" s="34">
        <f>BF727+BG727+BH727+BY727-CA727</f>
        <v/>
      </c>
      <c r="BW727" s="34">
        <f>ABS(BX727)</f>
        <v/>
      </c>
      <c r="BX727" s="34">
        <f>AY727-(J727-L727+N727-Q727+T727-X727)</f>
        <v/>
      </c>
      <c r="BY727" s="34">
        <f>IF(AND(BX727&gt;0,MIN($F727:$G727)&lt;150,$E727="Enerji Açığı"),-100*BX727*1.03,IF(AND(BX727&gt;0,MIN($F727:$G727)&lt;150,$E727="Enerji Fazlası"),-100*BX727*1.06,IF(AND(BX727&gt;0,MIN($F727:$G727)&gt;=150,$E727="Enerji Açığı"),BX727*MIN($F727:$G727)*0.97,IF(AND(BX727&gt;0,MIN($F727:$G727)&gt;=150,$E727="Enerji Fazlası"),BX727*MIN($F727:$G727)*0.94,IF(AND(BX727&lt;0,MAX($F727:$G727)=4500,$E727="Enerji Açığı"),4500*1.05*1.06*BX727,IF(AND(BX727&lt;0,MAX($F727:$G727)=4500,$E727="Enerji Fazlası"),4500*1.05*1.03*BX727,IF(AND(BX727&lt;0,$E727="Enerji Açığı"),MAX($F727,$G727,150)*BX727*1.06,IF(AND(BX727&lt;0,$E727="Enerji Fazlası"),MAX($F727,$G727,150)*BX727*1.03,IF(AND(BX727&lt;0,$E727="Dengede"),MAX($F727:$G727,150)*1.03*BX727,MIN($F727:$G727)*0.97*BX727)))))))))</f>
        <v/>
      </c>
      <c r="BZ727" s="34">
        <f>BE727-BV727-CA727</f>
        <v/>
      </c>
      <c r="CA727" s="34">
        <f>BD727</f>
        <v/>
      </c>
      <c r="CB727" s="33">
        <f>BE727-BV727</f>
        <v/>
      </c>
      <c r="CC727" s="34">
        <f>IF(AY727=0,0,CB727/AY727)</f>
        <v/>
      </c>
      <c r="CD727" s="34">
        <f>MAX((AY727+MAX((-J727+L727-N727+Q727-T727+X727),0)),(MAX((J727-L727+N727-Q727+T727-X727),0)))</f>
        <v/>
      </c>
      <c r="CE727" s="82">
        <f>IFERROR(ABS(BX727/CD727),0)</f>
        <v/>
      </c>
      <c r="CF727" s="34">
        <f>IF(CE727&lt;=0.1,0,BX727/CE727*(CE727-0.1))</f>
        <v/>
      </c>
      <c r="CG727" s="34">
        <f>IF((CF727)&lt;0,MAX(F727:G727)*(CF727)*1.03,MIN(F727:G727)*(CF727)*0.97)</f>
        <v/>
      </c>
      <c r="CH727" s="34">
        <f>IF(CE727&gt;0.1,1,0)</f>
        <v/>
      </c>
      <c r="CI727" s="34">
        <f>(F727*BX727)-BY727</f>
        <v/>
      </c>
      <c r="CJ727" s="34">
        <f>IF(AY727=0,0,CI727/AY727)</f>
        <v/>
      </c>
    </row>
    <row r="728">
      <c r="A728" s="29">
        <f>[1]FİYATLAR!A703</f>
        <v/>
      </c>
      <c r="B728" s="29">
        <f>[1]FİYATLAR!B727</f>
        <v/>
      </c>
      <c r="C728" s="35">
        <f>INT(A728)</f>
        <v/>
      </c>
      <c r="D728" s="36">
        <f>MONTH(A728)</f>
        <v/>
      </c>
      <c r="E728" s="147">
        <f>[1]FİYATLAR!G703</f>
        <v/>
      </c>
      <c r="F728" s="30">
        <f>[1]FİYATLAR!C703</f>
        <v/>
      </c>
      <c r="G728" s="30">
        <f>[1]FİYATLAR!E703</f>
        <v/>
      </c>
      <c r="H728" s="30">
        <f>[1]FİYATLAR!D703</f>
        <v/>
      </c>
      <c r="I728" s="30">
        <f>[1]FİYATLAR!F703</f>
        <v/>
      </c>
      <c r="J728" s="119" t="n">
        <v>0</v>
      </c>
      <c r="K728" s="34">
        <f>F728*J728</f>
        <v/>
      </c>
      <c r="L728" s="119" t="n"/>
      <c r="M728" s="34">
        <f>L728*F728</f>
        <v/>
      </c>
      <c r="N728" s="119" t="n"/>
      <c r="O728" s="34">
        <f>F728</f>
        <v/>
      </c>
      <c r="P728" s="34">
        <f>N728*O728</f>
        <v/>
      </c>
      <c r="Q728" s="117" t="n">
        <v>0</v>
      </c>
      <c r="R728" s="34">
        <f>F728</f>
        <v/>
      </c>
      <c r="S728" s="34">
        <f>R728*Q728</f>
        <v/>
      </c>
      <c r="T728" s="34">
        <f>SUMIFS('[1]GİP VERİLERİ'!$C:$C,'[1]GİP VERİLERİ'!$B:$B,A728,'[1]GİP VERİLERİ'!$M:$M,"40X000000104782K",'[1]GİP VERİLERİ'!$G:$G,"SELL")</f>
        <v/>
      </c>
      <c r="U728" s="34">
        <f>IFERROR(W728/T728,0)</f>
        <v/>
      </c>
      <c r="V728" s="34">
        <f>IF(U728=0,0,U728-F728)</f>
        <v/>
      </c>
      <c r="W728" s="34">
        <f>SUMIFS('[1]GİP VERİLERİ'!$O:$O,'[1]GİP VERİLERİ'!$B:$B,A728,'[1]GİP VERİLERİ'!$M:$M,"40X000000104782K",'[1]GİP VERİLERİ'!$G:$G,"SELL")</f>
        <v/>
      </c>
      <c r="X728" s="34">
        <f>SUMIFS('[1]GİP VERİLERİ'!$C:$C,'[1]GİP VERİLERİ'!$B:$B,A728,'[1]GİP VERİLERİ'!$M:$M,"40X000000104782K",'[1]GİP VERİLERİ'!$G:$G,"BUY")</f>
        <v/>
      </c>
      <c r="Y728" s="34">
        <f>IFERROR(AA728/X728,0)</f>
        <v/>
      </c>
      <c r="Z728" s="34">
        <f>IF(Y728=0,0,F728-Y728)</f>
        <v/>
      </c>
      <c r="AA728" s="34">
        <f>SUMIFS('[1]GİP VERİLERİ'!$O:$O,'[1]GİP VERİLERİ'!$B:$B,A728,'[1]GİP VERİLERİ'!$M:$M,"40X000000104782K",'[1]GİP VERİLERİ'!$G:$G,"BUY")</f>
        <v/>
      </c>
      <c r="AB728" s="34">
        <f>'[1]GÖP VERİLERİ'!H729</f>
        <v/>
      </c>
      <c r="AC728" s="34">
        <f>'[1]GÖP VERİLERİ'!I729</f>
        <v/>
      </c>
      <c r="AD728" s="34">
        <f>IF(AB728&gt;AC728*1.05,AB728-AC728*1.05,IF(AB728&lt;AC728*0.95,AC728*0.95-AB728,0))</f>
        <v/>
      </c>
      <c r="AE728" s="34">
        <f>MAX(F728,G728,750)*0.05*AD728</f>
        <v/>
      </c>
      <c r="AF728" s="34">
        <f>'[1]GÖP VERİLERİ'!J729</f>
        <v/>
      </c>
      <c r="AG728" s="34">
        <f>IF(AB728&gt;AF728*1.05,AB728-AF728*1.05,IF(AB728&lt;AF728*0.95,AF728*0.95-AB728,0))</f>
        <v/>
      </c>
      <c r="AH728" s="34">
        <f>MAX(I728,J728,750)*0.05*AG728</f>
        <v/>
      </c>
      <c r="AI728">
        <f>'[1]GÖP VERİLERİ'!E729</f>
        <v/>
      </c>
      <c r="AJ728">
        <f>'[1]GÖP VERİLERİ'!F729</f>
        <v/>
      </c>
      <c r="AK728" s="34">
        <f>IF(AI728&gt;AJ728*1.05,AI728-AJ728*1.05,IF(AI728&lt;AJ728*0.95,AJ728*0.95-AI728,0))</f>
        <v/>
      </c>
      <c r="AL728" s="34">
        <f>MAX(F728,G728,750)*0.05*AK728</f>
        <v/>
      </c>
      <c r="AM728" s="39">
        <f>'[1]GÖP VERİLERİ'!G729</f>
        <v/>
      </c>
      <c r="AN728" s="34">
        <f>IF(AI728&gt;AM728*1.05,AI728-AM728*1.05,IF(AI728&lt;AM728*0.95,AM728*0.95-AI728,0))</f>
        <v/>
      </c>
      <c r="AO728" s="34">
        <f>MAX(F728,G728,750)*0.05*AN728</f>
        <v/>
      </c>
      <c r="AP728" s="34">
        <f>'[1]GÖP VERİLERİ'!B729</f>
        <v/>
      </c>
      <c r="AQ728" s="34">
        <f>'[1]GÖP VERİLERİ'!C729</f>
        <v/>
      </c>
      <c r="AR728" s="34">
        <f>IF(AP728&gt;AQ728*1.05,AP728-AQ728*1.05,IF(AP728&lt;AQ728*0.95,AQ728*0.95-AP728,0))</f>
        <v/>
      </c>
      <c r="AS728" s="34">
        <f>MAX(F728:G728,750)*0.05*AR728</f>
        <v/>
      </c>
      <c r="AT728">
        <f>'[1]GÖP VERİLERİ'!D729</f>
        <v/>
      </c>
      <c r="AU728" s="34">
        <f>IF(AP728&gt;AT728*1.05,AP728-AT728*1.05,IF(AP728&lt;AT728*0.95,AT728*0.95-AP728,0))</f>
        <v/>
      </c>
      <c r="AV728" s="34">
        <f>MAX(F728:G728,750)*0.05*AU728</f>
        <v/>
      </c>
      <c r="AW728" s="34">
        <f>AC728+AJ728+AQ728</f>
        <v/>
      </c>
      <c r="AX728" s="34">
        <f>AF728+AM728+AT728</f>
        <v/>
      </c>
      <c r="AY728" s="34">
        <f>AB728+AI728+AP728</f>
        <v/>
      </c>
      <c r="AZ728" s="34" t="n">
        <v>0</v>
      </c>
      <c r="BA728" s="34">
        <f>AD728+AK728+AR728</f>
        <v/>
      </c>
      <c r="BB728" s="34">
        <f>MAX(F728:G728,750)*0.05*BA728</f>
        <v/>
      </c>
      <c r="BC728" s="34">
        <f>AG728+AN728+AU728</f>
        <v/>
      </c>
      <c r="BD728" s="34">
        <f>MAX(F728:G728,750)*0.05*BC728</f>
        <v/>
      </c>
      <c r="BE728" s="34">
        <f>F728*AY728</f>
        <v/>
      </c>
      <c r="BF728" s="34">
        <f>K728-M728</f>
        <v/>
      </c>
      <c r="BG728" s="34">
        <f>P728-S728</f>
        <v/>
      </c>
      <c r="BH728" s="34">
        <f>W728-AA728</f>
        <v/>
      </c>
      <c r="BI728" s="34">
        <f>BF728+BG728+BL728-BN728</f>
        <v/>
      </c>
      <c r="BJ728" s="34">
        <f>ABS(BK728)</f>
        <v/>
      </c>
      <c r="BK728" s="34">
        <f>AY728-(J728-L728+N728-Q728)</f>
        <v/>
      </c>
      <c r="BL728" s="34">
        <f>IF(AND(BK728&gt;0,MIN($F728:$G728)&lt;150,$E728="Enerji Açığı"),-100*BK728*1.03,IF(AND(BK728&gt;0,MIN($F728:$G728)&lt;150,$E728="Enerji Fazlası"),-100*BK728*1.06,IF(AND(BK728&gt;0,MIN($F728:$G728)&gt;=150,$E728="Enerji Açığı"),BK728*MIN($F728:$G728)*0.97,IF(AND(BK728&gt;0,MIN($F728:$G728)&gt;=150,$E728="Enerji Fazlası"),BK728*MIN($F728:$G728)*0.94,IF(AND(BK728&lt;0,MAX($F728:$G728)=4500,$E728="Enerji Açığı"),4500*1.05*1.06*BK728,IF(AND(BK728&lt;0,MAX($F728:$G728)=4500,$E728="Enerji Fazlası"),4500*1.05*1.03*BK728,IF(AND(BK728&lt;0,$E728="Enerji Açığı"),MAX($F728,$G728,150)*BK728*1.06,IF(AND(BK728&lt;0,$E728="Enerji Fazlası"),MAX($F728,$G728,150)*BK728*1.03,IF(AND(BK728&lt;0,$E728="Dengede"),MAX($F728:$G728,150)*1.03*BK728,MIN($F728:$G728)*0.97*BK728)))))))))</f>
        <v/>
      </c>
      <c r="BM728" s="34">
        <f>BE728-BI728-BN728</f>
        <v/>
      </c>
      <c r="BN728" s="34">
        <f>BB728</f>
        <v/>
      </c>
      <c r="BO728" s="34">
        <f>BE728-BI728</f>
        <v/>
      </c>
      <c r="BP728" s="34">
        <f>IF(AY728=0,0,BO728/AY728)</f>
        <v/>
      </c>
      <c r="BQ728" s="34">
        <f>MAX((AY728+MAX((-J728+L728-N728+Q728),0)),(MAX((J728-L728+N728-Q728),0)))</f>
        <v/>
      </c>
      <c r="BR728" s="82">
        <f>IFERROR(ABS(BK728/BQ728),0)</f>
        <v/>
      </c>
      <c r="BS728" s="34">
        <f>IF(BR728&lt;=0.1,0,BK728/BR728*(BR728-0.1))</f>
        <v/>
      </c>
      <c r="BT728" s="34">
        <f>IF((BS728)&lt;0,MAX(F728:G728)*(BS728)*1.03,MIN(F728:G728)*(BS728)*0.97)</f>
        <v/>
      </c>
      <c r="BU728" s="34">
        <f>IF(BR728&gt;0.1,1,0)</f>
        <v/>
      </c>
      <c r="BV728" s="34">
        <f>BF728+BG728+BH728+BY728-CA728</f>
        <v/>
      </c>
      <c r="BW728" s="34">
        <f>ABS(BX728)</f>
        <v/>
      </c>
      <c r="BX728" s="34">
        <f>AY728-(J728-L728+N728-Q728+T728-X728)</f>
        <v/>
      </c>
      <c r="BY728" s="34">
        <f>IF(AND(BX728&gt;0,MIN($F728:$G728)&lt;150,$E728="Enerji Açığı"),-100*BX728*1.03,IF(AND(BX728&gt;0,MIN($F728:$G728)&lt;150,$E728="Enerji Fazlası"),-100*BX728*1.06,IF(AND(BX728&gt;0,MIN($F728:$G728)&gt;=150,$E728="Enerji Açığı"),BX728*MIN($F728:$G728)*0.97,IF(AND(BX728&gt;0,MIN($F728:$G728)&gt;=150,$E728="Enerji Fazlası"),BX728*MIN($F728:$G728)*0.94,IF(AND(BX728&lt;0,MAX($F728:$G728)=4500,$E728="Enerji Açığı"),4500*1.05*1.06*BX728,IF(AND(BX728&lt;0,MAX($F728:$G728)=4500,$E728="Enerji Fazlası"),4500*1.05*1.03*BX728,IF(AND(BX728&lt;0,$E728="Enerji Açığı"),MAX($F728,$G728,150)*BX728*1.06,IF(AND(BX728&lt;0,$E728="Enerji Fazlası"),MAX($F728,$G728,150)*BX728*1.03,IF(AND(BX728&lt;0,$E728="Dengede"),MAX($F728:$G728,150)*1.03*BX728,MIN($F728:$G728)*0.97*BX728)))))))))</f>
        <v/>
      </c>
      <c r="BZ728" s="34">
        <f>BE728-BV728-CA728</f>
        <v/>
      </c>
      <c r="CA728" s="34">
        <f>BD728</f>
        <v/>
      </c>
      <c r="CB728" s="33">
        <f>BE728-BV728</f>
        <v/>
      </c>
      <c r="CC728" s="34">
        <f>IF(AY728=0,0,CB728/AY728)</f>
        <v/>
      </c>
      <c r="CD728" s="34">
        <f>MAX((AY728+MAX((-J728+L728-N728+Q728-T728+X728),0)),(MAX((J728-L728+N728-Q728+T728-X728),0)))</f>
        <v/>
      </c>
      <c r="CE728" s="82">
        <f>IFERROR(ABS(BX728/CD728),0)</f>
        <v/>
      </c>
      <c r="CF728" s="34">
        <f>IF(CE728&lt;=0.1,0,BX728/CE728*(CE728-0.1))</f>
        <v/>
      </c>
      <c r="CG728" s="34">
        <f>IF((CF728)&lt;0,MAX(F728:G728)*(CF728)*1.03,MIN(F728:G728)*(CF728)*0.97)</f>
        <v/>
      </c>
      <c r="CH728" s="34">
        <f>IF(CE728&gt;0.1,1,0)</f>
        <v/>
      </c>
      <c r="CI728" s="34">
        <f>(F728*BX728)-BY728</f>
        <v/>
      </c>
      <c r="CJ728" s="34">
        <f>IF(AY728=0,0,CI728/AY728)</f>
        <v/>
      </c>
    </row>
    <row r="729">
      <c r="A729" s="29">
        <f>[1]FİYATLAR!A704</f>
        <v/>
      </c>
      <c r="B729" s="29">
        <f>[1]FİYATLAR!B728</f>
        <v/>
      </c>
      <c r="C729" s="35">
        <f>INT(A729)</f>
        <v/>
      </c>
      <c r="D729" s="36">
        <f>MONTH(A729)</f>
        <v/>
      </c>
      <c r="E729" s="147">
        <f>[1]FİYATLAR!G704</f>
        <v/>
      </c>
      <c r="F729" s="30">
        <f>[1]FİYATLAR!C704</f>
        <v/>
      </c>
      <c r="G729" s="30">
        <f>[1]FİYATLAR!E704</f>
        <v/>
      </c>
      <c r="H729" s="30">
        <f>[1]FİYATLAR!D704</f>
        <v/>
      </c>
      <c r="I729" s="30">
        <f>[1]FİYATLAR!F704</f>
        <v/>
      </c>
      <c r="J729" s="119" t="n">
        <v>0</v>
      </c>
      <c r="K729" s="34">
        <f>F729*J729</f>
        <v/>
      </c>
      <c r="L729" s="119" t="n"/>
      <c r="M729" s="34">
        <f>L729*F729</f>
        <v/>
      </c>
      <c r="N729" s="119" t="n"/>
      <c r="O729" s="34">
        <f>F729</f>
        <v/>
      </c>
      <c r="P729" s="34">
        <f>N729*O729</f>
        <v/>
      </c>
      <c r="Q729" s="117" t="n">
        <v>0</v>
      </c>
      <c r="R729" s="34">
        <f>F729</f>
        <v/>
      </c>
      <c r="S729" s="34">
        <f>R729*Q729</f>
        <v/>
      </c>
      <c r="T729" s="34">
        <f>SUMIFS('[1]GİP VERİLERİ'!$C:$C,'[1]GİP VERİLERİ'!$B:$B,A729,'[1]GİP VERİLERİ'!$M:$M,"40X000000104782K",'[1]GİP VERİLERİ'!$G:$G,"SELL")</f>
        <v/>
      </c>
      <c r="U729" s="34">
        <f>IFERROR(W729/T729,0)</f>
        <v/>
      </c>
      <c r="V729" s="34">
        <f>IF(U729=0,0,U729-F729)</f>
        <v/>
      </c>
      <c r="W729" s="34">
        <f>SUMIFS('[1]GİP VERİLERİ'!$O:$O,'[1]GİP VERİLERİ'!$B:$B,A729,'[1]GİP VERİLERİ'!$M:$M,"40X000000104782K",'[1]GİP VERİLERİ'!$G:$G,"SELL")</f>
        <v/>
      </c>
      <c r="X729" s="34">
        <f>SUMIFS('[1]GİP VERİLERİ'!$C:$C,'[1]GİP VERİLERİ'!$B:$B,A729,'[1]GİP VERİLERİ'!$M:$M,"40X000000104782K",'[1]GİP VERİLERİ'!$G:$G,"BUY")</f>
        <v/>
      </c>
      <c r="Y729" s="34">
        <f>IFERROR(AA729/X729,0)</f>
        <v/>
      </c>
      <c r="Z729" s="34">
        <f>IF(Y729=0,0,F729-Y729)</f>
        <v/>
      </c>
      <c r="AA729" s="34">
        <f>SUMIFS('[1]GİP VERİLERİ'!$O:$O,'[1]GİP VERİLERİ'!$B:$B,A729,'[1]GİP VERİLERİ'!$M:$M,"40X000000104782K",'[1]GİP VERİLERİ'!$G:$G,"BUY")</f>
        <v/>
      </c>
      <c r="AB729" s="34">
        <f>'[1]GÖP VERİLERİ'!H730</f>
        <v/>
      </c>
      <c r="AC729" s="34">
        <f>'[1]GÖP VERİLERİ'!I730</f>
        <v/>
      </c>
      <c r="AD729" s="34">
        <f>IF(AB729&gt;AC729*1.05,AB729-AC729*1.05,IF(AB729&lt;AC729*0.95,AC729*0.95-AB729,0))</f>
        <v/>
      </c>
      <c r="AE729" s="34">
        <f>MAX(F729,G729,750)*0.05*AD729</f>
        <v/>
      </c>
      <c r="AF729" s="34">
        <f>'[1]GÖP VERİLERİ'!J730</f>
        <v/>
      </c>
      <c r="AG729" s="34">
        <f>IF(AB729&gt;AF729*1.05,AB729-AF729*1.05,IF(AB729&lt;AF729*0.95,AF729*0.95-AB729,0))</f>
        <v/>
      </c>
      <c r="AH729" s="34">
        <f>MAX(I729,J729,750)*0.05*AG729</f>
        <v/>
      </c>
      <c r="AI729">
        <f>'[1]GÖP VERİLERİ'!E730</f>
        <v/>
      </c>
      <c r="AJ729">
        <f>'[1]GÖP VERİLERİ'!F730</f>
        <v/>
      </c>
      <c r="AK729" s="34">
        <f>IF(AI729&gt;AJ729*1.05,AI729-AJ729*1.05,IF(AI729&lt;AJ729*0.95,AJ729*0.95-AI729,0))</f>
        <v/>
      </c>
      <c r="AL729" s="34">
        <f>MAX(F729,G729,750)*0.05*AK729</f>
        <v/>
      </c>
      <c r="AM729" s="39">
        <f>'[1]GÖP VERİLERİ'!G730</f>
        <v/>
      </c>
      <c r="AN729" s="34">
        <f>IF(AI729&gt;AM729*1.05,AI729-AM729*1.05,IF(AI729&lt;AM729*0.95,AM729*0.95-AI729,0))</f>
        <v/>
      </c>
      <c r="AO729" s="34">
        <f>MAX(F729,G729,750)*0.05*AN729</f>
        <v/>
      </c>
      <c r="AP729" s="34">
        <f>'[1]GÖP VERİLERİ'!B730</f>
        <v/>
      </c>
      <c r="AQ729" s="34">
        <f>'[1]GÖP VERİLERİ'!C730</f>
        <v/>
      </c>
      <c r="AR729" s="34">
        <f>IF(AP729&gt;AQ729*1.05,AP729-AQ729*1.05,IF(AP729&lt;AQ729*0.95,AQ729*0.95-AP729,0))</f>
        <v/>
      </c>
      <c r="AS729" s="34">
        <f>MAX(F729:G729,750)*0.05*AR729</f>
        <v/>
      </c>
      <c r="AT729">
        <f>'[1]GÖP VERİLERİ'!D730</f>
        <v/>
      </c>
      <c r="AU729" s="34">
        <f>IF(AP729&gt;AT729*1.05,AP729-AT729*1.05,IF(AP729&lt;AT729*0.95,AT729*0.95-AP729,0))</f>
        <v/>
      </c>
      <c r="AV729" s="34">
        <f>MAX(F729:G729,750)*0.05*AU729</f>
        <v/>
      </c>
      <c r="AW729" s="34">
        <f>AC729+AJ729+AQ729</f>
        <v/>
      </c>
      <c r="AX729" s="34">
        <f>AF729+AM729+AT729</f>
        <v/>
      </c>
      <c r="AY729" s="34">
        <f>AB729+AI729+AP729</f>
        <v/>
      </c>
      <c r="AZ729" s="34" t="n">
        <v>0</v>
      </c>
      <c r="BA729" s="34">
        <f>AD729+AK729+AR729</f>
        <v/>
      </c>
      <c r="BB729" s="34">
        <f>MAX(F729:G729,750)*0.05*BA729</f>
        <v/>
      </c>
      <c r="BC729" s="34">
        <f>AG729+AN729+AU729</f>
        <v/>
      </c>
      <c r="BD729" s="34">
        <f>MAX(F729:G729,750)*0.05*BC729</f>
        <v/>
      </c>
      <c r="BE729" s="34">
        <f>F729*AY729</f>
        <v/>
      </c>
      <c r="BF729" s="34">
        <f>K729-M729</f>
        <v/>
      </c>
      <c r="BG729" s="34">
        <f>P729-S729</f>
        <v/>
      </c>
      <c r="BH729" s="34">
        <f>W729-AA729</f>
        <v/>
      </c>
      <c r="BI729" s="34">
        <f>BF729+BG729+BL729-BN729</f>
        <v/>
      </c>
      <c r="BJ729" s="34">
        <f>ABS(BK729)</f>
        <v/>
      </c>
      <c r="BK729" s="34">
        <f>AY729-(J729-L729+N729-Q729)</f>
        <v/>
      </c>
      <c r="BL729" s="34">
        <f>IF(AND(BK729&gt;0,MIN($F729:$G729)&lt;150,$E729="Enerji Açığı"),-100*BK729*1.03,IF(AND(BK729&gt;0,MIN($F729:$G729)&lt;150,$E729="Enerji Fazlası"),-100*BK729*1.06,IF(AND(BK729&gt;0,MIN($F729:$G729)&gt;=150,$E729="Enerji Açığı"),BK729*MIN($F729:$G729)*0.97,IF(AND(BK729&gt;0,MIN($F729:$G729)&gt;=150,$E729="Enerji Fazlası"),BK729*MIN($F729:$G729)*0.94,IF(AND(BK729&lt;0,MAX($F729:$G729)=4500,$E729="Enerji Açığı"),4500*1.05*1.06*BK729,IF(AND(BK729&lt;0,MAX($F729:$G729)=4500,$E729="Enerji Fazlası"),4500*1.05*1.03*BK729,IF(AND(BK729&lt;0,$E729="Enerji Açığı"),MAX($F729,$G729,150)*BK729*1.06,IF(AND(BK729&lt;0,$E729="Enerji Fazlası"),MAX($F729,$G729,150)*BK729*1.03,IF(AND(BK729&lt;0,$E729="Dengede"),MAX($F729:$G729,150)*1.03*BK729,MIN($F729:$G729)*0.97*BK729)))))))))</f>
        <v/>
      </c>
      <c r="BM729" s="34">
        <f>BE729-BI729-BN729</f>
        <v/>
      </c>
      <c r="BN729" s="34">
        <f>BB729</f>
        <v/>
      </c>
      <c r="BO729" s="34">
        <f>BE729-BI729</f>
        <v/>
      </c>
      <c r="BP729" s="34">
        <f>IF(AY729=0,0,BO729/AY729)</f>
        <v/>
      </c>
      <c r="BQ729" s="34">
        <f>MAX((AY729+MAX((-J729+L729-N729+Q729),0)),(MAX((J729-L729+N729-Q729),0)))</f>
        <v/>
      </c>
      <c r="BR729" s="82">
        <f>IFERROR(ABS(BK729/BQ729),0)</f>
        <v/>
      </c>
      <c r="BS729" s="34">
        <f>IF(BR729&lt;=0.1,0,BK729/BR729*(BR729-0.1))</f>
        <v/>
      </c>
      <c r="BT729" s="34">
        <f>IF((BS729)&lt;0,MAX(F729:G729)*(BS729)*1.03,MIN(F729:G729)*(BS729)*0.97)</f>
        <v/>
      </c>
      <c r="BU729" s="34">
        <f>IF(BR729&gt;0.1,1,0)</f>
        <v/>
      </c>
      <c r="BV729" s="34">
        <f>BF729+BG729+BH729+BY729-CA729</f>
        <v/>
      </c>
      <c r="BW729" s="34">
        <f>ABS(BX729)</f>
        <v/>
      </c>
      <c r="BX729" s="34">
        <f>AY729-(J729-L729+N729-Q729+T729-X729)</f>
        <v/>
      </c>
      <c r="BY729" s="34">
        <f>IF(AND(BX729&gt;0,MIN($F729:$G729)&lt;150,$E729="Enerji Açığı"),-100*BX729*1.03,IF(AND(BX729&gt;0,MIN($F729:$G729)&lt;150,$E729="Enerji Fazlası"),-100*BX729*1.06,IF(AND(BX729&gt;0,MIN($F729:$G729)&gt;=150,$E729="Enerji Açığı"),BX729*MIN($F729:$G729)*0.97,IF(AND(BX729&gt;0,MIN($F729:$G729)&gt;=150,$E729="Enerji Fazlası"),BX729*MIN($F729:$G729)*0.94,IF(AND(BX729&lt;0,MAX($F729:$G729)=4500,$E729="Enerji Açığı"),4500*1.05*1.06*BX729,IF(AND(BX729&lt;0,MAX($F729:$G729)=4500,$E729="Enerji Fazlası"),4500*1.05*1.03*BX729,IF(AND(BX729&lt;0,$E729="Enerji Açığı"),MAX($F729,$G729,150)*BX729*1.06,IF(AND(BX729&lt;0,$E729="Enerji Fazlası"),MAX($F729,$G729,150)*BX729*1.03,IF(AND(BX729&lt;0,$E729="Dengede"),MAX($F729:$G729,150)*1.03*BX729,MIN($F729:$G729)*0.97*BX729)))))))))</f>
        <v/>
      </c>
      <c r="BZ729" s="34">
        <f>BE729-BV729-CA729</f>
        <v/>
      </c>
      <c r="CA729" s="34">
        <f>BD729</f>
        <v/>
      </c>
      <c r="CB729" s="33">
        <f>BE729-BV729</f>
        <v/>
      </c>
      <c r="CC729" s="34">
        <f>IF(AY729=0,0,CB729/AY729)</f>
        <v/>
      </c>
      <c r="CD729" s="34">
        <f>MAX((AY729+MAX((-J729+L729-N729+Q729-T729+X729),0)),(MAX((J729-L729+N729-Q729+T729-X729),0)))</f>
        <v/>
      </c>
      <c r="CE729" s="82">
        <f>IFERROR(ABS(BX729/CD729),0)</f>
        <v/>
      </c>
      <c r="CF729" s="34">
        <f>IF(CE729&lt;=0.1,0,BX729/CE729*(CE729-0.1))</f>
        <v/>
      </c>
      <c r="CG729" s="34">
        <f>IF((CF729)&lt;0,MAX(F729:G729)*(CF729)*1.03,MIN(F729:G729)*(CF729)*0.97)</f>
        <v/>
      </c>
      <c r="CH729" s="34">
        <f>IF(CE729&gt;0.1,1,0)</f>
        <v/>
      </c>
      <c r="CI729" s="34">
        <f>(F729*BX729)-BY729</f>
        <v/>
      </c>
      <c r="CJ729" s="34">
        <f>IF(AY729=0,0,CI729/AY729)</f>
        <v/>
      </c>
    </row>
    <row r="730">
      <c r="A730" s="29">
        <f>[1]FİYATLAR!A705</f>
        <v/>
      </c>
      <c r="B730" s="29">
        <f>[1]FİYATLAR!B729</f>
        <v/>
      </c>
      <c r="C730" s="35">
        <f>INT(A730)</f>
        <v/>
      </c>
      <c r="D730" s="36">
        <f>MONTH(A730)</f>
        <v/>
      </c>
      <c r="E730" s="147">
        <f>[1]FİYATLAR!G705</f>
        <v/>
      </c>
      <c r="F730" s="30">
        <f>[1]FİYATLAR!C705</f>
        <v/>
      </c>
      <c r="G730" s="30">
        <f>[1]FİYATLAR!E705</f>
        <v/>
      </c>
      <c r="H730" s="30">
        <f>[1]FİYATLAR!D705</f>
        <v/>
      </c>
      <c r="I730" s="30">
        <f>[1]FİYATLAR!F705</f>
        <v/>
      </c>
      <c r="J730" s="119" t="n">
        <v>0</v>
      </c>
      <c r="K730" s="34">
        <f>F730*J730</f>
        <v/>
      </c>
      <c r="L730" s="119" t="n"/>
      <c r="M730" s="34">
        <f>L730*F730</f>
        <v/>
      </c>
      <c r="N730" s="119" t="n"/>
      <c r="O730" s="34">
        <f>F730</f>
        <v/>
      </c>
      <c r="P730" s="34">
        <f>N730*O730</f>
        <v/>
      </c>
      <c r="Q730" s="117" t="n">
        <v>0</v>
      </c>
      <c r="R730" s="34">
        <f>F730</f>
        <v/>
      </c>
      <c r="S730" s="34">
        <f>R730*Q730</f>
        <v/>
      </c>
      <c r="T730" s="34">
        <f>SUMIFS('[1]GİP VERİLERİ'!$C:$C,'[1]GİP VERİLERİ'!$B:$B,A730,'[1]GİP VERİLERİ'!$M:$M,"40X000000104782K",'[1]GİP VERİLERİ'!$G:$G,"SELL")</f>
        <v/>
      </c>
      <c r="U730" s="34">
        <f>IFERROR(W730/T730,0)</f>
        <v/>
      </c>
      <c r="V730" s="34">
        <f>IF(U730=0,0,U730-F730)</f>
        <v/>
      </c>
      <c r="W730" s="34">
        <f>SUMIFS('[1]GİP VERİLERİ'!$O:$O,'[1]GİP VERİLERİ'!$B:$B,A730,'[1]GİP VERİLERİ'!$M:$M,"40X000000104782K",'[1]GİP VERİLERİ'!$G:$G,"SELL")</f>
        <v/>
      </c>
      <c r="X730" s="34">
        <f>SUMIFS('[1]GİP VERİLERİ'!$C:$C,'[1]GİP VERİLERİ'!$B:$B,A730,'[1]GİP VERİLERİ'!$M:$M,"40X000000104782K",'[1]GİP VERİLERİ'!$G:$G,"BUY")</f>
        <v/>
      </c>
      <c r="Y730" s="34">
        <f>IFERROR(AA730/X730,0)</f>
        <v/>
      </c>
      <c r="Z730" s="34">
        <f>IF(Y730=0,0,F730-Y730)</f>
        <v/>
      </c>
      <c r="AA730" s="34">
        <f>SUMIFS('[1]GİP VERİLERİ'!$O:$O,'[1]GİP VERİLERİ'!$B:$B,A730,'[1]GİP VERİLERİ'!$M:$M,"40X000000104782K",'[1]GİP VERİLERİ'!$G:$G,"BUY")</f>
        <v/>
      </c>
      <c r="AB730" s="34">
        <f>'[1]GÖP VERİLERİ'!H731</f>
        <v/>
      </c>
      <c r="AC730" s="34">
        <f>'[1]GÖP VERİLERİ'!I731</f>
        <v/>
      </c>
      <c r="AD730" s="34">
        <f>IF(AB730&gt;AC730*1.05,AB730-AC730*1.05,IF(AB730&lt;AC730*0.95,AC730*0.95-AB730,0))</f>
        <v/>
      </c>
      <c r="AE730" s="34">
        <f>MAX(F730,G730,750)*0.05*AD730</f>
        <v/>
      </c>
      <c r="AF730" s="34">
        <f>'[1]GÖP VERİLERİ'!J731</f>
        <v/>
      </c>
      <c r="AG730" s="34">
        <f>IF(AB730&gt;AF730*1.05,AB730-AF730*1.05,IF(AB730&lt;AF730*0.95,AF730*0.95-AB730,0))</f>
        <v/>
      </c>
      <c r="AH730" s="34">
        <f>MAX(I730,J730,750)*0.05*AG730</f>
        <v/>
      </c>
      <c r="AI730">
        <f>'[1]GÖP VERİLERİ'!E731</f>
        <v/>
      </c>
      <c r="AJ730">
        <f>'[1]GÖP VERİLERİ'!F731</f>
        <v/>
      </c>
      <c r="AK730" s="34">
        <f>IF(AI730&gt;AJ730*1.05,AI730-AJ730*1.05,IF(AI730&lt;AJ730*0.95,AJ730*0.95-AI730,0))</f>
        <v/>
      </c>
      <c r="AL730" s="34">
        <f>MAX(F730,G730,750)*0.05*AK730</f>
        <v/>
      </c>
      <c r="AM730" s="39">
        <f>'[1]GÖP VERİLERİ'!G731</f>
        <v/>
      </c>
      <c r="AN730" s="34">
        <f>IF(AI730&gt;AM730*1.05,AI730-AM730*1.05,IF(AI730&lt;AM730*0.95,AM730*0.95-AI730,0))</f>
        <v/>
      </c>
      <c r="AO730" s="34">
        <f>MAX(F730,G730,750)*0.05*AN730</f>
        <v/>
      </c>
      <c r="AP730" s="34">
        <f>'[1]GÖP VERİLERİ'!B731</f>
        <v/>
      </c>
      <c r="AQ730" s="34">
        <f>'[1]GÖP VERİLERİ'!C731</f>
        <v/>
      </c>
      <c r="AR730" s="34">
        <f>IF(AP730&gt;AQ730*1.05,AP730-AQ730*1.05,IF(AP730&lt;AQ730*0.95,AQ730*0.95-AP730,0))</f>
        <v/>
      </c>
      <c r="AS730" s="34">
        <f>MAX(F730:G730,750)*0.05*AR730</f>
        <v/>
      </c>
      <c r="AT730">
        <f>'[1]GÖP VERİLERİ'!D731</f>
        <v/>
      </c>
      <c r="AU730" s="34">
        <f>IF(AP730&gt;AT730*1.05,AP730-AT730*1.05,IF(AP730&lt;AT730*0.95,AT730*0.95-AP730,0))</f>
        <v/>
      </c>
      <c r="AV730" s="34">
        <f>MAX(F730:G730,750)*0.05*AU730</f>
        <v/>
      </c>
      <c r="AW730" s="34">
        <f>AC730+AJ730+AQ730</f>
        <v/>
      </c>
      <c r="AX730" s="34">
        <f>AF730+AM730+AT730</f>
        <v/>
      </c>
      <c r="AY730" s="34">
        <f>AB730+AI730+AP730</f>
        <v/>
      </c>
      <c r="AZ730" s="34" t="n">
        <v>0</v>
      </c>
      <c r="BA730" s="34">
        <f>AD730+AK730+AR730</f>
        <v/>
      </c>
      <c r="BB730" s="34">
        <f>MAX(F730:G730,750)*0.05*BA730</f>
        <v/>
      </c>
      <c r="BC730" s="34">
        <f>AG730+AN730+AU730</f>
        <v/>
      </c>
      <c r="BD730" s="34">
        <f>MAX(F730:G730,750)*0.05*BC730</f>
        <v/>
      </c>
      <c r="BE730" s="34">
        <f>F730*AY730</f>
        <v/>
      </c>
      <c r="BF730" s="34">
        <f>K730-M730</f>
        <v/>
      </c>
      <c r="BG730" s="34">
        <f>P730-S730</f>
        <v/>
      </c>
      <c r="BH730" s="34">
        <f>W730-AA730</f>
        <v/>
      </c>
      <c r="BI730" s="34">
        <f>BF730+BG730+BL730-BN730</f>
        <v/>
      </c>
      <c r="BJ730" s="34">
        <f>ABS(BK730)</f>
        <v/>
      </c>
      <c r="BK730" s="34">
        <f>AY730-(J730-L730+N730-Q730)</f>
        <v/>
      </c>
      <c r="BL730" s="34">
        <f>IF(AND(BK730&gt;0,MIN($F730:$G730)&lt;150,$E730="Enerji Açığı"),-100*BK730*1.03,IF(AND(BK730&gt;0,MIN($F730:$G730)&lt;150,$E730="Enerji Fazlası"),-100*BK730*1.06,IF(AND(BK730&gt;0,MIN($F730:$G730)&gt;=150,$E730="Enerji Açığı"),BK730*MIN($F730:$G730)*0.97,IF(AND(BK730&gt;0,MIN($F730:$G730)&gt;=150,$E730="Enerji Fazlası"),BK730*MIN($F730:$G730)*0.94,IF(AND(BK730&lt;0,MAX($F730:$G730)=4500,$E730="Enerji Açığı"),4500*1.05*1.06*BK730,IF(AND(BK730&lt;0,MAX($F730:$G730)=4500,$E730="Enerji Fazlası"),4500*1.05*1.03*BK730,IF(AND(BK730&lt;0,$E730="Enerji Açığı"),MAX($F730,$G730,150)*BK730*1.06,IF(AND(BK730&lt;0,$E730="Enerji Fazlası"),MAX($F730,$G730,150)*BK730*1.03,IF(AND(BK730&lt;0,$E730="Dengede"),MAX($F730:$G730,150)*1.03*BK730,MIN($F730:$G730)*0.97*BK730)))))))))</f>
        <v/>
      </c>
      <c r="BM730" s="34">
        <f>BE730-BI730-BN730</f>
        <v/>
      </c>
      <c r="BN730" s="34">
        <f>BB730</f>
        <v/>
      </c>
      <c r="BO730" s="34">
        <f>BE730-BI730</f>
        <v/>
      </c>
      <c r="BP730" s="34">
        <f>IF(AY730=0,0,BO730/AY730)</f>
        <v/>
      </c>
      <c r="BQ730" s="34">
        <f>MAX((AY730+MAX((-J730+L730-N730+Q730),0)),(MAX((J730-L730+N730-Q730),0)))</f>
        <v/>
      </c>
      <c r="BR730" s="82">
        <f>IFERROR(ABS(BK730/BQ730),0)</f>
        <v/>
      </c>
      <c r="BS730" s="34">
        <f>IF(BR730&lt;=0.1,0,BK730/BR730*(BR730-0.1))</f>
        <v/>
      </c>
      <c r="BT730" s="34">
        <f>IF((BS730)&lt;0,MAX(F730:G730)*(BS730)*1.03,MIN(F730:G730)*(BS730)*0.97)</f>
        <v/>
      </c>
      <c r="BU730" s="34">
        <f>IF(BR730&gt;0.1,1,0)</f>
        <v/>
      </c>
      <c r="BV730" s="34">
        <f>BF730+BG730+BH730+BY730-CA730</f>
        <v/>
      </c>
      <c r="BW730" s="34">
        <f>ABS(BX730)</f>
        <v/>
      </c>
      <c r="BX730" s="34">
        <f>AY730-(J730-L730+N730-Q730+T730-X730)</f>
        <v/>
      </c>
      <c r="BY730" s="34">
        <f>IF(AND(BX730&gt;0,MIN($F730:$G730)&lt;150,$E730="Enerji Açığı"),-100*BX730*1.03,IF(AND(BX730&gt;0,MIN($F730:$G730)&lt;150,$E730="Enerji Fazlası"),-100*BX730*1.06,IF(AND(BX730&gt;0,MIN($F730:$G730)&gt;=150,$E730="Enerji Açığı"),BX730*MIN($F730:$G730)*0.97,IF(AND(BX730&gt;0,MIN($F730:$G730)&gt;=150,$E730="Enerji Fazlası"),BX730*MIN($F730:$G730)*0.94,IF(AND(BX730&lt;0,MAX($F730:$G730)=4500,$E730="Enerji Açığı"),4500*1.05*1.06*BX730,IF(AND(BX730&lt;0,MAX($F730:$G730)=4500,$E730="Enerji Fazlası"),4500*1.05*1.03*BX730,IF(AND(BX730&lt;0,$E730="Enerji Açığı"),MAX($F730,$G730,150)*BX730*1.06,IF(AND(BX730&lt;0,$E730="Enerji Fazlası"),MAX($F730,$G730,150)*BX730*1.03,IF(AND(BX730&lt;0,$E730="Dengede"),MAX($F730:$G730,150)*1.03*BX730,MIN($F730:$G730)*0.97*BX730)))))))))</f>
        <v/>
      </c>
      <c r="BZ730" s="34">
        <f>BE730-BV730-CA730</f>
        <v/>
      </c>
      <c r="CA730" s="34">
        <f>BD730</f>
        <v/>
      </c>
      <c r="CB730" s="33">
        <f>BE730-BV730</f>
        <v/>
      </c>
      <c r="CC730" s="34">
        <f>IF(AY730=0,0,CB730/AY730)</f>
        <v/>
      </c>
      <c r="CD730" s="34">
        <f>MAX((AY730+MAX((-J730+L730-N730+Q730-T730+X730),0)),(MAX((J730-L730+N730-Q730+T730-X730),0)))</f>
        <v/>
      </c>
      <c r="CE730" s="82">
        <f>IFERROR(ABS(BX730/CD730),0)</f>
        <v/>
      </c>
      <c r="CF730" s="34">
        <f>IF(CE730&lt;=0.1,0,BX730/CE730*(CE730-0.1))</f>
        <v/>
      </c>
      <c r="CG730" s="34">
        <f>IF((CF730)&lt;0,MAX(F730:G730)*(CF730)*1.03,MIN(F730:G730)*(CF730)*0.97)</f>
        <v/>
      </c>
      <c r="CH730" s="34">
        <f>IF(CE730&gt;0.1,1,0)</f>
        <v/>
      </c>
      <c r="CI730" s="34">
        <f>(F730*BX730)-BY730</f>
        <v/>
      </c>
      <c r="CJ730" s="34">
        <f>IF(AY730=0,0,CI730/AY730)</f>
        <v/>
      </c>
    </row>
    <row r="731">
      <c r="A731" s="29">
        <f>[1]FİYATLAR!A706</f>
        <v/>
      </c>
      <c r="B731" s="29">
        <f>[1]FİYATLAR!B730</f>
        <v/>
      </c>
      <c r="C731" s="35">
        <f>INT(A731)</f>
        <v/>
      </c>
      <c r="D731" s="36">
        <f>MONTH(A731)</f>
        <v/>
      </c>
      <c r="E731" s="147">
        <f>[1]FİYATLAR!G706</f>
        <v/>
      </c>
      <c r="F731" s="30">
        <f>[1]FİYATLAR!C706</f>
        <v/>
      </c>
      <c r="G731" s="30">
        <f>[1]FİYATLAR!E706</f>
        <v/>
      </c>
      <c r="H731" s="30">
        <f>[1]FİYATLAR!D706</f>
        <v/>
      </c>
      <c r="I731" s="30">
        <f>[1]FİYATLAR!F706</f>
        <v/>
      </c>
      <c r="J731" s="119" t="n">
        <v>0</v>
      </c>
      <c r="K731" s="34">
        <f>F731*J731</f>
        <v/>
      </c>
      <c r="L731" s="119" t="n"/>
      <c r="M731" s="34">
        <f>L731*F731</f>
        <v/>
      </c>
      <c r="N731" s="119" t="n"/>
      <c r="O731" s="34">
        <f>F731</f>
        <v/>
      </c>
      <c r="P731" s="34">
        <f>N731*O731</f>
        <v/>
      </c>
      <c r="Q731" s="117" t="n">
        <v>0</v>
      </c>
      <c r="R731" s="34">
        <f>F731</f>
        <v/>
      </c>
      <c r="S731" s="34">
        <f>R731*Q731</f>
        <v/>
      </c>
      <c r="T731" s="34">
        <f>SUMIFS('[1]GİP VERİLERİ'!$C:$C,'[1]GİP VERİLERİ'!$B:$B,A731,'[1]GİP VERİLERİ'!$M:$M,"40X000000104782K",'[1]GİP VERİLERİ'!$G:$G,"SELL")</f>
        <v/>
      </c>
      <c r="U731" s="34">
        <f>IFERROR(W731/T731,0)</f>
        <v/>
      </c>
      <c r="V731" s="34">
        <f>IF(U731=0,0,U731-F731)</f>
        <v/>
      </c>
      <c r="W731" s="34">
        <f>SUMIFS('[1]GİP VERİLERİ'!$O:$O,'[1]GİP VERİLERİ'!$B:$B,A731,'[1]GİP VERİLERİ'!$M:$M,"40X000000104782K",'[1]GİP VERİLERİ'!$G:$G,"SELL")</f>
        <v/>
      </c>
      <c r="X731" s="34">
        <f>SUMIFS('[1]GİP VERİLERİ'!$C:$C,'[1]GİP VERİLERİ'!$B:$B,A731,'[1]GİP VERİLERİ'!$M:$M,"40X000000104782K",'[1]GİP VERİLERİ'!$G:$G,"BUY")</f>
        <v/>
      </c>
      <c r="Y731" s="34">
        <f>IFERROR(AA731/X731,0)</f>
        <v/>
      </c>
      <c r="Z731" s="34">
        <f>IF(Y731=0,0,F731-Y731)</f>
        <v/>
      </c>
      <c r="AA731" s="34">
        <f>SUMIFS('[1]GİP VERİLERİ'!$O:$O,'[1]GİP VERİLERİ'!$B:$B,A731,'[1]GİP VERİLERİ'!$M:$M,"40X000000104782K",'[1]GİP VERİLERİ'!$G:$G,"BUY")</f>
        <v/>
      </c>
      <c r="AB731" s="34">
        <f>'[1]GÖP VERİLERİ'!H732</f>
        <v/>
      </c>
      <c r="AC731" s="34">
        <f>'[1]GÖP VERİLERİ'!I732</f>
        <v/>
      </c>
      <c r="AD731" s="34">
        <f>IF(AB731&gt;AC731*1.05,AB731-AC731*1.05,IF(AB731&lt;AC731*0.95,AC731*0.95-AB731,0))</f>
        <v/>
      </c>
      <c r="AE731" s="34">
        <f>MAX(F731,G731,750)*0.05*AD731</f>
        <v/>
      </c>
      <c r="AF731" s="34">
        <f>'[1]GÖP VERİLERİ'!J732</f>
        <v/>
      </c>
      <c r="AG731" s="34">
        <f>IF(AB731&gt;AF731*1.05,AB731-AF731*1.05,IF(AB731&lt;AF731*0.95,AF731*0.95-AB731,0))</f>
        <v/>
      </c>
      <c r="AH731" s="34">
        <f>MAX(I731,J731,750)*0.05*AG731</f>
        <v/>
      </c>
      <c r="AI731">
        <f>'[1]GÖP VERİLERİ'!E732</f>
        <v/>
      </c>
      <c r="AJ731">
        <f>'[1]GÖP VERİLERİ'!F732</f>
        <v/>
      </c>
      <c r="AK731" s="34">
        <f>IF(AI731&gt;AJ731*1.05,AI731-AJ731*1.05,IF(AI731&lt;AJ731*0.95,AJ731*0.95-AI731,0))</f>
        <v/>
      </c>
      <c r="AL731" s="34">
        <f>MAX(F731,G731,750)*0.05*AK731</f>
        <v/>
      </c>
      <c r="AM731" s="39">
        <f>'[1]GÖP VERİLERİ'!G732</f>
        <v/>
      </c>
      <c r="AN731" s="34">
        <f>IF(AI731&gt;AM731*1.05,AI731-AM731*1.05,IF(AI731&lt;AM731*0.95,AM731*0.95-AI731,0))</f>
        <v/>
      </c>
      <c r="AO731" s="34">
        <f>MAX(F731,G731,750)*0.05*AN731</f>
        <v/>
      </c>
      <c r="AP731" s="34">
        <f>'[1]GÖP VERİLERİ'!B732</f>
        <v/>
      </c>
      <c r="AQ731" s="34">
        <f>'[1]GÖP VERİLERİ'!C732</f>
        <v/>
      </c>
      <c r="AR731" s="34">
        <f>IF(AP731&gt;AQ731*1.05,AP731-AQ731*1.05,IF(AP731&lt;AQ731*0.95,AQ731*0.95-AP731,0))</f>
        <v/>
      </c>
      <c r="AS731" s="34">
        <f>MAX(F731:G731,750)*0.05*AR731</f>
        <v/>
      </c>
      <c r="AT731">
        <f>'[1]GÖP VERİLERİ'!D732</f>
        <v/>
      </c>
      <c r="AU731" s="34">
        <f>IF(AP731&gt;AT731*1.05,AP731-AT731*1.05,IF(AP731&lt;AT731*0.95,AT731*0.95-AP731,0))</f>
        <v/>
      </c>
      <c r="AV731" s="34">
        <f>MAX(F731:G731,750)*0.05*AU731</f>
        <v/>
      </c>
      <c r="AW731" s="34">
        <f>AC731+AJ731+AQ731</f>
        <v/>
      </c>
      <c r="AX731" s="34">
        <f>AF731+AM731+AT731</f>
        <v/>
      </c>
      <c r="AY731" s="34">
        <f>AB731+AI731+AP731</f>
        <v/>
      </c>
      <c r="AZ731" s="34" t="n">
        <v>0</v>
      </c>
      <c r="BA731" s="34">
        <f>AD731+AK731+AR731</f>
        <v/>
      </c>
      <c r="BB731" s="34">
        <f>MAX(F731:G731,750)*0.05*BA731</f>
        <v/>
      </c>
      <c r="BC731" s="34">
        <f>AG731+AN731+AU731</f>
        <v/>
      </c>
      <c r="BD731" s="34">
        <f>MAX(F731:G731,750)*0.05*BC731</f>
        <v/>
      </c>
      <c r="BE731" s="34">
        <f>F731*AY731</f>
        <v/>
      </c>
      <c r="BF731" s="34">
        <f>K731-M731</f>
        <v/>
      </c>
      <c r="BG731" s="34">
        <f>P731-S731</f>
        <v/>
      </c>
      <c r="BH731" s="34">
        <f>W731-AA731</f>
        <v/>
      </c>
      <c r="BI731" s="34">
        <f>BF731+BG731+BL731-BN731</f>
        <v/>
      </c>
      <c r="BJ731" s="34">
        <f>ABS(BK731)</f>
        <v/>
      </c>
      <c r="BK731" s="34">
        <f>AY731-(J731-L731+N731-Q731)</f>
        <v/>
      </c>
      <c r="BL731" s="34">
        <f>IF(AND(BK731&gt;0,MIN($F731:$G731)&lt;150,$E731="Enerji Açığı"),-100*BK731*1.03,IF(AND(BK731&gt;0,MIN($F731:$G731)&lt;150,$E731="Enerji Fazlası"),-100*BK731*1.06,IF(AND(BK731&gt;0,MIN($F731:$G731)&gt;=150,$E731="Enerji Açığı"),BK731*MIN($F731:$G731)*0.97,IF(AND(BK731&gt;0,MIN($F731:$G731)&gt;=150,$E731="Enerji Fazlası"),BK731*MIN($F731:$G731)*0.94,IF(AND(BK731&lt;0,MAX($F731:$G731)=4500,$E731="Enerji Açığı"),4500*1.05*1.06*BK731,IF(AND(BK731&lt;0,MAX($F731:$G731)=4500,$E731="Enerji Fazlası"),4500*1.05*1.03*BK731,IF(AND(BK731&lt;0,$E731="Enerji Açığı"),MAX($F731,$G731,150)*BK731*1.06,IF(AND(BK731&lt;0,$E731="Enerji Fazlası"),MAX($F731,$G731,150)*BK731*1.03,IF(AND(BK731&lt;0,$E731="Dengede"),MAX($F731:$G731,150)*1.03*BK731,MIN($F731:$G731)*0.97*BK731)))))))))</f>
        <v/>
      </c>
      <c r="BM731" s="34">
        <f>BE731-BI731-BN731</f>
        <v/>
      </c>
      <c r="BN731" s="34">
        <f>BB731</f>
        <v/>
      </c>
      <c r="BO731" s="34">
        <f>BE731-BI731</f>
        <v/>
      </c>
      <c r="BP731" s="34">
        <f>IF(AY731=0,0,BO731/AY731)</f>
        <v/>
      </c>
      <c r="BQ731" s="34">
        <f>MAX((AY731+MAX((-J731+L731-N731+Q731),0)),(MAX((J731-L731+N731-Q731),0)))</f>
        <v/>
      </c>
      <c r="BR731" s="82">
        <f>IFERROR(ABS(BK731/BQ731),0)</f>
        <v/>
      </c>
      <c r="BS731" s="34">
        <f>IF(BR731&lt;=0.1,0,BK731/BR731*(BR731-0.1))</f>
        <v/>
      </c>
      <c r="BT731" s="34">
        <f>IF((BS731)&lt;0,MAX(F731:G731)*(BS731)*1.03,MIN(F731:G731)*(BS731)*0.97)</f>
        <v/>
      </c>
      <c r="BU731" s="34">
        <f>IF(BR731&gt;0.1,1,0)</f>
        <v/>
      </c>
      <c r="BV731" s="34">
        <f>BF731+BG731+BH731+BY731-CA731</f>
        <v/>
      </c>
      <c r="BW731" s="34">
        <f>ABS(BX731)</f>
        <v/>
      </c>
      <c r="BX731" s="34">
        <f>AY731-(J731-L731+N731-Q731+T731-X731)</f>
        <v/>
      </c>
      <c r="BY731" s="34">
        <f>IF(AND(BX731&gt;0,MIN($F731:$G731)&lt;150,$E731="Enerji Açığı"),-100*BX731*1.03,IF(AND(BX731&gt;0,MIN($F731:$G731)&lt;150,$E731="Enerji Fazlası"),-100*BX731*1.06,IF(AND(BX731&gt;0,MIN($F731:$G731)&gt;=150,$E731="Enerji Açığı"),BX731*MIN($F731:$G731)*0.97,IF(AND(BX731&gt;0,MIN($F731:$G731)&gt;=150,$E731="Enerji Fazlası"),BX731*MIN($F731:$G731)*0.94,IF(AND(BX731&lt;0,MAX($F731:$G731)=4500,$E731="Enerji Açığı"),4500*1.05*1.06*BX731,IF(AND(BX731&lt;0,MAX($F731:$G731)=4500,$E731="Enerji Fazlası"),4500*1.05*1.03*BX731,IF(AND(BX731&lt;0,$E731="Enerji Açığı"),MAX($F731,$G731,150)*BX731*1.06,IF(AND(BX731&lt;0,$E731="Enerji Fazlası"),MAX($F731,$G731,150)*BX731*1.03,IF(AND(BX731&lt;0,$E731="Dengede"),MAX($F731:$G731,150)*1.03*BX731,MIN($F731:$G731)*0.97*BX731)))))))))</f>
        <v/>
      </c>
      <c r="BZ731" s="34">
        <f>BE731-BV731-CA731</f>
        <v/>
      </c>
      <c r="CA731" s="34">
        <f>BD731</f>
        <v/>
      </c>
      <c r="CB731" s="33">
        <f>BE731-BV731</f>
        <v/>
      </c>
      <c r="CC731" s="34">
        <f>IF(AY731=0,0,CB731/AY731)</f>
        <v/>
      </c>
      <c r="CD731" s="34">
        <f>MAX((AY731+MAX((-J731+L731-N731+Q731-T731+X731),0)),(MAX((J731-L731+N731-Q731+T731-X731),0)))</f>
        <v/>
      </c>
      <c r="CE731" s="82">
        <f>IFERROR(ABS(BX731/CD731),0)</f>
        <v/>
      </c>
      <c r="CF731" s="34">
        <f>IF(CE731&lt;=0.1,0,BX731/CE731*(CE731-0.1))</f>
        <v/>
      </c>
      <c r="CG731" s="34">
        <f>IF((CF731)&lt;0,MAX(F731:G731)*(CF731)*1.03,MIN(F731:G731)*(CF731)*0.97)</f>
        <v/>
      </c>
      <c r="CH731" s="34">
        <f>IF(CE731&gt;0.1,1,0)</f>
        <v/>
      </c>
      <c r="CI731" s="34">
        <f>(F731*BX731)-BY731</f>
        <v/>
      </c>
      <c r="CJ731" s="34">
        <f>IF(AY731=0,0,CI731/AY731)</f>
        <v/>
      </c>
    </row>
    <row r="732">
      <c r="A732" s="29">
        <f>[1]FİYATLAR!A707</f>
        <v/>
      </c>
      <c r="B732" s="29">
        <f>[1]FİYATLAR!B731</f>
        <v/>
      </c>
      <c r="C732" s="35">
        <f>INT(A732)</f>
        <v/>
      </c>
      <c r="D732" s="36">
        <f>MONTH(A732)</f>
        <v/>
      </c>
      <c r="E732" s="147">
        <f>[1]FİYATLAR!G707</f>
        <v/>
      </c>
      <c r="F732" s="30">
        <f>[1]FİYATLAR!C707</f>
        <v/>
      </c>
      <c r="G732" s="30">
        <f>[1]FİYATLAR!E707</f>
        <v/>
      </c>
      <c r="H732" s="30">
        <f>[1]FİYATLAR!D707</f>
        <v/>
      </c>
      <c r="I732" s="30">
        <f>[1]FİYATLAR!F707</f>
        <v/>
      </c>
      <c r="J732" s="119" t="n">
        <v>0</v>
      </c>
      <c r="K732" s="34">
        <f>F732*J732</f>
        <v/>
      </c>
      <c r="L732" s="119" t="n"/>
      <c r="M732" s="34">
        <f>L732*F732</f>
        <v/>
      </c>
      <c r="N732" s="119" t="n"/>
      <c r="O732" s="34">
        <f>F732</f>
        <v/>
      </c>
      <c r="P732" s="34">
        <f>N732*O732</f>
        <v/>
      </c>
      <c r="Q732" s="117" t="n">
        <v>0</v>
      </c>
      <c r="R732" s="34">
        <f>F732</f>
        <v/>
      </c>
      <c r="S732" s="34">
        <f>R732*Q732</f>
        <v/>
      </c>
      <c r="T732" s="34">
        <f>SUMIFS('[1]GİP VERİLERİ'!$C:$C,'[1]GİP VERİLERİ'!$B:$B,A732,'[1]GİP VERİLERİ'!$M:$M,"40X000000104782K",'[1]GİP VERİLERİ'!$G:$G,"SELL")</f>
        <v/>
      </c>
      <c r="U732" s="34">
        <f>IFERROR(W732/T732,0)</f>
        <v/>
      </c>
      <c r="V732" s="34">
        <f>IF(U732=0,0,U732-F732)</f>
        <v/>
      </c>
      <c r="W732" s="34">
        <f>SUMIFS('[1]GİP VERİLERİ'!$O:$O,'[1]GİP VERİLERİ'!$B:$B,A732,'[1]GİP VERİLERİ'!$M:$M,"40X000000104782K",'[1]GİP VERİLERİ'!$G:$G,"SELL")</f>
        <v/>
      </c>
      <c r="X732" s="34">
        <f>SUMIFS('[1]GİP VERİLERİ'!$C:$C,'[1]GİP VERİLERİ'!$B:$B,A732,'[1]GİP VERİLERİ'!$M:$M,"40X000000104782K",'[1]GİP VERİLERİ'!$G:$G,"BUY")</f>
        <v/>
      </c>
      <c r="Y732" s="34">
        <f>IFERROR(AA732/X732,0)</f>
        <v/>
      </c>
      <c r="Z732" s="34">
        <f>IF(Y732=0,0,F732-Y732)</f>
        <v/>
      </c>
      <c r="AA732" s="34">
        <f>SUMIFS('[1]GİP VERİLERİ'!$O:$O,'[1]GİP VERİLERİ'!$B:$B,A732,'[1]GİP VERİLERİ'!$M:$M,"40X000000104782K",'[1]GİP VERİLERİ'!$G:$G,"BUY")</f>
        <v/>
      </c>
      <c r="AB732" s="34">
        <f>'[1]GÖP VERİLERİ'!H733</f>
        <v/>
      </c>
      <c r="AC732" s="34">
        <f>'[1]GÖP VERİLERİ'!I733</f>
        <v/>
      </c>
      <c r="AD732" s="34">
        <f>IF(AB732&gt;AC732*1.05,AB732-AC732*1.05,IF(AB732&lt;AC732*0.95,AC732*0.95-AB732,0))</f>
        <v/>
      </c>
      <c r="AE732" s="34">
        <f>MAX(F732,G732,750)*0.05*AD732</f>
        <v/>
      </c>
      <c r="AF732" s="34">
        <f>'[1]GÖP VERİLERİ'!J733</f>
        <v/>
      </c>
      <c r="AG732" s="34">
        <f>IF(AB732&gt;AF732*1.05,AB732-AF732*1.05,IF(AB732&lt;AF732*0.95,AF732*0.95-AB732,0))</f>
        <v/>
      </c>
      <c r="AH732" s="34">
        <f>MAX(I732,J732,750)*0.05*AG732</f>
        <v/>
      </c>
      <c r="AI732">
        <f>'[1]GÖP VERİLERİ'!E733</f>
        <v/>
      </c>
      <c r="AJ732">
        <f>'[1]GÖP VERİLERİ'!F733</f>
        <v/>
      </c>
      <c r="AK732" s="34">
        <f>IF(AI732&gt;AJ732*1.05,AI732-AJ732*1.05,IF(AI732&lt;AJ732*0.95,AJ732*0.95-AI732,0))</f>
        <v/>
      </c>
      <c r="AL732" s="34">
        <f>MAX(F732,G732,750)*0.05*AK732</f>
        <v/>
      </c>
      <c r="AM732" s="39">
        <f>'[1]GÖP VERİLERİ'!G733</f>
        <v/>
      </c>
      <c r="AN732" s="34">
        <f>IF(AI732&gt;AM732*1.05,AI732-AM732*1.05,IF(AI732&lt;AM732*0.95,AM732*0.95-AI732,0))</f>
        <v/>
      </c>
      <c r="AO732" s="34">
        <f>MAX(F732,G732,750)*0.05*AN732</f>
        <v/>
      </c>
      <c r="AP732" s="34">
        <f>'[1]GÖP VERİLERİ'!B733</f>
        <v/>
      </c>
      <c r="AQ732" s="34">
        <f>'[1]GÖP VERİLERİ'!C733</f>
        <v/>
      </c>
      <c r="AR732" s="34">
        <f>IF(AP732&gt;AQ732*1.05,AP732-AQ732*1.05,IF(AP732&lt;AQ732*0.95,AQ732*0.95-AP732,0))</f>
        <v/>
      </c>
      <c r="AS732" s="34">
        <f>MAX(F732:G732,750)*0.05*AR732</f>
        <v/>
      </c>
      <c r="AT732">
        <f>'[1]GÖP VERİLERİ'!D733</f>
        <v/>
      </c>
      <c r="AU732" s="34">
        <f>IF(AP732&gt;AT732*1.05,AP732-AT732*1.05,IF(AP732&lt;AT732*0.95,AT732*0.95-AP732,0))</f>
        <v/>
      </c>
      <c r="AV732" s="34">
        <f>MAX(F732:G732,750)*0.05*AU732</f>
        <v/>
      </c>
      <c r="AW732" s="34">
        <f>AC732+AJ732+AQ732</f>
        <v/>
      </c>
      <c r="AX732" s="34">
        <f>AF732+AM732+AT732</f>
        <v/>
      </c>
      <c r="AY732" s="34">
        <f>AB732+AI732+AP732</f>
        <v/>
      </c>
      <c r="AZ732" s="34" t="n">
        <v>0</v>
      </c>
      <c r="BA732" s="34">
        <f>AD732+AK732+AR732</f>
        <v/>
      </c>
      <c r="BB732" s="34">
        <f>MAX(F732:G732,750)*0.05*BA732</f>
        <v/>
      </c>
      <c r="BC732" s="34">
        <f>AG732+AN732+AU732</f>
        <v/>
      </c>
      <c r="BD732" s="34">
        <f>MAX(F732:G732,750)*0.05*BC732</f>
        <v/>
      </c>
      <c r="BE732" s="34">
        <f>F732*AY732</f>
        <v/>
      </c>
      <c r="BF732" s="34">
        <f>K732-M732</f>
        <v/>
      </c>
      <c r="BG732" s="34">
        <f>P732-S732</f>
        <v/>
      </c>
      <c r="BH732" s="34">
        <f>W732-AA732</f>
        <v/>
      </c>
      <c r="BI732" s="34">
        <f>BF732+BG732+BL732-BN732</f>
        <v/>
      </c>
      <c r="BJ732" s="34">
        <f>ABS(BK732)</f>
        <v/>
      </c>
      <c r="BK732" s="34">
        <f>AY732-(J732-L732+N732-Q732)</f>
        <v/>
      </c>
      <c r="BL732" s="34">
        <f>IF(AND(BK732&gt;0,MIN($F732:$G732)&lt;150,$E732="Enerji Açığı"),-100*BK732*1.03,IF(AND(BK732&gt;0,MIN($F732:$G732)&lt;150,$E732="Enerji Fazlası"),-100*BK732*1.06,IF(AND(BK732&gt;0,MIN($F732:$G732)&gt;=150,$E732="Enerji Açığı"),BK732*MIN($F732:$G732)*0.97,IF(AND(BK732&gt;0,MIN($F732:$G732)&gt;=150,$E732="Enerji Fazlası"),BK732*MIN($F732:$G732)*0.94,IF(AND(BK732&lt;0,MAX($F732:$G732)=4500,$E732="Enerji Açığı"),4500*1.05*1.06*BK732,IF(AND(BK732&lt;0,MAX($F732:$G732)=4500,$E732="Enerji Fazlası"),4500*1.05*1.03*BK732,IF(AND(BK732&lt;0,$E732="Enerji Açığı"),MAX($F732,$G732,150)*BK732*1.06,IF(AND(BK732&lt;0,$E732="Enerji Fazlası"),MAX($F732,$G732,150)*BK732*1.03,IF(AND(BK732&lt;0,$E732="Dengede"),MAX($F732:$G732,150)*1.03*BK732,MIN($F732:$G732)*0.97*BK732)))))))))</f>
        <v/>
      </c>
      <c r="BM732" s="34">
        <f>BE732-BI732-BN732</f>
        <v/>
      </c>
      <c r="BN732" s="34">
        <f>BB732</f>
        <v/>
      </c>
      <c r="BO732" s="34">
        <f>BE732-BI732</f>
        <v/>
      </c>
      <c r="BP732" s="34">
        <f>IF(AY732=0,0,BO732/AY732)</f>
        <v/>
      </c>
      <c r="BQ732" s="34">
        <f>MAX((AY732+MAX((-J732+L732-N732+Q732),0)),(MAX((J732-L732+N732-Q732),0)))</f>
        <v/>
      </c>
      <c r="BR732" s="82">
        <f>IFERROR(ABS(BK732/BQ732),0)</f>
        <v/>
      </c>
      <c r="BS732" s="34">
        <f>IF(BR732&lt;=0.1,0,BK732/BR732*(BR732-0.1))</f>
        <v/>
      </c>
      <c r="BT732" s="34">
        <f>IF((BS732)&lt;0,MAX(F732:G732)*(BS732)*1.03,MIN(F732:G732)*(BS732)*0.97)</f>
        <v/>
      </c>
      <c r="BU732" s="34">
        <f>IF(BR732&gt;0.1,1,0)</f>
        <v/>
      </c>
      <c r="BV732" s="34">
        <f>BF732+BG732+BH732+BY732-CA732</f>
        <v/>
      </c>
      <c r="BW732" s="34">
        <f>ABS(BX732)</f>
        <v/>
      </c>
      <c r="BX732" s="34">
        <f>AY732-(J732-L732+N732-Q732+T732-X732)</f>
        <v/>
      </c>
      <c r="BY732" s="34">
        <f>IF(AND(BX732&gt;0,MIN($F732:$G732)&lt;150,$E732="Enerji Açığı"),-100*BX732*1.03,IF(AND(BX732&gt;0,MIN($F732:$G732)&lt;150,$E732="Enerji Fazlası"),-100*BX732*1.06,IF(AND(BX732&gt;0,MIN($F732:$G732)&gt;=150,$E732="Enerji Açığı"),BX732*MIN($F732:$G732)*0.97,IF(AND(BX732&gt;0,MIN($F732:$G732)&gt;=150,$E732="Enerji Fazlası"),BX732*MIN($F732:$G732)*0.94,IF(AND(BX732&lt;0,MAX($F732:$G732)=4500,$E732="Enerji Açığı"),4500*1.05*1.06*BX732,IF(AND(BX732&lt;0,MAX($F732:$G732)=4500,$E732="Enerji Fazlası"),4500*1.05*1.03*BX732,IF(AND(BX732&lt;0,$E732="Enerji Açığı"),MAX($F732,$G732,150)*BX732*1.06,IF(AND(BX732&lt;0,$E732="Enerji Fazlası"),MAX($F732,$G732,150)*BX732*1.03,IF(AND(BX732&lt;0,$E732="Dengede"),MAX($F732:$G732,150)*1.03*BX732,MIN($F732:$G732)*0.97*BX732)))))))))</f>
        <v/>
      </c>
      <c r="BZ732" s="34">
        <f>BE732-BV732-CA732</f>
        <v/>
      </c>
      <c r="CA732" s="34">
        <f>BD732</f>
        <v/>
      </c>
      <c r="CB732" s="33">
        <f>BE732-BV732</f>
        <v/>
      </c>
      <c r="CC732" s="34">
        <f>IF(AY732=0,0,CB732/AY732)</f>
        <v/>
      </c>
      <c r="CD732" s="34">
        <f>MAX((AY732+MAX((-J732+L732-N732+Q732-T732+X732),0)),(MAX((J732-L732+N732-Q732+T732-X732),0)))</f>
        <v/>
      </c>
      <c r="CE732" s="82">
        <f>IFERROR(ABS(BX732/CD732),0)</f>
        <v/>
      </c>
      <c r="CF732" s="34">
        <f>IF(CE732&lt;=0.1,0,BX732/CE732*(CE732-0.1))</f>
        <v/>
      </c>
      <c r="CG732" s="34">
        <f>IF((CF732)&lt;0,MAX(F732:G732)*(CF732)*1.03,MIN(F732:G732)*(CF732)*0.97)</f>
        <v/>
      </c>
      <c r="CH732" s="34">
        <f>IF(CE732&gt;0.1,1,0)</f>
        <v/>
      </c>
      <c r="CI732" s="34">
        <f>(F732*BX732)-BY732</f>
        <v/>
      </c>
      <c r="CJ732" s="34">
        <f>IF(AY732=0,0,CI732/AY732)</f>
        <v/>
      </c>
    </row>
    <row r="733">
      <c r="A733" s="29">
        <f>[1]FİYATLAR!A708</f>
        <v/>
      </c>
      <c r="B733" s="29">
        <f>[1]FİYATLAR!B732</f>
        <v/>
      </c>
      <c r="C733" s="35">
        <f>INT(A733)</f>
        <v/>
      </c>
      <c r="D733" s="36">
        <f>MONTH(A733)</f>
        <v/>
      </c>
      <c r="E733" s="147">
        <f>[1]FİYATLAR!G708</f>
        <v/>
      </c>
      <c r="F733" s="30">
        <f>[1]FİYATLAR!C708</f>
        <v/>
      </c>
      <c r="G733" s="30">
        <f>[1]FİYATLAR!E708</f>
        <v/>
      </c>
      <c r="H733" s="30">
        <f>[1]FİYATLAR!D708</f>
        <v/>
      </c>
      <c r="I733" s="30">
        <f>[1]FİYATLAR!F708</f>
        <v/>
      </c>
      <c r="J733" s="119" t="n">
        <v>0</v>
      </c>
      <c r="K733" s="34">
        <f>F733*J733</f>
        <v/>
      </c>
      <c r="L733" s="119" t="n"/>
      <c r="M733" s="34">
        <f>L733*F733</f>
        <v/>
      </c>
      <c r="N733" s="119" t="n"/>
      <c r="O733" s="34">
        <f>F733</f>
        <v/>
      </c>
      <c r="P733" s="34">
        <f>N733*O733</f>
        <v/>
      </c>
      <c r="Q733" s="117" t="n">
        <v>0</v>
      </c>
      <c r="R733" s="34">
        <f>F733</f>
        <v/>
      </c>
      <c r="S733" s="34">
        <f>R733*Q733</f>
        <v/>
      </c>
      <c r="T733" s="34">
        <f>SUMIFS('[1]GİP VERİLERİ'!$C:$C,'[1]GİP VERİLERİ'!$B:$B,A733,'[1]GİP VERİLERİ'!$M:$M,"40X000000104782K",'[1]GİP VERİLERİ'!$G:$G,"SELL")</f>
        <v/>
      </c>
      <c r="U733" s="34">
        <f>IFERROR(W733/T733,0)</f>
        <v/>
      </c>
      <c r="V733" s="34">
        <f>IF(U733=0,0,U733-F733)</f>
        <v/>
      </c>
      <c r="W733" s="34">
        <f>SUMIFS('[1]GİP VERİLERİ'!$O:$O,'[1]GİP VERİLERİ'!$B:$B,A733,'[1]GİP VERİLERİ'!$M:$M,"40X000000104782K",'[1]GİP VERİLERİ'!$G:$G,"SELL")</f>
        <v/>
      </c>
      <c r="X733" s="34">
        <f>SUMIFS('[1]GİP VERİLERİ'!$C:$C,'[1]GİP VERİLERİ'!$B:$B,A733,'[1]GİP VERİLERİ'!$M:$M,"40X000000104782K",'[1]GİP VERİLERİ'!$G:$G,"BUY")</f>
        <v/>
      </c>
      <c r="Y733" s="34">
        <f>IFERROR(AA733/X733,0)</f>
        <v/>
      </c>
      <c r="Z733" s="34">
        <f>IF(Y733=0,0,F733-Y733)</f>
        <v/>
      </c>
      <c r="AA733" s="34">
        <f>SUMIFS('[1]GİP VERİLERİ'!$O:$O,'[1]GİP VERİLERİ'!$B:$B,A733,'[1]GİP VERİLERİ'!$M:$M,"40X000000104782K",'[1]GİP VERİLERİ'!$G:$G,"BUY")</f>
        <v/>
      </c>
      <c r="AB733" s="34">
        <f>'[1]GÖP VERİLERİ'!H734</f>
        <v/>
      </c>
      <c r="AC733" s="34">
        <f>'[1]GÖP VERİLERİ'!I734</f>
        <v/>
      </c>
      <c r="AD733" s="34">
        <f>IF(AB733&gt;AC733*1.05,AB733-AC733*1.05,IF(AB733&lt;AC733*0.95,AC733*0.95-AB733,0))</f>
        <v/>
      </c>
      <c r="AE733" s="34">
        <f>MAX(F733,G733,750)*0.05*AD733</f>
        <v/>
      </c>
      <c r="AF733" s="34">
        <f>'[1]GÖP VERİLERİ'!J734</f>
        <v/>
      </c>
      <c r="AG733" s="34">
        <f>IF(AB733&gt;AF733*1.05,AB733-AF733*1.05,IF(AB733&lt;AF733*0.95,AF733*0.95-AB733,0))</f>
        <v/>
      </c>
      <c r="AH733" s="34">
        <f>MAX(I733,J733,750)*0.05*AG733</f>
        <v/>
      </c>
      <c r="AI733">
        <f>'[1]GÖP VERİLERİ'!E734</f>
        <v/>
      </c>
      <c r="AJ733">
        <f>'[1]GÖP VERİLERİ'!F734</f>
        <v/>
      </c>
      <c r="AK733" s="34">
        <f>IF(AI733&gt;AJ733*1.05,AI733-AJ733*1.05,IF(AI733&lt;AJ733*0.95,AJ733*0.95-AI733,0))</f>
        <v/>
      </c>
      <c r="AL733" s="34">
        <f>MAX(F733,G733,750)*0.05*AK733</f>
        <v/>
      </c>
      <c r="AM733" s="39">
        <f>'[1]GÖP VERİLERİ'!G734</f>
        <v/>
      </c>
      <c r="AN733" s="34">
        <f>IF(AI733&gt;AM733*1.05,AI733-AM733*1.05,IF(AI733&lt;AM733*0.95,AM733*0.95-AI733,0))</f>
        <v/>
      </c>
      <c r="AO733" s="34">
        <f>MAX(F733,G733,750)*0.05*AN733</f>
        <v/>
      </c>
      <c r="AP733" s="34">
        <f>'[1]GÖP VERİLERİ'!B734</f>
        <v/>
      </c>
      <c r="AQ733" s="34">
        <f>'[1]GÖP VERİLERİ'!C734</f>
        <v/>
      </c>
      <c r="AR733" s="34">
        <f>IF(AP733&gt;AQ733*1.05,AP733-AQ733*1.05,IF(AP733&lt;AQ733*0.95,AQ733*0.95-AP733,0))</f>
        <v/>
      </c>
      <c r="AS733" s="34">
        <f>MAX(F733:G733,750)*0.05*AR733</f>
        <v/>
      </c>
      <c r="AT733">
        <f>'[1]GÖP VERİLERİ'!D734</f>
        <v/>
      </c>
      <c r="AU733" s="34">
        <f>IF(AP733&gt;AT733*1.05,AP733-AT733*1.05,IF(AP733&lt;AT733*0.95,AT733*0.95-AP733,0))</f>
        <v/>
      </c>
      <c r="AV733" s="34">
        <f>MAX(F733:G733,750)*0.05*AU733</f>
        <v/>
      </c>
      <c r="AW733" s="34">
        <f>AC733+AJ733+AQ733</f>
        <v/>
      </c>
      <c r="AX733" s="34">
        <f>AF733+AM733+AT733</f>
        <v/>
      </c>
      <c r="AY733" s="34">
        <f>AB733+AI733+AP733</f>
        <v/>
      </c>
      <c r="AZ733" s="34" t="n">
        <v>0</v>
      </c>
      <c r="BA733" s="34">
        <f>AD733+AK733+AR733</f>
        <v/>
      </c>
      <c r="BB733" s="34">
        <f>MAX(F733:G733,750)*0.05*BA733</f>
        <v/>
      </c>
      <c r="BC733" s="34">
        <f>AG733+AN733+AU733</f>
        <v/>
      </c>
      <c r="BD733" s="34">
        <f>MAX(F733:G733,750)*0.05*BC733</f>
        <v/>
      </c>
      <c r="BE733" s="34">
        <f>F733*AY733</f>
        <v/>
      </c>
      <c r="BF733" s="34">
        <f>K733-M733</f>
        <v/>
      </c>
      <c r="BG733" s="34">
        <f>P733-S733</f>
        <v/>
      </c>
      <c r="BH733" s="34">
        <f>W733-AA733</f>
        <v/>
      </c>
      <c r="BI733" s="34">
        <f>BF733+BG733+BL733-BN733</f>
        <v/>
      </c>
      <c r="BJ733" s="34">
        <f>ABS(BK733)</f>
        <v/>
      </c>
      <c r="BK733" s="34">
        <f>AY733-(J733-L733+N733-Q733)</f>
        <v/>
      </c>
      <c r="BL733" s="34">
        <f>IF(AND(BK733&gt;0,MIN($F733:$G733)&lt;150,$E733="Enerji Açığı"),-100*BK733*1.03,IF(AND(BK733&gt;0,MIN($F733:$G733)&lt;150,$E733="Enerji Fazlası"),-100*BK733*1.06,IF(AND(BK733&gt;0,MIN($F733:$G733)&gt;=150,$E733="Enerji Açığı"),BK733*MIN($F733:$G733)*0.97,IF(AND(BK733&gt;0,MIN($F733:$G733)&gt;=150,$E733="Enerji Fazlası"),BK733*MIN($F733:$G733)*0.94,IF(AND(BK733&lt;0,MAX($F733:$G733)=4500,$E733="Enerji Açığı"),4500*1.05*1.06*BK733,IF(AND(BK733&lt;0,MAX($F733:$G733)=4500,$E733="Enerji Fazlası"),4500*1.05*1.03*BK733,IF(AND(BK733&lt;0,$E733="Enerji Açığı"),MAX($F733,$G733,150)*BK733*1.06,IF(AND(BK733&lt;0,$E733="Enerji Fazlası"),MAX($F733,$G733,150)*BK733*1.03,IF(AND(BK733&lt;0,$E733="Dengede"),MAX($F733:$G733,150)*1.03*BK733,MIN($F733:$G733)*0.97*BK733)))))))))</f>
        <v/>
      </c>
      <c r="BM733" s="34">
        <f>BE733-BI733-BN733</f>
        <v/>
      </c>
      <c r="BN733" s="34">
        <f>BB733</f>
        <v/>
      </c>
      <c r="BO733" s="34">
        <f>BE733-BI733</f>
        <v/>
      </c>
      <c r="BP733" s="34">
        <f>IF(AY733=0,0,BO733/AY733)</f>
        <v/>
      </c>
      <c r="BQ733" s="34">
        <f>MAX((AY733+MAX((-J733+L733-N733+Q733),0)),(MAX((J733-L733+N733-Q733),0)))</f>
        <v/>
      </c>
      <c r="BR733" s="82">
        <f>IFERROR(ABS(BK733/BQ733),0)</f>
        <v/>
      </c>
      <c r="BS733" s="34">
        <f>IF(BR733&lt;=0.1,0,BK733/BR733*(BR733-0.1))</f>
        <v/>
      </c>
      <c r="BT733" s="34">
        <f>IF((BS733)&lt;0,MAX(F733:G733)*(BS733)*1.03,MIN(F733:G733)*(BS733)*0.97)</f>
        <v/>
      </c>
      <c r="BU733" s="34">
        <f>IF(BR733&gt;0.1,1,0)</f>
        <v/>
      </c>
      <c r="BV733" s="34">
        <f>BF733+BG733+BH733+BY733-CA733</f>
        <v/>
      </c>
      <c r="BW733" s="34">
        <f>ABS(BX733)</f>
        <v/>
      </c>
      <c r="BX733" s="34">
        <f>AY733-(J733-L733+N733-Q733+T733-X733)</f>
        <v/>
      </c>
      <c r="BY733" s="34">
        <f>IF(AND(BX733&gt;0,MIN($F733:$G733)&lt;150,$E733="Enerji Açığı"),-100*BX733*1.03,IF(AND(BX733&gt;0,MIN($F733:$G733)&lt;150,$E733="Enerji Fazlası"),-100*BX733*1.06,IF(AND(BX733&gt;0,MIN($F733:$G733)&gt;=150,$E733="Enerji Açığı"),BX733*MIN($F733:$G733)*0.97,IF(AND(BX733&gt;0,MIN($F733:$G733)&gt;=150,$E733="Enerji Fazlası"),BX733*MIN($F733:$G733)*0.94,IF(AND(BX733&lt;0,MAX($F733:$G733)=4500,$E733="Enerji Açığı"),4500*1.05*1.06*BX733,IF(AND(BX733&lt;0,MAX($F733:$G733)=4500,$E733="Enerji Fazlası"),4500*1.05*1.03*BX733,IF(AND(BX733&lt;0,$E733="Enerji Açığı"),MAX($F733,$G733,150)*BX733*1.06,IF(AND(BX733&lt;0,$E733="Enerji Fazlası"),MAX($F733,$G733,150)*BX733*1.03,IF(AND(BX733&lt;0,$E733="Dengede"),MAX($F733:$G733,150)*1.03*BX733,MIN($F733:$G733)*0.97*BX733)))))))))</f>
        <v/>
      </c>
      <c r="BZ733" s="34">
        <f>BE733-BV733-CA733</f>
        <v/>
      </c>
      <c r="CA733" s="34">
        <f>BD733</f>
        <v/>
      </c>
      <c r="CB733" s="33">
        <f>BE733-BV733</f>
        <v/>
      </c>
      <c r="CC733" s="34">
        <f>IF(AY733=0,0,CB733/AY733)</f>
        <v/>
      </c>
      <c r="CD733" s="34">
        <f>MAX((AY733+MAX((-J733+L733-N733+Q733-T733+X733),0)),(MAX((J733-L733+N733-Q733+T733-X733),0)))</f>
        <v/>
      </c>
      <c r="CE733" s="82">
        <f>IFERROR(ABS(BX733/CD733),0)</f>
        <v/>
      </c>
      <c r="CF733" s="34">
        <f>IF(CE733&lt;=0.1,0,BX733/CE733*(CE733-0.1))</f>
        <v/>
      </c>
      <c r="CG733" s="34">
        <f>IF((CF733)&lt;0,MAX(F733:G733)*(CF733)*1.03,MIN(F733:G733)*(CF733)*0.97)</f>
        <v/>
      </c>
      <c r="CH733" s="34">
        <f>IF(CE733&gt;0.1,1,0)</f>
        <v/>
      </c>
      <c r="CI733" s="34">
        <f>(F733*BX733)-BY733</f>
        <v/>
      </c>
      <c r="CJ733" s="34">
        <f>IF(AY733=0,0,CI733/AY733)</f>
        <v/>
      </c>
    </row>
    <row r="734">
      <c r="A734" s="29">
        <f>[1]FİYATLAR!A709</f>
        <v/>
      </c>
      <c r="B734" s="29">
        <f>[1]FİYATLAR!B733</f>
        <v/>
      </c>
      <c r="C734" s="35">
        <f>INT(A734)</f>
        <v/>
      </c>
      <c r="D734" s="36">
        <f>MONTH(A734)</f>
        <v/>
      </c>
      <c r="E734" s="147">
        <f>[1]FİYATLAR!G709</f>
        <v/>
      </c>
      <c r="F734" s="30">
        <f>[1]FİYATLAR!C709</f>
        <v/>
      </c>
      <c r="G734" s="30">
        <f>[1]FİYATLAR!E709</f>
        <v/>
      </c>
      <c r="H734" s="30">
        <f>[1]FİYATLAR!D709</f>
        <v/>
      </c>
      <c r="I734" s="30">
        <f>[1]FİYATLAR!F709</f>
        <v/>
      </c>
      <c r="J734" s="119" t="n">
        <v>0</v>
      </c>
      <c r="K734" s="34">
        <f>F734*J734</f>
        <v/>
      </c>
      <c r="L734" s="119" t="n"/>
      <c r="M734" s="34">
        <f>L734*F734</f>
        <v/>
      </c>
      <c r="N734" s="119" t="n"/>
      <c r="O734" s="34">
        <f>F734</f>
        <v/>
      </c>
      <c r="P734" s="34">
        <f>N734*O734</f>
        <v/>
      </c>
      <c r="Q734" s="117" t="n">
        <v>0</v>
      </c>
      <c r="R734" s="34">
        <f>F734</f>
        <v/>
      </c>
      <c r="S734" s="34">
        <f>R734*Q734</f>
        <v/>
      </c>
      <c r="T734" s="34">
        <f>SUMIFS('[1]GİP VERİLERİ'!$C:$C,'[1]GİP VERİLERİ'!$B:$B,A734,'[1]GİP VERİLERİ'!$M:$M,"40X000000104782K",'[1]GİP VERİLERİ'!$G:$G,"SELL")</f>
        <v/>
      </c>
      <c r="U734" s="34">
        <f>IFERROR(W734/T734,0)</f>
        <v/>
      </c>
      <c r="V734" s="34">
        <f>IF(U734=0,0,U734-F734)</f>
        <v/>
      </c>
      <c r="W734" s="34">
        <f>SUMIFS('[1]GİP VERİLERİ'!$O:$O,'[1]GİP VERİLERİ'!$B:$B,A734,'[1]GİP VERİLERİ'!$M:$M,"40X000000104782K",'[1]GİP VERİLERİ'!$G:$G,"SELL")</f>
        <v/>
      </c>
      <c r="X734" s="34">
        <f>SUMIFS('[1]GİP VERİLERİ'!$C:$C,'[1]GİP VERİLERİ'!$B:$B,A734,'[1]GİP VERİLERİ'!$M:$M,"40X000000104782K",'[1]GİP VERİLERİ'!$G:$G,"BUY")</f>
        <v/>
      </c>
      <c r="Y734" s="34">
        <f>IFERROR(AA734/X734,0)</f>
        <v/>
      </c>
      <c r="Z734" s="34">
        <f>IF(Y734=0,0,F734-Y734)</f>
        <v/>
      </c>
      <c r="AA734" s="34">
        <f>SUMIFS('[1]GİP VERİLERİ'!$O:$O,'[1]GİP VERİLERİ'!$B:$B,A734,'[1]GİP VERİLERİ'!$M:$M,"40X000000104782K",'[1]GİP VERİLERİ'!$G:$G,"BUY")</f>
        <v/>
      </c>
      <c r="AB734" s="34">
        <f>'[1]GÖP VERİLERİ'!H735</f>
        <v/>
      </c>
      <c r="AC734" s="34">
        <f>'[1]GÖP VERİLERİ'!I735</f>
        <v/>
      </c>
      <c r="AD734" s="34">
        <f>IF(AB734&gt;AC734*1.05,AB734-AC734*1.05,IF(AB734&lt;AC734*0.95,AC734*0.95-AB734,0))</f>
        <v/>
      </c>
      <c r="AE734" s="34">
        <f>MAX(F734,G734,750)*0.05*AD734</f>
        <v/>
      </c>
      <c r="AF734" s="34">
        <f>'[1]GÖP VERİLERİ'!J735</f>
        <v/>
      </c>
      <c r="AG734" s="34">
        <f>IF(AB734&gt;AF734*1.05,AB734-AF734*1.05,IF(AB734&lt;AF734*0.95,AF734*0.95-AB734,0))</f>
        <v/>
      </c>
      <c r="AH734" s="34">
        <f>MAX(I734,J734,750)*0.05*AG734</f>
        <v/>
      </c>
      <c r="AI734">
        <f>'[1]GÖP VERİLERİ'!E735</f>
        <v/>
      </c>
      <c r="AJ734">
        <f>'[1]GÖP VERİLERİ'!F735</f>
        <v/>
      </c>
      <c r="AK734" s="34">
        <f>IF(AI734&gt;AJ734*1.05,AI734-AJ734*1.05,IF(AI734&lt;AJ734*0.95,AJ734*0.95-AI734,0))</f>
        <v/>
      </c>
      <c r="AL734" s="34">
        <f>MAX(F734,G734,750)*0.05*AK734</f>
        <v/>
      </c>
      <c r="AM734" s="39">
        <f>'[1]GÖP VERİLERİ'!G735</f>
        <v/>
      </c>
      <c r="AN734" s="34">
        <f>IF(AI734&gt;AM734*1.05,AI734-AM734*1.05,IF(AI734&lt;AM734*0.95,AM734*0.95-AI734,0))</f>
        <v/>
      </c>
      <c r="AO734" s="34">
        <f>MAX(F734,G734,750)*0.05*AN734</f>
        <v/>
      </c>
      <c r="AP734" s="34">
        <f>'[1]GÖP VERİLERİ'!B735</f>
        <v/>
      </c>
      <c r="AQ734" s="34">
        <f>'[1]GÖP VERİLERİ'!C735</f>
        <v/>
      </c>
      <c r="AR734" s="34">
        <f>IF(AP734&gt;AQ734*1.05,AP734-AQ734*1.05,IF(AP734&lt;AQ734*0.95,AQ734*0.95-AP734,0))</f>
        <v/>
      </c>
      <c r="AS734" s="34">
        <f>MAX(F734:G734,750)*0.05*AR734</f>
        <v/>
      </c>
      <c r="AT734">
        <f>'[1]GÖP VERİLERİ'!D735</f>
        <v/>
      </c>
      <c r="AU734" s="34">
        <f>IF(AP734&gt;AT734*1.05,AP734-AT734*1.05,IF(AP734&lt;AT734*0.95,AT734*0.95-AP734,0))</f>
        <v/>
      </c>
      <c r="AV734" s="34">
        <f>MAX(F734:G734,750)*0.05*AU734</f>
        <v/>
      </c>
      <c r="AW734" s="34">
        <f>AC734+AJ734+AQ734</f>
        <v/>
      </c>
      <c r="AX734" s="34">
        <f>AF734+AM734+AT734</f>
        <v/>
      </c>
      <c r="AY734" s="34">
        <f>AB734+AI734+AP734</f>
        <v/>
      </c>
      <c r="AZ734" s="34" t="n">
        <v>0</v>
      </c>
      <c r="BA734" s="34">
        <f>AD734+AK734+AR734</f>
        <v/>
      </c>
      <c r="BB734" s="34">
        <f>MAX(F734:G734,750)*0.05*BA734</f>
        <v/>
      </c>
      <c r="BC734" s="34">
        <f>AG734+AN734+AU734</f>
        <v/>
      </c>
      <c r="BD734" s="34">
        <f>MAX(F734:G734,750)*0.05*BC734</f>
        <v/>
      </c>
      <c r="BE734" s="34">
        <f>F734*AY734</f>
        <v/>
      </c>
      <c r="BF734" s="34">
        <f>K734-M734</f>
        <v/>
      </c>
      <c r="BG734" s="34">
        <f>P734-S734</f>
        <v/>
      </c>
      <c r="BH734" s="34">
        <f>W734-AA734</f>
        <v/>
      </c>
      <c r="BI734" s="34">
        <f>BF734+BG734+BL734-BN734</f>
        <v/>
      </c>
      <c r="BJ734" s="34">
        <f>ABS(BK734)</f>
        <v/>
      </c>
      <c r="BK734" s="34">
        <f>AY734-(J734-L734+N734-Q734)</f>
        <v/>
      </c>
      <c r="BL734" s="34">
        <f>IF(AND(BK734&gt;0,MIN($F734:$G734)&lt;150,$E734="Enerji Açığı"),-100*BK734*1.03,IF(AND(BK734&gt;0,MIN($F734:$G734)&lt;150,$E734="Enerji Fazlası"),-100*BK734*1.06,IF(AND(BK734&gt;0,MIN($F734:$G734)&gt;=150,$E734="Enerji Açığı"),BK734*MIN($F734:$G734)*0.97,IF(AND(BK734&gt;0,MIN($F734:$G734)&gt;=150,$E734="Enerji Fazlası"),BK734*MIN($F734:$G734)*0.94,IF(AND(BK734&lt;0,MAX($F734:$G734)=4500,$E734="Enerji Açığı"),4500*1.05*1.06*BK734,IF(AND(BK734&lt;0,MAX($F734:$G734)=4500,$E734="Enerji Fazlası"),4500*1.05*1.03*BK734,IF(AND(BK734&lt;0,$E734="Enerji Açığı"),MAX($F734,$G734,150)*BK734*1.06,IF(AND(BK734&lt;0,$E734="Enerji Fazlası"),MAX($F734,$G734,150)*BK734*1.03,IF(AND(BK734&lt;0,$E734="Dengede"),MAX($F734:$G734,150)*1.03*BK734,MIN($F734:$G734)*0.97*BK734)))))))))</f>
        <v/>
      </c>
      <c r="BM734" s="34">
        <f>BE734-BI734-BN734</f>
        <v/>
      </c>
      <c r="BN734" s="34">
        <f>BB734</f>
        <v/>
      </c>
      <c r="BO734" s="34">
        <f>BE734-BI734</f>
        <v/>
      </c>
      <c r="BP734" s="34">
        <f>IF(AY734=0,0,BO734/AY734)</f>
        <v/>
      </c>
      <c r="BQ734" s="34">
        <f>MAX((AY734+MAX((-J734+L734-N734+Q734),0)),(MAX((J734-L734+N734-Q734),0)))</f>
        <v/>
      </c>
      <c r="BR734" s="82">
        <f>IFERROR(ABS(BK734/BQ734),0)</f>
        <v/>
      </c>
      <c r="BS734" s="34">
        <f>IF(BR734&lt;=0.1,0,BK734/BR734*(BR734-0.1))</f>
        <v/>
      </c>
      <c r="BT734" s="34">
        <f>IF((BS734)&lt;0,MAX(F734:G734)*(BS734)*1.03,MIN(F734:G734)*(BS734)*0.97)</f>
        <v/>
      </c>
      <c r="BU734" s="34">
        <f>IF(BR734&gt;0.1,1,0)</f>
        <v/>
      </c>
      <c r="BV734" s="34">
        <f>BF734+BG734+BH734+BY734-CA734</f>
        <v/>
      </c>
      <c r="BW734" s="34">
        <f>ABS(BX734)</f>
        <v/>
      </c>
      <c r="BX734" s="34">
        <f>AY734-(J734-L734+N734-Q734+T734-X734)</f>
        <v/>
      </c>
      <c r="BY734" s="34">
        <f>IF(AND(BX734&gt;0,MIN($F734:$G734)&lt;150,$E734="Enerji Açığı"),-100*BX734*1.03,IF(AND(BX734&gt;0,MIN($F734:$G734)&lt;150,$E734="Enerji Fazlası"),-100*BX734*1.06,IF(AND(BX734&gt;0,MIN($F734:$G734)&gt;=150,$E734="Enerji Açığı"),BX734*MIN($F734:$G734)*0.97,IF(AND(BX734&gt;0,MIN($F734:$G734)&gt;=150,$E734="Enerji Fazlası"),BX734*MIN($F734:$G734)*0.94,IF(AND(BX734&lt;0,MAX($F734:$G734)=4500,$E734="Enerji Açığı"),4500*1.05*1.06*BX734,IF(AND(BX734&lt;0,MAX($F734:$G734)=4500,$E734="Enerji Fazlası"),4500*1.05*1.03*BX734,IF(AND(BX734&lt;0,$E734="Enerji Açığı"),MAX($F734,$G734,150)*BX734*1.06,IF(AND(BX734&lt;0,$E734="Enerji Fazlası"),MAX($F734,$G734,150)*BX734*1.03,IF(AND(BX734&lt;0,$E734="Dengede"),MAX($F734:$G734,150)*1.03*BX734,MIN($F734:$G734)*0.97*BX734)))))))))</f>
        <v/>
      </c>
      <c r="BZ734" s="34">
        <f>BE734-BV734-CA734</f>
        <v/>
      </c>
      <c r="CA734" s="34">
        <f>BD734</f>
        <v/>
      </c>
      <c r="CB734" s="33">
        <f>BE734-BV734</f>
        <v/>
      </c>
      <c r="CC734" s="34">
        <f>IF(AY734=0,0,CB734/AY734)</f>
        <v/>
      </c>
      <c r="CD734" s="34">
        <f>MAX((AY734+MAX((-J734+L734-N734+Q734-T734+X734),0)),(MAX((J734-L734+N734-Q734+T734-X734),0)))</f>
        <v/>
      </c>
      <c r="CE734" s="82">
        <f>IFERROR(ABS(BX734/CD734),0)</f>
        <v/>
      </c>
      <c r="CF734" s="34">
        <f>IF(CE734&lt;=0.1,0,BX734/CE734*(CE734-0.1))</f>
        <v/>
      </c>
      <c r="CG734" s="34">
        <f>IF((CF734)&lt;0,MAX(F734:G734)*(CF734)*1.03,MIN(F734:G734)*(CF734)*0.97)</f>
        <v/>
      </c>
      <c r="CH734" s="34">
        <f>IF(CE734&gt;0.1,1,0)</f>
        <v/>
      </c>
      <c r="CI734" s="34">
        <f>(F734*BX734)-BY734</f>
        <v/>
      </c>
      <c r="CJ734" s="34">
        <f>IF(AY734=0,0,CI734/AY734)</f>
        <v/>
      </c>
    </row>
    <row r="735">
      <c r="A735" s="29">
        <f>[1]FİYATLAR!A710</f>
        <v/>
      </c>
      <c r="B735" s="29">
        <f>[1]FİYATLAR!B734</f>
        <v/>
      </c>
      <c r="C735" s="35">
        <f>INT(A735)</f>
        <v/>
      </c>
      <c r="D735" s="36">
        <f>MONTH(A735)</f>
        <v/>
      </c>
      <c r="E735" s="147">
        <f>[1]FİYATLAR!G710</f>
        <v/>
      </c>
      <c r="F735" s="30">
        <f>[1]FİYATLAR!C710</f>
        <v/>
      </c>
      <c r="G735" s="30">
        <f>[1]FİYATLAR!E710</f>
        <v/>
      </c>
      <c r="H735" s="30">
        <f>[1]FİYATLAR!D710</f>
        <v/>
      </c>
      <c r="I735" s="30">
        <f>[1]FİYATLAR!F710</f>
        <v/>
      </c>
      <c r="J735" s="119" t="n">
        <v>0</v>
      </c>
      <c r="K735" s="34">
        <f>F735*J735</f>
        <v/>
      </c>
      <c r="L735" s="119" t="n"/>
      <c r="M735" s="34">
        <f>L735*F735</f>
        <v/>
      </c>
      <c r="N735" s="119" t="n"/>
      <c r="O735" s="34">
        <f>F735</f>
        <v/>
      </c>
      <c r="P735" s="34">
        <f>N735*O735</f>
        <v/>
      </c>
      <c r="Q735" s="117" t="n">
        <v>0</v>
      </c>
      <c r="R735" s="34">
        <f>F735</f>
        <v/>
      </c>
      <c r="S735" s="34">
        <f>R735*Q735</f>
        <v/>
      </c>
      <c r="T735" s="34">
        <f>SUMIFS('[1]GİP VERİLERİ'!$C:$C,'[1]GİP VERİLERİ'!$B:$B,A735,'[1]GİP VERİLERİ'!$M:$M,"40X000000104782K",'[1]GİP VERİLERİ'!$G:$G,"SELL")</f>
        <v/>
      </c>
      <c r="U735" s="34">
        <f>IFERROR(W735/T735,0)</f>
        <v/>
      </c>
      <c r="V735" s="34">
        <f>IF(U735=0,0,U735-F735)</f>
        <v/>
      </c>
      <c r="W735" s="34">
        <f>SUMIFS('[1]GİP VERİLERİ'!$O:$O,'[1]GİP VERİLERİ'!$B:$B,A735,'[1]GİP VERİLERİ'!$M:$M,"40X000000104782K",'[1]GİP VERİLERİ'!$G:$G,"SELL")</f>
        <v/>
      </c>
      <c r="X735" s="34">
        <f>SUMIFS('[1]GİP VERİLERİ'!$C:$C,'[1]GİP VERİLERİ'!$B:$B,A735,'[1]GİP VERİLERİ'!$M:$M,"40X000000104782K",'[1]GİP VERİLERİ'!$G:$G,"BUY")</f>
        <v/>
      </c>
      <c r="Y735" s="34">
        <f>IFERROR(AA735/X735,0)</f>
        <v/>
      </c>
      <c r="Z735" s="34">
        <f>IF(Y735=0,0,F735-Y735)</f>
        <v/>
      </c>
      <c r="AA735" s="34">
        <f>SUMIFS('[1]GİP VERİLERİ'!$O:$O,'[1]GİP VERİLERİ'!$B:$B,A735,'[1]GİP VERİLERİ'!$M:$M,"40X000000104782K",'[1]GİP VERİLERİ'!$G:$G,"BUY")</f>
        <v/>
      </c>
      <c r="AB735" s="34">
        <f>'[1]GÖP VERİLERİ'!H736</f>
        <v/>
      </c>
      <c r="AC735" s="34">
        <f>'[1]GÖP VERİLERİ'!I736</f>
        <v/>
      </c>
      <c r="AD735" s="34">
        <f>IF(AB735&gt;AC735*1.05,AB735-AC735*1.05,IF(AB735&lt;AC735*0.95,AC735*0.95-AB735,0))</f>
        <v/>
      </c>
      <c r="AE735" s="34">
        <f>MAX(F735,G735,750)*0.05*AD735</f>
        <v/>
      </c>
      <c r="AF735" s="34">
        <f>'[1]GÖP VERİLERİ'!J736</f>
        <v/>
      </c>
      <c r="AG735" s="34">
        <f>IF(AB735&gt;AF735*1.05,AB735-AF735*1.05,IF(AB735&lt;AF735*0.95,AF735*0.95-AB735,0))</f>
        <v/>
      </c>
      <c r="AH735" s="34">
        <f>MAX(I735,J735,750)*0.05*AG735</f>
        <v/>
      </c>
      <c r="AI735">
        <f>'[1]GÖP VERİLERİ'!E736</f>
        <v/>
      </c>
      <c r="AJ735">
        <f>'[1]GÖP VERİLERİ'!F736</f>
        <v/>
      </c>
      <c r="AK735" s="34">
        <f>IF(AI735&gt;AJ735*1.05,AI735-AJ735*1.05,IF(AI735&lt;AJ735*0.95,AJ735*0.95-AI735,0))</f>
        <v/>
      </c>
      <c r="AL735" s="34">
        <f>MAX(F735,G735,750)*0.05*AK735</f>
        <v/>
      </c>
      <c r="AM735" s="39">
        <f>'[1]GÖP VERİLERİ'!G736</f>
        <v/>
      </c>
      <c r="AN735" s="34">
        <f>IF(AI735&gt;AM735*1.05,AI735-AM735*1.05,IF(AI735&lt;AM735*0.95,AM735*0.95-AI735,0))</f>
        <v/>
      </c>
      <c r="AO735" s="34">
        <f>MAX(F735,G735,750)*0.05*AN735</f>
        <v/>
      </c>
      <c r="AP735" s="34">
        <f>'[1]GÖP VERİLERİ'!B736</f>
        <v/>
      </c>
      <c r="AQ735" s="34">
        <f>'[1]GÖP VERİLERİ'!C736</f>
        <v/>
      </c>
      <c r="AR735" s="34">
        <f>IF(AP735&gt;AQ735*1.05,AP735-AQ735*1.05,IF(AP735&lt;AQ735*0.95,AQ735*0.95-AP735,0))</f>
        <v/>
      </c>
      <c r="AS735" s="34">
        <f>MAX(F735:G735,750)*0.05*AR735</f>
        <v/>
      </c>
      <c r="AT735">
        <f>'[1]GÖP VERİLERİ'!D736</f>
        <v/>
      </c>
      <c r="AU735" s="34">
        <f>IF(AP735&gt;AT735*1.05,AP735-AT735*1.05,IF(AP735&lt;AT735*0.95,AT735*0.95-AP735,0))</f>
        <v/>
      </c>
      <c r="AV735" s="34">
        <f>MAX(F735:G735,750)*0.05*AU735</f>
        <v/>
      </c>
      <c r="AW735" s="34">
        <f>AC735+AJ735+AQ735</f>
        <v/>
      </c>
      <c r="AX735" s="34">
        <f>AF735+AM735+AT735</f>
        <v/>
      </c>
      <c r="AY735" s="34">
        <f>AB735+AI735+AP735</f>
        <v/>
      </c>
      <c r="AZ735" s="34" t="n">
        <v>0</v>
      </c>
      <c r="BA735" s="34">
        <f>AD735+AK735+AR735</f>
        <v/>
      </c>
      <c r="BB735" s="34">
        <f>MAX(F735:G735,750)*0.05*BA735</f>
        <v/>
      </c>
      <c r="BC735" s="34">
        <f>AG735+AN735+AU735</f>
        <v/>
      </c>
      <c r="BD735" s="34">
        <f>MAX(F735:G735,750)*0.05*BC735</f>
        <v/>
      </c>
      <c r="BE735" s="34">
        <f>F735*AY735</f>
        <v/>
      </c>
      <c r="BF735" s="34">
        <f>K735-M735</f>
        <v/>
      </c>
      <c r="BG735" s="34">
        <f>P735-S735</f>
        <v/>
      </c>
      <c r="BH735" s="34">
        <f>W735-AA735</f>
        <v/>
      </c>
      <c r="BI735" s="34">
        <f>BF735+BG735+BL735-BN735</f>
        <v/>
      </c>
      <c r="BJ735" s="34">
        <f>ABS(BK735)</f>
        <v/>
      </c>
      <c r="BK735" s="34">
        <f>AY735-(J735-L735+N735-Q735)</f>
        <v/>
      </c>
      <c r="BL735" s="34">
        <f>IF(AND(BK735&gt;0,MIN($F735:$G735)&lt;150,$E735="Enerji Açığı"),-100*BK735*1.03,IF(AND(BK735&gt;0,MIN($F735:$G735)&lt;150,$E735="Enerji Fazlası"),-100*BK735*1.06,IF(AND(BK735&gt;0,MIN($F735:$G735)&gt;=150,$E735="Enerji Açığı"),BK735*MIN($F735:$G735)*0.97,IF(AND(BK735&gt;0,MIN($F735:$G735)&gt;=150,$E735="Enerji Fazlası"),BK735*MIN($F735:$G735)*0.94,IF(AND(BK735&lt;0,MAX($F735:$G735)=4500,$E735="Enerji Açığı"),4500*1.05*1.06*BK735,IF(AND(BK735&lt;0,MAX($F735:$G735)=4500,$E735="Enerji Fazlası"),4500*1.05*1.03*BK735,IF(AND(BK735&lt;0,$E735="Enerji Açığı"),MAX($F735,$G735,150)*BK735*1.06,IF(AND(BK735&lt;0,$E735="Enerji Fazlası"),MAX($F735,$G735,150)*BK735*1.03,IF(AND(BK735&lt;0,$E735="Dengede"),MAX($F735:$G735,150)*1.03*BK735,MIN($F735:$G735)*0.97*BK735)))))))))</f>
        <v/>
      </c>
      <c r="BM735" s="34">
        <f>BE735-BI735-BN735</f>
        <v/>
      </c>
      <c r="BN735" s="34">
        <f>BB735</f>
        <v/>
      </c>
      <c r="BO735" s="34">
        <f>BE735-BI735</f>
        <v/>
      </c>
      <c r="BP735" s="34">
        <f>IF(AY735=0,0,BO735/AY735)</f>
        <v/>
      </c>
      <c r="BQ735" s="34">
        <f>MAX((AY735+MAX((-J735+L735-N735+Q735),0)),(MAX((J735-L735+N735-Q735),0)))</f>
        <v/>
      </c>
      <c r="BR735" s="82">
        <f>IFERROR(ABS(BK735/BQ735),0)</f>
        <v/>
      </c>
      <c r="BS735" s="34">
        <f>IF(BR735&lt;=0.1,0,BK735/BR735*(BR735-0.1))</f>
        <v/>
      </c>
      <c r="BT735" s="34">
        <f>IF((BS735)&lt;0,MAX(F735:G735)*(BS735)*1.03,MIN(F735:G735)*(BS735)*0.97)</f>
        <v/>
      </c>
      <c r="BU735" s="34">
        <f>IF(BR735&gt;0.1,1,0)</f>
        <v/>
      </c>
      <c r="BV735" s="34">
        <f>BF735+BG735+BH735+BY735-CA735</f>
        <v/>
      </c>
      <c r="BW735" s="34">
        <f>ABS(BX735)</f>
        <v/>
      </c>
      <c r="BX735" s="34">
        <f>AY735-(J735-L735+N735-Q735+T735-X735)</f>
        <v/>
      </c>
      <c r="BY735" s="34">
        <f>IF(AND(BX735&gt;0,MIN($F735:$G735)&lt;150,$E735="Enerji Açığı"),-100*BX735*1.03,IF(AND(BX735&gt;0,MIN($F735:$G735)&lt;150,$E735="Enerji Fazlası"),-100*BX735*1.06,IF(AND(BX735&gt;0,MIN($F735:$G735)&gt;=150,$E735="Enerji Açığı"),BX735*MIN($F735:$G735)*0.97,IF(AND(BX735&gt;0,MIN($F735:$G735)&gt;=150,$E735="Enerji Fazlası"),BX735*MIN($F735:$G735)*0.94,IF(AND(BX735&lt;0,MAX($F735:$G735)=4500,$E735="Enerji Açığı"),4500*1.05*1.06*BX735,IF(AND(BX735&lt;0,MAX($F735:$G735)=4500,$E735="Enerji Fazlası"),4500*1.05*1.03*BX735,IF(AND(BX735&lt;0,$E735="Enerji Açığı"),MAX($F735,$G735,150)*BX735*1.06,IF(AND(BX735&lt;0,$E735="Enerji Fazlası"),MAX($F735,$G735,150)*BX735*1.03,IF(AND(BX735&lt;0,$E735="Dengede"),MAX($F735:$G735,150)*1.03*BX735,MIN($F735:$G735)*0.97*BX735)))))))))</f>
        <v/>
      </c>
      <c r="BZ735" s="34">
        <f>BE735-BV735-CA735</f>
        <v/>
      </c>
      <c r="CA735" s="34">
        <f>BD735</f>
        <v/>
      </c>
      <c r="CB735" s="33">
        <f>BE735-BV735</f>
        <v/>
      </c>
      <c r="CC735" s="34">
        <f>IF(AY735=0,0,CB735/AY735)</f>
        <v/>
      </c>
      <c r="CD735" s="34">
        <f>MAX((AY735+MAX((-J735+L735-N735+Q735-T735+X735),0)),(MAX((J735-L735+N735-Q735+T735-X735),0)))</f>
        <v/>
      </c>
      <c r="CE735" s="82">
        <f>IFERROR(ABS(BX735/CD735),0)</f>
        <v/>
      </c>
      <c r="CF735" s="34">
        <f>IF(CE735&lt;=0.1,0,BX735/CE735*(CE735-0.1))</f>
        <v/>
      </c>
      <c r="CG735" s="34">
        <f>IF((CF735)&lt;0,MAX(F735:G735)*(CF735)*1.03,MIN(F735:G735)*(CF735)*0.97)</f>
        <v/>
      </c>
      <c r="CH735" s="34">
        <f>IF(CE735&gt;0.1,1,0)</f>
        <v/>
      </c>
      <c r="CI735" s="34">
        <f>(F735*BX735)-BY735</f>
        <v/>
      </c>
      <c r="CJ735" s="34">
        <f>IF(AY735=0,0,CI735/AY735)</f>
        <v/>
      </c>
    </row>
    <row r="736">
      <c r="A736" s="29">
        <f>[1]FİYATLAR!A711</f>
        <v/>
      </c>
      <c r="B736" s="29">
        <f>[1]FİYATLAR!B735</f>
        <v/>
      </c>
      <c r="C736" s="35">
        <f>INT(A736)</f>
        <v/>
      </c>
      <c r="D736" s="36">
        <f>MONTH(A736)</f>
        <v/>
      </c>
      <c r="E736" s="147">
        <f>[1]FİYATLAR!G711</f>
        <v/>
      </c>
      <c r="F736" s="30">
        <f>[1]FİYATLAR!C711</f>
        <v/>
      </c>
      <c r="G736" s="30">
        <f>[1]FİYATLAR!E711</f>
        <v/>
      </c>
      <c r="H736" s="30">
        <f>[1]FİYATLAR!D711</f>
        <v/>
      </c>
      <c r="I736" s="30">
        <f>[1]FİYATLAR!F711</f>
        <v/>
      </c>
      <c r="J736" s="119" t="n">
        <v>0</v>
      </c>
      <c r="K736" s="34">
        <f>F736*J736</f>
        <v/>
      </c>
      <c r="L736" s="119" t="n"/>
      <c r="M736" s="34">
        <f>L736*F736</f>
        <v/>
      </c>
      <c r="N736" s="119" t="n"/>
      <c r="O736" s="34">
        <f>F736</f>
        <v/>
      </c>
      <c r="P736" s="34">
        <f>N736*O736</f>
        <v/>
      </c>
      <c r="Q736" s="117" t="n">
        <v>0</v>
      </c>
      <c r="R736" s="34">
        <f>F736</f>
        <v/>
      </c>
      <c r="S736" s="34">
        <f>R736*Q736</f>
        <v/>
      </c>
      <c r="T736" s="34">
        <f>SUMIFS('[1]GİP VERİLERİ'!$C:$C,'[1]GİP VERİLERİ'!$B:$B,A736,'[1]GİP VERİLERİ'!$M:$M,"40X000000104782K",'[1]GİP VERİLERİ'!$G:$G,"SELL")</f>
        <v/>
      </c>
      <c r="U736" s="34">
        <f>IFERROR(W736/T736,0)</f>
        <v/>
      </c>
      <c r="V736" s="34">
        <f>IF(U736=0,0,U736-F736)</f>
        <v/>
      </c>
      <c r="W736" s="34">
        <f>SUMIFS('[1]GİP VERİLERİ'!$O:$O,'[1]GİP VERİLERİ'!$B:$B,A736,'[1]GİP VERİLERİ'!$M:$M,"40X000000104782K",'[1]GİP VERİLERİ'!$G:$G,"SELL")</f>
        <v/>
      </c>
      <c r="X736" s="34">
        <f>SUMIFS('[1]GİP VERİLERİ'!$C:$C,'[1]GİP VERİLERİ'!$B:$B,A736,'[1]GİP VERİLERİ'!$M:$M,"40X000000104782K",'[1]GİP VERİLERİ'!$G:$G,"BUY")</f>
        <v/>
      </c>
      <c r="Y736" s="34">
        <f>IFERROR(AA736/X736,0)</f>
        <v/>
      </c>
      <c r="Z736" s="34">
        <f>IF(Y736=0,0,F736-Y736)</f>
        <v/>
      </c>
      <c r="AA736" s="34">
        <f>SUMIFS('[1]GİP VERİLERİ'!$O:$O,'[1]GİP VERİLERİ'!$B:$B,A736,'[1]GİP VERİLERİ'!$M:$M,"40X000000104782K",'[1]GİP VERİLERİ'!$G:$G,"BUY")</f>
        <v/>
      </c>
      <c r="AB736" s="34">
        <f>'[1]GÖP VERİLERİ'!H737</f>
        <v/>
      </c>
      <c r="AC736" s="34">
        <f>'[1]GÖP VERİLERİ'!I737</f>
        <v/>
      </c>
      <c r="AD736" s="34">
        <f>IF(AB736&gt;AC736*1.05,AB736-AC736*1.05,IF(AB736&lt;AC736*0.95,AC736*0.95-AB736,0))</f>
        <v/>
      </c>
      <c r="AE736" s="34">
        <f>MAX(F736,G736,750)*0.05*AD736</f>
        <v/>
      </c>
      <c r="AF736" s="34">
        <f>'[1]GÖP VERİLERİ'!J737</f>
        <v/>
      </c>
      <c r="AG736" s="34">
        <f>IF(AB736&gt;AF736*1.05,AB736-AF736*1.05,IF(AB736&lt;AF736*0.95,AF736*0.95-AB736,0))</f>
        <v/>
      </c>
      <c r="AH736" s="34">
        <f>MAX(I736,J736,750)*0.05*AG736</f>
        <v/>
      </c>
      <c r="AI736">
        <f>'[1]GÖP VERİLERİ'!E737</f>
        <v/>
      </c>
      <c r="AJ736">
        <f>'[1]GÖP VERİLERİ'!F737</f>
        <v/>
      </c>
      <c r="AK736" s="34">
        <f>IF(AI736&gt;AJ736*1.05,AI736-AJ736*1.05,IF(AI736&lt;AJ736*0.95,AJ736*0.95-AI736,0))</f>
        <v/>
      </c>
      <c r="AL736" s="34">
        <f>MAX(F736,G736,750)*0.05*AK736</f>
        <v/>
      </c>
      <c r="AM736" s="39">
        <f>'[1]GÖP VERİLERİ'!G737</f>
        <v/>
      </c>
      <c r="AN736" s="34">
        <f>IF(AI736&gt;AM736*1.05,AI736-AM736*1.05,IF(AI736&lt;AM736*0.95,AM736*0.95-AI736,0))</f>
        <v/>
      </c>
      <c r="AO736" s="34">
        <f>MAX(F736,G736,750)*0.05*AN736</f>
        <v/>
      </c>
      <c r="AP736" s="34">
        <f>'[1]GÖP VERİLERİ'!B737</f>
        <v/>
      </c>
      <c r="AQ736" s="34">
        <f>'[1]GÖP VERİLERİ'!C737</f>
        <v/>
      </c>
      <c r="AR736" s="34">
        <f>IF(AP736&gt;AQ736*1.05,AP736-AQ736*1.05,IF(AP736&lt;AQ736*0.95,AQ736*0.95-AP736,0))</f>
        <v/>
      </c>
      <c r="AS736" s="34">
        <f>MAX(F736:G736,750)*0.05*AR736</f>
        <v/>
      </c>
      <c r="AT736">
        <f>'[1]GÖP VERİLERİ'!D737</f>
        <v/>
      </c>
      <c r="AU736" s="34">
        <f>IF(AP736&gt;AT736*1.05,AP736-AT736*1.05,IF(AP736&lt;AT736*0.95,AT736*0.95-AP736,0))</f>
        <v/>
      </c>
      <c r="AV736" s="34">
        <f>MAX(F736:G736,750)*0.05*AU736</f>
        <v/>
      </c>
      <c r="AW736" s="34">
        <f>AC736+AJ736+AQ736</f>
        <v/>
      </c>
      <c r="AX736" s="34">
        <f>AF736+AM736+AT736</f>
        <v/>
      </c>
      <c r="AY736" s="34">
        <f>AB736+AI736+AP736</f>
        <v/>
      </c>
      <c r="AZ736" s="34" t="n">
        <v>0</v>
      </c>
      <c r="BA736" s="34">
        <f>AD736+AK736+AR736</f>
        <v/>
      </c>
      <c r="BB736" s="34">
        <f>MAX(F736:G736,750)*0.05*BA736</f>
        <v/>
      </c>
      <c r="BC736" s="34">
        <f>AG736+AN736+AU736</f>
        <v/>
      </c>
      <c r="BD736" s="34">
        <f>MAX(F736:G736,750)*0.05*BC736</f>
        <v/>
      </c>
      <c r="BE736" s="34">
        <f>F736*AY736</f>
        <v/>
      </c>
      <c r="BF736" s="34">
        <f>K736-M736</f>
        <v/>
      </c>
      <c r="BG736" s="34">
        <f>P736-S736</f>
        <v/>
      </c>
      <c r="BH736" s="34">
        <f>W736-AA736</f>
        <v/>
      </c>
      <c r="BI736" s="34">
        <f>BF736+BG736+BL736-BN736</f>
        <v/>
      </c>
      <c r="BJ736" s="34">
        <f>ABS(BK736)</f>
        <v/>
      </c>
      <c r="BK736" s="34">
        <f>AY736-(J736-L736+N736-Q736)</f>
        <v/>
      </c>
      <c r="BL736" s="34">
        <f>IF(AND(BK736&gt;0,MIN($F736:$G736)&lt;150,$E736="Enerji Açığı"),-100*BK736*1.03,IF(AND(BK736&gt;0,MIN($F736:$G736)&lt;150,$E736="Enerji Fazlası"),-100*BK736*1.06,IF(AND(BK736&gt;0,MIN($F736:$G736)&gt;=150,$E736="Enerji Açığı"),BK736*MIN($F736:$G736)*0.97,IF(AND(BK736&gt;0,MIN($F736:$G736)&gt;=150,$E736="Enerji Fazlası"),BK736*MIN($F736:$G736)*0.94,IF(AND(BK736&lt;0,MAX($F736:$G736)=4500,$E736="Enerji Açığı"),4500*1.05*1.06*BK736,IF(AND(BK736&lt;0,MAX($F736:$G736)=4500,$E736="Enerji Fazlası"),4500*1.05*1.03*BK736,IF(AND(BK736&lt;0,$E736="Enerji Açığı"),MAX($F736,$G736,150)*BK736*1.06,IF(AND(BK736&lt;0,$E736="Enerji Fazlası"),MAX($F736,$G736,150)*BK736*1.03,IF(AND(BK736&lt;0,$E736="Dengede"),MAX($F736:$G736,150)*1.03*BK736,MIN($F736:$G736)*0.97*BK736)))))))))</f>
        <v/>
      </c>
      <c r="BM736" s="34">
        <f>BE736-BI736-BN736</f>
        <v/>
      </c>
      <c r="BN736" s="34">
        <f>BB736</f>
        <v/>
      </c>
      <c r="BO736" s="34">
        <f>BE736-BI736</f>
        <v/>
      </c>
      <c r="BP736" s="34">
        <f>IF(AY736=0,0,BO736/AY736)</f>
        <v/>
      </c>
      <c r="BQ736" s="34">
        <f>MAX((AY736+MAX((-J736+L736-N736+Q736),0)),(MAX((J736-L736+N736-Q736),0)))</f>
        <v/>
      </c>
      <c r="BR736" s="82">
        <f>IFERROR(ABS(BK736/BQ736),0)</f>
        <v/>
      </c>
      <c r="BS736" s="34">
        <f>IF(BR736&lt;=0.1,0,BK736/BR736*(BR736-0.1))</f>
        <v/>
      </c>
      <c r="BT736" s="34">
        <f>IF((BS736)&lt;0,MAX(F736:G736)*(BS736)*1.03,MIN(F736:G736)*(BS736)*0.97)</f>
        <v/>
      </c>
      <c r="BU736" s="34">
        <f>IF(BR736&gt;0.1,1,0)</f>
        <v/>
      </c>
      <c r="BV736" s="34">
        <f>BF736+BG736+BH736+BY736-CA736</f>
        <v/>
      </c>
      <c r="BW736" s="34">
        <f>ABS(BX736)</f>
        <v/>
      </c>
      <c r="BX736" s="34">
        <f>AY736-(J736-L736+N736-Q736+T736-X736)</f>
        <v/>
      </c>
      <c r="BY736" s="34">
        <f>IF(AND(BX736&gt;0,MIN($F736:$G736)&lt;150,$E736="Enerji Açığı"),-100*BX736*1.03,IF(AND(BX736&gt;0,MIN($F736:$G736)&lt;150,$E736="Enerji Fazlası"),-100*BX736*1.06,IF(AND(BX736&gt;0,MIN($F736:$G736)&gt;=150,$E736="Enerji Açığı"),BX736*MIN($F736:$G736)*0.97,IF(AND(BX736&gt;0,MIN($F736:$G736)&gt;=150,$E736="Enerji Fazlası"),BX736*MIN($F736:$G736)*0.94,IF(AND(BX736&lt;0,MAX($F736:$G736)=4500,$E736="Enerji Açığı"),4500*1.05*1.06*BX736,IF(AND(BX736&lt;0,MAX($F736:$G736)=4500,$E736="Enerji Fazlası"),4500*1.05*1.03*BX736,IF(AND(BX736&lt;0,$E736="Enerji Açığı"),MAX($F736,$G736,150)*BX736*1.06,IF(AND(BX736&lt;0,$E736="Enerji Fazlası"),MAX($F736,$G736,150)*BX736*1.03,IF(AND(BX736&lt;0,$E736="Dengede"),MAX($F736:$G736,150)*1.03*BX736,MIN($F736:$G736)*0.97*BX736)))))))))</f>
        <v/>
      </c>
      <c r="BZ736" s="34">
        <f>BE736-BV736-CA736</f>
        <v/>
      </c>
      <c r="CA736" s="34">
        <f>BD736</f>
        <v/>
      </c>
      <c r="CB736" s="33">
        <f>BE736-BV736</f>
        <v/>
      </c>
      <c r="CC736" s="34">
        <f>IF(AY736=0,0,CB736/AY736)</f>
        <v/>
      </c>
      <c r="CD736" s="34">
        <f>MAX((AY736+MAX((-J736+L736-N736+Q736-T736+X736),0)),(MAX((J736-L736+N736-Q736+T736-X736),0)))</f>
        <v/>
      </c>
      <c r="CE736" s="82">
        <f>IFERROR(ABS(BX736/CD736),0)</f>
        <v/>
      </c>
      <c r="CF736" s="34">
        <f>IF(CE736&lt;=0.1,0,BX736/CE736*(CE736-0.1))</f>
        <v/>
      </c>
      <c r="CG736" s="34">
        <f>IF((CF736)&lt;0,MAX(F736:G736)*(CF736)*1.03,MIN(F736:G736)*(CF736)*0.97)</f>
        <v/>
      </c>
      <c r="CH736" s="34">
        <f>IF(CE736&gt;0.1,1,0)</f>
        <v/>
      </c>
      <c r="CI736" s="34">
        <f>(F736*BX736)-BY736</f>
        <v/>
      </c>
      <c r="CJ736" s="34">
        <f>IF(AY736=0,0,CI736/AY736)</f>
        <v/>
      </c>
    </row>
    <row r="737">
      <c r="A737" s="29">
        <f>[1]FİYATLAR!A712</f>
        <v/>
      </c>
      <c r="B737" s="29">
        <f>[1]FİYATLAR!B736</f>
        <v/>
      </c>
      <c r="C737" s="35">
        <f>INT(A737)</f>
        <v/>
      </c>
      <c r="D737" s="36">
        <f>MONTH(A737)</f>
        <v/>
      </c>
      <c r="E737" s="147">
        <f>[1]FİYATLAR!G712</f>
        <v/>
      </c>
      <c r="F737" s="30">
        <f>[1]FİYATLAR!C712</f>
        <v/>
      </c>
      <c r="G737" s="30">
        <f>[1]FİYATLAR!E712</f>
        <v/>
      </c>
      <c r="H737" s="30">
        <f>[1]FİYATLAR!D712</f>
        <v/>
      </c>
      <c r="I737" s="30">
        <f>[1]FİYATLAR!F712</f>
        <v/>
      </c>
      <c r="J737" s="119" t="n">
        <v>0</v>
      </c>
      <c r="K737" s="34">
        <f>F737*J737</f>
        <v/>
      </c>
      <c r="L737" s="119" t="n"/>
      <c r="M737" s="34">
        <f>L737*F737</f>
        <v/>
      </c>
      <c r="N737" s="119" t="n"/>
      <c r="O737" s="34">
        <f>F737</f>
        <v/>
      </c>
      <c r="P737" s="34">
        <f>N737*O737</f>
        <v/>
      </c>
      <c r="Q737" s="117" t="n">
        <v>0</v>
      </c>
      <c r="R737" s="34">
        <f>F737</f>
        <v/>
      </c>
      <c r="S737" s="34">
        <f>R737*Q737</f>
        <v/>
      </c>
      <c r="T737" s="34">
        <f>SUMIFS('[1]GİP VERİLERİ'!$C:$C,'[1]GİP VERİLERİ'!$B:$B,A737,'[1]GİP VERİLERİ'!$M:$M,"40X000000104782K",'[1]GİP VERİLERİ'!$G:$G,"SELL")</f>
        <v/>
      </c>
      <c r="U737" s="34">
        <f>IFERROR(W737/T737,0)</f>
        <v/>
      </c>
      <c r="V737" s="34">
        <f>IF(U737=0,0,U737-F737)</f>
        <v/>
      </c>
      <c r="W737" s="34">
        <f>SUMIFS('[1]GİP VERİLERİ'!$O:$O,'[1]GİP VERİLERİ'!$B:$B,A737,'[1]GİP VERİLERİ'!$M:$M,"40X000000104782K",'[1]GİP VERİLERİ'!$G:$G,"SELL")</f>
        <v/>
      </c>
      <c r="X737" s="34">
        <f>SUMIFS('[1]GİP VERİLERİ'!$C:$C,'[1]GİP VERİLERİ'!$B:$B,A737,'[1]GİP VERİLERİ'!$M:$M,"40X000000104782K",'[1]GİP VERİLERİ'!$G:$G,"BUY")</f>
        <v/>
      </c>
      <c r="Y737" s="34">
        <f>IFERROR(AA737/X737,0)</f>
        <v/>
      </c>
      <c r="Z737" s="34">
        <f>IF(Y737=0,0,F737-Y737)</f>
        <v/>
      </c>
      <c r="AA737" s="34">
        <f>SUMIFS('[1]GİP VERİLERİ'!$O:$O,'[1]GİP VERİLERİ'!$B:$B,A737,'[1]GİP VERİLERİ'!$M:$M,"40X000000104782K",'[1]GİP VERİLERİ'!$G:$G,"BUY")</f>
        <v/>
      </c>
      <c r="AB737" s="34">
        <f>'[1]GÖP VERİLERİ'!H738</f>
        <v/>
      </c>
      <c r="AC737" s="34">
        <f>'[1]GÖP VERİLERİ'!I738</f>
        <v/>
      </c>
      <c r="AD737" s="34">
        <f>IF(AB737&gt;AC737*1.05,AB737-AC737*1.05,IF(AB737&lt;AC737*0.95,AC737*0.95-AB737,0))</f>
        <v/>
      </c>
      <c r="AE737" s="34">
        <f>MAX(F737,G737,750)*0.05*AD737</f>
        <v/>
      </c>
      <c r="AF737" s="34">
        <f>'[1]GÖP VERİLERİ'!J738</f>
        <v/>
      </c>
      <c r="AG737" s="34">
        <f>IF(AB737&gt;AF737*1.05,AB737-AF737*1.05,IF(AB737&lt;AF737*0.95,AF737*0.95-AB737,0))</f>
        <v/>
      </c>
      <c r="AH737" s="34">
        <f>MAX(I737,J737,750)*0.05*AG737</f>
        <v/>
      </c>
      <c r="AI737">
        <f>'[1]GÖP VERİLERİ'!E738</f>
        <v/>
      </c>
      <c r="AJ737">
        <f>'[1]GÖP VERİLERİ'!F738</f>
        <v/>
      </c>
      <c r="AK737" s="34">
        <f>IF(AI737&gt;AJ737*1.05,AI737-AJ737*1.05,IF(AI737&lt;AJ737*0.95,AJ737*0.95-AI737,0))</f>
        <v/>
      </c>
      <c r="AL737" s="34">
        <f>MAX(F737,G737,750)*0.05*AK737</f>
        <v/>
      </c>
      <c r="AM737" s="39">
        <f>'[1]GÖP VERİLERİ'!G738</f>
        <v/>
      </c>
      <c r="AN737" s="34">
        <f>IF(AI737&gt;AM737*1.05,AI737-AM737*1.05,IF(AI737&lt;AM737*0.95,AM737*0.95-AI737,0))</f>
        <v/>
      </c>
      <c r="AO737" s="34">
        <f>MAX(F737,G737,750)*0.05*AN737</f>
        <v/>
      </c>
      <c r="AP737" s="34">
        <f>'[1]GÖP VERİLERİ'!B738</f>
        <v/>
      </c>
      <c r="AQ737" s="34">
        <f>'[1]GÖP VERİLERİ'!C738</f>
        <v/>
      </c>
      <c r="AR737" s="34">
        <f>IF(AP737&gt;AQ737*1.05,AP737-AQ737*1.05,IF(AP737&lt;AQ737*0.95,AQ737*0.95-AP737,0))</f>
        <v/>
      </c>
      <c r="AS737" s="34">
        <f>MAX(F737:G737,750)*0.05*AR737</f>
        <v/>
      </c>
      <c r="AT737">
        <f>'[1]GÖP VERİLERİ'!D738</f>
        <v/>
      </c>
      <c r="AU737" s="34">
        <f>IF(AP737&gt;AT737*1.05,AP737-AT737*1.05,IF(AP737&lt;AT737*0.95,AT737*0.95-AP737,0))</f>
        <v/>
      </c>
      <c r="AV737" s="34">
        <f>MAX(F737:G737,750)*0.05*AU737</f>
        <v/>
      </c>
      <c r="AW737" s="34">
        <f>AC737+AJ737+AQ737</f>
        <v/>
      </c>
      <c r="AX737" s="34">
        <f>AF737+AM737+AT737</f>
        <v/>
      </c>
      <c r="AY737" s="34">
        <f>AB737+AI737+AP737</f>
        <v/>
      </c>
      <c r="AZ737" s="34" t="n">
        <v>0</v>
      </c>
      <c r="BA737" s="34">
        <f>AD737+AK737+AR737</f>
        <v/>
      </c>
      <c r="BB737" s="34">
        <f>MAX(F737:G737,750)*0.05*BA737</f>
        <v/>
      </c>
      <c r="BC737" s="34">
        <f>AG737+AN737+AU737</f>
        <v/>
      </c>
      <c r="BD737" s="34">
        <f>MAX(F737:G737,750)*0.05*BC737</f>
        <v/>
      </c>
      <c r="BE737" s="34">
        <f>F737*AY737</f>
        <v/>
      </c>
      <c r="BF737" s="34">
        <f>K737-M737</f>
        <v/>
      </c>
      <c r="BG737" s="34">
        <f>P737-S737</f>
        <v/>
      </c>
      <c r="BH737" s="34">
        <f>W737-AA737</f>
        <v/>
      </c>
      <c r="BI737" s="34">
        <f>BF737+BG737+BL737-BN737</f>
        <v/>
      </c>
      <c r="BJ737" s="34">
        <f>ABS(BK737)</f>
        <v/>
      </c>
      <c r="BK737" s="34">
        <f>AY737-(J737-L737+N737-Q737)</f>
        <v/>
      </c>
      <c r="BL737" s="34">
        <f>IF(AND(BK737&gt;0,MIN($F737:$G737)&lt;150,$E737="Enerji Açığı"),-100*BK737*1.03,IF(AND(BK737&gt;0,MIN($F737:$G737)&lt;150,$E737="Enerji Fazlası"),-100*BK737*1.06,IF(AND(BK737&gt;0,MIN($F737:$G737)&gt;=150,$E737="Enerji Açığı"),BK737*MIN($F737:$G737)*0.97,IF(AND(BK737&gt;0,MIN($F737:$G737)&gt;=150,$E737="Enerji Fazlası"),BK737*MIN($F737:$G737)*0.94,IF(AND(BK737&lt;0,MAX($F737:$G737)=4500,$E737="Enerji Açığı"),4500*1.05*1.06*BK737,IF(AND(BK737&lt;0,MAX($F737:$G737)=4500,$E737="Enerji Fazlası"),4500*1.05*1.03*BK737,IF(AND(BK737&lt;0,$E737="Enerji Açığı"),MAX($F737,$G737,150)*BK737*1.06,IF(AND(BK737&lt;0,$E737="Enerji Fazlası"),MAX($F737,$G737,150)*BK737*1.03,IF(AND(BK737&lt;0,$E737="Dengede"),MAX($F737:$G737,150)*1.03*BK737,MIN($F737:$G737)*0.97*BK737)))))))))</f>
        <v/>
      </c>
      <c r="BM737" s="34">
        <f>BE737-BI737-BN737</f>
        <v/>
      </c>
      <c r="BN737" s="34">
        <f>BB737</f>
        <v/>
      </c>
      <c r="BO737" s="34">
        <f>BE737-BI737</f>
        <v/>
      </c>
      <c r="BP737" s="34">
        <f>IF(AY737=0,0,BO737/AY737)</f>
        <v/>
      </c>
      <c r="BQ737" s="34">
        <f>MAX((AY737+MAX((-J737+L737-N737+Q737),0)),(MAX((J737-L737+N737-Q737),0)))</f>
        <v/>
      </c>
      <c r="BR737" s="82">
        <f>IFERROR(ABS(BK737/BQ737),0)</f>
        <v/>
      </c>
      <c r="BS737" s="34">
        <f>IF(BR737&lt;=0.1,0,BK737/BR737*(BR737-0.1))</f>
        <v/>
      </c>
      <c r="BT737" s="34">
        <f>IF((BS737)&lt;0,MAX(F737:G737)*(BS737)*1.03,MIN(F737:G737)*(BS737)*0.97)</f>
        <v/>
      </c>
      <c r="BU737" s="34">
        <f>IF(BR737&gt;0.1,1,0)</f>
        <v/>
      </c>
      <c r="BV737" s="34">
        <f>BF737+BG737+BH737+BY737-CA737</f>
        <v/>
      </c>
      <c r="BW737" s="34">
        <f>ABS(BX737)</f>
        <v/>
      </c>
      <c r="BX737" s="34">
        <f>AY737-(J737-L737+N737-Q737+T737-X737)</f>
        <v/>
      </c>
      <c r="BY737" s="34">
        <f>IF(AND(BX737&gt;0,MIN($F737:$G737)&lt;150,$E737="Enerji Açığı"),-100*BX737*1.03,IF(AND(BX737&gt;0,MIN($F737:$G737)&lt;150,$E737="Enerji Fazlası"),-100*BX737*1.06,IF(AND(BX737&gt;0,MIN($F737:$G737)&gt;=150,$E737="Enerji Açığı"),BX737*MIN($F737:$G737)*0.97,IF(AND(BX737&gt;0,MIN($F737:$G737)&gt;=150,$E737="Enerji Fazlası"),BX737*MIN($F737:$G737)*0.94,IF(AND(BX737&lt;0,MAX($F737:$G737)=4500,$E737="Enerji Açığı"),4500*1.05*1.06*BX737,IF(AND(BX737&lt;0,MAX($F737:$G737)=4500,$E737="Enerji Fazlası"),4500*1.05*1.03*BX737,IF(AND(BX737&lt;0,$E737="Enerji Açığı"),MAX($F737,$G737,150)*BX737*1.06,IF(AND(BX737&lt;0,$E737="Enerji Fazlası"),MAX($F737,$G737,150)*BX737*1.03,IF(AND(BX737&lt;0,$E737="Dengede"),MAX($F737:$G737,150)*1.03*BX737,MIN($F737:$G737)*0.97*BX737)))))))))</f>
        <v/>
      </c>
      <c r="BZ737" s="34">
        <f>BE737-BV737-CA737</f>
        <v/>
      </c>
      <c r="CA737" s="34">
        <f>BD737</f>
        <v/>
      </c>
      <c r="CB737" s="33">
        <f>BE737-BV737</f>
        <v/>
      </c>
      <c r="CC737" s="34">
        <f>IF(AY737=0,0,CB737/AY737)</f>
        <v/>
      </c>
      <c r="CD737" s="34">
        <f>MAX((AY737+MAX((-J737+L737-N737+Q737-T737+X737),0)),(MAX((J737-L737+N737-Q737+T737-X737),0)))</f>
        <v/>
      </c>
      <c r="CE737" s="82">
        <f>IFERROR(ABS(BX737/CD737),0)</f>
        <v/>
      </c>
      <c r="CF737" s="34">
        <f>IF(CE737&lt;=0.1,0,BX737/CE737*(CE737-0.1))</f>
        <v/>
      </c>
      <c r="CG737" s="34">
        <f>IF((CF737)&lt;0,MAX(F737:G737)*(CF737)*1.03,MIN(F737:G737)*(CF737)*0.97)</f>
        <v/>
      </c>
      <c r="CH737" s="34">
        <f>IF(CE737&gt;0.1,1,0)</f>
        <v/>
      </c>
      <c r="CI737" s="34">
        <f>(F737*BX737)-BY737</f>
        <v/>
      </c>
      <c r="CJ737" s="34">
        <f>IF(AY737=0,0,CI737/AY737)</f>
        <v/>
      </c>
    </row>
    <row r="738">
      <c r="A738" s="29">
        <f>[1]FİYATLAR!A713</f>
        <v/>
      </c>
      <c r="B738" s="29">
        <f>[1]FİYATLAR!B737</f>
        <v/>
      </c>
      <c r="C738" s="35">
        <f>INT(A738)</f>
        <v/>
      </c>
      <c r="D738" s="36">
        <f>MONTH(A738)</f>
        <v/>
      </c>
      <c r="E738" s="147">
        <f>[1]FİYATLAR!G713</f>
        <v/>
      </c>
      <c r="F738" s="30">
        <f>[1]FİYATLAR!C713</f>
        <v/>
      </c>
      <c r="G738" s="30">
        <f>[1]FİYATLAR!E713</f>
        <v/>
      </c>
      <c r="H738" s="30">
        <f>[1]FİYATLAR!D713</f>
        <v/>
      </c>
      <c r="I738" s="30">
        <f>[1]FİYATLAR!F713</f>
        <v/>
      </c>
      <c r="J738" s="119" t="n">
        <v>0</v>
      </c>
      <c r="K738" s="34">
        <f>F738*J738</f>
        <v/>
      </c>
      <c r="L738" s="119" t="n"/>
      <c r="M738" s="34">
        <f>L738*F738</f>
        <v/>
      </c>
      <c r="N738" s="119" t="n"/>
      <c r="O738" s="34">
        <f>F738</f>
        <v/>
      </c>
      <c r="P738" s="34">
        <f>N738*O738</f>
        <v/>
      </c>
      <c r="Q738" s="117" t="n">
        <v>0</v>
      </c>
      <c r="R738" s="34">
        <f>F738</f>
        <v/>
      </c>
      <c r="S738" s="34">
        <f>R738*Q738</f>
        <v/>
      </c>
      <c r="T738" s="34">
        <f>SUMIFS('[1]GİP VERİLERİ'!$C:$C,'[1]GİP VERİLERİ'!$B:$B,A738,'[1]GİP VERİLERİ'!$M:$M,"40X000000104782K",'[1]GİP VERİLERİ'!$G:$G,"SELL")</f>
        <v/>
      </c>
      <c r="U738" s="34">
        <f>IFERROR(W738/T738,0)</f>
        <v/>
      </c>
      <c r="V738" s="34">
        <f>IF(U738=0,0,U738-F738)</f>
        <v/>
      </c>
      <c r="W738" s="34">
        <f>SUMIFS('[1]GİP VERİLERİ'!$O:$O,'[1]GİP VERİLERİ'!$B:$B,A738,'[1]GİP VERİLERİ'!$M:$M,"40X000000104782K",'[1]GİP VERİLERİ'!$G:$G,"SELL")</f>
        <v/>
      </c>
      <c r="X738" s="34">
        <f>SUMIFS('[1]GİP VERİLERİ'!$C:$C,'[1]GİP VERİLERİ'!$B:$B,A738,'[1]GİP VERİLERİ'!$M:$M,"40X000000104782K",'[1]GİP VERİLERİ'!$G:$G,"BUY")</f>
        <v/>
      </c>
      <c r="Y738" s="34">
        <f>IFERROR(AA738/X738,0)</f>
        <v/>
      </c>
      <c r="Z738" s="34">
        <f>IF(Y738=0,0,F738-Y738)</f>
        <v/>
      </c>
      <c r="AA738" s="34">
        <f>SUMIFS('[1]GİP VERİLERİ'!$O:$O,'[1]GİP VERİLERİ'!$B:$B,A738,'[1]GİP VERİLERİ'!$M:$M,"40X000000104782K",'[1]GİP VERİLERİ'!$G:$G,"BUY")</f>
        <v/>
      </c>
      <c r="AB738" s="34">
        <f>'[1]GÖP VERİLERİ'!H739</f>
        <v/>
      </c>
      <c r="AC738" s="34">
        <f>'[1]GÖP VERİLERİ'!I739</f>
        <v/>
      </c>
      <c r="AD738" s="34">
        <f>IF(AB738&gt;AC738*1.05,AB738-AC738*1.05,IF(AB738&lt;AC738*0.95,AC738*0.95-AB738,0))</f>
        <v/>
      </c>
      <c r="AE738" s="34">
        <f>MAX(F738,G738,750)*0.05*AD738</f>
        <v/>
      </c>
      <c r="AF738" s="34">
        <f>'[1]GÖP VERİLERİ'!J739</f>
        <v/>
      </c>
      <c r="AG738" s="34">
        <f>IF(AB738&gt;AF738*1.05,AB738-AF738*1.05,IF(AB738&lt;AF738*0.95,AF738*0.95-AB738,0))</f>
        <v/>
      </c>
      <c r="AH738" s="34">
        <f>MAX(I738,J738,750)*0.05*AG738</f>
        <v/>
      </c>
      <c r="AI738">
        <f>'[1]GÖP VERİLERİ'!E739</f>
        <v/>
      </c>
      <c r="AJ738">
        <f>'[1]GÖP VERİLERİ'!F739</f>
        <v/>
      </c>
      <c r="AK738" s="34">
        <f>IF(AI738&gt;AJ738*1.05,AI738-AJ738*1.05,IF(AI738&lt;AJ738*0.95,AJ738*0.95-AI738,0))</f>
        <v/>
      </c>
      <c r="AL738" s="34">
        <f>MAX(F738,G738,750)*0.05*AK738</f>
        <v/>
      </c>
      <c r="AM738" s="39">
        <f>'[1]GÖP VERİLERİ'!G739</f>
        <v/>
      </c>
      <c r="AN738" s="34">
        <f>IF(AI738&gt;AM738*1.05,AI738-AM738*1.05,IF(AI738&lt;AM738*0.95,AM738*0.95-AI738,0))</f>
        <v/>
      </c>
      <c r="AO738" s="34">
        <f>MAX(F738,G738,750)*0.05*AN738</f>
        <v/>
      </c>
      <c r="AP738" s="34">
        <f>'[1]GÖP VERİLERİ'!B739</f>
        <v/>
      </c>
      <c r="AQ738" s="34">
        <f>'[1]GÖP VERİLERİ'!C739</f>
        <v/>
      </c>
      <c r="AR738" s="34">
        <f>IF(AP738&gt;AQ738*1.05,AP738-AQ738*1.05,IF(AP738&lt;AQ738*0.95,AQ738*0.95-AP738,0))</f>
        <v/>
      </c>
      <c r="AS738" s="34">
        <f>MAX(F738:G738,750)*0.05*AR738</f>
        <v/>
      </c>
      <c r="AT738">
        <f>'[1]GÖP VERİLERİ'!D739</f>
        <v/>
      </c>
      <c r="AU738" s="34">
        <f>IF(AP738&gt;AT738*1.05,AP738-AT738*1.05,IF(AP738&lt;AT738*0.95,AT738*0.95-AP738,0))</f>
        <v/>
      </c>
      <c r="AV738" s="34">
        <f>MAX(F738:G738,750)*0.05*AU738</f>
        <v/>
      </c>
      <c r="AW738" s="34">
        <f>AC738+AJ738+AQ738</f>
        <v/>
      </c>
      <c r="AX738" s="34">
        <f>AF738+AM738+AT738</f>
        <v/>
      </c>
      <c r="AY738" s="34">
        <f>AB738+AI738+AP738</f>
        <v/>
      </c>
      <c r="AZ738" s="34" t="n">
        <v>0</v>
      </c>
      <c r="BA738" s="34">
        <f>AD738+AK738+AR738</f>
        <v/>
      </c>
      <c r="BB738" s="34">
        <f>MAX(F738:G738,750)*0.05*BA738</f>
        <v/>
      </c>
      <c r="BC738" s="34">
        <f>AG738+AN738+AU738</f>
        <v/>
      </c>
      <c r="BD738" s="34">
        <f>MAX(F738:G738,750)*0.05*BC738</f>
        <v/>
      </c>
      <c r="BE738" s="34">
        <f>F738*AY738</f>
        <v/>
      </c>
      <c r="BF738" s="34">
        <f>K738-M738</f>
        <v/>
      </c>
      <c r="BG738" s="34">
        <f>P738-S738</f>
        <v/>
      </c>
      <c r="BH738" s="34">
        <f>W738-AA738</f>
        <v/>
      </c>
      <c r="BI738" s="34">
        <f>BF738+BG738+BL738-BN738</f>
        <v/>
      </c>
      <c r="BJ738" s="34">
        <f>ABS(BK738)</f>
        <v/>
      </c>
      <c r="BK738" s="34">
        <f>AY738-(J738-L738+N738-Q738)</f>
        <v/>
      </c>
      <c r="BL738" s="34">
        <f>IF(AND(BK738&gt;0,MIN($F738:$G738)&lt;150,$E738="Enerji Açığı"),-100*BK738*1.03,IF(AND(BK738&gt;0,MIN($F738:$G738)&lt;150,$E738="Enerji Fazlası"),-100*BK738*1.06,IF(AND(BK738&gt;0,MIN($F738:$G738)&gt;=150,$E738="Enerji Açığı"),BK738*MIN($F738:$G738)*0.97,IF(AND(BK738&gt;0,MIN($F738:$G738)&gt;=150,$E738="Enerji Fazlası"),BK738*MIN($F738:$G738)*0.94,IF(AND(BK738&lt;0,MAX($F738:$G738)=4500,$E738="Enerji Açığı"),4500*1.05*1.06*BK738,IF(AND(BK738&lt;0,MAX($F738:$G738)=4500,$E738="Enerji Fazlası"),4500*1.05*1.03*BK738,IF(AND(BK738&lt;0,$E738="Enerji Açığı"),MAX($F738,$G738,150)*BK738*1.06,IF(AND(BK738&lt;0,$E738="Enerji Fazlası"),MAX($F738,$G738,150)*BK738*1.03,IF(AND(BK738&lt;0,$E738="Dengede"),MAX($F738:$G738,150)*1.03*BK738,MIN($F738:$G738)*0.97*BK738)))))))))</f>
        <v/>
      </c>
      <c r="BM738" s="34">
        <f>BE738-BI738-BN738</f>
        <v/>
      </c>
      <c r="BN738" s="34">
        <f>BB738</f>
        <v/>
      </c>
      <c r="BO738" s="34">
        <f>BE738-BI738</f>
        <v/>
      </c>
      <c r="BP738" s="34">
        <f>IF(AY738=0,0,BO738/AY738)</f>
        <v/>
      </c>
      <c r="BQ738" s="34">
        <f>MAX((AY738+MAX((-J738+L738-N738+Q738),0)),(MAX((J738-L738+N738-Q738),0)))</f>
        <v/>
      </c>
      <c r="BR738" s="82">
        <f>IFERROR(ABS(BK738/BQ738),0)</f>
        <v/>
      </c>
      <c r="BS738" s="34">
        <f>IF(BR738&lt;=0.1,0,BK738/BR738*(BR738-0.1))</f>
        <v/>
      </c>
      <c r="BT738" s="34">
        <f>IF((BS738)&lt;0,MAX(F738:G738)*(BS738)*1.03,MIN(F738:G738)*(BS738)*0.97)</f>
        <v/>
      </c>
      <c r="BU738" s="34">
        <f>IF(BR738&gt;0.1,1,0)</f>
        <v/>
      </c>
      <c r="BV738" s="34">
        <f>BF738+BG738+BH738+BY738-CA738</f>
        <v/>
      </c>
      <c r="BW738" s="34">
        <f>ABS(BX738)</f>
        <v/>
      </c>
      <c r="BX738" s="34">
        <f>AY738-(J738-L738+N738-Q738+T738-X738)</f>
        <v/>
      </c>
      <c r="BY738" s="34">
        <f>IF(AND(BX738&gt;0,MIN($F738:$G738)&lt;150,$E738="Enerji Açığı"),-100*BX738*1.03,IF(AND(BX738&gt;0,MIN($F738:$G738)&lt;150,$E738="Enerji Fazlası"),-100*BX738*1.06,IF(AND(BX738&gt;0,MIN($F738:$G738)&gt;=150,$E738="Enerji Açığı"),BX738*MIN($F738:$G738)*0.97,IF(AND(BX738&gt;0,MIN($F738:$G738)&gt;=150,$E738="Enerji Fazlası"),BX738*MIN($F738:$G738)*0.94,IF(AND(BX738&lt;0,MAX($F738:$G738)=4500,$E738="Enerji Açığı"),4500*1.05*1.06*BX738,IF(AND(BX738&lt;0,MAX($F738:$G738)=4500,$E738="Enerji Fazlası"),4500*1.05*1.03*BX738,IF(AND(BX738&lt;0,$E738="Enerji Açığı"),MAX($F738,$G738,150)*BX738*1.06,IF(AND(BX738&lt;0,$E738="Enerji Fazlası"),MAX($F738,$G738,150)*BX738*1.03,IF(AND(BX738&lt;0,$E738="Dengede"),MAX($F738:$G738,150)*1.03*BX738,MIN($F738:$G738)*0.97*BX738)))))))))</f>
        <v/>
      </c>
      <c r="BZ738" s="34">
        <f>BE738-BV738-CA738</f>
        <v/>
      </c>
      <c r="CA738" s="34">
        <f>BD738</f>
        <v/>
      </c>
      <c r="CB738" s="33">
        <f>BE738-BV738</f>
        <v/>
      </c>
      <c r="CC738" s="34">
        <f>IF(AY738=0,0,CB738/AY738)</f>
        <v/>
      </c>
      <c r="CD738" s="34">
        <f>MAX((AY738+MAX((-J738+L738-N738+Q738-T738+X738),0)),(MAX((J738-L738+N738-Q738+T738-X738),0)))</f>
        <v/>
      </c>
      <c r="CE738" s="82">
        <f>IFERROR(ABS(BX738/CD738),0)</f>
        <v/>
      </c>
      <c r="CF738" s="34">
        <f>IF(CE738&lt;=0.1,0,BX738/CE738*(CE738-0.1))</f>
        <v/>
      </c>
      <c r="CG738" s="34">
        <f>IF((CF738)&lt;0,MAX(F738:G738)*(CF738)*1.03,MIN(F738:G738)*(CF738)*0.97)</f>
        <v/>
      </c>
      <c r="CH738" s="34">
        <f>IF(CE738&gt;0.1,1,0)</f>
        <v/>
      </c>
      <c r="CI738" s="34">
        <f>(F738*BX738)-BY738</f>
        <v/>
      </c>
      <c r="CJ738" s="34">
        <f>IF(AY738=0,0,CI738/AY738)</f>
        <v/>
      </c>
    </row>
    <row r="739">
      <c r="A739" s="29">
        <f>[1]FİYATLAR!A714</f>
        <v/>
      </c>
      <c r="B739" s="29">
        <f>[1]FİYATLAR!B738</f>
        <v/>
      </c>
      <c r="C739" s="35">
        <f>INT(A739)</f>
        <v/>
      </c>
      <c r="D739" s="36">
        <f>MONTH(A739)</f>
        <v/>
      </c>
      <c r="E739" s="147">
        <f>[1]FİYATLAR!G714</f>
        <v/>
      </c>
      <c r="F739" s="30">
        <f>[1]FİYATLAR!C714</f>
        <v/>
      </c>
      <c r="G739" s="30">
        <f>[1]FİYATLAR!E714</f>
        <v/>
      </c>
      <c r="H739" s="30">
        <f>[1]FİYATLAR!D714</f>
        <v/>
      </c>
      <c r="I739" s="30">
        <f>[1]FİYATLAR!F714</f>
        <v/>
      </c>
      <c r="J739" s="119" t="n">
        <v>0</v>
      </c>
      <c r="K739" s="34">
        <f>F739*J739</f>
        <v/>
      </c>
      <c r="L739" s="119" t="n"/>
      <c r="M739" s="34">
        <f>L739*F739</f>
        <v/>
      </c>
      <c r="N739" s="119" t="n"/>
      <c r="O739" s="34">
        <f>F739</f>
        <v/>
      </c>
      <c r="P739" s="34">
        <f>N739*O739</f>
        <v/>
      </c>
      <c r="Q739" s="117" t="n">
        <v>0</v>
      </c>
      <c r="R739" s="34">
        <f>F739</f>
        <v/>
      </c>
      <c r="S739" s="34">
        <f>R739*Q739</f>
        <v/>
      </c>
      <c r="T739" s="34">
        <f>SUMIFS('[1]GİP VERİLERİ'!$C:$C,'[1]GİP VERİLERİ'!$B:$B,A739,'[1]GİP VERİLERİ'!$M:$M,"40X000000104782K",'[1]GİP VERİLERİ'!$G:$G,"SELL")</f>
        <v/>
      </c>
      <c r="U739" s="34">
        <f>IFERROR(W739/T739,0)</f>
        <v/>
      </c>
      <c r="V739" s="34">
        <f>IF(U739=0,0,U739-F739)</f>
        <v/>
      </c>
      <c r="W739" s="34">
        <f>SUMIFS('[1]GİP VERİLERİ'!$O:$O,'[1]GİP VERİLERİ'!$B:$B,A739,'[1]GİP VERİLERİ'!$M:$M,"40X000000104782K",'[1]GİP VERİLERİ'!$G:$G,"SELL")</f>
        <v/>
      </c>
      <c r="X739" s="34">
        <f>SUMIFS('[1]GİP VERİLERİ'!$C:$C,'[1]GİP VERİLERİ'!$B:$B,A739,'[1]GİP VERİLERİ'!$M:$M,"40X000000104782K",'[1]GİP VERİLERİ'!$G:$G,"BUY")</f>
        <v/>
      </c>
      <c r="Y739" s="34">
        <f>IFERROR(AA739/X739,0)</f>
        <v/>
      </c>
      <c r="Z739" s="34">
        <f>IF(Y739=0,0,F739-Y739)</f>
        <v/>
      </c>
      <c r="AA739" s="34">
        <f>SUMIFS('[1]GİP VERİLERİ'!$O:$O,'[1]GİP VERİLERİ'!$B:$B,A739,'[1]GİP VERİLERİ'!$M:$M,"40X000000104782K",'[1]GİP VERİLERİ'!$G:$G,"BUY")</f>
        <v/>
      </c>
      <c r="AB739" s="34">
        <f>'[1]GÖP VERİLERİ'!H740</f>
        <v/>
      </c>
      <c r="AC739" s="34">
        <f>'[1]GÖP VERİLERİ'!I740</f>
        <v/>
      </c>
      <c r="AD739" s="34">
        <f>IF(AB739&gt;AC739*1.05,AB739-AC739*1.05,IF(AB739&lt;AC739*0.95,AC739*0.95-AB739,0))</f>
        <v/>
      </c>
      <c r="AE739" s="34">
        <f>MAX(F739,G739,750)*0.05*AD739</f>
        <v/>
      </c>
      <c r="AF739" s="34">
        <f>'[1]GÖP VERİLERİ'!J740</f>
        <v/>
      </c>
      <c r="AG739" s="34">
        <f>IF(AB739&gt;AF739*1.05,AB739-AF739*1.05,IF(AB739&lt;AF739*0.95,AF739*0.95-AB739,0))</f>
        <v/>
      </c>
      <c r="AH739" s="34">
        <f>MAX(I739,J739,750)*0.05*AG739</f>
        <v/>
      </c>
      <c r="AI739">
        <f>'[1]GÖP VERİLERİ'!E740</f>
        <v/>
      </c>
      <c r="AJ739">
        <f>'[1]GÖP VERİLERİ'!F740</f>
        <v/>
      </c>
      <c r="AK739" s="34">
        <f>IF(AI739&gt;AJ739*1.05,AI739-AJ739*1.05,IF(AI739&lt;AJ739*0.95,AJ739*0.95-AI739,0))</f>
        <v/>
      </c>
      <c r="AL739" s="34">
        <f>MAX(F739,G739,750)*0.05*AK739</f>
        <v/>
      </c>
      <c r="AM739" s="39">
        <f>'[1]GÖP VERİLERİ'!G740</f>
        <v/>
      </c>
      <c r="AN739" s="34">
        <f>IF(AI739&gt;AM739*1.05,AI739-AM739*1.05,IF(AI739&lt;AM739*0.95,AM739*0.95-AI739,0))</f>
        <v/>
      </c>
      <c r="AO739" s="34">
        <f>MAX(F739,G739,750)*0.05*AN739</f>
        <v/>
      </c>
      <c r="AP739" s="34">
        <f>'[1]GÖP VERİLERİ'!B740</f>
        <v/>
      </c>
      <c r="AQ739" s="34">
        <f>'[1]GÖP VERİLERİ'!C740</f>
        <v/>
      </c>
      <c r="AR739" s="34">
        <f>IF(AP739&gt;AQ739*1.05,AP739-AQ739*1.05,IF(AP739&lt;AQ739*0.95,AQ739*0.95-AP739,0))</f>
        <v/>
      </c>
      <c r="AS739" s="34">
        <f>MAX(F739:G739,750)*0.05*AR739</f>
        <v/>
      </c>
      <c r="AT739">
        <f>'[1]GÖP VERİLERİ'!D740</f>
        <v/>
      </c>
      <c r="AU739" s="34">
        <f>IF(AP739&gt;AT739*1.05,AP739-AT739*1.05,IF(AP739&lt;AT739*0.95,AT739*0.95-AP739,0))</f>
        <v/>
      </c>
      <c r="AV739" s="34">
        <f>MAX(F739:G739,750)*0.05*AU739</f>
        <v/>
      </c>
      <c r="AW739" s="34">
        <f>AC739+AJ739+AQ739</f>
        <v/>
      </c>
      <c r="AX739" s="34">
        <f>AF739+AM739+AT739</f>
        <v/>
      </c>
      <c r="AY739" s="34">
        <f>AB739+AI739+AP739</f>
        <v/>
      </c>
      <c r="AZ739" s="34" t="n">
        <v>0</v>
      </c>
      <c r="BA739" s="34">
        <f>AD739+AK739+AR739</f>
        <v/>
      </c>
      <c r="BB739" s="34">
        <f>MAX(F739:G739,750)*0.05*BA739</f>
        <v/>
      </c>
      <c r="BC739" s="34">
        <f>AG739+AN739+AU739</f>
        <v/>
      </c>
      <c r="BD739" s="34">
        <f>MAX(F739:G739,750)*0.05*BC739</f>
        <v/>
      </c>
      <c r="BE739" s="34">
        <f>F739*AY739</f>
        <v/>
      </c>
      <c r="BF739" s="34">
        <f>K739-M739</f>
        <v/>
      </c>
      <c r="BG739" s="34">
        <f>P739-S739</f>
        <v/>
      </c>
      <c r="BH739" s="34">
        <f>W739-AA739</f>
        <v/>
      </c>
      <c r="BI739" s="34">
        <f>BF739+BG739+BL739-BN739</f>
        <v/>
      </c>
      <c r="BJ739" s="34">
        <f>ABS(BK739)</f>
        <v/>
      </c>
      <c r="BK739" s="34">
        <f>AY739-(J739-L739+N739-Q739)</f>
        <v/>
      </c>
      <c r="BL739" s="34">
        <f>IF(AND(BK739&gt;0,MIN($F739:$G739)&lt;150,$E739="Enerji Açığı"),-100*BK739*1.03,IF(AND(BK739&gt;0,MIN($F739:$G739)&lt;150,$E739="Enerji Fazlası"),-100*BK739*1.06,IF(AND(BK739&gt;0,MIN($F739:$G739)&gt;=150,$E739="Enerji Açığı"),BK739*MIN($F739:$G739)*0.97,IF(AND(BK739&gt;0,MIN($F739:$G739)&gt;=150,$E739="Enerji Fazlası"),BK739*MIN($F739:$G739)*0.94,IF(AND(BK739&lt;0,MAX($F739:$G739)=4500,$E739="Enerji Açığı"),4500*1.05*1.06*BK739,IF(AND(BK739&lt;0,MAX($F739:$G739)=4500,$E739="Enerji Fazlası"),4500*1.05*1.03*BK739,IF(AND(BK739&lt;0,$E739="Enerji Açığı"),MAX($F739,$G739,150)*BK739*1.06,IF(AND(BK739&lt;0,$E739="Enerji Fazlası"),MAX($F739,$G739,150)*BK739*1.03,IF(AND(BK739&lt;0,$E739="Dengede"),MAX($F739:$G739,150)*1.03*BK739,MIN($F739:$G739)*0.97*BK739)))))))))</f>
        <v/>
      </c>
      <c r="BM739" s="34">
        <f>BE739-BI739-BN739</f>
        <v/>
      </c>
      <c r="BN739" s="34">
        <f>BB739</f>
        <v/>
      </c>
      <c r="BO739" s="34">
        <f>BE739-BI739</f>
        <v/>
      </c>
      <c r="BP739" s="34">
        <f>IF(AY739=0,0,BO739/AY739)</f>
        <v/>
      </c>
      <c r="BQ739" s="34">
        <f>MAX((AY739+MAX((-J739+L739-N739+Q739),0)),(MAX((J739-L739+N739-Q739),0)))</f>
        <v/>
      </c>
      <c r="BR739" s="82">
        <f>IFERROR(ABS(BK739/BQ739),0)</f>
        <v/>
      </c>
      <c r="BS739" s="34">
        <f>IF(BR739&lt;=0.1,0,BK739/BR739*(BR739-0.1))</f>
        <v/>
      </c>
      <c r="BT739" s="34">
        <f>IF((BS739)&lt;0,MAX(F739:G739)*(BS739)*1.03,MIN(F739:G739)*(BS739)*0.97)</f>
        <v/>
      </c>
      <c r="BU739" s="34">
        <f>IF(BR739&gt;0.1,1,0)</f>
        <v/>
      </c>
      <c r="BV739" s="34">
        <f>BF739+BG739+BH739+BY739-CA739</f>
        <v/>
      </c>
      <c r="BW739" s="34">
        <f>ABS(BX739)</f>
        <v/>
      </c>
      <c r="BX739" s="34">
        <f>AY739-(J739-L739+N739-Q739+T739-X739)</f>
        <v/>
      </c>
      <c r="BY739" s="34">
        <f>IF(AND(BX739&gt;0,MIN($F739:$G739)&lt;150,$E739="Enerji Açığı"),-100*BX739*1.03,IF(AND(BX739&gt;0,MIN($F739:$G739)&lt;150,$E739="Enerji Fazlası"),-100*BX739*1.06,IF(AND(BX739&gt;0,MIN($F739:$G739)&gt;=150,$E739="Enerji Açığı"),BX739*MIN($F739:$G739)*0.97,IF(AND(BX739&gt;0,MIN($F739:$G739)&gt;=150,$E739="Enerji Fazlası"),BX739*MIN($F739:$G739)*0.94,IF(AND(BX739&lt;0,MAX($F739:$G739)=4500,$E739="Enerji Açığı"),4500*1.05*1.06*BX739,IF(AND(BX739&lt;0,MAX($F739:$G739)=4500,$E739="Enerji Fazlası"),4500*1.05*1.03*BX739,IF(AND(BX739&lt;0,$E739="Enerji Açığı"),MAX($F739,$G739,150)*BX739*1.06,IF(AND(BX739&lt;0,$E739="Enerji Fazlası"),MAX($F739,$G739,150)*BX739*1.03,IF(AND(BX739&lt;0,$E739="Dengede"),MAX($F739:$G739,150)*1.03*BX739,MIN($F739:$G739)*0.97*BX739)))))))))</f>
        <v/>
      </c>
      <c r="BZ739" s="34">
        <f>BE739-BV739-CA739</f>
        <v/>
      </c>
      <c r="CA739" s="34">
        <f>BD739</f>
        <v/>
      </c>
      <c r="CB739" s="33">
        <f>BE739-BV739</f>
        <v/>
      </c>
      <c r="CC739" s="34">
        <f>IF(AY739=0,0,CB739/AY739)</f>
        <v/>
      </c>
      <c r="CD739" s="34">
        <f>MAX((AY739+MAX((-J739+L739-N739+Q739-T739+X739),0)),(MAX((J739-L739+N739-Q739+T739-X739),0)))</f>
        <v/>
      </c>
      <c r="CE739" s="82">
        <f>IFERROR(ABS(BX739/CD739),0)</f>
        <v/>
      </c>
      <c r="CF739" s="34">
        <f>IF(CE739&lt;=0.1,0,BX739/CE739*(CE739-0.1))</f>
        <v/>
      </c>
      <c r="CG739" s="34">
        <f>IF((CF739)&lt;0,MAX(F739:G739)*(CF739)*1.03,MIN(F739:G739)*(CF739)*0.97)</f>
        <v/>
      </c>
      <c r="CH739" s="34">
        <f>IF(CE739&gt;0.1,1,0)</f>
        <v/>
      </c>
      <c r="CI739" s="34">
        <f>(F739*BX739)-BY739</f>
        <v/>
      </c>
      <c r="CJ739" s="34">
        <f>IF(AY739=0,0,CI739/AY739)</f>
        <v/>
      </c>
    </row>
    <row r="740">
      <c r="A740" s="29">
        <f>[1]FİYATLAR!A715</f>
        <v/>
      </c>
      <c r="B740" s="29">
        <f>[1]FİYATLAR!B739</f>
        <v/>
      </c>
      <c r="C740" s="35">
        <f>INT(A740)</f>
        <v/>
      </c>
      <c r="D740" s="36">
        <f>MONTH(A740)</f>
        <v/>
      </c>
      <c r="E740" s="147">
        <f>[1]FİYATLAR!G715</f>
        <v/>
      </c>
      <c r="F740" s="30">
        <f>[1]FİYATLAR!C715</f>
        <v/>
      </c>
      <c r="G740" s="30">
        <f>[1]FİYATLAR!E715</f>
        <v/>
      </c>
      <c r="H740" s="30">
        <f>[1]FİYATLAR!D715</f>
        <v/>
      </c>
      <c r="I740" s="30">
        <f>[1]FİYATLAR!F715</f>
        <v/>
      </c>
      <c r="J740" s="119" t="n">
        <v>0</v>
      </c>
      <c r="K740" s="34">
        <f>F740*J740</f>
        <v/>
      </c>
      <c r="L740" s="119" t="n"/>
      <c r="M740" s="34">
        <f>L740*F740</f>
        <v/>
      </c>
      <c r="N740" s="119" t="n"/>
      <c r="O740" s="34">
        <f>F740</f>
        <v/>
      </c>
      <c r="P740" s="34">
        <f>N740*O740</f>
        <v/>
      </c>
      <c r="Q740" s="117" t="n">
        <v>0</v>
      </c>
      <c r="R740" s="34">
        <f>F740</f>
        <v/>
      </c>
      <c r="S740" s="34">
        <f>R740*Q740</f>
        <v/>
      </c>
      <c r="T740" s="34">
        <f>SUMIFS('[1]GİP VERİLERİ'!$C:$C,'[1]GİP VERİLERİ'!$B:$B,A740,'[1]GİP VERİLERİ'!$M:$M,"40X000000104782K",'[1]GİP VERİLERİ'!$G:$G,"SELL")</f>
        <v/>
      </c>
      <c r="U740" s="34">
        <f>IFERROR(W740/T740,0)</f>
        <v/>
      </c>
      <c r="V740" s="34">
        <f>IF(U740=0,0,U740-F740)</f>
        <v/>
      </c>
      <c r="W740" s="34">
        <f>SUMIFS('[1]GİP VERİLERİ'!$O:$O,'[1]GİP VERİLERİ'!$B:$B,A740,'[1]GİP VERİLERİ'!$M:$M,"40X000000104782K",'[1]GİP VERİLERİ'!$G:$G,"SELL")</f>
        <v/>
      </c>
      <c r="X740" s="34">
        <f>SUMIFS('[1]GİP VERİLERİ'!$C:$C,'[1]GİP VERİLERİ'!$B:$B,A740,'[1]GİP VERİLERİ'!$M:$M,"40X000000104782K",'[1]GİP VERİLERİ'!$G:$G,"BUY")</f>
        <v/>
      </c>
      <c r="Y740" s="34">
        <f>IFERROR(AA740/X740,0)</f>
        <v/>
      </c>
      <c r="Z740" s="34">
        <f>IF(Y740=0,0,F740-Y740)</f>
        <v/>
      </c>
      <c r="AA740" s="34">
        <f>SUMIFS('[1]GİP VERİLERİ'!$O:$O,'[1]GİP VERİLERİ'!$B:$B,A740,'[1]GİP VERİLERİ'!$M:$M,"40X000000104782K",'[1]GİP VERİLERİ'!$G:$G,"BUY")</f>
        <v/>
      </c>
      <c r="AB740" s="34">
        <f>'[1]GÖP VERİLERİ'!H741</f>
        <v/>
      </c>
      <c r="AC740" s="34">
        <f>'[1]GÖP VERİLERİ'!I741</f>
        <v/>
      </c>
      <c r="AD740" s="34">
        <f>IF(AB740&gt;AC740*1.05,AB740-AC740*1.05,IF(AB740&lt;AC740*0.95,AC740*0.95-AB740,0))</f>
        <v/>
      </c>
      <c r="AE740" s="34">
        <f>MAX(F740,G740,750)*0.05*AD740</f>
        <v/>
      </c>
      <c r="AF740" s="34">
        <f>'[1]GÖP VERİLERİ'!J741</f>
        <v/>
      </c>
      <c r="AG740" s="34">
        <f>IF(AB740&gt;AF740*1.05,AB740-AF740*1.05,IF(AB740&lt;AF740*0.95,AF740*0.95-AB740,0))</f>
        <v/>
      </c>
      <c r="AH740" s="34">
        <f>MAX(I740,J740,750)*0.05*AG740</f>
        <v/>
      </c>
      <c r="AI740">
        <f>'[1]GÖP VERİLERİ'!E741</f>
        <v/>
      </c>
      <c r="AJ740">
        <f>'[1]GÖP VERİLERİ'!F741</f>
        <v/>
      </c>
      <c r="AK740" s="34">
        <f>IF(AI740&gt;AJ740*1.05,AI740-AJ740*1.05,IF(AI740&lt;AJ740*0.95,AJ740*0.95-AI740,0))</f>
        <v/>
      </c>
      <c r="AL740" s="34">
        <f>MAX(F740,G740,750)*0.05*AK740</f>
        <v/>
      </c>
      <c r="AM740" s="39">
        <f>'[1]GÖP VERİLERİ'!G741</f>
        <v/>
      </c>
      <c r="AN740" s="34">
        <f>IF(AI740&gt;AM740*1.05,AI740-AM740*1.05,IF(AI740&lt;AM740*0.95,AM740*0.95-AI740,0))</f>
        <v/>
      </c>
      <c r="AO740" s="34">
        <f>MAX(F740,G740,750)*0.05*AN740</f>
        <v/>
      </c>
      <c r="AP740" s="34">
        <f>'[1]GÖP VERİLERİ'!B741</f>
        <v/>
      </c>
      <c r="AQ740" s="34">
        <f>'[1]GÖP VERİLERİ'!C741</f>
        <v/>
      </c>
      <c r="AR740" s="34">
        <f>IF(AP740&gt;AQ740*1.05,AP740-AQ740*1.05,IF(AP740&lt;AQ740*0.95,AQ740*0.95-AP740,0))</f>
        <v/>
      </c>
      <c r="AS740" s="34">
        <f>MAX(F740:G740,750)*0.05*AR740</f>
        <v/>
      </c>
      <c r="AT740">
        <f>'[1]GÖP VERİLERİ'!D741</f>
        <v/>
      </c>
      <c r="AU740" s="34">
        <f>IF(AP740&gt;AT740*1.05,AP740-AT740*1.05,IF(AP740&lt;AT740*0.95,AT740*0.95-AP740,0))</f>
        <v/>
      </c>
      <c r="AV740" s="34">
        <f>MAX(F740:G740,750)*0.05*AU740</f>
        <v/>
      </c>
      <c r="AW740" s="34">
        <f>AC740+AJ740+AQ740</f>
        <v/>
      </c>
      <c r="AX740" s="34">
        <f>AF740+AM740+AT740</f>
        <v/>
      </c>
      <c r="AY740" s="34">
        <f>AB740+AI740+AP740</f>
        <v/>
      </c>
      <c r="AZ740" s="34" t="n">
        <v>0</v>
      </c>
      <c r="BA740" s="34">
        <f>AD740+AK740+AR740</f>
        <v/>
      </c>
      <c r="BB740" s="34">
        <f>MAX(F740:G740,750)*0.05*BA740</f>
        <v/>
      </c>
      <c r="BC740" s="34">
        <f>AG740+AN740+AU740</f>
        <v/>
      </c>
      <c r="BD740" s="34">
        <f>MAX(F740:G740,750)*0.05*BC740</f>
        <v/>
      </c>
      <c r="BE740" s="34">
        <f>F740*AY740</f>
        <v/>
      </c>
      <c r="BF740" s="34">
        <f>K740-M740</f>
        <v/>
      </c>
      <c r="BG740" s="34">
        <f>P740-S740</f>
        <v/>
      </c>
      <c r="BH740" s="34">
        <f>W740-AA740</f>
        <v/>
      </c>
      <c r="BI740" s="34">
        <f>BF740+BG740+BL740-BN740</f>
        <v/>
      </c>
      <c r="BJ740" s="34">
        <f>ABS(BK740)</f>
        <v/>
      </c>
      <c r="BK740" s="34">
        <f>AY740-(J740-L740+N740-Q740)</f>
        <v/>
      </c>
      <c r="BL740" s="34">
        <f>IF(AND(BK740&gt;0,MIN($F740:$G740)&lt;150,$E740="Enerji Açığı"),-100*BK740*1.03,IF(AND(BK740&gt;0,MIN($F740:$G740)&lt;150,$E740="Enerji Fazlası"),-100*BK740*1.06,IF(AND(BK740&gt;0,MIN($F740:$G740)&gt;=150,$E740="Enerji Açığı"),BK740*MIN($F740:$G740)*0.97,IF(AND(BK740&gt;0,MIN($F740:$G740)&gt;=150,$E740="Enerji Fazlası"),BK740*MIN($F740:$G740)*0.94,IF(AND(BK740&lt;0,MAX($F740:$G740)=4500,$E740="Enerji Açığı"),4500*1.05*1.06*BK740,IF(AND(BK740&lt;0,MAX($F740:$G740)=4500,$E740="Enerji Fazlası"),4500*1.05*1.03*BK740,IF(AND(BK740&lt;0,$E740="Enerji Açığı"),MAX($F740,$G740,150)*BK740*1.06,IF(AND(BK740&lt;0,$E740="Enerji Fazlası"),MAX($F740,$G740,150)*BK740*1.03,IF(AND(BK740&lt;0,$E740="Dengede"),MAX($F740:$G740,150)*1.03*BK740,MIN($F740:$G740)*0.97*BK740)))))))))</f>
        <v/>
      </c>
      <c r="BM740" s="34">
        <f>BE740-BI740-BN740</f>
        <v/>
      </c>
      <c r="BN740" s="34">
        <f>BB740</f>
        <v/>
      </c>
      <c r="BO740" s="34">
        <f>BE740-BI740</f>
        <v/>
      </c>
      <c r="BP740" s="34">
        <f>IF(AY740=0,0,BO740/AY740)</f>
        <v/>
      </c>
      <c r="BQ740" s="34">
        <f>MAX((AY740+MAX((-J740+L740-N740+Q740),0)),(MAX((J740-L740+N740-Q740),0)))</f>
        <v/>
      </c>
      <c r="BR740" s="82">
        <f>IFERROR(ABS(BK740/BQ740),0)</f>
        <v/>
      </c>
      <c r="BS740" s="34">
        <f>IF(BR740&lt;=0.1,0,BK740/BR740*(BR740-0.1))</f>
        <v/>
      </c>
      <c r="BT740" s="34">
        <f>IF((BS740)&lt;0,MAX(F740:G740)*(BS740)*1.03,MIN(F740:G740)*(BS740)*0.97)</f>
        <v/>
      </c>
      <c r="BU740" s="34">
        <f>IF(BR740&gt;0.1,1,0)</f>
        <v/>
      </c>
      <c r="BV740" s="34">
        <f>BF740+BG740+BH740+BY740-CA740</f>
        <v/>
      </c>
      <c r="BW740" s="34">
        <f>ABS(BX740)</f>
        <v/>
      </c>
      <c r="BX740" s="34">
        <f>AY740-(J740-L740+N740-Q740+T740-X740)</f>
        <v/>
      </c>
      <c r="BY740" s="34">
        <f>IF(AND(BX740&gt;0,MIN($F740:$G740)&lt;150,$E740="Enerji Açığı"),-100*BX740*1.03,IF(AND(BX740&gt;0,MIN($F740:$G740)&lt;150,$E740="Enerji Fazlası"),-100*BX740*1.06,IF(AND(BX740&gt;0,MIN($F740:$G740)&gt;=150,$E740="Enerji Açığı"),BX740*MIN($F740:$G740)*0.97,IF(AND(BX740&gt;0,MIN($F740:$G740)&gt;=150,$E740="Enerji Fazlası"),BX740*MIN($F740:$G740)*0.94,IF(AND(BX740&lt;0,MAX($F740:$G740)=4500,$E740="Enerji Açığı"),4500*1.05*1.06*BX740,IF(AND(BX740&lt;0,MAX($F740:$G740)=4500,$E740="Enerji Fazlası"),4500*1.05*1.03*BX740,IF(AND(BX740&lt;0,$E740="Enerji Açığı"),MAX($F740,$G740,150)*BX740*1.06,IF(AND(BX740&lt;0,$E740="Enerji Fazlası"),MAX($F740,$G740,150)*BX740*1.03,IF(AND(BX740&lt;0,$E740="Dengede"),MAX($F740:$G740,150)*1.03*BX740,MIN($F740:$G740)*0.97*BX740)))))))))</f>
        <v/>
      </c>
      <c r="BZ740" s="34">
        <f>BE740-BV740-CA740</f>
        <v/>
      </c>
      <c r="CA740" s="34">
        <f>BD740</f>
        <v/>
      </c>
      <c r="CB740" s="33">
        <f>BE740-BV740</f>
        <v/>
      </c>
      <c r="CC740" s="34">
        <f>IF(AY740=0,0,CB740/AY740)</f>
        <v/>
      </c>
      <c r="CD740" s="34">
        <f>MAX((AY740+MAX((-J740+L740-N740+Q740-T740+X740),0)),(MAX((J740-L740+N740-Q740+T740-X740),0)))</f>
        <v/>
      </c>
      <c r="CE740" s="82">
        <f>IFERROR(ABS(BX740/CD740),0)</f>
        <v/>
      </c>
      <c r="CF740" s="34">
        <f>IF(CE740&lt;=0.1,0,BX740/CE740*(CE740-0.1))</f>
        <v/>
      </c>
      <c r="CG740" s="34">
        <f>IF((CF740)&lt;0,MAX(F740:G740)*(CF740)*1.03,MIN(F740:G740)*(CF740)*0.97)</f>
        <v/>
      </c>
      <c r="CH740" s="34">
        <f>IF(CE740&gt;0.1,1,0)</f>
        <v/>
      </c>
      <c r="CI740" s="34">
        <f>(F740*BX740)-BY740</f>
        <v/>
      </c>
      <c r="CJ740" s="34">
        <f>IF(AY740=0,0,CI740/AY740)</f>
        <v/>
      </c>
    </row>
    <row r="741">
      <c r="A741" s="29">
        <f>[1]FİYATLAR!A716</f>
        <v/>
      </c>
      <c r="B741" s="29">
        <f>[1]FİYATLAR!B740</f>
        <v/>
      </c>
      <c r="C741" s="35">
        <f>INT(A741)</f>
        <v/>
      </c>
      <c r="D741" s="36">
        <f>MONTH(A741)</f>
        <v/>
      </c>
      <c r="E741" s="147">
        <f>[1]FİYATLAR!G716</f>
        <v/>
      </c>
      <c r="F741" s="30">
        <f>[1]FİYATLAR!C716</f>
        <v/>
      </c>
      <c r="G741" s="30">
        <f>[1]FİYATLAR!E716</f>
        <v/>
      </c>
      <c r="H741" s="30">
        <f>[1]FİYATLAR!D716</f>
        <v/>
      </c>
      <c r="I741" s="30">
        <f>[1]FİYATLAR!F716</f>
        <v/>
      </c>
      <c r="J741" s="119" t="n">
        <v>0</v>
      </c>
      <c r="K741" s="34">
        <f>F741*J741</f>
        <v/>
      </c>
      <c r="L741" s="119" t="n"/>
      <c r="M741" s="34">
        <f>L741*F741</f>
        <v/>
      </c>
      <c r="N741" s="119" t="n"/>
      <c r="O741" s="34">
        <f>F741</f>
        <v/>
      </c>
      <c r="P741" s="34">
        <f>N741*O741</f>
        <v/>
      </c>
      <c r="Q741" s="117" t="n">
        <v>0</v>
      </c>
      <c r="R741" s="34">
        <f>F741</f>
        <v/>
      </c>
      <c r="S741" s="34">
        <f>R741*Q741</f>
        <v/>
      </c>
      <c r="T741" s="34">
        <f>SUMIFS('[1]GİP VERİLERİ'!$C:$C,'[1]GİP VERİLERİ'!$B:$B,A741,'[1]GİP VERİLERİ'!$M:$M,"40X000000104782K",'[1]GİP VERİLERİ'!$G:$G,"SELL")</f>
        <v/>
      </c>
      <c r="U741" s="34">
        <f>IFERROR(W741/T741,0)</f>
        <v/>
      </c>
      <c r="V741" s="34">
        <f>IF(U741=0,0,U741-F741)</f>
        <v/>
      </c>
      <c r="W741" s="34">
        <f>SUMIFS('[1]GİP VERİLERİ'!$O:$O,'[1]GİP VERİLERİ'!$B:$B,A741,'[1]GİP VERİLERİ'!$M:$M,"40X000000104782K",'[1]GİP VERİLERİ'!$G:$G,"SELL")</f>
        <v/>
      </c>
      <c r="X741" s="34">
        <f>SUMIFS('[1]GİP VERİLERİ'!$C:$C,'[1]GİP VERİLERİ'!$B:$B,A741,'[1]GİP VERİLERİ'!$M:$M,"40X000000104782K",'[1]GİP VERİLERİ'!$G:$G,"BUY")</f>
        <v/>
      </c>
      <c r="Y741" s="34">
        <f>IFERROR(AA741/X741,0)</f>
        <v/>
      </c>
      <c r="Z741" s="34">
        <f>IF(Y741=0,0,F741-Y741)</f>
        <v/>
      </c>
      <c r="AA741" s="34">
        <f>SUMIFS('[1]GİP VERİLERİ'!$O:$O,'[1]GİP VERİLERİ'!$B:$B,A741,'[1]GİP VERİLERİ'!$M:$M,"40X000000104782K",'[1]GİP VERİLERİ'!$G:$G,"BUY")</f>
        <v/>
      </c>
      <c r="AB741" s="34">
        <f>'[1]GÖP VERİLERİ'!H742</f>
        <v/>
      </c>
      <c r="AC741" s="34">
        <f>'[1]GÖP VERİLERİ'!I742</f>
        <v/>
      </c>
      <c r="AD741" s="34">
        <f>IF(AB741&gt;AC741*1.05,AB741-AC741*1.05,IF(AB741&lt;AC741*0.95,AC741*0.95-AB741,0))</f>
        <v/>
      </c>
      <c r="AE741" s="34">
        <f>MAX(F741,G741,750)*0.05*AD741</f>
        <v/>
      </c>
      <c r="AF741" s="34">
        <f>'[1]GÖP VERİLERİ'!J742</f>
        <v/>
      </c>
      <c r="AG741" s="34">
        <f>IF(AB741&gt;AF741*1.05,AB741-AF741*1.05,IF(AB741&lt;AF741*0.95,AF741*0.95-AB741,0))</f>
        <v/>
      </c>
      <c r="AH741" s="34">
        <f>MAX(I741,J741,750)*0.05*AG741</f>
        <v/>
      </c>
      <c r="AI741">
        <f>'[1]GÖP VERİLERİ'!E742</f>
        <v/>
      </c>
      <c r="AJ741">
        <f>'[1]GÖP VERİLERİ'!F742</f>
        <v/>
      </c>
      <c r="AK741" s="34">
        <f>IF(AI741&gt;AJ741*1.05,AI741-AJ741*1.05,IF(AI741&lt;AJ741*0.95,AJ741*0.95-AI741,0))</f>
        <v/>
      </c>
      <c r="AL741" s="34">
        <f>MAX(F741,G741,750)*0.05*AK741</f>
        <v/>
      </c>
      <c r="AM741" s="39">
        <f>'[1]GÖP VERİLERİ'!G742</f>
        <v/>
      </c>
      <c r="AN741" s="34">
        <f>IF(AI741&gt;AM741*1.05,AI741-AM741*1.05,IF(AI741&lt;AM741*0.95,AM741*0.95-AI741,0))</f>
        <v/>
      </c>
      <c r="AO741" s="34">
        <f>MAX(F741,G741,750)*0.05*AN741</f>
        <v/>
      </c>
      <c r="AP741" s="34">
        <f>'[1]GÖP VERİLERİ'!B742</f>
        <v/>
      </c>
      <c r="AQ741" s="34">
        <f>'[1]GÖP VERİLERİ'!C742</f>
        <v/>
      </c>
      <c r="AR741" s="34">
        <f>IF(AP741&gt;AQ741*1.05,AP741-AQ741*1.05,IF(AP741&lt;AQ741*0.95,AQ741*0.95-AP741,0))</f>
        <v/>
      </c>
      <c r="AS741" s="34">
        <f>MAX(F741:G741,750)*0.05*AR741</f>
        <v/>
      </c>
      <c r="AT741">
        <f>'[1]GÖP VERİLERİ'!D742</f>
        <v/>
      </c>
      <c r="AU741" s="34">
        <f>IF(AP741&gt;AT741*1.05,AP741-AT741*1.05,IF(AP741&lt;AT741*0.95,AT741*0.95-AP741,0))</f>
        <v/>
      </c>
      <c r="AV741" s="34">
        <f>MAX(F741:G741,750)*0.05*AU741</f>
        <v/>
      </c>
      <c r="AW741" s="34">
        <f>AC741+AJ741+AQ741</f>
        <v/>
      </c>
      <c r="AX741" s="34">
        <f>AF741+AM741+AT741</f>
        <v/>
      </c>
      <c r="AY741" s="34">
        <f>AB741+AI741+AP741</f>
        <v/>
      </c>
      <c r="AZ741" s="34" t="n">
        <v>0</v>
      </c>
      <c r="BA741" s="34">
        <f>AD741+AK741+AR741</f>
        <v/>
      </c>
      <c r="BB741" s="34">
        <f>MAX(F741:G741,750)*0.05*BA741</f>
        <v/>
      </c>
      <c r="BC741" s="34">
        <f>AG741+AN741+AU741</f>
        <v/>
      </c>
      <c r="BD741" s="34">
        <f>MAX(F741:G741,750)*0.05*BC741</f>
        <v/>
      </c>
      <c r="BE741" s="34">
        <f>F741*AY741</f>
        <v/>
      </c>
      <c r="BF741" s="34">
        <f>K741-M741</f>
        <v/>
      </c>
      <c r="BG741" s="34">
        <f>P741-S741</f>
        <v/>
      </c>
      <c r="BH741" s="34">
        <f>W741-AA741</f>
        <v/>
      </c>
      <c r="BI741" s="34">
        <f>BF741+BG741+BL741-BN741</f>
        <v/>
      </c>
      <c r="BJ741" s="34">
        <f>ABS(BK741)</f>
        <v/>
      </c>
      <c r="BK741" s="34">
        <f>AY741-(J741-L741+N741-Q741)</f>
        <v/>
      </c>
      <c r="BL741" s="34">
        <f>IF(AND(BK741&gt;0,MIN($F741:$G741)&lt;150,$E741="Enerji Açığı"),-100*BK741*1.03,IF(AND(BK741&gt;0,MIN($F741:$G741)&lt;150,$E741="Enerji Fazlası"),-100*BK741*1.06,IF(AND(BK741&gt;0,MIN($F741:$G741)&gt;=150,$E741="Enerji Açığı"),BK741*MIN($F741:$G741)*0.97,IF(AND(BK741&gt;0,MIN($F741:$G741)&gt;=150,$E741="Enerji Fazlası"),BK741*MIN($F741:$G741)*0.94,IF(AND(BK741&lt;0,MAX($F741:$G741)=4500,$E741="Enerji Açığı"),4500*1.05*1.06*BK741,IF(AND(BK741&lt;0,MAX($F741:$G741)=4500,$E741="Enerji Fazlası"),4500*1.05*1.03*BK741,IF(AND(BK741&lt;0,$E741="Enerji Açığı"),MAX($F741,$G741,150)*BK741*1.06,IF(AND(BK741&lt;0,$E741="Enerji Fazlası"),MAX($F741,$G741,150)*BK741*1.03,IF(AND(BK741&lt;0,$E741="Dengede"),MAX($F741:$G741,150)*1.03*BK741,MIN($F741:$G741)*0.97*BK741)))))))))</f>
        <v/>
      </c>
      <c r="BM741" s="34">
        <f>BE741-BI741-BN741</f>
        <v/>
      </c>
      <c r="BN741" s="34">
        <f>BB741</f>
        <v/>
      </c>
      <c r="BO741" s="34">
        <f>BE741-BI741</f>
        <v/>
      </c>
      <c r="BP741" s="34">
        <f>IF(AY741=0,0,BO741/AY741)</f>
        <v/>
      </c>
      <c r="BQ741" s="34">
        <f>MAX((AY741+MAX((-J741+L741-N741+Q741),0)),(MAX((J741-L741+N741-Q741),0)))</f>
        <v/>
      </c>
      <c r="BR741" s="82">
        <f>IFERROR(ABS(BK741/BQ741),0)</f>
        <v/>
      </c>
      <c r="BS741" s="34">
        <f>IF(BR741&lt;=0.1,0,BK741/BR741*(BR741-0.1))</f>
        <v/>
      </c>
      <c r="BT741" s="34">
        <f>IF((BS741)&lt;0,MAX(F741:G741)*(BS741)*1.03,MIN(F741:G741)*(BS741)*0.97)</f>
        <v/>
      </c>
      <c r="BU741" s="34">
        <f>IF(BR741&gt;0.1,1,0)</f>
        <v/>
      </c>
      <c r="BV741" s="34">
        <f>BF741+BG741+BH741+BY741-CA741</f>
        <v/>
      </c>
      <c r="BW741" s="34">
        <f>ABS(BX741)</f>
        <v/>
      </c>
      <c r="BX741" s="34">
        <f>AY741-(J741-L741+N741-Q741+T741-X741)</f>
        <v/>
      </c>
      <c r="BY741" s="34">
        <f>IF(AND(BX741&gt;0,MIN($F741:$G741)&lt;150,$E741="Enerji Açığı"),-100*BX741*1.03,IF(AND(BX741&gt;0,MIN($F741:$G741)&lt;150,$E741="Enerji Fazlası"),-100*BX741*1.06,IF(AND(BX741&gt;0,MIN($F741:$G741)&gt;=150,$E741="Enerji Açığı"),BX741*MIN($F741:$G741)*0.97,IF(AND(BX741&gt;0,MIN($F741:$G741)&gt;=150,$E741="Enerji Fazlası"),BX741*MIN($F741:$G741)*0.94,IF(AND(BX741&lt;0,MAX($F741:$G741)=4500,$E741="Enerji Açığı"),4500*1.05*1.06*BX741,IF(AND(BX741&lt;0,MAX($F741:$G741)=4500,$E741="Enerji Fazlası"),4500*1.05*1.03*BX741,IF(AND(BX741&lt;0,$E741="Enerji Açığı"),MAX($F741,$G741,150)*BX741*1.06,IF(AND(BX741&lt;0,$E741="Enerji Fazlası"),MAX($F741,$G741,150)*BX741*1.03,IF(AND(BX741&lt;0,$E741="Dengede"),MAX($F741:$G741,150)*1.03*BX741,MIN($F741:$G741)*0.97*BX741)))))))))</f>
        <v/>
      </c>
      <c r="BZ741" s="34">
        <f>BE741-BV741-CA741</f>
        <v/>
      </c>
      <c r="CA741" s="34">
        <f>BD741</f>
        <v/>
      </c>
      <c r="CB741" s="33">
        <f>BE741-BV741</f>
        <v/>
      </c>
      <c r="CC741" s="34">
        <f>IF(AY741=0,0,CB741/AY741)</f>
        <v/>
      </c>
      <c r="CD741" s="34">
        <f>MAX((AY741+MAX((-J741+L741-N741+Q741-T741+X741),0)),(MAX((J741-L741+N741-Q741+T741-X741),0)))</f>
        <v/>
      </c>
      <c r="CE741" s="82">
        <f>IFERROR(ABS(BX741/CD741),0)</f>
        <v/>
      </c>
      <c r="CF741" s="34">
        <f>IF(CE741&lt;=0.1,0,BX741/CE741*(CE741-0.1))</f>
        <v/>
      </c>
      <c r="CG741" s="34">
        <f>IF((CF741)&lt;0,MAX(F741:G741)*(CF741)*1.03,MIN(F741:G741)*(CF741)*0.97)</f>
        <v/>
      </c>
      <c r="CH741" s="34">
        <f>IF(CE741&gt;0.1,1,0)</f>
        <v/>
      </c>
      <c r="CI741" s="34">
        <f>(F741*BX741)-BY741</f>
        <v/>
      </c>
      <c r="CJ741" s="34">
        <f>IF(AY741=0,0,CI741/AY741)</f>
        <v/>
      </c>
    </row>
    <row r="742">
      <c r="A742" s="29">
        <f>[1]FİYATLAR!A717</f>
        <v/>
      </c>
      <c r="B742" s="29">
        <f>[1]FİYATLAR!B741</f>
        <v/>
      </c>
      <c r="C742" s="35">
        <f>INT(A742)</f>
        <v/>
      </c>
      <c r="D742" s="36">
        <f>MONTH(A742)</f>
        <v/>
      </c>
      <c r="E742" s="147">
        <f>[1]FİYATLAR!G717</f>
        <v/>
      </c>
      <c r="F742" s="30">
        <f>[1]FİYATLAR!C717</f>
        <v/>
      </c>
      <c r="G742" s="30">
        <f>[1]FİYATLAR!E717</f>
        <v/>
      </c>
      <c r="H742" s="30">
        <f>[1]FİYATLAR!D717</f>
        <v/>
      </c>
      <c r="I742" s="30">
        <f>[1]FİYATLAR!F717</f>
        <v/>
      </c>
      <c r="J742" s="119" t="n">
        <v>0</v>
      </c>
      <c r="K742" s="34">
        <f>F742*J742</f>
        <v/>
      </c>
      <c r="L742" s="119" t="n"/>
      <c r="M742" s="34">
        <f>L742*F742</f>
        <v/>
      </c>
      <c r="N742" s="119" t="n"/>
      <c r="O742" s="34">
        <f>F742</f>
        <v/>
      </c>
      <c r="P742" s="34">
        <f>N742*O742</f>
        <v/>
      </c>
      <c r="Q742" s="117" t="n">
        <v>0</v>
      </c>
      <c r="R742" s="34">
        <f>F742</f>
        <v/>
      </c>
      <c r="S742" s="34">
        <f>R742*Q742</f>
        <v/>
      </c>
      <c r="T742" s="34">
        <f>SUMIFS('[1]GİP VERİLERİ'!$C:$C,'[1]GİP VERİLERİ'!$B:$B,A742,'[1]GİP VERİLERİ'!$M:$M,"40X000000104782K",'[1]GİP VERİLERİ'!$G:$G,"SELL")</f>
        <v/>
      </c>
      <c r="U742" s="34">
        <f>IFERROR(W742/T742,0)</f>
        <v/>
      </c>
      <c r="V742" s="34">
        <f>IF(U742=0,0,U742-F742)</f>
        <v/>
      </c>
      <c r="W742" s="34">
        <f>SUMIFS('[1]GİP VERİLERİ'!$O:$O,'[1]GİP VERİLERİ'!$B:$B,A742,'[1]GİP VERİLERİ'!$M:$M,"40X000000104782K",'[1]GİP VERİLERİ'!$G:$G,"SELL")</f>
        <v/>
      </c>
      <c r="X742" s="34">
        <f>SUMIFS('[1]GİP VERİLERİ'!$C:$C,'[1]GİP VERİLERİ'!$B:$B,A742,'[1]GİP VERİLERİ'!$M:$M,"40X000000104782K",'[1]GİP VERİLERİ'!$G:$G,"BUY")</f>
        <v/>
      </c>
      <c r="Y742" s="34">
        <f>IFERROR(AA742/X742,0)</f>
        <v/>
      </c>
      <c r="Z742" s="34">
        <f>IF(Y742=0,0,F742-Y742)</f>
        <v/>
      </c>
      <c r="AA742" s="34">
        <f>SUMIFS('[1]GİP VERİLERİ'!$O:$O,'[1]GİP VERİLERİ'!$B:$B,A742,'[1]GİP VERİLERİ'!$M:$M,"40X000000104782K",'[1]GİP VERİLERİ'!$G:$G,"BUY")</f>
        <v/>
      </c>
      <c r="AB742" s="34">
        <f>'[1]GÖP VERİLERİ'!H743</f>
        <v/>
      </c>
      <c r="AC742" s="34">
        <f>'[1]GÖP VERİLERİ'!I743</f>
        <v/>
      </c>
      <c r="AD742" s="34">
        <f>IF(AB742&gt;AC742*1.05,AB742-AC742*1.05,IF(AB742&lt;AC742*0.95,AC742*0.95-AB742,0))</f>
        <v/>
      </c>
      <c r="AE742" s="34">
        <f>MAX(F742,G742,750)*0.05*AD742</f>
        <v/>
      </c>
      <c r="AF742" s="34">
        <f>'[1]GÖP VERİLERİ'!J743</f>
        <v/>
      </c>
      <c r="AG742" s="34">
        <f>IF(AB742&gt;AF742*1.05,AB742-AF742*1.05,IF(AB742&lt;AF742*0.95,AF742*0.95-AB742,0))</f>
        <v/>
      </c>
      <c r="AH742" s="34">
        <f>MAX(I742,J742,750)*0.05*AG742</f>
        <v/>
      </c>
      <c r="AI742">
        <f>'[1]GÖP VERİLERİ'!E743</f>
        <v/>
      </c>
      <c r="AJ742">
        <f>'[1]GÖP VERİLERİ'!F743</f>
        <v/>
      </c>
      <c r="AK742" s="34">
        <f>IF(AI742&gt;AJ742*1.05,AI742-AJ742*1.05,IF(AI742&lt;AJ742*0.95,AJ742*0.95-AI742,0))</f>
        <v/>
      </c>
      <c r="AL742" s="34">
        <f>MAX(F742,G742,750)*0.05*AK742</f>
        <v/>
      </c>
      <c r="AM742" s="39">
        <f>'[1]GÖP VERİLERİ'!G743</f>
        <v/>
      </c>
      <c r="AN742" s="34">
        <f>IF(AI742&gt;AM742*1.05,AI742-AM742*1.05,IF(AI742&lt;AM742*0.95,AM742*0.95-AI742,0))</f>
        <v/>
      </c>
      <c r="AO742" s="34">
        <f>MAX(F742,G742,750)*0.05*AN742</f>
        <v/>
      </c>
      <c r="AP742" s="34">
        <f>'[1]GÖP VERİLERİ'!B743</f>
        <v/>
      </c>
      <c r="AQ742" s="34">
        <f>'[1]GÖP VERİLERİ'!C743</f>
        <v/>
      </c>
      <c r="AR742" s="34">
        <f>IF(AP742&gt;AQ742*1.05,AP742-AQ742*1.05,IF(AP742&lt;AQ742*0.95,AQ742*0.95-AP742,0))</f>
        <v/>
      </c>
      <c r="AS742" s="34">
        <f>MAX(F742:G742,750)*0.05*AR742</f>
        <v/>
      </c>
      <c r="AT742">
        <f>'[1]GÖP VERİLERİ'!D743</f>
        <v/>
      </c>
      <c r="AU742" s="34">
        <f>IF(AP742&gt;AT742*1.05,AP742-AT742*1.05,IF(AP742&lt;AT742*0.95,AT742*0.95-AP742,0))</f>
        <v/>
      </c>
      <c r="AV742" s="34">
        <f>MAX(F742:G742,750)*0.05*AU742</f>
        <v/>
      </c>
      <c r="AW742" s="34">
        <f>AC742+AJ742+AQ742</f>
        <v/>
      </c>
      <c r="AX742" s="34">
        <f>AF742+AM742+AT742</f>
        <v/>
      </c>
      <c r="AY742" s="34">
        <f>AB742+AI742+AP742</f>
        <v/>
      </c>
      <c r="AZ742" s="34" t="n">
        <v>0</v>
      </c>
      <c r="BA742" s="34">
        <f>AD742+AK742+AR742</f>
        <v/>
      </c>
      <c r="BB742" s="34">
        <f>MAX(F742:G742,750)*0.05*BA742</f>
        <v/>
      </c>
      <c r="BC742" s="34">
        <f>AG742+AN742+AU742</f>
        <v/>
      </c>
      <c r="BD742" s="34">
        <f>MAX(F742:G742,750)*0.05*BC742</f>
        <v/>
      </c>
      <c r="BE742" s="34">
        <f>F742*AY742</f>
        <v/>
      </c>
      <c r="BF742" s="34">
        <f>K742-M742</f>
        <v/>
      </c>
      <c r="BG742" s="34">
        <f>P742-S742</f>
        <v/>
      </c>
      <c r="BH742" s="34">
        <f>W742-AA742</f>
        <v/>
      </c>
      <c r="BI742" s="34">
        <f>BF742+BG742+BL742-BN742</f>
        <v/>
      </c>
      <c r="BJ742" s="34">
        <f>ABS(BK742)</f>
        <v/>
      </c>
      <c r="BK742" s="34">
        <f>AY742-(J742-L742+N742-Q742)</f>
        <v/>
      </c>
      <c r="BL742" s="34">
        <f>IF(AND(BK742&gt;0,MIN($F742:$G742)&lt;150,$E742="Enerji Açığı"),-100*BK742*1.03,IF(AND(BK742&gt;0,MIN($F742:$G742)&lt;150,$E742="Enerji Fazlası"),-100*BK742*1.06,IF(AND(BK742&gt;0,MIN($F742:$G742)&gt;=150,$E742="Enerji Açığı"),BK742*MIN($F742:$G742)*0.97,IF(AND(BK742&gt;0,MIN($F742:$G742)&gt;=150,$E742="Enerji Fazlası"),BK742*MIN($F742:$G742)*0.94,IF(AND(BK742&lt;0,MAX($F742:$G742)=4500,$E742="Enerji Açığı"),4500*1.05*1.06*BK742,IF(AND(BK742&lt;0,MAX($F742:$G742)=4500,$E742="Enerji Fazlası"),4500*1.05*1.03*BK742,IF(AND(BK742&lt;0,$E742="Enerji Açığı"),MAX($F742,$G742,150)*BK742*1.06,IF(AND(BK742&lt;0,$E742="Enerji Fazlası"),MAX($F742,$G742,150)*BK742*1.03,IF(AND(BK742&lt;0,$E742="Dengede"),MAX($F742:$G742,150)*1.03*BK742,MIN($F742:$G742)*0.97*BK742)))))))))</f>
        <v/>
      </c>
      <c r="BM742" s="34">
        <f>BE742-BI742-BN742</f>
        <v/>
      </c>
      <c r="BN742" s="34">
        <f>BB742</f>
        <v/>
      </c>
      <c r="BO742" s="34">
        <f>BE742-BI742</f>
        <v/>
      </c>
      <c r="BP742" s="34">
        <f>IF(AY742=0,0,BO742/AY742)</f>
        <v/>
      </c>
      <c r="BQ742" s="34">
        <f>MAX((AY742+MAX((-J742+L742-N742+Q742),0)),(MAX((J742-L742+N742-Q742),0)))</f>
        <v/>
      </c>
      <c r="BR742" s="82">
        <f>IFERROR(ABS(BK742/BQ742),0)</f>
        <v/>
      </c>
      <c r="BS742" s="34">
        <f>IF(BR742&lt;=0.1,0,BK742/BR742*(BR742-0.1))</f>
        <v/>
      </c>
      <c r="BT742" s="34">
        <f>IF((BS742)&lt;0,MAX(F742:G742)*(BS742)*1.03,MIN(F742:G742)*(BS742)*0.97)</f>
        <v/>
      </c>
      <c r="BU742" s="34">
        <f>IF(BR742&gt;0.1,1,0)</f>
        <v/>
      </c>
      <c r="BV742" s="34">
        <f>BF742+BG742+BH742+BY742-CA742</f>
        <v/>
      </c>
      <c r="BW742" s="34">
        <f>ABS(BX742)</f>
        <v/>
      </c>
      <c r="BX742" s="34">
        <f>AY742-(J742-L742+N742-Q742+T742-X742)</f>
        <v/>
      </c>
      <c r="BY742" s="34">
        <f>IF(AND(BX742&gt;0,MIN($F742:$G742)&lt;150,$E742="Enerji Açığı"),-100*BX742*1.03,IF(AND(BX742&gt;0,MIN($F742:$G742)&lt;150,$E742="Enerji Fazlası"),-100*BX742*1.06,IF(AND(BX742&gt;0,MIN($F742:$G742)&gt;=150,$E742="Enerji Açığı"),BX742*MIN($F742:$G742)*0.97,IF(AND(BX742&gt;0,MIN($F742:$G742)&gt;=150,$E742="Enerji Fazlası"),BX742*MIN($F742:$G742)*0.94,IF(AND(BX742&lt;0,MAX($F742:$G742)=4500,$E742="Enerji Açığı"),4500*1.05*1.06*BX742,IF(AND(BX742&lt;0,MAX($F742:$G742)=4500,$E742="Enerji Fazlası"),4500*1.05*1.03*BX742,IF(AND(BX742&lt;0,$E742="Enerji Açığı"),MAX($F742,$G742,150)*BX742*1.06,IF(AND(BX742&lt;0,$E742="Enerji Fazlası"),MAX($F742,$G742,150)*BX742*1.03,IF(AND(BX742&lt;0,$E742="Dengede"),MAX($F742:$G742,150)*1.03*BX742,MIN($F742:$G742)*0.97*BX742)))))))))</f>
        <v/>
      </c>
      <c r="BZ742" s="34">
        <f>BE742-BV742-CA742</f>
        <v/>
      </c>
      <c r="CA742" s="34">
        <f>BD742</f>
        <v/>
      </c>
      <c r="CB742" s="33">
        <f>BE742-BV742</f>
        <v/>
      </c>
      <c r="CC742" s="34">
        <f>IF(AY742=0,0,CB742/AY742)</f>
        <v/>
      </c>
      <c r="CD742" s="34">
        <f>MAX((AY742+MAX((-J742+L742-N742+Q742-T742+X742),0)),(MAX((J742-L742+N742-Q742+T742-X742),0)))</f>
        <v/>
      </c>
      <c r="CE742" s="82">
        <f>IFERROR(ABS(BX742/CD742),0)</f>
        <v/>
      </c>
      <c r="CF742" s="34">
        <f>IF(CE742&lt;=0.1,0,BX742/CE742*(CE742-0.1))</f>
        <v/>
      </c>
      <c r="CG742" s="34">
        <f>IF((CF742)&lt;0,MAX(F742:G742)*(CF742)*1.03,MIN(F742:G742)*(CF742)*0.97)</f>
        <v/>
      </c>
      <c r="CH742" s="34">
        <f>IF(CE742&gt;0.1,1,0)</f>
        <v/>
      </c>
      <c r="CI742" s="34">
        <f>(F742*BX742)-BY742</f>
        <v/>
      </c>
      <c r="CJ742" s="34">
        <f>IF(AY742=0,0,CI742/AY742)</f>
        <v/>
      </c>
    </row>
    <row r="743">
      <c r="A743" s="29">
        <f>[1]FİYATLAR!A718</f>
        <v/>
      </c>
      <c r="B743" s="29">
        <f>[1]FİYATLAR!B742</f>
        <v/>
      </c>
      <c r="C743" s="35">
        <f>INT(A743)</f>
        <v/>
      </c>
      <c r="D743" s="36">
        <f>MONTH(A743)</f>
        <v/>
      </c>
      <c r="E743" s="147">
        <f>[1]FİYATLAR!G718</f>
        <v/>
      </c>
      <c r="F743" s="30">
        <f>[1]FİYATLAR!C718</f>
        <v/>
      </c>
      <c r="G743" s="30">
        <f>[1]FİYATLAR!E718</f>
        <v/>
      </c>
      <c r="H743" s="30">
        <f>[1]FİYATLAR!D718</f>
        <v/>
      </c>
      <c r="I743" s="30">
        <f>[1]FİYATLAR!F718</f>
        <v/>
      </c>
      <c r="J743" s="119" t="n">
        <v>0</v>
      </c>
      <c r="K743" s="34">
        <f>F743*J743</f>
        <v/>
      </c>
      <c r="L743" s="119" t="n"/>
      <c r="M743" s="34">
        <f>L743*F743</f>
        <v/>
      </c>
      <c r="N743" s="119" t="n"/>
      <c r="O743" s="34">
        <f>F743</f>
        <v/>
      </c>
      <c r="P743" s="34">
        <f>N743*O743</f>
        <v/>
      </c>
      <c r="Q743" s="117" t="n">
        <v>0</v>
      </c>
      <c r="R743" s="34">
        <f>F743</f>
        <v/>
      </c>
      <c r="S743" s="34">
        <f>R743*Q743</f>
        <v/>
      </c>
      <c r="T743" s="34">
        <f>SUMIFS('[1]GİP VERİLERİ'!$C:$C,'[1]GİP VERİLERİ'!$B:$B,A743,'[1]GİP VERİLERİ'!$M:$M,"40X000000104782K",'[1]GİP VERİLERİ'!$G:$G,"SELL")</f>
        <v/>
      </c>
      <c r="U743" s="34">
        <f>IFERROR(W743/T743,0)</f>
        <v/>
      </c>
      <c r="V743" s="34">
        <f>IF(U743=0,0,U743-F743)</f>
        <v/>
      </c>
      <c r="W743" s="34">
        <f>SUMIFS('[1]GİP VERİLERİ'!$O:$O,'[1]GİP VERİLERİ'!$B:$B,A743,'[1]GİP VERİLERİ'!$M:$M,"40X000000104782K",'[1]GİP VERİLERİ'!$G:$G,"SELL")</f>
        <v/>
      </c>
      <c r="X743" s="34">
        <f>SUMIFS('[1]GİP VERİLERİ'!$C:$C,'[1]GİP VERİLERİ'!$B:$B,A743,'[1]GİP VERİLERİ'!$M:$M,"40X000000104782K",'[1]GİP VERİLERİ'!$G:$G,"BUY")</f>
        <v/>
      </c>
      <c r="Y743" s="34">
        <f>IFERROR(AA743/X743,0)</f>
        <v/>
      </c>
      <c r="Z743" s="34">
        <f>IF(Y743=0,0,F743-Y743)</f>
        <v/>
      </c>
      <c r="AA743" s="34">
        <f>SUMIFS('[1]GİP VERİLERİ'!$O:$O,'[1]GİP VERİLERİ'!$B:$B,A743,'[1]GİP VERİLERİ'!$M:$M,"40X000000104782K",'[1]GİP VERİLERİ'!$G:$G,"BUY")</f>
        <v/>
      </c>
      <c r="AB743" s="34">
        <f>'[1]GÖP VERİLERİ'!H744</f>
        <v/>
      </c>
      <c r="AC743" s="34">
        <f>'[1]GÖP VERİLERİ'!I744</f>
        <v/>
      </c>
      <c r="AD743" s="34">
        <f>IF(AB743&gt;AC743*1.05,AB743-AC743*1.05,IF(AB743&lt;AC743*0.95,AC743*0.95-AB743,0))</f>
        <v/>
      </c>
      <c r="AE743" s="34">
        <f>MAX(F743,G743,750)*0.05*AD743</f>
        <v/>
      </c>
      <c r="AF743" s="34">
        <f>'[1]GÖP VERİLERİ'!J744</f>
        <v/>
      </c>
      <c r="AG743" s="34">
        <f>IF(AB743&gt;AF743*1.05,AB743-AF743*1.05,IF(AB743&lt;AF743*0.95,AF743*0.95-AB743,0))</f>
        <v/>
      </c>
      <c r="AH743" s="34">
        <f>MAX(I743,J743,750)*0.05*AG743</f>
        <v/>
      </c>
      <c r="AI743">
        <f>'[1]GÖP VERİLERİ'!E744</f>
        <v/>
      </c>
      <c r="AJ743">
        <f>'[1]GÖP VERİLERİ'!F744</f>
        <v/>
      </c>
      <c r="AK743" s="34">
        <f>IF(AI743&gt;AJ743*1.05,AI743-AJ743*1.05,IF(AI743&lt;AJ743*0.95,AJ743*0.95-AI743,0))</f>
        <v/>
      </c>
      <c r="AL743" s="34">
        <f>MAX(F743,G743,750)*0.05*AK743</f>
        <v/>
      </c>
      <c r="AM743" s="39">
        <f>'[1]GÖP VERİLERİ'!G744</f>
        <v/>
      </c>
      <c r="AN743" s="34">
        <f>IF(AI743&gt;AM743*1.05,AI743-AM743*1.05,IF(AI743&lt;AM743*0.95,AM743*0.95-AI743,0))</f>
        <v/>
      </c>
      <c r="AO743" s="34">
        <f>MAX(F743,G743,750)*0.05*AN743</f>
        <v/>
      </c>
      <c r="AP743" s="34">
        <f>'[1]GÖP VERİLERİ'!B744</f>
        <v/>
      </c>
      <c r="AQ743" s="34">
        <f>'[1]GÖP VERİLERİ'!C744</f>
        <v/>
      </c>
      <c r="AR743" s="34">
        <f>IF(AP743&gt;AQ743*1.05,AP743-AQ743*1.05,IF(AP743&lt;AQ743*0.95,AQ743*0.95-AP743,0))</f>
        <v/>
      </c>
      <c r="AS743" s="34">
        <f>MAX(F743:G743,750)*0.05*AR743</f>
        <v/>
      </c>
      <c r="AT743">
        <f>'[1]GÖP VERİLERİ'!D744</f>
        <v/>
      </c>
      <c r="AU743" s="34">
        <f>IF(AP743&gt;AT743*1.05,AP743-AT743*1.05,IF(AP743&lt;AT743*0.95,AT743*0.95-AP743,0))</f>
        <v/>
      </c>
      <c r="AV743" s="34">
        <f>MAX(F743:G743,750)*0.05*AU743</f>
        <v/>
      </c>
      <c r="AW743" s="34">
        <f>AC743+AJ743+AQ743</f>
        <v/>
      </c>
      <c r="AX743" s="34">
        <f>AF743+AM743+AT743</f>
        <v/>
      </c>
      <c r="AY743" s="34">
        <f>AB743+AI743+AP743</f>
        <v/>
      </c>
      <c r="AZ743" s="34" t="n">
        <v>0</v>
      </c>
      <c r="BA743" s="34">
        <f>AD743+AK743+AR743</f>
        <v/>
      </c>
      <c r="BB743" s="34">
        <f>MAX(F743:G743,750)*0.05*BA743</f>
        <v/>
      </c>
      <c r="BC743" s="34">
        <f>AG743+AN743+AU743</f>
        <v/>
      </c>
      <c r="BD743" s="34">
        <f>MAX(F743:G743,750)*0.05*BC743</f>
        <v/>
      </c>
      <c r="BE743" s="34">
        <f>F743*AY743</f>
        <v/>
      </c>
      <c r="BF743" s="34">
        <f>K743-M743</f>
        <v/>
      </c>
      <c r="BG743" s="34">
        <f>P743-S743</f>
        <v/>
      </c>
      <c r="BH743" s="34">
        <f>W743-AA743</f>
        <v/>
      </c>
      <c r="BI743" s="34">
        <f>BF743+BG743+BL743-BN743</f>
        <v/>
      </c>
      <c r="BJ743" s="34">
        <f>ABS(BK743)</f>
        <v/>
      </c>
      <c r="BK743" s="34">
        <f>AY743-(J743-L743+N743-Q743)</f>
        <v/>
      </c>
      <c r="BL743" s="34">
        <f>IF(AND(BK743&gt;0,MIN($F743:$G743)&lt;150,$E743="Enerji Açığı"),-100*BK743*1.03,IF(AND(BK743&gt;0,MIN($F743:$G743)&lt;150,$E743="Enerji Fazlası"),-100*BK743*1.06,IF(AND(BK743&gt;0,MIN($F743:$G743)&gt;=150,$E743="Enerji Açığı"),BK743*MIN($F743:$G743)*0.97,IF(AND(BK743&gt;0,MIN($F743:$G743)&gt;=150,$E743="Enerji Fazlası"),BK743*MIN($F743:$G743)*0.94,IF(AND(BK743&lt;0,MAX($F743:$G743)=4500,$E743="Enerji Açığı"),4500*1.05*1.06*BK743,IF(AND(BK743&lt;0,MAX($F743:$G743)=4500,$E743="Enerji Fazlası"),4500*1.05*1.03*BK743,IF(AND(BK743&lt;0,$E743="Enerji Açığı"),MAX($F743,$G743,150)*BK743*1.06,IF(AND(BK743&lt;0,$E743="Enerji Fazlası"),MAX($F743,$G743,150)*BK743*1.03,IF(AND(BK743&lt;0,$E743="Dengede"),MAX($F743:$G743,150)*1.03*BK743,MIN($F743:$G743)*0.97*BK743)))))))))</f>
        <v/>
      </c>
      <c r="BM743" s="34">
        <f>BE743-BI743-BN743</f>
        <v/>
      </c>
      <c r="BN743" s="34">
        <f>BB743</f>
        <v/>
      </c>
      <c r="BO743" s="34">
        <f>BE743-BI743</f>
        <v/>
      </c>
      <c r="BP743" s="34">
        <f>IF(AY743=0,0,BO743/AY743)</f>
        <v/>
      </c>
      <c r="BQ743" s="34">
        <f>MAX((AY743+MAX((-J743+L743-N743+Q743),0)),(MAX((J743-L743+N743-Q743),0)))</f>
        <v/>
      </c>
      <c r="BR743" s="82">
        <f>IFERROR(ABS(BK743/BQ743),0)</f>
        <v/>
      </c>
      <c r="BS743" s="34">
        <f>IF(BR743&lt;=0.1,0,BK743/BR743*(BR743-0.1))</f>
        <v/>
      </c>
      <c r="BT743" s="34">
        <f>IF((BS743)&lt;0,MAX(F743:G743)*(BS743)*1.03,MIN(F743:G743)*(BS743)*0.97)</f>
        <v/>
      </c>
      <c r="BU743" s="34">
        <f>IF(BR743&gt;0.1,1,0)</f>
        <v/>
      </c>
      <c r="BV743" s="34">
        <f>BF743+BG743+BH743+BY743-CA743</f>
        <v/>
      </c>
      <c r="BW743" s="34">
        <f>ABS(BX743)</f>
        <v/>
      </c>
      <c r="BX743" s="34">
        <f>AY743-(J743-L743+N743-Q743+T743-X743)</f>
        <v/>
      </c>
      <c r="BY743" s="34">
        <f>IF(AND(BX743&gt;0,MIN($F743:$G743)&lt;150,$E743="Enerji Açığı"),-100*BX743*1.03,IF(AND(BX743&gt;0,MIN($F743:$G743)&lt;150,$E743="Enerji Fazlası"),-100*BX743*1.06,IF(AND(BX743&gt;0,MIN($F743:$G743)&gt;=150,$E743="Enerji Açığı"),BX743*MIN($F743:$G743)*0.97,IF(AND(BX743&gt;0,MIN($F743:$G743)&gt;=150,$E743="Enerji Fazlası"),BX743*MIN($F743:$G743)*0.94,IF(AND(BX743&lt;0,MAX($F743:$G743)=4500,$E743="Enerji Açığı"),4500*1.05*1.06*BX743,IF(AND(BX743&lt;0,MAX($F743:$G743)=4500,$E743="Enerji Fazlası"),4500*1.05*1.03*BX743,IF(AND(BX743&lt;0,$E743="Enerji Açığı"),MAX($F743,$G743,150)*BX743*1.06,IF(AND(BX743&lt;0,$E743="Enerji Fazlası"),MAX($F743,$G743,150)*BX743*1.03,IF(AND(BX743&lt;0,$E743="Dengede"),MAX($F743:$G743,150)*1.03*BX743,MIN($F743:$G743)*0.97*BX743)))))))))</f>
        <v/>
      </c>
      <c r="BZ743" s="34">
        <f>BE743-BV743-CA743</f>
        <v/>
      </c>
      <c r="CA743" s="34">
        <f>BD743</f>
        <v/>
      </c>
      <c r="CB743" s="33">
        <f>BE743-BV743</f>
        <v/>
      </c>
      <c r="CC743" s="34">
        <f>IF(AY743=0,0,CB743/AY743)</f>
        <v/>
      </c>
      <c r="CD743" s="34">
        <f>MAX((AY743+MAX((-J743+L743-N743+Q743-T743+X743),0)),(MAX((J743-L743+N743-Q743+T743-X743),0)))</f>
        <v/>
      </c>
      <c r="CE743" s="82">
        <f>IFERROR(ABS(BX743/CD743),0)</f>
        <v/>
      </c>
      <c r="CF743" s="34">
        <f>IF(CE743&lt;=0.1,0,BX743/CE743*(CE743-0.1))</f>
        <v/>
      </c>
      <c r="CG743" s="34">
        <f>IF((CF743)&lt;0,MAX(F743:G743)*(CF743)*1.03,MIN(F743:G743)*(CF743)*0.97)</f>
        <v/>
      </c>
      <c r="CH743" s="34">
        <f>IF(CE743&gt;0.1,1,0)</f>
        <v/>
      </c>
      <c r="CI743" s="34">
        <f>(F743*BX743)-BY743</f>
        <v/>
      </c>
      <c r="CJ743" s="34">
        <f>IF(AY743=0,0,CI743/AY743)</f>
        <v/>
      </c>
    </row>
    <row r="744">
      <c r="A744" s="29">
        <f>[1]FİYATLAR!A719</f>
        <v/>
      </c>
      <c r="B744" s="29">
        <f>[1]FİYATLAR!B743</f>
        <v/>
      </c>
      <c r="C744" s="35">
        <f>INT(A744)</f>
        <v/>
      </c>
      <c r="D744" s="36">
        <f>MONTH(A744)</f>
        <v/>
      </c>
      <c r="E744" s="147">
        <f>[1]FİYATLAR!G719</f>
        <v/>
      </c>
      <c r="F744" s="30">
        <f>[1]FİYATLAR!C719</f>
        <v/>
      </c>
      <c r="G744" s="30">
        <f>[1]FİYATLAR!E719</f>
        <v/>
      </c>
      <c r="H744" s="30">
        <f>[1]FİYATLAR!D719</f>
        <v/>
      </c>
      <c r="I744" s="30">
        <f>[1]FİYATLAR!F719</f>
        <v/>
      </c>
      <c r="J744" s="119" t="n">
        <v>0</v>
      </c>
      <c r="K744" s="34">
        <f>F744*J744</f>
        <v/>
      </c>
      <c r="L744" s="119" t="n"/>
      <c r="M744" s="34">
        <f>L744*F744</f>
        <v/>
      </c>
      <c r="N744" s="119" t="n"/>
      <c r="O744" s="34">
        <f>F744</f>
        <v/>
      </c>
      <c r="P744" s="34">
        <f>N744*O744</f>
        <v/>
      </c>
      <c r="Q744" s="117" t="n">
        <v>0</v>
      </c>
      <c r="R744" s="34">
        <f>F744</f>
        <v/>
      </c>
      <c r="S744" s="34">
        <f>R744*Q744</f>
        <v/>
      </c>
      <c r="T744" s="34">
        <f>SUMIFS('[1]GİP VERİLERİ'!$C:$C,'[1]GİP VERİLERİ'!$B:$B,A744,'[1]GİP VERİLERİ'!$M:$M,"40X000000104782K",'[1]GİP VERİLERİ'!$G:$G,"SELL")</f>
        <v/>
      </c>
      <c r="U744" s="34">
        <f>IFERROR(W744/T744,0)</f>
        <v/>
      </c>
      <c r="V744" s="34">
        <f>IF(U744=0,0,U744-F744)</f>
        <v/>
      </c>
      <c r="W744" s="34">
        <f>SUMIFS('[1]GİP VERİLERİ'!$O:$O,'[1]GİP VERİLERİ'!$B:$B,A744,'[1]GİP VERİLERİ'!$M:$M,"40X000000104782K",'[1]GİP VERİLERİ'!$G:$G,"SELL")</f>
        <v/>
      </c>
      <c r="X744" s="34">
        <f>SUMIFS('[1]GİP VERİLERİ'!$C:$C,'[1]GİP VERİLERİ'!$B:$B,A744,'[1]GİP VERİLERİ'!$M:$M,"40X000000104782K",'[1]GİP VERİLERİ'!$G:$G,"BUY")</f>
        <v/>
      </c>
      <c r="Y744" s="34">
        <f>IFERROR(AA744/X744,0)</f>
        <v/>
      </c>
      <c r="Z744" s="34">
        <f>IF(Y744=0,0,F744-Y744)</f>
        <v/>
      </c>
      <c r="AA744" s="34">
        <f>SUMIFS('[1]GİP VERİLERİ'!$O:$O,'[1]GİP VERİLERİ'!$B:$B,A744,'[1]GİP VERİLERİ'!$M:$M,"40X000000104782K",'[1]GİP VERİLERİ'!$G:$G,"BUY")</f>
        <v/>
      </c>
      <c r="AB744" s="34">
        <f>'[1]GÖP VERİLERİ'!H745</f>
        <v/>
      </c>
      <c r="AC744" s="34">
        <f>'[1]GÖP VERİLERİ'!I745</f>
        <v/>
      </c>
      <c r="AD744" s="34">
        <f>IF(AB744&gt;AC744*1.05,AB744-AC744*1.05,IF(AB744&lt;AC744*0.95,AC744*0.95-AB744,0))</f>
        <v/>
      </c>
      <c r="AE744" s="34">
        <f>MAX(F744,G744,750)*0.05*AD744</f>
        <v/>
      </c>
      <c r="AF744" s="34">
        <f>'[1]GÖP VERİLERİ'!J745</f>
        <v/>
      </c>
      <c r="AG744" s="34">
        <f>IF(AB744&gt;AF744*1.05,AB744-AF744*1.05,IF(AB744&lt;AF744*0.95,AF744*0.95-AB744,0))</f>
        <v/>
      </c>
      <c r="AH744" s="34">
        <f>MAX(I744,J744,750)*0.05*AG744</f>
        <v/>
      </c>
      <c r="AI744">
        <f>'[1]GÖP VERİLERİ'!E745</f>
        <v/>
      </c>
      <c r="AJ744">
        <f>'[1]GÖP VERİLERİ'!F745</f>
        <v/>
      </c>
      <c r="AK744" s="34">
        <f>IF(AI744&gt;AJ744*1.05,AI744-AJ744*1.05,IF(AI744&lt;AJ744*0.95,AJ744*0.95-AI744,0))</f>
        <v/>
      </c>
      <c r="AL744" s="34">
        <f>MAX(F744,G744,750)*0.05*AK744</f>
        <v/>
      </c>
      <c r="AM744" s="39">
        <f>'[1]GÖP VERİLERİ'!G745</f>
        <v/>
      </c>
      <c r="AN744" s="34">
        <f>IF(AI744&gt;AM744*1.05,AI744-AM744*1.05,IF(AI744&lt;AM744*0.95,AM744*0.95-AI744,0))</f>
        <v/>
      </c>
      <c r="AO744" s="34">
        <f>MAX(F744,G744,750)*0.05*AN744</f>
        <v/>
      </c>
      <c r="AP744" s="34">
        <f>'[1]GÖP VERİLERİ'!B745</f>
        <v/>
      </c>
      <c r="AQ744" s="34">
        <f>'[1]GÖP VERİLERİ'!C745</f>
        <v/>
      </c>
      <c r="AR744" s="34">
        <f>IF(AP744&gt;AQ744*1.05,AP744-AQ744*1.05,IF(AP744&lt;AQ744*0.95,AQ744*0.95-AP744,0))</f>
        <v/>
      </c>
      <c r="AS744" s="34">
        <f>MAX(F744:G744,750)*0.05*AR744</f>
        <v/>
      </c>
      <c r="AT744">
        <f>'[1]GÖP VERİLERİ'!D745</f>
        <v/>
      </c>
      <c r="AU744" s="34">
        <f>IF(AP744&gt;AT744*1.05,AP744-AT744*1.05,IF(AP744&lt;AT744*0.95,AT744*0.95-AP744,0))</f>
        <v/>
      </c>
      <c r="AV744" s="34">
        <f>MAX(F744:G744,750)*0.05*AU744</f>
        <v/>
      </c>
      <c r="AW744" s="34">
        <f>AC744+AJ744+AQ744</f>
        <v/>
      </c>
      <c r="AX744" s="34">
        <f>AF744+AM744+AT744</f>
        <v/>
      </c>
      <c r="AY744" s="34">
        <f>AB744+AI744+AP744</f>
        <v/>
      </c>
      <c r="AZ744" s="34" t="n">
        <v>0</v>
      </c>
      <c r="BA744" s="34">
        <f>AD744+AK744+AR744</f>
        <v/>
      </c>
      <c r="BB744" s="34">
        <f>MAX(F744:G744,750)*0.05*BA744</f>
        <v/>
      </c>
      <c r="BC744" s="34">
        <f>AG744+AN744+AU744</f>
        <v/>
      </c>
      <c r="BD744" s="34">
        <f>MAX(F744:G744,750)*0.05*BC744</f>
        <v/>
      </c>
      <c r="BE744" s="34">
        <f>F744*AY744</f>
        <v/>
      </c>
      <c r="BF744" s="34">
        <f>K744-M744</f>
        <v/>
      </c>
      <c r="BG744" s="34">
        <f>P744-S744</f>
        <v/>
      </c>
      <c r="BH744" s="34">
        <f>W744-AA744</f>
        <v/>
      </c>
      <c r="BI744" s="34">
        <f>BF744+BG744+BL744-BN744</f>
        <v/>
      </c>
      <c r="BJ744" s="34">
        <f>ABS(BK744)</f>
        <v/>
      </c>
      <c r="BK744" s="34">
        <f>AY744-(J744-L744+N744-Q744)</f>
        <v/>
      </c>
      <c r="BL744" s="34">
        <f>IF(AND(BK744&gt;0,MIN($F744:$G744)&lt;150,$E744="Enerji Açığı"),-100*BK744*1.03,IF(AND(BK744&gt;0,MIN($F744:$G744)&lt;150,$E744="Enerji Fazlası"),-100*BK744*1.06,IF(AND(BK744&gt;0,MIN($F744:$G744)&gt;=150,$E744="Enerji Açığı"),BK744*MIN($F744:$G744)*0.97,IF(AND(BK744&gt;0,MIN($F744:$G744)&gt;=150,$E744="Enerji Fazlası"),BK744*MIN($F744:$G744)*0.94,IF(AND(BK744&lt;0,MAX($F744:$G744)=4500,$E744="Enerji Açığı"),4500*1.05*1.06*BK744,IF(AND(BK744&lt;0,MAX($F744:$G744)=4500,$E744="Enerji Fazlası"),4500*1.05*1.03*BK744,IF(AND(BK744&lt;0,$E744="Enerji Açığı"),MAX($F744,$G744,150)*BK744*1.06,IF(AND(BK744&lt;0,$E744="Enerji Fazlası"),MAX($F744,$G744,150)*BK744*1.03,IF(AND(BK744&lt;0,$E744="Dengede"),MAX($F744:$G744,150)*1.03*BK744,MIN($F744:$G744)*0.97*BK744)))))))))</f>
        <v/>
      </c>
      <c r="BM744" s="34">
        <f>BE744-BI744-BN744</f>
        <v/>
      </c>
      <c r="BN744" s="34">
        <f>BB744</f>
        <v/>
      </c>
      <c r="BO744" s="34">
        <f>BE744-BI744</f>
        <v/>
      </c>
      <c r="BP744" s="34">
        <f>IF(AY744=0,0,BO744/AY744)</f>
        <v/>
      </c>
      <c r="BQ744" s="34">
        <f>MAX((AY744+MAX((-J744+L744-N744+Q744),0)),(MAX((J744-L744+N744-Q744),0)))</f>
        <v/>
      </c>
      <c r="BR744" s="82">
        <f>IFERROR(ABS(BK744/BQ744),0)</f>
        <v/>
      </c>
      <c r="BS744" s="34">
        <f>IF(BR744&lt;=0.1,0,BK744/BR744*(BR744-0.1))</f>
        <v/>
      </c>
      <c r="BT744" s="34">
        <f>IF((BS744)&lt;0,MAX(F744:G744)*(BS744)*1.03,MIN(F744:G744)*(BS744)*0.97)</f>
        <v/>
      </c>
      <c r="BU744" s="34">
        <f>IF(BR744&gt;0.1,1,0)</f>
        <v/>
      </c>
      <c r="BV744" s="34">
        <f>BF744+BG744+BH744+BY744-CA744</f>
        <v/>
      </c>
      <c r="BW744" s="34">
        <f>ABS(BX744)</f>
        <v/>
      </c>
      <c r="BX744" s="34">
        <f>AY744-(J744-L744+N744-Q744+T744-X744)</f>
        <v/>
      </c>
      <c r="BY744" s="34">
        <f>IF(AND(BX744&gt;0,MIN($F744:$G744)&lt;150,$E744="Enerji Açığı"),-100*BX744*1.03,IF(AND(BX744&gt;0,MIN($F744:$G744)&lt;150,$E744="Enerji Fazlası"),-100*BX744*1.06,IF(AND(BX744&gt;0,MIN($F744:$G744)&gt;=150,$E744="Enerji Açığı"),BX744*MIN($F744:$G744)*0.97,IF(AND(BX744&gt;0,MIN($F744:$G744)&gt;=150,$E744="Enerji Fazlası"),BX744*MIN($F744:$G744)*0.94,IF(AND(BX744&lt;0,MAX($F744:$G744)=4500,$E744="Enerji Açığı"),4500*1.05*1.06*BX744,IF(AND(BX744&lt;0,MAX($F744:$G744)=4500,$E744="Enerji Fazlası"),4500*1.05*1.03*BX744,IF(AND(BX744&lt;0,$E744="Enerji Açığı"),MAX($F744,$G744,150)*BX744*1.06,IF(AND(BX744&lt;0,$E744="Enerji Fazlası"),MAX($F744,$G744,150)*BX744*1.03,IF(AND(BX744&lt;0,$E744="Dengede"),MAX($F744:$G744,150)*1.03*BX744,MIN($F744:$G744)*0.97*BX744)))))))))</f>
        <v/>
      </c>
      <c r="BZ744" s="34">
        <f>BE744-BV744-CA744</f>
        <v/>
      </c>
      <c r="CA744" s="34">
        <f>BD744</f>
        <v/>
      </c>
      <c r="CB744" s="33">
        <f>BE744-BV744</f>
        <v/>
      </c>
      <c r="CC744" s="34">
        <f>IF(AY744=0,0,CB744/AY744)</f>
        <v/>
      </c>
      <c r="CD744" s="34">
        <f>MAX((AY744+MAX((-J744+L744-N744+Q744-T744+X744),0)),(MAX((J744-L744+N744-Q744+T744-X744),0)))</f>
        <v/>
      </c>
      <c r="CE744" s="82">
        <f>IFERROR(ABS(BX744/CD744),0)</f>
        <v/>
      </c>
      <c r="CF744" s="34">
        <f>IF(CE744&lt;=0.1,0,BX744/CE744*(CE744-0.1))</f>
        <v/>
      </c>
      <c r="CG744" s="34">
        <f>IF((CF744)&lt;0,MAX(F744:G744)*(CF744)*1.03,MIN(F744:G744)*(CF744)*0.97)</f>
        <v/>
      </c>
      <c r="CH744" s="34">
        <f>IF(CE744&gt;0.1,1,0)</f>
        <v/>
      </c>
      <c r="CI744" s="34">
        <f>(F744*BX744)-BY744</f>
        <v/>
      </c>
      <c r="CJ744" s="34">
        <f>IF(AY744=0,0,CI744/AY744)</f>
        <v/>
      </c>
    </row>
    <row r="745">
      <c r="A745" s="29">
        <f>[1]FİYATLAR!A720</f>
        <v/>
      </c>
      <c r="B745" s="29">
        <f>[1]FİYATLAR!B744</f>
        <v/>
      </c>
      <c r="C745" s="35">
        <f>INT(A745)</f>
        <v/>
      </c>
      <c r="D745" s="36">
        <f>MONTH(A745)</f>
        <v/>
      </c>
      <c r="E745" s="147">
        <f>[1]FİYATLAR!G720</f>
        <v/>
      </c>
      <c r="F745" s="30">
        <f>[1]FİYATLAR!C720</f>
        <v/>
      </c>
      <c r="G745" s="30">
        <f>[1]FİYATLAR!E720</f>
        <v/>
      </c>
      <c r="H745" s="30">
        <f>[1]FİYATLAR!D720</f>
        <v/>
      </c>
      <c r="I745" s="30">
        <f>[1]FİYATLAR!F720</f>
        <v/>
      </c>
      <c r="J745" s="119" t="n">
        <v>0</v>
      </c>
      <c r="K745" s="34">
        <f>F745*J745</f>
        <v/>
      </c>
      <c r="L745" s="119" t="n"/>
      <c r="M745" s="34">
        <f>L745*F745</f>
        <v/>
      </c>
      <c r="N745" s="119" t="n"/>
      <c r="O745" s="34">
        <f>F745</f>
        <v/>
      </c>
      <c r="P745" s="34">
        <f>N745*O745</f>
        <v/>
      </c>
      <c r="Q745" s="117" t="n">
        <v>0</v>
      </c>
      <c r="R745" s="34">
        <f>F745</f>
        <v/>
      </c>
      <c r="S745" s="34">
        <f>R745*Q745</f>
        <v/>
      </c>
      <c r="T745" s="34">
        <f>SUMIFS('[1]GİP VERİLERİ'!$C:$C,'[1]GİP VERİLERİ'!$B:$B,A745,'[1]GİP VERİLERİ'!$M:$M,"40X000000104782K",'[1]GİP VERİLERİ'!$G:$G,"SELL")</f>
        <v/>
      </c>
      <c r="U745" s="34">
        <f>IFERROR(W745/T745,0)</f>
        <v/>
      </c>
      <c r="V745" s="34">
        <f>IF(U745=0,0,U745-F745)</f>
        <v/>
      </c>
      <c r="W745" s="34">
        <f>SUMIFS('[1]GİP VERİLERİ'!$O:$O,'[1]GİP VERİLERİ'!$B:$B,A745,'[1]GİP VERİLERİ'!$M:$M,"40X000000104782K",'[1]GİP VERİLERİ'!$G:$G,"SELL")</f>
        <v/>
      </c>
      <c r="X745" s="34">
        <f>SUMIFS('[1]GİP VERİLERİ'!$C:$C,'[1]GİP VERİLERİ'!$B:$B,A745,'[1]GİP VERİLERİ'!$M:$M,"40X000000104782K",'[1]GİP VERİLERİ'!$G:$G,"BUY")</f>
        <v/>
      </c>
      <c r="Y745" s="34">
        <f>IFERROR(AA745/X745,0)</f>
        <v/>
      </c>
      <c r="Z745" s="34">
        <f>IF(Y745=0,0,F745-Y745)</f>
        <v/>
      </c>
      <c r="AA745" s="34">
        <f>SUMIFS('[1]GİP VERİLERİ'!$O:$O,'[1]GİP VERİLERİ'!$B:$B,A745,'[1]GİP VERİLERİ'!$M:$M,"40X000000104782K",'[1]GİP VERİLERİ'!$G:$G,"BUY")</f>
        <v/>
      </c>
      <c r="AB745" s="34">
        <f>'[1]GÖP VERİLERİ'!H746</f>
        <v/>
      </c>
      <c r="AC745" s="34">
        <f>'[1]GÖP VERİLERİ'!I746</f>
        <v/>
      </c>
      <c r="AD745" s="34">
        <f>IF(AB745&gt;AC745*1.05,AB745-AC745*1.05,IF(AB745&lt;AC745*0.95,AC745*0.95-AB745,0))</f>
        <v/>
      </c>
      <c r="AE745" s="34">
        <f>MAX(F745,G745,750)*0.05*AD745</f>
        <v/>
      </c>
      <c r="AF745" s="34">
        <f>'[1]GÖP VERİLERİ'!J746</f>
        <v/>
      </c>
      <c r="AG745" s="34">
        <f>IF(AB745&gt;AF745*1.05,AB745-AF745*1.05,IF(AB745&lt;AF745*0.95,AF745*0.95-AB745,0))</f>
        <v/>
      </c>
      <c r="AH745" s="34">
        <f>MAX(I745,J745,750)*0.05*AG745</f>
        <v/>
      </c>
      <c r="AI745">
        <f>'[1]GÖP VERİLERİ'!E746</f>
        <v/>
      </c>
      <c r="AJ745">
        <f>'[1]GÖP VERİLERİ'!F746</f>
        <v/>
      </c>
      <c r="AK745" s="34">
        <f>IF(AI745&gt;AJ745*1.05,AI745-AJ745*1.05,IF(AI745&lt;AJ745*0.95,AJ745*0.95-AI745,0))</f>
        <v/>
      </c>
      <c r="AL745" s="34">
        <f>MAX(F745,G745,750)*0.05*AK745</f>
        <v/>
      </c>
      <c r="AM745" s="39">
        <f>'[1]GÖP VERİLERİ'!G746</f>
        <v/>
      </c>
      <c r="AN745" s="34">
        <f>IF(AI745&gt;AM745*1.05,AI745-AM745*1.05,IF(AI745&lt;AM745*0.95,AM745*0.95-AI745,0))</f>
        <v/>
      </c>
      <c r="AO745" s="34">
        <f>MAX(F745,G745,750)*0.05*AN745</f>
        <v/>
      </c>
      <c r="AP745" s="34">
        <f>'[1]GÖP VERİLERİ'!B746</f>
        <v/>
      </c>
      <c r="AQ745" s="34">
        <f>'[1]GÖP VERİLERİ'!C746</f>
        <v/>
      </c>
      <c r="AR745" s="34">
        <f>IF(AP745&gt;AQ745*1.05,AP745-AQ745*1.05,IF(AP745&lt;AQ745*0.95,AQ745*0.95-AP745,0))</f>
        <v/>
      </c>
      <c r="AS745" s="34">
        <f>MAX(F745:G745,750)*0.05*AR745</f>
        <v/>
      </c>
      <c r="AT745">
        <f>'[1]GÖP VERİLERİ'!D746</f>
        <v/>
      </c>
      <c r="AU745" s="34">
        <f>IF(AP745&gt;AT745*1.05,AP745-AT745*1.05,IF(AP745&lt;AT745*0.95,AT745*0.95-AP745,0))</f>
        <v/>
      </c>
      <c r="AV745" s="34">
        <f>MAX(F745:G745,750)*0.05*AU745</f>
        <v/>
      </c>
      <c r="AW745" s="34">
        <f>AC745+AJ745+AQ745</f>
        <v/>
      </c>
      <c r="AX745" s="34">
        <f>AF745+AM745+AT745</f>
        <v/>
      </c>
      <c r="AY745" s="34">
        <f>AB745+AI745+AP745</f>
        <v/>
      </c>
      <c r="AZ745" s="34" t="n">
        <v>0</v>
      </c>
      <c r="BA745" s="34">
        <f>AD745+AK745+AR745</f>
        <v/>
      </c>
      <c r="BB745" s="34">
        <f>MAX(F745:G745,750)*0.05*BA745</f>
        <v/>
      </c>
      <c r="BC745" s="34">
        <f>AG745+AN745+AU745</f>
        <v/>
      </c>
      <c r="BD745" s="34">
        <f>MAX(F745:G745,750)*0.05*BC745</f>
        <v/>
      </c>
      <c r="BE745" s="34">
        <f>F745*AY745</f>
        <v/>
      </c>
      <c r="BF745" s="34">
        <f>K745-M745</f>
        <v/>
      </c>
      <c r="BG745" s="34">
        <f>P745-S745</f>
        <v/>
      </c>
      <c r="BH745" s="34">
        <f>W745-AA745</f>
        <v/>
      </c>
      <c r="BI745" s="34">
        <f>BF745+BG745+BL745-BN745</f>
        <v/>
      </c>
      <c r="BJ745" s="34">
        <f>ABS(BK745)</f>
        <v/>
      </c>
      <c r="BK745" s="34">
        <f>AY745-(J745-L745+N745-Q745)</f>
        <v/>
      </c>
      <c r="BL745" s="34">
        <f>IF(AND(BK745&gt;0,MIN($F745:$G745)&lt;150,$E745="Enerji Açığı"),-100*BK745*1.03,IF(AND(BK745&gt;0,MIN($F745:$G745)&lt;150,$E745="Enerji Fazlası"),-100*BK745*1.06,IF(AND(BK745&gt;0,MIN($F745:$G745)&gt;=150,$E745="Enerji Açığı"),BK745*MIN($F745:$G745)*0.97,IF(AND(BK745&gt;0,MIN($F745:$G745)&gt;=150,$E745="Enerji Fazlası"),BK745*MIN($F745:$G745)*0.94,IF(AND(BK745&lt;0,MAX($F745:$G745)=4500,$E745="Enerji Açığı"),4500*1.05*1.06*BK745,IF(AND(BK745&lt;0,MAX($F745:$G745)=4500,$E745="Enerji Fazlası"),4500*1.05*1.03*BK745,IF(AND(BK745&lt;0,$E745="Enerji Açığı"),MAX($F745,$G745,150)*BK745*1.06,IF(AND(BK745&lt;0,$E745="Enerji Fazlası"),MAX($F745,$G745,150)*BK745*1.03,IF(AND(BK745&lt;0,$E745="Dengede"),MAX($F745:$G745,150)*1.03*BK745,MIN($F745:$G745)*0.97*BK745)))))))))</f>
        <v/>
      </c>
      <c r="BM745" s="34">
        <f>BE745-BI745-BN745</f>
        <v/>
      </c>
      <c r="BN745" s="34">
        <f>BB745</f>
        <v/>
      </c>
      <c r="BO745" s="34">
        <f>BE745-BI745</f>
        <v/>
      </c>
      <c r="BP745" s="34">
        <f>IF(AY745=0,0,BO745/AY745)</f>
        <v/>
      </c>
      <c r="BQ745" s="34">
        <f>MAX((AY745+MAX((-J745+L745-N745+Q745),0)),(MAX((J745-L745+N745-Q745),0)))</f>
        <v/>
      </c>
      <c r="BR745" s="82">
        <f>IFERROR(ABS(BK745/BQ745),0)</f>
        <v/>
      </c>
      <c r="BS745" s="34">
        <f>IF(BR745&lt;=0.1,0,BK745/BR745*(BR745-0.1))</f>
        <v/>
      </c>
      <c r="BT745" s="34">
        <f>IF((BS745)&lt;0,MAX(F745:G745)*(BS745)*1.03,MIN(F745:G745)*(BS745)*0.97)</f>
        <v/>
      </c>
      <c r="BU745" s="34">
        <f>IF(BR745&gt;0.1,1,0)</f>
        <v/>
      </c>
      <c r="BV745" s="34">
        <f>BF745+BG745+BH745+BY745-CA745</f>
        <v/>
      </c>
      <c r="BW745" s="34">
        <f>ABS(BX745)</f>
        <v/>
      </c>
      <c r="BX745" s="34">
        <f>AY745-(J745-L745+N745-Q745+T745-X745)</f>
        <v/>
      </c>
      <c r="BY745" s="34">
        <f>IF(AND(BX745&gt;0,MIN($F745:$G745)&lt;150,$E745="Enerji Açığı"),-100*BX745*1.03,IF(AND(BX745&gt;0,MIN($F745:$G745)&lt;150,$E745="Enerji Fazlası"),-100*BX745*1.06,IF(AND(BX745&gt;0,MIN($F745:$G745)&gt;=150,$E745="Enerji Açığı"),BX745*MIN($F745:$G745)*0.97,IF(AND(BX745&gt;0,MIN($F745:$G745)&gt;=150,$E745="Enerji Fazlası"),BX745*MIN($F745:$G745)*0.94,IF(AND(BX745&lt;0,MAX($F745:$G745)=4500,$E745="Enerji Açığı"),4500*1.05*1.06*BX745,IF(AND(BX745&lt;0,MAX($F745:$G745)=4500,$E745="Enerji Fazlası"),4500*1.05*1.03*BX745,IF(AND(BX745&lt;0,$E745="Enerji Açığı"),MAX($F745,$G745,150)*BX745*1.06,IF(AND(BX745&lt;0,$E745="Enerji Fazlası"),MAX($F745,$G745,150)*BX745*1.03,IF(AND(BX745&lt;0,$E745="Dengede"),MAX($F745:$G745,150)*1.03*BX745,MIN($F745:$G745)*0.97*BX745)))))))))</f>
        <v/>
      </c>
      <c r="BZ745" s="34">
        <f>BE745-BV745-CA745</f>
        <v/>
      </c>
      <c r="CA745" s="34">
        <f>BD745</f>
        <v/>
      </c>
      <c r="CB745" s="33">
        <f>BE745-BV745</f>
        <v/>
      </c>
      <c r="CC745" s="34">
        <f>IF(AY745=0,0,CB745/AY745)</f>
        <v/>
      </c>
      <c r="CD745" s="34">
        <f>MAX((AY745+MAX((-J745+L745-N745+Q745-T745+X745),0)),(MAX((J745-L745+N745-Q745+T745-X745),0)))</f>
        <v/>
      </c>
      <c r="CE745" s="82">
        <f>IFERROR(ABS(BX745/CD745),0)</f>
        <v/>
      </c>
      <c r="CF745" s="34">
        <f>IF(CE745&lt;=0.1,0,BX745/CE745*(CE745-0.1))</f>
        <v/>
      </c>
      <c r="CG745" s="34">
        <f>IF((CF745)&lt;0,MAX(F745:G745)*(CF745)*1.03,MIN(F745:G745)*(CF745)*0.97)</f>
        <v/>
      </c>
      <c r="CH745" s="34">
        <f>IF(CE745&gt;0.1,1,0)</f>
        <v/>
      </c>
      <c r="CI745" s="34">
        <f>(F745*BX745)-BY745</f>
        <v/>
      </c>
      <c r="CJ745" s="34">
        <f>IF(AY745=0,0,CI745/AY745)</f>
        <v/>
      </c>
    </row>
    <row r="746">
      <c r="A746" s="29">
        <f>[1]FİYATLAR!A721</f>
        <v/>
      </c>
      <c r="B746" s="29">
        <f>[1]FİYATLAR!B745</f>
        <v/>
      </c>
      <c r="C746" s="35">
        <f>INT(A746)</f>
        <v/>
      </c>
      <c r="D746" s="36">
        <f>MONTH(A746)</f>
        <v/>
      </c>
      <c r="E746" s="147">
        <f>[1]FİYATLAR!G721</f>
        <v/>
      </c>
      <c r="F746" s="30">
        <f>[1]FİYATLAR!C721</f>
        <v/>
      </c>
      <c r="G746" s="30">
        <f>[1]FİYATLAR!E721</f>
        <v/>
      </c>
      <c r="H746" s="30">
        <f>[1]FİYATLAR!D721</f>
        <v/>
      </c>
      <c r="I746" s="30">
        <f>[1]FİYATLAR!F721</f>
        <v/>
      </c>
      <c r="J746" s="119" t="n">
        <v>0</v>
      </c>
      <c r="K746" s="34">
        <f>F746*J746</f>
        <v/>
      </c>
      <c r="L746" s="119" t="n"/>
      <c r="M746" s="34">
        <f>L746*F746</f>
        <v/>
      </c>
      <c r="N746" s="119" t="n"/>
      <c r="O746" s="34">
        <f>F746</f>
        <v/>
      </c>
      <c r="P746" s="34">
        <f>N746*O746</f>
        <v/>
      </c>
      <c r="Q746" s="117" t="n">
        <v>0</v>
      </c>
      <c r="R746" s="34">
        <f>F746</f>
        <v/>
      </c>
      <c r="S746" s="34">
        <f>R746*Q746</f>
        <v/>
      </c>
      <c r="T746" s="34">
        <f>SUMIFS('[1]GİP VERİLERİ'!$C:$C,'[1]GİP VERİLERİ'!$B:$B,A746,'[1]GİP VERİLERİ'!$M:$M,"40X000000104782K",'[1]GİP VERİLERİ'!$G:$G,"SELL")</f>
        <v/>
      </c>
      <c r="U746" s="34">
        <f>IFERROR(W746/T746,0)</f>
        <v/>
      </c>
      <c r="V746" s="34">
        <f>IF(U746=0,0,U746-F746)</f>
        <v/>
      </c>
      <c r="W746" s="34">
        <f>SUMIFS('[1]GİP VERİLERİ'!$O:$O,'[1]GİP VERİLERİ'!$B:$B,A746,'[1]GİP VERİLERİ'!$M:$M,"40X000000104782K",'[1]GİP VERİLERİ'!$G:$G,"SELL")</f>
        <v/>
      </c>
      <c r="X746" s="34">
        <f>SUMIFS('[1]GİP VERİLERİ'!$C:$C,'[1]GİP VERİLERİ'!$B:$B,A746,'[1]GİP VERİLERİ'!$M:$M,"40X000000104782K",'[1]GİP VERİLERİ'!$G:$G,"BUY")</f>
        <v/>
      </c>
      <c r="Y746" s="34">
        <f>IFERROR(AA746/X746,0)</f>
        <v/>
      </c>
      <c r="Z746" s="34">
        <f>IF(Y746=0,0,F746-Y746)</f>
        <v/>
      </c>
      <c r="AA746" s="34">
        <f>SUMIFS('[1]GİP VERİLERİ'!$O:$O,'[1]GİP VERİLERİ'!$B:$B,A746,'[1]GİP VERİLERİ'!$M:$M,"40X000000104782K",'[1]GİP VERİLERİ'!$G:$G,"BUY")</f>
        <v/>
      </c>
      <c r="AB746" s="34">
        <f>'[1]GÖP VERİLERİ'!H747</f>
        <v/>
      </c>
      <c r="AC746" s="34">
        <f>'[1]GÖP VERİLERİ'!I747</f>
        <v/>
      </c>
      <c r="AD746" s="34">
        <f>IF(AB746&gt;AC746*1.05,AB746-AC746*1.05,IF(AB746&lt;AC746*0.95,AC746*0.95-AB746,0))</f>
        <v/>
      </c>
      <c r="AE746" s="34">
        <f>MAX(F746,G746,750)*0.05*AD746</f>
        <v/>
      </c>
      <c r="AF746" s="34">
        <f>'[1]GÖP VERİLERİ'!J747</f>
        <v/>
      </c>
      <c r="AG746" s="34">
        <f>IF(AB746&gt;AF746*1.05,AB746-AF746*1.05,IF(AB746&lt;AF746*0.95,AF746*0.95-AB746,0))</f>
        <v/>
      </c>
      <c r="AH746" s="34">
        <f>MAX(I746,J746,750)*0.05*AG746</f>
        <v/>
      </c>
      <c r="AI746">
        <f>'[1]GÖP VERİLERİ'!E747</f>
        <v/>
      </c>
      <c r="AJ746">
        <f>'[1]GÖP VERİLERİ'!F747</f>
        <v/>
      </c>
      <c r="AK746" s="34">
        <f>IF(AI746&gt;AJ746*1.05,AI746-AJ746*1.05,IF(AI746&lt;AJ746*0.95,AJ746*0.95-AI746,0))</f>
        <v/>
      </c>
      <c r="AL746" s="34">
        <f>MAX(F746,G746,750)*0.05*AK746</f>
        <v/>
      </c>
      <c r="AM746" s="39">
        <f>'[1]GÖP VERİLERİ'!G747</f>
        <v/>
      </c>
      <c r="AN746" s="34">
        <f>IF(AI746&gt;AM746*1.05,AI746-AM746*1.05,IF(AI746&lt;AM746*0.95,AM746*0.95-AI746,0))</f>
        <v/>
      </c>
      <c r="AO746" s="34">
        <f>MAX(F746,G746,750)*0.05*AN746</f>
        <v/>
      </c>
      <c r="AP746" s="34">
        <f>'[1]GÖP VERİLERİ'!B747</f>
        <v/>
      </c>
      <c r="AQ746" s="34">
        <f>'[1]GÖP VERİLERİ'!C747</f>
        <v/>
      </c>
      <c r="AR746" s="34">
        <f>IF(AP746&gt;AQ746*1.05,AP746-AQ746*1.05,IF(AP746&lt;AQ746*0.95,AQ746*0.95-AP746,0))</f>
        <v/>
      </c>
      <c r="AS746" s="34">
        <f>MAX(F746:G746,750)*0.05*AR746</f>
        <v/>
      </c>
      <c r="AT746">
        <f>'[1]GÖP VERİLERİ'!D747</f>
        <v/>
      </c>
      <c r="AU746" s="34">
        <f>IF(AP746&gt;AT746*1.05,AP746-AT746*1.05,IF(AP746&lt;AT746*0.95,AT746*0.95-AP746,0))</f>
        <v/>
      </c>
      <c r="AV746" s="34">
        <f>MAX(F746:G746,750)*0.05*AU746</f>
        <v/>
      </c>
      <c r="AW746" s="34">
        <f>AC746+AJ746+AQ746</f>
        <v/>
      </c>
      <c r="AX746" s="34">
        <f>AF746+AM746+AT746</f>
        <v/>
      </c>
      <c r="AY746" s="34">
        <f>AB746+AI746+AP746</f>
        <v/>
      </c>
      <c r="AZ746" s="34" t="n">
        <v>0</v>
      </c>
      <c r="BA746" s="34">
        <f>AD746+AK746+AR746</f>
        <v/>
      </c>
      <c r="BB746" s="34">
        <f>MAX(F746:G746,750)*0.05*BA746</f>
        <v/>
      </c>
      <c r="BC746" s="34">
        <f>AG746+AN746+AU746</f>
        <v/>
      </c>
      <c r="BD746" s="34">
        <f>MAX(F746:G746,750)*0.05*BC746</f>
        <v/>
      </c>
      <c r="BE746" s="34">
        <f>F746*AY746</f>
        <v/>
      </c>
      <c r="BF746" s="34">
        <f>K746-M746</f>
        <v/>
      </c>
      <c r="BG746" s="34">
        <f>P746-S746</f>
        <v/>
      </c>
      <c r="BH746" s="34">
        <f>W746-AA746</f>
        <v/>
      </c>
      <c r="BI746" s="34">
        <f>BF746+BG746+BL746-BN746</f>
        <v/>
      </c>
      <c r="BJ746" s="34">
        <f>ABS(BK746)</f>
        <v/>
      </c>
      <c r="BK746" s="34">
        <f>AY746-(J746-L746+N746-Q746)</f>
        <v/>
      </c>
      <c r="BL746" s="34">
        <f>IF(AND(BK746&gt;0,MIN($F746:$G746)&lt;150,$E746="Enerji Açığı"),-100*BK746*1.03,IF(AND(BK746&gt;0,MIN($F746:$G746)&lt;150,$E746="Enerji Fazlası"),-100*BK746*1.06,IF(AND(BK746&gt;0,MIN($F746:$G746)&gt;=150,$E746="Enerji Açığı"),BK746*MIN($F746:$G746)*0.97,IF(AND(BK746&gt;0,MIN($F746:$G746)&gt;=150,$E746="Enerji Fazlası"),BK746*MIN($F746:$G746)*0.94,IF(AND(BK746&lt;0,MAX($F746:$G746)=4500,$E746="Enerji Açığı"),4500*1.05*1.06*BK746,IF(AND(BK746&lt;0,MAX($F746:$G746)=4500,$E746="Enerji Fazlası"),4500*1.05*1.03*BK746,IF(AND(BK746&lt;0,$E746="Enerji Açığı"),MAX($F746,$G746,150)*BK746*1.06,IF(AND(BK746&lt;0,$E746="Enerji Fazlası"),MAX($F746,$G746,150)*BK746*1.03,IF(AND(BK746&lt;0,$E746="Dengede"),MAX($F746:$G746,150)*1.03*BK746,MIN($F746:$G746)*0.97*BK746)))))))))</f>
        <v/>
      </c>
      <c r="BM746" s="34">
        <f>BE746-BI746-BN746</f>
        <v/>
      </c>
      <c r="BN746" s="34">
        <f>BB746</f>
        <v/>
      </c>
      <c r="BO746" s="34">
        <f>BE746-BI746</f>
        <v/>
      </c>
      <c r="BP746" s="34">
        <f>IF(AY746=0,0,BO746/AY746)</f>
        <v/>
      </c>
      <c r="BQ746" s="34">
        <f>MAX((AY746+MAX((-J746+L746-N746+Q746),0)),(MAX((J746-L746+N746-Q746),0)))</f>
        <v/>
      </c>
      <c r="BR746" s="82">
        <f>IFERROR(ABS(BK746/BQ746),0)</f>
        <v/>
      </c>
      <c r="BS746" s="34">
        <f>IF(BR746&lt;=0.1,0,BK746/BR746*(BR746-0.1))</f>
        <v/>
      </c>
      <c r="BT746" s="34">
        <f>IF((BS746)&lt;0,MAX(F746:G746)*(BS746)*1.03,MIN(F746:G746)*(BS746)*0.97)</f>
        <v/>
      </c>
      <c r="BU746" s="34">
        <f>IF(BR746&gt;0.1,1,0)</f>
        <v/>
      </c>
      <c r="BV746" s="34">
        <f>BF746+BG746+BH746+BY746-CA746</f>
        <v/>
      </c>
      <c r="BW746" s="34">
        <f>ABS(BX746)</f>
        <v/>
      </c>
      <c r="BX746" s="34">
        <f>AY746-(J746-L746+N746-Q746+T746-X746)</f>
        <v/>
      </c>
      <c r="BY746" s="34">
        <f>IF(AND(BX746&gt;0,MIN($F746:$G746)&lt;150,$E746="Enerji Açığı"),-100*BX746*1.03,IF(AND(BX746&gt;0,MIN($F746:$G746)&lt;150,$E746="Enerji Fazlası"),-100*BX746*1.06,IF(AND(BX746&gt;0,MIN($F746:$G746)&gt;=150,$E746="Enerji Açığı"),BX746*MIN($F746:$G746)*0.97,IF(AND(BX746&gt;0,MIN($F746:$G746)&gt;=150,$E746="Enerji Fazlası"),BX746*MIN($F746:$G746)*0.94,IF(AND(BX746&lt;0,MAX($F746:$G746)=4500,$E746="Enerji Açığı"),4500*1.05*1.06*BX746,IF(AND(BX746&lt;0,MAX($F746:$G746)=4500,$E746="Enerji Fazlası"),4500*1.05*1.03*BX746,IF(AND(BX746&lt;0,$E746="Enerji Açığı"),MAX($F746,$G746,150)*BX746*1.06,IF(AND(BX746&lt;0,$E746="Enerji Fazlası"),MAX($F746,$G746,150)*BX746*1.03,IF(AND(BX746&lt;0,$E746="Dengede"),MAX($F746:$G746,150)*1.03*BX746,MIN($F746:$G746)*0.97*BX746)))))))))</f>
        <v/>
      </c>
      <c r="BZ746" s="34">
        <f>BE746-BV746-CA746</f>
        <v/>
      </c>
      <c r="CA746" s="34">
        <f>BD746</f>
        <v/>
      </c>
      <c r="CB746" s="33">
        <f>BE746-BV746</f>
        <v/>
      </c>
      <c r="CC746" s="34">
        <f>IF(AY746=0,0,CB746/AY746)</f>
        <v/>
      </c>
      <c r="CD746" s="34">
        <f>MAX((AY746+MAX((-J746+L746-N746+Q746-T746+X746),0)),(MAX((J746-L746+N746-Q746+T746-X746),0)))</f>
        <v/>
      </c>
      <c r="CE746" s="82">
        <f>IFERROR(ABS(BX746/CD746),0)</f>
        <v/>
      </c>
      <c r="CF746" s="34">
        <f>IF(CE746&lt;=0.1,0,BX746/CE746*(CE746-0.1))</f>
        <v/>
      </c>
      <c r="CG746" s="34">
        <f>IF((CF746)&lt;0,MAX(F746:G746)*(CF746)*1.03,MIN(F746:G746)*(CF746)*0.97)</f>
        <v/>
      </c>
      <c r="CH746" s="34">
        <f>IF(CE746&gt;0.1,1,0)</f>
        <v/>
      </c>
      <c r="CI746" s="34">
        <f>(F746*BX746)-BY746</f>
        <v/>
      </c>
      <c r="CJ746" s="34">
        <f>IF(AY746=0,0,CI746/AY746)</f>
        <v/>
      </c>
    </row>
    <row r="747">
      <c r="E747" s="146" t="n"/>
    </row>
    <row r="748">
      <c r="E748" s="146" t="n"/>
    </row>
    <row r="749">
      <c r="E749" s="146" t="n"/>
    </row>
    <row r="750">
      <c r="E750" s="146" t="n"/>
    </row>
    <row r="751">
      <c r="E751" s="146" t="n"/>
    </row>
    <row r="752">
      <c r="E752" s="146" t="n"/>
    </row>
    <row r="753">
      <c r="E753" s="146" t="n"/>
    </row>
    <row r="754">
      <c r="E754" s="146" t="n"/>
    </row>
    <row r="755">
      <c r="E755" s="146" t="n"/>
    </row>
    <row r="756">
      <c r="E756" s="146" t="n"/>
    </row>
    <row r="757">
      <c r="E757" s="146" t="n"/>
    </row>
    <row r="758">
      <c r="E758" s="146" t="n"/>
    </row>
    <row r="759">
      <c r="E759" s="146" t="n"/>
    </row>
    <row r="760">
      <c r="E760" s="146" t="n"/>
    </row>
    <row r="761">
      <c r="E761" s="146" t="n"/>
    </row>
    <row r="762">
      <c r="E762" s="146" t="n"/>
    </row>
    <row r="763">
      <c r="E763" s="146" t="n"/>
    </row>
    <row r="764">
      <c r="E764" s="146" t="n"/>
    </row>
    <row r="765">
      <c r="E765" s="146" t="n"/>
    </row>
    <row r="766">
      <c r="E766" s="146" t="n"/>
    </row>
    <row r="767">
      <c r="E767" s="146" t="n"/>
    </row>
    <row r="768">
      <c r="E768" s="146" t="n"/>
    </row>
    <row r="769">
      <c r="E769" s="146" t="n"/>
    </row>
    <row r="770">
      <c r="E770" s="146" t="n"/>
    </row>
  </sheetData>
  <mergeCells count="5">
    <mergeCell ref="AP1:AV1"/>
    <mergeCell ref="BV1:CH1"/>
    <mergeCell ref="BI1:BP1"/>
    <mergeCell ref="AB1:AH1"/>
    <mergeCell ref="AI1:AO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Yaren Polat</dc:creator>
  <dcterms:created xsi:type="dcterms:W3CDTF">2025-04-28T12:01:41Z</dcterms:created>
  <dcterms:modified xsi:type="dcterms:W3CDTF">2026-07-10T08:12:27Z</dcterms:modified>
  <cp:lastModifiedBy>Yaren Polat</cp:lastModifiedBy>
  <cp:lastPrinted>2026-07-09T12:34:07Z</cp:lastPrinted>
</cp:coreProperties>
</file>